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Tablero" sheetId="2" state="visible" r:id="rId2"/>
    <sheet xmlns:r="http://schemas.openxmlformats.org/officeDocument/2006/relationships" name="Parametros" sheetId="3" state="visible" r:id="rId3"/>
    <sheet xmlns:r="http://schemas.openxmlformats.org/officeDocument/2006/relationships" name="Datos" sheetId="4" state="visible" r:id="rId4"/>
    <sheet xmlns:r="http://schemas.openxmlformats.org/officeDocument/2006/relationships" name="Calculo" sheetId="5" state="visible" r:id="rId5"/>
    <sheet xmlns:r="http://schemas.openxmlformats.org/officeDocument/2006/relationships" name="Validacion" sheetId="6" state="visible" r:id="rId6"/>
  </sheets>
  <definedNames>
    <definedName name="MIN_BANCOS">Parametros!$B$5</definedName>
    <definedName name="MIN_OBS_ROLL">Parametros!$B$6</definedName>
    <definedName name="MIN_OBS_Z">Parametros!$B$7</definedName>
    <definedName name="Z_CLIP">Parametros!$B$8</definedName>
    <definedName name="AMPLITUD">Parametros!$B$9</definedName>
    <definedName name="W_BANCOS">Parametros!$B$10</definedName>
    <definedName name="COSTO">Parametros!$B$11</definedName>
    <definedName name="FECHA_ERA">Parametros!$B$12</definedName>
    <definedName name="INICIO_VIVO">Parametros!$B$13</definedName>
    <definedName name="MESES_EVAL">Parametros!$B$14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"/>
    <numFmt numFmtId="165" formatCode="0.0000"/>
    <numFmt numFmtId="166" formatCode="yyyy-mm-dd h:mm:ss"/>
    <numFmt numFmtId="167" formatCode="yyyy-mm-dd"/>
    <numFmt numFmtId="168" formatCode="#,##0.000000"/>
    <numFmt numFmtId="169" formatCode="0.0000%"/>
    <numFmt numFmtId="170" formatCode="0.000000"/>
    <numFmt numFmtId="171" formatCode="0.00000000"/>
    <numFmt numFmtId="172" formatCode="0.000"/>
    <numFmt numFmtId="173" formatCode="0.0E+00"/>
    <numFmt numFmtId="174" formatCode="0.000000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1" fontId="4" fillId="0" borderId="1" pivotButton="0" quotePrefix="0" xfId="0"/>
    <xf numFmtId="167" fontId="4" fillId="0" borderId="1" pivotButton="0" quotePrefix="0" xfId="0"/>
    <xf numFmtId="165" fontId="4" fillId="0" borderId="1" pivotButton="0" quotePrefix="0" xfId="0"/>
    <xf numFmtId="172" fontId="4" fillId="0" borderId="1" pivotButton="0" quotePrefix="0" xfId="0"/>
    <xf numFmtId="172" fontId="4" fillId="5" borderId="1" pivotButton="0" quotePrefix="0" xfId="0"/>
    <xf numFmtId="49" fontId="4" fillId="0" borderId="1" pivotButton="0" quotePrefix="0" xfId="0"/>
    <xf numFmtId="10" fontId="4" fillId="0" borderId="1" pivotButton="0" quotePrefix="0" xfId="0"/>
    <xf numFmtId="164" fontId="4" fillId="0" borderId="1" pivotButton="0" quotePrefix="0" xfId="0"/>
    <xf numFmtId="2" fontId="4" fillId="0" borderId="1" pivotButton="0" quotePrefix="0" xfId="0"/>
    <xf numFmtId="9" fontId="4" fillId="0" borderId="1" pivotButton="0" quotePrefix="0" xfId="0"/>
    <xf numFmtId="49" fontId="4" fillId="5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7" fontId="6" fillId="0" borderId="1" pivotButton="0" quotePrefix="0" xfId="0"/>
    <xf numFmtId="172" fontId="6" fillId="0" borderId="1" pivotButton="0" quotePrefix="0" xfId="0"/>
    <xf numFmtId="10" fontId="6" fillId="0" borderId="1" pivotButton="0" quotePrefix="0" xfId="0"/>
    <xf numFmtId="164" fontId="6" fillId="0" borderId="1" pivotButton="0" quotePrefix="0" xfId="0"/>
    <xf numFmtId="1" fontId="6" fillId="0" borderId="1" pivotButton="0" quotePrefix="0" xfId="0"/>
    <xf numFmtId="1" fontId="5" fillId="0" borderId="1" pivotButton="0" quotePrefix="0" xfId="0"/>
    <xf numFmtId="164" fontId="5" fillId="0" borderId="1" pivotButton="0" quotePrefix="0" xfId="0"/>
    <xf numFmtId="2" fontId="5" fillId="0" borderId="1" pivotButton="0" quotePrefix="0" xfId="0"/>
    <xf numFmtId="165" fontId="5" fillId="0" borderId="1" pivotButton="0" quotePrefix="0" xfId="0"/>
    <xf numFmtId="167" fontId="5" fillId="0" borderId="1" pivotButton="0" quotePrefix="0" xfId="0"/>
    <xf numFmtId="167" fontId="5" fillId="0" borderId="0" pivotButton="0" quotePrefix="0" xfId="0"/>
    <xf numFmtId="168" fontId="5" fillId="0" borderId="0" pivotButton="0" quotePrefix="0" xfId="0"/>
    <xf numFmtId="165" fontId="5" fillId="0" borderId="0" pivotButton="0" quotePrefix="0" xfId="0"/>
    <xf numFmtId="167" fontId="5" fillId="3" borderId="0" pivotButton="0" quotePrefix="0" xfId="0"/>
    <xf numFmtId="168" fontId="5" fillId="3" borderId="0" pivotButton="0" quotePrefix="0" xfId="0"/>
    <xf numFmtId="165" fontId="5" fillId="3" borderId="0" pivotButton="0" quotePrefix="0" xfId="0"/>
    <xf numFmtId="167" fontId="7" fillId="0" borderId="0" pivotButton="0" quotePrefix="0" xfId="0"/>
    <xf numFmtId="169" fontId="6" fillId="0" borderId="0" pivotButton="0" quotePrefix="0" xfId="0"/>
    <xf numFmtId="1" fontId="6" fillId="0" borderId="0" pivotButton="0" quotePrefix="0" xfId="0"/>
    <xf numFmtId="165" fontId="6" fillId="0" borderId="0" pivotButton="0" quotePrefix="0" xfId="0"/>
    <xf numFmtId="170" fontId="6" fillId="0" borderId="0" pivotButton="0" quotePrefix="0" xfId="0"/>
    <xf numFmtId="171" fontId="6" fillId="0" borderId="0" pivotButton="0" quotePrefix="0" xfId="0"/>
    <xf numFmtId="49" fontId="6" fillId="0" borderId="0" pivotButton="0" quotePrefix="0" xfId="0"/>
    <xf numFmtId="164" fontId="6" fillId="0" borderId="0" pivotButton="0" quotePrefix="0" xfId="0"/>
    <xf numFmtId="172" fontId="6" fillId="0" borderId="0" pivotButton="0" quotePrefix="0" xfId="0"/>
    <xf numFmtId="173" fontId="0" fillId="0" borderId="0" pivotButton="0" quotePrefix="0" xfId="0"/>
    <xf numFmtId="174" fontId="5" fillId="0" borderId="0" pivotButton="0" quotePrefix="0" xfId="0"/>
    <xf numFmtId="17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Activo neto acumulado (pb, W_BANCOS = 25%)</a:t>
            </a:r>
          </a:p>
        </rich>
      </tx>
    </title>
    <plotArea>
      <lineChart>
        <grouping val="standard"/>
        <ser>
          <idx val="0"/>
          <order val="0"/>
          <tx>
            <v>Backtest + vivo</v>
          </tx>
          <spPr>
            <a:ln xmlns:a="http://schemas.openxmlformats.org/drawingml/2006/main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'Calculo'!$A$5:$A$352</f>
            </numRef>
          </cat>
          <val>
            <numRef>
              <f>'Calculo'!$BJ$5:$BJ$352</f>
            </numRef>
          </val>
        </ser>
        <ser>
          <idx val="1"/>
          <order val="1"/>
          <tx>
            <v>Sólo en vivo</v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'Calculo'!$A$5:$A$352</f>
            </numRef>
          </cat>
          <val>
            <numRef>
              <f>'Calculo'!$BK$5:$BK$352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Multiplicador a aplicar (m, promedio 3 meses)</a:t>
            </a:r>
          </a:p>
        </rich>
      </tx>
    </title>
    <plotArea>
      <lineChart>
        <grouping val="standard"/>
        <ser>
          <idx val="0"/>
          <order val="0"/>
          <tx>
            <strRef>
              <f>'Calculo'!BL4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'Calculo'!$A$5:$A$352</f>
            </numRef>
          </cat>
          <val>
            <numRef>
              <f>'Calculo'!$BL$5:$BL$352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.2"/>
          <min val="0.8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Modelo H_OVR3</author>
  </authors>
  <commentList>
    <comment ref="A4" authorId="0" shapeId="0">
      <text>
        <t>Último día del mes (el modelo usa la fecha como fin de mes).</t>
      </text>
    </comment>
    <comment ref="B4" authorId="0" shapeId="0">
      <text>
        <t>Precio local en ARS ajustado por dividendos (retorno total), cierre del mes. Misma serie que la hoja prices_bancos_LOCAL.</t>
      </text>
    </comment>
    <comment ref="C4" authorId="0" shapeId="0">
      <text>
        <t>Idem GGAL.</t>
      </text>
    </comment>
    <comment ref="D4" authorId="0" shapeId="0">
      <text>
        <t>Idem GGAL.</t>
      </text>
    </comment>
    <comment ref="E4" authorId="0" shapeId="0">
      <text>
        <t>Idem GGAL. Vacío antes de su salida a la bolsa.</t>
      </text>
    </comment>
    <comment ref="F4" authorId="0" shapeId="0">
      <text>
        <t>Índice Merval en pesos (índice de precio), cierre del mes.</t>
      </text>
    </comment>
    <comment ref="G4" authorId="0" shapeId="0">
      <text>
        <t>Badlar bancos privados, % nominal anual (ej. 22.8125), cierre del mes.</t>
      </text>
    </comment>
    <comment ref="H4" authorId="0" shapeId="0">
      <text>
        <t>Spread EMBI de JP Morgan en puntos básicos, cierre del mes.</t>
      </text>
    </comment>
  </commentList>
</comments>
</file>

<file path=xl/comments/comment2.xml><?xml version="1.0" encoding="utf-8"?>
<comments xmlns="http://schemas.openxmlformats.org/spreadsheetml/2006/main">
  <authors>
    <author>Modelo H_OVR3</author>
  </authors>
  <commentList>
    <comment ref="G4" authorId="0" shapeId="0">
      <text>
        <t>Promedio simple de los bancos con retorno en el mes (mínimo MIN_BANCOS).</t>
      </text>
    </comment>
    <comment ref="J4" authorId="0" shapeId="0">
      <text>
        <t>Badlar del cierre del mes anterior, mensualizada: ln(1 + Badlar/1200). Conocida al inicio del mes.</t>
      </text>
    </comment>
    <comment ref="S4" authorId="0" shapeId="0">
      <text>
        <t>Covarianza muestral por pares válidos: (media(xy) − media(x)·media(y))·n/(n−1), igual que pandas.</t>
      </text>
    </comment>
    <comment ref="W4" authorId="0" shapeId="0">
      <text>
        <t>Spread de bancos vs Merval ajustado por β, sobre retornos en exceso de Badlar (log).</t>
      </text>
    </comment>
    <comment ref="AK4" authorId="0" shapeId="0">
      <text>
        <t>Sensibilidad del spread T2 al ΔlogEMBI del mismo mes, estimada con los 36 meses previos.</t>
      </text>
    </comment>
    <comment ref="AM4" authorId="0" shapeId="0">
      <text>
        <t>Movimiento del spread no explicado por el EMBI (sobre/sub-reacción del mes).</t>
      </text>
    </comment>
    <comment ref="AP4" authorId="0" shapeId="0">
      <text>
        <t>Suma de los residuos de los últimos 3 meses (requiere los 3).</t>
      </text>
    </comment>
    <comment ref="AW4" authorId="0" shapeId="0">
      <text>
        <t>Positivo = los bancos cayeron más de lo que explica el EMBI → sobreponderar.</t>
      </text>
    </comment>
    <comment ref="AY4" authorId="0" shapeId="0">
      <text>
        <t>Multiplicador del peso de bancos para el mes siguiente.</t>
      </text>
    </comment>
    <comment ref="BA4" authorId="0" shapeId="0">
      <text>
        <t>Tilt decidido al cierre del mes anterior × peso de bancos × spread T2 del mes.</t>
      </text>
    </comment>
    <comment ref="BJ4" authorId="0" shapeId="0">
      <text>
        <t>Valor NA() intencional: oculta en el gráfico los meses sin dato.</t>
      </text>
    </comment>
    <comment ref="BK4" authorId="0" shapeId="0">
      <text>
        <t>Valor NA() intencional: oculta en el gráfico los meses sin dato.</t>
      </text>
    </comment>
    <comment ref="BL4" authorId="0" shapeId="0">
      <text>
        <t>Valor NA() intencional: oculta en el gráfico los meses sin dato.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21</row>
      <rowOff>0</rowOff>
    </from>
    <ext cx="79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showGridLines="0"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Seguimiento en vivo de la regla H_OVR3</t>
        </is>
      </c>
    </row>
    <row r="2">
      <c r="A2" s="2" t="inlineStr">
        <is>
          <t>Reversión tras sobrerreacciones de los bancos al riesgo país (EMBI). Sobre/sub-ponderación de bancos vs Merval.</t>
        </is>
      </c>
    </row>
    <row r="3">
      <c r="A3" t="inlineStr"/>
    </row>
    <row r="4">
      <c r="A4" s="3" t="inlineStr">
        <is>
          <t>Qué hace la regla</t>
        </is>
      </c>
    </row>
    <row r="5">
      <c r="A5" s="4" t="inlineStr">
        <is>
          <t>1. Mide el spread de los bancos contra el Merval ajustado por β (T2), sobre retornos en exceso de la Badlar.</t>
        </is>
      </c>
    </row>
    <row r="6">
      <c r="A6" s="4" t="inlineStr">
        <is>
          <t>2. Estima con los 36 meses previos cuánto se mueve ese spread por cada variación del EMBI (β_E).</t>
        </is>
      </c>
    </row>
    <row r="7">
      <c r="A7" s="4" t="inlineStr">
        <is>
          <t>3. El residuo de cada mes es lo que los bancos se movieron de más (o de menos) respecto de lo que explica el EMBI. El gap suma los últimos 3 meses.</t>
        </is>
      </c>
    </row>
    <row r="8">
      <c r="A8" s="4" t="inlineStr">
        <is>
          <t>4. El gap se estandariza con toda su historia disponible (z expansivo, recortado a ±3). Score = −z: si los bancos cayeron de más, el score es positivo.</t>
        </is>
      </c>
    </row>
    <row r="9">
      <c r="A9" s="4" t="inlineStr">
        <is>
          <t>5. m = 1 + 0.2·tanh(score) va de 0.8 a 1.2. Se aplica el promedio de los últimos 3 meses (cada señal se mantiene 3 meses).</t>
        </is>
      </c>
    </row>
    <row r="10">
      <c r="A10" s="4" t="inlineStr">
        <is>
          <t>6. Peso de bancos en la cartera = m × peso de bancos en el benchmark, durante el mes siguiente.</t>
        </is>
      </c>
    </row>
    <row r="11">
      <c r="A11" t="inlineStr"/>
    </row>
    <row r="12">
      <c r="A12" s="3" t="inlineStr">
        <is>
          <t>Fórmulas (iguales al código Python)</t>
        </is>
      </c>
    </row>
    <row r="13">
      <c r="A13" s="4" t="inlineStr">
        <is>
          <t>rf_t = ln(1 + Badlar_{t−1}/1200)   ·   XB_t = ln(1 + r_bancos,t) − rf_t   ·   XM_t = ln(1 + r_Merval,t) − rf_t</t>
        </is>
      </c>
    </row>
    <row r="14">
      <c r="A14" s="4" t="inlineStr">
        <is>
          <t>β_t = cov(XB, XM) / var(XM), ventana de 36 meses hasta t−1 (mínimo 24)   ·   T2_t = XB_t − β_t·XM_t</t>
        </is>
      </c>
    </row>
    <row r="15">
      <c r="A15" s="4" t="inlineStr">
        <is>
          <t>β_E,t = cov(T2, ΔlnEMBI) / var(ΔlnEMBI), a_E,t = media(T2) − β_E,t·media(ΔlnEMBI), 36 meses hasta t−1   ·   e_t = T2_t − (a_E,t + β_E,t·ΔlnEMBI_t)</t>
        </is>
      </c>
    </row>
    <row r="16">
      <c r="A16" s="4" t="inlineStr">
        <is>
          <t>gap_t = e_t + e_{t−1} + e_{t−2}   ·   z_t = (gap_t − media expansiva)/desvío expansivo (mínimo 36)   ·   score_t = −z_t</t>
        </is>
      </c>
    </row>
    <row r="17">
      <c r="A17" s="4" t="inlineStr">
        <is>
          <t>Activo neto_t = (m_{t−1} − 1)·W_BANCOS·T2_t − |m_{t−1} − m_{t−2}|·W_BANCOS·COSTO</t>
        </is>
      </c>
    </row>
    <row r="18">
      <c r="A18" t="inlineStr"/>
    </row>
    <row r="19">
      <c r="A19" s="3" t="inlineStr">
        <is>
          <t>Procedimiento mensual (5 minutos)</t>
        </is>
      </c>
    </row>
    <row r="20">
      <c r="A20" s="4" t="inlineStr">
        <is>
          <t>1. Al cierre de cada mes, ir a la hoja Datos y completar la primera fila amarilla vacía con la fecha (fin de mes) y los 7 datos.</t>
        </is>
      </c>
    </row>
    <row r="21">
      <c r="A21" s="4" t="inlineStr">
        <is>
          <t>2. Precios de los bancos: precio local en ARS AJUSTADO POR DIVIDENDOS, de la misma fuente que la planilla maestra (hoja prices_bancos_LOCAL). Merval: índice en pesos. Badlar: % nominal anual. EMBI: puntos básicos.</t>
        </is>
      </c>
    </row>
    <row r="22">
      <c r="A22" s="4" t="inlineStr">
        <is>
          <t>3. Abrir la hoja Tablero: muestra la señal vigente (m a aplicar el mes siguiente), el seguimiento en vivo y el estado de la regla.</t>
        </is>
      </c>
    </row>
    <row r="23">
      <c r="A23" s="4" t="inlineStr">
        <is>
          <t>4. NO modificar filas anteriores ni los parámetros. Si un dato histórico se corrige en la fuente, anotarlo, pero no reescribir la historia.</t>
        </is>
      </c>
    </row>
    <row r="24">
      <c r="A24" t="inlineStr"/>
    </row>
    <row r="25">
      <c r="A25" s="3" t="inlineStr">
        <is>
          <t>Regla de decisión</t>
        </is>
      </c>
    </row>
    <row r="26">
      <c r="A26" s="4" t="inlineStr">
        <is>
          <t>Se sigue en vivo desde el retorno de nov-2026 (señal de cierre de oct-2026, posterior al congelamiento del 2026-10-10).</t>
        </is>
      </c>
    </row>
    <row r="27">
      <c r="A27" s="4" t="inlineStr">
        <is>
          <t>A los 24 meses en vivo: si el IR anualizado acumulado en vivo es negativo, la regla se DESCARTA. Si es ≥ 0, se mantiene y se sigue midiendo.</t>
        </is>
      </c>
    </row>
    <row r="28">
      <c r="A28" s="4" t="inlineStr">
        <is>
          <t>El backtest (IR 0.56 / 0.19 por era) es sólo contexto: la regla se eligió después de ver los datos.</t>
        </is>
      </c>
    </row>
    <row r="29">
      <c r="A29" t="inlineStr"/>
    </row>
    <row r="30">
      <c r="A30" s="3" t="inlineStr">
        <is>
          <t>Hojas</t>
        </is>
      </c>
    </row>
    <row r="31">
      <c r="A31" s="4" t="inlineStr">
        <is>
          <t>Tablero: señal vigente, seguimiento en vivo, estado y gráficos.   Datos: única hoja de carga.   Parametros: valores congelados.</t>
        </is>
      </c>
    </row>
    <row r="32">
      <c r="A32" s="4" t="inlineStr">
        <is>
          <t>Calculo: todas las fórmulas, una columna por paso.   Validacion: compara cada paso con Python (máxima diferencia esperada &lt; 1e-9).</t>
        </is>
      </c>
    </row>
    <row r="33">
      <c r="A33" s="4" t="inlineStr">
        <is>
          <t>Las hojas de cálculo están protegidas (sin contraseña) para evitar ediciones accidentales.</t>
        </is>
      </c>
    </row>
    <row r="34">
      <c r="A34" s="4" t="inlineStr">
        <is>
          <t>Las columnas de gráfico de Calculo muestran el valor NA() a propósito en los meses sin dato, para que el gráfico no los dibuje.</t>
        </is>
      </c>
    </row>
    <row r="35">
      <c r="A35" t="inlineStr"/>
    </row>
    <row r="36">
      <c r="A36" s="2" t="inlineStr">
        <is>
          <t>Origen: proyecto bancos_model_prod, xs_model/build_excel_hovr3.py (METHODOLOGY §14).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H_OVR3 — Reversión tras sobrerreacciones de los bancos al EMBI</t>
        </is>
      </c>
    </row>
    <row r="2">
      <c r="A2" s="2" t="inlineStr">
        <is>
          <t>Paper trading: OW/UW de bancos vs Merval. Regla congelada el 2026-10-10. Se actualiza sola al cargar la hoja Datos.</t>
        </is>
      </c>
    </row>
    <row r="4">
      <c r="A4" s="5" t="inlineStr">
        <is>
          <t>SEÑAL VIGENTE</t>
        </is>
      </c>
      <c r="B4" s="6" t="n"/>
    </row>
    <row r="5">
      <c r="A5" s="4" t="inlineStr">
        <is>
          <t>Última fila con señal</t>
        </is>
      </c>
      <c r="B5" s="7">
        <f>MAX(Calculo!$BI$5:$BI$352)</f>
        <v/>
      </c>
    </row>
    <row r="6">
      <c r="A6" s="4" t="inlineStr">
        <is>
          <t>Fecha de la señal (cierre de mes)</t>
        </is>
      </c>
      <c r="B6" s="8">
        <f>IF(B5&gt;0,INDEX(Calculo!$A:$A,B5),"")</f>
        <v/>
      </c>
    </row>
    <row r="7">
      <c r="A7" s="4" t="inlineStr">
        <is>
          <t>Gap de 3 meses (residuo acumulado)</t>
        </is>
      </c>
      <c r="B7" s="9">
        <f>IF(B5&gt;0,INDEX(Calculo!$AP:$AP,B5),"")</f>
        <v/>
      </c>
    </row>
    <row r="8">
      <c r="A8" s="4" t="inlineStr">
        <is>
          <t>Score (positivo = bancos cayeron de más)</t>
        </is>
      </c>
      <c r="B8" s="10">
        <f>IF(B5&gt;0,INDEX(Calculo!$AW:$AW,B5),"")</f>
        <v/>
      </c>
    </row>
    <row r="9">
      <c r="A9" s="4" t="inlineStr">
        <is>
          <t>m del mes</t>
        </is>
      </c>
      <c r="B9" s="10">
        <f>IF(B5&gt;0,INDEX(Calculo!$AX:$AX,B5),"")</f>
        <v/>
      </c>
    </row>
    <row r="10">
      <c r="A10" s="4" t="inlineStr">
        <is>
          <t>m A APLICAR el mes siguiente (promedio 3 meses)</t>
        </is>
      </c>
      <c r="B10" s="11">
        <f>IF(B5&gt;0,INDEX(Calculo!$AY:$AY,B5),"")</f>
        <v/>
      </c>
    </row>
    <row r="11">
      <c r="A11" s="4" t="inlineStr">
        <is>
          <t>Lectura</t>
        </is>
      </c>
      <c r="B11" s="12">
        <f>IF(ISNUMBER(B10),IF(B10&gt;=1,"Sobreponderar bancos ","Subponderar bancos ")&amp;TEXT(ABS(B10-1),"0.0%")&amp;" sobre su peso en el benchmark","")</f>
        <v/>
      </c>
    </row>
    <row r="12">
      <c r="A12" s="4" t="inlineStr">
        <is>
          <t>Ejemplo: peso de bancos si el benchmark pesa W_BANCOS</t>
        </is>
      </c>
      <c r="B12" s="13">
        <f>IF(ISNUMBER(B10),B10*W_BANCOS,"")</f>
        <v/>
      </c>
    </row>
    <row r="13">
      <c r="A13" s="4" t="inlineStr"/>
    </row>
    <row r="14">
      <c r="A14" s="5" t="inlineStr">
        <is>
          <t>SEGUIMIENTO EN VIVO</t>
        </is>
      </c>
      <c r="B14" s="6" t="n"/>
    </row>
    <row r="15">
      <c r="A15" s="4" t="inlineStr">
        <is>
          <t>Primer mes en vivo (retorno)</t>
        </is>
      </c>
      <c r="B15" s="8">
        <f>INICIO_VIVO</f>
        <v/>
      </c>
    </row>
    <row r="16">
      <c r="A16" s="4" t="inlineStr">
        <is>
          <t>Meses en vivo</t>
        </is>
      </c>
      <c r="B16" s="7">
        <f>SUM(Calculo!$BG$5:$BG$352)</f>
        <v/>
      </c>
    </row>
    <row r="17">
      <c r="A17" s="4" t="inlineStr">
        <is>
          <t>Activo neto acumulado en vivo (pb, con W_BANCOS)</t>
        </is>
      </c>
      <c r="B17" s="14">
        <f>IF(B16&gt;0,SUM(Calculo!$BH$5:$BH$352)*10000,"")</f>
        <v/>
      </c>
    </row>
    <row r="18">
      <c r="A18" s="4" t="inlineStr">
        <is>
          <t>IR anualizado en vivo</t>
        </is>
      </c>
      <c r="B18" s="15">
        <f>IF(B16&gt;=2,AVERAGE(Calculo!$BH$5:$BH$352)/STDEV(Calculo!$BH$5:$BH$352)*SQRT(12),"")</f>
        <v/>
      </c>
    </row>
    <row r="19">
      <c r="A19" s="4" t="inlineStr">
        <is>
          <t>Acierto (meses con activo &gt; 0)</t>
        </is>
      </c>
      <c r="B19" s="16">
        <f>IF(B16&gt;0,COUNTIF(Calculo!$BH$5:$BH$352,"&gt;0")/B16,"")</f>
        <v/>
      </c>
    </row>
    <row r="20">
      <c r="A20" s="4" t="inlineStr">
        <is>
          <t>ESTADO DE LA REGLA</t>
        </is>
      </c>
      <c r="B20" s="17">
        <f>IF(B16&lt;MESES_EVAL,"EN EVALUACIÓN ("&amp;B16&amp;" de "&amp;MESES_EVAL&amp;" meses)",IF(B18&lt;0,"DESCARTAR: IR en vivo negativo a los "&amp;MESES_EVAL&amp;" meses","MANTENER: IR en vivo ≥ 0"))</f>
        <v/>
      </c>
    </row>
    <row r="21">
      <c r="A21" s="4" t="inlineStr"/>
    </row>
    <row r="22">
      <c r="A22" s="5" t="inlineStr">
        <is>
          <t>CONTEXTO: BACKTEST (fuera de muestra, post hoc)</t>
        </is>
      </c>
      <c r="B22" s="6" t="n"/>
    </row>
    <row r="23">
      <c r="A23" s="4" t="inlineStr">
        <is>
          <t>IR era A (hasta 2016-05)</t>
        </is>
      </c>
      <c r="B23" s="15">
        <f>AVERAGE(Calculo!$BE$5:$BE$352)/STDEV(Calculo!$BE$5:$BE$352)*SQRT(12)</f>
        <v/>
      </c>
      <c r="C23" s="18" t="inlineStr">
        <is>
          <t>Python: 0.56</t>
        </is>
      </c>
    </row>
    <row r="24">
      <c r="A24" s="4" t="inlineStr">
        <is>
          <t>IR era B (desde 2016-06)</t>
        </is>
      </c>
      <c r="B24" s="15">
        <f>AVERAGE(Calculo!$BF$5:$BF$352)/STDEV(Calculo!$BF$5:$BF$352)*SQRT(12)</f>
        <v/>
      </c>
      <c r="C24" s="18" t="inlineStr">
        <is>
          <t>Python: 0.19</t>
        </is>
      </c>
    </row>
    <row r="25">
      <c r="A25" s="4" t="inlineStr">
        <is>
          <t>IR total</t>
        </is>
      </c>
      <c r="B25" s="15">
        <f>AVERAGE(Calculo!$BC$5:$BC$352)/STDEV(Calculo!$BC$5:$BC$352)*SQRT(12)</f>
        <v/>
      </c>
      <c r="C25" s="18" t="inlineStr">
        <is>
          <t>Python: 0.33</t>
        </is>
      </c>
    </row>
    <row r="26">
      <c r="A26" s="4" t="inlineStr">
        <is>
          <t>Activo promedio (pb/año, con W_BANCOS)</t>
        </is>
      </c>
      <c r="B26" s="14">
        <f>AVERAGE(Calculo!$BC$5:$BC$352)*12*10000</f>
        <v/>
      </c>
      <c r="C26" s="18" t="inlineStr">
        <is>
          <t>Python: 18.7</t>
        </is>
      </c>
    </row>
    <row r="28">
      <c r="A28" s="2" t="inlineStr">
        <is>
          <t>Cuidado: la regla se eligió después de ver los datos (DSR 0.016 con 194 ensayos). El backtest es contexto, no evidencia. La decisión se toma sólo con los meses en vivo.</t>
        </is>
      </c>
    </row>
    <row r="30">
      <c r="A30" s="5" t="inlineStr">
        <is>
          <t>ÚLTIMOS 12 MESES</t>
        </is>
      </c>
    </row>
    <row r="31">
      <c r="A31" s="19" t="inlineStr">
        <is>
          <t>Fecha</t>
        </is>
      </c>
      <c r="B31" s="19" t="inlineStr">
        <is>
          <t>Score</t>
        </is>
      </c>
      <c r="C31" s="19" t="inlineStr">
        <is>
          <t>m del mes</t>
        </is>
      </c>
      <c r="D31" s="19" t="inlineStr">
        <is>
          <t>m a aplicar</t>
        </is>
      </c>
      <c r="E31" s="19" t="inlineStr">
        <is>
          <t>Spread T2 del mes</t>
        </is>
      </c>
      <c r="F31" s="19" t="inlineStr">
        <is>
          <t>Activo neto (pb)</t>
        </is>
      </c>
      <c r="G31" s="19" t="inlineStr">
        <is>
          <t>En vivo</t>
        </is>
      </c>
    </row>
    <row r="32">
      <c r="A32" s="20">
        <f>IF($B$5-11&gt;=5,INDEX(Calculo!$A:$A,$B$5-11),"")</f>
        <v/>
      </c>
      <c r="B32" s="21">
        <f>IF($B$5-11&gt;=5,IF(ISNUMBER(INDEX(Calculo!$AW:$AW,$B$5-11)),INDEX(Calculo!$AW:$AW,$B$5-11),""),"")</f>
        <v/>
      </c>
      <c r="C32" s="21">
        <f>IF($B$5-11&gt;=5,IF(ISNUMBER(INDEX(Calculo!$AX:$AX,$B$5-11)),INDEX(Calculo!$AX:$AX,$B$5-11),""),"")</f>
        <v/>
      </c>
      <c r="D32" s="21">
        <f>IF($B$5-11&gt;=5,IF(ISNUMBER(INDEX(Calculo!$AY:$AY,$B$5-11)),INDEX(Calculo!$AY:$AY,$B$5-11),""),"")</f>
        <v/>
      </c>
      <c r="E32" s="22">
        <f>IF($B$5-11&gt;=5,IF(ISNUMBER(INDEX(Calculo!$W:$W,$B$5-11)),INDEX(Calculo!$W:$W,$B$5-11),""),"")</f>
        <v/>
      </c>
      <c r="F32" s="23">
        <f>IF($B$5-11&gt;=5,IF(ISNUMBER(INDEX(Calculo!$BC:$BC,$B$5-11)),INDEX(Calculo!$BC:$BC,$B$5-11)*10000,""),"")</f>
        <v/>
      </c>
      <c r="G32" s="24">
        <f>IF($B$5-11&gt;=5,IF(ISNUMBER(INDEX(Calculo!$BG:$BG,$B$5-11)),INDEX(Calculo!$BG:$BG,$B$5-11),""),"")</f>
        <v/>
      </c>
    </row>
    <row r="33">
      <c r="A33" s="20">
        <f>IF($B$5-10&gt;=5,INDEX(Calculo!$A:$A,$B$5-10),"")</f>
        <v/>
      </c>
      <c r="B33" s="21">
        <f>IF($B$5-10&gt;=5,IF(ISNUMBER(INDEX(Calculo!$AW:$AW,$B$5-10)),INDEX(Calculo!$AW:$AW,$B$5-10),""),"")</f>
        <v/>
      </c>
      <c r="C33" s="21">
        <f>IF($B$5-10&gt;=5,IF(ISNUMBER(INDEX(Calculo!$AX:$AX,$B$5-10)),INDEX(Calculo!$AX:$AX,$B$5-10),""),"")</f>
        <v/>
      </c>
      <c r="D33" s="21">
        <f>IF($B$5-10&gt;=5,IF(ISNUMBER(INDEX(Calculo!$AY:$AY,$B$5-10)),INDEX(Calculo!$AY:$AY,$B$5-10),""),"")</f>
        <v/>
      </c>
      <c r="E33" s="22">
        <f>IF($B$5-10&gt;=5,IF(ISNUMBER(INDEX(Calculo!$W:$W,$B$5-10)),INDEX(Calculo!$W:$W,$B$5-10),""),"")</f>
        <v/>
      </c>
      <c r="F33" s="23">
        <f>IF($B$5-10&gt;=5,IF(ISNUMBER(INDEX(Calculo!$BC:$BC,$B$5-10)),INDEX(Calculo!$BC:$BC,$B$5-10)*10000,""),"")</f>
        <v/>
      </c>
      <c r="G33" s="24">
        <f>IF($B$5-10&gt;=5,IF(ISNUMBER(INDEX(Calculo!$BG:$BG,$B$5-10)),INDEX(Calculo!$BG:$BG,$B$5-10),""),"")</f>
        <v/>
      </c>
    </row>
    <row r="34">
      <c r="A34" s="20">
        <f>IF($B$5-9&gt;=5,INDEX(Calculo!$A:$A,$B$5-9),"")</f>
        <v/>
      </c>
      <c r="B34" s="21">
        <f>IF($B$5-9&gt;=5,IF(ISNUMBER(INDEX(Calculo!$AW:$AW,$B$5-9)),INDEX(Calculo!$AW:$AW,$B$5-9),""),"")</f>
        <v/>
      </c>
      <c r="C34" s="21">
        <f>IF($B$5-9&gt;=5,IF(ISNUMBER(INDEX(Calculo!$AX:$AX,$B$5-9)),INDEX(Calculo!$AX:$AX,$B$5-9),""),"")</f>
        <v/>
      </c>
      <c r="D34" s="21">
        <f>IF($B$5-9&gt;=5,IF(ISNUMBER(INDEX(Calculo!$AY:$AY,$B$5-9)),INDEX(Calculo!$AY:$AY,$B$5-9),""),"")</f>
        <v/>
      </c>
      <c r="E34" s="22">
        <f>IF($B$5-9&gt;=5,IF(ISNUMBER(INDEX(Calculo!$W:$W,$B$5-9)),INDEX(Calculo!$W:$W,$B$5-9),""),"")</f>
        <v/>
      </c>
      <c r="F34" s="23">
        <f>IF($B$5-9&gt;=5,IF(ISNUMBER(INDEX(Calculo!$BC:$BC,$B$5-9)),INDEX(Calculo!$BC:$BC,$B$5-9)*10000,""),"")</f>
        <v/>
      </c>
      <c r="G34" s="24">
        <f>IF($B$5-9&gt;=5,IF(ISNUMBER(INDEX(Calculo!$BG:$BG,$B$5-9)),INDEX(Calculo!$BG:$BG,$B$5-9),""),"")</f>
        <v/>
      </c>
    </row>
    <row r="35">
      <c r="A35" s="20">
        <f>IF($B$5-8&gt;=5,INDEX(Calculo!$A:$A,$B$5-8),"")</f>
        <v/>
      </c>
      <c r="B35" s="21">
        <f>IF($B$5-8&gt;=5,IF(ISNUMBER(INDEX(Calculo!$AW:$AW,$B$5-8)),INDEX(Calculo!$AW:$AW,$B$5-8),""),"")</f>
        <v/>
      </c>
      <c r="C35" s="21">
        <f>IF($B$5-8&gt;=5,IF(ISNUMBER(INDEX(Calculo!$AX:$AX,$B$5-8)),INDEX(Calculo!$AX:$AX,$B$5-8),""),"")</f>
        <v/>
      </c>
      <c r="D35" s="21">
        <f>IF($B$5-8&gt;=5,IF(ISNUMBER(INDEX(Calculo!$AY:$AY,$B$5-8)),INDEX(Calculo!$AY:$AY,$B$5-8),""),"")</f>
        <v/>
      </c>
      <c r="E35" s="22">
        <f>IF($B$5-8&gt;=5,IF(ISNUMBER(INDEX(Calculo!$W:$W,$B$5-8)),INDEX(Calculo!$W:$W,$B$5-8),""),"")</f>
        <v/>
      </c>
      <c r="F35" s="23">
        <f>IF($B$5-8&gt;=5,IF(ISNUMBER(INDEX(Calculo!$BC:$BC,$B$5-8)),INDEX(Calculo!$BC:$BC,$B$5-8)*10000,""),"")</f>
        <v/>
      </c>
      <c r="G35" s="24">
        <f>IF($B$5-8&gt;=5,IF(ISNUMBER(INDEX(Calculo!$BG:$BG,$B$5-8)),INDEX(Calculo!$BG:$BG,$B$5-8),""),"")</f>
        <v/>
      </c>
    </row>
    <row r="36">
      <c r="A36" s="20">
        <f>IF($B$5-7&gt;=5,INDEX(Calculo!$A:$A,$B$5-7),"")</f>
        <v/>
      </c>
      <c r="B36" s="21">
        <f>IF($B$5-7&gt;=5,IF(ISNUMBER(INDEX(Calculo!$AW:$AW,$B$5-7)),INDEX(Calculo!$AW:$AW,$B$5-7),""),"")</f>
        <v/>
      </c>
      <c r="C36" s="21">
        <f>IF($B$5-7&gt;=5,IF(ISNUMBER(INDEX(Calculo!$AX:$AX,$B$5-7)),INDEX(Calculo!$AX:$AX,$B$5-7),""),"")</f>
        <v/>
      </c>
      <c r="D36" s="21">
        <f>IF($B$5-7&gt;=5,IF(ISNUMBER(INDEX(Calculo!$AY:$AY,$B$5-7)),INDEX(Calculo!$AY:$AY,$B$5-7),""),"")</f>
        <v/>
      </c>
      <c r="E36" s="22">
        <f>IF($B$5-7&gt;=5,IF(ISNUMBER(INDEX(Calculo!$W:$W,$B$5-7)),INDEX(Calculo!$W:$W,$B$5-7),""),"")</f>
        <v/>
      </c>
      <c r="F36" s="23">
        <f>IF($B$5-7&gt;=5,IF(ISNUMBER(INDEX(Calculo!$BC:$BC,$B$5-7)),INDEX(Calculo!$BC:$BC,$B$5-7)*10000,""),"")</f>
        <v/>
      </c>
      <c r="G36" s="24">
        <f>IF($B$5-7&gt;=5,IF(ISNUMBER(INDEX(Calculo!$BG:$BG,$B$5-7)),INDEX(Calculo!$BG:$BG,$B$5-7),""),"")</f>
        <v/>
      </c>
    </row>
    <row r="37">
      <c r="A37" s="20">
        <f>IF($B$5-6&gt;=5,INDEX(Calculo!$A:$A,$B$5-6),"")</f>
        <v/>
      </c>
      <c r="B37" s="21">
        <f>IF($B$5-6&gt;=5,IF(ISNUMBER(INDEX(Calculo!$AW:$AW,$B$5-6)),INDEX(Calculo!$AW:$AW,$B$5-6),""),"")</f>
        <v/>
      </c>
      <c r="C37" s="21">
        <f>IF($B$5-6&gt;=5,IF(ISNUMBER(INDEX(Calculo!$AX:$AX,$B$5-6)),INDEX(Calculo!$AX:$AX,$B$5-6),""),"")</f>
        <v/>
      </c>
      <c r="D37" s="21">
        <f>IF($B$5-6&gt;=5,IF(ISNUMBER(INDEX(Calculo!$AY:$AY,$B$5-6)),INDEX(Calculo!$AY:$AY,$B$5-6),""),"")</f>
        <v/>
      </c>
      <c r="E37" s="22">
        <f>IF($B$5-6&gt;=5,IF(ISNUMBER(INDEX(Calculo!$W:$W,$B$5-6)),INDEX(Calculo!$W:$W,$B$5-6),""),"")</f>
        <v/>
      </c>
      <c r="F37" s="23">
        <f>IF($B$5-6&gt;=5,IF(ISNUMBER(INDEX(Calculo!$BC:$BC,$B$5-6)),INDEX(Calculo!$BC:$BC,$B$5-6)*10000,""),"")</f>
        <v/>
      </c>
      <c r="G37" s="24">
        <f>IF($B$5-6&gt;=5,IF(ISNUMBER(INDEX(Calculo!$BG:$BG,$B$5-6)),INDEX(Calculo!$BG:$BG,$B$5-6),""),"")</f>
        <v/>
      </c>
    </row>
    <row r="38">
      <c r="A38" s="20">
        <f>IF($B$5-5&gt;=5,INDEX(Calculo!$A:$A,$B$5-5),"")</f>
        <v/>
      </c>
      <c r="B38" s="21">
        <f>IF($B$5-5&gt;=5,IF(ISNUMBER(INDEX(Calculo!$AW:$AW,$B$5-5)),INDEX(Calculo!$AW:$AW,$B$5-5),""),"")</f>
        <v/>
      </c>
      <c r="C38" s="21">
        <f>IF($B$5-5&gt;=5,IF(ISNUMBER(INDEX(Calculo!$AX:$AX,$B$5-5)),INDEX(Calculo!$AX:$AX,$B$5-5),""),"")</f>
        <v/>
      </c>
      <c r="D38" s="21">
        <f>IF($B$5-5&gt;=5,IF(ISNUMBER(INDEX(Calculo!$AY:$AY,$B$5-5)),INDEX(Calculo!$AY:$AY,$B$5-5),""),"")</f>
        <v/>
      </c>
      <c r="E38" s="22">
        <f>IF($B$5-5&gt;=5,IF(ISNUMBER(INDEX(Calculo!$W:$W,$B$5-5)),INDEX(Calculo!$W:$W,$B$5-5),""),"")</f>
        <v/>
      </c>
      <c r="F38" s="23">
        <f>IF($B$5-5&gt;=5,IF(ISNUMBER(INDEX(Calculo!$BC:$BC,$B$5-5)),INDEX(Calculo!$BC:$BC,$B$5-5)*10000,""),"")</f>
        <v/>
      </c>
      <c r="G38" s="24">
        <f>IF($B$5-5&gt;=5,IF(ISNUMBER(INDEX(Calculo!$BG:$BG,$B$5-5)),INDEX(Calculo!$BG:$BG,$B$5-5),""),"")</f>
        <v/>
      </c>
    </row>
    <row r="39">
      <c r="A39" s="20">
        <f>IF($B$5-4&gt;=5,INDEX(Calculo!$A:$A,$B$5-4),"")</f>
        <v/>
      </c>
      <c r="B39" s="21">
        <f>IF($B$5-4&gt;=5,IF(ISNUMBER(INDEX(Calculo!$AW:$AW,$B$5-4)),INDEX(Calculo!$AW:$AW,$B$5-4),""),"")</f>
        <v/>
      </c>
      <c r="C39" s="21">
        <f>IF($B$5-4&gt;=5,IF(ISNUMBER(INDEX(Calculo!$AX:$AX,$B$5-4)),INDEX(Calculo!$AX:$AX,$B$5-4),""),"")</f>
        <v/>
      </c>
      <c r="D39" s="21">
        <f>IF($B$5-4&gt;=5,IF(ISNUMBER(INDEX(Calculo!$AY:$AY,$B$5-4)),INDEX(Calculo!$AY:$AY,$B$5-4),""),"")</f>
        <v/>
      </c>
      <c r="E39" s="22">
        <f>IF($B$5-4&gt;=5,IF(ISNUMBER(INDEX(Calculo!$W:$W,$B$5-4)),INDEX(Calculo!$W:$W,$B$5-4),""),"")</f>
        <v/>
      </c>
      <c r="F39" s="23">
        <f>IF($B$5-4&gt;=5,IF(ISNUMBER(INDEX(Calculo!$BC:$BC,$B$5-4)),INDEX(Calculo!$BC:$BC,$B$5-4)*10000,""),"")</f>
        <v/>
      </c>
      <c r="G39" s="24">
        <f>IF($B$5-4&gt;=5,IF(ISNUMBER(INDEX(Calculo!$BG:$BG,$B$5-4)),INDEX(Calculo!$BG:$BG,$B$5-4),""),"")</f>
        <v/>
      </c>
    </row>
    <row r="40">
      <c r="A40" s="20">
        <f>IF($B$5-3&gt;=5,INDEX(Calculo!$A:$A,$B$5-3),"")</f>
        <v/>
      </c>
      <c r="B40" s="21">
        <f>IF($B$5-3&gt;=5,IF(ISNUMBER(INDEX(Calculo!$AW:$AW,$B$5-3)),INDEX(Calculo!$AW:$AW,$B$5-3),""),"")</f>
        <v/>
      </c>
      <c r="C40" s="21">
        <f>IF($B$5-3&gt;=5,IF(ISNUMBER(INDEX(Calculo!$AX:$AX,$B$5-3)),INDEX(Calculo!$AX:$AX,$B$5-3),""),"")</f>
        <v/>
      </c>
      <c r="D40" s="21">
        <f>IF($B$5-3&gt;=5,IF(ISNUMBER(INDEX(Calculo!$AY:$AY,$B$5-3)),INDEX(Calculo!$AY:$AY,$B$5-3),""),"")</f>
        <v/>
      </c>
      <c r="E40" s="22">
        <f>IF($B$5-3&gt;=5,IF(ISNUMBER(INDEX(Calculo!$W:$W,$B$5-3)),INDEX(Calculo!$W:$W,$B$5-3),""),"")</f>
        <v/>
      </c>
      <c r="F40" s="23">
        <f>IF($B$5-3&gt;=5,IF(ISNUMBER(INDEX(Calculo!$BC:$BC,$B$5-3)),INDEX(Calculo!$BC:$BC,$B$5-3)*10000,""),"")</f>
        <v/>
      </c>
      <c r="G40" s="24">
        <f>IF($B$5-3&gt;=5,IF(ISNUMBER(INDEX(Calculo!$BG:$BG,$B$5-3)),INDEX(Calculo!$BG:$BG,$B$5-3),""),"")</f>
        <v/>
      </c>
    </row>
    <row r="41">
      <c r="A41" s="20">
        <f>IF($B$5-2&gt;=5,INDEX(Calculo!$A:$A,$B$5-2),"")</f>
        <v/>
      </c>
      <c r="B41" s="21">
        <f>IF($B$5-2&gt;=5,IF(ISNUMBER(INDEX(Calculo!$AW:$AW,$B$5-2)),INDEX(Calculo!$AW:$AW,$B$5-2),""),"")</f>
        <v/>
      </c>
      <c r="C41" s="21">
        <f>IF($B$5-2&gt;=5,IF(ISNUMBER(INDEX(Calculo!$AX:$AX,$B$5-2)),INDEX(Calculo!$AX:$AX,$B$5-2),""),"")</f>
        <v/>
      </c>
      <c r="D41" s="21">
        <f>IF($B$5-2&gt;=5,IF(ISNUMBER(INDEX(Calculo!$AY:$AY,$B$5-2)),INDEX(Calculo!$AY:$AY,$B$5-2),""),"")</f>
        <v/>
      </c>
      <c r="E41" s="22">
        <f>IF($B$5-2&gt;=5,IF(ISNUMBER(INDEX(Calculo!$W:$W,$B$5-2)),INDEX(Calculo!$W:$W,$B$5-2),""),"")</f>
        <v/>
      </c>
      <c r="F41" s="23">
        <f>IF($B$5-2&gt;=5,IF(ISNUMBER(INDEX(Calculo!$BC:$BC,$B$5-2)),INDEX(Calculo!$BC:$BC,$B$5-2)*10000,""),"")</f>
        <v/>
      </c>
      <c r="G41" s="24">
        <f>IF($B$5-2&gt;=5,IF(ISNUMBER(INDEX(Calculo!$BG:$BG,$B$5-2)),INDEX(Calculo!$BG:$BG,$B$5-2),""),"")</f>
        <v/>
      </c>
    </row>
    <row r="42">
      <c r="A42" s="20">
        <f>IF($B$5-1&gt;=5,INDEX(Calculo!$A:$A,$B$5-1),"")</f>
        <v/>
      </c>
      <c r="B42" s="21">
        <f>IF($B$5-1&gt;=5,IF(ISNUMBER(INDEX(Calculo!$AW:$AW,$B$5-1)),INDEX(Calculo!$AW:$AW,$B$5-1),""),"")</f>
        <v/>
      </c>
      <c r="C42" s="21">
        <f>IF($B$5-1&gt;=5,IF(ISNUMBER(INDEX(Calculo!$AX:$AX,$B$5-1)),INDEX(Calculo!$AX:$AX,$B$5-1),""),"")</f>
        <v/>
      </c>
      <c r="D42" s="21">
        <f>IF($B$5-1&gt;=5,IF(ISNUMBER(INDEX(Calculo!$AY:$AY,$B$5-1)),INDEX(Calculo!$AY:$AY,$B$5-1),""),"")</f>
        <v/>
      </c>
      <c r="E42" s="22">
        <f>IF($B$5-1&gt;=5,IF(ISNUMBER(INDEX(Calculo!$W:$W,$B$5-1)),INDEX(Calculo!$W:$W,$B$5-1),""),"")</f>
        <v/>
      </c>
      <c r="F42" s="23">
        <f>IF($B$5-1&gt;=5,IF(ISNUMBER(INDEX(Calculo!$BC:$BC,$B$5-1)),INDEX(Calculo!$BC:$BC,$B$5-1)*10000,""),"")</f>
        <v/>
      </c>
      <c r="G42" s="24">
        <f>IF($B$5-1&gt;=5,IF(ISNUMBER(INDEX(Calculo!$BG:$BG,$B$5-1)),INDEX(Calculo!$BG:$BG,$B$5-1),""),"")</f>
        <v/>
      </c>
    </row>
    <row r="43">
      <c r="A43" s="20">
        <f>IF($B$5-0&gt;=5,INDEX(Calculo!$A:$A,$B$5-0),"")</f>
        <v/>
      </c>
      <c r="B43" s="21">
        <f>IF($B$5-0&gt;=5,IF(ISNUMBER(INDEX(Calculo!$AW:$AW,$B$5-0)),INDEX(Calculo!$AW:$AW,$B$5-0),""),"")</f>
        <v/>
      </c>
      <c r="C43" s="21">
        <f>IF($B$5-0&gt;=5,IF(ISNUMBER(INDEX(Calculo!$AX:$AX,$B$5-0)),INDEX(Calculo!$AX:$AX,$B$5-0),""),"")</f>
        <v/>
      </c>
      <c r="D43" s="21">
        <f>IF($B$5-0&gt;=5,IF(ISNUMBER(INDEX(Calculo!$AY:$AY,$B$5-0)),INDEX(Calculo!$AY:$AY,$B$5-0),""),"")</f>
        <v/>
      </c>
      <c r="E43" s="22">
        <f>IF($B$5-0&gt;=5,IF(ISNUMBER(INDEX(Calculo!$W:$W,$B$5-0)),INDEX(Calculo!$W:$W,$B$5-0),""),"")</f>
        <v/>
      </c>
      <c r="F43" s="23">
        <f>IF($B$5-0&gt;=5,IF(ISNUMBER(INDEX(Calculo!$BC:$BC,$B$5-0)),INDEX(Calculo!$BC:$BC,$B$5-0)*10000,""),"")</f>
        <v/>
      </c>
      <c r="G43" s="24">
        <f>IF($B$5-0&gt;=5,IF(ISNUMBER(INDEX(Calculo!$BG:$BG,$B$5-0)),INDEX(Calculo!$BG:$BG,$B$5-0),""),"")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95" customWidth="1" min="3" max="3"/>
  </cols>
  <sheetData>
    <row r="1">
      <c r="A1" s="1" t="inlineStr">
        <is>
          <t>Parámetros congelados de la regla H_OVR3 (no modificar)</t>
        </is>
      </c>
    </row>
    <row r="2">
      <c r="A2" s="2" t="inlineStr">
        <is>
          <t>Fijados el 2026-10-10. Cambiar cualquiera invalida el seguimiento en vivo.</t>
        </is>
      </c>
    </row>
    <row r="4">
      <c r="A4" s="19" t="inlineStr">
        <is>
          <t>Nombre</t>
        </is>
      </c>
      <c r="B4" s="19" t="inlineStr">
        <is>
          <t>Valor</t>
        </is>
      </c>
      <c r="C4" s="19" t="inlineStr">
        <is>
          <t>Descripción</t>
        </is>
      </c>
    </row>
    <row r="5">
      <c r="A5" s="3" t="inlineStr">
        <is>
          <t>MIN_BANCOS</t>
        </is>
      </c>
      <c r="B5" s="25" t="n">
        <v>2</v>
      </c>
      <c r="C5" s="4" t="inlineStr">
        <is>
          <t>Mínimo de bancos con retorno para calcular el promedio del sector</t>
        </is>
      </c>
    </row>
    <row r="6">
      <c r="A6" s="3" t="inlineStr">
        <is>
          <t>MIN_OBS_ROLL</t>
        </is>
      </c>
      <c r="B6" s="25" t="n">
        <v>24</v>
      </c>
      <c r="C6" s="4" t="inlineStr">
        <is>
          <t>Observaciones mínimas dentro de las ventanas móviles de 36 meses (β y regresión vs EMBI)</t>
        </is>
      </c>
    </row>
    <row r="7">
      <c r="A7" s="3" t="inlineStr">
        <is>
          <t>MIN_OBS_Z</t>
        </is>
      </c>
      <c r="B7" s="25" t="n">
        <v>36</v>
      </c>
      <c r="C7" s="4" t="inlineStr">
        <is>
          <t>Observaciones mínimas del z-score expansivo del gap</t>
        </is>
      </c>
    </row>
    <row r="8">
      <c r="A8" s="3" t="inlineStr">
        <is>
          <t>Z_CLIP</t>
        </is>
      </c>
      <c r="B8" s="26" t="n">
        <v>3</v>
      </c>
      <c r="C8" s="4" t="inlineStr">
        <is>
          <t>Recorte del z-score (±)</t>
        </is>
      </c>
    </row>
    <row r="9">
      <c r="A9" s="3" t="inlineStr">
        <is>
          <t>AMPLITUD</t>
        </is>
      </c>
      <c r="B9" s="27" t="n">
        <v>0.2</v>
      </c>
      <c r="C9" s="4" t="inlineStr">
        <is>
          <t>m = 1 + AMPLITUD·tanh(score): multiplicador entre 0.8 y 1.2</t>
        </is>
      </c>
    </row>
    <row r="10">
      <c r="A10" s="3" t="inlineStr">
        <is>
          <t>W_BANCOS</t>
        </is>
      </c>
      <c r="B10" s="27" t="n">
        <v>0.25</v>
      </c>
      <c r="C10" s="4" t="inlineStr">
        <is>
          <t>Peso ilustrativo de bancos en el benchmark (escala el activo; no afecta el IR)</t>
        </is>
      </c>
    </row>
    <row r="11">
      <c r="A11" s="3" t="inlineStr">
        <is>
          <t>COSTO</t>
        </is>
      </c>
      <c r="B11" s="28" t="n">
        <v>0.01</v>
      </c>
      <c r="C11" s="4" t="inlineStr">
        <is>
          <t>Costo por unidad de cambio en (m − 1): 2 × 50 pb (dos patas)</t>
        </is>
      </c>
    </row>
    <row r="12">
      <c r="A12" s="3" t="inlineStr">
        <is>
          <t>FECHA_ERA</t>
        </is>
      </c>
      <c r="B12" s="29" t="n">
        <v>42521</v>
      </c>
      <c r="C12" s="4" t="inlineStr">
        <is>
          <t>Corte de eras del backtest (A ≤ fecha &lt; B)</t>
        </is>
      </c>
    </row>
    <row r="13">
      <c r="A13" s="3" t="inlineStr">
        <is>
          <t>INICIO_VIVO</t>
        </is>
      </c>
      <c r="B13" s="29" t="n">
        <v>46356</v>
      </c>
      <c r="C13" s="4" t="inlineStr">
        <is>
          <t>Primer mes de retorno en vivo (usa la señal del cierre de oct-2026)</t>
        </is>
      </c>
    </row>
    <row r="14">
      <c r="A14" s="3" t="inlineStr">
        <is>
          <t>MESES_EVAL</t>
        </is>
      </c>
      <c r="B14" s="25" t="n">
        <v>24</v>
      </c>
      <c r="C14" s="4" t="inlineStr">
        <is>
          <t>Meses en vivo para la decisión: si el IR acumulado es &lt; 0, se descarta la regla</t>
        </is>
      </c>
    </row>
    <row r="16">
      <c r="A16" s="3" t="inlineStr">
        <is>
          <t>Fijos en las fórmulas (no son celdas editables)</t>
        </is>
      </c>
    </row>
    <row r="17">
      <c r="A17" s="4" t="inlineStr">
        <is>
          <t>Ventana de β (bancos vs Merval)</t>
        </is>
      </c>
      <c r="B17" s="4" t="inlineStr">
        <is>
          <t>36 meses, datos hasta t−1</t>
        </is>
      </c>
    </row>
    <row r="18">
      <c r="A18" s="4" t="inlineStr">
        <is>
          <t>Ventana de la regresión del spread contra ΔlogEMBI</t>
        </is>
      </c>
      <c r="B18" s="4" t="inlineStr">
        <is>
          <t>36 meses, datos hasta t−1</t>
        </is>
      </c>
    </row>
    <row r="19">
      <c r="A19" s="4" t="inlineStr">
        <is>
          <t>Gap de sobrerreacción</t>
        </is>
      </c>
      <c r="B19" s="4" t="inlineStr">
        <is>
          <t>suma de 3 meses de residuos (requiere los 3)</t>
        </is>
      </c>
    </row>
    <row r="20">
      <c r="A20" s="4" t="inlineStr">
        <is>
          <t>Mantener la señal</t>
        </is>
      </c>
      <c r="B20" s="4" t="inlineStr">
        <is>
          <t>promedio de los multiplicadores de los últimos 3 meses (tramos superpuestos)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2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2" customWidth="1" min="7" max="7"/>
    <col width="13" customWidth="1" min="8" max="8"/>
  </cols>
  <sheetData>
    <row r="1">
      <c r="A1" s="1" t="inlineStr">
        <is>
          <t>Datos de entrada (único lugar para cargar información)</t>
        </is>
      </c>
    </row>
    <row r="2">
      <c r="A2" s="2" t="inlineStr">
        <is>
          <t>Cada mes agregar UNA fila al final con el cierre del mes. Celdas amarillas = carga. No modificar filas anteriores. Fuente y unidades: ver encabezados y LEEME.</t>
        </is>
      </c>
    </row>
    <row r="4">
      <c r="A4" s="19" t="inlineStr">
        <is>
          <t>Fecha (fin de mes)</t>
        </is>
      </c>
      <c r="B4" s="19" t="inlineStr">
        <is>
          <t>GGAL</t>
        </is>
      </c>
      <c r="C4" s="19" t="inlineStr">
        <is>
          <t>BBAR</t>
        </is>
      </c>
      <c r="D4" s="19" t="inlineStr">
        <is>
          <t>BMA</t>
        </is>
      </c>
      <c r="E4" s="19" t="inlineStr">
        <is>
          <t>SUPV</t>
        </is>
      </c>
      <c r="F4" s="19" t="inlineStr">
        <is>
          <t>MERVAL ARS</t>
        </is>
      </c>
      <c r="G4" s="19" t="inlineStr">
        <is>
          <t>Badlar (% TNA)</t>
        </is>
      </c>
      <c r="H4" s="19" t="inlineStr">
        <is>
          <t>EMBI Argentina (pb)</t>
        </is>
      </c>
    </row>
    <row r="5">
      <c r="A5" s="30" t="n">
        <v>38017</v>
      </c>
      <c r="B5" s="31" t="n">
        <v>2.074</v>
      </c>
      <c r="C5" s="31" t="n">
        <v>6.855</v>
      </c>
      <c r="D5" s="31" t="n">
        <v>2.839</v>
      </c>
      <c r="E5" s="31" t="n"/>
      <c r="F5" s="31" t="n">
        <v>1140.81</v>
      </c>
      <c r="G5" s="32" t="n">
        <v>1.5</v>
      </c>
      <c r="H5" s="32" t="n">
        <v>5764.38</v>
      </c>
    </row>
    <row r="6">
      <c r="A6" s="30" t="n">
        <v>38046</v>
      </c>
      <c r="B6" s="31" t="n">
        <v>2.322</v>
      </c>
      <c r="C6" s="31" t="n">
        <v>6.793</v>
      </c>
      <c r="D6" s="31" t="n">
        <v>3.034</v>
      </c>
      <c r="E6" s="31" t="n"/>
      <c r="F6" s="31" t="n">
        <v>1183.14</v>
      </c>
      <c r="G6" s="32" t="n">
        <v>1.125</v>
      </c>
      <c r="H6" s="32" t="n">
        <v>5865.65</v>
      </c>
    </row>
    <row r="7">
      <c r="A7" s="30" t="n">
        <v>38077</v>
      </c>
      <c r="B7" s="31" t="n">
        <v>2.245</v>
      </c>
      <c r="C7" s="31" t="n">
        <v>6.628</v>
      </c>
      <c r="D7" s="31" t="n">
        <v>3.117</v>
      </c>
      <c r="E7" s="31" t="n"/>
      <c r="F7" s="31" t="n">
        <v>1201.66</v>
      </c>
      <c r="G7" s="32" t="n">
        <v>1.6875</v>
      </c>
      <c r="H7" s="32" t="n">
        <v>4872.94</v>
      </c>
    </row>
    <row r="8">
      <c r="A8" s="30" t="n">
        <v>38107</v>
      </c>
      <c r="B8" s="31" t="n">
        <v>1.973</v>
      </c>
      <c r="C8" s="31" t="n">
        <v>5.232</v>
      </c>
      <c r="D8" s="31" t="n">
        <v>2.978</v>
      </c>
      <c r="E8" s="31" t="n"/>
      <c r="F8" s="31" t="n">
        <v>1077.93</v>
      </c>
      <c r="G8" s="32" t="n">
        <v>1.8125</v>
      </c>
      <c r="H8" s="32" t="n">
        <v>4628.15</v>
      </c>
    </row>
    <row r="9">
      <c r="A9" s="30" t="n">
        <v>38138</v>
      </c>
      <c r="B9" s="31" t="n">
        <v>1.674</v>
      </c>
      <c r="C9" s="31" t="n">
        <v>4.236</v>
      </c>
      <c r="D9" s="31" t="n">
        <v>2.459</v>
      </c>
      <c r="E9" s="31" t="n"/>
      <c r="F9" s="31" t="n">
        <v>952.62</v>
      </c>
      <c r="G9" s="32" t="n">
        <v>3.875</v>
      </c>
      <c r="H9" s="32" t="n">
        <v>4950</v>
      </c>
    </row>
    <row r="10">
      <c r="A10" s="30" t="n">
        <v>38168</v>
      </c>
      <c r="B10" s="31" t="n">
        <v>1.614</v>
      </c>
      <c r="C10" s="31" t="n">
        <v>4</v>
      </c>
      <c r="D10" s="31" t="n">
        <v>2.496</v>
      </c>
      <c r="E10" s="31" t="n"/>
      <c r="F10" s="31" t="n">
        <v>945.45</v>
      </c>
      <c r="G10" s="32" t="n">
        <v>2.4375</v>
      </c>
      <c r="H10" s="32" t="n">
        <v>5188.06</v>
      </c>
    </row>
    <row r="11">
      <c r="A11" s="30" t="n">
        <v>38199</v>
      </c>
      <c r="B11" s="31" t="n">
        <v>1.535</v>
      </c>
      <c r="C11" s="31" t="n">
        <v>4.236</v>
      </c>
      <c r="D11" s="31" t="n">
        <v>2.829</v>
      </c>
      <c r="E11" s="31" t="n"/>
      <c r="F11" s="31" t="n">
        <v>966.1</v>
      </c>
      <c r="G11" s="32" t="n">
        <v>4</v>
      </c>
      <c r="H11" s="32" t="n">
        <v>5036.41</v>
      </c>
    </row>
    <row r="12">
      <c r="A12" s="30" t="n">
        <v>38230</v>
      </c>
      <c r="B12" s="31" t="n">
        <v>1.505</v>
      </c>
      <c r="C12" s="31" t="n">
        <v>4.039</v>
      </c>
      <c r="D12" s="31" t="n">
        <v>2.944</v>
      </c>
      <c r="E12" s="31" t="n"/>
      <c r="F12" s="31" t="n">
        <v>952.14</v>
      </c>
      <c r="G12" s="32" t="n">
        <v>4.4375</v>
      </c>
      <c r="H12" s="32" t="n">
        <v>5258.49</v>
      </c>
    </row>
    <row r="13">
      <c r="A13" s="30" t="n">
        <v>38260</v>
      </c>
      <c r="B13" s="31" t="n">
        <v>1.953</v>
      </c>
      <c r="C13" s="31" t="n">
        <v>5.122</v>
      </c>
      <c r="D13" s="31" t="n">
        <v>3.136</v>
      </c>
      <c r="E13" s="31" t="n"/>
      <c r="F13" s="31" t="n">
        <v>1142.5</v>
      </c>
      <c r="G13" s="32" t="n">
        <v>5.1875</v>
      </c>
      <c r="H13" s="32" t="n">
        <v>5440.02</v>
      </c>
    </row>
    <row r="14">
      <c r="A14" s="30" t="n">
        <v>38291</v>
      </c>
      <c r="B14" s="31" t="n">
        <v>2.471</v>
      </c>
      <c r="C14" s="31" t="n">
        <v>4.959</v>
      </c>
      <c r="D14" s="31" t="n">
        <v>3.328</v>
      </c>
      <c r="E14" s="31" t="n"/>
      <c r="F14" s="31" t="n">
        <v>1287.14</v>
      </c>
      <c r="G14" s="32" t="n">
        <v>4.375</v>
      </c>
      <c r="H14" s="32" t="n">
        <v>5440.1</v>
      </c>
    </row>
    <row r="15">
      <c r="A15" s="30" t="n">
        <v>38321</v>
      </c>
      <c r="B15" s="31" t="n">
        <v>2.142</v>
      </c>
      <c r="C15" s="31" t="n">
        <v>5.053</v>
      </c>
      <c r="D15" s="31" t="n">
        <v>3.223</v>
      </c>
      <c r="E15" s="31" t="n"/>
      <c r="F15" s="31" t="n">
        <v>1213.09</v>
      </c>
      <c r="G15" s="32" t="n">
        <v>4.125</v>
      </c>
      <c r="H15" s="32" t="n">
        <v>5193.84</v>
      </c>
    </row>
    <row r="16">
      <c r="A16" s="30" t="n">
        <v>38352</v>
      </c>
      <c r="B16" s="31" t="n">
        <v>2.511</v>
      </c>
      <c r="C16" s="31" t="n">
        <v>6.042</v>
      </c>
      <c r="D16" s="31" t="n">
        <v>3.539</v>
      </c>
      <c r="E16" s="31" t="n"/>
      <c r="F16" s="31" t="n">
        <v>1375.37</v>
      </c>
      <c r="G16" s="32" t="n">
        <v>4</v>
      </c>
      <c r="H16" s="32" t="n">
        <v>4702.63</v>
      </c>
    </row>
    <row r="17">
      <c r="A17" s="30" t="n">
        <v>38383</v>
      </c>
      <c r="B17" s="31" t="n">
        <v>2.491</v>
      </c>
      <c r="C17" s="31" t="n">
        <v>5.887</v>
      </c>
      <c r="D17" s="31" t="n">
        <v>3.693</v>
      </c>
      <c r="E17" s="31" t="n"/>
      <c r="F17" s="31" t="n">
        <v>1373.79</v>
      </c>
      <c r="G17" s="32" t="n">
        <v>2.875</v>
      </c>
      <c r="H17" s="32" t="n">
        <v>5128.88</v>
      </c>
    </row>
    <row r="18">
      <c r="A18" s="30" t="n">
        <v>38411</v>
      </c>
      <c r="B18" s="31" t="n">
        <v>2.651</v>
      </c>
      <c r="C18" s="31" t="n">
        <v>5.99</v>
      </c>
      <c r="D18" s="31" t="n">
        <v>3.971</v>
      </c>
      <c r="E18" s="31" t="n"/>
      <c r="F18" s="31" t="n">
        <v>1558.62</v>
      </c>
      <c r="G18" s="32" t="n">
        <v>2.875</v>
      </c>
      <c r="H18" s="32" t="n">
        <v>4980.43</v>
      </c>
    </row>
    <row r="19">
      <c r="A19" s="30" t="n">
        <v>38442</v>
      </c>
      <c r="B19" s="31" t="n">
        <v>2.252</v>
      </c>
      <c r="C19" s="31" t="n">
        <v>5.457</v>
      </c>
      <c r="D19" s="31" t="n">
        <v>3.76</v>
      </c>
      <c r="E19" s="31" t="n"/>
      <c r="F19" s="31" t="n">
        <v>1400.42</v>
      </c>
      <c r="G19" s="32" t="n">
        <v>3.3125</v>
      </c>
      <c r="H19" s="32" t="n">
        <v>5393.06</v>
      </c>
    </row>
    <row r="20">
      <c r="A20" s="30" t="n">
        <v>38472</v>
      </c>
      <c r="B20" s="31" t="n">
        <v>2.142</v>
      </c>
      <c r="C20" s="31" t="n">
        <v>5.191</v>
      </c>
      <c r="D20" s="31" t="n">
        <v>3.673</v>
      </c>
      <c r="E20" s="31" t="n"/>
      <c r="F20" s="31" t="n">
        <v>1348.35</v>
      </c>
      <c r="G20" s="32" t="n">
        <v>4.6875</v>
      </c>
      <c r="H20" s="32" t="n">
        <v>6294.54</v>
      </c>
    </row>
    <row r="21">
      <c r="A21" s="30" t="n">
        <v>38503</v>
      </c>
      <c r="B21" s="31" t="n">
        <v>2.491</v>
      </c>
      <c r="C21" s="31" t="n">
        <v>5.792</v>
      </c>
      <c r="D21" s="31" t="n">
        <v>3.933</v>
      </c>
      <c r="E21" s="31" t="n"/>
      <c r="F21" s="31" t="n">
        <v>1485.55</v>
      </c>
      <c r="G21" s="32" t="n">
        <v>5</v>
      </c>
      <c r="H21" s="32" t="n">
        <v>6497.74</v>
      </c>
    </row>
    <row r="22">
      <c r="A22" s="30" t="n">
        <v>38533</v>
      </c>
      <c r="B22" s="31" t="n">
        <v>2.232</v>
      </c>
      <c r="C22" s="31" t="n">
        <v>4.993</v>
      </c>
      <c r="D22" s="31" t="n">
        <v>3.574</v>
      </c>
      <c r="E22" s="31" t="n"/>
      <c r="F22" s="31" t="n">
        <v>1367.41</v>
      </c>
      <c r="G22" s="32" t="n">
        <v>5.9375</v>
      </c>
      <c r="H22" s="32" t="n">
        <v>462.29</v>
      </c>
    </row>
    <row r="23">
      <c r="A23" s="30" t="n">
        <v>38564</v>
      </c>
      <c r="B23" s="31" t="n">
        <v>2.491</v>
      </c>
      <c r="C23" s="31" t="n">
        <v>5.655</v>
      </c>
      <c r="D23" s="31" t="n">
        <v>4.069</v>
      </c>
      <c r="E23" s="31" t="n"/>
      <c r="F23" s="31" t="n">
        <v>1507.59</v>
      </c>
      <c r="G23" s="32" t="n">
        <v>6.1875</v>
      </c>
      <c r="H23" s="32" t="n">
        <v>412.97</v>
      </c>
    </row>
    <row r="24">
      <c r="A24" s="30" t="n">
        <v>38595</v>
      </c>
      <c r="B24" s="31" t="n">
        <v>2.412</v>
      </c>
      <c r="C24" s="31" t="n">
        <v>5.741</v>
      </c>
      <c r="D24" s="31" t="n">
        <v>4.555</v>
      </c>
      <c r="E24" s="31" t="n"/>
      <c r="F24" s="31" t="n">
        <v>1581.65</v>
      </c>
      <c r="G24" s="32" t="n">
        <v>5.5</v>
      </c>
      <c r="H24" s="32" t="n">
        <v>438.6</v>
      </c>
    </row>
    <row r="25">
      <c r="A25" s="30" t="n">
        <v>38625</v>
      </c>
      <c r="B25" s="31" t="n">
        <v>2.441</v>
      </c>
      <c r="C25" s="31" t="n">
        <v>6.317</v>
      </c>
      <c r="D25" s="31" t="n">
        <v>4.904</v>
      </c>
      <c r="E25" s="31" t="n"/>
      <c r="F25" s="31" t="n">
        <v>1694.83</v>
      </c>
      <c r="G25" s="32" t="n">
        <v>6.0625</v>
      </c>
      <c r="H25" s="32" t="n">
        <v>349.12</v>
      </c>
    </row>
    <row r="26">
      <c r="A26" s="30" t="n">
        <v>38656</v>
      </c>
      <c r="B26" s="31" t="n">
        <v>2.262</v>
      </c>
      <c r="C26" s="31" t="n">
        <v>6.359</v>
      </c>
      <c r="D26" s="31" t="n">
        <v>4.885</v>
      </c>
      <c r="E26" s="31" t="n"/>
      <c r="F26" s="31" t="n">
        <v>1608.86</v>
      </c>
      <c r="G26" s="32" t="n">
        <v>6.3125</v>
      </c>
      <c r="H26" s="32" t="n">
        <v>370.93</v>
      </c>
    </row>
    <row r="27">
      <c r="A27" s="30" t="n">
        <v>38686</v>
      </c>
      <c r="B27" s="31" t="n">
        <v>2.172</v>
      </c>
      <c r="C27" s="31" t="n">
        <v>6.506</v>
      </c>
      <c r="D27" s="31" t="n">
        <v>4.836</v>
      </c>
      <c r="E27" s="31" t="n"/>
      <c r="F27" s="31" t="n">
        <v>1554.67</v>
      </c>
      <c r="G27" s="32" t="n">
        <v>7.875</v>
      </c>
      <c r="H27" s="32" t="n">
        <v>495.45</v>
      </c>
    </row>
    <row r="28">
      <c r="A28" s="30" t="n">
        <v>38717</v>
      </c>
      <c r="B28" s="31" t="n">
        <v>2.103</v>
      </c>
      <c r="C28" s="31" t="n">
        <v>6.256</v>
      </c>
      <c r="D28" s="31" t="n">
        <v>5.205</v>
      </c>
      <c r="E28" s="31" t="n"/>
      <c r="F28" s="31" t="n">
        <v>1543.31</v>
      </c>
      <c r="G28" s="32" t="n">
        <v>7.625</v>
      </c>
      <c r="H28" s="32" t="n">
        <v>503.72</v>
      </c>
    </row>
    <row r="29">
      <c r="A29" s="30" t="n">
        <v>38748</v>
      </c>
      <c r="B29" s="31" t="n">
        <v>2.232</v>
      </c>
      <c r="C29" s="31" t="n">
        <v>6.574</v>
      </c>
      <c r="D29" s="31" t="n">
        <v>5.681</v>
      </c>
      <c r="E29" s="31" t="n"/>
      <c r="F29" s="31" t="n">
        <v>1793.97</v>
      </c>
      <c r="G29" s="32" t="n">
        <v>8.0625</v>
      </c>
      <c r="H29" s="32" t="n">
        <v>440.14</v>
      </c>
    </row>
    <row r="30">
      <c r="A30" s="30" t="n">
        <v>38776</v>
      </c>
      <c r="B30" s="31" t="n">
        <v>2.232</v>
      </c>
      <c r="C30" s="31" t="n">
        <v>6.54</v>
      </c>
      <c r="D30" s="31" t="n">
        <v>5.643</v>
      </c>
      <c r="E30" s="31" t="n"/>
      <c r="F30" s="31" t="n">
        <v>1714.05</v>
      </c>
      <c r="G30" s="32" t="n">
        <v>7.375</v>
      </c>
      <c r="H30" s="32" t="n">
        <v>353.98</v>
      </c>
    </row>
    <row r="31">
      <c r="A31" s="30" t="n">
        <v>38807</v>
      </c>
      <c r="B31" s="31" t="n">
        <v>2.262</v>
      </c>
      <c r="C31" s="31" t="n">
        <v>6.781</v>
      </c>
      <c r="D31" s="31" t="n">
        <v>6.682</v>
      </c>
      <c r="E31" s="31" t="n"/>
      <c r="F31" s="31" t="n">
        <v>1800.58</v>
      </c>
      <c r="G31" s="32" t="n">
        <v>8.625</v>
      </c>
      <c r="H31" s="32" t="n">
        <v>344.37</v>
      </c>
    </row>
    <row r="32">
      <c r="A32" s="30" t="n">
        <v>38837</v>
      </c>
      <c r="B32" s="31" t="n">
        <v>2.142</v>
      </c>
      <c r="C32" s="31" t="n">
        <v>7.554</v>
      </c>
      <c r="D32" s="31" t="n">
        <v>6.798</v>
      </c>
      <c r="E32" s="31" t="n"/>
      <c r="F32" s="31" t="n">
        <v>1908.61</v>
      </c>
      <c r="G32" s="32" t="n">
        <v>9</v>
      </c>
      <c r="H32" s="32" t="n">
        <v>313.66</v>
      </c>
    </row>
    <row r="33">
      <c r="A33" s="30" t="n">
        <v>38868</v>
      </c>
      <c r="B33" s="31" t="n">
        <v>1.983</v>
      </c>
      <c r="C33" s="31" t="n">
        <v>6.971</v>
      </c>
      <c r="D33" s="31" t="n">
        <v>6.429</v>
      </c>
      <c r="E33" s="31" t="n"/>
      <c r="F33" s="31" t="n">
        <v>1653.72</v>
      </c>
      <c r="G33" s="32" t="n">
        <v>8.9375</v>
      </c>
      <c r="H33" s="32" t="n">
        <v>368.89</v>
      </c>
    </row>
    <row r="34">
      <c r="A34" s="30" t="n">
        <v>38898</v>
      </c>
      <c r="B34" s="31" t="n">
        <v>1.863</v>
      </c>
      <c r="C34" s="31" t="n">
        <v>6.391</v>
      </c>
      <c r="D34" s="31" t="n">
        <v>6.113</v>
      </c>
      <c r="E34" s="31" t="n"/>
      <c r="F34" s="31" t="n">
        <v>1711.09</v>
      </c>
      <c r="G34" s="32" t="n">
        <v>9.125</v>
      </c>
      <c r="H34" s="32" t="n">
        <v>384.65</v>
      </c>
    </row>
    <row r="35">
      <c r="A35" s="30" t="n">
        <v>38929</v>
      </c>
      <c r="B35" s="31" t="n">
        <v>1.744</v>
      </c>
      <c r="C35" s="31" t="n">
        <v>6.616</v>
      </c>
      <c r="D35" s="31" t="n">
        <v>6.093</v>
      </c>
      <c r="E35" s="31" t="n"/>
      <c r="F35" s="31" t="n">
        <v>1701.58</v>
      </c>
      <c r="G35" s="32" t="n">
        <v>9.4375</v>
      </c>
      <c r="H35" s="32" t="n">
        <v>346.13</v>
      </c>
    </row>
    <row r="36">
      <c r="A36" s="30" t="n">
        <v>38960</v>
      </c>
      <c r="B36" s="31" t="n">
        <v>1.873</v>
      </c>
      <c r="C36" s="31" t="n">
        <v>6.608</v>
      </c>
      <c r="D36" s="31" t="n">
        <v>6.163</v>
      </c>
      <c r="E36" s="31" t="n"/>
      <c r="F36" s="31" t="n">
        <v>1662.84</v>
      </c>
      <c r="G36" s="32" t="n">
        <v>9.4375</v>
      </c>
      <c r="H36" s="32" t="n">
        <v>320.49</v>
      </c>
    </row>
    <row r="37">
      <c r="A37" s="30" t="n">
        <v>38990</v>
      </c>
      <c r="B37" s="31" t="n">
        <v>2.003</v>
      </c>
      <c r="C37" s="31" t="n">
        <v>6.703</v>
      </c>
      <c r="D37" s="31" t="n">
        <v>6.537</v>
      </c>
      <c r="E37" s="31" t="n"/>
      <c r="F37" s="31" t="n">
        <v>1637.27</v>
      </c>
      <c r="G37" s="32" t="n">
        <v>9.5</v>
      </c>
      <c r="H37" s="32" t="n">
        <v>341.98</v>
      </c>
    </row>
    <row r="38">
      <c r="A38" s="30" t="n">
        <v>39021</v>
      </c>
      <c r="B38" s="31" t="n">
        <v>2.402</v>
      </c>
      <c r="C38" s="31" t="n">
        <v>7.439</v>
      </c>
      <c r="D38" s="31" t="n">
        <v>6.843</v>
      </c>
      <c r="E38" s="31" t="n"/>
      <c r="F38" s="31" t="n">
        <v>1781.68</v>
      </c>
      <c r="G38" s="32" t="n">
        <v>9.5625</v>
      </c>
      <c r="H38" s="32" t="n">
        <v>293.81</v>
      </c>
    </row>
    <row r="39">
      <c r="A39" s="30" t="n">
        <v>39051</v>
      </c>
      <c r="B39" s="31" t="n">
        <v>2.441</v>
      </c>
      <c r="C39" s="31" t="n">
        <v>8.061999999999999</v>
      </c>
      <c r="D39" s="31" t="n">
        <v>8.381</v>
      </c>
      <c r="E39" s="31" t="n"/>
      <c r="F39" s="31" t="n">
        <v>1967.02</v>
      </c>
      <c r="G39" s="32" t="n">
        <v>9.75</v>
      </c>
      <c r="H39" s="32" t="n">
        <v>297.92</v>
      </c>
    </row>
    <row r="40">
      <c r="A40" s="30" t="n">
        <v>39082</v>
      </c>
      <c r="B40" s="31" t="n">
        <v>2.85</v>
      </c>
      <c r="C40" s="31" t="n">
        <v>8.314</v>
      </c>
      <c r="D40" s="31" t="n">
        <v>8.923</v>
      </c>
      <c r="E40" s="31" t="n"/>
      <c r="F40" s="31" t="n">
        <v>2090.46</v>
      </c>
      <c r="G40" s="32" t="n">
        <v>9.875</v>
      </c>
      <c r="H40" s="32" t="n">
        <v>215.74</v>
      </c>
    </row>
    <row r="41">
      <c r="A41" s="30" t="n">
        <v>39113</v>
      </c>
      <c r="B41" s="31" t="n">
        <v>2.75</v>
      </c>
      <c r="C41" s="31" t="n">
        <v>9.699</v>
      </c>
      <c r="D41" s="31" t="n">
        <v>10.008</v>
      </c>
      <c r="E41" s="31" t="n"/>
      <c r="F41" s="31" t="n">
        <v>2070.64</v>
      </c>
      <c r="G41" s="32" t="n">
        <v>8.9375</v>
      </c>
      <c r="H41" s="32" t="n">
        <v>192.83</v>
      </c>
    </row>
    <row r="42">
      <c r="A42" s="30" t="n">
        <v>39141</v>
      </c>
      <c r="B42" s="31" t="n">
        <v>3.089</v>
      </c>
      <c r="C42" s="31" t="n">
        <v>10.349</v>
      </c>
      <c r="D42" s="31" t="n">
        <v>10.107</v>
      </c>
      <c r="E42" s="31" t="n"/>
      <c r="F42" s="31" t="n">
        <v>2067.64</v>
      </c>
      <c r="G42" s="32" t="n">
        <v>8</v>
      </c>
      <c r="H42" s="32" t="n">
        <v>228.25</v>
      </c>
    </row>
    <row r="43">
      <c r="A43" s="30" t="n">
        <v>39172</v>
      </c>
      <c r="B43" s="31" t="n">
        <v>3.229</v>
      </c>
      <c r="C43" s="31" t="n">
        <v>11.041</v>
      </c>
      <c r="D43" s="31" t="n">
        <v>10.353</v>
      </c>
      <c r="E43" s="31" t="n"/>
      <c r="F43" s="31" t="n">
        <v>2102.78</v>
      </c>
      <c r="G43" s="32" t="n">
        <v>8.3125</v>
      </c>
      <c r="H43" s="32" t="n">
        <v>204.38</v>
      </c>
    </row>
    <row r="44">
      <c r="A44" s="30" t="n">
        <v>39202</v>
      </c>
      <c r="B44" s="31" t="n">
        <v>3.189</v>
      </c>
      <c r="C44" s="31" t="n">
        <v>10.392</v>
      </c>
      <c r="D44" s="31" t="n">
        <v>10.846</v>
      </c>
      <c r="E44" s="31" t="n"/>
      <c r="F44" s="31" t="n">
        <v>2154.55</v>
      </c>
      <c r="G44" s="32" t="n">
        <v>7.6875</v>
      </c>
      <c r="H44" s="32" t="n">
        <v>272.08</v>
      </c>
    </row>
    <row r="45">
      <c r="A45" s="30" t="n">
        <v>39233</v>
      </c>
      <c r="B45" s="31" t="n">
        <v>3.259</v>
      </c>
      <c r="C45" s="31" t="n">
        <v>10.646</v>
      </c>
      <c r="D45" s="31" t="n">
        <v>10.938</v>
      </c>
      <c r="E45" s="31" t="n"/>
      <c r="F45" s="31" t="n">
        <v>2243.03</v>
      </c>
      <c r="G45" s="32" t="n">
        <v>7.75</v>
      </c>
      <c r="H45" s="32" t="n">
        <v>277</v>
      </c>
    </row>
    <row r="46">
      <c r="A46" s="30" t="n">
        <v>39263</v>
      </c>
      <c r="B46" s="31" t="n">
        <v>2.97</v>
      </c>
      <c r="C46" s="31" t="n">
        <v>9.678000000000001</v>
      </c>
      <c r="D46" s="31" t="n">
        <v>10.039</v>
      </c>
      <c r="E46" s="31" t="n"/>
      <c r="F46" s="31" t="n">
        <v>2190.87</v>
      </c>
      <c r="G46" s="32" t="n">
        <v>8.1875</v>
      </c>
      <c r="H46" s="32" t="n">
        <v>325</v>
      </c>
    </row>
    <row r="47">
      <c r="A47" s="30" t="n">
        <v>39294</v>
      </c>
      <c r="B47" s="31" t="n">
        <v>2.84</v>
      </c>
      <c r="C47" s="31" t="n">
        <v>9.326000000000001</v>
      </c>
      <c r="D47" s="31" t="n">
        <v>9.130000000000001</v>
      </c>
      <c r="E47" s="31" t="n"/>
      <c r="F47" s="31" t="n">
        <v>2180.25</v>
      </c>
      <c r="G47" s="32" t="n">
        <v>9.9375</v>
      </c>
      <c r="H47" s="32" t="n">
        <v>449</v>
      </c>
    </row>
    <row r="48">
      <c r="A48" s="30" t="n">
        <v>39325</v>
      </c>
      <c r="B48" s="31" t="n">
        <v>2.561</v>
      </c>
      <c r="C48" s="31" t="n">
        <v>8.534000000000001</v>
      </c>
      <c r="D48" s="31" t="n">
        <v>8.67</v>
      </c>
      <c r="E48" s="31" t="n"/>
      <c r="F48" s="31" t="n">
        <v>2062.08</v>
      </c>
      <c r="G48" s="32" t="n">
        <v>11.5</v>
      </c>
      <c r="H48" s="32" t="n">
        <v>450</v>
      </c>
    </row>
    <row r="49">
      <c r="A49" s="30" t="n">
        <v>39355</v>
      </c>
      <c r="B49" s="31" t="n">
        <v>2.491</v>
      </c>
      <c r="C49" s="31" t="n">
        <v>8.093999999999999</v>
      </c>
      <c r="D49" s="31" t="n">
        <v>9.19</v>
      </c>
      <c r="E49" s="31" t="n"/>
      <c r="F49" s="31" t="n">
        <v>2187.97</v>
      </c>
      <c r="G49" s="32" t="n">
        <v>11.75</v>
      </c>
      <c r="H49" s="32" t="n">
        <v>398</v>
      </c>
    </row>
    <row r="50">
      <c r="A50" s="30" t="n">
        <v>39386</v>
      </c>
      <c r="B50" s="31" t="n">
        <v>2.511</v>
      </c>
      <c r="C50" s="31" t="n">
        <v>8.798</v>
      </c>
      <c r="D50" s="31" t="n">
        <v>8.789999999999999</v>
      </c>
      <c r="E50" s="31" t="n"/>
      <c r="F50" s="31" t="n">
        <v>2351.44</v>
      </c>
      <c r="G50" s="32" t="n">
        <v>13.375</v>
      </c>
      <c r="H50" s="32" t="n">
        <v>312</v>
      </c>
    </row>
    <row r="51">
      <c r="A51" s="30" t="n">
        <v>39416</v>
      </c>
      <c r="B51" s="31" t="n">
        <v>2.302</v>
      </c>
      <c r="C51" s="31" t="n">
        <v>7.831</v>
      </c>
      <c r="D51" s="31" t="n">
        <v>7.741</v>
      </c>
      <c r="E51" s="31" t="n"/>
      <c r="F51" s="31" t="n">
        <v>2207.16</v>
      </c>
      <c r="G51" s="32" t="n">
        <v>13.8125</v>
      </c>
      <c r="H51" s="32" t="n">
        <v>401</v>
      </c>
    </row>
    <row r="52">
      <c r="A52" s="30" t="n">
        <v>39447</v>
      </c>
      <c r="B52" s="31" t="n">
        <v>2.292</v>
      </c>
      <c r="C52" s="31" t="n">
        <v>7.435</v>
      </c>
      <c r="D52" s="31" t="n">
        <v>7.691</v>
      </c>
      <c r="E52" s="31" t="n"/>
      <c r="F52" s="31" t="n">
        <v>2151.73</v>
      </c>
      <c r="G52" s="32" t="n">
        <v>13.625</v>
      </c>
      <c r="H52" s="32" t="n">
        <v>410</v>
      </c>
    </row>
    <row r="53">
      <c r="A53" s="30" t="n">
        <v>39478</v>
      </c>
      <c r="B53" s="31" t="n">
        <v>2.023</v>
      </c>
      <c r="C53" s="31" t="n">
        <v>6.863</v>
      </c>
      <c r="D53" s="31" t="n">
        <v>7.521</v>
      </c>
      <c r="E53" s="31" t="n"/>
      <c r="F53" s="31" t="n">
        <v>2007.27</v>
      </c>
      <c r="G53" s="32" t="n">
        <v>8.75</v>
      </c>
      <c r="H53" s="32" t="n">
        <v>466</v>
      </c>
    </row>
    <row r="54">
      <c r="A54" s="30" t="n">
        <v>39507</v>
      </c>
      <c r="B54" s="31" t="n">
        <v>2.322</v>
      </c>
      <c r="C54" s="31" t="n">
        <v>7.479</v>
      </c>
      <c r="D54" s="31" t="n">
        <v>7.691</v>
      </c>
      <c r="E54" s="31" t="n"/>
      <c r="F54" s="31" t="n">
        <v>2162.2</v>
      </c>
      <c r="G54" s="32" t="n">
        <v>8.875</v>
      </c>
      <c r="H54" s="32" t="n">
        <v>503</v>
      </c>
    </row>
    <row r="55">
      <c r="A55" s="30" t="n">
        <v>39538</v>
      </c>
      <c r="B55" s="31" t="n">
        <v>2.073</v>
      </c>
      <c r="C55" s="31" t="n">
        <v>6.863</v>
      </c>
      <c r="D55" s="31" t="n">
        <v>8.131</v>
      </c>
      <c r="E55" s="31" t="n"/>
      <c r="F55" s="31" t="n">
        <v>2103.72</v>
      </c>
      <c r="G55" s="32" t="n">
        <v>8.3125</v>
      </c>
      <c r="H55" s="32" t="n">
        <v>581</v>
      </c>
    </row>
    <row r="56">
      <c r="A56" s="30" t="n">
        <v>39568</v>
      </c>
      <c r="B56" s="31" t="n">
        <v>1.993</v>
      </c>
      <c r="C56" s="31" t="n">
        <v>6.38</v>
      </c>
      <c r="D56" s="31" t="n">
        <v>7.262</v>
      </c>
      <c r="E56" s="31" t="n"/>
      <c r="F56" s="31" t="n">
        <v>2095.53</v>
      </c>
      <c r="G56" s="32" t="n">
        <v>9.75</v>
      </c>
      <c r="H56" s="32" t="n">
        <v>563</v>
      </c>
    </row>
    <row r="57">
      <c r="A57" s="30" t="n">
        <v>39599</v>
      </c>
      <c r="B57" s="31" t="n">
        <v>1.774</v>
      </c>
      <c r="C57" s="31" t="n">
        <v>5.927</v>
      </c>
      <c r="D57" s="31" t="n">
        <v>7.555</v>
      </c>
      <c r="E57" s="31" t="n"/>
      <c r="F57" s="31" t="n">
        <v>2205.72</v>
      </c>
      <c r="G57" s="32" t="n">
        <v>16.9375</v>
      </c>
      <c r="H57" s="32" t="n">
        <v>535</v>
      </c>
    </row>
    <row r="58">
      <c r="A58" s="30" t="n">
        <v>39629</v>
      </c>
      <c r="B58" s="31" t="n">
        <v>1.565</v>
      </c>
      <c r="C58" s="31" t="n">
        <v>5.317</v>
      </c>
      <c r="D58" s="31" t="n">
        <v>5.643</v>
      </c>
      <c r="E58" s="31" t="n"/>
      <c r="F58" s="31" t="n">
        <v>2107.87</v>
      </c>
      <c r="G58" s="32" t="n">
        <v>16.25</v>
      </c>
      <c r="H58" s="32" t="n">
        <v>614</v>
      </c>
    </row>
    <row r="59">
      <c r="A59" s="30" t="n">
        <v>39660</v>
      </c>
      <c r="B59" s="31" t="n">
        <v>1.485</v>
      </c>
      <c r="C59" s="31" t="n">
        <v>5.067</v>
      </c>
      <c r="D59" s="31" t="n">
        <v>6.162</v>
      </c>
      <c r="E59" s="31" t="n"/>
      <c r="F59" s="31" t="n">
        <v>1919.82</v>
      </c>
      <c r="G59" s="32" t="n">
        <v>12.6875</v>
      </c>
      <c r="H59" s="32" t="n">
        <v>612</v>
      </c>
    </row>
    <row r="60">
      <c r="A60" s="30" t="n">
        <v>39691</v>
      </c>
      <c r="B60" s="31" t="n">
        <v>1.455</v>
      </c>
      <c r="C60" s="31" t="n">
        <v>5.289</v>
      </c>
      <c r="D60" s="31" t="n">
        <v>6.339</v>
      </c>
      <c r="E60" s="31" t="n"/>
      <c r="F60" s="31" t="n">
        <v>1777.14</v>
      </c>
      <c r="G60" s="32" t="n">
        <v>12.1875</v>
      </c>
      <c r="H60" s="32" t="n">
        <v>671</v>
      </c>
    </row>
    <row r="61">
      <c r="A61" s="30" t="n">
        <v>39721</v>
      </c>
      <c r="B61" s="31" t="n">
        <v>1.515</v>
      </c>
      <c r="C61" s="31" t="n">
        <v>4.854</v>
      </c>
      <c r="D61" s="31" t="n">
        <v>6.287</v>
      </c>
      <c r="E61" s="31" t="n"/>
      <c r="F61" s="31" t="n">
        <v>1598.17</v>
      </c>
      <c r="G61" s="32" t="n">
        <v>12.5625</v>
      </c>
      <c r="H61" s="32" t="n">
        <v>953</v>
      </c>
    </row>
    <row r="62">
      <c r="A62" s="30" t="n">
        <v>39752</v>
      </c>
      <c r="B62" s="31" t="n">
        <v>0.6879999999999999</v>
      </c>
      <c r="C62" s="31" t="n">
        <v>2.728</v>
      </c>
      <c r="D62" s="31" t="n">
        <v>2.743</v>
      </c>
      <c r="E62" s="31" t="n"/>
      <c r="F62" s="31" t="n">
        <v>1010.79</v>
      </c>
      <c r="G62" s="32" t="n">
        <v>23</v>
      </c>
      <c r="H62" s="32" t="n">
        <v>1787</v>
      </c>
    </row>
    <row r="63">
      <c r="A63" s="30" t="n">
        <v>39782</v>
      </c>
      <c r="B63" s="31" t="n">
        <v>0.694</v>
      </c>
      <c r="C63" s="31" t="n">
        <v>3.172</v>
      </c>
      <c r="D63" s="31" t="n">
        <v>3.855</v>
      </c>
      <c r="E63" s="31" t="n"/>
      <c r="F63" s="31" t="n">
        <v>993.99</v>
      </c>
      <c r="G63" s="32" t="n">
        <v>18.6875</v>
      </c>
      <c r="H63" s="32" t="n">
        <v>1722</v>
      </c>
    </row>
    <row r="64">
      <c r="A64" s="30" t="n">
        <v>39813</v>
      </c>
      <c r="B64" s="31" t="n">
        <v>0.837</v>
      </c>
      <c r="C64" s="31" t="n">
        <v>3.514</v>
      </c>
      <c r="D64" s="31" t="n">
        <v>4.157</v>
      </c>
      <c r="E64" s="31" t="n"/>
      <c r="F64" s="31" t="n">
        <v>1079.66</v>
      </c>
      <c r="G64" s="32" t="n">
        <v>19.75</v>
      </c>
      <c r="H64" s="32" t="n">
        <v>1704</v>
      </c>
    </row>
    <row r="65">
      <c r="A65" s="30" t="n">
        <v>39844</v>
      </c>
      <c r="B65" s="31" t="n">
        <v>0.733</v>
      </c>
      <c r="C65" s="31" t="n">
        <v>3.07</v>
      </c>
      <c r="D65" s="31" t="n">
        <v>3.897</v>
      </c>
      <c r="E65" s="31" t="n"/>
      <c r="F65" s="31" t="n">
        <v>1077.09</v>
      </c>
      <c r="G65" s="32" t="n">
        <v>13.0625</v>
      </c>
      <c r="H65" s="32" t="n">
        <v>1495</v>
      </c>
    </row>
    <row r="66">
      <c r="A66" s="30" t="n">
        <v>39872</v>
      </c>
      <c r="B66" s="31" t="n">
        <v>0.658</v>
      </c>
      <c r="C66" s="31" t="n">
        <v>2.543</v>
      </c>
      <c r="D66" s="31" t="n">
        <v>3.845</v>
      </c>
      <c r="E66" s="31" t="n"/>
      <c r="F66" s="31" t="n">
        <v>1019.29</v>
      </c>
      <c r="G66" s="32" t="n">
        <v>11.8125</v>
      </c>
      <c r="H66" s="32" t="n">
        <v>1727</v>
      </c>
    </row>
    <row r="67">
      <c r="A67" s="30" t="n">
        <v>39903</v>
      </c>
      <c r="B67" s="31" t="n">
        <v>0.697</v>
      </c>
      <c r="C67" s="31" t="n">
        <v>3.079</v>
      </c>
      <c r="D67" s="31" t="n">
        <v>4.001</v>
      </c>
      <c r="E67" s="31" t="n"/>
      <c r="F67" s="31" t="n">
        <v>1125.95</v>
      </c>
      <c r="G67" s="32" t="n">
        <v>12.375</v>
      </c>
      <c r="H67" s="32" t="n">
        <v>1894</v>
      </c>
    </row>
    <row r="68">
      <c r="A68" s="30" t="n">
        <v>39933</v>
      </c>
      <c r="B68" s="31" t="n">
        <v>0.727</v>
      </c>
      <c r="C68" s="31" t="n">
        <v>3.514</v>
      </c>
      <c r="D68" s="31" t="n">
        <v>4.365</v>
      </c>
      <c r="E68" s="31" t="n"/>
      <c r="F68" s="31" t="n">
        <v>1275.25</v>
      </c>
      <c r="G68" s="32" t="n">
        <v>12.75</v>
      </c>
      <c r="H68" s="32" t="n">
        <v>1766</v>
      </c>
    </row>
    <row r="69">
      <c r="A69" s="30" t="n">
        <v>39964</v>
      </c>
      <c r="B69" s="31" t="n">
        <v>1.036</v>
      </c>
      <c r="C69" s="31" t="n">
        <v>4.993</v>
      </c>
      <c r="D69" s="31" t="n">
        <v>5.404</v>
      </c>
      <c r="E69" s="31" t="n"/>
      <c r="F69" s="31" t="n">
        <v>1587.21</v>
      </c>
      <c r="G69" s="32" t="n">
        <v>12.9375</v>
      </c>
      <c r="H69" s="32" t="n">
        <v>1291</v>
      </c>
    </row>
    <row r="70">
      <c r="A70" s="30" t="n">
        <v>39994</v>
      </c>
      <c r="B70" s="31" t="n">
        <v>1.276</v>
      </c>
      <c r="C70" s="31" t="n">
        <v>5.224</v>
      </c>
      <c r="D70" s="31" t="n">
        <v>6.443</v>
      </c>
      <c r="E70" s="31" t="n"/>
      <c r="F70" s="31" t="n">
        <v>1587.97</v>
      </c>
      <c r="G70" s="32" t="n">
        <v>12.9375</v>
      </c>
      <c r="H70" s="32" t="n">
        <v>1062</v>
      </c>
    </row>
    <row r="71">
      <c r="A71" s="30" t="n">
        <v>40025</v>
      </c>
      <c r="B71" s="31" t="n">
        <v>1.375</v>
      </c>
      <c r="C71" s="31" t="n">
        <v>5.455</v>
      </c>
      <c r="D71" s="31" t="n">
        <v>6.713</v>
      </c>
      <c r="E71" s="31" t="n"/>
      <c r="F71" s="31" t="n">
        <v>1719.87</v>
      </c>
      <c r="G71" s="32" t="n">
        <v>13.1875</v>
      </c>
      <c r="H71" s="32" t="n">
        <v>962</v>
      </c>
    </row>
    <row r="72">
      <c r="A72" s="30" t="n">
        <v>40056</v>
      </c>
      <c r="B72" s="31" t="n">
        <v>1.535</v>
      </c>
      <c r="C72" s="31" t="n">
        <v>6.38</v>
      </c>
      <c r="D72" s="31" t="n">
        <v>9.124000000000001</v>
      </c>
      <c r="E72" s="31" t="n"/>
      <c r="F72" s="31" t="n">
        <v>1781.89</v>
      </c>
      <c r="G72" s="32" t="n">
        <v>12.5</v>
      </c>
      <c r="H72" s="32" t="n">
        <v>957</v>
      </c>
    </row>
    <row r="73">
      <c r="A73" s="30" t="n">
        <v>40086</v>
      </c>
      <c r="B73" s="31" t="n">
        <v>1.804</v>
      </c>
      <c r="C73" s="31" t="n">
        <v>7.35</v>
      </c>
      <c r="D73" s="31" t="n">
        <v>9.800000000000001</v>
      </c>
      <c r="E73" s="31" t="n"/>
      <c r="F73" s="31" t="n">
        <v>2075.14</v>
      </c>
      <c r="G73" s="32" t="n">
        <v>12.1875</v>
      </c>
      <c r="H73" s="32" t="n">
        <v>784</v>
      </c>
    </row>
    <row r="74">
      <c r="A74" s="30" t="n">
        <v>40117</v>
      </c>
      <c r="B74" s="31" t="n">
        <v>2.182</v>
      </c>
      <c r="C74" s="31" t="n">
        <v>8.231</v>
      </c>
      <c r="D74" s="31" t="n">
        <v>11.863</v>
      </c>
      <c r="E74" s="31" t="n"/>
      <c r="F74" s="31" t="n">
        <v>2115.76</v>
      </c>
      <c r="G74" s="32" t="n">
        <v>11.375</v>
      </c>
      <c r="H74" s="32" t="n">
        <v>721</v>
      </c>
    </row>
    <row r="75">
      <c r="A75" s="30" t="n">
        <v>40147</v>
      </c>
      <c r="B75" s="31" t="n">
        <v>1.963</v>
      </c>
      <c r="C75" s="31" t="n">
        <v>8.295</v>
      </c>
      <c r="D75" s="31" t="n">
        <v>11.222</v>
      </c>
      <c r="E75" s="31" t="n"/>
      <c r="F75" s="31" t="n">
        <v>2147.25</v>
      </c>
      <c r="G75" s="32" t="n">
        <v>10.0625</v>
      </c>
      <c r="H75" s="32" t="n">
        <v>766</v>
      </c>
    </row>
    <row r="76">
      <c r="A76" s="30" t="n">
        <v>40178</v>
      </c>
      <c r="B76" s="31" t="n">
        <v>2.142</v>
      </c>
      <c r="C76" s="31" t="n">
        <v>8.603</v>
      </c>
      <c r="D76" s="31" t="n">
        <v>11.489</v>
      </c>
      <c r="E76" s="31" t="n"/>
      <c r="F76" s="31" t="n">
        <v>2320.73</v>
      </c>
      <c r="G76" s="32" t="n">
        <v>10</v>
      </c>
      <c r="H76" s="32" t="n">
        <v>660</v>
      </c>
    </row>
    <row r="77">
      <c r="A77" s="30" t="n">
        <v>40209</v>
      </c>
      <c r="B77" s="31" t="n">
        <v>2.033</v>
      </c>
      <c r="C77" s="31" t="n">
        <v>9.028</v>
      </c>
      <c r="D77" s="31" t="n">
        <v>11.489</v>
      </c>
      <c r="E77" s="31" t="n"/>
      <c r="F77" s="31" t="n">
        <v>2298.55</v>
      </c>
      <c r="G77" s="32" t="n">
        <v>9.75</v>
      </c>
      <c r="H77" s="32" t="n">
        <v>753</v>
      </c>
    </row>
    <row r="78">
      <c r="A78" s="30" t="n">
        <v>40237</v>
      </c>
      <c r="B78" s="31" t="n">
        <v>1.893</v>
      </c>
      <c r="C78" s="31" t="n">
        <v>8.337999999999999</v>
      </c>
      <c r="D78" s="31" t="n">
        <v>10.954</v>
      </c>
      <c r="E78" s="31" t="n"/>
      <c r="F78" s="31" t="n">
        <v>2221.38</v>
      </c>
      <c r="G78" s="32" t="n">
        <v>9.5</v>
      </c>
      <c r="H78" s="32" t="n">
        <v>806</v>
      </c>
    </row>
    <row r="79">
      <c r="A79" s="30" t="n">
        <v>40268</v>
      </c>
      <c r="B79" s="31" t="n">
        <v>2.292</v>
      </c>
      <c r="C79" s="31" t="n">
        <v>10.09</v>
      </c>
      <c r="D79" s="31" t="n">
        <v>12.077</v>
      </c>
      <c r="E79" s="31" t="n"/>
      <c r="F79" s="31" t="n">
        <v>2373.71</v>
      </c>
      <c r="G79" s="32" t="n">
        <v>9.375</v>
      </c>
      <c r="H79" s="32" t="n">
        <v>646</v>
      </c>
    </row>
    <row r="80">
      <c r="A80" s="30" t="n">
        <v>40298</v>
      </c>
      <c r="B80" s="31" t="n">
        <v>2.342</v>
      </c>
      <c r="C80" s="31" t="n">
        <v>9.664999999999999</v>
      </c>
      <c r="D80" s="31" t="n">
        <v>11.649</v>
      </c>
      <c r="E80" s="31" t="n"/>
      <c r="F80" s="31" t="n">
        <v>2396.27</v>
      </c>
      <c r="G80" s="32" t="n">
        <v>9.25</v>
      </c>
      <c r="H80" s="32" t="n">
        <v>659</v>
      </c>
    </row>
    <row r="81">
      <c r="A81" s="30" t="n">
        <v>40329</v>
      </c>
      <c r="B81" s="31" t="n">
        <v>2.172</v>
      </c>
      <c r="C81" s="31" t="n">
        <v>8.646000000000001</v>
      </c>
      <c r="D81" s="31" t="n">
        <v>11.435</v>
      </c>
      <c r="E81" s="31" t="n"/>
      <c r="F81" s="31" t="n">
        <v>2203.6</v>
      </c>
      <c r="G81" s="32" t="n">
        <v>9.75</v>
      </c>
      <c r="H81" s="32" t="n">
        <v>807</v>
      </c>
    </row>
    <row r="82">
      <c r="A82" s="30" t="n">
        <v>40359</v>
      </c>
      <c r="B82" s="31" t="n">
        <v>2.282</v>
      </c>
      <c r="C82" s="31" t="n">
        <v>10.009</v>
      </c>
      <c r="D82" s="31" t="n">
        <v>12.773</v>
      </c>
      <c r="E82" s="31" t="n"/>
      <c r="F82" s="31" t="n">
        <v>2185.01</v>
      </c>
      <c r="G82" s="32" t="n">
        <v>10.3125</v>
      </c>
      <c r="H82" s="32" t="n">
        <v>821</v>
      </c>
    </row>
    <row r="83">
      <c r="A83" s="30" t="n">
        <v>40390</v>
      </c>
      <c r="B83" s="31" t="n">
        <v>2.491</v>
      </c>
      <c r="C83" s="31" t="n">
        <v>12.259</v>
      </c>
      <c r="D83" s="31" t="n">
        <v>15.801</v>
      </c>
      <c r="E83" s="31" t="n"/>
      <c r="F83" s="31" t="n">
        <v>2394.16</v>
      </c>
      <c r="G83" s="32" t="n">
        <v>10.4375</v>
      </c>
      <c r="H83" s="32" t="n">
        <v>707</v>
      </c>
    </row>
    <row r="84">
      <c r="A84" s="30" t="n">
        <v>40421</v>
      </c>
      <c r="B84" s="31" t="n">
        <v>3.209</v>
      </c>
      <c r="C84" s="31" t="n">
        <v>12.614</v>
      </c>
      <c r="D84" s="31" t="n">
        <v>16.462</v>
      </c>
      <c r="E84" s="31" t="n"/>
      <c r="F84" s="31" t="n">
        <v>2336.89</v>
      </c>
      <c r="G84" s="32" t="n">
        <v>10.375</v>
      </c>
      <c r="H84" s="32" t="n">
        <v>760</v>
      </c>
    </row>
    <row r="85">
      <c r="A85" s="30" t="n">
        <v>40451</v>
      </c>
      <c r="B85" s="31" t="n">
        <v>3.946</v>
      </c>
      <c r="C85" s="31" t="n">
        <v>15.516</v>
      </c>
      <c r="D85" s="31" t="n">
        <v>19.82</v>
      </c>
      <c r="E85" s="31" t="n"/>
      <c r="F85" s="31" t="n">
        <v>2643.42</v>
      </c>
      <c r="G85" s="32" t="n">
        <v>10.4375</v>
      </c>
      <c r="H85" s="32" t="n">
        <v>675</v>
      </c>
    </row>
    <row r="86">
      <c r="A86" s="30" t="n">
        <v>40482</v>
      </c>
      <c r="B86" s="31" t="n">
        <v>5.132</v>
      </c>
      <c r="C86" s="31" t="n">
        <v>18.537</v>
      </c>
      <c r="D86" s="31" t="n">
        <v>21.692</v>
      </c>
      <c r="E86" s="31" t="n"/>
      <c r="F86" s="31" t="n">
        <v>3007.41</v>
      </c>
      <c r="G86" s="32" t="n">
        <v>10.875</v>
      </c>
      <c r="H86" s="32" t="n">
        <v>528</v>
      </c>
    </row>
    <row r="87">
      <c r="A87" s="30" t="n">
        <v>40512</v>
      </c>
      <c r="B87" s="31" t="n">
        <v>6.128</v>
      </c>
      <c r="C87" s="31" t="n">
        <v>17.648</v>
      </c>
      <c r="D87" s="31" t="n">
        <v>22.022</v>
      </c>
      <c r="E87" s="31" t="n"/>
      <c r="F87" s="31" t="n">
        <v>3261.49</v>
      </c>
      <c r="G87" s="32" t="n">
        <v>10.9375</v>
      </c>
      <c r="H87" s="32" t="n">
        <v>582</v>
      </c>
    </row>
    <row r="88">
      <c r="A88" s="30" t="n">
        <v>40543</v>
      </c>
      <c r="B88" s="31" t="n">
        <v>6.039</v>
      </c>
      <c r="C88" s="31" t="n">
        <v>18.181</v>
      </c>
      <c r="D88" s="31" t="n">
        <v>21.472</v>
      </c>
      <c r="E88" s="31" t="n"/>
      <c r="F88" s="31" t="n">
        <v>3523.59</v>
      </c>
      <c r="G88" s="32" t="n">
        <v>11.25</v>
      </c>
      <c r="H88" s="32" t="n">
        <v>496</v>
      </c>
    </row>
    <row r="89">
      <c r="A89" s="30" t="n">
        <v>40574</v>
      </c>
      <c r="B89" s="31" t="n">
        <v>6.417</v>
      </c>
      <c r="C89" s="31" t="n">
        <v>17.826</v>
      </c>
      <c r="D89" s="31" t="n">
        <v>20.701</v>
      </c>
      <c r="E89" s="31" t="n"/>
      <c r="F89" s="31" t="n">
        <v>3593.13</v>
      </c>
      <c r="G89" s="32" t="n">
        <v>11.125</v>
      </c>
      <c r="H89" s="32" t="n">
        <v>552</v>
      </c>
    </row>
    <row r="90">
      <c r="A90" s="30" t="n">
        <v>40602</v>
      </c>
      <c r="B90" s="31" t="n">
        <v>6.079</v>
      </c>
      <c r="C90" s="31" t="n">
        <v>19.425</v>
      </c>
      <c r="D90" s="31" t="n">
        <v>19.49</v>
      </c>
      <c r="E90" s="31" t="n"/>
      <c r="F90" s="31" t="n">
        <v>3455.65</v>
      </c>
      <c r="G90" s="32" t="n">
        <v>11</v>
      </c>
      <c r="H90" s="32" t="n">
        <v>580</v>
      </c>
    </row>
    <row r="91">
      <c r="A91" s="30" t="n">
        <v>40633</v>
      </c>
      <c r="B91" s="31" t="n">
        <v>5.281</v>
      </c>
      <c r="C91" s="31" t="n">
        <v>18.477</v>
      </c>
      <c r="D91" s="31" t="n">
        <v>18.719</v>
      </c>
      <c r="E91" s="31" t="n"/>
      <c r="F91" s="31" t="n">
        <v>3388.03</v>
      </c>
      <c r="G91" s="32" t="n">
        <v>11.125</v>
      </c>
      <c r="H91" s="32" t="n">
        <v>539</v>
      </c>
    </row>
    <row r="92">
      <c r="A92" s="30" t="n">
        <v>40663</v>
      </c>
      <c r="B92" s="31" t="n">
        <v>5.461</v>
      </c>
      <c r="C92" s="31" t="n">
        <v>19.169</v>
      </c>
      <c r="D92" s="31" t="n">
        <v>17.508</v>
      </c>
      <c r="E92" s="31" t="n"/>
      <c r="F92" s="31" t="n">
        <v>3406.02</v>
      </c>
      <c r="G92" s="32" t="n">
        <v>10.8125</v>
      </c>
      <c r="H92" s="32" t="n">
        <v>555</v>
      </c>
    </row>
    <row r="93">
      <c r="A93" s="30" t="n">
        <v>40694</v>
      </c>
      <c r="B93" s="31" t="n">
        <v>5.15</v>
      </c>
      <c r="C93" s="31" t="n">
        <v>16.887</v>
      </c>
      <c r="D93" s="31" t="n">
        <v>15.801</v>
      </c>
      <c r="E93" s="31" t="n"/>
      <c r="F93" s="31" t="n">
        <v>3250.91</v>
      </c>
      <c r="G93" s="32" t="n">
        <v>11.3125</v>
      </c>
      <c r="H93" s="32" t="n">
        <v>592</v>
      </c>
    </row>
    <row r="94">
      <c r="A94" s="30" t="n">
        <v>40724</v>
      </c>
      <c r="B94" s="31" t="n">
        <v>5.74</v>
      </c>
      <c r="C94" s="31" t="n">
        <v>18.778</v>
      </c>
      <c r="D94" s="31" t="n">
        <v>17.673</v>
      </c>
      <c r="E94" s="31" t="n"/>
      <c r="F94" s="31" t="n">
        <v>3360.64</v>
      </c>
      <c r="G94" s="32" t="n">
        <v>11.4375</v>
      </c>
      <c r="H94" s="32" t="n">
        <v>568</v>
      </c>
    </row>
    <row r="95">
      <c r="A95" s="30" t="n">
        <v>40755</v>
      </c>
      <c r="B95" s="31" t="n">
        <v>6.04</v>
      </c>
      <c r="C95" s="31" t="n">
        <v>18.126</v>
      </c>
      <c r="D95" s="31" t="n">
        <v>16.186</v>
      </c>
      <c r="E95" s="31" t="n"/>
      <c r="F95" s="31" t="n">
        <v>3321.85</v>
      </c>
      <c r="G95" s="32" t="n">
        <v>12</v>
      </c>
      <c r="H95" s="32" t="n">
        <v>592</v>
      </c>
    </row>
    <row r="96">
      <c r="A96" s="30" t="n">
        <v>40786</v>
      </c>
      <c r="B96" s="31" t="n">
        <v>5.32</v>
      </c>
      <c r="C96" s="31" t="n">
        <v>15.257</v>
      </c>
      <c r="D96" s="31" t="n">
        <v>13.158</v>
      </c>
      <c r="E96" s="31" t="n"/>
      <c r="F96" s="31" t="n">
        <v>2964.79</v>
      </c>
      <c r="G96" s="32" t="n">
        <v>12.625</v>
      </c>
      <c r="H96" s="32" t="n">
        <v>738</v>
      </c>
    </row>
    <row r="97">
      <c r="A97" s="30" t="n">
        <v>40816</v>
      </c>
      <c r="B97" s="31" t="n">
        <v>3.93</v>
      </c>
      <c r="C97" s="31" t="n">
        <v>11.736</v>
      </c>
      <c r="D97" s="31" t="n">
        <v>10.571</v>
      </c>
      <c r="E97" s="31" t="n"/>
      <c r="F97" s="31" t="n">
        <v>2463.63</v>
      </c>
      <c r="G97" s="32" t="n">
        <v>14</v>
      </c>
      <c r="H97" s="32" t="n">
        <v>993</v>
      </c>
    </row>
    <row r="98">
      <c r="A98" s="30" t="n">
        <v>40847</v>
      </c>
      <c r="B98" s="31" t="n">
        <v>4.22</v>
      </c>
      <c r="C98" s="31" t="n">
        <v>13.888</v>
      </c>
      <c r="D98" s="31" t="n">
        <v>11.341</v>
      </c>
      <c r="E98" s="31" t="n"/>
      <c r="F98" s="31" t="n">
        <v>2905.54</v>
      </c>
      <c r="G98" s="32" t="n">
        <v>20.0625</v>
      </c>
      <c r="H98" s="32" t="n">
        <v>835</v>
      </c>
    </row>
    <row r="99">
      <c r="A99" s="30" t="n">
        <v>40877</v>
      </c>
      <c r="B99" s="31" t="n">
        <v>3.29</v>
      </c>
      <c r="C99" s="31" t="n">
        <v>10.823</v>
      </c>
      <c r="D99" s="31" t="n">
        <v>10.185</v>
      </c>
      <c r="E99" s="31" t="n"/>
      <c r="F99" s="31" t="n">
        <v>2562.85</v>
      </c>
      <c r="G99" s="32" t="n">
        <v>18.9375</v>
      </c>
      <c r="H99" s="32" t="n">
        <v>941</v>
      </c>
    </row>
    <row r="100">
      <c r="A100" s="30" t="n">
        <v>40908</v>
      </c>
      <c r="B100" s="31" t="n">
        <v>2.86</v>
      </c>
      <c r="C100" s="31" t="n">
        <v>10.367</v>
      </c>
      <c r="D100" s="31" t="n">
        <v>10.406</v>
      </c>
      <c r="E100" s="31" t="n"/>
      <c r="F100" s="31" t="n">
        <v>2462.63</v>
      </c>
      <c r="G100" s="32" t="n">
        <v>17.1875</v>
      </c>
      <c r="H100" s="32" t="n">
        <v>925</v>
      </c>
    </row>
    <row r="101">
      <c r="A101" s="30" t="n">
        <v>40939</v>
      </c>
      <c r="B101" s="31" t="n">
        <v>3.51</v>
      </c>
      <c r="C101" s="31" t="n">
        <v>12.062</v>
      </c>
      <c r="D101" s="31" t="n">
        <v>12.663</v>
      </c>
      <c r="E101" s="31" t="n"/>
      <c r="F101" s="31" t="n">
        <v>2787.17</v>
      </c>
      <c r="G101" s="32" t="n">
        <v>15.0625</v>
      </c>
      <c r="H101" s="32" t="n">
        <v>840</v>
      </c>
    </row>
    <row r="102">
      <c r="A102" s="30" t="n">
        <v>40968</v>
      </c>
      <c r="B102" s="31" t="n">
        <v>3.35</v>
      </c>
      <c r="C102" s="31" t="n">
        <v>12.649</v>
      </c>
      <c r="D102" s="31" t="n">
        <v>10.901</v>
      </c>
      <c r="E102" s="31" t="n"/>
      <c r="F102" s="31" t="n">
        <v>2648.22</v>
      </c>
      <c r="G102" s="32" t="n">
        <v>13.5</v>
      </c>
      <c r="H102" s="32" t="n">
        <v>843</v>
      </c>
    </row>
    <row r="103">
      <c r="A103" s="30" t="n">
        <v>40999</v>
      </c>
      <c r="B103" s="31" t="n">
        <v>3.4</v>
      </c>
      <c r="C103" s="31" t="n">
        <v>13.692</v>
      </c>
      <c r="D103" s="31" t="n">
        <v>11.286</v>
      </c>
      <c r="E103" s="31" t="n"/>
      <c r="F103" s="31" t="n">
        <v>2683.99</v>
      </c>
      <c r="G103" s="32" t="n">
        <v>12.25</v>
      </c>
      <c r="H103" s="32" t="n">
        <v>880</v>
      </c>
    </row>
    <row r="104">
      <c r="A104" s="30" t="n">
        <v>41029</v>
      </c>
      <c r="B104" s="31" t="n">
        <v>2.98</v>
      </c>
      <c r="C104" s="31" t="n">
        <v>11.214</v>
      </c>
      <c r="D104" s="31" t="n">
        <v>9.084</v>
      </c>
      <c r="E104" s="31" t="n"/>
      <c r="F104" s="31" t="n">
        <v>2271.86</v>
      </c>
      <c r="G104" s="32" t="n">
        <v>11.75</v>
      </c>
      <c r="H104" s="32" t="n">
        <v>962</v>
      </c>
    </row>
    <row r="105">
      <c r="A105" s="30" t="n">
        <v>41060</v>
      </c>
      <c r="B105" s="31" t="n">
        <v>2.955</v>
      </c>
      <c r="C105" s="31" t="n">
        <v>10.367</v>
      </c>
      <c r="D105" s="31" t="n">
        <v>8.864000000000001</v>
      </c>
      <c r="E105" s="31" t="n"/>
      <c r="F105" s="31" t="n">
        <v>2256.74</v>
      </c>
      <c r="G105" s="32" t="n">
        <v>11.75</v>
      </c>
      <c r="H105" s="32" t="n">
        <v>1236</v>
      </c>
    </row>
    <row r="106">
      <c r="A106" s="30" t="n">
        <v>41090</v>
      </c>
      <c r="B106" s="31" t="n">
        <v>3.055</v>
      </c>
      <c r="C106" s="31" t="n">
        <v>9.779999999999999</v>
      </c>
      <c r="D106" s="31" t="n">
        <v>9.359</v>
      </c>
      <c r="E106" s="31" t="n"/>
      <c r="F106" s="31" t="n">
        <v>2346.68</v>
      </c>
      <c r="G106" s="32" t="n">
        <v>13.625</v>
      </c>
      <c r="H106" s="32" t="n">
        <v>1088</v>
      </c>
    </row>
    <row r="107">
      <c r="A107" s="30" t="n">
        <v>41121</v>
      </c>
      <c r="B107" s="31" t="n">
        <v>3.105</v>
      </c>
      <c r="C107" s="31" t="n">
        <v>9.91</v>
      </c>
      <c r="D107" s="31" t="n">
        <v>8.962999999999999</v>
      </c>
      <c r="E107" s="31" t="n"/>
      <c r="F107" s="31" t="n">
        <v>2400.31</v>
      </c>
      <c r="G107" s="32" t="n">
        <v>13.5</v>
      </c>
      <c r="H107" s="32" t="n">
        <v>1087</v>
      </c>
    </row>
    <row r="108">
      <c r="A108" s="30" t="n">
        <v>41152</v>
      </c>
      <c r="B108" s="31" t="n">
        <v>3.246</v>
      </c>
      <c r="C108" s="31" t="n">
        <v>9.845000000000001</v>
      </c>
      <c r="D108" s="31" t="n">
        <v>9.029</v>
      </c>
      <c r="E108" s="31" t="n"/>
      <c r="F108" s="31" t="n">
        <v>2408.38</v>
      </c>
      <c r="G108" s="32" t="n">
        <v>14.4375</v>
      </c>
      <c r="H108" s="32" t="n">
        <v>1051</v>
      </c>
    </row>
    <row r="109">
      <c r="A109" s="30" t="n">
        <v>41182</v>
      </c>
      <c r="B109" s="31" t="n">
        <v>3.558</v>
      </c>
      <c r="C109" s="31" t="n">
        <v>11.084</v>
      </c>
      <c r="D109" s="31" t="n">
        <v>9.855</v>
      </c>
      <c r="E109" s="31" t="n"/>
      <c r="F109" s="31" t="n">
        <v>2451.73</v>
      </c>
      <c r="G109" s="32" t="n">
        <v>14.875</v>
      </c>
      <c r="H109" s="32" t="n">
        <v>897</v>
      </c>
    </row>
    <row r="110">
      <c r="A110" s="30" t="n">
        <v>41213</v>
      </c>
      <c r="B110" s="31" t="n">
        <v>3.367</v>
      </c>
      <c r="C110" s="31" t="n">
        <v>10.523</v>
      </c>
      <c r="D110" s="31" t="n">
        <v>9.744999999999999</v>
      </c>
      <c r="E110" s="31" t="n"/>
      <c r="F110" s="31" t="n">
        <v>2323.39</v>
      </c>
      <c r="G110" s="32" t="n">
        <v>14.875</v>
      </c>
      <c r="H110" s="32" t="n">
        <v>1066</v>
      </c>
    </row>
    <row r="111">
      <c r="A111" s="30" t="n">
        <v>41243</v>
      </c>
      <c r="B111" s="31" t="n">
        <v>3.648</v>
      </c>
      <c r="C111" s="31" t="n">
        <v>12.062</v>
      </c>
      <c r="D111" s="31" t="n">
        <v>11.011</v>
      </c>
      <c r="E111" s="31" t="n"/>
      <c r="F111" s="31" t="n">
        <v>2419.3</v>
      </c>
      <c r="G111" s="32" t="n">
        <v>15.5625</v>
      </c>
      <c r="H111" s="32" t="n">
        <v>1140</v>
      </c>
    </row>
    <row r="112">
      <c r="A112" s="30" t="n">
        <v>41274</v>
      </c>
      <c r="B112" s="31" t="n">
        <v>4.522</v>
      </c>
      <c r="C112" s="31" t="n">
        <v>14.996</v>
      </c>
      <c r="D112" s="31" t="n">
        <v>13.323</v>
      </c>
      <c r="E112" s="31" t="n"/>
      <c r="F112" s="31" t="n">
        <v>2854.29</v>
      </c>
      <c r="G112" s="32" t="n">
        <v>15.4375</v>
      </c>
      <c r="H112" s="32" t="n">
        <v>991</v>
      </c>
    </row>
    <row r="113">
      <c r="A113" s="30" t="n">
        <v>41305</v>
      </c>
      <c r="B113" s="31" t="n">
        <v>4.924</v>
      </c>
      <c r="C113" s="31" t="n">
        <v>15.648</v>
      </c>
      <c r="D113" s="31" t="n">
        <v>14.48</v>
      </c>
      <c r="E113" s="31" t="n"/>
      <c r="F113" s="31" t="n">
        <v>3462.42</v>
      </c>
      <c r="G113" s="32" t="n">
        <v>14.9375</v>
      </c>
      <c r="H113" s="32" t="n">
        <v>1102</v>
      </c>
    </row>
    <row r="114">
      <c r="A114" s="30" t="n">
        <v>41333</v>
      </c>
      <c r="B114" s="31" t="n">
        <v>4.211</v>
      </c>
      <c r="C114" s="31" t="n">
        <v>13.692</v>
      </c>
      <c r="D114" s="31" t="n">
        <v>12.773</v>
      </c>
      <c r="E114" s="31" t="n"/>
      <c r="F114" s="31" t="n">
        <v>3048.55</v>
      </c>
      <c r="G114" s="32" t="n">
        <v>13.9375</v>
      </c>
      <c r="H114" s="32" t="n">
        <v>1287</v>
      </c>
    </row>
    <row r="115">
      <c r="A115" s="30" t="n">
        <v>41364</v>
      </c>
      <c r="B115" s="31" t="n">
        <v>4.623</v>
      </c>
      <c r="C115" s="31" t="n">
        <v>15.648</v>
      </c>
      <c r="D115" s="31" t="n">
        <v>13.929</v>
      </c>
      <c r="E115" s="31" t="n"/>
      <c r="F115" s="31" t="n">
        <v>3380.78</v>
      </c>
      <c r="G115" s="32" t="n">
        <v>14.875</v>
      </c>
      <c r="H115" s="32" t="n">
        <v>1307</v>
      </c>
    </row>
    <row r="116">
      <c r="A116" s="30" t="n">
        <v>41394</v>
      </c>
      <c r="B116" s="31" t="n">
        <v>5.206</v>
      </c>
      <c r="C116" s="31" t="n">
        <v>17.8</v>
      </c>
      <c r="D116" s="31" t="n">
        <v>16.021</v>
      </c>
      <c r="E116" s="31" t="n"/>
      <c r="F116" s="31" t="n">
        <v>3845.94</v>
      </c>
      <c r="G116" s="32" t="n">
        <v>15.3125</v>
      </c>
      <c r="H116" s="32" t="n">
        <v>1210</v>
      </c>
    </row>
    <row r="117">
      <c r="A117" s="30" t="n">
        <v>41425</v>
      </c>
      <c r="B117" s="31" t="n">
        <v>4.771</v>
      </c>
      <c r="C117" s="31" t="n">
        <v>15.192</v>
      </c>
      <c r="D117" s="31" t="n">
        <v>13.929</v>
      </c>
      <c r="E117" s="31" t="n"/>
      <c r="F117" s="31" t="n">
        <v>3489.43</v>
      </c>
      <c r="G117" s="32" t="n">
        <v>16.625</v>
      </c>
      <c r="H117" s="32" t="n">
        <v>1167</v>
      </c>
    </row>
    <row r="118">
      <c r="A118" s="30" t="n">
        <v>41455</v>
      </c>
      <c r="B118" s="31" t="n">
        <v>4.035</v>
      </c>
      <c r="C118" s="31" t="n">
        <v>12.584</v>
      </c>
      <c r="D118" s="31" t="n">
        <v>12.112</v>
      </c>
      <c r="E118" s="31" t="n"/>
      <c r="F118" s="31" t="n">
        <v>2976.27</v>
      </c>
      <c r="G118" s="32" t="n">
        <v>17.125</v>
      </c>
      <c r="H118" s="32" t="n">
        <v>1199</v>
      </c>
    </row>
    <row r="119">
      <c r="A119" s="30" t="n">
        <v>41486</v>
      </c>
      <c r="B119" s="31" t="n">
        <v>4.479</v>
      </c>
      <c r="C119" s="31" t="n">
        <v>14.214</v>
      </c>
      <c r="D119" s="31" t="n">
        <v>13.764</v>
      </c>
      <c r="E119" s="31" t="n"/>
      <c r="F119" s="31" t="n">
        <v>3357.86</v>
      </c>
      <c r="G119" s="32" t="n">
        <v>17.6875</v>
      </c>
      <c r="H119" s="32" t="n">
        <v>1112</v>
      </c>
    </row>
    <row r="120">
      <c r="A120" s="30" t="n">
        <v>41517</v>
      </c>
      <c r="B120" s="31" t="n">
        <v>5.982</v>
      </c>
      <c r="C120" s="31" t="n">
        <v>18.517</v>
      </c>
      <c r="D120" s="31" t="n">
        <v>18.003</v>
      </c>
      <c r="E120" s="31" t="n"/>
      <c r="F120" s="31" t="n">
        <v>3935.89</v>
      </c>
      <c r="G120" s="32" t="n">
        <v>18.0625</v>
      </c>
      <c r="H120" s="32" t="n">
        <v>1170</v>
      </c>
    </row>
    <row r="121">
      <c r="A121" s="30" t="n">
        <v>41547</v>
      </c>
      <c r="B121" s="31" t="n">
        <v>8.574</v>
      </c>
      <c r="C121" s="31" t="n">
        <v>25.689</v>
      </c>
      <c r="D121" s="31" t="n">
        <v>23.068</v>
      </c>
      <c r="E121" s="31" t="n"/>
      <c r="F121" s="31" t="n">
        <v>4783.77</v>
      </c>
      <c r="G121" s="32" t="n">
        <v>17.1875</v>
      </c>
      <c r="H121" s="32" t="n">
        <v>1035</v>
      </c>
    </row>
    <row r="122">
      <c r="A122" s="30" t="n">
        <v>41578</v>
      </c>
      <c r="B122" s="31" t="n">
        <v>8.907</v>
      </c>
      <c r="C122" s="31" t="n">
        <v>29.079</v>
      </c>
      <c r="D122" s="31" t="n">
        <v>25.656</v>
      </c>
      <c r="E122" s="31" t="n"/>
      <c r="F122" s="31" t="n">
        <v>5165.09</v>
      </c>
      <c r="G122" s="32" t="n">
        <v>19.1875</v>
      </c>
      <c r="H122" s="32" t="n">
        <v>921</v>
      </c>
    </row>
    <row r="123">
      <c r="A123" s="30" t="n">
        <v>41608</v>
      </c>
      <c r="B123" s="31" t="n">
        <v>10.793</v>
      </c>
      <c r="C123" s="31" t="n">
        <v>33.122</v>
      </c>
      <c r="D123" s="31" t="n">
        <v>29.4</v>
      </c>
      <c r="E123" s="31" t="n"/>
      <c r="F123" s="31" t="n">
        <v>5718.68</v>
      </c>
      <c r="G123" s="32" t="n">
        <v>19.1875</v>
      </c>
      <c r="H123" s="32" t="n">
        <v>776</v>
      </c>
    </row>
    <row r="124">
      <c r="A124" s="30" t="n">
        <v>41639</v>
      </c>
      <c r="B124" s="31" t="n">
        <v>9.411</v>
      </c>
      <c r="C124" s="31" t="n">
        <v>26.536</v>
      </c>
      <c r="D124" s="31" t="n">
        <v>22.903</v>
      </c>
      <c r="E124" s="31" t="n"/>
      <c r="F124" s="31" t="n">
        <v>5391.03</v>
      </c>
      <c r="G124" s="32" t="n">
        <v>21.625</v>
      </c>
      <c r="H124" s="32" t="n">
        <v>808</v>
      </c>
    </row>
    <row r="125">
      <c r="A125" s="30" t="n">
        <v>41670</v>
      </c>
      <c r="B125" s="31" t="n">
        <v>9.542999999999999</v>
      </c>
      <c r="C125" s="31" t="n">
        <v>31.426</v>
      </c>
      <c r="D125" s="31" t="n">
        <v>24.995</v>
      </c>
      <c r="E125" s="31" t="n"/>
      <c r="F125" s="31" t="n">
        <v>6018.65</v>
      </c>
      <c r="G125" s="32" t="n">
        <v>25.375</v>
      </c>
      <c r="H125" s="32" t="n">
        <v>1085</v>
      </c>
    </row>
    <row r="126">
      <c r="A126" s="30" t="n">
        <v>41698</v>
      </c>
      <c r="B126" s="31" t="n">
        <v>10.188</v>
      </c>
      <c r="C126" s="31" t="n">
        <v>31.296</v>
      </c>
      <c r="D126" s="31" t="n">
        <v>25.876</v>
      </c>
      <c r="E126" s="31" t="n"/>
      <c r="F126" s="31" t="n">
        <v>5784.39</v>
      </c>
      <c r="G126" s="32" t="n">
        <v>26.25</v>
      </c>
      <c r="H126" s="32" t="n">
        <v>907</v>
      </c>
    </row>
    <row r="127">
      <c r="A127" s="30" t="n">
        <v>41729</v>
      </c>
      <c r="B127" s="31" t="n">
        <v>12.206</v>
      </c>
      <c r="C127" s="31" t="n">
        <v>35.599</v>
      </c>
      <c r="D127" s="31" t="n">
        <v>30.501</v>
      </c>
      <c r="E127" s="31" t="n"/>
      <c r="F127" s="31" t="n">
        <v>6373.82</v>
      </c>
      <c r="G127" s="32" t="n">
        <v>26.375</v>
      </c>
      <c r="H127" s="32" t="n">
        <v>799</v>
      </c>
    </row>
    <row r="128">
      <c r="A128" s="30" t="n">
        <v>41759</v>
      </c>
      <c r="B128" s="31" t="n">
        <v>13.416</v>
      </c>
      <c r="C128" s="31" t="n">
        <v>41.272</v>
      </c>
      <c r="D128" s="31" t="n">
        <v>32.703</v>
      </c>
      <c r="E128" s="31" t="n"/>
      <c r="F128" s="31" t="n">
        <v>6782.01</v>
      </c>
      <c r="G128" s="32" t="n">
        <v>25.8125</v>
      </c>
      <c r="H128" s="32" t="n">
        <v>786</v>
      </c>
    </row>
    <row r="129">
      <c r="A129" s="30" t="n">
        <v>41790</v>
      </c>
      <c r="B129" s="31" t="n">
        <v>14.759</v>
      </c>
      <c r="C129" s="31" t="n">
        <v>44.988</v>
      </c>
      <c r="D129" s="31" t="n">
        <v>37.823</v>
      </c>
      <c r="E129" s="31" t="n"/>
      <c r="F129" s="31" t="n">
        <v>7712.23</v>
      </c>
      <c r="G129" s="32" t="n">
        <v>24</v>
      </c>
      <c r="H129" s="32" t="n">
        <v>833</v>
      </c>
    </row>
    <row r="130">
      <c r="A130" s="30" t="n">
        <v>41820</v>
      </c>
      <c r="B130" s="31" t="n">
        <v>14.911</v>
      </c>
      <c r="C130" s="31" t="n">
        <v>51.117</v>
      </c>
      <c r="D130" s="31" t="n">
        <v>41.88</v>
      </c>
      <c r="E130" s="31" t="n"/>
      <c r="F130" s="31" t="n">
        <v>7887.33</v>
      </c>
      <c r="G130" s="32" t="n">
        <v>22.8125</v>
      </c>
      <c r="H130" s="32" t="n">
        <v>724</v>
      </c>
    </row>
    <row r="131">
      <c r="A131" s="30" t="n">
        <v>41851</v>
      </c>
      <c r="B131" s="31" t="n">
        <v>16.023</v>
      </c>
      <c r="C131" s="31" t="n">
        <v>55.491</v>
      </c>
      <c r="D131" s="31" t="n">
        <v>47.426</v>
      </c>
      <c r="E131" s="31" t="n"/>
      <c r="F131" s="31" t="n">
        <v>8187.99</v>
      </c>
      <c r="G131" s="32" t="n">
        <v>21.375</v>
      </c>
      <c r="H131" s="32" t="n">
        <v>649</v>
      </c>
    </row>
    <row r="132">
      <c r="A132" s="30" t="n">
        <v>41882</v>
      </c>
      <c r="B132" s="31" t="n">
        <v>16.427</v>
      </c>
      <c r="C132" s="31" t="n">
        <v>59.735</v>
      </c>
      <c r="D132" s="31" t="n">
        <v>51.387</v>
      </c>
      <c r="E132" s="31" t="n"/>
      <c r="F132" s="31" t="n">
        <v>9817.299999999999</v>
      </c>
      <c r="G132" s="32" t="n">
        <v>20.75</v>
      </c>
      <c r="H132" s="32" t="n">
        <v>808</v>
      </c>
    </row>
    <row r="133">
      <c r="A133" s="30" t="n">
        <v>41912</v>
      </c>
      <c r="B133" s="31" t="n">
        <v>21.229</v>
      </c>
      <c r="C133" s="31" t="n">
        <v>83.30200000000001</v>
      </c>
      <c r="D133" s="31" t="n">
        <v>63.951</v>
      </c>
      <c r="E133" s="31" t="n"/>
      <c r="F133" s="31" t="n">
        <v>12548.99</v>
      </c>
      <c r="G133" s="32" t="n">
        <v>19.875</v>
      </c>
      <c r="H133" s="32" t="n">
        <v>700</v>
      </c>
    </row>
    <row r="134">
      <c r="A134" s="30" t="n">
        <v>41943</v>
      </c>
      <c r="B134" s="31" t="n">
        <v>19.612</v>
      </c>
      <c r="C134" s="31" t="n">
        <v>76.056</v>
      </c>
      <c r="D134" s="31" t="n">
        <v>63.499</v>
      </c>
      <c r="E134" s="31" t="n"/>
      <c r="F134" s="31" t="n">
        <v>11019.43</v>
      </c>
      <c r="G134" s="32" t="n">
        <v>20.25</v>
      </c>
      <c r="H134" s="32" t="n">
        <v>703</v>
      </c>
    </row>
    <row r="135">
      <c r="A135" s="30" t="n">
        <v>41973</v>
      </c>
      <c r="B135" s="31" t="n">
        <v>19.308</v>
      </c>
      <c r="C135" s="31" t="n">
        <v>74.946</v>
      </c>
      <c r="D135" s="31" t="n">
        <v>58.858</v>
      </c>
      <c r="E135" s="31" t="n"/>
      <c r="F135" s="31" t="n">
        <v>9808.6</v>
      </c>
      <c r="G135" s="32" t="n">
        <v>20</v>
      </c>
      <c r="H135" s="32" t="n">
        <v>687</v>
      </c>
    </row>
    <row r="136">
      <c r="A136" s="30" t="n">
        <v>42004</v>
      </c>
      <c r="B136" s="31" t="n">
        <v>18.702</v>
      </c>
      <c r="C136" s="31" t="n">
        <v>69.462</v>
      </c>
      <c r="D136" s="31" t="n">
        <v>56.028</v>
      </c>
      <c r="E136" s="31" t="n"/>
      <c r="F136" s="31" t="n">
        <v>8579.02</v>
      </c>
      <c r="G136" s="32" t="n">
        <v>20.375</v>
      </c>
      <c r="H136" s="32" t="n">
        <v>719</v>
      </c>
    </row>
    <row r="137">
      <c r="A137" s="30" t="n">
        <v>42035</v>
      </c>
      <c r="B137" s="31" t="n">
        <v>20.117</v>
      </c>
      <c r="C137" s="31" t="n">
        <v>75.98999999999999</v>
      </c>
      <c r="D137" s="31" t="n">
        <v>53.425</v>
      </c>
      <c r="E137" s="31" t="n"/>
      <c r="F137" s="31" t="n">
        <v>8490.459999999999</v>
      </c>
      <c r="G137" s="32" t="n">
        <v>20.5625</v>
      </c>
      <c r="H137" s="32" t="n">
        <v>742</v>
      </c>
    </row>
    <row r="138">
      <c r="A138" s="30" t="n">
        <v>42063</v>
      </c>
      <c r="B138" s="31" t="n">
        <v>25.273</v>
      </c>
      <c r="C138" s="31" t="n">
        <v>88.786</v>
      </c>
      <c r="D138" s="31" t="n">
        <v>67.913</v>
      </c>
      <c r="E138" s="31" t="n"/>
      <c r="F138" s="31" t="n">
        <v>9601.610000000001</v>
      </c>
      <c r="G138" s="32" t="n">
        <v>20.625</v>
      </c>
      <c r="H138" s="32" t="n">
        <v>618</v>
      </c>
    </row>
    <row r="139">
      <c r="A139" s="30" t="n">
        <v>42094</v>
      </c>
      <c r="B139" s="31" t="n">
        <v>28.053</v>
      </c>
      <c r="C139" s="31" t="n">
        <v>106.413</v>
      </c>
      <c r="D139" s="31" t="n">
        <v>79.175</v>
      </c>
      <c r="E139" s="31" t="n"/>
      <c r="F139" s="31" t="n">
        <v>10837.23</v>
      </c>
      <c r="G139" s="32" t="n">
        <v>21.875</v>
      </c>
      <c r="H139" s="32" t="n">
        <v>629</v>
      </c>
    </row>
    <row r="140">
      <c r="A140" s="30" t="n">
        <v>42124</v>
      </c>
      <c r="B140" s="31" t="n">
        <v>26.486</v>
      </c>
      <c r="C140" s="31" t="n">
        <v>102.104</v>
      </c>
      <c r="D140" s="31" t="n">
        <v>74.70399999999999</v>
      </c>
      <c r="E140" s="31" t="n"/>
      <c r="F140" s="31" t="n">
        <v>12050.19</v>
      </c>
      <c r="G140" s="32" t="n">
        <v>20.5625</v>
      </c>
      <c r="H140" s="32" t="n">
        <v>603</v>
      </c>
    </row>
    <row r="141">
      <c r="A141" s="30" t="n">
        <v>42155</v>
      </c>
      <c r="B141" s="31" t="n">
        <v>23.927</v>
      </c>
      <c r="C141" s="31" t="n">
        <v>83.694</v>
      </c>
      <c r="D141" s="31" t="n">
        <v>66.78100000000001</v>
      </c>
      <c r="E141" s="31" t="n"/>
      <c r="F141" s="31" t="n">
        <v>10800.86</v>
      </c>
      <c r="G141" s="32" t="n">
        <v>20.4375</v>
      </c>
      <c r="H141" s="32" t="n">
        <v>601</v>
      </c>
    </row>
    <row r="142">
      <c r="A142" s="30" t="n">
        <v>42185</v>
      </c>
      <c r="B142" s="31" t="n">
        <v>24.941</v>
      </c>
      <c r="C142" s="31" t="n">
        <v>90.875</v>
      </c>
      <c r="D142" s="31" t="n">
        <v>67.45999999999999</v>
      </c>
      <c r="E142" s="31" t="n"/>
      <c r="F142" s="31" t="n">
        <v>11656.81</v>
      </c>
      <c r="G142" s="32" t="n">
        <v>20.8125</v>
      </c>
      <c r="H142" s="32" t="n">
        <v>631</v>
      </c>
    </row>
    <row r="143">
      <c r="A143" s="30" t="n">
        <v>42216</v>
      </c>
      <c r="B143" s="31" t="n">
        <v>25.448</v>
      </c>
      <c r="C143" s="31" t="n">
        <v>87.48</v>
      </c>
      <c r="D143" s="31" t="n">
        <v>64.291</v>
      </c>
      <c r="E143" s="31" t="n"/>
      <c r="F143" s="31" t="n">
        <v>11101.02</v>
      </c>
      <c r="G143" s="32" t="n">
        <v>21.1875</v>
      </c>
      <c r="H143" s="32" t="n">
        <v>615</v>
      </c>
    </row>
    <row r="144">
      <c r="A144" s="30" t="n">
        <v>42247</v>
      </c>
      <c r="B144" s="31" t="n">
        <v>26.817</v>
      </c>
      <c r="C144" s="31" t="n">
        <v>101.843</v>
      </c>
      <c r="D144" s="31" t="n">
        <v>71.309</v>
      </c>
      <c r="E144" s="31" t="n"/>
      <c r="F144" s="31" t="n">
        <v>11032.87</v>
      </c>
      <c r="G144" s="32" t="n">
        <v>21.125</v>
      </c>
      <c r="H144" s="32" t="n">
        <v>584</v>
      </c>
    </row>
    <row r="145">
      <c r="A145" s="30" t="n">
        <v>42277</v>
      </c>
      <c r="B145" s="31" t="n">
        <v>25.195</v>
      </c>
      <c r="C145" s="31" t="n">
        <v>94.40000000000001</v>
      </c>
      <c r="D145" s="31" t="n">
        <v>61.857</v>
      </c>
      <c r="E145" s="31" t="n"/>
      <c r="F145" s="31" t="n">
        <v>9814.620000000001</v>
      </c>
      <c r="G145" s="32" t="n">
        <v>21.125</v>
      </c>
      <c r="H145" s="32" t="n">
        <v>591</v>
      </c>
    </row>
    <row r="146">
      <c r="A146" s="30" t="n">
        <v>42308</v>
      </c>
      <c r="B146" s="31" t="n">
        <v>36.702</v>
      </c>
      <c r="C146" s="31" t="n">
        <v>136.117</v>
      </c>
      <c r="D146" s="31" t="n">
        <v>95.078</v>
      </c>
      <c r="E146" s="31" t="n"/>
      <c r="F146" s="31" t="n">
        <v>12461.25</v>
      </c>
      <c r="G146" s="32" t="n">
        <v>22.625</v>
      </c>
      <c r="H146" s="32" t="n">
        <v>489</v>
      </c>
    </row>
    <row r="147">
      <c r="A147" s="30" t="n">
        <v>42338</v>
      </c>
      <c r="B147" s="31" t="n">
        <v>37.564</v>
      </c>
      <c r="C147" s="31" t="n">
        <v>139.707</v>
      </c>
      <c r="D147" s="31" t="n">
        <v>95.92700000000001</v>
      </c>
      <c r="E147" s="31" t="n"/>
      <c r="F147" s="31" t="n">
        <v>12972.14</v>
      </c>
      <c r="G147" s="32" t="n">
        <v>23.875</v>
      </c>
      <c r="H147" s="32" t="n">
        <v>487</v>
      </c>
    </row>
    <row r="148">
      <c r="A148" s="30" t="n">
        <v>42369</v>
      </c>
      <c r="B148" s="31" t="n">
        <v>37.31</v>
      </c>
      <c r="C148" s="31" t="n">
        <v>118.816</v>
      </c>
      <c r="D148" s="31" t="n">
        <v>90.551</v>
      </c>
      <c r="E148" s="31" t="n"/>
      <c r="F148" s="31" t="n">
        <v>11675.18</v>
      </c>
      <c r="G148" s="32" t="n">
        <v>27.25</v>
      </c>
      <c r="H148" s="32" t="n">
        <v>438</v>
      </c>
    </row>
    <row r="149">
      <c r="A149" s="30" t="n">
        <v>42400</v>
      </c>
      <c r="B149" s="31" t="n">
        <v>38.831</v>
      </c>
      <c r="C149" s="31" t="n">
        <v>121.428</v>
      </c>
      <c r="D149" s="31" t="n">
        <v>100.624</v>
      </c>
      <c r="E149" s="31" t="n"/>
      <c r="F149" s="31" t="n">
        <v>11306.02</v>
      </c>
      <c r="G149" s="32" t="n">
        <v>26.3125</v>
      </c>
      <c r="H149" s="32" t="n">
        <v>502</v>
      </c>
    </row>
    <row r="150">
      <c r="A150" s="30" t="n">
        <v>42429</v>
      </c>
      <c r="B150" s="31" t="n">
        <v>47.145</v>
      </c>
      <c r="C150" s="31" t="n">
        <v>153.547</v>
      </c>
      <c r="D150" s="31" t="n">
        <v>121.394</v>
      </c>
      <c r="E150" s="31" t="n"/>
      <c r="F150" s="31" t="n">
        <v>13115.95</v>
      </c>
      <c r="G150" s="32" t="n">
        <v>26.25</v>
      </c>
      <c r="H150" s="32" t="n">
        <v>465</v>
      </c>
    </row>
    <row r="151">
      <c r="A151" s="30" t="n">
        <v>42460</v>
      </c>
      <c r="B151" s="31" t="n">
        <v>41.721</v>
      </c>
      <c r="C151" s="31" t="n">
        <v>130.214</v>
      </c>
      <c r="D151" s="31" t="n">
        <v>107.166</v>
      </c>
      <c r="E151" s="31" t="n"/>
      <c r="F151" s="31" t="n">
        <v>12992.43</v>
      </c>
      <c r="G151" s="32" t="n">
        <v>30.75</v>
      </c>
      <c r="H151" s="32" t="n">
        <v>444</v>
      </c>
    </row>
    <row r="152">
      <c r="A152" s="30" t="n">
        <v>42490</v>
      </c>
      <c r="B152" s="31" t="n">
        <v>41.366</v>
      </c>
      <c r="C152" s="31" t="n">
        <v>134.159</v>
      </c>
      <c r="D152" s="31" t="n">
        <v>103.756</v>
      </c>
      <c r="E152" s="31" t="n"/>
      <c r="F152" s="31" t="n">
        <v>13724.07</v>
      </c>
      <c r="G152" s="32" t="n">
        <v>30.5625</v>
      </c>
      <c r="H152" s="32" t="n">
        <v>544</v>
      </c>
    </row>
    <row r="153">
      <c r="A153" s="30" t="n">
        <v>42521</v>
      </c>
      <c r="B153" s="31" t="n">
        <v>40.522</v>
      </c>
      <c r="C153" s="31" t="n">
        <v>118.573</v>
      </c>
      <c r="D153" s="31" t="n">
        <v>100.006</v>
      </c>
      <c r="E153" s="31" t="n">
        <v>32.208</v>
      </c>
      <c r="F153" s="31" t="n">
        <v>12681.74</v>
      </c>
      <c r="G153" s="32" t="n">
        <v>31.25</v>
      </c>
      <c r="H153" s="32" t="n">
        <v>522</v>
      </c>
    </row>
    <row r="154">
      <c r="A154" s="30" t="n">
        <v>42551</v>
      </c>
      <c r="B154" s="31" t="n">
        <v>46.928</v>
      </c>
      <c r="C154" s="31" t="n">
        <v>137.382</v>
      </c>
      <c r="D154" s="31" t="n">
        <v>127.394</v>
      </c>
      <c r="E154" s="31" t="n">
        <v>37.792</v>
      </c>
      <c r="F154" s="31" t="n">
        <v>14683.49</v>
      </c>
      <c r="G154" s="32" t="n">
        <v>26.625</v>
      </c>
      <c r="H154" s="32" t="n">
        <v>518</v>
      </c>
    </row>
    <row r="155">
      <c r="A155" s="30" t="n">
        <v>42582</v>
      </c>
      <c r="B155" s="31" t="n">
        <v>45.606</v>
      </c>
      <c r="C155" s="31" t="n">
        <v>133.732</v>
      </c>
      <c r="D155" s="31" t="n">
        <v>128.417</v>
      </c>
      <c r="E155" s="31" t="n">
        <v>40.783</v>
      </c>
      <c r="F155" s="31" t="n">
        <v>15803.5</v>
      </c>
      <c r="G155" s="32" t="n">
        <v>25.625</v>
      </c>
      <c r="H155" s="32" t="n">
        <v>521</v>
      </c>
    </row>
    <row r="156">
      <c r="A156" s="30" t="n">
        <v>42613</v>
      </c>
      <c r="B156" s="31" t="n">
        <v>45.606</v>
      </c>
      <c r="C156" s="31" t="n">
        <v>135.537</v>
      </c>
      <c r="D156" s="31" t="n">
        <v>135.94</v>
      </c>
      <c r="E156" s="31" t="n">
        <v>41.631</v>
      </c>
      <c r="F156" s="31" t="n">
        <v>15649.47</v>
      </c>
      <c r="G156" s="32" t="n">
        <v>24</v>
      </c>
      <c r="H156" s="32" t="n">
        <v>454</v>
      </c>
    </row>
    <row r="157">
      <c r="A157" s="30" t="n">
        <v>42643</v>
      </c>
      <c r="B157" s="31" t="n">
        <v>47.792</v>
      </c>
      <c r="C157" s="31" t="n">
        <v>135.069</v>
      </c>
      <c r="D157" s="31" t="n">
        <v>136.513</v>
      </c>
      <c r="E157" s="31" t="n">
        <v>45.869</v>
      </c>
      <c r="F157" s="31" t="n">
        <v>16675.68</v>
      </c>
      <c r="G157" s="32" t="n">
        <v>22.1875</v>
      </c>
      <c r="H157" s="32" t="n">
        <v>439</v>
      </c>
    </row>
    <row r="158">
      <c r="A158" s="30" t="n">
        <v>42674</v>
      </c>
      <c r="B158" s="31" t="n">
        <v>47.894</v>
      </c>
      <c r="C158" s="31" t="n">
        <v>134.868</v>
      </c>
      <c r="D158" s="31" t="n">
        <v>131.98</v>
      </c>
      <c r="E158" s="31" t="n">
        <v>47.365</v>
      </c>
      <c r="F158" s="31" t="n">
        <v>17610.13</v>
      </c>
      <c r="G158" s="32" t="n">
        <v>21.75</v>
      </c>
      <c r="H158" s="32" t="n">
        <v>451</v>
      </c>
    </row>
    <row r="159">
      <c r="A159" s="30" t="n">
        <v>42704</v>
      </c>
      <c r="B159" s="31" t="n">
        <v>45.148</v>
      </c>
      <c r="C159" s="31" t="n">
        <v>130.388</v>
      </c>
      <c r="D159" s="31" t="n">
        <v>130.833</v>
      </c>
      <c r="E159" s="31" t="n">
        <v>45.32</v>
      </c>
      <c r="F159" s="31" t="n">
        <v>17442.4</v>
      </c>
      <c r="G159" s="32" t="n">
        <v>20.375</v>
      </c>
      <c r="H159" s="32" t="n">
        <v>515</v>
      </c>
    </row>
    <row r="160">
      <c r="A160" s="30" t="n">
        <v>42735</v>
      </c>
      <c r="B160" s="31" t="n">
        <v>43.42</v>
      </c>
      <c r="C160" s="31" t="n">
        <v>124.37</v>
      </c>
      <c r="D160" s="31" t="n">
        <v>117.864</v>
      </c>
      <c r="E160" s="31" t="n">
        <v>40.883</v>
      </c>
      <c r="F160" s="31" t="n">
        <v>16917.86</v>
      </c>
      <c r="G160" s="32" t="n">
        <v>19.875</v>
      </c>
      <c r="H160" s="32" t="n">
        <v>455</v>
      </c>
    </row>
    <row r="161">
      <c r="A161" s="30" t="n">
        <v>42766</v>
      </c>
      <c r="B161" s="31" t="n">
        <v>50.283</v>
      </c>
      <c r="C161" s="31" t="n">
        <v>130.254</v>
      </c>
      <c r="D161" s="31" t="n">
        <v>137.604</v>
      </c>
      <c r="E161" s="31" t="n">
        <v>46.168</v>
      </c>
      <c r="F161" s="31" t="n">
        <v>19062.59</v>
      </c>
      <c r="G161" s="32" t="n">
        <v>19.375</v>
      </c>
      <c r="H161" s="32" t="n">
        <v>469</v>
      </c>
    </row>
    <row r="162">
      <c r="A162" s="30" t="n">
        <v>42794</v>
      </c>
      <c r="B162" s="31" t="n">
        <v>51.554</v>
      </c>
      <c r="C162" s="31" t="n">
        <v>123.702</v>
      </c>
      <c r="D162" s="31" t="n">
        <v>142.596</v>
      </c>
      <c r="E162" s="31" t="n">
        <v>47.863</v>
      </c>
      <c r="F162" s="31" t="n">
        <v>19117.45</v>
      </c>
      <c r="G162" s="32" t="n">
        <v>20.1875</v>
      </c>
      <c r="H162" s="32" t="n">
        <v>466</v>
      </c>
    </row>
    <row r="163">
      <c r="A163" s="30" t="n">
        <v>42825</v>
      </c>
      <c r="B163" s="31" t="n">
        <v>59.893</v>
      </c>
      <c r="C163" s="31" t="n">
        <v>127.179</v>
      </c>
      <c r="D163" s="31" t="n">
        <v>153.212</v>
      </c>
      <c r="E163" s="31" t="n">
        <v>52.949</v>
      </c>
      <c r="F163" s="31" t="n">
        <v>20265.32</v>
      </c>
      <c r="G163" s="32" t="n">
        <v>19.0625</v>
      </c>
      <c r="H163" s="32" t="n">
        <v>452</v>
      </c>
    </row>
    <row r="164">
      <c r="A164" s="30" t="n">
        <v>42855</v>
      </c>
      <c r="B164" s="31" t="n">
        <v>61.723</v>
      </c>
      <c r="C164" s="31" t="n">
        <v>127.045</v>
      </c>
      <c r="D164" s="31" t="n">
        <v>154.073</v>
      </c>
      <c r="E164" s="31" t="n">
        <v>52.899</v>
      </c>
      <c r="F164" s="31" t="n">
        <v>21019.91</v>
      </c>
      <c r="G164" s="32" t="n">
        <v>20</v>
      </c>
      <c r="H164" s="32" t="n">
        <v>415</v>
      </c>
    </row>
    <row r="165">
      <c r="A165" s="30" t="n">
        <v>42886</v>
      </c>
      <c r="B165" s="31" t="n">
        <v>73.377</v>
      </c>
      <c r="C165" s="31" t="n">
        <v>144.43</v>
      </c>
      <c r="D165" s="31" t="n">
        <v>164.688</v>
      </c>
      <c r="E165" s="31" t="n">
        <v>59.232</v>
      </c>
      <c r="F165" s="31" t="n">
        <v>22348.61</v>
      </c>
      <c r="G165" s="32" t="n">
        <v>20.0625</v>
      </c>
      <c r="H165" s="32" t="n">
        <v>407</v>
      </c>
    </row>
    <row r="166">
      <c r="A166" s="30" t="n">
        <v>42916</v>
      </c>
      <c r="B166" s="31" t="n">
        <v>72.357</v>
      </c>
      <c r="C166" s="31" t="n">
        <v>140.084</v>
      </c>
      <c r="D166" s="31" t="n">
        <v>177.02</v>
      </c>
      <c r="E166" s="31" t="n">
        <v>60.204</v>
      </c>
      <c r="F166" s="31" t="n">
        <v>21912.63</v>
      </c>
      <c r="G166" s="32" t="n">
        <v>20.125</v>
      </c>
      <c r="H166" s="32" t="n">
        <v>432</v>
      </c>
    </row>
    <row r="167">
      <c r="A167" s="30" t="n">
        <v>42947</v>
      </c>
      <c r="B167" s="31" t="n">
        <v>65.881</v>
      </c>
      <c r="C167" s="31" t="n">
        <v>122.364</v>
      </c>
      <c r="D167" s="31" t="n">
        <v>178.177</v>
      </c>
      <c r="E167" s="31" t="n">
        <v>64.218</v>
      </c>
      <c r="F167" s="31" t="n">
        <v>21582.4</v>
      </c>
      <c r="G167" s="32" t="n">
        <v>20.6875</v>
      </c>
      <c r="H167" s="32" t="n">
        <v>439</v>
      </c>
    </row>
    <row r="168">
      <c r="A168" s="30" t="n">
        <v>42978</v>
      </c>
      <c r="B168" s="31" t="n">
        <v>80.771</v>
      </c>
      <c r="C168" s="31" t="n">
        <v>136.543</v>
      </c>
      <c r="D168" s="31" t="n">
        <v>211.151</v>
      </c>
      <c r="E168" s="31" t="n">
        <v>75.155</v>
      </c>
      <c r="F168" s="31" t="n">
        <v>23588.98</v>
      </c>
      <c r="G168" s="32" t="n">
        <v>21.1875</v>
      </c>
      <c r="H168" s="32" t="n">
        <v>393</v>
      </c>
    </row>
    <row r="169">
      <c r="A169" s="30" t="n">
        <v>43008</v>
      </c>
      <c r="B169" s="31" t="n">
        <v>90.96899999999999</v>
      </c>
      <c r="C169" s="31" t="n">
        <v>160.727</v>
      </c>
      <c r="D169" s="31" t="n">
        <v>235.158</v>
      </c>
      <c r="E169" s="31" t="n">
        <v>86.042</v>
      </c>
      <c r="F169" s="31" t="n">
        <v>26078.29</v>
      </c>
      <c r="G169" s="32" t="n">
        <v>21.75</v>
      </c>
      <c r="H169" s="32" t="n">
        <v>367</v>
      </c>
    </row>
    <row r="170">
      <c r="A170" s="30" t="n">
        <v>43039</v>
      </c>
      <c r="B170" s="31" t="n">
        <v>99.28100000000001</v>
      </c>
      <c r="C170" s="31" t="n">
        <v>177.099</v>
      </c>
      <c r="D170" s="31" t="n">
        <v>258.182</v>
      </c>
      <c r="E170" s="31" t="n">
        <v>95.32299999999999</v>
      </c>
      <c r="F170" s="31" t="n">
        <v>27935.28</v>
      </c>
      <c r="G170" s="32" t="n">
        <v>22.25</v>
      </c>
      <c r="H170" s="32" t="n">
        <v>361</v>
      </c>
    </row>
    <row r="171">
      <c r="A171" s="30" t="n">
        <v>43069</v>
      </c>
      <c r="B171" s="31" t="n">
        <v>101.371</v>
      </c>
      <c r="C171" s="31" t="n">
        <v>164.599</v>
      </c>
      <c r="D171" s="31" t="n">
        <v>206.002</v>
      </c>
      <c r="E171" s="31" t="n">
        <v>91.26000000000001</v>
      </c>
      <c r="F171" s="31" t="n">
        <v>26905.26</v>
      </c>
      <c r="G171" s="32" t="n">
        <v>23.3125</v>
      </c>
      <c r="H171" s="32" t="n">
        <v>357</v>
      </c>
    </row>
    <row r="172">
      <c r="A172" s="30" t="n">
        <v>43100</v>
      </c>
      <c r="B172" s="31" t="n">
        <v>126.153</v>
      </c>
      <c r="C172" s="31" t="n">
        <v>209.231</v>
      </c>
      <c r="D172" s="31" t="n">
        <v>251.067</v>
      </c>
      <c r="E172" s="31" t="n">
        <v>112.783</v>
      </c>
      <c r="F172" s="31" t="n">
        <v>30065.61</v>
      </c>
      <c r="G172" s="32" t="n">
        <v>23.25</v>
      </c>
      <c r="H172" s="32" t="n">
        <v>351</v>
      </c>
    </row>
    <row r="173">
      <c r="A173" s="30" t="n">
        <v>43131</v>
      </c>
      <c r="B173" s="31" t="n">
        <v>137.014</v>
      </c>
      <c r="C173" s="31" t="n">
        <v>225.33</v>
      </c>
      <c r="D173" s="31" t="n">
        <v>245.34</v>
      </c>
      <c r="E173" s="31" t="n">
        <v>126.078</v>
      </c>
      <c r="F173" s="31" t="n">
        <v>34938.64</v>
      </c>
      <c r="G173" s="32" t="n">
        <v>23.1875</v>
      </c>
      <c r="H173" s="32" t="n">
        <v>374</v>
      </c>
    </row>
    <row r="174">
      <c r="A174" s="30" t="n">
        <v>43159</v>
      </c>
      <c r="B174" s="31" t="n">
        <v>131.66</v>
      </c>
      <c r="C174" s="31" t="n">
        <v>216.024</v>
      </c>
      <c r="D174" s="31" t="n">
        <v>266.455</v>
      </c>
      <c r="E174" s="31" t="n">
        <v>126.228</v>
      </c>
      <c r="F174" s="31" t="n">
        <v>33010.9</v>
      </c>
      <c r="G174" s="32" t="n">
        <v>22.8125</v>
      </c>
      <c r="H174" s="32" t="n">
        <v>404</v>
      </c>
    </row>
    <row r="175">
      <c r="A175" s="30" t="n">
        <v>43190</v>
      </c>
      <c r="B175" s="31" t="n">
        <v>133.904</v>
      </c>
      <c r="C175" s="31" t="n">
        <v>205.29</v>
      </c>
      <c r="D175" s="31" t="n">
        <v>249.042</v>
      </c>
      <c r="E175" s="31" t="n">
        <v>122.566</v>
      </c>
      <c r="F175" s="31" t="n">
        <v>31114.93</v>
      </c>
      <c r="G175" s="32" t="n">
        <v>22.5625</v>
      </c>
      <c r="H175" s="32" t="n">
        <v>420</v>
      </c>
    </row>
    <row r="176">
      <c r="A176" s="30" t="n">
        <v>43220</v>
      </c>
      <c r="B176" s="31" t="n">
        <v>130.946</v>
      </c>
      <c r="C176" s="31" t="n">
        <v>203.728</v>
      </c>
      <c r="D176" s="31" t="n">
        <v>229.894</v>
      </c>
      <c r="E176" s="31" t="n">
        <v>113.886</v>
      </c>
      <c r="F176" s="31" t="n">
        <v>30006.35</v>
      </c>
      <c r="G176" s="32" t="n">
        <v>22.8125</v>
      </c>
      <c r="H176" s="32" t="n">
        <v>430</v>
      </c>
    </row>
    <row r="177">
      <c r="A177" s="30" t="n">
        <v>43251</v>
      </c>
      <c r="B177" s="31" t="n">
        <v>108.725</v>
      </c>
      <c r="C177" s="31" t="n">
        <v>164.868</v>
      </c>
      <c r="D177" s="31" t="n">
        <v>233.78</v>
      </c>
      <c r="E177" s="31" t="n">
        <v>87.148</v>
      </c>
      <c r="F177" s="31" t="n">
        <v>28558.83</v>
      </c>
      <c r="G177" s="32" t="n">
        <v>30</v>
      </c>
      <c r="H177" s="32" t="n">
        <v>524</v>
      </c>
    </row>
    <row r="178">
      <c r="A178" s="30" t="n">
        <v>43281</v>
      </c>
      <c r="B178" s="31" t="n">
        <v>97.678</v>
      </c>
      <c r="C178" s="31" t="n">
        <v>164.181</v>
      </c>
      <c r="D178" s="31" t="n">
        <v>198.692</v>
      </c>
      <c r="E178" s="31" t="n">
        <v>62.133</v>
      </c>
      <c r="F178" s="31" t="n">
        <v>26037.01</v>
      </c>
      <c r="G178" s="32" t="n">
        <v>32.6875</v>
      </c>
      <c r="H178" s="32" t="n">
        <v>610</v>
      </c>
    </row>
    <row r="179">
      <c r="A179" s="30" t="n">
        <v>43312</v>
      </c>
      <c r="B179" s="31" t="n">
        <v>100.093</v>
      </c>
      <c r="C179" s="31" t="n">
        <v>174.631</v>
      </c>
      <c r="D179" s="31" t="n">
        <v>222.718</v>
      </c>
      <c r="E179" s="31" t="n">
        <v>75.145</v>
      </c>
      <c r="F179" s="31" t="n">
        <v>29287.34</v>
      </c>
      <c r="G179" s="32" t="n">
        <v>35.1875</v>
      </c>
      <c r="H179" s="32" t="n">
        <v>558</v>
      </c>
    </row>
    <row r="180">
      <c r="A180" s="30" t="n">
        <v>43343</v>
      </c>
      <c r="B180" s="31" t="n">
        <v>88.48099999999999</v>
      </c>
      <c r="C180" s="31" t="n">
        <v>151.255</v>
      </c>
      <c r="D180" s="31" t="n">
        <v>194.291</v>
      </c>
      <c r="E180" s="31" t="n">
        <v>51.895</v>
      </c>
      <c r="F180" s="31" t="n">
        <v>29293.52</v>
      </c>
      <c r="G180" s="32" t="n">
        <v>39.4375</v>
      </c>
      <c r="H180" s="32" t="n">
        <v>771</v>
      </c>
    </row>
    <row r="181">
      <c r="A181" s="30" t="n">
        <v>43373</v>
      </c>
      <c r="B181" s="31" t="n">
        <v>108.571</v>
      </c>
      <c r="C181" s="31" t="n">
        <v>220.008</v>
      </c>
      <c r="D181" s="31" t="n">
        <v>204.639</v>
      </c>
      <c r="E181" s="31" t="n">
        <v>64.453</v>
      </c>
      <c r="F181" s="31" t="n">
        <v>33461.77</v>
      </c>
      <c r="G181" s="32" t="n">
        <v>43.3125</v>
      </c>
      <c r="H181" s="32" t="n">
        <v>623</v>
      </c>
    </row>
    <row r="182">
      <c r="A182" s="30" t="n">
        <v>43404</v>
      </c>
      <c r="B182" s="31" t="n">
        <v>85.55200000000001</v>
      </c>
      <c r="C182" s="31" t="n">
        <v>181.506</v>
      </c>
      <c r="D182" s="31" t="n">
        <v>189.534</v>
      </c>
      <c r="E182" s="31" t="n">
        <v>59.41</v>
      </c>
      <c r="F182" s="31" t="n">
        <v>29491.11</v>
      </c>
      <c r="G182" s="32" t="n">
        <v>51.5</v>
      </c>
      <c r="H182" s="32" t="n">
        <v>652</v>
      </c>
    </row>
    <row r="183">
      <c r="A183" s="30" t="n">
        <v>43434</v>
      </c>
      <c r="B183" s="31" t="n">
        <v>104.718</v>
      </c>
      <c r="C183" s="31" t="n">
        <v>206.12</v>
      </c>
      <c r="D183" s="31" t="n">
        <v>202.023</v>
      </c>
      <c r="E183" s="31" t="n">
        <v>67.07599999999999</v>
      </c>
      <c r="F183" s="31" t="n">
        <v>31482.58</v>
      </c>
      <c r="G183" s="32" t="n">
        <v>51.25</v>
      </c>
      <c r="H183" s="32" t="n">
        <v>706</v>
      </c>
    </row>
    <row r="184">
      <c r="A184" s="30" t="n">
        <v>43465</v>
      </c>
      <c r="B184" s="31" t="n">
        <v>106.156</v>
      </c>
      <c r="C184" s="31" t="n">
        <v>193.538</v>
      </c>
      <c r="D184" s="31" t="n">
        <v>195.005</v>
      </c>
      <c r="E184" s="31" t="n">
        <v>63.848</v>
      </c>
      <c r="F184" s="31" t="n">
        <v>30292.55</v>
      </c>
      <c r="G184" s="32" t="n">
        <v>49.5</v>
      </c>
      <c r="H184" s="32" t="n">
        <v>817</v>
      </c>
    </row>
    <row r="185">
      <c r="A185" s="30" t="n">
        <v>43496</v>
      </c>
      <c r="B185" s="31" t="n">
        <v>139.092</v>
      </c>
      <c r="C185" s="31" t="n">
        <v>231.008</v>
      </c>
      <c r="D185" s="31" t="n">
        <v>255.13</v>
      </c>
      <c r="E185" s="31" t="n">
        <v>78.373</v>
      </c>
      <c r="F185" s="31" t="n">
        <v>36326.92</v>
      </c>
      <c r="G185" s="32" t="n">
        <v>44.5625</v>
      </c>
      <c r="H185" s="32" t="n">
        <v>676</v>
      </c>
    </row>
    <row r="186">
      <c r="A186" s="30" t="n">
        <v>43524</v>
      </c>
      <c r="B186" s="31" t="n">
        <v>124.14</v>
      </c>
      <c r="C186" s="31" t="n">
        <v>198.694</v>
      </c>
      <c r="D186" s="31" t="n">
        <v>233.958</v>
      </c>
      <c r="E186" s="31" t="n">
        <v>69.59699999999999</v>
      </c>
      <c r="F186" s="31" t="n">
        <v>34485.8</v>
      </c>
      <c r="G186" s="32" t="n">
        <v>37.125</v>
      </c>
      <c r="H186" s="32" t="n">
        <v>697</v>
      </c>
    </row>
    <row r="187">
      <c r="A187" s="30" t="n">
        <v>43555</v>
      </c>
      <c r="B187" s="31" t="n">
        <v>113.761</v>
      </c>
      <c r="C187" s="31" t="n">
        <v>189.688</v>
      </c>
      <c r="D187" s="31" t="n">
        <v>236.397</v>
      </c>
      <c r="E187" s="31" t="n">
        <v>53.459</v>
      </c>
      <c r="F187" s="31" t="n">
        <v>33466.03</v>
      </c>
      <c r="G187" s="32" t="n">
        <v>45.6875</v>
      </c>
      <c r="H187" s="32" t="n">
        <v>774</v>
      </c>
    </row>
    <row r="188">
      <c r="A188" s="30" t="n">
        <v>43585</v>
      </c>
      <c r="B188" s="31" t="n">
        <v>99.631</v>
      </c>
      <c r="C188" s="31" t="n">
        <v>164.318</v>
      </c>
      <c r="D188" s="31" t="n">
        <v>214.69</v>
      </c>
      <c r="E188" s="31" t="n">
        <v>45.238</v>
      </c>
      <c r="F188" s="31" t="n">
        <v>29571.36</v>
      </c>
      <c r="G188" s="32" t="n">
        <v>53.375</v>
      </c>
      <c r="H188" s="32" t="n">
        <v>950</v>
      </c>
    </row>
    <row r="189">
      <c r="A189" s="30" t="n">
        <v>43616</v>
      </c>
      <c r="B189" s="31" t="n">
        <v>119.44</v>
      </c>
      <c r="C189" s="31" t="n">
        <v>190.475</v>
      </c>
      <c r="D189" s="31" t="n">
        <v>278.93</v>
      </c>
      <c r="E189" s="31" t="n">
        <v>53.549</v>
      </c>
      <c r="F189" s="31" t="n">
        <v>33949.53</v>
      </c>
      <c r="G189" s="32" t="n">
        <v>53</v>
      </c>
      <c r="H189" s="32" t="n">
        <v>985</v>
      </c>
    </row>
    <row r="190">
      <c r="A190" s="30" t="n">
        <v>43646</v>
      </c>
      <c r="B190" s="31" t="n">
        <v>157.865</v>
      </c>
      <c r="C190" s="31" t="n">
        <v>228.344</v>
      </c>
      <c r="D190" s="31" t="n">
        <v>390.016</v>
      </c>
      <c r="E190" s="31" t="n">
        <v>68.79000000000001</v>
      </c>
      <c r="F190" s="31" t="n">
        <v>41796.36</v>
      </c>
      <c r="G190" s="32" t="n">
        <v>47.5</v>
      </c>
      <c r="H190" s="32" t="n">
        <v>835</v>
      </c>
    </row>
    <row r="191">
      <c r="A191" s="30" t="n">
        <v>43677</v>
      </c>
      <c r="B191" s="31" t="n">
        <v>168.747</v>
      </c>
      <c r="C191" s="31" t="n">
        <v>241.108</v>
      </c>
      <c r="D191" s="31" t="n">
        <v>380.733</v>
      </c>
      <c r="E191" s="31" t="n">
        <v>69.506</v>
      </c>
      <c r="F191" s="31" t="n">
        <v>42057.77</v>
      </c>
      <c r="G191" s="32" t="n">
        <v>49.625</v>
      </c>
      <c r="H191" s="32" t="n">
        <v>781</v>
      </c>
    </row>
    <row r="192">
      <c r="A192" s="30" t="n">
        <v>43708</v>
      </c>
      <c r="B192" s="31" t="n">
        <v>72.008</v>
      </c>
      <c r="C192" s="31" t="n">
        <v>123.178</v>
      </c>
      <c r="D192" s="31" t="n">
        <v>183.233</v>
      </c>
      <c r="E192" s="31" t="n">
        <v>30.84</v>
      </c>
      <c r="F192" s="31" t="n">
        <v>24608.56</v>
      </c>
      <c r="G192" s="32" t="n">
        <v>58.0625</v>
      </c>
      <c r="H192" s="32" t="n">
        <v>2532</v>
      </c>
    </row>
    <row r="193">
      <c r="A193" s="30" t="n">
        <v>43738</v>
      </c>
      <c r="B193" s="31" t="n">
        <v>84.92</v>
      </c>
      <c r="C193" s="31" t="n">
        <v>132.113</v>
      </c>
      <c r="D193" s="31" t="n">
        <v>206.783</v>
      </c>
      <c r="E193" s="31" t="n">
        <v>41.478</v>
      </c>
      <c r="F193" s="31" t="n">
        <v>29066.96</v>
      </c>
      <c r="G193" s="32" t="n">
        <v>58.875</v>
      </c>
      <c r="H193" s="32" t="n">
        <v>2143</v>
      </c>
    </row>
    <row r="194">
      <c r="A194" s="30" t="n">
        <v>43769</v>
      </c>
      <c r="B194" s="31" t="n">
        <v>95.90600000000001</v>
      </c>
      <c r="C194" s="31" t="n">
        <v>134.24</v>
      </c>
      <c r="D194" s="31" t="n">
        <v>228.776</v>
      </c>
      <c r="E194" s="31" t="n">
        <v>43.882</v>
      </c>
      <c r="F194" s="31" t="n">
        <v>34995.2</v>
      </c>
      <c r="G194" s="32" t="n">
        <v>48.6875</v>
      </c>
      <c r="H194" s="32" t="n">
        <v>2278</v>
      </c>
    </row>
    <row r="195">
      <c r="A195" s="30" t="n">
        <v>43799</v>
      </c>
      <c r="B195" s="31" t="n">
        <v>103.872</v>
      </c>
      <c r="C195" s="31" t="n">
        <v>137.148</v>
      </c>
      <c r="D195" s="31" t="n">
        <v>241.174</v>
      </c>
      <c r="E195" s="31" t="n">
        <v>43.524</v>
      </c>
      <c r="F195" s="31" t="n">
        <v>34500.21</v>
      </c>
      <c r="G195" s="32" t="n">
        <v>44.1875</v>
      </c>
      <c r="H195" s="32" t="n">
        <v>2262</v>
      </c>
    </row>
    <row r="196">
      <c r="A196" s="30" t="n">
        <v>43830</v>
      </c>
      <c r="B196" s="31" t="n">
        <v>126.625</v>
      </c>
      <c r="C196" s="31" t="n">
        <v>199.269</v>
      </c>
      <c r="D196" s="31" t="n">
        <v>340.921</v>
      </c>
      <c r="E196" s="31" t="n">
        <v>57.794</v>
      </c>
      <c r="F196" s="31" t="n">
        <v>41671.41</v>
      </c>
      <c r="G196" s="32" t="n">
        <v>39.4375</v>
      </c>
      <c r="H196" s="32" t="n">
        <v>1744</v>
      </c>
    </row>
    <row r="197">
      <c r="A197" s="30" t="n">
        <v>43861</v>
      </c>
      <c r="B197" s="31" t="n">
        <v>127.25</v>
      </c>
      <c r="C197" s="31" t="n">
        <v>187.497</v>
      </c>
      <c r="D197" s="31" t="n">
        <v>328.211</v>
      </c>
      <c r="E197" s="31" t="n">
        <v>51.81</v>
      </c>
      <c r="F197" s="31" t="n">
        <v>40105.04</v>
      </c>
      <c r="G197" s="32" t="n">
        <v>34</v>
      </c>
      <c r="H197" s="32" t="n">
        <v>2068</v>
      </c>
    </row>
    <row r="198">
      <c r="A198" s="30" t="n">
        <v>43890</v>
      </c>
      <c r="B198" s="31" t="n">
        <v>106.944</v>
      </c>
      <c r="C198" s="31" t="n">
        <v>158.209</v>
      </c>
      <c r="D198" s="31" t="n">
        <v>292.699</v>
      </c>
      <c r="E198" s="31" t="n">
        <v>45.775</v>
      </c>
      <c r="F198" s="31" t="n">
        <v>34973.18</v>
      </c>
      <c r="G198" s="32" t="n">
        <v>31.8125</v>
      </c>
      <c r="H198" s="32" t="n">
        <v>2283</v>
      </c>
    </row>
    <row r="199">
      <c r="A199" s="30" t="n">
        <v>43921</v>
      </c>
      <c r="B199" s="31" t="n">
        <v>60.345</v>
      </c>
      <c r="C199" s="31" t="n">
        <v>98.712</v>
      </c>
      <c r="D199" s="31" t="n">
        <v>174.012</v>
      </c>
      <c r="E199" s="31" t="n">
        <v>29.101</v>
      </c>
      <c r="F199" s="31" t="n">
        <v>24384.24</v>
      </c>
      <c r="G199" s="32" t="n">
        <v>27.5625</v>
      </c>
      <c r="H199" s="32" t="n">
        <v>3803</v>
      </c>
    </row>
    <row r="200">
      <c r="A200" s="30" t="n">
        <v>43951</v>
      </c>
      <c r="B200" s="31" t="n">
        <v>83.983</v>
      </c>
      <c r="C200" s="31" t="n">
        <v>145.729</v>
      </c>
      <c r="D200" s="31" t="n">
        <v>230.583</v>
      </c>
      <c r="E200" s="31" t="n">
        <v>37.949</v>
      </c>
      <c r="F200" s="31" t="n">
        <v>32742.84</v>
      </c>
      <c r="G200" s="32" t="n">
        <v>18.4375</v>
      </c>
      <c r="H200" s="32" t="n">
        <v>3472</v>
      </c>
    </row>
    <row r="201">
      <c r="A201" s="30" t="n">
        <v>43982</v>
      </c>
      <c r="B201" s="31" t="n">
        <v>96.999</v>
      </c>
      <c r="C201" s="31" t="n">
        <v>178.065</v>
      </c>
      <c r="D201" s="31" t="n">
        <v>246.034</v>
      </c>
      <c r="E201" s="31" t="n">
        <v>49.171</v>
      </c>
      <c r="F201" s="31" t="n">
        <v>37824.73</v>
      </c>
      <c r="G201" s="32" t="n">
        <v>26.5625</v>
      </c>
      <c r="H201" s="32" t="n">
        <v>2627</v>
      </c>
    </row>
    <row r="202">
      <c r="A202" s="30" t="n">
        <v>44012</v>
      </c>
      <c r="B202" s="31" t="n">
        <v>107.465</v>
      </c>
      <c r="C202" s="31" t="n">
        <v>192.886</v>
      </c>
      <c r="D202" s="31" t="n">
        <v>248.464</v>
      </c>
      <c r="E202" s="31" t="n">
        <v>49.9</v>
      </c>
      <c r="F202" s="31" t="n">
        <v>38686.69</v>
      </c>
      <c r="G202" s="32" t="n">
        <v>29.6875</v>
      </c>
      <c r="H202" s="32" t="n">
        <v>2495</v>
      </c>
    </row>
    <row r="203">
      <c r="A203" s="30" t="n">
        <v>44043</v>
      </c>
      <c r="B203" s="31" t="n">
        <v>155.522</v>
      </c>
      <c r="C203" s="31" t="n">
        <v>246.71</v>
      </c>
      <c r="D203" s="31" t="n">
        <v>332.323</v>
      </c>
      <c r="E203" s="31" t="n">
        <v>74.303</v>
      </c>
      <c r="F203" s="31" t="n">
        <v>49253.62</v>
      </c>
      <c r="G203" s="32" t="n">
        <v>29.1875</v>
      </c>
      <c r="H203" s="32" t="n">
        <v>2263</v>
      </c>
    </row>
    <row r="204">
      <c r="A204" s="30" t="n">
        <v>44074</v>
      </c>
      <c r="B204" s="31" t="n">
        <v>138.861</v>
      </c>
      <c r="C204" s="31" t="n">
        <v>211.395</v>
      </c>
      <c r="D204" s="31" t="n">
        <v>302.106</v>
      </c>
      <c r="E204" s="31" t="n">
        <v>72.014</v>
      </c>
      <c r="F204" s="31" t="n">
        <v>46835.42</v>
      </c>
      <c r="G204" s="32" t="n">
        <v>29.625</v>
      </c>
      <c r="H204" s="32" t="n">
        <v>2147</v>
      </c>
    </row>
    <row r="205">
      <c r="A205" s="30" t="n">
        <v>44104</v>
      </c>
      <c r="B205" s="31" t="n">
        <v>110.276</v>
      </c>
      <c r="C205" s="31" t="n">
        <v>172.321</v>
      </c>
      <c r="D205" s="31" t="n">
        <v>258.681</v>
      </c>
      <c r="E205" s="31" t="n">
        <v>53.854</v>
      </c>
      <c r="F205" s="31" t="n">
        <v>41260.86</v>
      </c>
      <c r="G205" s="32" t="n">
        <v>29.6875</v>
      </c>
      <c r="H205" s="32" t="n">
        <v>1300</v>
      </c>
    </row>
    <row r="206">
      <c r="A206" s="30" t="n">
        <v>44135</v>
      </c>
      <c r="B206" s="31" t="n">
        <v>101.481</v>
      </c>
      <c r="C206" s="31" t="n">
        <v>177.995</v>
      </c>
      <c r="D206" s="31" t="n">
        <v>231.891</v>
      </c>
      <c r="E206" s="31" t="n">
        <v>53.854</v>
      </c>
      <c r="F206" s="31" t="n">
        <v>45290.02</v>
      </c>
      <c r="G206" s="32" t="n">
        <v>31.75</v>
      </c>
      <c r="H206" s="32" t="n">
        <v>1482</v>
      </c>
    </row>
    <row r="207">
      <c r="A207" s="30" t="n">
        <v>44165</v>
      </c>
      <c r="B207" s="31" t="n">
        <v>137.484</v>
      </c>
      <c r="C207" s="31" t="n">
        <v>243.377</v>
      </c>
      <c r="D207" s="31" t="n">
        <v>308.087</v>
      </c>
      <c r="E207" s="31" t="n">
        <v>62.648</v>
      </c>
      <c r="F207" s="31" t="n">
        <v>54572.54</v>
      </c>
      <c r="G207" s="32" t="n">
        <v>33.75</v>
      </c>
      <c r="H207" s="32" t="n">
        <v>1410</v>
      </c>
    </row>
    <row r="208">
      <c r="A208" s="30" t="n">
        <v>44196</v>
      </c>
      <c r="B208" s="31" t="n">
        <v>132.379</v>
      </c>
      <c r="C208" s="31" t="n">
        <v>220.756</v>
      </c>
      <c r="D208" s="31" t="n">
        <v>283.229</v>
      </c>
      <c r="E208" s="31" t="n">
        <v>65.041</v>
      </c>
      <c r="F208" s="31" t="n">
        <v>51226.49</v>
      </c>
      <c r="G208" s="32" t="n">
        <v>34.25</v>
      </c>
      <c r="H208" s="32" t="n">
        <v>1368</v>
      </c>
    </row>
    <row r="209">
      <c r="A209" s="30" t="n">
        <v>44227</v>
      </c>
      <c r="B209" s="31" t="n">
        <v>121.799</v>
      </c>
      <c r="C209" s="31" t="n">
        <v>201.325</v>
      </c>
      <c r="D209" s="31" t="n">
        <v>253.822</v>
      </c>
      <c r="E209" s="31" t="n">
        <v>55.832</v>
      </c>
      <c r="F209" s="31" t="n">
        <v>48257.14</v>
      </c>
      <c r="G209" s="32" t="n">
        <v>34.1875</v>
      </c>
      <c r="H209" s="32" t="n">
        <v>1445</v>
      </c>
    </row>
    <row r="210">
      <c r="A210" s="30" t="n">
        <v>44255</v>
      </c>
      <c r="B210" s="31" t="n">
        <v>118.588</v>
      </c>
      <c r="C210" s="31" t="n">
        <v>194.163</v>
      </c>
      <c r="D210" s="31" t="n">
        <v>252.389</v>
      </c>
      <c r="E210" s="31" t="n">
        <v>59.162</v>
      </c>
      <c r="F210" s="31" t="n">
        <v>48432.27</v>
      </c>
      <c r="G210" s="32" t="n">
        <v>33.625</v>
      </c>
      <c r="H210" s="32" t="n">
        <v>1511</v>
      </c>
    </row>
    <row r="211">
      <c r="A211" s="30" t="n">
        <v>44286</v>
      </c>
      <c r="B211" s="31" t="n">
        <v>117.272</v>
      </c>
      <c r="C211" s="31" t="n">
        <v>184.377</v>
      </c>
      <c r="D211" s="31" t="n">
        <v>245.349</v>
      </c>
      <c r="E211" s="31" t="n">
        <v>52.085</v>
      </c>
      <c r="F211" s="31" t="n">
        <v>47982.39</v>
      </c>
      <c r="G211" s="32" t="n">
        <v>34.0625</v>
      </c>
      <c r="H211" s="32" t="n">
        <v>1589</v>
      </c>
    </row>
    <row r="212">
      <c r="A212" s="30" t="n">
        <v>44316</v>
      </c>
      <c r="B212" s="31" t="n">
        <v>122.904</v>
      </c>
      <c r="C212" s="31" t="n">
        <v>190.759</v>
      </c>
      <c r="D212" s="31" t="n">
        <v>260.737</v>
      </c>
      <c r="E212" s="31" t="n">
        <v>56.196</v>
      </c>
      <c r="F212" s="31" t="n">
        <v>49056.1</v>
      </c>
      <c r="G212" s="32" t="n">
        <v>34.0625</v>
      </c>
      <c r="H212" s="32" t="n">
        <v>1551</v>
      </c>
    </row>
    <row r="213">
      <c r="A213" s="30" t="n">
        <v>44347</v>
      </c>
      <c r="B213" s="31" t="n">
        <v>154.124</v>
      </c>
      <c r="C213" s="31" t="n">
        <v>270.183</v>
      </c>
      <c r="D213" s="31" t="n">
        <v>333.445</v>
      </c>
      <c r="E213" s="31" t="n">
        <v>66.483</v>
      </c>
      <c r="F213" s="31" t="n">
        <v>59268.94</v>
      </c>
      <c r="G213" s="32" t="n">
        <v>34.125</v>
      </c>
      <c r="H213" s="32" t="n">
        <v>1508</v>
      </c>
    </row>
    <row r="214">
      <c r="A214" s="30" t="n">
        <v>44377</v>
      </c>
      <c r="B214" s="31" t="n">
        <v>155.664</v>
      </c>
      <c r="C214" s="31" t="n">
        <v>261.46</v>
      </c>
      <c r="D214" s="31" t="n">
        <v>318.056</v>
      </c>
      <c r="E214" s="31" t="n">
        <v>73.306</v>
      </c>
      <c r="F214" s="31" t="n">
        <v>62371.95</v>
      </c>
      <c r="G214" s="32" t="n">
        <v>34.125</v>
      </c>
      <c r="H214" s="32" t="n">
        <v>1596</v>
      </c>
    </row>
    <row r="215">
      <c r="A215" s="30" t="n">
        <v>44408</v>
      </c>
      <c r="B215" s="31" t="n">
        <v>151.364</v>
      </c>
      <c r="C215" s="31" t="n">
        <v>267.772</v>
      </c>
      <c r="D215" s="31" t="n">
        <v>306.281</v>
      </c>
      <c r="E215" s="31" t="n">
        <v>73.306</v>
      </c>
      <c r="F215" s="31" t="n">
        <v>66005.28999999999</v>
      </c>
      <c r="G215" s="32" t="n">
        <v>34.125</v>
      </c>
      <c r="H215" s="32" t="n">
        <v>1591</v>
      </c>
    </row>
    <row r="216">
      <c r="A216" s="30" t="n">
        <v>44439</v>
      </c>
      <c r="B216" s="31" t="n">
        <v>200.473</v>
      </c>
      <c r="C216" s="31" t="n">
        <v>358.684</v>
      </c>
      <c r="D216" s="31" t="n">
        <v>409.641</v>
      </c>
      <c r="E216" s="31" t="n">
        <v>91.553</v>
      </c>
      <c r="F216" s="31" t="n">
        <v>76451.67999999999</v>
      </c>
      <c r="G216" s="32" t="n">
        <v>34.1875</v>
      </c>
      <c r="H216" s="32" t="n">
        <v>1513</v>
      </c>
    </row>
    <row r="217">
      <c r="A217" s="30" t="n">
        <v>44469</v>
      </c>
      <c r="B217" s="31" t="n">
        <v>205.836</v>
      </c>
      <c r="C217" s="31" t="n">
        <v>351.663</v>
      </c>
      <c r="D217" s="31" t="n">
        <v>409.018</v>
      </c>
      <c r="E217" s="31" t="n">
        <v>93.721</v>
      </c>
      <c r="F217" s="31" t="n">
        <v>77363.64</v>
      </c>
      <c r="G217" s="32" t="n">
        <v>34.1875</v>
      </c>
      <c r="H217" s="32" t="n">
        <v>1607</v>
      </c>
    </row>
    <row r="218">
      <c r="A218" s="30" t="n">
        <v>44500</v>
      </c>
      <c r="B218" s="31" t="n">
        <v>233.655</v>
      </c>
      <c r="C218" s="31" t="n">
        <v>365.279</v>
      </c>
      <c r="D218" s="31" t="n">
        <v>407.461</v>
      </c>
      <c r="E218" s="31" t="n">
        <v>95.678</v>
      </c>
      <c r="F218" s="31" t="n">
        <v>83560.96000000001</v>
      </c>
      <c r="G218" s="32" t="n">
        <v>34.125</v>
      </c>
      <c r="H218" s="32" t="n">
        <v>1712</v>
      </c>
    </row>
    <row r="219">
      <c r="A219" s="30" t="n">
        <v>44530</v>
      </c>
      <c r="B219" s="31" t="n">
        <v>201.057</v>
      </c>
      <c r="C219" s="31" t="n">
        <v>296.067</v>
      </c>
      <c r="D219" s="31" t="n">
        <v>359.55</v>
      </c>
      <c r="E219" s="31" t="n">
        <v>88.16800000000001</v>
      </c>
      <c r="F219" s="31" t="n">
        <v>79315.78999999999</v>
      </c>
      <c r="G219" s="32" t="n">
        <v>34.125</v>
      </c>
      <c r="H219" s="32" t="n">
        <v>1914</v>
      </c>
    </row>
    <row r="220">
      <c r="A220" s="30" t="n">
        <v>44561</v>
      </c>
      <c r="B220" s="31" t="n">
        <v>207.428</v>
      </c>
      <c r="C220" s="31" t="n">
        <v>318.121</v>
      </c>
      <c r="D220" s="31" t="n">
        <v>358.366</v>
      </c>
      <c r="E220" s="31" t="n">
        <v>86.211</v>
      </c>
      <c r="F220" s="31" t="n">
        <v>83500.11</v>
      </c>
      <c r="G220" s="32" t="n">
        <v>34.125</v>
      </c>
      <c r="H220" s="32" t="n">
        <v>1688</v>
      </c>
    </row>
    <row r="221">
      <c r="A221" s="30" t="n">
        <v>44592</v>
      </c>
      <c r="B221" s="31" t="n">
        <v>229.461</v>
      </c>
      <c r="C221" s="31" t="n">
        <v>350.458</v>
      </c>
      <c r="D221" s="31" t="n">
        <v>401.542</v>
      </c>
      <c r="E221" s="31" t="n">
        <v>90.548</v>
      </c>
      <c r="F221" s="31" t="n">
        <v>90907.52</v>
      </c>
      <c r="G221" s="32" t="n">
        <v>37.625</v>
      </c>
      <c r="H221" s="32" t="n">
        <v>1723</v>
      </c>
    </row>
    <row r="222">
      <c r="A222" s="30" t="n">
        <v>44620</v>
      </c>
      <c r="B222" s="31" t="n">
        <v>211.941</v>
      </c>
      <c r="C222" s="31" t="n">
        <v>328.049</v>
      </c>
      <c r="D222" s="31" t="n">
        <v>374.565</v>
      </c>
      <c r="E222" s="31" t="n">
        <v>85.206</v>
      </c>
      <c r="F222" s="31" t="n">
        <v>87969.87</v>
      </c>
      <c r="G222" s="32" t="n">
        <v>39.9375</v>
      </c>
      <c r="H222" s="32" t="n">
        <v>1816</v>
      </c>
    </row>
    <row r="223">
      <c r="A223" s="30" t="n">
        <v>44651</v>
      </c>
      <c r="B223" s="31" t="n">
        <v>218.577</v>
      </c>
      <c r="C223" s="31" t="n">
        <v>319.114</v>
      </c>
      <c r="D223" s="31" t="n">
        <v>409.89</v>
      </c>
      <c r="E223" s="31" t="n">
        <v>82.879</v>
      </c>
      <c r="F223" s="31" t="n">
        <v>90959.59</v>
      </c>
      <c r="G223" s="32" t="n">
        <v>41.8125</v>
      </c>
      <c r="H223" s="32" t="n">
        <v>1718</v>
      </c>
    </row>
    <row r="224">
      <c r="A224" s="30" t="n">
        <v>44681</v>
      </c>
      <c r="B224" s="31" t="n">
        <v>197.606</v>
      </c>
      <c r="C224" s="31" t="n">
        <v>286.777</v>
      </c>
      <c r="D224" s="31" t="n">
        <v>375.935</v>
      </c>
      <c r="E224" s="31" t="n">
        <v>76.63800000000001</v>
      </c>
      <c r="F224" s="31" t="n">
        <v>88250.97</v>
      </c>
      <c r="G224" s="32" t="n">
        <v>44.375</v>
      </c>
      <c r="H224" s="32" t="n">
        <v>1801</v>
      </c>
    </row>
    <row r="225">
      <c r="A225" s="30" t="n">
        <v>44712</v>
      </c>
      <c r="B225" s="31" t="n">
        <v>215.618</v>
      </c>
      <c r="C225" s="31" t="n">
        <v>301.385</v>
      </c>
      <c r="D225" s="31" t="n">
        <v>423.597</v>
      </c>
      <c r="E225" s="31" t="n">
        <v>81.96599999999999</v>
      </c>
      <c r="F225" s="31" t="n">
        <v>92288.03</v>
      </c>
      <c r="G225" s="32" t="n">
        <v>45.8125</v>
      </c>
      <c r="H225" s="32" t="n">
        <v>1918</v>
      </c>
    </row>
    <row r="226">
      <c r="A226" s="30" t="n">
        <v>44742</v>
      </c>
      <c r="B226" s="31" t="n">
        <v>194.83</v>
      </c>
      <c r="C226" s="31" t="n">
        <v>285.075</v>
      </c>
      <c r="D226" s="31" t="n">
        <v>355.188</v>
      </c>
      <c r="E226" s="31" t="n">
        <v>77.324</v>
      </c>
      <c r="F226" s="31" t="n">
        <v>88449.89</v>
      </c>
      <c r="G226" s="32" t="n">
        <v>50.625</v>
      </c>
      <c r="H226" s="32" t="n">
        <v>2428</v>
      </c>
    </row>
    <row r="227">
      <c r="A227" s="30" t="n">
        <v>44773</v>
      </c>
      <c r="B227" s="31" t="n">
        <v>249.73</v>
      </c>
      <c r="C227" s="31" t="n">
        <v>393.628</v>
      </c>
      <c r="D227" s="31" t="n">
        <v>487.232</v>
      </c>
      <c r="E227" s="31" t="n">
        <v>108.061</v>
      </c>
      <c r="F227" s="31" t="n">
        <v>122528.3</v>
      </c>
      <c r="G227" s="32" t="n">
        <v>55.625</v>
      </c>
      <c r="H227" s="32" t="n">
        <v>2398</v>
      </c>
    </row>
    <row r="228">
      <c r="A228" s="30" t="n">
        <v>44804</v>
      </c>
      <c r="B228" s="31" t="n">
        <v>265.321</v>
      </c>
      <c r="C228" s="31" t="n">
        <v>452.597</v>
      </c>
      <c r="D228" s="31" t="n">
        <v>525.841</v>
      </c>
      <c r="E228" s="31" t="n">
        <v>113.718</v>
      </c>
      <c r="F228" s="31" t="n">
        <v>136241</v>
      </c>
      <c r="G228" s="32" t="n">
        <v>63.875</v>
      </c>
      <c r="H228" s="32" t="n">
        <v>2385</v>
      </c>
    </row>
    <row r="229">
      <c r="A229" s="30" t="n">
        <v>44834</v>
      </c>
      <c r="B229" s="31" t="n">
        <v>261.633</v>
      </c>
      <c r="C229" s="31" t="n">
        <v>484.565</v>
      </c>
      <c r="D229" s="31" t="n">
        <v>560.264</v>
      </c>
      <c r="E229" s="31" t="n">
        <v>114.091</v>
      </c>
      <c r="F229" s="31" t="n">
        <v>139115.1</v>
      </c>
      <c r="G229" s="32" t="n">
        <v>69.125</v>
      </c>
      <c r="H229" s="32" t="n">
        <v>2812</v>
      </c>
    </row>
    <row r="230">
      <c r="A230" s="30" t="n">
        <v>44865</v>
      </c>
      <c r="B230" s="31" t="n">
        <v>266.997</v>
      </c>
      <c r="C230" s="31" t="n">
        <v>483.357</v>
      </c>
      <c r="D230" s="31" t="n">
        <v>592.1180000000001</v>
      </c>
      <c r="E230" s="31" t="n">
        <v>125.564</v>
      </c>
      <c r="F230" s="31" t="n">
        <v>149938.3</v>
      </c>
      <c r="G230" s="32" t="n">
        <v>69.5</v>
      </c>
      <c r="H230" s="32" t="n">
        <v>2625</v>
      </c>
    </row>
    <row r="231">
      <c r="A231" s="30" t="n">
        <v>44895</v>
      </c>
      <c r="B231" s="31" t="n">
        <v>291.641</v>
      </c>
      <c r="C231" s="31" t="n">
        <v>543.476</v>
      </c>
      <c r="D231" s="31" t="n">
        <v>600.8150000000001</v>
      </c>
      <c r="E231" s="31" t="n">
        <v>124.871</v>
      </c>
      <c r="F231" s="31" t="n">
        <v>168525.29</v>
      </c>
      <c r="G231" s="32" t="n">
        <v>69.5</v>
      </c>
      <c r="H231" s="32" t="n">
        <v>2248</v>
      </c>
    </row>
    <row r="232">
      <c r="A232" s="30" t="n">
        <v>44926</v>
      </c>
      <c r="B232" s="31" t="n">
        <v>369.706</v>
      </c>
      <c r="C232" s="31" t="n">
        <v>709.957</v>
      </c>
      <c r="D232" s="31" t="n">
        <v>727.025</v>
      </c>
      <c r="E232" s="31" t="n">
        <v>163.666</v>
      </c>
      <c r="F232" s="31" t="n">
        <v>202085.1</v>
      </c>
      <c r="G232" s="32" t="n">
        <v>69.375</v>
      </c>
      <c r="H232" s="32" t="n">
        <v>2213</v>
      </c>
    </row>
    <row r="233">
      <c r="A233" s="30" t="n">
        <v>44957</v>
      </c>
      <c r="B233" s="31" t="n">
        <v>553.073</v>
      </c>
      <c r="C233" s="31" t="n">
        <v>942.284</v>
      </c>
      <c r="D233" s="31" t="n">
        <v>1045.77</v>
      </c>
      <c r="E233" s="31" t="n">
        <v>222.366</v>
      </c>
      <c r="F233" s="31" t="n">
        <v>253548.5</v>
      </c>
      <c r="G233" s="32" t="n">
        <v>69.375</v>
      </c>
      <c r="H233" s="32" t="n">
        <v>1817</v>
      </c>
    </row>
    <row r="234">
      <c r="A234" s="30" t="n">
        <v>44985</v>
      </c>
      <c r="B234" s="31" t="n">
        <v>552.51</v>
      </c>
      <c r="C234" s="31" t="n">
        <v>1036.016</v>
      </c>
      <c r="D234" s="31" t="n">
        <v>994.7190000000001</v>
      </c>
      <c r="E234" s="31" t="n">
        <v>228.396</v>
      </c>
      <c r="F234" s="31" t="n">
        <v>247459.3</v>
      </c>
      <c r="G234" s="32" t="n">
        <v>69.375</v>
      </c>
      <c r="H234" s="32" t="n">
        <v>1965</v>
      </c>
    </row>
    <row r="235">
      <c r="A235" s="30" t="n">
        <v>45016</v>
      </c>
      <c r="B235" s="31" t="n">
        <v>498.684</v>
      </c>
      <c r="C235" s="31" t="n">
        <v>889.669</v>
      </c>
      <c r="D235" s="31" t="n">
        <v>933.885</v>
      </c>
      <c r="E235" s="31" t="n">
        <v>196.378</v>
      </c>
      <c r="F235" s="31" t="n">
        <v>245716.2</v>
      </c>
      <c r="G235" s="32" t="n">
        <v>72.4375</v>
      </c>
      <c r="H235" s="32" t="n">
        <v>2276</v>
      </c>
    </row>
    <row r="236">
      <c r="A236" s="30" t="n">
        <v>45046</v>
      </c>
      <c r="B236" s="31" t="n">
        <v>588.545</v>
      </c>
      <c r="C236" s="31" t="n">
        <v>1075.892</v>
      </c>
      <c r="D236" s="31" t="n">
        <v>1045.511</v>
      </c>
      <c r="E236" s="31" t="n">
        <v>216.603</v>
      </c>
      <c r="F236" s="31" t="n">
        <v>297960</v>
      </c>
      <c r="G236" s="32" t="n">
        <v>87.5</v>
      </c>
      <c r="H236" s="32" t="n">
        <v>2656</v>
      </c>
    </row>
    <row r="237">
      <c r="A237" s="30" t="n">
        <v>45077</v>
      </c>
      <c r="B237" s="31" t="n">
        <v>686.5700000000001</v>
      </c>
      <c r="C237" s="31" t="n">
        <v>1198</v>
      </c>
      <c r="D237" s="31" t="n">
        <v>1138.298</v>
      </c>
      <c r="E237" s="31" t="n">
        <v>229.143</v>
      </c>
      <c r="F237" s="31" t="n">
        <v>342078.5</v>
      </c>
      <c r="G237" s="32" t="n">
        <v>91.9375</v>
      </c>
      <c r="H237" s="32" t="n">
        <v>2590</v>
      </c>
    </row>
    <row r="238">
      <c r="A238" s="30" t="n">
        <v>45107</v>
      </c>
      <c r="B238" s="31" t="n">
        <v>1056.306</v>
      </c>
      <c r="C238" s="31" t="n">
        <v>1688.749</v>
      </c>
      <c r="D238" s="31" t="n">
        <v>1942.53</v>
      </c>
      <c r="E238" s="31" t="n">
        <v>347.717</v>
      </c>
      <c r="F238" s="31" t="n">
        <v>426280.97</v>
      </c>
      <c r="G238" s="32" t="n">
        <v>92.25</v>
      </c>
      <c r="H238" s="32" t="n">
        <v>2037</v>
      </c>
    </row>
    <row r="239">
      <c r="A239" s="30" t="n">
        <v>45138</v>
      </c>
      <c r="B239" s="31" t="n">
        <v>1123.107</v>
      </c>
      <c r="C239" s="31" t="n">
        <v>1742.893</v>
      </c>
      <c r="D239" s="31" t="n">
        <v>2052.116</v>
      </c>
      <c r="E239" s="31" t="n">
        <v>376.32</v>
      </c>
      <c r="F239" s="31" t="n">
        <v>457137.8</v>
      </c>
      <c r="G239" s="32" t="n">
        <v>92.875</v>
      </c>
      <c r="H239" s="32" t="n">
        <v>1980</v>
      </c>
    </row>
    <row r="240">
      <c r="A240" s="30" t="n">
        <v>45169</v>
      </c>
      <c r="B240" s="31" t="n">
        <v>1716.474</v>
      </c>
      <c r="C240" s="31" t="n">
        <v>2517.932</v>
      </c>
      <c r="D240" s="31" t="n">
        <v>2897.497</v>
      </c>
      <c r="E240" s="31" t="n">
        <v>514.425</v>
      </c>
      <c r="F240" s="31" t="n">
        <v>653602.9</v>
      </c>
      <c r="G240" s="32" t="n">
        <v>113.4375</v>
      </c>
      <c r="H240" s="32" t="n">
        <v>2105</v>
      </c>
    </row>
    <row r="241">
      <c r="A241" s="30" t="n">
        <v>45199</v>
      </c>
      <c r="B241" s="31" t="n">
        <v>1309.158</v>
      </c>
      <c r="C241" s="31" t="n">
        <v>1731.062</v>
      </c>
      <c r="D241" s="31" t="n">
        <v>2049.604</v>
      </c>
      <c r="E241" s="31" t="n">
        <v>382.99</v>
      </c>
      <c r="F241" s="31" t="n">
        <v>562568.5</v>
      </c>
      <c r="G241" s="32" t="n">
        <v>113.875</v>
      </c>
      <c r="H241" s="32" t="n">
        <v>2543</v>
      </c>
    </row>
    <row r="242">
      <c r="A242" s="30" t="n">
        <v>45230</v>
      </c>
      <c r="B242" s="31" t="n">
        <v>1202.489</v>
      </c>
      <c r="C242" s="31" t="n">
        <v>1937.485</v>
      </c>
      <c r="D242" s="31" t="n">
        <v>2121.041</v>
      </c>
      <c r="E242" s="31" t="n">
        <v>324.344</v>
      </c>
      <c r="F242" s="31" t="n">
        <v>579150</v>
      </c>
      <c r="G242" s="32" t="n">
        <v>128.5625</v>
      </c>
      <c r="H242" s="32" t="n">
        <v>2577</v>
      </c>
    </row>
    <row r="243">
      <c r="A243" s="30" t="n">
        <v>45260</v>
      </c>
      <c r="B243" s="31" t="n">
        <v>1837.974</v>
      </c>
      <c r="C243" s="31" t="n">
        <v>2689.485</v>
      </c>
      <c r="D243" s="31" t="n">
        <v>3328.905</v>
      </c>
      <c r="E243" s="31" t="n">
        <v>649.808</v>
      </c>
      <c r="F243" s="31" t="n">
        <v>813393.9</v>
      </c>
      <c r="G243" s="32" t="n">
        <v>129.875</v>
      </c>
      <c r="H243" s="32" t="n">
        <v>1982</v>
      </c>
    </row>
    <row r="244">
      <c r="A244" s="30" t="n">
        <v>45291</v>
      </c>
      <c r="B244" s="31" t="n">
        <v>2052.597</v>
      </c>
      <c r="C244" s="31" t="n">
        <v>3003.686</v>
      </c>
      <c r="D244" s="31" t="n">
        <v>3728.966</v>
      </c>
      <c r="E244" s="31" t="n">
        <v>831.884</v>
      </c>
      <c r="F244" s="31" t="n">
        <v>929704.2</v>
      </c>
      <c r="G244" s="32" t="n">
        <v>109.75</v>
      </c>
      <c r="H244" s="32" t="n">
        <v>1906</v>
      </c>
    </row>
    <row r="245">
      <c r="A245" s="30" t="n">
        <v>45322</v>
      </c>
      <c r="B245" s="31" t="n">
        <v>3367.875</v>
      </c>
      <c r="C245" s="31" t="n">
        <v>4397.284</v>
      </c>
      <c r="D245" s="31" t="n">
        <v>5971.722</v>
      </c>
      <c r="E245" s="31" t="n">
        <v>1205.216</v>
      </c>
      <c r="F245" s="31" t="n">
        <v>1260563</v>
      </c>
      <c r="G245" s="32" t="n">
        <v>109.6875</v>
      </c>
      <c r="H245" s="32" t="n">
        <v>1950</v>
      </c>
    </row>
    <row r="246">
      <c r="A246" s="30" t="n">
        <v>45351</v>
      </c>
      <c r="B246" s="31" t="n">
        <v>2886.671</v>
      </c>
      <c r="C246" s="31" t="n">
        <v>3776.328</v>
      </c>
      <c r="D246" s="31" t="n">
        <v>5922.003</v>
      </c>
      <c r="E246" s="31" t="n">
        <v>1006.917</v>
      </c>
      <c r="F246" s="31" t="n">
        <v>1014712</v>
      </c>
      <c r="G246" s="32" t="n">
        <v>108.9375</v>
      </c>
      <c r="H246" s="32" t="n">
        <v>1705</v>
      </c>
    </row>
    <row r="247">
      <c r="A247" s="30" t="n">
        <v>45382</v>
      </c>
      <c r="B247" s="31" t="n">
        <v>3463.528</v>
      </c>
      <c r="C247" s="31" t="n">
        <v>5192.092</v>
      </c>
      <c r="D247" s="31" t="n">
        <v>7781.039</v>
      </c>
      <c r="E247" s="31" t="n">
        <v>1358.316</v>
      </c>
      <c r="F247" s="31" t="n">
        <v>1213485</v>
      </c>
      <c r="G247" s="32" t="n">
        <v>70.875</v>
      </c>
      <c r="H247" s="32" t="n">
        <v>1439</v>
      </c>
    </row>
    <row r="248">
      <c r="A248" s="30" t="n">
        <v>45412</v>
      </c>
      <c r="B248" s="31" t="n">
        <v>4349.438</v>
      </c>
      <c r="C248" s="31" t="n">
        <v>5936.816</v>
      </c>
      <c r="D248" s="31" t="n">
        <v>8291.572</v>
      </c>
      <c r="E248" s="31" t="n">
        <v>1534.886</v>
      </c>
      <c r="F248" s="31" t="n">
        <v>1323586</v>
      </c>
      <c r="G248" s="32" t="n">
        <v>50.8125</v>
      </c>
      <c r="H248" s="32" t="n">
        <v>1216</v>
      </c>
    </row>
    <row r="249">
      <c r="A249" s="30" t="n">
        <v>45443</v>
      </c>
      <c r="B249" s="31" t="n">
        <v>5523.227</v>
      </c>
      <c r="C249" s="31" t="n">
        <v>8385.969999999999</v>
      </c>
      <c r="D249" s="31" t="n">
        <v>12023.072</v>
      </c>
      <c r="E249" s="31" t="n">
        <v>2011.188</v>
      </c>
      <c r="F249" s="31" t="n">
        <v>1651417</v>
      </c>
      <c r="G249" s="32" t="n">
        <v>33.375</v>
      </c>
      <c r="H249" s="32" t="n">
        <v>1312</v>
      </c>
    </row>
    <row r="250">
      <c r="A250" s="30" t="n">
        <v>45473</v>
      </c>
      <c r="B250" s="31" t="n">
        <v>5366.722</v>
      </c>
      <c r="C250" s="31" t="n">
        <v>7922.046</v>
      </c>
      <c r="D250" s="31" t="n">
        <v>11408.45</v>
      </c>
      <c r="E250" s="31" t="n">
        <v>2044.838</v>
      </c>
      <c r="F250" s="31" t="n">
        <v>1611295</v>
      </c>
      <c r="G250" s="32" t="n">
        <v>36.0625</v>
      </c>
      <c r="H250" s="32" t="n">
        <v>1456</v>
      </c>
    </row>
    <row r="251">
      <c r="A251" s="30" t="n">
        <v>45504</v>
      </c>
      <c r="B251" s="31" t="n">
        <v>4950.646</v>
      </c>
      <c r="C251" s="31" t="n">
        <v>7424.913</v>
      </c>
      <c r="D251" s="31" t="n">
        <v>10161.709</v>
      </c>
      <c r="E251" s="31" t="n">
        <v>1784.751</v>
      </c>
      <c r="F251" s="31" t="n">
        <v>1507785</v>
      </c>
      <c r="G251" s="32" t="n">
        <v>37.5</v>
      </c>
      <c r="H251" s="32" t="n">
        <v>1507</v>
      </c>
    </row>
    <row r="252">
      <c r="A252" s="30" t="n">
        <v>45535</v>
      </c>
      <c r="B252" s="31" t="n">
        <v>6752.094</v>
      </c>
      <c r="C252" s="31" t="n">
        <v>8857.437</v>
      </c>
      <c r="D252" s="31" t="n">
        <v>11824.252</v>
      </c>
      <c r="E252" s="31" t="n">
        <v>2083.131</v>
      </c>
      <c r="F252" s="31" t="n">
        <v>1717565</v>
      </c>
      <c r="G252" s="32" t="n">
        <v>40.125</v>
      </c>
      <c r="H252" s="32" t="n">
        <v>1433</v>
      </c>
    </row>
    <row r="253">
      <c r="A253" s="30" t="n">
        <v>45565</v>
      </c>
      <c r="B253" s="31" t="n">
        <v>6978.943</v>
      </c>
      <c r="C253" s="31" t="n">
        <v>8615.32</v>
      </c>
      <c r="D253" s="31" t="n">
        <v>12274.848</v>
      </c>
      <c r="E253" s="31" t="n">
        <v>1967.094</v>
      </c>
      <c r="F253" s="31" t="n">
        <v>1697401</v>
      </c>
      <c r="G253" s="32" t="n">
        <v>39.75</v>
      </c>
      <c r="H253" s="32" t="n">
        <v>1290</v>
      </c>
    </row>
    <row r="254">
      <c r="A254" s="30" t="n">
        <v>45596</v>
      </c>
      <c r="B254" s="31" t="n">
        <v>8139.876</v>
      </c>
      <c r="C254" s="31" t="n">
        <v>10653.136</v>
      </c>
      <c r="D254" s="31" t="n">
        <v>14077.23</v>
      </c>
      <c r="E254" s="31" t="n">
        <v>2342.831</v>
      </c>
      <c r="F254" s="31" t="n">
        <v>1848744</v>
      </c>
      <c r="G254" s="32" t="n">
        <v>40.5625</v>
      </c>
      <c r="H254" s="32" t="n">
        <v>984</v>
      </c>
    </row>
    <row r="255">
      <c r="A255" s="30" t="n">
        <v>45626</v>
      </c>
      <c r="B255" s="31" t="n">
        <v>8393.413</v>
      </c>
      <c r="C255" s="31" t="n">
        <v>12448.835</v>
      </c>
      <c r="D255" s="31" t="n">
        <v>14387.986</v>
      </c>
      <c r="E255" s="31" t="n">
        <v>2967.218</v>
      </c>
      <c r="F255" s="31" t="n">
        <v>2258295</v>
      </c>
      <c r="G255" s="32" t="n">
        <v>36.5</v>
      </c>
      <c r="H255" s="32" t="n">
        <v>752</v>
      </c>
    </row>
    <row r="256">
      <c r="A256" s="30" t="n">
        <v>45657</v>
      </c>
      <c r="B256" s="31" t="n">
        <v>9941.324000000001</v>
      </c>
      <c r="C256" s="31" t="n">
        <v>15253.354</v>
      </c>
      <c r="D256" s="31" t="n">
        <v>17790.76</v>
      </c>
      <c r="E256" s="31" t="n">
        <v>3950.765</v>
      </c>
      <c r="F256" s="31" t="n">
        <v>2533635</v>
      </c>
      <c r="G256" s="32" t="n">
        <v>31.9375</v>
      </c>
      <c r="H256" s="32" t="n">
        <v>635</v>
      </c>
    </row>
    <row r="257">
      <c r="A257" s="30" t="n">
        <v>45688</v>
      </c>
      <c r="B257" s="31" t="n">
        <v>10819.836</v>
      </c>
      <c r="C257" s="31" t="n">
        <v>17694.698</v>
      </c>
      <c r="D257" s="31" t="n">
        <v>18567.649</v>
      </c>
      <c r="E257" s="31" t="n">
        <v>4376.232</v>
      </c>
      <c r="F257" s="31" t="n">
        <v>2564659</v>
      </c>
      <c r="G257" s="32" t="n">
        <v>29.3125</v>
      </c>
      <c r="H257" s="32" t="n">
        <v>618</v>
      </c>
    </row>
    <row r="258">
      <c r="A258" s="30" t="n">
        <v>45716</v>
      </c>
      <c r="B258" s="31" t="n">
        <v>9279.884</v>
      </c>
      <c r="C258" s="31" t="n">
        <v>15233.178</v>
      </c>
      <c r="D258" s="31" t="n">
        <v>15654.315</v>
      </c>
      <c r="E258" s="31" t="n">
        <v>3552.926</v>
      </c>
      <c r="F258" s="31" t="n">
        <v>2205801</v>
      </c>
      <c r="G258" s="32" t="n">
        <v>28.1875</v>
      </c>
      <c r="H258" s="32" t="n">
        <v>780</v>
      </c>
    </row>
    <row r="259">
      <c r="A259" s="30" t="n">
        <v>45747</v>
      </c>
      <c r="B259" s="31" t="n">
        <v>9587.875</v>
      </c>
      <c r="C259" s="31" t="n">
        <v>16040.233</v>
      </c>
      <c r="D259" s="31" t="n">
        <v>15429.018</v>
      </c>
      <c r="E259" s="31" t="n">
        <v>3796.05</v>
      </c>
      <c r="F259" s="31" t="n">
        <v>2338761</v>
      </c>
      <c r="G259" s="32" t="n">
        <v>30.1875</v>
      </c>
      <c r="H259" s="32" t="n">
        <v>816</v>
      </c>
    </row>
    <row r="260">
      <c r="A260" s="30" t="n">
        <v>45777</v>
      </c>
      <c r="B260" s="31" t="n">
        <v>9628.047</v>
      </c>
      <c r="C260" s="31" t="n">
        <v>16141.115</v>
      </c>
      <c r="D260" s="31" t="n">
        <v>16314.671</v>
      </c>
      <c r="E260" s="31" t="n">
        <v>3950.983</v>
      </c>
      <c r="F260" s="31" t="n">
        <v>2100844</v>
      </c>
      <c r="G260" s="32" t="n">
        <v>33</v>
      </c>
      <c r="H260" s="32" t="n">
        <v>726</v>
      </c>
    </row>
    <row r="261">
      <c r="A261" s="30" t="n">
        <v>45808</v>
      </c>
      <c r="B261" s="31" t="n">
        <v>9395.368</v>
      </c>
      <c r="C261" s="31" t="n">
        <v>15858.646</v>
      </c>
      <c r="D261" s="31" t="n">
        <v>15732.004</v>
      </c>
      <c r="E261" s="31" t="n">
        <v>3523.85</v>
      </c>
      <c r="F261" s="31" t="n">
        <v>2278992</v>
      </c>
      <c r="G261" s="32" t="n">
        <v>31.8125</v>
      </c>
      <c r="H261" s="32" t="n">
        <v>663</v>
      </c>
    </row>
    <row r="262">
      <c r="A262" s="30" t="n">
        <v>45838</v>
      </c>
      <c r="B262" s="31" t="n">
        <v>8207.448</v>
      </c>
      <c r="C262" s="31" t="n">
        <v>13308.432</v>
      </c>
      <c r="D262" s="31" t="n">
        <v>13148.397</v>
      </c>
      <c r="E262" s="31" t="n">
        <v>2877.53</v>
      </c>
      <c r="F262" s="31" t="n">
        <v>1994825</v>
      </c>
      <c r="G262" s="32" t="n">
        <v>32</v>
      </c>
      <c r="H262" s="32" t="n">
        <v>701</v>
      </c>
    </row>
    <row r="263">
      <c r="A263" s="30" t="n">
        <v>45869</v>
      </c>
      <c r="B263" s="31" t="n">
        <v>9305.671</v>
      </c>
      <c r="C263" s="31" t="n">
        <v>14578.112</v>
      </c>
      <c r="D263" s="31" t="n">
        <v>14842.794</v>
      </c>
      <c r="E263" s="31" t="n">
        <v>3175.399</v>
      </c>
      <c r="F263" s="31" t="n">
        <v>2319511</v>
      </c>
      <c r="G263" s="32" t="n">
        <v>36.8125</v>
      </c>
      <c r="H263" s="32" t="n">
        <v>730</v>
      </c>
    </row>
    <row r="264">
      <c r="A264" s="30" t="n">
        <v>45900</v>
      </c>
      <c r="B264" s="31" t="n">
        <v>7201.61</v>
      </c>
      <c r="C264" s="31" t="n">
        <v>11225.297</v>
      </c>
      <c r="D264" s="31" t="n">
        <v>12384.065</v>
      </c>
      <c r="E264" s="31" t="n">
        <v>2366.094</v>
      </c>
      <c r="F264" s="31" t="n">
        <v>1984845</v>
      </c>
      <c r="G264" s="32" t="n">
        <v>58</v>
      </c>
      <c r="H264" s="32" t="n">
        <v>829</v>
      </c>
    </row>
    <row r="265">
      <c r="A265" s="30" t="n">
        <v>45930</v>
      </c>
      <c r="B265" s="31" t="n">
        <v>5797.627</v>
      </c>
      <c r="C265" s="31" t="n">
        <v>8672.224</v>
      </c>
      <c r="D265" s="31" t="n">
        <v>10293.65</v>
      </c>
      <c r="E265" s="31" t="n">
        <v>1705.161</v>
      </c>
      <c r="F265" s="31" t="n">
        <v>1773440</v>
      </c>
      <c r="G265" s="32" t="n">
        <v>41</v>
      </c>
      <c r="H265" s="32" t="n">
        <v>1222</v>
      </c>
    </row>
    <row r="266">
      <c r="A266" s="30" t="n">
        <v>45961</v>
      </c>
      <c r="B266" s="31" t="n">
        <v>12127.927</v>
      </c>
      <c r="C266" s="31" t="n">
        <v>17027.949</v>
      </c>
      <c r="D266" s="31" t="n">
        <v>21675.38</v>
      </c>
      <c r="E266" s="31" t="n">
        <v>4237.612</v>
      </c>
      <c r="F266" s="31" t="n">
        <v>3002607</v>
      </c>
      <c r="G266" s="32" t="n">
        <v>37.1875</v>
      </c>
      <c r="H266" s="32" t="n">
        <v>657</v>
      </c>
    </row>
    <row r="267">
      <c r="A267" s="30" t="n">
        <v>45991</v>
      </c>
      <c r="B267" s="31" t="n">
        <v>10890.237</v>
      </c>
      <c r="C267" s="31" t="n">
        <v>16813.238</v>
      </c>
      <c r="D267" s="31" t="n">
        <v>20921.237</v>
      </c>
      <c r="E267" s="31" t="n">
        <v>3824.529</v>
      </c>
      <c r="F267" s="31" t="n">
        <v>3026470</v>
      </c>
      <c r="G267" s="32" t="n">
        <v>29.9375</v>
      </c>
      <c r="H267" s="32" t="n">
        <v>648</v>
      </c>
    </row>
    <row r="268">
      <c r="A268" s="30" t="n">
        <v>46022</v>
      </c>
      <c r="B268" s="31" t="n">
        <v>11309.471</v>
      </c>
      <c r="C268" s="31" t="n">
        <v>18789.52</v>
      </c>
      <c r="D268" s="31" t="n">
        <v>21967.253</v>
      </c>
      <c r="E268" s="31" t="n">
        <v>4012.805</v>
      </c>
      <c r="F268" s="31" t="n">
        <v>3051617</v>
      </c>
      <c r="G268" s="32" t="n">
        <v>26.6875</v>
      </c>
      <c r="H268" s="32" t="n">
        <v>571</v>
      </c>
    </row>
    <row r="269">
      <c r="A269" s="30" t="n">
        <v>46053</v>
      </c>
      <c r="B269" s="31" t="n">
        <v>11493.226</v>
      </c>
      <c r="C269" s="31" t="n">
        <v>20945.017</v>
      </c>
      <c r="D269" s="31" t="n">
        <v>24849.727</v>
      </c>
      <c r="E269" s="31" t="n">
        <v>4136.449</v>
      </c>
      <c r="F269" s="31" t="n">
        <v>3199554</v>
      </c>
      <c r="G269" s="32" t="n">
        <v>31.1875</v>
      </c>
      <c r="H269" s="32" t="n">
        <v>496</v>
      </c>
    </row>
    <row r="270">
      <c r="A270" s="30" t="n">
        <v>46081</v>
      </c>
      <c r="B270" s="31" t="n">
        <v>9081.897999999999</v>
      </c>
      <c r="C270" s="31" t="n">
        <v>15039.523</v>
      </c>
      <c r="D270" s="31" t="n">
        <v>18307.724</v>
      </c>
      <c r="E270" s="31" t="n">
        <v>3062.995</v>
      </c>
      <c r="F270" s="31" t="n">
        <v>2642106</v>
      </c>
      <c r="G270" s="32" t="n">
        <v>29.5</v>
      </c>
      <c r="H270" s="32" t="n">
        <v>572</v>
      </c>
    </row>
    <row r="271">
      <c r="A271" s="30" t="n">
        <v>46112</v>
      </c>
      <c r="B271" s="31" t="n">
        <v>9599.853999999999</v>
      </c>
      <c r="C271" s="31" t="n">
        <v>16438.756</v>
      </c>
      <c r="D271" s="31" t="n">
        <v>18752.912</v>
      </c>
      <c r="E271" s="31" t="n">
        <v>3141.678</v>
      </c>
      <c r="F271" s="31" t="n">
        <v>2997780</v>
      </c>
      <c r="G271" s="32" t="n">
        <v>25.375</v>
      </c>
      <c r="H271" s="32" t="n">
        <v>617</v>
      </c>
    </row>
    <row r="272">
      <c r="A272" s="30" t="n">
        <v>46142</v>
      </c>
      <c r="B272" s="31" t="n">
        <v>8698.200000000001</v>
      </c>
      <c r="C272" s="31" t="n">
        <v>14865.273</v>
      </c>
      <c r="D272" s="31" t="n">
        <v>17898.265</v>
      </c>
      <c r="E272" s="31" t="n">
        <v>2783.111</v>
      </c>
      <c r="F272" s="31" t="n">
        <v>2832851</v>
      </c>
      <c r="G272" s="32" t="n">
        <v>20.875</v>
      </c>
      <c r="H272" s="32" t="n">
        <v>567</v>
      </c>
    </row>
    <row r="273">
      <c r="A273" s="30" t="n">
        <v>46173</v>
      </c>
      <c r="B273" s="31" t="n">
        <v>10643.916</v>
      </c>
      <c r="C273" s="31" t="n">
        <v>18767.924</v>
      </c>
      <c r="D273" s="31" t="n">
        <v>22329.811</v>
      </c>
      <c r="E273" s="31" t="n">
        <v>3237.221</v>
      </c>
      <c r="F273" s="31" t="n">
        <v>3166407</v>
      </c>
      <c r="G273" s="32" t="n">
        <v>20.625</v>
      </c>
      <c r="H273" s="32" t="n">
        <v>493</v>
      </c>
    </row>
    <row r="274">
      <c r="A274" s="30" t="n">
        <v>46203</v>
      </c>
      <c r="B274" s="31" t="n">
        <v>11062.856</v>
      </c>
      <c r="C274" s="31" t="n">
        <v>21145.313</v>
      </c>
      <c r="D274" s="31" t="n">
        <v>23989.285</v>
      </c>
      <c r="E274" s="31" t="n">
        <v>3383.345</v>
      </c>
      <c r="F274" s="31" t="n">
        <v>3168608</v>
      </c>
      <c r="G274" s="32" t="n">
        <v>21</v>
      </c>
      <c r="H274" s="32" t="n">
        <v>426</v>
      </c>
    </row>
    <row r="275">
      <c r="A275" s="30" t="n">
        <v>46234</v>
      </c>
      <c r="B275" s="31" t="n">
        <v>11216.049</v>
      </c>
      <c r="C275" s="31" t="n">
        <v>20795.795</v>
      </c>
      <c r="D275" s="31" t="n">
        <v>24212.989</v>
      </c>
      <c r="E275" s="31" t="n">
        <v>3366.485</v>
      </c>
      <c r="F275" s="31" t="n">
        <v>3291323</v>
      </c>
      <c r="G275" s="32" t="n">
        <v>21.625</v>
      </c>
      <c r="H275" s="32" t="n">
        <v>430</v>
      </c>
    </row>
    <row r="276">
      <c r="A276" s="30" t="n">
        <v>46265</v>
      </c>
      <c r="B276" s="31" t="n">
        <v>9982.576999999999</v>
      </c>
      <c r="C276" s="31" t="n">
        <v>17019.748</v>
      </c>
      <c r="D276" s="31" t="n">
        <v>21100.607</v>
      </c>
      <c r="E276" s="31" t="n">
        <v>3124.817</v>
      </c>
      <c r="F276" s="31" t="n">
        <v>3033848</v>
      </c>
      <c r="G276" s="32" t="n">
        <v>23</v>
      </c>
      <c r="H276" s="32" t="n">
        <v>512</v>
      </c>
    </row>
    <row r="277">
      <c r="A277" s="30" t="n">
        <v>46295</v>
      </c>
      <c r="B277" s="31" t="n">
        <v>8619.655000000001</v>
      </c>
      <c r="C277" s="31" t="n">
        <v>14537.483</v>
      </c>
      <c r="D277" s="31" t="n">
        <v>18122.092</v>
      </c>
      <c r="E277" s="31" t="n">
        <v>2610.009</v>
      </c>
      <c r="F277" s="31" t="n">
        <v>2819323</v>
      </c>
      <c r="G277" s="32" t="n">
        <v>22.8125</v>
      </c>
      <c r="H277" s="32" t="n">
        <v>607</v>
      </c>
    </row>
    <row r="278">
      <c r="A278" s="33" t="n"/>
      <c r="B278" s="34" t="n"/>
      <c r="C278" s="34" t="n"/>
      <c r="D278" s="34" t="n"/>
      <c r="E278" s="34" t="n"/>
      <c r="F278" s="34" t="n"/>
      <c r="G278" s="35" t="n"/>
      <c r="H278" s="35" t="n"/>
    </row>
    <row r="279">
      <c r="A279" s="33" t="n"/>
      <c r="B279" s="34" t="n"/>
      <c r="C279" s="34" t="n"/>
      <c r="D279" s="34" t="n"/>
      <c r="E279" s="34" t="n"/>
      <c r="F279" s="34" t="n"/>
      <c r="G279" s="35" t="n"/>
      <c r="H279" s="35" t="n"/>
    </row>
    <row r="280">
      <c r="A280" s="33" t="n"/>
      <c r="B280" s="34" t="n"/>
      <c r="C280" s="34" t="n"/>
      <c r="D280" s="34" t="n"/>
      <c r="E280" s="34" t="n"/>
      <c r="F280" s="34" t="n"/>
      <c r="G280" s="35" t="n"/>
      <c r="H280" s="35" t="n"/>
    </row>
    <row r="281">
      <c r="A281" s="33" t="n"/>
      <c r="B281" s="34" t="n"/>
      <c r="C281" s="34" t="n"/>
      <c r="D281" s="34" t="n"/>
      <c r="E281" s="34" t="n"/>
      <c r="F281" s="34" t="n"/>
      <c r="G281" s="35" t="n"/>
      <c r="H281" s="35" t="n"/>
    </row>
    <row r="282">
      <c r="A282" s="33" t="n"/>
      <c r="B282" s="34" t="n"/>
      <c r="C282" s="34" t="n"/>
      <c r="D282" s="34" t="n"/>
      <c r="E282" s="34" t="n"/>
      <c r="F282" s="34" t="n"/>
      <c r="G282" s="35" t="n"/>
      <c r="H282" s="35" t="n"/>
    </row>
    <row r="283">
      <c r="A283" s="33" t="n"/>
      <c r="B283" s="34" t="n"/>
      <c r="C283" s="34" t="n"/>
      <c r="D283" s="34" t="n"/>
      <c r="E283" s="34" t="n"/>
      <c r="F283" s="34" t="n"/>
      <c r="G283" s="35" t="n"/>
      <c r="H283" s="35" t="n"/>
    </row>
    <row r="284">
      <c r="A284" s="33" t="n"/>
      <c r="B284" s="34" t="n"/>
      <c r="C284" s="34" t="n"/>
      <c r="D284" s="34" t="n"/>
      <c r="E284" s="34" t="n"/>
      <c r="F284" s="34" t="n"/>
      <c r="G284" s="35" t="n"/>
      <c r="H284" s="35" t="n"/>
    </row>
    <row r="285">
      <c r="A285" s="33" t="n"/>
      <c r="B285" s="34" t="n"/>
      <c r="C285" s="34" t="n"/>
      <c r="D285" s="34" t="n"/>
      <c r="E285" s="34" t="n"/>
      <c r="F285" s="34" t="n"/>
      <c r="G285" s="35" t="n"/>
      <c r="H285" s="35" t="n"/>
    </row>
    <row r="286">
      <c r="A286" s="33" t="n"/>
      <c r="B286" s="34" t="n"/>
      <c r="C286" s="34" t="n"/>
      <c r="D286" s="34" t="n"/>
      <c r="E286" s="34" t="n"/>
      <c r="F286" s="34" t="n"/>
      <c r="G286" s="35" t="n"/>
      <c r="H286" s="35" t="n"/>
    </row>
    <row r="287">
      <c r="A287" s="33" t="n"/>
      <c r="B287" s="34" t="n"/>
      <c r="C287" s="34" t="n"/>
      <c r="D287" s="34" t="n"/>
      <c r="E287" s="34" t="n"/>
      <c r="F287" s="34" t="n"/>
      <c r="G287" s="35" t="n"/>
      <c r="H287" s="35" t="n"/>
    </row>
    <row r="288">
      <c r="A288" s="33" t="n"/>
      <c r="B288" s="34" t="n"/>
      <c r="C288" s="34" t="n"/>
      <c r="D288" s="34" t="n"/>
      <c r="E288" s="34" t="n"/>
      <c r="F288" s="34" t="n"/>
      <c r="G288" s="35" t="n"/>
      <c r="H288" s="35" t="n"/>
    </row>
    <row r="289">
      <c r="A289" s="33" t="n"/>
      <c r="B289" s="34" t="n"/>
      <c r="C289" s="34" t="n"/>
      <c r="D289" s="34" t="n"/>
      <c r="E289" s="34" t="n"/>
      <c r="F289" s="34" t="n"/>
      <c r="G289" s="35" t="n"/>
      <c r="H289" s="35" t="n"/>
    </row>
    <row r="290">
      <c r="A290" s="33" t="n"/>
      <c r="B290" s="34" t="n"/>
      <c r="C290" s="34" t="n"/>
      <c r="D290" s="34" t="n"/>
      <c r="E290" s="34" t="n"/>
      <c r="F290" s="34" t="n"/>
      <c r="G290" s="35" t="n"/>
      <c r="H290" s="35" t="n"/>
    </row>
    <row r="291">
      <c r="A291" s="33" t="n"/>
      <c r="B291" s="34" t="n"/>
      <c r="C291" s="34" t="n"/>
      <c r="D291" s="34" t="n"/>
      <c r="E291" s="34" t="n"/>
      <c r="F291" s="34" t="n"/>
      <c r="G291" s="35" t="n"/>
      <c r="H291" s="35" t="n"/>
    </row>
    <row r="292">
      <c r="A292" s="33" t="n"/>
      <c r="B292" s="34" t="n"/>
      <c r="C292" s="34" t="n"/>
      <c r="D292" s="34" t="n"/>
      <c r="E292" s="34" t="n"/>
      <c r="F292" s="34" t="n"/>
      <c r="G292" s="35" t="n"/>
      <c r="H292" s="35" t="n"/>
    </row>
    <row r="293">
      <c r="A293" s="33" t="n"/>
      <c r="B293" s="34" t="n"/>
      <c r="C293" s="34" t="n"/>
      <c r="D293" s="34" t="n"/>
      <c r="E293" s="34" t="n"/>
      <c r="F293" s="34" t="n"/>
      <c r="G293" s="35" t="n"/>
      <c r="H293" s="35" t="n"/>
    </row>
    <row r="294">
      <c r="A294" s="33" t="n"/>
      <c r="B294" s="34" t="n"/>
      <c r="C294" s="34" t="n"/>
      <c r="D294" s="34" t="n"/>
      <c r="E294" s="34" t="n"/>
      <c r="F294" s="34" t="n"/>
      <c r="G294" s="35" t="n"/>
      <c r="H294" s="35" t="n"/>
    </row>
    <row r="295">
      <c r="A295" s="33" t="n"/>
      <c r="B295" s="34" t="n"/>
      <c r="C295" s="34" t="n"/>
      <c r="D295" s="34" t="n"/>
      <c r="E295" s="34" t="n"/>
      <c r="F295" s="34" t="n"/>
      <c r="G295" s="35" t="n"/>
      <c r="H295" s="35" t="n"/>
    </row>
    <row r="296">
      <c r="A296" s="33" t="n"/>
      <c r="B296" s="34" t="n"/>
      <c r="C296" s="34" t="n"/>
      <c r="D296" s="34" t="n"/>
      <c r="E296" s="34" t="n"/>
      <c r="F296" s="34" t="n"/>
      <c r="G296" s="35" t="n"/>
      <c r="H296" s="35" t="n"/>
    </row>
    <row r="297">
      <c r="A297" s="33" t="n"/>
      <c r="B297" s="34" t="n"/>
      <c r="C297" s="34" t="n"/>
      <c r="D297" s="34" t="n"/>
      <c r="E297" s="34" t="n"/>
      <c r="F297" s="34" t="n"/>
      <c r="G297" s="35" t="n"/>
      <c r="H297" s="35" t="n"/>
    </row>
    <row r="298">
      <c r="A298" s="33" t="n"/>
      <c r="B298" s="34" t="n"/>
      <c r="C298" s="34" t="n"/>
      <c r="D298" s="34" t="n"/>
      <c r="E298" s="34" t="n"/>
      <c r="F298" s="34" t="n"/>
      <c r="G298" s="35" t="n"/>
      <c r="H298" s="35" t="n"/>
    </row>
    <row r="299">
      <c r="A299" s="33" t="n"/>
      <c r="B299" s="34" t="n"/>
      <c r="C299" s="34" t="n"/>
      <c r="D299" s="34" t="n"/>
      <c r="E299" s="34" t="n"/>
      <c r="F299" s="34" t="n"/>
      <c r="G299" s="35" t="n"/>
      <c r="H299" s="35" t="n"/>
    </row>
    <row r="300">
      <c r="A300" s="33" t="n"/>
      <c r="B300" s="34" t="n"/>
      <c r="C300" s="34" t="n"/>
      <c r="D300" s="34" t="n"/>
      <c r="E300" s="34" t="n"/>
      <c r="F300" s="34" t="n"/>
      <c r="G300" s="35" t="n"/>
      <c r="H300" s="35" t="n"/>
    </row>
    <row r="301">
      <c r="A301" s="33" t="n"/>
      <c r="B301" s="34" t="n"/>
      <c r="C301" s="34" t="n"/>
      <c r="D301" s="34" t="n"/>
      <c r="E301" s="34" t="n"/>
      <c r="F301" s="34" t="n"/>
      <c r="G301" s="35" t="n"/>
      <c r="H301" s="35" t="n"/>
    </row>
    <row r="302">
      <c r="A302" s="33" t="n"/>
      <c r="B302" s="34" t="n"/>
      <c r="C302" s="34" t="n"/>
      <c r="D302" s="34" t="n"/>
      <c r="E302" s="34" t="n"/>
      <c r="F302" s="34" t="n"/>
      <c r="G302" s="35" t="n"/>
      <c r="H302" s="35" t="n"/>
    </row>
    <row r="303">
      <c r="A303" s="33" t="n"/>
      <c r="B303" s="34" t="n"/>
      <c r="C303" s="34" t="n"/>
      <c r="D303" s="34" t="n"/>
      <c r="E303" s="34" t="n"/>
      <c r="F303" s="34" t="n"/>
      <c r="G303" s="35" t="n"/>
      <c r="H303" s="35" t="n"/>
    </row>
    <row r="304">
      <c r="A304" s="33" t="n"/>
      <c r="B304" s="34" t="n"/>
      <c r="C304" s="34" t="n"/>
      <c r="D304" s="34" t="n"/>
      <c r="E304" s="34" t="n"/>
      <c r="F304" s="34" t="n"/>
      <c r="G304" s="35" t="n"/>
      <c r="H304" s="35" t="n"/>
    </row>
    <row r="305">
      <c r="A305" s="33" t="n"/>
      <c r="B305" s="34" t="n"/>
      <c r="C305" s="34" t="n"/>
      <c r="D305" s="34" t="n"/>
      <c r="E305" s="34" t="n"/>
      <c r="F305" s="34" t="n"/>
      <c r="G305" s="35" t="n"/>
      <c r="H305" s="35" t="n"/>
    </row>
    <row r="306">
      <c r="A306" s="33" t="n"/>
      <c r="B306" s="34" t="n"/>
      <c r="C306" s="34" t="n"/>
      <c r="D306" s="34" t="n"/>
      <c r="E306" s="34" t="n"/>
      <c r="F306" s="34" t="n"/>
      <c r="G306" s="35" t="n"/>
      <c r="H306" s="35" t="n"/>
    </row>
    <row r="307">
      <c r="A307" s="33" t="n"/>
      <c r="B307" s="34" t="n"/>
      <c r="C307" s="34" t="n"/>
      <c r="D307" s="34" t="n"/>
      <c r="E307" s="34" t="n"/>
      <c r="F307" s="34" t="n"/>
      <c r="G307" s="35" t="n"/>
      <c r="H307" s="35" t="n"/>
    </row>
    <row r="308">
      <c r="A308" s="33" t="n"/>
      <c r="B308" s="34" t="n"/>
      <c r="C308" s="34" t="n"/>
      <c r="D308" s="34" t="n"/>
      <c r="E308" s="34" t="n"/>
      <c r="F308" s="34" t="n"/>
      <c r="G308" s="35" t="n"/>
      <c r="H308" s="35" t="n"/>
    </row>
    <row r="309">
      <c r="A309" s="33" t="n"/>
      <c r="B309" s="34" t="n"/>
      <c r="C309" s="34" t="n"/>
      <c r="D309" s="34" t="n"/>
      <c r="E309" s="34" t="n"/>
      <c r="F309" s="34" t="n"/>
      <c r="G309" s="35" t="n"/>
      <c r="H309" s="35" t="n"/>
    </row>
    <row r="310">
      <c r="A310" s="33" t="n"/>
      <c r="B310" s="34" t="n"/>
      <c r="C310" s="34" t="n"/>
      <c r="D310" s="34" t="n"/>
      <c r="E310" s="34" t="n"/>
      <c r="F310" s="34" t="n"/>
      <c r="G310" s="35" t="n"/>
      <c r="H310" s="35" t="n"/>
    </row>
    <row r="311">
      <c r="A311" s="33" t="n"/>
      <c r="B311" s="34" t="n"/>
      <c r="C311" s="34" t="n"/>
      <c r="D311" s="34" t="n"/>
      <c r="E311" s="34" t="n"/>
      <c r="F311" s="34" t="n"/>
      <c r="G311" s="35" t="n"/>
      <c r="H311" s="35" t="n"/>
    </row>
    <row r="312">
      <c r="A312" s="33" t="n"/>
      <c r="B312" s="34" t="n"/>
      <c r="C312" s="34" t="n"/>
      <c r="D312" s="34" t="n"/>
      <c r="E312" s="34" t="n"/>
      <c r="F312" s="34" t="n"/>
      <c r="G312" s="35" t="n"/>
      <c r="H312" s="35" t="n"/>
    </row>
    <row r="313">
      <c r="A313" s="33" t="n"/>
      <c r="B313" s="34" t="n"/>
      <c r="C313" s="34" t="n"/>
      <c r="D313" s="34" t="n"/>
      <c r="E313" s="34" t="n"/>
      <c r="F313" s="34" t="n"/>
      <c r="G313" s="35" t="n"/>
      <c r="H313" s="35" t="n"/>
    </row>
    <row r="314">
      <c r="A314" s="33" t="n"/>
      <c r="B314" s="34" t="n"/>
      <c r="C314" s="34" t="n"/>
      <c r="D314" s="34" t="n"/>
      <c r="E314" s="34" t="n"/>
      <c r="F314" s="34" t="n"/>
      <c r="G314" s="35" t="n"/>
      <c r="H314" s="35" t="n"/>
    </row>
    <row r="315">
      <c r="A315" s="33" t="n"/>
      <c r="B315" s="34" t="n"/>
      <c r="C315" s="34" t="n"/>
      <c r="D315" s="34" t="n"/>
      <c r="E315" s="34" t="n"/>
      <c r="F315" s="34" t="n"/>
      <c r="G315" s="35" t="n"/>
      <c r="H315" s="35" t="n"/>
    </row>
    <row r="316">
      <c r="A316" s="33" t="n"/>
      <c r="B316" s="34" t="n"/>
      <c r="C316" s="34" t="n"/>
      <c r="D316" s="34" t="n"/>
      <c r="E316" s="34" t="n"/>
      <c r="F316" s="34" t="n"/>
      <c r="G316" s="35" t="n"/>
      <c r="H316" s="35" t="n"/>
    </row>
    <row r="317">
      <c r="A317" s="33" t="n"/>
      <c r="B317" s="34" t="n"/>
      <c r="C317" s="34" t="n"/>
      <c r="D317" s="34" t="n"/>
      <c r="E317" s="34" t="n"/>
      <c r="F317" s="34" t="n"/>
      <c r="G317" s="35" t="n"/>
      <c r="H317" s="35" t="n"/>
    </row>
    <row r="318">
      <c r="A318" s="33" t="n"/>
      <c r="B318" s="34" t="n"/>
      <c r="C318" s="34" t="n"/>
      <c r="D318" s="34" t="n"/>
      <c r="E318" s="34" t="n"/>
      <c r="F318" s="34" t="n"/>
      <c r="G318" s="35" t="n"/>
      <c r="H318" s="35" t="n"/>
    </row>
    <row r="319">
      <c r="A319" s="33" t="n"/>
      <c r="B319" s="34" t="n"/>
      <c r="C319" s="34" t="n"/>
      <c r="D319" s="34" t="n"/>
      <c r="E319" s="34" t="n"/>
      <c r="F319" s="34" t="n"/>
      <c r="G319" s="35" t="n"/>
      <c r="H319" s="35" t="n"/>
    </row>
    <row r="320">
      <c r="A320" s="33" t="n"/>
      <c r="B320" s="34" t="n"/>
      <c r="C320" s="34" t="n"/>
      <c r="D320" s="34" t="n"/>
      <c r="E320" s="34" t="n"/>
      <c r="F320" s="34" t="n"/>
      <c r="G320" s="35" t="n"/>
      <c r="H320" s="35" t="n"/>
    </row>
    <row r="321">
      <c r="A321" s="33" t="n"/>
      <c r="B321" s="34" t="n"/>
      <c r="C321" s="34" t="n"/>
      <c r="D321" s="34" t="n"/>
      <c r="E321" s="34" t="n"/>
      <c r="F321" s="34" t="n"/>
      <c r="G321" s="35" t="n"/>
      <c r="H321" s="35" t="n"/>
    </row>
    <row r="322">
      <c r="A322" s="33" t="n"/>
      <c r="B322" s="34" t="n"/>
      <c r="C322" s="34" t="n"/>
      <c r="D322" s="34" t="n"/>
      <c r="E322" s="34" t="n"/>
      <c r="F322" s="34" t="n"/>
      <c r="G322" s="35" t="n"/>
      <c r="H322" s="35" t="n"/>
    </row>
    <row r="323">
      <c r="A323" s="33" t="n"/>
      <c r="B323" s="34" t="n"/>
      <c r="C323" s="34" t="n"/>
      <c r="D323" s="34" t="n"/>
      <c r="E323" s="34" t="n"/>
      <c r="F323" s="34" t="n"/>
      <c r="G323" s="35" t="n"/>
      <c r="H323" s="35" t="n"/>
    </row>
    <row r="324">
      <c r="A324" s="33" t="n"/>
      <c r="B324" s="34" t="n"/>
      <c r="C324" s="34" t="n"/>
      <c r="D324" s="34" t="n"/>
      <c r="E324" s="34" t="n"/>
      <c r="F324" s="34" t="n"/>
      <c r="G324" s="35" t="n"/>
      <c r="H324" s="35" t="n"/>
    </row>
    <row r="325">
      <c r="A325" s="33" t="n"/>
      <c r="B325" s="34" t="n"/>
      <c r="C325" s="34" t="n"/>
      <c r="D325" s="34" t="n"/>
      <c r="E325" s="34" t="n"/>
      <c r="F325" s="34" t="n"/>
      <c r="G325" s="35" t="n"/>
      <c r="H325" s="35" t="n"/>
    </row>
    <row r="326">
      <c r="A326" s="33" t="n"/>
      <c r="B326" s="34" t="n"/>
      <c r="C326" s="34" t="n"/>
      <c r="D326" s="34" t="n"/>
      <c r="E326" s="34" t="n"/>
      <c r="F326" s="34" t="n"/>
      <c r="G326" s="35" t="n"/>
      <c r="H326" s="35" t="n"/>
    </row>
    <row r="327">
      <c r="A327" s="33" t="n"/>
      <c r="B327" s="34" t="n"/>
      <c r="C327" s="34" t="n"/>
      <c r="D327" s="34" t="n"/>
      <c r="E327" s="34" t="n"/>
      <c r="F327" s="34" t="n"/>
      <c r="G327" s="35" t="n"/>
      <c r="H327" s="35" t="n"/>
    </row>
    <row r="328">
      <c r="A328" s="33" t="n"/>
      <c r="B328" s="34" t="n"/>
      <c r="C328" s="34" t="n"/>
      <c r="D328" s="34" t="n"/>
      <c r="E328" s="34" t="n"/>
      <c r="F328" s="34" t="n"/>
      <c r="G328" s="35" t="n"/>
      <c r="H328" s="35" t="n"/>
    </row>
    <row r="329">
      <c r="A329" s="33" t="n"/>
      <c r="B329" s="34" t="n"/>
      <c r="C329" s="34" t="n"/>
      <c r="D329" s="34" t="n"/>
      <c r="E329" s="34" t="n"/>
      <c r="F329" s="34" t="n"/>
      <c r="G329" s="35" t="n"/>
      <c r="H329" s="35" t="n"/>
    </row>
    <row r="330">
      <c r="A330" s="33" t="n"/>
      <c r="B330" s="34" t="n"/>
      <c r="C330" s="34" t="n"/>
      <c r="D330" s="34" t="n"/>
      <c r="E330" s="34" t="n"/>
      <c r="F330" s="34" t="n"/>
      <c r="G330" s="35" t="n"/>
      <c r="H330" s="35" t="n"/>
    </row>
    <row r="331">
      <c r="A331" s="33" t="n"/>
      <c r="B331" s="34" t="n"/>
      <c r="C331" s="34" t="n"/>
      <c r="D331" s="34" t="n"/>
      <c r="E331" s="34" t="n"/>
      <c r="F331" s="34" t="n"/>
      <c r="G331" s="35" t="n"/>
      <c r="H331" s="35" t="n"/>
    </row>
    <row r="332">
      <c r="A332" s="33" t="n"/>
      <c r="B332" s="34" t="n"/>
      <c r="C332" s="34" t="n"/>
      <c r="D332" s="34" t="n"/>
      <c r="E332" s="34" t="n"/>
      <c r="F332" s="34" t="n"/>
      <c r="G332" s="35" t="n"/>
      <c r="H332" s="35" t="n"/>
    </row>
    <row r="333">
      <c r="A333" s="33" t="n"/>
      <c r="B333" s="34" t="n"/>
      <c r="C333" s="34" t="n"/>
      <c r="D333" s="34" t="n"/>
      <c r="E333" s="34" t="n"/>
      <c r="F333" s="34" t="n"/>
      <c r="G333" s="35" t="n"/>
      <c r="H333" s="35" t="n"/>
    </row>
    <row r="334">
      <c r="A334" s="33" t="n"/>
      <c r="B334" s="34" t="n"/>
      <c r="C334" s="34" t="n"/>
      <c r="D334" s="34" t="n"/>
      <c r="E334" s="34" t="n"/>
      <c r="F334" s="34" t="n"/>
      <c r="G334" s="35" t="n"/>
      <c r="H334" s="35" t="n"/>
    </row>
    <row r="335">
      <c r="A335" s="33" t="n"/>
      <c r="B335" s="34" t="n"/>
      <c r="C335" s="34" t="n"/>
      <c r="D335" s="34" t="n"/>
      <c r="E335" s="34" t="n"/>
      <c r="F335" s="34" t="n"/>
      <c r="G335" s="35" t="n"/>
      <c r="H335" s="35" t="n"/>
    </row>
    <row r="336">
      <c r="A336" s="33" t="n"/>
      <c r="B336" s="34" t="n"/>
      <c r="C336" s="34" t="n"/>
      <c r="D336" s="34" t="n"/>
      <c r="E336" s="34" t="n"/>
      <c r="F336" s="34" t="n"/>
      <c r="G336" s="35" t="n"/>
      <c r="H336" s="35" t="n"/>
    </row>
    <row r="337">
      <c r="A337" s="33" t="n"/>
      <c r="B337" s="34" t="n"/>
      <c r="C337" s="34" t="n"/>
      <c r="D337" s="34" t="n"/>
      <c r="E337" s="34" t="n"/>
      <c r="F337" s="34" t="n"/>
      <c r="G337" s="35" t="n"/>
      <c r="H337" s="35" t="n"/>
    </row>
    <row r="338">
      <c r="A338" s="33" t="n"/>
      <c r="B338" s="34" t="n"/>
      <c r="C338" s="34" t="n"/>
      <c r="D338" s="34" t="n"/>
      <c r="E338" s="34" t="n"/>
      <c r="F338" s="34" t="n"/>
      <c r="G338" s="35" t="n"/>
      <c r="H338" s="35" t="n"/>
    </row>
    <row r="339">
      <c r="A339" s="33" t="n"/>
      <c r="B339" s="34" t="n"/>
      <c r="C339" s="34" t="n"/>
      <c r="D339" s="34" t="n"/>
      <c r="E339" s="34" t="n"/>
      <c r="F339" s="34" t="n"/>
      <c r="G339" s="35" t="n"/>
      <c r="H339" s="35" t="n"/>
    </row>
    <row r="340">
      <c r="A340" s="33" t="n"/>
      <c r="B340" s="34" t="n"/>
      <c r="C340" s="34" t="n"/>
      <c r="D340" s="34" t="n"/>
      <c r="E340" s="34" t="n"/>
      <c r="F340" s="34" t="n"/>
      <c r="G340" s="35" t="n"/>
      <c r="H340" s="35" t="n"/>
    </row>
    <row r="341">
      <c r="A341" s="33" t="n"/>
      <c r="B341" s="34" t="n"/>
      <c r="C341" s="34" t="n"/>
      <c r="D341" s="34" t="n"/>
      <c r="E341" s="34" t="n"/>
      <c r="F341" s="34" t="n"/>
      <c r="G341" s="35" t="n"/>
      <c r="H341" s="35" t="n"/>
    </row>
    <row r="342">
      <c r="A342" s="33" t="n"/>
      <c r="B342" s="34" t="n"/>
      <c r="C342" s="34" t="n"/>
      <c r="D342" s="34" t="n"/>
      <c r="E342" s="34" t="n"/>
      <c r="F342" s="34" t="n"/>
      <c r="G342" s="35" t="n"/>
      <c r="H342" s="35" t="n"/>
    </row>
    <row r="343">
      <c r="A343" s="33" t="n"/>
      <c r="B343" s="34" t="n"/>
      <c r="C343" s="34" t="n"/>
      <c r="D343" s="34" t="n"/>
      <c r="E343" s="34" t="n"/>
      <c r="F343" s="34" t="n"/>
      <c r="G343" s="35" t="n"/>
      <c r="H343" s="35" t="n"/>
    </row>
    <row r="344">
      <c r="A344" s="33" t="n"/>
      <c r="B344" s="34" t="n"/>
      <c r="C344" s="34" t="n"/>
      <c r="D344" s="34" t="n"/>
      <c r="E344" s="34" t="n"/>
      <c r="F344" s="34" t="n"/>
      <c r="G344" s="35" t="n"/>
      <c r="H344" s="35" t="n"/>
    </row>
    <row r="345">
      <c r="A345" s="33" t="n"/>
      <c r="B345" s="34" t="n"/>
      <c r="C345" s="34" t="n"/>
      <c r="D345" s="34" t="n"/>
      <c r="E345" s="34" t="n"/>
      <c r="F345" s="34" t="n"/>
      <c r="G345" s="35" t="n"/>
      <c r="H345" s="35" t="n"/>
    </row>
    <row r="346">
      <c r="A346" s="33" t="n"/>
      <c r="B346" s="34" t="n"/>
      <c r="C346" s="34" t="n"/>
      <c r="D346" s="34" t="n"/>
      <c r="E346" s="34" t="n"/>
      <c r="F346" s="34" t="n"/>
      <c r="G346" s="35" t="n"/>
      <c r="H346" s="35" t="n"/>
    </row>
    <row r="347">
      <c r="A347" s="33" t="n"/>
      <c r="B347" s="34" t="n"/>
      <c r="C347" s="34" t="n"/>
      <c r="D347" s="34" t="n"/>
      <c r="E347" s="34" t="n"/>
      <c r="F347" s="34" t="n"/>
      <c r="G347" s="35" t="n"/>
      <c r="H347" s="35" t="n"/>
    </row>
    <row r="348">
      <c r="A348" s="33" t="n"/>
      <c r="B348" s="34" t="n"/>
      <c r="C348" s="34" t="n"/>
      <c r="D348" s="34" t="n"/>
      <c r="E348" s="34" t="n"/>
      <c r="F348" s="34" t="n"/>
      <c r="G348" s="35" t="n"/>
      <c r="H348" s="35" t="n"/>
    </row>
    <row r="349">
      <c r="A349" s="33" t="n"/>
      <c r="B349" s="34" t="n"/>
      <c r="C349" s="34" t="n"/>
      <c r="D349" s="34" t="n"/>
      <c r="E349" s="34" t="n"/>
      <c r="F349" s="34" t="n"/>
      <c r="G349" s="35" t="n"/>
      <c r="H349" s="35" t="n"/>
    </row>
    <row r="350">
      <c r="A350" s="33" t="n"/>
      <c r="B350" s="34" t="n"/>
      <c r="C350" s="34" t="n"/>
      <c r="D350" s="34" t="n"/>
      <c r="E350" s="34" t="n"/>
      <c r="F350" s="34" t="n"/>
      <c r="G350" s="35" t="n"/>
      <c r="H350" s="35" t="n"/>
    </row>
    <row r="351">
      <c r="A351" s="33" t="n"/>
      <c r="B351" s="34" t="n"/>
      <c r="C351" s="34" t="n"/>
      <c r="D351" s="34" t="n"/>
      <c r="E351" s="34" t="n"/>
      <c r="F351" s="34" t="n"/>
      <c r="G351" s="35" t="n"/>
      <c r="H351" s="35" t="n"/>
    </row>
    <row r="352">
      <c r="A352" s="33" t="n"/>
      <c r="B352" s="34" t="n"/>
      <c r="C352" s="34" t="n"/>
      <c r="D352" s="34" t="n"/>
      <c r="E352" s="34" t="n"/>
      <c r="F352" s="34" t="n"/>
      <c r="G352" s="35" t="n"/>
      <c r="H352" s="35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352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8" customWidth="1" min="40" max="40"/>
    <col width="8" customWidth="1" min="41" max="41"/>
    <col width="12" customWidth="1" min="42" max="42"/>
    <col width="8" customWidth="1" min="43" max="43"/>
    <col width="8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>
      <c r="A1" s="1" t="inlineStr">
        <is>
          <t>Cálculo de la regla H_OVR3 (fórmulas; no editar)</t>
        </is>
      </c>
    </row>
    <row r="2">
      <c r="A2" s="2" t="inlineStr">
        <is>
          <t>Cada columna replica una línea del código Python. Columnas 'f' = 1 si el dato existe; columnas 'v' = valor numérico (0 si falta) para las ventanas móviles.</t>
        </is>
      </c>
    </row>
    <row r="3">
      <c r="A3" s="5" t="inlineStr">
        <is>
          <t>Fecha</t>
        </is>
      </c>
      <c r="B3" s="5" t="inlineStr">
        <is>
          <t>Retornos locales</t>
        </is>
      </c>
      <c r="C3" s="6" t="n"/>
      <c r="D3" s="6" t="n"/>
      <c r="E3" s="6" t="n"/>
      <c r="F3" s="6" t="n"/>
      <c r="G3" s="6" t="n"/>
      <c r="H3" s="6" t="n"/>
      <c r="I3" s="5" t="inlineStr">
        <is>
          <t>Tasa libre de riesgo</t>
        </is>
      </c>
      <c r="J3" s="6" t="n"/>
      <c r="K3" s="5" t="inlineStr">
        <is>
          <t>Spread ajustado por β (T2)</t>
        </is>
      </c>
      <c r="L3" s="6" t="n"/>
      <c r="M3" s="6" t="n"/>
      <c r="N3" s="6" t="n"/>
      <c r="O3" s="6" t="n"/>
      <c r="P3" s="6" t="n"/>
      <c r="Q3" s="6" t="n"/>
      <c r="R3" s="5" t="inlineStr">
        <is>
          <t>β bancos vs Merval</t>
        </is>
      </c>
      <c r="S3" s="6" t="n"/>
      <c r="T3" s="6" t="n"/>
      <c r="U3" s="6" t="n"/>
      <c r="V3" s="6" t="n"/>
      <c r="W3" s="6" t="n"/>
      <c r="X3" s="5" t="inlineStr">
        <is>
          <t>Regresión vs EMBI</t>
        </is>
      </c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5" t="inlineStr">
        <is>
          <t>Gap y señal</t>
        </is>
      </c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5" t="inlineStr">
        <is>
          <t>Posición</t>
        </is>
      </c>
      <c r="AY3" s="6" t="n"/>
      <c r="AZ3" s="6" t="n"/>
      <c r="BA3" s="5" t="inlineStr">
        <is>
          <t>Resultado</t>
        </is>
      </c>
      <c r="BB3" s="6" t="n"/>
      <c r="BC3" s="6" t="n"/>
      <c r="BD3" s="6" t="n"/>
      <c r="BE3" s="6" t="n"/>
      <c r="BF3" s="6" t="n"/>
      <c r="BG3" s="5" t="inlineStr">
        <is>
          <t>Seguimiento</t>
        </is>
      </c>
      <c r="BH3" s="6" t="n"/>
      <c r="BI3" s="6" t="n"/>
      <c r="BJ3" s="5" t="inlineStr">
        <is>
          <t>Gráfico</t>
        </is>
      </c>
      <c r="BK3" s="6" t="n"/>
      <c r="BL3" s="6" t="n"/>
    </row>
    <row r="4">
      <c r="A4" s="19" t="inlineStr">
        <is>
          <t>Fecha</t>
        </is>
      </c>
      <c r="B4" s="19" t="inlineStr">
        <is>
          <t>r GGAL</t>
        </is>
      </c>
      <c r="C4" s="19" t="inlineStr">
        <is>
          <t>r BBAR</t>
        </is>
      </c>
      <c r="D4" s="19" t="inlineStr">
        <is>
          <t>r BMA</t>
        </is>
      </c>
      <c r="E4" s="19" t="inlineStr">
        <is>
          <t>r SUPV</t>
        </is>
      </c>
      <c r="F4" s="19" t="inlineStr">
        <is>
          <t>N bancos</t>
        </is>
      </c>
      <c r="G4" s="19" t="inlineStr">
        <is>
          <t>r bancos (EW)</t>
        </is>
      </c>
      <c r="H4" s="19" t="inlineStr">
        <is>
          <t>r Merval</t>
        </is>
      </c>
      <c r="I4" s="19" t="inlineStr">
        <is>
          <t>Badlar (ffill)</t>
        </is>
      </c>
      <c r="J4" s="19" t="inlineStr">
        <is>
          <t>rf (log, mes)</t>
        </is>
      </c>
      <c r="K4" s="19" t="inlineStr">
        <is>
          <t>ln(1+r bancos) − rf</t>
        </is>
      </c>
      <c r="L4" s="19" t="inlineStr">
        <is>
          <t>ln(1+r Merval) − rf</t>
        </is>
      </c>
      <c r="M4" s="19" t="inlineStr">
        <is>
          <t>f XB</t>
        </is>
      </c>
      <c r="N4" s="19" t="inlineStr">
        <is>
          <t>v XB</t>
        </is>
      </c>
      <c r="O4" s="19" t="inlineStr">
        <is>
          <t>f XM</t>
        </is>
      </c>
      <c r="P4" s="19" t="inlineStr">
        <is>
          <t>v XM</t>
        </is>
      </c>
      <c r="Q4" s="19" t="inlineStr">
        <is>
          <t>f par</t>
        </is>
      </c>
      <c r="R4" s="19" t="inlineStr">
        <is>
          <t>n pares (36m, t−1)</t>
        </is>
      </c>
      <c r="S4" s="19" t="inlineStr">
        <is>
          <t>cov (36m, t−1)</t>
        </is>
      </c>
      <c r="T4" s="19" t="inlineStr">
        <is>
          <t>n Merval (36m, t−1)</t>
        </is>
      </c>
      <c r="U4" s="19" t="inlineStr">
        <is>
          <t>var Merval (36m, t−1)</t>
        </is>
      </c>
      <c r="V4" s="19" t="inlineStr">
        <is>
          <t>β</t>
        </is>
      </c>
      <c r="W4" s="19" t="inlineStr">
        <is>
          <t>T2 = XB − β·XM</t>
        </is>
      </c>
      <c r="X4" s="19" t="inlineStr">
        <is>
          <t>Δ ln EMBI</t>
        </is>
      </c>
      <c r="Y4" s="19" t="inlineStr">
        <is>
          <t>f T2</t>
        </is>
      </c>
      <c r="Z4" s="19" t="inlineStr">
        <is>
          <t>v T2</t>
        </is>
      </c>
      <c r="AA4" s="19" t="inlineStr">
        <is>
          <t>f ΔEMBI</t>
        </is>
      </c>
      <c r="AB4" s="19" t="inlineStr">
        <is>
          <t>v ΔEMBI</t>
        </is>
      </c>
      <c r="AC4" s="19" t="inlineStr">
        <is>
          <t>f par</t>
        </is>
      </c>
      <c r="AD4" s="19" t="inlineStr">
        <is>
          <t>n pares (36m, t−1)</t>
        </is>
      </c>
      <c r="AE4" s="19" t="inlineStr">
        <is>
          <t>cov(T2, ΔEMBI)</t>
        </is>
      </c>
      <c r="AF4" s="19" t="inlineStr">
        <is>
          <t>n ΔEMBI</t>
        </is>
      </c>
      <c r="AG4" s="19" t="inlineStr">
        <is>
          <t>var ΔEMBI</t>
        </is>
      </c>
      <c r="AH4" s="19" t="inlineStr">
        <is>
          <t>n T2</t>
        </is>
      </c>
      <c r="AI4" s="19" t="inlineStr">
        <is>
          <t>media T2</t>
        </is>
      </c>
      <c r="AJ4" s="19" t="inlineStr">
        <is>
          <t>media ΔEMBI</t>
        </is>
      </c>
      <c r="AK4" s="19" t="inlineStr">
        <is>
          <t>β_E</t>
        </is>
      </c>
      <c r="AL4" s="19" t="inlineStr">
        <is>
          <t>a_E</t>
        </is>
      </c>
      <c r="AM4" s="19" t="inlineStr">
        <is>
          <t>residuo e = T2 − (a + β_E·ΔEMBI)</t>
        </is>
      </c>
      <c r="AN4" s="19" t="inlineStr">
        <is>
          <t>f e</t>
        </is>
      </c>
      <c r="AO4" s="19" t="inlineStr">
        <is>
          <t>v e</t>
        </is>
      </c>
      <c r="AP4" s="19" t="inlineStr">
        <is>
          <t>gap 3m</t>
        </is>
      </c>
      <c r="AQ4" s="19" t="inlineStr">
        <is>
          <t>f gap</t>
        </is>
      </c>
      <c r="AR4" s="19" t="inlineStr">
        <is>
          <t>v gap</t>
        </is>
      </c>
      <c r="AS4" s="19" t="inlineStr">
        <is>
          <t>n gap (expansivo)</t>
        </is>
      </c>
      <c r="AT4" s="19" t="inlineStr">
        <is>
          <t>media gap (expansiva)</t>
        </is>
      </c>
      <c r="AU4" s="19" t="inlineStr">
        <is>
          <t>desvío gap (expansivo)</t>
        </is>
      </c>
      <c r="AV4" s="19" t="inlineStr">
        <is>
          <t>z gap (±Z_CLIP)</t>
        </is>
      </c>
      <c r="AW4" s="19" t="inlineStr">
        <is>
          <t>score = −z</t>
        </is>
      </c>
      <c r="AX4" s="19" t="inlineStr">
        <is>
          <t>m del mes = 1 + 0.2·tanh(score)</t>
        </is>
      </c>
      <c r="AY4" s="19" t="inlineStr">
        <is>
          <t>m a aplicar (prom. 3 meses)</t>
        </is>
      </c>
      <c r="AZ4" s="19" t="inlineStr">
        <is>
          <t>tilt = m − 1</t>
        </is>
      </c>
      <c r="BA4" s="19" t="inlineStr">
        <is>
          <t>activo bruto</t>
        </is>
      </c>
      <c r="BB4" s="19" t="inlineStr">
        <is>
          <t>costo</t>
        </is>
      </c>
      <c r="BC4" s="19" t="inlineStr">
        <is>
          <t>activo neto</t>
        </is>
      </c>
      <c r="BD4" s="19" t="inlineStr">
        <is>
          <t>era</t>
        </is>
      </c>
      <c r="BE4" s="19" t="inlineStr">
        <is>
          <t>neto era A</t>
        </is>
      </c>
      <c r="BF4" s="19" t="inlineStr">
        <is>
          <t>neto era B</t>
        </is>
      </c>
      <c r="BG4" s="19" t="inlineStr">
        <is>
          <t>en vivo (1/0)</t>
        </is>
      </c>
      <c r="BH4" s="19" t="inlineStr">
        <is>
          <t>neto en vivo</t>
        </is>
      </c>
      <c r="BI4" s="19" t="inlineStr">
        <is>
          <t>fila con señal</t>
        </is>
      </c>
      <c r="BJ4" s="19" t="inlineStr">
        <is>
          <t>acumulado total (pb) (NA en meses sin dato)</t>
        </is>
      </c>
      <c r="BK4" s="19" t="inlineStr">
        <is>
          <t>acumulado en vivo (pb) (NA en meses sin dato)</t>
        </is>
      </c>
      <c r="BL4" s="19" t="inlineStr">
        <is>
          <t>m a aplicar (gráfico) (NA en meses sin dato)</t>
        </is>
      </c>
    </row>
    <row r="5">
      <c r="A5" s="36">
        <f>IF(Datos!A5="","",Datos!A5)</f>
        <v/>
      </c>
      <c r="B5" s="37">
        <f>""</f>
        <v/>
      </c>
      <c r="C5" s="37">
        <f>""</f>
        <v/>
      </c>
      <c r="D5" s="37">
        <f>""</f>
        <v/>
      </c>
      <c r="E5" s="37">
        <f>""</f>
        <v/>
      </c>
      <c r="F5" s="38">
        <f>IF($A5="","",COUNT(B5:E5))</f>
        <v/>
      </c>
      <c r="G5" s="37">
        <f>IF($A5="","",IF(F5&gt;=MIN_BANCOS,AVERAGE(B5:E5),""))</f>
        <v/>
      </c>
      <c r="H5" s="37">
        <f>""</f>
        <v/>
      </c>
      <c r="I5" s="39">
        <f>IF($A5="","",IF(ISNUMBER(Datos!G5),Datos!G5,""))</f>
        <v/>
      </c>
      <c r="J5" s="40">
        <f>IF($A5="","",0)</f>
        <v/>
      </c>
      <c r="K5" s="40">
        <f>IF(ISNUMBER(G5),LN(1+G5)-J5,"")</f>
        <v/>
      </c>
      <c r="L5" s="40">
        <f>IF(ISNUMBER(H5),LN(1+H5)-J5,"")</f>
        <v/>
      </c>
      <c r="M5" s="38">
        <f>IF(ISNUMBER(K5),1,0)</f>
        <v/>
      </c>
      <c r="N5" s="40">
        <f>IF(M5=1,K5,0)</f>
        <v/>
      </c>
      <c r="O5" s="38">
        <f>IF(ISNUMBER(L5),1,0)</f>
        <v/>
      </c>
      <c r="P5" s="40">
        <f>IF(O5=1,L5,0)</f>
        <v/>
      </c>
      <c r="Q5" s="38">
        <f>M5*O5</f>
        <v/>
      </c>
      <c r="R5" s="38">
        <f>0</f>
        <v/>
      </c>
      <c r="S5" s="41">
        <f>""</f>
        <v/>
      </c>
      <c r="T5" s="38">
        <f>0</f>
        <v/>
      </c>
      <c r="U5" s="41">
        <f>""</f>
        <v/>
      </c>
      <c r="V5" s="40">
        <f>IF(OR(S5="",U5=""),"",S5/U5)</f>
        <v/>
      </c>
      <c r="W5" s="40">
        <f>IF(AND(ISNUMBER(K5),ISNUMBER(L5),ISNUMBER(V5)),K5-V5*L5,"")</f>
        <v/>
      </c>
      <c r="X5" s="40">
        <f>""</f>
        <v/>
      </c>
      <c r="Y5" s="38">
        <f>IF(ISNUMBER(W5),1,0)</f>
        <v/>
      </c>
      <c r="Z5" s="40">
        <f>IF(Y5=1,W5,0)</f>
        <v/>
      </c>
      <c r="AA5" s="38">
        <f>IF(ISNUMBER(X5),1,0)</f>
        <v/>
      </c>
      <c r="AB5" s="40">
        <f>IF(AA5=1,X5,0)</f>
        <v/>
      </c>
      <c r="AC5" s="38">
        <f>Y5*AA5</f>
        <v/>
      </c>
      <c r="AD5" s="38">
        <f>0</f>
        <v/>
      </c>
      <c r="AE5" s="41">
        <f>""</f>
        <v/>
      </c>
      <c r="AF5" s="38">
        <f>0</f>
        <v/>
      </c>
      <c r="AG5" s="41">
        <f>""</f>
        <v/>
      </c>
      <c r="AH5" s="38">
        <f>0</f>
        <v/>
      </c>
      <c r="AI5" s="40">
        <f>""</f>
        <v/>
      </c>
      <c r="AJ5" s="40">
        <f>""</f>
        <v/>
      </c>
      <c r="AK5" s="40">
        <f>IF(OR(AE5="",AG5=""),"",AE5/AG5)</f>
        <v/>
      </c>
      <c r="AL5" s="40">
        <f>IF(OR(AI5="",AK5="",AJ5=""),"",AI5-AK5*AJ5)</f>
        <v/>
      </c>
      <c r="AM5" s="40">
        <f>IF(AND(ISNUMBER(W5),ISNUMBER(X5),ISNUMBER(AK5),ISNUMBER(AL5)),W5-(AL5+AK5*X5),"")</f>
        <v/>
      </c>
      <c r="AN5" s="38">
        <f>IF(ISNUMBER(AM5),1,0)</f>
        <v/>
      </c>
      <c r="AO5" s="40">
        <f>IF(AN5=1,AM5,0)</f>
        <v/>
      </c>
      <c r="AP5" s="40">
        <f>""</f>
        <v/>
      </c>
      <c r="AQ5" s="38">
        <f>IF(ISNUMBER(AP5),1,0)</f>
        <v/>
      </c>
      <c r="AR5" s="40">
        <f>IF(AQ5=1,AP5,0)</f>
        <v/>
      </c>
      <c r="AS5" s="38">
        <f>SUM(AQ$5:AQ5)</f>
        <v/>
      </c>
      <c r="AT5" s="40">
        <f>IF(AS5&gt;=MIN_OBS_Z,SUMPRODUCT(AQ$5:AQ5,AR$5:AR5)/AS5,"")</f>
        <v/>
      </c>
      <c r="AU5" s="40">
        <f>IF(AS5&gt;=MIN_OBS_Z,SQRT(SUMPRODUCT(AQ$5:AQ5,(AR$5:AR5-AT5)^2)/(AS5-1)),"")</f>
        <v/>
      </c>
      <c r="AV5" s="40">
        <f>IF(AND(AQ5=1,ISNUMBER(AT5)),MAX(-Z_CLIP,MIN(Z_CLIP,(AR5-AT5)/AU5)),"")</f>
        <v/>
      </c>
      <c r="AW5" s="40">
        <f>IF(ISNUMBER(AV5),-AV5,"")</f>
        <v/>
      </c>
      <c r="AX5" s="40">
        <f>IF(ISNUMBER(AW5),1+AMPLITUD*TANH(AW5),"")</f>
        <v/>
      </c>
      <c r="AY5" s="40">
        <f>IF($A5="","",IF(COUNT(AX5:AX5)&gt;0,AVERAGE(AX5:AX5),""))</f>
        <v/>
      </c>
      <c r="AZ5" s="40">
        <f>IF(ISNUMBER(AY5),AY5-1,"")</f>
        <v/>
      </c>
      <c r="BA5" s="40">
        <f>""</f>
        <v/>
      </c>
      <c r="BB5" s="40">
        <f>0</f>
        <v/>
      </c>
      <c r="BC5" s="40">
        <f>IF(ISNUMBER(BA5),BA5-BB5,"")</f>
        <v/>
      </c>
      <c r="BD5" s="42">
        <f>IF(ISNUMBER(BC5),IF(A5&lt;=FECHA_ERA,"A","B"),"")</f>
        <v/>
      </c>
      <c r="BE5" s="40">
        <f>IF(BD5="A",BC5,"")</f>
        <v/>
      </c>
      <c r="BF5" s="40">
        <f>IF(BD5="B",BC5,"")</f>
        <v/>
      </c>
      <c r="BG5" s="38">
        <f>IF(AND(ISNUMBER(BC5),ISNUMBER(A5)),IF(A5&gt;=INICIO_VIVO,1,0),0)</f>
        <v/>
      </c>
      <c r="BH5" s="40">
        <f>IF(BG5=1,BC5,"")</f>
        <v/>
      </c>
      <c r="BI5" s="38">
        <f>IF(ISNUMBER(AY5),ROW(),0)</f>
        <v/>
      </c>
      <c r="BJ5" s="43">
        <f>IF(ISNUMBER(BC5),SUM(BC$5:BC5)*10000,NA())</f>
        <v/>
      </c>
      <c r="BK5" s="43">
        <f>IF(BG5=1,SUM(BH$5:BH5)*10000,NA())</f>
        <v/>
      </c>
      <c r="BL5" s="44">
        <f>IF(ISNUMBER(AY5),AY5,NA())</f>
        <v/>
      </c>
    </row>
    <row r="6">
      <c r="A6" s="36">
        <f>IF(Datos!A6="","",Datos!A6)</f>
        <v/>
      </c>
      <c r="B6" s="37">
        <f>IF(OR($A6="",NOT(ISNUMBER(Datos!B6)),NOT(ISNUMBER(Datos!B5))),"",Datos!B6/Datos!B5-1)</f>
        <v/>
      </c>
      <c r="C6" s="37">
        <f>IF(OR($A6="",NOT(ISNUMBER(Datos!C6)),NOT(ISNUMBER(Datos!C5))),"",Datos!C6/Datos!C5-1)</f>
        <v/>
      </c>
      <c r="D6" s="37">
        <f>IF(OR($A6="",NOT(ISNUMBER(Datos!D6)),NOT(ISNUMBER(Datos!D5))),"",Datos!D6/Datos!D5-1)</f>
        <v/>
      </c>
      <c r="E6" s="37">
        <f>IF(OR($A6="",NOT(ISNUMBER(Datos!E6)),NOT(ISNUMBER(Datos!E5))),"",Datos!E6/Datos!E5-1)</f>
        <v/>
      </c>
      <c r="F6" s="38">
        <f>IF($A6="","",COUNT(B6:E6))</f>
        <v/>
      </c>
      <c r="G6" s="37">
        <f>IF($A6="","",IF(F6&gt;=MIN_BANCOS,AVERAGE(B6:E6),""))</f>
        <v/>
      </c>
      <c r="H6" s="37">
        <f>IF(OR($A6="",NOT(ISNUMBER(Datos!F6)),NOT(ISNUMBER(Datos!F5))),"",Datos!F6/Datos!F5-1)</f>
        <v/>
      </c>
      <c r="I6" s="39">
        <f>IF($A6="","",IF(ISNUMBER(Datos!G6),Datos!G6,I5))</f>
        <v/>
      </c>
      <c r="J6" s="40">
        <f>IF($A6="","",IF(ISNUMBER(I5),LN(1+I5/100/12),0))</f>
        <v/>
      </c>
      <c r="K6" s="40">
        <f>IF(ISNUMBER(G6),LN(1+G6)-J6,"")</f>
        <v/>
      </c>
      <c r="L6" s="40">
        <f>IF(ISNUMBER(H6),LN(1+H6)-J6,"")</f>
        <v/>
      </c>
      <c r="M6" s="38">
        <f>IF(ISNUMBER(K6),1,0)</f>
        <v/>
      </c>
      <c r="N6" s="40">
        <f>IF(M6=1,K6,0)</f>
        <v/>
      </c>
      <c r="O6" s="38">
        <f>IF(ISNUMBER(L6),1,0)</f>
        <v/>
      </c>
      <c r="P6" s="40">
        <f>IF(O6=1,L6,0)</f>
        <v/>
      </c>
      <c r="Q6" s="38">
        <f>M6*O6</f>
        <v/>
      </c>
      <c r="R6" s="38">
        <f>SUM(Q5:Q5)</f>
        <v/>
      </c>
      <c r="S6" s="41">
        <f>IF(OR($A6="",R6&lt;MIN_OBS_ROLL),"",(SUMPRODUCT(Q5:Q5,N5:N5,P5:P5)/R6-SUMPRODUCT(Q5:Q5,N5:N5)/R6*SUMPRODUCT(Q5:Q5,P5:P5)/R6)*R6/(R6-1))</f>
        <v/>
      </c>
      <c r="T6" s="38">
        <f>SUM(O5:O5)</f>
        <v/>
      </c>
      <c r="U6" s="41">
        <f>IF(OR($A6="",T6&lt;MIN_OBS_ROLL),"",SUMPRODUCT(O5:O5,(P5:P5-SUMPRODUCT(O5:O5,P5:P5)/T6)^2)/(T6-1))</f>
        <v/>
      </c>
      <c r="V6" s="40">
        <f>IF(OR(S6="",U6=""),"",S6/U6)</f>
        <v/>
      </c>
      <c r="W6" s="40">
        <f>IF(AND(ISNUMBER(K6),ISNUMBER(L6),ISNUMBER(V6)),K6-V6*L6,"")</f>
        <v/>
      </c>
      <c r="X6" s="40">
        <f>IF(OR($A6="",NOT(ISNUMBER(Datos!H6)),NOT(ISNUMBER(Datos!H5))),"",LN(Datos!H6)-LN(Datos!H5))</f>
        <v/>
      </c>
      <c r="Y6" s="38">
        <f>IF(ISNUMBER(W6),1,0)</f>
        <v/>
      </c>
      <c r="Z6" s="40">
        <f>IF(Y6=1,W6,0)</f>
        <v/>
      </c>
      <c r="AA6" s="38">
        <f>IF(ISNUMBER(X6),1,0)</f>
        <v/>
      </c>
      <c r="AB6" s="40">
        <f>IF(AA6=1,X6,0)</f>
        <v/>
      </c>
      <c r="AC6" s="38">
        <f>Y6*AA6</f>
        <v/>
      </c>
      <c r="AD6" s="38">
        <f>SUM(AC5:AC5)</f>
        <v/>
      </c>
      <c r="AE6" s="41">
        <f>IF(OR($A6="",AD6&lt;MIN_OBS_ROLL),"",(SUMPRODUCT(AC5:AC5,Z5:Z5,AB5:AB5)/AD6-SUMPRODUCT(AC5:AC5,Z5:Z5)/AD6*SUMPRODUCT(AC5:AC5,AB5:AB5)/AD6)*AD6/(AD6-1))</f>
        <v/>
      </c>
      <c r="AF6" s="38">
        <f>SUM(AA5:AA5)</f>
        <v/>
      </c>
      <c r="AG6" s="41">
        <f>IF(OR($A6="",AF6&lt;MIN_OBS_ROLL),"",SUMPRODUCT(AA5:AA5,(AB5:AB5-SUMPRODUCT(AA5:AA5,AB5:AB5)/AF6)^2)/(AF6-1))</f>
        <v/>
      </c>
      <c r="AH6" s="38">
        <f>SUM(Y5:Y5)</f>
        <v/>
      </c>
      <c r="AI6" s="40">
        <f>IF(OR($A6="",AH6&lt;MIN_OBS_ROLL),"",SUMPRODUCT(Y5:Y5,Z5:Z5)/AH6)</f>
        <v/>
      </c>
      <c r="AJ6" s="40">
        <f>IF(OR($A6="",AF6&lt;MIN_OBS_ROLL),"",SUMPRODUCT(AA5:AA5,AB5:AB5)/AF6)</f>
        <v/>
      </c>
      <c r="AK6" s="40">
        <f>IF(OR(AE6="",AG6=""),"",AE6/AG6)</f>
        <v/>
      </c>
      <c r="AL6" s="40">
        <f>IF(OR(AI6="",AK6="",AJ6=""),"",AI6-AK6*AJ6)</f>
        <v/>
      </c>
      <c r="AM6" s="40">
        <f>IF(AND(ISNUMBER(W6),ISNUMBER(X6),ISNUMBER(AK6),ISNUMBER(AL6)),W6-(AL6+AK6*X6),"")</f>
        <v/>
      </c>
      <c r="AN6" s="38">
        <f>IF(ISNUMBER(AM6),1,0)</f>
        <v/>
      </c>
      <c r="AO6" s="40">
        <f>IF(AN6=1,AM6,0)</f>
        <v/>
      </c>
      <c r="AP6" s="40">
        <f>""</f>
        <v/>
      </c>
      <c r="AQ6" s="38">
        <f>IF(ISNUMBER(AP6),1,0)</f>
        <v/>
      </c>
      <c r="AR6" s="40">
        <f>IF(AQ6=1,AP6,0)</f>
        <v/>
      </c>
      <c r="AS6" s="38">
        <f>SUM(AQ$5:AQ6)</f>
        <v/>
      </c>
      <c r="AT6" s="40">
        <f>IF(AS6&gt;=MIN_OBS_Z,SUMPRODUCT(AQ$5:AQ6,AR$5:AR6)/AS6,"")</f>
        <v/>
      </c>
      <c r="AU6" s="40">
        <f>IF(AS6&gt;=MIN_OBS_Z,SQRT(SUMPRODUCT(AQ$5:AQ6,(AR$5:AR6-AT6)^2)/(AS6-1)),"")</f>
        <v/>
      </c>
      <c r="AV6" s="40">
        <f>IF(AND(AQ6=1,ISNUMBER(AT6)),MAX(-Z_CLIP,MIN(Z_CLIP,(AR6-AT6)/AU6)),"")</f>
        <v/>
      </c>
      <c r="AW6" s="40">
        <f>IF(ISNUMBER(AV6),-AV6,"")</f>
        <v/>
      </c>
      <c r="AX6" s="40">
        <f>IF(ISNUMBER(AW6),1+AMPLITUD*TANH(AW6),"")</f>
        <v/>
      </c>
      <c r="AY6" s="40">
        <f>IF($A6="","",IF(COUNT(AX5:AX6)&gt;0,AVERAGE(AX5:AX6),""))</f>
        <v/>
      </c>
      <c r="AZ6" s="40">
        <f>IF(ISNUMBER(AY6),AY6-1,"")</f>
        <v/>
      </c>
      <c r="BA6" s="40">
        <f>IF(AND(ISNUMBER(AZ5),ISNUMBER(W6)),AZ5*W_BANCOS*W6,"")</f>
        <v/>
      </c>
      <c r="BB6" s="40">
        <f>0</f>
        <v/>
      </c>
      <c r="BC6" s="40">
        <f>IF(ISNUMBER(BA6),BA6-BB6,"")</f>
        <v/>
      </c>
      <c r="BD6" s="42">
        <f>IF(ISNUMBER(BC6),IF(A6&lt;=FECHA_ERA,"A","B"),"")</f>
        <v/>
      </c>
      <c r="BE6" s="40">
        <f>IF(BD6="A",BC6,"")</f>
        <v/>
      </c>
      <c r="BF6" s="40">
        <f>IF(BD6="B",BC6,"")</f>
        <v/>
      </c>
      <c r="BG6" s="38">
        <f>IF(AND(ISNUMBER(BC6),ISNUMBER(A6)),IF(A6&gt;=INICIO_VIVO,1,0),0)</f>
        <v/>
      </c>
      <c r="BH6" s="40">
        <f>IF(BG6=1,BC6,"")</f>
        <v/>
      </c>
      <c r="BI6" s="38">
        <f>IF(ISNUMBER(AY6),ROW(),0)</f>
        <v/>
      </c>
      <c r="BJ6" s="43">
        <f>IF(ISNUMBER(BC6),SUM(BC$5:BC6)*10000,NA())</f>
        <v/>
      </c>
      <c r="BK6" s="43">
        <f>IF(BG6=1,SUM(BH$5:BH6)*10000,NA())</f>
        <v/>
      </c>
      <c r="BL6" s="44">
        <f>IF(ISNUMBER(AY6),AY6,NA())</f>
        <v/>
      </c>
    </row>
    <row r="7">
      <c r="A7" s="36">
        <f>IF(Datos!A7="","",Datos!A7)</f>
        <v/>
      </c>
      <c r="B7" s="37">
        <f>IF(OR($A7="",NOT(ISNUMBER(Datos!B7)),NOT(ISNUMBER(Datos!B6))),"",Datos!B7/Datos!B6-1)</f>
        <v/>
      </c>
      <c r="C7" s="37">
        <f>IF(OR($A7="",NOT(ISNUMBER(Datos!C7)),NOT(ISNUMBER(Datos!C6))),"",Datos!C7/Datos!C6-1)</f>
        <v/>
      </c>
      <c r="D7" s="37">
        <f>IF(OR($A7="",NOT(ISNUMBER(Datos!D7)),NOT(ISNUMBER(Datos!D6))),"",Datos!D7/Datos!D6-1)</f>
        <v/>
      </c>
      <c r="E7" s="37">
        <f>IF(OR($A7="",NOT(ISNUMBER(Datos!E7)),NOT(ISNUMBER(Datos!E6))),"",Datos!E7/Datos!E6-1)</f>
        <v/>
      </c>
      <c r="F7" s="38">
        <f>IF($A7="","",COUNT(B7:E7))</f>
        <v/>
      </c>
      <c r="G7" s="37">
        <f>IF($A7="","",IF(F7&gt;=MIN_BANCOS,AVERAGE(B7:E7),""))</f>
        <v/>
      </c>
      <c r="H7" s="37">
        <f>IF(OR($A7="",NOT(ISNUMBER(Datos!F7)),NOT(ISNUMBER(Datos!F6))),"",Datos!F7/Datos!F6-1)</f>
        <v/>
      </c>
      <c r="I7" s="39">
        <f>IF($A7="","",IF(ISNUMBER(Datos!G7),Datos!G7,I6))</f>
        <v/>
      </c>
      <c r="J7" s="40">
        <f>IF($A7="","",IF(ISNUMBER(I6),LN(1+I6/100/12),0))</f>
        <v/>
      </c>
      <c r="K7" s="40">
        <f>IF(ISNUMBER(G7),LN(1+G7)-J7,"")</f>
        <v/>
      </c>
      <c r="L7" s="40">
        <f>IF(ISNUMBER(H7),LN(1+H7)-J7,"")</f>
        <v/>
      </c>
      <c r="M7" s="38">
        <f>IF(ISNUMBER(K7),1,0)</f>
        <v/>
      </c>
      <c r="N7" s="40">
        <f>IF(M7=1,K7,0)</f>
        <v/>
      </c>
      <c r="O7" s="38">
        <f>IF(ISNUMBER(L7),1,0)</f>
        <v/>
      </c>
      <c r="P7" s="40">
        <f>IF(O7=1,L7,0)</f>
        <v/>
      </c>
      <c r="Q7" s="38">
        <f>M7*O7</f>
        <v/>
      </c>
      <c r="R7" s="38">
        <f>SUM(Q5:Q6)</f>
        <v/>
      </c>
      <c r="S7" s="41">
        <f>IF(OR($A7="",R7&lt;MIN_OBS_ROLL),"",(SUMPRODUCT(Q5:Q6,N5:N6,P5:P6)/R7-SUMPRODUCT(Q5:Q6,N5:N6)/R7*SUMPRODUCT(Q5:Q6,P5:P6)/R7)*R7/(R7-1))</f>
        <v/>
      </c>
      <c r="T7" s="38">
        <f>SUM(O5:O6)</f>
        <v/>
      </c>
      <c r="U7" s="41">
        <f>IF(OR($A7="",T7&lt;MIN_OBS_ROLL),"",SUMPRODUCT(O5:O6,(P5:P6-SUMPRODUCT(O5:O6,P5:P6)/T7)^2)/(T7-1))</f>
        <v/>
      </c>
      <c r="V7" s="40">
        <f>IF(OR(S7="",U7=""),"",S7/U7)</f>
        <v/>
      </c>
      <c r="W7" s="40">
        <f>IF(AND(ISNUMBER(K7),ISNUMBER(L7),ISNUMBER(V7)),K7-V7*L7,"")</f>
        <v/>
      </c>
      <c r="X7" s="40">
        <f>IF(OR($A7="",NOT(ISNUMBER(Datos!H7)),NOT(ISNUMBER(Datos!H6))),"",LN(Datos!H7)-LN(Datos!H6))</f>
        <v/>
      </c>
      <c r="Y7" s="38">
        <f>IF(ISNUMBER(W7),1,0)</f>
        <v/>
      </c>
      <c r="Z7" s="40">
        <f>IF(Y7=1,W7,0)</f>
        <v/>
      </c>
      <c r="AA7" s="38">
        <f>IF(ISNUMBER(X7),1,0)</f>
        <v/>
      </c>
      <c r="AB7" s="40">
        <f>IF(AA7=1,X7,0)</f>
        <v/>
      </c>
      <c r="AC7" s="38">
        <f>Y7*AA7</f>
        <v/>
      </c>
      <c r="AD7" s="38">
        <f>SUM(AC5:AC6)</f>
        <v/>
      </c>
      <c r="AE7" s="41">
        <f>IF(OR($A7="",AD7&lt;MIN_OBS_ROLL),"",(SUMPRODUCT(AC5:AC6,Z5:Z6,AB5:AB6)/AD7-SUMPRODUCT(AC5:AC6,Z5:Z6)/AD7*SUMPRODUCT(AC5:AC6,AB5:AB6)/AD7)*AD7/(AD7-1))</f>
        <v/>
      </c>
      <c r="AF7" s="38">
        <f>SUM(AA5:AA6)</f>
        <v/>
      </c>
      <c r="AG7" s="41">
        <f>IF(OR($A7="",AF7&lt;MIN_OBS_ROLL),"",SUMPRODUCT(AA5:AA6,(AB5:AB6-SUMPRODUCT(AA5:AA6,AB5:AB6)/AF7)^2)/(AF7-1))</f>
        <v/>
      </c>
      <c r="AH7" s="38">
        <f>SUM(Y5:Y6)</f>
        <v/>
      </c>
      <c r="AI7" s="40">
        <f>IF(OR($A7="",AH7&lt;MIN_OBS_ROLL),"",SUMPRODUCT(Y5:Y6,Z5:Z6)/AH7)</f>
        <v/>
      </c>
      <c r="AJ7" s="40">
        <f>IF(OR($A7="",AF7&lt;MIN_OBS_ROLL),"",SUMPRODUCT(AA5:AA6,AB5:AB6)/AF7)</f>
        <v/>
      </c>
      <c r="AK7" s="40">
        <f>IF(OR(AE7="",AG7=""),"",AE7/AG7)</f>
        <v/>
      </c>
      <c r="AL7" s="40">
        <f>IF(OR(AI7="",AK7="",AJ7=""),"",AI7-AK7*AJ7)</f>
        <v/>
      </c>
      <c r="AM7" s="40">
        <f>IF(AND(ISNUMBER(W7),ISNUMBER(X7),ISNUMBER(AK7),ISNUMBER(AL7)),W7-(AL7+AK7*X7),"")</f>
        <v/>
      </c>
      <c r="AN7" s="38">
        <f>IF(ISNUMBER(AM7),1,0)</f>
        <v/>
      </c>
      <c r="AO7" s="40">
        <f>IF(AN7=1,AM7,0)</f>
        <v/>
      </c>
      <c r="AP7" s="40">
        <f>IF(SUM(AN5:AN7)=3,SUM(AO5:AO7),"")</f>
        <v/>
      </c>
      <c r="AQ7" s="38">
        <f>IF(ISNUMBER(AP7),1,0)</f>
        <v/>
      </c>
      <c r="AR7" s="40">
        <f>IF(AQ7=1,AP7,0)</f>
        <v/>
      </c>
      <c r="AS7" s="38">
        <f>SUM(AQ$5:AQ7)</f>
        <v/>
      </c>
      <c r="AT7" s="40">
        <f>IF(AS7&gt;=MIN_OBS_Z,SUMPRODUCT(AQ$5:AQ7,AR$5:AR7)/AS7,"")</f>
        <v/>
      </c>
      <c r="AU7" s="40">
        <f>IF(AS7&gt;=MIN_OBS_Z,SQRT(SUMPRODUCT(AQ$5:AQ7,(AR$5:AR7-AT7)^2)/(AS7-1)),"")</f>
        <v/>
      </c>
      <c r="AV7" s="40">
        <f>IF(AND(AQ7=1,ISNUMBER(AT7)),MAX(-Z_CLIP,MIN(Z_CLIP,(AR7-AT7)/AU7)),"")</f>
        <v/>
      </c>
      <c r="AW7" s="40">
        <f>IF(ISNUMBER(AV7),-AV7,"")</f>
        <v/>
      </c>
      <c r="AX7" s="40">
        <f>IF(ISNUMBER(AW7),1+AMPLITUD*TANH(AW7),"")</f>
        <v/>
      </c>
      <c r="AY7" s="40">
        <f>IF($A7="","",IF(COUNT(AX5:AX7)&gt;0,AVERAGE(AX5:AX7),""))</f>
        <v/>
      </c>
      <c r="AZ7" s="40">
        <f>IF(ISNUMBER(AY7),AY7-1,"")</f>
        <v/>
      </c>
      <c r="BA7" s="40">
        <f>IF(AND(ISNUMBER(AZ6),ISNUMBER(W7)),AZ6*W_BANCOS*W7,"")</f>
        <v/>
      </c>
      <c r="BB7" s="40">
        <f>IF(AND(ISNUMBER(AZ6),ISNUMBER(AZ5)),ABS(AZ6-AZ5)*W_BANCOS*COSTO,0)</f>
        <v/>
      </c>
      <c r="BC7" s="40">
        <f>IF(ISNUMBER(BA7),BA7-BB7,"")</f>
        <v/>
      </c>
      <c r="BD7" s="42">
        <f>IF(ISNUMBER(BC7),IF(A7&lt;=FECHA_ERA,"A","B"),"")</f>
        <v/>
      </c>
      <c r="BE7" s="40">
        <f>IF(BD7="A",BC7,"")</f>
        <v/>
      </c>
      <c r="BF7" s="40">
        <f>IF(BD7="B",BC7,"")</f>
        <v/>
      </c>
      <c r="BG7" s="38">
        <f>IF(AND(ISNUMBER(BC7),ISNUMBER(A7)),IF(A7&gt;=INICIO_VIVO,1,0),0)</f>
        <v/>
      </c>
      <c r="BH7" s="40">
        <f>IF(BG7=1,BC7,"")</f>
        <v/>
      </c>
      <c r="BI7" s="38">
        <f>IF(ISNUMBER(AY7),ROW(),0)</f>
        <v/>
      </c>
      <c r="BJ7" s="43">
        <f>IF(ISNUMBER(BC7),SUM(BC$5:BC7)*10000,NA())</f>
        <v/>
      </c>
      <c r="BK7" s="43">
        <f>IF(BG7=1,SUM(BH$5:BH7)*10000,NA())</f>
        <v/>
      </c>
      <c r="BL7" s="44">
        <f>IF(ISNUMBER(AY7),AY7,NA())</f>
        <v/>
      </c>
    </row>
    <row r="8">
      <c r="A8" s="36">
        <f>IF(Datos!A8="","",Datos!A8)</f>
        <v/>
      </c>
      <c r="B8" s="37">
        <f>IF(OR($A8="",NOT(ISNUMBER(Datos!B8)),NOT(ISNUMBER(Datos!B7))),"",Datos!B8/Datos!B7-1)</f>
        <v/>
      </c>
      <c r="C8" s="37">
        <f>IF(OR($A8="",NOT(ISNUMBER(Datos!C8)),NOT(ISNUMBER(Datos!C7))),"",Datos!C8/Datos!C7-1)</f>
        <v/>
      </c>
      <c r="D8" s="37">
        <f>IF(OR($A8="",NOT(ISNUMBER(Datos!D8)),NOT(ISNUMBER(Datos!D7))),"",Datos!D8/Datos!D7-1)</f>
        <v/>
      </c>
      <c r="E8" s="37">
        <f>IF(OR($A8="",NOT(ISNUMBER(Datos!E8)),NOT(ISNUMBER(Datos!E7))),"",Datos!E8/Datos!E7-1)</f>
        <v/>
      </c>
      <c r="F8" s="38">
        <f>IF($A8="","",COUNT(B8:E8))</f>
        <v/>
      </c>
      <c r="G8" s="37">
        <f>IF($A8="","",IF(F8&gt;=MIN_BANCOS,AVERAGE(B8:E8),""))</f>
        <v/>
      </c>
      <c r="H8" s="37">
        <f>IF(OR($A8="",NOT(ISNUMBER(Datos!F8)),NOT(ISNUMBER(Datos!F7))),"",Datos!F8/Datos!F7-1)</f>
        <v/>
      </c>
      <c r="I8" s="39">
        <f>IF($A8="","",IF(ISNUMBER(Datos!G8),Datos!G8,I7))</f>
        <v/>
      </c>
      <c r="J8" s="40">
        <f>IF($A8="","",IF(ISNUMBER(I7),LN(1+I7/100/12),0))</f>
        <v/>
      </c>
      <c r="K8" s="40">
        <f>IF(ISNUMBER(G8),LN(1+G8)-J8,"")</f>
        <v/>
      </c>
      <c r="L8" s="40">
        <f>IF(ISNUMBER(H8),LN(1+H8)-J8,"")</f>
        <v/>
      </c>
      <c r="M8" s="38">
        <f>IF(ISNUMBER(K8),1,0)</f>
        <v/>
      </c>
      <c r="N8" s="40">
        <f>IF(M8=1,K8,0)</f>
        <v/>
      </c>
      <c r="O8" s="38">
        <f>IF(ISNUMBER(L8),1,0)</f>
        <v/>
      </c>
      <c r="P8" s="40">
        <f>IF(O8=1,L8,0)</f>
        <v/>
      </c>
      <c r="Q8" s="38">
        <f>M8*O8</f>
        <v/>
      </c>
      <c r="R8" s="38">
        <f>SUM(Q5:Q7)</f>
        <v/>
      </c>
      <c r="S8" s="41">
        <f>IF(OR($A8="",R8&lt;MIN_OBS_ROLL),"",(SUMPRODUCT(Q5:Q7,N5:N7,P5:P7)/R8-SUMPRODUCT(Q5:Q7,N5:N7)/R8*SUMPRODUCT(Q5:Q7,P5:P7)/R8)*R8/(R8-1))</f>
        <v/>
      </c>
      <c r="T8" s="38">
        <f>SUM(O5:O7)</f>
        <v/>
      </c>
      <c r="U8" s="41">
        <f>IF(OR($A8="",T8&lt;MIN_OBS_ROLL),"",SUMPRODUCT(O5:O7,(P5:P7-SUMPRODUCT(O5:O7,P5:P7)/T8)^2)/(T8-1))</f>
        <v/>
      </c>
      <c r="V8" s="40">
        <f>IF(OR(S8="",U8=""),"",S8/U8)</f>
        <v/>
      </c>
      <c r="W8" s="40">
        <f>IF(AND(ISNUMBER(K8),ISNUMBER(L8),ISNUMBER(V8)),K8-V8*L8,"")</f>
        <v/>
      </c>
      <c r="X8" s="40">
        <f>IF(OR($A8="",NOT(ISNUMBER(Datos!H8)),NOT(ISNUMBER(Datos!H7))),"",LN(Datos!H8)-LN(Datos!H7))</f>
        <v/>
      </c>
      <c r="Y8" s="38">
        <f>IF(ISNUMBER(W8),1,0)</f>
        <v/>
      </c>
      <c r="Z8" s="40">
        <f>IF(Y8=1,W8,0)</f>
        <v/>
      </c>
      <c r="AA8" s="38">
        <f>IF(ISNUMBER(X8),1,0)</f>
        <v/>
      </c>
      <c r="AB8" s="40">
        <f>IF(AA8=1,X8,0)</f>
        <v/>
      </c>
      <c r="AC8" s="38">
        <f>Y8*AA8</f>
        <v/>
      </c>
      <c r="AD8" s="38">
        <f>SUM(AC5:AC7)</f>
        <v/>
      </c>
      <c r="AE8" s="41">
        <f>IF(OR($A8="",AD8&lt;MIN_OBS_ROLL),"",(SUMPRODUCT(AC5:AC7,Z5:Z7,AB5:AB7)/AD8-SUMPRODUCT(AC5:AC7,Z5:Z7)/AD8*SUMPRODUCT(AC5:AC7,AB5:AB7)/AD8)*AD8/(AD8-1))</f>
        <v/>
      </c>
      <c r="AF8" s="38">
        <f>SUM(AA5:AA7)</f>
        <v/>
      </c>
      <c r="AG8" s="41">
        <f>IF(OR($A8="",AF8&lt;MIN_OBS_ROLL),"",SUMPRODUCT(AA5:AA7,(AB5:AB7-SUMPRODUCT(AA5:AA7,AB5:AB7)/AF8)^2)/(AF8-1))</f>
        <v/>
      </c>
      <c r="AH8" s="38">
        <f>SUM(Y5:Y7)</f>
        <v/>
      </c>
      <c r="AI8" s="40">
        <f>IF(OR($A8="",AH8&lt;MIN_OBS_ROLL),"",SUMPRODUCT(Y5:Y7,Z5:Z7)/AH8)</f>
        <v/>
      </c>
      <c r="AJ8" s="40">
        <f>IF(OR($A8="",AF8&lt;MIN_OBS_ROLL),"",SUMPRODUCT(AA5:AA7,AB5:AB7)/AF8)</f>
        <v/>
      </c>
      <c r="AK8" s="40">
        <f>IF(OR(AE8="",AG8=""),"",AE8/AG8)</f>
        <v/>
      </c>
      <c r="AL8" s="40">
        <f>IF(OR(AI8="",AK8="",AJ8=""),"",AI8-AK8*AJ8)</f>
        <v/>
      </c>
      <c r="AM8" s="40">
        <f>IF(AND(ISNUMBER(W8),ISNUMBER(X8),ISNUMBER(AK8),ISNUMBER(AL8)),W8-(AL8+AK8*X8),"")</f>
        <v/>
      </c>
      <c r="AN8" s="38">
        <f>IF(ISNUMBER(AM8),1,0)</f>
        <v/>
      </c>
      <c r="AO8" s="40">
        <f>IF(AN8=1,AM8,0)</f>
        <v/>
      </c>
      <c r="AP8" s="40">
        <f>IF(SUM(AN6:AN8)=3,SUM(AO6:AO8),"")</f>
        <v/>
      </c>
      <c r="AQ8" s="38">
        <f>IF(ISNUMBER(AP8),1,0)</f>
        <v/>
      </c>
      <c r="AR8" s="40">
        <f>IF(AQ8=1,AP8,0)</f>
        <v/>
      </c>
      <c r="AS8" s="38">
        <f>SUM(AQ$5:AQ8)</f>
        <v/>
      </c>
      <c r="AT8" s="40">
        <f>IF(AS8&gt;=MIN_OBS_Z,SUMPRODUCT(AQ$5:AQ8,AR$5:AR8)/AS8,"")</f>
        <v/>
      </c>
      <c r="AU8" s="40">
        <f>IF(AS8&gt;=MIN_OBS_Z,SQRT(SUMPRODUCT(AQ$5:AQ8,(AR$5:AR8-AT8)^2)/(AS8-1)),"")</f>
        <v/>
      </c>
      <c r="AV8" s="40">
        <f>IF(AND(AQ8=1,ISNUMBER(AT8)),MAX(-Z_CLIP,MIN(Z_CLIP,(AR8-AT8)/AU8)),"")</f>
        <v/>
      </c>
      <c r="AW8" s="40">
        <f>IF(ISNUMBER(AV8),-AV8,"")</f>
        <v/>
      </c>
      <c r="AX8" s="40">
        <f>IF(ISNUMBER(AW8),1+AMPLITUD*TANH(AW8),"")</f>
        <v/>
      </c>
      <c r="AY8" s="40">
        <f>IF($A8="","",IF(COUNT(AX6:AX8)&gt;0,AVERAGE(AX6:AX8),""))</f>
        <v/>
      </c>
      <c r="AZ8" s="40">
        <f>IF(ISNUMBER(AY8),AY8-1,"")</f>
        <v/>
      </c>
      <c r="BA8" s="40">
        <f>IF(AND(ISNUMBER(AZ7),ISNUMBER(W8)),AZ7*W_BANCOS*W8,"")</f>
        <v/>
      </c>
      <c r="BB8" s="40">
        <f>IF(AND(ISNUMBER(AZ7),ISNUMBER(AZ6)),ABS(AZ7-AZ6)*W_BANCOS*COSTO,0)</f>
        <v/>
      </c>
      <c r="BC8" s="40">
        <f>IF(ISNUMBER(BA8),BA8-BB8,"")</f>
        <v/>
      </c>
      <c r="BD8" s="42">
        <f>IF(ISNUMBER(BC8),IF(A8&lt;=FECHA_ERA,"A","B"),"")</f>
        <v/>
      </c>
      <c r="BE8" s="40">
        <f>IF(BD8="A",BC8,"")</f>
        <v/>
      </c>
      <c r="BF8" s="40">
        <f>IF(BD8="B",BC8,"")</f>
        <v/>
      </c>
      <c r="BG8" s="38">
        <f>IF(AND(ISNUMBER(BC8),ISNUMBER(A8)),IF(A8&gt;=INICIO_VIVO,1,0),0)</f>
        <v/>
      </c>
      <c r="BH8" s="40">
        <f>IF(BG8=1,BC8,"")</f>
        <v/>
      </c>
      <c r="BI8" s="38">
        <f>IF(ISNUMBER(AY8),ROW(),0)</f>
        <v/>
      </c>
      <c r="BJ8" s="43">
        <f>IF(ISNUMBER(BC8),SUM(BC$5:BC8)*10000,NA())</f>
        <v/>
      </c>
      <c r="BK8" s="43">
        <f>IF(BG8=1,SUM(BH$5:BH8)*10000,NA())</f>
        <v/>
      </c>
      <c r="BL8" s="44">
        <f>IF(ISNUMBER(AY8),AY8,NA())</f>
        <v/>
      </c>
    </row>
    <row r="9">
      <c r="A9" s="36">
        <f>IF(Datos!A9="","",Datos!A9)</f>
        <v/>
      </c>
      <c r="B9" s="37">
        <f>IF(OR($A9="",NOT(ISNUMBER(Datos!B9)),NOT(ISNUMBER(Datos!B8))),"",Datos!B9/Datos!B8-1)</f>
        <v/>
      </c>
      <c r="C9" s="37">
        <f>IF(OR($A9="",NOT(ISNUMBER(Datos!C9)),NOT(ISNUMBER(Datos!C8))),"",Datos!C9/Datos!C8-1)</f>
        <v/>
      </c>
      <c r="D9" s="37">
        <f>IF(OR($A9="",NOT(ISNUMBER(Datos!D9)),NOT(ISNUMBER(Datos!D8))),"",Datos!D9/Datos!D8-1)</f>
        <v/>
      </c>
      <c r="E9" s="37">
        <f>IF(OR($A9="",NOT(ISNUMBER(Datos!E9)),NOT(ISNUMBER(Datos!E8))),"",Datos!E9/Datos!E8-1)</f>
        <v/>
      </c>
      <c r="F9" s="38">
        <f>IF($A9="","",COUNT(B9:E9))</f>
        <v/>
      </c>
      <c r="G9" s="37">
        <f>IF($A9="","",IF(F9&gt;=MIN_BANCOS,AVERAGE(B9:E9),""))</f>
        <v/>
      </c>
      <c r="H9" s="37">
        <f>IF(OR($A9="",NOT(ISNUMBER(Datos!F9)),NOT(ISNUMBER(Datos!F8))),"",Datos!F9/Datos!F8-1)</f>
        <v/>
      </c>
      <c r="I9" s="39">
        <f>IF($A9="","",IF(ISNUMBER(Datos!G9),Datos!G9,I8))</f>
        <v/>
      </c>
      <c r="J9" s="40">
        <f>IF($A9="","",IF(ISNUMBER(I8),LN(1+I8/100/12),0))</f>
        <v/>
      </c>
      <c r="K9" s="40">
        <f>IF(ISNUMBER(G9),LN(1+G9)-J9,"")</f>
        <v/>
      </c>
      <c r="L9" s="40">
        <f>IF(ISNUMBER(H9),LN(1+H9)-J9,"")</f>
        <v/>
      </c>
      <c r="M9" s="38">
        <f>IF(ISNUMBER(K9),1,0)</f>
        <v/>
      </c>
      <c r="N9" s="40">
        <f>IF(M9=1,K9,0)</f>
        <v/>
      </c>
      <c r="O9" s="38">
        <f>IF(ISNUMBER(L9),1,0)</f>
        <v/>
      </c>
      <c r="P9" s="40">
        <f>IF(O9=1,L9,0)</f>
        <v/>
      </c>
      <c r="Q9" s="38">
        <f>M9*O9</f>
        <v/>
      </c>
      <c r="R9" s="38">
        <f>SUM(Q5:Q8)</f>
        <v/>
      </c>
      <c r="S9" s="41">
        <f>IF(OR($A9="",R9&lt;MIN_OBS_ROLL),"",(SUMPRODUCT(Q5:Q8,N5:N8,P5:P8)/R9-SUMPRODUCT(Q5:Q8,N5:N8)/R9*SUMPRODUCT(Q5:Q8,P5:P8)/R9)*R9/(R9-1))</f>
        <v/>
      </c>
      <c r="T9" s="38">
        <f>SUM(O5:O8)</f>
        <v/>
      </c>
      <c r="U9" s="41">
        <f>IF(OR($A9="",T9&lt;MIN_OBS_ROLL),"",SUMPRODUCT(O5:O8,(P5:P8-SUMPRODUCT(O5:O8,P5:P8)/T9)^2)/(T9-1))</f>
        <v/>
      </c>
      <c r="V9" s="40">
        <f>IF(OR(S9="",U9=""),"",S9/U9)</f>
        <v/>
      </c>
      <c r="W9" s="40">
        <f>IF(AND(ISNUMBER(K9),ISNUMBER(L9),ISNUMBER(V9)),K9-V9*L9,"")</f>
        <v/>
      </c>
      <c r="X9" s="40">
        <f>IF(OR($A9="",NOT(ISNUMBER(Datos!H9)),NOT(ISNUMBER(Datos!H8))),"",LN(Datos!H9)-LN(Datos!H8))</f>
        <v/>
      </c>
      <c r="Y9" s="38">
        <f>IF(ISNUMBER(W9),1,0)</f>
        <v/>
      </c>
      <c r="Z9" s="40">
        <f>IF(Y9=1,W9,0)</f>
        <v/>
      </c>
      <c r="AA9" s="38">
        <f>IF(ISNUMBER(X9),1,0)</f>
        <v/>
      </c>
      <c r="AB9" s="40">
        <f>IF(AA9=1,X9,0)</f>
        <v/>
      </c>
      <c r="AC9" s="38">
        <f>Y9*AA9</f>
        <v/>
      </c>
      <c r="AD9" s="38">
        <f>SUM(AC5:AC8)</f>
        <v/>
      </c>
      <c r="AE9" s="41">
        <f>IF(OR($A9="",AD9&lt;MIN_OBS_ROLL),"",(SUMPRODUCT(AC5:AC8,Z5:Z8,AB5:AB8)/AD9-SUMPRODUCT(AC5:AC8,Z5:Z8)/AD9*SUMPRODUCT(AC5:AC8,AB5:AB8)/AD9)*AD9/(AD9-1))</f>
        <v/>
      </c>
      <c r="AF9" s="38">
        <f>SUM(AA5:AA8)</f>
        <v/>
      </c>
      <c r="AG9" s="41">
        <f>IF(OR($A9="",AF9&lt;MIN_OBS_ROLL),"",SUMPRODUCT(AA5:AA8,(AB5:AB8-SUMPRODUCT(AA5:AA8,AB5:AB8)/AF9)^2)/(AF9-1))</f>
        <v/>
      </c>
      <c r="AH9" s="38">
        <f>SUM(Y5:Y8)</f>
        <v/>
      </c>
      <c r="AI9" s="40">
        <f>IF(OR($A9="",AH9&lt;MIN_OBS_ROLL),"",SUMPRODUCT(Y5:Y8,Z5:Z8)/AH9)</f>
        <v/>
      </c>
      <c r="AJ9" s="40">
        <f>IF(OR($A9="",AF9&lt;MIN_OBS_ROLL),"",SUMPRODUCT(AA5:AA8,AB5:AB8)/AF9)</f>
        <v/>
      </c>
      <c r="AK9" s="40">
        <f>IF(OR(AE9="",AG9=""),"",AE9/AG9)</f>
        <v/>
      </c>
      <c r="AL9" s="40">
        <f>IF(OR(AI9="",AK9="",AJ9=""),"",AI9-AK9*AJ9)</f>
        <v/>
      </c>
      <c r="AM9" s="40">
        <f>IF(AND(ISNUMBER(W9),ISNUMBER(X9),ISNUMBER(AK9),ISNUMBER(AL9)),W9-(AL9+AK9*X9),"")</f>
        <v/>
      </c>
      <c r="AN9" s="38">
        <f>IF(ISNUMBER(AM9),1,0)</f>
        <v/>
      </c>
      <c r="AO9" s="40">
        <f>IF(AN9=1,AM9,0)</f>
        <v/>
      </c>
      <c r="AP9" s="40">
        <f>IF(SUM(AN7:AN9)=3,SUM(AO7:AO9),"")</f>
        <v/>
      </c>
      <c r="AQ9" s="38">
        <f>IF(ISNUMBER(AP9),1,0)</f>
        <v/>
      </c>
      <c r="AR9" s="40">
        <f>IF(AQ9=1,AP9,0)</f>
        <v/>
      </c>
      <c r="AS9" s="38">
        <f>SUM(AQ$5:AQ9)</f>
        <v/>
      </c>
      <c r="AT9" s="40">
        <f>IF(AS9&gt;=MIN_OBS_Z,SUMPRODUCT(AQ$5:AQ9,AR$5:AR9)/AS9,"")</f>
        <v/>
      </c>
      <c r="AU9" s="40">
        <f>IF(AS9&gt;=MIN_OBS_Z,SQRT(SUMPRODUCT(AQ$5:AQ9,(AR$5:AR9-AT9)^2)/(AS9-1)),"")</f>
        <v/>
      </c>
      <c r="AV9" s="40">
        <f>IF(AND(AQ9=1,ISNUMBER(AT9)),MAX(-Z_CLIP,MIN(Z_CLIP,(AR9-AT9)/AU9)),"")</f>
        <v/>
      </c>
      <c r="AW9" s="40">
        <f>IF(ISNUMBER(AV9),-AV9,"")</f>
        <v/>
      </c>
      <c r="AX9" s="40">
        <f>IF(ISNUMBER(AW9),1+AMPLITUD*TANH(AW9),"")</f>
        <v/>
      </c>
      <c r="AY9" s="40">
        <f>IF($A9="","",IF(COUNT(AX7:AX9)&gt;0,AVERAGE(AX7:AX9),""))</f>
        <v/>
      </c>
      <c r="AZ9" s="40">
        <f>IF(ISNUMBER(AY9),AY9-1,"")</f>
        <v/>
      </c>
      <c r="BA9" s="40">
        <f>IF(AND(ISNUMBER(AZ8),ISNUMBER(W9)),AZ8*W_BANCOS*W9,"")</f>
        <v/>
      </c>
      <c r="BB9" s="40">
        <f>IF(AND(ISNUMBER(AZ8),ISNUMBER(AZ7)),ABS(AZ8-AZ7)*W_BANCOS*COSTO,0)</f>
        <v/>
      </c>
      <c r="BC9" s="40">
        <f>IF(ISNUMBER(BA9),BA9-BB9,"")</f>
        <v/>
      </c>
      <c r="BD9" s="42">
        <f>IF(ISNUMBER(BC9),IF(A9&lt;=FECHA_ERA,"A","B"),"")</f>
        <v/>
      </c>
      <c r="BE9" s="40">
        <f>IF(BD9="A",BC9,"")</f>
        <v/>
      </c>
      <c r="BF9" s="40">
        <f>IF(BD9="B",BC9,"")</f>
        <v/>
      </c>
      <c r="BG9" s="38">
        <f>IF(AND(ISNUMBER(BC9),ISNUMBER(A9)),IF(A9&gt;=INICIO_VIVO,1,0),0)</f>
        <v/>
      </c>
      <c r="BH9" s="40">
        <f>IF(BG9=1,BC9,"")</f>
        <v/>
      </c>
      <c r="BI9" s="38">
        <f>IF(ISNUMBER(AY9),ROW(),0)</f>
        <v/>
      </c>
      <c r="BJ9" s="43">
        <f>IF(ISNUMBER(BC9),SUM(BC$5:BC9)*10000,NA())</f>
        <v/>
      </c>
      <c r="BK9" s="43">
        <f>IF(BG9=1,SUM(BH$5:BH9)*10000,NA())</f>
        <v/>
      </c>
      <c r="BL9" s="44">
        <f>IF(ISNUMBER(AY9),AY9,NA())</f>
        <v/>
      </c>
    </row>
    <row r="10">
      <c r="A10" s="36">
        <f>IF(Datos!A10="","",Datos!A10)</f>
        <v/>
      </c>
      <c r="B10" s="37">
        <f>IF(OR($A10="",NOT(ISNUMBER(Datos!B10)),NOT(ISNUMBER(Datos!B9))),"",Datos!B10/Datos!B9-1)</f>
        <v/>
      </c>
      <c r="C10" s="37">
        <f>IF(OR($A10="",NOT(ISNUMBER(Datos!C10)),NOT(ISNUMBER(Datos!C9))),"",Datos!C10/Datos!C9-1)</f>
        <v/>
      </c>
      <c r="D10" s="37">
        <f>IF(OR($A10="",NOT(ISNUMBER(Datos!D10)),NOT(ISNUMBER(Datos!D9))),"",Datos!D10/Datos!D9-1)</f>
        <v/>
      </c>
      <c r="E10" s="37">
        <f>IF(OR($A10="",NOT(ISNUMBER(Datos!E10)),NOT(ISNUMBER(Datos!E9))),"",Datos!E10/Datos!E9-1)</f>
        <v/>
      </c>
      <c r="F10" s="38">
        <f>IF($A10="","",COUNT(B10:E10))</f>
        <v/>
      </c>
      <c r="G10" s="37">
        <f>IF($A10="","",IF(F10&gt;=MIN_BANCOS,AVERAGE(B10:E10),""))</f>
        <v/>
      </c>
      <c r="H10" s="37">
        <f>IF(OR($A10="",NOT(ISNUMBER(Datos!F10)),NOT(ISNUMBER(Datos!F9))),"",Datos!F10/Datos!F9-1)</f>
        <v/>
      </c>
      <c r="I10" s="39">
        <f>IF($A10="","",IF(ISNUMBER(Datos!G10),Datos!G10,I9))</f>
        <v/>
      </c>
      <c r="J10" s="40">
        <f>IF($A10="","",IF(ISNUMBER(I9),LN(1+I9/100/12),0))</f>
        <v/>
      </c>
      <c r="K10" s="40">
        <f>IF(ISNUMBER(G10),LN(1+G10)-J10,"")</f>
        <v/>
      </c>
      <c r="L10" s="40">
        <f>IF(ISNUMBER(H10),LN(1+H10)-J10,"")</f>
        <v/>
      </c>
      <c r="M10" s="38">
        <f>IF(ISNUMBER(K10),1,0)</f>
        <v/>
      </c>
      <c r="N10" s="40">
        <f>IF(M10=1,K10,0)</f>
        <v/>
      </c>
      <c r="O10" s="38">
        <f>IF(ISNUMBER(L10),1,0)</f>
        <v/>
      </c>
      <c r="P10" s="40">
        <f>IF(O10=1,L10,0)</f>
        <v/>
      </c>
      <c r="Q10" s="38">
        <f>M10*O10</f>
        <v/>
      </c>
      <c r="R10" s="38">
        <f>SUM(Q5:Q9)</f>
        <v/>
      </c>
      <c r="S10" s="41">
        <f>IF(OR($A10="",R10&lt;MIN_OBS_ROLL),"",(SUMPRODUCT(Q5:Q9,N5:N9,P5:P9)/R10-SUMPRODUCT(Q5:Q9,N5:N9)/R10*SUMPRODUCT(Q5:Q9,P5:P9)/R10)*R10/(R10-1))</f>
        <v/>
      </c>
      <c r="T10" s="38">
        <f>SUM(O5:O9)</f>
        <v/>
      </c>
      <c r="U10" s="41">
        <f>IF(OR($A10="",T10&lt;MIN_OBS_ROLL),"",SUMPRODUCT(O5:O9,(P5:P9-SUMPRODUCT(O5:O9,P5:P9)/T10)^2)/(T10-1))</f>
        <v/>
      </c>
      <c r="V10" s="40">
        <f>IF(OR(S10="",U10=""),"",S10/U10)</f>
        <v/>
      </c>
      <c r="W10" s="40">
        <f>IF(AND(ISNUMBER(K10),ISNUMBER(L10),ISNUMBER(V10)),K10-V10*L10,"")</f>
        <v/>
      </c>
      <c r="X10" s="40">
        <f>IF(OR($A10="",NOT(ISNUMBER(Datos!H10)),NOT(ISNUMBER(Datos!H9))),"",LN(Datos!H10)-LN(Datos!H9))</f>
        <v/>
      </c>
      <c r="Y10" s="38">
        <f>IF(ISNUMBER(W10),1,0)</f>
        <v/>
      </c>
      <c r="Z10" s="40">
        <f>IF(Y10=1,W10,0)</f>
        <v/>
      </c>
      <c r="AA10" s="38">
        <f>IF(ISNUMBER(X10),1,0)</f>
        <v/>
      </c>
      <c r="AB10" s="40">
        <f>IF(AA10=1,X10,0)</f>
        <v/>
      </c>
      <c r="AC10" s="38">
        <f>Y10*AA10</f>
        <v/>
      </c>
      <c r="AD10" s="38">
        <f>SUM(AC5:AC9)</f>
        <v/>
      </c>
      <c r="AE10" s="41">
        <f>IF(OR($A10="",AD10&lt;MIN_OBS_ROLL),"",(SUMPRODUCT(AC5:AC9,Z5:Z9,AB5:AB9)/AD10-SUMPRODUCT(AC5:AC9,Z5:Z9)/AD10*SUMPRODUCT(AC5:AC9,AB5:AB9)/AD10)*AD10/(AD10-1))</f>
        <v/>
      </c>
      <c r="AF10" s="38">
        <f>SUM(AA5:AA9)</f>
        <v/>
      </c>
      <c r="AG10" s="41">
        <f>IF(OR($A10="",AF10&lt;MIN_OBS_ROLL),"",SUMPRODUCT(AA5:AA9,(AB5:AB9-SUMPRODUCT(AA5:AA9,AB5:AB9)/AF10)^2)/(AF10-1))</f>
        <v/>
      </c>
      <c r="AH10" s="38">
        <f>SUM(Y5:Y9)</f>
        <v/>
      </c>
      <c r="AI10" s="40">
        <f>IF(OR($A10="",AH10&lt;MIN_OBS_ROLL),"",SUMPRODUCT(Y5:Y9,Z5:Z9)/AH10)</f>
        <v/>
      </c>
      <c r="AJ10" s="40">
        <f>IF(OR($A10="",AF10&lt;MIN_OBS_ROLL),"",SUMPRODUCT(AA5:AA9,AB5:AB9)/AF10)</f>
        <v/>
      </c>
      <c r="AK10" s="40">
        <f>IF(OR(AE10="",AG10=""),"",AE10/AG10)</f>
        <v/>
      </c>
      <c r="AL10" s="40">
        <f>IF(OR(AI10="",AK10="",AJ10=""),"",AI10-AK10*AJ10)</f>
        <v/>
      </c>
      <c r="AM10" s="40">
        <f>IF(AND(ISNUMBER(W10),ISNUMBER(X10),ISNUMBER(AK10),ISNUMBER(AL10)),W10-(AL10+AK10*X10),"")</f>
        <v/>
      </c>
      <c r="AN10" s="38">
        <f>IF(ISNUMBER(AM10),1,0)</f>
        <v/>
      </c>
      <c r="AO10" s="40">
        <f>IF(AN10=1,AM10,0)</f>
        <v/>
      </c>
      <c r="AP10" s="40">
        <f>IF(SUM(AN8:AN10)=3,SUM(AO8:AO10),"")</f>
        <v/>
      </c>
      <c r="AQ10" s="38">
        <f>IF(ISNUMBER(AP10),1,0)</f>
        <v/>
      </c>
      <c r="AR10" s="40">
        <f>IF(AQ10=1,AP10,0)</f>
        <v/>
      </c>
      <c r="AS10" s="38">
        <f>SUM(AQ$5:AQ10)</f>
        <v/>
      </c>
      <c r="AT10" s="40">
        <f>IF(AS10&gt;=MIN_OBS_Z,SUMPRODUCT(AQ$5:AQ10,AR$5:AR10)/AS10,"")</f>
        <v/>
      </c>
      <c r="AU10" s="40">
        <f>IF(AS10&gt;=MIN_OBS_Z,SQRT(SUMPRODUCT(AQ$5:AQ10,(AR$5:AR10-AT10)^2)/(AS10-1)),"")</f>
        <v/>
      </c>
      <c r="AV10" s="40">
        <f>IF(AND(AQ10=1,ISNUMBER(AT10)),MAX(-Z_CLIP,MIN(Z_CLIP,(AR10-AT10)/AU10)),"")</f>
        <v/>
      </c>
      <c r="AW10" s="40">
        <f>IF(ISNUMBER(AV10),-AV10,"")</f>
        <v/>
      </c>
      <c r="AX10" s="40">
        <f>IF(ISNUMBER(AW10),1+AMPLITUD*TANH(AW10),"")</f>
        <v/>
      </c>
      <c r="AY10" s="40">
        <f>IF($A10="","",IF(COUNT(AX8:AX10)&gt;0,AVERAGE(AX8:AX10),""))</f>
        <v/>
      </c>
      <c r="AZ10" s="40">
        <f>IF(ISNUMBER(AY10),AY10-1,"")</f>
        <v/>
      </c>
      <c r="BA10" s="40">
        <f>IF(AND(ISNUMBER(AZ9),ISNUMBER(W10)),AZ9*W_BANCOS*W10,"")</f>
        <v/>
      </c>
      <c r="BB10" s="40">
        <f>IF(AND(ISNUMBER(AZ9),ISNUMBER(AZ8)),ABS(AZ9-AZ8)*W_BANCOS*COSTO,0)</f>
        <v/>
      </c>
      <c r="BC10" s="40">
        <f>IF(ISNUMBER(BA10),BA10-BB10,"")</f>
        <v/>
      </c>
      <c r="BD10" s="42">
        <f>IF(ISNUMBER(BC10),IF(A10&lt;=FECHA_ERA,"A","B"),"")</f>
        <v/>
      </c>
      <c r="BE10" s="40">
        <f>IF(BD10="A",BC10,"")</f>
        <v/>
      </c>
      <c r="BF10" s="40">
        <f>IF(BD10="B",BC10,"")</f>
        <v/>
      </c>
      <c r="BG10" s="38">
        <f>IF(AND(ISNUMBER(BC10),ISNUMBER(A10)),IF(A10&gt;=INICIO_VIVO,1,0),0)</f>
        <v/>
      </c>
      <c r="BH10" s="40">
        <f>IF(BG10=1,BC10,"")</f>
        <v/>
      </c>
      <c r="BI10" s="38">
        <f>IF(ISNUMBER(AY10),ROW(),0)</f>
        <v/>
      </c>
      <c r="BJ10" s="43">
        <f>IF(ISNUMBER(BC10),SUM(BC$5:BC10)*10000,NA())</f>
        <v/>
      </c>
      <c r="BK10" s="43">
        <f>IF(BG10=1,SUM(BH$5:BH10)*10000,NA())</f>
        <v/>
      </c>
      <c r="BL10" s="44">
        <f>IF(ISNUMBER(AY10),AY10,NA())</f>
        <v/>
      </c>
    </row>
    <row r="11">
      <c r="A11" s="36">
        <f>IF(Datos!A11="","",Datos!A11)</f>
        <v/>
      </c>
      <c r="B11" s="37">
        <f>IF(OR($A11="",NOT(ISNUMBER(Datos!B11)),NOT(ISNUMBER(Datos!B10))),"",Datos!B11/Datos!B10-1)</f>
        <v/>
      </c>
      <c r="C11" s="37">
        <f>IF(OR($A11="",NOT(ISNUMBER(Datos!C11)),NOT(ISNUMBER(Datos!C10))),"",Datos!C11/Datos!C10-1)</f>
        <v/>
      </c>
      <c r="D11" s="37">
        <f>IF(OR($A11="",NOT(ISNUMBER(Datos!D11)),NOT(ISNUMBER(Datos!D10))),"",Datos!D11/Datos!D10-1)</f>
        <v/>
      </c>
      <c r="E11" s="37">
        <f>IF(OR($A11="",NOT(ISNUMBER(Datos!E11)),NOT(ISNUMBER(Datos!E10))),"",Datos!E11/Datos!E10-1)</f>
        <v/>
      </c>
      <c r="F11" s="38">
        <f>IF($A11="","",COUNT(B11:E11))</f>
        <v/>
      </c>
      <c r="G11" s="37">
        <f>IF($A11="","",IF(F11&gt;=MIN_BANCOS,AVERAGE(B11:E11),""))</f>
        <v/>
      </c>
      <c r="H11" s="37">
        <f>IF(OR($A11="",NOT(ISNUMBER(Datos!F11)),NOT(ISNUMBER(Datos!F10))),"",Datos!F11/Datos!F10-1)</f>
        <v/>
      </c>
      <c r="I11" s="39">
        <f>IF($A11="","",IF(ISNUMBER(Datos!G11),Datos!G11,I10))</f>
        <v/>
      </c>
      <c r="J11" s="40">
        <f>IF($A11="","",IF(ISNUMBER(I10),LN(1+I10/100/12),0))</f>
        <v/>
      </c>
      <c r="K11" s="40">
        <f>IF(ISNUMBER(G11),LN(1+G11)-J11,"")</f>
        <v/>
      </c>
      <c r="L11" s="40">
        <f>IF(ISNUMBER(H11),LN(1+H11)-J11,"")</f>
        <v/>
      </c>
      <c r="M11" s="38">
        <f>IF(ISNUMBER(K11),1,0)</f>
        <v/>
      </c>
      <c r="N11" s="40">
        <f>IF(M11=1,K11,0)</f>
        <v/>
      </c>
      <c r="O11" s="38">
        <f>IF(ISNUMBER(L11),1,0)</f>
        <v/>
      </c>
      <c r="P11" s="40">
        <f>IF(O11=1,L11,0)</f>
        <v/>
      </c>
      <c r="Q11" s="38">
        <f>M11*O11</f>
        <v/>
      </c>
      <c r="R11" s="38">
        <f>SUM(Q5:Q10)</f>
        <v/>
      </c>
      <c r="S11" s="41">
        <f>IF(OR($A11="",R11&lt;MIN_OBS_ROLL),"",(SUMPRODUCT(Q5:Q10,N5:N10,P5:P10)/R11-SUMPRODUCT(Q5:Q10,N5:N10)/R11*SUMPRODUCT(Q5:Q10,P5:P10)/R11)*R11/(R11-1))</f>
        <v/>
      </c>
      <c r="T11" s="38">
        <f>SUM(O5:O10)</f>
        <v/>
      </c>
      <c r="U11" s="41">
        <f>IF(OR($A11="",T11&lt;MIN_OBS_ROLL),"",SUMPRODUCT(O5:O10,(P5:P10-SUMPRODUCT(O5:O10,P5:P10)/T11)^2)/(T11-1))</f>
        <v/>
      </c>
      <c r="V11" s="40">
        <f>IF(OR(S11="",U11=""),"",S11/U11)</f>
        <v/>
      </c>
      <c r="W11" s="40">
        <f>IF(AND(ISNUMBER(K11),ISNUMBER(L11),ISNUMBER(V11)),K11-V11*L11,"")</f>
        <v/>
      </c>
      <c r="X11" s="40">
        <f>IF(OR($A11="",NOT(ISNUMBER(Datos!H11)),NOT(ISNUMBER(Datos!H10))),"",LN(Datos!H11)-LN(Datos!H10))</f>
        <v/>
      </c>
      <c r="Y11" s="38">
        <f>IF(ISNUMBER(W11),1,0)</f>
        <v/>
      </c>
      <c r="Z11" s="40">
        <f>IF(Y11=1,W11,0)</f>
        <v/>
      </c>
      <c r="AA11" s="38">
        <f>IF(ISNUMBER(X11),1,0)</f>
        <v/>
      </c>
      <c r="AB11" s="40">
        <f>IF(AA11=1,X11,0)</f>
        <v/>
      </c>
      <c r="AC11" s="38">
        <f>Y11*AA11</f>
        <v/>
      </c>
      <c r="AD11" s="38">
        <f>SUM(AC5:AC10)</f>
        <v/>
      </c>
      <c r="AE11" s="41">
        <f>IF(OR($A11="",AD11&lt;MIN_OBS_ROLL),"",(SUMPRODUCT(AC5:AC10,Z5:Z10,AB5:AB10)/AD11-SUMPRODUCT(AC5:AC10,Z5:Z10)/AD11*SUMPRODUCT(AC5:AC10,AB5:AB10)/AD11)*AD11/(AD11-1))</f>
        <v/>
      </c>
      <c r="AF11" s="38">
        <f>SUM(AA5:AA10)</f>
        <v/>
      </c>
      <c r="AG11" s="41">
        <f>IF(OR($A11="",AF11&lt;MIN_OBS_ROLL),"",SUMPRODUCT(AA5:AA10,(AB5:AB10-SUMPRODUCT(AA5:AA10,AB5:AB10)/AF11)^2)/(AF11-1))</f>
        <v/>
      </c>
      <c r="AH11" s="38">
        <f>SUM(Y5:Y10)</f>
        <v/>
      </c>
      <c r="AI11" s="40">
        <f>IF(OR($A11="",AH11&lt;MIN_OBS_ROLL),"",SUMPRODUCT(Y5:Y10,Z5:Z10)/AH11)</f>
        <v/>
      </c>
      <c r="AJ11" s="40">
        <f>IF(OR($A11="",AF11&lt;MIN_OBS_ROLL),"",SUMPRODUCT(AA5:AA10,AB5:AB10)/AF11)</f>
        <v/>
      </c>
      <c r="AK11" s="40">
        <f>IF(OR(AE11="",AG11=""),"",AE11/AG11)</f>
        <v/>
      </c>
      <c r="AL11" s="40">
        <f>IF(OR(AI11="",AK11="",AJ11=""),"",AI11-AK11*AJ11)</f>
        <v/>
      </c>
      <c r="AM11" s="40">
        <f>IF(AND(ISNUMBER(W11),ISNUMBER(X11),ISNUMBER(AK11),ISNUMBER(AL11)),W11-(AL11+AK11*X11),"")</f>
        <v/>
      </c>
      <c r="AN11" s="38">
        <f>IF(ISNUMBER(AM11),1,0)</f>
        <v/>
      </c>
      <c r="AO11" s="40">
        <f>IF(AN11=1,AM11,0)</f>
        <v/>
      </c>
      <c r="AP11" s="40">
        <f>IF(SUM(AN9:AN11)=3,SUM(AO9:AO11),"")</f>
        <v/>
      </c>
      <c r="AQ11" s="38">
        <f>IF(ISNUMBER(AP11),1,0)</f>
        <v/>
      </c>
      <c r="AR11" s="40">
        <f>IF(AQ11=1,AP11,0)</f>
        <v/>
      </c>
      <c r="AS11" s="38">
        <f>SUM(AQ$5:AQ11)</f>
        <v/>
      </c>
      <c r="AT11" s="40">
        <f>IF(AS11&gt;=MIN_OBS_Z,SUMPRODUCT(AQ$5:AQ11,AR$5:AR11)/AS11,"")</f>
        <v/>
      </c>
      <c r="AU11" s="40">
        <f>IF(AS11&gt;=MIN_OBS_Z,SQRT(SUMPRODUCT(AQ$5:AQ11,(AR$5:AR11-AT11)^2)/(AS11-1)),"")</f>
        <v/>
      </c>
      <c r="AV11" s="40">
        <f>IF(AND(AQ11=1,ISNUMBER(AT11)),MAX(-Z_CLIP,MIN(Z_CLIP,(AR11-AT11)/AU11)),"")</f>
        <v/>
      </c>
      <c r="AW11" s="40">
        <f>IF(ISNUMBER(AV11),-AV11,"")</f>
        <v/>
      </c>
      <c r="AX11" s="40">
        <f>IF(ISNUMBER(AW11),1+AMPLITUD*TANH(AW11),"")</f>
        <v/>
      </c>
      <c r="AY11" s="40">
        <f>IF($A11="","",IF(COUNT(AX9:AX11)&gt;0,AVERAGE(AX9:AX11),""))</f>
        <v/>
      </c>
      <c r="AZ11" s="40">
        <f>IF(ISNUMBER(AY11),AY11-1,"")</f>
        <v/>
      </c>
      <c r="BA11" s="40">
        <f>IF(AND(ISNUMBER(AZ10),ISNUMBER(W11)),AZ10*W_BANCOS*W11,"")</f>
        <v/>
      </c>
      <c r="BB11" s="40">
        <f>IF(AND(ISNUMBER(AZ10),ISNUMBER(AZ9)),ABS(AZ10-AZ9)*W_BANCOS*COSTO,0)</f>
        <v/>
      </c>
      <c r="BC11" s="40">
        <f>IF(ISNUMBER(BA11),BA11-BB11,"")</f>
        <v/>
      </c>
      <c r="BD11" s="42">
        <f>IF(ISNUMBER(BC11),IF(A11&lt;=FECHA_ERA,"A","B"),"")</f>
        <v/>
      </c>
      <c r="BE11" s="40">
        <f>IF(BD11="A",BC11,"")</f>
        <v/>
      </c>
      <c r="BF11" s="40">
        <f>IF(BD11="B",BC11,"")</f>
        <v/>
      </c>
      <c r="BG11" s="38">
        <f>IF(AND(ISNUMBER(BC11),ISNUMBER(A11)),IF(A11&gt;=INICIO_VIVO,1,0),0)</f>
        <v/>
      </c>
      <c r="BH11" s="40">
        <f>IF(BG11=1,BC11,"")</f>
        <v/>
      </c>
      <c r="BI11" s="38">
        <f>IF(ISNUMBER(AY11),ROW(),0)</f>
        <v/>
      </c>
      <c r="BJ11" s="43">
        <f>IF(ISNUMBER(BC11),SUM(BC$5:BC11)*10000,NA())</f>
        <v/>
      </c>
      <c r="BK11" s="43">
        <f>IF(BG11=1,SUM(BH$5:BH11)*10000,NA())</f>
        <v/>
      </c>
      <c r="BL11" s="44">
        <f>IF(ISNUMBER(AY11),AY11,NA())</f>
        <v/>
      </c>
    </row>
    <row r="12">
      <c r="A12" s="36">
        <f>IF(Datos!A12="","",Datos!A12)</f>
        <v/>
      </c>
      <c r="B12" s="37">
        <f>IF(OR($A12="",NOT(ISNUMBER(Datos!B12)),NOT(ISNUMBER(Datos!B11))),"",Datos!B12/Datos!B11-1)</f>
        <v/>
      </c>
      <c r="C12" s="37">
        <f>IF(OR($A12="",NOT(ISNUMBER(Datos!C12)),NOT(ISNUMBER(Datos!C11))),"",Datos!C12/Datos!C11-1)</f>
        <v/>
      </c>
      <c r="D12" s="37">
        <f>IF(OR($A12="",NOT(ISNUMBER(Datos!D12)),NOT(ISNUMBER(Datos!D11))),"",Datos!D12/Datos!D11-1)</f>
        <v/>
      </c>
      <c r="E12" s="37">
        <f>IF(OR($A12="",NOT(ISNUMBER(Datos!E12)),NOT(ISNUMBER(Datos!E11))),"",Datos!E12/Datos!E11-1)</f>
        <v/>
      </c>
      <c r="F12" s="38">
        <f>IF($A12="","",COUNT(B12:E12))</f>
        <v/>
      </c>
      <c r="G12" s="37">
        <f>IF($A12="","",IF(F12&gt;=MIN_BANCOS,AVERAGE(B12:E12),""))</f>
        <v/>
      </c>
      <c r="H12" s="37">
        <f>IF(OR($A12="",NOT(ISNUMBER(Datos!F12)),NOT(ISNUMBER(Datos!F11))),"",Datos!F12/Datos!F11-1)</f>
        <v/>
      </c>
      <c r="I12" s="39">
        <f>IF($A12="","",IF(ISNUMBER(Datos!G12),Datos!G12,I11))</f>
        <v/>
      </c>
      <c r="J12" s="40">
        <f>IF($A12="","",IF(ISNUMBER(I11),LN(1+I11/100/12),0))</f>
        <v/>
      </c>
      <c r="K12" s="40">
        <f>IF(ISNUMBER(G12),LN(1+G12)-J12,"")</f>
        <v/>
      </c>
      <c r="L12" s="40">
        <f>IF(ISNUMBER(H12),LN(1+H12)-J12,"")</f>
        <v/>
      </c>
      <c r="M12" s="38">
        <f>IF(ISNUMBER(K12),1,0)</f>
        <v/>
      </c>
      <c r="N12" s="40">
        <f>IF(M12=1,K12,0)</f>
        <v/>
      </c>
      <c r="O12" s="38">
        <f>IF(ISNUMBER(L12),1,0)</f>
        <v/>
      </c>
      <c r="P12" s="40">
        <f>IF(O12=1,L12,0)</f>
        <v/>
      </c>
      <c r="Q12" s="38">
        <f>M12*O12</f>
        <v/>
      </c>
      <c r="R12" s="38">
        <f>SUM(Q5:Q11)</f>
        <v/>
      </c>
      <c r="S12" s="41">
        <f>IF(OR($A12="",R12&lt;MIN_OBS_ROLL),"",(SUMPRODUCT(Q5:Q11,N5:N11,P5:P11)/R12-SUMPRODUCT(Q5:Q11,N5:N11)/R12*SUMPRODUCT(Q5:Q11,P5:P11)/R12)*R12/(R12-1))</f>
        <v/>
      </c>
      <c r="T12" s="38">
        <f>SUM(O5:O11)</f>
        <v/>
      </c>
      <c r="U12" s="41">
        <f>IF(OR($A12="",T12&lt;MIN_OBS_ROLL),"",SUMPRODUCT(O5:O11,(P5:P11-SUMPRODUCT(O5:O11,P5:P11)/T12)^2)/(T12-1))</f>
        <v/>
      </c>
      <c r="V12" s="40">
        <f>IF(OR(S12="",U12=""),"",S12/U12)</f>
        <v/>
      </c>
      <c r="W12" s="40">
        <f>IF(AND(ISNUMBER(K12),ISNUMBER(L12),ISNUMBER(V12)),K12-V12*L12,"")</f>
        <v/>
      </c>
      <c r="X12" s="40">
        <f>IF(OR($A12="",NOT(ISNUMBER(Datos!H12)),NOT(ISNUMBER(Datos!H11))),"",LN(Datos!H12)-LN(Datos!H11))</f>
        <v/>
      </c>
      <c r="Y12" s="38">
        <f>IF(ISNUMBER(W12),1,0)</f>
        <v/>
      </c>
      <c r="Z12" s="40">
        <f>IF(Y12=1,W12,0)</f>
        <v/>
      </c>
      <c r="AA12" s="38">
        <f>IF(ISNUMBER(X12),1,0)</f>
        <v/>
      </c>
      <c r="AB12" s="40">
        <f>IF(AA12=1,X12,0)</f>
        <v/>
      </c>
      <c r="AC12" s="38">
        <f>Y12*AA12</f>
        <v/>
      </c>
      <c r="AD12" s="38">
        <f>SUM(AC5:AC11)</f>
        <v/>
      </c>
      <c r="AE12" s="41">
        <f>IF(OR($A12="",AD12&lt;MIN_OBS_ROLL),"",(SUMPRODUCT(AC5:AC11,Z5:Z11,AB5:AB11)/AD12-SUMPRODUCT(AC5:AC11,Z5:Z11)/AD12*SUMPRODUCT(AC5:AC11,AB5:AB11)/AD12)*AD12/(AD12-1))</f>
        <v/>
      </c>
      <c r="AF12" s="38">
        <f>SUM(AA5:AA11)</f>
        <v/>
      </c>
      <c r="AG12" s="41">
        <f>IF(OR($A12="",AF12&lt;MIN_OBS_ROLL),"",SUMPRODUCT(AA5:AA11,(AB5:AB11-SUMPRODUCT(AA5:AA11,AB5:AB11)/AF12)^2)/(AF12-1))</f>
        <v/>
      </c>
      <c r="AH12" s="38">
        <f>SUM(Y5:Y11)</f>
        <v/>
      </c>
      <c r="AI12" s="40">
        <f>IF(OR($A12="",AH12&lt;MIN_OBS_ROLL),"",SUMPRODUCT(Y5:Y11,Z5:Z11)/AH12)</f>
        <v/>
      </c>
      <c r="AJ12" s="40">
        <f>IF(OR($A12="",AF12&lt;MIN_OBS_ROLL),"",SUMPRODUCT(AA5:AA11,AB5:AB11)/AF12)</f>
        <v/>
      </c>
      <c r="AK12" s="40">
        <f>IF(OR(AE12="",AG12=""),"",AE12/AG12)</f>
        <v/>
      </c>
      <c r="AL12" s="40">
        <f>IF(OR(AI12="",AK12="",AJ12=""),"",AI12-AK12*AJ12)</f>
        <v/>
      </c>
      <c r="AM12" s="40">
        <f>IF(AND(ISNUMBER(W12),ISNUMBER(X12),ISNUMBER(AK12),ISNUMBER(AL12)),W12-(AL12+AK12*X12),"")</f>
        <v/>
      </c>
      <c r="AN12" s="38">
        <f>IF(ISNUMBER(AM12),1,0)</f>
        <v/>
      </c>
      <c r="AO12" s="40">
        <f>IF(AN12=1,AM12,0)</f>
        <v/>
      </c>
      <c r="AP12" s="40">
        <f>IF(SUM(AN10:AN12)=3,SUM(AO10:AO12),"")</f>
        <v/>
      </c>
      <c r="AQ12" s="38">
        <f>IF(ISNUMBER(AP12),1,0)</f>
        <v/>
      </c>
      <c r="AR12" s="40">
        <f>IF(AQ12=1,AP12,0)</f>
        <v/>
      </c>
      <c r="AS12" s="38">
        <f>SUM(AQ$5:AQ12)</f>
        <v/>
      </c>
      <c r="AT12" s="40">
        <f>IF(AS12&gt;=MIN_OBS_Z,SUMPRODUCT(AQ$5:AQ12,AR$5:AR12)/AS12,"")</f>
        <v/>
      </c>
      <c r="AU12" s="40">
        <f>IF(AS12&gt;=MIN_OBS_Z,SQRT(SUMPRODUCT(AQ$5:AQ12,(AR$5:AR12-AT12)^2)/(AS12-1)),"")</f>
        <v/>
      </c>
      <c r="AV12" s="40">
        <f>IF(AND(AQ12=1,ISNUMBER(AT12)),MAX(-Z_CLIP,MIN(Z_CLIP,(AR12-AT12)/AU12)),"")</f>
        <v/>
      </c>
      <c r="AW12" s="40">
        <f>IF(ISNUMBER(AV12),-AV12,"")</f>
        <v/>
      </c>
      <c r="AX12" s="40">
        <f>IF(ISNUMBER(AW12),1+AMPLITUD*TANH(AW12),"")</f>
        <v/>
      </c>
      <c r="AY12" s="40">
        <f>IF($A12="","",IF(COUNT(AX10:AX12)&gt;0,AVERAGE(AX10:AX12),""))</f>
        <v/>
      </c>
      <c r="AZ12" s="40">
        <f>IF(ISNUMBER(AY12),AY12-1,"")</f>
        <v/>
      </c>
      <c r="BA12" s="40">
        <f>IF(AND(ISNUMBER(AZ11),ISNUMBER(W12)),AZ11*W_BANCOS*W12,"")</f>
        <v/>
      </c>
      <c r="BB12" s="40">
        <f>IF(AND(ISNUMBER(AZ11),ISNUMBER(AZ10)),ABS(AZ11-AZ10)*W_BANCOS*COSTO,0)</f>
        <v/>
      </c>
      <c r="BC12" s="40">
        <f>IF(ISNUMBER(BA12),BA12-BB12,"")</f>
        <v/>
      </c>
      <c r="BD12" s="42">
        <f>IF(ISNUMBER(BC12),IF(A12&lt;=FECHA_ERA,"A","B"),"")</f>
        <v/>
      </c>
      <c r="BE12" s="40">
        <f>IF(BD12="A",BC12,"")</f>
        <v/>
      </c>
      <c r="BF12" s="40">
        <f>IF(BD12="B",BC12,"")</f>
        <v/>
      </c>
      <c r="BG12" s="38">
        <f>IF(AND(ISNUMBER(BC12),ISNUMBER(A12)),IF(A12&gt;=INICIO_VIVO,1,0),0)</f>
        <v/>
      </c>
      <c r="BH12" s="40">
        <f>IF(BG12=1,BC12,"")</f>
        <v/>
      </c>
      <c r="BI12" s="38">
        <f>IF(ISNUMBER(AY12),ROW(),0)</f>
        <v/>
      </c>
      <c r="BJ12" s="43">
        <f>IF(ISNUMBER(BC12),SUM(BC$5:BC12)*10000,NA())</f>
        <v/>
      </c>
      <c r="BK12" s="43">
        <f>IF(BG12=1,SUM(BH$5:BH12)*10000,NA())</f>
        <v/>
      </c>
      <c r="BL12" s="44">
        <f>IF(ISNUMBER(AY12),AY12,NA())</f>
        <v/>
      </c>
    </row>
    <row r="13">
      <c r="A13" s="36">
        <f>IF(Datos!A13="","",Datos!A13)</f>
        <v/>
      </c>
      <c r="B13" s="37">
        <f>IF(OR($A13="",NOT(ISNUMBER(Datos!B13)),NOT(ISNUMBER(Datos!B12))),"",Datos!B13/Datos!B12-1)</f>
        <v/>
      </c>
      <c r="C13" s="37">
        <f>IF(OR($A13="",NOT(ISNUMBER(Datos!C13)),NOT(ISNUMBER(Datos!C12))),"",Datos!C13/Datos!C12-1)</f>
        <v/>
      </c>
      <c r="D13" s="37">
        <f>IF(OR($A13="",NOT(ISNUMBER(Datos!D13)),NOT(ISNUMBER(Datos!D12))),"",Datos!D13/Datos!D12-1)</f>
        <v/>
      </c>
      <c r="E13" s="37">
        <f>IF(OR($A13="",NOT(ISNUMBER(Datos!E13)),NOT(ISNUMBER(Datos!E12))),"",Datos!E13/Datos!E12-1)</f>
        <v/>
      </c>
      <c r="F13" s="38">
        <f>IF($A13="","",COUNT(B13:E13))</f>
        <v/>
      </c>
      <c r="G13" s="37">
        <f>IF($A13="","",IF(F13&gt;=MIN_BANCOS,AVERAGE(B13:E13),""))</f>
        <v/>
      </c>
      <c r="H13" s="37">
        <f>IF(OR($A13="",NOT(ISNUMBER(Datos!F13)),NOT(ISNUMBER(Datos!F12))),"",Datos!F13/Datos!F12-1)</f>
        <v/>
      </c>
      <c r="I13" s="39">
        <f>IF($A13="","",IF(ISNUMBER(Datos!G13),Datos!G13,I12))</f>
        <v/>
      </c>
      <c r="J13" s="40">
        <f>IF($A13="","",IF(ISNUMBER(I12),LN(1+I12/100/12),0))</f>
        <v/>
      </c>
      <c r="K13" s="40">
        <f>IF(ISNUMBER(G13),LN(1+G13)-J13,"")</f>
        <v/>
      </c>
      <c r="L13" s="40">
        <f>IF(ISNUMBER(H13),LN(1+H13)-J13,"")</f>
        <v/>
      </c>
      <c r="M13" s="38">
        <f>IF(ISNUMBER(K13),1,0)</f>
        <v/>
      </c>
      <c r="N13" s="40">
        <f>IF(M13=1,K13,0)</f>
        <v/>
      </c>
      <c r="O13" s="38">
        <f>IF(ISNUMBER(L13),1,0)</f>
        <v/>
      </c>
      <c r="P13" s="40">
        <f>IF(O13=1,L13,0)</f>
        <v/>
      </c>
      <c r="Q13" s="38">
        <f>M13*O13</f>
        <v/>
      </c>
      <c r="R13" s="38">
        <f>SUM(Q5:Q12)</f>
        <v/>
      </c>
      <c r="S13" s="41">
        <f>IF(OR($A13="",R13&lt;MIN_OBS_ROLL),"",(SUMPRODUCT(Q5:Q12,N5:N12,P5:P12)/R13-SUMPRODUCT(Q5:Q12,N5:N12)/R13*SUMPRODUCT(Q5:Q12,P5:P12)/R13)*R13/(R13-1))</f>
        <v/>
      </c>
      <c r="T13" s="38">
        <f>SUM(O5:O12)</f>
        <v/>
      </c>
      <c r="U13" s="41">
        <f>IF(OR($A13="",T13&lt;MIN_OBS_ROLL),"",SUMPRODUCT(O5:O12,(P5:P12-SUMPRODUCT(O5:O12,P5:P12)/T13)^2)/(T13-1))</f>
        <v/>
      </c>
      <c r="V13" s="40">
        <f>IF(OR(S13="",U13=""),"",S13/U13)</f>
        <v/>
      </c>
      <c r="W13" s="40">
        <f>IF(AND(ISNUMBER(K13),ISNUMBER(L13),ISNUMBER(V13)),K13-V13*L13,"")</f>
        <v/>
      </c>
      <c r="X13" s="40">
        <f>IF(OR($A13="",NOT(ISNUMBER(Datos!H13)),NOT(ISNUMBER(Datos!H12))),"",LN(Datos!H13)-LN(Datos!H12))</f>
        <v/>
      </c>
      <c r="Y13" s="38">
        <f>IF(ISNUMBER(W13),1,0)</f>
        <v/>
      </c>
      <c r="Z13" s="40">
        <f>IF(Y13=1,W13,0)</f>
        <v/>
      </c>
      <c r="AA13" s="38">
        <f>IF(ISNUMBER(X13),1,0)</f>
        <v/>
      </c>
      <c r="AB13" s="40">
        <f>IF(AA13=1,X13,0)</f>
        <v/>
      </c>
      <c r="AC13" s="38">
        <f>Y13*AA13</f>
        <v/>
      </c>
      <c r="AD13" s="38">
        <f>SUM(AC5:AC12)</f>
        <v/>
      </c>
      <c r="AE13" s="41">
        <f>IF(OR($A13="",AD13&lt;MIN_OBS_ROLL),"",(SUMPRODUCT(AC5:AC12,Z5:Z12,AB5:AB12)/AD13-SUMPRODUCT(AC5:AC12,Z5:Z12)/AD13*SUMPRODUCT(AC5:AC12,AB5:AB12)/AD13)*AD13/(AD13-1))</f>
        <v/>
      </c>
      <c r="AF13" s="38">
        <f>SUM(AA5:AA12)</f>
        <v/>
      </c>
      <c r="AG13" s="41">
        <f>IF(OR($A13="",AF13&lt;MIN_OBS_ROLL),"",SUMPRODUCT(AA5:AA12,(AB5:AB12-SUMPRODUCT(AA5:AA12,AB5:AB12)/AF13)^2)/(AF13-1))</f>
        <v/>
      </c>
      <c r="AH13" s="38">
        <f>SUM(Y5:Y12)</f>
        <v/>
      </c>
      <c r="AI13" s="40">
        <f>IF(OR($A13="",AH13&lt;MIN_OBS_ROLL),"",SUMPRODUCT(Y5:Y12,Z5:Z12)/AH13)</f>
        <v/>
      </c>
      <c r="AJ13" s="40">
        <f>IF(OR($A13="",AF13&lt;MIN_OBS_ROLL),"",SUMPRODUCT(AA5:AA12,AB5:AB12)/AF13)</f>
        <v/>
      </c>
      <c r="AK13" s="40">
        <f>IF(OR(AE13="",AG13=""),"",AE13/AG13)</f>
        <v/>
      </c>
      <c r="AL13" s="40">
        <f>IF(OR(AI13="",AK13="",AJ13=""),"",AI13-AK13*AJ13)</f>
        <v/>
      </c>
      <c r="AM13" s="40">
        <f>IF(AND(ISNUMBER(W13),ISNUMBER(X13),ISNUMBER(AK13),ISNUMBER(AL13)),W13-(AL13+AK13*X13),"")</f>
        <v/>
      </c>
      <c r="AN13" s="38">
        <f>IF(ISNUMBER(AM13),1,0)</f>
        <v/>
      </c>
      <c r="AO13" s="40">
        <f>IF(AN13=1,AM13,0)</f>
        <v/>
      </c>
      <c r="AP13" s="40">
        <f>IF(SUM(AN11:AN13)=3,SUM(AO11:AO13),"")</f>
        <v/>
      </c>
      <c r="AQ13" s="38">
        <f>IF(ISNUMBER(AP13),1,0)</f>
        <v/>
      </c>
      <c r="AR13" s="40">
        <f>IF(AQ13=1,AP13,0)</f>
        <v/>
      </c>
      <c r="AS13" s="38">
        <f>SUM(AQ$5:AQ13)</f>
        <v/>
      </c>
      <c r="AT13" s="40">
        <f>IF(AS13&gt;=MIN_OBS_Z,SUMPRODUCT(AQ$5:AQ13,AR$5:AR13)/AS13,"")</f>
        <v/>
      </c>
      <c r="AU13" s="40">
        <f>IF(AS13&gt;=MIN_OBS_Z,SQRT(SUMPRODUCT(AQ$5:AQ13,(AR$5:AR13-AT13)^2)/(AS13-1)),"")</f>
        <v/>
      </c>
      <c r="AV13" s="40">
        <f>IF(AND(AQ13=1,ISNUMBER(AT13)),MAX(-Z_CLIP,MIN(Z_CLIP,(AR13-AT13)/AU13)),"")</f>
        <v/>
      </c>
      <c r="AW13" s="40">
        <f>IF(ISNUMBER(AV13),-AV13,"")</f>
        <v/>
      </c>
      <c r="AX13" s="40">
        <f>IF(ISNUMBER(AW13),1+AMPLITUD*TANH(AW13),"")</f>
        <v/>
      </c>
      <c r="AY13" s="40">
        <f>IF($A13="","",IF(COUNT(AX11:AX13)&gt;0,AVERAGE(AX11:AX13),""))</f>
        <v/>
      </c>
      <c r="AZ13" s="40">
        <f>IF(ISNUMBER(AY13),AY13-1,"")</f>
        <v/>
      </c>
      <c r="BA13" s="40">
        <f>IF(AND(ISNUMBER(AZ12),ISNUMBER(W13)),AZ12*W_BANCOS*W13,"")</f>
        <v/>
      </c>
      <c r="BB13" s="40">
        <f>IF(AND(ISNUMBER(AZ12),ISNUMBER(AZ11)),ABS(AZ12-AZ11)*W_BANCOS*COSTO,0)</f>
        <v/>
      </c>
      <c r="BC13" s="40">
        <f>IF(ISNUMBER(BA13),BA13-BB13,"")</f>
        <v/>
      </c>
      <c r="BD13" s="42">
        <f>IF(ISNUMBER(BC13),IF(A13&lt;=FECHA_ERA,"A","B"),"")</f>
        <v/>
      </c>
      <c r="BE13" s="40">
        <f>IF(BD13="A",BC13,"")</f>
        <v/>
      </c>
      <c r="BF13" s="40">
        <f>IF(BD13="B",BC13,"")</f>
        <v/>
      </c>
      <c r="BG13" s="38">
        <f>IF(AND(ISNUMBER(BC13),ISNUMBER(A13)),IF(A13&gt;=INICIO_VIVO,1,0),0)</f>
        <v/>
      </c>
      <c r="BH13" s="40">
        <f>IF(BG13=1,BC13,"")</f>
        <v/>
      </c>
      <c r="BI13" s="38">
        <f>IF(ISNUMBER(AY13),ROW(),0)</f>
        <v/>
      </c>
      <c r="BJ13" s="43">
        <f>IF(ISNUMBER(BC13),SUM(BC$5:BC13)*10000,NA())</f>
        <v/>
      </c>
      <c r="BK13" s="43">
        <f>IF(BG13=1,SUM(BH$5:BH13)*10000,NA())</f>
        <v/>
      </c>
      <c r="BL13" s="44">
        <f>IF(ISNUMBER(AY13),AY13,NA())</f>
        <v/>
      </c>
    </row>
    <row r="14">
      <c r="A14" s="36">
        <f>IF(Datos!A14="","",Datos!A14)</f>
        <v/>
      </c>
      <c r="B14" s="37">
        <f>IF(OR($A14="",NOT(ISNUMBER(Datos!B14)),NOT(ISNUMBER(Datos!B13))),"",Datos!B14/Datos!B13-1)</f>
        <v/>
      </c>
      <c r="C14" s="37">
        <f>IF(OR($A14="",NOT(ISNUMBER(Datos!C14)),NOT(ISNUMBER(Datos!C13))),"",Datos!C14/Datos!C13-1)</f>
        <v/>
      </c>
      <c r="D14" s="37">
        <f>IF(OR($A14="",NOT(ISNUMBER(Datos!D14)),NOT(ISNUMBER(Datos!D13))),"",Datos!D14/Datos!D13-1)</f>
        <v/>
      </c>
      <c r="E14" s="37">
        <f>IF(OR($A14="",NOT(ISNUMBER(Datos!E14)),NOT(ISNUMBER(Datos!E13))),"",Datos!E14/Datos!E13-1)</f>
        <v/>
      </c>
      <c r="F14" s="38">
        <f>IF($A14="","",COUNT(B14:E14))</f>
        <v/>
      </c>
      <c r="G14" s="37">
        <f>IF($A14="","",IF(F14&gt;=MIN_BANCOS,AVERAGE(B14:E14),""))</f>
        <v/>
      </c>
      <c r="H14" s="37">
        <f>IF(OR($A14="",NOT(ISNUMBER(Datos!F14)),NOT(ISNUMBER(Datos!F13))),"",Datos!F14/Datos!F13-1)</f>
        <v/>
      </c>
      <c r="I14" s="39">
        <f>IF($A14="","",IF(ISNUMBER(Datos!G14),Datos!G14,I13))</f>
        <v/>
      </c>
      <c r="J14" s="40">
        <f>IF($A14="","",IF(ISNUMBER(I13),LN(1+I13/100/12),0))</f>
        <v/>
      </c>
      <c r="K14" s="40">
        <f>IF(ISNUMBER(G14),LN(1+G14)-J14,"")</f>
        <v/>
      </c>
      <c r="L14" s="40">
        <f>IF(ISNUMBER(H14),LN(1+H14)-J14,"")</f>
        <v/>
      </c>
      <c r="M14" s="38">
        <f>IF(ISNUMBER(K14),1,0)</f>
        <v/>
      </c>
      <c r="N14" s="40">
        <f>IF(M14=1,K14,0)</f>
        <v/>
      </c>
      <c r="O14" s="38">
        <f>IF(ISNUMBER(L14),1,0)</f>
        <v/>
      </c>
      <c r="P14" s="40">
        <f>IF(O14=1,L14,0)</f>
        <v/>
      </c>
      <c r="Q14" s="38">
        <f>M14*O14</f>
        <v/>
      </c>
      <c r="R14" s="38">
        <f>SUM(Q5:Q13)</f>
        <v/>
      </c>
      <c r="S14" s="41">
        <f>IF(OR($A14="",R14&lt;MIN_OBS_ROLL),"",(SUMPRODUCT(Q5:Q13,N5:N13,P5:P13)/R14-SUMPRODUCT(Q5:Q13,N5:N13)/R14*SUMPRODUCT(Q5:Q13,P5:P13)/R14)*R14/(R14-1))</f>
        <v/>
      </c>
      <c r="T14" s="38">
        <f>SUM(O5:O13)</f>
        <v/>
      </c>
      <c r="U14" s="41">
        <f>IF(OR($A14="",T14&lt;MIN_OBS_ROLL),"",SUMPRODUCT(O5:O13,(P5:P13-SUMPRODUCT(O5:O13,P5:P13)/T14)^2)/(T14-1))</f>
        <v/>
      </c>
      <c r="V14" s="40">
        <f>IF(OR(S14="",U14=""),"",S14/U14)</f>
        <v/>
      </c>
      <c r="W14" s="40">
        <f>IF(AND(ISNUMBER(K14),ISNUMBER(L14),ISNUMBER(V14)),K14-V14*L14,"")</f>
        <v/>
      </c>
      <c r="X14" s="40">
        <f>IF(OR($A14="",NOT(ISNUMBER(Datos!H14)),NOT(ISNUMBER(Datos!H13))),"",LN(Datos!H14)-LN(Datos!H13))</f>
        <v/>
      </c>
      <c r="Y14" s="38">
        <f>IF(ISNUMBER(W14),1,0)</f>
        <v/>
      </c>
      <c r="Z14" s="40">
        <f>IF(Y14=1,W14,0)</f>
        <v/>
      </c>
      <c r="AA14" s="38">
        <f>IF(ISNUMBER(X14),1,0)</f>
        <v/>
      </c>
      <c r="AB14" s="40">
        <f>IF(AA14=1,X14,0)</f>
        <v/>
      </c>
      <c r="AC14" s="38">
        <f>Y14*AA14</f>
        <v/>
      </c>
      <c r="AD14" s="38">
        <f>SUM(AC5:AC13)</f>
        <v/>
      </c>
      <c r="AE14" s="41">
        <f>IF(OR($A14="",AD14&lt;MIN_OBS_ROLL),"",(SUMPRODUCT(AC5:AC13,Z5:Z13,AB5:AB13)/AD14-SUMPRODUCT(AC5:AC13,Z5:Z13)/AD14*SUMPRODUCT(AC5:AC13,AB5:AB13)/AD14)*AD14/(AD14-1))</f>
        <v/>
      </c>
      <c r="AF14" s="38">
        <f>SUM(AA5:AA13)</f>
        <v/>
      </c>
      <c r="AG14" s="41">
        <f>IF(OR($A14="",AF14&lt;MIN_OBS_ROLL),"",SUMPRODUCT(AA5:AA13,(AB5:AB13-SUMPRODUCT(AA5:AA13,AB5:AB13)/AF14)^2)/(AF14-1))</f>
        <v/>
      </c>
      <c r="AH14" s="38">
        <f>SUM(Y5:Y13)</f>
        <v/>
      </c>
      <c r="AI14" s="40">
        <f>IF(OR($A14="",AH14&lt;MIN_OBS_ROLL),"",SUMPRODUCT(Y5:Y13,Z5:Z13)/AH14)</f>
        <v/>
      </c>
      <c r="AJ14" s="40">
        <f>IF(OR($A14="",AF14&lt;MIN_OBS_ROLL),"",SUMPRODUCT(AA5:AA13,AB5:AB13)/AF14)</f>
        <v/>
      </c>
      <c r="AK14" s="40">
        <f>IF(OR(AE14="",AG14=""),"",AE14/AG14)</f>
        <v/>
      </c>
      <c r="AL14" s="40">
        <f>IF(OR(AI14="",AK14="",AJ14=""),"",AI14-AK14*AJ14)</f>
        <v/>
      </c>
      <c r="AM14" s="40">
        <f>IF(AND(ISNUMBER(W14),ISNUMBER(X14),ISNUMBER(AK14),ISNUMBER(AL14)),W14-(AL14+AK14*X14),"")</f>
        <v/>
      </c>
      <c r="AN14" s="38">
        <f>IF(ISNUMBER(AM14),1,0)</f>
        <v/>
      </c>
      <c r="AO14" s="40">
        <f>IF(AN14=1,AM14,0)</f>
        <v/>
      </c>
      <c r="AP14" s="40">
        <f>IF(SUM(AN12:AN14)=3,SUM(AO12:AO14),"")</f>
        <v/>
      </c>
      <c r="AQ14" s="38">
        <f>IF(ISNUMBER(AP14),1,0)</f>
        <v/>
      </c>
      <c r="AR14" s="40">
        <f>IF(AQ14=1,AP14,0)</f>
        <v/>
      </c>
      <c r="AS14" s="38">
        <f>SUM(AQ$5:AQ14)</f>
        <v/>
      </c>
      <c r="AT14" s="40">
        <f>IF(AS14&gt;=MIN_OBS_Z,SUMPRODUCT(AQ$5:AQ14,AR$5:AR14)/AS14,"")</f>
        <v/>
      </c>
      <c r="AU14" s="40">
        <f>IF(AS14&gt;=MIN_OBS_Z,SQRT(SUMPRODUCT(AQ$5:AQ14,(AR$5:AR14-AT14)^2)/(AS14-1)),"")</f>
        <v/>
      </c>
      <c r="AV14" s="40">
        <f>IF(AND(AQ14=1,ISNUMBER(AT14)),MAX(-Z_CLIP,MIN(Z_CLIP,(AR14-AT14)/AU14)),"")</f>
        <v/>
      </c>
      <c r="AW14" s="40">
        <f>IF(ISNUMBER(AV14),-AV14,"")</f>
        <v/>
      </c>
      <c r="AX14" s="40">
        <f>IF(ISNUMBER(AW14),1+AMPLITUD*TANH(AW14),"")</f>
        <v/>
      </c>
      <c r="AY14" s="40">
        <f>IF($A14="","",IF(COUNT(AX12:AX14)&gt;0,AVERAGE(AX12:AX14),""))</f>
        <v/>
      </c>
      <c r="AZ14" s="40">
        <f>IF(ISNUMBER(AY14),AY14-1,"")</f>
        <v/>
      </c>
      <c r="BA14" s="40">
        <f>IF(AND(ISNUMBER(AZ13),ISNUMBER(W14)),AZ13*W_BANCOS*W14,"")</f>
        <v/>
      </c>
      <c r="BB14" s="40">
        <f>IF(AND(ISNUMBER(AZ13),ISNUMBER(AZ12)),ABS(AZ13-AZ12)*W_BANCOS*COSTO,0)</f>
        <v/>
      </c>
      <c r="BC14" s="40">
        <f>IF(ISNUMBER(BA14),BA14-BB14,"")</f>
        <v/>
      </c>
      <c r="BD14" s="42">
        <f>IF(ISNUMBER(BC14),IF(A14&lt;=FECHA_ERA,"A","B"),"")</f>
        <v/>
      </c>
      <c r="BE14" s="40">
        <f>IF(BD14="A",BC14,"")</f>
        <v/>
      </c>
      <c r="BF14" s="40">
        <f>IF(BD14="B",BC14,"")</f>
        <v/>
      </c>
      <c r="BG14" s="38">
        <f>IF(AND(ISNUMBER(BC14),ISNUMBER(A14)),IF(A14&gt;=INICIO_VIVO,1,0),0)</f>
        <v/>
      </c>
      <c r="BH14" s="40">
        <f>IF(BG14=1,BC14,"")</f>
        <v/>
      </c>
      <c r="BI14" s="38">
        <f>IF(ISNUMBER(AY14),ROW(),0)</f>
        <v/>
      </c>
      <c r="BJ14" s="43">
        <f>IF(ISNUMBER(BC14),SUM(BC$5:BC14)*10000,NA())</f>
        <v/>
      </c>
      <c r="BK14" s="43">
        <f>IF(BG14=1,SUM(BH$5:BH14)*10000,NA())</f>
        <v/>
      </c>
      <c r="BL14" s="44">
        <f>IF(ISNUMBER(AY14),AY14,NA())</f>
        <v/>
      </c>
    </row>
    <row r="15">
      <c r="A15" s="36">
        <f>IF(Datos!A15="","",Datos!A15)</f>
        <v/>
      </c>
      <c r="B15" s="37">
        <f>IF(OR($A15="",NOT(ISNUMBER(Datos!B15)),NOT(ISNUMBER(Datos!B14))),"",Datos!B15/Datos!B14-1)</f>
        <v/>
      </c>
      <c r="C15" s="37">
        <f>IF(OR($A15="",NOT(ISNUMBER(Datos!C15)),NOT(ISNUMBER(Datos!C14))),"",Datos!C15/Datos!C14-1)</f>
        <v/>
      </c>
      <c r="D15" s="37">
        <f>IF(OR($A15="",NOT(ISNUMBER(Datos!D15)),NOT(ISNUMBER(Datos!D14))),"",Datos!D15/Datos!D14-1)</f>
        <v/>
      </c>
      <c r="E15" s="37">
        <f>IF(OR($A15="",NOT(ISNUMBER(Datos!E15)),NOT(ISNUMBER(Datos!E14))),"",Datos!E15/Datos!E14-1)</f>
        <v/>
      </c>
      <c r="F15" s="38">
        <f>IF($A15="","",COUNT(B15:E15))</f>
        <v/>
      </c>
      <c r="G15" s="37">
        <f>IF($A15="","",IF(F15&gt;=MIN_BANCOS,AVERAGE(B15:E15),""))</f>
        <v/>
      </c>
      <c r="H15" s="37">
        <f>IF(OR($A15="",NOT(ISNUMBER(Datos!F15)),NOT(ISNUMBER(Datos!F14))),"",Datos!F15/Datos!F14-1)</f>
        <v/>
      </c>
      <c r="I15" s="39">
        <f>IF($A15="","",IF(ISNUMBER(Datos!G15),Datos!G15,I14))</f>
        <v/>
      </c>
      <c r="J15" s="40">
        <f>IF($A15="","",IF(ISNUMBER(I14),LN(1+I14/100/12),0))</f>
        <v/>
      </c>
      <c r="K15" s="40">
        <f>IF(ISNUMBER(G15),LN(1+G15)-J15,"")</f>
        <v/>
      </c>
      <c r="L15" s="40">
        <f>IF(ISNUMBER(H15),LN(1+H15)-J15,"")</f>
        <v/>
      </c>
      <c r="M15" s="38">
        <f>IF(ISNUMBER(K15),1,0)</f>
        <v/>
      </c>
      <c r="N15" s="40">
        <f>IF(M15=1,K15,0)</f>
        <v/>
      </c>
      <c r="O15" s="38">
        <f>IF(ISNUMBER(L15),1,0)</f>
        <v/>
      </c>
      <c r="P15" s="40">
        <f>IF(O15=1,L15,0)</f>
        <v/>
      </c>
      <c r="Q15" s="38">
        <f>M15*O15</f>
        <v/>
      </c>
      <c r="R15" s="38">
        <f>SUM(Q5:Q14)</f>
        <v/>
      </c>
      <c r="S15" s="41">
        <f>IF(OR($A15="",R15&lt;MIN_OBS_ROLL),"",(SUMPRODUCT(Q5:Q14,N5:N14,P5:P14)/R15-SUMPRODUCT(Q5:Q14,N5:N14)/R15*SUMPRODUCT(Q5:Q14,P5:P14)/R15)*R15/(R15-1))</f>
        <v/>
      </c>
      <c r="T15" s="38">
        <f>SUM(O5:O14)</f>
        <v/>
      </c>
      <c r="U15" s="41">
        <f>IF(OR($A15="",T15&lt;MIN_OBS_ROLL),"",SUMPRODUCT(O5:O14,(P5:P14-SUMPRODUCT(O5:O14,P5:P14)/T15)^2)/(T15-1))</f>
        <v/>
      </c>
      <c r="V15" s="40">
        <f>IF(OR(S15="",U15=""),"",S15/U15)</f>
        <v/>
      </c>
      <c r="W15" s="40">
        <f>IF(AND(ISNUMBER(K15),ISNUMBER(L15),ISNUMBER(V15)),K15-V15*L15,"")</f>
        <v/>
      </c>
      <c r="X15" s="40">
        <f>IF(OR($A15="",NOT(ISNUMBER(Datos!H15)),NOT(ISNUMBER(Datos!H14))),"",LN(Datos!H15)-LN(Datos!H14))</f>
        <v/>
      </c>
      <c r="Y15" s="38">
        <f>IF(ISNUMBER(W15),1,0)</f>
        <v/>
      </c>
      <c r="Z15" s="40">
        <f>IF(Y15=1,W15,0)</f>
        <v/>
      </c>
      <c r="AA15" s="38">
        <f>IF(ISNUMBER(X15),1,0)</f>
        <v/>
      </c>
      <c r="AB15" s="40">
        <f>IF(AA15=1,X15,0)</f>
        <v/>
      </c>
      <c r="AC15" s="38">
        <f>Y15*AA15</f>
        <v/>
      </c>
      <c r="AD15" s="38">
        <f>SUM(AC5:AC14)</f>
        <v/>
      </c>
      <c r="AE15" s="41">
        <f>IF(OR($A15="",AD15&lt;MIN_OBS_ROLL),"",(SUMPRODUCT(AC5:AC14,Z5:Z14,AB5:AB14)/AD15-SUMPRODUCT(AC5:AC14,Z5:Z14)/AD15*SUMPRODUCT(AC5:AC14,AB5:AB14)/AD15)*AD15/(AD15-1))</f>
        <v/>
      </c>
      <c r="AF15" s="38">
        <f>SUM(AA5:AA14)</f>
        <v/>
      </c>
      <c r="AG15" s="41">
        <f>IF(OR($A15="",AF15&lt;MIN_OBS_ROLL),"",SUMPRODUCT(AA5:AA14,(AB5:AB14-SUMPRODUCT(AA5:AA14,AB5:AB14)/AF15)^2)/(AF15-1))</f>
        <v/>
      </c>
      <c r="AH15" s="38">
        <f>SUM(Y5:Y14)</f>
        <v/>
      </c>
      <c r="AI15" s="40">
        <f>IF(OR($A15="",AH15&lt;MIN_OBS_ROLL),"",SUMPRODUCT(Y5:Y14,Z5:Z14)/AH15)</f>
        <v/>
      </c>
      <c r="AJ15" s="40">
        <f>IF(OR($A15="",AF15&lt;MIN_OBS_ROLL),"",SUMPRODUCT(AA5:AA14,AB5:AB14)/AF15)</f>
        <v/>
      </c>
      <c r="AK15" s="40">
        <f>IF(OR(AE15="",AG15=""),"",AE15/AG15)</f>
        <v/>
      </c>
      <c r="AL15" s="40">
        <f>IF(OR(AI15="",AK15="",AJ15=""),"",AI15-AK15*AJ15)</f>
        <v/>
      </c>
      <c r="AM15" s="40">
        <f>IF(AND(ISNUMBER(W15),ISNUMBER(X15),ISNUMBER(AK15),ISNUMBER(AL15)),W15-(AL15+AK15*X15),"")</f>
        <v/>
      </c>
      <c r="AN15" s="38">
        <f>IF(ISNUMBER(AM15),1,0)</f>
        <v/>
      </c>
      <c r="AO15" s="40">
        <f>IF(AN15=1,AM15,0)</f>
        <v/>
      </c>
      <c r="AP15" s="40">
        <f>IF(SUM(AN13:AN15)=3,SUM(AO13:AO15),"")</f>
        <v/>
      </c>
      <c r="AQ15" s="38">
        <f>IF(ISNUMBER(AP15),1,0)</f>
        <v/>
      </c>
      <c r="AR15" s="40">
        <f>IF(AQ15=1,AP15,0)</f>
        <v/>
      </c>
      <c r="AS15" s="38">
        <f>SUM(AQ$5:AQ15)</f>
        <v/>
      </c>
      <c r="AT15" s="40">
        <f>IF(AS15&gt;=MIN_OBS_Z,SUMPRODUCT(AQ$5:AQ15,AR$5:AR15)/AS15,"")</f>
        <v/>
      </c>
      <c r="AU15" s="40">
        <f>IF(AS15&gt;=MIN_OBS_Z,SQRT(SUMPRODUCT(AQ$5:AQ15,(AR$5:AR15-AT15)^2)/(AS15-1)),"")</f>
        <v/>
      </c>
      <c r="AV15" s="40">
        <f>IF(AND(AQ15=1,ISNUMBER(AT15)),MAX(-Z_CLIP,MIN(Z_CLIP,(AR15-AT15)/AU15)),"")</f>
        <v/>
      </c>
      <c r="AW15" s="40">
        <f>IF(ISNUMBER(AV15),-AV15,"")</f>
        <v/>
      </c>
      <c r="AX15" s="40">
        <f>IF(ISNUMBER(AW15),1+AMPLITUD*TANH(AW15),"")</f>
        <v/>
      </c>
      <c r="AY15" s="40">
        <f>IF($A15="","",IF(COUNT(AX13:AX15)&gt;0,AVERAGE(AX13:AX15),""))</f>
        <v/>
      </c>
      <c r="AZ15" s="40">
        <f>IF(ISNUMBER(AY15),AY15-1,"")</f>
        <v/>
      </c>
      <c r="BA15" s="40">
        <f>IF(AND(ISNUMBER(AZ14),ISNUMBER(W15)),AZ14*W_BANCOS*W15,"")</f>
        <v/>
      </c>
      <c r="BB15" s="40">
        <f>IF(AND(ISNUMBER(AZ14),ISNUMBER(AZ13)),ABS(AZ14-AZ13)*W_BANCOS*COSTO,0)</f>
        <v/>
      </c>
      <c r="BC15" s="40">
        <f>IF(ISNUMBER(BA15),BA15-BB15,"")</f>
        <v/>
      </c>
      <c r="BD15" s="42">
        <f>IF(ISNUMBER(BC15),IF(A15&lt;=FECHA_ERA,"A","B"),"")</f>
        <v/>
      </c>
      <c r="BE15" s="40">
        <f>IF(BD15="A",BC15,"")</f>
        <v/>
      </c>
      <c r="BF15" s="40">
        <f>IF(BD15="B",BC15,"")</f>
        <v/>
      </c>
      <c r="BG15" s="38">
        <f>IF(AND(ISNUMBER(BC15),ISNUMBER(A15)),IF(A15&gt;=INICIO_VIVO,1,0),0)</f>
        <v/>
      </c>
      <c r="BH15" s="40">
        <f>IF(BG15=1,BC15,"")</f>
        <v/>
      </c>
      <c r="BI15" s="38">
        <f>IF(ISNUMBER(AY15),ROW(),0)</f>
        <v/>
      </c>
      <c r="BJ15" s="43">
        <f>IF(ISNUMBER(BC15),SUM(BC$5:BC15)*10000,NA())</f>
        <v/>
      </c>
      <c r="BK15" s="43">
        <f>IF(BG15=1,SUM(BH$5:BH15)*10000,NA())</f>
        <v/>
      </c>
      <c r="BL15" s="44">
        <f>IF(ISNUMBER(AY15),AY15,NA())</f>
        <v/>
      </c>
    </row>
    <row r="16">
      <c r="A16" s="36">
        <f>IF(Datos!A16="","",Datos!A16)</f>
        <v/>
      </c>
      <c r="B16" s="37">
        <f>IF(OR($A16="",NOT(ISNUMBER(Datos!B16)),NOT(ISNUMBER(Datos!B15))),"",Datos!B16/Datos!B15-1)</f>
        <v/>
      </c>
      <c r="C16" s="37">
        <f>IF(OR($A16="",NOT(ISNUMBER(Datos!C16)),NOT(ISNUMBER(Datos!C15))),"",Datos!C16/Datos!C15-1)</f>
        <v/>
      </c>
      <c r="D16" s="37">
        <f>IF(OR($A16="",NOT(ISNUMBER(Datos!D16)),NOT(ISNUMBER(Datos!D15))),"",Datos!D16/Datos!D15-1)</f>
        <v/>
      </c>
      <c r="E16" s="37">
        <f>IF(OR($A16="",NOT(ISNUMBER(Datos!E16)),NOT(ISNUMBER(Datos!E15))),"",Datos!E16/Datos!E15-1)</f>
        <v/>
      </c>
      <c r="F16" s="38">
        <f>IF($A16="","",COUNT(B16:E16))</f>
        <v/>
      </c>
      <c r="G16" s="37">
        <f>IF($A16="","",IF(F16&gt;=MIN_BANCOS,AVERAGE(B16:E16),""))</f>
        <v/>
      </c>
      <c r="H16" s="37">
        <f>IF(OR($A16="",NOT(ISNUMBER(Datos!F16)),NOT(ISNUMBER(Datos!F15))),"",Datos!F16/Datos!F15-1)</f>
        <v/>
      </c>
      <c r="I16" s="39">
        <f>IF($A16="","",IF(ISNUMBER(Datos!G16),Datos!G16,I15))</f>
        <v/>
      </c>
      <c r="J16" s="40">
        <f>IF($A16="","",IF(ISNUMBER(I15),LN(1+I15/100/12),0))</f>
        <v/>
      </c>
      <c r="K16" s="40">
        <f>IF(ISNUMBER(G16),LN(1+G16)-J16,"")</f>
        <v/>
      </c>
      <c r="L16" s="40">
        <f>IF(ISNUMBER(H16),LN(1+H16)-J16,"")</f>
        <v/>
      </c>
      <c r="M16" s="38">
        <f>IF(ISNUMBER(K16),1,0)</f>
        <v/>
      </c>
      <c r="N16" s="40">
        <f>IF(M16=1,K16,0)</f>
        <v/>
      </c>
      <c r="O16" s="38">
        <f>IF(ISNUMBER(L16),1,0)</f>
        <v/>
      </c>
      <c r="P16" s="40">
        <f>IF(O16=1,L16,0)</f>
        <v/>
      </c>
      <c r="Q16" s="38">
        <f>M16*O16</f>
        <v/>
      </c>
      <c r="R16" s="38">
        <f>SUM(Q5:Q15)</f>
        <v/>
      </c>
      <c r="S16" s="41">
        <f>IF(OR($A16="",R16&lt;MIN_OBS_ROLL),"",(SUMPRODUCT(Q5:Q15,N5:N15,P5:P15)/R16-SUMPRODUCT(Q5:Q15,N5:N15)/R16*SUMPRODUCT(Q5:Q15,P5:P15)/R16)*R16/(R16-1))</f>
        <v/>
      </c>
      <c r="T16" s="38">
        <f>SUM(O5:O15)</f>
        <v/>
      </c>
      <c r="U16" s="41">
        <f>IF(OR($A16="",T16&lt;MIN_OBS_ROLL),"",SUMPRODUCT(O5:O15,(P5:P15-SUMPRODUCT(O5:O15,P5:P15)/T16)^2)/(T16-1))</f>
        <v/>
      </c>
      <c r="V16" s="40">
        <f>IF(OR(S16="",U16=""),"",S16/U16)</f>
        <v/>
      </c>
      <c r="W16" s="40">
        <f>IF(AND(ISNUMBER(K16),ISNUMBER(L16),ISNUMBER(V16)),K16-V16*L16,"")</f>
        <v/>
      </c>
      <c r="X16" s="40">
        <f>IF(OR($A16="",NOT(ISNUMBER(Datos!H16)),NOT(ISNUMBER(Datos!H15))),"",LN(Datos!H16)-LN(Datos!H15))</f>
        <v/>
      </c>
      <c r="Y16" s="38">
        <f>IF(ISNUMBER(W16),1,0)</f>
        <v/>
      </c>
      <c r="Z16" s="40">
        <f>IF(Y16=1,W16,0)</f>
        <v/>
      </c>
      <c r="AA16" s="38">
        <f>IF(ISNUMBER(X16),1,0)</f>
        <v/>
      </c>
      <c r="AB16" s="40">
        <f>IF(AA16=1,X16,0)</f>
        <v/>
      </c>
      <c r="AC16" s="38">
        <f>Y16*AA16</f>
        <v/>
      </c>
      <c r="AD16" s="38">
        <f>SUM(AC5:AC15)</f>
        <v/>
      </c>
      <c r="AE16" s="41">
        <f>IF(OR($A16="",AD16&lt;MIN_OBS_ROLL),"",(SUMPRODUCT(AC5:AC15,Z5:Z15,AB5:AB15)/AD16-SUMPRODUCT(AC5:AC15,Z5:Z15)/AD16*SUMPRODUCT(AC5:AC15,AB5:AB15)/AD16)*AD16/(AD16-1))</f>
        <v/>
      </c>
      <c r="AF16" s="38">
        <f>SUM(AA5:AA15)</f>
        <v/>
      </c>
      <c r="AG16" s="41">
        <f>IF(OR($A16="",AF16&lt;MIN_OBS_ROLL),"",SUMPRODUCT(AA5:AA15,(AB5:AB15-SUMPRODUCT(AA5:AA15,AB5:AB15)/AF16)^2)/(AF16-1))</f>
        <v/>
      </c>
      <c r="AH16" s="38">
        <f>SUM(Y5:Y15)</f>
        <v/>
      </c>
      <c r="AI16" s="40">
        <f>IF(OR($A16="",AH16&lt;MIN_OBS_ROLL),"",SUMPRODUCT(Y5:Y15,Z5:Z15)/AH16)</f>
        <v/>
      </c>
      <c r="AJ16" s="40">
        <f>IF(OR($A16="",AF16&lt;MIN_OBS_ROLL),"",SUMPRODUCT(AA5:AA15,AB5:AB15)/AF16)</f>
        <v/>
      </c>
      <c r="AK16" s="40">
        <f>IF(OR(AE16="",AG16=""),"",AE16/AG16)</f>
        <v/>
      </c>
      <c r="AL16" s="40">
        <f>IF(OR(AI16="",AK16="",AJ16=""),"",AI16-AK16*AJ16)</f>
        <v/>
      </c>
      <c r="AM16" s="40">
        <f>IF(AND(ISNUMBER(W16),ISNUMBER(X16),ISNUMBER(AK16),ISNUMBER(AL16)),W16-(AL16+AK16*X16),"")</f>
        <v/>
      </c>
      <c r="AN16" s="38">
        <f>IF(ISNUMBER(AM16),1,0)</f>
        <v/>
      </c>
      <c r="AO16" s="40">
        <f>IF(AN16=1,AM16,0)</f>
        <v/>
      </c>
      <c r="AP16" s="40">
        <f>IF(SUM(AN14:AN16)=3,SUM(AO14:AO16),"")</f>
        <v/>
      </c>
      <c r="AQ16" s="38">
        <f>IF(ISNUMBER(AP16),1,0)</f>
        <v/>
      </c>
      <c r="AR16" s="40">
        <f>IF(AQ16=1,AP16,0)</f>
        <v/>
      </c>
      <c r="AS16" s="38">
        <f>SUM(AQ$5:AQ16)</f>
        <v/>
      </c>
      <c r="AT16" s="40">
        <f>IF(AS16&gt;=MIN_OBS_Z,SUMPRODUCT(AQ$5:AQ16,AR$5:AR16)/AS16,"")</f>
        <v/>
      </c>
      <c r="AU16" s="40">
        <f>IF(AS16&gt;=MIN_OBS_Z,SQRT(SUMPRODUCT(AQ$5:AQ16,(AR$5:AR16-AT16)^2)/(AS16-1)),"")</f>
        <v/>
      </c>
      <c r="AV16" s="40">
        <f>IF(AND(AQ16=1,ISNUMBER(AT16)),MAX(-Z_CLIP,MIN(Z_CLIP,(AR16-AT16)/AU16)),"")</f>
        <v/>
      </c>
      <c r="AW16" s="40">
        <f>IF(ISNUMBER(AV16),-AV16,"")</f>
        <v/>
      </c>
      <c r="AX16" s="40">
        <f>IF(ISNUMBER(AW16),1+AMPLITUD*TANH(AW16),"")</f>
        <v/>
      </c>
      <c r="AY16" s="40">
        <f>IF($A16="","",IF(COUNT(AX14:AX16)&gt;0,AVERAGE(AX14:AX16),""))</f>
        <v/>
      </c>
      <c r="AZ16" s="40">
        <f>IF(ISNUMBER(AY16),AY16-1,"")</f>
        <v/>
      </c>
      <c r="BA16" s="40">
        <f>IF(AND(ISNUMBER(AZ15),ISNUMBER(W16)),AZ15*W_BANCOS*W16,"")</f>
        <v/>
      </c>
      <c r="BB16" s="40">
        <f>IF(AND(ISNUMBER(AZ15),ISNUMBER(AZ14)),ABS(AZ15-AZ14)*W_BANCOS*COSTO,0)</f>
        <v/>
      </c>
      <c r="BC16" s="40">
        <f>IF(ISNUMBER(BA16),BA16-BB16,"")</f>
        <v/>
      </c>
      <c r="BD16" s="42">
        <f>IF(ISNUMBER(BC16),IF(A16&lt;=FECHA_ERA,"A","B"),"")</f>
        <v/>
      </c>
      <c r="BE16" s="40">
        <f>IF(BD16="A",BC16,"")</f>
        <v/>
      </c>
      <c r="BF16" s="40">
        <f>IF(BD16="B",BC16,"")</f>
        <v/>
      </c>
      <c r="BG16" s="38">
        <f>IF(AND(ISNUMBER(BC16),ISNUMBER(A16)),IF(A16&gt;=INICIO_VIVO,1,0),0)</f>
        <v/>
      </c>
      <c r="BH16" s="40">
        <f>IF(BG16=1,BC16,"")</f>
        <v/>
      </c>
      <c r="BI16" s="38">
        <f>IF(ISNUMBER(AY16),ROW(),0)</f>
        <v/>
      </c>
      <c r="BJ16" s="43">
        <f>IF(ISNUMBER(BC16),SUM(BC$5:BC16)*10000,NA())</f>
        <v/>
      </c>
      <c r="BK16" s="43">
        <f>IF(BG16=1,SUM(BH$5:BH16)*10000,NA())</f>
        <v/>
      </c>
      <c r="BL16" s="44">
        <f>IF(ISNUMBER(AY16),AY16,NA())</f>
        <v/>
      </c>
    </row>
    <row r="17">
      <c r="A17" s="36">
        <f>IF(Datos!A17="","",Datos!A17)</f>
        <v/>
      </c>
      <c r="B17" s="37">
        <f>IF(OR($A17="",NOT(ISNUMBER(Datos!B17)),NOT(ISNUMBER(Datos!B16))),"",Datos!B17/Datos!B16-1)</f>
        <v/>
      </c>
      <c r="C17" s="37">
        <f>IF(OR($A17="",NOT(ISNUMBER(Datos!C17)),NOT(ISNUMBER(Datos!C16))),"",Datos!C17/Datos!C16-1)</f>
        <v/>
      </c>
      <c r="D17" s="37">
        <f>IF(OR($A17="",NOT(ISNUMBER(Datos!D17)),NOT(ISNUMBER(Datos!D16))),"",Datos!D17/Datos!D16-1)</f>
        <v/>
      </c>
      <c r="E17" s="37">
        <f>IF(OR($A17="",NOT(ISNUMBER(Datos!E17)),NOT(ISNUMBER(Datos!E16))),"",Datos!E17/Datos!E16-1)</f>
        <v/>
      </c>
      <c r="F17" s="38">
        <f>IF($A17="","",COUNT(B17:E17))</f>
        <v/>
      </c>
      <c r="G17" s="37">
        <f>IF($A17="","",IF(F17&gt;=MIN_BANCOS,AVERAGE(B17:E17),""))</f>
        <v/>
      </c>
      <c r="H17" s="37">
        <f>IF(OR($A17="",NOT(ISNUMBER(Datos!F17)),NOT(ISNUMBER(Datos!F16))),"",Datos!F17/Datos!F16-1)</f>
        <v/>
      </c>
      <c r="I17" s="39">
        <f>IF($A17="","",IF(ISNUMBER(Datos!G17),Datos!G17,I16))</f>
        <v/>
      </c>
      <c r="J17" s="40">
        <f>IF($A17="","",IF(ISNUMBER(I16),LN(1+I16/100/12),0))</f>
        <v/>
      </c>
      <c r="K17" s="40">
        <f>IF(ISNUMBER(G17),LN(1+G17)-J17,"")</f>
        <v/>
      </c>
      <c r="L17" s="40">
        <f>IF(ISNUMBER(H17),LN(1+H17)-J17,"")</f>
        <v/>
      </c>
      <c r="M17" s="38">
        <f>IF(ISNUMBER(K17),1,0)</f>
        <v/>
      </c>
      <c r="N17" s="40">
        <f>IF(M17=1,K17,0)</f>
        <v/>
      </c>
      <c r="O17" s="38">
        <f>IF(ISNUMBER(L17),1,0)</f>
        <v/>
      </c>
      <c r="P17" s="40">
        <f>IF(O17=1,L17,0)</f>
        <v/>
      </c>
      <c r="Q17" s="38">
        <f>M17*O17</f>
        <v/>
      </c>
      <c r="R17" s="38">
        <f>SUM(Q5:Q16)</f>
        <v/>
      </c>
      <c r="S17" s="41">
        <f>IF(OR($A17="",R17&lt;MIN_OBS_ROLL),"",(SUMPRODUCT(Q5:Q16,N5:N16,P5:P16)/R17-SUMPRODUCT(Q5:Q16,N5:N16)/R17*SUMPRODUCT(Q5:Q16,P5:P16)/R17)*R17/(R17-1))</f>
        <v/>
      </c>
      <c r="T17" s="38">
        <f>SUM(O5:O16)</f>
        <v/>
      </c>
      <c r="U17" s="41">
        <f>IF(OR($A17="",T17&lt;MIN_OBS_ROLL),"",SUMPRODUCT(O5:O16,(P5:P16-SUMPRODUCT(O5:O16,P5:P16)/T17)^2)/(T17-1))</f>
        <v/>
      </c>
      <c r="V17" s="40">
        <f>IF(OR(S17="",U17=""),"",S17/U17)</f>
        <v/>
      </c>
      <c r="W17" s="40">
        <f>IF(AND(ISNUMBER(K17),ISNUMBER(L17),ISNUMBER(V17)),K17-V17*L17,"")</f>
        <v/>
      </c>
      <c r="X17" s="40">
        <f>IF(OR($A17="",NOT(ISNUMBER(Datos!H17)),NOT(ISNUMBER(Datos!H16))),"",LN(Datos!H17)-LN(Datos!H16))</f>
        <v/>
      </c>
      <c r="Y17" s="38">
        <f>IF(ISNUMBER(W17),1,0)</f>
        <v/>
      </c>
      <c r="Z17" s="40">
        <f>IF(Y17=1,W17,0)</f>
        <v/>
      </c>
      <c r="AA17" s="38">
        <f>IF(ISNUMBER(X17),1,0)</f>
        <v/>
      </c>
      <c r="AB17" s="40">
        <f>IF(AA17=1,X17,0)</f>
        <v/>
      </c>
      <c r="AC17" s="38">
        <f>Y17*AA17</f>
        <v/>
      </c>
      <c r="AD17" s="38">
        <f>SUM(AC5:AC16)</f>
        <v/>
      </c>
      <c r="AE17" s="41">
        <f>IF(OR($A17="",AD17&lt;MIN_OBS_ROLL),"",(SUMPRODUCT(AC5:AC16,Z5:Z16,AB5:AB16)/AD17-SUMPRODUCT(AC5:AC16,Z5:Z16)/AD17*SUMPRODUCT(AC5:AC16,AB5:AB16)/AD17)*AD17/(AD17-1))</f>
        <v/>
      </c>
      <c r="AF17" s="38">
        <f>SUM(AA5:AA16)</f>
        <v/>
      </c>
      <c r="AG17" s="41">
        <f>IF(OR($A17="",AF17&lt;MIN_OBS_ROLL),"",SUMPRODUCT(AA5:AA16,(AB5:AB16-SUMPRODUCT(AA5:AA16,AB5:AB16)/AF17)^2)/(AF17-1))</f>
        <v/>
      </c>
      <c r="AH17" s="38">
        <f>SUM(Y5:Y16)</f>
        <v/>
      </c>
      <c r="AI17" s="40">
        <f>IF(OR($A17="",AH17&lt;MIN_OBS_ROLL),"",SUMPRODUCT(Y5:Y16,Z5:Z16)/AH17)</f>
        <v/>
      </c>
      <c r="AJ17" s="40">
        <f>IF(OR($A17="",AF17&lt;MIN_OBS_ROLL),"",SUMPRODUCT(AA5:AA16,AB5:AB16)/AF17)</f>
        <v/>
      </c>
      <c r="AK17" s="40">
        <f>IF(OR(AE17="",AG17=""),"",AE17/AG17)</f>
        <v/>
      </c>
      <c r="AL17" s="40">
        <f>IF(OR(AI17="",AK17="",AJ17=""),"",AI17-AK17*AJ17)</f>
        <v/>
      </c>
      <c r="AM17" s="40">
        <f>IF(AND(ISNUMBER(W17),ISNUMBER(X17),ISNUMBER(AK17),ISNUMBER(AL17)),W17-(AL17+AK17*X17),"")</f>
        <v/>
      </c>
      <c r="AN17" s="38">
        <f>IF(ISNUMBER(AM17),1,0)</f>
        <v/>
      </c>
      <c r="AO17" s="40">
        <f>IF(AN17=1,AM17,0)</f>
        <v/>
      </c>
      <c r="AP17" s="40">
        <f>IF(SUM(AN15:AN17)=3,SUM(AO15:AO17),"")</f>
        <v/>
      </c>
      <c r="AQ17" s="38">
        <f>IF(ISNUMBER(AP17),1,0)</f>
        <v/>
      </c>
      <c r="AR17" s="40">
        <f>IF(AQ17=1,AP17,0)</f>
        <v/>
      </c>
      <c r="AS17" s="38">
        <f>SUM(AQ$5:AQ17)</f>
        <v/>
      </c>
      <c r="AT17" s="40">
        <f>IF(AS17&gt;=MIN_OBS_Z,SUMPRODUCT(AQ$5:AQ17,AR$5:AR17)/AS17,"")</f>
        <v/>
      </c>
      <c r="AU17" s="40">
        <f>IF(AS17&gt;=MIN_OBS_Z,SQRT(SUMPRODUCT(AQ$5:AQ17,(AR$5:AR17-AT17)^2)/(AS17-1)),"")</f>
        <v/>
      </c>
      <c r="AV17" s="40">
        <f>IF(AND(AQ17=1,ISNUMBER(AT17)),MAX(-Z_CLIP,MIN(Z_CLIP,(AR17-AT17)/AU17)),"")</f>
        <v/>
      </c>
      <c r="AW17" s="40">
        <f>IF(ISNUMBER(AV17),-AV17,"")</f>
        <v/>
      </c>
      <c r="AX17" s="40">
        <f>IF(ISNUMBER(AW17),1+AMPLITUD*TANH(AW17),"")</f>
        <v/>
      </c>
      <c r="AY17" s="40">
        <f>IF($A17="","",IF(COUNT(AX15:AX17)&gt;0,AVERAGE(AX15:AX17),""))</f>
        <v/>
      </c>
      <c r="AZ17" s="40">
        <f>IF(ISNUMBER(AY17),AY17-1,"")</f>
        <v/>
      </c>
      <c r="BA17" s="40">
        <f>IF(AND(ISNUMBER(AZ16),ISNUMBER(W17)),AZ16*W_BANCOS*W17,"")</f>
        <v/>
      </c>
      <c r="BB17" s="40">
        <f>IF(AND(ISNUMBER(AZ16),ISNUMBER(AZ15)),ABS(AZ16-AZ15)*W_BANCOS*COSTO,0)</f>
        <v/>
      </c>
      <c r="BC17" s="40">
        <f>IF(ISNUMBER(BA17),BA17-BB17,"")</f>
        <v/>
      </c>
      <c r="BD17" s="42">
        <f>IF(ISNUMBER(BC17),IF(A17&lt;=FECHA_ERA,"A","B"),"")</f>
        <v/>
      </c>
      <c r="BE17" s="40">
        <f>IF(BD17="A",BC17,"")</f>
        <v/>
      </c>
      <c r="BF17" s="40">
        <f>IF(BD17="B",BC17,"")</f>
        <v/>
      </c>
      <c r="BG17" s="38">
        <f>IF(AND(ISNUMBER(BC17),ISNUMBER(A17)),IF(A17&gt;=INICIO_VIVO,1,0),0)</f>
        <v/>
      </c>
      <c r="BH17" s="40">
        <f>IF(BG17=1,BC17,"")</f>
        <v/>
      </c>
      <c r="BI17" s="38">
        <f>IF(ISNUMBER(AY17),ROW(),0)</f>
        <v/>
      </c>
      <c r="BJ17" s="43">
        <f>IF(ISNUMBER(BC17),SUM(BC$5:BC17)*10000,NA())</f>
        <v/>
      </c>
      <c r="BK17" s="43">
        <f>IF(BG17=1,SUM(BH$5:BH17)*10000,NA())</f>
        <v/>
      </c>
      <c r="BL17" s="44">
        <f>IF(ISNUMBER(AY17),AY17,NA())</f>
        <v/>
      </c>
    </row>
    <row r="18">
      <c r="A18" s="36">
        <f>IF(Datos!A18="","",Datos!A18)</f>
        <v/>
      </c>
      <c r="B18" s="37">
        <f>IF(OR($A18="",NOT(ISNUMBER(Datos!B18)),NOT(ISNUMBER(Datos!B17))),"",Datos!B18/Datos!B17-1)</f>
        <v/>
      </c>
      <c r="C18" s="37">
        <f>IF(OR($A18="",NOT(ISNUMBER(Datos!C18)),NOT(ISNUMBER(Datos!C17))),"",Datos!C18/Datos!C17-1)</f>
        <v/>
      </c>
      <c r="D18" s="37">
        <f>IF(OR($A18="",NOT(ISNUMBER(Datos!D18)),NOT(ISNUMBER(Datos!D17))),"",Datos!D18/Datos!D17-1)</f>
        <v/>
      </c>
      <c r="E18" s="37">
        <f>IF(OR($A18="",NOT(ISNUMBER(Datos!E18)),NOT(ISNUMBER(Datos!E17))),"",Datos!E18/Datos!E17-1)</f>
        <v/>
      </c>
      <c r="F18" s="38">
        <f>IF($A18="","",COUNT(B18:E18))</f>
        <v/>
      </c>
      <c r="G18" s="37">
        <f>IF($A18="","",IF(F18&gt;=MIN_BANCOS,AVERAGE(B18:E18),""))</f>
        <v/>
      </c>
      <c r="H18" s="37">
        <f>IF(OR($A18="",NOT(ISNUMBER(Datos!F18)),NOT(ISNUMBER(Datos!F17))),"",Datos!F18/Datos!F17-1)</f>
        <v/>
      </c>
      <c r="I18" s="39">
        <f>IF($A18="","",IF(ISNUMBER(Datos!G18),Datos!G18,I17))</f>
        <v/>
      </c>
      <c r="J18" s="40">
        <f>IF($A18="","",IF(ISNUMBER(I17),LN(1+I17/100/12),0))</f>
        <v/>
      </c>
      <c r="K18" s="40">
        <f>IF(ISNUMBER(G18),LN(1+G18)-J18,"")</f>
        <v/>
      </c>
      <c r="L18" s="40">
        <f>IF(ISNUMBER(H18),LN(1+H18)-J18,"")</f>
        <v/>
      </c>
      <c r="M18" s="38">
        <f>IF(ISNUMBER(K18),1,0)</f>
        <v/>
      </c>
      <c r="N18" s="40">
        <f>IF(M18=1,K18,0)</f>
        <v/>
      </c>
      <c r="O18" s="38">
        <f>IF(ISNUMBER(L18),1,0)</f>
        <v/>
      </c>
      <c r="P18" s="40">
        <f>IF(O18=1,L18,0)</f>
        <v/>
      </c>
      <c r="Q18" s="38">
        <f>M18*O18</f>
        <v/>
      </c>
      <c r="R18" s="38">
        <f>SUM(Q5:Q17)</f>
        <v/>
      </c>
      <c r="S18" s="41">
        <f>IF(OR($A18="",R18&lt;MIN_OBS_ROLL),"",(SUMPRODUCT(Q5:Q17,N5:N17,P5:P17)/R18-SUMPRODUCT(Q5:Q17,N5:N17)/R18*SUMPRODUCT(Q5:Q17,P5:P17)/R18)*R18/(R18-1))</f>
        <v/>
      </c>
      <c r="T18" s="38">
        <f>SUM(O5:O17)</f>
        <v/>
      </c>
      <c r="U18" s="41">
        <f>IF(OR($A18="",T18&lt;MIN_OBS_ROLL),"",SUMPRODUCT(O5:O17,(P5:P17-SUMPRODUCT(O5:O17,P5:P17)/T18)^2)/(T18-1))</f>
        <v/>
      </c>
      <c r="V18" s="40">
        <f>IF(OR(S18="",U18=""),"",S18/U18)</f>
        <v/>
      </c>
      <c r="W18" s="40">
        <f>IF(AND(ISNUMBER(K18),ISNUMBER(L18),ISNUMBER(V18)),K18-V18*L18,"")</f>
        <v/>
      </c>
      <c r="X18" s="40">
        <f>IF(OR($A18="",NOT(ISNUMBER(Datos!H18)),NOT(ISNUMBER(Datos!H17))),"",LN(Datos!H18)-LN(Datos!H17))</f>
        <v/>
      </c>
      <c r="Y18" s="38">
        <f>IF(ISNUMBER(W18),1,0)</f>
        <v/>
      </c>
      <c r="Z18" s="40">
        <f>IF(Y18=1,W18,0)</f>
        <v/>
      </c>
      <c r="AA18" s="38">
        <f>IF(ISNUMBER(X18),1,0)</f>
        <v/>
      </c>
      <c r="AB18" s="40">
        <f>IF(AA18=1,X18,0)</f>
        <v/>
      </c>
      <c r="AC18" s="38">
        <f>Y18*AA18</f>
        <v/>
      </c>
      <c r="AD18" s="38">
        <f>SUM(AC5:AC17)</f>
        <v/>
      </c>
      <c r="AE18" s="41">
        <f>IF(OR($A18="",AD18&lt;MIN_OBS_ROLL),"",(SUMPRODUCT(AC5:AC17,Z5:Z17,AB5:AB17)/AD18-SUMPRODUCT(AC5:AC17,Z5:Z17)/AD18*SUMPRODUCT(AC5:AC17,AB5:AB17)/AD18)*AD18/(AD18-1))</f>
        <v/>
      </c>
      <c r="AF18" s="38">
        <f>SUM(AA5:AA17)</f>
        <v/>
      </c>
      <c r="AG18" s="41">
        <f>IF(OR($A18="",AF18&lt;MIN_OBS_ROLL),"",SUMPRODUCT(AA5:AA17,(AB5:AB17-SUMPRODUCT(AA5:AA17,AB5:AB17)/AF18)^2)/(AF18-1))</f>
        <v/>
      </c>
      <c r="AH18" s="38">
        <f>SUM(Y5:Y17)</f>
        <v/>
      </c>
      <c r="AI18" s="40">
        <f>IF(OR($A18="",AH18&lt;MIN_OBS_ROLL),"",SUMPRODUCT(Y5:Y17,Z5:Z17)/AH18)</f>
        <v/>
      </c>
      <c r="AJ18" s="40">
        <f>IF(OR($A18="",AF18&lt;MIN_OBS_ROLL),"",SUMPRODUCT(AA5:AA17,AB5:AB17)/AF18)</f>
        <v/>
      </c>
      <c r="AK18" s="40">
        <f>IF(OR(AE18="",AG18=""),"",AE18/AG18)</f>
        <v/>
      </c>
      <c r="AL18" s="40">
        <f>IF(OR(AI18="",AK18="",AJ18=""),"",AI18-AK18*AJ18)</f>
        <v/>
      </c>
      <c r="AM18" s="40">
        <f>IF(AND(ISNUMBER(W18),ISNUMBER(X18),ISNUMBER(AK18),ISNUMBER(AL18)),W18-(AL18+AK18*X18),"")</f>
        <v/>
      </c>
      <c r="AN18" s="38">
        <f>IF(ISNUMBER(AM18),1,0)</f>
        <v/>
      </c>
      <c r="AO18" s="40">
        <f>IF(AN18=1,AM18,0)</f>
        <v/>
      </c>
      <c r="AP18" s="40">
        <f>IF(SUM(AN16:AN18)=3,SUM(AO16:AO18),"")</f>
        <v/>
      </c>
      <c r="AQ18" s="38">
        <f>IF(ISNUMBER(AP18),1,0)</f>
        <v/>
      </c>
      <c r="AR18" s="40">
        <f>IF(AQ18=1,AP18,0)</f>
        <v/>
      </c>
      <c r="AS18" s="38">
        <f>SUM(AQ$5:AQ18)</f>
        <v/>
      </c>
      <c r="AT18" s="40">
        <f>IF(AS18&gt;=MIN_OBS_Z,SUMPRODUCT(AQ$5:AQ18,AR$5:AR18)/AS18,"")</f>
        <v/>
      </c>
      <c r="AU18" s="40">
        <f>IF(AS18&gt;=MIN_OBS_Z,SQRT(SUMPRODUCT(AQ$5:AQ18,(AR$5:AR18-AT18)^2)/(AS18-1)),"")</f>
        <v/>
      </c>
      <c r="AV18" s="40">
        <f>IF(AND(AQ18=1,ISNUMBER(AT18)),MAX(-Z_CLIP,MIN(Z_CLIP,(AR18-AT18)/AU18)),"")</f>
        <v/>
      </c>
      <c r="AW18" s="40">
        <f>IF(ISNUMBER(AV18),-AV18,"")</f>
        <v/>
      </c>
      <c r="AX18" s="40">
        <f>IF(ISNUMBER(AW18),1+AMPLITUD*TANH(AW18),"")</f>
        <v/>
      </c>
      <c r="AY18" s="40">
        <f>IF($A18="","",IF(COUNT(AX16:AX18)&gt;0,AVERAGE(AX16:AX18),""))</f>
        <v/>
      </c>
      <c r="AZ18" s="40">
        <f>IF(ISNUMBER(AY18),AY18-1,"")</f>
        <v/>
      </c>
      <c r="BA18" s="40">
        <f>IF(AND(ISNUMBER(AZ17),ISNUMBER(W18)),AZ17*W_BANCOS*W18,"")</f>
        <v/>
      </c>
      <c r="BB18" s="40">
        <f>IF(AND(ISNUMBER(AZ17),ISNUMBER(AZ16)),ABS(AZ17-AZ16)*W_BANCOS*COSTO,0)</f>
        <v/>
      </c>
      <c r="BC18" s="40">
        <f>IF(ISNUMBER(BA18),BA18-BB18,"")</f>
        <v/>
      </c>
      <c r="BD18" s="42">
        <f>IF(ISNUMBER(BC18),IF(A18&lt;=FECHA_ERA,"A","B"),"")</f>
        <v/>
      </c>
      <c r="BE18" s="40">
        <f>IF(BD18="A",BC18,"")</f>
        <v/>
      </c>
      <c r="BF18" s="40">
        <f>IF(BD18="B",BC18,"")</f>
        <v/>
      </c>
      <c r="BG18" s="38">
        <f>IF(AND(ISNUMBER(BC18),ISNUMBER(A18)),IF(A18&gt;=INICIO_VIVO,1,0),0)</f>
        <v/>
      </c>
      <c r="BH18" s="40">
        <f>IF(BG18=1,BC18,"")</f>
        <v/>
      </c>
      <c r="BI18" s="38">
        <f>IF(ISNUMBER(AY18),ROW(),0)</f>
        <v/>
      </c>
      <c r="BJ18" s="43">
        <f>IF(ISNUMBER(BC18),SUM(BC$5:BC18)*10000,NA())</f>
        <v/>
      </c>
      <c r="BK18" s="43">
        <f>IF(BG18=1,SUM(BH$5:BH18)*10000,NA())</f>
        <v/>
      </c>
      <c r="BL18" s="44">
        <f>IF(ISNUMBER(AY18),AY18,NA())</f>
        <v/>
      </c>
    </row>
    <row r="19">
      <c r="A19" s="36">
        <f>IF(Datos!A19="","",Datos!A19)</f>
        <v/>
      </c>
      <c r="B19" s="37">
        <f>IF(OR($A19="",NOT(ISNUMBER(Datos!B19)),NOT(ISNUMBER(Datos!B18))),"",Datos!B19/Datos!B18-1)</f>
        <v/>
      </c>
      <c r="C19" s="37">
        <f>IF(OR($A19="",NOT(ISNUMBER(Datos!C19)),NOT(ISNUMBER(Datos!C18))),"",Datos!C19/Datos!C18-1)</f>
        <v/>
      </c>
      <c r="D19" s="37">
        <f>IF(OR($A19="",NOT(ISNUMBER(Datos!D19)),NOT(ISNUMBER(Datos!D18))),"",Datos!D19/Datos!D18-1)</f>
        <v/>
      </c>
      <c r="E19" s="37">
        <f>IF(OR($A19="",NOT(ISNUMBER(Datos!E19)),NOT(ISNUMBER(Datos!E18))),"",Datos!E19/Datos!E18-1)</f>
        <v/>
      </c>
      <c r="F19" s="38">
        <f>IF($A19="","",COUNT(B19:E19))</f>
        <v/>
      </c>
      <c r="G19" s="37">
        <f>IF($A19="","",IF(F19&gt;=MIN_BANCOS,AVERAGE(B19:E19),""))</f>
        <v/>
      </c>
      <c r="H19" s="37">
        <f>IF(OR($A19="",NOT(ISNUMBER(Datos!F19)),NOT(ISNUMBER(Datos!F18))),"",Datos!F19/Datos!F18-1)</f>
        <v/>
      </c>
      <c r="I19" s="39">
        <f>IF($A19="","",IF(ISNUMBER(Datos!G19),Datos!G19,I18))</f>
        <v/>
      </c>
      <c r="J19" s="40">
        <f>IF($A19="","",IF(ISNUMBER(I18),LN(1+I18/100/12),0))</f>
        <v/>
      </c>
      <c r="K19" s="40">
        <f>IF(ISNUMBER(G19),LN(1+G19)-J19,"")</f>
        <v/>
      </c>
      <c r="L19" s="40">
        <f>IF(ISNUMBER(H19),LN(1+H19)-J19,"")</f>
        <v/>
      </c>
      <c r="M19" s="38">
        <f>IF(ISNUMBER(K19),1,0)</f>
        <v/>
      </c>
      <c r="N19" s="40">
        <f>IF(M19=1,K19,0)</f>
        <v/>
      </c>
      <c r="O19" s="38">
        <f>IF(ISNUMBER(L19),1,0)</f>
        <v/>
      </c>
      <c r="P19" s="40">
        <f>IF(O19=1,L19,0)</f>
        <v/>
      </c>
      <c r="Q19" s="38">
        <f>M19*O19</f>
        <v/>
      </c>
      <c r="R19" s="38">
        <f>SUM(Q5:Q18)</f>
        <v/>
      </c>
      <c r="S19" s="41">
        <f>IF(OR($A19="",R19&lt;MIN_OBS_ROLL),"",(SUMPRODUCT(Q5:Q18,N5:N18,P5:P18)/R19-SUMPRODUCT(Q5:Q18,N5:N18)/R19*SUMPRODUCT(Q5:Q18,P5:P18)/R19)*R19/(R19-1))</f>
        <v/>
      </c>
      <c r="T19" s="38">
        <f>SUM(O5:O18)</f>
        <v/>
      </c>
      <c r="U19" s="41">
        <f>IF(OR($A19="",T19&lt;MIN_OBS_ROLL),"",SUMPRODUCT(O5:O18,(P5:P18-SUMPRODUCT(O5:O18,P5:P18)/T19)^2)/(T19-1))</f>
        <v/>
      </c>
      <c r="V19" s="40">
        <f>IF(OR(S19="",U19=""),"",S19/U19)</f>
        <v/>
      </c>
      <c r="W19" s="40">
        <f>IF(AND(ISNUMBER(K19),ISNUMBER(L19),ISNUMBER(V19)),K19-V19*L19,"")</f>
        <v/>
      </c>
      <c r="X19" s="40">
        <f>IF(OR($A19="",NOT(ISNUMBER(Datos!H19)),NOT(ISNUMBER(Datos!H18))),"",LN(Datos!H19)-LN(Datos!H18))</f>
        <v/>
      </c>
      <c r="Y19" s="38">
        <f>IF(ISNUMBER(W19),1,0)</f>
        <v/>
      </c>
      <c r="Z19" s="40">
        <f>IF(Y19=1,W19,0)</f>
        <v/>
      </c>
      <c r="AA19" s="38">
        <f>IF(ISNUMBER(X19),1,0)</f>
        <v/>
      </c>
      <c r="AB19" s="40">
        <f>IF(AA19=1,X19,0)</f>
        <v/>
      </c>
      <c r="AC19" s="38">
        <f>Y19*AA19</f>
        <v/>
      </c>
      <c r="AD19" s="38">
        <f>SUM(AC5:AC18)</f>
        <v/>
      </c>
      <c r="AE19" s="41">
        <f>IF(OR($A19="",AD19&lt;MIN_OBS_ROLL),"",(SUMPRODUCT(AC5:AC18,Z5:Z18,AB5:AB18)/AD19-SUMPRODUCT(AC5:AC18,Z5:Z18)/AD19*SUMPRODUCT(AC5:AC18,AB5:AB18)/AD19)*AD19/(AD19-1))</f>
        <v/>
      </c>
      <c r="AF19" s="38">
        <f>SUM(AA5:AA18)</f>
        <v/>
      </c>
      <c r="AG19" s="41">
        <f>IF(OR($A19="",AF19&lt;MIN_OBS_ROLL),"",SUMPRODUCT(AA5:AA18,(AB5:AB18-SUMPRODUCT(AA5:AA18,AB5:AB18)/AF19)^2)/(AF19-1))</f>
        <v/>
      </c>
      <c r="AH19" s="38">
        <f>SUM(Y5:Y18)</f>
        <v/>
      </c>
      <c r="AI19" s="40">
        <f>IF(OR($A19="",AH19&lt;MIN_OBS_ROLL),"",SUMPRODUCT(Y5:Y18,Z5:Z18)/AH19)</f>
        <v/>
      </c>
      <c r="AJ19" s="40">
        <f>IF(OR($A19="",AF19&lt;MIN_OBS_ROLL),"",SUMPRODUCT(AA5:AA18,AB5:AB18)/AF19)</f>
        <v/>
      </c>
      <c r="AK19" s="40">
        <f>IF(OR(AE19="",AG19=""),"",AE19/AG19)</f>
        <v/>
      </c>
      <c r="AL19" s="40">
        <f>IF(OR(AI19="",AK19="",AJ19=""),"",AI19-AK19*AJ19)</f>
        <v/>
      </c>
      <c r="AM19" s="40">
        <f>IF(AND(ISNUMBER(W19),ISNUMBER(X19),ISNUMBER(AK19),ISNUMBER(AL19)),W19-(AL19+AK19*X19),"")</f>
        <v/>
      </c>
      <c r="AN19" s="38">
        <f>IF(ISNUMBER(AM19),1,0)</f>
        <v/>
      </c>
      <c r="AO19" s="40">
        <f>IF(AN19=1,AM19,0)</f>
        <v/>
      </c>
      <c r="AP19" s="40">
        <f>IF(SUM(AN17:AN19)=3,SUM(AO17:AO19),"")</f>
        <v/>
      </c>
      <c r="AQ19" s="38">
        <f>IF(ISNUMBER(AP19),1,0)</f>
        <v/>
      </c>
      <c r="AR19" s="40">
        <f>IF(AQ19=1,AP19,0)</f>
        <v/>
      </c>
      <c r="AS19" s="38">
        <f>SUM(AQ$5:AQ19)</f>
        <v/>
      </c>
      <c r="AT19" s="40">
        <f>IF(AS19&gt;=MIN_OBS_Z,SUMPRODUCT(AQ$5:AQ19,AR$5:AR19)/AS19,"")</f>
        <v/>
      </c>
      <c r="AU19" s="40">
        <f>IF(AS19&gt;=MIN_OBS_Z,SQRT(SUMPRODUCT(AQ$5:AQ19,(AR$5:AR19-AT19)^2)/(AS19-1)),"")</f>
        <v/>
      </c>
      <c r="AV19" s="40">
        <f>IF(AND(AQ19=1,ISNUMBER(AT19)),MAX(-Z_CLIP,MIN(Z_CLIP,(AR19-AT19)/AU19)),"")</f>
        <v/>
      </c>
      <c r="AW19" s="40">
        <f>IF(ISNUMBER(AV19),-AV19,"")</f>
        <v/>
      </c>
      <c r="AX19" s="40">
        <f>IF(ISNUMBER(AW19),1+AMPLITUD*TANH(AW19),"")</f>
        <v/>
      </c>
      <c r="AY19" s="40">
        <f>IF($A19="","",IF(COUNT(AX17:AX19)&gt;0,AVERAGE(AX17:AX19),""))</f>
        <v/>
      </c>
      <c r="AZ19" s="40">
        <f>IF(ISNUMBER(AY19),AY19-1,"")</f>
        <v/>
      </c>
      <c r="BA19" s="40">
        <f>IF(AND(ISNUMBER(AZ18),ISNUMBER(W19)),AZ18*W_BANCOS*W19,"")</f>
        <v/>
      </c>
      <c r="BB19" s="40">
        <f>IF(AND(ISNUMBER(AZ18),ISNUMBER(AZ17)),ABS(AZ18-AZ17)*W_BANCOS*COSTO,0)</f>
        <v/>
      </c>
      <c r="BC19" s="40">
        <f>IF(ISNUMBER(BA19),BA19-BB19,"")</f>
        <v/>
      </c>
      <c r="BD19" s="42">
        <f>IF(ISNUMBER(BC19),IF(A19&lt;=FECHA_ERA,"A","B"),"")</f>
        <v/>
      </c>
      <c r="BE19" s="40">
        <f>IF(BD19="A",BC19,"")</f>
        <v/>
      </c>
      <c r="BF19" s="40">
        <f>IF(BD19="B",BC19,"")</f>
        <v/>
      </c>
      <c r="BG19" s="38">
        <f>IF(AND(ISNUMBER(BC19),ISNUMBER(A19)),IF(A19&gt;=INICIO_VIVO,1,0),0)</f>
        <v/>
      </c>
      <c r="BH19" s="40">
        <f>IF(BG19=1,BC19,"")</f>
        <v/>
      </c>
      <c r="BI19" s="38">
        <f>IF(ISNUMBER(AY19),ROW(),0)</f>
        <v/>
      </c>
      <c r="BJ19" s="43">
        <f>IF(ISNUMBER(BC19),SUM(BC$5:BC19)*10000,NA())</f>
        <v/>
      </c>
      <c r="BK19" s="43">
        <f>IF(BG19=1,SUM(BH$5:BH19)*10000,NA())</f>
        <v/>
      </c>
      <c r="BL19" s="44">
        <f>IF(ISNUMBER(AY19),AY19,NA())</f>
        <v/>
      </c>
    </row>
    <row r="20">
      <c r="A20" s="36">
        <f>IF(Datos!A20="","",Datos!A20)</f>
        <v/>
      </c>
      <c r="B20" s="37">
        <f>IF(OR($A20="",NOT(ISNUMBER(Datos!B20)),NOT(ISNUMBER(Datos!B19))),"",Datos!B20/Datos!B19-1)</f>
        <v/>
      </c>
      <c r="C20" s="37">
        <f>IF(OR($A20="",NOT(ISNUMBER(Datos!C20)),NOT(ISNUMBER(Datos!C19))),"",Datos!C20/Datos!C19-1)</f>
        <v/>
      </c>
      <c r="D20" s="37">
        <f>IF(OR($A20="",NOT(ISNUMBER(Datos!D20)),NOT(ISNUMBER(Datos!D19))),"",Datos!D20/Datos!D19-1)</f>
        <v/>
      </c>
      <c r="E20" s="37">
        <f>IF(OR($A20="",NOT(ISNUMBER(Datos!E20)),NOT(ISNUMBER(Datos!E19))),"",Datos!E20/Datos!E19-1)</f>
        <v/>
      </c>
      <c r="F20" s="38">
        <f>IF($A20="","",COUNT(B20:E20))</f>
        <v/>
      </c>
      <c r="G20" s="37">
        <f>IF($A20="","",IF(F20&gt;=MIN_BANCOS,AVERAGE(B20:E20),""))</f>
        <v/>
      </c>
      <c r="H20" s="37">
        <f>IF(OR($A20="",NOT(ISNUMBER(Datos!F20)),NOT(ISNUMBER(Datos!F19))),"",Datos!F20/Datos!F19-1)</f>
        <v/>
      </c>
      <c r="I20" s="39">
        <f>IF($A20="","",IF(ISNUMBER(Datos!G20),Datos!G20,I19))</f>
        <v/>
      </c>
      <c r="J20" s="40">
        <f>IF($A20="","",IF(ISNUMBER(I19),LN(1+I19/100/12),0))</f>
        <v/>
      </c>
      <c r="K20" s="40">
        <f>IF(ISNUMBER(G20),LN(1+G20)-J20,"")</f>
        <v/>
      </c>
      <c r="L20" s="40">
        <f>IF(ISNUMBER(H20),LN(1+H20)-J20,"")</f>
        <v/>
      </c>
      <c r="M20" s="38">
        <f>IF(ISNUMBER(K20),1,0)</f>
        <v/>
      </c>
      <c r="N20" s="40">
        <f>IF(M20=1,K20,0)</f>
        <v/>
      </c>
      <c r="O20" s="38">
        <f>IF(ISNUMBER(L20),1,0)</f>
        <v/>
      </c>
      <c r="P20" s="40">
        <f>IF(O20=1,L20,0)</f>
        <v/>
      </c>
      <c r="Q20" s="38">
        <f>M20*O20</f>
        <v/>
      </c>
      <c r="R20" s="38">
        <f>SUM(Q5:Q19)</f>
        <v/>
      </c>
      <c r="S20" s="41">
        <f>IF(OR($A20="",R20&lt;MIN_OBS_ROLL),"",(SUMPRODUCT(Q5:Q19,N5:N19,P5:P19)/R20-SUMPRODUCT(Q5:Q19,N5:N19)/R20*SUMPRODUCT(Q5:Q19,P5:P19)/R20)*R20/(R20-1))</f>
        <v/>
      </c>
      <c r="T20" s="38">
        <f>SUM(O5:O19)</f>
        <v/>
      </c>
      <c r="U20" s="41">
        <f>IF(OR($A20="",T20&lt;MIN_OBS_ROLL),"",SUMPRODUCT(O5:O19,(P5:P19-SUMPRODUCT(O5:O19,P5:P19)/T20)^2)/(T20-1))</f>
        <v/>
      </c>
      <c r="V20" s="40">
        <f>IF(OR(S20="",U20=""),"",S20/U20)</f>
        <v/>
      </c>
      <c r="W20" s="40">
        <f>IF(AND(ISNUMBER(K20),ISNUMBER(L20),ISNUMBER(V20)),K20-V20*L20,"")</f>
        <v/>
      </c>
      <c r="X20" s="40">
        <f>IF(OR($A20="",NOT(ISNUMBER(Datos!H20)),NOT(ISNUMBER(Datos!H19))),"",LN(Datos!H20)-LN(Datos!H19))</f>
        <v/>
      </c>
      <c r="Y20" s="38">
        <f>IF(ISNUMBER(W20),1,0)</f>
        <v/>
      </c>
      <c r="Z20" s="40">
        <f>IF(Y20=1,W20,0)</f>
        <v/>
      </c>
      <c r="AA20" s="38">
        <f>IF(ISNUMBER(X20),1,0)</f>
        <v/>
      </c>
      <c r="AB20" s="40">
        <f>IF(AA20=1,X20,0)</f>
        <v/>
      </c>
      <c r="AC20" s="38">
        <f>Y20*AA20</f>
        <v/>
      </c>
      <c r="AD20" s="38">
        <f>SUM(AC5:AC19)</f>
        <v/>
      </c>
      <c r="AE20" s="41">
        <f>IF(OR($A20="",AD20&lt;MIN_OBS_ROLL),"",(SUMPRODUCT(AC5:AC19,Z5:Z19,AB5:AB19)/AD20-SUMPRODUCT(AC5:AC19,Z5:Z19)/AD20*SUMPRODUCT(AC5:AC19,AB5:AB19)/AD20)*AD20/(AD20-1))</f>
        <v/>
      </c>
      <c r="AF20" s="38">
        <f>SUM(AA5:AA19)</f>
        <v/>
      </c>
      <c r="AG20" s="41">
        <f>IF(OR($A20="",AF20&lt;MIN_OBS_ROLL),"",SUMPRODUCT(AA5:AA19,(AB5:AB19-SUMPRODUCT(AA5:AA19,AB5:AB19)/AF20)^2)/(AF20-1))</f>
        <v/>
      </c>
      <c r="AH20" s="38">
        <f>SUM(Y5:Y19)</f>
        <v/>
      </c>
      <c r="AI20" s="40">
        <f>IF(OR($A20="",AH20&lt;MIN_OBS_ROLL),"",SUMPRODUCT(Y5:Y19,Z5:Z19)/AH20)</f>
        <v/>
      </c>
      <c r="AJ20" s="40">
        <f>IF(OR($A20="",AF20&lt;MIN_OBS_ROLL),"",SUMPRODUCT(AA5:AA19,AB5:AB19)/AF20)</f>
        <v/>
      </c>
      <c r="AK20" s="40">
        <f>IF(OR(AE20="",AG20=""),"",AE20/AG20)</f>
        <v/>
      </c>
      <c r="AL20" s="40">
        <f>IF(OR(AI20="",AK20="",AJ20=""),"",AI20-AK20*AJ20)</f>
        <v/>
      </c>
      <c r="AM20" s="40">
        <f>IF(AND(ISNUMBER(W20),ISNUMBER(X20),ISNUMBER(AK20),ISNUMBER(AL20)),W20-(AL20+AK20*X20),"")</f>
        <v/>
      </c>
      <c r="AN20" s="38">
        <f>IF(ISNUMBER(AM20),1,0)</f>
        <v/>
      </c>
      <c r="AO20" s="40">
        <f>IF(AN20=1,AM20,0)</f>
        <v/>
      </c>
      <c r="AP20" s="40">
        <f>IF(SUM(AN18:AN20)=3,SUM(AO18:AO20),"")</f>
        <v/>
      </c>
      <c r="AQ20" s="38">
        <f>IF(ISNUMBER(AP20),1,0)</f>
        <v/>
      </c>
      <c r="AR20" s="40">
        <f>IF(AQ20=1,AP20,0)</f>
        <v/>
      </c>
      <c r="AS20" s="38">
        <f>SUM(AQ$5:AQ20)</f>
        <v/>
      </c>
      <c r="AT20" s="40">
        <f>IF(AS20&gt;=MIN_OBS_Z,SUMPRODUCT(AQ$5:AQ20,AR$5:AR20)/AS20,"")</f>
        <v/>
      </c>
      <c r="AU20" s="40">
        <f>IF(AS20&gt;=MIN_OBS_Z,SQRT(SUMPRODUCT(AQ$5:AQ20,(AR$5:AR20-AT20)^2)/(AS20-1)),"")</f>
        <v/>
      </c>
      <c r="AV20" s="40">
        <f>IF(AND(AQ20=1,ISNUMBER(AT20)),MAX(-Z_CLIP,MIN(Z_CLIP,(AR20-AT20)/AU20)),"")</f>
        <v/>
      </c>
      <c r="AW20" s="40">
        <f>IF(ISNUMBER(AV20),-AV20,"")</f>
        <v/>
      </c>
      <c r="AX20" s="40">
        <f>IF(ISNUMBER(AW20),1+AMPLITUD*TANH(AW20),"")</f>
        <v/>
      </c>
      <c r="AY20" s="40">
        <f>IF($A20="","",IF(COUNT(AX18:AX20)&gt;0,AVERAGE(AX18:AX20),""))</f>
        <v/>
      </c>
      <c r="AZ20" s="40">
        <f>IF(ISNUMBER(AY20),AY20-1,"")</f>
        <v/>
      </c>
      <c r="BA20" s="40">
        <f>IF(AND(ISNUMBER(AZ19),ISNUMBER(W20)),AZ19*W_BANCOS*W20,"")</f>
        <v/>
      </c>
      <c r="BB20" s="40">
        <f>IF(AND(ISNUMBER(AZ19),ISNUMBER(AZ18)),ABS(AZ19-AZ18)*W_BANCOS*COSTO,0)</f>
        <v/>
      </c>
      <c r="BC20" s="40">
        <f>IF(ISNUMBER(BA20),BA20-BB20,"")</f>
        <v/>
      </c>
      <c r="BD20" s="42">
        <f>IF(ISNUMBER(BC20),IF(A20&lt;=FECHA_ERA,"A","B"),"")</f>
        <v/>
      </c>
      <c r="BE20" s="40">
        <f>IF(BD20="A",BC20,"")</f>
        <v/>
      </c>
      <c r="BF20" s="40">
        <f>IF(BD20="B",BC20,"")</f>
        <v/>
      </c>
      <c r="BG20" s="38">
        <f>IF(AND(ISNUMBER(BC20),ISNUMBER(A20)),IF(A20&gt;=INICIO_VIVO,1,0),0)</f>
        <v/>
      </c>
      <c r="BH20" s="40">
        <f>IF(BG20=1,BC20,"")</f>
        <v/>
      </c>
      <c r="BI20" s="38">
        <f>IF(ISNUMBER(AY20),ROW(),0)</f>
        <v/>
      </c>
      <c r="BJ20" s="43">
        <f>IF(ISNUMBER(BC20),SUM(BC$5:BC20)*10000,NA())</f>
        <v/>
      </c>
      <c r="BK20" s="43">
        <f>IF(BG20=1,SUM(BH$5:BH20)*10000,NA())</f>
        <v/>
      </c>
      <c r="BL20" s="44">
        <f>IF(ISNUMBER(AY20),AY20,NA())</f>
        <v/>
      </c>
    </row>
    <row r="21">
      <c r="A21" s="36">
        <f>IF(Datos!A21="","",Datos!A21)</f>
        <v/>
      </c>
      <c r="B21" s="37">
        <f>IF(OR($A21="",NOT(ISNUMBER(Datos!B21)),NOT(ISNUMBER(Datos!B20))),"",Datos!B21/Datos!B20-1)</f>
        <v/>
      </c>
      <c r="C21" s="37">
        <f>IF(OR($A21="",NOT(ISNUMBER(Datos!C21)),NOT(ISNUMBER(Datos!C20))),"",Datos!C21/Datos!C20-1)</f>
        <v/>
      </c>
      <c r="D21" s="37">
        <f>IF(OR($A21="",NOT(ISNUMBER(Datos!D21)),NOT(ISNUMBER(Datos!D20))),"",Datos!D21/Datos!D20-1)</f>
        <v/>
      </c>
      <c r="E21" s="37">
        <f>IF(OR($A21="",NOT(ISNUMBER(Datos!E21)),NOT(ISNUMBER(Datos!E20))),"",Datos!E21/Datos!E20-1)</f>
        <v/>
      </c>
      <c r="F21" s="38">
        <f>IF($A21="","",COUNT(B21:E21))</f>
        <v/>
      </c>
      <c r="G21" s="37">
        <f>IF($A21="","",IF(F21&gt;=MIN_BANCOS,AVERAGE(B21:E21),""))</f>
        <v/>
      </c>
      <c r="H21" s="37">
        <f>IF(OR($A21="",NOT(ISNUMBER(Datos!F21)),NOT(ISNUMBER(Datos!F20))),"",Datos!F21/Datos!F20-1)</f>
        <v/>
      </c>
      <c r="I21" s="39">
        <f>IF($A21="","",IF(ISNUMBER(Datos!G21),Datos!G21,I20))</f>
        <v/>
      </c>
      <c r="J21" s="40">
        <f>IF($A21="","",IF(ISNUMBER(I20),LN(1+I20/100/12),0))</f>
        <v/>
      </c>
      <c r="K21" s="40">
        <f>IF(ISNUMBER(G21),LN(1+G21)-J21,"")</f>
        <v/>
      </c>
      <c r="L21" s="40">
        <f>IF(ISNUMBER(H21),LN(1+H21)-J21,"")</f>
        <v/>
      </c>
      <c r="M21" s="38">
        <f>IF(ISNUMBER(K21),1,0)</f>
        <v/>
      </c>
      <c r="N21" s="40">
        <f>IF(M21=1,K21,0)</f>
        <v/>
      </c>
      <c r="O21" s="38">
        <f>IF(ISNUMBER(L21),1,0)</f>
        <v/>
      </c>
      <c r="P21" s="40">
        <f>IF(O21=1,L21,0)</f>
        <v/>
      </c>
      <c r="Q21" s="38">
        <f>M21*O21</f>
        <v/>
      </c>
      <c r="R21" s="38">
        <f>SUM(Q5:Q20)</f>
        <v/>
      </c>
      <c r="S21" s="41">
        <f>IF(OR($A21="",R21&lt;MIN_OBS_ROLL),"",(SUMPRODUCT(Q5:Q20,N5:N20,P5:P20)/R21-SUMPRODUCT(Q5:Q20,N5:N20)/R21*SUMPRODUCT(Q5:Q20,P5:P20)/R21)*R21/(R21-1))</f>
        <v/>
      </c>
      <c r="T21" s="38">
        <f>SUM(O5:O20)</f>
        <v/>
      </c>
      <c r="U21" s="41">
        <f>IF(OR($A21="",T21&lt;MIN_OBS_ROLL),"",SUMPRODUCT(O5:O20,(P5:P20-SUMPRODUCT(O5:O20,P5:P20)/T21)^2)/(T21-1))</f>
        <v/>
      </c>
      <c r="V21" s="40">
        <f>IF(OR(S21="",U21=""),"",S21/U21)</f>
        <v/>
      </c>
      <c r="W21" s="40">
        <f>IF(AND(ISNUMBER(K21),ISNUMBER(L21),ISNUMBER(V21)),K21-V21*L21,"")</f>
        <v/>
      </c>
      <c r="X21" s="40">
        <f>IF(OR($A21="",NOT(ISNUMBER(Datos!H21)),NOT(ISNUMBER(Datos!H20))),"",LN(Datos!H21)-LN(Datos!H20))</f>
        <v/>
      </c>
      <c r="Y21" s="38">
        <f>IF(ISNUMBER(W21),1,0)</f>
        <v/>
      </c>
      <c r="Z21" s="40">
        <f>IF(Y21=1,W21,0)</f>
        <v/>
      </c>
      <c r="AA21" s="38">
        <f>IF(ISNUMBER(X21),1,0)</f>
        <v/>
      </c>
      <c r="AB21" s="40">
        <f>IF(AA21=1,X21,0)</f>
        <v/>
      </c>
      <c r="AC21" s="38">
        <f>Y21*AA21</f>
        <v/>
      </c>
      <c r="AD21" s="38">
        <f>SUM(AC5:AC20)</f>
        <v/>
      </c>
      <c r="AE21" s="41">
        <f>IF(OR($A21="",AD21&lt;MIN_OBS_ROLL),"",(SUMPRODUCT(AC5:AC20,Z5:Z20,AB5:AB20)/AD21-SUMPRODUCT(AC5:AC20,Z5:Z20)/AD21*SUMPRODUCT(AC5:AC20,AB5:AB20)/AD21)*AD21/(AD21-1))</f>
        <v/>
      </c>
      <c r="AF21" s="38">
        <f>SUM(AA5:AA20)</f>
        <v/>
      </c>
      <c r="AG21" s="41">
        <f>IF(OR($A21="",AF21&lt;MIN_OBS_ROLL),"",SUMPRODUCT(AA5:AA20,(AB5:AB20-SUMPRODUCT(AA5:AA20,AB5:AB20)/AF21)^2)/(AF21-1))</f>
        <v/>
      </c>
      <c r="AH21" s="38">
        <f>SUM(Y5:Y20)</f>
        <v/>
      </c>
      <c r="AI21" s="40">
        <f>IF(OR($A21="",AH21&lt;MIN_OBS_ROLL),"",SUMPRODUCT(Y5:Y20,Z5:Z20)/AH21)</f>
        <v/>
      </c>
      <c r="AJ21" s="40">
        <f>IF(OR($A21="",AF21&lt;MIN_OBS_ROLL),"",SUMPRODUCT(AA5:AA20,AB5:AB20)/AF21)</f>
        <v/>
      </c>
      <c r="AK21" s="40">
        <f>IF(OR(AE21="",AG21=""),"",AE21/AG21)</f>
        <v/>
      </c>
      <c r="AL21" s="40">
        <f>IF(OR(AI21="",AK21="",AJ21=""),"",AI21-AK21*AJ21)</f>
        <v/>
      </c>
      <c r="AM21" s="40">
        <f>IF(AND(ISNUMBER(W21),ISNUMBER(X21),ISNUMBER(AK21),ISNUMBER(AL21)),W21-(AL21+AK21*X21),"")</f>
        <v/>
      </c>
      <c r="AN21" s="38">
        <f>IF(ISNUMBER(AM21),1,0)</f>
        <v/>
      </c>
      <c r="AO21" s="40">
        <f>IF(AN21=1,AM21,0)</f>
        <v/>
      </c>
      <c r="AP21" s="40">
        <f>IF(SUM(AN19:AN21)=3,SUM(AO19:AO21),"")</f>
        <v/>
      </c>
      <c r="AQ21" s="38">
        <f>IF(ISNUMBER(AP21),1,0)</f>
        <v/>
      </c>
      <c r="AR21" s="40">
        <f>IF(AQ21=1,AP21,0)</f>
        <v/>
      </c>
      <c r="AS21" s="38">
        <f>SUM(AQ$5:AQ21)</f>
        <v/>
      </c>
      <c r="AT21" s="40">
        <f>IF(AS21&gt;=MIN_OBS_Z,SUMPRODUCT(AQ$5:AQ21,AR$5:AR21)/AS21,"")</f>
        <v/>
      </c>
      <c r="AU21" s="40">
        <f>IF(AS21&gt;=MIN_OBS_Z,SQRT(SUMPRODUCT(AQ$5:AQ21,(AR$5:AR21-AT21)^2)/(AS21-1)),"")</f>
        <v/>
      </c>
      <c r="AV21" s="40">
        <f>IF(AND(AQ21=1,ISNUMBER(AT21)),MAX(-Z_CLIP,MIN(Z_CLIP,(AR21-AT21)/AU21)),"")</f>
        <v/>
      </c>
      <c r="AW21" s="40">
        <f>IF(ISNUMBER(AV21),-AV21,"")</f>
        <v/>
      </c>
      <c r="AX21" s="40">
        <f>IF(ISNUMBER(AW21),1+AMPLITUD*TANH(AW21),"")</f>
        <v/>
      </c>
      <c r="AY21" s="40">
        <f>IF($A21="","",IF(COUNT(AX19:AX21)&gt;0,AVERAGE(AX19:AX21),""))</f>
        <v/>
      </c>
      <c r="AZ21" s="40">
        <f>IF(ISNUMBER(AY21),AY21-1,"")</f>
        <v/>
      </c>
      <c r="BA21" s="40">
        <f>IF(AND(ISNUMBER(AZ20),ISNUMBER(W21)),AZ20*W_BANCOS*W21,"")</f>
        <v/>
      </c>
      <c r="BB21" s="40">
        <f>IF(AND(ISNUMBER(AZ20),ISNUMBER(AZ19)),ABS(AZ20-AZ19)*W_BANCOS*COSTO,0)</f>
        <v/>
      </c>
      <c r="BC21" s="40">
        <f>IF(ISNUMBER(BA21),BA21-BB21,"")</f>
        <v/>
      </c>
      <c r="BD21" s="42">
        <f>IF(ISNUMBER(BC21),IF(A21&lt;=FECHA_ERA,"A","B"),"")</f>
        <v/>
      </c>
      <c r="BE21" s="40">
        <f>IF(BD21="A",BC21,"")</f>
        <v/>
      </c>
      <c r="BF21" s="40">
        <f>IF(BD21="B",BC21,"")</f>
        <v/>
      </c>
      <c r="BG21" s="38">
        <f>IF(AND(ISNUMBER(BC21),ISNUMBER(A21)),IF(A21&gt;=INICIO_VIVO,1,0),0)</f>
        <v/>
      </c>
      <c r="BH21" s="40">
        <f>IF(BG21=1,BC21,"")</f>
        <v/>
      </c>
      <c r="BI21" s="38">
        <f>IF(ISNUMBER(AY21),ROW(),0)</f>
        <v/>
      </c>
      <c r="BJ21" s="43">
        <f>IF(ISNUMBER(BC21),SUM(BC$5:BC21)*10000,NA())</f>
        <v/>
      </c>
      <c r="BK21" s="43">
        <f>IF(BG21=1,SUM(BH$5:BH21)*10000,NA())</f>
        <v/>
      </c>
      <c r="BL21" s="44">
        <f>IF(ISNUMBER(AY21),AY21,NA())</f>
        <v/>
      </c>
    </row>
    <row r="22">
      <c r="A22" s="36">
        <f>IF(Datos!A22="","",Datos!A22)</f>
        <v/>
      </c>
      <c r="B22" s="37">
        <f>IF(OR($A22="",NOT(ISNUMBER(Datos!B22)),NOT(ISNUMBER(Datos!B21))),"",Datos!B22/Datos!B21-1)</f>
        <v/>
      </c>
      <c r="C22" s="37">
        <f>IF(OR($A22="",NOT(ISNUMBER(Datos!C22)),NOT(ISNUMBER(Datos!C21))),"",Datos!C22/Datos!C21-1)</f>
        <v/>
      </c>
      <c r="D22" s="37">
        <f>IF(OR($A22="",NOT(ISNUMBER(Datos!D22)),NOT(ISNUMBER(Datos!D21))),"",Datos!D22/Datos!D21-1)</f>
        <v/>
      </c>
      <c r="E22" s="37">
        <f>IF(OR($A22="",NOT(ISNUMBER(Datos!E22)),NOT(ISNUMBER(Datos!E21))),"",Datos!E22/Datos!E21-1)</f>
        <v/>
      </c>
      <c r="F22" s="38">
        <f>IF($A22="","",COUNT(B22:E22))</f>
        <v/>
      </c>
      <c r="G22" s="37">
        <f>IF($A22="","",IF(F22&gt;=MIN_BANCOS,AVERAGE(B22:E22),""))</f>
        <v/>
      </c>
      <c r="H22" s="37">
        <f>IF(OR($A22="",NOT(ISNUMBER(Datos!F22)),NOT(ISNUMBER(Datos!F21))),"",Datos!F22/Datos!F21-1)</f>
        <v/>
      </c>
      <c r="I22" s="39">
        <f>IF($A22="","",IF(ISNUMBER(Datos!G22),Datos!G22,I21))</f>
        <v/>
      </c>
      <c r="J22" s="40">
        <f>IF($A22="","",IF(ISNUMBER(I21),LN(1+I21/100/12),0))</f>
        <v/>
      </c>
      <c r="K22" s="40">
        <f>IF(ISNUMBER(G22),LN(1+G22)-J22,"")</f>
        <v/>
      </c>
      <c r="L22" s="40">
        <f>IF(ISNUMBER(H22),LN(1+H22)-J22,"")</f>
        <v/>
      </c>
      <c r="M22" s="38">
        <f>IF(ISNUMBER(K22),1,0)</f>
        <v/>
      </c>
      <c r="N22" s="40">
        <f>IF(M22=1,K22,0)</f>
        <v/>
      </c>
      <c r="O22" s="38">
        <f>IF(ISNUMBER(L22),1,0)</f>
        <v/>
      </c>
      <c r="P22" s="40">
        <f>IF(O22=1,L22,0)</f>
        <v/>
      </c>
      <c r="Q22" s="38">
        <f>M22*O22</f>
        <v/>
      </c>
      <c r="R22" s="38">
        <f>SUM(Q5:Q21)</f>
        <v/>
      </c>
      <c r="S22" s="41">
        <f>IF(OR($A22="",R22&lt;MIN_OBS_ROLL),"",(SUMPRODUCT(Q5:Q21,N5:N21,P5:P21)/R22-SUMPRODUCT(Q5:Q21,N5:N21)/R22*SUMPRODUCT(Q5:Q21,P5:P21)/R22)*R22/(R22-1))</f>
        <v/>
      </c>
      <c r="T22" s="38">
        <f>SUM(O5:O21)</f>
        <v/>
      </c>
      <c r="U22" s="41">
        <f>IF(OR($A22="",T22&lt;MIN_OBS_ROLL),"",SUMPRODUCT(O5:O21,(P5:P21-SUMPRODUCT(O5:O21,P5:P21)/T22)^2)/(T22-1))</f>
        <v/>
      </c>
      <c r="V22" s="40">
        <f>IF(OR(S22="",U22=""),"",S22/U22)</f>
        <v/>
      </c>
      <c r="W22" s="40">
        <f>IF(AND(ISNUMBER(K22),ISNUMBER(L22),ISNUMBER(V22)),K22-V22*L22,"")</f>
        <v/>
      </c>
      <c r="X22" s="40">
        <f>IF(OR($A22="",NOT(ISNUMBER(Datos!H22)),NOT(ISNUMBER(Datos!H21))),"",LN(Datos!H22)-LN(Datos!H21))</f>
        <v/>
      </c>
      <c r="Y22" s="38">
        <f>IF(ISNUMBER(W22),1,0)</f>
        <v/>
      </c>
      <c r="Z22" s="40">
        <f>IF(Y22=1,W22,0)</f>
        <v/>
      </c>
      <c r="AA22" s="38">
        <f>IF(ISNUMBER(X22),1,0)</f>
        <v/>
      </c>
      <c r="AB22" s="40">
        <f>IF(AA22=1,X22,0)</f>
        <v/>
      </c>
      <c r="AC22" s="38">
        <f>Y22*AA22</f>
        <v/>
      </c>
      <c r="AD22" s="38">
        <f>SUM(AC5:AC21)</f>
        <v/>
      </c>
      <c r="AE22" s="41">
        <f>IF(OR($A22="",AD22&lt;MIN_OBS_ROLL),"",(SUMPRODUCT(AC5:AC21,Z5:Z21,AB5:AB21)/AD22-SUMPRODUCT(AC5:AC21,Z5:Z21)/AD22*SUMPRODUCT(AC5:AC21,AB5:AB21)/AD22)*AD22/(AD22-1))</f>
        <v/>
      </c>
      <c r="AF22" s="38">
        <f>SUM(AA5:AA21)</f>
        <v/>
      </c>
      <c r="AG22" s="41">
        <f>IF(OR($A22="",AF22&lt;MIN_OBS_ROLL),"",SUMPRODUCT(AA5:AA21,(AB5:AB21-SUMPRODUCT(AA5:AA21,AB5:AB21)/AF22)^2)/(AF22-1))</f>
        <v/>
      </c>
      <c r="AH22" s="38">
        <f>SUM(Y5:Y21)</f>
        <v/>
      </c>
      <c r="AI22" s="40">
        <f>IF(OR($A22="",AH22&lt;MIN_OBS_ROLL),"",SUMPRODUCT(Y5:Y21,Z5:Z21)/AH22)</f>
        <v/>
      </c>
      <c r="AJ22" s="40">
        <f>IF(OR($A22="",AF22&lt;MIN_OBS_ROLL),"",SUMPRODUCT(AA5:AA21,AB5:AB21)/AF22)</f>
        <v/>
      </c>
      <c r="AK22" s="40">
        <f>IF(OR(AE22="",AG22=""),"",AE22/AG22)</f>
        <v/>
      </c>
      <c r="AL22" s="40">
        <f>IF(OR(AI22="",AK22="",AJ22=""),"",AI22-AK22*AJ22)</f>
        <v/>
      </c>
      <c r="AM22" s="40">
        <f>IF(AND(ISNUMBER(W22),ISNUMBER(X22),ISNUMBER(AK22),ISNUMBER(AL22)),W22-(AL22+AK22*X22),"")</f>
        <v/>
      </c>
      <c r="AN22" s="38">
        <f>IF(ISNUMBER(AM22),1,0)</f>
        <v/>
      </c>
      <c r="AO22" s="40">
        <f>IF(AN22=1,AM22,0)</f>
        <v/>
      </c>
      <c r="AP22" s="40">
        <f>IF(SUM(AN20:AN22)=3,SUM(AO20:AO22),"")</f>
        <v/>
      </c>
      <c r="AQ22" s="38">
        <f>IF(ISNUMBER(AP22),1,0)</f>
        <v/>
      </c>
      <c r="AR22" s="40">
        <f>IF(AQ22=1,AP22,0)</f>
        <v/>
      </c>
      <c r="AS22" s="38">
        <f>SUM(AQ$5:AQ22)</f>
        <v/>
      </c>
      <c r="AT22" s="40">
        <f>IF(AS22&gt;=MIN_OBS_Z,SUMPRODUCT(AQ$5:AQ22,AR$5:AR22)/AS22,"")</f>
        <v/>
      </c>
      <c r="AU22" s="40">
        <f>IF(AS22&gt;=MIN_OBS_Z,SQRT(SUMPRODUCT(AQ$5:AQ22,(AR$5:AR22-AT22)^2)/(AS22-1)),"")</f>
        <v/>
      </c>
      <c r="AV22" s="40">
        <f>IF(AND(AQ22=1,ISNUMBER(AT22)),MAX(-Z_CLIP,MIN(Z_CLIP,(AR22-AT22)/AU22)),"")</f>
        <v/>
      </c>
      <c r="AW22" s="40">
        <f>IF(ISNUMBER(AV22),-AV22,"")</f>
        <v/>
      </c>
      <c r="AX22" s="40">
        <f>IF(ISNUMBER(AW22),1+AMPLITUD*TANH(AW22),"")</f>
        <v/>
      </c>
      <c r="AY22" s="40">
        <f>IF($A22="","",IF(COUNT(AX20:AX22)&gt;0,AVERAGE(AX20:AX22),""))</f>
        <v/>
      </c>
      <c r="AZ22" s="40">
        <f>IF(ISNUMBER(AY22),AY22-1,"")</f>
        <v/>
      </c>
      <c r="BA22" s="40">
        <f>IF(AND(ISNUMBER(AZ21),ISNUMBER(W22)),AZ21*W_BANCOS*W22,"")</f>
        <v/>
      </c>
      <c r="BB22" s="40">
        <f>IF(AND(ISNUMBER(AZ21),ISNUMBER(AZ20)),ABS(AZ21-AZ20)*W_BANCOS*COSTO,0)</f>
        <v/>
      </c>
      <c r="BC22" s="40">
        <f>IF(ISNUMBER(BA22),BA22-BB22,"")</f>
        <v/>
      </c>
      <c r="BD22" s="42">
        <f>IF(ISNUMBER(BC22),IF(A22&lt;=FECHA_ERA,"A","B"),"")</f>
        <v/>
      </c>
      <c r="BE22" s="40">
        <f>IF(BD22="A",BC22,"")</f>
        <v/>
      </c>
      <c r="BF22" s="40">
        <f>IF(BD22="B",BC22,"")</f>
        <v/>
      </c>
      <c r="BG22" s="38">
        <f>IF(AND(ISNUMBER(BC22),ISNUMBER(A22)),IF(A22&gt;=INICIO_VIVO,1,0),0)</f>
        <v/>
      </c>
      <c r="BH22" s="40">
        <f>IF(BG22=1,BC22,"")</f>
        <v/>
      </c>
      <c r="BI22" s="38">
        <f>IF(ISNUMBER(AY22),ROW(),0)</f>
        <v/>
      </c>
      <c r="BJ22" s="43">
        <f>IF(ISNUMBER(BC22),SUM(BC$5:BC22)*10000,NA())</f>
        <v/>
      </c>
      <c r="BK22" s="43">
        <f>IF(BG22=1,SUM(BH$5:BH22)*10000,NA())</f>
        <v/>
      </c>
      <c r="BL22" s="44">
        <f>IF(ISNUMBER(AY22),AY22,NA())</f>
        <v/>
      </c>
    </row>
    <row r="23">
      <c r="A23" s="36">
        <f>IF(Datos!A23="","",Datos!A23)</f>
        <v/>
      </c>
      <c r="B23" s="37">
        <f>IF(OR($A23="",NOT(ISNUMBER(Datos!B23)),NOT(ISNUMBER(Datos!B22))),"",Datos!B23/Datos!B22-1)</f>
        <v/>
      </c>
      <c r="C23" s="37">
        <f>IF(OR($A23="",NOT(ISNUMBER(Datos!C23)),NOT(ISNUMBER(Datos!C22))),"",Datos!C23/Datos!C22-1)</f>
        <v/>
      </c>
      <c r="D23" s="37">
        <f>IF(OR($A23="",NOT(ISNUMBER(Datos!D23)),NOT(ISNUMBER(Datos!D22))),"",Datos!D23/Datos!D22-1)</f>
        <v/>
      </c>
      <c r="E23" s="37">
        <f>IF(OR($A23="",NOT(ISNUMBER(Datos!E23)),NOT(ISNUMBER(Datos!E22))),"",Datos!E23/Datos!E22-1)</f>
        <v/>
      </c>
      <c r="F23" s="38">
        <f>IF($A23="","",COUNT(B23:E23))</f>
        <v/>
      </c>
      <c r="G23" s="37">
        <f>IF($A23="","",IF(F23&gt;=MIN_BANCOS,AVERAGE(B23:E23),""))</f>
        <v/>
      </c>
      <c r="H23" s="37">
        <f>IF(OR($A23="",NOT(ISNUMBER(Datos!F23)),NOT(ISNUMBER(Datos!F22))),"",Datos!F23/Datos!F22-1)</f>
        <v/>
      </c>
      <c r="I23" s="39">
        <f>IF($A23="","",IF(ISNUMBER(Datos!G23),Datos!G23,I22))</f>
        <v/>
      </c>
      <c r="J23" s="40">
        <f>IF($A23="","",IF(ISNUMBER(I22),LN(1+I22/100/12),0))</f>
        <v/>
      </c>
      <c r="K23" s="40">
        <f>IF(ISNUMBER(G23),LN(1+G23)-J23,"")</f>
        <v/>
      </c>
      <c r="L23" s="40">
        <f>IF(ISNUMBER(H23),LN(1+H23)-J23,"")</f>
        <v/>
      </c>
      <c r="M23" s="38">
        <f>IF(ISNUMBER(K23),1,0)</f>
        <v/>
      </c>
      <c r="N23" s="40">
        <f>IF(M23=1,K23,0)</f>
        <v/>
      </c>
      <c r="O23" s="38">
        <f>IF(ISNUMBER(L23),1,0)</f>
        <v/>
      </c>
      <c r="P23" s="40">
        <f>IF(O23=1,L23,0)</f>
        <v/>
      </c>
      <c r="Q23" s="38">
        <f>M23*O23</f>
        <v/>
      </c>
      <c r="R23" s="38">
        <f>SUM(Q5:Q22)</f>
        <v/>
      </c>
      <c r="S23" s="41">
        <f>IF(OR($A23="",R23&lt;MIN_OBS_ROLL),"",(SUMPRODUCT(Q5:Q22,N5:N22,P5:P22)/R23-SUMPRODUCT(Q5:Q22,N5:N22)/R23*SUMPRODUCT(Q5:Q22,P5:P22)/R23)*R23/(R23-1))</f>
        <v/>
      </c>
      <c r="T23" s="38">
        <f>SUM(O5:O22)</f>
        <v/>
      </c>
      <c r="U23" s="41">
        <f>IF(OR($A23="",T23&lt;MIN_OBS_ROLL),"",SUMPRODUCT(O5:O22,(P5:P22-SUMPRODUCT(O5:O22,P5:P22)/T23)^2)/(T23-1))</f>
        <v/>
      </c>
      <c r="V23" s="40">
        <f>IF(OR(S23="",U23=""),"",S23/U23)</f>
        <v/>
      </c>
      <c r="W23" s="40">
        <f>IF(AND(ISNUMBER(K23),ISNUMBER(L23),ISNUMBER(V23)),K23-V23*L23,"")</f>
        <v/>
      </c>
      <c r="X23" s="40">
        <f>IF(OR($A23="",NOT(ISNUMBER(Datos!H23)),NOT(ISNUMBER(Datos!H22))),"",LN(Datos!H23)-LN(Datos!H22))</f>
        <v/>
      </c>
      <c r="Y23" s="38">
        <f>IF(ISNUMBER(W23),1,0)</f>
        <v/>
      </c>
      <c r="Z23" s="40">
        <f>IF(Y23=1,W23,0)</f>
        <v/>
      </c>
      <c r="AA23" s="38">
        <f>IF(ISNUMBER(X23),1,0)</f>
        <v/>
      </c>
      <c r="AB23" s="40">
        <f>IF(AA23=1,X23,0)</f>
        <v/>
      </c>
      <c r="AC23" s="38">
        <f>Y23*AA23</f>
        <v/>
      </c>
      <c r="AD23" s="38">
        <f>SUM(AC5:AC22)</f>
        <v/>
      </c>
      <c r="AE23" s="41">
        <f>IF(OR($A23="",AD23&lt;MIN_OBS_ROLL),"",(SUMPRODUCT(AC5:AC22,Z5:Z22,AB5:AB22)/AD23-SUMPRODUCT(AC5:AC22,Z5:Z22)/AD23*SUMPRODUCT(AC5:AC22,AB5:AB22)/AD23)*AD23/(AD23-1))</f>
        <v/>
      </c>
      <c r="AF23" s="38">
        <f>SUM(AA5:AA22)</f>
        <v/>
      </c>
      <c r="AG23" s="41">
        <f>IF(OR($A23="",AF23&lt;MIN_OBS_ROLL),"",SUMPRODUCT(AA5:AA22,(AB5:AB22-SUMPRODUCT(AA5:AA22,AB5:AB22)/AF23)^2)/(AF23-1))</f>
        <v/>
      </c>
      <c r="AH23" s="38">
        <f>SUM(Y5:Y22)</f>
        <v/>
      </c>
      <c r="AI23" s="40">
        <f>IF(OR($A23="",AH23&lt;MIN_OBS_ROLL),"",SUMPRODUCT(Y5:Y22,Z5:Z22)/AH23)</f>
        <v/>
      </c>
      <c r="AJ23" s="40">
        <f>IF(OR($A23="",AF23&lt;MIN_OBS_ROLL),"",SUMPRODUCT(AA5:AA22,AB5:AB22)/AF23)</f>
        <v/>
      </c>
      <c r="AK23" s="40">
        <f>IF(OR(AE23="",AG23=""),"",AE23/AG23)</f>
        <v/>
      </c>
      <c r="AL23" s="40">
        <f>IF(OR(AI23="",AK23="",AJ23=""),"",AI23-AK23*AJ23)</f>
        <v/>
      </c>
      <c r="AM23" s="40">
        <f>IF(AND(ISNUMBER(W23),ISNUMBER(X23),ISNUMBER(AK23),ISNUMBER(AL23)),W23-(AL23+AK23*X23),"")</f>
        <v/>
      </c>
      <c r="AN23" s="38">
        <f>IF(ISNUMBER(AM23),1,0)</f>
        <v/>
      </c>
      <c r="AO23" s="40">
        <f>IF(AN23=1,AM23,0)</f>
        <v/>
      </c>
      <c r="AP23" s="40">
        <f>IF(SUM(AN21:AN23)=3,SUM(AO21:AO23),"")</f>
        <v/>
      </c>
      <c r="AQ23" s="38">
        <f>IF(ISNUMBER(AP23),1,0)</f>
        <v/>
      </c>
      <c r="AR23" s="40">
        <f>IF(AQ23=1,AP23,0)</f>
        <v/>
      </c>
      <c r="AS23" s="38">
        <f>SUM(AQ$5:AQ23)</f>
        <v/>
      </c>
      <c r="AT23" s="40">
        <f>IF(AS23&gt;=MIN_OBS_Z,SUMPRODUCT(AQ$5:AQ23,AR$5:AR23)/AS23,"")</f>
        <v/>
      </c>
      <c r="AU23" s="40">
        <f>IF(AS23&gt;=MIN_OBS_Z,SQRT(SUMPRODUCT(AQ$5:AQ23,(AR$5:AR23-AT23)^2)/(AS23-1)),"")</f>
        <v/>
      </c>
      <c r="AV23" s="40">
        <f>IF(AND(AQ23=1,ISNUMBER(AT23)),MAX(-Z_CLIP,MIN(Z_CLIP,(AR23-AT23)/AU23)),"")</f>
        <v/>
      </c>
      <c r="AW23" s="40">
        <f>IF(ISNUMBER(AV23),-AV23,"")</f>
        <v/>
      </c>
      <c r="AX23" s="40">
        <f>IF(ISNUMBER(AW23),1+AMPLITUD*TANH(AW23),"")</f>
        <v/>
      </c>
      <c r="AY23" s="40">
        <f>IF($A23="","",IF(COUNT(AX21:AX23)&gt;0,AVERAGE(AX21:AX23),""))</f>
        <v/>
      </c>
      <c r="AZ23" s="40">
        <f>IF(ISNUMBER(AY23),AY23-1,"")</f>
        <v/>
      </c>
      <c r="BA23" s="40">
        <f>IF(AND(ISNUMBER(AZ22),ISNUMBER(W23)),AZ22*W_BANCOS*W23,"")</f>
        <v/>
      </c>
      <c r="BB23" s="40">
        <f>IF(AND(ISNUMBER(AZ22),ISNUMBER(AZ21)),ABS(AZ22-AZ21)*W_BANCOS*COSTO,0)</f>
        <v/>
      </c>
      <c r="BC23" s="40">
        <f>IF(ISNUMBER(BA23),BA23-BB23,"")</f>
        <v/>
      </c>
      <c r="BD23" s="42">
        <f>IF(ISNUMBER(BC23),IF(A23&lt;=FECHA_ERA,"A","B"),"")</f>
        <v/>
      </c>
      <c r="BE23" s="40">
        <f>IF(BD23="A",BC23,"")</f>
        <v/>
      </c>
      <c r="BF23" s="40">
        <f>IF(BD23="B",BC23,"")</f>
        <v/>
      </c>
      <c r="BG23" s="38">
        <f>IF(AND(ISNUMBER(BC23),ISNUMBER(A23)),IF(A23&gt;=INICIO_VIVO,1,0),0)</f>
        <v/>
      </c>
      <c r="BH23" s="40">
        <f>IF(BG23=1,BC23,"")</f>
        <v/>
      </c>
      <c r="BI23" s="38">
        <f>IF(ISNUMBER(AY23),ROW(),0)</f>
        <v/>
      </c>
      <c r="BJ23" s="43">
        <f>IF(ISNUMBER(BC23),SUM(BC$5:BC23)*10000,NA())</f>
        <v/>
      </c>
      <c r="BK23" s="43">
        <f>IF(BG23=1,SUM(BH$5:BH23)*10000,NA())</f>
        <v/>
      </c>
      <c r="BL23" s="44">
        <f>IF(ISNUMBER(AY23),AY23,NA())</f>
        <v/>
      </c>
    </row>
    <row r="24">
      <c r="A24" s="36">
        <f>IF(Datos!A24="","",Datos!A24)</f>
        <v/>
      </c>
      <c r="B24" s="37">
        <f>IF(OR($A24="",NOT(ISNUMBER(Datos!B24)),NOT(ISNUMBER(Datos!B23))),"",Datos!B24/Datos!B23-1)</f>
        <v/>
      </c>
      <c r="C24" s="37">
        <f>IF(OR($A24="",NOT(ISNUMBER(Datos!C24)),NOT(ISNUMBER(Datos!C23))),"",Datos!C24/Datos!C23-1)</f>
        <v/>
      </c>
      <c r="D24" s="37">
        <f>IF(OR($A24="",NOT(ISNUMBER(Datos!D24)),NOT(ISNUMBER(Datos!D23))),"",Datos!D24/Datos!D23-1)</f>
        <v/>
      </c>
      <c r="E24" s="37">
        <f>IF(OR($A24="",NOT(ISNUMBER(Datos!E24)),NOT(ISNUMBER(Datos!E23))),"",Datos!E24/Datos!E23-1)</f>
        <v/>
      </c>
      <c r="F24" s="38">
        <f>IF($A24="","",COUNT(B24:E24))</f>
        <v/>
      </c>
      <c r="G24" s="37">
        <f>IF($A24="","",IF(F24&gt;=MIN_BANCOS,AVERAGE(B24:E24),""))</f>
        <v/>
      </c>
      <c r="H24" s="37">
        <f>IF(OR($A24="",NOT(ISNUMBER(Datos!F24)),NOT(ISNUMBER(Datos!F23))),"",Datos!F24/Datos!F23-1)</f>
        <v/>
      </c>
      <c r="I24" s="39">
        <f>IF($A24="","",IF(ISNUMBER(Datos!G24),Datos!G24,I23))</f>
        <v/>
      </c>
      <c r="J24" s="40">
        <f>IF($A24="","",IF(ISNUMBER(I23),LN(1+I23/100/12),0))</f>
        <v/>
      </c>
      <c r="K24" s="40">
        <f>IF(ISNUMBER(G24),LN(1+G24)-J24,"")</f>
        <v/>
      </c>
      <c r="L24" s="40">
        <f>IF(ISNUMBER(H24),LN(1+H24)-J24,"")</f>
        <v/>
      </c>
      <c r="M24" s="38">
        <f>IF(ISNUMBER(K24),1,0)</f>
        <v/>
      </c>
      <c r="N24" s="40">
        <f>IF(M24=1,K24,0)</f>
        <v/>
      </c>
      <c r="O24" s="38">
        <f>IF(ISNUMBER(L24),1,0)</f>
        <v/>
      </c>
      <c r="P24" s="40">
        <f>IF(O24=1,L24,0)</f>
        <v/>
      </c>
      <c r="Q24" s="38">
        <f>M24*O24</f>
        <v/>
      </c>
      <c r="R24" s="38">
        <f>SUM(Q5:Q23)</f>
        <v/>
      </c>
      <c r="S24" s="41">
        <f>IF(OR($A24="",R24&lt;MIN_OBS_ROLL),"",(SUMPRODUCT(Q5:Q23,N5:N23,P5:P23)/R24-SUMPRODUCT(Q5:Q23,N5:N23)/R24*SUMPRODUCT(Q5:Q23,P5:P23)/R24)*R24/(R24-1))</f>
        <v/>
      </c>
      <c r="T24" s="38">
        <f>SUM(O5:O23)</f>
        <v/>
      </c>
      <c r="U24" s="41">
        <f>IF(OR($A24="",T24&lt;MIN_OBS_ROLL),"",SUMPRODUCT(O5:O23,(P5:P23-SUMPRODUCT(O5:O23,P5:P23)/T24)^2)/(T24-1))</f>
        <v/>
      </c>
      <c r="V24" s="40">
        <f>IF(OR(S24="",U24=""),"",S24/U24)</f>
        <v/>
      </c>
      <c r="W24" s="40">
        <f>IF(AND(ISNUMBER(K24),ISNUMBER(L24),ISNUMBER(V24)),K24-V24*L24,"")</f>
        <v/>
      </c>
      <c r="X24" s="40">
        <f>IF(OR($A24="",NOT(ISNUMBER(Datos!H24)),NOT(ISNUMBER(Datos!H23))),"",LN(Datos!H24)-LN(Datos!H23))</f>
        <v/>
      </c>
      <c r="Y24" s="38">
        <f>IF(ISNUMBER(W24),1,0)</f>
        <v/>
      </c>
      <c r="Z24" s="40">
        <f>IF(Y24=1,W24,0)</f>
        <v/>
      </c>
      <c r="AA24" s="38">
        <f>IF(ISNUMBER(X24),1,0)</f>
        <v/>
      </c>
      <c r="AB24" s="40">
        <f>IF(AA24=1,X24,0)</f>
        <v/>
      </c>
      <c r="AC24" s="38">
        <f>Y24*AA24</f>
        <v/>
      </c>
      <c r="AD24" s="38">
        <f>SUM(AC5:AC23)</f>
        <v/>
      </c>
      <c r="AE24" s="41">
        <f>IF(OR($A24="",AD24&lt;MIN_OBS_ROLL),"",(SUMPRODUCT(AC5:AC23,Z5:Z23,AB5:AB23)/AD24-SUMPRODUCT(AC5:AC23,Z5:Z23)/AD24*SUMPRODUCT(AC5:AC23,AB5:AB23)/AD24)*AD24/(AD24-1))</f>
        <v/>
      </c>
      <c r="AF24" s="38">
        <f>SUM(AA5:AA23)</f>
        <v/>
      </c>
      <c r="AG24" s="41">
        <f>IF(OR($A24="",AF24&lt;MIN_OBS_ROLL),"",SUMPRODUCT(AA5:AA23,(AB5:AB23-SUMPRODUCT(AA5:AA23,AB5:AB23)/AF24)^2)/(AF24-1))</f>
        <v/>
      </c>
      <c r="AH24" s="38">
        <f>SUM(Y5:Y23)</f>
        <v/>
      </c>
      <c r="AI24" s="40">
        <f>IF(OR($A24="",AH24&lt;MIN_OBS_ROLL),"",SUMPRODUCT(Y5:Y23,Z5:Z23)/AH24)</f>
        <v/>
      </c>
      <c r="AJ24" s="40">
        <f>IF(OR($A24="",AF24&lt;MIN_OBS_ROLL),"",SUMPRODUCT(AA5:AA23,AB5:AB23)/AF24)</f>
        <v/>
      </c>
      <c r="AK24" s="40">
        <f>IF(OR(AE24="",AG24=""),"",AE24/AG24)</f>
        <v/>
      </c>
      <c r="AL24" s="40">
        <f>IF(OR(AI24="",AK24="",AJ24=""),"",AI24-AK24*AJ24)</f>
        <v/>
      </c>
      <c r="AM24" s="40">
        <f>IF(AND(ISNUMBER(W24),ISNUMBER(X24),ISNUMBER(AK24),ISNUMBER(AL24)),W24-(AL24+AK24*X24),"")</f>
        <v/>
      </c>
      <c r="AN24" s="38">
        <f>IF(ISNUMBER(AM24),1,0)</f>
        <v/>
      </c>
      <c r="AO24" s="40">
        <f>IF(AN24=1,AM24,0)</f>
        <v/>
      </c>
      <c r="AP24" s="40">
        <f>IF(SUM(AN22:AN24)=3,SUM(AO22:AO24),"")</f>
        <v/>
      </c>
      <c r="AQ24" s="38">
        <f>IF(ISNUMBER(AP24),1,0)</f>
        <v/>
      </c>
      <c r="AR24" s="40">
        <f>IF(AQ24=1,AP24,0)</f>
        <v/>
      </c>
      <c r="AS24" s="38">
        <f>SUM(AQ$5:AQ24)</f>
        <v/>
      </c>
      <c r="AT24" s="40">
        <f>IF(AS24&gt;=MIN_OBS_Z,SUMPRODUCT(AQ$5:AQ24,AR$5:AR24)/AS24,"")</f>
        <v/>
      </c>
      <c r="AU24" s="40">
        <f>IF(AS24&gt;=MIN_OBS_Z,SQRT(SUMPRODUCT(AQ$5:AQ24,(AR$5:AR24-AT24)^2)/(AS24-1)),"")</f>
        <v/>
      </c>
      <c r="AV24" s="40">
        <f>IF(AND(AQ24=1,ISNUMBER(AT24)),MAX(-Z_CLIP,MIN(Z_CLIP,(AR24-AT24)/AU24)),"")</f>
        <v/>
      </c>
      <c r="AW24" s="40">
        <f>IF(ISNUMBER(AV24),-AV24,"")</f>
        <v/>
      </c>
      <c r="AX24" s="40">
        <f>IF(ISNUMBER(AW24),1+AMPLITUD*TANH(AW24),"")</f>
        <v/>
      </c>
      <c r="AY24" s="40">
        <f>IF($A24="","",IF(COUNT(AX22:AX24)&gt;0,AVERAGE(AX22:AX24),""))</f>
        <v/>
      </c>
      <c r="AZ24" s="40">
        <f>IF(ISNUMBER(AY24),AY24-1,"")</f>
        <v/>
      </c>
      <c r="BA24" s="40">
        <f>IF(AND(ISNUMBER(AZ23),ISNUMBER(W24)),AZ23*W_BANCOS*W24,"")</f>
        <v/>
      </c>
      <c r="BB24" s="40">
        <f>IF(AND(ISNUMBER(AZ23),ISNUMBER(AZ22)),ABS(AZ23-AZ22)*W_BANCOS*COSTO,0)</f>
        <v/>
      </c>
      <c r="BC24" s="40">
        <f>IF(ISNUMBER(BA24),BA24-BB24,"")</f>
        <v/>
      </c>
      <c r="BD24" s="42">
        <f>IF(ISNUMBER(BC24),IF(A24&lt;=FECHA_ERA,"A","B"),"")</f>
        <v/>
      </c>
      <c r="BE24" s="40">
        <f>IF(BD24="A",BC24,"")</f>
        <v/>
      </c>
      <c r="BF24" s="40">
        <f>IF(BD24="B",BC24,"")</f>
        <v/>
      </c>
      <c r="BG24" s="38">
        <f>IF(AND(ISNUMBER(BC24),ISNUMBER(A24)),IF(A24&gt;=INICIO_VIVO,1,0),0)</f>
        <v/>
      </c>
      <c r="BH24" s="40">
        <f>IF(BG24=1,BC24,"")</f>
        <v/>
      </c>
      <c r="BI24" s="38">
        <f>IF(ISNUMBER(AY24),ROW(),0)</f>
        <v/>
      </c>
      <c r="BJ24" s="43">
        <f>IF(ISNUMBER(BC24),SUM(BC$5:BC24)*10000,NA())</f>
        <v/>
      </c>
      <c r="BK24" s="43">
        <f>IF(BG24=1,SUM(BH$5:BH24)*10000,NA())</f>
        <v/>
      </c>
      <c r="BL24" s="44">
        <f>IF(ISNUMBER(AY24),AY24,NA())</f>
        <v/>
      </c>
    </row>
    <row r="25">
      <c r="A25" s="36">
        <f>IF(Datos!A25="","",Datos!A25)</f>
        <v/>
      </c>
      <c r="B25" s="37">
        <f>IF(OR($A25="",NOT(ISNUMBER(Datos!B25)),NOT(ISNUMBER(Datos!B24))),"",Datos!B25/Datos!B24-1)</f>
        <v/>
      </c>
      <c r="C25" s="37">
        <f>IF(OR($A25="",NOT(ISNUMBER(Datos!C25)),NOT(ISNUMBER(Datos!C24))),"",Datos!C25/Datos!C24-1)</f>
        <v/>
      </c>
      <c r="D25" s="37">
        <f>IF(OR($A25="",NOT(ISNUMBER(Datos!D25)),NOT(ISNUMBER(Datos!D24))),"",Datos!D25/Datos!D24-1)</f>
        <v/>
      </c>
      <c r="E25" s="37">
        <f>IF(OR($A25="",NOT(ISNUMBER(Datos!E25)),NOT(ISNUMBER(Datos!E24))),"",Datos!E25/Datos!E24-1)</f>
        <v/>
      </c>
      <c r="F25" s="38">
        <f>IF($A25="","",COUNT(B25:E25))</f>
        <v/>
      </c>
      <c r="G25" s="37">
        <f>IF($A25="","",IF(F25&gt;=MIN_BANCOS,AVERAGE(B25:E25),""))</f>
        <v/>
      </c>
      <c r="H25" s="37">
        <f>IF(OR($A25="",NOT(ISNUMBER(Datos!F25)),NOT(ISNUMBER(Datos!F24))),"",Datos!F25/Datos!F24-1)</f>
        <v/>
      </c>
      <c r="I25" s="39">
        <f>IF($A25="","",IF(ISNUMBER(Datos!G25),Datos!G25,I24))</f>
        <v/>
      </c>
      <c r="J25" s="40">
        <f>IF($A25="","",IF(ISNUMBER(I24),LN(1+I24/100/12),0))</f>
        <v/>
      </c>
      <c r="K25" s="40">
        <f>IF(ISNUMBER(G25),LN(1+G25)-J25,"")</f>
        <v/>
      </c>
      <c r="L25" s="40">
        <f>IF(ISNUMBER(H25),LN(1+H25)-J25,"")</f>
        <v/>
      </c>
      <c r="M25" s="38">
        <f>IF(ISNUMBER(K25),1,0)</f>
        <v/>
      </c>
      <c r="N25" s="40">
        <f>IF(M25=1,K25,0)</f>
        <v/>
      </c>
      <c r="O25" s="38">
        <f>IF(ISNUMBER(L25),1,0)</f>
        <v/>
      </c>
      <c r="P25" s="40">
        <f>IF(O25=1,L25,0)</f>
        <v/>
      </c>
      <c r="Q25" s="38">
        <f>M25*O25</f>
        <v/>
      </c>
      <c r="R25" s="38">
        <f>SUM(Q5:Q24)</f>
        <v/>
      </c>
      <c r="S25" s="41">
        <f>IF(OR($A25="",R25&lt;MIN_OBS_ROLL),"",(SUMPRODUCT(Q5:Q24,N5:N24,P5:P24)/R25-SUMPRODUCT(Q5:Q24,N5:N24)/R25*SUMPRODUCT(Q5:Q24,P5:P24)/R25)*R25/(R25-1))</f>
        <v/>
      </c>
      <c r="T25" s="38">
        <f>SUM(O5:O24)</f>
        <v/>
      </c>
      <c r="U25" s="41">
        <f>IF(OR($A25="",T25&lt;MIN_OBS_ROLL),"",SUMPRODUCT(O5:O24,(P5:P24-SUMPRODUCT(O5:O24,P5:P24)/T25)^2)/(T25-1))</f>
        <v/>
      </c>
      <c r="V25" s="40">
        <f>IF(OR(S25="",U25=""),"",S25/U25)</f>
        <v/>
      </c>
      <c r="W25" s="40">
        <f>IF(AND(ISNUMBER(K25),ISNUMBER(L25),ISNUMBER(V25)),K25-V25*L25,"")</f>
        <v/>
      </c>
      <c r="X25" s="40">
        <f>IF(OR($A25="",NOT(ISNUMBER(Datos!H25)),NOT(ISNUMBER(Datos!H24))),"",LN(Datos!H25)-LN(Datos!H24))</f>
        <v/>
      </c>
      <c r="Y25" s="38">
        <f>IF(ISNUMBER(W25),1,0)</f>
        <v/>
      </c>
      <c r="Z25" s="40">
        <f>IF(Y25=1,W25,0)</f>
        <v/>
      </c>
      <c r="AA25" s="38">
        <f>IF(ISNUMBER(X25),1,0)</f>
        <v/>
      </c>
      <c r="AB25" s="40">
        <f>IF(AA25=1,X25,0)</f>
        <v/>
      </c>
      <c r="AC25" s="38">
        <f>Y25*AA25</f>
        <v/>
      </c>
      <c r="AD25" s="38">
        <f>SUM(AC5:AC24)</f>
        <v/>
      </c>
      <c r="AE25" s="41">
        <f>IF(OR($A25="",AD25&lt;MIN_OBS_ROLL),"",(SUMPRODUCT(AC5:AC24,Z5:Z24,AB5:AB24)/AD25-SUMPRODUCT(AC5:AC24,Z5:Z24)/AD25*SUMPRODUCT(AC5:AC24,AB5:AB24)/AD25)*AD25/(AD25-1))</f>
        <v/>
      </c>
      <c r="AF25" s="38">
        <f>SUM(AA5:AA24)</f>
        <v/>
      </c>
      <c r="AG25" s="41">
        <f>IF(OR($A25="",AF25&lt;MIN_OBS_ROLL),"",SUMPRODUCT(AA5:AA24,(AB5:AB24-SUMPRODUCT(AA5:AA24,AB5:AB24)/AF25)^2)/(AF25-1))</f>
        <v/>
      </c>
      <c r="AH25" s="38">
        <f>SUM(Y5:Y24)</f>
        <v/>
      </c>
      <c r="AI25" s="40">
        <f>IF(OR($A25="",AH25&lt;MIN_OBS_ROLL),"",SUMPRODUCT(Y5:Y24,Z5:Z24)/AH25)</f>
        <v/>
      </c>
      <c r="AJ25" s="40">
        <f>IF(OR($A25="",AF25&lt;MIN_OBS_ROLL),"",SUMPRODUCT(AA5:AA24,AB5:AB24)/AF25)</f>
        <v/>
      </c>
      <c r="AK25" s="40">
        <f>IF(OR(AE25="",AG25=""),"",AE25/AG25)</f>
        <v/>
      </c>
      <c r="AL25" s="40">
        <f>IF(OR(AI25="",AK25="",AJ25=""),"",AI25-AK25*AJ25)</f>
        <v/>
      </c>
      <c r="AM25" s="40">
        <f>IF(AND(ISNUMBER(W25),ISNUMBER(X25),ISNUMBER(AK25),ISNUMBER(AL25)),W25-(AL25+AK25*X25),"")</f>
        <v/>
      </c>
      <c r="AN25" s="38">
        <f>IF(ISNUMBER(AM25),1,0)</f>
        <v/>
      </c>
      <c r="AO25" s="40">
        <f>IF(AN25=1,AM25,0)</f>
        <v/>
      </c>
      <c r="AP25" s="40">
        <f>IF(SUM(AN23:AN25)=3,SUM(AO23:AO25),"")</f>
        <v/>
      </c>
      <c r="AQ25" s="38">
        <f>IF(ISNUMBER(AP25),1,0)</f>
        <v/>
      </c>
      <c r="AR25" s="40">
        <f>IF(AQ25=1,AP25,0)</f>
        <v/>
      </c>
      <c r="AS25" s="38">
        <f>SUM(AQ$5:AQ25)</f>
        <v/>
      </c>
      <c r="AT25" s="40">
        <f>IF(AS25&gt;=MIN_OBS_Z,SUMPRODUCT(AQ$5:AQ25,AR$5:AR25)/AS25,"")</f>
        <v/>
      </c>
      <c r="AU25" s="40">
        <f>IF(AS25&gt;=MIN_OBS_Z,SQRT(SUMPRODUCT(AQ$5:AQ25,(AR$5:AR25-AT25)^2)/(AS25-1)),"")</f>
        <v/>
      </c>
      <c r="AV25" s="40">
        <f>IF(AND(AQ25=1,ISNUMBER(AT25)),MAX(-Z_CLIP,MIN(Z_CLIP,(AR25-AT25)/AU25)),"")</f>
        <v/>
      </c>
      <c r="AW25" s="40">
        <f>IF(ISNUMBER(AV25),-AV25,"")</f>
        <v/>
      </c>
      <c r="AX25" s="40">
        <f>IF(ISNUMBER(AW25),1+AMPLITUD*TANH(AW25),"")</f>
        <v/>
      </c>
      <c r="AY25" s="40">
        <f>IF($A25="","",IF(COUNT(AX23:AX25)&gt;0,AVERAGE(AX23:AX25),""))</f>
        <v/>
      </c>
      <c r="AZ25" s="40">
        <f>IF(ISNUMBER(AY25),AY25-1,"")</f>
        <v/>
      </c>
      <c r="BA25" s="40">
        <f>IF(AND(ISNUMBER(AZ24),ISNUMBER(W25)),AZ24*W_BANCOS*W25,"")</f>
        <v/>
      </c>
      <c r="BB25" s="40">
        <f>IF(AND(ISNUMBER(AZ24),ISNUMBER(AZ23)),ABS(AZ24-AZ23)*W_BANCOS*COSTO,0)</f>
        <v/>
      </c>
      <c r="BC25" s="40">
        <f>IF(ISNUMBER(BA25),BA25-BB25,"")</f>
        <v/>
      </c>
      <c r="BD25" s="42">
        <f>IF(ISNUMBER(BC25),IF(A25&lt;=FECHA_ERA,"A","B"),"")</f>
        <v/>
      </c>
      <c r="BE25" s="40">
        <f>IF(BD25="A",BC25,"")</f>
        <v/>
      </c>
      <c r="BF25" s="40">
        <f>IF(BD25="B",BC25,"")</f>
        <v/>
      </c>
      <c r="BG25" s="38">
        <f>IF(AND(ISNUMBER(BC25),ISNUMBER(A25)),IF(A25&gt;=INICIO_VIVO,1,0),0)</f>
        <v/>
      </c>
      <c r="BH25" s="40">
        <f>IF(BG25=1,BC25,"")</f>
        <v/>
      </c>
      <c r="BI25" s="38">
        <f>IF(ISNUMBER(AY25),ROW(),0)</f>
        <v/>
      </c>
      <c r="BJ25" s="43">
        <f>IF(ISNUMBER(BC25),SUM(BC$5:BC25)*10000,NA())</f>
        <v/>
      </c>
      <c r="BK25" s="43">
        <f>IF(BG25=1,SUM(BH$5:BH25)*10000,NA())</f>
        <v/>
      </c>
      <c r="BL25" s="44">
        <f>IF(ISNUMBER(AY25),AY25,NA())</f>
        <v/>
      </c>
    </row>
    <row r="26">
      <c r="A26" s="36">
        <f>IF(Datos!A26="","",Datos!A26)</f>
        <v/>
      </c>
      <c r="B26" s="37">
        <f>IF(OR($A26="",NOT(ISNUMBER(Datos!B26)),NOT(ISNUMBER(Datos!B25))),"",Datos!B26/Datos!B25-1)</f>
        <v/>
      </c>
      <c r="C26" s="37">
        <f>IF(OR($A26="",NOT(ISNUMBER(Datos!C26)),NOT(ISNUMBER(Datos!C25))),"",Datos!C26/Datos!C25-1)</f>
        <v/>
      </c>
      <c r="D26" s="37">
        <f>IF(OR($A26="",NOT(ISNUMBER(Datos!D26)),NOT(ISNUMBER(Datos!D25))),"",Datos!D26/Datos!D25-1)</f>
        <v/>
      </c>
      <c r="E26" s="37">
        <f>IF(OR($A26="",NOT(ISNUMBER(Datos!E26)),NOT(ISNUMBER(Datos!E25))),"",Datos!E26/Datos!E25-1)</f>
        <v/>
      </c>
      <c r="F26" s="38">
        <f>IF($A26="","",COUNT(B26:E26))</f>
        <v/>
      </c>
      <c r="G26" s="37">
        <f>IF($A26="","",IF(F26&gt;=MIN_BANCOS,AVERAGE(B26:E26),""))</f>
        <v/>
      </c>
      <c r="H26" s="37">
        <f>IF(OR($A26="",NOT(ISNUMBER(Datos!F26)),NOT(ISNUMBER(Datos!F25))),"",Datos!F26/Datos!F25-1)</f>
        <v/>
      </c>
      <c r="I26" s="39">
        <f>IF($A26="","",IF(ISNUMBER(Datos!G26),Datos!G26,I25))</f>
        <v/>
      </c>
      <c r="J26" s="40">
        <f>IF($A26="","",IF(ISNUMBER(I25),LN(1+I25/100/12),0))</f>
        <v/>
      </c>
      <c r="K26" s="40">
        <f>IF(ISNUMBER(G26),LN(1+G26)-J26,"")</f>
        <v/>
      </c>
      <c r="L26" s="40">
        <f>IF(ISNUMBER(H26),LN(1+H26)-J26,"")</f>
        <v/>
      </c>
      <c r="M26" s="38">
        <f>IF(ISNUMBER(K26),1,0)</f>
        <v/>
      </c>
      <c r="N26" s="40">
        <f>IF(M26=1,K26,0)</f>
        <v/>
      </c>
      <c r="O26" s="38">
        <f>IF(ISNUMBER(L26),1,0)</f>
        <v/>
      </c>
      <c r="P26" s="40">
        <f>IF(O26=1,L26,0)</f>
        <v/>
      </c>
      <c r="Q26" s="38">
        <f>M26*O26</f>
        <v/>
      </c>
      <c r="R26" s="38">
        <f>SUM(Q5:Q25)</f>
        <v/>
      </c>
      <c r="S26" s="41">
        <f>IF(OR($A26="",R26&lt;MIN_OBS_ROLL),"",(SUMPRODUCT(Q5:Q25,N5:N25,P5:P25)/R26-SUMPRODUCT(Q5:Q25,N5:N25)/R26*SUMPRODUCT(Q5:Q25,P5:P25)/R26)*R26/(R26-1))</f>
        <v/>
      </c>
      <c r="T26" s="38">
        <f>SUM(O5:O25)</f>
        <v/>
      </c>
      <c r="U26" s="41">
        <f>IF(OR($A26="",T26&lt;MIN_OBS_ROLL),"",SUMPRODUCT(O5:O25,(P5:P25-SUMPRODUCT(O5:O25,P5:P25)/T26)^2)/(T26-1))</f>
        <v/>
      </c>
      <c r="V26" s="40">
        <f>IF(OR(S26="",U26=""),"",S26/U26)</f>
        <v/>
      </c>
      <c r="W26" s="40">
        <f>IF(AND(ISNUMBER(K26),ISNUMBER(L26),ISNUMBER(V26)),K26-V26*L26,"")</f>
        <v/>
      </c>
      <c r="X26" s="40">
        <f>IF(OR($A26="",NOT(ISNUMBER(Datos!H26)),NOT(ISNUMBER(Datos!H25))),"",LN(Datos!H26)-LN(Datos!H25))</f>
        <v/>
      </c>
      <c r="Y26" s="38">
        <f>IF(ISNUMBER(W26),1,0)</f>
        <v/>
      </c>
      <c r="Z26" s="40">
        <f>IF(Y26=1,W26,0)</f>
        <v/>
      </c>
      <c r="AA26" s="38">
        <f>IF(ISNUMBER(X26),1,0)</f>
        <v/>
      </c>
      <c r="AB26" s="40">
        <f>IF(AA26=1,X26,0)</f>
        <v/>
      </c>
      <c r="AC26" s="38">
        <f>Y26*AA26</f>
        <v/>
      </c>
      <c r="AD26" s="38">
        <f>SUM(AC5:AC25)</f>
        <v/>
      </c>
      <c r="AE26" s="41">
        <f>IF(OR($A26="",AD26&lt;MIN_OBS_ROLL),"",(SUMPRODUCT(AC5:AC25,Z5:Z25,AB5:AB25)/AD26-SUMPRODUCT(AC5:AC25,Z5:Z25)/AD26*SUMPRODUCT(AC5:AC25,AB5:AB25)/AD26)*AD26/(AD26-1))</f>
        <v/>
      </c>
      <c r="AF26" s="38">
        <f>SUM(AA5:AA25)</f>
        <v/>
      </c>
      <c r="AG26" s="41">
        <f>IF(OR($A26="",AF26&lt;MIN_OBS_ROLL),"",SUMPRODUCT(AA5:AA25,(AB5:AB25-SUMPRODUCT(AA5:AA25,AB5:AB25)/AF26)^2)/(AF26-1))</f>
        <v/>
      </c>
      <c r="AH26" s="38">
        <f>SUM(Y5:Y25)</f>
        <v/>
      </c>
      <c r="AI26" s="40">
        <f>IF(OR($A26="",AH26&lt;MIN_OBS_ROLL),"",SUMPRODUCT(Y5:Y25,Z5:Z25)/AH26)</f>
        <v/>
      </c>
      <c r="AJ26" s="40">
        <f>IF(OR($A26="",AF26&lt;MIN_OBS_ROLL),"",SUMPRODUCT(AA5:AA25,AB5:AB25)/AF26)</f>
        <v/>
      </c>
      <c r="AK26" s="40">
        <f>IF(OR(AE26="",AG26=""),"",AE26/AG26)</f>
        <v/>
      </c>
      <c r="AL26" s="40">
        <f>IF(OR(AI26="",AK26="",AJ26=""),"",AI26-AK26*AJ26)</f>
        <v/>
      </c>
      <c r="AM26" s="40">
        <f>IF(AND(ISNUMBER(W26),ISNUMBER(X26),ISNUMBER(AK26),ISNUMBER(AL26)),W26-(AL26+AK26*X26),"")</f>
        <v/>
      </c>
      <c r="AN26" s="38">
        <f>IF(ISNUMBER(AM26),1,0)</f>
        <v/>
      </c>
      <c r="AO26" s="40">
        <f>IF(AN26=1,AM26,0)</f>
        <v/>
      </c>
      <c r="AP26" s="40">
        <f>IF(SUM(AN24:AN26)=3,SUM(AO24:AO26),"")</f>
        <v/>
      </c>
      <c r="AQ26" s="38">
        <f>IF(ISNUMBER(AP26),1,0)</f>
        <v/>
      </c>
      <c r="AR26" s="40">
        <f>IF(AQ26=1,AP26,0)</f>
        <v/>
      </c>
      <c r="AS26" s="38">
        <f>SUM(AQ$5:AQ26)</f>
        <v/>
      </c>
      <c r="AT26" s="40">
        <f>IF(AS26&gt;=MIN_OBS_Z,SUMPRODUCT(AQ$5:AQ26,AR$5:AR26)/AS26,"")</f>
        <v/>
      </c>
      <c r="AU26" s="40">
        <f>IF(AS26&gt;=MIN_OBS_Z,SQRT(SUMPRODUCT(AQ$5:AQ26,(AR$5:AR26-AT26)^2)/(AS26-1)),"")</f>
        <v/>
      </c>
      <c r="AV26" s="40">
        <f>IF(AND(AQ26=1,ISNUMBER(AT26)),MAX(-Z_CLIP,MIN(Z_CLIP,(AR26-AT26)/AU26)),"")</f>
        <v/>
      </c>
      <c r="AW26" s="40">
        <f>IF(ISNUMBER(AV26),-AV26,"")</f>
        <v/>
      </c>
      <c r="AX26" s="40">
        <f>IF(ISNUMBER(AW26),1+AMPLITUD*TANH(AW26),"")</f>
        <v/>
      </c>
      <c r="AY26" s="40">
        <f>IF($A26="","",IF(COUNT(AX24:AX26)&gt;0,AVERAGE(AX24:AX26),""))</f>
        <v/>
      </c>
      <c r="AZ26" s="40">
        <f>IF(ISNUMBER(AY26),AY26-1,"")</f>
        <v/>
      </c>
      <c r="BA26" s="40">
        <f>IF(AND(ISNUMBER(AZ25),ISNUMBER(W26)),AZ25*W_BANCOS*W26,"")</f>
        <v/>
      </c>
      <c r="BB26" s="40">
        <f>IF(AND(ISNUMBER(AZ25),ISNUMBER(AZ24)),ABS(AZ25-AZ24)*W_BANCOS*COSTO,0)</f>
        <v/>
      </c>
      <c r="BC26" s="40">
        <f>IF(ISNUMBER(BA26),BA26-BB26,"")</f>
        <v/>
      </c>
      <c r="BD26" s="42">
        <f>IF(ISNUMBER(BC26),IF(A26&lt;=FECHA_ERA,"A","B"),"")</f>
        <v/>
      </c>
      <c r="BE26" s="40">
        <f>IF(BD26="A",BC26,"")</f>
        <v/>
      </c>
      <c r="BF26" s="40">
        <f>IF(BD26="B",BC26,"")</f>
        <v/>
      </c>
      <c r="BG26" s="38">
        <f>IF(AND(ISNUMBER(BC26),ISNUMBER(A26)),IF(A26&gt;=INICIO_VIVO,1,0),0)</f>
        <v/>
      </c>
      <c r="BH26" s="40">
        <f>IF(BG26=1,BC26,"")</f>
        <v/>
      </c>
      <c r="BI26" s="38">
        <f>IF(ISNUMBER(AY26),ROW(),0)</f>
        <v/>
      </c>
      <c r="BJ26" s="43">
        <f>IF(ISNUMBER(BC26),SUM(BC$5:BC26)*10000,NA())</f>
        <v/>
      </c>
      <c r="BK26" s="43">
        <f>IF(BG26=1,SUM(BH$5:BH26)*10000,NA())</f>
        <v/>
      </c>
      <c r="BL26" s="44">
        <f>IF(ISNUMBER(AY26),AY26,NA())</f>
        <v/>
      </c>
    </row>
    <row r="27">
      <c r="A27" s="36">
        <f>IF(Datos!A27="","",Datos!A27)</f>
        <v/>
      </c>
      <c r="B27" s="37">
        <f>IF(OR($A27="",NOT(ISNUMBER(Datos!B27)),NOT(ISNUMBER(Datos!B26))),"",Datos!B27/Datos!B26-1)</f>
        <v/>
      </c>
      <c r="C27" s="37">
        <f>IF(OR($A27="",NOT(ISNUMBER(Datos!C27)),NOT(ISNUMBER(Datos!C26))),"",Datos!C27/Datos!C26-1)</f>
        <v/>
      </c>
      <c r="D27" s="37">
        <f>IF(OR($A27="",NOT(ISNUMBER(Datos!D27)),NOT(ISNUMBER(Datos!D26))),"",Datos!D27/Datos!D26-1)</f>
        <v/>
      </c>
      <c r="E27" s="37">
        <f>IF(OR($A27="",NOT(ISNUMBER(Datos!E27)),NOT(ISNUMBER(Datos!E26))),"",Datos!E27/Datos!E26-1)</f>
        <v/>
      </c>
      <c r="F27" s="38">
        <f>IF($A27="","",COUNT(B27:E27))</f>
        <v/>
      </c>
      <c r="G27" s="37">
        <f>IF($A27="","",IF(F27&gt;=MIN_BANCOS,AVERAGE(B27:E27),""))</f>
        <v/>
      </c>
      <c r="H27" s="37">
        <f>IF(OR($A27="",NOT(ISNUMBER(Datos!F27)),NOT(ISNUMBER(Datos!F26))),"",Datos!F27/Datos!F26-1)</f>
        <v/>
      </c>
      <c r="I27" s="39">
        <f>IF($A27="","",IF(ISNUMBER(Datos!G27),Datos!G27,I26))</f>
        <v/>
      </c>
      <c r="J27" s="40">
        <f>IF($A27="","",IF(ISNUMBER(I26),LN(1+I26/100/12),0))</f>
        <v/>
      </c>
      <c r="K27" s="40">
        <f>IF(ISNUMBER(G27),LN(1+G27)-J27,"")</f>
        <v/>
      </c>
      <c r="L27" s="40">
        <f>IF(ISNUMBER(H27),LN(1+H27)-J27,"")</f>
        <v/>
      </c>
      <c r="M27" s="38">
        <f>IF(ISNUMBER(K27),1,0)</f>
        <v/>
      </c>
      <c r="N27" s="40">
        <f>IF(M27=1,K27,0)</f>
        <v/>
      </c>
      <c r="O27" s="38">
        <f>IF(ISNUMBER(L27),1,0)</f>
        <v/>
      </c>
      <c r="P27" s="40">
        <f>IF(O27=1,L27,0)</f>
        <v/>
      </c>
      <c r="Q27" s="38">
        <f>M27*O27</f>
        <v/>
      </c>
      <c r="R27" s="38">
        <f>SUM(Q5:Q26)</f>
        <v/>
      </c>
      <c r="S27" s="41">
        <f>IF(OR($A27="",R27&lt;MIN_OBS_ROLL),"",(SUMPRODUCT(Q5:Q26,N5:N26,P5:P26)/R27-SUMPRODUCT(Q5:Q26,N5:N26)/R27*SUMPRODUCT(Q5:Q26,P5:P26)/R27)*R27/(R27-1))</f>
        <v/>
      </c>
      <c r="T27" s="38">
        <f>SUM(O5:O26)</f>
        <v/>
      </c>
      <c r="U27" s="41">
        <f>IF(OR($A27="",T27&lt;MIN_OBS_ROLL),"",SUMPRODUCT(O5:O26,(P5:P26-SUMPRODUCT(O5:O26,P5:P26)/T27)^2)/(T27-1))</f>
        <v/>
      </c>
      <c r="V27" s="40">
        <f>IF(OR(S27="",U27=""),"",S27/U27)</f>
        <v/>
      </c>
      <c r="W27" s="40">
        <f>IF(AND(ISNUMBER(K27),ISNUMBER(L27),ISNUMBER(V27)),K27-V27*L27,"")</f>
        <v/>
      </c>
      <c r="X27" s="40">
        <f>IF(OR($A27="",NOT(ISNUMBER(Datos!H27)),NOT(ISNUMBER(Datos!H26))),"",LN(Datos!H27)-LN(Datos!H26))</f>
        <v/>
      </c>
      <c r="Y27" s="38">
        <f>IF(ISNUMBER(W27),1,0)</f>
        <v/>
      </c>
      <c r="Z27" s="40">
        <f>IF(Y27=1,W27,0)</f>
        <v/>
      </c>
      <c r="AA27" s="38">
        <f>IF(ISNUMBER(X27),1,0)</f>
        <v/>
      </c>
      <c r="AB27" s="40">
        <f>IF(AA27=1,X27,0)</f>
        <v/>
      </c>
      <c r="AC27" s="38">
        <f>Y27*AA27</f>
        <v/>
      </c>
      <c r="AD27" s="38">
        <f>SUM(AC5:AC26)</f>
        <v/>
      </c>
      <c r="AE27" s="41">
        <f>IF(OR($A27="",AD27&lt;MIN_OBS_ROLL),"",(SUMPRODUCT(AC5:AC26,Z5:Z26,AB5:AB26)/AD27-SUMPRODUCT(AC5:AC26,Z5:Z26)/AD27*SUMPRODUCT(AC5:AC26,AB5:AB26)/AD27)*AD27/(AD27-1))</f>
        <v/>
      </c>
      <c r="AF27" s="38">
        <f>SUM(AA5:AA26)</f>
        <v/>
      </c>
      <c r="AG27" s="41">
        <f>IF(OR($A27="",AF27&lt;MIN_OBS_ROLL),"",SUMPRODUCT(AA5:AA26,(AB5:AB26-SUMPRODUCT(AA5:AA26,AB5:AB26)/AF27)^2)/(AF27-1))</f>
        <v/>
      </c>
      <c r="AH27" s="38">
        <f>SUM(Y5:Y26)</f>
        <v/>
      </c>
      <c r="AI27" s="40">
        <f>IF(OR($A27="",AH27&lt;MIN_OBS_ROLL),"",SUMPRODUCT(Y5:Y26,Z5:Z26)/AH27)</f>
        <v/>
      </c>
      <c r="AJ27" s="40">
        <f>IF(OR($A27="",AF27&lt;MIN_OBS_ROLL),"",SUMPRODUCT(AA5:AA26,AB5:AB26)/AF27)</f>
        <v/>
      </c>
      <c r="AK27" s="40">
        <f>IF(OR(AE27="",AG27=""),"",AE27/AG27)</f>
        <v/>
      </c>
      <c r="AL27" s="40">
        <f>IF(OR(AI27="",AK27="",AJ27=""),"",AI27-AK27*AJ27)</f>
        <v/>
      </c>
      <c r="AM27" s="40">
        <f>IF(AND(ISNUMBER(W27),ISNUMBER(X27),ISNUMBER(AK27),ISNUMBER(AL27)),W27-(AL27+AK27*X27),"")</f>
        <v/>
      </c>
      <c r="AN27" s="38">
        <f>IF(ISNUMBER(AM27),1,0)</f>
        <v/>
      </c>
      <c r="AO27" s="40">
        <f>IF(AN27=1,AM27,0)</f>
        <v/>
      </c>
      <c r="AP27" s="40">
        <f>IF(SUM(AN25:AN27)=3,SUM(AO25:AO27),"")</f>
        <v/>
      </c>
      <c r="AQ27" s="38">
        <f>IF(ISNUMBER(AP27),1,0)</f>
        <v/>
      </c>
      <c r="AR27" s="40">
        <f>IF(AQ27=1,AP27,0)</f>
        <v/>
      </c>
      <c r="AS27" s="38">
        <f>SUM(AQ$5:AQ27)</f>
        <v/>
      </c>
      <c r="AT27" s="40">
        <f>IF(AS27&gt;=MIN_OBS_Z,SUMPRODUCT(AQ$5:AQ27,AR$5:AR27)/AS27,"")</f>
        <v/>
      </c>
      <c r="AU27" s="40">
        <f>IF(AS27&gt;=MIN_OBS_Z,SQRT(SUMPRODUCT(AQ$5:AQ27,(AR$5:AR27-AT27)^2)/(AS27-1)),"")</f>
        <v/>
      </c>
      <c r="AV27" s="40">
        <f>IF(AND(AQ27=1,ISNUMBER(AT27)),MAX(-Z_CLIP,MIN(Z_CLIP,(AR27-AT27)/AU27)),"")</f>
        <v/>
      </c>
      <c r="AW27" s="40">
        <f>IF(ISNUMBER(AV27),-AV27,"")</f>
        <v/>
      </c>
      <c r="AX27" s="40">
        <f>IF(ISNUMBER(AW27),1+AMPLITUD*TANH(AW27),"")</f>
        <v/>
      </c>
      <c r="AY27" s="40">
        <f>IF($A27="","",IF(COUNT(AX25:AX27)&gt;0,AVERAGE(AX25:AX27),""))</f>
        <v/>
      </c>
      <c r="AZ27" s="40">
        <f>IF(ISNUMBER(AY27),AY27-1,"")</f>
        <v/>
      </c>
      <c r="BA27" s="40">
        <f>IF(AND(ISNUMBER(AZ26),ISNUMBER(W27)),AZ26*W_BANCOS*W27,"")</f>
        <v/>
      </c>
      <c r="BB27" s="40">
        <f>IF(AND(ISNUMBER(AZ26),ISNUMBER(AZ25)),ABS(AZ26-AZ25)*W_BANCOS*COSTO,0)</f>
        <v/>
      </c>
      <c r="BC27" s="40">
        <f>IF(ISNUMBER(BA27),BA27-BB27,"")</f>
        <v/>
      </c>
      <c r="BD27" s="42">
        <f>IF(ISNUMBER(BC27),IF(A27&lt;=FECHA_ERA,"A","B"),"")</f>
        <v/>
      </c>
      <c r="BE27" s="40">
        <f>IF(BD27="A",BC27,"")</f>
        <v/>
      </c>
      <c r="BF27" s="40">
        <f>IF(BD27="B",BC27,"")</f>
        <v/>
      </c>
      <c r="BG27" s="38">
        <f>IF(AND(ISNUMBER(BC27),ISNUMBER(A27)),IF(A27&gt;=INICIO_VIVO,1,0),0)</f>
        <v/>
      </c>
      <c r="BH27" s="40">
        <f>IF(BG27=1,BC27,"")</f>
        <v/>
      </c>
      <c r="BI27" s="38">
        <f>IF(ISNUMBER(AY27),ROW(),0)</f>
        <v/>
      </c>
      <c r="BJ27" s="43">
        <f>IF(ISNUMBER(BC27),SUM(BC$5:BC27)*10000,NA())</f>
        <v/>
      </c>
      <c r="BK27" s="43">
        <f>IF(BG27=1,SUM(BH$5:BH27)*10000,NA())</f>
        <v/>
      </c>
      <c r="BL27" s="44">
        <f>IF(ISNUMBER(AY27),AY27,NA())</f>
        <v/>
      </c>
    </row>
    <row r="28">
      <c r="A28" s="36">
        <f>IF(Datos!A28="","",Datos!A28)</f>
        <v/>
      </c>
      <c r="B28" s="37">
        <f>IF(OR($A28="",NOT(ISNUMBER(Datos!B28)),NOT(ISNUMBER(Datos!B27))),"",Datos!B28/Datos!B27-1)</f>
        <v/>
      </c>
      <c r="C28" s="37">
        <f>IF(OR($A28="",NOT(ISNUMBER(Datos!C28)),NOT(ISNUMBER(Datos!C27))),"",Datos!C28/Datos!C27-1)</f>
        <v/>
      </c>
      <c r="D28" s="37">
        <f>IF(OR($A28="",NOT(ISNUMBER(Datos!D28)),NOT(ISNUMBER(Datos!D27))),"",Datos!D28/Datos!D27-1)</f>
        <v/>
      </c>
      <c r="E28" s="37">
        <f>IF(OR($A28="",NOT(ISNUMBER(Datos!E28)),NOT(ISNUMBER(Datos!E27))),"",Datos!E28/Datos!E27-1)</f>
        <v/>
      </c>
      <c r="F28" s="38">
        <f>IF($A28="","",COUNT(B28:E28))</f>
        <v/>
      </c>
      <c r="G28" s="37">
        <f>IF($A28="","",IF(F28&gt;=MIN_BANCOS,AVERAGE(B28:E28),""))</f>
        <v/>
      </c>
      <c r="H28" s="37">
        <f>IF(OR($A28="",NOT(ISNUMBER(Datos!F28)),NOT(ISNUMBER(Datos!F27))),"",Datos!F28/Datos!F27-1)</f>
        <v/>
      </c>
      <c r="I28" s="39">
        <f>IF($A28="","",IF(ISNUMBER(Datos!G28),Datos!G28,I27))</f>
        <v/>
      </c>
      <c r="J28" s="40">
        <f>IF($A28="","",IF(ISNUMBER(I27),LN(1+I27/100/12),0))</f>
        <v/>
      </c>
      <c r="K28" s="40">
        <f>IF(ISNUMBER(G28),LN(1+G28)-J28,"")</f>
        <v/>
      </c>
      <c r="L28" s="40">
        <f>IF(ISNUMBER(H28),LN(1+H28)-J28,"")</f>
        <v/>
      </c>
      <c r="M28" s="38">
        <f>IF(ISNUMBER(K28),1,0)</f>
        <v/>
      </c>
      <c r="N28" s="40">
        <f>IF(M28=1,K28,0)</f>
        <v/>
      </c>
      <c r="O28" s="38">
        <f>IF(ISNUMBER(L28),1,0)</f>
        <v/>
      </c>
      <c r="P28" s="40">
        <f>IF(O28=1,L28,0)</f>
        <v/>
      </c>
      <c r="Q28" s="38">
        <f>M28*O28</f>
        <v/>
      </c>
      <c r="R28" s="38">
        <f>SUM(Q5:Q27)</f>
        <v/>
      </c>
      <c r="S28" s="41">
        <f>IF(OR($A28="",R28&lt;MIN_OBS_ROLL),"",(SUMPRODUCT(Q5:Q27,N5:N27,P5:P27)/R28-SUMPRODUCT(Q5:Q27,N5:N27)/R28*SUMPRODUCT(Q5:Q27,P5:P27)/R28)*R28/(R28-1))</f>
        <v/>
      </c>
      <c r="T28" s="38">
        <f>SUM(O5:O27)</f>
        <v/>
      </c>
      <c r="U28" s="41">
        <f>IF(OR($A28="",T28&lt;MIN_OBS_ROLL),"",SUMPRODUCT(O5:O27,(P5:P27-SUMPRODUCT(O5:O27,P5:P27)/T28)^2)/(T28-1))</f>
        <v/>
      </c>
      <c r="V28" s="40">
        <f>IF(OR(S28="",U28=""),"",S28/U28)</f>
        <v/>
      </c>
      <c r="W28" s="40">
        <f>IF(AND(ISNUMBER(K28),ISNUMBER(L28),ISNUMBER(V28)),K28-V28*L28,"")</f>
        <v/>
      </c>
      <c r="X28" s="40">
        <f>IF(OR($A28="",NOT(ISNUMBER(Datos!H28)),NOT(ISNUMBER(Datos!H27))),"",LN(Datos!H28)-LN(Datos!H27))</f>
        <v/>
      </c>
      <c r="Y28" s="38">
        <f>IF(ISNUMBER(W28),1,0)</f>
        <v/>
      </c>
      <c r="Z28" s="40">
        <f>IF(Y28=1,W28,0)</f>
        <v/>
      </c>
      <c r="AA28" s="38">
        <f>IF(ISNUMBER(X28),1,0)</f>
        <v/>
      </c>
      <c r="AB28" s="40">
        <f>IF(AA28=1,X28,0)</f>
        <v/>
      </c>
      <c r="AC28" s="38">
        <f>Y28*AA28</f>
        <v/>
      </c>
      <c r="AD28" s="38">
        <f>SUM(AC5:AC27)</f>
        <v/>
      </c>
      <c r="AE28" s="41">
        <f>IF(OR($A28="",AD28&lt;MIN_OBS_ROLL),"",(SUMPRODUCT(AC5:AC27,Z5:Z27,AB5:AB27)/AD28-SUMPRODUCT(AC5:AC27,Z5:Z27)/AD28*SUMPRODUCT(AC5:AC27,AB5:AB27)/AD28)*AD28/(AD28-1))</f>
        <v/>
      </c>
      <c r="AF28" s="38">
        <f>SUM(AA5:AA27)</f>
        <v/>
      </c>
      <c r="AG28" s="41">
        <f>IF(OR($A28="",AF28&lt;MIN_OBS_ROLL),"",SUMPRODUCT(AA5:AA27,(AB5:AB27-SUMPRODUCT(AA5:AA27,AB5:AB27)/AF28)^2)/(AF28-1))</f>
        <v/>
      </c>
      <c r="AH28" s="38">
        <f>SUM(Y5:Y27)</f>
        <v/>
      </c>
      <c r="AI28" s="40">
        <f>IF(OR($A28="",AH28&lt;MIN_OBS_ROLL),"",SUMPRODUCT(Y5:Y27,Z5:Z27)/AH28)</f>
        <v/>
      </c>
      <c r="AJ28" s="40">
        <f>IF(OR($A28="",AF28&lt;MIN_OBS_ROLL),"",SUMPRODUCT(AA5:AA27,AB5:AB27)/AF28)</f>
        <v/>
      </c>
      <c r="AK28" s="40">
        <f>IF(OR(AE28="",AG28=""),"",AE28/AG28)</f>
        <v/>
      </c>
      <c r="AL28" s="40">
        <f>IF(OR(AI28="",AK28="",AJ28=""),"",AI28-AK28*AJ28)</f>
        <v/>
      </c>
      <c r="AM28" s="40">
        <f>IF(AND(ISNUMBER(W28),ISNUMBER(X28),ISNUMBER(AK28),ISNUMBER(AL28)),W28-(AL28+AK28*X28),"")</f>
        <v/>
      </c>
      <c r="AN28" s="38">
        <f>IF(ISNUMBER(AM28),1,0)</f>
        <v/>
      </c>
      <c r="AO28" s="40">
        <f>IF(AN28=1,AM28,0)</f>
        <v/>
      </c>
      <c r="AP28" s="40">
        <f>IF(SUM(AN26:AN28)=3,SUM(AO26:AO28),"")</f>
        <v/>
      </c>
      <c r="AQ28" s="38">
        <f>IF(ISNUMBER(AP28),1,0)</f>
        <v/>
      </c>
      <c r="AR28" s="40">
        <f>IF(AQ28=1,AP28,0)</f>
        <v/>
      </c>
      <c r="AS28" s="38">
        <f>SUM(AQ$5:AQ28)</f>
        <v/>
      </c>
      <c r="AT28" s="40">
        <f>IF(AS28&gt;=MIN_OBS_Z,SUMPRODUCT(AQ$5:AQ28,AR$5:AR28)/AS28,"")</f>
        <v/>
      </c>
      <c r="AU28" s="40">
        <f>IF(AS28&gt;=MIN_OBS_Z,SQRT(SUMPRODUCT(AQ$5:AQ28,(AR$5:AR28-AT28)^2)/(AS28-1)),"")</f>
        <v/>
      </c>
      <c r="AV28" s="40">
        <f>IF(AND(AQ28=1,ISNUMBER(AT28)),MAX(-Z_CLIP,MIN(Z_CLIP,(AR28-AT28)/AU28)),"")</f>
        <v/>
      </c>
      <c r="AW28" s="40">
        <f>IF(ISNUMBER(AV28),-AV28,"")</f>
        <v/>
      </c>
      <c r="AX28" s="40">
        <f>IF(ISNUMBER(AW28),1+AMPLITUD*TANH(AW28),"")</f>
        <v/>
      </c>
      <c r="AY28" s="40">
        <f>IF($A28="","",IF(COUNT(AX26:AX28)&gt;0,AVERAGE(AX26:AX28),""))</f>
        <v/>
      </c>
      <c r="AZ28" s="40">
        <f>IF(ISNUMBER(AY28),AY28-1,"")</f>
        <v/>
      </c>
      <c r="BA28" s="40">
        <f>IF(AND(ISNUMBER(AZ27),ISNUMBER(W28)),AZ27*W_BANCOS*W28,"")</f>
        <v/>
      </c>
      <c r="BB28" s="40">
        <f>IF(AND(ISNUMBER(AZ27),ISNUMBER(AZ26)),ABS(AZ27-AZ26)*W_BANCOS*COSTO,0)</f>
        <v/>
      </c>
      <c r="BC28" s="40">
        <f>IF(ISNUMBER(BA28),BA28-BB28,"")</f>
        <v/>
      </c>
      <c r="BD28" s="42">
        <f>IF(ISNUMBER(BC28),IF(A28&lt;=FECHA_ERA,"A","B"),"")</f>
        <v/>
      </c>
      <c r="BE28" s="40">
        <f>IF(BD28="A",BC28,"")</f>
        <v/>
      </c>
      <c r="BF28" s="40">
        <f>IF(BD28="B",BC28,"")</f>
        <v/>
      </c>
      <c r="BG28" s="38">
        <f>IF(AND(ISNUMBER(BC28),ISNUMBER(A28)),IF(A28&gt;=INICIO_VIVO,1,0),0)</f>
        <v/>
      </c>
      <c r="BH28" s="40">
        <f>IF(BG28=1,BC28,"")</f>
        <v/>
      </c>
      <c r="BI28" s="38">
        <f>IF(ISNUMBER(AY28),ROW(),0)</f>
        <v/>
      </c>
      <c r="BJ28" s="43">
        <f>IF(ISNUMBER(BC28),SUM(BC$5:BC28)*10000,NA())</f>
        <v/>
      </c>
      <c r="BK28" s="43">
        <f>IF(BG28=1,SUM(BH$5:BH28)*10000,NA())</f>
        <v/>
      </c>
      <c r="BL28" s="44">
        <f>IF(ISNUMBER(AY28),AY28,NA())</f>
        <v/>
      </c>
    </row>
    <row r="29">
      <c r="A29" s="36">
        <f>IF(Datos!A29="","",Datos!A29)</f>
        <v/>
      </c>
      <c r="B29" s="37">
        <f>IF(OR($A29="",NOT(ISNUMBER(Datos!B29)),NOT(ISNUMBER(Datos!B28))),"",Datos!B29/Datos!B28-1)</f>
        <v/>
      </c>
      <c r="C29" s="37">
        <f>IF(OR($A29="",NOT(ISNUMBER(Datos!C29)),NOT(ISNUMBER(Datos!C28))),"",Datos!C29/Datos!C28-1)</f>
        <v/>
      </c>
      <c r="D29" s="37">
        <f>IF(OR($A29="",NOT(ISNUMBER(Datos!D29)),NOT(ISNUMBER(Datos!D28))),"",Datos!D29/Datos!D28-1)</f>
        <v/>
      </c>
      <c r="E29" s="37">
        <f>IF(OR($A29="",NOT(ISNUMBER(Datos!E29)),NOT(ISNUMBER(Datos!E28))),"",Datos!E29/Datos!E28-1)</f>
        <v/>
      </c>
      <c r="F29" s="38">
        <f>IF($A29="","",COUNT(B29:E29))</f>
        <v/>
      </c>
      <c r="G29" s="37">
        <f>IF($A29="","",IF(F29&gt;=MIN_BANCOS,AVERAGE(B29:E29),""))</f>
        <v/>
      </c>
      <c r="H29" s="37">
        <f>IF(OR($A29="",NOT(ISNUMBER(Datos!F29)),NOT(ISNUMBER(Datos!F28))),"",Datos!F29/Datos!F28-1)</f>
        <v/>
      </c>
      <c r="I29" s="39">
        <f>IF($A29="","",IF(ISNUMBER(Datos!G29),Datos!G29,I28))</f>
        <v/>
      </c>
      <c r="J29" s="40">
        <f>IF($A29="","",IF(ISNUMBER(I28),LN(1+I28/100/12),0))</f>
        <v/>
      </c>
      <c r="K29" s="40">
        <f>IF(ISNUMBER(G29),LN(1+G29)-J29,"")</f>
        <v/>
      </c>
      <c r="L29" s="40">
        <f>IF(ISNUMBER(H29),LN(1+H29)-J29,"")</f>
        <v/>
      </c>
      <c r="M29" s="38">
        <f>IF(ISNUMBER(K29),1,0)</f>
        <v/>
      </c>
      <c r="N29" s="40">
        <f>IF(M29=1,K29,0)</f>
        <v/>
      </c>
      <c r="O29" s="38">
        <f>IF(ISNUMBER(L29),1,0)</f>
        <v/>
      </c>
      <c r="P29" s="40">
        <f>IF(O29=1,L29,0)</f>
        <v/>
      </c>
      <c r="Q29" s="38">
        <f>M29*O29</f>
        <v/>
      </c>
      <c r="R29" s="38">
        <f>SUM(Q5:Q28)</f>
        <v/>
      </c>
      <c r="S29" s="41">
        <f>IF(OR($A29="",R29&lt;MIN_OBS_ROLL),"",(SUMPRODUCT(Q5:Q28,N5:N28,P5:P28)/R29-SUMPRODUCT(Q5:Q28,N5:N28)/R29*SUMPRODUCT(Q5:Q28,P5:P28)/R29)*R29/(R29-1))</f>
        <v/>
      </c>
      <c r="T29" s="38">
        <f>SUM(O5:O28)</f>
        <v/>
      </c>
      <c r="U29" s="41">
        <f>IF(OR($A29="",T29&lt;MIN_OBS_ROLL),"",SUMPRODUCT(O5:O28,(P5:P28-SUMPRODUCT(O5:O28,P5:P28)/T29)^2)/(T29-1))</f>
        <v/>
      </c>
      <c r="V29" s="40">
        <f>IF(OR(S29="",U29=""),"",S29/U29)</f>
        <v/>
      </c>
      <c r="W29" s="40">
        <f>IF(AND(ISNUMBER(K29),ISNUMBER(L29),ISNUMBER(V29)),K29-V29*L29,"")</f>
        <v/>
      </c>
      <c r="X29" s="40">
        <f>IF(OR($A29="",NOT(ISNUMBER(Datos!H29)),NOT(ISNUMBER(Datos!H28))),"",LN(Datos!H29)-LN(Datos!H28))</f>
        <v/>
      </c>
      <c r="Y29" s="38">
        <f>IF(ISNUMBER(W29),1,0)</f>
        <v/>
      </c>
      <c r="Z29" s="40">
        <f>IF(Y29=1,W29,0)</f>
        <v/>
      </c>
      <c r="AA29" s="38">
        <f>IF(ISNUMBER(X29),1,0)</f>
        <v/>
      </c>
      <c r="AB29" s="40">
        <f>IF(AA29=1,X29,0)</f>
        <v/>
      </c>
      <c r="AC29" s="38">
        <f>Y29*AA29</f>
        <v/>
      </c>
      <c r="AD29" s="38">
        <f>SUM(AC5:AC28)</f>
        <v/>
      </c>
      <c r="AE29" s="41">
        <f>IF(OR($A29="",AD29&lt;MIN_OBS_ROLL),"",(SUMPRODUCT(AC5:AC28,Z5:Z28,AB5:AB28)/AD29-SUMPRODUCT(AC5:AC28,Z5:Z28)/AD29*SUMPRODUCT(AC5:AC28,AB5:AB28)/AD29)*AD29/(AD29-1))</f>
        <v/>
      </c>
      <c r="AF29" s="38">
        <f>SUM(AA5:AA28)</f>
        <v/>
      </c>
      <c r="AG29" s="41">
        <f>IF(OR($A29="",AF29&lt;MIN_OBS_ROLL),"",SUMPRODUCT(AA5:AA28,(AB5:AB28-SUMPRODUCT(AA5:AA28,AB5:AB28)/AF29)^2)/(AF29-1))</f>
        <v/>
      </c>
      <c r="AH29" s="38">
        <f>SUM(Y5:Y28)</f>
        <v/>
      </c>
      <c r="AI29" s="40">
        <f>IF(OR($A29="",AH29&lt;MIN_OBS_ROLL),"",SUMPRODUCT(Y5:Y28,Z5:Z28)/AH29)</f>
        <v/>
      </c>
      <c r="AJ29" s="40">
        <f>IF(OR($A29="",AF29&lt;MIN_OBS_ROLL),"",SUMPRODUCT(AA5:AA28,AB5:AB28)/AF29)</f>
        <v/>
      </c>
      <c r="AK29" s="40">
        <f>IF(OR(AE29="",AG29=""),"",AE29/AG29)</f>
        <v/>
      </c>
      <c r="AL29" s="40">
        <f>IF(OR(AI29="",AK29="",AJ29=""),"",AI29-AK29*AJ29)</f>
        <v/>
      </c>
      <c r="AM29" s="40">
        <f>IF(AND(ISNUMBER(W29),ISNUMBER(X29),ISNUMBER(AK29),ISNUMBER(AL29)),W29-(AL29+AK29*X29),"")</f>
        <v/>
      </c>
      <c r="AN29" s="38">
        <f>IF(ISNUMBER(AM29),1,0)</f>
        <v/>
      </c>
      <c r="AO29" s="40">
        <f>IF(AN29=1,AM29,0)</f>
        <v/>
      </c>
      <c r="AP29" s="40">
        <f>IF(SUM(AN27:AN29)=3,SUM(AO27:AO29),"")</f>
        <v/>
      </c>
      <c r="AQ29" s="38">
        <f>IF(ISNUMBER(AP29),1,0)</f>
        <v/>
      </c>
      <c r="AR29" s="40">
        <f>IF(AQ29=1,AP29,0)</f>
        <v/>
      </c>
      <c r="AS29" s="38">
        <f>SUM(AQ$5:AQ29)</f>
        <v/>
      </c>
      <c r="AT29" s="40">
        <f>IF(AS29&gt;=MIN_OBS_Z,SUMPRODUCT(AQ$5:AQ29,AR$5:AR29)/AS29,"")</f>
        <v/>
      </c>
      <c r="AU29" s="40">
        <f>IF(AS29&gt;=MIN_OBS_Z,SQRT(SUMPRODUCT(AQ$5:AQ29,(AR$5:AR29-AT29)^2)/(AS29-1)),"")</f>
        <v/>
      </c>
      <c r="AV29" s="40">
        <f>IF(AND(AQ29=1,ISNUMBER(AT29)),MAX(-Z_CLIP,MIN(Z_CLIP,(AR29-AT29)/AU29)),"")</f>
        <v/>
      </c>
      <c r="AW29" s="40">
        <f>IF(ISNUMBER(AV29),-AV29,"")</f>
        <v/>
      </c>
      <c r="AX29" s="40">
        <f>IF(ISNUMBER(AW29),1+AMPLITUD*TANH(AW29),"")</f>
        <v/>
      </c>
      <c r="AY29" s="40">
        <f>IF($A29="","",IF(COUNT(AX27:AX29)&gt;0,AVERAGE(AX27:AX29),""))</f>
        <v/>
      </c>
      <c r="AZ29" s="40">
        <f>IF(ISNUMBER(AY29),AY29-1,"")</f>
        <v/>
      </c>
      <c r="BA29" s="40">
        <f>IF(AND(ISNUMBER(AZ28),ISNUMBER(W29)),AZ28*W_BANCOS*W29,"")</f>
        <v/>
      </c>
      <c r="BB29" s="40">
        <f>IF(AND(ISNUMBER(AZ28),ISNUMBER(AZ27)),ABS(AZ28-AZ27)*W_BANCOS*COSTO,0)</f>
        <v/>
      </c>
      <c r="BC29" s="40">
        <f>IF(ISNUMBER(BA29),BA29-BB29,"")</f>
        <v/>
      </c>
      <c r="BD29" s="42">
        <f>IF(ISNUMBER(BC29),IF(A29&lt;=FECHA_ERA,"A","B"),"")</f>
        <v/>
      </c>
      <c r="BE29" s="40">
        <f>IF(BD29="A",BC29,"")</f>
        <v/>
      </c>
      <c r="BF29" s="40">
        <f>IF(BD29="B",BC29,"")</f>
        <v/>
      </c>
      <c r="BG29" s="38">
        <f>IF(AND(ISNUMBER(BC29),ISNUMBER(A29)),IF(A29&gt;=INICIO_VIVO,1,0),0)</f>
        <v/>
      </c>
      <c r="BH29" s="40">
        <f>IF(BG29=1,BC29,"")</f>
        <v/>
      </c>
      <c r="BI29" s="38">
        <f>IF(ISNUMBER(AY29),ROW(),0)</f>
        <v/>
      </c>
      <c r="BJ29" s="43">
        <f>IF(ISNUMBER(BC29),SUM(BC$5:BC29)*10000,NA())</f>
        <v/>
      </c>
      <c r="BK29" s="43">
        <f>IF(BG29=1,SUM(BH$5:BH29)*10000,NA())</f>
        <v/>
      </c>
      <c r="BL29" s="44">
        <f>IF(ISNUMBER(AY29),AY29,NA())</f>
        <v/>
      </c>
    </row>
    <row r="30">
      <c r="A30" s="36">
        <f>IF(Datos!A30="","",Datos!A30)</f>
        <v/>
      </c>
      <c r="B30" s="37">
        <f>IF(OR($A30="",NOT(ISNUMBER(Datos!B30)),NOT(ISNUMBER(Datos!B29))),"",Datos!B30/Datos!B29-1)</f>
        <v/>
      </c>
      <c r="C30" s="37">
        <f>IF(OR($A30="",NOT(ISNUMBER(Datos!C30)),NOT(ISNUMBER(Datos!C29))),"",Datos!C30/Datos!C29-1)</f>
        <v/>
      </c>
      <c r="D30" s="37">
        <f>IF(OR($A30="",NOT(ISNUMBER(Datos!D30)),NOT(ISNUMBER(Datos!D29))),"",Datos!D30/Datos!D29-1)</f>
        <v/>
      </c>
      <c r="E30" s="37">
        <f>IF(OR($A30="",NOT(ISNUMBER(Datos!E30)),NOT(ISNUMBER(Datos!E29))),"",Datos!E30/Datos!E29-1)</f>
        <v/>
      </c>
      <c r="F30" s="38">
        <f>IF($A30="","",COUNT(B30:E30))</f>
        <v/>
      </c>
      <c r="G30" s="37">
        <f>IF($A30="","",IF(F30&gt;=MIN_BANCOS,AVERAGE(B30:E30),""))</f>
        <v/>
      </c>
      <c r="H30" s="37">
        <f>IF(OR($A30="",NOT(ISNUMBER(Datos!F30)),NOT(ISNUMBER(Datos!F29))),"",Datos!F30/Datos!F29-1)</f>
        <v/>
      </c>
      <c r="I30" s="39">
        <f>IF($A30="","",IF(ISNUMBER(Datos!G30),Datos!G30,I29))</f>
        <v/>
      </c>
      <c r="J30" s="40">
        <f>IF($A30="","",IF(ISNUMBER(I29),LN(1+I29/100/12),0))</f>
        <v/>
      </c>
      <c r="K30" s="40">
        <f>IF(ISNUMBER(G30),LN(1+G30)-J30,"")</f>
        <v/>
      </c>
      <c r="L30" s="40">
        <f>IF(ISNUMBER(H30),LN(1+H30)-J30,"")</f>
        <v/>
      </c>
      <c r="M30" s="38">
        <f>IF(ISNUMBER(K30),1,0)</f>
        <v/>
      </c>
      <c r="N30" s="40">
        <f>IF(M30=1,K30,0)</f>
        <v/>
      </c>
      <c r="O30" s="38">
        <f>IF(ISNUMBER(L30),1,0)</f>
        <v/>
      </c>
      <c r="P30" s="40">
        <f>IF(O30=1,L30,0)</f>
        <v/>
      </c>
      <c r="Q30" s="38">
        <f>M30*O30</f>
        <v/>
      </c>
      <c r="R30" s="38">
        <f>SUM(Q5:Q29)</f>
        <v/>
      </c>
      <c r="S30" s="41">
        <f>IF(OR($A30="",R30&lt;MIN_OBS_ROLL),"",(SUMPRODUCT(Q5:Q29,N5:N29,P5:P29)/R30-SUMPRODUCT(Q5:Q29,N5:N29)/R30*SUMPRODUCT(Q5:Q29,P5:P29)/R30)*R30/(R30-1))</f>
        <v/>
      </c>
      <c r="T30" s="38">
        <f>SUM(O5:O29)</f>
        <v/>
      </c>
      <c r="U30" s="41">
        <f>IF(OR($A30="",T30&lt;MIN_OBS_ROLL),"",SUMPRODUCT(O5:O29,(P5:P29-SUMPRODUCT(O5:O29,P5:P29)/T30)^2)/(T30-1))</f>
        <v/>
      </c>
      <c r="V30" s="40">
        <f>IF(OR(S30="",U30=""),"",S30/U30)</f>
        <v/>
      </c>
      <c r="W30" s="40">
        <f>IF(AND(ISNUMBER(K30),ISNUMBER(L30),ISNUMBER(V30)),K30-V30*L30,"")</f>
        <v/>
      </c>
      <c r="X30" s="40">
        <f>IF(OR($A30="",NOT(ISNUMBER(Datos!H30)),NOT(ISNUMBER(Datos!H29))),"",LN(Datos!H30)-LN(Datos!H29))</f>
        <v/>
      </c>
      <c r="Y30" s="38">
        <f>IF(ISNUMBER(W30),1,0)</f>
        <v/>
      </c>
      <c r="Z30" s="40">
        <f>IF(Y30=1,W30,0)</f>
        <v/>
      </c>
      <c r="AA30" s="38">
        <f>IF(ISNUMBER(X30),1,0)</f>
        <v/>
      </c>
      <c r="AB30" s="40">
        <f>IF(AA30=1,X30,0)</f>
        <v/>
      </c>
      <c r="AC30" s="38">
        <f>Y30*AA30</f>
        <v/>
      </c>
      <c r="AD30" s="38">
        <f>SUM(AC5:AC29)</f>
        <v/>
      </c>
      <c r="AE30" s="41">
        <f>IF(OR($A30="",AD30&lt;MIN_OBS_ROLL),"",(SUMPRODUCT(AC5:AC29,Z5:Z29,AB5:AB29)/AD30-SUMPRODUCT(AC5:AC29,Z5:Z29)/AD30*SUMPRODUCT(AC5:AC29,AB5:AB29)/AD30)*AD30/(AD30-1))</f>
        <v/>
      </c>
      <c r="AF30" s="38">
        <f>SUM(AA5:AA29)</f>
        <v/>
      </c>
      <c r="AG30" s="41">
        <f>IF(OR($A30="",AF30&lt;MIN_OBS_ROLL),"",SUMPRODUCT(AA5:AA29,(AB5:AB29-SUMPRODUCT(AA5:AA29,AB5:AB29)/AF30)^2)/(AF30-1))</f>
        <v/>
      </c>
      <c r="AH30" s="38">
        <f>SUM(Y5:Y29)</f>
        <v/>
      </c>
      <c r="AI30" s="40">
        <f>IF(OR($A30="",AH30&lt;MIN_OBS_ROLL),"",SUMPRODUCT(Y5:Y29,Z5:Z29)/AH30)</f>
        <v/>
      </c>
      <c r="AJ30" s="40">
        <f>IF(OR($A30="",AF30&lt;MIN_OBS_ROLL),"",SUMPRODUCT(AA5:AA29,AB5:AB29)/AF30)</f>
        <v/>
      </c>
      <c r="AK30" s="40">
        <f>IF(OR(AE30="",AG30=""),"",AE30/AG30)</f>
        <v/>
      </c>
      <c r="AL30" s="40">
        <f>IF(OR(AI30="",AK30="",AJ30=""),"",AI30-AK30*AJ30)</f>
        <v/>
      </c>
      <c r="AM30" s="40">
        <f>IF(AND(ISNUMBER(W30),ISNUMBER(X30),ISNUMBER(AK30),ISNUMBER(AL30)),W30-(AL30+AK30*X30),"")</f>
        <v/>
      </c>
      <c r="AN30" s="38">
        <f>IF(ISNUMBER(AM30),1,0)</f>
        <v/>
      </c>
      <c r="AO30" s="40">
        <f>IF(AN30=1,AM30,0)</f>
        <v/>
      </c>
      <c r="AP30" s="40">
        <f>IF(SUM(AN28:AN30)=3,SUM(AO28:AO30),"")</f>
        <v/>
      </c>
      <c r="AQ30" s="38">
        <f>IF(ISNUMBER(AP30),1,0)</f>
        <v/>
      </c>
      <c r="AR30" s="40">
        <f>IF(AQ30=1,AP30,0)</f>
        <v/>
      </c>
      <c r="AS30" s="38">
        <f>SUM(AQ$5:AQ30)</f>
        <v/>
      </c>
      <c r="AT30" s="40">
        <f>IF(AS30&gt;=MIN_OBS_Z,SUMPRODUCT(AQ$5:AQ30,AR$5:AR30)/AS30,"")</f>
        <v/>
      </c>
      <c r="AU30" s="40">
        <f>IF(AS30&gt;=MIN_OBS_Z,SQRT(SUMPRODUCT(AQ$5:AQ30,(AR$5:AR30-AT30)^2)/(AS30-1)),"")</f>
        <v/>
      </c>
      <c r="AV30" s="40">
        <f>IF(AND(AQ30=1,ISNUMBER(AT30)),MAX(-Z_CLIP,MIN(Z_CLIP,(AR30-AT30)/AU30)),"")</f>
        <v/>
      </c>
      <c r="AW30" s="40">
        <f>IF(ISNUMBER(AV30),-AV30,"")</f>
        <v/>
      </c>
      <c r="AX30" s="40">
        <f>IF(ISNUMBER(AW30),1+AMPLITUD*TANH(AW30),"")</f>
        <v/>
      </c>
      <c r="AY30" s="40">
        <f>IF($A30="","",IF(COUNT(AX28:AX30)&gt;0,AVERAGE(AX28:AX30),""))</f>
        <v/>
      </c>
      <c r="AZ30" s="40">
        <f>IF(ISNUMBER(AY30),AY30-1,"")</f>
        <v/>
      </c>
      <c r="BA30" s="40">
        <f>IF(AND(ISNUMBER(AZ29),ISNUMBER(W30)),AZ29*W_BANCOS*W30,"")</f>
        <v/>
      </c>
      <c r="BB30" s="40">
        <f>IF(AND(ISNUMBER(AZ29),ISNUMBER(AZ28)),ABS(AZ29-AZ28)*W_BANCOS*COSTO,0)</f>
        <v/>
      </c>
      <c r="BC30" s="40">
        <f>IF(ISNUMBER(BA30),BA30-BB30,"")</f>
        <v/>
      </c>
      <c r="BD30" s="42">
        <f>IF(ISNUMBER(BC30),IF(A30&lt;=FECHA_ERA,"A","B"),"")</f>
        <v/>
      </c>
      <c r="BE30" s="40">
        <f>IF(BD30="A",BC30,"")</f>
        <v/>
      </c>
      <c r="BF30" s="40">
        <f>IF(BD30="B",BC30,"")</f>
        <v/>
      </c>
      <c r="BG30" s="38">
        <f>IF(AND(ISNUMBER(BC30),ISNUMBER(A30)),IF(A30&gt;=INICIO_VIVO,1,0),0)</f>
        <v/>
      </c>
      <c r="BH30" s="40">
        <f>IF(BG30=1,BC30,"")</f>
        <v/>
      </c>
      <c r="BI30" s="38">
        <f>IF(ISNUMBER(AY30),ROW(),0)</f>
        <v/>
      </c>
      <c r="BJ30" s="43">
        <f>IF(ISNUMBER(BC30),SUM(BC$5:BC30)*10000,NA())</f>
        <v/>
      </c>
      <c r="BK30" s="43">
        <f>IF(BG30=1,SUM(BH$5:BH30)*10000,NA())</f>
        <v/>
      </c>
      <c r="BL30" s="44">
        <f>IF(ISNUMBER(AY30),AY30,NA())</f>
        <v/>
      </c>
    </row>
    <row r="31">
      <c r="A31" s="36">
        <f>IF(Datos!A31="","",Datos!A31)</f>
        <v/>
      </c>
      <c r="B31" s="37">
        <f>IF(OR($A31="",NOT(ISNUMBER(Datos!B31)),NOT(ISNUMBER(Datos!B30))),"",Datos!B31/Datos!B30-1)</f>
        <v/>
      </c>
      <c r="C31" s="37">
        <f>IF(OR($A31="",NOT(ISNUMBER(Datos!C31)),NOT(ISNUMBER(Datos!C30))),"",Datos!C31/Datos!C30-1)</f>
        <v/>
      </c>
      <c r="D31" s="37">
        <f>IF(OR($A31="",NOT(ISNUMBER(Datos!D31)),NOT(ISNUMBER(Datos!D30))),"",Datos!D31/Datos!D30-1)</f>
        <v/>
      </c>
      <c r="E31" s="37">
        <f>IF(OR($A31="",NOT(ISNUMBER(Datos!E31)),NOT(ISNUMBER(Datos!E30))),"",Datos!E31/Datos!E30-1)</f>
        <v/>
      </c>
      <c r="F31" s="38">
        <f>IF($A31="","",COUNT(B31:E31))</f>
        <v/>
      </c>
      <c r="G31" s="37">
        <f>IF($A31="","",IF(F31&gt;=MIN_BANCOS,AVERAGE(B31:E31),""))</f>
        <v/>
      </c>
      <c r="H31" s="37">
        <f>IF(OR($A31="",NOT(ISNUMBER(Datos!F31)),NOT(ISNUMBER(Datos!F30))),"",Datos!F31/Datos!F30-1)</f>
        <v/>
      </c>
      <c r="I31" s="39">
        <f>IF($A31="","",IF(ISNUMBER(Datos!G31),Datos!G31,I30))</f>
        <v/>
      </c>
      <c r="J31" s="40">
        <f>IF($A31="","",IF(ISNUMBER(I30),LN(1+I30/100/12),0))</f>
        <v/>
      </c>
      <c r="K31" s="40">
        <f>IF(ISNUMBER(G31),LN(1+G31)-J31,"")</f>
        <v/>
      </c>
      <c r="L31" s="40">
        <f>IF(ISNUMBER(H31),LN(1+H31)-J31,"")</f>
        <v/>
      </c>
      <c r="M31" s="38">
        <f>IF(ISNUMBER(K31),1,0)</f>
        <v/>
      </c>
      <c r="N31" s="40">
        <f>IF(M31=1,K31,0)</f>
        <v/>
      </c>
      <c r="O31" s="38">
        <f>IF(ISNUMBER(L31),1,0)</f>
        <v/>
      </c>
      <c r="P31" s="40">
        <f>IF(O31=1,L31,0)</f>
        <v/>
      </c>
      <c r="Q31" s="38">
        <f>M31*O31</f>
        <v/>
      </c>
      <c r="R31" s="38">
        <f>SUM(Q5:Q30)</f>
        <v/>
      </c>
      <c r="S31" s="41">
        <f>IF(OR($A31="",R31&lt;MIN_OBS_ROLL),"",(SUMPRODUCT(Q5:Q30,N5:N30,P5:P30)/R31-SUMPRODUCT(Q5:Q30,N5:N30)/R31*SUMPRODUCT(Q5:Q30,P5:P30)/R31)*R31/(R31-1))</f>
        <v/>
      </c>
      <c r="T31" s="38">
        <f>SUM(O5:O30)</f>
        <v/>
      </c>
      <c r="U31" s="41">
        <f>IF(OR($A31="",T31&lt;MIN_OBS_ROLL),"",SUMPRODUCT(O5:O30,(P5:P30-SUMPRODUCT(O5:O30,P5:P30)/T31)^2)/(T31-1))</f>
        <v/>
      </c>
      <c r="V31" s="40">
        <f>IF(OR(S31="",U31=""),"",S31/U31)</f>
        <v/>
      </c>
      <c r="W31" s="40">
        <f>IF(AND(ISNUMBER(K31),ISNUMBER(L31),ISNUMBER(V31)),K31-V31*L31,"")</f>
        <v/>
      </c>
      <c r="X31" s="40">
        <f>IF(OR($A31="",NOT(ISNUMBER(Datos!H31)),NOT(ISNUMBER(Datos!H30))),"",LN(Datos!H31)-LN(Datos!H30))</f>
        <v/>
      </c>
      <c r="Y31" s="38">
        <f>IF(ISNUMBER(W31),1,0)</f>
        <v/>
      </c>
      <c r="Z31" s="40">
        <f>IF(Y31=1,W31,0)</f>
        <v/>
      </c>
      <c r="AA31" s="38">
        <f>IF(ISNUMBER(X31),1,0)</f>
        <v/>
      </c>
      <c r="AB31" s="40">
        <f>IF(AA31=1,X31,0)</f>
        <v/>
      </c>
      <c r="AC31" s="38">
        <f>Y31*AA31</f>
        <v/>
      </c>
      <c r="AD31" s="38">
        <f>SUM(AC5:AC30)</f>
        <v/>
      </c>
      <c r="AE31" s="41">
        <f>IF(OR($A31="",AD31&lt;MIN_OBS_ROLL),"",(SUMPRODUCT(AC5:AC30,Z5:Z30,AB5:AB30)/AD31-SUMPRODUCT(AC5:AC30,Z5:Z30)/AD31*SUMPRODUCT(AC5:AC30,AB5:AB30)/AD31)*AD31/(AD31-1))</f>
        <v/>
      </c>
      <c r="AF31" s="38">
        <f>SUM(AA5:AA30)</f>
        <v/>
      </c>
      <c r="AG31" s="41">
        <f>IF(OR($A31="",AF31&lt;MIN_OBS_ROLL),"",SUMPRODUCT(AA5:AA30,(AB5:AB30-SUMPRODUCT(AA5:AA30,AB5:AB30)/AF31)^2)/(AF31-1))</f>
        <v/>
      </c>
      <c r="AH31" s="38">
        <f>SUM(Y5:Y30)</f>
        <v/>
      </c>
      <c r="AI31" s="40">
        <f>IF(OR($A31="",AH31&lt;MIN_OBS_ROLL),"",SUMPRODUCT(Y5:Y30,Z5:Z30)/AH31)</f>
        <v/>
      </c>
      <c r="AJ31" s="40">
        <f>IF(OR($A31="",AF31&lt;MIN_OBS_ROLL),"",SUMPRODUCT(AA5:AA30,AB5:AB30)/AF31)</f>
        <v/>
      </c>
      <c r="AK31" s="40">
        <f>IF(OR(AE31="",AG31=""),"",AE31/AG31)</f>
        <v/>
      </c>
      <c r="AL31" s="40">
        <f>IF(OR(AI31="",AK31="",AJ31=""),"",AI31-AK31*AJ31)</f>
        <v/>
      </c>
      <c r="AM31" s="40">
        <f>IF(AND(ISNUMBER(W31),ISNUMBER(X31),ISNUMBER(AK31),ISNUMBER(AL31)),W31-(AL31+AK31*X31),"")</f>
        <v/>
      </c>
      <c r="AN31" s="38">
        <f>IF(ISNUMBER(AM31),1,0)</f>
        <v/>
      </c>
      <c r="AO31" s="40">
        <f>IF(AN31=1,AM31,0)</f>
        <v/>
      </c>
      <c r="AP31" s="40">
        <f>IF(SUM(AN29:AN31)=3,SUM(AO29:AO31),"")</f>
        <v/>
      </c>
      <c r="AQ31" s="38">
        <f>IF(ISNUMBER(AP31),1,0)</f>
        <v/>
      </c>
      <c r="AR31" s="40">
        <f>IF(AQ31=1,AP31,0)</f>
        <v/>
      </c>
      <c r="AS31" s="38">
        <f>SUM(AQ$5:AQ31)</f>
        <v/>
      </c>
      <c r="AT31" s="40">
        <f>IF(AS31&gt;=MIN_OBS_Z,SUMPRODUCT(AQ$5:AQ31,AR$5:AR31)/AS31,"")</f>
        <v/>
      </c>
      <c r="AU31" s="40">
        <f>IF(AS31&gt;=MIN_OBS_Z,SQRT(SUMPRODUCT(AQ$5:AQ31,(AR$5:AR31-AT31)^2)/(AS31-1)),"")</f>
        <v/>
      </c>
      <c r="AV31" s="40">
        <f>IF(AND(AQ31=1,ISNUMBER(AT31)),MAX(-Z_CLIP,MIN(Z_CLIP,(AR31-AT31)/AU31)),"")</f>
        <v/>
      </c>
      <c r="AW31" s="40">
        <f>IF(ISNUMBER(AV31),-AV31,"")</f>
        <v/>
      </c>
      <c r="AX31" s="40">
        <f>IF(ISNUMBER(AW31),1+AMPLITUD*TANH(AW31),"")</f>
        <v/>
      </c>
      <c r="AY31" s="40">
        <f>IF($A31="","",IF(COUNT(AX29:AX31)&gt;0,AVERAGE(AX29:AX31),""))</f>
        <v/>
      </c>
      <c r="AZ31" s="40">
        <f>IF(ISNUMBER(AY31),AY31-1,"")</f>
        <v/>
      </c>
      <c r="BA31" s="40">
        <f>IF(AND(ISNUMBER(AZ30),ISNUMBER(W31)),AZ30*W_BANCOS*W31,"")</f>
        <v/>
      </c>
      <c r="BB31" s="40">
        <f>IF(AND(ISNUMBER(AZ30),ISNUMBER(AZ29)),ABS(AZ30-AZ29)*W_BANCOS*COSTO,0)</f>
        <v/>
      </c>
      <c r="BC31" s="40">
        <f>IF(ISNUMBER(BA31),BA31-BB31,"")</f>
        <v/>
      </c>
      <c r="BD31" s="42">
        <f>IF(ISNUMBER(BC31),IF(A31&lt;=FECHA_ERA,"A","B"),"")</f>
        <v/>
      </c>
      <c r="BE31" s="40">
        <f>IF(BD31="A",BC31,"")</f>
        <v/>
      </c>
      <c r="BF31" s="40">
        <f>IF(BD31="B",BC31,"")</f>
        <v/>
      </c>
      <c r="BG31" s="38">
        <f>IF(AND(ISNUMBER(BC31),ISNUMBER(A31)),IF(A31&gt;=INICIO_VIVO,1,0),0)</f>
        <v/>
      </c>
      <c r="BH31" s="40">
        <f>IF(BG31=1,BC31,"")</f>
        <v/>
      </c>
      <c r="BI31" s="38">
        <f>IF(ISNUMBER(AY31),ROW(),0)</f>
        <v/>
      </c>
      <c r="BJ31" s="43">
        <f>IF(ISNUMBER(BC31),SUM(BC$5:BC31)*10000,NA())</f>
        <v/>
      </c>
      <c r="BK31" s="43">
        <f>IF(BG31=1,SUM(BH$5:BH31)*10000,NA())</f>
        <v/>
      </c>
      <c r="BL31" s="44">
        <f>IF(ISNUMBER(AY31),AY31,NA())</f>
        <v/>
      </c>
    </row>
    <row r="32">
      <c r="A32" s="36">
        <f>IF(Datos!A32="","",Datos!A32)</f>
        <v/>
      </c>
      <c r="B32" s="37">
        <f>IF(OR($A32="",NOT(ISNUMBER(Datos!B32)),NOT(ISNUMBER(Datos!B31))),"",Datos!B32/Datos!B31-1)</f>
        <v/>
      </c>
      <c r="C32" s="37">
        <f>IF(OR($A32="",NOT(ISNUMBER(Datos!C32)),NOT(ISNUMBER(Datos!C31))),"",Datos!C32/Datos!C31-1)</f>
        <v/>
      </c>
      <c r="D32" s="37">
        <f>IF(OR($A32="",NOT(ISNUMBER(Datos!D32)),NOT(ISNUMBER(Datos!D31))),"",Datos!D32/Datos!D31-1)</f>
        <v/>
      </c>
      <c r="E32" s="37">
        <f>IF(OR($A32="",NOT(ISNUMBER(Datos!E32)),NOT(ISNUMBER(Datos!E31))),"",Datos!E32/Datos!E31-1)</f>
        <v/>
      </c>
      <c r="F32" s="38">
        <f>IF($A32="","",COUNT(B32:E32))</f>
        <v/>
      </c>
      <c r="G32" s="37">
        <f>IF($A32="","",IF(F32&gt;=MIN_BANCOS,AVERAGE(B32:E32),""))</f>
        <v/>
      </c>
      <c r="H32" s="37">
        <f>IF(OR($A32="",NOT(ISNUMBER(Datos!F32)),NOT(ISNUMBER(Datos!F31))),"",Datos!F32/Datos!F31-1)</f>
        <v/>
      </c>
      <c r="I32" s="39">
        <f>IF($A32="","",IF(ISNUMBER(Datos!G32),Datos!G32,I31))</f>
        <v/>
      </c>
      <c r="J32" s="40">
        <f>IF($A32="","",IF(ISNUMBER(I31),LN(1+I31/100/12),0))</f>
        <v/>
      </c>
      <c r="K32" s="40">
        <f>IF(ISNUMBER(G32),LN(1+G32)-J32,"")</f>
        <v/>
      </c>
      <c r="L32" s="40">
        <f>IF(ISNUMBER(H32),LN(1+H32)-J32,"")</f>
        <v/>
      </c>
      <c r="M32" s="38">
        <f>IF(ISNUMBER(K32),1,0)</f>
        <v/>
      </c>
      <c r="N32" s="40">
        <f>IF(M32=1,K32,0)</f>
        <v/>
      </c>
      <c r="O32" s="38">
        <f>IF(ISNUMBER(L32),1,0)</f>
        <v/>
      </c>
      <c r="P32" s="40">
        <f>IF(O32=1,L32,0)</f>
        <v/>
      </c>
      <c r="Q32" s="38">
        <f>M32*O32</f>
        <v/>
      </c>
      <c r="R32" s="38">
        <f>SUM(Q5:Q31)</f>
        <v/>
      </c>
      <c r="S32" s="41">
        <f>IF(OR($A32="",R32&lt;MIN_OBS_ROLL),"",(SUMPRODUCT(Q5:Q31,N5:N31,P5:P31)/R32-SUMPRODUCT(Q5:Q31,N5:N31)/R32*SUMPRODUCT(Q5:Q31,P5:P31)/R32)*R32/(R32-1))</f>
        <v/>
      </c>
      <c r="T32" s="38">
        <f>SUM(O5:O31)</f>
        <v/>
      </c>
      <c r="U32" s="41">
        <f>IF(OR($A32="",T32&lt;MIN_OBS_ROLL),"",SUMPRODUCT(O5:O31,(P5:P31-SUMPRODUCT(O5:O31,P5:P31)/T32)^2)/(T32-1))</f>
        <v/>
      </c>
      <c r="V32" s="40">
        <f>IF(OR(S32="",U32=""),"",S32/U32)</f>
        <v/>
      </c>
      <c r="W32" s="40">
        <f>IF(AND(ISNUMBER(K32),ISNUMBER(L32),ISNUMBER(V32)),K32-V32*L32,"")</f>
        <v/>
      </c>
      <c r="X32" s="40">
        <f>IF(OR($A32="",NOT(ISNUMBER(Datos!H32)),NOT(ISNUMBER(Datos!H31))),"",LN(Datos!H32)-LN(Datos!H31))</f>
        <v/>
      </c>
      <c r="Y32" s="38">
        <f>IF(ISNUMBER(W32),1,0)</f>
        <v/>
      </c>
      <c r="Z32" s="40">
        <f>IF(Y32=1,W32,0)</f>
        <v/>
      </c>
      <c r="AA32" s="38">
        <f>IF(ISNUMBER(X32),1,0)</f>
        <v/>
      </c>
      <c r="AB32" s="40">
        <f>IF(AA32=1,X32,0)</f>
        <v/>
      </c>
      <c r="AC32" s="38">
        <f>Y32*AA32</f>
        <v/>
      </c>
      <c r="AD32" s="38">
        <f>SUM(AC5:AC31)</f>
        <v/>
      </c>
      <c r="AE32" s="41">
        <f>IF(OR($A32="",AD32&lt;MIN_OBS_ROLL),"",(SUMPRODUCT(AC5:AC31,Z5:Z31,AB5:AB31)/AD32-SUMPRODUCT(AC5:AC31,Z5:Z31)/AD32*SUMPRODUCT(AC5:AC31,AB5:AB31)/AD32)*AD32/(AD32-1))</f>
        <v/>
      </c>
      <c r="AF32" s="38">
        <f>SUM(AA5:AA31)</f>
        <v/>
      </c>
      <c r="AG32" s="41">
        <f>IF(OR($A32="",AF32&lt;MIN_OBS_ROLL),"",SUMPRODUCT(AA5:AA31,(AB5:AB31-SUMPRODUCT(AA5:AA31,AB5:AB31)/AF32)^2)/(AF32-1))</f>
        <v/>
      </c>
      <c r="AH32" s="38">
        <f>SUM(Y5:Y31)</f>
        <v/>
      </c>
      <c r="AI32" s="40">
        <f>IF(OR($A32="",AH32&lt;MIN_OBS_ROLL),"",SUMPRODUCT(Y5:Y31,Z5:Z31)/AH32)</f>
        <v/>
      </c>
      <c r="AJ32" s="40">
        <f>IF(OR($A32="",AF32&lt;MIN_OBS_ROLL),"",SUMPRODUCT(AA5:AA31,AB5:AB31)/AF32)</f>
        <v/>
      </c>
      <c r="AK32" s="40">
        <f>IF(OR(AE32="",AG32=""),"",AE32/AG32)</f>
        <v/>
      </c>
      <c r="AL32" s="40">
        <f>IF(OR(AI32="",AK32="",AJ32=""),"",AI32-AK32*AJ32)</f>
        <v/>
      </c>
      <c r="AM32" s="40">
        <f>IF(AND(ISNUMBER(W32),ISNUMBER(X32),ISNUMBER(AK32),ISNUMBER(AL32)),W32-(AL32+AK32*X32),"")</f>
        <v/>
      </c>
      <c r="AN32" s="38">
        <f>IF(ISNUMBER(AM32),1,0)</f>
        <v/>
      </c>
      <c r="AO32" s="40">
        <f>IF(AN32=1,AM32,0)</f>
        <v/>
      </c>
      <c r="AP32" s="40">
        <f>IF(SUM(AN30:AN32)=3,SUM(AO30:AO32),"")</f>
        <v/>
      </c>
      <c r="AQ32" s="38">
        <f>IF(ISNUMBER(AP32),1,0)</f>
        <v/>
      </c>
      <c r="AR32" s="40">
        <f>IF(AQ32=1,AP32,0)</f>
        <v/>
      </c>
      <c r="AS32" s="38">
        <f>SUM(AQ$5:AQ32)</f>
        <v/>
      </c>
      <c r="AT32" s="40">
        <f>IF(AS32&gt;=MIN_OBS_Z,SUMPRODUCT(AQ$5:AQ32,AR$5:AR32)/AS32,"")</f>
        <v/>
      </c>
      <c r="AU32" s="40">
        <f>IF(AS32&gt;=MIN_OBS_Z,SQRT(SUMPRODUCT(AQ$5:AQ32,(AR$5:AR32-AT32)^2)/(AS32-1)),"")</f>
        <v/>
      </c>
      <c r="AV32" s="40">
        <f>IF(AND(AQ32=1,ISNUMBER(AT32)),MAX(-Z_CLIP,MIN(Z_CLIP,(AR32-AT32)/AU32)),"")</f>
        <v/>
      </c>
      <c r="AW32" s="40">
        <f>IF(ISNUMBER(AV32),-AV32,"")</f>
        <v/>
      </c>
      <c r="AX32" s="40">
        <f>IF(ISNUMBER(AW32),1+AMPLITUD*TANH(AW32),"")</f>
        <v/>
      </c>
      <c r="AY32" s="40">
        <f>IF($A32="","",IF(COUNT(AX30:AX32)&gt;0,AVERAGE(AX30:AX32),""))</f>
        <v/>
      </c>
      <c r="AZ32" s="40">
        <f>IF(ISNUMBER(AY32),AY32-1,"")</f>
        <v/>
      </c>
      <c r="BA32" s="40">
        <f>IF(AND(ISNUMBER(AZ31),ISNUMBER(W32)),AZ31*W_BANCOS*W32,"")</f>
        <v/>
      </c>
      <c r="BB32" s="40">
        <f>IF(AND(ISNUMBER(AZ31),ISNUMBER(AZ30)),ABS(AZ31-AZ30)*W_BANCOS*COSTO,0)</f>
        <v/>
      </c>
      <c r="BC32" s="40">
        <f>IF(ISNUMBER(BA32),BA32-BB32,"")</f>
        <v/>
      </c>
      <c r="BD32" s="42">
        <f>IF(ISNUMBER(BC32),IF(A32&lt;=FECHA_ERA,"A","B"),"")</f>
        <v/>
      </c>
      <c r="BE32" s="40">
        <f>IF(BD32="A",BC32,"")</f>
        <v/>
      </c>
      <c r="BF32" s="40">
        <f>IF(BD32="B",BC32,"")</f>
        <v/>
      </c>
      <c r="BG32" s="38">
        <f>IF(AND(ISNUMBER(BC32),ISNUMBER(A32)),IF(A32&gt;=INICIO_VIVO,1,0),0)</f>
        <v/>
      </c>
      <c r="BH32" s="40">
        <f>IF(BG32=1,BC32,"")</f>
        <v/>
      </c>
      <c r="BI32" s="38">
        <f>IF(ISNUMBER(AY32),ROW(),0)</f>
        <v/>
      </c>
      <c r="BJ32" s="43">
        <f>IF(ISNUMBER(BC32),SUM(BC$5:BC32)*10000,NA())</f>
        <v/>
      </c>
      <c r="BK32" s="43">
        <f>IF(BG32=1,SUM(BH$5:BH32)*10000,NA())</f>
        <v/>
      </c>
      <c r="BL32" s="44">
        <f>IF(ISNUMBER(AY32),AY32,NA())</f>
        <v/>
      </c>
    </row>
    <row r="33">
      <c r="A33" s="36">
        <f>IF(Datos!A33="","",Datos!A33)</f>
        <v/>
      </c>
      <c r="B33" s="37">
        <f>IF(OR($A33="",NOT(ISNUMBER(Datos!B33)),NOT(ISNUMBER(Datos!B32))),"",Datos!B33/Datos!B32-1)</f>
        <v/>
      </c>
      <c r="C33" s="37">
        <f>IF(OR($A33="",NOT(ISNUMBER(Datos!C33)),NOT(ISNUMBER(Datos!C32))),"",Datos!C33/Datos!C32-1)</f>
        <v/>
      </c>
      <c r="D33" s="37">
        <f>IF(OR($A33="",NOT(ISNUMBER(Datos!D33)),NOT(ISNUMBER(Datos!D32))),"",Datos!D33/Datos!D32-1)</f>
        <v/>
      </c>
      <c r="E33" s="37">
        <f>IF(OR($A33="",NOT(ISNUMBER(Datos!E33)),NOT(ISNUMBER(Datos!E32))),"",Datos!E33/Datos!E32-1)</f>
        <v/>
      </c>
      <c r="F33" s="38">
        <f>IF($A33="","",COUNT(B33:E33))</f>
        <v/>
      </c>
      <c r="G33" s="37">
        <f>IF($A33="","",IF(F33&gt;=MIN_BANCOS,AVERAGE(B33:E33),""))</f>
        <v/>
      </c>
      <c r="H33" s="37">
        <f>IF(OR($A33="",NOT(ISNUMBER(Datos!F33)),NOT(ISNUMBER(Datos!F32))),"",Datos!F33/Datos!F32-1)</f>
        <v/>
      </c>
      <c r="I33" s="39">
        <f>IF($A33="","",IF(ISNUMBER(Datos!G33),Datos!G33,I32))</f>
        <v/>
      </c>
      <c r="J33" s="40">
        <f>IF($A33="","",IF(ISNUMBER(I32),LN(1+I32/100/12),0))</f>
        <v/>
      </c>
      <c r="K33" s="40">
        <f>IF(ISNUMBER(G33),LN(1+G33)-J33,"")</f>
        <v/>
      </c>
      <c r="L33" s="40">
        <f>IF(ISNUMBER(H33),LN(1+H33)-J33,"")</f>
        <v/>
      </c>
      <c r="M33" s="38">
        <f>IF(ISNUMBER(K33),1,0)</f>
        <v/>
      </c>
      <c r="N33" s="40">
        <f>IF(M33=1,K33,0)</f>
        <v/>
      </c>
      <c r="O33" s="38">
        <f>IF(ISNUMBER(L33),1,0)</f>
        <v/>
      </c>
      <c r="P33" s="40">
        <f>IF(O33=1,L33,0)</f>
        <v/>
      </c>
      <c r="Q33" s="38">
        <f>M33*O33</f>
        <v/>
      </c>
      <c r="R33" s="38">
        <f>SUM(Q5:Q32)</f>
        <v/>
      </c>
      <c r="S33" s="41">
        <f>IF(OR($A33="",R33&lt;MIN_OBS_ROLL),"",(SUMPRODUCT(Q5:Q32,N5:N32,P5:P32)/R33-SUMPRODUCT(Q5:Q32,N5:N32)/R33*SUMPRODUCT(Q5:Q32,P5:P32)/R33)*R33/(R33-1))</f>
        <v/>
      </c>
      <c r="T33" s="38">
        <f>SUM(O5:O32)</f>
        <v/>
      </c>
      <c r="U33" s="41">
        <f>IF(OR($A33="",T33&lt;MIN_OBS_ROLL),"",SUMPRODUCT(O5:O32,(P5:P32-SUMPRODUCT(O5:O32,P5:P32)/T33)^2)/(T33-1))</f>
        <v/>
      </c>
      <c r="V33" s="40">
        <f>IF(OR(S33="",U33=""),"",S33/U33)</f>
        <v/>
      </c>
      <c r="W33" s="40">
        <f>IF(AND(ISNUMBER(K33),ISNUMBER(L33),ISNUMBER(V33)),K33-V33*L33,"")</f>
        <v/>
      </c>
      <c r="X33" s="40">
        <f>IF(OR($A33="",NOT(ISNUMBER(Datos!H33)),NOT(ISNUMBER(Datos!H32))),"",LN(Datos!H33)-LN(Datos!H32))</f>
        <v/>
      </c>
      <c r="Y33" s="38">
        <f>IF(ISNUMBER(W33),1,0)</f>
        <v/>
      </c>
      <c r="Z33" s="40">
        <f>IF(Y33=1,W33,0)</f>
        <v/>
      </c>
      <c r="AA33" s="38">
        <f>IF(ISNUMBER(X33),1,0)</f>
        <v/>
      </c>
      <c r="AB33" s="40">
        <f>IF(AA33=1,X33,0)</f>
        <v/>
      </c>
      <c r="AC33" s="38">
        <f>Y33*AA33</f>
        <v/>
      </c>
      <c r="AD33" s="38">
        <f>SUM(AC5:AC32)</f>
        <v/>
      </c>
      <c r="AE33" s="41">
        <f>IF(OR($A33="",AD33&lt;MIN_OBS_ROLL),"",(SUMPRODUCT(AC5:AC32,Z5:Z32,AB5:AB32)/AD33-SUMPRODUCT(AC5:AC32,Z5:Z32)/AD33*SUMPRODUCT(AC5:AC32,AB5:AB32)/AD33)*AD33/(AD33-1))</f>
        <v/>
      </c>
      <c r="AF33" s="38">
        <f>SUM(AA5:AA32)</f>
        <v/>
      </c>
      <c r="AG33" s="41">
        <f>IF(OR($A33="",AF33&lt;MIN_OBS_ROLL),"",SUMPRODUCT(AA5:AA32,(AB5:AB32-SUMPRODUCT(AA5:AA32,AB5:AB32)/AF33)^2)/(AF33-1))</f>
        <v/>
      </c>
      <c r="AH33" s="38">
        <f>SUM(Y5:Y32)</f>
        <v/>
      </c>
      <c r="AI33" s="40">
        <f>IF(OR($A33="",AH33&lt;MIN_OBS_ROLL),"",SUMPRODUCT(Y5:Y32,Z5:Z32)/AH33)</f>
        <v/>
      </c>
      <c r="AJ33" s="40">
        <f>IF(OR($A33="",AF33&lt;MIN_OBS_ROLL),"",SUMPRODUCT(AA5:AA32,AB5:AB32)/AF33)</f>
        <v/>
      </c>
      <c r="AK33" s="40">
        <f>IF(OR(AE33="",AG33=""),"",AE33/AG33)</f>
        <v/>
      </c>
      <c r="AL33" s="40">
        <f>IF(OR(AI33="",AK33="",AJ33=""),"",AI33-AK33*AJ33)</f>
        <v/>
      </c>
      <c r="AM33" s="40">
        <f>IF(AND(ISNUMBER(W33),ISNUMBER(X33),ISNUMBER(AK33),ISNUMBER(AL33)),W33-(AL33+AK33*X33),"")</f>
        <v/>
      </c>
      <c r="AN33" s="38">
        <f>IF(ISNUMBER(AM33),1,0)</f>
        <v/>
      </c>
      <c r="AO33" s="40">
        <f>IF(AN33=1,AM33,0)</f>
        <v/>
      </c>
      <c r="AP33" s="40">
        <f>IF(SUM(AN31:AN33)=3,SUM(AO31:AO33),"")</f>
        <v/>
      </c>
      <c r="AQ33" s="38">
        <f>IF(ISNUMBER(AP33),1,0)</f>
        <v/>
      </c>
      <c r="AR33" s="40">
        <f>IF(AQ33=1,AP33,0)</f>
        <v/>
      </c>
      <c r="AS33" s="38">
        <f>SUM(AQ$5:AQ33)</f>
        <v/>
      </c>
      <c r="AT33" s="40">
        <f>IF(AS33&gt;=MIN_OBS_Z,SUMPRODUCT(AQ$5:AQ33,AR$5:AR33)/AS33,"")</f>
        <v/>
      </c>
      <c r="AU33" s="40">
        <f>IF(AS33&gt;=MIN_OBS_Z,SQRT(SUMPRODUCT(AQ$5:AQ33,(AR$5:AR33-AT33)^2)/(AS33-1)),"")</f>
        <v/>
      </c>
      <c r="AV33" s="40">
        <f>IF(AND(AQ33=1,ISNUMBER(AT33)),MAX(-Z_CLIP,MIN(Z_CLIP,(AR33-AT33)/AU33)),"")</f>
        <v/>
      </c>
      <c r="AW33" s="40">
        <f>IF(ISNUMBER(AV33),-AV33,"")</f>
        <v/>
      </c>
      <c r="AX33" s="40">
        <f>IF(ISNUMBER(AW33),1+AMPLITUD*TANH(AW33),"")</f>
        <v/>
      </c>
      <c r="AY33" s="40">
        <f>IF($A33="","",IF(COUNT(AX31:AX33)&gt;0,AVERAGE(AX31:AX33),""))</f>
        <v/>
      </c>
      <c r="AZ33" s="40">
        <f>IF(ISNUMBER(AY33),AY33-1,"")</f>
        <v/>
      </c>
      <c r="BA33" s="40">
        <f>IF(AND(ISNUMBER(AZ32),ISNUMBER(W33)),AZ32*W_BANCOS*W33,"")</f>
        <v/>
      </c>
      <c r="BB33" s="40">
        <f>IF(AND(ISNUMBER(AZ32),ISNUMBER(AZ31)),ABS(AZ32-AZ31)*W_BANCOS*COSTO,0)</f>
        <v/>
      </c>
      <c r="BC33" s="40">
        <f>IF(ISNUMBER(BA33),BA33-BB33,"")</f>
        <v/>
      </c>
      <c r="BD33" s="42">
        <f>IF(ISNUMBER(BC33),IF(A33&lt;=FECHA_ERA,"A","B"),"")</f>
        <v/>
      </c>
      <c r="BE33" s="40">
        <f>IF(BD33="A",BC33,"")</f>
        <v/>
      </c>
      <c r="BF33" s="40">
        <f>IF(BD33="B",BC33,"")</f>
        <v/>
      </c>
      <c r="BG33" s="38">
        <f>IF(AND(ISNUMBER(BC33),ISNUMBER(A33)),IF(A33&gt;=INICIO_VIVO,1,0),0)</f>
        <v/>
      </c>
      <c r="BH33" s="40">
        <f>IF(BG33=1,BC33,"")</f>
        <v/>
      </c>
      <c r="BI33" s="38">
        <f>IF(ISNUMBER(AY33),ROW(),0)</f>
        <v/>
      </c>
      <c r="BJ33" s="43">
        <f>IF(ISNUMBER(BC33),SUM(BC$5:BC33)*10000,NA())</f>
        <v/>
      </c>
      <c r="BK33" s="43">
        <f>IF(BG33=1,SUM(BH$5:BH33)*10000,NA())</f>
        <v/>
      </c>
      <c r="BL33" s="44">
        <f>IF(ISNUMBER(AY33),AY33,NA())</f>
        <v/>
      </c>
    </row>
    <row r="34">
      <c r="A34" s="36">
        <f>IF(Datos!A34="","",Datos!A34)</f>
        <v/>
      </c>
      <c r="B34" s="37">
        <f>IF(OR($A34="",NOT(ISNUMBER(Datos!B34)),NOT(ISNUMBER(Datos!B33))),"",Datos!B34/Datos!B33-1)</f>
        <v/>
      </c>
      <c r="C34" s="37">
        <f>IF(OR($A34="",NOT(ISNUMBER(Datos!C34)),NOT(ISNUMBER(Datos!C33))),"",Datos!C34/Datos!C33-1)</f>
        <v/>
      </c>
      <c r="D34" s="37">
        <f>IF(OR($A34="",NOT(ISNUMBER(Datos!D34)),NOT(ISNUMBER(Datos!D33))),"",Datos!D34/Datos!D33-1)</f>
        <v/>
      </c>
      <c r="E34" s="37">
        <f>IF(OR($A34="",NOT(ISNUMBER(Datos!E34)),NOT(ISNUMBER(Datos!E33))),"",Datos!E34/Datos!E33-1)</f>
        <v/>
      </c>
      <c r="F34" s="38">
        <f>IF($A34="","",COUNT(B34:E34))</f>
        <v/>
      </c>
      <c r="G34" s="37">
        <f>IF($A34="","",IF(F34&gt;=MIN_BANCOS,AVERAGE(B34:E34),""))</f>
        <v/>
      </c>
      <c r="H34" s="37">
        <f>IF(OR($A34="",NOT(ISNUMBER(Datos!F34)),NOT(ISNUMBER(Datos!F33))),"",Datos!F34/Datos!F33-1)</f>
        <v/>
      </c>
      <c r="I34" s="39">
        <f>IF($A34="","",IF(ISNUMBER(Datos!G34),Datos!G34,I33))</f>
        <v/>
      </c>
      <c r="J34" s="40">
        <f>IF($A34="","",IF(ISNUMBER(I33),LN(1+I33/100/12),0))</f>
        <v/>
      </c>
      <c r="K34" s="40">
        <f>IF(ISNUMBER(G34),LN(1+G34)-J34,"")</f>
        <v/>
      </c>
      <c r="L34" s="40">
        <f>IF(ISNUMBER(H34),LN(1+H34)-J34,"")</f>
        <v/>
      </c>
      <c r="M34" s="38">
        <f>IF(ISNUMBER(K34),1,0)</f>
        <v/>
      </c>
      <c r="N34" s="40">
        <f>IF(M34=1,K34,0)</f>
        <v/>
      </c>
      <c r="O34" s="38">
        <f>IF(ISNUMBER(L34),1,0)</f>
        <v/>
      </c>
      <c r="P34" s="40">
        <f>IF(O34=1,L34,0)</f>
        <v/>
      </c>
      <c r="Q34" s="38">
        <f>M34*O34</f>
        <v/>
      </c>
      <c r="R34" s="38">
        <f>SUM(Q5:Q33)</f>
        <v/>
      </c>
      <c r="S34" s="41">
        <f>IF(OR($A34="",R34&lt;MIN_OBS_ROLL),"",(SUMPRODUCT(Q5:Q33,N5:N33,P5:P33)/R34-SUMPRODUCT(Q5:Q33,N5:N33)/R34*SUMPRODUCT(Q5:Q33,P5:P33)/R34)*R34/(R34-1))</f>
        <v/>
      </c>
      <c r="T34" s="38">
        <f>SUM(O5:O33)</f>
        <v/>
      </c>
      <c r="U34" s="41">
        <f>IF(OR($A34="",T34&lt;MIN_OBS_ROLL),"",SUMPRODUCT(O5:O33,(P5:P33-SUMPRODUCT(O5:O33,P5:P33)/T34)^2)/(T34-1))</f>
        <v/>
      </c>
      <c r="V34" s="40">
        <f>IF(OR(S34="",U34=""),"",S34/U34)</f>
        <v/>
      </c>
      <c r="W34" s="40">
        <f>IF(AND(ISNUMBER(K34),ISNUMBER(L34),ISNUMBER(V34)),K34-V34*L34,"")</f>
        <v/>
      </c>
      <c r="X34" s="40">
        <f>IF(OR($A34="",NOT(ISNUMBER(Datos!H34)),NOT(ISNUMBER(Datos!H33))),"",LN(Datos!H34)-LN(Datos!H33))</f>
        <v/>
      </c>
      <c r="Y34" s="38">
        <f>IF(ISNUMBER(W34),1,0)</f>
        <v/>
      </c>
      <c r="Z34" s="40">
        <f>IF(Y34=1,W34,0)</f>
        <v/>
      </c>
      <c r="AA34" s="38">
        <f>IF(ISNUMBER(X34),1,0)</f>
        <v/>
      </c>
      <c r="AB34" s="40">
        <f>IF(AA34=1,X34,0)</f>
        <v/>
      </c>
      <c r="AC34" s="38">
        <f>Y34*AA34</f>
        <v/>
      </c>
      <c r="AD34" s="38">
        <f>SUM(AC5:AC33)</f>
        <v/>
      </c>
      <c r="AE34" s="41">
        <f>IF(OR($A34="",AD34&lt;MIN_OBS_ROLL),"",(SUMPRODUCT(AC5:AC33,Z5:Z33,AB5:AB33)/AD34-SUMPRODUCT(AC5:AC33,Z5:Z33)/AD34*SUMPRODUCT(AC5:AC33,AB5:AB33)/AD34)*AD34/(AD34-1))</f>
        <v/>
      </c>
      <c r="AF34" s="38">
        <f>SUM(AA5:AA33)</f>
        <v/>
      </c>
      <c r="AG34" s="41">
        <f>IF(OR($A34="",AF34&lt;MIN_OBS_ROLL),"",SUMPRODUCT(AA5:AA33,(AB5:AB33-SUMPRODUCT(AA5:AA33,AB5:AB33)/AF34)^2)/(AF34-1))</f>
        <v/>
      </c>
      <c r="AH34" s="38">
        <f>SUM(Y5:Y33)</f>
        <v/>
      </c>
      <c r="AI34" s="40">
        <f>IF(OR($A34="",AH34&lt;MIN_OBS_ROLL),"",SUMPRODUCT(Y5:Y33,Z5:Z33)/AH34)</f>
        <v/>
      </c>
      <c r="AJ34" s="40">
        <f>IF(OR($A34="",AF34&lt;MIN_OBS_ROLL),"",SUMPRODUCT(AA5:AA33,AB5:AB33)/AF34)</f>
        <v/>
      </c>
      <c r="AK34" s="40">
        <f>IF(OR(AE34="",AG34=""),"",AE34/AG34)</f>
        <v/>
      </c>
      <c r="AL34" s="40">
        <f>IF(OR(AI34="",AK34="",AJ34=""),"",AI34-AK34*AJ34)</f>
        <v/>
      </c>
      <c r="AM34" s="40">
        <f>IF(AND(ISNUMBER(W34),ISNUMBER(X34),ISNUMBER(AK34),ISNUMBER(AL34)),W34-(AL34+AK34*X34),"")</f>
        <v/>
      </c>
      <c r="AN34" s="38">
        <f>IF(ISNUMBER(AM34),1,0)</f>
        <v/>
      </c>
      <c r="AO34" s="40">
        <f>IF(AN34=1,AM34,0)</f>
        <v/>
      </c>
      <c r="AP34" s="40">
        <f>IF(SUM(AN32:AN34)=3,SUM(AO32:AO34),"")</f>
        <v/>
      </c>
      <c r="AQ34" s="38">
        <f>IF(ISNUMBER(AP34),1,0)</f>
        <v/>
      </c>
      <c r="AR34" s="40">
        <f>IF(AQ34=1,AP34,0)</f>
        <v/>
      </c>
      <c r="AS34" s="38">
        <f>SUM(AQ$5:AQ34)</f>
        <v/>
      </c>
      <c r="AT34" s="40">
        <f>IF(AS34&gt;=MIN_OBS_Z,SUMPRODUCT(AQ$5:AQ34,AR$5:AR34)/AS34,"")</f>
        <v/>
      </c>
      <c r="AU34" s="40">
        <f>IF(AS34&gt;=MIN_OBS_Z,SQRT(SUMPRODUCT(AQ$5:AQ34,(AR$5:AR34-AT34)^2)/(AS34-1)),"")</f>
        <v/>
      </c>
      <c r="AV34" s="40">
        <f>IF(AND(AQ34=1,ISNUMBER(AT34)),MAX(-Z_CLIP,MIN(Z_CLIP,(AR34-AT34)/AU34)),"")</f>
        <v/>
      </c>
      <c r="AW34" s="40">
        <f>IF(ISNUMBER(AV34),-AV34,"")</f>
        <v/>
      </c>
      <c r="AX34" s="40">
        <f>IF(ISNUMBER(AW34),1+AMPLITUD*TANH(AW34),"")</f>
        <v/>
      </c>
      <c r="AY34" s="40">
        <f>IF($A34="","",IF(COUNT(AX32:AX34)&gt;0,AVERAGE(AX32:AX34),""))</f>
        <v/>
      </c>
      <c r="AZ34" s="40">
        <f>IF(ISNUMBER(AY34),AY34-1,"")</f>
        <v/>
      </c>
      <c r="BA34" s="40">
        <f>IF(AND(ISNUMBER(AZ33),ISNUMBER(W34)),AZ33*W_BANCOS*W34,"")</f>
        <v/>
      </c>
      <c r="BB34" s="40">
        <f>IF(AND(ISNUMBER(AZ33),ISNUMBER(AZ32)),ABS(AZ33-AZ32)*W_BANCOS*COSTO,0)</f>
        <v/>
      </c>
      <c r="BC34" s="40">
        <f>IF(ISNUMBER(BA34),BA34-BB34,"")</f>
        <v/>
      </c>
      <c r="BD34" s="42">
        <f>IF(ISNUMBER(BC34),IF(A34&lt;=FECHA_ERA,"A","B"),"")</f>
        <v/>
      </c>
      <c r="BE34" s="40">
        <f>IF(BD34="A",BC34,"")</f>
        <v/>
      </c>
      <c r="BF34" s="40">
        <f>IF(BD34="B",BC34,"")</f>
        <v/>
      </c>
      <c r="BG34" s="38">
        <f>IF(AND(ISNUMBER(BC34),ISNUMBER(A34)),IF(A34&gt;=INICIO_VIVO,1,0),0)</f>
        <v/>
      </c>
      <c r="BH34" s="40">
        <f>IF(BG34=1,BC34,"")</f>
        <v/>
      </c>
      <c r="BI34" s="38">
        <f>IF(ISNUMBER(AY34),ROW(),0)</f>
        <v/>
      </c>
      <c r="BJ34" s="43">
        <f>IF(ISNUMBER(BC34),SUM(BC$5:BC34)*10000,NA())</f>
        <v/>
      </c>
      <c r="BK34" s="43">
        <f>IF(BG34=1,SUM(BH$5:BH34)*10000,NA())</f>
        <v/>
      </c>
      <c r="BL34" s="44">
        <f>IF(ISNUMBER(AY34),AY34,NA())</f>
        <v/>
      </c>
    </row>
    <row r="35">
      <c r="A35" s="36">
        <f>IF(Datos!A35="","",Datos!A35)</f>
        <v/>
      </c>
      <c r="B35" s="37">
        <f>IF(OR($A35="",NOT(ISNUMBER(Datos!B35)),NOT(ISNUMBER(Datos!B34))),"",Datos!B35/Datos!B34-1)</f>
        <v/>
      </c>
      <c r="C35" s="37">
        <f>IF(OR($A35="",NOT(ISNUMBER(Datos!C35)),NOT(ISNUMBER(Datos!C34))),"",Datos!C35/Datos!C34-1)</f>
        <v/>
      </c>
      <c r="D35" s="37">
        <f>IF(OR($A35="",NOT(ISNUMBER(Datos!D35)),NOT(ISNUMBER(Datos!D34))),"",Datos!D35/Datos!D34-1)</f>
        <v/>
      </c>
      <c r="E35" s="37">
        <f>IF(OR($A35="",NOT(ISNUMBER(Datos!E35)),NOT(ISNUMBER(Datos!E34))),"",Datos!E35/Datos!E34-1)</f>
        <v/>
      </c>
      <c r="F35" s="38">
        <f>IF($A35="","",COUNT(B35:E35))</f>
        <v/>
      </c>
      <c r="G35" s="37">
        <f>IF($A35="","",IF(F35&gt;=MIN_BANCOS,AVERAGE(B35:E35),""))</f>
        <v/>
      </c>
      <c r="H35" s="37">
        <f>IF(OR($A35="",NOT(ISNUMBER(Datos!F35)),NOT(ISNUMBER(Datos!F34))),"",Datos!F35/Datos!F34-1)</f>
        <v/>
      </c>
      <c r="I35" s="39">
        <f>IF($A35="","",IF(ISNUMBER(Datos!G35),Datos!G35,I34))</f>
        <v/>
      </c>
      <c r="J35" s="40">
        <f>IF($A35="","",IF(ISNUMBER(I34),LN(1+I34/100/12),0))</f>
        <v/>
      </c>
      <c r="K35" s="40">
        <f>IF(ISNUMBER(G35),LN(1+G35)-J35,"")</f>
        <v/>
      </c>
      <c r="L35" s="40">
        <f>IF(ISNUMBER(H35),LN(1+H35)-J35,"")</f>
        <v/>
      </c>
      <c r="M35" s="38">
        <f>IF(ISNUMBER(K35),1,0)</f>
        <v/>
      </c>
      <c r="N35" s="40">
        <f>IF(M35=1,K35,0)</f>
        <v/>
      </c>
      <c r="O35" s="38">
        <f>IF(ISNUMBER(L35),1,0)</f>
        <v/>
      </c>
      <c r="P35" s="40">
        <f>IF(O35=1,L35,0)</f>
        <v/>
      </c>
      <c r="Q35" s="38">
        <f>M35*O35</f>
        <v/>
      </c>
      <c r="R35" s="38">
        <f>SUM(Q5:Q34)</f>
        <v/>
      </c>
      <c r="S35" s="41">
        <f>IF(OR($A35="",R35&lt;MIN_OBS_ROLL),"",(SUMPRODUCT(Q5:Q34,N5:N34,P5:P34)/R35-SUMPRODUCT(Q5:Q34,N5:N34)/R35*SUMPRODUCT(Q5:Q34,P5:P34)/R35)*R35/(R35-1))</f>
        <v/>
      </c>
      <c r="T35" s="38">
        <f>SUM(O5:O34)</f>
        <v/>
      </c>
      <c r="U35" s="41">
        <f>IF(OR($A35="",T35&lt;MIN_OBS_ROLL),"",SUMPRODUCT(O5:O34,(P5:P34-SUMPRODUCT(O5:O34,P5:P34)/T35)^2)/(T35-1))</f>
        <v/>
      </c>
      <c r="V35" s="40">
        <f>IF(OR(S35="",U35=""),"",S35/U35)</f>
        <v/>
      </c>
      <c r="W35" s="40">
        <f>IF(AND(ISNUMBER(K35),ISNUMBER(L35),ISNUMBER(V35)),K35-V35*L35,"")</f>
        <v/>
      </c>
      <c r="X35" s="40">
        <f>IF(OR($A35="",NOT(ISNUMBER(Datos!H35)),NOT(ISNUMBER(Datos!H34))),"",LN(Datos!H35)-LN(Datos!H34))</f>
        <v/>
      </c>
      <c r="Y35" s="38">
        <f>IF(ISNUMBER(W35),1,0)</f>
        <v/>
      </c>
      <c r="Z35" s="40">
        <f>IF(Y35=1,W35,0)</f>
        <v/>
      </c>
      <c r="AA35" s="38">
        <f>IF(ISNUMBER(X35),1,0)</f>
        <v/>
      </c>
      <c r="AB35" s="40">
        <f>IF(AA35=1,X35,0)</f>
        <v/>
      </c>
      <c r="AC35" s="38">
        <f>Y35*AA35</f>
        <v/>
      </c>
      <c r="AD35" s="38">
        <f>SUM(AC5:AC34)</f>
        <v/>
      </c>
      <c r="AE35" s="41">
        <f>IF(OR($A35="",AD35&lt;MIN_OBS_ROLL),"",(SUMPRODUCT(AC5:AC34,Z5:Z34,AB5:AB34)/AD35-SUMPRODUCT(AC5:AC34,Z5:Z34)/AD35*SUMPRODUCT(AC5:AC34,AB5:AB34)/AD35)*AD35/(AD35-1))</f>
        <v/>
      </c>
      <c r="AF35" s="38">
        <f>SUM(AA5:AA34)</f>
        <v/>
      </c>
      <c r="AG35" s="41">
        <f>IF(OR($A35="",AF35&lt;MIN_OBS_ROLL),"",SUMPRODUCT(AA5:AA34,(AB5:AB34-SUMPRODUCT(AA5:AA34,AB5:AB34)/AF35)^2)/(AF35-1))</f>
        <v/>
      </c>
      <c r="AH35" s="38">
        <f>SUM(Y5:Y34)</f>
        <v/>
      </c>
      <c r="AI35" s="40">
        <f>IF(OR($A35="",AH35&lt;MIN_OBS_ROLL),"",SUMPRODUCT(Y5:Y34,Z5:Z34)/AH35)</f>
        <v/>
      </c>
      <c r="AJ35" s="40">
        <f>IF(OR($A35="",AF35&lt;MIN_OBS_ROLL),"",SUMPRODUCT(AA5:AA34,AB5:AB34)/AF35)</f>
        <v/>
      </c>
      <c r="AK35" s="40">
        <f>IF(OR(AE35="",AG35=""),"",AE35/AG35)</f>
        <v/>
      </c>
      <c r="AL35" s="40">
        <f>IF(OR(AI35="",AK35="",AJ35=""),"",AI35-AK35*AJ35)</f>
        <v/>
      </c>
      <c r="AM35" s="40">
        <f>IF(AND(ISNUMBER(W35),ISNUMBER(X35),ISNUMBER(AK35),ISNUMBER(AL35)),W35-(AL35+AK35*X35),"")</f>
        <v/>
      </c>
      <c r="AN35" s="38">
        <f>IF(ISNUMBER(AM35),1,0)</f>
        <v/>
      </c>
      <c r="AO35" s="40">
        <f>IF(AN35=1,AM35,0)</f>
        <v/>
      </c>
      <c r="AP35" s="40">
        <f>IF(SUM(AN33:AN35)=3,SUM(AO33:AO35),"")</f>
        <v/>
      </c>
      <c r="AQ35" s="38">
        <f>IF(ISNUMBER(AP35),1,0)</f>
        <v/>
      </c>
      <c r="AR35" s="40">
        <f>IF(AQ35=1,AP35,0)</f>
        <v/>
      </c>
      <c r="AS35" s="38">
        <f>SUM(AQ$5:AQ35)</f>
        <v/>
      </c>
      <c r="AT35" s="40">
        <f>IF(AS35&gt;=MIN_OBS_Z,SUMPRODUCT(AQ$5:AQ35,AR$5:AR35)/AS35,"")</f>
        <v/>
      </c>
      <c r="AU35" s="40">
        <f>IF(AS35&gt;=MIN_OBS_Z,SQRT(SUMPRODUCT(AQ$5:AQ35,(AR$5:AR35-AT35)^2)/(AS35-1)),"")</f>
        <v/>
      </c>
      <c r="AV35" s="40">
        <f>IF(AND(AQ35=1,ISNUMBER(AT35)),MAX(-Z_CLIP,MIN(Z_CLIP,(AR35-AT35)/AU35)),"")</f>
        <v/>
      </c>
      <c r="AW35" s="40">
        <f>IF(ISNUMBER(AV35),-AV35,"")</f>
        <v/>
      </c>
      <c r="AX35" s="40">
        <f>IF(ISNUMBER(AW35),1+AMPLITUD*TANH(AW35),"")</f>
        <v/>
      </c>
      <c r="AY35" s="40">
        <f>IF($A35="","",IF(COUNT(AX33:AX35)&gt;0,AVERAGE(AX33:AX35),""))</f>
        <v/>
      </c>
      <c r="AZ35" s="40">
        <f>IF(ISNUMBER(AY35),AY35-1,"")</f>
        <v/>
      </c>
      <c r="BA35" s="40">
        <f>IF(AND(ISNUMBER(AZ34),ISNUMBER(W35)),AZ34*W_BANCOS*W35,"")</f>
        <v/>
      </c>
      <c r="BB35" s="40">
        <f>IF(AND(ISNUMBER(AZ34),ISNUMBER(AZ33)),ABS(AZ34-AZ33)*W_BANCOS*COSTO,0)</f>
        <v/>
      </c>
      <c r="BC35" s="40">
        <f>IF(ISNUMBER(BA35),BA35-BB35,"")</f>
        <v/>
      </c>
      <c r="BD35" s="42">
        <f>IF(ISNUMBER(BC35),IF(A35&lt;=FECHA_ERA,"A","B"),"")</f>
        <v/>
      </c>
      <c r="BE35" s="40">
        <f>IF(BD35="A",BC35,"")</f>
        <v/>
      </c>
      <c r="BF35" s="40">
        <f>IF(BD35="B",BC35,"")</f>
        <v/>
      </c>
      <c r="BG35" s="38">
        <f>IF(AND(ISNUMBER(BC35),ISNUMBER(A35)),IF(A35&gt;=INICIO_VIVO,1,0),0)</f>
        <v/>
      </c>
      <c r="BH35" s="40">
        <f>IF(BG35=1,BC35,"")</f>
        <v/>
      </c>
      <c r="BI35" s="38">
        <f>IF(ISNUMBER(AY35),ROW(),0)</f>
        <v/>
      </c>
      <c r="BJ35" s="43">
        <f>IF(ISNUMBER(BC35),SUM(BC$5:BC35)*10000,NA())</f>
        <v/>
      </c>
      <c r="BK35" s="43">
        <f>IF(BG35=1,SUM(BH$5:BH35)*10000,NA())</f>
        <v/>
      </c>
      <c r="BL35" s="44">
        <f>IF(ISNUMBER(AY35),AY35,NA())</f>
        <v/>
      </c>
    </row>
    <row r="36">
      <c r="A36" s="36">
        <f>IF(Datos!A36="","",Datos!A36)</f>
        <v/>
      </c>
      <c r="B36" s="37">
        <f>IF(OR($A36="",NOT(ISNUMBER(Datos!B36)),NOT(ISNUMBER(Datos!B35))),"",Datos!B36/Datos!B35-1)</f>
        <v/>
      </c>
      <c r="C36" s="37">
        <f>IF(OR($A36="",NOT(ISNUMBER(Datos!C36)),NOT(ISNUMBER(Datos!C35))),"",Datos!C36/Datos!C35-1)</f>
        <v/>
      </c>
      <c r="D36" s="37">
        <f>IF(OR($A36="",NOT(ISNUMBER(Datos!D36)),NOT(ISNUMBER(Datos!D35))),"",Datos!D36/Datos!D35-1)</f>
        <v/>
      </c>
      <c r="E36" s="37">
        <f>IF(OR($A36="",NOT(ISNUMBER(Datos!E36)),NOT(ISNUMBER(Datos!E35))),"",Datos!E36/Datos!E35-1)</f>
        <v/>
      </c>
      <c r="F36" s="38">
        <f>IF($A36="","",COUNT(B36:E36))</f>
        <v/>
      </c>
      <c r="G36" s="37">
        <f>IF($A36="","",IF(F36&gt;=MIN_BANCOS,AVERAGE(B36:E36),""))</f>
        <v/>
      </c>
      <c r="H36" s="37">
        <f>IF(OR($A36="",NOT(ISNUMBER(Datos!F36)),NOT(ISNUMBER(Datos!F35))),"",Datos!F36/Datos!F35-1)</f>
        <v/>
      </c>
      <c r="I36" s="39">
        <f>IF($A36="","",IF(ISNUMBER(Datos!G36),Datos!G36,I35))</f>
        <v/>
      </c>
      <c r="J36" s="40">
        <f>IF($A36="","",IF(ISNUMBER(I35),LN(1+I35/100/12),0))</f>
        <v/>
      </c>
      <c r="K36" s="40">
        <f>IF(ISNUMBER(G36),LN(1+G36)-J36,"")</f>
        <v/>
      </c>
      <c r="L36" s="40">
        <f>IF(ISNUMBER(H36),LN(1+H36)-J36,"")</f>
        <v/>
      </c>
      <c r="M36" s="38">
        <f>IF(ISNUMBER(K36),1,0)</f>
        <v/>
      </c>
      <c r="N36" s="40">
        <f>IF(M36=1,K36,0)</f>
        <v/>
      </c>
      <c r="O36" s="38">
        <f>IF(ISNUMBER(L36),1,0)</f>
        <v/>
      </c>
      <c r="P36" s="40">
        <f>IF(O36=1,L36,0)</f>
        <v/>
      </c>
      <c r="Q36" s="38">
        <f>M36*O36</f>
        <v/>
      </c>
      <c r="R36" s="38">
        <f>SUM(Q5:Q35)</f>
        <v/>
      </c>
      <c r="S36" s="41">
        <f>IF(OR($A36="",R36&lt;MIN_OBS_ROLL),"",(SUMPRODUCT(Q5:Q35,N5:N35,P5:P35)/R36-SUMPRODUCT(Q5:Q35,N5:N35)/R36*SUMPRODUCT(Q5:Q35,P5:P35)/R36)*R36/(R36-1))</f>
        <v/>
      </c>
      <c r="T36" s="38">
        <f>SUM(O5:O35)</f>
        <v/>
      </c>
      <c r="U36" s="41">
        <f>IF(OR($A36="",T36&lt;MIN_OBS_ROLL),"",SUMPRODUCT(O5:O35,(P5:P35-SUMPRODUCT(O5:O35,P5:P35)/T36)^2)/(T36-1))</f>
        <v/>
      </c>
      <c r="V36" s="40">
        <f>IF(OR(S36="",U36=""),"",S36/U36)</f>
        <v/>
      </c>
      <c r="W36" s="40">
        <f>IF(AND(ISNUMBER(K36),ISNUMBER(L36),ISNUMBER(V36)),K36-V36*L36,"")</f>
        <v/>
      </c>
      <c r="X36" s="40">
        <f>IF(OR($A36="",NOT(ISNUMBER(Datos!H36)),NOT(ISNUMBER(Datos!H35))),"",LN(Datos!H36)-LN(Datos!H35))</f>
        <v/>
      </c>
      <c r="Y36" s="38">
        <f>IF(ISNUMBER(W36),1,0)</f>
        <v/>
      </c>
      <c r="Z36" s="40">
        <f>IF(Y36=1,W36,0)</f>
        <v/>
      </c>
      <c r="AA36" s="38">
        <f>IF(ISNUMBER(X36),1,0)</f>
        <v/>
      </c>
      <c r="AB36" s="40">
        <f>IF(AA36=1,X36,0)</f>
        <v/>
      </c>
      <c r="AC36" s="38">
        <f>Y36*AA36</f>
        <v/>
      </c>
      <c r="AD36" s="38">
        <f>SUM(AC5:AC35)</f>
        <v/>
      </c>
      <c r="AE36" s="41">
        <f>IF(OR($A36="",AD36&lt;MIN_OBS_ROLL),"",(SUMPRODUCT(AC5:AC35,Z5:Z35,AB5:AB35)/AD36-SUMPRODUCT(AC5:AC35,Z5:Z35)/AD36*SUMPRODUCT(AC5:AC35,AB5:AB35)/AD36)*AD36/(AD36-1))</f>
        <v/>
      </c>
      <c r="AF36" s="38">
        <f>SUM(AA5:AA35)</f>
        <v/>
      </c>
      <c r="AG36" s="41">
        <f>IF(OR($A36="",AF36&lt;MIN_OBS_ROLL),"",SUMPRODUCT(AA5:AA35,(AB5:AB35-SUMPRODUCT(AA5:AA35,AB5:AB35)/AF36)^2)/(AF36-1))</f>
        <v/>
      </c>
      <c r="AH36" s="38">
        <f>SUM(Y5:Y35)</f>
        <v/>
      </c>
      <c r="AI36" s="40">
        <f>IF(OR($A36="",AH36&lt;MIN_OBS_ROLL),"",SUMPRODUCT(Y5:Y35,Z5:Z35)/AH36)</f>
        <v/>
      </c>
      <c r="AJ36" s="40">
        <f>IF(OR($A36="",AF36&lt;MIN_OBS_ROLL),"",SUMPRODUCT(AA5:AA35,AB5:AB35)/AF36)</f>
        <v/>
      </c>
      <c r="AK36" s="40">
        <f>IF(OR(AE36="",AG36=""),"",AE36/AG36)</f>
        <v/>
      </c>
      <c r="AL36" s="40">
        <f>IF(OR(AI36="",AK36="",AJ36=""),"",AI36-AK36*AJ36)</f>
        <v/>
      </c>
      <c r="AM36" s="40">
        <f>IF(AND(ISNUMBER(W36),ISNUMBER(X36),ISNUMBER(AK36),ISNUMBER(AL36)),W36-(AL36+AK36*X36),"")</f>
        <v/>
      </c>
      <c r="AN36" s="38">
        <f>IF(ISNUMBER(AM36),1,0)</f>
        <v/>
      </c>
      <c r="AO36" s="40">
        <f>IF(AN36=1,AM36,0)</f>
        <v/>
      </c>
      <c r="AP36" s="40">
        <f>IF(SUM(AN34:AN36)=3,SUM(AO34:AO36),"")</f>
        <v/>
      </c>
      <c r="AQ36" s="38">
        <f>IF(ISNUMBER(AP36),1,0)</f>
        <v/>
      </c>
      <c r="AR36" s="40">
        <f>IF(AQ36=1,AP36,0)</f>
        <v/>
      </c>
      <c r="AS36" s="38">
        <f>SUM(AQ$5:AQ36)</f>
        <v/>
      </c>
      <c r="AT36" s="40">
        <f>IF(AS36&gt;=MIN_OBS_Z,SUMPRODUCT(AQ$5:AQ36,AR$5:AR36)/AS36,"")</f>
        <v/>
      </c>
      <c r="AU36" s="40">
        <f>IF(AS36&gt;=MIN_OBS_Z,SQRT(SUMPRODUCT(AQ$5:AQ36,(AR$5:AR36-AT36)^2)/(AS36-1)),"")</f>
        <v/>
      </c>
      <c r="AV36" s="40">
        <f>IF(AND(AQ36=1,ISNUMBER(AT36)),MAX(-Z_CLIP,MIN(Z_CLIP,(AR36-AT36)/AU36)),"")</f>
        <v/>
      </c>
      <c r="AW36" s="40">
        <f>IF(ISNUMBER(AV36),-AV36,"")</f>
        <v/>
      </c>
      <c r="AX36" s="40">
        <f>IF(ISNUMBER(AW36),1+AMPLITUD*TANH(AW36),"")</f>
        <v/>
      </c>
      <c r="AY36" s="40">
        <f>IF($A36="","",IF(COUNT(AX34:AX36)&gt;0,AVERAGE(AX34:AX36),""))</f>
        <v/>
      </c>
      <c r="AZ36" s="40">
        <f>IF(ISNUMBER(AY36),AY36-1,"")</f>
        <v/>
      </c>
      <c r="BA36" s="40">
        <f>IF(AND(ISNUMBER(AZ35),ISNUMBER(W36)),AZ35*W_BANCOS*W36,"")</f>
        <v/>
      </c>
      <c r="BB36" s="40">
        <f>IF(AND(ISNUMBER(AZ35),ISNUMBER(AZ34)),ABS(AZ35-AZ34)*W_BANCOS*COSTO,0)</f>
        <v/>
      </c>
      <c r="BC36" s="40">
        <f>IF(ISNUMBER(BA36),BA36-BB36,"")</f>
        <v/>
      </c>
      <c r="BD36" s="42">
        <f>IF(ISNUMBER(BC36),IF(A36&lt;=FECHA_ERA,"A","B"),"")</f>
        <v/>
      </c>
      <c r="BE36" s="40">
        <f>IF(BD36="A",BC36,"")</f>
        <v/>
      </c>
      <c r="BF36" s="40">
        <f>IF(BD36="B",BC36,"")</f>
        <v/>
      </c>
      <c r="BG36" s="38">
        <f>IF(AND(ISNUMBER(BC36),ISNUMBER(A36)),IF(A36&gt;=INICIO_VIVO,1,0),0)</f>
        <v/>
      </c>
      <c r="BH36" s="40">
        <f>IF(BG36=1,BC36,"")</f>
        <v/>
      </c>
      <c r="BI36" s="38">
        <f>IF(ISNUMBER(AY36),ROW(),0)</f>
        <v/>
      </c>
      <c r="BJ36" s="43">
        <f>IF(ISNUMBER(BC36),SUM(BC$5:BC36)*10000,NA())</f>
        <v/>
      </c>
      <c r="BK36" s="43">
        <f>IF(BG36=1,SUM(BH$5:BH36)*10000,NA())</f>
        <v/>
      </c>
      <c r="BL36" s="44">
        <f>IF(ISNUMBER(AY36),AY36,NA())</f>
        <v/>
      </c>
    </row>
    <row r="37">
      <c r="A37" s="36">
        <f>IF(Datos!A37="","",Datos!A37)</f>
        <v/>
      </c>
      <c r="B37" s="37">
        <f>IF(OR($A37="",NOT(ISNUMBER(Datos!B37)),NOT(ISNUMBER(Datos!B36))),"",Datos!B37/Datos!B36-1)</f>
        <v/>
      </c>
      <c r="C37" s="37">
        <f>IF(OR($A37="",NOT(ISNUMBER(Datos!C37)),NOT(ISNUMBER(Datos!C36))),"",Datos!C37/Datos!C36-1)</f>
        <v/>
      </c>
      <c r="D37" s="37">
        <f>IF(OR($A37="",NOT(ISNUMBER(Datos!D37)),NOT(ISNUMBER(Datos!D36))),"",Datos!D37/Datos!D36-1)</f>
        <v/>
      </c>
      <c r="E37" s="37">
        <f>IF(OR($A37="",NOT(ISNUMBER(Datos!E37)),NOT(ISNUMBER(Datos!E36))),"",Datos!E37/Datos!E36-1)</f>
        <v/>
      </c>
      <c r="F37" s="38">
        <f>IF($A37="","",COUNT(B37:E37))</f>
        <v/>
      </c>
      <c r="G37" s="37">
        <f>IF($A37="","",IF(F37&gt;=MIN_BANCOS,AVERAGE(B37:E37),""))</f>
        <v/>
      </c>
      <c r="H37" s="37">
        <f>IF(OR($A37="",NOT(ISNUMBER(Datos!F37)),NOT(ISNUMBER(Datos!F36))),"",Datos!F37/Datos!F36-1)</f>
        <v/>
      </c>
      <c r="I37" s="39">
        <f>IF($A37="","",IF(ISNUMBER(Datos!G37),Datos!G37,I36))</f>
        <v/>
      </c>
      <c r="J37" s="40">
        <f>IF($A37="","",IF(ISNUMBER(I36),LN(1+I36/100/12),0))</f>
        <v/>
      </c>
      <c r="K37" s="40">
        <f>IF(ISNUMBER(G37),LN(1+G37)-J37,"")</f>
        <v/>
      </c>
      <c r="L37" s="40">
        <f>IF(ISNUMBER(H37),LN(1+H37)-J37,"")</f>
        <v/>
      </c>
      <c r="M37" s="38">
        <f>IF(ISNUMBER(K37),1,0)</f>
        <v/>
      </c>
      <c r="N37" s="40">
        <f>IF(M37=1,K37,0)</f>
        <v/>
      </c>
      <c r="O37" s="38">
        <f>IF(ISNUMBER(L37),1,0)</f>
        <v/>
      </c>
      <c r="P37" s="40">
        <f>IF(O37=1,L37,0)</f>
        <v/>
      </c>
      <c r="Q37" s="38">
        <f>M37*O37</f>
        <v/>
      </c>
      <c r="R37" s="38">
        <f>SUM(Q5:Q36)</f>
        <v/>
      </c>
      <c r="S37" s="41">
        <f>IF(OR($A37="",R37&lt;MIN_OBS_ROLL),"",(SUMPRODUCT(Q5:Q36,N5:N36,P5:P36)/R37-SUMPRODUCT(Q5:Q36,N5:N36)/R37*SUMPRODUCT(Q5:Q36,P5:P36)/R37)*R37/(R37-1))</f>
        <v/>
      </c>
      <c r="T37" s="38">
        <f>SUM(O5:O36)</f>
        <v/>
      </c>
      <c r="U37" s="41">
        <f>IF(OR($A37="",T37&lt;MIN_OBS_ROLL),"",SUMPRODUCT(O5:O36,(P5:P36-SUMPRODUCT(O5:O36,P5:P36)/T37)^2)/(T37-1))</f>
        <v/>
      </c>
      <c r="V37" s="40">
        <f>IF(OR(S37="",U37=""),"",S37/U37)</f>
        <v/>
      </c>
      <c r="W37" s="40">
        <f>IF(AND(ISNUMBER(K37),ISNUMBER(L37),ISNUMBER(V37)),K37-V37*L37,"")</f>
        <v/>
      </c>
      <c r="X37" s="40">
        <f>IF(OR($A37="",NOT(ISNUMBER(Datos!H37)),NOT(ISNUMBER(Datos!H36))),"",LN(Datos!H37)-LN(Datos!H36))</f>
        <v/>
      </c>
      <c r="Y37" s="38">
        <f>IF(ISNUMBER(W37),1,0)</f>
        <v/>
      </c>
      <c r="Z37" s="40">
        <f>IF(Y37=1,W37,0)</f>
        <v/>
      </c>
      <c r="AA37" s="38">
        <f>IF(ISNUMBER(X37),1,0)</f>
        <v/>
      </c>
      <c r="AB37" s="40">
        <f>IF(AA37=1,X37,0)</f>
        <v/>
      </c>
      <c r="AC37" s="38">
        <f>Y37*AA37</f>
        <v/>
      </c>
      <c r="AD37" s="38">
        <f>SUM(AC5:AC36)</f>
        <v/>
      </c>
      <c r="AE37" s="41">
        <f>IF(OR($A37="",AD37&lt;MIN_OBS_ROLL),"",(SUMPRODUCT(AC5:AC36,Z5:Z36,AB5:AB36)/AD37-SUMPRODUCT(AC5:AC36,Z5:Z36)/AD37*SUMPRODUCT(AC5:AC36,AB5:AB36)/AD37)*AD37/(AD37-1))</f>
        <v/>
      </c>
      <c r="AF37" s="38">
        <f>SUM(AA5:AA36)</f>
        <v/>
      </c>
      <c r="AG37" s="41">
        <f>IF(OR($A37="",AF37&lt;MIN_OBS_ROLL),"",SUMPRODUCT(AA5:AA36,(AB5:AB36-SUMPRODUCT(AA5:AA36,AB5:AB36)/AF37)^2)/(AF37-1))</f>
        <v/>
      </c>
      <c r="AH37" s="38">
        <f>SUM(Y5:Y36)</f>
        <v/>
      </c>
      <c r="AI37" s="40">
        <f>IF(OR($A37="",AH37&lt;MIN_OBS_ROLL),"",SUMPRODUCT(Y5:Y36,Z5:Z36)/AH37)</f>
        <v/>
      </c>
      <c r="AJ37" s="40">
        <f>IF(OR($A37="",AF37&lt;MIN_OBS_ROLL),"",SUMPRODUCT(AA5:AA36,AB5:AB36)/AF37)</f>
        <v/>
      </c>
      <c r="AK37" s="40">
        <f>IF(OR(AE37="",AG37=""),"",AE37/AG37)</f>
        <v/>
      </c>
      <c r="AL37" s="40">
        <f>IF(OR(AI37="",AK37="",AJ37=""),"",AI37-AK37*AJ37)</f>
        <v/>
      </c>
      <c r="AM37" s="40">
        <f>IF(AND(ISNUMBER(W37),ISNUMBER(X37),ISNUMBER(AK37),ISNUMBER(AL37)),W37-(AL37+AK37*X37),"")</f>
        <v/>
      </c>
      <c r="AN37" s="38">
        <f>IF(ISNUMBER(AM37),1,0)</f>
        <v/>
      </c>
      <c r="AO37" s="40">
        <f>IF(AN37=1,AM37,0)</f>
        <v/>
      </c>
      <c r="AP37" s="40">
        <f>IF(SUM(AN35:AN37)=3,SUM(AO35:AO37),"")</f>
        <v/>
      </c>
      <c r="AQ37" s="38">
        <f>IF(ISNUMBER(AP37),1,0)</f>
        <v/>
      </c>
      <c r="AR37" s="40">
        <f>IF(AQ37=1,AP37,0)</f>
        <v/>
      </c>
      <c r="AS37" s="38">
        <f>SUM(AQ$5:AQ37)</f>
        <v/>
      </c>
      <c r="AT37" s="40">
        <f>IF(AS37&gt;=MIN_OBS_Z,SUMPRODUCT(AQ$5:AQ37,AR$5:AR37)/AS37,"")</f>
        <v/>
      </c>
      <c r="AU37" s="40">
        <f>IF(AS37&gt;=MIN_OBS_Z,SQRT(SUMPRODUCT(AQ$5:AQ37,(AR$5:AR37-AT37)^2)/(AS37-1)),"")</f>
        <v/>
      </c>
      <c r="AV37" s="40">
        <f>IF(AND(AQ37=1,ISNUMBER(AT37)),MAX(-Z_CLIP,MIN(Z_CLIP,(AR37-AT37)/AU37)),"")</f>
        <v/>
      </c>
      <c r="AW37" s="40">
        <f>IF(ISNUMBER(AV37),-AV37,"")</f>
        <v/>
      </c>
      <c r="AX37" s="40">
        <f>IF(ISNUMBER(AW37),1+AMPLITUD*TANH(AW37),"")</f>
        <v/>
      </c>
      <c r="AY37" s="40">
        <f>IF($A37="","",IF(COUNT(AX35:AX37)&gt;0,AVERAGE(AX35:AX37),""))</f>
        <v/>
      </c>
      <c r="AZ37" s="40">
        <f>IF(ISNUMBER(AY37),AY37-1,"")</f>
        <v/>
      </c>
      <c r="BA37" s="40">
        <f>IF(AND(ISNUMBER(AZ36),ISNUMBER(W37)),AZ36*W_BANCOS*W37,"")</f>
        <v/>
      </c>
      <c r="BB37" s="40">
        <f>IF(AND(ISNUMBER(AZ36),ISNUMBER(AZ35)),ABS(AZ36-AZ35)*W_BANCOS*COSTO,0)</f>
        <v/>
      </c>
      <c r="BC37" s="40">
        <f>IF(ISNUMBER(BA37),BA37-BB37,"")</f>
        <v/>
      </c>
      <c r="BD37" s="42">
        <f>IF(ISNUMBER(BC37),IF(A37&lt;=FECHA_ERA,"A","B"),"")</f>
        <v/>
      </c>
      <c r="BE37" s="40">
        <f>IF(BD37="A",BC37,"")</f>
        <v/>
      </c>
      <c r="BF37" s="40">
        <f>IF(BD37="B",BC37,"")</f>
        <v/>
      </c>
      <c r="BG37" s="38">
        <f>IF(AND(ISNUMBER(BC37),ISNUMBER(A37)),IF(A37&gt;=INICIO_VIVO,1,0),0)</f>
        <v/>
      </c>
      <c r="BH37" s="40">
        <f>IF(BG37=1,BC37,"")</f>
        <v/>
      </c>
      <c r="BI37" s="38">
        <f>IF(ISNUMBER(AY37),ROW(),0)</f>
        <v/>
      </c>
      <c r="BJ37" s="43">
        <f>IF(ISNUMBER(BC37),SUM(BC$5:BC37)*10000,NA())</f>
        <v/>
      </c>
      <c r="BK37" s="43">
        <f>IF(BG37=1,SUM(BH$5:BH37)*10000,NA())</f>
        <v/>
      </c>
      <c r="BL37" s="44">
        <f>IF(ISNUMBER(AY37),AY37,NA())</f>
        <v/>
      </c>
    </row>
    <row r="38">
      <c r="A38" s="36">
        <f>IF(Datos!A38="","",Datos!A38)</f>
        <v/>
      </c>
      <c r="B38" s="37">
        <f>IF(OR($A38="",NOT(ISNUMBER(Datos!B38)),NOT(ISNUMBER(Datos!B37))),"",Datos!B38/Datos!B37-1)</f>
        <v/>
      </c>
      <c r="C38" s="37">
        <f>IF(OR($A38="",NOT(ISNUMBER(Datos!C38)),NOT(ISNUMBER(Datos!C37))),"",Datos!C38/Datos!C37-1)</f>
        <v/>
      </c>
      <c r="D38" s="37">
        <f>IF(OR($A38="",NOT(ISNUMBER(Datos!D38)),NOT(ISNUMBER(Datos!D37))),"",Datos!D38/Datos!D37-1)</f>
        <v/>
      </c>
      <c r="E38" s="37">
        <f>IF(OR($A38="",NOT(ISNUMBER(Datos!E38)),NOT(ISNUMBER(Datos!E37))),"",Datos!E38/Datos!E37-1)</f>
        <v/>
      </c>
      <c r="F38" s="38">
        <f>IF($A38="","",COUNT(B38:E38))</f>
        <v/>
      </c>
      <c r="G38" s="37">
        <f>IF($A38="","",IF(F38&gt;=MIN_BANCOS,AVERAGE(B38:E38),""))</f>
        <v/>
      </c>
      <c r="H38" s="37">
        <f>IF(OR($A38="",NOT(ISNUMBER(Datos!F38)),NOT(ISNUMBER(Datos!F37))),"",Datos!F38/Datos!F37-1)</f>
        <v/>
      </c>
      <c r="I38" s="39">
        <f>IF($A38="","",IF(ISNUMBER(Datos!G38),Datos!G38,I37))</f>
        <v/>
      </c>
      <c r="J38" s="40">
        <f>IF($A38="","",IF(ISNUMBER(I37),LN(1+I37/100/12),0))</f>
        <v/>
      </c>
      <c r="K38" s="40">
        <f>IF(ISNUMBER(G38),LN(1+G38)-J38,"")</f>
        <v/>
      </c>
      <c r="L38" s="40">
        <f>IF(ISNUMBER(H38),LN(1+H38)-J38,"")</f>
        <v/>
      </c>
      <c r="M38" s="38">
        <f>IF(ISNUMBER(K38),1,0)</f>
        <v/>
      </c>
      <c r="N38" s="40">
        <f>IF(M38=1,K38,0)</f>
        <v/>
      </c>
      <c r="O38" s="38">
        <f>IF(ISNUMBER(L38),1,0)</f>
        <v/>
      </c>
      <c r="P38" s="40">
        <f>IF(O38=1,L38,0)</f>
        <v/>
      </c>
      <c r="Q38" s="38">
        <f>M38*O38</f>
        <v/>
      </c>
      <c r="R38" s="38">
        <f>SUM(Q5:Q37)</f>
        <v/>
      </c>
      <c r="S38" s="41">
        <f>IF(OR($A38="",R38&lt;MIN_OBS_ROLL),"",(SUMPRODUCT(Q5:Q37,N5:N37,P5:P37)/R38-SUMPRODUCT(Q5:Q37,N5:N37)/R38*SUMPRODUCT(Q5:Q37,P5:P37)/R38)*R38/(R38-1))</f>
        <v/>
      </c>
      <c r="T38" s="38">
        <f>SUM(O5:O37)</f>
        <v/>
      </c>
      <c r="U38" s="41">
        <f>IF(OR($A38="",T38&lt;MIN_OBS_ROLL),"",SUMPRODUCT(O5:O37,(P5:P37-SUMPRODUCT(O5:O37,P5:P37)/T38)^2)/(T38-1))</f>
        <v/>
      </c>
      <c r="V38" s="40">
        <f>IF(OR(S38="",U38=""),"",S38/U38)</f>
        <v/>
      </c>
      <c r="W38" s="40">
        <f>IF(AND(ISNUMBER(K38),ISNUMBER(L38),ISNUMBER(V38)),K38-V38*L38,"")</f>
        <v/>
      </c>
      <c r="X38" s="40">
        <f>IF(OR($A38="",NOT(ISNUMBER(Datos!H38)),NOT(ISNUMBER(Datos!H37))),"",LN(Datos!H38)-LN(Datos!H37))</f>
        <v/>
      </c>
      <c r="Y38" s="38">
        <f>IF(ISNUMBER(W38),1,0)</f>
        <v/>
      </c>
      <c r="Z38" s="40">
        <f>IF(Y38=1,W38,0)</f>
        <v/>
      </c>
      <c r="AA38" s="38">
        <f>IF(ISNUMBER(X38),1,0)</f>
        <v/>
      </c>
      <c r="AB38" s="40">
        <f>IF(AA38=1,X38,0)</f>
        <v/>
      </c>
      <c r="AC38" s="38">
        <f>Y38*AA38</f>
        <v/>
      </c>
      <c r="AD38" s="38">
        <f>SUM(AC5:AC37)</f>
        <v/>
      </c>
      <c r="AE38" s="41">
        <f>IF(OR($A38="",AD38&lt;MIN_OBS_ROLL),"",(SUMPRODUCT(AC5:AC37,Z5:Z37,AB5:AB37)/AD38-SUMPRODUCT(AC5:AC37,Z5:Z37)/AD38*SUMPRODUCT(AC5:AC37,AB5:AB37)/AD38)*AD38/(AD38-1))</f>
        <v/>
      </c>
      <c r="AF38" s="38">
        <f>SUM(AA5:AA37)</f>
        <v/>
      </c>
      <c r="AG38" s="41">
        <f>IF(OR($A38="",AF38&lt;MIN_OBS_ROLL),"",SUMPRODUCT(AA5:AA37,(AB5:AB37-SUMPRODUCT(AA5:AA37,AB5:AB37)/AF38)^2)/(AF38-1))</f>
        <v/>
      </c>
      <c r="AH38" s="38">
        <f>SUM(Y5:Y37)</f>
        <v/>
      </c>
      <c r="AI38" s="40">
        <f>IF(OR($A38="",AH38&lt;MIN_OBS_ROLL),"",SUMPRODUCT(Y5:Y37,Z5:Z37)/AH38)</f>
        <v/>
      </c>
      <c r="AJ38" s="40">
        <f>IF(OR($A38="",AF38&lt;MIN_OBS_ROLL),"",SUMPRODUCT(AA5:AA37,AB5:AB37)/AF38)</f>
        <v/>
      </c>
      <c r="AK38" s="40">
        <f>IF(OR(AE38="",AG38=""),"",AE38/AG38)</f>
        <v/>
      </c>
      <c r="AL38" s="40">
        <f>IF(OR(AI38="",AK38="",AJ38=""),"",AI38-AK38*AJ38)</f>
        <v/>
      </c>
      <c r="AM38" s="40">
        <f>IF(AND(ISNUMBER(W38),ISNUMBER(X38),ISNUMBER(AK38),ISNUMBER(AL38)),W38-(AL38+AK38*X38),"")</f>
        <v/>
      </c>
      <c r="AN38" s="38">
        <f>IF(ISNUMBER(AM38),1,0)</f>
        <v/>
      </c>
      <c r="AO38" s="40">
        <f>IF(AN38=1,AM38,0)</f>
        <v/>
      </c>
      <c r="AP38" s="40">
        <f>IF(SUM(AN36:AN38)=3,SUM(AO36:AO38),"")</f>
        <v/>
      </c>
      <c r="AQ38" s="38">
        <f>IF(ISNUMBER(AP38),1,0)</f>
        <v/>
      </c>
      <c r="AR38" s="40">
        <f>IF(AQ38=1,AP38,0)</f>
        <v/>
      </c>
      <c r="AS38" s="38">
        <f>SUM(AQ$5:AQ38)</f>
        <v/>
      </c>
      <c r="AT38" s="40">
        <f>IF(AS38&gt;=MIN_OBS_Z,SUMPRODUCT(AQ$5:AQ38,AR$5:AR38)/AS38,"")</f>
        <v/>
      </c>
      <c r="AU38" s="40">
        <f>IF(AS38&gt;=MIN_OBS_Z,SQRT(SUMPRODUCT(AQ$5:AQ38,(AR$5:AR38-AT38)^2)/(AS38-1)),"")</f>
        <v/>
      </c>
      <c r="AV38" s="40">
        <f>IF(AND(AQ38=1,ISNUMBER(AT38)),MAX(-Z_CLIP,MIN(Z_CLIP,(AR38-AT38)/AU38)),"")</f>
        <v/>
      </c>
      <c r="AW38" s="40">
        <f>IF(ISNUMBER(AV38),-AV38,"")</f>
        <v/>
      </c>
      <c r="AX38" s="40">
        <f>IF(ISNUMBER(AW38),1+AMPLITUD*TANH(AW38),"")</f>
        <v/>
      </c>
      <c r="AY38" s="40">
        <f>IF($A38="","",IF(COUNT(AX36:AX38)&gt;0,AVERAGE(AX36:AX38),""))</f>
        <v/>
      </c>
      <c r="AZ38" s="40">
        <f>IF(ISNUMBER(AY38),AY38-1,"")</f>
        <v/>
      </c>
      <c r="BA38" s="40">
        <f>IF(AND(ISNUMBER(AZ37),ISNUMBER(W38)),AZ37*W_BANCOS*W38,"")</f>
        <v/>
      </c>
      <c r="BB38" s="40">
        <f>IF(AND(ISNUMBER(AZ37),ISNUMBER(AZ36)),ABS(AZ37-AZ36)*W_BANCOS*COSTO,0)</f>
        <v/>
      </c>
      <c r="BC38" s="40">
        <f>IF(ISNUMBER(BA38),BA38-BB38,"")</f>
        <v/>
      </c>
      <c r="BD38" s="42">
        <f>IF(ISNUMBER(BC38),IF(A38&lt;=FECHA_ERA,"A","B"),"")</f>
        <v/>
      </c>
      <c r="BE38" s="40">
        <f>IF(BD38="A",BC38,"")</f>
        <v/>
      </c>
      <c r="BF38" s="40">
        <f>IF(BD38="B",BC38,"")</f>
        <v/>
      </c>
      <c r="BG38" s="38">
        <f>IF(AND(ISNUMBER(BC38),ISNUMBER(A38)),IF(A38&gt;=INICIO_VIVO,1,0),0)</f>
        <v/>
      </c>
      <c r="BH38" s="40">
        <f>IF(BG38=1,BC38,"")</f>
        <v/>
      </c>
      <c r="BI38" s="38">
        <f>IF(ISNUMBER(AY38),ROW(),0)</f>
        <v/>
      </c>
      <c r="BJ38" s="43">
        <f>IF(ISNUMBER(BC38),SUM(BC$5:BC38)*10000,NA())</f>
        <v/>
      </c>
      <c r="BK38" s="43">
        <f>IF(BG38=1,SUM(BH$5:BH38)*10000,NA())</f>
        <v/>
      </c>
      <c r="BL38" s="44">
        <f>IF(ISNUMBER(AY38),AY38,NA())</f>
        <v/>
      </c>
    </row>
    <row r="39">
      <c r="A39" s="36">
        <f>IF(Datos!A39="","",Datos!A39)</f>
        <v/>
      </c>
      <c r="B39" s="37">
        <f>IF(OR($A39="",NOT(ISNUMBER(Datos!B39)),NOT(ISNUMBER(Datos!B38))),"",Datos!B39/Datos!B38-1)</f>
        <v/>
      </c>
      <c r="C39" s="37">
        <f>IF(OR($A39="",NOT(ISNUMBER(Datos!C39)),NOT(ISNUMBER(Datos!C38))),"",Datos!C39/Datos!C38-1)</f>
        <v/>
      </c>
      <c r="D39" s="37">
        <f>IF(OR($A39="",NOT(ISNUMBER(Datos!D39)),NOT(ISNUMBER(Datos!D38))),"",Datos!D39/Datos!D38-1)</f>
        <v/>
      </c>
      <c r="E39" s="37">
        <f>IF(OR($A39="",NOT(ISNUMBER(Datos!E39)),NOT(ISNUMBER(Datos!E38))),"",Datos!E39/Datos!E38-1)</f>
        <v/>
      </c>
      <c r="F39" s="38">
        <f>IF($A39="","",COUNT(B39:E39))</f>
        <v/>
      </c>
      <c r="G39" s="37">
        <f>IF($A39="","",IF(F39&gt;=MIN_BANCOS,AVERAGE(B39:E39),""))</f>
        <v/>
      </c>
      <c r="H39" s="37">
        <f>IF(OR($A39="",NOT(ISNUMBER(Datos!F39)),NOT(ISNUMBER(Datos!F38))),"",Datos!F39/Datos!F38-1)</f>
        <v/>
      </c>
      <c r="I39" s="39">
        <f>IF($A39="","",IF(ISNUMBER(Datos!G39),Datos!G39,I38))</f>
        <v/>
      </c>
      <c r="J39" s="40">
        <f>IF($A39="","",IF(ISNUMBER(I38),LN(1+I38/100/12),0))</f>
        <v/>
      </c>
      <c r="K39" s="40">
        <f>IF(ISNUMBER(G39),LN(1+G39)-J39,"")</f>
        <v/>
      </c>
      <c r="L39" s="40">
        <f>IF(ISNUMBER(H39),LN(1+H39)-J39,"")</f>
        <v/>
      </c>
      <c r="M39" s="38">
        <f>IF(ISNUMBER(K39),1,0)</f>
        <v/>
      </c>
      <c r="N39" s="40">
        <f>IF(M39=1,K39,0)</f>
        <v/>
      </c>
      <c r="O39" s="38">
        <f>IF(ISNUMBER(L39),1,0)</f>
        <v/>
      </c>
      <c r="P39" s="40">
        <f>IF(O39=1,L39,0)</f>
        <v/>
      </c>
      <c r="Q39" s="38">
        <f>M39*O39</f>
        <v/>
      </c>
      <c r="R39" s="38">
        <f>SUM(Q5:Q38)</f>
        <v/>
      </c>
      <c r="S39" s="41">
        <f>IF(OR($A39="",R39&lt;MIN_OBS_ROLL),"",(SUMPRODUCT(Q5:Q38,N5:N38,P5:P38)/R39-SUMPRODUCT(Q5:Q38,N5:N38)/R39*SUMPRODUCT(Q5:Q38,P5:P38)/R39)*R39/(R39-1))</f>
        <v/>
      </c>
      <c r="T39" s="38">
        <f>SUM(O5:O38)</f>
        <v/>
      </c>
      <c r="U39" s="41">
        <f>IF(OR($A39="",T39&lt;MIN_OBS_ROLL),"",SUMPRODUCT(O5:O38,(P5:P38-SUMPRODUCT(O5:O38,P5:P38)/T39)^2)/(T39-1))</f>
        <v/>
      </c>
      <c r="V39" s="40">
        <f>IF(OR(S39="",U39=""),"",S39/U39)</f>
        <v/>
      </c>
      <c r="W39" s="40">
        <f>IF(AND(ISNUMBER(K39),ISNUMBER(L39),ISNUMBER(V39)),K39-V39*L39,"")</f>
        <v/>
      </c>
      <c r="X39" s="40">
        <f>IF(OR($A39="",NOT(ISNUMBER(Datos!H39)),NOT(ISNUMBER(Datos!H38))),"",LN(Datos!H39)-LN(Datos!H38))</f>
        <v/>
      </c>
      <c r="Y39" s="38">
        <f>IF(ISNUMBER(W39),1,0)</f>
        <v/>
      </c>
      <c r="Z39" s="40">
        <f>IF(Y39=1,W39,0)</f>
        <v/>
      </c>
      <c r="AA39" s="38">
        <f>IF(ISNUMBER(X39),1,0)</f>
        <v/>
      </c>
      <c r="AB39" s="40">
        <f>IF(AA39=1,X39,0)</f>
        <v/>
      </c>
      <c r="AC39" s="38">
        <f>Y39*AA39</f>
        <v/>
      </c>
      <c r="AD39" s="38">
        <f>SUM(AC5:AC38)</f>
        <v/>
      </c>
      <c r="AE39" s="41">
        <f>IF(OR($A39="",AD39&lt;MIN_OBS_ROLL),"",(SUMPRODUCT(AC5:AC38,Z5:Z38,AB5:AB38)/AD39-SUMPRODUCT(AC5:AC38,Z5:Z38)/AD39*SUMPRODUCT(AC5:AC38,AB5:AB38)/AD39)*AD39/(AD39-1))</f>
        <v/>
      </c>
      <c r="AF39" s="38">
        <f>SUM(AA5:AA38)</f>
        <v/>
      </c>
      <c r="AG39" s="41">
        <f>IF(OR($A39="",AF39&lt;MIN_OBS_ROLL),"",SUMPRODUCT(AA5:AA38,(AB5:AB38-SUMPRODUCT(AA5:AA38,AB5:AB38)/AF39)^2)/(AF39-1))</f>
        <v/>
      </c>
      <c r="AH39" s="38">
        <f>SUM(Y5:Y38)</f>
        <v/>
      </c>
      <c r="AI39" s="40">
        <f>IF(OR($A39="",AH39&lt;MIN_OBS_ROLL),"",SUMPRODUCT(Y5:Y38,Z5:Z38)/AH39)</f>
        <v/>
      </c>
      <c r="AJ39" s="40">
        <f>IF(OR($A39="",AF39&lt;MIN_OBS_ROLL),"",SUMPRODUCT(AA5:AA38,AB5:AB38)/AF39)</f>
        <v/>
      </c>
      <c r="AK39" s="40">
        <f>IF(OR(AE39="",AG39=""),"",AE39/AG39)</f>
        <v/>
      </c>
      <c r="AL39" s="40">
        <f>IF(OR(AI39="",AK39="",AJ39=""),"",AI39-AK39*AJ39)</f>
        <v/>
      </c>
      <c r="AM39" s="40">
        <f>IF(AND(ISNUMBER(W39),ISNUMBER(X39),ISNUMBER(AK39),ISNUMBER(AL39)),W39-(AL39+AK39*X39),"")</f>
        <v/>
      </c>
      <c r="AN39" s="38">
        <f>IF(ISNUMBER(AM39),1,0)</f>
        <v/>
      </c>
      <c r="AO39" s="40">
        <f>IF(AN39=1,AM39,0)</f>
        <v/>
      </c>
      <c r="AP39" s="40">
        <f>IF(SUM(AN37:AN39)=3,SUM(AO37:AO39),"")</f>
        <v/>
      </c>
      <c r="AQ39" s="38">
        <f>IF(ISNUMBER(AP39),1,0)</f>
        <v/>
      </c>
      <c r="AR39" s="40">
        <f>IF(AQ39=1,AP39,0)</f>
        <v/>
      </c>
      <c r="AS39" s="38">
        <f>SUM(AQ$5:AQ39)</f>
        <v/>
      </c>
      <c r="AT39" s="40">
        <f>IF(AS39&gt;=MIN_OBS_Z,SUMPRODUCT(AQ$5:AQ39,AR$5:AR39)/AS39,"")</f>
        <v/>
      </c>
      <c r="AU39" s="40">
        <f>IF(AS39&gt;=MIN_OBS_Z,SQRT(SUMPRODUCT(AQ$5:AQ39,(AR$5:AR39-AT39)^2)/(AS39-1)),"")</f>
        <v/>
      </c>
      <c r="AV39" s="40">
        <f>IF(AND(AQ39=1,ISNUMBER(AT39)),MAX(-Z_CLIP,MIN(Z_CLIP,(AR39-AT39)/AU39)),"")</f>
        <v/>
      </c>
      <c r="AW39" s="40">
        <f>IF(ISNUMBER(AV39),-AV39,"")</f>
        <v/>
      </c>
      <c r="AX39" s="40">
        <f>IF(ISNUMBER(AW39),1+AMPLITUD*TANH(AW39),"")</f>
        <v/>
      </c>
      <c r="AY39" s="40">
        <f>IF($A39="","",IF(COUNT(AX37:AX39)&gt;0,AVERAGE(AX37:AX39),""))</f>
        <v/>
      </c>
      <c r="AZ39" s="40">
        <f>IF(ISNUMBER(AY39),AY39-1,"")</f>
        <v/>
      </c>
      <c r="BA39" s="40">
        <f>IF(AND(ISNUMBER(AZ38),ISNUMBER(W39)),AZ38*W_BANCOS*W39,"")</f>
        <v/>
      </c>
      <c r="BB39" s="40">
        <f>IF(AND(ISNUMBER(AZ38),ISNUMBER(AZ37)),ABS(AZ38-AZ37)*W_BANCOS*COSTO,0)</f>
        <v/>
      </c>
      <c r="BC39" s="40">
        <f>IF(ISNUMBER(BA39),BA39-BB39,"")</f>
        <v/>
      </c>
      <c r="BD39" s="42">
        <f>IF(ISNUMBER(BC39),IF(A39&lt;=FECHA_ERA,"A","B"),"")</f>
        <v/>
      </c>
      <c r="BE39" s="40">
        <f>IF(BD39="A",BC39,"")</f>
        <v/>
      </c>
      <c r="BF39" s="40">
        <f>IF(BD39="B",BC39,"")</f>
        <v/>
      </c>
      <c r="BG39" s="38">
        <f>IF(AND(ISNUMBER(BC39),ISNUMBER(A39)),IF(A39&gt;=INICIO_VIVO,1,0),0)</f>
        <v/>
      </c>
      <c r="BH39" s="40">
        <f>IF(BG39=1,BC39,"")</f>
        <v/>
      </c>
      <c r="BI39" s="38">
        <f>IF(ISNUMBER(AY39),ROW(),0)</f>
        <v/>
      </c>
      <c r="BJ39" s="43">
        <f>IF(ISNUMBER(BC39),SUM(BC$5:BC39)*10000,NA())</f>
        <v/>
      </c>
      <c r="BK39" s="43">
        <f>IF(BG39=1,SUM(BH$5:BH39)*10000,NA())</f>
        <v/>
      </c>
      <c r="BL39" s="44">
        <f>IF(ISNUMBER(AY39),AY39,NA())</f>
        <v/>
      </c>
    </row>
    <row r="40">
      <c r="A40" s="36">
        <f>IF(Datos!A40="","",Datos!A40)</f>
        <v/>
      </c>
      <c r="B40" s="37">
        <f>IF(OR($A40="",NOT(ISNUMBER(Datos!B40)),NOT(ISNUMBER(Datos!B39))),"",Datos!B40/Datos!B39-1)</f>
        <v/>
      </c>
      <c r="C40" s="37">
        <f>IF(OR($A40="",NOT(ISNUMBER(Datos!C40)),NOT(ISNUMBER(Datos!C39))),"",Datos!C40/Datos!C39-1)</f>
        <v/>
      </c>
      <c r="D40" s="37">
        <f>IF(OR($A40="",NOT(ISNUMBER(Datos!D40)),NOT(ISNUMBER(Datos!D39))),"",Datos!D40/Datos!D39-1)</f>
        <v/>
      </c>
      <c r="E40" s="37">
        <f>IF(OR($A40="",NOT(ISNUMBER(Datos!E40)),NOT(ISNUMBER(Datos!E39))),"",Datos!E40/Datos!E39-1)</f>
        <v/>
      </c>
      <c r="F40" s="38">
        <f>IF($A40="","",COUNT(B40:E40))</f>
        <v/>
      </c>
      <c r="G40" s="37">
        <f>IF($A40="","",IF(F40&gt;=MIN_BANCOS,AVERAGE(B40:E40),""))</f>
        <v/>
      </c>
      <c r="H40" s="37">
        <f>IF(OR($A40="",NOT(ISNUMBER(Datos!F40)),NOT(ISNUMBER(Datos!F39))),"",Datos!F40/Datos!F39-1)</f>
        <v/>
      </c>
      <c r="I40" s="39">
        <f>IF($A40="","",IF(ISNUMBER(Datos!G40),Datos!G40,I39))</f>
        <v/>
      </c>
      <c r="J40" s="40">
        <f>IF($A40="","",IF(ISNUMBER(I39),LN(1+I39/100/12),0))</f>
        <v/>
      </c>
      <c r="K40" s="40">
        <f>IF(ISNUMBER(G40),LN(1+G40)-J40,"")</f>
        <v/>
      </c>
      <c r="L40" s="40">
        <f>IF(ISNUMBER(H40),LN(1+H40)-J40,"")</f>
        <v/>
      </c>
      <c r="M40" s="38">
        <f>IF(ISNUMBER(K40),1,0)</f>
        <v/>
      </c>
      <c r="N40" s="40">
        <f>IF(M40=1,K40,0)</f>
        <v/>
      </c>
      <c r="O40" s="38">
        <f>IF(ISNUMBER(L40),1,0)</f>
        <v/>
      </c>
      <c r="P40" s="40">
        <f>IF(O40=1,L40,0)</f>
        <v/>
      </c>
      <c r="Q40" s="38">
        <f>M40*O40</f>
        <v/>
      </c>
      <c r="R40" s="38">
        <f>SUM(Q5:Q39)</f>
        <v/>
      </c>
      <c r="S40" s="41">
        <f>IF(OR($A40="",R40&lt;MIN_OBS_ROLL),"",(SUMPRODUCT(Q5:Q39,N5:N39,P5:P39)/R40-SUMPRODUCT(Q5:Q39,N5:N39)/R40*SUMPRODUCT(Q5:Q39,P5:P39)/R40)*R40/(R40-1))</f>
        <v/>
      </c>
      <c r="T40" s="38">
        <f>SUM(O5:O39)</f>
        <v/>
      </c>
      <c r="U40" s="41">
        <f>IF(OR($A40="",T40&lt;MIN_OBS_ROLL),"",SUMPRODUCT(O5:O39,(P5:P39-SUMPRODUCT(O5:O39,P5:P39)/T40)^2)/(T40-1))</f>
        <v/>
      </c>
      <c r="V40" s="40">
        <f>IF(OR(S40="",U40=""),"",S40/U40)</f>
        <v/>
      </c>
      <c r="W40" s="40">
        <f>IF(AND(ISNUMBER(K40),ISNUMBER(L40),ISNUMBER(V40)),K40-V40*L40,"")</f>
        <v/>
      </c>
      <c r="X40" s="40">
        <f>IF(OR($A40="",NOT(ISNUMBER(Datos!H40)),NOT(ISNUMBER(Datos!H39))),"",LN(Datos!H40)-LN(Datos!H39))</f>
        <v/>
      </c>
      <c r="Y40" s="38">
        <f>IF(ISNUMBER(W40),1,0)</f>
        <v/>
      </c>
      <c r="Z40" s="40">
        <f>IF(Y40=1,W40,0)</f>
        <v/>
      </c>
      <c r="AA40" s="38">
        <f>IF(ISNUMBER(X40),1,0)</f>
        <v/>
      </c>
      <c r="AB40" s="40">
        <f>IF(AA40=1,X40,0)</f>
        <v/>
      </c>
      <c r="AC40" s="38">
        <f>Y40*AA40</f>
        <v/>
      </c>
      <c r="AD40" s="38">
        <f>SUM(AC5:AC39)</f>
        <v/>
      </c>
      <c r="AE40" s="41">
        <f>IF(OR($A40="",AD40&lt;MIN_OBS_ROLL),"",(SUMPRODUCT(AC5:AC39,Z5:Z39,AB5:AB39)/AD40-SUMPRODUCT(AC5:AC39,Z5:Z39)/AD40*SUMPRODUCT(AC5:AC39,AB5:AB39)/AD40)*AD40/(AD40-1))</f>
        <v/>
      </c>
      <c r="AF40" s="38">
        <f>SUM(AA5:AA39)</f>
        <v/>
      </c>
      <c r="AG40" s="41">
        <f>IF(OR($A40="",AF40&lt;MIN_OBS_ROLL),"",SUMPRODUCT(AA5:AA39,(AB5:AB39-SUMPRODUCT(AA5:AA39,AB5:AB39)/AF40)^2)/(AF40-1))</f>
        <v/>
      </c>
      <c r="AH40" s="38">
        <f>SUM(Y5:Y39)</f>
        <v/>
      </c>
      <c r="AI40" s="40">
        <f>IF(OR($A40="",AH40&lt;MIN_OBS_ROLL),"",SUMPRODUCT(Y5:Y39,Z5:Z39)/AH40)</f>
        <v/>
      </c>
      <c r="AJ40" s="40">
        <f>IF(OR($A40="",AF40&lt;MIN_OBS_ROLL),"",SUMPRODUCT(AA5:AA39,AB5:AB39)/AF40)</f>
        <v/>
      </c>
      <c r="AK40" s="40">
        <f>IF(OR(AE40="",AG40=""),"",AE40/AG40)</f>
        <v/>
      </c>
      <c r="AL40" s="40">
        <f>IF(OR(AI40="",AK40="",AJ40=""),"",AI40-AK40*AJ40)</f>
        <v/>
      </c>
      <c r="AM40" s="40">
        <f>IF(AND(ISNUMBER(W40),ISNUMBER(X40),ISNUMBER(AK40),ISNUMBER(AL40)),W40-(AL40+AK40*X40),"")</f>
        <v/>
      </c>
      <c r="AN40" s="38">
        <f>IF(ISNUMBER(AM40),1,0)</f>
        <v/>
      </c>
      <c r="AO40" s="40">
        <f>IF(AN40=1,AM40,0)</f>
        <v/>
      </c>
      <c r="AP40" s="40">
        <f>IF(SUM(AN38:AN40)=3,SUM(AO38:AO40),"")</f>
        <v/>
      </c>
      <c r="AQ40" s="38">
        <f>IF(ISNUMBER(AP40),1,0)</f>
        <v/>
      </c>
      <c r="AR40" s="40">
        <f>IF(AQ40=1,AP40,0)</f>
        <v/>
      </c>
      <c r="AS40" s="38">
        <f>SUM(AQ$5:AQ40)</f>
        <v/>
      </c>
      <c r="AT40" s="40">
        <f>IF(AS40&gt;=MIN_OBS_Z,SUMPRODUCT(AQ$5:AQ40,AR$5:AR40)/AS40,"")</f>
        <v/>
      </c>
      <c r="AU40" s="40">
        <f>IF(AS40&gt;=MIN_OBS_Z,SQRT(SUMPRODUCT(AQ$5:AQ40,(AR$5:AR40-AT40)^2)/(AS40-1)),"")</f>
        <v/>
      </c>
      <c r="AV40" s="40">
        <f>IF(AND(AQ40=1,ISNUMBER(AT40)),MAX(-Z_CLIP,MIN(Z_CLIP,(AR40-AT40)/AU40)),"")</f>
        <v/>
      </c>
      <c r="AW40" s="40">
        <f>IF(ISNUMBER(AV40),-AV40,"")</f>
        <v/>
      </c>
      <c r="AX40" s="40">
        <f>IF(ISNUMBER(AW40),1+AMPLITUD*TANH(AW40),"")</f>
        <v/>
      </c>
      <c r="AY40" s="40">
        <f>IF($A40="","",IF(COUNT(AX38:AX40)&gt;0,AVERAGE(AX38:AX40),""))</f>
        <v/>
      </c>
      <c r="AZ40" s="40">
        <f>IF(ISNUMBER(AY40),AY40-1,"")</f>
        <v/>
      </c>
      <c r="BA40" s="40">
        <f>IF(AND(ISNUMBER(AZ39),ISNUMBER(W40)),AZ39*W_BANCOS*W40,"")</f>
        <v/>
      </c>
      <c r="BB40" s="40">
        <f>IF(AND(ISNUMBER(AZ39),ISNUMBER(AZ38)),ABS(AZ39-AZ38)*W_BANCOS*COSTO,0)</f>
        <v/>
      </c>
      <c r="BC40" s="40">
        <f>IF(ISNUMBER(BA40),BA40-BB40,"")</f>
        <v/>
      </c>
      <c r="BD40" s="42">
        <f>IF(ISNUMBER(BC40),IF(A40&lt;=FECHA_ERA,"A","B"),"")</f>
        <v/>
      </c>
      <c r="BE40" s="40">
        <f>IF(BD40="A",BC40,"")</f>
        <v/>
      </c>
      <c r="BF40" s="40">
        <f>IF(BD40="B",BC40,"")</f>
        <v/>
      </c>
      <c r="BG40" s="38">
        <f>IF(AND(ISNUMBER(BC40),ISNUMBER(A40)),IF(A40&gt;=INICIO_VIVO,1,0),0)</f>
        <v/>
      </c>
      <c r="BH40" s="40">
        <f>IF(BG40=1,BC40,"")</f>
        <v/>
      </c>
      <c r="BI40" s="38">
        <f>IF(ISNUMBER(AY40),ROW(),0)</f>
        <v/>
      </c>
      <c r="BJ40" s="43">
        <f>IF(ISNUMBER(BC40),SUM(BC$5:BC40)*10000,NA())</f>
        <v/>
      </c>
      <c r="BK40" s="43">
        <f>IF(BG40=1,SUM(BH$5:BH40)*10000,NA())</f>
        <v/>
      </c>
      <c r="BL40" s="44">
        <f>IF(ISNUMBER(AY40),AY40,NA())</f>
        <v/>
      </c>
    </row>
    <row r="41">
      <c r="A41" s="36">
        <f>IF(Datos!A41="","",Datos!A41)</f>
        <v/>
      </c>
      <c r="B41" s="37">
        <f>IF(OR($A41="",NOT(ISNUMBER(Datos!B41)),NOT(ISNUMBER(Datos!B40))),"",Datos!B41/Datos!B40-1)</f>
        <v/>
      </c>
      <c r="C41" s="37">
        <f>IF(OR($A41="",NOT(ISNUMBER(Datos!C41)),NOT(ISNUMBER(Datos!C40))),"",Datos!C41/Datos!C40-1)</f>
        <v/>
      </c>
      <c r="D41" s="37">
        <f>IF(OR($A41="",NOT(ISNUMBER(Datos!D41)),NOT(ISNUMBER(Datos!D40))),"",Datos!D41/Datos!D40-1)</f>
        <v/>
      </c>
      <c r="E41" s="37">
        <f>IF(OR($A41="",NOT(ISNUMBER(Datos!E41)),NOT(ISNUMBER(Datos!E40))),"",Datos!E41/Datos!E40-1)</f>
        <v/>
      </c>
      <c r="F41" s="38">
        <f>IF($A41="","",COUNT(B41:E41))</f>
        <v/>
      </c>
      <c r="G41" s="37">
        <f>IF($A41="","",IF(F41&gt;=MIN_BANCOS,AVERAGE(B41:E41),""))</f>
        <v/>
      </c>
      <c r="H41" s="37">
        <f>IF(OR($A41="",NOT(ISNUMBER(Datos!F41)),NOT(ISNUMBER(Datos!F40))),"",Datos!F41/Datos!F40-1)</f>
        <v/>
      </c>
      <c r="I41" s="39">
        <f>IF($A41="","",IF(ISNUMBER(Datos!G41),Datos!G41,I40))</f>
        <v/>
      </c>
      <c r="J41" s="40">
        <f>IF($A41="","",IF(ISNUMBER(I40),LN(1+I40/100/12),0))</f>
        <v/>
      </c>
      <c r="K41" s="40">
        <f>IF(ISNUMBER(G41),LN(1+G41)-J41,"")</f>
        <v/>
      </c>
      <c r="L41" s="40">
        <f>IF(ISNUMBER(H41),LN(1+H41)-J41,"")</f>
        <v/>
      </c>
      <c r="M41" s="38">
        <f>IF(ISNUMBER(K41),1,0)</f>
        <v/>
      </c>
      <c r="N41" s="40">
        <f>IF(M41=1,K41,0)</f>
        <v/>
      </c>
      <c r="O41" s="38">
        <f>IF(ISNUMBER(L41),1,0)</f>
        <v/>
      </c>
      <c r="P41" s="40">
        <f>IF(O41=1,L41,0)</f>
        <v/>
      </c>
      <c r="Q41" s="38">
        <f>M41*O41</f>
        <v/>
      </c>
      <c r="R41" s="38">
        <f>SUM(Q5:Q40)</f>
        <v/>
      </c>
      <c r="S41" s="41">
        <f>IF(OR($A41="",R41&lt;MIN_OBS_ROLL),"",(SUMPRODUCT(Q5:Q40,N5:N40,P5:P40)/R41-SUMPRODUCT(Q5:Q40,N5:N40)/R41*SUMPRODUCT(Q5:Q40,P5:P40)/R41)*R41/(R41-1))</f>
        <v/>
      </c>
      <c r="T41" s="38">
        <f>SUM(O5:O40)</f>
        <v/>
      </c>
      <c r="U41" s="41">
        <f>IF(OR($A41="",T41&lt;MIN_OBS_ROLL),"",SUMPRODUCT(O5:O40,(P5:P40-SUMPRODUCT(O5:O40,P5:P40)/T41)^2)/(T41-1))</f>
        <v/>
      </c>
      <c r="V41" s="40">
        <f>IF(OR(S41="",U41=""),"",S41/U41)</f>
        <v/>
      </c>
      <c r="W41" s="40">
        <f>IF(AND(ISNUMBER(K41),ISNUMBER(L41),ISNUMBER(V41)),K41-V41*L41,"")</f>
        <v/>
      </c>
      <c r="X41" s="40">
        <f>IF(OR($A41="",NOT(ISNUMBER(Datos!H41)),NOT(ISNUMBER(Datos!H40))),"",LN(Datos!H41)-LN(Datos!H40))</f>
        <v/>
      </c>
      <c r="Y41" s="38">
        <f>IF(ISNUMBER(W41),1,0)</f>
        <v/>
      </c>
      <c r="Z41" s="40">
        <f>IF(Y41=1,W41,0)</f>
        <v/>
      </c>
      <c r="AA41" s="38">
        <f>IF(ISNUMBER(X41),1,0)</f>
        <v/>
      </c>
      <c r="AB41" s="40">
        <f>IF(AA41=1,X41,0)</f>
        <v/>
      </c>
      <c r="AC41" s="38">
        <f>Y41*AA41</f>
        <v/>
      </c>
      <c r="AD41" s="38">
        <f>SUM(AC5:AC40)</f>
        <v/>
      </c>
      <c r="AE41" s="41">
        <f>IF(OR($A41="",AD41&lt;MIN_OBS_ROLL),"",(SUMPRODUCT(AC5:AC40,Z5:Z40,AB5:AB40)/AD41-SUMPRODUCT(AC5:AC40,Z5:Z40)/AD41*SUMPRODUCT(AC5:AC40,AB5:AB40)/AD41)*AD41/(AD41-1))</f>
        <v/>
      </c>
      <c r="AF41" s="38">
        <f>SUM(AA5:AA40)</f>
        <v/>
      </c>
      <c r="AG41" s="41">
        <f>IF(OR($A41="",AF41&lt;MIN_OBS_ROLL),"",SUMPRODUCT(AA5:AA40,(AB5:AB40-SUMPRODUCT(AA5:AA40,AB5:AB40)/AF41)^2)/(AF41-1))</f>
        <v/>
      </c>
      <c r="AH41" s="38">
        <f>SUM(Y5:Y40)</f>
        <v/>
      </c>
      <c r="AI41" s="40">
        <f>IF(OR($A41="",AH41&lt;MIN_OBS_ROLL),"",SUMPRODUCT(Y5:Y40,Z5:Z40)/AH41)</f>
        <v/>
      </c>
      <c r="AJ41" s="40">
        <f>IF(OR($A41="",AF41&lt;MIN_OBS_ROLL),"",SUMPRODUCT(AA5:AA40,AB5:AB40)/AF41)</f>
        <v/>
      </c>
      <c r="AK41" s="40">
        <f>IF(OR(AE41="",AG41=""),"",AE41/AG41)</f>
        <v/>
      </c>
      <c r="AL41" s="40">
        <f>IF(OR(AI41="",AK41="",AJ41=""),"",AI41-AK41*AJ41)</f>
        <v/>
      </c>
      <c r="AM41" s="40">
        <f>IF(AND(ISNUMBER(W41),ISNUMBER(X41),ISNUMBER(AK41),ISNUMBER(AL41)),W41-(AL41+AK41*X41),"")</f>
        <v/>
      </c>
      <c r="AN41" s="38">
        <f>IF(ISNUMBER(AM41),1,0)</f>
        <v/>
      </c>
      <c r="AO41" s="40">
        <f>IF(AN41=1,AM41,0)</f>
        <v/>
      </c>
      <c r="AP41" s="40">
        <f>IF(SUM(AN39:AN41)=3,SUM(AO39:AO41),"")</f>
        <v/>
      </c>
      <c r="AQ41" s="38">
        <f>IF(ISNUMBER(AP41),1,0)</f>
        <v/>
      </c>
      <c r="AR41" s="40">
        <f>IF(AQ41=1,AP41,0)</f>
        <v/>
      </c>
      <c r="AS41" s="38">
        <f>SUM(AQ$5:AQ41)</f>
        <v/>
      </c>
      <c r="AT41" s="40">
        <f>IF(AS41&gt;=MIN_OBS_Z,SUMPRODUCT(AQ$5:AQ41,AR$5:AR41)/AS41,"")</f>
        <v/>
      </c>
      <c r="AU41" s="40">
        <f>IF(AS41&gt;=MIN_OBS_Z,SQRT(SUMPRODUCT(AQ$5:AQ41,(AR$5:AR41-AT41)^2)/(AS41-1)),"")</f>
        <v/>
      </c>
      <c r="AV41" s="40">
        <f>IF(AND(AQ41=1,ISNUMBER(AT41)),MAX(-Z_CLIP,MIN(Z_CLIP,(AR41-AT41)/AU41)),"")</f>
        <v/>
      </c>
      <c r="AW41" s="40">
        <f>IF(ISNUMBER(AV41),-AV41,"")</f>
        <v/>
      </c>
      <c r="AX41" s="40">
        <f>IF(ISNUMBER(AW41),1+AMPLITUD*TANH(AW41),"")</f>
        <v/>
      </c>
      <c r="AY41" s="40">
        <f>IF($A41="","",IF(COUNT(AX39:AX41)&gt;0,AVERAGE(AX39:AX41),""))</f>
        <v/>
      </c>
      <c r="AZ41" s="40">
        <f>IF(ISNUMBER(AY41),AY41-1,"")</f>
        <v/>
      </c>
      <c r="BA41" s="40">
        <f>IF(AND(ISNUMBER(AZ40),ISNUMBER(W41)),AZ40*W_BANCOS*W41,"")</f>
        <v/>
      </c>
      <c r="BB41" s="40">
        <f>IF(AND(ISNUMBER(AZ40),ISNUMBER(AZ39)),ABS(AZ40-AZ39)*W_BANCOS*COSTO,0)</f>
        <v/>
      </c>
      <c r="BC41" s="40">
        <f>IF(ISNUMBER(BA41),BA41-BB41,"")</f>
        <v/>
      </c>
      <c r="BD41" s="42">
        <f>IF(ISNUMBER(BC41),IF(A41&lt;=FECHA_ERA,"A","B"),"")</f>
        <v/>
      </c>
      <c r="BE41" s="40">
        <f>IF(BD41="A",BC41,"")</f>
        <v/>
      </c>
      <c r="BF41" s="40">
        <f>IF(BD41="B",BC41,"")</f>
        <v/>
      </c>
      <c r="BG41" s="38">
        <f>IF(AND(ISNUMBER(BC41),ISNUMBER(A41)),IF(A41&gt;=INICIO_VIVO,1,0),0)</f>
        <v/>
      </c>
      <c r="BH41" s="40">
        <f>IF(BG41=1,BC41,"")</f>
        <v/>
      </c>
      <c r="BI41" s="38">
        <f>IF(ISNUMBER(AY41),ROW(),0)</f>
        <v/>
      </c>
      <c r="BJ41" s="43">
        <f>IF(ISNUMBER(BC41),SUM(BC$5:BC41)*10000,NA())</f>
        <v/>
      </c>
      <c r="BK41" s="43">
        <f>IF(BG41=1,SUM(BH$5:BH41)*10000,NA())</f>
        <v/>
      </c>
      <c r="BL41" s="44">
        <f>IF(ISNUMBER(AY41),AY41,NA())</f>
        <v/>
      </c>
    </row>
    <row r="42">
      <c r="A42" s="36">
        <f>IF(Datos!A42="","",Datos!A42)</f>
        <v/>
      </c>
      <c r="B42" s="37">
        <f>IF(OR($A42="",NOT(ISNUMBER(Datos!B42)),NOT(ISNUMBER(Datos!B41))),"",Datos!B42/Datos!B41-1)</f>
        <v/>
      </c>
      <c r="C42" s="37">
        <f>IF(OR($A42="",NOT(ISNUMBER(Datos!C42)),NOT(ISNUMBER(Datos!C41))),"",Datos!C42/Datos!C41-1)</f>
        <v/>
      </c>
      <c r="D42" s="37">
        <f>IF(OR($A42="",NOT(ISNUMBER(Datos!D42)),NOT(ISNUMBER(Datos!D41))),"",Datos!D42/Datos!D41-1)</f>
        <v/>
      </c>
      <c r="E42" s="37">
        <f>IF(OR($A42="",NOT(ISNUMBER(Datos!E42)),NOT(ISNUMBER(Datos!E41))),"",Datos!E42/Datos!E41-1)</f>
        <v/>
      </c>
      <c r="F42" s="38">
        <f>IF($A42="","",COUNT(B42:E42))</f>
        <v/>
      </c>
      <c r="G42" s="37">
        <f>IF($A42="","",IF(F42&gt;=MIN_BANCOS,AVERAGE(B42:E42),""))</f>
        <v/>
      </c>
      <c r="H42" s="37">
        <f>IF(OR($A42="",NOT(ISNUMBER(Datos!F42)),NOT(ISNUMBER(Datos!F41))),"",Datos!F42/Datos!F41-1)</f>
        <v/>
      </c>
      <c r="I42" s="39">
        <f>IF($A42="","",IF(ISNUMBER(Datos!G42),Datos!G42,I41))</f>
        <v/>
      </c>
      <c r="J42" s="40">
        <f>IF($A42="","",IF(ISNUMBER(I41),LN(1+I41/100/12),0))</f>
        <v/>
      </c>
      <c r="K42" s="40">
        <f>IF(ISNUMBER(G42),LN(1+G42)-J42,"")</f>
        <v/>
      </c>
      <c r="L42" s="40">
        <f>IF(ISNUMBER(H42),LN(1+H42)-J42,"")</f>
        <v/>
      </c>
      <c r="M42" s="38">
        <f>IF(ISNUMBER(K42),1,0)</f>
        <v/>
      </c>
      <c r="N42" s="40">
        <f>IF(M42=1,K42,0)</f>
        <v/>
      </c>
      <c r="O42" s="38">
        <f>IF(ISNUMBER(L42),1,0)</f>
        <v/>
      </c>
      <c r="P42" s="40">
        <f>IF(O42=1,L42,0)</f>
        <v/>
      </c>
      <c r="Q42" s="38">
        <f>M42*O42</f>
        <v/>
      </c>
      <c r="R42" s="38">
        <f>SUM(Q6:Q41)</f>
        <v/>
      </c>
      <c r="S42" s="41">
        <f>IF(OR($A42="",R42&lt;MIN_OBS_ROLL),"",(SUMPRODUCT(Q6:Q41,N6:N41,P6:P41)/R42-SUMPRODUCT(Q6:Q41,N6:N41)/R42*SUMPRODUCT(Q6:Q41,P6:P41)/R42)*R42/(R42-1))</f>
        <v/>
      </c>
      <c r="T42" s="38">
        <f>SUM(O6:O41)</f>
        <v/>
      </c>
      <c r="U42" s="41">
        <f>IF(OR($A42="",T42&lt;MIN_OBS_ROLL),"",SUMPRODUCT(O6:O41,(P6:P41-SUMPRODUCT(O6:O41,P6:P41)/T42)^2)/(T42-1))</f>
        <v/>
      </c>
      <c r="V42" s="40">
        <f>IF(OR(S42="",U42=""),"",S42/U42)</f>
        <v/>
      </c>
      <c r="W42" s="40">
        <f>IF(AND(ISNUMBER(K42),ISNUMBER(L42),ISNUMBER(V42)),K42-V42*L42,"")</f>
        <v/>
      </c>
      <c r="X42" s="40">
        <f>IF(OR($A42="",NOT(ISNUMBER(Datos!H42)),NOT(ISNUMBER(Datos!H41))),"",LN(Datos!H42)-LN(Datos!H41))</f>
        <v/>
      </c>
      <c r="Y42" s="38">
        <f>IF(ISNUMBER(W42),1,0)</f>
        <v/>
      </c>
      <c r="Z42" s="40">
        <f>IF(Y42=1,W42,0)</f>
        <v/>
      </c>
      <c r="AA42" s="38">
        <f>IF(ISNUMBER(X42),1,0)</f>
        <v/>
      </c>
      <c r="AB42" s="40">
        <f>IF(AA42=1,X42,0)</f>
        <v/>
      </c>
      <c r="AC42" s="38">
        <f>Y42*AA42</f>
        <v/>
      </c>
      <c r="AD42" s="38">
        <f>SUM(AC6:AC41)</f>
        <v/>
      </c>
      <c r="AE42" s="41">
        <f>IF(OR($A42="",AD42&lt;MIN_OBS_ROLL),"",(SUMPRODUCT(AC6:AC41,Z6:Z41,AB6:AB41)/AD42-SUMPRODUCT(AC6:AC41,Z6:Z41)/AD42*SUMPRODUCT(AC6:AC41,AB6:AB41)/AD42)*AD42/(AD42-1))</f>
        <v/>
      </c>
      <c r="AF42" s="38">
        <f>SUM(AA6:AA41)</f>
        <v/>
      </c>
      <c r="AG42" s="41">
        <f>IF(OR($A42="",AF42&lt;MIN_OBS_ROLL),"",SUMPRODUCT(AA6:AA41,(AB6:AB41-SUMPRODUCT(AA6:AA41,AB6:AB41)/AF42)^2)/(AF42-1))</f>
        <v/>
      </c>
      <c r="AH42" s="38">
        <f>SUM(Y6:Y41)</f>
        <v/>
      </c>
      <c r="AI42" s="40">
        <f>IF(OR($A42="",AH42&lt;MIN_OBS_ROLL),"",SUMPRODUCT(Y6:Y41,Z6:Z41)/AH42)</f>
        <v/>
      </c>
      <c r="AJ42" s="40">
        <f>IF(OR($A42="",AF42&lt;MIN_OBS_ROLL),"",SUMPRODUCT(AA6:AA41,AB6:AB41)/AF42)</f>
        <v/>
      </c>
      <c r="AK42" s="40">
        <f>IF(OR(AE42="",AG42=""),"",AE42/AG42)</f>
        <v/>
      </c>
      <c r="AL42" s="40">
        <f>IF(OR(AI42="",AK42="",AJ42=""),"",AI42-AK42*AJ42)</f>
        <v/>
      </c>
      <c r="AM42" s="40">
        <f>IF(AND(ISNUMBER(W42),ISNUMBER(X42),ISNUMBER(AK42),ISNUMBER(AL42)),W42-(AL42+AK42*X42),"")</f>
        <v/>
      </c>
      <c r="AN42" s="38">
        <f>IF(ISNUMBER(AM42),1,0)</f>
        <v/>
      </c>
      <c r="AO42" s="40">
        <f>IF(AN42=1,AM42,0)</f>
        <v/>
      </c>
      <c r="AP42" s="40">
        <f>IF(SUM(AN40:AN42)=3,SUM(AO40:AO42),"")</f>
        <v/>
      </c>
      <c r="AQ42" s="38">
        <f>IF(ISNUMBER(AP42),1,0)</f>
        <v/>
      </c>
      <c r="AR42" s="40">
        <f>IF(AQ42=1,AP42,0)</f>
        <v/>
      </c>
      <c r="AS42" s="38">
        <f>SUM(AQ$5:AQ42)</f>
        <v/>
      </c>
      <c r="AT42" s="40">
        <f>IF(AS42&gt;=MIN_OBS_Z,SUMPRODUCT(AQ$5:AQ42,AR$5:AR42)/AS42,"")</f>
        <v/>
      </c>
      <c r="AU42" s="40">
        <f>IF(AS42&gt;=MIN_OBS_Z,SQRT(SUMPRODUCT(AQ$5:AQ42,(AR$5:AR42-AT42)^2)/(AS42-1)),"")</f>
        <v/>
      </c>
      <c r="AV42" s="40">
        <f>IF(AND(AQ42=1,ISNUMBER(AT42)),MAX(-Z_CLIP,MIN(Z_CLIP,(AR42-AT42)/AU42)),"")</f>
        <v/>
      </c>
      <c r="AW42" s="40">
        <f>IF(ISNUMBER(AV42),-AV42,"")</f>
        <v/>
      </c>
      <c r="AX42" s="40">
        <f>IF(ISNUMBER(AW42),1+AMPLITUD*TANH(AW42),"")</f>
        <v/>
      </c>
      <c r="AY42" s="40">
        <f>IF($A42="","",IF(COUNT(AX40:AX42)&gt;0,AVERAGE(AX40:AX42),""))</f>
        <v/>
      </c>
      <c r="AZ42" s="40">
        <f>IF(ISNUMBER(AY42),AY42-1,"")</f>
        <v/>
      </c>
      <c r="BA42" s="40">
        <f>IF(AND(ISNUMBER(AZ41),ISNUMBER(W42)),AZ41*W_BANCOS*W42,"")</f>
        <v/>
      </c>
      <c r="BB42" s="40">
        <f>IF(AND(ISNUMBER(AZ41),ISNUMBER(AZ40)),ABS(AZ41-AZ40)*W_BANCOS*COSTO,0)</f>
        <v/>
      </c>
      <c r="BC42" s="40">
        <f>IF(ISNUMBER(BA42),BA42-BB42,"")</f>
        <v/>
      </c>
      <c r="BD42" s="42">
        <f>IF(ISNUMBER(BC42),IF(A42&lt;=FECHA_ERA,"A","B"),"")</f>
        <v/>
      </c>
      <c r="BE42" s="40">
        <f>IF(BD42="A",BC42,"")</f>
        <v/>
      </c>
      <c r="BF42" s="40">
        <f>IF(BD42="B",BC42,"")</f>
        <v/>
      </c>
      <c r="BG42" s="38">
        <f>IF(AND(ISNUMBER(BC42),ISNUMBER(A42)),IF(A42&gt;=INICIO_VIVO,1,0),0)</f>
        <v/>
      </c>
      <c r="BH42" s="40">
        <f>IF(BG42=1,BC42,"")</f>
        <v/>
      </c>
      <c r="BI42" s="38">
        <f>IF(ISNUMBER(AY42),ROW(),0)</f>
        <v/>
      </c>
      <c r="BJ42" s="43">
        <f>IF(ISNUMBER(BC42),SUM(BC$5:BC42)*10000,NA())</f>
        <v/>
      </c>
      <c r="BK42" s="43">
        <f>IF(BG42=1,SUM(BH$5:BH42)*10000,NA())</f>
        <v/>
      </c>
      <c r="BL42" s="44">
        <f>IF(ISNUMBER(AY42),AY42,NA())</f>
        <v/>
      </c>
    </row>
    <row r="43">
      <c r="A43" s="36">
        <f>IF(Datos!A43="","",Datos!A43)</f>
        <v/>
      </c>
      <c r="B43" s="37">
        <f>IF(OR($A43="",NOT(ISNUMBER(Datos!B43)),NOT(ISNUMBER(Datos!B42))),"",Datos!B43/Datos!B42-1)</f>
        <v/>
      </c>
      <c r="C43" s="37">
        <f>IF(OR($A43="",NOT(ISNUMBER(Datos!C43)),NOT(ISNUMBER(Datos!C42))),"",Datos!C43/Datos!C42-1)</f>
        <v/>
      </c>
      <c r="D43" s="37">
        <f>IF(OR($A43="",NOT(ISNUMBER(Datos!D43)),NOT(ISNUMBER(Datos!D42))),"",Datos!D43/Datos!D42-1)</f>
        <v/>
      </c>
      <c r="E43" s="37">
        <f>IF(OR($A43="",NOT(ISNUMBER(Datos!E43)),NOT(ISNUMBER(Datos!E42))),"",Datos!E43/Datos!E42-1)</f>
        <v/>
      </c>
      <c r="F43" s="38">
        <f>IF($A43="","",COUNT(B43:E43))</f>
        <v/>
      </c>
      <c r="G43" s="37">
        <f>IF($A43="","",IF(F43&gt;=MIN_BANCOS,AVERAGE(B43:E43),""))</f>
        <v/>
      </c>
      <c r="H43" s="37">
        <f>IF(OR($A43="",NOT(ISNUMBER(Datos!F43)),NOT(ISNUMBER(Datos!F42))),"",Datos!F43/Datos!F42-1)</f>
        <v/>
      </c>
      <c r="I43" s="39">
        <f>IF($A43="","",IF(ISNUMBER(Datos!G43),Datos!G43,I42))</f>
        <v/>
      </c>
      <c r="J43" s="40">
        <f>IF($A43="","",IF(ISNUMBER(I42),LN(1+I42/100/12),0))</f>
        <v/>
      </c>
      <c r="K43" s="40">
        <f>IF(ISNUMBER(G43),LN(1+G43)-J43,"")</f>
        <v/>
      </c>
      <c r="L43" s="40">
        <f>IF(ISNUMBER(H43),LN(1+H43)-J43,"")</f>
        <v/>
      </c>
      <c r="M43" s="38">
        <f>IF(ISNUMBER(K43),1,0)</f>
        <v/>
      </c>
      <c r="N43" s="40">
        <f>IF(M43=1,K43,0)</f>
        <v/>
      </c>
      <c r="O43" s="38">
        <f>IF(ISNUMBER(L43),1,0)</f>
        <v/>
      </c>
      <c r="P43" s="40">
        <f>IF(O43=1,L43,0)</f>
        <v/>
      </c>
      <c r="Q43" s="38">
        <f>M43*O43</f>
        <v/>
      </c>
      <c r="R43" s="38">
        <f>SUM(Q7:Q42)</f>
        <v/>
      </c>
      <c r="S43" s="41">
        <f>IF(OR($A43="",R43&lt;MIN_OBS_ROLL),"",(SUMPRODUCT(Q7:Q42,N7:N42,P7:P42)/R43-SUMPRODUCT(Q7:Q42,N7:N42)/R43*SUMPRODUCT(Q7:Q42,P7:P42)/R43)*R43/(R43-1))</f>
        <v/>
      </c>
      <c r="T43" s="38">
        <f>SUM(O7:O42)</f>
        <v/>
      </c>
      <c r="U43" s="41">
        <f>IF(OR($A43="",T43&lt;MIN_OBS_ROLL),"",SUMPRODUCT(O7:O42,(P7:P42-SUMPRODUCT(O7:O42,P7:P42)/T43)^2)/(T43-1))</f>
        <v/>
      </c>
      <c r="V43" s="40">
        <f>IF(OR(S43="",U43=""),"",S43/U43)</f>
        <v/>
      </c>
      <c r="W43" s="40">
        <f>IF(AND(ISNUMBER(K43),ISNUMBER(L43),ISNUMBER(V43)),K43-V43*L43,"")</f>
        <v/>
      </c>
      <c r="X43" s="40">
        <f>IF(OR($A43="",NOT(ISNUMBER(Datos!H43)),NOT(ISNUMBER(Datos!H42))),"",LN(Datos!H43)-LN(Datos!H42))</f>
        <v/>
      </c>
      <c r="Y43" s="38">
        <f>IF(ISNUMBER(W43),1,0)</f>
        <v/>
      </c>
      <c r="Z43" s="40">
        <f>IF(Y43=1,W43,0)</f>
        <v/>
      </c>
      <c r="AA43" s="38">
        <f>IF(ISNUMBER(X43),1,0)</f>
        <v/>
      </c>
      <c r="AB43" s="40">
        <f>IF(AA43=1,X43,0)</f>
        <v/>
      </c>
      <c r="AC43" s="38">
        <f>Y43*AA43</f>
        <v/>
      </c>
      <c r="AD43" s="38">
        <f>SUM(AC7:AC42)</f>
        <v/>
      </c>
      <c r="AE43" s="41">
        <f>IF(OR($A43="",AD43&lt;MIN_OBS_ROLL),"",(SUMPRODUCT(AC7:AC42,Z7:Z42,AB7:AB42)/AD43-SUMPRODUCT(AC7:AC42,Z7:Z42)/AD43*SUMPRODUCT(AC7:AC42,AB7:AB42)/AD43)*AD43/(AD43-1))</f>
        <v/>
      </c>
      <c r="AF43" s="38">
        <f>SUM(AA7:AA42)</f>
        <v/>
      </c>
      <c r="AG43" s="41">
        <f>IF(OR($A43="",AF43&lt;MIN_OBS_ROLL),"",SUMPRODUCT(AA7:AA42,(AB7:AB42-SUMPRODUCT(AA7:AA42,AB7:AB42)/AF43)^2)/(AF43-1))</f>
        <v/>
      </c>
      <c r="AH43" s="38">
        <f>SUM(Y7:Y42)</f>
        <v/>
      </c>
      <c r="AI43" s="40">
        <f>IF(OR($A43="",AH43&lt;MIN_OBS_ROLL),"",SUMPRODUCT(Y7:Y42,Z7:Z42)/AH43)</f>
        <v/>
      </c>
      <c r="AJ43" s="40">
        <f>IF(OR($A43="",AF43&lt;MIN_OBS_ROLL),"",SUMPRODUCT(AA7:AA42,AB7:AB42)/AF43)</f>
        <v/>
      </c>
      <c r="AK43" s="40">
        <f>IF(OR(AE43="",AG43=""),"",AE43/AG43)</f>
        <v/>
      </c>
      <c r="AL43" s="40">
        <f>IF(OR(AI43="",AK43="",AJ43=""),"",AI43-AK43*AJ43)</f>
        <v/>
      </c>
      <c r="AM43" s="40">
        <f>IF(AND(ISNUMBER(W43),ISNUMBER(X43),ISNUMBER(AK43),ISNUMBER(AL43)),W43-(AL43+AK43*X43),"")</f>
        <v/>
      </c>
      <c r="AN43" s="38">
        <f>IF(ISNUMBER(AM43),1,0)</f>
        <v/>
      </c>
      <c r="AO43" s="40">
        <f>IF(AN43=1,AM43,0)</f>
        <v/>
      </c>
      <c r="AP43" s="40">
        <f>IF(SUM(AN41:AN43)=3,SUM(AO41:AO43),"")</f>
        <v/>
      </c>
      <c r="AQ43" s="38">
        <f>IF(ISNUMBER(AP43),1,0)</f>
        <v/>
      </c>
      <c r="AR43" s="40">
        <f>IF(AQ43=1,AP43,0)</f>
        <v/>
      </c>
      <c r="AS43" s="38">
        <f>SUM(AQ$5:AQ43)</f>
        <v/>
      </c>
      <c r="AT43" s="40">
        <f>IF(AS43&gt;=MIN_OBS_Z,SUMPRODUCT(AQ$5:AQ43,AR$5:AR43)/AS43,"")</f>
        <v/>
      </c>
      <c r="AU43" s="40">
        <f>IF(AS43&gt;=MIN_OBS_Z,SQRT(SUMPRODUCT(AQ$5:AQ43,(AR$5:AR43-AT43)^2)/(AS43-1)),"")</f>
        <v/>
      </c>
      <c r="AV43" s="40">
        <f>IF(AND(AQ43=1,ISNUMBER(AT43)),MAX(-Z_CLIP,MIN(Z_CLIP,(AR43-AT43)/AU43)),"")</f>
        <v/>
      </c>
      <c r="AW43" s="40">
        <f>IF(ISNUMBER(AV43),-AV43,"")</f>
        <v/>
      </c>
      <c r="AX43" s="40">
        <f>IF(ISNUMBER(AW43),1+AMPLITUD*TANH(AW43),"")</f>
        <v/>
      </c>
      <c r="AY43" s="40">
        <f>IF($A43="","",IF(COUNT(AX41:AX43)&gt;0,AVERAGE(AX41:AX43),""))</f>
        <v/>
      </c>
      <c r="AZ43" s="40">
        <f>IF(ISNUMBER(AY43),AY43-1,"")</f>
        <v/>
      </c>
      <c r="BA43" s="40">
        <f>IF(AND(ISNUMBER(AZ42),ISNUMBER(W43)),AZ42*W_BANCOS*W43,"")</f>
        <v/>
      </c>
      <c r="BB43" s="40">
        <f>IF(AND(ISNUMBER(AZ42),ISNUMBER(AZ41)),ABS(AZ42-AZ41)*W_BANCOS*COSTO,0)</f>
        <v/>
      </c>
      <c r="BC43" s="40">
        <f>IF(ISNUMBER(BA43),BA43-BB43,"")</f>
        <v/>
      </c>
      <c r="BD43" s="42">
        <f>IF(ISNUMBER(BC43),IF(A43&lt;=FECHA_ERA,"A","B"),"")</f>
        <v/>
      </c>
      <c r="BE43" s="40">
        <f>IF(BD43="A",BC43,"")</f>
        <v/>
      </c>
      <c r="BF43" s="40">
        <f>IF(BD43="B",BC43,"")</f>
        <v/>
      </c>
      <c r="BG43" s="38">
        <f>IF(AND(ISNUMBER(BC43),ISNUMBER(A43)),IF(A43&gt;=INICIO_VIVO,1,0),0)</f>
        <v/>
      </c>
      <c r="BH43" s="40">
        <f>IF(BG43=1,BC43,"")</f>
        <v/>
      </c>
      <c r="BI43" s="38">
        <f>IF(ISNUMBER(AY43),ROW(),0)</f>
        <v/>
      </c>
      <c r="BJ43" s="43">
        <f>IF(ISNUMBER(BC43),SUM(BC$5:BC43)*10000,NA())</f>
        <v/>
      </c>
      <c r="BK43" s="43">
        <f>IF(BG43=1,SUM(BH$5:BH43)*10000,NA())</f>
        <v/>
      </c>
      <c r="BL43" s="44">
        <f>IF(ISNUMBER(AY43),AY43,NA())</f>
        <v/>
      </c>
    </row>
    <row r="44">
      <c r="A44" s="36">
        <f>IF(Datos!A44="","",Datos!A44)</f>
        <v/>
      </c>
      <c r="B44" s="37">
        <f>IF(OR($A44="",NOT(ISNUMBER(Datos!B44)),NOT(ISNUMBER(Datos!B43))),"",Datos!B44/Datos!B43-1)</f>
        <v/>
      </c>
      <c r="C44" s="37">
        <f>IF(OR($A44="",NOT(ISNUMBER(Datos!C44)),NOT(ISNUMBER(Datos!C43))),"",Datos!C44/Datos!C43-1)</f>
        <v/>
      </c>
      <c r="D44" s="37">
        <f>IF(OR($A44="",NOT(ISNUMBER(Datos!D44)),NOT(ISNUMBER(Datos!D43))),"",Datos!D44/Datos!D43-1)</f>
        <v/>
      </c>
      <c r="E44" s="37">
        <f>IF(OR($A44="",NOT(ISNUMBER(Datos!E44)),NOT(ISNUMBER(Datos!E43))),"",Datos!E44/Datos!E43-1)</f>
        <v/>
      </c>
      <c r="F44" s="38">
        <f>IF($A44="","",COUNT(B44:E44))</f>
        <v/>
      </c>
      <c r="G44" s="37">
        <f>IF($A44="","",IF(F44&gt;=MIN_BANCOS,AVERAGE(B44:E44),""))</f>
        <v/>
      </c>
      <c r="H44" s="37">
        <f>IF(OR($A44="",NOT(ISNUMBER(Datos!F44)),NOT(ISNUMBER(Datos!F43))),"",Datos!F44/Datos!F43-1)</f>
        <v/>
      </c>
      <c r="I44" s="39">
        <f>IF($A44="","",IF(ISNUMBER(Datos!G44),Datos!G44,I43))</f>
        <v/>
      </c>
      <c r="J44" s="40">
        <f>IF($A44="","",IF(ISNUMBER(I43),LN(1+I43/100/12),0))</f>
        <v/>
      </c>
      <c r="K44" s="40">
        <f>IF(ISNUMBER(G44),LN(1+G44)-J44,"")</f>
        <v/>
      </c>
      <c r="L44" s="40">
        <f>IF(ISNUMBER(H44),LN(1+H44)-J44,"")</f>
        <v/>
      </c>
      <c r="M44" s="38">
        <f>IF(ISNUMBER(K44),1,0)</f>
        <v/>
      </c>
      <c r="N44" s="40">
        <f>IF(M44=1,K44,0)</f>
        <v/>
      </c>
      <c r="O44" s="38">
        <f>IF(ISNUMBER(L44),1,0)</f>
        <v/>
      </c>
      <c r="P44" s="40">
        <f>IF(O44=1,L44,0)</f>
        <v/>
      </c>
      <c r="Q44" s="38">
        <f>M44*O44</f>
        <v/>
      </c>
      <c r="R44" s="38">
        <f>SUM(Q8:Q43)</f>
        <v/>
      </c>
      <c r="S44" s="41">
        <f>IF(OR($A44="",R44&lt;MIN_OBS_ROLL),"",(SUMPRODUCT(Q8:Q43,N8:N43,P8:P43)/R44-SUMPRODUCT(Q8:Q43,N8:N43)/R44*SUMPRODUCT(Q8:Q43,P8:P43)/R44)*R44/(R44-1))</f>
        <v/>
      </c>
      <c r="T44" s="38">
        <f>SUM(O8:O43)</f>
        <v/>
      </c>
      <c r="U44" s="41">
        <f>IF(OR($A44="",T44&lt;MIN_OBS_ROLL),"",SUMPRODUCT(O8:O43,(P8:P43-SUMPRODUCT(O8:O43,P8:P43)/T44)^2)/(T44-1))</f>
        <v/>
      </c>
      <c r="V44" s="40">
        <f>IF(OR(S44="",U44=""),"",S44/U44)</f>
        <v/>
      </c>
      <c r="W44" s="40">
        <f>IF(AND(ISNUMBER(K44),ISNUMBER(L44),ISNUMBER(V44)),K44-V44*L44,"")</f>
        <v/>
      </c>
      <c r="X44" s="40">
        <f>IF(OR($A44="",NOT(ISNUMBER(Datos!H44)),NOT(ISNUMBER(Datos!H43))),"",LN(Datos!H44)-LN(Datos!H43))</f>
        <v/>
      </c>
      <c r="Y44" s="38">
        <f>IF(ISNUMBER(W44),1,0)</f>
        <v/>
      </c>
      <c r="Z44" s="40">
        <f>IF(Y44=1,W44,0)</f>
        <v/>
      </c>
      <c r="AA44" s="38">
        <f>IF(ISNUMBER(X44),1,0)</f>
        <v/>
      </c>
      <c r="AB44" s="40">
        <f>IF(AA44=1,X44,0)</f>
        <v/>
      </c>
      <c r="AC44" s="38">
        <f>Y44*AA44</f>
        <v/>
      </c>
      <c r="AD44" s="38">
        <f>SUM(AC8:AC43)</f>
        <v/>
      </c>
      <c r="AE44" s="41">
        <f>IF(OR($A44="",AD44&lt;MIN_OBS_ROLL),"",(SUMPRODUCT(AC8:AC43,Z8:Z43,AB8:AB43)/AD44-SUMPRODUCT(AC8:AC43,Z8:Z43)/AD44*SUMPRODUCT(AC8:AC43,AB8:AB43)/AD44)*AD44/(AD44-1))</f>
        <v/>
      </c>
      <c r="AF44" s="38">
        <f>SUM(AA8:AA43)</f>
        <v/>
      </c>
      <c r="AG44" s="41">
        <f>IF(OR($A44="",AF44&lt;MIN_OBS_ROLL),"",SUMPRODUCT(AA8:AA43,(AB8:AB43-SUMPRODUCT(AA8:AA43,AB8:AB43)/AF44)^2)/(AF44-1))</f>
        <v/>
      </c>
      <c r="AH44" s="38">
        <f>SUM(Y8:Y43)</f>
        <v/>
      </c>
      <c r="AI44" s="40">
        <f>IF(OR($A44="",AH44&lt;MIN_OBS_ROLL),"",SUMPRODUCT(Y8:Y43,Z8:Z43)/AH44)</f>
        <v/>
      </c>
      <c r="AJ44" s="40">
        <f>IF(OR($A44="",AF44&lt;MIN_OBS_ROLL),"",SUMPRODUCT(AA8:AA43,AB8:AB43)/AF44)</f>
        <v/>
      </c>
      <c r="AK44" s="40">
        <f>IF(OR(AE44="",AG44=""),"",AE44/AG44)</f>
        <v/>
      </c>
      <c r="AL44" s="40">
        <f>IF(OR(AI44="",AK44="",AJ44=""),"",AI44-AK44*AJ44)</f>
        <v/>
      </c>
      <c r="AM44" s="40">
        <f>IF(AND(ISNUMBER(W44),ISNUMBER(X44),ISNUMBER(AK44),ISNUMBER(AL44)),W44-(AL44+AK44*X44),"")</f>
        <v/>
      </c>
      <c r="AN44" s="38">
        <f>IF(ISNUMBER(AM44),1,0)</f>
        <v/>
      </c>
      <c r="AO44" s="40">
        <f>IF(AN44=1,AM44,0)</f>
        <v/>
      </c>
      <c r="AP44" s="40">
        <f>IF(SUM(AN42:AN44)=3,SUM(AO42:AO44),"")</f>
        <v/>
      </c>
      <c r="AQ44" s="38">
        <f>IF(ISNUMBER(AP44),1,0)</f>
        <v/>
      </c>
      <c r="AR44" s="40">
        <f>IF(AQ44=1,AP44,0)</f>
        <v/>
      </c>
      <c r="AS44" s="38">
        <f>SUM(AQ$5:AQ44)</f>
        <v/>
      </c>
      <c r="AT44" s="40">
        <f>IF(AS44&gt;=MIN_OBS_Z,SUMPRODUCT(AQ$5:AQ44,AR$5:AR44)/AS44,"")</f>
        <v/>
      </c>
      <c r="AU44" s="40">
        <f>IF(AS44&gt;=MIN_OBS_Z,SQRT(SUMPRODUCT(AQ$5:AQ44,(AR$5:AR44-AT44)^2)/(AS44-1)),"")</f>
        <v/>
      </c>
      <c r="AV44" s="40">
        <f>IF(AND(AQ44=1,ISNUMBER(AT44)),MAX(-Z_CLIP,MIN(Z_CLIP,(AR44-AT44)/AU44)),"")</f>
        <v/>
      </c>
      <c r="AW44" s="40">
        <f>IF(ISNUMBER(AV44),-AV44,"")</f>
        <v/>
      </c>
      <c r="AX44" s="40">
        <f>IF(ISNUMBER(AW44),1+AMPLITUD*TANH(AW44),"")</f>
        <v/>
      </c>
      <c r="AY44" s="40">
        <f>IF($A44="","",IF(COUNT(AX42:AX44)&gt;0,AVERAGE(AX42:AX44),""))</f>
        <v/>
      </c>
      <c r="AZ44" s="40">
        <f>IF(ISNUMBER(AY44),AY44-1,"")</f>
        <v/>
      </c>
      <c r="BA44" s="40">
        <f>IF(AND(ISNUMBER(AZ43),ISNUMBER(W44)),AZ43*W_BANCOS*W44,"")</f>
        <v/>
      </c>
      <c r="BB44" s="40">
        <f>IF(AND(ISNUMBER(AZ43),ISNUMBER(AZ42)),ABS(AZ43-AZ42)*W_BANCOS*COSTO,0)</f>
        <v/>
      </c>
      <c r="BC44" s="40">
        <f>IF(ISNUMBER(BA44),BA44-BB44,"")</f>
        <v/>
      </c>
      <c r="BD44" s="42">
        <f>IF(ISNUMBER(BC44),IF(A44&lt;=FECHA_ERA,"A","B"),"")</f>
        <v/>
      </c>
      <c r="BE44" s="40">
        <f>IF(BD44="A",BC44,"")</f>
        <v/>
      </c>
      <c r="BF44" s="40">
        <f>IF(BD44="B",BC44,"")</f>
        <v/>
      </c>
      <c r="BG44" s="38">
        <f>IF(AND(ISNUMBER(BC44),ISNUMBER(A44)),IF(A44&gt;=INICIO_VIVO,1,0),0)</f>
        <v/>
      </c>
      <c r="BH44" s="40">
        <f>IF(BG44=1,BC44,"")</f>
        <v/>
      </c>
      <c r="BI44" s="38">
        <f>IF(ISNUMBER(AY44),ROW(),0)</f>
        <v/>
      </c>
      <c r="BJ44" s="43">
        <f>IF(ISNUMBER(BC44),SUM(BC$5:BC44)*10000,NA())</f>
        <v/>
      </c>
      <c r="BK44" s="43">
        <f>IF(BG44=1,SUM(BH$5:BH44)*10000,NA())</f>
        <v/>
      </c>
      <c r="BL44" s="44">
        <f>IF(ISNUMBER(AY44),AY44,NA())</f>
        <v/>
      </c>
    </row>
    <row r="45">
      <c r="A45" s="36">
        <f>IF(Datos!A45="","",Datos!A45)</f>
        <v/>
      </c>
      <c r="B45" s="37">
        <f>IF(OR($A45="",NOT(ISNUMBER(Datos!B45)),NOT(ISNUMBER(Datos!B44))),"",Datos!B45/Datos!B44-1)</f>
        <v/>
      </c>
      <c r="C45" s="37">
        <f>IF(OR($A45="",NOT(ISNUMBER(Datos!C45)),NOT(ISNUMBER(Datos!C44))),"",Datos!C45/Datos!C44-1)</f>
        <v/>
      </c>
      <c r="D45" s="37">
        <f>IF(OR($A45="",NOT(ISNUMBER(Datos!D45)),NOT(ISNUMBER(Datos!D44))),"",Datos!D45/Datos!D44-1)</f>
        <v/>
      </c>
      <c r="E45" s="37">
        <f>IF(OR($A45="",NOT(ISNUMBER(Datos!E45)),NOT(ISNUMBER(Datos!E44))),"",Datos!E45/Datos!E44-1)</f>
        <v/>
      </c>
      <c r="F45" s="38">
        <f>IF($A45="","",COUNT(B45:E45))</f>
        <v/>
      </c>
      <c r="G45" s="37">
        <f>IF($A45="","",IF(F45&gt;=MIN_BANCOS,AVERAGE(B45:E45),""))</f>
        <v/>
      </c>
      <c r="H45" s="37">
        <f>IF(OR($A45="",NOT(ISNUMBER(Datos!F45)),NOT(ISNUMBER(Datos!F44))),"",Datos!F45/Datos!F44-1)</f>
        <v/>
      </c>
      <c r="I45" s="39">
        <f>IF($A45="","",IF(ISNUMBER(Datos!G45),Datos!G45,I44))</f>
        <v/>
      </c>
      <c r="J45" s="40">
        <f>IF($A45="","",IF(ISNUMBER(I44),LN(1+I44/100/12),0))</f>
        <v/>
      </c>
      <c r="K45" s="40">
        <f>IF(ISNUMBER(G45),LN(1+G45)-J45,"")</f>
        <v/>
      </c>
      <c r="L45" s="40">
        <f>IF(ISNUMBER(H45),LN(1+H45)-J45,"")</f>
        <v/>
      </c>
      <c r="M45" s="38">
        <f>IF(ISNUMBER(K45),1,0)</f>
        <v/>
      </c>
      <c r="N45" s="40">
        <f>IF(M45=1,K45,0)</f>
        <v/>
      </c>
      <c r="O45" s="38">
        <f>IF(ISNUMBER(L45),1,0)</f>
        <v/>
      </c>
      <c r="P45" s="40">
        <f>IF(O45=1,L45,0)</f>
        <v/>
      </c>
      <c r="Q45" s="38">
        <f>M45*O45</f>
        <v/>
      </c>
      <c r="R45" s="38">
        <f>SUM(Q9:Q44)</f>
        <v/>
      </c>
      <c r="S45" s="41">
        <f>IF(OR($A45="",R45&lt;MIN_OBS_ROLL),"",(SUMPRODUCT(Q9:Q44,N9:N44,P9:P44)/R45-SUMPRODUCT(Q9:Q44,N9:N44)/R45*SUMPRODUCT(Q9:Q44,P9:P44)/R45)*R45/(R45-1))</f>
        <v/>
      </c>
      <c r="T45" s="38">
        <f>SUM(O9:O44)</f>
        <v/>
      </c>
      <c r="U45" s="41">
        <f>IF(OR($A45="",T45&lt;MIN_OBS_ROLL),"",SUMPRODUCT(O9:O44,(P9:P44-SUMPRODUCT(O9:O44,P9:P44)/T45)^2)/(T45-1))</f>
        <v/>
      </c>
      <c r="V45" s="40">
        <f>IF(OR(S45="",U45=""),"",S45/U45)</f>
        <v/>
      </c>
      <c r="W45" s="40">
        <f>IF(AND(ISNUMBER(K45),ISNUMBER(L45),ISNUMBER(V45)),K45-V45*L45,"")</f>
        <v/>
      </c>
      <c r="X45" s="40">
        <f>IF(OR($A45="",NOT(ISNUMBER(Datos!H45)),NOT(ISNUMBER(Datos!H44))),"",LN(Datos!H45)-LN(Datos!H44))</f>
        <v/>
      </c>
      <c r="Y45" s="38">
        <f>IF(ISNUMBER(W45),1,0)</f>
        <v/>
      </c>
      <c r="Z45" s="40">
        <f>IF(Y45=1,W45,0)</f>
        <v/>
      </c>
      <c r="AA45" s="38">
        <f>IF(ISNUMBER(X45),1,0)</f>
        <v/>
      </c>
      <c r="AB45" s="40">
        <f>IF(AA45=1,X45,0)</f>
        <v/>
      </c>
      <c r="AC45" s="38">
        <f>Y45*AA45</f>
        <v/>
      </c>
      <c r="AD45" s="38">
        <f>SUM(AC9:AC44)</f>
        <v/>
      </c>
      <c r="AE45" s="41">
        <f>IF(OR($A45="",AD45&lt;MIN_OBS_ROLL),"",(SUMPRODUCT(AC9:AC44,Z9:Z44,AB9:AB44)/AD45-SUMPRODUCT(AC9:AC44,Z9:Z44)/AD45*SUMPRODUCT(AC9:AC44,AB9:AB44)/AD45)*AD45/(AD45-1))</f>
        <v/>
      </c>
      <c r="AF45" s="38">
        <f>SUM(AA9:AA44)</f>
        <v/>
      </c>
      <c r="AG45" s="41">
        <f>IF(OR($A45="",AF45&lt;MIN_OBS_ROLL),"",SUMPRODUCT(AA9:AA44,(AB9:AB44-SUMPRODUCT(AA9:AA44,AB9:AB44)/AF45)^2)/(AF45-1))</f>
        <v/>
      </c>
      <c r="AH45" s="38">
        <f>SUM(Y9:Y44)</f>
        <v/>
      </c>
      <c r="AI45" s="40">
        <f>IF(OR($A45="",AH45&lt;MIN_OBS_ROLL),"",SUMPRODUCT(Y9:Y44,Z9:Z44)/AH45)</f>
        <v/>
      </c>
      <c r="AJ45" s="40">
        <f>IF(OR($A45="",AF45&lt;MIN_OBS_ROLL),"",SUMPRODUCT(AA9:AA44,AB9:AB44)/AF45)</f>
        <v/>
      </c>
      <c r="AK45" s="40">
        <f>IF(OR(AE45="",AG45=""),"",AE45/AG45)</f>
        <v/>
      </c>
      <c r="AL45" s="40">
        <f>IF(OR(AI45="",AK45="",AJ45=""),"",AI45-AK45*AJ45)</f>
        <v/>
      </c>
      <c r="AM45" s="40">
        <f>IF(AND(ISNUMBER(W45),ISNUMBER(X45),ISNUMBER(AK45),ISNUMBER(AL45)),W45-(AL45+AK45*X45),"")</f>
        <v/>
      </c>
      <c r="AN45" s="38">
        <f>IF(ISNUMBER(AM45),1,0)</f>
        <v/>
      </c>
      <c r="AO45" s="40">
        <f>IF(AN45=1,AM45,0)</f>
        <v/>
      </c>
      <c r="AP45" s="40">
        <f>IF(SUM(AN43:AN45)=3,SUM(AO43:AO45),"")</f>
        <v/>
      </c>
      <c r="AQ45" s="38">
        <f>IF(ISNUMBER(AP45),1,0)</f>
        <v/>
      </c>
      <c r="AR45" s="40">
        <f>IF(AQ45=1,AP45,0)</f>
        <v/>
      </c>
      <c r="AS45" s="38">
        <f>SUM(AQ$5:AQ45)</f>
        <v/>
      </c>
      <c r="AT45" s="40">
        <f>IF(AS45&gt;=MIN_OBS_Z,SUMPRODUCT(AQ$5:AQ45,AR$5:AR45)/AS45,"")</f>
        <v/>
      </c>
      <c r="AU45" s="40">
        <f>IF(AS45&gt;=MIN_OBS_Z,SQRT(SUMPRODUCT(AQ$5:AQ45,(AR$5:AR45-AT45)^2)/(AS45-1)),"")</f>
        <v/>
      </c>
      <c r="AV45" s="40">
        <f>IF(AND(AQ45=1,ISNUMBER(AT45)),MAX(-Z_CLIP,MIN(Z_CLIP,(AR45-AT45)/AU45)),"")</f>
        <v/>
      </c>
      <c r="AW45" s="40">
        <f>IF(ISNUMBER(AV45),-AV45,"")</f>
        <v/>
      </c>
      <c r="AX45" s="40">
        <f>IF(ISNUMBER(AW45),1+AMPLITUD*TANH(AW45),"")</f>
        <v/>
      </c>
      <c r="AY45" s="40">
        <f>IF($A45="","",IF(COUNT(AX43:AX45)&gt;0,AVERAGE(AX43:AX45),""))</f>
        <v/>
      </c>
      <c r="AZ45" s="40">
        <f>IF(ISNUMBER(AY45),AY45-1,"")</f>
        <v/>
      </c>
      <c r="BA45" s="40">
        <f>IF(AND(ISNUMBER(AZ44),ISNUMBER(W45)),AZ44*W_BANCOS*W45,"")</f>
        <v/>
      </c>
      <c r="BB45" s="40">
        <f>IF(AND(ISNUMBER(AZ44),ISNUMBER(AZ43)),ABS(AZ44-AZ43)*W_BANCOS*COSTO,0)</f>
        <v/>
      </c>
      <c r="BC45" s="40">
        <f>IF(ISNUMBER(BA45),BA45-BB45,"")</f>
        <v/>
      </c>
      <c r="BD45" s="42">
        <f>IF(ISNUMBER(BC45),IF(A45&lt;=FECHA_ERA,"A","B"),"")</f>
        <v/>
      </c>
      <c r="BE45" s="40">
        <f>IF(BD45="A",BC45,"")</f>
        <v/>
      </c>
      <c r="BF45" s="40">
        <f>IF(BD45="B",BC45,"")</f>
        <v/>
      </c>
      <c r="BG45" s="38">
        <f>IF(AND(ISNUMBER(BC45),ISNUMBER(A45)),IF(A45&gt;=INICIO_VIVO,1,0),0)</f>
        <v/>
      </c>
      <c r="BH45" s="40">
        <f>IF(BG45=1,BC45,"")</f>
        <v/>
      </c>
      <c r="BI45" s="38">
        <f>IF(ISNUMBER(AY45),ROW(),0)</f>
        <v/>
      </c>
      <c r="BJ45" s="43">
        <f>IF(ISNUMBER(BC45),SUM(BC$5:BC45)*10000,NA())</f>
        <v/>
      </c>
      <c r="BK45" s="43">
        <f>IF(BG45=1,SUM(BH$5:BH45)*10000,NA())</f>
        <v/>
      </c>
      <c r="BL45" s="44">
        <f>IF(ISNUMBER(AY45),AY45,NA())</f>
        <v/>
      </c>
    </row>
    <row r="46">
      <c r="A46" s="36">
        <f>IF(Datos!A46="","",Datos!A46)</f>
        <v/>
      </c>
      <c r="B46" s="37">
        <f>IF(OR($A46="",NOT(ISNUMBER(Datos!B46)),NOT(ISNUMBER(Datos!B45))),"",Datos!B46/Datos!B45-1)</f>
        <v/>
      </c>
      <c r="C46" s="37">
        <f>IF(OR($A46="",NOT(ISNUMBER(Datos!C46)),NOT(ISNUMBER(Datos!C45))),"",Datos!C46/Datos!C45-1)</f>
        <v/>
      </c>
      <c r="D46" s="37">
        <f>IF(OR($A46="",NOT(ISNUMBER(Datos!D46)),NOT(ISNUMBER(Datos!D45))),"",Datos!D46/Datos!D45-1)</f>
        <v/>
      </c>
      <c r="E46" s="37">
        <f>IF(OR($A46="",NOT(ISNUMBER(Datos!E46)),NOT(ISNUMBER(Datos!E45))),"",Datos!E46/Datos!E45-1)</f>
        <v/>
      </c>
      <c r="F46" s="38">
        <f>IF($A46="","",COUNT(B46:E46))</f>
        <v/>
      </c>
      <c r="G46" s="37">
        <f>IF($A46="","",IF(F46&gt;=MIN_BANCOS,AVERAGE(B46:E46),""))</f>
        <v/>
      </c>
      <c r="H46" s="37">
        <f>IF(OR($A46="",NOT(ISNUMBER(Datos!F46)),NOT(ISNUMBER(Datos!F45))),"",Datos!F46/Datos!F45-1)</f>
        <v/>
      </c>
      <c r="I46" s="39">
        <f>IF($A46="","",IF(ISNUMBER(Datos!G46),Datos!G46,I45))</f>
        <v/>
      </c>
      <c r="J46" s="40">
        <f>IF($A46="","",IF(ISNUMBER(I45),LN(1+I45/100/12),0))</f>
        <v/>
      </c>
      <c r="K46" s="40">
        <f>IF(ISNUMBER(G46),LN(1+G46)-J46,"")</f>
        <v/>
      </c>
      <c r="L46" s="40">
        <f>IF(ISNUMBER(H46),LN(1+H46)-J46,"")</f>
        <v/>
      </c>
      <c r="M46" s="38">
        <f>IF(ISNUMBER(K46),1,0)</f>
        <v/>
      </c>
      <c r="N46" s="40">
        <f>IF(M46=1,K46,0)</f>
        <v/>
      </c>
      <c r="O46" s="38">
        <f>IF(ISNUMBER(L46),1,0)</f>
        <v/>
      </c>
      <c r="P46" s="40">
        <f>IF(O46=1,L46,0)</f>
        <v/>
      </c>
      <c r="Q46" s="38">
        <f>M46*O46</f>
        <v/>
      </c>
      <c r="R46" s="38">
        <f>SUM(Q10:Q45)</f>
        <v/>
      </c>
      <c r="S46" s="41">
        <f>IF(OR($A46="",R46&lt;MIN_OBS_ROLL),"",(SUMPRODUCT(Q10:Q45,N10:N45,P10:P45)/R46-SUMPRODUCT(Q10:Q45,N10:N45)/R46*SUMPRODUCT(Q10:Q45,P10:P45)/R46)*R46/(R46-1))</f>
        <v/>
      </c>
      <c r="T46" s="38">
        <f>SUM(O10:O45)</f>
        <v/>
      </c>
      <c r="U46" s="41">
        <f>IF(OR($A46="",T46&lt;MIN_OBS_ROLL),"",SUMPRODUCT(O10:O45,(P10:P45-SUMPRODUCT(O10:O45,P10:P45)/T46)^2)/(T46-1))</f>
        <v/>
      </c>
      <c r="V46" s="40">
        <f>IF(OR(S46="",U46=""),"",S46/U46)</f>
        <v/>
      </c>
      <c r="W46" s="40">
        <f>IF(AND(ISNUMBER(K46),ISNUMBER(L46),ISNUMBER(V46)),K46-V46*L46,"")</f>
        <v/>
      </c>
      <c r="X46" s="40">
        <f>IF(OR($A46="",NOT(ISNUMBER(Datos!H46)),NOT(ISNUMBER(Datos!H45))),"",LN(Datos!H46)-LN(Datos!H45))</f>
        <v/>
      </c>
      <c r="Y46" s="38">
        <f>IF(ISNUMBER(W46),1,0)</f>
        <v/>
      </c>
      <c r="Z46" s="40">
        <f>IF(Y46=1,W46,0)</f>
        <v/>
      </c>
      <c r="AA46" s="38">
        <f>IF(ISNUMBER(X46),1,0)</f>
        <v/>
      </c>
      <c r="AB46" s="40">
        <f>IF(AA46=1,X46,0)</f>
        <v/>
      </c>
      <c r="AC46" s="38">
        <f>Y46*AA46</f>
        <v/>
      </c>
      <c r="AD46" s="38">
        <f>SUM(AC10:AC45)</f>
        <v/>
      </c>
      <c r="AE46" s="41">
        <f>IF(OR($A46="",AD46&lt;MIN_OBS_ROLL),"",(SUMPRODUCT(AC10:AC45,Z10:Z45,AB10:AB45)/AD46-SUMPRODUCT(AC10:AC45,Z10:Z45)/AD46*SUMPRODUCT(AC10:AC45,AB10:AB45)/AD46)*AD46/(AD46-1))</f>
        <v/>
      </c>
      <c r="AF46" s="38">
        <f>SUM(AA10:AA45)</f>
        <v/>
      </c>
      <c r="AG46" s="41">
        <f>IF(OR($A46="",AF46&lt;MIN_OBS_ROLL),"",SUMPRODUCT(AA10:AA45,(AB10:AB45-SUMPRODUCT(AA10:AA45,AB10:AB45)/AF46)^2)/(AF46-1))</f>
        <v/>
      </c>
      <c r="AH46" s="38">
        <f>SUM(Y10:Y45)</f>
        <v/>
      </c>
      <c r="AI46" s="40">
        <f>IF(OR($A46="",AH46&lt;MIN_OBS_ROLL),"",SUMPRODUCT(Y10:Y45,Z10:Z45)/AH46)</f>
        <v/>
      </c>
      <c r="AJ46" s="40">
        <f>IF(OR($A46="",AF46&lt;MIN_OBS_ROLL),"",SUMPRODUCT(AA10:AA45,AB10:AB45)/AF46)</f>
        <v/>
      </c>
      <c r="AK46" s="40">
        <f>IF(OR(AE46="",AG46=""),"",AE46/AG46)</f>
        <v/>
      </c>
      <c r="AL46" s="40">
        <f>IF(OR(AI46="",AK46="",AJ46=""),"",AI46-AK46*AJ46)</f>
        <v/>
      </c>
      <c r="AM46" s="40">
        <f>IF(AND(ISNUMBER(W46),ISNUMBER(X46),ISNUMBER(AK46),ISNUMBER(AL46)),W46-(AL46+AK46*X46),"")</f>
        <v/>
      </c>
      <c r="AN46" s="38">
        <f>IF(ISNUMBER(AM46),1,0)</f>
        <v/>
      </c>
      <c r="AO46" s="40">
        <f>IF(AN46=1,AM46,0)</f>
        <v/>
      </c>
      <c r="AP46" s="40">
        <f>IF(SUM(AN44:AN46)=3,SUM(AO44:AO46),"")</f>
        <v/>
      </c>
      <c r="AQ46" s="38">
        <f>IF(ISNUMBER(AP46),1,0)</f>
        <v/>
      </c>
      <c r="AR46" s="40">
        <f>IF(AQ46=1,AP46,0)</f>
        <v/>
      </c>
      <c r="AS46" s="38">
        <f>SUM(AQ$5:AQ46)</f>
        <v/>
      </c>
      <c r="AT46" s="40">
        <f>IF(AS46&gt;=MIN_OBS_Z,SUMPRODUCT(AQ$5:AQ46,AR$5:AR46)/AS46,"")</f>
        <v/>
      </c>
      <c r="AU46" s="40">
        <f>IF(AS46&gt;=MIN_OBS_Z,SQRT(SUMPRODUCT(AQ$5:AQ46,(AR$5:AR46-AT46)^2)/(AS46-1)),"")</f>
        <v/>
      </c>
      <c r="AV46" s="40">
        <f>IF(AND(AQ46=1,ISNUMBER(AT46)),MAX(-Z_CLIP,MIN(Z_CLIP,(AR46-AT46)/AU46)),"")</f>
        <v/>
      </c>
      <c r="AW46" s="40">
        <f>IF(ISNUMBER(AV46),-AV46,"")</f>
        <v/>
      </c>
      <c r="AX46" s="40">
        <f>IF(ISNUMBER(AW46),1+AMPLITUD*TANH(AW46),"")</f>
        <v/>
      </c>
      <c r="AY46" s="40">
        <f>IF($A46="","",IF(COUNT(AX44:AX46)&gt;0,AVERAGE(AX44:AX46),""))</f>
        <v/>
      </c>
      <c r="AZ46" s="40">
        <f>IF(ISNUMBER(AY46),AY46-1,"")</f>
        <v/>
      </c>
      <c r="BA46" s="40">
        <f>IF(AND(ISNUMBER(AZ45),ISNUMBER(W46)),AZ45*W_BANCOS*W46,"")</f>
        <v/>
      </c>
      <c r="BB46" s="40">
        <f>IF(AND(ISNUMBER(AZ45),ISNUMBER(AZ44)),ABS(AZ45-AZ44)*W_BANCOS*COSTO,0)</f>
        <v/>
      </c>
      <c r="BC46" s="40">
        <f>IF(ISNUMBER(BA46),BA46-BB46,"")</f>
        <v/>
      </c>
      <c r="BD46" s="42">
        <f>IF(ISNUMBER(BC46),IF(A46&lt;=FECHA_ERA,"A","B"),"")</f>
        <v/>
      </c>
      <c r="BE46" s="40">
        <f>IF(BD46="A",BC46,"")</f>
        <v/>
      </c>
      <c r="BF46" s="40">
        <f>IF(BD46="B",BC46,"")</f>
        <v/>
      </c>
      <c r="BG46" s="38">
        <f>IF(AND(ISNUMBER(BC46),ISNUMBER(A46)),IF(A46&gt;=INICIO_VIVO,1,0),0)</f>
        <v/>
      </c>
      <c r="BH46" s="40">
        <f>IF(BG46=1,BC46,"")</f>
        <v/>
      </c>
      <c r="BI46" s="38">
        <f>IF(ISNUMBER(AY46),ROW(),0)</f>
        <v/>
      </c>
      <c r="BJ46" s="43">
        <f>IF(ISNUMBER(BC46),SUM(BC$5:BC46)*10000,NA())</f>
        <v/>
      </c>
      <c r="BK46" s="43">
        <f>IF(BG46=1,SUM(BH$5:BH46)*10000,NA())</f>
        <v/>
      </c>
      <c r="BL46" s="44">
        <f>IF(ISNUMBER(AY46),AY46,NA())</f>
        <v/>
      </c>
    </row>
    <row r="47">
      <c r="A47" s="36">
        <f>IF(Datos!A47="","",Datos!A47)</f>
        <v/>
      </c>
      <c r="B47" s="37">
        <f>IF(OR($A47="",NOT(ISNUMBER(Datos!B47)),NOT(ISNUMBER(Datos!B46))),"",Datos!B47/Datos!B46-1)</f>
        <v/>
      </c>
      <c r="C47" s="37">
        <f>IF(OR($A47="",NOT(ISNUMBER(Datos!C47)),NOT(ISNUMBER(Datos!C46))),"",Datos!C47/Datos!C46-1)</f>
        <v/>
      </c>
      <c r="D47" s="37">
        <f>IF(OR($A47="",NOT(ISNUMBER(Datos!D47)),NOT(ISNUMBER(Datos!D46))),"",Datos!D47/Datos!D46-1)</f>
        <v/>
      </c>
      <c r="E47" s="37">
        <f>IF(OR($A47="",NOT(ISNUMBER(Datos!E47)),NOT(ISNUMBER(Datos!E46))),"",Datos!E47/Datos!E46-1)</f>
        <v/>
      </c>
      <c r="F47" s="38">
        <f>IF($A47="","",COUNT(B47:E47))</f>
        <v/>
      </c>
      <c r="G47" s="37">
        <f>IF($A47="","",IF(F47&gt;=MIN_BANCOS,AVERAGE(B47:E47),""))</f>
        <v/>
      </c>
      <c r="H47" s="37">
        <f>IF(OR($A47="",NOT(ISNUMBER(Datos!F47)),NOT(ISNUMBER(Datos!F46))),"",Datos!F47/Datos!F46-1)</f>
        <v/>
      </c>
      <c r="I47" s="39">
        <f>IF($A47="","",IF(ISNUMBER(Datos!G47),Datos!G47,I46))</f>
        <v/>
      </c>
      <c r="J47" s="40">
        <f>IF($A47="","",IF(ISNUMBER(I46),LN(1+I46/100/12),0))</f>
        <v/>
      </c>
      <c r="K47" s="40">
        <f>IF(ISNUMBER(G47),LN(1+G47)-J47,"")</f>
        <v/>
      </c>
      <c r="L47" s="40">
        <f>IF(ISNUMBER(H47),LN(1+H47)-J47,"")</f>
        <v/>
      </c>
      <c r="M47" s="38">
        <f>IF(ISNUMBER(K47),1,0)</f>
        <v/>
      </c>
      <c r="N47" s="40">
        <f>IF(M47=1,K47,0)</f>
        <v/>
      </c>
      <c r="O47" s="38">
        <f>IF(ISNUMBER(L47),1,0)</f>
        <v/>
      </c>
      <c r="P47" s="40">
        <f>IF(O47=1,L47,0)</f>
        <v/>
      </c>
      <c r="Q47" s="38">
        <f>M47*O47</f>
        <v/>
      </c>
      <c r="R47" s="38">
        <f>SUM(Q11:Q46)</f>
        <v/>
      </c>
      <c r="S47" s="41">
        <f>IF(OR($A47="",R47&lt;MIN_OBS_ROLL),"",(SUMPRODUCT(Q11:Q46,N11:N46,P11:P46)/R47-SUMPRODUCT(Q11:Q46,N11:N46)/R47*SUMPRODUCT(Q11:Q46,P11:P46)/R47)*R47/(R47-1))</f>
        <v/>
      </c>
      <c r="T47" s="38">
        <f>SUM(O11:O46)</f>
        <v/>
      </c>
      <c r="U47" s="41">
        <f>IF(OR($A47="",T47&lt;MIN_OBS_ROLL),"",SUMPRODUCT(O11:O46,(P11:P46-SUMPRODUCT(O11:O46,P11:P46)/T47)^2)/(T47-1))</f>
        <v/>
      </c>
      <c r="V47" s="40">
        <f>IF(OR(S47="",U47=""),"",S47/U47)</f>
        <v/>
      </c>
      <c r="W47" s="40">
        <f>IF(AND(ISNUMBER(K47),ISNUMBER(L47),ISNUMBER(V47)),K47-V47*L47,"")</f>
        <v/>
      </c>
      <c r="X47" s="40">
        <f>IF(OR($A47="",NOT(ISNUMBER(Datos!H47)),NOT(ISNUMBER(Datos!H46))),"",LN(Datos!H47)-LN(Datos!H46))</f>
        <v/>
      </c>
      <c r="Y47" s="38">
        <f>IF(ISNUMBER(W47),1,0)</f>
        <v/>
      </c>
      <c r="Z47" s="40">
        <f>IF(Y47=1,W47,0)</f>
        <v/>
      </c>
      <c r="AA47" s="38">
        <f>IF(ISNUMBER(X47),1,0)</f>
        <v/>
      </c>
      <c r="AB47" s="40">
        <f>IF(AA47=1,X47,0)</f>
        <v/>
      </c>
      <c r="AC47" s="38">
        <f>Y47*AA47</f>
        <v/>
      </c>
      <c r="AD47" s="38">
        <f>SUM(AC11:AC46)</f>
        <v/>
      </c>
      <c r="AE47" s="41">
        <f>IF(OR($A47="",AD47&lt;MIN_OBS_ROLL),"",(SUMPRODUCT(AC11:AC46,Z11:Z46,AB11:AB46)/AD47-SUMPRODUCT(AC11:AC46,Z11:Z46)/AD47*SUMPRODUCT(AC11:AC46,AB11:AB46)/AD47)*AD47/(AD47-1))</f>
        <v/>
      </c>
      <c r="AF47" s="38">
        <f>SUM(AA11:AA46)</f>
        <v/>
      </c>
      <c r="AG47" s="41">
        <f>IF(OR($A47="",AF47&lt;MIN_OBS_ROLL),"",SUMPRODUCT(AA11:AA46,(AB11:AB46-SUMPRODUCT(AA11:AA46,AB11:AB46)/AF47)^2)/(AF47-1))</f>
        <v/>
      </c>
      <c r="AH47" s="38">
        <f>SUM(Y11:Y46)</f>
        <v/>
      </c>
      <c r="AI47" s="40">
        <f>IF(OR($A47="",AH47&lt;MIN_OBS_ROLL),"",SUMPRODUCT(Y11:Y46,Z11:Z46)/AH47)</f>
        <v/>
      </c>
      <c r="AJ47" s="40">
        <f>IF(OR($A47="",AF47&lt;MIN_OBS_ROLL),"",SUMPRODUCT(AA11:AA46,AB11:AB46)/AF47)</f>
        <v/>
      </c>
      <c r="AK47" s="40">
        <f>IF(OR(AE47="",AG47=""),"",AE47/AG47)</f>
        <v/>
      </c>
      <c r="AL47" s="40">
        <f>IF(OR(AI47="",AK47="",AJ47=""),"",AI47-AK47*AJ47)</f>
        <v/>
      </c>
      <c r="AM47" s="40">
        <f>IF(AND(ISNUMBER(W47),ISNUMBER(X47),ISNUMBER(AK47),ISNUMBER(AL47)),W47-(AL47+AK47*X47),"")</f>
        <v/>
      </c>
      <c r="AN47" s="38">
        <f>IF(ISNUMBER(AM47),1,0)</f>
        <v/>
      </c>
      <c r="AO47" s="40">
        <f>IF(AN47=1,AM47,0)</f>
        <v/>
      </c>
      <c r="AP47" s="40">
        <f>IF(SUM(AN45:AN47)=3,SUM(AO45:AO47),"")</f>
        <v/>
      </c>
      <c r="AQ47" s="38">
        <f>IF(ISNUMBER(AP47),1,0)</f>
        <v/>
      </c>
      <c r="AR47" s="40">
        <f>IF(AQ47=1,AP47,0)</f>
        <v/>
      </c>
      <c r="AS47" s="38">
        <f>SUM(AQ$5:AQ47)</f>
        <v/>
      </c>
      <c r="AT47" s="40">
        <f>IF(AS47&gt;=MIN_OBS_Z,SUMPRODUCT(AQ$5:AQ47,AR$5:AR47)/AS47,"")</f>
        <v/>
      </c>
      <c r="AU47" s="40">
        <f>IF(AS47&gt;=MIN_OBS_Z,SQRT(SUMPRODUCT(AQ$5:AQ47,(AR$5:AR47-AT47)^2)/(AS47-1)),"")</f>
        <v/>
      </c>
      <c r="AV47" s="40">
        <f>IF(AND(AQ47=1,ISNUMBER(AT47)),MAX(-Z_CLIP,MIN(Z_CLIP,(AR47-AT47)/AU47)),"")</f>
        <v/>
      </c>
      <c r="AW47" s="40">
        <f>IF(ISNUMBER(AV47),-AV47,"")</f>
        <v/>
      </c>
      <c r="AX47" s="40">
        <f>IF(ISNUMBER(AW47),1+AMPLITUD*TANH(AW47),"")</f>
        <v/>
      </c>
      <c r="AY47" s="40">
        <f>IF($A47="","",IF(COUNT(AX45:AX47)&gt;0,AVERAGE(AX45:AX47),""))</f>
        <v/>
      </c>
      <c r="AZ47" s="40">
        <f>IF(ISNUMBER(AY47),AY47-1,"")</f>
        <v/>
      </c>
      <c r="BA47" s="40">
        <f>IF(AND(ISNUMBER(AZ46),ISNUMBER(W47)),AZ46*W_BANCOS*W47,"")</f>
        <v/>
      </c>
      <c r="BB47" s="40">
        <f>IF(AND(ISNUMBER(AZ46),ISNUMBER(AZ45)),ABS(AZ46-AZ45)*W_BANCOS*COSTO,0)</f>
        <v/>
      </c>
      <c r="BC47" s="40">
        <f>IF(ISNUMBER(BA47),BA47-BB47,"")</f>
        <v/>
      </c>
      <c r="BD47" s="42">
        <f>IF(ISNUMBER(BC47),IF(A47&lt;=FECHA_ERA,"A","B"),"")</f>
        <v/>
      </c>
      <c r="BE47" s="40">
        <f>IF(BD47="A",BC47,"")</f>
        <v/>
      </c>
      <c r="BF47" s="40">
        <f>IF(BD47="B",BC47,"")</f>
        <v/>
      </c>
      <c r="BG47" s="38">
        <f>IF(AND(ISNUMBER(BC47),ISNUMBER(A47)),IF(A47&gt;=INICIO_VIVO,1,0),0)</f>
        <v/>
      </c>
      <c r="BH47" s="40">
        <f>IF(BG47=1,BC47,"")</f>
        <v/>
      </c>
      <c r="BI47" s="38">
        <f>IF(ISNUMBER(AY47),ROW(),0)</f>
        <v/>
      </c>
      <c r="BJ47" s="43">
        <f>IF(ISNUMBER(BC47),SUM(BC$5:BC47)*10000,NA())</f>
        <v/>
      </c>
      <c r="BK47" s="43">
        <f>IF(BG47=1,SUM(BH$5:BH47)*10000,NA())</f>
        <v/>
      </c>
      <c r="BL47" s="44">
        <f>IF(ISNUMBER(AY47),AY47,NA())</f>
        <v/>
      </c>
    </row>
    <row r="48">
      <c r="A48" s="36">
        <f>IF(Datos!A48="","",Datos!A48)</f>
        <v/>
      </c>
      <c r="B48" s="37">
        <f>IF(OR($A48="",NOT(ISNUMBER(Datos!B48)),NOT(ISNUMBER(Datos!B47))),"",Datos!B48/Datos!B47-1)</f>
        <v/>
      </c>
      <c r="C48" s="37">
        <f>IF(OR($A48="",NOT(ISNUMBER(Datos!C48)),NOT(ISNUMBER(Datos!C47))),"",Datos!C48/Datos!C47-1)</f>
        <v/>
      </c>
      <c r="D48" s="37">
        <f>IF(OR($A48="",NOT(ISNUMBER(Datos!D48)),NOT(ISNUMBER(Datos!D47))),"",Datos!D48/Datos!D47-1)</f>
        <v/>
      </c>
      <c r="E48" s="37">
        <f>IF(OR($A48="",NOT(ISNUMBER(Datos!E48)),NOT(ISNUMBER(Datos!E47))),"",Datos!E48/Datos!E47-1)</f>
        <v/>
      </c>
      <c r="F48" s="38">
        <f>IF($A48="","",COUNT(B48:E48))</f>
        <v/>
      </c>
      <c r="G48" s="37">
        <f>IF($A48="","",IF(F48&gt;=MIN_BANCOS,AVERAGE(B48:E48),""))</f>
        <v/>
      </c>
      <c r="H48" s="37">
        <f>IF(OR($A48="",NOT(ISNUMBER(Datos!F48)),NOT(ISNUMBER(Datos!F47))),"",Datos!F48/Datos!F47-1)</f>
        <v/>
      </c>
      <c r="I48" s="39">
        <f>IF($A48="","",IF(ISNUMBER(Datos!G48),Datos!G48,I47))</f>
        <v/>
      </c>
      <c r="J48" s="40">
        <f>IF($A48="","",IF(ISNUMBER(I47),LN(1+I47/100/12),0))</f>
        <v/>
      </c>
      <c r="K48" s="40">
        <f>IF(ISNUMBER(G48),LN(1+G48)-J48,"")</f>
        <v/>
      </c>
      <c r="L48" s="40">
        <f>IF(ISNUMBER(H48),LN(1+H48)-J48,"")</f>
        <v/>
      </c>
      <c r="M48" s="38">
        <f>IF(ISNUMBER(K48),1,0)</f>
        <v/>
      </c>
      <c r="N48" s="40">
        <f>IF(M48=1,K48,0)</f>
        <v/>
      </c>
      <c r="O48" s="38">
        <f>IF(ISNUMBER(L48),1,0)</f>
        <v/>
      </c>
      <c r="P48" s="40">
        <f>IF(O48=1,L48,0)</f>
        <v/>
      </c>
      <c r="Q48" s="38">
        <f>M48*O48</f>
        <v/>
      </c>
      <c r="R48" s="38">
        <f>SUM(Q12:Q47)</f>
        <v/>
      </c>
      <c r="S48" s="41">
        <f>IF(OR($A48="",R48&lt;MIN_OBS_ROLL),"",(SUMPRODUCT(Q12:Q47,N12:N47,P12:P47)/R48-SUMPRODUCT(Q12:Q47,N12:N47)/R48*SUMPRODUCT(Q12:Q47,P12:P47)/R48)*R48/(R48-1))</f>
        <v/>
      </c>
      <c r="T48" s="38">
        <f>SUM(O12:O47)</f>
        <v/>
      </c>
      <c r="U48" s="41">
        <f>IF(OR($A48="",T48&lt;MIN_OBS_ROLL),"",SUMPRODUCT(O12:O47,(P12:P47-SUMPRODUCT(O12:O47,P12:P47)/T48)^2)/(T48-1))</f>
        <v/>
      </c>
      <c r="V48" s="40">
        <f>IF(OR(S48="",U48=""),"",S48/U48)</f>
        <v/>
      </c>
      <c r="W48" s="40">
        <f>IF(AND(ISNUMBER(K48),ISNUMBER(L48),ISNUMBER(V48)),K48-V48*L48,"")</f>
        <v/>
      </c>
      <c r="X48" s="40">
        <f>IF(OR($A48="",NOT(ISNUMBER(Datos!H48)),NOT(ISNUMBER(Datos!H47))),"",LN(Datos!H48)-LN(Datos!H47))</f>
        <v/>
      </c>
      <c r="Y48" s="38">
        <f>IF(ISNUMBER(W48),1,0)</f>
        <v/>
      </c>
      <c r="Z48" s="40">
        <f>IF(Y48=1,W48,0)</f>
        <v/>
      </c>
      <c r="AA48" s="38">
        <f>IF(ISNUMBER(X48),1,0)</f>
        <v/>
      </c>
      <c r="AB48" s="40">
        <f>IF(AA48=1,X48,0)</f>
        <v/>
      </c>
      <c r="AC48" s="38">
        <f>Y48*AA48</f>
        <v/>
      </c>
      <c r="AD48" s="38">
        <f>SUM(AC12:AC47)</f>
        <v/>
      </c>
      <c r="AE48" s="41">
        <f>IF(OR($A48="",AD48&lt;MIN_OBS_ROLL),"",(SUMPRODUCT(AC12:AC47,Z12:Z47,AB12:AB47)/AD48-SUMPRODUCT(AC12:AC47,Z12:Z47)/AD48*SUMPRODUCT(AC12:AC47,AB12:AB47)/AD48)*AD48/(AD48-1))</f>
        <v/>
      </c>
      <c r="AF48" s="38">
        <f>SUM(AA12:AA47)</f>
        <v/>
      </c>
      <c r="AG48" s="41">
        <f>IF(OR($A48="",AF48&lt;MIN_OBS_ROLL),"",SUMPRODUCT(AA12:AA47,(AB12:AB47-SUMPRODUCT(AA12:AA47,AB12:AB47)/AF48)^2)/(AF48-1))</f>
        <v/>
      </c>
      <c r="AH48" s="38">
        <f>SUM(Y12:Y47)</f>
        <v/>
      </c>
      <c r="AI48" s="40">
        <f>IF(OR($A48="",AH48&lt;MIN_OBS_ROLL),"",SUMPRODUCT(Y12:Y47,Z12:Z47)/AH48)</f>
        <v/>
      </c>
      <c r="AJ48" s="40">
        <f>IF(OR($A48="",AF48&lt;MIN_OBS_ROLL),"",SUMPRODUCT(AA12:AA47,AB12:AB47)/AF48)</f>
        <v/>
      </c>
      <c r="AK48" s="40">
        <f>IF(OR(AE48="",AG48=""),"",AE48/AG48)</f>
        <v/>
      </c>
      <c r="AL48" s="40">
        <f>IF(OR(AI48="",AK48="",AJ48=""),"",AI48-AK48*AJ48)</f>
        <v/>
      </c>
      <c r="AM48" s="40">
        <f>IF(AND(ISNUMBER(W48),ISNUMBER(X48),ISNUMBER(AK48),ISNUMBER(AL48)),W48-(AL48+AK48*X48),"")</f>
        <v/>
      </c>
      <c r="AN48" s="38">
        <f>IF(ISNUMBER(AM48),1,0)</f>
        <v/>
      </c>
      <c r="AO48" s="40">
        <f>IF(AN48=1,AM48,0)</f>
        <v/>
      </c>
      <c r="AP48" s="40">
        <f>IF(SUM(AN46:AN48)=3,SUM(AO46:AO48),"")</f>
        <v/>
      </c>
      <c r="AQ48" s="38">
        <f>IF(ISNUMBER(AP48),1,0)</f>
        <v/>
      </c>
      <c r="AR48" s="40">
        <f>IF(AQ48=1,AP48,0)</f>
        <v/>
      </c>
      <c r="AS48" s="38">
        <f>SUM(AQ$5:AQ48)</f>
        <v/>
      </c>
      <c r="AT48" s="40">
        <f>IF(AS48&gt;=MIN_OBS_Z,SUMPRODUCT(AQ$5:AQ48,AR$5:AR48)/AS48,"")</f>
        <v/>
      </c>
      <c r="AU48" s="40">
        <f>IF(AS48&gt;=MIN_OBS_Z,SQRT(SUMPRODUCT(AQ$5:AQ48,(AR$5:AR48-AT48)^2)/(AS48-1)),"")</f>
        <v/>
      </c>
      <c r="AV48" s="40">
        <f>IF(AND(AQ48=1,ISNUMBER(AT48)),MAX(-Z_CLIP,MIN(Z_CLIP,(AR48-AT48)/AU48)),"")</f>
        <v/>
      </c>
      <c r="AW48" s="40">
        <f>IF(ISNUMBER(AV48),-AV48,"")</f>
        <v/>
      </c>
      <c r="AX48" s="40">
        <f>IF(ISNUMBER(AW48),1+AMPLITUD*TANH(AW48),"")</f>
        <v/>
      </c>
      <c r="AY48" s="40">
        <f>IF($A48="","",IF(COUNT(AX46:AX48)&gt;0,AVERAGE(AX46:AX48),""))</f>
        <v/>
      </c>
      <c r="AZ48" s="40">
        <f>IF(ISNUMBER(AY48),AY48-1,"")</f>
        <v/>
      </c>
      <c r="BA48" s="40">
        <f>IF(AND(ISNUMBER(AZ47),ISNUMBER(W48)),AZ47*W_BANCOS*W48,"")</f>
        <v/>
      </c>
      <c r="BB48" s="40">
        <f>IF(AND(ISNUMBER(AZ47),ISNUMBER(AZ46)),ABS(AZ47-AZ46)*W_BANCOS*COSTO,0)</f>
        <v/>
      </c>
      <c r="BC48" s="40">
        <f>IF(ISNUMBER(BA48),BA48-BB48,"")</f>
        <v/>
      </c>
      <c r="BD48" s="42">
        <f>IF(ISNUMBER(BC48),IF(A48&lt;=FECHA_ERA,"A","B"),"")</f>
        <v/>
      </c>
      <c r="BE48" s="40">
        <f>IF(BD48="A",BC48,"")</f>
        <v/>
      </c>
      <c r="BF48" s="40">
        <f>IF(BD48="B",BC48,"")</f>
        <v/>
      </c>
      <c r="BG48" s="38">
        <f>IF(AND(ISNUMBER(BC48),ISNUMBER(A48)),IF(A48&gt;=INICIO_VIVO,1,0),0)</f>
        <v/>
      </c>
      <c r="BH48" s="40">
        <f>IF(BG48=1,BC48,"")</f>
        <v/>
      </c>
      <c r="BI48" s="38">
        <f>IF(ISNUMBER(AY48),ROW(),0)</f>
        <v/>
      </c>
      <c r="BJ48" s="43">
        <f>IF(ISNUMBER(BC48),SUM(BC$5:BC48)*10000,NA())</f>
        <v/>
      </c>
      <c r="BK48" s="43">
        <f>IF(BG48=1,SUM(BH$5:BH48)*10000,NA())</f>
        <v/>
      </c>
      <c r="BL48" s="44">
        <f>IF(ISNUMBER(AY48),AY48,NA())</f>
        <v/>
      </c>
    </row>
    <row r="49">
      <c r="A49" s="36">
        <f>IF(Datos!A49="","",Datos!A49)</f>
        <v/>
      </c>
      <c r="B49" s="37">
        <f>IF(OR($A49="",NOT(ISNUMBER(Datos!B49)),NOT(ISNUMBER(Datos!B48))),"",Datos!B49/Datos!B48-1)</f>
        <v/>
      </c>
      <c r="C49" s="37">
        <f>IF(OR($A49="",NOT(ISNUMBER(Datos!C49)),NOT(ISNUMBER(Datos!C48))),"",Datos!C49/Datos!C48-1)</f>
        <v/>
      </c>
      <c r="D49" s="37">
        <f>IF(OR($A49="",NOT(ISNUMBER(Datos!D49)),NOT(ISNUMBER(Datos!D48))),"",Datos!D49/Datos!D48-1)</f>
        <v/>
      </c>
      <c r="E49" s="37">
        <f>IF(OR($A49="",NOT(ISNUMBER(Datos!E49)),NOT(ISNUMBER(Datos!E48))),"",Datos!E49/Datos!E48-1)</f>
        <v/>
      </c>
      <c r="F49" s="38">
        <f>IF($A49="","",COUNT(B49:E49))</f>
        <v/>
      </c>
      <c r="G49" s="37">
        <f>IF($A49="","",IF(F49&gt;=MIN_BANCOS,AVERAGE(B49:E49),""))</f>
        <v/>
      </c>
      <c r="H49" s="37">
        <f>IF(OR($A49="",NOT(ISNUMBER(Datos!F49)),NOT(ISNUMBER(Datos!F48))),"",Datos!F49/Datos!F48-1)</f>
        <v/>
      </c>
      <c r="I49" s="39">
        <f>IF($A49="","",IF(ISNUMBER(Datos!G49),Datos!G49,I48))</f>
        <v/>
      </c>
      <c r="J49" s="40">
        <f>IF($A49="","",IF(ISNUMBER(I48),LN(1+I48/100/12),0))</f>
        <v/>
      </c>
      <c r="K49" s="40">
        <f>IF(ISNUMBER(G49),LN(1+G49)-J49,"")</f>
        <v/>
      </c>
      <c r="L49" s="40">
        <f>IF(ISNUMBER(H49),LN(1+H49)-J49,"")</f>
        <v/>
      </c>
      <c r="M49" s="38">
        <f>IF(ISNUMBER(K49),1,0)</f>
        <v/>
      </c>
      <c r="N49" s="40">
        <f>IF(M49=1,K49,0)</f>
        <v/>
      </c>
      <c r="O49" s="38">
        <f>IF(ISNUMBER(L49),1,0)</f>
        <v/>
      </c>
      <c r="P49" s="40">
        <f>IF(O49=1,L49,0)</f>
        <v/>
      </c>
      <c r="Q49" s="38">
        <f>M49*O49</f>
        <v/>
      </c>
      <c r="R49" s="38">
        <f>SUM(Q13:Q48)</f>
        <v/>
      </c>
      <c r="S49" s="41">
        <f>IF(OR($A49="",R49&lt;MIN_OBS_ROLL),"",(SUMPRODUCT(Q13:Q48,N13:N48,P13:P48)/R49-SUMPRODUCT(Q13:Q48,N13:N48)/R49*SUMPRODUCT(Q13:Q48,P13:P48)/R49)*R49/(R49-1))</f>
        <v/>
      </c>
      <c r="T49" s="38">
        <f>SUM(O13:O48)</f>
        <v/>
      </c>
      <c r="U49" s="41">
        <f>IF(OR($A49="",T49&lt;MIN_OBS_ROLL),"",SUMPRODUCT(O13:O48,(P13:P48-SUMPRODUCT(O13:O48,P13:P48)/T49)^2)/(T49-1))</f>
        <v/>
      </c>
      <c r="V49" s="40">
        <f>IF(OR(S49="",U49=""),"",S49/U49)</f>
        <v/>
      </c>
      <c r="W49" s="40">
        <f>IF(AND(ISNUMBER(K49),ISNUMBER(L49),ISNUMBER(V49)),K49-V49*L49,"")</f>
        <v/>
      </c>
      <c r="X49" s="40">
        <f>IF(OR($A49="",NOT(ISNUMBER(Datos!H49)),NOT(ISNUMBER(Datos!H48))),"",LN(Datos!H49)-LN(Datos!H48))</f>
        <v/>
      </c>
      <c r="Y49" s="38">
        <f>IF(ISNUMBER(W49),1,0)</f>
        <v/>
      </c>
      <c r="Z49" s="40">
        <f>IF(Y49=1,W49,0)</f>
        <v/>
      </c>
      <c r="AA49" s="38">
        <f>IF(ISNUMBER(X49),1,0)</f>
        <v/>
      </c>
      <c r="AB49" s="40">
        <f>IF(AA49=1,X49,0)</f>
        <v/>
      </c>
      <c r="AC49" s="38">
        <f>Y49*AA49</f>
        <v/>
      </c>
      <c r="AD49" s="38">
        <f>SUM(AC13:AC48)</f>
        <v/>
      </c>
      <c r="AE49" s="41">
        <f>IF(OR($A49="",AD49&lt;MIN_OBS_ROLL),"",(SUMPRODUCT(AC13:AC48,Z13:Z48,AB13:AB48)/AD49-SUMPRODUCT(AC13:AC48,Z13:Z48)/AD49*SUMPRODUCT(AC13:AC48,AB13:AB48)/AD49)*AD49/(AD49-1))</f>
        <v/>
      </c>
      <c r="AF49" s="38">
        <f>SUM(AA13:AA48)</f>
        <v/>
      </c>
      <c r="AG49" s="41">
        <f>IF(OR($A49="",AF49&lt;MIN_OBS_ROLL),"",SUMPRODUCT(AA13:AA48,(AB13:AB48-SUMPRODUCT(AA13:AA48,AB13:AB48)/AF49)^2)/(AF49-1))</f>
        <v/>
      </c>
      <c r="AH49" s="38">
        <f>SUM(Y13:Y48)</f>
        <v/>
      </c>
      <c r="AI49" s="40">
        <f>IF(OR($A49="",AH49&lt;MIN_OBS_ROLL),"",SUMPRODUCT(Y13:Y48,Z13:Z48)/AH49)</f>
        <v/>
      </c>
      <c r="AJ49" s="40">
        <f>IF(OR($A49="",AF49&lt;MIN_OBS_ROLL),"",SUMPRODUCT(AA13:AA48,AB13:AB48)/AF49)</f>
        <v/>
      </c>
      <c r="AK49" s="40">
        <f>IF(OR(AE49="",AG49=""),"",AE49/AG49)</f>
        <v/>
      </c>
      <c r="AL49" s="40">
        <f>IF(OR(AI49="",AK49="",AJ49=""),"",AI49-AK49*AJ49)</f>
        <v/>
      </c>
      <c r="AM49" s="40">
        <f>IF(AND(ISNUMBER(W49),ISNUMBER(X49),ISNUMBER(AK49),ISNUMBER(AL49)),W49-(AL49+AK49*X49),"")</f>
        <v/>
      </c>
      <c r="AN49" s="38">
        <f>IF(ISNUMBER(AM49),1,0)</f>
        <v/>
      </c>
      <c r="AO49" s="40">
        <f>IF(AN49=1,AM49,0)</f>
        <v/>
      </c>
      <c r="AP49" s="40">
        <f>IF(SUM(AN47:AN49)=3,SUM(AO47:AO49),"")</f>
        <v/>
      </c>
      <c r="AQ49" s="38">
        <f>IF(ISNUMBER(AP49),1,0)</f>
        <v/>
      </c>
      <c r="AR49" s="40">
        <f>IF(AQ49=1,AP49,0)</f>
        <v/>
      </c>
      <c r="AS49" s="38">
        <f>SUM(AQ$5:AQ49)</f>
        <v/>
      </c>
      <c r="AT49" s="40">
        <f>IF(AS49&gt;=MIN_OBS_Z,SUMPRODUCT(AQ$5:AQ49,AR$5:AR49)/AS49,"")</f>
        <v/>
      </c>
      <c r="AU49" s="40">
        <f>IF(AS49&gt;=MIN_OBS_Z,SQRT(SUMPRODUCT(AQ$5:AQ49,(AR$5:AR49-AT49)^2)/(AS49-1)),"")</f>
        <v/>
      </c>
      <c r="AV49" s="40">
        <f>IF(AND(AQ49=1,ISNUMBER(AT49)),MAX(-Z_CLIP,MIN(Z_CLIP,(AR49-AT49)/AU49)),"")</f>
        <v/>
      </c>
      <c r="AW49" s="40">
        <f>IF(ISNUMBER(AV49),-AV49,"")</f>
        <v/>
      </c>
      <c r="AX49" s="40">
        <f>IF(ISNUMBER(AW49),1+AMPLITUD*TANH(AW49),"")</f>
        <v/>
      </c>
      <c r="AY49" s="40">
        <f>IF($A49="","",IF(COUNT(AX47:AX49)&gt;0,AVERAGE(AX47:AX49),""))</f>
        <v/>
      </c>
      <c r="AZ49" s="40">
        <f>IF(ISNUMBER(AY49),AY49-1,"")</f>
        <v/>
      </c>
      <c r="BA49" s="40">
        <f>IF(AND(ISNUMBER(AZ48),ISNUMBER(W49)),AZ48*W_BANCOS*W49,"")</f>
        <v/>
      </c>
      <c r="BB49" s="40">
        <f>IF(AND(ISNUMBER(AZ48),ISNUMBER(AZ47)),ABS(AZ48-AZ47)*W_BANCOS*COSTO,0)</f>
        <v/>
      </c>
      <c r="BC49" s="40">
        <f>IF(ISNUMBER(BA49),BA49-BB49,"")</f>
        <v/>
      </c>
      <c r="BD49" s="42">
        <f>IF(ISNUMBER(BC49),IF(A49&lt;=FECHA_ERA,"A","B"),"")</f>
        <v/>
      </c>
      <c r="BE49" s="40">
        <f>IF(BD49="A",BC49,"")</f>
        <v/>
      </c>
      <c r="BF49" s="40">
        <f>IF(BD49="B",BC49,"")</f>
        <v/>
      </c>
      <c r="BG49" s="38">
        <f>IF(AND(ISNUMBER(BC49),ISNUMBER(A49)),IF(A49&gt;=INICIO_VIVO,1,0),0)</f>
        <v/>
      </c>
      <c r="BH49" s="40">
        <f>IF(BG49=1,BC49,"")</f>
        <v/>
      </c>
      <c r="BI49" s="38">
        <f>IF(ISNUMBER(AY49),ROW(),0)</f>
        <v/>
      </c>
      <c r="BJ49" s="43">
        <f>IF(ISNUMBER(BC49),SUM(BC$5:BC49)*10000,NA())</f>
        <v/>
      </c>
      <c r="BK49" s="43">
        <f>IF(BG49=1,SUM(BH$5:BH49)*10000,NA())</f>
        <v/>
      </c>
      <c r="BL49" s="44">
        <f>IF(ISNUMBER(AY49),AY49,NA())</f>
        <v/>
      </c>
    </row>
    <row r="50">
      <c r="A50" s="36">
        <f>IF(Datos!A50="","",Datos!A50)</f>
        <v/>
      </c>
      <c r="B50" s="37">
        <f>IF(OR($A50="",NOT(ISNUMBER(Datos!B50)),NOT(ISNUMBER(Datos!B49))),"",Datos!B50/Datos!B49-1)</f>
        <v/>
      </c>
      <c r="C50" s="37">
        <f>IF(OR($A50="",NOT(ISNUMBER(Datos!C50)),NOT(ISNUMBER(Datos!C49))),"",Datos!C50/Datos!C49-1)</f>
        <v/>
      </c>
      <c r="D50" s="37">
        <f>IF(OR($A50="",NOT(ISNUMBER(Datos!D50)),NOT(ISNUMBER(Datos!D49))),"",Datos!D50/Datos!D49-1)</f>
        <v/>
      </c>
      <c r="E50" s="37">
        <f>IF(OR($A50="",NOT(ISNUMBER(Datos!E50)),NOT(ISNUMBER(Datos!E49))),"",Datos!E50/Datos!E49-1)</f>
        <v/>
      </c>
      <c r="F50" s="38">
        <f>IF($A50="","",COUNT(B50:E50))</f>
        <v/>
      </c>
      <c r="G50" s="37">
        <f>IF($A50="","",IF(F50&gt;=MIN_BANCOS,AVERAGE(B50:E50),""))</f>
        <v/>
      </c>
      <c r="H50" s="37">
        <f>IF(OR($A50="",NOT(ISNUMBER(Datos!F50)),NOT(ISNUMBER(Datos!F49))),"",Datos!F50/Datos!F49-1)</f>
        <v/>
      </c>
      <c r="I50" s="39">
        <f>IF($A50="","",IF(ISNUMBER(Datos!G50),Datos!G50,I49))</f>
        <v/>
      </c>
      <c r="J50" s="40">
        <f>IF($A50="","",IF(ISNUMBER(I49),LN(1+I49/100/12),0))</f>
        <v/>
      </c>
      <c r="K50" s="40">
        <f>IF(ISNUMBER(G50),LN(1+G50)-J50,"")</f>
        <v/>
      </c>
      <c r="L50" s="40">
        <f>IF(ISNUMBER(H50),LN(1+H50)-J50,"")</f>
        <v/>
      </c>
      <c r="M50" s="38">
        <f>IF(ISNUMBER(K50),1,0)</f>
        <v/>
      </c>
      <c r="N50" s="40">
        <f>IF(M50=1,K50,0)</f>
        <v/>
      </c>
      <c r="O50" s="38">
        <f>IF(ISNUMBER(L50),1,0)</f>
        <v/>
      </c>
      <c r="P50" s="40">
        <f>IF(O50=1,L50,0)</f>
        <v/>
      </c>
      <c r="Q50" s="38">
        <f>M50*O50</f>
        <v/>
      </c>
      <c r="R50" s="38">
        <f>SUM(Q14:Q49)</f>
        <v/>
      </c>
      <c r="S50" s="41">
        <f>IF(OR($A50="",R50&lt;MIN_OBS_ROLL),"",(SUMPRODUCT(Q14:Q49,N14:N49,P14:P49)/R50-SUMPRODUCT(Q14:Q49,N14:N49)/R50*SUMPRODUCT(Q14:Q49,P14:P49)/R50)*R50/(R50-1))</f>
        <v/>
      </c>
      <c r="T50" s="38">
        <f>SUM(O14:O49)</f>
        <v/>
      </c>
      <c r="U50" s="41">
        <f>IF(OR($A50="",T50&lt;MIN_OBS_ROLL),"",SUMPRODUCT(O14:O49,(P14:P49-SUMPRODUCT(O14:O49,P14:P49)/T50)^2)/(T50-1))</f>
        <v/>
      </c>
      <c r="V50" s="40">
        <f>IF(OR(S50="",U50=""),"",S50/U50)</f>
        <v/>
      </c>
      <c r="W50" s="40">
        <f>IF(AND(ISNUMBER(K50),ISNUMBER(L50),ISNUMBER(V50)),K50-V50*L50,"")</f>
        <v/>
      </c>
      <c r="X50" s="40">
        <f>IF(OR($A50="",NOT(ISNUMBER(Datos!H50)),NOT(ISNUMBER(Datos!H49))),"",LN(Datos!H50)-LN(Datos!H49))</f>
        <v/>
      </c>
      <c r="Y50" s="38">
        <f>IF(ISNUMBER(W50),1,0)</f>
        <v/>
      </c>
      <c r="Z50" s="40">
        <f>IF(Y50=1,W50,0)</f>
        <v/>
      </c>
      <c r="AA50" s="38">
        <f>IF(ISNUMBER(X50),1,0)</f>
        <v/>
      </c>
      <c r="AB50" s="40">
        <f>IF(AA50=1,X50,0)</f>
        <v/>
      </c>
      <c r="AC50" s="38">
        <f>Y50*AA50</f>
        <v/>
      </c>
      <c r="AD50" s="38">
        <f>SUM(AC14:AC49)</f>
        <v/>
      </c>
      <c r="AE50" s="41">
        <f>IF(OR($A50="",AD50&lt;MIN_OBS_ROLL),"",(SUMPRODUCT(AC14:AC49,Z14:Z49,AB14:AB49)/AD50-SUMPRODUCT(AC14:AC49,Z14:Z49)/AD50*SUMPRODUCT(AC14:AC49,AB14:AB49)/AD50)*AD50/(AD50-1))</f>
        <v/>
      </c>
      <c r="AF50" s="38">
        <f>SUM(AA14:AA49)</f>
        <v/>
      </c>
      <c r="AG50" s="41">
        <f>IF(OR($A50="",AF50&lt;MIN_OBS_ROLL),"",SUMPRODUCT(AA14:AA49,(AB14:AB49-SUMPRODUCT(AA14:AA49,AB14:AB49)/AF50)^2)/(AF50-1))</f>
        <v/>
      </c>
      <c r="AH50" s="38">
        <f>SUM(Y14:Y49)</f>
        <v/>
      </c>
      <c r="AI50" s="40">
        <f>IF(OR($A50="",AH50&lt;MIN_OBS_ROLL),"",SUMPRODUCT(Y14:Y49,Z14:Z49)/AH50)</f>
        <v/>
      </c>
      <c r="AJ50" s="40">
        <f>IF(OR($A50="",AF50&lt;MIN_OBS_ROLL),"",SUMPRODUCT(AA14:AA49,AB14:AB49)/AF50)</f>
        <v/>
      </c>
      <c r="AK50" s="40">
        <f>IF(OR(AE50="",AG50=""),"",AE50/AG50)</f>
        <v/>
      </c>
      <c r="AL50" s="40">
        <f>IF(OR(AI50="",AK50="",AJ50=""),"",AI50-AK50*AJ50)</f>
        <v/>
      </c>
      <c r="AM50" s="40">
        <f>IF(AND(ISNUMBER(W50),ISNUMBER(X50),ISNUMBER(AK50),ISNUMBER(AL50)),W50-(AL50+AK50*X50),"")</f>
        <v/>
      </c>
      <c r="AN50" s="38">
        <f>IF(ISNUMBER(AM50),1,0)</f>
        <v/>
      </c>
      <c r="AO50" s="40">
        <f>IF(AN50=1,AM50,0)</f>
        <v/>
      </c>
      <c r="AP50" s="40">
        <f>IF(SUM(AN48:AN50)=3,SUM(AO48:AO50),"")</f>
        <v/>
      </c>
      <c r="AQ50" s="38">
        <f>IF(ISNUMBER(AP50),1,0)</f>
        <v/>
      </c>
      <c r="AR50" s="40">
        <f>IF(AQ50=1,AP50,0)</f>
        <v/>
      </c>
      <c r="AS50" s="38">
        <f>SUM(AQ$5:AQ50)</f>
        <v/>
      </c>
      <c r="AT50" s="40">
        <f>IF(AS50&gt;=MIN_OBS_Z,SUMPRODUCT(AQ$5:AQ50,AR$5:AR50)/AS50,"")</f>
        <v/>
      </c>
      <c r="AU50" s="40">
        <f>IF(AS50&gt;=MIN_OBS_Z,SQRT(SUMPRODUCT(AQ$5:AQ50,(AR$5:AR50-AT50)^2)/(AS50-1)),"")</f>
        <v/>
      </c>
      <c r="AV50" s="40">
        <f>IF(AND(AQ50=1,ISNUMBER(AT50)),MAX(-Z_CLIP,MIN(Z_CLIP,(AR50-AT50)/AU50)),"")</f>
        <v/>
      </c>
      <c r="AW50" s="40">
        <f>IF(ISNUMBER(AV50),-AV50,"")</f>
        <v/>
      </c>
      <c r="AX50" s="40">
        <f>IF(ISNUMBER(AW50),1+AMPLITUD*TANH(AW50),"")</f>
        <v/>
      </c>
      <c r="AY50" s="40">
        <f>IF($A50="","",IF(COUNT(AX48:AX50)&gt;0,AVERAGE(AX48:AX50),""))</f>
        <v/>
      </c>
      <c r="AZ50" s="40">
        <f>IF(ISNUMBER(AY50),AY50-1,"")</f>
        <v/>
      </c>
      <c r="BA50" s="40">
        <f>IF(AND(ISNUMBER(AZ49),ISNUMBER(W50)),AZ49*W_BANCOS*W50,"")</f>
        <v/>
      </c>
      <c r="BB50" s="40">
        <f>IF(AND(ISNUMBER(AZ49),ISNUMBER(AZ48)),ABS(AZ49-AZ48)*W_BANCOS*COSTO,0)</f>
        <v/>
      </c>
      <c r="BC50" s="40">
        <f>IF(ISNUMBER(BA50),BA50-BB50,"")</f>
        <v/>
      </c>
      <c r="BD50" s="42">
        <f>IF(ISNUMBER(BC50),IF(A50&lt;=FECHA_ERA,"A","B"),"")</f>
        <v/>
      </c>
      <c r="BE50" s="40">
        <f>IF(BD50="A",BC50,"")</f>
        <v/>
      </c>
      <c r="BF50" s="40">
        <f>IF(BD50="B",BC50,"")</f>
        <v/>
      </c>
      <c r="BG50" s="38">
        <f>IF(AND(ISNUMBER(BC50),ISNUMBER(A50)),IF(A50&gt;=INICIO_VIVO,1,0),0)</f>
        <v/>
      </c>
      <c r="BH50" s="40">
        <f>IF(BG50=1,BC50,"")</f>
        <v/>
      </c>
      <c r="BI50" s="38">
        <f>IF(ISNUMBER(AY50),ROW(),0)</f>
        <v/>
      </c>
      <c r="BJ50" s="43">
        <f>IF(ISNUMBER(BC50),SUM(BC$5:BC50)*10000,NA())</f>
        <v/>
      </c>
      <c r="BK50" s="43">
        <f>IF(BG50=1,SUM(BH$5:BH50)*10000,NA())</f>
        <v/>
      </c>
      <c r="BL50" s="44">
        <f>IF(ISNUMBER(AY50),AY50,NA())</f>
        <v/>
      </c>
    </row>
    <row r="51">
      <c r="A51" s="36">
        <f>IF(Datos!A51="","",Datos!A51)</f>
        <v/>
      </c>
      <c r="B51" s="37">
        <f>IF(OR($A51="",NOT(ISNUMBER(Datos!B51)),NOT(ISNUMBER(Datos!B50))),"",Datos!B51/Datos!B50-1)</f>
        <v/>
      </c>
      <c r="C51" s="37">
        <f>IF(OR($A51="",NOT(ISNUMBER(Datos!C51)),NOT(ISNUMBER(Datos!C50))),"",Datos!C51/Datos!C50-1)</f>
        <v/>
      </c>
      <c r="D51" s="37">
        <f>IF(OR($A51="",NOT(ISNUMBER(Datos!D51)),NOT(ISNUMBER(Datos!D50))),"",Datos!D51/Datos!D50-1)</f>
        <v/>
      </c>
      <c r="E51" s="37">
        <f>IF(OR($A51="",NOT(ISNUMBER(Datos!E51)),NOT(ISNUMBER(Datos!E50))),"",Datos!E51/Datos!E50-1)</f>
        <v/>
      </c>
      <c r="F51" s="38">
        <f>IF($A51="","",COUNT(B51:E51))</f>
        <v/>
      </c>
      <c r="G51" s="37">
        <f>IF($A51="","",IF(F51&gt;=MIN_BANCOS,AVERAGE(B51:E51),""))</f>
        <v/>
      </c>
      <c r="H51" s="37">
        <f>IF(OR($A51="",NOT(ISNUMBER(Datos!F51)),NOT(ISNUMBER(Datos!F50))),"",Datos!F51/Datos!F50-1)</f>
        <v/>
      </c>
      <c r="I51" s="39">
        <f>IF($A51="","",IF(ISNUMBER(Datos!G51),Datos!G51,I50))</f>
        <v/>
      </c>
      <c r="J51" s="40">
        <f>IF($A51="","",IF(ISNUMBER(I50),LN(1+I50/100/12),0))</f>
        <v/>
      </c>
      <c r="K51" s="40">
        <f>IF(ISNUMBER(G51),LN(1+G51)-J51,"")</f>
        <v/>
      </c>
      <c r="L51" s="40">
        <f>IF(ISNUMBER(H51),LN(1+H51)-J51,"")</f>
        <v/>
      </c>
      <c r="M51" s="38">
        <f>IF(ISNUMBER(K51),1,0)</f>
        <v/>
      </c>
      <c r="N51" s="40">
        <f>IF(M51=1,K51,0)</f>
        <v/>
      </c>
      <c r="O51" s="38">
        <f>IF(ISNUMBER(L51),1,0)</f>
        <v/>
      </c>
      <c r="P51" s="40">
        <f>IF(O51=1,L51,0)</f>
        <v/>
      </c>
      <c r="Q51" s="38">
        <f>M51*O51</f>
        <v/>
      </c>
      <c r="R51" s="38">
        <f>SUM(Q15:Q50)</f>
        <v/>
      </c>
      <c r="S51" s="41">
        <f>IF(OR($A51="",R51&lt;MIN_OBS_ROLL),"",(SUMPRODUCT(Q15:Q50,N15:N50,P15:P50)/R51-SUMPRODUCT(Q15:Q50,N15:N50)/R51*SUMPRODUCT(Q15:Q50,P15:P50)/R51)*R51/(R51-1))</f>
        <v/>
      </c>
      <c r="T51" s="38">
        <f>SUM(O15:O50)</f>
        <v/>
      </c>
      <c r="U51" s="41">
        <f>IF(OR($A51="",T51&lt;MIN_OBS_ROLL),"",SUMPRODUCT(O15:O50,(P15:P50-SUMPRODUCT(O15:O50,P15:P50)/T51)^2)/(T51-1))</f>
        <v/>
      </c>
      <c r="V51" s="40">
        <f>IF(OR(S51="",U51=""),"",S51/U51)</f>
        <v/>
      </c>
      <c r="W51" s="40">
        <f>IF(AND(ISNUMBER(K51),ISNUMBER(L51),ISNUMBER(V51)),K51-V51*L51,"")</f>
        <v/>
      </c>
      <c r="X51" s="40">
        <f>IF(OR($A51="",NOT(ISNUMBER(Datos!H51)),NOT(ISNUMBER(Datos!H50))),"",LN(Datos!H51)-LN(Datos!H50))</f>
        <v/>
      </c>
      <c r="Y51" s="38">
        <f>IF(ISNUMBER(W51),1,0)</f>
        <v/>
      </c>
      <c r="Z51" s="40">
        <f>IF(Y51=1,W51,0)</f>
        <v/>
      </c>
      <c r="AA51" s="38">
        <f>IF(ISNUMBER(X51),1,0)</f>
        <v/>
      </c>
      <c r="AB51" s="40">
        <f>IF(AA51=1,X51,0)</f>
        <v/>
      </c>
      <c r="AC51" s="38">
        <f>Y51*AA51</f>
        <v/>
      </c>
      <c r="AD51" s="38">
        <f>SUM(AC15:AC50)</f>
        <v/>
      </c>
      <c r="AE51" s="41">
        <f>IF(OR($A51="",AD51&lt;MIN_OBS_ROLL),"",(SUMPRODUCT(AC15:AC50,Z15:Z50,AB15:AB50)/AD51-SUMPRODUCT(AC15:AC50,Z15:Z50)/AD51*SUMPRODUCT(AC15:AC50,AB15:AB50)/AD51)*AD51/(AD51-1))</f>
        <v/>
      </c>
      <c r="AF51" s="38">
        <f>SUM(AA15:AA50)</f>
        <v/>
      </c>
      <c r="AG51" s="41">
        <f>IF(OR($A51="",AF51&lt;MIN_OBS_ROLL),"",SUMPRODUCT(AA15:AA50,(AB15:AB50-SUMPRODUCT(AA15:AA50,AB15:AB50)/AF51)^2)/(AF51-1))</f>
        <v/>
      </c>
      <c r="AH51" s="38">
        <f>SUM(Y15:Y50)</f>
        <v/>
      </c>
      <c r="AI51" s="40">
        <f>IF(OR($A51="",AH51&lt;MIN_OBS_ROLL),"",SUMPRODUCT(Y15:Y50,Z15:Z50)/AH51)</f>
        <v/>
      </c>
      <c r="AJ51" s="40">
        <f>IF(OR($A51="",AF51&lt;MIN_OBS_ROLL),"",SUMPRODUCT(AA15:AA50,AB15:AB50)/AF51)</f>
        <v/>
      </c>
      <c r="AK51" s="40">
        <f>IF(OR(AE51="",AG51=""),"",AE51/AG51)</f>
        <v/>
      </c>
      <c r="AL51" s="40">
        <f>IF(OR(AI51="",AK51="",AJ51=""),"",AI51-AK51*AJ51)</f>
        <v/>
      </c>
      <c r="AM51" s="40">
        <f>IF(AND(ISNUMBER(W51),ISNUMBER(X51),ISNUMBER(AK51),ISNUMBER(AL51)),W51-(AL51+AK51*X51),"")</f>
        <v/>
      </c>
      <c r="AN51" s="38">
        <f>IF(ISNUMBER(AM51),1,0)</f>
        <v/>
      </c>
      <c r="AO51" s="40">
        <f>IF(AN51=1,AM51,0)</f>
        <v/>
      </c>
      <c r="AP51" s="40">
        <f>IF(SUM(AN49:AN51)=3,SUM(AO49:AO51),"")</f>
        <v/>
      </c>
      <c r="AQ51" s="38">
        <f>IF(ISNUMBER(AP51),1,0)</f>
        <v/>
      </c>
      <c r="AR51" s="40">
        <f>IF(AQ51=1,AP51,0)</f>
        <v/>
      </c>
      <c r="AS51" s="38">
        <f>SUM(AQ$5:AQ51)</f>
        <v/>
      </c>
      <c r="AT51" s="40">
        <f>IF(AS51&gt;=MIN_OBS_Z,SUMPRODUCT(AQ$5:AQ51,AR$5:AR51)/AS51,"")</f>
        <v/>
      </c>
      <c r="AU51" s="40">
        <f>IF(AS51&gt;=MIN_OBS_Z,SQRT(SUMPRODUCT(AQ$5:AQ51,(AR$5:AR51-AT51)^2)/(AS51-1)),"")</f>
        <v/>
      </c>
      <c r="AV51" s="40">
        <f>IF(AND(AQ51=1,ISNUMBER(AT51)),MAX(-Z_CLIP,MIN(Z_CLIP,(AR51-AT51)/AU51)),"")</f>
        <v/>
      </c>
      <c r="AW51" s="40">
        <f>IF(ISNUMBER(AV51),-AV51,"")</f>
        <v/>
      </c>
      <c r="AX51" s="40">
        <f>IF(ISNUMBER(AW51),1+AMPLITUD*TANH(AW51),"")</f>
        <v/>
      </c>
      <c r="AY51" s="40">
        <f>IF($A51="","",IF(COUNT(AX49:AX51)&gt;0,AVERAGE(AX49:AX51),""))</f>
        <v/>
      </c>
      <c r="AZ51" s="40">
        <f>IF(ISNUMBER(AY51),AY51-1,"")</f>
        <v/>
      </c>
      <c r="BA51" s="40">
        <f>IF(AND(ISNUMBER(AZ50),ISNUMBER(W51)),AZ50*W_BANCOS*W51,"")</f>
        <v/>
      </c>
      <c r="BB51" s="40">
        <f>IF(AND(ISNUMBER(AZ50),ISNUMBER(AZ49)),ABS(AZ50-AZ49)*W_BANCOS*COSTO,0)</f>
        <v/>
      </c>
      <c r="BC51" s="40">
        <f>IF(ISNUMBER(BA51),BA51-BB51,"")</f>
        <v/>
      </c>
      <c r="BD51" s="42">
        <f>IF(ISNUMBER(BC51),IF(A51&lt;=FECHA_ERA,"A","B"),"")</f>
        <v/>
      </c>
      <c r="BE51" s="40">
        <f>IF(BD51="A",BC51,"")</f>
        <v/>
      </c>
      <c r="BF51" s="40">
        <f>IF(BD51="B",BC51,"")</f>
        <v/>
      </c>
      <c r="BG51" s="38">
        <f>IF(AND(ISNUMBER(BC51),ISNUMBER(A51)),IF(A51&gt;=INICIO_VIVO,1,0),0)</f>
        <v/>
      </c>
      <c r="BH51" s="40">
        <f>IF(BG51=1,BC51,"")</f>
        <v/>
      </c>
      <c r="BI51" s="38">
        <f>IF(ISNUMBER(AY51),ROW(),0)</f>
        <v/>
      </c>
      <c r="BJ51" s="43">
        <f>IF(ISNUMBER(BC51),SUM(BC$5:BC51)*10000,NA())</f>
        <v/>
      </c>
      <c r="BK51" s="43">
        <f>IF(BG51=1,SUM(BH$5:BH51)*10000,NA())</f>
        <v/>
      </c>
      <c r="BL51" s="44">
        <f>IF(ISNUMBER(AY51),AY51,NA())</f>
        <v/>
      </c>
    </row>
    <row r="52">
      <c r="A52" s="36">
        <f>IF(Datos!A52="","",Datos!A52)</f>
        <v/>
      </c>
      <c r="B52" s="37">
        <f>IF(OR($A52="",NOT(ISNUMBER(Datos!B52)),NOT(ISNUMBER(Datos!B51))),"",Datos!B52/Datos!B51-1)</f>
        <v/>
      </c>
      <c r="C52" s="37">
        <f>IF(OR($A52="",NOT(ISNUMBER(Datos!C52)),NOT(ISNUMBER(Datos!C51))),"",Datos!C52/Datos!C51-1)</f>
        <v/>
      </c>
      <c r="D52" s="37">
        <f>IF(OR($A52="",NOT(ISNUMBER(Datos!D52)),NOT(ISNUMBER(Datos!D51))),"",Datos!D52/Datos!D51-1)</f>
        <v/>
      </c>
      <c r="E52" s="37">
        <f>IF(OR($A52="",NOT(ISNUMBER(Datos!E52)),NOT(ISNUMBER(Datos!E51))),"",Datos!E52/Datos!E51-1)</f>
        <v/>
      </c>
      <c r="F52" s="38">
        <f>IF($A52="","",COUNT(B52:E52))</f>
        <v/>
      </c>
      <c r="G52" s="37">
        <f>IF($A52="","",IF(F52&gt;=MIN_BANCOS,AVERAGE(B52:E52),""))</f>
        <v/>
      </c>
      <c r="H52" s="37">
        <f>IF(OR($A52="",NOT(ISNUMBER(Datos!F52)),NOT(ISNUMBER(Datos!F51))),"",Datos!F52/Datos!F51-1)</f>
        <v/>
      </c>
      <c r="I52" s="39">
        <f>IF($A52="","",IF(ISNUMBER(Datos!G52),Datos!G52,I51))</f>
        <v/>
      </c>
      <c r="J52" s="40">
        <f>IF($A52="","",IF(ISNUMBER(I51),LN(1+I51/100/12),0))</f>
        <v/>
      </c>
      <c r="K52" s="40">
        <f>IF(ISNUMBER(G52),LN(1+G52)-J52,"")</f>
        <v/>
      </c>
      <c r="L52" s="40">
        <f>IF(ISNUMBER(H52),LN(1+H52)-J52,"")</f>
        <v/>
      </c>
      <c r="M52" s="38">
        <f>IF(ISNUMBER(K52),1,0)</f>
        <v/>
      </c>
      <c r="N52" s="40">
        <f>IF(M52=1,K52,0)</f>
        <v/>
      </c>
      <c r="O52" s="38">
        <f>IF(ISNUMBER(L52),1,0)</f>
        <v/>
      </c>
      <c r="P52" s="40">
        <f>IF(O52=1,L52,0)</f>
        <v/>
      </c>
      <c r="Q52" s="38">
        <f>M52*O52</f>
        <v/>
      </c>
      <c r="R52" s="38">
        <f>SUM(Q16:Q51)</f>
        <v/>
      </c>
      <c r="S52" s="41">
        <f>IF(OR($A52="",R52&lt;MIN_OBS_ROLL),"",(SUMPRODUCT(Q16:Q51,N16:N51,P16:P51)/R52-SUMPRODUCT(Q16:Q51,N16:N51)/R52*SUMPRODUCT(Q16:Q51,P16:P51)/R52)*R52/(R52-1))</f>
        <v/>
      </c>
      <c r="T52" s="38">
        <f>SUM(O16:O51)</f>
        <v/>
      </c>
      <c r="U52" s="41">
        <f>IF(OR($A52="",T52&lt;MIN_OBS_ROLL),"",SUMPRODUCT(O16:O51,(P16:P51-SUMPRODUCT(O16:O51,P16:P51)/T52)^2)/(T52-1))</f>
        <v/>
      </c>
      <c r="V52" s="40">
        <f>IF(OR(S52="",U52=""),"",S52/U52)</f>
        <v/>
      </c>
      <c r="W52" s="40">
        <f>IF(AND(ISNUMBER(K52),ISNUMBER(L52),ISNUMBER(V52)),K52-V52*L52,"")</f>
        <v/>
      </c>
      <c r="X52" s="40">
        <f>IF(OR($A52="",NOT(ISNUMBER(Datos!H52)),NOT(ISNUMBER(Datos!H51))),"",LN(Datos!H52)-LN(Datos!H51))</f>
        <v/>
      </c>
      <c r="Y52" s="38">
        <f>IF(ISNUMBER(W52),1,0)</f>
        <v/>
      </c>
      <c r="Z52" s="40">
        <f>IF(Y52=1,W52,0)</f>
        <v/>
      </c>
      <c r="AA52" s="38">
        <f>IF(ISNUMBER(X52),1,0)</f>
        <v/>
      </c>
      <c r="AB52" s="40">
        <f>IF(AA52=1,X52,0)</f>
        <v/>
      </c>
      <c r="AC52" s="38">
        <f>Y52*AA52</f>
        <v/>
      </c>
      <c r="AD52" s="38">
        <f>SUM(AC16:AC51)</f>
        <v/>
      </c>
      <c r="AE52" s="41">
        <f>IF(OR($A52="",AD52&lt;MIN_OBS_ROLL),"",(SUMPRODUCT(AC16:AC51,Z16:Z51,AB16:AB51)/AD52-SUMPRODUCT(AC16:AC51,Z16:Z51)/AD52*SUMPRODUCT(AC16:AC51,AB16:AB51)/AD52)*AD52/(AD52-1))</f>
        <v/>
      </c>
      <c r="AF52" s="38">
        <f>SUM(AA16:AA51)</f>
        <v/>
      </c>
      <c r="AG52" s="41">
        <f>IF(OR($A52="",AF52&lt;MIN_OBS_ROLL),"",SUMPRODUCT(AA16:AA51,(AB16:AB51-SUMPRODUCT(AA16:AA51,AB16:AB51)/AF52)^2)/(AF52-1))</f>
        <v/>
      </c>
      <c r="AH52" s="38">
        <f>SUM(Y16:Y51)</f>
        <v/>
      </c>
      <c r="AI52" s="40">
        <f>IF(OR($A52="",AH52&lt;MIN_OBS_ROLL),"",SUMPRODUCT(Y16:Y51,Z16:Z51)/AH52)</f>
        <v/>
      </c>
      <c r="AJ52" s="40">
        <f>IF(OR($A52="",AF52&lt;MIN_OBS_ROLL),"",SUMPRODUCT(AA16:AA51,AB16:AB51)/AF52)</f>
        <v/>
      </c>
      <c r="AK52" s="40">
        <f>IF(OR(AE52="",AG52=""),"",AE52/AG52)</f>
        <v/>
      </c>
      <c r="AL52" s="40">
        <f>IF(OR(AI52="",AK52="",AJ52=""),"",AI52-AK52*AJ52)</f>
        <v/>
      </c>
      <c r="AM52" s="40">
        <f>IF(AND(ISNUMBER(W52),ISNUMBER(X52),ISNUMBER(AK52),ISNUMBER(AL52)),W52-(AL52+AK52*X52),"")</f>
        <v/>
      </c>
      <c r="AN52" s="38">
        <f>IF(ISNUMBER(AM52),1,0)</f>
        <v/>
      </c>
      <c r="AO52" s="40">
        <f>IF(AN52=1,AM52,0)</f>
        <v/>
      </c>
      <c r="AP52" s="40">
        <f>IF(SUM(AN50:AN52)=3,SUM(AO50:AO52),"")</f>
        <v/>
      </c>
      <c r="AQ52" s="38">
        <f>IF(ISNUMBER(AP52),1,0)</f>
        <v/>
      </c>
      <c r="AR52" s="40">
        <f>IF(AQ52=1,AP52,0)</f>
        <v/>
      </c>
      <c r="AS52" s="38">
        <f>SUM(AQ$5:AQ52)</f>
        <v/>
      </c>
      <c r="AT52" s="40">
        <f>IF(AS52&gt;=MIN_OBS_Z,SUMPRODUCT(AQ$5:AQ52,AR$5:AR52)/AS52,"")</f>
        <v/>
      </c>
      <c r="AU52" s="40">
        <f>IF(AS52&gt;=MIN_OBS_Z,SQRT(SUMPRODUCT(AQ$5:AQ52,(AR$5:AR52-AT52)^2)/(AS52-1)),"")</f>
        <v/>
      </c>
      <c r="AV52" s="40">
        <f>IF(AND(AQ52=1,ISNUMBER(AT52)),MAX(-Z_CLIP,MIN(Z_CLIP,(AR52-AT52)/AU52)),"")</f>
        <v/>
      </c>
      <c r="AW52" s="40">
        <f>IF(ISNUMBER(AV52),-AV52,"")</f>
        <v/>
      </c>
      <c r="AX52" s="40">
        <f>IF(ISNUMBER(AW52),1+AMPLITUD*TANH(AW52),"")</f>
        <v/>
      </c>
      <c r="AY52" s="40">
        <f>IF($A52="","",IF(COUNT(AX50:AX52)&gt;0,AVERAGE(AX50:AX52),""))</f>
        <v/>
      </c>
      <c r="AZ52" s="40">
        <f>IF(ISNUMBER(AY52),AY52-1,"")</f>
        <v/>
      </c>
      <c r="BA52" s="40">
        <f>IF(AND(ISNUMBER(AZ51),ISNUMBER(W52)),AZ51*W_BANCOS*W52,"")</f>
        <v/>
      </c>
      <c r="BB52" s="40">
        <f>IF(AND(ISNUMBER(AZ51),ISNUMBER(AZ50)),ABS(AZ51-AZ50)*W_BANCOS*COSTO,0)</f>
        <v/>
      </c>
      <c r="BC52" s="40">
        <f>IF(ISNUMBER(BA52),BA52-BB52,"")</f>
        <v/>
      </c>
      <c r="BD52" s="42">
        <f>IF(ISNUMBER(BC52),IF(A52&lt;=FECHA_ERA,"A","B"),"")</f>
        <v/>
      </c>
      <c r="BE52" s="40">
        <f>IF(BD52="A",BC52,"")</f>
        <v/>
      </c>
      <c r="BF52" s="40">
        <f>IF(BD52="B",BC52,"")</f>
        <v/>
      </c>
      <c r="BG52" s="38">
        <f>IF(AND(ISNUMBER(BC52),ISNUMBER(A52)),IF(A52&gt;=INICIO_VIVO,1,0),0)</f>
        <v/>
      </c>
      <c r="BH52" s="40">
        <f>IF(BG52=1,BC52,"")</f>
        <v/>
      </c>
      <c r="BI52" s="38">
        <f>IF(ISNUMBER(AY52),ROW(),0)</f>
        <v/>
      </c>
      <c r="BJ52" s="43">
        <f>IF(ISNUMBER(BC52),SUM(BC$5:BC52)*10000,NA())</f>
        <v/>
      </c>
      <c r="BK52" s="43">
        <f>IF(BG52=1,SUM(BH$5:BH52)*10000,NA())</f>
        <v/>
      </c>
      <c r="BL52" s="44">
        <f>IF(ISNUMBER(AY52),AY52,NA())</f>
        <v/>
      </c>
    </row>
    <row r="53">
      <c r="A53" s="36">
        <f>IF(Datos!A53="","",Datos!A53)</f>
        <v/>
      </c>
      <c r="B53" s="37">
        <f>IF(OR($A53="",NOT(ISNUMBER(Datos!B53)),NOT(ISNUMBER(Datos!B52))),"",Datos!B53/Datos!B52-1)</f>
        <v/>
      </c>
      <c r="C53" s="37">
        <f>IF(OR($A53="",NOT(ISNUMBER(Datos!C53)),NOT(ISNUMBER(Datos!C52))),"",Datos!C53/Datos!C52-1)</f>
        <v/>
      </c>
      <c r="D53" s="37">
        <f>IF(OR($A53="",NOT(ISNUMBER(Datos!D53)),NOT(ISNUMBER(Datos!D52))),"",Datos!D53/Datos!D52-1)</f>
        <v/>
      </c>
      <c r="E53" s="37">
        <f>IF(OR($A53="",NOT(ISNUMBER(Datos!E53)),NOT(ISNUMBER(Datos!E52))),"",Datos!E53/Datos!E52-1)</f>
        <v/>
      </c>
      <c r="F53" s="38">
        <f>IF($A53="","",COUNT(B53:E53))</f>
        <v/>
      </c>
      <c r="G53" s="37">
        <f>IF($A53="","",IF(F53&gt;=MIN_BANCOS,AVERAGE(B53:E53),""))</f>
        <v/>
      </c>
      <c r="H53" s="37">
        <f>IF(OR($A53="",NOT(ISNUMBER(Datos!F53)),NOT(ISNUMBER(Datos!F52))),"",Datos!F53/Datos!F52-1)</f>
        <v/>
      </c>
      <c r="I53" s="39">
        <f>IF($A53="","",IF(ISNUMBER(Datos!G53),Datos!G53,I52))</f>
        <v/>
      </c>
      <c r="J53" s="40">
        <f>IF($A53="","",IF(ISNUMBER(I52),LN(1+I52/100/12),0))</f>
        <v/>
      </c>
      <c r="K53" s="40">
        <f>IF(ISNUMBER(G53),LN(1+G53)-J53,"")</f>
        <v/>
      </c>
      <c r="L53" s="40">
        <f>IF(ISNUMBER(H53),LN(1+H53)-J53,"")</f>
        <v/>
      </c>
      <c r="M53" s="38">
        <f>IF(ISNUMBER(K53),1,0)</f>
        <v/>
      </c>
      <c r="N53" s="40">
        <f>IF(M53=1,K53,0)</f>
        <v/>
      </c>
      <c r="O53" s="38">
        <f>IF(ISNUMBER(L53),1,0)</f>
        <v/>
      </c>
      <c r="P53" s="40">
        <f>IF(O53=1,L53,0)</f>
        <v/>
      </c>
      <c r="Q53" s="38">
        <f>M53*O53</f>
        <v/>
      </c>
      <c r="R53" s="38">
        <f>SUM(Q17:Q52)</f>
        <v/>
      </c>
      <c r="S53" s="41">
        <f>IF(OR($A53="",R53&lt;MIN_OBS_ROLL),"",(SUMPRODUCT(Q17:Q52,N17:N52,P17:P52)/R53-SUMPRODUCT(Q17:Q52,N17:N52)/R53*SUMPRODUCT(Q17:Q52,P17:P52)/R53)*R53/(R53-1))</f>
        <v/>
      </c>
      <c r="T53" s="38">
        <f>SUM(O17:O52)</f>
        <v/>
      </c>
      <c r="U53" s="41">
        <f>IF(OR($A53="",T53&lt;MIN_OBS_ROLL),"",SUMPRODUCT(O17:O52,(P17:P52-SUMPRODUCT(O17:O52,P17:P52)/T53)^2)/(T53-1))</f>
        <v/>
      </c>
      <c r="V53" s="40">
        <f>IF(OR(S53="",U53=""),"",S53/U53)</f>
        <v/>
      </c>
      <c r="W53" s="40">
        <f>IF(AND(ISNUMBER(K53),ISNUMBER(L53),ISNUMBER(V53)),K53-V53*L53,"")</f>
        <v/>
      </c>
      <c r="X53" s="40">
        <f>IF(OR($A53="",NOT(ISNUMBER(Datos!H53)),NOT(ISNUMBER(Datos!H52))),"",LN(Datos!H53)-LN(Datos!H52))</f>
        <v/>
      </c>
      <c r="Y53" s="38">
        <f>IF(ISNUMBER(W53),1,0)</f>
        <v/>
      </c>
      <c r="Z53" s="40">
        <f>IF(Y53=1,W53,0)</f>
        <v/>
      </c>
      <c r="AA53" s="38">
        <f>IF(ISNUMBER(X53),1,0)</f>
        <v/>
      </c>
      <c r="AB53" s="40">
        <f>IF(AA53=1,X53,0)</f>
        <v/>
      </c>
      <c r="AC53" s="38">
        <f>Y53*AA53</f>
        <v/>
      </c>
      <c r="AD53" s="38">
        <f>SUM(AC17:AC52)</f>
        <v/>
      </c>
      <c r="AE53" s="41">
        <f>IF(OR($A53="",AD53&lt;MIN_OBS_ROLL),"",(SUMPRODUCT(AC17:AC52,Z17:Z52,AB17:AB52)/AD53-SUMPRODUCT(AC17:AC52,Z17:Z52)/AD53*SUMPRODUCT(AC17:AC52,AB17:AB52)/AD53)*AD53/(AD53-1))</f>
        <v/>
      </c>
      <c r="AF53" s="38">
        <f>SUM(AA17:AA52)</f>
        <v/>
      </c>
      <c r="AG53" s="41">
        <f>IF(OR($A53="",AF53&lt;MIN_OBS_ROLL),"",SUMPRODUCT(AA17:AA52,(AB17:AB52-SUMPRODUCT(AA17:AA52,AB17:AB52)/AF53)^2)/(AF53-1))</f>
        <v/>
      </c>
      <c r="AH53" s="38">
        <f>SUM(Y17:Y52)</f>
        <v/>
      </c>
      <c r="AI53" s="40">
        <f>IF(OR($A53="",AH53&lt;MIN_OBS_ROLL),"",SUMPRODUCT(Y17:Y52,Z17:Z52)/AH53)</f>
        <v/>
      </c>
      <c r="AJ53" s="40">
        <f>IF(OR($A53="",AF53&lt;MIN_OBS_ROLL),"",SUMPRODUCT(AA17:AA52,AB17:AB52)/AF53)</f>
        <v/>
      </c>
      <c r="AK53" s="40">
        <f>IF(OR(AE53="",AG53=""),"",AE53/AG53)</f>
        <v/>
      </c>
      <c r="AL53" s="40">
        <f>IF(OR(AI53="",AK53="",AJ53=""),"",AI53-AK53*AJ53)</f>
        <v/>
      </c>
      <c r="AM53" s="40">
        <f>IF(AND(ISNUMBER(W53),ISNUMBER(X53),ISNUMBER(AK53),ISNUMBER(AL53)),W53-(AL53+AK53*X53),"")</f>
        <v/>
      </c>
      <c r="AN53" s="38">
        <f>IF(ISNUMBER(AM53),1,0)</f>
        <v/>
      </c>
      <c r="AO53" s="40">
        <f>IF(AN53=1,AM53,0)</f>
        <v/>
      </c>
      <c r="AP53" s="40">
        <f>IF(SUM(AN51:AN53)=3,SUM(AO51:AO53),"")</f>
        <v/>
      </c>
      <c r="AQ53" s="38">
        <f>IF(ISNUMBER(AP53),1,0)</f>
        <v/>
      </c>
      <c r="AR53" s="40">
        <f>IF(AQ53=1,AP53,0)</f>
        <v/>
      </c>
      <c r="AS53" s="38">
        <f>SUM(AQ$5:AQ53)</f>
        <v/>
      </c>
      <c r="AT53" s="40">
        <f>IF(AS53&gt;=MIN_OBS_Z,SUMPRODUCT(AQ$5:AQ53,AR$5:AR53)/AS53,"")</f>
        <v/>
      </c>
      <c r="AU53" s="40">
        <f>IF(AS53&gt;=MIN_OBS_Z,SQRT(SUMPRODUCT(AQ$5:AQ53,(AR$5:AR53-AT53)^2)/(AS53-1)),"")</f>
        <v/>
      </c>
      <c r="AV53" s="40">
        <f>IF(AND(AQ53=1,ISNUMBER(AT53)),MAX(-Z_CLIP,MIN(Z_CLIP,(AR53-AT53)/AU53)),"")</f>
        <v/>
      </c>
      <c r="AW53" s="40">
        <f>IF(ISNUMBER(AV53),-AV53,"")</f>
        <v/>
      </c>
      <c r="AX53" s="40">
        <f>IF(ISNUMBER(AW53),1+AMPLITUD*TANH(AW53),"")</f>
        <v/>
      </c>
      <c r="AY53" s="40">
        <f>IF($A53="","",IF(COUNT(AX51:AX53)&gt;0,AVERAGE(AX51:AX53),""))</f>
        <v/>
      </c>
      <c r="AZ53" s="40">
        <f>IF(ISNUMBER(AY53),AY53-1,"")</f>
        <v/>
      </c>
      <c r="BA53" s="40">
        <f>IF(AND(ISNUMBER(AZ52),ISNUMBER(W53)),AZ52*W_BANCOS*W53,"")</f>
        <v/>
      </c>
      <c r="BB53" s="40">
        <f>IF(AND(ISNUMBER(AZ52),ISNUMBER(AZ51)),ABS(AZ52-AZ51)*W_BANCOS*COSTO,0)</f>
        <v/>
      </c>
      <c r="BC53" s="40">
        <f>IF(ISNUMBER(BA53),BA53-BB53,"")</f>
        <v/>
      </c>
      <c r="BD53" s="42">
        <f>IF(ISNUMBER(BC53),IF(A53&lt;=FECHA_ERA,"A","B"),"")</f>
        <v/>
      </c>
      <c r="BE53" s="40">
        <f>IF(BD53="A",BC53,"")</f>
        <v/>
      </c>
      <c r="BF53" s="40">
        <f>IF(BD53="B",BC53,"")</f>
        <v/>
      </c>
      <c r="BG53" s="38">
        <f>IF(AND(ISNUMBER(BC53),ISNUMBER(A53)),IF(A53&gt;=INICIO_VIVO,1,0),0)</f>
        <v/>
      </c>
      <c r="BH53" s="40">
        <f>IF(BG53=1,BC53,"")</f>
        <v/>
      </c>
      <c r="BI53" s="38">
        <f>IF(ISNUMBER(AY53),ROW(),0)</f>
        <v/>
      </c>
      <c r="BJ53" s="43">
        <f>IF(ISNUMBER(BC53),SUM(BC$5:BC53)*10000,NA())</f>
        <v/>
      </c>
      <c r="BK53" s="43">
        <f>IF(BG53=1,SUM(BH$5:BH53)*10000,NA())</f>
        <v/>
      </c>
      <c r="BL53" s="44">
        <f>IF(ISNUMBER(AY53),AY53,NA())</f>
        <v/>
      </c>
    </row>
    <row r="54">
      <c r="A54" s="36">
        <f>IF(Datos!A54="","",Datos!A54)</f>
        <v/>
      </c>
      <c r="B54" s="37">
        <f>IF(OR($A54="",NOT(ISNUMBER(Datos!B54)),NOT(ISNUMBER(Datos!B53))),"",Datos!B54/Datos!B53-1)</f>
        <v/>
      </c>
      <c r="C54" s="37">
        <f>IF(OR($A54="",NOT(ISNUMBER(Datos!C54)),NOT(ISNUMBER(Datos!C53))),"",Datos!C54/Datos!C53-1)</f>
        <v/>
      </c>
      <c r="D54" s="37">
        <f>IF(OR($A54="",NOT(ISNUMBER(Datos!D54)),NOT(ISNUMBER(Datos!D53))),"",Datos!D54/Datos!D53-1)</f>
        <v/>
      </c>
      <c r="E54" s="37">
        <f>IF(OR($A54="",NOT(ISNUMBER(Datos!E54)),NOT(ISNUMBER(Datos!E53))),"",Datos!E54/Datos!E53-1)</f>
        <v/>
      </c>
      <c r="F54" s="38">
        <f>IF($A54="","",COUNT(B54:E54))</f>
        <v/>
      </c>
      <c r="G54" s="37">
        <f>IF($A54="","",IF(F54&gt;=MIN_BANCOS,AVERAGE(B54:E54),""))</f>
        <v/>
      </c>
      <c r="H54" s="37">
        <f>IF(OR($A54="",NOT(ISNUMBER(Datos!F54)),NOT(ISNUMBER(Datos!F53))),"",Datos!F54/Datos!F53-1)</f>
        <v/>
      </c>
      <c r="I54" s="39">
        <f>IF($A54="","",IF(ISNUMBER(Datos!G54),Datos!G54,I53))</f>
        <v/>
      </c>
      <c r="J54" s="40">
        <f>IF($A54="","",IF(ISNUMBER(I53),LN(1+I53/100/12),0))</f>
        <v/>
      </c>
      <c r="K54" s="40">
        <f>IF(ISNUMBER(G54),LN(1+G54)-J54,"")</f>
        <v/>
      </c>
      <c r="L54" s="40">
        <f>IF(ISNUMBER(H54),LN(1+H54)-J54,"")</f>
        <v/>
      </c>
      <c r="M54" s="38">
        <f>IF(ISNUMBER(K54),1,0)</f>
        <v/>
      </c>
      <c r="N54" s="40">
        <f>IF(M54=1,K54,0)</f>
        <v/>
      </c>
      <c r="O54" s="38">
        <f>IF(ISNUMBER(L54),1,0)</f>
        <v/>
      </c>
      <c r="P54" s="40">
        <f>IF(O54=1,L54,0)</f>
        <v/>
      </c>
      <c r="Q54" s="38">
        <f>M54*O54</f>
        <v/>
      </c>
      <c r="R54" s="38">
        <f>SUM(Q18:Q53)</f>
        <v/>
      </c>
      <c r="S54" s="41">
        <f>IF(OR($A54="",R54&lt;MIN_OBS_ROLL),"",(SUMPRODUCT(Q18:Q53,N18:N53,P18:P53)/R54-SUMPRODUCT(Q18:Q53,N18:N53)/R54*SUMPRODUCT(Q18:Q53,P18:P53)/R54)*R54/(R54-1))</f>
        <v/>
      </c>
      <c r="T54" s="38">
        <f>SUM(O18:O53)</f>
        <v/>
      </c>
      <c r="U54" s="41">
        <f>IF(OR($A54="",T54&lt;MIN_OBS_ROLL),"",SUMPRODUCT(O18:O53,(P18:P53-SUMPRODUCT(O18:O53,P18:P53)/T54)^2)/(T54-1))</f>
        <v/>
      </c>
      <c r="V54" s="40">
        <f>IF(OR(S54="",U54=""),"",S54/U54)</f>
        <v/>
      </c>
      <c r="W54" s="40">
        <f>IF(AND(ISNUMBER(K54),ISNUMBER(L54),ISNUMBER(V54)),K54-V54*L54,"")</f>
        <v/>
      </c>
      <c r="X54" s="40">
        <f>IF(OR($A54="",NOT(ISNUMBER(Datos!H54)),NOT(ISNUMBER(Datos!H53))),"",LN(Datos!H54)-LN(Datos!H53))</f>
        <v/>
      </c>
      <c r="Y54" s="38">
        <f>IF(ISNUMBER(W54),1,0)</f>
        <v/>
      </c>
      <c r="Z54" s="40">
        <f>IF(Y54=1,W54,0)</f>
        <v/>
      </c>
      <c r="AA54" s="38">
        <f>IF(ISNUMBER(X54),1,0)</f>
        <v/>
      </c>
      <c r="AB54" s="40">
        <f>IF(AA54=1,X54,0)</f>
        <v/>
      </c>
      <c r="AC54" s="38">
        <f>Y54*AA54</f>
        <v/>
      </c>
      <c r="AD54" s="38">
        <f>SUM(AC18:AC53)</f>
        <v/>
      </c>
      <c r="AE54" s="41">
        <f>IF(OR($A54="",AD54&lt;MIN_OBS_ROLL),"",(SUMPRODUCT(AC18:AC53,Z18:Z53,AB18:AB53)/AD54-SUMPRODUCT(AC18:AC53,Z18:Z53)/AD54*SUMPRODUCT(AC18:AC53,AB18:AB53)/AD54)*AD54/(AD54-1))</f>
        <v/>
      </c>
      <c r="AF54" s="38">
        <f>SUM(AA18:AA53)</f>
        <v/>
      </c>
      <c r="AG54" s="41">
        <f>IF(OR($A54="",AF54&lt;MIN_OBS_ROLL),"",SUMPRODUCT(AA18:AA53,(AB18:AB53-SUMPRODUCT(AA18:AA53,AB18:AB53)/AF54)^2)/(AF54-1))</f>
        <v/>
      </c>
      <c r="AH54" s="38">
        <f>SUM(Y18:Y53)</f>
        <v/>
      </c>
      <c r="AI54" s="40">
        <f>IF(OR($A54="",AH54&lt;MIN_OBS_ROLL),"",SUMPRODUCT(Y18:Y53,Z18:Z53)/AH54)</f>
        <v/>
      </c>
      <c r="AJ54" s="40">
        <f>IF(OR($A54="",AF54&lt;MIN_OBS_ROLL),"",SUMPRODUCT(AA18:AA53,AB18:AB53)/AF54)</f>
        <v/>
      </c>
      <c r="AK54" s="40">
        <f>IF(OR(AE54="",AG54=""),"",AE54/AG54)</f>
        <v/>
      </c>
      <c r="AL54" s="40">
        <f>IF(OR(AI54="",AK54="",AJ54=""),"",AI54-AK54*AJ54)</f>
        <v/>
      </c>
      <c r="AM54" s="40">
        <f>IF(AND(ISNUMBER(W54),ISNUMBER(X54),ISNUMBER(AK54),ISNUMBER(AL54)),W54-(AL54+AK54*X54),"")</f>
        <v/>
      </c>
      <c r="AN54" s="38">
        <f>IF(ISNUMBER(AM54),1,0)</f>
        <v/>
      </c>
      <c r="AO54" s="40">
        <f>IF(AN54=1,AM54,0)</f>
        <v/>
      </c>
      <c r="AP54" s="40">
        <f>IF(SUM(AN52:AN54)=3,SUM(AO52:AO54),"")</f>
        <v/>
      </c>
      <c r="AQ54" s="38">
        <f>IF(ISNUMBER(AP54),1,0)</f>
        <v/>
      </c>
      <c r="AR54" s="40">
        <f>IF(AQ54=1,AP54,0)</f>
        <v/>
      </c>
      <c r="AS54" s="38">
        <f>SUM(AQ$5:AQ54)</f>
        <v/>
      </c>
      <c r="AT54" s="40">
        <f>IF(AS54&gt;=MIN_OBS_Z,SUMPRODUCT(AQ$5:AQ54,AR$5:AR54)/AS54,"")</f>
        <v/>
      </c>
      <c r="AU54" s="40">
        <f>IF(AS54&gt;=MIN_OBS_Z,SQRT(SUMPRODUCT(AQ$5:AQ54,(AR$5:AR54-AT54)^2)/(AS54-1)),"")</f>
        <v/>
      </c>
      <c r="AV54" s="40">
        <f>IF(AND(AQ54=1,ISNUMBER(AT54)),MAX(-Z_CLIP,MIN(Z_CLIP,(AR54-AT54)/AU54)),"")</f>
        <v/>
      </c>
      <c r="AW54" s="40">
        <f>IF(ISNUMBER(AV54),-AV54,"")</f>
        <v/>
      </c>
      <c r="AX54" s="40">
        <f>IF(ISNUMBER(AW54),1+AMPLITUD*TANH(AW54),"")</f>
        <v/>
      </c>
      <c r="AY54" s="40">
        <f>IF($A54="","",IF(COUNT(AX52:AX54)&gt;0,AVERAGE(AX52:AX54),""))</f>
        <v/>
      </c>
      <c r="AZ54" s="40">
        <f>IF(ISNUMBER(AY54),AY54-1,"")</f>
        <v/>
      </c>
      <c r="BA54" s="40">
        <f>IF(AND(ISNUMBER(AZ53),ISNUMBER(W54)),AZ53*W_BANCOS*W54,"")</f>
        <v/>
      </c>
      <c r="BB54" s="40">
        <f>IF(AND(ISNUMBER(AZ53),ISNUMBER(AZ52)),ABS(AZ53-AZ52)*W_BANCOS*COSTO,0)</f>
        <v/>
      </c>
      <c r="BC54" s="40">
        <f>IF(ISNUMBER(BA54),BA54-BB54,"")</f>
        <v/>
      </c>
      <c r="BD54" s="42">
        <f>IF(ISNUMBER(BC54),IF(A54&lt;=FECHA_ERA,"A","B"),"")</f>
        <v/>
      </c>
      <c r="BE54" s="40">
        <f>IF(BD54="A",BC54,"")</f>
        <v/>
      </c>
      <c r="BF54" s="40">
        <f>IF(BD54="B",BC54,"")</f>
        <v/>
      </c>
      <c r="BG54" s="38">
        <f>IF(AND(ISNUMBER(BC54),ISNUMBER(A54)),IF(A54&gt;=INICIO_VIVO,1,0),0)</f>
        <v/>
      </c>
      <c r="BH54" s="40">
        <f>IF(BG54=1,BC54,"")</f>
        <v/>
      </c>
      <c r="BI54" s="38">
        <f>IF(ISNUMBER(AY54),ROW(),0)</f>
        <v/>
      </c>
      <c r="BJ54" s="43">
        <f>IF(ISNUMBER(BC54),SUM(BC$5:BC54)*10000,NA())</f>
        <v/>
      </c>
      <c r="BK54" s="43">
        <f>IF(BG54=1,SUM(BH$5:BH54)*10000,NA())</f>
        <v/>
      </c>
      <c r="BL54" s="44">
        <f>IF(ISNUMBER(AY54),AY54,NA())</f>
        <v/>
      </c>
    </row>
    <row r="55">
      <c r="A55" s="36">
        <f>IF(Datos!A55="","",Datos!A55)</f>
        <v/>
      </c>
      <c r="B55" s="37">
        <f>IF(OR($A55="",NOT(ISNUMBER(Datos!B55)),NOT(ISNUMBER(Datos!B54))),"",Datos!B55/Datos!B54-1)</f>
        <v/>
      </c>
      <c r="C55" s="37">
        <f>IF(OR($A55="",NOT(ISNUMBER(Datos!C55)),NOT(ISNUMBER(Datos!C54))),"",Datos!C55/Datos!C54-1)</f>
        <v/>
      </c>
      <c r="D55" s="37">
        <f>IF(OR($A55="",NOT(ISNUMBER(Datos!D55)),NOT(ISNUMBER(Datos!D54))),"",Datos!D55/Datos!D54-1)</f>
        <v/>
      </c>
      <c r="E55" s="37">
        <f>IF(OR($A55="",NOT(ISNUMBER(Datos!E55)),NOT(ISNUMBER(Datos!E54))),"",Datos!E55/Datos!E54-1)</f>
        <v/>
      </c>
      <c r="F55" s="38">
        <f>IF($A55="","",COUNT(B55:E55))</f>
        <v/>
      </c>
      <c r="G55" s="37">
        <f>IF($A55="","",IF(F55&gt;=MIN_BANCOS,AVERAGE(B55:E55),""))</f>
        <v/>
      </c>
      <c r="H55" s="37">
        <f>IF(OR($A55="",NOT(ISNUMBER(Datos!F55)),NOT(ISNUMBER(Datos!F54))),"",Datos!F55/Datos!F54-1)</f>
        <v/>
      </c>
      <c r="I55" s="39">
        <f>IF($A55="","",IF(ISNUMBER(Datos!G55),Datos!G55,I54))</f>
        <v/>
      </c>
      <c r="J55" s="40">
        <f>IF($A55="","",IF(ISNUMBER(I54),LN(1+I54/100/12),0))</f>
        <v/>
      </c>
      <c r="K55" s="40">
        <f>IF(ISNUMBER(G55),LN(1+G55)-J55,"")</f>
        <v/>
      </c>
      <c r="L55" s="40">
        <f>IF(ISNUMBER(H55),LN(1+H55)-J55,"")</f>
        <v/>
      </c>
      <c r="M55" s="38">
        <f>IF(ISNUMBER(K55),1,0)</f>
        <v/>
      </c>
      <c r="N55" s="40">
        <f>IF(M55=1,K55,0)</f>
        <v/>
      </c>
      <c r="O55" s="38">
        <f>IF(ISNUMBER(L55),1,0)</f>
        <v/>
      </c>
      <c r="P55" s="40">
        <f>IF(O55=1,L55,0)</f>
        <v/>
      </c>
      <c r="Q55" s="38">
        <f>M55*O55</f>
        <v/>
      </c>
      <c r="R55" s="38">
        <f>SUM(Q19:Q54)</f>
        <v/>
      </c>
      <c r="S55" s="41">
        <f>IF(OR($A55="",R55&lt;MIN_OBS_ROLL),"",(SUMPRODUCT(Q19:Q54,N19:N54,P19:P54)/R55-SUMPRODUCT(Q19:Q54,N19:N54)/R55*SUMPRODUCT(Q19:Q54,P19:P54)/R55)*R55/(R55-1))</f>
        <v/>
      </c>
      <c r="T55" s="38">
        <f>SUM(O19:O54)</f>
        <v/>
      </c>
      <c r="U55" s="41">
        <f>IF(OR($A55="",T55&lt;MIN_OBS_ROLL),"",SUMPRODUCT(O19:O54,(P19:P54-SUMPRODUCT(O19:O54,P19:P54)/T55)^2)/(T55-1))</f>
        <v/>
      </c>
      <c r="V55" s="40">
        <f>IF(OR(S55="",U55=""),"",S55/U55)</f>
        <v/>
      </c>
      <c r="W55" s="40">
        <f>IF(AND(ISNUMBER(K55),ISNUMBER(L55),ISNUMBER(V55)),K55-V55*L55,"")</f>
        <v/>
      </c>
      <c r="X55" s="40">
        <f>IF(OR($A55="",NOT(ISNUMBER(Datos!H55)),NOT(ISNUMBER(Datos!H54))),"",LN(Datos!H55)-LN(Datos!H54))</f>
        <v/>
      </c>
      <c r="Y55" s="38">
        <f>IF(ISNUMBER(W55),1,0)</f>
        <v/>
      </c>
      <c r="Z55" s="40">
        <f>IF(Y55=1,W55,0)</f>
        <v/>
      </c>
      <c r="AA55" s="38">
        <f>IF(ISNUMBER(X55),1,0)</f>
        <v/>
      </c>
      <c r="AB55" s="40">
        <f>IF(AA55=1,X55,0)</f>
        <v/>
      </c>
      <c r="AC55" s="38">
        <f>Y55*AA55</f>
        <v/>
      </c>
      <c r="AD55" s="38">
        <f>SUM(AC19:AC54)</f>
        <v/>
      </c>
      <c r="AE55" s="41">
        <f>IF(OR($A55="",AD55&lt;MIN_OBS_ROLL),"",(SUMPRODUCT(AC19:AC54,Z19:Z54,AB19:AB54)/AD55-SUMPRODUCT(AC19:AC54,Z19:Z54)/AD55*SUMPRODUCT(AC19:AC54,AB19:AB54)/AD55)*AD55/(AD55-1))</f>
        <v/>
      </c>
      <c r="AF55" s="38">
        <f>SUM(AA19:AA54)</f>
        <v/>
      </c>
      <c r="AG55" s="41">
        <f>IF(OR($A55="",AF55&lt;MIN_OBS_ROLL),"",SUMPRODUCT(AA19:AA54,(AB19:AB54-SUMPRODUCT(AA19:AA54,AB19:AB54)/AF55)^2)/(AF55-1))</f>
        <v/>
      </c>
      <c r="AH55" s="38">
        <f>SUM(Y19:Y54)</f>
        <v/>
      </c>
      <c r="AI55" s="40">
        <f>IF(OR($A55="",AH55&lt;MIN_OBS_ROLL),"",SUMPRODUCT(Y19:Y54,Z19:Z54)/AH55)</f>
        <v/>
      </c>
      <c r="AJ55" s="40">
        <f>IF(OR($A55="",AF55&lt;MIN_OBS_ROLL),"",SUMPRODUCT(AA19:AA54,AB19:AB54)/AF55)</f>
        <v/>
      </c>
      <c r="AK55" s="40">
        <f>IF(OR(AE55="",AG55=""),"",AE55/AG55)</f>
        <v/>
      </c>
      <c r="AL55" s="40">
        <f>IF(OR(AI55="",AK55="",AJ55=""),"",AI55-AK55*AJ55)</f>
        <v/>
      </c>
      <c r="AM55" s="40">
        <f>IF(AND(ISNUMBER(W55),ISNUMBER(X55),ISNUMBER(AK55),ISNUMBER(AL55)),W55-(AL55+AK55*X55),"")</f>
        <v/>
      </c>
      <c r="AN55" s="38">
        <f>IF(ISNUMBER(AM55),1,0)</f>
        <v/>
      </c>
      <c r="AO55" s="40">
        <f>IF(AN55=1,AM55,0)</f>
        <v/>
      </c>
      <c r="AP55" s="40">
        <f>IF(SUM(AN53:AN55)=3,SUM(AO53:AO55),"")</f>
        <v/>
      </c>
      <c r="AQ55" s="38">
        <f>IF(ISNUMBER(AP55),1,0)</f>
        <v/>
      </c>
      <c r="AR55" s="40">
        <f>IF(AQ55=1,AP55,0)</f>
        <v/>
      </c>
      <c r="AS55" s="38">
        <f>SUM(AQ$5:AQ55)</f>
        <v/>
      </c>
      <c r="AT55" s="40">
        <f>IF(AS55&gt;=MIN_OBS_Z,SUMPRODUCT(AQ$5:AQ55,AR$5:AR55)/AS55,"")</f>
        <v/>
      </c>
      <c r="AU55" s="40">
        <f>IF(AS55&gt;=MIN_OBS_Z,SQRT(SUMPRODUCT(AQ$5:AQ55,(AR$5:AR55-AT55)^2)/(AS55-1)),"")</f>
        <v/>
      </c>
      <c r="AV55" s="40">
        <f>IF(AND(AQ55=1,ISNUMBER(AT55)),MAX(-Z_CLIP,MIN(Z_CLIP,(AR55-AT55)/AU55)),"")</f>
        <v/>
      </c>
      <c r="AW55" s="40">
        <f>IF(ISNUMBER(AV55),-AV55,"")</f>
        <v/>
      </c>
      <c r="AX55" s="40">
        <f>IF(ISNUMBER(AW55),1+AMPLITUD*TANH(AW55),"")</f>
        <v/>
      </c>
      <c r="AY55" s="40">
        <f>IF($A55="","",IF(COUNT(AX53:AX55)&gt;0,AVERAGE(AX53:AX55),""))</f>
        <v/>
      </c>
      <c r="AZ55" s="40">
        <f>IF(ISNUMBER(AY55),AY55-1,"")</f>
        <v/>
      </c>
      <c r="BA55" s="40">
        <f>IF(AND(ISNUMBER(AZ54),ISNUMBER(W55)),AZ54*W_BANCOS*W55,"")</f>
        <v/>
      </c>
      <c r="BB55" s="40">
        <f>IF(AND(ISNUMBER(AZ54),ISNUMBER(AZ53)),ABS(AZ54-AZ53)*W_BANCOS*COSTO,0)</f>
        <v/>
      </c>
      <c r="BC55" s="40">
        <f>IF(ISNUMBER(BA55),BA55-BB55,"")</f>
        <v/>
      </c>
      <c r="BD55" s="42">
        <f>IF(ISNUMBER(BC55),IF(A55&lt;=FECHA_ERA,"A","B"),"")</f>
        <v/>
      </c>
      <c r="BE55" s="40">
        <f>IF(BD55="A",BC55,"")</f>
        <v/>
      </c>
      <c r="BF55" s="40">
        <f>IF(BD55="B",BC55,"")</f>
        <v/>
      </c>
      <c r="BG55" s="38">
        <f>IF(AND(ISNUMBER(BC55),ISNUMBER(A55)),IF(A55&gt;=INICIO_VIVO,1,0),0)</f>
        <v/>
      </c>
      <c r="BH55" s="40">
        <f>IF(BG55=1,BC55,"")</f>
        <v/>
      </c>
      <c r="BI55" s="38">
        <f>IF(ISNUMBER(AY55),ROW(),0)</f>
        <v/>
      </c>
      <c r="BJ55" s="43">
        <f>IF(ISNUMBER(BC55),SUM(BC$5:BC55)*10000,NA())</f>
        <v/>
      </c>
      <c r="BK55" s="43">
        <f>IF(BG55=1,SUM(BH$5:BH55)*10000,NA())</f>
        <v/>
      </c>
      <c r="BL55" s="44">
        <f>IF(ISNUMBER(AY55),AY55,NA())</f>
        <v/>
      </c>
    </row>
    <row r="56">
      <c r="A56" s="36">
        <f>IF(Datos!A56="","",Datos!A56)</f>
        <v/>
      </c>
      <c r="B56" s="37">
        <f>IF(OR($A56="",NOT(ISNUMBER(Datos!B56)),NOT(ISNUMBER(Datos!B55))),"",Datos!B56/Datos!B55-1)</f>
        <v/>
      </c>
      <c r="C56" s="37">
        <f>IF(OR($A56="",NOT(ISNUMBER(Datos!C56)),NOT(ISNUMBER(Datos!C55))),"",Datos!C56/Datos!C55-1)</f>
        <v/>
      </c>
      <c r="D56" s="37">
        <f>IF(OR($A56="",NOT(ISNUMBER(Datos!D56)),NOT(ISNUMBER(Datos!D55))),"",Datos!D56/Datos!D55-1)</f>
        <v/>
      </c>
      <c r="E56" s="37">
        <f>IF(OR($A56="",NOT(ISNUMBER(Datos!E56)),NOT(ISNUMBER(Datos!E55))),"",Datos!E56/Datos!E55-1)</f>
        <v/>
      </c>
      <c r="F56" s="38">
        <f>IF($A56="","",COUNT(B56:E56))</f>
        <v/>
      </c>
      <c r="G56" s="37">
        <f>IF($A56="","",IF(F56&gt;=MIN_BANCOS,AVERAGE(B56:E56),""))</f>
        <v/>
      </c>
      <c r="H56" s="37">
        <f>IF(OR($A56="",NOT(ISNUMBER(Datos!F56)),NOT(ISNUMBER(Datos!F55))),"",Datos!F56/Datos!F55-1)</f>
        <v/>
      </c>
      <c r="I56" s="39">
        <f>IF($A56="","",IF(ISNUMBER(Datos!G56),Datos!G56,I55))</f>
        <v/>
      </c>
      <c r="J56" s="40">
        <f>IF($A56="","",IF(ISNUMBER(I55),LN(1+I55/100/12),0))</f>
        <v/>
      </c>
      <c r="K56" s="40">
        <f>IF(ISNUMBER(G56),LN(1+G56)-J56,"")</f>
        <v/>
      </c>
      <c r="L56" s="40">
        <f>IF(ISNUMBER(H56),LN(1+H56)-J56,"")</f>
        <v/>
      </c>
      <c r="M56" s="38">
        <f>IF(ISNUMBER(K56),1,0)</f>
        <v/>
      </c>
      <c r="N56" s="40">
        <f>IF(M56=1,K56,0)</f>
        <v/>
      </c>
      <c r="O56" s="38">
        <f>IF(ISNUMBER(L56),1,0)</f>
        <v/>
      </c>
      <c r="P56" s="40">
        <f>IF(O56=1,L56,0)</f>
        <v/>
      </c>
      <c r="Q56" s="38">
        <f>M56*O56</f>
        <v/>
      </c>
      <c r="R56" s="38">
        <f>SUM(Q20:Q55)</f>
        <v/>
      </c>
      <c r="S56" s="41">
        <f>IF(OR($A56="",R56&lt;MIN_OBS_ROLL),"",(SUMPRODUCT(Q20:Q55,N20:N55,P20:P55)/R56-SUMPRODUCT(Q20:Q55,N20:N55)/R56*SUMPRODUCT(Q20:Q55,P20:P55)/R56)*R56/(R56-1))</f>
        <v/>
      </c>
      <c r="T56" s="38">
        <f>SUM(O20:O55)</f>
        <v/>
      </c>
      <c r="U56" s="41">
        <f>IF(OR($A56="",T56&lt;MIN_OBS_ROLL),"",SUMPRODUCT(O20:O55,(P20:P55-SUMPRODUCT(O20:O55,P20:P55)/T56)^2)/(T56-1))</f>
        <v/>
      </c>
      <c r="V56" s="40">
        <f>IF(OR(S56="",U56=""),"",S56/U56)</f>
        <v/>
      </c>
      <c r="W56" s="40">
        <f>IF(AND(ISNUMBER(K56),ISNUMBER(L56),ISNUMBER(V56)),K56-V56*L56,"")</f>
        <v/>
      </c>
      <c r="X56" s="40">
        <f>IF(OR($A56="",NOT(ISNUMBER(Datos!H56)),NOT(ISNUMBER(Datos!H55))),"",LN(Datos!H56)-LN(Datos!H55))</f>
        <v/>
      </c>
      <c r="Y56" s="38">
        <f>IF(ISNUMBER(W56),1,0)</f>
        <v/>
      </c>
      <c r="Z56" s="40">
        <f>IF(Y56=1,W56,0)</f>
        <v/>
      </c>
      <c r="AA56" s="38">
        <f>IF(ISNUMBER(X56),1,0)</f>
        <v/>
      </c>
      <c r="AB56" s="40">
        <f>IF(AA56=1,X56,0)</f>
        <v/>
      </c>
      <c r="AC56" s="38">
        <f>Y56*AA56</f>
        <v/>
      </c>
      <c r="AD56" s="38">
        <f>SUM(AC20:AC55)</f>
        <v/>
      </c>
      <c r="AE56" s="41">
        <f>IF(OR($A56="",AD56&lt;MIN_OBS_ROLL),"",(SUMPRODUCT(AC20:AC55,Z20:Z55,AB20:AB55)/AD56-SUMPRODUCT(AC20:AC55,Z20:Z55)/AD56*SUMPRODUCT(AC20:AC55,AB20:AB55)/AD56)*AD56/(AD56-1))</f>
        <v/>
      </c>
      <c r="AF56" s="38">
        <f>SUM(AA20:AA55)</f>
        <v/>
      </c>
      <c r="AG56" s="41">
        <f>IF(OR($A56="",AF56&lt;MIN_OBS_ROLL),"",SUMPRODUCT(AA20:AA55,(AB20:AB55-SUMPRODUCT(AA20:AA55,AB20:AB55)/AF56)^2)/(AF56-1))</f>
        <v/>
      </c>
      <c r="AH56" s="38">
        <f>SUM(Y20:Y55)</f>
        <v/>
      </c>
      <c r="AI56" s="40">
        <f>IF(OR($A56="",AH56&lt;MIN_OBS_ROLL),"",SUMPRODUCT(Y20:Y55,Z20:Z55)/AH56)</f>
        <v/>
      </c>
      <c r="AJ56" s="40">
        <f>IF(OR($A56="",AF56&lt;MIN_OBS_ROLL),"",SUMPRODUCT(AA20:AA55,AB20:AB55)/AF56)</f>
        <v/>
      </c>
      <c r="AK56" s="40">
        <f>IF(OR(AE56="",AG56=""),"",AE56/AG56)</f>
        <v/>
      </c>
      <c r="AL56" s="40">
        <f>IF(OR(AI56="",AK56="",AJ56=""),"",AI56-AK56*AJ56)</f>
        <v/>
      </c>
      <c r="AM56" s="40">
        <f>IF(AND(ISNUMBER(W56),ISNUMBER(X56),ISNUMBER(AK56),ISNUMBER(AL56)),W56-(AL56+AK56*X56),"")</f>
        <v/>
      </c>
      <c r="AN56" s="38">
        <f>IF(ISNUMBER(AM56),1,0)</f>
        <v/>
      </c>
      <c r="AO56" s="40">
        <f>IF(AN56=1,AM56,0)</f>
        <v/>
      </c>
      <c r="AP56" s="40">
        <f>IF(SUM(AN54:AN56)=3,SUM(AO54:AO56),"")</f>
        <v/>
      </c>
      <c r="AQ56" s="38">
        <f>IF(ISNUMBER(AP56),1,0)</f>
        <v/>
      </c>
      <c r="AR56" s="40">
        <f>IF(AQ56=1,AP56,0)</f>
        <v/>
      </c>
      <c r="AS56" s="38">
        <f>SUM(AQ$5:AQ56)</f>
        <v/>
      </c>
      <c r="AT56" s="40">
        <f>IF(AS56&gt;=MIN_OBS_Z,SUMPRODUCT(AQ$5:AQ56,AR$5:AR56)/AS56,"")</f>
        <v/>
      </c>
      <c r="AU56" s="40">
        <f>IF(AS56&gt;=MIN_OBS_Z,SQRT(SUMPRODUCT(AQ$5:AQ56,(AR$5:AR56-AT56)^2)/(AS56-1)),"")</f>
        <v/>
      </c>
      <c r="AV56" s="40">
        <f>IF(AND(AQ56=1,ISNUMBER(AT56)),MAX(-Z_CLIP,MIN(Z_CLIP,(AR56-AT56)/AU56)),"")</f>
        <v/>
      </c>
      <c r="AW56" s="40">
        <f>IF(ISNUMBER(AV56),-AV56,"")</f>
        <v/>
      </c>
      <c r="AX56" s="40">
        <f>IF(ISNUMBER(AW56),1+AMPLITUD*TANH(AW56),"")</f>
        <v/>
      </c>
      <c r="AY56" s="40">
        <f>IF($A56="","",IF(COUNT(AX54:AX56)&gt;0,AVERAGE(AX54:AX56),""))</f>
        <v/>
      </c>
      <c r="AZ56" s="40">
        <f>IF(ISNUMBER(AY56),AY56-1,"")</f>
        <v/>
      </c>
      <c r="BA56" s="40">
        <f>IF(AND(ISNUMBER(AZ55),ISNUMBER(W56)),AZ55*W_BANCOS*W56,"")</f>
        <v/>
      </c>
      <c r="BB56" s="40">
        <f>IF(AND(ISNUMBER(AZ55),ISNUMBER(AZ54)),ABS(AZ55-AZ54)*W_BANCOS*COSTO,0)</f>
        <v/>
      </c>
      <c r="BC56" s="40">
        <f>IF(ISNUMBER(BA56),BA56-BB56,"")</f>
        <v/>
      </c>
      <c r="BD56" s="42">
        <f>IF(ISNUMBER(BC56),IF(A56&lt;=FECHA_ERA,"A","B"),"")</f>
        <v/>
      </c>
      <c r="BE56" s="40">
        <f>IF(BD56="A",BC56,"")</f>
        <v/>
      </c>
      <c r="BF56" s="40">
        <f>IF(BD56="B",BC56,"")</f>
        <v/>
      </c>
      <c r="BG56" s="38">
        <f>IF(AND(ISNUMBER(BC56),ISNUMBER(A56)),IF(A56&gt;=INICIO_VIVO,1,0),0)</f>
        <v/>
      </c>
      <c r="BH56" s="40">
        <f>IF(BG56=1,BC56,"")</f>
        <v/>
      </c>
      <c r="BI56" s="38">
        <f>IF(ISNUMBER(AY56),ROW(),0)</f>
        <v/>
      </c>
      <c r="BJ56" s="43">
        <f>IF(ISNUMBER(BC56),SUM(BC$5:BC56)*10000,NA())</f>
        <v/>
      </c>
      <c r="BK56" s="43">
        <f>IF(BG56=1,SUM(BH$5:BH56)*10000,NA())</f>
        <v/>
      </c>
      <c r="BL56" s="44">
        <f>IF(ISNUMBER(AY56),AY56,NA())</f>
        <v/>
      </c>
    </row>
    <row r="57">
      <c r="A57" s="36">
        <f>IF(Datos!A57="","",Datos!A57)</f>
        <v/>
      </c>
      <c r="B57" s="37">
        <f>IF(OR($A57="",NOT(ISNUMBER(Datos!B57)),NOT(ISNUMBER(Datos!B56))),"",Datos!B57/Datos!B56-1)</f>
        <v/>
      </c>
      <c r="C57" s="37">
        <f>IF(OR($A57="",NOT(ISNUMBER(Datos!C57)),NOT(ISNUMBER(Datos!C56))),"",Datos!C57/Datos!C56-1)</f>
        <v/>
      </c>
      <c r="D57" s="37">
        <f>IF(OR($A57="",NOT(ISNUMBER(Datos!D57)),NOT(ISNUMBER(Datos!D56))),"",Datos!D57/Datos!D56-1)</f>
        <v/>
      </c>
      <c r="E57" s="37">
        <f>IF(OR($A57="",NOT(ISNUMBER(Datos!E57)),NOT(ISNUMBER(Datos!E56))),"",Datos!E57/Datos!E56-1)</f>
        <v/>
      </c>
      <c r="F57" s="38">
        <f>IF($A57="","",COUNT(B57:E57))</f>
        <v/>
      </c>
      <c r="G57" s="37">
        <f>IF($A57="","",IF(F57&gt;=MIN_BANCOS,AVERAGE(B57:E57),""))</f>
        <v/>
      </c>
      <c r="H57" s="37">
        <f>IF(OR($A57="",NOT(ISNUMBER(Datos!F57)),NOT(ISNUMBER(Datos!F56))),"",Datos!F57/Datos!F56-1)</f>
        <v/>
      </c>
      <c r="I57" s="39">
        <f>IF($A57="","",IF(ISNUMBER(Datos!G57),Datos!G57,I56))</f>
        <v/>
      </c>
      <c r="J57" s="40">
        <f>IF($A57="","",IF(ISNUMBER(I56),LN(1+I56/100/12),0))</f>
        <v/>
      </c>
      <c r="K57" s="40">
        <f>IF(ISNUMBER(G57),LN(1+G57)-J57,"")</f>
        <v/>
      </c>
      <c r="L57" s="40">
        <f>IF(ISNUMBER(H57),LN(1+H57)-J57,"")</f>
        <v/>
      </c>
      <c r="M57" s="38">
        <f>IF(ISNUMBER(K57),1,0)</f>
        <v/>
      </c>
      <c r="N57" s="40">
        <f>IF(M57=1,K57,0)</f>
        <v/>
      </c>
      <c r="O57" s="38">
        <f>IF(ISNUMBER(L57),1,0)</f>
        <v/>
      </c>
      <c r="P57" s="40">
        <f>IF(O57=1,L57,0)</f>
        <v/>
      </c>
      <c r="Q57" s="38">
        <f>M57*O57</f>
        <v/>
      </c>
      <c r="R57" s="38">
        <f>SUM(Q21:Q56)</f>
        <v/>
      </c>
      <c r="S57" s="41">
        <f>IF(OR($A57="",R57&lt;MIN_OBS_ROLL),"",(SUMPRODUCT(Q21:Q56,N21:N56,P21:P56)/R57-SUMPRODUCT(Q21:Q56,N21:N56)/R57*SUMPRODUCT(Q21:Q56,P21:P56)/R57)*R57/(R57-1))</f>
        <v/>
      </c>
      <c r="T57" s="38">
        <f>SUM(O21:O56)</f>
        <v/>
      </c>
      <c r="U57" s="41">
        <f>IF(OR($A57="",T57&lt;MIN_OBS_ROLL),"",SUMPRODUCT(O21:O56,(P21:P56-SUMPRODUCT(O21:O56,P21:P56)/T57)^2)/(T57-1))</f>
        <v/>
      </c>
      <c r="V57" s="40">
        <f>IF(OR(S57="",U57=""),"",S57/U57)</f>
        <v/>
      </c>
      <c r="W57" s="40">
        <f>IF(AND(ISNUMBER(K57),ISNUMBER(L57),ISNUMBER(V57)),K57-V57*L57,"")</f>
        <v/>
      </c>
      <c r="X57" s="40">
        <f>IF(OR($A57="",NOT(ISNUMBER(Datos!H57)),NOT(ISNUMBER(Datos!H56))),"",LN(Datos!H57)-LN(Datos!H56))</f>
        <v/>
      </c>
      <c r="Y57" s="38">
        <f>IF(ISNUMBER(W57),1,0)</f>
        <v/>
      </c>
      <c r="Z57" s="40">
        <f>IF(Y57=1,W57,0)</f>
        <v/>
      </c>
      <c r="AA57" s="38">
        <f>IF(ISNUMBER(X57),1,0)</f>
        <v/>
      </c>
      <c r="AB57" s="40">
        <f>IF(AA57=1,X57,0)</f>
        <v/>
      </c>
      <c r="AC57" s="38">
        <f>Y57*AA57</f>
        <v/>
      </c>
      <c r="AD57" s="38">
        <f>SUM(AC21:AC56)</f>
        <v/>
      </c>
      <c r="AE57" s="41">
        <f>IF(OR($A57="",AD57&lt;MIN_OBS_ROLL),"",(SUMPRODUCT(AC21:AC56,Z21:Z56,AB21:AB56)/AD57-SUMPRODUCT(AC21:AC56,Z21:Z56)/AD57*SUMPRODUCT(AC21:AC56,AB21:AB56)/AD57)*AD57/(AD57-1))</f>
        <v/>
      </c>
      <c r="AF57" s="38">
        <f>SUM(AA21:AA56)</f>
        <v/>
      </c>
      <c r="AG57" s="41">
        <f>IF(OR($A57="",AF57&lt;MIN_OBS_ROLL),"",SUMPRODUCT(AA21:AA56,(AB21:AB56-SUMPRODUCT(AA21:AA56,AB21:AB56)/AF57)^2)/(AF57-1))</f>
        <v/>
      </c>
      <c r="AH57" s="38">
        <f>SUM(Y21:Y56)</f>
        <v/>
      </c>
      <c r="AI57" s="40">
        <f>IF(OR($A57="",AH57&lt;MIN_OBS_ROLL),"",SUMPRODUCT(Y21:Y56,Z21:Z56)/AH57)</f>
        <v/>
      </c>
      <c r="AJ57" s="40">
        <f>IF(OR($A57="",AF57&lt;MIN_OBS_ROLL),"",SUMPRODUCT(AA21:AA56,AB21:AB56)/AF57)</f>
        <v/>
      </c>
      <c r="AK57" s="40">
        <f>IF(OR(AE57="",AG57=""),"",AE57/AG57)</f>
        <v/>
      </c>
      <c r="AL57" s="40">
        <f>IF(OR(AI57="",AK57="",AJ57=""),"",AI57-AK57*AJ57)</f>
        <v/>
      </c>
      <c r="AM57" s="40">
        <f>IF(AND(ISNUMBER(W57),ISNUMBER(X57),ISNUMBER(AK57),ISNUMBER(AL57)),W57-(AL57+AK57*X57),"")</f>
        <v/>
      </c>
      <c r="AN57" s="38">
        <f>IF(ISNUMBER(AM57),1,0)</f>
        <v/>
      </c>
      <c r="AO57" s="40">
        <f>IF(AN57=1,AM57,0)</f>
        <v/>
      </c>
      <c r="AP57" s="40">
        <f>IF(SUM(AN55:AN57)=3,SUM(AO55:AO57),"")</f>
        <v/>
      </c>
      <c r="AQ57" s="38">
        <f>IF(ISNUMBER(AP57),1,0)</f>
        <v/>
      </c>
      <c r="AR57" s="40">
        <f>IF(AQ57=1,AP57,0)</f>
        <v/>
      </c>
      <c r="AS57" s="38">
        <f>SUM(AQ$5:AQ57)</f>
        <v/>
      </c>
      <c r="AT57" s="40">
        <f>IF(AS57&gt;=MIN_OBS_Z,SUMPRODUCT(AQ$5:AQ57,AR$5:AR57)/AS57,"")</f>
        <v/>
      </c>
      <c r="AU57" s="40">
        <f>IF(AS57&gt;=MIN_OBS_Z,SQRT(SUMPRODUCT(AQ$5:AQ57,(AR$5:AR57-AT57)^2)/(AS57-1)),"")</f>
        <v/>
      </c>
      <c r="AV57" s="40">
        <f>IF(AND(AQ57=1,ISNUMBER(AT57)),MAX(-Z_CLIP,MIN(Z_CLIP,(AR57-AT57)/AU57)),"")</f>
        <v/>
      </c>
      <c r="AW57" s="40">
        <f>IF(ISNUMBER(AV57),-AV57,"")</f>
        <v/>
      </c>
      <c r="AX57" s="40">
        <f>IF(ISNUMBER(AW57),1+AMPLITUD*TANH(AW57),"")</f>
        <v/>
      </c>
      <c r="AY57" s="40">
        <f>IF($A57="","",IF(COUNT(AX55:AX57)&gt;0,AVERAGE(AX55:AX57),""))</f>
        <v/>
      </c>
      <c r="AZ57" s="40">
        <f>IF(ISNUMBER(AY57),AY57-1,"")</f>
        <v/>
      </c>
      <c r="BA57" s="40">
        <f>IF(AND(ISNUMBER(AZ56),ISNUMBER(W57)),AZ56*W_BANCOS*W57,"")</f>
        <v/>
      </c>
      <c r="BB57" s="40">
        <f>IF(AND(ISNUMBER(AZ56),ISNUMBER(AZ55)),ABS(AZ56-AZ55)*W_BANCOS*COSTO,0)</f>
        <v/>
      </c>
      <c r="BC57" s="40">
        <f>IF(ISNUMBER(BA57),BA57-BB57,"")</f>
        <v/>
      </c>
      <c r="BD57" s="42">
        <f>IF(ISNUMBER(BC57),IF(A57&lt;=FECHA_ERA,"A","B"),"")</f>
        <v/>
      </c>
      <c r="BE57" s="40">
        <f>IF(BD57="A",BC57,"")</f>
        <v/>
      </c>
      <c r="BF57" s="40">
        <f>IF(BD57="B",BC57,"")</f>
        <v/>
      </c>
      <c r="BG57" s="38">
        <f>IF(AND(ISNUMBER(BC57),ISNUMBER(A57)),IF(A57&gt;=INICIO_VIVO,1,0),0)</f>
        <v/>
      </c>
      <c r="BH57" s="40">
        <f>IF(BG57=1,BC57,"")</f>
        <v/>
      </c>
      <c r="BI57" s="38">
        <f>IF(ISNUMBER(AY57),ROW(),0)</f>
        <v/>
      </c>
      <c r="BJ57" s="43">
        <f>IF(ISNUMBER(BC57),SUM(BC$5:BC57)*10000,NA())</f>
        <v/>
      </c>
      <c r="BK57" s="43">
        <f>IF(BG57=1,SUM(BH$5:BH57)*10000,NA())</f>
        <v/>
      </c>
      <c r="BL57" s="44">
        <f>IF(ISNUMBER(AY57),AY57,NA())</f>
        <v/>
      </c>
    </row>
    <row r="58">
      <c r="A58" s="36">
        <f>IF(Datos!A58="","",Datos!A58)</f>
        <v/>
      </c>
      <c r="B58" s="37">
        <f>IF(OR($A58="",NOT(ISNUMBER(Datos!B58)),NOT(ISNUMBER(Datos!B57))),"",Datos!B58/Datos!B57-1)</f>
        <v/>
      </c>
      <c r="C58" s="37">
        <f>IF(OR($A58="",NOT(ISNUMBER(Datos!C58)),NOT(ISNUMBER(Datos!C57))),"",Datos!C58/Datos!C57-1)</f>
        <v/>
      </c>
      <c r="D58" s="37">
        <f>IF(OR($A58="",NOT(ISNUMBER(Datos!D58)),NOT(ISNUMBER(Datos!D57))),"",Datos!D58/Datos!D57-1)</f>
        <v/>
      </c>
      <c r="E58" s="37">
        <f>IF(OR($A58="",NOT(ISNUMBER(Datos!E58)),NOT(ISNUMBER(Datos!E57))),"",Datos!E58/Datos!E57-1)</f>
        <v/>
      </c>
      <c r="F58" s="38">
        <f>IF($A58="","",COUNT(B58:E58))</f>
        <v/>
      </c>
      <c r="G58" s="37">
        <f>IF($A58="","",IF(F58&gt;=MIN_BANCOS,AVERAGE(B58:E58),""))</f>
        <v/>
      </c>
      <c r="H58" s="37">
        <f>IF(OR($A58="",NOT(ISNUMBER(Datos!F58)),NOT(ISNUMBER(Datos!F57))),"",Datos!F58/Datos!F57-1)</f>
        <v/>
      </c>
      <c r="I58" s="39">
        <f>IF($A58="","",IF(ISNUMBER(Datos!G58),Datos!G58,I57))</f>
        <v/>
      </c>
      <c r="J58" s="40">
        <f>IF($A58="","",IF(ISNUMBER(I57),LN(1+I57/100/12),0))</f>
        <v/>
      </c>
      <c r="K58" s="40">
        <f>IF(ISNUMBER(G58),LN(1+G58)-J58,"")</f>
        <v/>
      </c>
      <c r="L58" s="40">
        <f>IF(ISNUMBER(H58),LN(1+H58)-J58,"")</f>
        <v/>
      </c>
      <c r="M58" s="38">
        <f>IF(ISNUMBER(K58),1,0)</f>
        <v/>
      </c>
      <c r="N58" s="40">
        <f>IF(M58=1,K58,0)</f>
        <v/>
      </c>
      <c r="O58" s="38">
        <f>IF(ISNUMBER(L58),1,0)</f>
        <v/>
      </c>
      <c r="P58" s="40">
        <f>IF(O58=1,L58,0)</f>
        <v/>
      </c>
      <c r="Q58" s="38">
        <f>M58*O58</f>
        <v/>
      </c>
      <c r="R58" s="38">
        <f>SUM(Q22:Q57)</f>
        <v/>
      </c>
      <c r="S58" s="41">
        <f>IF(OR($A58="",R58&lt;MIN_OBS_ROLL),"",(SUMPRODUCT(Q22:Q57,N22:N57,P22:P57)/R58-SUMPRODUCT(Q22:Q57,N22:N57)/R58*SUMPRODUCT(Q22:Q57,P22:P57)/R58)*R58/(R58-1))</f>
        <v/>
      </c>
      <c r="T58" s="38">
        <f>SUM(O22:O57)</f>
        <v/>
      </c>
      <c r="U58" s="41">
        <f>IF(OR($A58="",T58&lt;MIN_OBS_ROLL),"",SUMPRODUCT(O22:O57,(P22:P57-SUMPRODUCT(O22:O57,P22:P57)/T58)^2)/(T58-1))</f>
        <v/>
      </c>
      <c r="V58" s="40">
        <f>IF(OR(S58="",U58=""),"",S58/U58)</f>
        <v/>
      </c>
      <c r="W58" s="40">
        <f>IF(AND(ISNUMBER(K58),ISNUMBER(L58),ISNUMBER(V58)),K58-V58*L58,"")</f>
        <v/>
      </c>
      <c r="X58" s="40">
        <f>IF(OR($A58="",NOT(ISNUMBER(Datos!H58)),NOT(ISNUMBER(Datos!H57))),"",LN(Datos!H58)-LN(Datos!H57))</f>
        <v/>
      </c>
      <c r="Y58" s="38">
        <f>IF(ISNUMBER(W58),1,0)</f>
        <v/>
      </c>
      <c r="Z58" s="40">
        <f>IF(Y58=1,W58,0)</f>
        <v/>
      </c>
      <c r="AA58" s="38">
        <f>IF(ISNUMBER(X58),1,0)</f>
        <v/>
      </c>
      <c r="AB58" s="40">
        <f>IF(AA58=1,X58,0)</f>
        <v/>
      </c>
      <c r="AC58" s="38">
        <f>Y58*AA58</f>
        <v/>
      </c>
      <c r="AD58" s="38">
        <f>SUM(AC22:AC57)</f>
        <v/>
      </c>
      <c r="AE58" s="41">
        <f>IF(OR($A58="",AD58&lt;MIN_OBS_ROLL),"",(SUMPRODUCT(AC22:AC57,Z22:Z57,AB22:AB57)/AD58-SUMPRODUCT(AC22:AC57,Z22:Z57)/AD58*SUMPRODUCT(AC22:AC57,AB22:AB57)/AD58)*AD58/(AD58-1))</f>
        <v/>
      </c>
      <c r="AF58" s="38">
        <f>SUM(AA22:AA57)</f>
        <v/>
      </c>
      <c r="AG58" s="41">
        <f>IF(OR($A58="",AF58&lt;MIN_OBS_ROLL),"",SUMPRODUCT(AA22:AA57,(AB22:AB57-SUMPRODUCT(AA22:AA57,AB22:AB57)/AF58)^2)/(AF58-1))</f>
        <v/>
      </c>
      <c r="AH58" s="38">
        <f>SUM(Y22:Y57)</f>
        <v/>
      </c>
      <c r="AI58" s="40">
        <f>IF(OR($A58="",AH58&lt;MIN_OBS_ROLL),"",SUMPRODUCT(Y22:Y57,Z22:Z57)/AH58)</f>
        <v/>
      </c>
      <c r="AJ58" s="40">
        <f>IF(OR($A58="",AF58&lt;MIN_OBS_ROLL),"",SUMPRODUCT(AA22:AA57,AB22:AB57)/AF58)</f>
        <v/>
      </c>
      <c r="AK58" s="40">
        <f>IF(OR(AE58="",AG58=""),"",AE58/AG58)</f>
        <v/>
      </c>
      <c r="AL58" s="40">
        <f>IF(OR(AI58="",AK58="",AJ58=""),"",AI58-AK58*AJ58)</f>
        <v/>
      </c>
      <c r="AM58" s="40">
        <f>IF(AND(ISNUMBER(W58),ISNUMBER(X58),ISNUMBER(AK58),ISNUMBER(AL58)),W58-(AL58+AK58*X58),"")</f>
        <v/>
      </c>
      <c r="AN58" s="38">
        <f>IF(ISNUMBER(AM58),1,0)</f>
        <v/>
      </c>
      <c r="AO58" s="40">
        <f>IF(AN58=1,AM58,0)</f>
        <v/>
      </c>
      <c r="AP58" s="40">
        <f>IF(SUM(AN56:AN58)=3,SUM(AO56:AO58),"")</f>
        <v/>
      </c>
      <c r="AQ58" s="38">
        <f>IF(ISNUMBER(AP58),1,0)</f>
        <v/>
      </c>
      <c r="AR58" s="40">
        <f>IF(AQ58=1,AP58,0)</f>
        <v/>
      </c>
      <c r="AS58" s="38">
        <f>SUM(AQ$5:AQ58)</f>
        <v/>
      </c>
      <c r="AT58" s="40">
        <f>IF(AS58&gt;=MIN_OBS_Z,SUMPRODUCT(AQ$5:AQ58,AR$5:AR58)/AS58,"")</f>
        <v/>
      </c>
      <c r="AU58" s="40">
        <f>IF(AS58&gt;=MIN_OBS_Z,SQRT(SUMPRODUCT(AQ$5:AQ58,(AR$5:AR58-AT58)^2)/(AS58-1)),"")</f>
        <v/>
      </c>
      <c r="AV58" s="40">
        <f>IF(AND(AQ58=1,ISNUMBER(AT58)),MAX(-Z_CLIP,MIN(Z_CLIP,(AR58-AT58)/AU58)),"")</f>
        <v/>
      </c>
      <c r="AW58" s="40">
        <f>IF(ISNUMBER(AV58),-AV58,"")</f>
        <v/>
      </c>
      <c r="AX58" s="40">
        <f>IF(ISNUMBER(AW58),1+AMPLITUD*TANH(AW58),"")</f>
        <v/>
      </c>
      <c r="AY58" s="40">
        <f>IF($A58="","",IF(COUNT(AX56:AX58)&gt;0,AVERAGE(AX56:AX58),""))</f>
        <v/>
      </c>
      <c r="AZ58" s="40">
        <f>IF(ISNUMBER(AY58),AY58-1,"")</f>
        <v/>
      </c>
      <c r="BA58" s="40">
        <f>IF(AND(ISNUMBER(AZ57),ISNUMBER(W58)),AZ57*W_BANCOS*W58,"")</f>
        <v/>
      </c>
      <c r="BB58" s="40">
        <f>IF(AND(ISNUMBER(AZ57),ISNUMBER(AZ56)),ABS(AZ57-AZ56)*W_BANCOS*COSTO,0)</f>
        <v/>
      </c>
      <c r="BC58" s="40">
        <f>IF(ISNUMBER(BA58),BA58-BB58,"")</f>
        <v/>
      </c>
      <c r="BD58" s="42">
        <f>IF(ISNUMBER(BC58),IF(A58&lt;=FECHA_ERA,"A","B"),"")</f>
        <v/>
      </c>
      <c r="BE58" s="40">
        <f>IF(BD58="A",BC58,"")</f>
        <v/>
      </c>
      <c r="BF58" s="40">
        <f>IF(BD58="B",BC58,"")</f>
        <v/>
      </c>
      <c r="BG58" s="38">
        <f>IF(AND(ISNUMBER(BC58),ISNUMBER(A58)),IF(A58&gt;=INICIO_VIVO,1,0),0)</f>
        <v/>
      </c>
      <c r="BH58" s="40">
        <f>IF(BG58=1,BC58,"")</f>
        <v/>
      </c>
      <c r="BI58" s="38">
        <f>IF(ISNUMBER(AY58),ROW(),0)</f>
        <v/>
      </c>
      <c r="BJ58" s="43">
        <f>IF(ISNUMBER(BC58),SUM(BC$5:BC58)*10000,NA())</f>
        <v/>
      </c>
      <c r="BK58" s="43">
        <f>IF(BG58=1,SUM(BH$5:BH58)*10000,NA())</f>
        <v/>
      </c>
      <c r="BL58" s="44">
        <f>IF(ISNUMBER(AY58),AY58,NA())</f>
        <v/>
      </c>
    </row>
    <row r="59">
      <c r="A59" s="36">
        <f>IF(Datos!A59="","",Datos!A59)</f>
        <v/>
      </c>
      <c r="B59" s="37">
        <f>IF(OR($A59="",NOT(ISNUMBER(Datos!B59)),NOT(ISNUMBER(Datos!B58))),"",Datos!B59/Datos!B58-1)</f>
        <v/>
      </c>
      <c r="C59" s="37">
        <f>IF(OR($A59="",NOT(ISNUMBER(Datos!C59)),NOT(ISNUMBER(Datos!C58))),"",Datos!C59/Datos!C58-1)</f>
        <v/>
      </c>
      <c r="D59" s="37">
        <f>IF(OR($A59="",NOT(ISNUMBER(Datos!D59)),NOT(ISNUMBER(Datos!D58))),"",Datos!D59/Datos!D58-1)</f>
        <v/>
      </c>
      <c r="E59" s="37">
        <f>IF(OR($A59="",NOT(ISNUMBER(Datos!E59)),NOT(ISNUMBER(Datos!E58))),"",Datos!E59/Datos!E58-1)</f>
        <v/>
      </c>
      <c r="F59" s="38">
        <f>IF($A59="","",COUNT(B59:E59))</f>
        <v/>
      </c>
      <c r="G59" s="37">
        <f>IF($A59="","",IF(F59&gt;=MIN_BANCOS,AVERAGE(B59:E59),""))</f>
        <v/>
      </c>
      <c r="H59" s="37">
        <f>IF(OR($A59="",NOT(ISNUMBER(Datos!F59)),NOT(ISNUMBER(Datos!F58))),"",Datos!F59/Datos!F58-1)</f>
        <v/>
      </c>
      <c r="I59" s="39">
        <f>IF($A59="","",IF(ISNUMBER(Datos!G59),Datos!G59,I58))</f>
        <v/>
      </c>
      <c r="J59" s="40">
        <f>IF($A59="","",IF(ISNUMBER(I58),LN(1+I58/100/12),0))</f>
        <v/>
      </c>
      <c r="K59" s="40">
        <f>IF(ISNUMBER(G59),LN(1+G59)-J59,"")</f>
        <v/>
      </c>
      <c r="L59" s="40">
        <f>IF(ISNUMBER(H59),LN(1+H59)-J59,"")</f>
        <v/>
      </c>
      <c r="M59" s="38">
        <f>IF(ISNUMBER(K59),1,0)</f>
        <v/>
      </c>
      <c r="N59" s="40">
        <f>IF(M59=1,K59,0)</f>
        <v/>
      </c>
      <c r="O59" s="38">
        <f>IF(ISNUMBER(L59),1,0)</f>
        <v/>
      </c>
      <c r="P59" s="40">
        <f>IF(O59=1,L59,0)</f>
        <v/>
      </c>
      <c r="Q59" s="38">
        <f>M59*O59</f>
        <v/>
      </c>
      <c r="R59" s="38">
        <f>SUM(Q23:Q58)</f>
        <v/>
      </c>
      <c r="S59" s="41">
        <f>IF(OR($A59="",R59&lt;MIN_OBS_ROLL),"",(SUMPRODUCT(Q23:Q58,N23:N58,P23:P58)/R59-SUMPRODUCT(Q23:Q58,N23:N58)/R59*SUMPRODUCT(Q23:Q58,P23:P58)/R59)*R59/(R59-1))</f>
        <v/>
      </c>
      <c r="T59" s="38">
        <f>SUM(O23:O58)</f>
        <v/>
      </c>
      <c r="U59" s="41">
        <f>IF(OR($A59="",T59&lt;MIN_OBS_ROLL),"",SUMPRODUCT(O23:O58,(P23:P58-SUMPRODUCT(O23:O58,P23:P58)/T59)^2)/(T59-1))</f>
        <v/>
      </c>
      <c r="V59" s="40">
        <f>IF(OR(S59="",U59=""),"",S59/U59)</f>
        <v/>
      </c>
      <c r="W59" s="40">
        <f>IF(AND(ISNUMBER(K59),ISNUMBER(L59),ISNUMBER(V59)),K59-V59*L59,"")</f>
        <v/>
      </c>
      <c r="X59" s="40">
        <f>IF(OR($A59="",NOT(ISNUMBER(Datos!H59)),NOT(ISNUMBER(Datos!H58))),"",LN(Datos!H59)-LN(Datos!H58))</f>
        <v/>
      </c>
      <c r="Y59" s="38">
        <f>IF(ISNUMBER(W59),1,0)</f>
        <v/>
      </c>
      <c r="Z59" s="40">
        <f>IF(Y59=1,W59,0)</f>
        <v/>
      </c>
      <c r="AA59" s="38">
        <f>IF(ISNUMBER(X59),1,0)</f>
        <v/>
      </c>
      <c r="AB59" s="40">
        <f>IF(AA59=1,X59,0)</f>
        <v/>
      </c>
      <c r="AC59" s="38">
        <f>Y59*AA59</f>
        <v/>
      </c>
      <c r="AD59" s="38">
        <f>SUM(AC23:AC58)</f>
        <v/>
      </c>
      <c r="AE59" s="41">
        <f>IF(OR($A59="",AD59&lt;MIN_OBS_ROLL),"",(SUMPRODUCT(AC23:AC58,Z23:Z58,AB23:AB58)/AD59-SUMPRODUCT(AC23:AC58,Z23:Z58)/AD59*SUMPRODUCT(AC23:AC58,AB23:AB58)/AD59)*AD59/(AD59-1))</f>
        <v/>
      </c>
      <c r="AF59" s="38">
        <f>SUM(AA23:AA58)</f>
        <v/>
      </c>
      <c r="AG59" s="41">
        <f>IF(OR($A59="",AF59&lt;MIN_OBS_ROLL),"",SUMPRODUCT(AA23:AA58,(AB23:AB58-SUMPRODUCT(AA23:AA58,AB23:AB58)/AF59)^2)/(AF59-1))</f>
        <v/>
      </c>
      <c r="AH59" s="38">
        <f>SUM(Y23:Y58)</f>
        <v/>
      </c>
      <c r="AI59" s="40">
        <f>IF(OR($A59="",AH59&lt;MIN_OBS_ROLL),"",SUMPRODUCT(Y23:Y58,Z23:Z58)/AH59)</f>
        <v/>
      </c>
      <c r="AJ59" s="40">
        <f>IF(OR($A59="",AF59&lt;MIN_OBS_ROLL),"",SUMPRODUCT(AA23:AA58,AB23:AB58)/AF59)</f>
        <v/>
      </c>
      <c r="AK59" s="40">
        <f>IF(OR(AE59="",AG59=""),"",AE59/AG59)</f>
        <v/>
      </c>
      <c r="AL59" s="40">
        <f>IF(OR(AI59="",AK59="",AJ59=""),"",AI59-AK59*AJ59)</f>
        <v/>
      </c>
      <c r="AM59" s="40">
        <f>IF(AND(ISNUMBER(W59),ISNUMBER(X59),ISNUMBER(AK59),ISNUMBER(AL59)),W59-(AL59+AK59*X59),"")</f>
        <v/>
      </c>
      <c r="AN59" s="38">
        <f>IF(ISNUMBER(AM59),1,0)</f>
        <v/>
      </c>
      <c r="AO59" s="40">
        <f>IF(AN59=1,AM59,0)</f>
        <v/>
      </c>
      <c r="AP59" s="40">
        <f>IF(SUM(AN57:AN59)=3,SUM(AO57:AO59),"")</f>
        <v/>
      </c>
      <c r="AQ59" s="38">
        <f>IF(ISNUMBER(AP59),1,0)</f>
        <v/>
      </c>
      <c r="AR59" s="40">
        <f>IF(AQ59=1,AP59,0)</f>
        <v/>
      </c>
      <c r="AS59" s="38">
        <f>SUM(AQ$5:AQ59)</f>
        <v/>
      </c>
      <c r="AT59" s="40">
        <f>IF(AS59&gt;=MIN_OBS_Z,SUMPRODUCT(AQ$5:AQ59,AR$5:AR59)/AS59,"")</f>
        <v/>
      </c>
      <c r="AU59" s="40">
        <f>IF(AS59&gt;=MIN_OBS_Z,SQRT(SUMPRODUCT(AQ$5:AQ59,(AR$5:AR59-AT59)^2)/(AS59-1)),"")</f>
        <v/>
      </c>
      <c r="AV59" s="40">
        <f>IF(AND(AQ59=1,ISNUMBER(AT59)),MAX(-Z_CLIP,MIN(Z_CLIP,(AR59-AT59)/AU59)),"")</f>
        <v/>
      </c>
      <c r="AW59" s="40">
        <f>IF(ISNUMBER(AV59),-AV59,"")</f>
        <v/>
      </c>
      <c r="AX59" s="40">
        <f>IF(ISNUMBER(AW59),1+AMPLITUD*TANH(AW59),"")</f>
        <v/>
      </c>
      <c r="AY59" s="40">
        <f>IF($A59="","",IF(COUNT(AX57:AX59)&gt;0,AVERAGE(AX57:AX59),""))</f>
        <v/>
      </c>
      <c r="AZ59" s="40">
        <f>IF(ISNUMBER(AY59),AY59-1,"")</f>
        <v/>
      </c>
      <c r="BA59" s="40">
        <f>IF(AND(ISNUMBER(AZ58),ISNUMBER(W59)),AZ58*W_BANCOS*W59,"")</f>
        <v/>
      </c>
      <c r="BB59" s="40">
        <f>IF(AND(ISNUMBER(AZ58),ISNUMBER(AZ57)),ABS(AZ58-AZ57)*W_BANCOS*COSTO,0)</f>
        <v/>
      </c>
      <c r="BC59" s="40">
        <f>IF(ISNUMBER(BA59),BA59-BB59,"")</f>
        <v/>
      </c>
      <c r="BD59" s="42">
        <f>IF(ISNUMBER(BC59),IF(A59&lt;=FECHA_ERA,"A","B"),"")</f>
        <v/>
      </c>
      <c r="BE59" s="40">
        <f>IF(BD59="A",BC59,"")</f>
        <v/>
      </c>
      <c r="BF59" s="40">
        <f>IF(BD59="B",BC59,"")</f>
        <v/>
      </c>
      <c r="BG59" s="38">
        <f>IF(AND(ISNUMBER(BC59),ISNUMBER(A59)),IF(A59&gt;=INICIO_VIVO,1,0),0)</f>
        <v/>
      </c>
      <c r="BH59" s="40">
        <f>IF(BG59=1,BC59,"")</f>
        <v/>
      </c>
      <c r="BI59" s="38">
        <f>IF(ISNUMBER(AY59),ROW(),0)</f>
        <v/>
      </c>
      <c r="BJ59" s="43">
        <f>IF(ISNUMBER(BC59),SUM(BC$5:BC59)*10000,NA())</f>
        <v/>
      </c>
      <c r="BK59" s="43">
        <f>IF(BG59=1,SUM(BH$5:BH59)*10000,NA())</f>
        <v/>
      </c>
      <c r="BL59" s="44">
        <f>IF(ISNUMBER(AY59),AY59,NA())</f>
        <v/>
      </c>
    </row>
    <row r="60">
      <c r="A60" s="36">
        <f>IF(Datos!A60="","",Datos!A60)</f>
        <v/>
      </c>
      <c r="B60" s="37">
        <f>IF(OR($A60="",NOT(ISNUMBER(Datos!B60)),NOT(ISNUMBER(Datos!B59))),"",Datos!B60/Datos!B59-1)</f>
        <v/>
      </c>
      <c r="C60" s="37">
        <f>IF(OR($A60="",NOT(ISNUMBER(Datos!C60)),NOT(ISNUMBER(Datos!C59))),"",Datos!C60/Datos!C59-1)</f>
        <v/>
      </c>
      <c r="D60" s="37">
        <f>IF(OR($A60="",NOT(ISNUMBER(Datos!D60)),NOT(ISNUMBER(Datos!D59))),"",Datos!D60/Datos!D59-1)</f>
        <v/>
      </c>
      <c r="E60" s="37">
        <f>IF(OR($A60="",NOT(ISNUMBER(Datos!E60)),NOT(ISNUMBER(Datos!E59))),"",Datos!E60/Datos!E59-1)</f>
        <v/>
      </c>
      <c r="F60" s="38">
        <f>IF($A60="","",COUNT(B60:E60))</f>
        <v/>
      </c>
      <c r="G60" s="37">
        <f>IF($A60="","",IF(F60&gt;=MIN_BANCOS,AVERAGE(B60:E60),""))</f>
        <v/>
      </c>
      <c r="H60" s="37">
        <f>IF(OR($A60="",NOT(ISNUMBER(Datos!F60)),NOT(ISNUMBER(Datos!F59))),"",Datos!F60/Datos!F59-1)</f>
        <v/>
      </c>
      <c r="I60" s="39">
        <f>IF($A60="","",IF(ISNUMBER(Datos!G60),Datos!G60,I59))</f>
        <v/>
      </c>
      <c r="J60" s="40">
        <f>IF($A60="","",IF(ISNUMBER(I59),LN(1+I59/100/12),0))</f>
        <v/>
      </c>
      <c r="K60" s="40">
        <f>IF(ISNUMBER(G60),LN(1+G60)-J60,"")</f>
        <v/>
      </c>
      <c r="L60" s="40">
        <f>IF(ISNUMBER(H60),LN(1+H60)-J60,"")</f>
        <v/>
      </c>
      <c r="M60" s="38">
        <f>IF(ISNUMBER(K60),1,0)</f>
        <v/>
      </c>
      <c r="N60" s="40">
        <f>IF(M60=1,K60,0)</f>
        <v/>
      </c>
      <c r="O60" s="38">
        <f>IF(ISNUMBER(L60),1,0)</f>
        <v/>
      </c>
      <c r="P60" s="40">
        <f>IF(O60=1,L60,0)</f>
        <v/>
      </c>
      <c r="Q60" s="38">
        <f>M60*O60</f>
        <v/>
      </c>
      <c r="R60" s="38">
        <f>SUM(Q24:Q59)</f>
        <v/>
      </c>
      <c r="S60" s="41">
        <f>IF(OR($A60="",R60&lt;MIN_OBS_ROLL),"",(SUMPRODUCT(Q24:Q59,N24:N59,P24:P59)/R60-SUMPRODUCT(Q24:Q59,N24:N59)/R60*SUMPRODUCT(Q24:Q59,P24:P59)/R60)*R60/(R60-1))</f>
        <v/>
      </c>
      <c r="T60" s="38">
        <f>SUM(O24:O59)</f>
        <v/>
      </c>
      <c r="U60" s="41">
        <f>IF(OR($A60="",T60&lt;MIN_OBS_ROLL),"",SUMPRODUCT(O24:O59,(P24:P59-SUMPRODUCT(O24:O59,P24:P59)/T60)^2)/(T60-1))</f>
        <v/>
      </c>
      <c r="V60" s="40">
        <f>IF(OR(S60="",U60=""),"",S60/U60)</f>
        <v/>
      </c>
      <c r="W60" s="40">
        <f>IF(AND(ISNUMBER(K60),ISNUMBER(L60),ISNUMBER(V60)),K60-V60*L60,"")</f>
        <v/>
      </c>
      <c r="X60" s="40">
        <f>IF(OR($A60="",NOT(ISNUMBER(Datos!H60)),NOT(ISNUMBER(Datos!H59))),"",LN(Datos!H60)-LN(Datos!H59))</f>
        <v/>
      </c>
      <c r="Y60" s="38">
        <f>IF(ISNUMBER(W60),1,0)</f>
        <v/>
      </c>
      <c r="Z60" s="40">
        <f>IF(Y60=1,W60,0)</f>
        <v/>
      </c>
      <c r="AA60" s="38">
        <f>IF(ISNUMBER(X60),1,0)</f>
        <v/>
      </c>
      <c r="AB60" s="40">
        <f>IF(AA60=1,X60,0)</f>
        <v/>
      </c>
      <c r="AC60" s="38">
        <f>Y60*AA60</f>
        <v/>
      </c>
      <c r="AD60" s="38">
        <f>SUM(AC24:AC59)</f>
        <v/>
      </c>
      <c r="AE60" s="41">
        <f>IF(OR($A60="",AD60&lt;MIN_OBS_ROLL),"",(SUMPRODUCT(AC24:AC59,Z24:Z59,AB24:AB59)/AD60-SUMPRODUCT(AC24:AC59,Z24:Z59)/AD60*SUMPRODUCT(AC24:AC59,AB24:AB59)/AD60)*AD60/(AD60-1))</f>
        <v/>
      </c>
      <c r="AF60" s="38">
        <f>SUM(AA24:AA59)</f>
        <v/>
      </c>
      <c r="AG60" s="41">
        <f>IF(OR($A60="",AF60&lt;MIN_OBS_ROLL),"",SUMPRODUCT(AA24:AA59,(AB24:AB59-SUMPRODUCT(AA24:AA59,AB24:AB59)/AF60)^2)/(AF60-1))</f>
        <v/>
      </c>
      <c r="AH60" s="38">
        <f>SUM(Y24:Y59)</f>
        <v/>
      </c>
      <c r="AI60" s="40">
        <f>IF(OR($A60="",AH60&lt;MIN_OBS_ROLL),"",SUMPRODUCT(Y24:Y59,Z24:Z59)/AH60)</f>
        <v/>
      </c>
      <c r="AJ60" s="40">
        <f>IF(OR($A60="",AF60&lt;MIN_OBS_ROLL),"",SUMPRODUCT(AA24:AA59,AB24:AB59)/AF60)</f>
        <v/>
      </c>
      <c r="AK60" s="40">
        <f>IF(OR(AE60="",AG60=""),"",AE60/AG60)</f>
        <v/>
      </c>
      <c r="AL60" s="40">
        <f>IF(OR(AI60="",AK60="",AJ60=""),"",AI60-AK60*AJ60)</f>
        <v/>
      </c>
      <c r="AM60" s="40">
        <f>IF(AND(ISNUMBER(W60),ISNUMBER(X60),ISNUMBER(AK60),ISNUMBER(AL60)),W60-(AL60+AK60*X60),"")</f>
        <v/>
      </c>
      <c r="AN60" s="38">
        <f>IF(ISNUMBER(AM60),1,0)</f>
        <v/>
      </c>
      <c r="AO60" s="40">
        <f>IF(AN60=1,AM60,0)</f>
        <v/>
      </c>
      <c r="AP60" s="40">
        <f>IF(SUM(AN58:AN60)=3,SUM(AO58:AO60),"")</f>
        <v/>
      </c>
      <c r="AQ60" s="38">
        <f>IF(ISNUMBER(AP60),1,0)</f>
        <v/>
      </c>
      <c r="AR60" s="40">
        <f>IF(AQ60=1,AP60,0)</f>
        <v/>
      </c>
      <c r="AS60" s="38">
        <f>SUM(AQ$5:AQ60)</f>
        <v/>
      </c>
      <c r="AT60" s="40">
        <f>IF(AS60&gt;=MIN_OBS_Z,SUMPRODUCT(AQ$5:AQ60,AR$5:AR60)/AS60,"")</f>
        <v/>
      </c>
      <c r="AU60" s="40">
        <f>IF(AS60&gt;=MIN_OBS_Z,SQRT(SUMPRODUCT(AQ$5:AQ60,(AR$5:AR60-AT60)^2)/(AS60-1)),"")</f>
        <v/>
      </c>
      <c r="AV60" s="40">
        <f>IF(AND(AQ60=1,ISNUMBER(AT60)),MAX(-Z_CLIP,MIN(Z_CLIP,(AR60-AT60)/AU60)),"")</f>
        <v/>
      </c>
      <c r="AW60" s="40">
        <f>IF(ISNUMBER(AV60),-AV60,"")</f>
        <v/>
      </c>
      <c r="AX60" s="40">
        <f>IF(ISNUMBER(AW60),1+AMPLITUD*TANH(AW60),"")</f>
        <v/>
      </c>
      <c r="AY60" s="40">
        <f>IF($A60="","",IF(COUNT(AX58:AX60)&gt;0,AVERAGE(AX58:AX60),""))</f>
        <v/>
      </c>
      <c r="AZ60" s="40">
        <f>IF(ISNUMBER(AY60),AY60-1,"")</f>
        <v/>
      </c>
      <c r="BA60" s="40">
        <f>IF(AND(ISNUMBER(AZ59),ISNUMBER(W60)),AZ59*W_BANCOS*W60,"")</f>
        <v/>
      </c>
      <c r="BB60" s="40">
        <f>IF(AND(ISNUMBER(AZ59),ISNUMBER(AZ58)),ABS(AZ59-AZ58)*W_BANCOS*COSTO,0)</f>
        <v/>
      </c>
      <c r="BC60" s="40">
        <f>IF(ISNUMBER(BA60),BA60-BB60,"")</f>
        <v/>
      </c>
      <c r="BD60" s="42">
        <f>IF(ISNUMBER(BC60),IF(A60&lt;=FECHA_ERA,"A","B"),"")</f>
        <v/>
      </c>
      <c r="BE60" s="40">
        <f>IF(BD60="A",BC60,"")</f>
        <v/>
      </c>
      <c r="BF60" s="40">
        <f>IF(BD60="B",BC60,"")</f>
        <v/>
      </c>
      <c r="BG60" s="38">
        <f>IF(AND(ISNUMBER(BC60),ISNUMBER(A60)),IF(A60&gt;=INICIO_VIVO,1,0),0)</f>
        <v/>
      </c>
      <c r="BH60" s="40">
        <f>IF(BG60=1,BC60,"")</f>
        <v/>
      </c>
      <c r="BI60" s="38">
        <f>IF(ISNUMBER(AY60),ROW(),0)</f>
        <v/>
      </c>
      <c r="BJ60" s="43">
        <f>IF(ISNUMBER(BC60),SUM(BC$5:BC60)*10000,NA())</f>
        <v/>
      </c>
      <c r="BK60" s="43">
        <f>IF(BG60=1,SUM(BH$5:BH60)*10000,NA())</f>
        <v/>
      </c>
      <c r="BL60" s="44">
        <f>IF(ISNUMBER(AY60),AY60,NA())</f>
        <v/>
      </c>
    </row>
    <row r="61">
      <c r="A61" s="36">
        <f>IF(Datos!A61="","",Datos!A61)</f>
        <v/>
      </c>
      <c r="B61" s="37">
        <f>IF(OR($A61="",NOT(ISNUMBER(Datos!B61)),NOT(ISNUMBER(Datos!B60))),"",Datos!B61/Datos!B60-1)</f>
        <v/>
      </c>
      <c r="C61" s="37">
        <f>IF(OR($A61="",NOT(ISNUMBER(Datos!C61)),NOT(ISNUMBER(Datos!C60))),"",Datos!C61/Datos!C60-1)</f>
        <v/>
      </c>
      <c r="D61" s="37">
        <f>IF(OR($A61="",NOT(ISNUMBER(Datos!D61)),NOT(ISNUMBER(Datos!D60))),"",Datos!D61/Datos!D60-1)</f>
        <v/>
      </c>
      <c r="E61" s="37">
        <f>IF(OR($A61="",NOT(ISNUMBER(Datos!E61)),NOT(ISNUMBER(Datos!E60))),"",Datos!E61/Datos!E60-1)</f>
        <v/>
      </c>
      <c r="F61" s="38">
        <f>IF($A61="","",COUNT(B61:E61))</f>
        <v/>
      </c>
      <c r="G61" s="37">
        <f>IF($A61="","",IF(F61&gt;=MIN_BANCOS,AVERAGE(B61:E61),""))</f>
        <v/>
      </c>
      <c r="H61" s="37">
        <f>IF(OR($A61="",NOT(ISNUMBER(Datos!F61)),NOT(ISNUMBER(Datos!F60))),"",Datos!F61/Datos!F60-1)</f>
        <v/>
      </c>
      <c r="I61" s="39">
        <f>IF($A61="","",IF(ISNUMBER(Datos!G61),Datos!G61,I60))</f>
        <v/>
      </c>
      <c r="J61" s="40">
        <f>IF($A61="","",IF(ISNUMBER(I60),LN(1+I60/100/12),0))</f>
        <v/>
      </c>
      <c r="K61" s="40">
        <f>IF(ISNUMBER(G61),LN(1+G61)-J61,"")</f>
        <v/>
      </c>
      <c r="L61" s="40">
        <f>IF(ISNUMBER(H61),LN(1+H61)-J61,"")</f>
        <v/>
      </c>
      <c r="M61" s="38">
        <f>IF(ISNUMBER(K61),1,0)</f>
        <v/>
      </c>
      <c r="N61" s="40">
        <f>IF(M61=1,K61,0)</f>
        <v/>
      </c>
      <c r="O61" s="38">
        <f>IF(ISNUMBER(L61),1,0)</f>
        <v/>
      </c>
      <c r="P61" s="40">
        <f>IF(O61=1,L61,0)</f>
        <v/>
      </c>
      <c r="Q61" s="38">
        <f>M61*O61</f>
        <v/>
      </c>
      <c r="R61" s="38">
        <f>SUM(Q25:Q60)</f>
        <v/>
      </c>
      <c r="S61" s="41">
        <f>IF(OR($A61="",R61&lt;MIN_OBS_ROLL),"",(SUMPRODUCT(Q25:Q60,N25:N60,P25:P60)/R61-SUMPRODUCT(Q25:Q60,N25:N60)/R61*SUMPRODUCT(Q25:Q60,P25:P60)/R61)*R61/(R61-1))</f>
        <v/>
      </c>
      <c r="T61" s="38">
        <f>SUM(O25:O60)</f>
        <v/>
      </c>
      <c r="U61" s="41">
        <f>IF(OR($A61="",T61&lt;MIN_OBS_ROLL),"",SUMPRODUCT(O25:O60,(P25:P60-SUMPRODUCT(O25:O60,P25:P60)/T61)^2)/(T61-1))</f>
        <v/>
      </c>
      <c r="V61" s="40">
        <f>IF(OR(S61="",U61=""),"",S61/U61)</f>
        <v/>
      </c>
      <c r="W61" s="40">
        <f>IF(AND(ISNUMBER(K61),ISNUMBER(L61),ISNUMBER(V61)),K61-V61*L61,"")</f>
        <v/>
      </c>
      <c r="X61" s="40">
        <f>IF(OR($A61="",NOT(ISNUMBER(Datos!H61)),NOT(ISNUMBER(Datos!H60))),"",LN(Datos!H61)-LN(Datos!H60))</f>
        <v/>
      </c>
      <c r="Y61" s="38">
        <f>IF(ISNUMBER(W61),1,0)</f>
        <v/>
      </c>
      <c r="Z61" s="40">
        <f>IF(Y61=1,W61,0)</f>
        <v/>
      </c>
      <c r="AA61" s="38">
        <f>IF(ISNUMBER(X61),1,0)</f>
        <v/>
      </c>
      <c r="AB61" s="40">
        <f>IF(AA61=1,X61,0)</f>
        <v/>
      </c>
      <c r="AC61" s="38">
        <f>Y61*AA61</f>
        <v/>
      </c>
      <c r="AD61" s="38">
        <f>SUM(AC25:AC60)</f>
        <v/>
      </c>
      <c r="AE61" s="41">
        <f>IF(OR($A61="",AD61&lt;MIN_OBS_ROLL),"",(SUMPRODUCT(AC25:AC60,Z25:Z60,AB25:AB60)/AD61-SUMPRODUCT(AC25:AC60,Z25:Z60)/AD61*SUMPRODUCT(AC25:AC60,AB25:AB60)/AD61)*AD61/(AD61-1))</f>
        <v/>
      </c>
      <c r="AF61" s="38">
        <f>SUM(AA25:AA60)</f>
        <v/>
      </c>
      <c r="AG61" s="41">
        <f>IF(OR($A61="",AF61&lt;MIN_OBS_ROLL),"",SUMPRODUCT(AA25:AA60,(AB25:AB60-SUMPRODUCT(AA25:AA60,AB25:AB60)/AF61)^2)/(AF61-1))</f>
        <v/>
      </c>
      <c r="AH61" s="38">
        <f>SUM(Y25:Y60)</f>
        <v/>
      </c>
      <c r="AI61" s="40">
        <f>IF(OR($A61="",AH61&lt;MIN_OBS_ROLL),"",SUMPRODUCT(Y25:Y60,Z25:Z60)/AH61)</f>
        <v/>
      </c>
      <c r="AJ61" s="40">
        <f>IF(OR($A61="",AF61&lt;MIN_OBS_ROLL),"",SUMPRODUCT(AA25:AA60,AB25:AB60)/AF61)</f>
        <v/>
      </c>
      <c r="AK61" s="40">
        <f>IF(OR(AE61="",AG61=""),"",AE61/AG61)</f>
        <v/>
      </c>
      <c r="AL61" s="40">
        <f>IF(OR(AI61="",AK61="",AJ61=""),"",AI61-AK61*AJ61)</f>
        <v/>
      </c>
      <c r="AM61" s="40">
        <f>IF(AND(ISNUMBER(W61),ISNUMBER(X61),ISNUMBER(AK61),ISNUMBER(AL61)),W61-(AL61+AK61*X61),"")</f>
        <v/>
      </c>
      <c r="AN61" s="38">
        <f>IF(ISNUMBER(AM61),1,0)</f>
        <v/>
      </c>
      <c r="AO61" s="40">
        <f>IF(AN61=1,AM61,0)</f>
        <v/>
      </c>
      <c r="AP61" s="40">
        <f>IF(SUM(AN59:AN61)=3,SUM(AO59:AO61),"")</f>
        <v/>
      </c>
      <c r="AQ61" s="38">
        <f>IF(ISNUMBER(AP61),1,0)</f>
        <v/>
      </c>
      <c r="AR61" s="40">
        <f>IF(AQ61=1,AP61,0)</f>
        <v/>
      </c>
      <c r="AS61" s="38">
        <f>SUM(AQ$5:AQ61)</f>
        <v/>
      </c>
      <c r="AT61" s="40">
        <f>IF(AS61&gt;=MIN_OBS_Z,SUMPRODUCT(AQ$5:AQ61,AR$5:AR61)/AS61,"")</f>
        <v/>
      </c>
      <c r="AU61" s="40">
        <f>IF(AS61&gt;=MIN_OBS_Z,SQRT(SUMPRODUCT(AQ$5:AQ61,(AR$5:AR61-AT61)^2)/(AS61-1)),"")</f>
        <v/>
      </c>
      <c r="AV61" s="40">
        <f>IF(AND(AQ61=1,ISNUMBER(AT61)),MAX(-Z_CLIP,MIN(Z_CLIP,(AR61-AT61)/AU61)),"")</f>
        <v/>
      </c>
      <c r="AW61" s="40">
        <f>IF(ISNUMBER(AV61),-AV61,"")</f>
        <v/>
      </c>
      <c r="AX61" s="40">
        <f>IF(ISNUMBER(AW61),1+AMPLITUD*TANH(AW61),"")</f>
        <v/>
      </c>
      <c r="AY61" s="40">
        <f>IF($A61="","",IF(COUNT(AX59:AX61)&gt;0,AVERAGE(AX59:AX61),""))</f>
        <v/>
      </c>
      <c r="AZ61" s="40">
        <f>IF(ISNUMBER(AY61),AY61-1,"")</f>
        <v/>
      </c>
      <c r="BA61" s="40">
        <f>IF(AND(ISNUMBER(AZ60),ISNUMBER(W61)),AZ60*W_BANCOS*W61,"")</f>
        <v/>
      </c>
      <c r="BB61" s="40">
        <f>IF(AND(ISNUMBER(AZ60),ISNUMBER(AZ59)),ABS(AZ60-AZ59)*W_BANCOS*COSTO,0)</f>
        <v/>
      </c>
      <c r="BC61" s="40">
        <f>IF(ISNUMBER(BA61),BA61-BB61,"")</f>
        <v/>
      </c>
      <c r="BD61" s="42">
        <f>IF(ISNUMBER(BC61),IF(A61&lt;=FECHA_ERA,"A","B"),"")</f>
        <v/>
      </c>
      <c r="BE61" s="40">
        <f>IF(BD61="A",BC61,"")</f>
        <v/>
      </c>
      <c r="BF61" s="40">
        <f>IF(BD61="B",BC61,"")</f>
        <v/>
      </c>
      <c r="BG61" s="38">
        <f>IF(AND(ISNUMBER(BC61),ISNUMBER(A61)),IF(A61&gt;=INICIO_VIVO,1,0),0)</f>
        <v/>
      </c>
      <c r="BH61" s="40">
        <f>IF(BG61=1,BC61,"")</f>
        <v/>
      </c>
      <c r="BI61" s="38">
        <f>IF(ISNUMBER(AY61),ROW(),0)</f>
        <v/>
      </c>
      <c r="BJ61" s="43">
        <f>IF(ISNUMBER(BC61),SUM(BC$5:BC61)*10000,NA())</f>
        <v/>
      </c>
      <c r="BK61" s="43">
        <f>IF(BG61=1,SUM(BH$5:BH61)*10000,NA())</f>
        <v/>
      </c>
      <c r="BL61" s="44">
        <f>IF(ISNUMBER(AY61),AY61,NA())</f>
        <v/>
      </c>
    </row>
    <row r="62">
      <c r="A62" s="36">
        <f>IF(Datos!A62="","",Datos!A62)</f>
        <v/>
      </c>
      <c r="B62" s="37">
        <f>IF(OR($A62="",NOT(ISNUMBER(Datos!B62)),NOT(ISNUMBER(Datos!B61))),"",Datos!B62/Datos!B61-1)</f>
        <v/>
      </c>
      <c r="C62" s="37">
        <f>IF(OR($A62="",NOT(ISNUMBER(Datos!C62)),NOT(ISNUMBER(Datos!C61))),"",Datos!C62/Datos!C61-1)</f>
        <v/>
      </c>
      <c r="D62" s="37">
        <f>IF(OR($A62="",NOT(ISNUMBER(Datos!D62)),NOT(ISNUMBER(Datos!D61))),"",Datos!D62/Datos!D61-1)</f>
        <v/>
      </c>
      <c r="E62" s="37">
        <f>IF(OR($A62="",NOT(ISNUMBER(Datos!E62)),NOT(ISNUMBER(Datos!E61))),"",Datos!E62/Datos!E61-1)</f>
        <v/>
      </c>
      <c r="F62" s="38">
        <f>IF($A62="","",COUNT(B62:E62))</f>
        <v/>
      </c>
      <c r="G62" s="37">
        <f>IF($A62="","",IF(F62&gt;=MIN_BANCOS,AVERAGE(B62:E62),""))</f>
        <v/>
      </c>
      <c r="H62" s="37">
        <f>IF(OR($A62="",NOT(ISNUMBER(Datos!F62)),NOT(ISNUMBER(Datos!F61))),"",Datos!F62/Datos!F61-1)</f>
        <v/>
      </c>
      <c r="I62" s="39">
        <f>IF($A62="","",IF(ISNUMBER(Datos!G62),Datos!G62,I61))</f>
        <v/>
      </c>
      <c r="J62" s="40">
        <f>IF($A62="","",IF(ISNUMBER(I61),LN(1+I61/100/12),0))</f>
        <v/>
      </c>
      <c r="K62" s="40">
        <f>IF(ISNUMBER(G62),LN(1+G62)-J62,"")</f>
        <v/>
      </c>
      <c r="L62" s="40">
        <f>IF(ISNUMBER(H62),LN(1+H62)-J62,"")</f>
        <v/>
      </c>
      <c r="M62" s="38">
        <f>IF(ISNUMBER(K62),1,0)</f>
        <v/>
      </c>
      <c r="N62" s="40">
        <f>IF(M62=1,K62,0)</f>
        <v/>
      </c>
      <c r="O62" s="38">
        <f>IF(ISNUMBER(L62),1,0)</f>
        <v/>
      </c>
      <c r="P62" s="40">
        <f>IF(O62=1,L62,0)</f>
        <v/>
      </c>
      <c r="Q62" s="38">
        <f>M62*O62</f>
        <v/>
      </c>
      <c r="R62" s="38">
        <f>SUM(Q26:Q61)</f>
        <v/>
      </c>
      <c r="S62" s="41">
        <f>IF(OR($A62="",R62&lt;MIN_OBS_ROLL),"",(SUMPRODUCT(Q26:Q61,N26:N61,P26:P61)/R62-SUMPRODUCT(Q26:Q61,N26:N61)/R62*SUMPRODUCT(Q26:Q61,P26:P61)/R62)*R62/(R62-1))</f>
        <v/>
      </c>
      <c r="T62" s="38">
        <f>SUM(O26:O61)</f>
        <v/>
      </c>
      <c r="U62" s="41">
        <f>IF(OR($A62="",T62&lt;MIN_OBS_ROLL),"",SUMPRODUCT(O26:O61,(P26:P61-SUMPRODUCT(O26:O61,P26:P61)/T62)^2)/(T62-1))</f>
        <v/>
      </c>
      <c r="V62" s="40">
        <f>IF(OR(S62="",U62=""),"",S62/U62)</f>
        <v/>
      </c>
      <c r="W62" s="40">
        <f>IF(AND(ISNUMBER(K62),ISNUMBER(L62),ISNUMBER(V62)),K62-V62*L62,"")</f>
        <v/>
      </c>
      <c r="X62" s="40">
        <f>IF(OR($A62="",NOT(ISNUMBER(Datos!H62)),NOT(ISNUMBER(Datos!H61))),"",LN(Datos!H62)-LN(Datos!H61))</f>
        <v/>
      </c>
      <c r="Y62" s="38">
        <f>IF(ISNUMBER(W62),1,0)</f>
        <v/>
      </c>
      <c r="Z62" s="40">
        <f>IF(Y62=1,W62,0)</f>
        <v/>
      </c>
      <c r="AA62" s="38">
        <f>IF(ISNUMBER(X62),1,0)</f>
        <v/>
      </c>
      <c r="AB62" s="40">
        <f>IF(AA62=1,X62,0)</f>
        <v/>
      </c>
      <c r="AC62" s="38">
        <f>Y62*AA62</f>
        <v/>
      </c>
      <c r="AD62" s="38">
        <f>SUM(AC26:AC61)</f>
        <v/>
      </c>
      <c r="AE62" s="41">
        <f>IF(OR($A62="",AD62&lt;MIN_OBS_ROLL),"",(SUMPRODUCT(AC26:AC61,Z26:Z61,AB26:AB61)/AD62-SUMPRODUCT(AC26:AC61,Z26:Z61)/AD62*SUMPRODUCT(AC26:AC61,AB26:AB61)/AD62)*AD62/(AD62-1))</f>
        <v/>
      </c>
      <c r="AF62" s="38">
        <f>SUM(AA26:AA61)</f>
        <v/>
      </c>
      <c r="AG62" s="41">
        <f>IF(OR($A62="",AF62&lt;MIN_OBS_ROLL),"",SUMPRODUCT(AA26:AA61,(AB26:AB61-SUMPRODUCT(AA26:AA61,AB26:AB61)/AF62)^2)/(AF62-1))</f>
        <v/>
      </c>
      <c r="AH62" s="38">
        <f>SUM(Y26:Y61)</f>
        <v/>
      </c>
      <c r="AI62" s="40">
        <f>IF(OR($A62="",AH62&lt;MIN_OBS_ROLL),"",SUMPRODUCT(Y26:Y61,Z26:Z61)/AH62)</f>
        <v/>
      </c>
      <c r="AJ62" s="40">
        <f>IF(OR($A62="",AF62&lt;MIN_OBS_ROLL),"",SUMPRODUCT(AA26:AA61,AB26:AB61)/AF62)</f>
        <v/>
      </c>
      <c r="AK62" s="40">
        <f>IF(OR(AE62="",AG62=""),"",AE62/AG62)</f>
        <v/>
      </c>
      <c r="AL62" s="40">
        <f>IF(OR(AI62="",AK62="",AJ62=""),"",AI62-AK62*AJ62)</f>
        <v/>
      </c>
      <c r="AM62" s="40">
        <f>IF(AND(ISNUMBER(W62),ISNUMBER(X62),ISNUMBER(AK62),ISNUMBER(AL62)),W62-(AL62+AK62*X62),"")</f>
        <v/>
      </c>
      <c r="AN62" s="38">
        <f>IF(ISNUMBER(AM62),1,0)</f>
        <v/>
      </c>
      <c r="AO62" s="40">
        <f>IF(AN62=1,AM62,0)</f>
        <v/>
      </c>
      <c r="AP62" s="40">
        <f>IF(SUM(AN60:AN62)=3,SUM(AO60:AO62),"")</f>
        <v/>
      </c>
      <c r="AQ62" s="38">
        <f>IF(ISNUMBER(AP62),1,0)</f>
        <v/>
      </c>
      <c r="AR62" s="40">
        <f>IF(AQ62=1,AP62,0)</f>
        <v/>
      </c>
      <c r="AS62" s="38">
        <f>SUM(AQ$5:AQ62)</f>
        <v/>
      </c>
      <c r="AT62" s="40">
        <f>IF(AS62&gt;=MIN_OBS_Z,SUMPRODUCT(AQ$5:AQ62,AR$5:AR62)/AS62,"")</f>
        <v/>
      </c>
      <c r="AU62" s="40">
        <f>IF(AS62&gt;=MIN_OBS_Z,SQRT(SUMPRODUCT(AQ$5:AQ62,(AR$5:AR62-AT62)^2)/(AS62-1)),"")</f>
        <v/>
      </c>
      <c r="AV62" s="40">
        <f>IF(AND(AQ62=1,ISNUMBER(AT62)),MAX(-Z_CLIP,MIN(Z_CLIP,(AR62-AT62)/AU62)),"")</f>
        <v/>
      </c>
      <c r="AW62" s="40">
        <f>IF(ISNUMBER(AV62),-AV62,"")</f>
        <v/>
      </c>
      <c r="AX62" s="40">
        <f>IF(ISNUMBER(AW62),1+AMPLITUD*TANH(AW62),"")</f>
        <v/>
      </c>
      <c r="AY62" s="40">
        <f>IF($A62="","",IF(COUNT(AX60:AX62)&gt;0,AVERAGE(AX60:AX62),""))</f>
        <v/>
      </c>
      <c r="AZ62" s="40">
        <f>IF(ISNUMBER(AY62),AY62-1,"")</f>
        <v/>
      </c>
      <c r="BA62" s="40">
        <f>IF(AND(ISNUMBER(AZ61),ISNUMBER(W62)),AZ61*W_BANCOS*W62,"")</f>
        <v/>
      </c>
      <c r="BB62" s="40">
        <f>IF(AND(ISNUMBER(AZ61),ISNUMBER(AZ60)),ABS(AZ61-AZ60)*W_BANCOS*COSTO,0)</f>
        <v/>
      </c>
      <c r="BC62" s="40">
        <f>IF(ISNUMBER(BA62),BA62-BB62,"")</f>
        <v/>
      </c>
      <c r="BD62" s="42">
        <f>IF(ISNUMBER(BC62),IF(A62&lt;=FECHA_ERA,"A","B"),"")</f>
        <v/>
      </c>
      <c r="BE62" s="40">
        <f>IF(BD62="A",BC62,"")</f>
        <v/>
      </c>
      <c r="BF62" s="40">
        <f>IF(BD62="B",BC62,"")</f>
        <v/>
      </c>
      <c r="BG62" s="38">
        <f>IF(AND(ISNUMBER(BC62),ISNUMBER(A62)),IF(A62&gt;=INICIO_VIVO,1,0),0)</f>
        <v/>
      </c>
      <c r="BH62" s="40">
        <f>IF(BG62=1,BC62,"")</f>
        <v/>
      </c>
      <c r="BI62" s="38">
        <f>IF(ISNUMBER(AY62),ROW(),0)</f>
        <v/>
      </c>
      <c r="BJ62" s="43">
        <f>IF(ISNUMBER(BC62),SUM(BC$5:BC62)*10000,NA())</f>
        <v/>
      </c>
      <c r="BK62" s="43">
        <f>IF(BG62=1,SUM(BH$5:BH62)*10000,NA())</f>
        <v/>
      </c>
      <c r="BL62" s="44">
        <f>IF(ISNUMBER(AY62),AY62,NA())</f>
        <v/>
      </c>
    </row>
    <row r="63">
      <c r="A63" s="36">
        <f>IF(Datos!A63="","",Datos!A63)</f>
        <v/>
      </c>
      <c r="B63" s="37">
        <f>IF(OR($A63="",NOT(ISNUMBER(Datos!B63)),NOT(ISNUMBER(Datos!B62))),"",Datos!B63/Datos!B62-1)</f>
        <v/>
      </c>
      <c r="C63" s="37">
        <f>IF(OR($A63="",NOT(ISNUMBER(Datos!C63)),NOT(ISNUMBER(Datos!C62))),"",Datos!C63/Datos!C62-1)</f>
        <v/>
      </c>
      <c r="D63" s="37">
        <f>IF(OR($A63="",NOT(ISNUMBER(Datos!D63)),NOT(ISNUMBER(Datos!D62))),"",Datos!D63/Datos!D62-1)</f>
        <v/>
      </c>
      <c r="E63" s="37">
        <f>IF(OR($A63="",NOT(ISNUMBER(Datos!E63)),NOT(ISNUMBER(Datos!E62))),"",Datos!E63/Datos!E62-1)</f>
        <v/>
      </c>
      <c r="F63" s="38">
        <f>IF($A63="","",COUNT(B63:E63))</f>
        <v/>
      </c>
      <c r="G63" s="37">
        <f>IF($A63="","",IF(F63&gt;=MIN_BANCOS,AVERAGE(B63:E63),""))</f>
        <v/>
      </c>
      <c r="H63" s="37">
        <f>IF(OR($A63="",NOT(ISNUMBER(Datos!F63)),NOT(ISNUMBER(Datos!F62))),"",Datos!F63/Datos!F62-1)</f>
        <v/>
      </c>
      <c r="I63" s="39">
        <f>IF($A63="","",IF(ISNUMBER(Datos!G63),Datos!G63,I62))</f>
        <v/>
      </c>
      <c r="J63" s="40">
        <f>IF($A63="","",IF(ISNUMBER(I62),LN(1+I62/100/12),0))</f>
        <v/>
      </c>
      <c r="K63" s="40">
        <f>IF(ISNUMBER(G63),LN(1+G63)-J63,"")</f>
        <v/>
      </c>
      <c r="L63" s="40">
        <f>IF(ISNUMBER(H63),LN(1+H63)-J63,"")</f>
        <v/>
      </c>
      <c r="M63" s="38">
        <f>IF(ISNUMBER(K63),1,0)</f>
        <v/>
      </c>
      <c r="N63" s="40">
        <f>IF(M63=1,K63,0)</f>
        <v/>
      </c>
      <c r="O63" s="38">
        <f>IF(ISNUMBER(L63),1,0)</f>
        <v/>
      </c>
      <c r="P63" s="40">
        <f>IF(O63=1,L63,0)</f>
        <v/>
      </c>
      <c r="Q63" s="38">
        <f>M63*O63</f>
        <v/>
      </c>
      <c r="R63" s="38">
        <f>SUM(Q27:Q62)</f>
        <v/>
      </c>
      <c r="S63" s="41">
        <f>IF(OR($A63="",R63&lt;MIN_OBS_ROLL),"",(SUMPRODUCT(Q27:Q62,N27:N62,P27:P62)/R63-SUMPRODUCT(Q27:Q62,N27:N62)/R63*SUMPRODUCT(Q27:Q62,P27:P62)/R63)*R63/(R63-1))</f>
        <v/>
      </c>
      <c r="T63" s="38">
        <f>SUM(O27:O62)</f>
        <v/>
      </c>
      <c r="U63" s="41">
        <f>IF(OR($A63="",T63&lt;MIN_OBS_ROLL),"",SUMPRODUCT(O27:O62,(P27:P62-SUMPRODUCT(O27:O62,P27:P62)/T63)^2)/(T63-1))</f>
        <v/>
      </c>
      <c r="V63" s="40">
        <f>IF(OR(S63="",U63=""),"",S63/U63)</f>
        <v/>
      </c>
      <c r="W63" s="40">
        <f>IF(AND(ISNUMBER(K63),ISNUMBER(L63),ISNUMBER(V63)),K63-V63*L63,"")</f>
        <v/>
      </c>
      <c r="X63" s="40">
        <f>IF(OR($A63="",NOT(ISNUMBER(Datos!H63)),NOT(ISNUMBER(Datos!H62))),"",LN(Datos!H63)-LN(Datos!H62))</f>
        <v/>
      </c>
      <c r="Y63" s="38">
        <f>IF(ISNUMBER(W63),1,0)</f>
        <v/>
      </c>
      <c r="Z63" s="40">
        <f>IF(Y63=1,W63,0)</f>
        <v/>
      </c>
      <c r="AA63" s="38">
        <f>IF(ISNUMBER(X63),1,0)</f>
        <v/>
      </c>
      <c r="AB63" s="40">
        <f>IF(AA63=1,X63,0)</f>
        <v/>
      </c>
      <c r="AC63" s="38">
        <f>Y63*AA63</f>
        <v/>
      </c>
      <c r="AD63" s="38">
        <f>SUM(AC27:AC62)</f>
        <v/>
      </c>
      <c r="AE63" s="41">
        <f>IF(OR($A63="",AD63&lt;MIN_OBS_ROLL),"",(SUMPRODUCT(AC27:AC62,Z27:Z62,AB27:AB62)/AD63-SUMPRODUCT(AC27:AC62,Z27:Z62)/AD63*SUMPRODUCT(AC27:AC62,AB27:AB62)/AD63)*AD63/(AD63-1))</f>
        <v/>
      </c>
      <c r="AF63" s="38">
        <f>SUM(AA27:AA62)</f>
        <v/>
      </c>
      <c r="AG63" s="41">
        <f>IF(OR($A63="",AF63&lt;MIN_OBS_ROLL),"",SUMPRODUCT(AA27:AA62,(AB27:AB62-SUMPRODUCT(AA27:AA62,AB27:AB62)/AF63)^2)/(AF63-1))</f>
        <v/>
      </c>
      <c r="AH63" s="38">
        <f>SUM(Y27:Y62)</f>
        <v/>
      </c>
      <c r="AI63" s="40">
        <f>IF(OR($A63="",AH63&lt;MIN_OBS_ROLL),"",SUMPRODUCT(Y27:Y62,Z27:Z62)/AH63)</f>
        <v/>
      </c>
      <c r="AJ63" s="40">
        <f>IF(OR($A63="",AF63&lt;MIN_OBS_ROLL),"",SUMPRODUCT(AA27:AA62,AB27:AB62)/AF63)</f>
        <v/>
      </c>
      <c r="AK63" s="40">
        <f>IF(OR(AE63="",AG63=""),"",AE63/AG63)</f>
        <v/>
      </c>
      <c r="AL63" s="40">
        <f>IF(OR(AI63="",AK63="",AJ63=""),"",AI63-AK63*AJ63)</f>
        <v/>
      </c>
      <c r="AM63" s="40">
        <f>IF(AND(ISNUMBER(W63),ISNUMBER(X63),ISNUMBER(AK63),ISNUMBER(AL63)),W63-(AL63+AK63*X63),"")</f>
        <v/>
      </c>
      <c r="AN63" s="38">
        <f>IF(ISNUMBER(AM63),1,0)</f>
        <v/>
      </c>
      <c r="AO63" s="40">
        <f>IF(AN63=1,AM63,0)</f>
        <v/>
      </c>
      <c r="AP63" s="40">
        <f>IF(SUM(AN61:AN63)=3,SUM(AO61:AO63),"")</f>
        <v/>
      </c>
      <c r="AQ63" s="38">
        <f>IF(ISNUMBER(AP63),1,0)</f>
        <v/>
      </c>
      <c r="AR63" s="40">
        <f>IF(AQ63=1,AP63,0)</f>
        <v/>
      </c>
      <c r="AS63" s="38">
        <f>SUM(AQ$5:AQ63)</f>
        <v/>
      </c>
      <c r="AT63" s="40">
        <f>IF(AS63&gt;=MIN_OBS_Z,SUMPRODUCT(AQ$5:AQ63,AR$5:AR63)/AS63,"")</f>
        <v/>
      </c>
      <c r="AU63" s="40">
        <f>IF(AS63&gt;=MIN_OBS_Z,SQRT(SUMPRODUCT(AQ$5:AQ63,(AR$5:AR63-AT63)^2)/(AS63-1)),"")</f>
        <v/>
      </c>
      <c r="AV63" s="40">
        <f>IF(AND(AQ63=1,ISNUMBER(AT63)),MAX(-Z_CLIP,MIN(Z_CLIP,(AR63-AT63)/AU63)),"")</f>
        <v/>
      </c>
      <c r="AW63" s="40">
        <f>IF(ISNUMBER(AV63),-AV63,"")</f>
        <v/>
      </c>
      <c r="AX63" s="40">
        <f>IF(ISNUMBER(AW63),1+AMPLITUD*TANH(AW63),"")</f>
        <v/>
      </c>
      <c r="AY63" s="40">
        <f>IF($A63="","",IF(COUNT(AX61:AX63)&gt;0,AVERAGE(AX61:AX63),""))</f>
        <v/>
      </c>
      <c r="AZ63" s="40">
        <f>IF(ISNUMBER(AY63),AY63-1,"")</f>
        <v/>
      </c>
      <c r="BA63" s="40">
        <f>IF(AND(ISNUMBER(AZ62),ISNUMBER(W63)),AZ62*W_BANCOS*W63,"")</f>
        <v/>
      </c>
      <c r="BB63" s="40">
        <f>IF(AND(ISNUMBER(AZ62),ISNUMBER(AZ61)),ABS(AZ62-AZ61)*W_BANCOS*COSTO,0)</f>
        <v/>
      </c>
      <c r="BC63" s="40">
        <f>IF(ISNUMBER(BA63),BA63-BB63,"")</f>
        <v/>
      </c>
      <c r="BD63" s="42">
        <f>IF(ISNUMBER(BC63),IF(A63&lt;=FECHA_ERA,"A","B"),"")</f>
        <v/>
      </c>
      <c r="BE63" s="40">
        <f>IF(BD63="A",BC63,"")</f>
        <v/>
      </c>
      <c r="BF63" s="40">
        <f>IF(BD63="B",BC63,"")</f>
        <v/>
      </c>
      <c r="BG63" s="38">
        <f>IF(AND(ISNUMBER(BC63),ISNUMBER(A63)),IF(A63&gt;=INICIO_VIVO,1,0),0)</f>
        <v/>
      </c>
      <c r="BH63" s="40">
        <f>IF(BG63=1,BC63,"")</f>
        <v/>
      </c>
      <c r="BI63" s="38">
        <f>IF(ISNUMBER(AY63),ROW(),0)</f>
        <v/>
      </c>
      <c r="BJ63" s="43">
        <f>IF(ISNUMBER(BC63),SUM(BC$5:BC63)*10000,NA())</f>
        <v/>
      </c>
      <c r="BK63" s="43">
        <f>IF(BG63=1,SUM(BH$5:BH63)*10000,NA())</f>
        <v/>
      </c>
      <c r="BL63" s="44">
        <f>IF(ISNUMBER(AY63),AY63,NA())</f>
        <v/>
      </c>
    </row>
    <row r="64">
      <c r="A64" s="36">
        <f>IF(Datos!A64="","",Datos!A64)</f>
        <v/>
      </c>
      <c r="B64" s="37">
        <f>IF(OR($A64="",NOT(ISNUMBER(Datos!B64)),NOT(ISNUMBER(Datos!B63))),"",Datos!B64/Datos!B63-1)</f>
        <v/>
      </c>
      <c r="C64" s="37">
        <f>IF(OR($A64="",NOT(ISNUMBER(Datos!C64)),NOT(ISNUMBER(Datos!C63))),"",Datos!C64/Datos!C63-1)</f>
        <v/>
      </c>
      <c r="D64" s="37">
        <f>IF(OR($A64="",NOT(ISNUMBER(Datos!D64)),NOT(ISNUMBER(Datos!D63))),"",Datos!D64/Datos!D63-1)</f>
        <v/>
      </c>
      <c r="E64" s="37">
        <f>IF(OR($A64="",NOT(ISNUMBER(Datos!E64)),NOT(ISNUMBER(Datos!E63))),"",Datos!E64/Datos!E63-1)</f>
        <v/>
      </c>
      <c r="F64" s="38">
        <f>IF($A64="","",COUNT(B64:E64))</f>
        <v/>
      </c>
      <c r="G64" s="37">
        <f>IF($A64="","",IF(F64&gt;=MIN_BANCOS,AVERAGE(B64:E64),""))</f>
        <v/>
      </c>
      <c r="H64" s="37">
        <f>IF(OR($A64="",NOT(ISNUMBER(Datos!F64)),NOT(ISNUMBER(Datos!F63))),"",Datos!F64/Datos!F63-1)</f>
        <v/>
      </c>
      <c r="I64" s="39">
        <f>IF($A64="","",IF(ISNUMBER(Datos!G64),Datos!G64,I63))</f>
        <v/>
      </c>
      <c r="J64" s="40">
        <f>IF($A64="","",IF(ISNUMBER(I63),LN(1+I63/100/12),0))</f>
        <v/>
      </c>
      <c r="K64" s="40">
        <f>IF(ISNUMBER(G64),LN(1+G64)-J64,"")</f>
        <v/>
      </c>
      <c r="L64" s="40">
        <f>IF(ISNUMBER(H64),LN(1+H64)-J64,"")</f>
        <v/>
      </c>
      <c r="M64" s="38">
        <f>IF(ISNUMBER(K64),1,0)</f>
        <v/>
      </c>
      <c r="N64" s="40">
        <f>IF(M64=1,K64,0)</f>
        <v/>
      </c>
      <c r="O64" s="38">
        <f>IF(ISNUMBER(L64),1,0)</f>
        <v/>
      </c>
      <c r="P64" s="40">
        <f>IF(O64=1,L64,0)</f>
        <v/>
      </c>
      <c r="Q64" s="38">
        <f>M64*O64</f>
        <v/>
      </c>
      <c r="R64" s="38">
        <f>SUM(Q28:Q63)</f>
        <v/>
      </c>
      <c r="S64" s="41">
        <f>IF(OR($A64="",R64&lt;MIN_OBS_ROLL),"",(SUMPRODUCT(Q28:Q63,N28:N63,P28:P63)/R64-SUMPRODUCT(Q28:Q63,N28:N63)/R64*SUMPRODUCT(Q28:Q63,P28:P63)/R64)*R64/(R64-1))</f>
        <v/>
      </c>
      <c r="T64" s="38">
        <f>SUM(O28:O63)</f>
        <v/>
      </c>
      <c r="U64" s="41">
        <f>IF(OR($A64="",T64&lt;MIN_OBS_ROLL),"",SUMPRODUCT(O28:O63,(P28:P63-SUMPRODUCT(O28:O63,P28:P63)/T64)^2)/(T64-1))</f>
        <v/>
      </c>
      <c r="V64" s="40">
        <f>IF(OR(S64="",U64=""),"",S64/U64)</f>
        <v/>
      </c>
      <c r="W64" s="40">
        <f>IF(AND(ISNUMBER(K64),ISNUMBER(L64),ISNUMBER(V64)),K64-V64*L64,"")</f>
        <v/>
      </c>
      <c r="X64" s="40">
        <f>IF(OR($A64="",NOT(ISNUMBER(Datos!H64)),NOT(ISNUMBER(Datos!H63))),"",LN(Datos!H64)-LN(Datos!H63))</f>
        <v/>
      </c>
      <c r="Y64" s="38">
        <f>IF(ISNUMBER(W64),1,0)</f>
        <v/>
      </c>
      <c r="Z64" s="40">
        <f>IF(Y64=1,W64,0)</f>
        <v/>
      </c>
      <c r="AA64" s="38">
        <f>IF(ISNUMBER(X64),1,0)</f>
        <v/>
      </c>
      <c r="AB64" s="40">
        <f>IF(AA64=1,X64,0)</f>
        <v/>
      </c>
      <c r="AC64" s="38">
        <f>Y64*AA64</f>
        <v/>
      </c>
      <c r="AD64" s="38">
        <f>SUM(AC28:AC63)</f>
        <v/>
      </c>
      <c r="AE64" s="41">
        <f>IF(OR($A64="",AD64&lt;MIN_OBS_ROLL),"",(SUMPRODUCT(AC28:AC63,Z28:Z63,AB28:AB63)/AD64-SUMPRODUCT(AC28:AC63,Z28:Z63)/AD64*SUMPRODUCT(AC28:AC63,AB28:AB63)/AD64)*AD64/(AD64-1))</f>
        <v/>
      </c>
      <c r="AF64" s="38">
        <f>SUM(AA28:AA63)</f>
        <v/>
      </c>
      <c r="AG64" s="41">
        <f>IF(OR($A64="",AF64&lt;MIN_OBS_ROLL),"",SUMPRODUCT(AA28:AA63,(AB28:AB63-SUMPRODUCT(AA28:AA63,AB28:AB63)/AF64)^2)/(AF64-1))</f>
        <v/>
      </c>
      <c r="AH64" s="38">
        <f>SUM(Y28:Y63)</f>
        <v/>
      </c>
      <c r="AI64" s="40">
        <f>IF(OR($A64="",AH64&lt;MIN_OBS_ROLL),"",SUMPRODUCT(Y28:Y63,Z28:Z63)/AH64)</f>
        <v/>
      </c>
      <c r="AJ64" s="40">
        <f>IF(OR($A64="",AF64&lt;MIN_OBS_ROLL),"",SUMPRODUCT(AA28:AA63,AB28:AB63)/AF64)</f>
        <v/>
      </c>
      <c r="AK64" s="40">
        <f>IF(OR(AE64="",AG64=""),"",AE64/AG64)</f>
        <v/>
      </c>
      <c r="AL64" s="40">
        <f>IF(OR(AI64="",AK64="",AJ64=""),"",AI64-AK64*AJ64)</f>
        <v/>
      </c>
      <c r="AM64" s="40">
        <f>IF(AND(ISNUMBER(W64),ISNUMBER(X64),ISNUMBER(AK64),ISNUMBER(AL64)),W64-(AL64+AK64*X64),"")</f>
        <v/>
      </c>
      <c r="AN64" s="38">
        <f>IF(ISNUMBER(AM64),1,0)</f>
        <v/>
      </c>
      <c r="AO64" s="40">
        <f>IF(AN64=1,AM64,0)</f>
        <v/>
      </c>
      <c r="AP64" s="40">
        <f>IF(SUM(AN62:AN64)=3,SUM(AO62:AO64),"")</f>
        <v/>
      </c>
      <c r="AQ64" s="38">
        <f>IF(ISNUMBER(AP64),1,0)</f>
        <v/>
      </c>
      <c r="AR64" s="40">
        <f>IF(AQ64=1,AP64,0)</f>
        <v/>
      </c>
      <c r="AS64" s="38">
        <f>SUM(AQ$5:AQ64)</f>
        <v/>
      </c>
      <c r="AT64" s="40">
        <f>IF(AS64&gt;=MIN_OBS_Z,SUMPRODUCT(AQ$5:AQ64,AR$5:AR64)/AS64,"")</f>
        <v/>
      </c>
      <c r="AU64" s="40">
        <f>IF(AS64&gt;=MIN_OBS_Z,SQRT(SUMPRODUCT(AQ$5:AQ64,(AR$5:AR64-AT64)^2)/(AS64-1)),"")</f>
        <v/>
      </c>
      <c r="AV64" s="40">
        <f>IF(AND(AQ64=1,ISNUMBER(AT64)),MAX(-Z_CLIP,MIN(Z_CLIP,(AR64-AT64)/AU64)),"")</f>
        <v/>
      </c>
      <c r="AW64" s="40">
        <f>IF(ISNUMBER(AV64),-AV64,"")</f>
        <v/>
      </c>
      <c r="AX64" s="40">
        <f>IF(ISNUMBER(AW64),1+AMPLITUD*TANH(AW64),"")</f>
        <v/>
      </c>
      <c r="AY64" s="40">
        <f>IF($A64="","",IF(COUNT(AX62:AX64)&gt;0,AVERAGE(AX62:AX64),""))</f>
        <v/>
      </c>
      <c r="AZ64" s="40">
        <f>IF(ISNUMBER(AY64),AY64-1,"")</f>
        <v/>
      </c>
      <c r="BA64" s="40">
        <f>IF(AND(ISNUMBER(AZ63),ISNUMBER(W64)),AZ63*W_BANCOS*W64,"")</f>
        <v/>
      </c>
      <c r="BB64" s="40">
        <f>IF(AND(ISNUMBER(AZ63),ISNUMBER(AZ62)),ABS(AZ63-AZ62)*W_BANCOS*COSTO,0)</f>
        <v/>
      </c>
      <c r="BC64" s="40">
        <f>IF(ISNUMBER(BA64),BA64-BB64,"")</f>
        <v/>
      </c>
      <c r="BD64" s="42">
        <f>IF(ISNUMBER(BC64),IF(A64&lt;=FECHA_ERA,"A","B"),"")</f>
        <v/>
      </c>
      <c r="BE64" s="40">
        <f>IF(BD64="A",BC64,"")</f>
        <v/>
      </c>
      <c r="BF64" s="40">
        <f>IF(BD64="B",BC64,"")</f>
        <v/>
      </c>
      <c r="BG64" s="38">
        <f>IF(AND(ISNUMBER(BC64),ISNUMBER(A64)),IF(A64&gt;=INICIO_VIVO,1,0),0)</f>
        <v/>
      </c>
      <c r="BH64" s="40">
        <f>IF(BG64=1,BC64,"")</f>
        <v/>
      </c>
      <c r="BI64" s="38">
        <f>IF(ISNUMBER(AY64),ROW(),0)</f>
        <v/>
      </c>
      <c r="BJ64" s="43">
        <f>IF(ISNUMBER(BC64),SUM(BC$5:BC64)*10000,NA())</f>
        <v/>
      </c>
      <c r="BK64" s="43">
        <f>IF(BG64=1,SUM(BH$5:BH64)*10000,NA())</f>
        <v/>
      </c>
      <c r="BL64" s="44">
        <f>IF(ISNUMBER(AY64),AY64,NA())</f>
        <v/>
      </c>
    </row>
    <row r="65">
      <c r="A65" s="36">
        <f>IF(Datos!A65="","",Datos!A65)</f>
        <v/>
      </c>
      <c r="B65" s="37">
        <f>IF(OR($A65="",NOT(ISNUMBER(Datos!B65)),NOT(ISNUMBER(Datos!B64))),"",Datos!B65/Datos!B64-1)</f>
        <v/>
      </c>
      <c r="C65" s="37">
        <f>IF(OR($A65="",NOT(ISNUMBER(Datos!C65)),NOT(ISNUMBER(Datos!C64))),"",Datos!C65/Datos!C64-1)</f>
        <v/>
      </c>
      <c r="D65" s="37">
        <f>IF(OR($A65="",NOT(ISNUMBER(Datos!D65)),NOT(ISNUMBER(Datos!D64))),"",Datos!D65/Datos!D64-1)</f>
        <v/>
      </c>
      <c r="E65" s="37">
        <f>IF(OR($A65="",NOT(ISNUMBER(Datos!E65)),NOT(ISNUMBER(Datos!E64))),"",Datos!E65/Datos!E64-1)</f>
        <v/>
      </c>
      <c r="F65" s="38">
        <f>IF($A65="","",COUNT(B65:E65))</f>
        <v/>
      </c>
      <c r="G65" s="37">
        <f>IF($A65="","",IF(F65&gt;=MIN_BANCOS,AVERAGE(B65:E65),""))</f>
        <v/>
      </c>
      <c r="H65" s="37">
        <f>IF(OR($A65="",NOT(ISNUMBER(Datos!F65)),NOT(ISNUMBER(Datos!F64))),"",Datos!F65/Datos!F64-1)</f>
        <v/>
      </c>
      <c r="I65" s="39">
        <f>IF($A65="","",IF(ISNUMBER(Datos!G65),Datos!G65,I64))</f>
        <v/>
      </c>
      <c r="J65" s="40">
        <f>IF($A65="","",IF(ISNUMBER(I64),LN(1+I64/100/12),0))</f>
        <v/>
      </c>
      <c r="K65" s="40">
        <f>IF(ISNUMBER(G65),LN(1+G65)-J65,"")</f>
        <v/>
      </c>
      <c r="L65" s="40">
        <f>IF(ISNUMBER(H65),LN(1+H65)-J65,"")</f>
        <v/>
      </c>
      <c r="M65" s="38">
        <f>IF(ISNUMBER(K65),1,0)</f>
        <v/>
      </c>
      <c r="N65" s="40">
        <f>IF(M65=1,K65,0)</f>
        <v/>
      </c>
      <c r="O65" s="38">
        <f>IF(ISNUMBER(L65),1,0)</f>
        <v/>
      </c>
      <c r="P65" s="40">
        <f>IF(O65=1,L65,0)</f>
        <v/>
      </c>
      <c r="Q65" s="38">
        <f>M65*O65</f>
        <v/>
      </c>
      <c r="R65" s="38">
        <f>SUM(Q29:Q64)</f>
        <v/>
      </c>
      <c r="S65" s="41">
        <f>IF(OR($A65="",R65&lt;MIN_OBS_ROLL),"",(SUMPRODUCT(Q29:Q64,N29:N64,P29:P64)/R65-SUMPRODUCT(Q29:Q64,N29:N64)/R65*SUMPRODUCT(Q29:Q64,P29:P64)/R65)*R65/(R65-1))</f>
        <v/>
      </c>
      <c r="T65" s="38">
        <f>SUM(O29:O64)</f>
        <v/>
      </c>
      <c r="U65" s="41">
        <f>IF(OR($A65="",T65&lt;MIN_OBS_ROLL),"",SUMPRODUCT(O29:O64,(P29:P64-SUMPRODUCT(O29:O64,P29:P64)/T65)^2)/(T65-1))</f>
        <v/>
      </c>
      <c r="V65" s="40">
        <f>IF(OR(S65="",U65=""),"",S65/U65)</f>
        <v/>
      </c>
      <c r="W65" s="40">
        <f>IF(AND(ISNUMBER(K65),ISNUMBER(L65),ISNUMBER(V65)),K65-V65*L65,"")</f>
        <v/>
      </c>
      <c r="X65" s="40">
        <f>IF(OR($A65="",NOT(ISNUMBER(Datos!H65)),NOT(ISNUMBER(Datos!H64))),"",LN(Datos!H65)-LN(Datos!H64))</f>
        <v/>
      </c>
      <c r="Y65" s="38">
        <f>IF(ISNUMBER(W65),1,0)</f>
        <v/>
      </c>
      <c r="Z65" s="40">
        <f>IF(Y65=1,W65,0)</f>
        <v/>
      </c>
      <c r="AA65" s="38">
        <f>IF(ISNUMBER(X65),1,0)</f>
        <v/>
      </c>
      <c r="AB65" s="40">
        <f>IF(AA65=1,X65,0)</f>
        <v/>
      </c>
      <c r="AC65" s="38">
        <f>Y65*AA65</f>
        <v/>
      </c>
      <c r="AD65" s="38">
        <f>SUM(AC29:AC64)</f>
        <v/>
      </c>
      <c r="AE65" s="41">
        <f>IF(OR($A65="",AD65&lt;MIN_OBS_ROLL),"",(SUMPRODUCT(AC29:AC64,Z29:Z64,AB29:AB64)/AD65-SUMPRODUCT(AC29:AC64,Z29:Z64)/AD65*SUMPRODUCT(AC29:AC64,AB29:AB64)/AD65)*AD65/(AD65-1))</f>
        <v/>
      </c>
      <c r="AF65" s="38">
        <f>SUM(AA29:AA64)</f>
        <v/>
      </c>
      <c r="AG65" s="41">
        <f>IF(OR($A65="",AF65&lt;MIN_OBS_ROLL),"",SUMPRODUCT(AA29:AA64,(AB29:AB64-SUMPRODUCT(AA29:AA64,AB29:AB64)/AF65)^2)/(AF65-1))</f>
        <v/>
      </c>
      <c r="AH65" s="38">
        <f>SUM(Y29:Y64)</f>
        <v/>
      </c>
      <c r="AI65" s="40">
        <f>IF(OR($A65="",AH65&lt;MIN_OBS_ROLL),"",SUMPRODUCT(Y29:Y64,Z29:Z64)/AH65)</f>
        <v/>
      </c>
      <c r="AJ65" s="40">
        <f>IF(OR($A65="",AF65&lt;MIN_OBS_ROLL),"",SUMPRODUCT(AA29:AA64,AB29:AB64)/AF65)</f>
        <v/>
      </c>
      <c r="AK65" s="40">
        <f>IF(OR(AE65="",AG65=""),"",AE65/AG65)</f>
        <v/>
      </c>
      <c r="AL65" s="40">
        <f>IF(OR(AI65="",AK65="",AJ65=""),"",AI65-AK65*AJ65)</f>
        <v/>
      </c>
      <c r="AM65" s="40">
        <f>IF(AND(ISNUMBER(W65),ISNUMBER(X65),ISNUMBER(AK65),ISNUMBER(AL65)),W65-(AL65+AK65*X65),"")</f>
        <v/>
      </c>
      <c r="AN65" s="38">
        <f>IF(ISNUMBER(AM65),1,0)</f>
        <v/>
      </c>
      <c r="AO65" s="40">
        <f>IF(AN65=1,AM65,0)</f>
        <v/>
      </c>
      <c r="AP65" s="40">
        <f>IF(SUM(AN63:AN65)=3,SUM(AO63:AO65),"")</f>
        <v/>
      </c>
      <c r="AQ65" s="38">
        <f>IF(ISNUMBER(AP65),1,0)</f>
        <v/>
      </c>
      <c r="AR65" s="40">
        <f>IF(AQ65=1,AP65,0)</f>
        <v/>
      </c>
      <c r="AS65" s="38">
        <f>SUM(AQ$5:AQ65)</f>
        <v/>
      </c>
      <c r="AT65" s="40">
        <f>IF(AS65&gt;=MIN_OBS_Z,SUMPRODUCT(AQ$5:AQ65,AR$5:AR65)/AS65,"")</f>
        <v/>
      </c>
      <c r="AU65" s="40">
        <f>IF(AS65&gt;=MIN_OBS_Z,SQRT(SUMPRODUCT(AQ$5:AQ65,(AR$5:AR65-AT65)^2)/(AS65-1)),"")</f>
        <v/>
      </c>
      <c r="AV65" s="40">
        <f>IF(AND(AQ65=1,ISNUMBER(AT65)),MAX(-Z_CLIP,MIN(Z_CLIP,(AR65-AT65)/AU65)),"")</f>
        <v/>
      </c>
      <c r="AW65" s="40">
        <f>IF(ISNUMBER(AV65),-AV65,"")</f>
        <v/>
      </c>
      <c r="AX65" s="40">
        <f>IF(ISNUMBER(AW65),1+AMPLITUD*TANH(AW65),"")</f>
        <v/>
      </c>
      <c r="AY65" s="40">
        <f>IF($A65="","",IF(COUNT(AX63:AX65)&gt;0,AVERAGE(AX63:AX65),""))</f>
        <v/>
      </c>
      <c r="AZ65" s="40">
        <f>IF(ISNUMBER(AY65),AY65-1,"")</f>
        <v/>
      </c>
      <c r="BA65" s="40">
        <f>IF(AND(ISNUMBER(AZ64),ISNUMBER(W65)),AZ64*W_BANCOS*W65,"")</f>
        <v/>
      </c>
      <c r="BB65" s="40">
        <f>IF(AND(ISNUMBER(AZ64),ISNUMBER(AZ63)),ABS(AZ64-AZ63)*W_BANCOS*COSTO,0)</f>
        <v/>
      </c>
      <c r="BC65" s="40">
        <f>IF(ISNUMBER(BA65),BA65-BB65,"")</f>
        <v/>
      </c>
      <c r="BD65" s="42">
        <f>IF(ISNUMBER(BC65),IF(A65&lt;=FECHA_ERA,"A","B"),"")</f>
        <v/>
      </c>
      <c r="BE65" s="40">
        <f>IF(BD65="A",BC65,"")</f>
        <v/>
      </c>
      <c r="BF65" s="40">
        <f>IF(BD65="B",BC65,"")</f>
        <v/>
      </c>
      <c r="BG65" s="38">
        <f>IF(AND(ISNUMBER(BC65),ISNUMBER(A65)),IF(A65&gt;=INICIO_VIVO,1,0),0)</f>
        <v/>
      </c>
      <c r="BH65" s="40">
        <f>IF(BG65=1,BC65,"")</f>
        <v/>
      </c>
      <c r="BI65" s="38">
        <f>IF(ISNUMBER(AY65),ROW(),0)</f>
        <v/>
      </c>
      <c r="BJ65" s="43">
        <f>IF(ISNUMBER(BC65),SUM(BC$5:BC65)*10000,NA())</f>
        <v/>
      </c>
      <c r="BK65" s="43">
        <f>IF(BG65=1,SUM(BH$5:BH65)*10000,NA())</f>
        <v/>
      </c>
      <c r="BL65" s="44">
        <f>IF(ISNUMBER(AY65),AY65,NA())</f>
        <v/>
      </c>
    </row>
    <row r="66">
      <c r="A66" s="36">
        <f>IF(Datos!A66="","",Datos!A66)</f>
        <v/>
      </c>
      <c r="B66" s="37">
        <f>IF(OR($A66="",NOT(ISNUMBER(Datos!B66)),NOT(ISNUMBER(Datos!B65))),"",Datos!B66/Datos!B65-1)</f>
        <v/>
      </c>
      <c r="C66" s="37">
        <f>IF(OR($A66="",NOT(ISNUMBER(Datos!C66)),NOT(ISNUMBER(Datos!C65))),"",Datos!C66/Datos!C65-1)</f>
        <v/>
      </c>
      <c r="D66" s="37">
        <f>IF(OR($A66="",NOT(ISNUMBER(Datos!D66)),NOT(ISNUMBER(Datos!D65))),"",Datos!D66/Datos!D65-1)</f>
        <v/>
      </c>
      <c r="E66" s="37">
        <f>IF(OR($A66="",NOT(ISNUMBER(Datos!E66)),NOT(ISNUMBER(Datos!E65))),"",Datos!E66/Datos!E65-1)</f>
        <v/>
      </c>
      <c r="F66" s="38">
        <f>IF($A66="","",COUNT(B66:E66))</f>
        <v/>
      </c>
      <c r="G66" s="37">
        <f>IF($A66="","",IF(F66&gt;=MIN_BANCOS,AVERAGE(B66:E66),""))</f>
        <v/>
      </c>
      <c r="H66" s="37">
        <f>IF(OR($A66="",NOT(ISNUMBER(Datos!F66)),NOT(ISNUMBER(Datos!F65))),"",Datos!F66/Datos!F65-1)</f>
        <v/>
      </c>
      <c r="I66" s="39">
        <f>IF($A66="","",IF(ISNUMBER(Datos!G66),Datos!G66,I65))</f>
        <v/>
      </c>
      <c r="J66" s="40">
        <f>IF($A66="","",IF(ISNUMBER(I65),LN(1+I65/100/12),0))</f>
        <v/>
      </c>
      <c r="K66" s="40">
        <f>IF(ISNUMBER(G66),LN(1+G66)-J66,"")</f>
        <v/>
      </c>
      <c r="L66" s="40">
        <f>IF(ISNUMBER(H66),LN(1+H66)-J66,"")</f>
        <v/>
      </c>
      <c r="M66" s="38">
        <f>IF(ISNUMBER(K66),1,0)</f>
        <v/>
      </c>
      <c r="N66" s="40">
        <f>IF(M66=1,K66,0)</f>
        <v/>
      </c>
      <c r="O66" s="38">
        <f>IF(ISNUMBER(L66),1,0)</f>
        <v/>
      </c>
      <c r="P66" s="40">
        <f>IF(O66=1,L66,0)</f>
        <v/>
      </c>
      <c r="Q66" s="38">
        <f>M66*O66</f>
        <v/>
      </c>
      <c r="R66" s="38">
        <f>SUM(Q30:Q65)</f>
        <v/>
      </c>
      <c r="S66" s="41">
        <f>IF(OR($A66="",R66&lt;MIN_OBS_ROLL),"",(SUMPRODUCT(Q30:Q65,N30:N65,P30:P65)/R66-SUMPRODUCT(Q30:Q65,N30:N65)/R66*SUMPRODUCT(Q30:Q65,P30:P65)/R66)*R66/(R66-1))</f>
        <v/>
      </c>
      <c r="T66" s="38">
        <f>SUM(O30:O65)</f>
        <v/>
      </c>
      <c r="U66" s="41">
        <f>IF(OR($A66="",T66&lt;MIN_OBS_ROLL),"",SUMPRODUCT(O30:O65,(P30:P65-SUMPRODUCT(O30:O65,P30:P65)/T66)^2)/(T66-1))</f>
        <v/>
      </c>
      <c r="V66" s="40">
        <f>IF(OR(S66="",U66=""),"",S66/U66)</f>
        <v/>
      </c>
      <c r="W66" s="40">
        <f>IF(AND(ISNUMBER(K66),ISNUMBER(L66),ISNUMBER(V66)),K66-V66*L66,"")</f>
        <v/>
      </c>
      <c r="X66" s="40">
        <f>IF(OR($A66="",NOT(ISNUMBER(Datos!H66)),NOT(ISNUMBER(Datos!H65))),"",LN(Datos!H66)-LN(Datos!H65))</f>
        <v/>
      </c>
      <c r="Y66" s="38">
        <f>IF(ISNUMBER(W66),1,0)</f>
        <v/>
      </c>
      <c r="Z66" s="40">
        <f>IF(Y66=1,W66,0)</f>
        <v/>
      </c>
      <c r="AA66" s="38">
        <f>IF(ISNUMBER(X66),1,0)</f>
        <v/>
      </c>
      <c r="AB66" s="40">
        <f>IF(AA66=1,X66,0)</f>
        <v/>
      </c>
      <c r="AC66" s="38">
        <f>Y66*AA66</f>
        <v/>
      </c>
      <c r="AD66" s="38">
        <f>SUM(AC30:AC65)</f>
        <v/>
      </c>
      <c r="AE66" s="41">
        <f>IF(OR($A66="",AD66&lt;MIN_OBS_ROLL),"",(SUMPRODUCT(AC30:AC65,Z30:Z65,AB30:AB65)/AD66-SUMPRODUCT(AC30:AC65,Z30:Z65)/AD66*SUMPRODUCT(AC30:AC65,AB30:AB65)/AD66)*AD66/(AD66-1))</f>
        <v/>
      </c>
      <c r="AF66" s="38">
        <f>SUM(AA30:AA65)</f>
        <v/>
      </c>
      <c r="AG66" s="41">
        <f>IF(OR($A66="",AF66&lt;MIN_OBS_ROLL),"",SUMPRODUCT(AA30:AA65,(AB30:AB65-SUMPRODUCT(AA30:AA65,AB30:AB65)/AF66)^2)/(AF66-1))</f>
        <v/>
      </c>
      <c r="AH66" s="38">
        <f>SUM(Y30:Y65)</f>
        <v/>
      </c>
      <c r="AI66" s="40">
        <f>IF(OR($A66="",AH66&lt;MIN_OBS_ROLL),"",SUMPRODUCT(Y30:Y65,Z30:Z65)/AH66)</f>
        <v/>
      </c>
      <c r="AJ66" s="40">
        <f>IF(OR($A66="",AF66&lt;MIN_OBS_ROLL),"",SUMPRODUCT(AA30:AA65,AB30:AB65)/AF66)</f>
        <v/>
      </c>
      <c r="AK66" s="40">
        <f>IF(OR(AE66="",AG66=""),"",AE66/AG66)</f>
        <v/>
      </c>
      <c r="AL66" s="40">
        <f>IF(OR(AI66="",AK66="",AJ66=""),"",AI66-AK66*AJ66)</f>
        <v/>
      </c>
      <c r="AM66" s="40">
        <f>IF(AND(ISNUMBER(W66),ISNUMBER(X66),ISNUMBER(AK66),ISNUMBER(AL66)),W66-(AL66+AK66*X66),"")</f>
        <v/>
      </c>
      <c r="AN66" s="38">
        <f>IF(ISNUMBER(AM66),1,0)</f>
        <v/>
      </c>
      <c r="AO66" s="40">
        <f>IF(AN66=1,AM66,0)</f>
        <v/>
      </c>
      <c r="AP66" s="40">
        <f>IF(SUM(AN64:AN66)=3,SUM(AO64:AO66),"")</f>
        <v/>
      </c>
      <c r="AQ66" s="38">
        <f>IF(ISNUMBER(AP66),1,0)</f>
        <v/>
      </c>
      <c r="AR66" s="40">
        <f>IF(AQ66=1,AP66,0)</f>
        <v/>
      </c>
      <c r="AS66" s="38">
        <f>SUM(AQ$5:AQ66)</f>
        <v/>
      </c>
      <c r="AT66" s="40">
        <f>IF(AS66&gt;=MIN_OBS_Z,SUMPRODUCT(AQ$5:AQ66,AR$5:AR66)/AS66,"")</f>
        <v/>
      </c>
      <c r="AU66" s="40">
        <f>IF(AS66&gt;=MIN_OBS_Z,SQRT(SUMPRODUCT(AQ$5:AQ66,(AR$5:AR66-AT66)^2)/(AS66-1)),"")</f>
        <v/>
      </c>
      <c r="AV66" s="40">
        <f>IF(AND(AQ66=1,ISNUMBER(AT66)),MAX(-Z_CLIP,MIN(Z_CLIP,(AR66-AT66)/AU66)),"")</f>
        <v/>
      </c>
      <c r="AW66" s="40">
        <f>IF(ISNUMBER(AV66),-AV66,"")</f>
        <v/>
      </c>
      <c r="AX66" s="40">
        <f>IF(ISNUMBER(AW66),1+AMPLITUD*TANH(AW66),"")</f>
        <v/>
      </c>
      <c r="AY66" s="40">
        <f>IF($A66="","",IF(COUNT(AX64:AX66)&gt;0,AVERAGE(AX64:AX66),""))</f>
        <v/>
      </c>
      <c r="AZ66" s="40">
        <f>IF(ISNUMBER(AY66),AY66-1,"")</f>
        <v/>
      </c>
      <c r="BA66" s="40">
        <f>IF(AND(ISNUMBER(AZ65),ISNUMBER(W66)),AZ65*W_BANCOS*W66,"")</f>
        <v/>
      </c>
      <c r="BB66" s="40">
        <f>IF(AND(ISNUMBER(AZ65),ISNUMBER(AZ64)),ABS(AZ65-AZ64)*W_BANCOS*COSTO,0)</f>
        <v/>
      </c>
      <c r="BC66" s="40">
        <f>IF(ISNUMBER(BA66),BA66-BB66,"")</f>
        <v/>
      </c>
      <c r="BD66" s="42">
        <f>IF(ISNUMBER(BC66),IF(A66&lt;=FECHA_ERA,"A","B"),"")</f>
        <v/>
      </c>
      <c r="BE66" s="40">
        <f>IF(BD66="A",BC66,"")</f>
        <v/>
      </c>
      <c r="BF66" s="40">
        <f>IF(BD66="B",BC66,"")</f>
        <v/>
      </c>
      <c r="BG66" s="38">
        <f>IF(AND(ISNUMBER(BC66),ISNUMBER(A66)),IF(A66&gt;=INICIO_VIVO,1,0),0)</f>
        <v/>
      </c>
      <c r="BH66" s="40">
        <f>IF(BG66=1,BC66,"")</f>
        <v/>
      </c>
      <c r="BI66" s="38">
        <f>IF(ISNUMBER(AY66),ROW(),0)</f>
        <v/>
      </c>
      <c r="BJ66" s="43">
        <f>IF(ISNUMBER(BC66),SUM(BC$5:BC66)*10000,NA())</f>
        <v/>
      </c>
      <c r="BK66" s="43">
        <f>IF(BG66=1,SUM(BH$5:BH66)*10000,NA())</f>
        <v/>
      </c>
      <c r="BL66" s="44">
        <f>IF(ISNUMBER(AY66),AY66,NA())</f>
        <v/>
      </c>
    </row>
    <row r="67">
      <c r="A67" s="36">
        <f>IF(Datos!A67="","",Datos!A67)</f>
        <v/>
      </c>
      <c r="B67" s="37">
        <f>IF(OR($A67="",NOT(ISNUMBER(Datos!B67)),NOT(ISNUMBER(Datos!B66))),"",Datos!B67/Datos!B66-1)</f>
        <v/>
      </c>
      <c r="C67" s="37">
        <f>IF(OR($A67="",NOT(ISNUMBER(Datos!C67)),NOT(ISNUMBER(Datos!C66))),"",Datos!C67/Datos!C66-1)</f>
        <v/>
      </c>
      <c r="D67" s="37">
        <f>IF(OR($A67="",NOT(ISNUMBER(Datos!D67)),NOT(ISNUMBER(Datos!D66))),"",Datos!D67/Datos!D66-1)</f>
        <v/>
      </c>
      <c r="E67" s="37">
        <f>IF(OR($A67="",NOT(ISNUMBER(Datos!E67)),NOT(ISNUMBER(Datos!E66))),"",Datos!E67/Datos!E66-1)</f>
        <v/>
      </c>
      <c r="F67" s="38">
        <f>IF($A67="","",COUNT(B67:E67))</f>
        <v/>
      </c>
      <c r="G67" s="37">
        <f>IF($A67="","",IF(F67&gt;=MIN_BANCOS,AVERAGE(B67:E67),""))</f>
        <v/>
      </c>
      <c r="H67" s="37">
        <f>IF(OR($A67="",NOT(ISNUMBER(Datos!F67)),NOT(ISNUMBER(Datos!F66))),"",Datos!F67/Datos!F66-1)</f>
        <v/>
      </c>
      <c r="I67" s="39">
        <f>IF($A67="","",IF(ISNUMBER(Datos!G67),Datos!G67,I66))</f>
        <v/>
      </c>
      <c r="J67" s="40">
        <f>IF($A67="","",IF(ISNUMBER(I66),LN(1+I66/100/12),0))</f>
        <v/>
      </c>
      <c r="K67" s="40">
        <f>IF(ISNUMBER(G67),LN(1+G67)-J67,"")</f>
        <v/>
      </c>
      <c r="L67" s="40">
        <f>IF(ISNUMBER(H67),LN(1+H67)-J67,"")</f>
        <v/>
      </c>
      <c r="M67" s="38">
        <f>IF(ISNUMBER(K67),1,0)</f>
        <v/>
      </c>
      <c r="N67" s="40">
        <f>IF(M67=1,K67,0)</f>
        <v/>
      </c>
      <c r="O67" s="38">
        <f>IF(ISNUMBER(L67),1,0)</f>
        <v/>
      </c>
      <c r="P67" s="40">
        <f>IF(O67=1,L67,0)</f>
        <v/>
      </c>
      <c r="Q67" s="38">
        <f>M67*O67</f>
        <v/>
      </c>
      <c r="R67" s="38">
        <f>SUM(Q31:Q66)</f>
        <v/>
      </c>
      <c r="S67" s="41">
        <f>IF(OR($A67="",R67&lt;MIN_OBS_ROLL),"",(SUMPRODUCT(Q31:Q66,N31:N66,P31:P66)/R67-SUMPRODUCT(Q31:Q66,N31:N66)/R67*SUMPRODUCT(Q31:Q66,P31:P66)/R67)*R67/(R67-1))</f>
        <v/>
      </c>
      <c r="T67" s="38">
        <f>SUM(O31:O66)</f>
        <v/>
      </c>
      <c r="U67" s="41">
        <f>IF(OR($A67="",T67&lt;MIN_OBS_ROLL),"",SUMPRODUCT(O31:O66,(P31:P66-SUMPRODUCT(O31:O66,P31:P66)/T67)^2)/(T67-1))</f>
        <v/>
      </c>
      <c r="V67" s="40">
        <f>IF(OR(S67="",U67=""),"",S67/U67)</f>
        <v/>
      </c>
      <c r="W67" s="40">
        <f>IF(AND(ISNUMBER(K67),ISNUMBER(L67),ISNUMBER(V67)),K67-V67*L67,"")</f>
        <v/>
      </c>
      <c r="X67" s="40">
        <f>IF(OR($A67="",NOT(ISNUMBER(Datos!H67)),NOT(ISNUMBER(Datos!H66))),"",LN(Datos!H67)-LN(Datos!H66))</f>
        <v/>
      </c>
      <c r="Y67" s="38">
        <f>IF(ISNUMBER(W67),1,0)</f>
        <v/>
      </c>
      <c r="Z67" s="40">
        <f>IF(Y67=1,W67,0)</f>
        <v/>
      </c>
      <c r="AA67" s="38">
        <f>IF(ISNUMBER(X67),1,0)</f>
        <v/>
      </c>
      <c r="AB67" s="40">
        <f>IF(AA67=1,X67,0)</f>
        <v/>
      </c>
      <c r="AC67" s="38">
        <f>Y67*AA67</f>
        <v/>
      </c>
      <c r="AD67" s="38">
        <f>SUM(AC31:AC66)</f>
        <v/>
      </c>
      <c r="AE67" s="41">
        <f>IF(OR($A67="",AD67&lt;MIN_OBS_ROLL),"",(SUMPRODUCT(AC31:AC66,Z31:Z66,AB31:AB66)/AD67-SUMPRODUCT(AC31:AC66,Z31:Z66)/AD67*SUMPRODUCT(AC31:AC66,AB31:AB66)/AD67)*AD67/(AD67-1))</f>
        <v/>
      </c>
      <c r="AF67" s="38">
        <f>SUM(AA31:AA66)</f>
        <v/>
      </c>
      <c r="AG67" s="41">
        <f>IF(OR($A67="",AF67&lt;MIN_OBS_ROLL),"",SUMPRODUCT(AA31:AA66,(AB31:AB66-SUMPRODUCT(AA31:AA66,AB31:AB66)/AF67)^2)/(AF67-1))</f>
        <v/>
      </c>
      <c r="AH67" s="38">
        <f>SUM(Y31:Y66)</f>
        <v/>
      </c>
      <c r="AI67" s="40">
        <f>IF(OR($A67="",AH67&lt;MIN_OBS_ROLL),"",SUMPRODUCT(Y31:Y66,Z31:Z66)/AH67)</f>
        <v/>
      </c>
      <c r="AJ67" s="40">
        <f>IF(OR($A67="",AF67&lt;MIN_OBS_ROLL),"",SUMPRODUCT(AA31:AA66,AB31:AB66)/AF67)</f>
        <v/>
      </c>
      <c r="AK67" s="40">
        <f>IF(OR(AE67="",AG67=""),"",AE67/AG67)</f>
        <v/>
      </c>
      <c r="AL67" s="40">
        <f>IF(OR(AI67="",AK67="",AJ67=""),"",AI67-AK67*AJ67)</f>
        <v/>
      </c>
      <c r="AM67" s="40">
        <f>IF(AND(ISNUMBER(W67),ISNUMBER(X67),ISNUMBER(AK67),ISNUMBER(AL67)),W67-(AL67+AK67*X67),"")</f>
        <v/>
      </c>
      <c r="AN67" s="38">
        <f>IF(ISNUMBER(AM67),1,0)</f>
        <v/>
      </c>
      <c r="AO67" s="40">
        <f>IF(AN67=1,AM67,0)</f>
        <v/>
      </c>
      <c r="AP67" s="40">
        <f>IF(SUM(AN65:AN67)=3,SUM(AO65:AO67),"")</f>
        <v/>
      </c>
      <c r="AQ67" s="38">
        <f>IF(ISNUMBER(AP67),1,0)</f>
        <v/>
      </c>
      <c r="AR67" s="40">
        <f>IF(AQ67=1,AP67,0)</f>
        <v/>
      </c>
      <c r="AS67" s="38">
        <f>SUM(AQ$5:AQ67)</f>
        <v/>
      </c>
      <c r="AT67" s="40">
        <f>IF(AS67&gt;=MIN_OBS_Z,SUMPRODUCT(AQ$5:AQ67,AR$5:AR67)/AS67,"")</f>
        <v/>
      </c>
      <c r="AU67" s="40">
        <f>IF(AS67&gt;=MIN_OBS_Z,SQRT(SUMPRODUCT(AQ$5:AQ67,(AR$5:AR67-AT67)^2)/(AS67-1)),"")</f>
        <v/>
      </c>
      <c r="AV67" s="40">
        <f>IF(AND(AQ67=1,ISNUMBER(AT67)),MAX(-Z_CLIP,MIN(Z_CLIP,(AR67-AT67)/AU67)),"")</f>
        <v/>
      </c>
      <c r="AW67" s="40">
        <f>IF(ISNUMBER(AV67),-AV67,"")</f>
        <v/>
      </c>
      <c r="AX67" s="40">
        <f>IF(ISNUMBER(AW67),1+AMPLITUD*TANH(AW67),"")</f>
        <v/>
      </c>
      <c r="AY67" s="40">
        <f>IF($A67="","",IF(COUNT(AX65:AX67)&gt;0,AVERAGE(AX65:AX67),""))</f>
        <v/>
      </c>
      <c r="AZ67" s="40">
        <f>IF(ISNUMBER(AY67),AY67-1,"")</f>
        <v/>
      </c>
      <c r="BA67" s="40">
        <f>IF(AND(ISNUMBER(AZ66),ISNUMBER(W67)),AZ66*W_BANCOS*W67,"")</f>
        <v/>
      </c>
      <c r="BB67" s="40">
        <f>IF(AND(ISNUMBER(AZ66),ISNUMBER(AZ65)),ABS(AZ66-AZ65)*W_BANCOS*COSTO,0)</f>
        <v/>
      </c>
      <c r="BC67" s="40">
        <f>IF(ISNUMBER(BA67),BA67-BB67,"")</f>
        <v/>
      </c>
      <c r="BD67" s="42">
        <f>IF(ISNUMBER(BC67),IF(A67&lt;=FECHA_ERA,"A","B"),"")</f>
        <v/>
      </c>
      <c r="BE67" s="40">
        <f>IF(BD67="A",BC67,"")</f>
        <v/>
      </c>
      <c r="BF67" s="40">
        <f>IF(BD67="B",BC67,"")</f>
        <v/>
      </c>
      <c r="BG67" s="38">
        <f>IF(AND(ISNUMBER(BC67),ISNUMBER(A67)),IF(A67&gt;=INICIO_VIVO,1,0),0)</f>
        <v/>
      </c>
      <c r="BH67" s="40">
        <f>IF(BG67=1,BC67,"")</f>
        <v/>
      </c>
      <c r="BI67" s="38">
        <f>IF(ISNUMBER(AY67),ROW(),0)</f>
        <v/>
      </c>
      <c r="BJ67" s="43">
        <f>IF(ISNUMBER(BC67),SUM(BC$5:BC67)*10000,NA())</f>
        <v/>
      </c>
      <c r="BK67" s="43">
        <f>IF(BG67=1,SUM(BH$5:BH67)*10000,NA())</f>
        <v/>
      </c>
      <c r="BL67" s="44">
        <f>IF(ISNUMBER(AY67),AY67,NA())</f>
        <v/>
      </c>
    </row>
    <row r="68">
      <c r="A68" s="36">
        <f>IF(Datos!A68="","",Datos!A68)</f>
        <v/>
      </c>
      <c r="B68" s="37">
        <f>IF(OR($A68="",NOT(ISNUMBER(Datos!B68)),NOT(ISNUMBER(Datos!B67))),"",Datos!B68/Datos!B67-1)</f>
        <v/>
      </c>
      <c r="C68" s="37">
        <f>IF(OR($A68="",NOT(ISNUMBER(Datos!C68)),NOT(ISNUMBER(Datos!C67))),"",Datos!C68/Datos!C67-1)</f>
        <v/>
      </c>
      <c r="D68" s="37">
        <f>IF(OR($A68="",NOT(ISNUMBER(Datos!D68)),NOT(ISNUMBER(Datos!D67))),"",Datos!D68/Datos!D67-1)</f>
        <v/>
      </c>
      <c r="E68" s="37">
        <f>IF(OR($A68="",NOT(ISNUMBER(Datos!E68)),NOT(ISNUMBER(Datos!E67))),"",Datos!E68/Datos!E67-1)</f>
        <v/>
      </c>
      <c r="F68" s="38">
        <f>IF($A68="","",COUNT(B68:E68))</f>
        <v/>
      </c>
      <c r="G68" s="37">
        <f>IF($A68="","",IF(F68&gt;=MIN_BANCOS,AVERAGE(B68:E68),""))</f>
        <v/>
      </c>
      <c r="H68" s="37">
        <f>IF(OR($A68="",NOT(ISNUMBER(Datos!F68)),NOT(ISNUMBER(Datos!F67))),"",Datos!F68/Datos!F67-1)</f>
        <v/>
      </c>
      <c r="I68" s="39">
        <f>IF($A68="","",IF(ISNUMBER(Datos!G68),Datos!G68,I67))</f>
        <v/>
      </c>
      <c r="J68" s="40">
        <f>IF($A68="","",IF(ISNUMBER(I67),LN(1+I67/100/12),0))</f>
        <v/>
      </c>
      <c r="K68" s="40">
        <f>IF(ISNUMBER(G68),LN(1+G68)-J68,"")</f>
        <v/>
      </c>
      <c r="L68" s="40">
        <f>IF(ISNUMBER(H68),LN(1+H68)-J68,"")</f>
        <v/>
      </c>
      <c r="M68" s="38">
        <f>IF(ISNUMBER(K68),1,0)</f>
        <v/>
      </c>
      <c r="N68" s="40">
        <f>IF(M68=1,K68,0)</f>
        <v/>
      </c>
      <c r="O68" s="38">
        <f>IF(ISNUMBER(L68),1,0)</f>
        <v/>
      </c>
      <c r="P68" s="40">
        <f>IF(O68=1,L68,0)</f>
        <v/>
      </c>
      <c r="Q68" s="38">
        <f>M68*O68</f>
        <v/>
      </c>
      <c r="R68" s="38">
        <f>SUM(Q32:Q67)</f>
        <v/>
      </c>
      <c r="S68" s="41">
        <f>IF(OR($A68="",R68&lt;MIN_OBS_ROLL),"",(SUMPRODUCT(Q32:Q67,N32:N67,P32:P67)/R68-SUMPRODUCT(Q32:Q67,N32:N67)/R68*SUMPRODUCT(Q32:Q67,P32:P67)/R68)*R68/(R68-1))</f>
        <v/>
      </c>
      <c r="T68" s="38">
        <f>SUM(O32:O67)</f>
        <v/>
      </c>
      <c r="U68" s="41">
        <f>IF(OR($A68="",T68&lt;MIN_OBS_ROLL),"",SUMPRODUCT(O32:O67,(P32:P67-SUMPRODUCT(O32:O67,P32:P67)/T68)^2)/(T68-1))</f>
        <v/>
      </c>
      <c r="V68" s="40">
        <f>IF(OR(S68="",U68=""),"",S68/U68)</f>
        <v/>
      </c>
      <c r="W68" s="40">
        <f>IF(AND(ISNUMBER(K68),ISNUMBER(L68),ISNUMBER(V68)),K68-V68*L68,"")</f>
        <v/>
      </c>
      <c r="X68" s="40">
        <f>IF(OR($A68="",NOT(ISNUMBER(Datos!H68)),NOT(ISNUMBER(Datos!H67))),"",LN(Datos!H68)-LN(Datos!H67))</f>
        <v/>
      </c>
      <c r="Y68" s="38">
        <f>IF(ISNUMBER(W68),1,0)</f>
        <v/>
      </c>
      <c r="Z68" s="40">
        <f>IF(Y68=1,W68,0)</f>
        <v/>
      </c>
      <c r="AA68" s="38">
        <f>IF(ISNUMBER(X68),1,0)</f>
        <v/>
      </c>
      <c r="AB68" s="40">
        <f>IF(AA68=1,X68,0)</f>
        <v/>
      </c>
      <c r="AC68" s="38">
        <f>Y68*AA68</f>
        <v/>
      </c>
      <c r="AD68" s="38">
        <f>SUM(AC32:AC67)</f>
        <v/>
      </c>
      <c r="AE68" s="41">
        <f>IF(OR($A68="",AD68&lt;MIN_OBS_ROLL),"",(SUMPRODUCT(AC32:AC67,Z32:Z67,AB32:AB67)/AD68-SUMPRODUCT(AC32:AC67,Z32:Z67)/AD68*SUMPRODUCT(AC32:AC67,AB32:AB67)/AD68)*AD68/(AD68-1))</f>
        <v/>
      </c>
      <c r="AF68" s="38">
        <f>SUM(AA32:AA67)</f>
        <v/>
      </c>
      <c r="AG68" s="41">
        <f>IF(OR($A68="",AF68&lt;MIN_OBS_ROLL),"",SUMPRODUCT(AA32:AA67,(AB32:AB67-SUMPRODUCT(AA32:AA67,AB32:AB67)/AF68)^2)/(AF68-1))</f>
        <v/>
      </c>
      <c r="AH68" s="38">
        <f>SUM(Y32:Y67)</f>
        <v/>
      </c>
      <c r="AI68" s="40">
        <f>IF(OR($A68="",AH68&lt;MIN_OBS_ROLL),"",SUMPRODUCT(Y32:Y67,Z32:Z67)/AH68)</f>
        <v/>
      </c>
      <c r="AJ68" s="40">
        <f>IF(OR($A68="",AF68&lt;MIN_OBS_ROLL),"",SUMPRODUCT(AA32:AA67,AB32:AB67)/AF68)</f>
        <v/>
      </c>
      <c r="AK68" s="40">
        <f>IF(OR(AE68="",AG68=""),"",AE68/AG68)</f>
        <v/>
      </c>
      <c r="AL68" s="40">
        <f>IF(OR(AI68="",AK68="",AJ68=""),"",AI68-AK68*AJ68)</f>
        <v/>
      </c>
      <c r="AM68" s="40">
        <f>IF(AND(ISNUMBER(W68),ISNUMBER(X68),ISNUMBER(AK68),ISNUMBER(AL68)),W68-(AL68+AK68*X68),"")</f>
        <v/>
      </c>
      <c r="AN68" s="38">
        <f>IF(ISNUMBER(AM68),1,0)</f>
        <v/>
      </c>
      <c r="AO68" s="40">
        <f>IF(AN68=1,AM68,0)</f>
        <v/>
      </c>
      <c r="AP68" s="40">
        <f>IF(SUM(AN66:AN68)=3,SUM(AO66:AO68),"")</f>
        <v/>
      </c>
      <c r="AQ68" s="38">
        <f>IF(ISNUMBER(AP68),1,0)</f>
        <v/>
      </c>
      <c r="AR68" s="40">
        <f>IF(AQ68=1,AP68,0)</f>
        <v/>
      </c>
      <c r="AS68" s="38">
        <f>SUM(AQ$5:AQ68)</f>
        <v/>
      </c>
      <c r="AT68" s="40">
        <f>IF(AS68&gt;=MIN_OBS_Z,SUMPRODUCT(AQ$5:AQ68,AR$5:AR68)/AS68,"")</f>
        <v/>
      </c>
      <c r="AU68" s="40">
        <f>IF(AS68&gt;=MIN_OBS_Z,SQRT(SUMPRODUCT(AQ$5:AQ68,(AR$5:AR68-AT68)^2)/(AS68-1)),"")</f>
        <v/>
      </c>
      <c r="AV68" s="40">
        <f>IF(AND(AQ68=1,ISNUMBER(AT68)),MAX(-Z_CLIP,MIN(Z_CLIP,(AR68-AT68)/AU68)),"")</f>
        <v/>
      </c>
      <c r="AW68" s="40">
        <f>IF(ISNUMBER(AV68),-AV68,"")</f>
        <v/>
      </c>
      <c r="AX68" s="40">
        <f>IF(ISNUMBER(AW68),1+AMPLITUD*TANH(AW68),"")</f>
        <v/>
      </c>
      <c r="AY68" s="40">
        <f>IF($A68="","",IF(COUNT(AX66:AX68)&gt;0,AVERAGE(AX66:AX68),""))</f>
        <v/>
      </c>
      <c r="AZ68" s="40">
        <f>IF(ISNUMBER(AY68),AY68-1,"")</f>
        <v/>
      </c>
      <c r="BA68" s="40">
        <f>IF(AND(ISNUMBER(AZ67),ISNUMBER(W68)),AZ67*W_BANCOS*W68,"")</f>
        <v/>
      </c>
      <c r="BB68" s="40">
        <f>IF(AND(ISNUMBER(AZ67),ISNUMBER(AZ66)),ABS(AZ67-AZ66)*W_BANCOS*COSTO,0)</f>
        <v/>
      </c>
      <c r="BC68" s="40">
        <f>IF(ISNUMBER(BA68),BA68-BB68,"")</f>
        <v/>
      </c>
      <c r="BD68" s="42">
        <f>IF(ISNUMBER(BC68),IF(A68&lt;=FECHA_ERA,"A","B"),"")</f>
        <v/>
      </c>
      <c r="BE68" s="40">
        <f>IF(BD68="A",BC68,"")</f>
        <v/>
      </c>
      <c r="BF68" s="40">
        <f>IF(BD68="B",BC68,"")</f>
        <v/>
      </c>
      <c r="BG68" s="38">
        <f>IF(AND(ISNUMBER(BC68),ISNUMBER(A68)),IF(A68&gt;=INICIO_VIVO,1,0),0)</f>
        <v/>
      </c>
      <c r="BH68" s="40">
        <f>IF(BG68=1,BC68,"")</f>
        <v/>
      </c>
      <c r="BI68" s="38">
        <f>IF(ISNUMBER(AY68),ROW(),0)</f>
        <v/>
      </c>
      <c r="BJ68" s="43">
        <f>IF(ISNUMBER(BC68),SUM(BC$5:BC68)*10000,NA())</f>
        <v/>
      </c>
      <c r="BK68" s="43">
        <f>IF(BG68=1,SUM(BH$5:BH68)*10000,NA())</f>
        <v/>
      </c>
      <c r="BL68" s="44">
        <f>IF(ISNUMBER(AY68),AY68,NA())</f>
        <v/>
      </c>
    </row>
    <row r="69">
      <c r="A69" s="36">
        <f>IF(Datos!A69="","",Datos!A69)</f>
        <v/>
      </c>
      <c r="B69" s="37">
        <f>IF(OR($A69="",NOT(ISNUMBER(Datos!B69)),NOT(ISNUMBER(Datos!B68))),"",Datos!B69/Datos!B68-1)</f>
        <v/>
      </c>
      <c r="C69" s="37">
        <f>IF(OR($A69="",NOT(ISNUMBER(Datos!C69)),NOT(ISNUMBER(Datos!C68))),"",Datos!C69/Datos!C68-1)</f>
        <v/>
      </c>
      <c r="D69" s="37">
        <f>IF(OR($A69="",NOT(ISNUMBER(Datos!D69)),NOT(ISNUMBER(Datos!D68))),"",Datos!D69/Datos!D68-1)</f>
        <v/>
      </c>
      <c r="E69" s="37">
        <f>IF(OR($A69="",NOT(ISNUMBER(Datos!E69)),NOT(ISNUMBER(Datos!E68))),"",Datos!E69/Datos!E68-1)</f>
        <v/>
      </c>
      <c r="F69" s="38">
        <f>IF($A69="","",COUNT(B69:E69))</f>
        <v/>
      </c>
      <c r="G69" s="37">
        <f>IF($A69="","",IF(F69&gt;=MIN_BANCOS,AVERAGE(B69:E69),""))</f>
        <v/>
      </c>
      <c r="H69" s="37">
        <f>IF(OR($A69="",NOT(ISNUMBER(Datos!F69)),NOT(ISNUMBER(Datos!F68))),"",Datos!F69/Datos!F68-1)</f>
        <v/>
      </c>
      <c r="I69" s="39">
        <f>IF($A69="","",IF(ISNUMBER(Datos!G69),Datos!G69,I68))</f>
        <v/>
      </c>
      <c r="J69" s="40">
        <f>IF($A69="","",IF(ISNUMBER(I68),LN(1+I68/100/12),0))</f>
        <v/>
      </c>
      <c r="K69" s="40">
        <f>IF(ISNUMBER(G69),LN(1+G69)-J69,"")</f>
        <v/>
      </c>
      <c r="L69" s="40">
        <f>IF(ISNUMBER(H69),LN(1+H69)-J69,"")</f>
        <v/>
      </c>
      <c r="M69" s="38">
        <f>IF(ISNUMBER(K69),1,0)</f>
        <v/>
      </c>
      <c r="N69" s="40">
        <f>IF(M69=1,K69,0)</f>
        <v/>
      </c>
      <c r="O69" s="38">
        <f>IF(ISNUMBER(L69),1,0)</f>
        <v/>
      </c>
      <c r="P69" s="40">
        <f>IF(O69=1,L69,0)</f>
        <v/>
      </c>
      <c r="Q69" s="38">
        <f>M69*O69</f>
        <v/>
      </c>
      <c r="R69" s="38">
        <f>SUM(Q33:Q68)</f>
        <v/>
      </c>
      <c r="S69" s="41">
        <f>IF(OR($A69="",R69&lt;MIN_OBS_ROLL),"",(SUMPRODUCT(Q33:Q68,N33:N68,P33:P68)/R69-SUMPRODUCT(Q33:Q68,N33:N68)/R69*SUMPRODUCT(Q33:Q68,P33:P68)/R69)*R69/(R69-1))</f>
        <v/>
      </c>
      <c r="T69" s="38">
        <f>SUM(O33:O68)</f>
        <v/>
      </c>
      <c r="U69" s="41">
        <f>IF(OR($A69="",T69&lt;MIN_OBS_ROLL),"",SUMPRODUCT(O33:O68,(P33:P68-SUMPRODUCT(O33:O68,P33:P68)/T69)^2)/(T69-1))</f>
        <v/>
      </c>
      <c r="V69" s="40">
        <f>IF(OR(S69="",U69=""),"",S69/U69)</f>
        <v/>
      </c>
      <c r="W69" s="40">
        <f>IF(AND(ISNUMBER(K69),ISNUMBER(L69),ISNUMBER(V69)),K69-V69*L69,"")</f>
        <v/>
      </c>
      <c r="X69" s="40">
        <f>IF(OR($A69="",NOT(ISNUMBER(Datos!H69)),NOT(ISNUMBER(Datos!H68))),"",LN(Datos!H69)-LN(Datos!H68))</f>
        <v/>
      </c>
      <c r="Y69" s="38">
        <f>IF(ISNUMBER(W69),1,0)</f>
        <v/>
      </c>
      <c r="Z69" s="40">
        <f>IF(Y69=1,W69,0)</f>
        <v/>
      </c>
      <c r="AA69" s="38">
        <f>IF(ISNUMBER(X69),1,0)</f>
        <v/>
      </c>
      <c r="AB69" s="40">
        <f>IF(AA69=1,X69,0)</f>
        <v/>
      </c>
      <c r="AC69" s="38">
        <f>Y69*AA69</f>
        <v/>
      </c>
      <c r="AD69" s="38">
        <f>SUM(AC33:AC68)</f>
        <v/>
      </c>
      <c r="AE69" s="41">
        <f>IF(OR($A69="",AD69&lt;MIN_OBS_ROLL),"",(SUMPRODUCT(AC33:AC68,Z33:Z68,AB33:AB68)/AD69-SUMPRODUCT(AC33:AC68,Z33:Z68)/AD69*SUMPRODUCT(AC33:AC68,AB33:AB68)/AD69)*AD69/(AD69-1))</f>
        <v/>
      </c>
      <c r="AF69" s="38">
        <f>SUM(AA33:AA68)</f>
        <v/>
      </c>
      <c r="AG69" s="41">
        <f>IF(OR($A69="",AF69&lt;MIN_OBS_ROLL),"",SUMPRODUCT(AA33:AA68,(AB33:AB68-SUMPRODUCT(AA33:AA68,AB33:AB68)/AF69)^2)/(AF69-1))</f>
        <v/>
      </c>
      <c r="AH69" s="38">
        <f>SUM(Y33:Y68)</f>
        <v/>
      </c>
      <c r="AI69" s="40">
        <f>IF(OR($A69="",AH69&lt;MIN_OBS_ROLL),"",SUMPRODUCT(Y33:Y68,Z33:Z68)/AH69)</f>
        <v/>
      </c>
      <c r="AJ69" s="40">
        <f>IF(OR($A69="",AF69&lt;MIN_OBS_ROLL),"",SUMPRODUCT(AA33:AA68,AB33:AB68)/AF69)</f>
        <v/>
      </c>
      <c r="AK69" s="40">
        <f>IF(OR(AE69="",AG69=""),"",AE69/AG69)</f>
        <v/>
      </c>
      <c r="AL69" s="40">
        <f>IF(OR(AI69="",AK69="",AJ69=""),"",AI69-AK69*AJ69)</f>
        <v/>
      </c>
      <c r="AM69" s="40">
        <f>IF(AND(ISNUMBER(W69),ISNUMBER(X69),ISNUMBER(AK69),ISNUMBER(AL69)),W69-(AL69+AK69*X69),"")</f>
        <v/>
      </c>
      <c r="AN69" s="38">
        <f>IF(ISNUMBER(AM69),1,0)</f>
        <v/>
      </c>
      <c r="AO69" s="40">
        <f>IF(AN69=1,AM69,0)</f>
        <v/>
      </c>
      <c r="AP69" s="40">
        <f>IF(SUM(AN67:AN69)=3,SUM(AO67:AO69),"")</f>
        <v/>
      </c>
      <c r="AQ69" s="38">
        <f>IF(ISNUMBER(AP69),1,0)</f>
        <v/>
      </c>
      <c r="AR69" s="40">
        <f>IF(AQ69=1,AP69,0)</f>
        <v/>
      </c>
      <c r="AS69" s="38">
        <f>SUM(AQ$5:AQ69)</f>
        <v/>
      </c>
      <c r="AT69" s="40">
        <f>IF(AS69&gt;=MIN_OBS_Z,SUMPRODUCT(AQ$5:AQ69,AR$5:AR69)/AS69,"")</f>
        <v/>
      </c>
      <c r="AU69" s="40">
        <f>IF(AS69&gt;=MIN_OBS_Z,SQRT(SUMPRODUCT(AQ$5:AQ69,(AR$5:AR69-AT69)^2)/(AS69-1)),"")</f>
        <v/>
      </c>
      <c r="AV69" s="40">
        <f>IF(AND(AQ69=1,ISNUMBER(AT69)),MAX(-Z_CLIP,MIN(Z_CLIP,(AR69-AT69)/AU69)),"")</f>
        <v/>
      </c>
      <c r="AW69" s="40">
        <f>IF(ISNUMBER(AV69),-AV69,"")</f>
        <v/>
      </c>
      <c r="AX69" s="40">
        <f>IF(ISNUMBER(AW69),1+AMPLITUD*TANH(AW69),"")</f>
        <v/>
      </c>
      <c r="AY69" s="40">
        <f>IF($A69="","",IF(COUNT(AX67:AX69)&gt;0,AVERAGE(AX67:AX69),""))</f>
        <v/>
      </c>
      <c r="AZ69" s="40">
        <f>IF(ISNUMBER(AY69),AY69-1,"")</f>
        <v/>
      </c>
      <c r="BA69" s="40">
        <f>IF(AND(ISNUMBER(AZ68),ISNUMBER(W69)),AZ68*W_BANCOS*W69,"")</f>
        <v/>
      </c>
      <c r="BB69" s="40">
        <f>IF(AND(ISNUMBER(AZ68),ISNUMBER(AZ67)),ABS(AZ68-AZ67)*W_BANCOS*COSTO,0)</f>
        <v/>
      </c>
      <c r="BC69" s="40">
        <f>IF(ISNUMBER(BA69),BA69-BB69,"")</f>
        <v/>
      </c>
      <c r="BD69" s="42">
        <f>IF(ISNUMBER(BC69),IF(A69&lt;=FECHA_ERA,"A","B"),"")</f>
        <v/>
      </c>
      <c r="BE69" s="40">
        <f>IF(BD69="A",BC69,"")</f>
        <v/>
      </c>
      <c r="BF69" s="40">
        <f>IF(BD69="B",BC69,"")</f>
        <v/>
      </c>
      <c r="BG69" s="38">
        <f>IF(AND(ISNUMBER(BC69),ISNUMBER(A69)),IF(A69&gt;=INICIO_VIVO,1,0),0)</f>
        <v/>
      </c>
      <c r="BH69" s="40">
        <f>IF(BG69=1,BC69,"")</f>
        <v/>
      </c>
      <c r="BI69" s="38">
        <f>IF(ISNUMBER(AY69),ROW(),0)</f>
        <v/>
      </c>
      <c r="BJ69" s="43">
        <f>IF(ISNUMBER(BC69),SUM(BC$5:BC69)*10000,NA())</f>
        <v/>
      </c>
      <c r="BK69" s="43">
        <f>IF(BG69=1,SUM(BH$5:BH69)*10000,NA())</f>
        <v/>
      </c>
      <c r="BL69" s="44">
        <f>IF(ISNUMBER(AY69),AY69,NA())</f>
        <v/>
      </c>
    </row>
    <row r="70">
      <c r="A70" s="36">
        <f>IF(Datos!A70="","",Datos!A70)</f>
        <v/>
      </c>
      <c r="B70" s="37">
        <f>IF(OR($A70="",NOT(ISNUMBER(Datos!B70)),NOT(ISNUMBER(Datos!B69))),"",Datos!B70/Datos!B69-1)</f>
        <v/>
      </c>
      <c r="C70" s="37">
        <f>IF(OR($A70="",NOT(ISNUMBER(Datos!C70)),NOT(ISNUMBER(Datos!C69))),"",Datos!C70/Datos!C69-1)</f>
        <v/>
      </c>
      <c r="D70" s="37">
        <f>IF(OR($A70="",NOT(ISNUMBER(Datos!D70)),NOT(ISNUMBER(Datos!D69))),"",Datos!D70/Datos!D69-1)</f>
        <v/>
      </c>
      <c r="E70" s="37">
        <f>IF(OR($A70="",NOT(ISNUMBER(Datos!E70)),NOT(ISNUMBER(Datos!E69))),"",Datos!E70/Datos!E69-1)</f>
        <v/>
      </c>
      <c r="F70" s="38">
        <f>IF($A70="","",COUNT(B70:E70))</f>
        <v/>
      </c>
      <c r="G70" s="37">
        <f>IF($A70="","",IF(F70&gt;=MIN_BANCOS,AVERAGE(B70:E70),""))</f>
        <v/>
      </c>
      <c r="H70" s="37">
        <f>IF(OR($A70="",NOT(ISNUMBER(Datos!F70)),NOT(ISNUMBER(Datos!F69))),"",Datos!F70/Datos!F69-1)</f>
        <v/>
      </c>
      <c r="I70" s="39">
        <f>IF($A70="","",IF(ISNUMBER(Datos!G70),Datos!G70,I69))</f>
        <v/>
      </c>
      <c r="J70" s="40">
        <f>IF($A70="","",IF(ISNUMBER(I69),LN(1+I69/100/12),0))</f>
        <v/>
      </c>
      <c r="K70" s="40">
        <f>IF(ISNUMBER(G70),LN(1+G70)-J70,"")</f>
        <v/>
      </c>
      <c r="L70" s="40">
        <f>IF(ISNUMBER(H70),LN(1+H70)-J70,"")</f>
        <v/>
      </c>
      <c r="M70" s="38">
        <f>IF(ISNUMBER(K70),1,0)</f>
        <v/>
      </c>
      <c r="N70" s="40">
        <f>IF(M70=1,K70,0)</f>
        <v/>
      </c>
      <c r="O70" s="38">
        <f>IF(ISNUMBER(L70),1,0)</f>
        <v/>
      </c>
      <c r="P70" s="40">
        <f>IF(O70=1,L70,0)</f>
        <v/>
      </c>
      <c r="Q70" s="38">
        <f>M70*O70</f>
        <v/>
      </c>
      <c r="R70" s="38">
        <f>SUM(Q34:Q69)</f>
        <v/>
      </c>
      <c r="S70" s="41">
        <f>IF(OR($A70="",R70&lt;MIN_OBS_ROLL),"",(SUMPRODUCT(Q34:Q69,N34:N69,P34:P69)/R70-SUMPRODUCT(Q34:Q69,N34:N69)/R70*SUMPRODUCT(Q34:Q69,P34:P69)/R70)*R70/(R70-1))</f>
        <v/>
      </c>
      <c r="T70" s="38">
        <f>SUM(O34:O69)</f>
        <v/>
      </c>
      <c r="U70" s="41">
        <f>IF(OR($A70="",T70&lt;MIN_OBS_ROLL),"",SUMPRODUCT(O34:O69,(P34:P69-SUMPRODUCT(O34:O69,P34:P69)/T70)^2)/(T70-1))</f>
        <v/>
      </c>
      <c r="V70" s="40">
        <f>IF(OR(S70="",U70=""),"",S70/U70)</f>
        <v/>
      </c>
      <c r="W70" s="40">
        <f>IF(AND(ISNUMBER(K70),ISNUMBER(L70),ISNUMBER(V70)),K70-V70*L70,"")</f>
        <v/>
      </c>
      <c r="X70" s="40">
        <f>IF(OR($A70="",NOT(ISNUMBER(Datos!H70)),NOT(ISNUMBER(Datos!H69))),"",LN(Datos!H70)-LN(Datos!H69))</f>
        <v/>
      </c>
      <c r="Y70" s="38">
        <f>IF(ISNUMBER(W70),1,0)</f>
        <v/>
      </c>
      <c r="Z70" s="40">
        <f>IF(Y70=1,W70,0)</f>
        <v/>
      </c>
      <c r="AA70" s="38">
        <f>IF(ISNUMBER(X70),1,0)</f>
        <v/>
      </c>
      <c r="AB70" s="40">
        <f>IF(AA70=1,X70,0)</f>
        <v/>
      </c>
      <c r="AC70" s="38">
        <f>Y70*AA70</f>
        <v/>
      </c>
      <c r="AD70" s="38">
        <f>SUM(AC34:AC69)</f>
        <v/>
      </c>
      <c r="AE70" s="41">
        <f>IF(OR($A70="",AD70&lt;MIN_OBS_ROLL),"",(SUMPRODUCT(AC34:AC69,Z34:Z69,AB34:AB69)/AD70-SUMPRODUCT(AC34:AC69,Z34:Z69)/AD70*SUMPRODUCT(AC34:AC69,AB34:AB69)/AD70)*AD70/(AD70-1))</f>
        <v/>
      </c>
      <c r="AF70" s="38">
        <f>SUM(AA34:AA69)</f>
        <v/>
      </c>
      <c r="AG70" s="41">
        <f>IF(OR($A70="",AF70&lt;MIN_OBS_ROLL),"",SUMPRODUCT(AA34:AA69,(AB34:AB69-SUMPRODUCT(AA34:AA69,AB34:AB69)/AF70)^2)/(AF70-1))</f>
        <v/>
      </c>
      <c r="AH70" s="38">
        <f>SUM(Y34:Y69)</f>
        <v/>
      </c>
      <c r="AI70" s="40">
        <f>IF(OR($A70="",AH70&lt;MIN_OBS_ROLL),"",SUMPRODUCT(Y34:Y69,Z34:Z69)/AH70)</f>
        <v/>
      </c>
      <c r="AJ70" s="40">
        <f>IF(OR($A70="",AF70&lt;MIN_OBS_ROLL),"",SUMPRODUCT(AA34:AA69,AB34:AB69)/AF70)</f>
        <v/>
      </c>
      <c r="AK70" s="40">
        <f>IF(OR(AE70="",AG70=""),"",AE70/AG70)</f>
        <v/>
      </c>
      <c r="AL70" s="40">
        <f>IF(OR(AI70="",AK70="",AJ70=""),"",AI70-AK70*AJ70)</f>
        <v/>
      </c>
      <c r="AM70" s="40">
        <f>IF(AND(ISNUMBER(W70),ISNUMBER(X70),ISNUMBER(AK70),ISNUMBER(AL70)),W70-(AL70+AK70*X70),"")</f>
        <v/>
      </c>
      <c r="AN70" s="38">
        <f>IF(ISNUMBER(AM70),1,0)</f>
        <v/>
      </c>
      <c r="AO70" s="40">
        <f>IF(AN70=1,AM70,0)</f>
        <v/>
      </c>
      <c r="AP70" s="40">
        <f>IF(SUM(AN68:AN70)=3,SUM(AO68:AO70),"")</f>
        <v/>
      </c>
      <c r="AQ70" s="38">
        <f>IF(ISNUMBER(AP70),1,0)</f>
        <v/>
      </c>
      <c r="AR70" s="40">
        <f>IF(AQ70=1,AP70,0)</f>
        <v/>
      </c>
      <c r="AS70" s="38">
        <f>SUM(AQ$5:AQ70)</f>
        <v/>
      </c>
      <c r="AT70" s="40">
        <f>IF(AS70&gt;=MIN_OBS_Z,SUMPRODUCT(AQ$5:AQ70,AR$5:AR70)/AS70,"")</f>
        <v/>
      </c>
      <c r="AU70" s="40">
        <f>IF(AS70&gt;=MIN_OBS_Z,SQRT(SUMPRODUCT(AQ$5:AQ70,(AR$5:AR70-AT70)^2)/(AS70-1)),"")</f>
        <v/>
      </c>
      <c r="AV70" s="40">
        <f>IF(AND(AQ70=1,ISNUMBER(AT70)),MAX(-Z_CLIP,MIN(Z_CLIP,(AR70-AT70)/AU70)),"")</f>
        <v/>
      </c>
      <c r="AW70" s="40">
        <f>IF(ISNUMBER(AV70),-AV70,"")</f>
        <v/>
      </c>
      <c r="AX70" s="40">
        <f>IF(ISNUMBER(AW70),1+AMPLITUD*TANH(AW70),"")</f>
        <v/>
      </c>
      <c r="AY70" s="40">
        <f>IF($A70="","",IF(COUNT(AX68:AX70)&gt;0,AVERAGE(AX68:AX70),""))</f>
        <v/>
      </c>
      <c r="AZ70" s="40">
        <f>IF(ISNUMBER(AY70),AY70-1,"")</f>
        <v/>
      </c>
      <c r="BA70" s="40">
        <f>IF(AND(ISNUMBER(AZ69),ISNUMBER(W70)),AZ69*W_BANCOS*W70,"")</f>
        <v/>
      </c>
      <c r="BB70" s="40">
        <f>IF(AND(ISNUMBER(AZ69),ISNUMBER(AZ68)),ABS(AZ69-AZ68)*W_BANCOS*COSTO,0)</f>
        <v/>
      </c>
      <c r="BC70" s="40">
        <f>IF(ISNUMBER(BA70),BA70-BB70,"")</f>
        <v/>
      </c>
      <c r="BD70" s="42">
        <f>IF(ISNUMBER(BC70),IF(A70&lt;=FECHA_ERA,"A","B"),"")</f>
        <v/>
      </c>
      <c r="BE70" s="40">
        <f>IF(BD70="A",BC70,"")</f>
        <v/>
      </c>
      <c r="BF70" s="40">
        <f>IF(BD70="B",BC70,"")</f>
        <v/>
      </c>
      <c r="BG70" s="38">
        <f>IF(AND(ISNUMBER(BC70),ISNUMBER(A70)),IF(A70&gt;=INICIO_VIVO,1,0),0)</f>
        <v/>
      </c>
      <c r="BH70" s="40">
        <f>IF(BG70=1,BC70,"")</f>
        <v/>
      </c>
      <c r="BI70" s="38">
        <f>IF(ISNUMBER(AY70),ROW(),0)</f>
        <v/>
      </c>
      <c r="BJ70" s="43">
        <f>IF(ISNUMBER(BC70),SUM(BC$5:BC70)*10000,NA())</f>
        <v/>
      </c>
      <c r="BK70" s="43">
        <f>IF(BG70=1,SUM(BH$5:BH70)*10000,NA())</f>
        <v/>
      </c>
      <c r="BL70" s="44">
        <f>IF(ISNUMBER(AY70),AY70,NA())</f>
        <v/>
      </c>
    </row>
    <row r="71">
      <c r="A71" s="36">
        <f>IF(Datos!A71="","",Datos!A71)</f>
        <v/>
      </c>
      <c r="B71" s="37">
        <f>IF(OR($A71="",NOT(ISNUMBER(Datos!B71)),NOT(ISNUMBER(Datos!B70))),"",Datos!B71/Datos!B70-1)</f>
        <v/>
      </c>
      <c r="C71" s="37">
        <f>IF(OR($A71="",NOT(ISNUMBER(Datos!C71)),NOT(ISNUMBER(Datos!C70))),"",Datos!C71/Datos!C70-1)</f>
        <v/>
      </c>
      <c r="D71" s="37">
        <f>IF(OR($A71="",NOT(ISNUMBER(Datos!D71)),NOT(ISNUMBER(Datos!D70))),"",Datos!D71/Datos!D70-1)</f>
        <v/>
      </c>
      <c r="E71" s="37">
        <f>IF(OR($A71="",NOT(ISNUMBER(Datos!E71)),NOT(ISNUMBER(Datos!E70))),"",Datos!E71/Datos!E70-1)</f>
        <v/>
      </c>
      <c r="F71" s="38">
        <f>IF($A71="","",COUNT(B71:E71))</f>
        <v/>
      </c>
      <c r="G71" s="37">
        <f>IF($A71="","",IF(F71&gt;=MIN_BANCOS,AVERAGE(B71:E71),""))</f>
        <v/>
      </c>
      <c r="H71" s="37">
        <f>IF(OR($A71="",NOT(ISNUMBER(Datos!F71)),NOT(ISNUMBER(Datos!F70))),"",Datos!F71/Datos!F70-1)</f>
        <v/>
      </c>
      <c r="I71" s="39">
        <f>IF($A71="","",IF(ISNUMBER(Datos!G71),Datos!G71,I70))</f>
        <v/>
      </c>
      <c r="J71" s="40">
        <f>IF($A71="","",IF(ISNUMBER(I70),LN(1+I70/100/12),0))</f>
        <v/>
      </c>
      <c r="K71" s="40">
        <f>IF(ISNUMBER(G71),LN(1+G71)-J71,"")</f>
        <v/>
      </c>
      <c r="L71" s="40">
        <f>IF(ISNUMBER(H71),LN(1+H71)-J71,"")</f>
        <v/>
      </c>
      <c r="M71" s="38">
        <f>IF(ISNUMBER(K71),1,0)</f>
        <v/>
      </c>
      <c r="N71" s="40">
        <f>IF(M71=1,K71,0)</f>
        <v/>
      </c>
      <c r="O71" s="38">
        <f>IF(ISNUMBER(L71),1,0)</f>
        <v/>
      </c>
      <c r="P71" s="40">
        <f>IF(O71=1,L71,0)</f>
        <v/>
      </c>
      <c r="Q71" s="38">
        <f>M71*O71</f>
        <v/>
      </c>
      <c r="R71" s="38">
        <f>SUM(Q35:Q70)</f>
        <v/>
      </c>
      <c r="S71" s="41">
        <f>IF(OR($A71="",R71&lt;MIN_OBS_ROLL),"",(SUMPRODUCT(Q35:Q70,N35:N70,P35:P70)/R71-SUMPRODUCT(Q35:Q70,N35:N70)/R71*SUMPRODUCT(Q35:Q70,P35:P70)/R71)*R71/(R71-1))</f>
        <v/>
      </c>
      <c r="T71" s="38">
        <f>SUM(O35:O70)</f>
        <v/>
      </c>
      <c r="U71" s="41">
        <f>IF(OR($A71="",T71&lt;MIN_OBS_ROLL),"",SUMPRODUCT(O35:O70,(P35:P70-SUMPRODUCT(O35:O70,P35:P70)/T71)^2)/(T71-1))</f>
        <v/>
      </c>
      <c r="V71" s="40">
        <f>IF(OR(S71="",U71=""),"",S71/U71)</f>
        <v/>
      </c>
      <c r="W71" s="40">
        <f>IF(AND(ISNUMBER(K71),ISNUMBER(L71),ISNUMBER(V71)),K71-V71*L71,"")</f>
        <v/>
      </c>
      <c r="X71" s="40">
        <f>IF(OR($A71="",NOT(ISNUMBER(Datos!H71)),NOT(ISNUMBER(Datos!H70))),"",LN(Datos!H71)-LN(Datos!H70))</f>
        <v/>
      </c>
      <c r="Y71" s="38">
        <f>IF(ISNUMBER(W71),1,0)</f>
        <v/>
      </c>
      <c r="Z71" s="40">
        <f>IF(Y71=1,W71,0)</f>
        <v/>
      </c>
      <c r="AA71" s="38">
        <f>IF(ISNUMBER(X71),1,0)</f>
        <v/>
      </c>
      <c r="AB71" s="40">
        <f>IF(AA71=1,X71,0)</f>
        <v/>
      </c>
      <c r="AC71" s="38">
        <f>Y71*AA71</f>
        <v/>
      </c>
      <c r="AD71" s="38">
        <f>SUM(AC35:AC70)</f>
        <v/>
      </c>
      <c r="AE71" s="41">
        <f>IF(OR($A71="",AD71&lt;MIN_OBS_ROLL),"",(SUMPRODUCT(AC35:AC70,Z35:Z70,AB35:AB70)/AD71-SUMPRODUCT(AC35:AC70,Z35:Z70)/AD71*SUMPRODUCT(AC35:AC70,AB35:AB70)/AD71)*AD71/(AD71-1))</f>
        <v/>
      </c>
      <c r="AF71" s="38">
        <f>SUM(AA35:AA70)</f>
        <v/>
      </c>
      <c r="AG71" s="41">
        <f>IF(OR($A71="",AF71&lt;MIN_OBS_ROLL),"",SUMPRODUCT(AA35:AA70,(AB35:AB70-SUMPRODUCT(AA35:AA70,AB35:AB70)/AF71)^2)/(AF71-1))</f>
        <v/>
      </c>
      <c r="AH71" s="38">
        <f>SUM(Y35:Y70)</f>
        <v/>
      </c>
      <c r="AI71" s="40">
        <f>IF(OR($A71="",AH71&lt;MIN_OBS_ROLL),"",SUMPRODUCT(Y35:Y70,Z35:Z70)/AH71)</f>
        <v/>
      </c>
      <c r="AJ71" s="40">
        <f>IF(OR($A71="",AF71&lt;MIN_OBS_ROLL),"",SUMPRODUCT(AA35:AA70,AB35:AB70)/AF71)</f>
        <v/>
      </c>
      <c r="AK71" s="40">
        <f>IF(OR(AE71="",AG71=""),"",AE71/AG71)</f>
        <v/>
      </c>
      <c r="AL71" s="40">
        <f>IF(OR(AI71="",AK71="",AJ71=""),"",AI71-AK71*AJ71)</f>
        <v/>
      </c>
      <c r="AM71" s="40">
        <f>IF(AND(ISNUMBER(W71),ISNUMBER(X71),ISNUMBER(AK71),ISNUMBER(AL71)),W71-(AL71+AK71*X71),"")</f>
        <v/>
      </c>
      <c r="AN71" s="38">
        <f>IF(ISNUMBER(AM71),1,0)</f>
        <v/>
      </c>
      <c r="AO71" s="40">
        <f>IF(AN71=1,AM71,0)</f>
        <v/>
      </c>
      <c r="AP71" s="40">
        <f>IF(SUM(AN69:AN71)=3,SUM(AO69:AO71),"")</f>
        <v/>
      </c>
      <c r="AQ71" s="38">
        <f>IF(ISNUMBER(AP71),1,0)</f>
        <v/>
      </c>
      <c r="AR71" s="40">
        <f>IF(AQ71=1,AP71,0)</f>
        <v/>
      </c>
      <c r="AS71" s="38">
        <f>SUM(AQ$5:AQ71)</f>
        <v/>
      </c>
      <c r="AT71" s="40">
        <f>IF(AS71&gt;=MIN_OBS_Z,SUMPRODUCT(AQ$5:AQ71,AR$5:AR71)/AS71,"")</f>
        <v/>
      </c>
      <c r="AU71" s="40">
        <f>IF(AS71&gt;=MIN_OBS_Z,SQRT(SUMPRODUCT(AQ$5:AQ71,(AR$5:AR71-AT71)^2)/(AS71-1)),"")</f>
        <v/>
      </c>
      <c r="AV71" s="40">
        <f>IF(AND(AQ71=1,ISNUMBER(AT71)),MAX(-Z_CLIP,MIN(Z_CLIP,(AR71-AT71)/AU71)),"")</f>
        <v/>
      </c>
      <c r="AW71" s="40">
        <f>IF(ISNUMBER(AV71),-AV71,"")</f>
        <v/>
      </c>
      <c r="AX71" s="40">
        <f>IF(ISNUMBER(AW71),1+AMPLITUD*TANH(AW71),"")</f>
        <v/>
      </c>
      <c r="AY71" s="40">
        <f>IF($A71="","",IF(COUNT(AX69:AX71)&gt;0,AVERAGE(AX69:AX71),""))</f>
        <v/>
      </c>
      <c r="AZ71" s="40">
        <f>IF(ISNUMBER(AY71),AY71-1,"")</f>
        <v/>
      </c>
      <c r="BA71" s="40">
        <f>IF(AND(ISNUMBER(AZ70),ISNUMBER(W71)),AZ70*W_BANCOS*W71,"")</f>
        <v/>
      </c>
      <c r="BB71" s="40">
        <f>IF(AND(ISNUMBER(AZ70),ISNUMBER(AZ69)),ABS(AZ70-AZ69)*W_BANCOS*COSTO,0)</f>
        <v/>
      </c>
      <c r="BC71" s="40">
        <f>IF(ISNUMBER(BA71),BA71-BB71,"")</f>
        <v/>
      </c>
      <c r="BD71" s="42">
        <f>IF(ISNUMBER(BC71),IF(A71&lt;=FECHA_ERA,"A","B"),"")</f>
        <v/>
      </c>
      <c r="BE71" s="40">
        <f>IF(BD71="A",BC71,"")</f>
        <v/>
      </c>
      <c r="BF71" s="40">
        <f>IF(BD71="B",BC71,"")</f>
        <v/>
      </c>
      <c r="BG71" s="38">
        <f>IF(AND(ISNUMBER(BC71),ISNUMBER(A71)),IF(A71&gt;=INICIO_VIVO,1,0),0)</f>
        <v/>
      </c>
      <c r="BH71" s="40">
        <f>IF(BG71=1,BC71,"")</f>
        <v/>
      </c>
      <c r="BI71" s="38">
        <f>IF(ISNUMBER(AY71),ROW(),0)</f>
        <v/>
      </c>
      <c r="BJ71" s="43">
        <f>IF(ISNUMBER(BC71),SUM(BC$5:BC71)*10000,NA())</f>
        <v/>
      </c>
      <c r="BK71" s="43">
        <f>IF(BG71=1,SUM(BH$5:BH71)*10000,NA())</f>
        <v/>
      </c>
      <c r="BL71" s="44">
        <f>IF(ISNUMBER(AY71),AY71,NA())</f>
        <v/>
      </c>
    </row>
    <row r="72">
      <c r="A72" s="36">
        <f>IF(Datos!A72="","",Datos!A72)</f>
        <v/>
      </c>
      <c r="B72" s="37">
        <f>IF(OR($A72="",NOT(ISNUMBER(Datos!B72)),NOT(ISNUMBER(Datos!B71))),"",Datos!B72/Datos!B71-1)</f>
        <v/>
      </c>
      <c r="C72" s="37">
        <f>IF(OR($A72="",NOT(ISNUMBER(Datos!C72)),NOT(ISNUMBER(Datos!C71))),"",Datos!C72/Datos!C71-1)</f>
        <v/>
      </c>
      <c r="D72" s="37">
        <f>IF(OR($A72="",NOT(ISNUMBER(Datos!D72)),NOT(ISNUMBER(Datos!D71))),"",Datos!D72/Datos!D71-1)</f>
        <v/>
      </c>
      <c r="E72" s="37">
        <f>IF(OR($A72="",NOT(ISNUMBER(Datos!E72)),NOT(ISNUMBER(Datos!E71))),"",Datos!E72/Datos!E71-1)</f>
        <v/>
      </c>
      <c r="F72" s="38">
        <f>IF($A72="","",COUNT(B72:E72))</f>
        <v/>
      </c>
      <c r="G72" s="37">
        <f>IF($A72="","",IF(F72&gt;=MIN_BANCOS,AVERAGE(B72:E72),""))</f>
        <v/>
      </c>
      <c r="H72" s="37">
        <f>IF(OR($A72="",NOT(ISNUMBER(Datos!F72)),NOT(ISNUMBER(Datos!F71))),"",Datos!F72/Datos!F71-1)</f>
        <v/>
      </c>
      <c r="I72" s="39">
        <f>IF($A72="","",IF(ISNUMBER(Datos!G72),Datos!G72,I71))</f>
        <v/>
      </c>
      <c r="J72" s="40">
        <f>IF($A72="","",IF(ISNUMBER(I71),LN(1+I71/100/12),0))</f>
        <v/>
      </c>
      <c r="K72" s="40">
        <f>IF(ISNUMBER(G72),LN(1+G72)-J72,"")</f>
        <v/>
      </c>
      <c r="L72" s="40">
        <f>IF(ISNUMBER(H72),LN(1+H72)-J72,"")</f>
        <v/>
      </c>
      <c r="M72" s="38">
        <f>IF(ISNUMBER(K72),1,0)</f>
        <v/>
      </c>
      <c r="N72" s="40">
        <f>IF(M72=1,K72,0)</f>
        <v/>
      </c>
      <c r="O72" s="38">
        <f>IF(ISNUMBER(L72),1,0)</f>
        <v/>
      </c>
      <c r="P72" s="40">
        <f>IF(O72=1,L72,0)</f>
        <v/>
      </c>
      <c r="Q72" s="38">
        <f>M72*O72</f>
        <v/>
      </c>
      <c r="R72" s="38">
        <f>SUM(Q36:Q71)</f>
        <v/>
      </c>
      <c r="S72" s="41">
        <f>IF(OR($A72="",R72&lt;MIN_OBS_ROLL),"",(SUMPRODUCT(Q36:Q71,N36:N71,P36:P71)/R72-SUMPRODUCT(Q36:Q71,N36:N71)/R72*SUMPRODUCT(Q36:Q71,P36:P71)/R72)*R72/(R72-1))</f>
        <v/>
      </c>
      <c r="T72" s="38">
        <f>SUM(O36:O71)</f>
        <v/>
      </c>
      <c r="U72" s="41">
        <f>IF(OR($A72="",T72&lt;MIN_OBS_ROLL),"",SUMPRODUCT(O36:O71,(P36:P71-SUMPRODUCT(O36:O71,P36:P71)/T72)^2)/(T72-1))</f>
        <v/>
      </c>
      <c r="V72" s="40">
        <f>IF(OR(S72="",U72=""),"",S72/U72)</f>
        <v/>
      </c>
      <c r="W72" s="40">
        <f>IF(AND(ISNUMBER(K72),ISNUMBER(L72),ISNUMBER(V72)),K72-V72*L72,"")</f>
        <v/>
      </c>
      <c r="X72" s="40">
        <f>IF(OR($A72="",NOT(ISNUMBER(Datos!H72)),NOT(ISNUMBER(Datos!H71))),"",LN(Datos!H72)-LN(Datos!H71))</f>
        <v/>
      </c>
      <c r="Y72" s="38">
        <f>IF(ISNUMBER(W72),1,0)</f>
        <v/>
      </c>
      <c r="Z72" s="40">
        <f>IF(Y72=1,W72,0)</f>
        <v/>
      </c>
      <c r="AA72" s="38">
        <f>IF(ISNUMBER(X72),1,0)</f>
        <v/>
      </c>
      <c r="AB72" s="40">
        <f>IF(AA72=1,X72,0)</f>
        <v/>
      </c>
      <c r="AC72" s="38">
        <f>Y72*AA72</f>
        <v/>
      </c>
      <c r="AD72" s="38">
        <f>SUM(AC36:AC71)</f>
        <v/>
      </c>
      <c r="AE72" s="41">
        <f>IF(OR($A72="",AD72&lt;MIN_OBS_ROLL),"",(SUMPRODUCT(AC36:AC71,Z36:Z71,AB36:AB71)/AD72-SUMPRODUCT(AC36:AC71,Z36:Z71)/AD72*SUMPRODUCT(AC36:AC71,AB36:AB71)/AD72)*AD72/(AD72-1))</f>
        <v/>
      </c>
      <c r="AF72" s="38">
        <f>SUM(AA36:AA71)</f>
        <v/>
      </c>
      <c r="AG72" s="41">
        <f>IF(OR($A72="",AF72&lt;MIN_OBS_ROLL),"",SUMPRODUCT(AA36:AA71,(AB36:AB71-SUMPRODUCT(AA36:AA71,AB36:AB71)/AF72)^2)/(AF72-1))</f>
        <v/>
      </c>
      <c r="AH72" s="38">
        <f>SUM(Y36:Y71)</f>
        <v/>
      </c>
      <c r="AI72" s="40">
        <f>IF(OR($A72="",AH72&lt;MIN_OBS_ROLL),"",SUMPRODUCT(Y36:Y71,Z36:Z71)/AH72)</f>
        <v/>
      </c>
      <c r="AJ72" s="40">
        <f>IF(OR($A72="",AF72&lt;MIN_OBS_ROLL),"",SUMPRODUCT(AA36:AA71,AB36:AB71)/AF72)</f>
        <v/>
      </c>
      <c r="AK72" s="40">
        <f>IF(OR(AE72="",AG72=""),"",AE72/AG72)</f>
        <v/>
      </c>
      <c r="AL72" s="40">
        <f>IF(OR(AI72="",AK72="",AJ72=""),"",AI72-AK72*AJ72)</f>
        <v/>
      </c>
      <c r="AM72" s="40">
        <f>IF(AND(ISNUMBER(W72),ISNUMBER(X72),ISNUMBER(AK72),ISNUMBER(AL72)),W72-(AL72+AK72*X72),"")</f>
        <v/>
      </c>
      <c r="AN72" s="38">
        <f>IF(ISNUMBER(AM72),1,0)</f>
        <v/>
      </c>
      <c r="AO72" s="40">
        <f>IF(AN72=1,AM72,0)</f>
        <v/>
      </c>
      <c r="AP72" s="40">
        <f>IF(SUM(AN70:AN72)=3,SUM(AO70:AO72),"")</f>
        <v/>
      </c>
      <c r="AQ72" s="38">
        <f>IF(ISNUMBER(AP72),1,0)</f>
        <v/>
      </c>
      <c r="AR72" s="40">
        <f>IF(AQ72=1,AP72,0)</f>
        <v/>
      </c>
      <c r="AS72" s="38">
        <f>SUM(AQ$5:AQ72)</f>
        <v/>
      </c>
      <c r="AT72" s="40">
        <f>IF(AS72&gt;=MIN_OBS_Z,SUMPRODUCT(AQ$5:AQ72,AR$5:AR72)/AS72,"")</f>
        <v/>
      </c>
      <c r="AU72" s="40">
        <f>IF(AS72&gt;=MIN_OBS_Z,SQRT(SUMPRODUCT(AQ$5:AQ72,(AR$5:AR72-AT72)^2)/(AS72-1)),"")</f>
        <v/>
      </c>
      <c r="AV72" s="40">
        <f>IF(AND(AQ72=1,ISNUMBER(AT72)),MAX(-Z_CLIP,MIN(Z_CLIP,(AR72-AT72)/AU72)),"")</f>
        <v/>
      </c>
      <c r="AW72" s="40">
        <f>IF(ISNUMBER(AV72),-AV72,"")</f>
        <v/>
      </c>
      <c r="AX72" s="40">
        <f>IF(ISNUMBER(AW72),1+AMPLITUD*TANH(AW72),"")</f>
        <v/>
      </c>
      <c r="AY72" s="40">
        <f>IF($A72="","",IF(COUNT(AX70:AX72)&gt;0,AVERAGE(AX70:AX72),""))</f>
        <v/>
      </c>
      <c r="AZ72" s="40">
        <f>IF(ISNUMBER(AY72),AY72-1,"")</f>
        <v/>
      </c>
      <c r="BA72" s="40">
        <f>IF(AND(ISNUMBER(AZ71),ISNUMBER(W72)),AZ71*W_BANCOS*W72,"")</f>
        <v/>
      </c>
      <c r="BB72" s="40">
        <f>IF(AND(ISNUMBER(AZ71),ISNUMBER(AZ70)),ABS(AZ71-AZ70)*W_BANCOS*COSTO,0)</f>
        <v/>
      </c>
      <c r="BC72" s="40">
        <f>IF(ISNUMBER(BA72),BA72-BB72,"")</f>
        <v/>
      </c>
      <c r="BD72" s="42">
        <f>IF(ISNUMBER(BC72),IF(A72&lt;=FECHA_ERA,"A","B"),"")</f>
        <v/>
      </c>
      <c r="BE72" s="40">
        <f>IF(BD72="A",BC72,"")</f>
        <v/>
      </c>
      <c r="BF72" s="40">
        <f>IF(BD72="B",BC72,"")</f>
        <v/>
      </c>
      <c r="BG72" s="38">
        <f>IF(AND(ISNUMBER(BC72),ISNUMBER(A72)),IF(A72&gt;=INICIO_VIVO,1,0),0)</f>
        <v/>
      </c>
      <c r="BH72" s="40">
        <f>IF(BG72=1,BC72,"")</f>
        <v/>
      </c>
      <c r="BI72" s="38">
        <f>IF(ISNUMBER(AY72),ROW(),0)</f>
        <v/>
      </c>
      <c r="BJ72" s="43">
        <f>IF(ISNUMBER(BC72),SUM(BC$5:BC72)*10000,NA())</f>
        <v/>
      </c>
      <c r="BK72" s="43">
        <f>IF(BG72=1,SUM(BH$5:BH72)*10000,NA())</f>
        <v/>
      </c>
      <c r="BL72" s="44">
        <f>IF(ISNUMBER(AY72),AY72,NA())</f>
        <v/>
      </c>
    </row>
    <row r="73">
      <c r="A73" s="36">
        <f>IF(Datos!A73="","",Datos!A73)</f>
        <v/>
      </c>
      <c r="B73" s="37">
        <f>IF(OR($A73="",NOT(ISNUMBER(Datos!B73)),NOT(ISNUMBER(Datos!B72))),"",Datos!B73/Datos!B72-1)</f>
        <v/>
      </c>
      <c r="C73" s="37">
        <f>IF(OR($A73="",NOT(ISNUMBER(Datos!C73)),NOT(ISNUMBER(Datos!C72))),"",Datos!C73/Datos!C72-1)</f>
        <v/>
      </c>
      <c r="D73" s="37">
        <f>IF(OR($A73="",NOT(ISNUMBER(Datos!D73)),NOT(ISNUMBER(Datos!D72))),"",Datos!D73/Datos!D72-1)</f>
        <v/>
      </c>
      <c r="E73" s="37">
        <f>IF(OR($A73="",NOT(ISNUMBER(Datos!E73)),NOT(ISNUMBER(Datos!E72))),"",Datos!E73/Datos!E72-1)</f>
        <v/>
      </c>
      <c r="F73" s="38">
        <f>IF($A73="","",COUNT(B73:E73))</f>
        <v/>
      </c>
      <c r="G73" s="37">
        <f>IF($A73="","",IF(F73&gt;=MIN_BANCOS,AVERAGE(B73:E73),""))</f>
        <v/>
      </c>
      <c r="H73" s="37">
        <f>IF(OR($A73="",NOT(ISNUMBER(Datos!F73)),NOT(ISNUMBER(Datos!F72))),"",Datos!F73/Datos!F72-1)</f>
        <v/>
      </c>
      <c r="I73" s="39">
        <f>IF($A73="","",IF(ISNUMBER(Datos!G73),Datos!G73,I72))</f>
        <v/>
      </c>
      <c r="J73" s="40">
        <f>IF($A73="","",IF(ISNUMBER(I72),LN(1+I72/100/12),0))</f>
        <v/>
      </c>
      <c r="K73" s="40">
        <f>IF(ISNUMBER(G73),LN(1+G73)-J73,"")</f>
        <v/>
      </c>
      <c r="L73" s="40">
        <f>IF(ISNUMBER(H73),LN(1+H73)-J73,"")</f>
        <v/>
      </c>
      <c r="M73" s="38">
        <f>IF(ISNUMBER(K73),1,0)</f>
        <v/>
      </c>
      <c r="N73" s="40">
        <f>IF(M73=1,K73,0)</f>
        <v/>
      </c>
      <c r="O73" s="38">
        <f>IF(ISNUMBER(L73),1,0)</f>
        <v/>
      </c>
      <c r="P73" s="40">
        <f>IF(O73=1,L73,0)</f>
        <v/>
      </c>
      <c r="Q73" s="38">
        <f>M73*O73</f>
        <v/>
      </c>
      <c r="R73" s="38">
        <f>SUM(Q37:Q72)</f>
        <v/>
      </c>
      <c r="S73" s="41">
        <f>IF(OR($A73="",R73&lt;MIN_OBS_ROLL),"",(SUMPRODUCT(Q37:Q72,N37:N72,P37:P72)/R73-SUMPRODUCT(Q37:Q72,N37:N72)/R73*SUMPRODUCT(Q37:Q72,P37:P72)/R73)*R73/(R73-1))</f>
        <v/>
      </c>
      <c r="T73" s="38">
        <f>SUM(O37:O72)</f>
        <v/>
      </c>
      <c r="U73" s="41">
        <f>IF(OR($A73="",T73&lt;MIN_OBS_ROLL),"",SUMPRODUCT(O37:O72,(P37:P72-SUMPRODUCT(O37:O72,P37:P72)/T73)^2)/(T73-1))</f>
        <v/>
      </c>
      <c r="V73" s="40">
        <f>IF(OR(S73="",U73=""),"",S73/U73)</f>
        <v/>
      </c>
      <c r="W73" s="40">
        <f>IF(AND(ISNUMBER(K73),ISNUMBER(L73),ISNUMBER(V73)),K73-V73*L73,"")</f>
        <v/>
      </c>
      <c r="X73" s="40">
        <f>IF(OR($A73="",NOT(ISNUMBER(Datos!H73)),NOT(ISNUMBER(Datos!H72))),"",LN(Datos!H73)-LN(Datos!H72))</f>
        <v/>
      </c>
      <c r="Y73" s="38">
        <f>IF(ISNUMBER(W73),1,0)</f>
        <v/>
      </c>
      <c r="Z73" s="40">
        <f>IF(Y73=1,W73,0)</f>
        <v/>
      </c>
      <c r="AA73" s="38">
        <f>IF(ISNUMBER(X73),1,0)</f>
        <v/>
      </c>
      <c r="AB73" s="40">
        <f>IF(AA73=1,X73,0)</f>
        <v/>
      </c>
      <c r="AC73" s="38">
        <f>Y73*AA73</f>
        <v/>
      </c>
      <c r="AD73" s="38">
        <f>SUM(AC37:AC72)</f>
        <v/>
      </c>
      <c r="AE73" s="41">
        <f>IF(OR($A73="",AD73&lt;MIN_OBS_ROLL),"",(SUMPRODUCT(AC37:AC72,Z37:Z72,AB37:AB72)/AD73-SUMPRODUCT(AC37:AC72,Z37:Z72)/AD73*SUMPRODUCT(AC37:AC72,AB37:AB72)/AD73)*AD73/(AD73-1))</f>
        <v/>
      </c>
      <c r="AF73" s="38">
        <f>SUM(AA37:AA72)</f>
        <v/>
      </c>
      <c r="AG73" s="41">
        <f>IF(OR($A73="",AF73&lt;MIN_OBS_ROLL),"",SUMPRODUCT(AA37:AA72,(AB37:AB72-SUMPRODUCT(AA37:AA72,AB37:AB72)/AF73)^2)/(AF73-1))</f>
        <v/>
      </c>
      <c r="AH73" s="38">
        <f>SUM(Y37:Y72)</f>
        <v/>
      </c>
      <c r="AI73" s="40">
        <f>IF(OR($A73="",AH73&lt;MIN_OBS_ROLL),"",SUMPRODUCT(Y37:Y72,Z37:Z72)/AH73)</f>
        <v/>
      </c>
      <c r="AJ73" s="40">
        <f>IF(OR($A73="",AF73&lt;MIN_OBS_ROLL),"",SUMPRODUCT(AA37:AA72,AB37:AB72)/AF73)</f>
        <v/>
      </c>
      <c r="AK73" s="40">
        <f>IF(OR(AE73="",AG73=""),"",AE73/AG73)</f>
        <v/>
      </c>
      <c r="AL73" s="40">
        <f>IF(OR(AI73="",AK73="",AJ73=""),"",AI73-AK73*AJ73)</f>
        <v/>
      </c>
      <c r="AM73" s="40">
        <f>IF(AND(ISNUMBER(W73),ISNUMBER(X73),ISNUMBER(AK73),ISNUMBER(AL73)),W73-(AL73+AK73*X73),"")</f>
        <v/>
      </c>
      <c r="AN73" s="38">
        <f>IF(ISNUMBER(AM73),1,0)</f>
        <v/>
      </c>
      <c r="AO73" s="40">
        <f>IF(AN73=1,AM73,0)</f>
        <v/>
      </c>
      <c r="AP73" s="40">
        <f>IF(SUM(AN71:AN73)=3,SUM(AO71:AO73),"")</f>
        <v/>
      </c>
      <c r="AQ73" s="38">
        <f>IF(ISNUMBER(AP73),1,0)</f>
        <v/>
      </c>
      <c r="AR73" s="40">
        <f>IF(AQ73=1,AP73,0)</f>
        <v/>
      </c>
      <c r="AS73" s="38">
        <f>SUM(AQ$5:AQ73)</f>
        <v/>
      </c>
      <c r="AT73" s="40">
        <f>IF(AS73&gt;=MIN_OBS_Z,SUMPRODUCT(AQ$5:AQ73,AR$5:AR73)/AS73,"")</f>
        <v/>
      </c>
      <c r="AU73" s="40">
        <f>IF(AS73&gt;=MIN_OBS_Z,SQRT(SUMPRODUCT(AQ$5:AQ73,(AR$5:AR73-AT73)^2)/(AS73-1)),"")</f>
        <v/>
      </c>
      <c r="AV73" s="40">
        <f>IF(AND(AQ73=1,ISNUMBER(AT73)),MAX(-Z_CLIP,MIN(Z_CLIP,(AR73-AT73)/AU73)),"")</f>
        <v/>
      </c>
      <c r="AW73" s="40">
        <f>IF(ISNUMBER(AV73),-AV73,"")</f>
        <v/>
      </c>
      <c r="AX73" s="40">
        <f>IF(ISNUMBER(AW73),1+AMPLITUD*TANH(AW73),"")</f>
        <v/>
      </c>
      <c r="AY73" s="40">
        <f>IF($A73="","",IF(COUNT(AX71:AX73)&gt;0,AVERAGE(AX71:AX73),""))</f>
        <v/>
      </c>
      <c r="AZ73" s="40">
        <f>IF(ISNUMBER(AY73),AY73-1,"")</f>
        <v/>
      </c>
      <c r="BA73" s="40">
        <f>IF(AND(ISNUMBER(AZ72),ISNUMBER(W73)),AZ72*W_BANCOS*W73,"")</f>
        <v/>
      </c>
      <c r="BB73" s="40">
        <f>IF(AND(ISNUMBER(AZ72),ISNUMBER(AZ71)),ABS(AZ72-AZ71)*W_BANCOS*COSTO,0)</f>
        <v/>
      </c>
      <c r="BC73" s="40">
        <f>IF(ISNUMBER(BA73),BA73-BB73,"")</f>
        <v/>
      </c>
      <c r="BD73" s="42">
        <f>IF(ISNUMBER(BC73),IF(A73&lt;=FECHA_ERA,"A","B"),"")</f>
        <v/>
      </c>
      <c r="BE73" s="40">
        <f>IF(BD73="A",BC73,"")</f>
        <v/>
      </c>
      <c r="BF73" s="40">
        <f>IF(BD73="B",BC73,"")</f>
        <v/>
      </c>
      <c r="BG73" s="38">
        <f>IF(AND(ISNUMBER(BC73),ISNUMBER(A73)),IF(A73&gt;=INICIO_VIVO,1,0),0)</f>
        <v/>
      </c>
      <c r="BH73" s="40">
        <f>IF(BG73=1,BC73,"")</f>
        <v/>
      </c>
      <c r="BI73" s="38">
        <f>IF(ISNUMBER(AY73),ROW(),0)</f>
        <v/>
      </c>
      <c r="BJ73" s="43">
        <f>IF(ISNUMBER(BC73),SUM(BC$5:BC73)*10000,NA())</f>
        <v/>
      </c>
      <c r="BK73" s="43">
        <f>IF(BG73=1,SUM(BH$5:BH73)*10000,NA())</f>
        <v/>
      </c>
      <c r="BL73" s="44">
        <f>IF(ISNUMBER(AY73),AY73,NA())</f>
        <v/>
      </c>
    </row>
    <row r="74">
      <c r="A74" s="36">
        <f>IF(Datos!A74="","",Datos!A74)</f>
        <v/>
      </c>
      <c r="B74" s="37">
        <f>IF(OR($A74="",NOT(ISNUMBER(Datos!B74)),NOT(ISNUMBER(Datos!B73))),"",Datos!B74/Datos!B73-1)</f>
        <v/>
      </c>
      <c r="C74" s="37">
        <f>IF(OR($A74="",NOT(ISNUMBER(Datos!C74)),NOT(ISNUMBER(Datos!C73))),"",Datos!C74/Datos!C73-1)</f>
        <v/>
      </c>
      <c r="D74" s="37">
        <f>IF(OR($A74="",NOT(ISNUMBER(Datos!D74)),NOT(ISNUMBER(Datos!D73))),"",Datos!D74/Datos!D73-1)</f>
        <v/>
      </c>
      <c r="E74" s="37">
        <f>IF(OR($A74="",NOT(ISNUMBER(Datos!E74)),NOT(ISNUMBER(Datos!E73))),"",Datos!E74/Datos!E73-1)</f>
        <v/>
      </c>
      <c r="F74" s="38">
        <f>IF($A74="","",COUNT(B74:E74))</f>
        <v/>
      </c>
      <c r="G74" s="37">
        <f>IF($A74="","",IF(F74&gt;=MIN_BANCOS,AVERAGE(B74:E74),""))</f>
        <v/>
      </c>
      <c r="H74" s="37">
        <f>IF(OR($A74="",NOT(ISNUMBER(Datos!F74)),NOT(ISNUMBER(Datos!F73))),"",Datos!F74/Datos!F73-1)</f>
        <v/>
      </c>
      <c r="I74" s="39">
        <f>IF($A74="","",IF(ISNUMBER(Datos!G74),Datos!G74,I73))</f>
        <v/>
      </c>
      <c r="J74" s="40">
        <f>IF($A74="","",IF(ISNUMBER(I73),LN(1+I73/100/12),0))</f>
        <v/>
      </c>
      <c r="K74" s="40">
        <f>IF(ISNUMBER(G74),LN(1+G74)-J74,"")</f>
        <v/>
      </c>
      <c r="L74" s="40">
        <f>IF(ISNUMBER(H74),LN(1+H74)-J74,"")</f>
        <v/>
      </c>
      <c r="M74" s="38">
        <f>IF(ISNUMBER(K74),1,0)</f>
        <v/>
      </c>
      <c r="N74" s="40">
        <f>IF(M74=1,K74,0)</f>
        <v/>
      </c>
      <c r="O74" s="38">
        <f>IF(ISNUMBER(L74),1,0)</f>
        <v/>
      </c>
      <c r="P74" s="40">
        <f>IF(O74=1,L74,0)</f>
        <v/>
      </c>
      <c r="Q74" s="38">
        <f>M74*O74</f>
        <v/>
      </c>
      <c r="R74" s="38">
        <f>SUM(Q38:Q73)</f>
        <v/>
      </c>
      <c r="S74" s="41">
        <f>IF(OR($A74="",R74&lt;MIN_OBS_ROLL),"",(SUMPRODUCT(Q38:Q73,N38:N73,P38:P73)/R74-SUMPRODUCT(Q38:Q73,N38:N73)/R74*SUMPRODUCT(Q38:Q73,P38:P73)/R74)*R74/(R74-1))</f>
        <v/>
      </c>
      <c r="T74" s="38">
        <f>SUM(O38:O73)</f>
        <v/>
      </c>
      <c r="U74" s="41">
        <f>IF(OR($A74="",T74&lt;MIN_OBS_ROLL),"",SUMPRODUCT(O38:O73,(P38:P73-SUMPRODUCT(O38:O73,P38:P73)/T74)^2)/(T74-1))</f>
        <v/>
      </c>
      <c r="V74" s="40">
        <f>IF(OR(S74="",U74=""),"",S74/U74)</f>
        <v/>
      </c>
      <c r="W74" s="40">
        <f>IF(AND(ISNUMBER(K74),ISNUMBER(L74),ISNUMBER(V74)),K74-V74*L74,"")</f>
        <v/>
      </c>
      <c r="X74" s="40">
        <f>IF(OR($A74="",NOT(ISNUMBER(Datos!H74)),NOT(ISNUMBER(Datos!H73))),"",LN(Datos!H74)-LN(Datos!H73))</f>
        <v/>
      </c>
      <c r="Y74" s="38">
        <f>IF(ISNUMBER(W74),1,0)</f>
        <v/>
      </c>
      <c r="Z74" s="40">
        <f>IF(Y74=1,W74,0)</f>
        <v/>
      </c>
      <c r="AA74" s="38">
        <f>IF(ISNUMBER(X74),1,0)</f>
        <v/>
      </c>
      <c r="AB74" s="40">
        <f>IF(AA74=1,X74,0)</f>
        <v/>
      </c>
      <c r="AC74" s="38">
        <f>Y74*AA74</f>
        <v/>
      </c>
      <c r="AD74" s="38">
        <f>SUM(AC38:AC73)</f>
        <v/>
      </c>
      <c r="AE74" s="41">
        <f>IF(OR($A74="",AD74&lt;MIN_OBS_ROLL),"",(SUMPRODUCT(AC38:AC73,Z38:Z73,AB38:AB73)/AD74-SUMPRODUCT(AC38:AC73,Z38:Z73)/AD74*SUMPRODUCT(AC38:AC73,AB38:AB73)/AD74)*AD74/(AD74-1))</f>
        <v/>
      </c>
      <c r="AF74" s="38">
        <f>SUM(AA38:AA73)</f>
        <v/>
      </c>
      <c r="AG74" s="41">
        <f>IF(OR($A74="",AF74&lt;MIN_OBS_ROLL),"",SUMPRODUCT(AA38:AA73,(AB38:AB73-SUMPRODUCT(AA38:AA73,AB38:AB73)/AF74)^2)/(AF74-1))</f>
        <v/>
      </c>
      <c r="AH74" s="38">
        <f>SUM(Y38:Y73)</f>
        <v/>
      </c>
      <c r="AI74" s="40">
        <f>IF(OR($A74="",AH74&lt;MIN_OBS_ROLL),"",SUMPRODUCT(Y38:Y73,Z38:Z73)/AH74)</f>
        <v/>
      </c>
      <c r="AJ74" s="40">
        <f>IF(OR($A74="",AF74&lt;MIN_OBS_ROLL),"",SUMPRODUCT(AA38:AA73,AB38:AB73)/AF74)</f>
        <v/>
      </c>
      <c r="AK74" s="40">
        <f>IF(OR(AE74="",AG74=""),"",AE74/AG74)</f>
        <v/>
      </c>
      <c r="AL74" s="40">
        <f>IF(OR(AI74="",AK74="",AJ74=""),"",AI74-AK74*AJ74)</f>
        <v/>
      </c>
      <c r="AM74" s="40">
        <f>IF(AND(ISNUMBER(W74),ISNUMBER(X74),ISNUMBER(AK74),ISNUMBER(AL74)),W74-(AL74+AK74*X74),"")</f>
        <v/>
      </c>
      <c r="AN74" s="38">
        <f>IF(ISNUMBER(AM74),1,0)</f>
        <v/>
      </c>
      <c r="AO74" s="40">
        <f>IF(AN74=1,AM74,0)</f>
        <v/>
      </c>
      <c r="AP74" s="40">
        <f>IF(SUM(AN72:AN74)=3,SUM(AO72:AO74),"")</f>
        <v/>
      </c>
      <c r="AQ74" s="38">
        <f>IF(ISNUMBER(AP74),1,0)</f>
        <v/>
      </c>
      <c r="AR74" s="40">
        <f>IF(AQ74=1,AP74,0)</f>
        <v/>
      </c>
      <c r="AS74" s="38">
        <f>SUM(AQ$5:AQ74)</f>
        <v/>
      </c>
      <c r="AT74" s="40">
        <f>IF(AS74&gt;=MIN_OBS_Z,SUMPRODUCT(AQ$5:AQ74,AR$5:AR74)/AS74,"")</f>
        <v/>
      </c>
      <c r="AU74" s="40">
        <f>IF(AS74&gt;=MIN_OBS_Z,SQRT(SUMPRODUCT(AQ$5:AQ74,(AR$5:AR74-AT74)^2)/(AS74-1)),"")</f>
        <v/>
      </c>
      <c r="AV74" s="40">
        <f>IF(AND(AQ74=1,ISNUMBER(AT74)),MAX(-Z_CLIP,MIN(Z_CLIP,(AR74-AT74)/AU74)),"")</f>
        <v/>
      </c>
      <c r="AW74" s="40">
        <f>IF(ISNUMBER(AV74),-AV74,"")</f>
        <v/>
      </c>
      <c r="AX74" s="40">
        <f>IF(ISNUMBER(AW74),1+AMPLITUD*TANH(AW74),"")</f>
        <v/>
      </c>
      <c r="AY74" s="40">
        <f>IF($A74="","",IF(COUNT(AX72:AX74)&gt;0,AVERAGE(AX72:AX74),""))</f>
        <v/>
      </c>
      <c r="AZ74" s="40">
        <f>IF(ISNUMBER(AY74),AY74-1,"")</f>
        <v/>
      </c>
      <c r="BA74" s="40">
        <f>IF(AND(ISNUMBER(AZ73),ISNUMBER(W74)),AZ73*W_BANCOS*W74,"")</f>
        <v/>
      </c>
      <c r="BB74" s="40">
        <f>IF(AND(ISNUMBER(AZ73),ISNUMBER(AZ72)),ABS(AZ73-AZ72)*W_BANCOS*COSTO,0)</f>
        <v/>
      </c>
      <c r="BC74" s="40">
        <f>IF(ISNUMBER(BA74),BA74-BB74,"")</f>
        <v/>
      </c>
      <c r="BD74" s="42">
        <f>IF(ISNUMBER(BC74),IF(A74&lt;=FECHA_ERA,"A","B"),"")</f>
        <v/>
      </c>
      <c r="BE74" s="40">
        <f>IF(BD74="A",BC74,"")</f>
        <v/>
      </c>
      <c r="BF74" s="40">
        <f>IF(BD74="B",BC74,"")</f>
        <v/>
      </c>
      <c r="BG74" s="38">
        <f>IF(AND(ISNUMBER(BC74),ISNUMBER(A74)),IF(A74&gt;=INICIO_VIVO,1,0),0)</f>
        <v/>
      </c>
      <c r="BH74" s="40">
        <f>IF(BG74=1,BC74,"")</f>
        <v/>
      </c>
      <c r="BI74" s="38">
        <f>IF(ISNUMBER(AY74),ROW(),0)</f>
        <v/>
      </c>
      <c r="BJ74" s="43">
        <f>IF(ISNUMBER(BC74),SUM(BC$5:BC74)*10000,NA())</f>
        <v/>
      </c>
      <c r="BK74" s="43">
        <f>IF(BG74=1,SUM(BH$5:BH74)*10000,NA())</f>
        <v/>
      </c>
      <c r="BL74" s="44">
        <f>IF(ISNUMBER(AY74),AY74,NA())</f>
        <v/>
      </c>
    </row>
    <row r="75">
      <c r="A75" s="36">
        <f>IF(Datos!A75="","",Datos!A75)</f>
        <v/>
      </c>
      <c r="B75" s="37">
        <f>IF(OR($A75="",NOT(ISNUMBER(Datos!B75)),NOT(ISNUMBER(Datos!B74))),"",Datos!B75/Datos!B74-1)</f>
        <v/>
      </c>
      <c r="C75" s="37">
        <f>IF(OR($A75="",NOT(ISNUMBER(Datos!C75)),NOT(ISNUMBER(Datos!C74))),"",Datos!C75/Datos!C74-1)</f>
        <v/>
      </c>
      <c r="D75" s="37">
        <f>IF(OR($A75="",NOT(ISNUMBER(Datos!D75)),NOT(ISNUMBER(Datos!D74))),"",Datos!D75/Datos!D74-1)</f>
        <v/>
      </c>
      <c r="E75" s="37">
        <f>IF(OR($A75="",NOT(ISNUMBER(Datos!E75)),NOT(ISNUMBER(Datos!E74))),"",Datos!E75/Datos!E74-1)</f>
        <v/>
      </c>
      <c r="F75" s="38">
        <f>IF($A75="","",COUNT(B75:E75))</f>
        <v/>
      </c>
      <c r="G75" s="37">
        <f>IF($A75="","",IF(F75&gt;=MIN_BANCOS,AVERAGE(B75:E75),""))</f>
        <v/>
      </c>
      <c r="H75" s="37">
        <f>IF(OR($A75="",NOT(ISNUMBER(Datos!F75)),NOT(ISNUMBER(Datos!F74))),"",Datos!F75/Datos!F74-1)</f>
        <v/>
      </c>
      <c r="I75" s="39">
        <f>IF($A75="","",IF(ISNUMBER(Datos!G75),Datos!G75,I74))</f>
        <v/>
      </c>
      <c r="J75" s="40">
        <f>IF($A75="","",IF(ISNUMBER(I74),LN(1+I74/100/12),0))</f>
        <v/>
      </c>
      <c r="K75" s="40">
        <f>IF(ISNUMBER(G75),LN(1+G75)-J75,"")</f>
        <v/>
      </c>
      <c r="L75" s="40">
        <f>IF(ISNUMBER(H75),LN(1+H75)-J75,"")</f>
        <v/>
      </c>
      <c r="M75" s="38">
        <f>IF(ISNUMBER(K75),1,0)</f>
        <v/>
      </c>
      <c r="N75" s="40">
        <f>IF(M75=1,K75,0)</f>
        <v/>
      </c>
      <c r="O75" s="38">
        <f>IF(ISNUMBER(L75),1,0)</f>
        <v/>
      </c>
      <c r="P75" s="40">
        <f>IF(O75=1,L75,0)</f>
        <v/>
      </c>
      <c r="Q75" s="38">
        <f>M75*O75</f>
        <v/>
      </c>
      <c r="R75" s="38">
        <f>SUM(Q39:Q74)</f>
        <v/>
      </c>
      <c r="S75" s="41">
        <f>IF(OR($A75="",R75&lt;MIN_OBS_ROLL),"",(SUMPRODUCT(Q39:Q74,N39:N74,P39:P74)/R75-SUMPRODUCT(Q39:Q74,N39:N74)/R75*SUMPRODUCT(Q39:Q74,P39:P74)/R75)*R75/(R75-1))</f>
        <v/>
      </c>
      <c r="T75" s="38">
        <f>SUM(O39:O74)</f>
        <v/>
      </c>
      <c r="U75" s="41">
        <f>IF(OR($A75="",T75&lt;MIN_OBS_ROLL),"",SUMPRODUCT(O39:O74,(P39:P74-SUMPRODUCT(O39:O74,P39:P74)/T75)^2)/(T75-1))</f>
        <v/>
      </c>
      <c r="V75" s="40">
        <f>IF(OR(S75="",U75=""),"",S75/U75)</f>
        <v/>
      </c>
      <c r="W75" s="40">
        <f>IF(AND(ISNUMBER(K75),ISNUMBER(L75),ISNUMBER(V75)),K75-V75*L75,"")</f>
        <v/>
      </c>
      <c r="X75" s="40">
        <f>IF(OR($A75="",NOT(ISNUMBER(Datos!H75)),NOT(ISNUMBER(Datos!H74))),"",LN(Datos!H75)-LN(Datos!H74))</f>
        <v/>
      </c>
      <c r="Y75" s="38">
        <f>IF(ISNUMBER(W75),1,0)</f>
        <v/>
      </c>
      <c r="Z75" s="40">
        <f>IF(Y75=1,W75,0)</f>
        <v/>
      </c>
      <c r="AA75" s="38">
        <f>IF(ISNUMBER(X75),1,0)</f>
        <v/>
      </c>
      <c r="AB75" s="40">
        <f>IF(AA75=1,X75,0)</f>
        <v/>
      </c>
      <c r="AC75" s="38">
        <f>Y75*AA75</f>
        <v/>
      </c>
      <c r="AD75" s="38">
        <f>SUM(AC39:AC74)</f>
        <v/>
      </c>
      <c r="AE75" s="41">
        <f>IF(OR($A75="",AD75&lt;MIN_OBS_ROLL),"",(SUMPRODUCT(AC39:AC74,Z39:Z74,AB39:AB74)/AD75-SUMPRODUCT(AC39:AC74,Z39:Z74)/AD75*SUMPRODUCT(AC39:AC74,AB39:AB74)/AD75)*AD75/(AD75-1))</f>
        <v/>
      </c>
      <c r="AF75" s="38">
        <f>SUM(AA39:AA74)</f>
        <v/>
      </c>
      <c r="AG75" s="41">
        <f>IF(OR($A75="",AF75&lt;MIN_OBS_ROLL),"",SUMPRODUCT(AA39:AA74,(AB39:AB74-SUMPRODUCT(AA39:AA74,AB39:AB74)/AF75)^2)/(AF75-1))</f>
        <v/>
      </c>
      <c r="AH75" s="38">
        <f>SUM(Y39:Y74)</f>
        <v/>
      </c>
      <c r="AI75" s="40">
        <f>IF(OR($A75="",AH75&lt;MIN_OBS_ROLL),"",SUMPRODUCT(Y39:Y74,Z39:Z74)/AH75)</f>
        <v/>
      </c>
      <c r="AJ75" s="40">
        <f>IF(OR($A75="",AF75&lt;MIN_OBS_ROLL),"",SUMPRODUCT(AA39:AA74,AB39:AB74)/AF75)</f>
        <v/>
      </c>
      <c r="AK75" s="40">
        <f>IF(OR(AE75="",AG75=""),"",AE75/AG75)</f>
        <v/>
      </c>
      <c r="AL75" s="40">
        <f>IF(OR(AI75="",AK75="",AJ75=""),"",AI75-AK75*AJ75)</f>
        <v/>
      </c>
      <c r="AM75" s="40">
        <f>IF(AND(ISNUMBER(W75),ISNUMBER(X75),ISNUMBER(AK75),ISNUMBER(AL75)),W75-(AL75+AK75*X75),"")</f>
        <v/>
      </c>
      <c r="AN75" s="38">
        <f>IF(ISNUMBER(AM75),1,0)</f>
        <v/>
      </c>
      <c r="AO75" s="40">
        <f>IF(AN75=1,AM75,0)</f>
        <v/>
      </c>
      <c r="AP75" s="40">
        <f>IF(SUM(AN73:AN75)=3,SUM(AO73:AO75),"")</f>
        <v/>
      </c>
      <c r="AQ75" s="38">
        <f>IF(ISNUMBER(AP75),1,0)</f>
        <v/>
      </c>
      <c r="AR75" s="40">
        <f>IF(AQ75=1,AP75,0)</f>
        <v/>
      </c>
      <c r="AS75" s="38">
        <f>SUM(AQ$5:AQ75)</f>
        <v/>
      </c>
      <c r="AT75" s="40">
        <f>IF(AS75&gt;=MIN_OBS_Z,SUMPRODUCT(AQ$5:AQ75,AR$5:AR75)/AS75,"")</f>
        <v/>
      </c>
      <c r="AU75" s="40">
        <f>IF(AS75&gt;=MIN_OBS_Z,SQRT(SUMPRODUCT(AQ$5:AQ75,(AR$5:AR75-AT75)^2)/(AS75-1)),"")</f>
        <v/>
      </c>
      <c r="AV75" s="40">
        <f>IF(AND(AQ75=1,ISNUMBER(AT75)),MAX(-Z_CLIP,MIN(Z_CLIP,(AR75-AT75)/AU75)),"")</f>
        <v/>
      </c>
      <c r="AW75" s="40">
        <f>IF(ISNUMBER(AV75),-AV75,"")</f>
        <v/>
      </c>
      <c r="AX75" s="40">
        <f>IF(ISNUMBER(AW75),1+AMPLITUD*TANH(AW75),"")</f>
        <v/>
      </c>
      <c r="AY75" s="40">
        <f>IF($A75="","",IF(COUNT(AX73:AX75)&gt;0,AVERAGE(AX73:AX75),""))</f>
        <v/>
      </c>
      <c r="AZ75" s="40">
        <f>IF(ISNUMBER(AY75),AY75-1,"")</f>
        <v/>
      </c>
      <c r="BA75" s="40">
        <f>IF(AND(ISNUMBER(AZ74),ISNUMBER(W75)),AZ74*W_BANCOS*W75,"")</f>
        <v/>
      </c>
      <c r="BB75" s="40">
        <f>IF(AND(ISNUMBER(AZ74),ISNUMBER(AZ73)),ABS(AZ74-AZ73)*W_BANCOS*COSTO,0)</f>
        <v/>
      </c>
      <c r="BC75" s="40">
        <f>IF(ISNUMBER(BA75),BA75-BB75,"")</f>
        <v/>
      </c>
      <c r="BD75" s="42">
        <f>IF(ISNUMBER(BC75),IF(A75&lt;=FECHA_ERA,"A","B"),"")</f>
        <v/>
      </c>
      <c r="BE75" s="40">
        <f>IF(BD75="A",BC75,"")</f>
        <v/>
      </c>
      <c r="BF75" s="40">
        <f>IF(BD75="B",BC75,"")</f>
        <v/>
      </c>
      <c r="BG75" s="38">
        <f>IF(AND(ISNUMBER(BC75),ISNUMBER(A75)),IF(A75&gt;=INICIO_VIVO,1,0),0)</f>
        <v/>
      </c>
      <c r="BH75" s="40">
        <f>IF(BG75=1,BC75,"")</f>
        <v/>
      </c>
      <c r="BI75" s="38">
        <f>IF(ISNUMBER(AY75),ROW(),0)</f>
        <v/>
      </c>
      <c r="BJ75" s="43">
        <f>IF(ISNUMBER(BC75),SUM(BC$5:BC75)*10000,NA())</f>
        <v/>
      </c>
      <c r="BK75" s="43">
        <f>IF(BG75=1,SUM(BH$5:BH75)*10000,NA())</f>
        <v/>
      </c>
      <c r="BL75" s="44">
        <f>IF(ISNUMBER(AY75),AY75,NA())</f>
        <v/>
      </c>
    </row>
    <row r="76">
      <c r="A76" s="36">
        <f>IF(Datos!A76="","",Datos!A76)</f>
        <v/>
      </c>
      <c r="B76" s="37">
        <f>IF(OR($A76="",NOT(ISNUMBER(Datos!B76)),NOT(ISNUMBER(Datos!B75))),"",Datos!B76/Datos!B75-1)</f>
        <v/>
      </c>
      <c r="C76" s="37">
        <f>IF(OR($A76="",NOT(ISNUMBER(Datos!C76)),NOT(ISNUMBER(Datos!C75))),"",Datos!C76/Datos!C75-1)</f>
        <v/>
      </c>
      <c r="D76" s="37">
        <f>IF(OR($A76="",NOT(ISNUMBER(Datos!D76)),NOT(ISNUMBER(Datos!D75))),"",Datos!D76/Datos!D75-1)</f>
        <v/>
      </c>
      <c r="E76" s="37">
        <f>IF(OR($A76="",NOT(ISNUMBER(Datos!E76)),NOT(ISNUMBER(Datos!E75))),"",Datos!E76/Datos!E75-1)</f>
        <v/>
      </c>
      <c r="F76" s="38">
        <f>IF($A76="","",COUNT(B76:E76))</f>
        <v/>
      </c>
      <c r="G76" s="37">
        <f>IF($A76="","",IF(F76&gt;=MIN_BANCOS,AVERAGE(B76:E76),""))</f>
        <v/>
      </c>
      <c r="H76" s="37">
        <f>IF(OR($A76="",NOT(ISNUMBER(Datos!F76)),NOT(ISNUMBER(Datos!F75))),"",Datos!F76/Datos!F75-1)</f>
        <v/>
      </c>
      <c r="I76" s="39">
        <f>IF($A76="","",IF(ISNUMBER(Datos!G76),Datos!G76,I75))</f>
        <v/>
      </c>
      <c r="J76" s="40">
        <f>IF($A76="","",IF(ISNUMBER(I75),LN(1+I75/100/12),0))</f>
        <v/>
      </c>
      <c r="K76" s="40">
        <f>IF(ISNUMBER(G76),LN(1+G76)-J76,"")</f>
        <v/>
      </c>
      <c r="L76" s="40">
        <f>IF(ISNUMBER(H76),LN(1+H76)-J76,"")</f>
        <v/>
      </c>
      <c r="M76" s="38">
        <f>IF(ISNUMBER(K76),1,0)</f>
        <v/>
      </c>
      <c r="N76" s="40">
        <f>IF(M76=1,K76,0)</f>
        <v/>
      </c>
      <c r="O76" s="38">
        <f>IF(ISNUMBER(L76),1,0)</f>
        <v/>
      </c>
      <c r="P76" s="40">
        <f>IF(O76=1,L76,0)</f>
        <v/>
      </c>
      <c r="Q76" s="38">
        <f>M76*O76</f>
        <v/>
      </c>
      <c r="R76" s="38">
        <f>SUM(Q40:Q75)</f>
        <v/>
      </c>
      <c r="S76" s="41">
        <f>IF(OR($A76="",R76&lt;MIN_OBS_ROLL),"",(SUMPRODUCT(Q40:Q75,N40:N75,P40:P75)/R76-SUMPRODUCT(Q40:Q75,N40:N75)/R76*SUMPRODUCT(Q40:Q75,P40:P75)/R76)*R76/(R76-1))</f>
        <v/>
      </c>
      <c r="T76" s="38">
        <f>SUM(O40:O75)</f>
        <v/>
      </c>
      <c r="U76" s="41">
        <f>IF(OR($A76="",T76&lt;MIN_OBS_ROLL),"",SUMPRODUCT(O40:O75,(P40:P75-SUMPRODUCT(O40:O75,P40:P75)/T76)^2)/(T76-1))</f>
        <v/>
      </c>
      <c r="V76" s="40">
        <f>IF(OR(S76="",U76=""),"",S76/U76)</f>
        <v/>
      </c>
      <c r="W76" s="40">
        <f>IF(AND(ISNUMBER(K76),ISNUMBER(L76),ISNUMBER(V76)),K76-V76*L76,"")</f>
        <v/>
      </c>
      <c r="X76" s="40">
        <f>IF(OR($A76="",NOT(ISNUMBER(Datos!H76)),NOT(ISNUMBER(Datos!H75))),"",LN(Datos!H76)-LN(Datos!H75))</f>
        <v/>
      </c>
      <c r="Y76" s="38">
        <f>IF(ISNUMBER(W76),1,0)</f>
        <v/>
      </c>
      <c r="Z76" s="40">
        <f>IF(Y76=1,W76,0)</f>
        <v/>
      </c>
      <c r="AA76" s="38">
        <f>IF(ISNUMBER(X76),1,0)</f>
        <v/>
      </c>
      <c r="AB76" s="40">
        <f>IF(AA76=1,X76,0)</f>
        <v/>
      </c>
      <c r="AC76" s="38">
        <f>Y76*AA76</f>
        <v/>
      </c>
      <c r="AD76" s="38">
        <f>SUM(AC40:AC75)</f>
        <v/>
      </c>
      <c r="AE76" s="41">
        <f>IF(OR($A76="",AD76&lt;MIN_OBS_ROLL),"",(SUMPRODUCT(AC40:AC75,Z40:Z75,AB40:AB75)/AD76-SUMPRODUCT(AC40:AC75,Z40:Z75)/AD76*SUMPRODUCT(AC40:AC75,AB40:AB75)/AD76)*AD76/(AD76-1))</f>
        <v/>
      </c>
      <c r="AF76" s="38">
        <f>SUM(AA40:AA75)</f>
        <v/>
      </c>
      <c r="AG76" s="41">
        <f>IF(OR($A76="",AF76&lt;MIN_OBS_ROLL),"",SUMPRODUCT(AA40:AA75,(AB40:AB75-SUMPRODUCT(AA40:AA75,AB40:AB75)/AF76)^2)/(AF76-1))</f>
        <v/>
      </c>
      <c r="AH76" s="38">
        <f>SUM(Y40:Y75)</f>
        <v/>
      </c>
      <c r="AI76" s="40">
        <f>IF(OR($A76="",AH76&lt;MIN_OBS_ROLL),"",SUMPRODUCT(Y40:Y75,Z40:Z75)/AH76)</f>
        <v/>
      </c>
      <c r="AJ76" s="40">
        <f>IF(OR($A76="",AF76&lt;MIN_OBS_ROLL),"",SUMPRODUCT(AA40:AA75,AB40:AB75)/AF76)</f>
        <v/>
      </c>
      <c r="AK76" s="40">
        <f>IF(OR(AE76="",AG76=""),"",AE76/AG76)</f>
        <v/>
      </c>
      <c r="AL76" s="40">
        <f>IF(OR(AI76="",AK76="",AJ76=""),"",AI76-AK76*AJ76)</f>
        <v/>
      </c>
      <c r="AM76" s="40">
        <f>IF(AND(ISNUMBER(W76),ISNUMBER(X76),ISNUMBER(AK76),ISNUMBER(AL76)),W76-(AL76+AK76*X76),"")</f>
        <v/>
      </c>
      <c r="AN76" s="38">
        <f>IF(ISNUMBER(AM76),1,0)</f>
        <v/>
      </c>
      <c r="AO76" s="40">
        <f>IF(AN76=1,AM76,0)</f>
        <v/>
      </c>
      <c r="AP76" s="40">
        <f>IF(SUM(AN74:AN76)=3,SUM(AO74:AO76),"")</f>
        <v/>
      </c>
      <c r="AQ76" s="38">
        <f>IF(ISNUMBER(AP76),1,0)</f>
        <v/>
      </c>
      <c r="AR76" s="40">
        <f>IF(AQ76=1,AP76,0)</f>
        <v/>
      </c>
      <c r="AS76" s="38">
        <f>SUM(AQ$5:AQ76)</f>
        <v/>
      </c>
      <c r="AT76" s="40">
        <f>IF(AS76&gt;=MIN_OBS_Z,SUMPRODUCT(AQ$5:AQ76,AR$5:AR76)/AS76,"")</f>
        <v/>
      </c>
      <c r="AU76" s="40">
        <f>IF(AS76&gt;=MIN_OBS_Z,SQRT(SUMPRODUCT(AQ$5:AQ76,(AR$5:AR76-AT76)^2)/(AS76-1)),"")</f>
        <v/>
      </c>
      <c r="AV76" s="40">
        <f>IF(AND(AQ76=1,ISNUMBER(AT76)),MAX(-Z_CLIP,MIN(Z_CLIP,(AR76-AT76)/AU76)),"")</f>
        <v/>
      </c>
      <c r="AW76" s="40">
        <f>IF(ISNUMBER(AV76),-AV76,"")</f>
        <v/>
      </c>
      <c r="AX76" s="40">
        <f>IF(ISNUMBER(AW76),1+AMPLITUD*TANH(AW76),"")</f>
        <v/>
      </c>
      <c r="AY76" s="40">
        <f>IF($A76="","",IF(COUNT(AX74:AX76)&gt;0,AVERAGE(AX74:AX76),""))</f>
        <v/>
      </c>
      <c r="AZ76" s="40">
        <f>IF(ISNUMBER(AY76),AY76-1,"")</f>
        <v/>
      </c>
      <c r="BA76" s="40">
        <f>IF(AND(ISNUMBER(AZ75),ISNUMBER(W76)),AZ75*W_BANCOS*W76,"")</f>
        <v/>
      </c>
      <c r="BB76" s="40">
        <f>IF(AND(ISNUMBER(AZ75),ISNUMBER(AZ74)),ABS(AZ75-AZ74)*W_BANCOS*COSTO,0)</f>
        <v/>
      </c>
      <c r="BC76" s="40">
        <f>IF(ISNUMBER(BA76),BA76-BB76,"")</f>
        <v/>
      </c>
      <c r="BD76" s="42">
        <f>IF(ISNUMBER(BC76),IF(A76&lt;=FECHA_ERA,"A","B"),"")</f>
        <v/>
      </c>
      <c r="BE76" s="40">
        <f>IF(BD76="A",BC76,"")</f>
        <v/>
      </c>
      <c r="BF76" s="40">
        <f>IF(BD76="B",BC76,"")</f>
        <v/>
      </c>
      <c r="BG76" s="38">
        <f>IF(AND(ISNUMBER(BC76),ISNUMBER(A76)),IF(A76&gt;=INICIO_VIVO,1,0),0)</f>
        <v/>
      </c>
      <c r="BH76" s="40">
        <f>IF(BG76=1,BC76,"")</f>
        <v/>
      </c>
      <c r="BI76" s="38">
        <f>IF(ISNUMBER(AY76),ROW(),0)</f>
        <v/>
      </c>
      <c r="BJ76" s="43">
        <f>IF(ISNUMBER(BC76),SUM(BC$5:BC76)*10000,NA())</f>
        <v/>
      </c>
      <c r="BK76" s="43">
        <f>IF(BG76=1,SUM(BH$5:BH76)*10000,NA())</f>
        <v/>
      </c>
      <c r="BL76" s="44">
        <f>IF(ISNUMBER(AY76),AY76,NA())</f>
        <v/>
      </c>
    </row>
    <row r="77">
      <c r="A77" s="36">
        <f>IF(Datos!A77="","",Datos!A77)</f>
        <v/>
      </c>
      <c r="B77" s="37">
        <f>IF(OR($A77="",NOT(ISNUMBER(Datos!B77)),NOT(ISNUMBER(Datos!B76))),"",Datos!B77/Datos!B76-1)</f>
        <v/>
      </c>
      <c r="C77" s="37">
        <f>IF(OR($A77="",NOT(ISNUMBER(Datos!C77)),NOT(ISNUMBER(Datos!C76))),"",Datos!C77/Datos!C76-1)</f>
        <v/>
      </c>
      <c r="D77" s="37">
        <f>IF(OR($A77="",NOT(ISNUMBER(Datos!D77)),NOT(ISNUMBER(Datos!D76))),"",Datos!D77/Datos!D76-1)</f>
        <v/>
      </c>
      <c r="E77" s="37">
        <f>IF(OR($A77="",NOT(ISNUMBER(Datos!E77)),NOT(ISNUMBER(Datos!E76))),"",Datos!E77/Datos!E76-1)</f>
        <v/>
      </c>
      <c r="F77" s="38">
        <f>IF($A77="","",COUNT(B77:E77))</f>
        <v/>
      </c>
      <c r="G77" s="37">
        <f>IF($A77="","",IF(F77&gt;=MIN_BANCOS,AVERAGE(B77:E77),""))</f>
        <v/>
      </c>
      <c r="H77" s="37">
        <f>IF(OR($A77="",NOT(ISNUMBER(Datos!F77)),NOT(ISNUMBER(Datos!F76))),"",Datos!F77/Datos!F76-1)</f>
        <v/>
      </c>
      <c r="I77" s="39">
        <f>IF($A77="","",IF(ISNUMBER(Datos!G77),Datos!G77,I76))</f>
        <v/>
      </c>
      <c r="J77" s="40">
        <f>IF($A77="","",IF(ISNUMBER(I76),LN(1+I76/100/12),0))</f>
        <v/>
      </c>
      <c r="K77" s="40">
        <f>IF(ISNUMBER(G77),LN(1+G77)-J77,"")</f>
        <v/>
      </c>
      <c r="L77" s="40">
        <f>IF(ISNUMBER(H77),LN(1+H77)-J77,"")</f>
        <v/>
      </c>
      <c r="M77" s="38">
        <f>IF(ISNUMBER(K77),1,0)</f>
        <v/>
      </c>
      <c r="N77" s="40">
        <f>IF(M77=1,K77,0)</f>
        <v/>
      </c>
      <c r="O77" s="38">
        <f>IF(ISNUMBER(L77),1,0)</f>
        <v/>
      </c>
      <c r="P77" s="40">
        <f>IF(O77=1,L77,0)</f>
        <v/>
      </c>
      <c r="Q77" s="38">
        <f>M77*O77</f>
        <v/>
      </c>
      <c r="R77" s="38">
        <f>SUM(Q41:Q76)</f>
        <v/>
      </c>
      <c r="S77" s="41">
        <f>IF(OR($A77="",R77&lt;MIN_OBS_ROLL),"",(SUMPRODUCT(Q41:Q76,N41:N76,P41:P76)/R77-SUMPRODUCT(Q41:Q76,N41:N76)/R77*SUMPRODUCT(Q41:Q76,P41:P76)/R77)*R77/(R77-1))</f>
        <v/>
      </c>
      <c r="T77" s="38">
        <f>SUM(O41:O76)</f>
        <v/>
      </c>
      <c r="U77" s="41">
        <f>IF(OR($A77="",T77&lt;MIN_OBS_ROLL),"",SUMPRODUCT(O41:O76,(P41:P76-SUMPRODUCT(O41:O76,P41:P76)/T77)^2)/(T77-1))</f>
        <v/>
      </c>
      <c r="V77" s="40">
        <f>IF(OR(S77="",U77=""),"",S77/U77)</f>
        <v/>
      </c>
      <c r="W77" s="40">
        <f>IF(AND(ISNUMBER(K77),ISNUMBER(L77),ISNUMBER(V77)),K77-V77*L77,"")</f>
        <v/>
      </c>
      <c r="X77" s="40">
        <f>IF(OR($A77="",NOT(ISNUMBER(Datos!H77)),NOT(ISNUMBER(Datos!H76))),"",LN(Datos!H77)-LN(Datos!H76))</f>
        <v/>
      </c>
      <c r="Y77" s="38">
        <f>IF(ISNUMBER(W77),1,0)</f>
        <v/>
      </c>
      <c r="Z77" s="40">
        <f>IF(Y77=1,W77,0)</f>
        <v/>
      </c>
      <c r="AA77" s="38">
        <f>IF(ISNUMBER(X77),1,0)</f>
        <v/>
      </c>
      <c r="AB77" s="40">
        <f>IF(AA77=1,X77,0)</f>
        <v/>
      </c>
      <c r="AC77" s="38">
        <f>Y77*AA77</f>
        <v/>
      </c>
      <c r="AD77" s="38">
        <f>SUM(AC41:AC76)</f>
        <v/>
      </c>
      <c r="AE77" s="41">
        <f>IF(OR($A77="",AD77&lt;MIN_OBS_ROLL),"",(SUMPRODUCT(AC41:AC76,Z41:Z76,AB41:AB76)/AD77-SUMPRODUCT(AC41:AC76,Z41:Z76)/AD77*SUMPRODUCT(AC41:AC76,AB41:AB76)/AD77)*AD77/(AD77-1))</f>
        <v/>
      </c>
      <c r="AF77" s="38">
        <f>SUM(AA41:AA76)</f>
        <v/>
      </c>
      <c r="AG77" s="41">
        <f>IF(OR($A77="",AF77&lt;MIN_OBS_ROLL),"",SUMPRODUCT(AA41:AA76,(AB41:AB76-SUMPRODUCT(AA41:AA76,AB41:AB76)/AF77)^2)/(AF77-1))</f>
        <v/>
      </c>
      <c r="AH77" s="38">
        <f>SUM(Y41:Y76)</f>
        <v/>
      </c>
      <c r="AI77" s="40">
        <f>IF(OR($A77="",AH77&lt;MIN_OBS_ROLL),"",SUMPRODUCT(Y41:Y76,Z41:Z76)/AH77)</f>
        <v/>
      </c>
      <c r="AJ77" s="40">
        <f>IF(OR($A77="",AF77&lt;MIN_OBS_ROLL),"",SUMPRODUCT(AA41:AA76,AB41:AB76)/AF77)</f>
        <v/>
      </c>
      <c r="AK77" s="40">
        <f>IF(OR(AE77="",AG77=""),"",AE77/AG77)</f>
        <v/>
      </c>
      <c r="AL77" s="40">
        <f>IF(OR(AI77="",AK77="",AJ77=""),"",AI77-AK77*AJ77)</f>
        <v/>
      </c>
      <c r="AM77" s="40">
        <f>IF(AND(ISNUMBER(W77),ISNUMBER(X77),ISNUMBER(AK77),ISNUMBER(AL77)),W77-(AL77+AK77*X77),"")</f>
        <v/>
      </c>
      <c r="AN77" s="38">
        <f>IF(ISNUMBER(AM77),1,0)</f>
        <v/>
      </c>
      <c r="AO77" s="40">
        <f>IF(AN77=1,AM77,0)</f>
        <v/>
      </c>
      <c r="AP77" s="40">
        <f>IF(SUM(AN75:AN77)=3,SUM(AO75:AO77),"")</f>
        <v/>
      </c>
      <c r="AQ77" s="38">
        <f>IF(ISNUMBER(AP77),1,0)</f>
        <v/>
      </c>
      <c r="AR77" s="40">
        <f>IF(AQ77=1,AP77,0)</f>
        <v/>
      </c>
      <c r="AS77" s="38">
        <f>SUM(AQ$5:AQ77)</f>
        <v/>
      </c>
      <c r="AT77" s="40">
        <f>IF(AS77&gt;=MIN_OBS_Z,SUMPRODUCT(AQ$5:AQ77,AR$5:AR77)/AS77,"")</f>
        <v/>
      </c>
      <c r="AU77" s="40">
        <f>IF(AS77&gt;=MIN_OBS_Z,SQRT(SUMPRODUCT(AQ$5:AQ77,(AR$5:AR77-AT77)^2)/(AS77-1)),"")</f>
        <v/>
      </c>
      <c r="AV77" s="40">
        <f>IF(AND(AQ77=1,ISNUMBER(AT77)),MAX(-Z_CLIP,MIN(Z_CLIP,(AR77-AT77)/AU77)),"")</f>
        <v/>
      </c>
      <c r="AW77" s="40">
        <f>IF(ISNUMBER(AV77),-AV77,"")</f>
        <v/>
      </c>
      <c r="AX77" s="40">
        <f>IF(ISNUMBER(AW77),1+AMPLITUD*TANH(AW77),"")</f>
        <v/>
      </c>
      <c r="AY77" s="40">
        <f>IF($A77="","",IF(COUNT(AX75:AX77)&gt;0,AVERAGE(AX75:AX77),""))</f>
        <v/>
      </c>
      <c r="AZ77" s="40">
        <f>IF(ISNUMBER(AY77),AY77-1,"")</f>
        <v/>
      </c>
      <c r="BA77" s="40">
        <f>IF(AND(ISNUMBER(AZ76),ISNUMBER(W77)),AZ76*W_BANCOS*W77,"")</f>
        <v/>
      </c>
      <c r="BB77" s="40">
        <f>IF(AND(ISNUMBER(AZ76),ISNUMBER(AZ75)),ABS(AZ76-AZ75)*W_BANCOS*COSTO,0)</f>
        <v/>
      </c>
      <c r="BC77" s="40">
        <f>IF(ISNUMBER(BA77),BA77-BB77,"")</f>
        <v/>
      </c>
      <c r="BD77" s="42">
        <f>IF(ISNUMBER(BC77),IF(A77&lt;=FECHA_ERA,"A","B"),"")</f>
        <v/>
      </c>
      <c r="BE77" s="40">
        <f>IF(BD77="A",BC77,"")</f>
        <v/>
      </c>
      <c r="BF77" s="40">
        <f>IF(BD77="B",BC77,"")</f>
        <v/>
      </c>
      <c r="BG77" s="38">
        <f>IF(AND(ISNUMBER(BC77),ISNUMBER(A77)),IF(A77&gt;=INICIO_VIVO,1,0),0)</f>
        <v/>
      </c>
      <c r="BH77" s="40">
        <f>IF(BG77=1,BC77,"")</f>
        <v/>
      </c>
      <c r="BI77" s="38">
        <f>IF(ISNUMBER(AY77),ROW(),0)</f>
        <v/>
      </c>
      <c r="BJ77" s="43">
        <f>IF(ISNUMBER(BC77),SUM(BC$5:BC77)*10000,NA())</f>
        <v/>
      </c>
      <c r="BK77" s="43">
        <f>IF(BG77=1,SUM(BH$5:BH77)*10000,NA())</f>
        <v/>
      </c>
      <c r="BL77" s="44">
        <f>IF(ISNUMBER(AY77),AY77,NA())</f>
        <v/>
      </c>
    </row>
    <row r="78">
      <c r="A78" s="36">
        <f>IF(Datos!A78="","",Datos!A78)</f>
        <v/>
      </c>
      <c r="B78" s="37">
        <f>IF(OR($A78="",NOT(ISNUMBER(Datos!B78)),NOT(ISNUMBER(Datos!B77))),"",Datos!B78/Datos!B77-1)</f>
        <v/>
      </c>
      <c r="C78" s="37">
        <f>IF(OR($A78="",NOT(ISNUMBER(Datos!C78)),NOT(ISNUMBER(Datos!C77))),"",Datos!C78/Datos!C77-1)</f>
        <v/>
      </c>
      <c r="D78" s="37">
        <f>IF(OR($A78="",NOT(ISNUMBER(Datos!D78)),NOT(ISNUMBER(Datos!D77))),"",Datos!D78/Datos!D77-1)</f>
        <v/>
      </c>
      <c r="E78" s="37">
        <f>IF(OR($A78="",NOT(ISNUMBER(Datos!E78)),NOT(ISNUMBER(Datos!E77))),"",Datos!E78/Datos!E77-1)</f>
        <v/>
      </c>
      <c r="F78" s="38">
        <f>IF($A78="","",COUNT(B78:E78))</f>
        <v/>
      </c>
      <c r="G78" s="37">
        <f>IF($A78="","",IF(F78&gt;=MIN_BANCOS,AVERAGE(B78:E78),""))</f>
        <v/>
      </c>
      <c r="H78" s="37">
        <f>IF(OR($A78="",NOT(ISNUMBER(Datos!F78)),NOT(ISNUMBER(Datos!F77))),"",Datos!F78/Datos!F77-1)</f>
        <v/>
      </c>
      <c r="I78" s="39">
        <f>IF($A78="","",IF(ISNUMBER(Datos!G78),Datos!G78,I77))</f>
        <v/>
      </c>
      <c r="J78" s="40">
        <f>IF($A78="","",IF(ISNUMBER(I77),LN(1+I77/100/12),0))</f>
        <v/>
      </c>
      <c r="K78" s="40">
        <f>IF(ISNUMBER(G78),LN(1+G78)-J78,"")</f>
        <v/>
      </c>
      <c r="L78" s="40">
        <f>IF(ISNUMBER(H78),LN(1+H78)-J78,"")</f>
        <v/>
      </c>
      <c r="M78" s="38">
        <f>IF(ISNUMBER(K78),1,0)</f>
        <v/>
      </c>
      <c r="N78" s="40">
        <f>IF(M78=1,K78,0)</f>
        <v/>
      </c>
      <c r="O78" s="38">
        <f>IF(ISNUMBER(L78),1,0)</f>
        <v/>
      </c>
      <c r="P78" s="40">
        <f>IF(O78=1,L78,0)</f>
        <v/>
      </c>
      <c r="Q78" s="38">
        <f>M78*O78</f>
        <v/>
      </c>
      <c r="R78" s="38">
        <f>SUM(Q42:Q77)</f>
        <v/>
      </c>
      <c r="S78" s="41">
        <f>IF(OR($A78="",R78&lt;MIN_OBS_ROLL),"",(SUMPRODUCT(Q42:Q77,N42:N77,P42:P77)/R78-SUMPRODUCT(Q42:Q77,N42:N77)/R78*SUMPRODUCT(Q42:Q77,P42:P77)/R78)*R78/(R78-1))</f>
        <v/>
      </c>
      <c r="T78" s="38">
        <f>SUM(O42:O77)</f>
        <v/>
      </c>
      <c r="U78" s="41">
        <f>IF(OR($A78="",T78&lt;MIN_OBS_ROLL),"",SUMPRODUCT(O42:O77,(P42:P77-SUMPRODUCT(O42:O77,P42:P77)/T78)^2)/(T78-1))</f>
        <v/>
      </c>
      <c r="V78" s="40">
        <f>IF(OR(S78="",U78=""),"",S78/U78)</f>
        <v/>
      </c>
      <c r="W78" s="40">
        <f>IF(AND(ISNUMBER(K78),ISNUMBER(L78),ISNUMBER(V78)),K78-V78*L78,"")</f>
        <v/>
      </c>
      <c r="X78" s="40">
        <f>IF(OR($A78="",NOT(ISNUMBER(Datos!H78)),NOT(ISNUMBER(Datos!H77))),"",LN(Datos!H78)-LN(Datos!H77))</f>
        <v/>
      </c>
      <c r="Y78" s="38">
        <f>IF(ISNUMBER(W78),1,0)</f>
        <v/>
      </c>
      <c r="Z78" s="40">
        <f>IF(Y78=1,W78,0)</f>
        <v/>
      </c>
      <c r="AA78" s="38">
        <f>IF(ISNUMBER(X78),1,0)</f>
        <v/>
      </c>
      <c r="AB78" s="40">
        <f>IF(AA78=1,X78,0)</f>
        <v/>
      </c>
      <c r="AC78" s="38">
        <f>Y78*AA78</f>
        <v/>
      </c>
      <c r="AD78" s="38">
        <f>SUM(AC42:AC77)</f>
        <v/>
      </c>
      <c r="AE78" s="41">
        <f>IF(OR($A78="",AD78&lt;MIN_OBS_ROLL),"",(SUMPRODUCT(AC42:AC77,Z42:Z77,AB42:AB77)/AD78-SUMPRODUCT(AC42:AC77,Z42:Z77)/AD78*SUMPRODUCT(AC42:AC77,AB42:AB77)/AD78)*AD78/(AD78-1))</f>
        <v/>
      </c>
      <c r="AF78" s="38">
        <f>SUM(AA42:AA77)</f>
        <v/>
      </c>
      <c r="AG78" s="41">
        <f>IF(OR($A78="",AF78&lt;MIN_OBS_ROLL),"",SUMPRODUCT(AA42:AA77,(AB42:AB77-SUMPRODUCT(AA42:AA77,AB42:AB77)/AF78)^2)/(AF78-1))</f>
        <v/>
      </c>
      <c r="AH78" s="38">
        <f>SUM(Y42:Y77)</f>
        <v/>
      </c>
      <c r="AI78" s="40">
        <f>IF(OR($A78="",AH78&lt;MIN_OBS_ROLL),"",SUMPRODUCT(Y42:Y77,Z42:Z77)/AH78)</f>
        <v/>
      </c>
      <c r="AJ78" s="40">
        <f>IF(OR($A78="",AF78&lt;MIN_OBS_ROLL),"",SUMPRODUCT(AA42:AA77,AB42:AB77)/AF78)</f>
        <v/>
      </c>
      <c r="AK78" s="40">
        <f>IF(OR(AE78="",AG78=""),"",AE78/AG78)</f>
        <v/>
      </c>
      <c r="AL78" s="40">
        <f>IF(OR(AI78="",AK78="",AJ78=""),"",AI78-AK78*AJ78)</f>
        <v/>
      </c>
      <c r="AM78" s="40">
        <f>IF(AND(ISNUMBER(W78),ISNUMBER(X78),ISNUMBER(AK78),ISNUMBER(AL78)),W78-(AL78+AK78*X78),"")</f>
        <v/>
      </c>
      <c r="AN78" s="38">
        <f>IF(ISNUMBER(AM78),1,0)</f>
        <v/>
      </c>
      <c r="AO78" s="40">
        <f>IF(AN78=1,AM78,0)</f>
        <v/>
      </c>
      <c r="AP78" s="40">
        <f>IF(SUM(AN76:AN78)=3,SUM(AO76:AO78),"")</f>
        <v/>
      </c>
      <c r="AQ78" s="38">
        <f>IF(ISNUMBER(AP78),1,0)</f>
        <v/>
      </c>
      <c r="AR78" s="40">
        <f>IF(AQ78=1,AP78,0)</f>
        <v/>
      </c>
      <c r="AS78" s="38">
        <f>SUM(AQ$5:AQ78)</f>
        <v/>
      </c>
      <c r="AT78" s="40">
        <f>IF(AS78&gt;=MIN_OBS_Z,SUMPRODUCT(AQ$5:AQ78,AR$5:AR78)/AS78,"")</f>
        <v/>
      </c>
      <c r="AU78" s="40">
        <f>IF(AS78&gt;=MIN_OBS_Z,SQRT(SUMPRODUCT(AQ$5:AQ78,(AR$5:AR78-AT78)^2)/(AS78-1)),"")</f>
        <v/>
      </c>
      <c r="AV78" s="40">
        <f>IF(AND(AQ78=1,ISNUMBER(AT78)),MAX(-Z_CLIP,MIN(Z_CLIP,(AR78-AT78)/AU78)),"")</f>
        <v/>
      </c>
      <c r="AW78" s="40">
        <f>IF(ISNUMBER(AV78),-AV78,"")</f>
        <v/>
      </c>
      <c r="AX78" s="40">
        <f>IF(ISNUMBER(AW78),1+AMPLITUD*TANH(AW78),"")</f>
        <v/>
      </c>
      <c r="AY78" s="40">
        <f>IF($A78="","",IF(COUNT(AX76:AX78)&gt;0,AVERAGE(AX76:AX78),""))</f>
        <v/>
      </c>
      <c r="AZ78" s="40">
        <f>IF(ISNUMBER(AY78),AY78-1,"")</f>
        <v/>
      </c>
      <c r="BA78" s="40">
        <f>IF(AND(ISNUMBER(AZ77),ISNUMBER(W78)),AZ77*W_BANCOS*W78,"")</f>
        <v/>
      </c>
      <c r="BB78" s="40">
        <f>IF(AND(ISNUMBER(AZ77),ISNUMBER(AZ76)),ABS(AZ77-AZ76)*W_BANCOS*COSTO,0)</f>
        <v/>
      </c>
      <c r="BC78" s="40">
        <f>IF(ISNUMBER(BA78),BA78-BB78,"")</f>
        <v/>
      </c>
      <c r="BD78" s="42">
        <f>IF(ISNUMBER(BC78),IF(A78&lt;=FECHA_ERA,"A","B"),"")</f>
        <v/>
      </c>
      <c r="BE78" s="40">
        <f>IF(BD78="A",BC78,"")</f>
        <v/>
      </c>
      <c r="BF78" s="40">
        <f>IF(BD78="B",BC78,"")</f>
        <v/>
      </c>
      <c r="BG78" s="38">
        <f>IF(AND(ISNUMBER(BC78),ISNUMBER(A78)),IF(A78&gt;=INICIO_VIVO,1,0),0)</f>
        <v/>
      </c>
      <c r="BH78" s="40">
        <f>IF(BG78=1,BC78,"")</f>
        <v/>
      </c>
      <c r="BI78" s="38">
        <f>IF(ISNUMBER(AY78),ROW(),0)</f>
        <v/>
      </c>
      <c r="BJ78" s="43">
        <f>IF(ISNUMBER(BC78),SUM(BC$5:BC78)*10000,NA())</f>
        <v/>
      </c>
      <c r="BK78" s="43">
        <f>IF(BG78=1,SUM(BH$5:BH78)*10000,NA())</f>
        <v/>
      </c>
      <c r="BL78" s="44">
        <f>IF(ISNUMBER(AY78),AY78,NA())</f>
        <v/>
      </c>
    </row>
    <row r="79">
      <c r="A79" s="36">
        <f>IF(Datos!A79="","",Datos!A79)</f>
        <v/>
      </c>
      <c r="B79" s="37">
        <f>IF(OR($A79="",NOT(ISNUMBER(Datos!B79)),NOT(ISNUMBER(Datos!B78))),"",Datos!B79/Datos!B78-1)</f>
        <v/>
      </c>
      <c r="C79" s="37">
        <f>IF(OR($A79="",NOT(ISNUMBER(Datos!C79)),NOT(ISNUMBER(Datos!C78))),"",Datos!C79/Datos!C78-1)</f>
        <v/>
      </c>
      <c r="D79" s="37">
        <f>IF(OR($A79="",NOT(ISNUMBER(Datos!D79)),NOT(ISNUMBER(Datos!D78))),"",Datos!D79/Datos!D78-1)</f>
        <v/>
      </c>
      <c r="E79" s="37">
        <f>IF(OR($A79="",NOT(ISNUMBER(Datos!E79)),NOT(ISNUMBER(Datos!E78))),"",Datos!E79/Datos!E78-1)</f>
        <v/>
      </c>
      <c r="F79" s="38">
        <f>IF($A79="","",COUNT(B79:E79))</f>
        <v/>
      </c>
      <c r="G79" s="37">
        <f>IF($A79="","",IF(F79&gt;=MIN_BANCOS,AVERAGE(B79:E79),""))</f>
        <v/>
      </c>
      <c r="H79" s="37">
        <f>IF(OR($A79="",NOT(ISNUMBER(Datos!F79)),NOT(ISNUMBER(Datos!F78))),"",Datos!F79/Datos!F78-1)</f>
        <v/>
      </c>
      <c r="I79" s="39">
        <f>IF($A79="","",IF(ISNUMBER(Datos!G79),Datos!G79,I78))</f>
        <v/>
      </c>
      <c r="J79" s="40">
        <f>IF($A79="","",IF(ISNUMBER(I78),LN(1+I78/100/12),0))</f>
        <v/>
      </c>
      <c r="K79" s="40">
        <f>IF(ISNUMBER(G79),LN(1+G79)-J79,"")</f>
        <v/>
      </c>
      <c r="L79" s="40">
        <f>IF(ISNUMBER(H79),LN(1+H79)-J79,"")</f>
        <v/>
      </c>
      <c r="M79" s="38">
        <f>IF(ISNUMBER(K79),1,0)</f>
        <v/>
      </c>
      <c r="N79" s="40">
        <f>IF(M79=1,K79,0)</f>
        <v/>
      </c>
      <c r="O79" s="38">
        <f>IF(ISNUMBER(L79),1,0)</f>
        <v/>
      </c>
      <c r="P79" s="40">
        <f>IF(O79=1,L79,0)</f>
        <v/>
      </c>
      <c r="Q79" s="38">
        <f>M79*O79</f>
        <v/>
      </c>
      <c r="R79" s="38">
        <f>SUM(Q43:Q78)</f>
        <v/>
      </c>
      <c r="S79" s="41">
        <f>IF(OR($A79="",R79&lt;MIN_OBS_ROLL),"",(SUMPRODUCT(Q43:Q78,N43:N78,P43:P78)/R79-SUMPRODUCT(Q43:Q78,N43:N78)/R79*SUMPRODUCT(Q43:Q78,P43:P78)/R79)*R79/(R79-1))</f>
        <v/>
      </c>
      <c r="T79" s="38">
        <f>SUM(O43:O78)</f>
        <v/>
      </c>
      <c r="U79" s="41">
        <f>IF(OR($A79="",T79&lt;MIN_OBS_ROLL),"",SUMPRODUCT(O43:O78,(P43:P78-SUMPRODUCT(O43:O78,P43:P78)/T79)^2)/(T79-1))</f>
        <v/>
      </c>
      <c r="V79" s="40">
        <f>IF(OR(S79="",U79=""),"",S79/U79)</f>
        <v/>
      </c>
      <c r="W79" s="40">
        <f>IF(AND(ISNUMBER(K79),ISNUMBER(L79),ISNUMBER(V79)),K79-V79*L79,"")</f>
        <v/>
      </c>
      <c r="X79" s="40">
        <f>IF(OR($A79="",NOT(ISNUMBER(Datos!H79)),NOT(ISNUMBER(Datos!H78))),"",LN(Datos!H79)-LN(Datos!H78))</f>
        <v/>
      </c>
      <c r="Y79" s="38">
        <f>IF(ISNUMBER(W79),1,0)</f>
        <v/>
      </c>
      <c r="Z79" s="40">
        <f>IF(Y79=1,W79,0)</f>
        <v/>
      </c>
      <c r="AA79" s="38">
        <f>IF(ISNUMBER(X79),1,0)</f>
        <v/>
      </c>
      <c r="AB79" s="40">
        <f>IF(AA79=1,X79,0)</f>
        <v/>
      </c>
      <c r="AC79" s="38">
        <f>Y79*AA79</f>
        <v/>
      </c>
      <c r="AD79" s="38">
        <f>SUM(AC43:AC78)</f>
        <v/>
      </c>
      <c r="AE79" s="41">
        <f>IF(OR($A79="",AD79&lt;MIN_OBS_ROLL),"",(SUMPRODUCT(AC43:AC78,Z43:Z78,AB43:AB78)/AD79-SUMPRODUCT(AC43:AC78,Z43:Z78)/AD79*SUMPRODUCT(AC43:AC78,AB43:AB78)/AD79)*AD79/(AD79-1))</f>
        <v/>
      </c>
      <c r="AF79" s="38">
        <f>SUM(AA43:AA78)</f>
        <v/>
      </c>
      <c r="AG79" s="41">
        <f>IF(OR($A79="",AF79&lt;MIN_OBS_ROLL),"",SUMPRODUCT(AA43:AA78,(AB43:AB78-SUMPRODUCT(AA43:AA78,AB43:AB78)/AF79)^2)/(AF79-1))</f>
        <v/>
      </c>
      <c r="AH79" s="38">
        <f>SUM(Y43:Y78)</f>
        <v/>
      </c>
      <c r="AI79" s="40">
        <f>IF(OR($A79="",AH79&lt;MIN_OBS_ROLL),"",SUMPRODUCT(Y43:Y78,Z43:Z78)/AH79)</f>
        <v/>
      </c>
      <c r="AJ79" s="40">
        <f>IF(OR($A79="",AF79&lt;MIN_OBS_ROLL),"",SUMPRODUCT(AA43:AA78,AB43:AB78)/AF79)</f>
        <v/>
      </c>
      <c r="AK79" s="40">
        <f>IF(OR(AE79="",AG79=""),"",AE79/AG79)</f>
        <v/>
      </c>
      <c r="AL79" s="40">
        <f>IF(OR(AI79="",AK79="",AJ79=""),"",AI79-AK79*AJ79)</f>
        <v/>
      </c>
      <c r="AM79" s="40">
        <f>IF(AND(ISNUMBER(W79),ISNUMBER(X79),ISNUMBER(AK79),ISNUMBER(AL79)),W79-(AL79+AK79*X79),"")</f>
        <v/>
      </c>
      <c r="AN79" s="38">
        <f>IF(ISNUMBER(AM79),1,0)</f>
        <v/>
      </c>
      <c r="AO79" s="40">
        <f>IF(AN79=1,AM79,0)</f>
        <v/>
      </c>
      <c r="AP79" s="40">
        <f>IF(SUM(AN77:AN79)=3,SUM(AO77:AO79),"")</f>
        <v/>
      </c>
      <c r="AQ79" s="38">
        <f>IF(ISNUMBER(AP79),1,0)</f>
        <v/>
      </c>
      <c r="AR79" s="40">
        <f>IF(AQ79=1,AP79,0)</f>
        <v/>
      </c>
      <c r="AS79" s="38">
        <f>SUM(AQ$5:AQ79)</f>
        <v/>
      </c>
      <c r="AT79" s="40">
        <f>IF(AS79&gt;=MIN_OBS_Z,SUMPRODUCT(AQ$5:AQ79,AR$5:AR79)/AS79,"")</f>
        <v/>
      </c>
      <c r="AU79" s="40">
        <f>IF(AS79&gt;=MIN_OBS_Z,SQRT(SUMPRODUCT(AQ$5:AQ79,(AR$5:AR79-AT79)^2)/(AS79-1)),"")</f>
        <v/>
      </c>
      <c r="AV79" s="40">
        <f>IF(AND(AQ79=1,ISNUMBER(AT79)),MAX(-Z_CLIP,MIN(Z_CLIP,(AR79-AT79)/AU79)),"")</f>
        <v/>
      </c>
      <c r="AW79" s="40">
        <f>IF(ISNUMBER(AV79),-AV79,"")</f>
        <v/>
      </c>
      <c r="AX79" s="40">
        <f>IF(ISNUMBER(AW79),1+AMPLITUD*TANH(AW79),"")</f>
        <v/>
      </c>
      <c r="AY79" s="40">
        <f>IF($A79="","",IF(COUNT(AX77:AX79)&gt;0,AVERAGE(AX77:AX79),""))</f>
        <v/>
      </c>
      <c r="AZ79" s="40">
        <f>IF(ISNUMBER(AY79),AY79-1,"")</f>
        <v/>
      </c>
      <c r="BA79" s="40">
        <f>IF(AND(ISNUMBER(AZ78),ISNUMBER(W79)),AZ78*W_BANCOS*W79,"")</f>
        <v/>
      </c>
      <c r="BB79" s="40">
        <f>IF(AND(ISNUMBER(AZ78),ISNUMBER(AZ77)),ABS(AZ78-AZ77)*W_BANCOS*COSTO,0)</f>
        <v/>
      </c>
      <c r="BC79" s="40">
        <f>IF(ISNUMBER(BA79),BA79-BB79,"")</f>
        <v/>
      </c>
      <c r="BD79" s="42">
        <f>IF(ISNUMBER(BC79),IF(A79&lt;=FECHA_ERA,"A","B"),"")</f>
        <v/>
      </c>
      <c r="BE79" s="40">
        <f>IF(BD79="A",BC79,"")</f>
        <v/>
      </c>
      <c r="BF79" s="40">
        <f>IF(BD79="B",BC79,"")</f>
        <v/>
      </c>
      <c r="BG79" s="38">
        <f>IF(AND(ISNUMBER(BC79),ISNUMBER(A79)),IF(A79&gt;=INICIO_VIVO,1,0),0)</f>
        <v/>
      </c>
      <c r="BH79" s="40">
        <f>IF(BG79=1,BC79,"")</f>
        <v/>
      </c>
      <c r="BI79" s="38">
        <f>IF(ISNUMBER(AY79),ROW(),0)</f>
        <v/>
      </c>
      <c r="BJ79" s="43">
        <f>IF(ISNUMBER(BC79),SUM(BC$5:BC79)*10000,NA())</f>
        <v/>
      </c>
      <c r="BK79" s="43">
        <f>IF(BG79=1,SUM(BH$5:BH79)*10000,NA())</f>
        <v/>
      </c>
      <c r="BL79" s="44">
        <f>IF(ISNUMBER(AY79),AY79,NA())</f>
        <v/>
      </c>
    </row>
    <row r="80">
      <c r="A80" s="36">
        <f>IF(Datos!A80="","",Datos!A80)</f>
        <v/>
      </c>
      <c r="B80" s="37">
        <f>IF(OR($A80="",NOT(ISNUMBER(Datos!B80)),NOT(ISNUMBER(Datos!B79))),"",Datos!B80/Datos!B79-1)</f>
        <v/>
      </c>
      <c r="C80" s="37">
        <f>IF(OR($A80="",NOT(ISNUMBER(Datos!C80)),NOT(ISNUMBER(Datos!C79))),"",Datos!C80/Datos!C79-1)</f>
        <v/>
      </c>
      <c r="D80" s="37">
        <f>IF(OR($A80="",NOT(ISNUMBER(Datos!D80)),NOT(ISNUMBER(Datos!D79))),"",Datos!D80/Datos!D79-1)</f>
        <v/>
      </c>
      <c r="E80" s="37">
        <f>IF(OR($A80="",NOT(ISNUMBER(Datos!E80)),NOT(ISNUMBER(Datos!E79))),"",Datos!E80/Datos!E79-1)</f>
        <v/>
      </c>
      <c r="F80" s="38">
        <f>IF($A80="","",COUNT(B80:E80))</f>
        <v/>
      </c>
      <c r="G80" s="37">
        <f>IF($A80="","",IF(F80&gt;=MIN_BANCOS,AVERAGE(B80:E80),""))</f>
        <v/>
      </c>
      <c r="H80" s="37">
        <f>IF(OR($A80="",NOT(ISNUMBER(Datos!F80)),NOT(ISNUMBER(Datos!F79))),"",Datos!F80/Datos!F79-1)</f>
        <v/>
      </c>
      <c r="I80" s="39">
        <f>IF($A80="","",IF(ISNUMBER(Datos!G80),Datos!G80,I79))</f>
        <v/>
      </c>
      <c r="J80" s="40">
        <f>IF($A80="","",IF(ISNUMBER(I79),LN(1+I79/100/12),0))</f>
        <v/>
      </c>
      <c r="K80" s="40">
        <f>IF(ISNUMBER(G80),LN(1+G80)-J80,"")</f>
        <v/>
      </c>
      <c r="L80" s="40">
        <f>IF(ISNUMBER(H80),LN(1+H80)-J80,"")</f>
        <v/>
      </c>
      <c r="M80" s="38">
        <f>IF(ISNUMBER(K80),1,0)</f>
        <v/>
      </c>
      <c r="N80" s="40">
        <f>IF(M80=1,K80,0)</f>
        <v/>
      </c>
      <c r="O80" s="38">
        <f>IF(ISNUMBER(L80),1,0)</f>
        <v/>
      </c>
      <c r="P80" s="40">
        <f>IF(O80=1,L80,0)</f>
        <v/>
      </c>
      <c r="Q80" s="38">
        <f>M80*O80</f>
        <v/>
      </c>
      <c r="R80" s="38">
        <f>SUM(Q44:Q79)</f>
        <v/>
      </c>
      <c r="S80" s="41">
        <f>IF(OR($A80="",R80&lt;MIN_OBS_ROLL),"",(SUMPRODUCT(Q44:Q79,N44:N79,P44:P79)/R80-SUMPRODUCT(Q44:Q79,N44:N79)/R80*SUMPRODUCT(Q44:Q79,P44:P79)/R80)*R80/(R80-1))</f>
        <v/>
      </c>
      <c r="T80" s="38">
        <f>SUM(O44:O79)</f>
        <v/>
      </c>
      <c r="U80" s="41">
        <f>IF(OR($A80="",T80&lt;MIN_OBS_ROLL),"",SUMPRODUCT(O44:O79,(P44:P79-SUMPRODUCT(O44:O79,P44:P79)/T80)^2)/(T80-1))</f>
        <v/>
      </c>
      <c r="V80" s="40">
        <f>IF(OR(S80="",U80=""),"",S80/U80)</f>
        <v/>
      </c>
      <c r="W80" s="40">
        <f>IF(AND(ISNUMBER(K80),ISNUMBER(L80),ISNUMBER(V80)),K80-V80*L80,"")</f>
        <v/>
      </c>
      <c r="X80" s="40">
        <f>IF(OR($A80="",NOT(ISNUMBER(Datos!H80)),NOT(ISNUMBER(Datos!H79))),"",LN(Datos!H80)-LN(Datos!H79))</f>
        <v/>
      </c>
      <c r="Y80" s="38">
        <f>IF(ISNUMBER(W80),1,0)</f>
        <v/>
      </c>
      <c r="Z80" s="40">
        <f>IF(Y80=1,W80,0)</f>
        <v/>
      </c>
      <c r="AA80" s="38">
        <f>IF(ISNUMBER(X80),1,0)</f>
        <v/>
      </c>
      <c r="AB80" s="40">
        <f>IF(AA80=1,X80,0)</f>
        <v/>
      </c>
      <c r="AC80" s="38">
        <f>Y80*AA80</f>
        <v/>
      </c>
      <c r="AD80" s="38">
        <f>SUM(AC44:AC79)</f>
        <v/>
      </c>
      <c r="AE80" s="41">
        <f>IF(OR($A80="",AD80&lt;MIN_OBS_ROLL),"",(SUMPRODUCT(AC44:AC79,Z44:Z79,AB44:AB79)/AD80-SUMPRODUCT(AC44:AC79,Z44:Z79)/AD80*SUMPRODUCT(AC44:AC79,AB44:AB79)/AD80)*AD80/(AD80-1))</f>
        <v/>
      </c>
      <c r="AF80" s="38">
        <f>SUM(AA44:AA79)</f>
        <v/>
      </c>
      <c r="AG80" s="41">
        <f>IF(OR($A80="",AF80&lt;MIN_OBS_ROLL),"",SUMPRODUCT(AA44:AA79,(AB44:AB79-SUMPRODUCT(AA44:AA79,AB44:AB79)/AF80)^2)/(AF80-1))</f>
        <v/>
      </c>
      <c r="AH80" s="38">
        <f>SUM(Y44:Y79)</f>
        <v/>
      </c>
      <c r="AI80" s="40">
        <f>IF(OR($A80="",AH80&lt;MIN_OBS_ROLL),"",SUMPRODUCT(Y44:Y79,Z44:Z79)/AH80)</f>
        <v/>
      </c>
      <c r="AJ80" s="40">
        <f>IF(OR($A80="",AF80&lt;MIN_OBS_ROLL),"",SUMPRODUCT(AA44:AA79,AB44:AB79)/AF80)</f>
        <v/>
      </c>
      <c r="AK80" s="40">
        <f>IF(OR(AE80="",AG80=""),"",AE80/AG80)</f>
        <v/>
      </c>
      <c r="AL80" s="40">
        <f>IF(OR(AI80="",AK80="",AJ80=""),"",AI80-AK80*AJ80)</f>
        <v/>
      </c>
      <c r="AM80" s="40">
        <f>IF(AND(ISNUMBER(W80),ISNUMBER(X80),ISNUMBER(AK80),ISNUMBER(AL80)),W80-(AL80+AK80*X80),"")</f>
        <v/>
      </c>
      <c r="AN80" s="38">
        <f>IF(ISNUMBER(AM80),1,0)</f>
        <v/>
      </c>
      <c r="AO80" s="40">
        <f>IF(AN80=1,AM80,0)</f>
        <v/>
      </c>
      <c r="AP80" s="40">
        <f>IF(SUM(AN78:AN80)=3,SUM(AO78:AO80),"")</f>
        <v/>
      </c>
      <c r="AQ80" s="38">
        <f>IF(ISNUMBER(AP80),1,0)</f>
        <v/>
      </c>
      <c r="AR80" s="40">
        <f>IF(AQ80=1,AP80,0)</f>
        <v/>
      </c>
      <c r="AS80" s="38">
        <f>SUM(AQ$5:AQ80)</f>
        <v/>
      </c>
      <c r="AT80" s="40">
        <f>IF(AS80&gt;=MIN_OBS_Z,SUMPRODUCT(AQ$5:AQ80,AR$5:AR80)/AS80,"")</f>
        <v/>
      </c>
      <c r="AU80" s="40">
        <f>IF(AS80&gt;=MIN_OBS_Z,SQRT(SUMPRODUCT(AQ$5:AQ80,(AR$5:AR80-AT80)^2)/(AS80-1)),"")</f>
        <v/>
      </c>
      <c r="AV80" s="40">
        <f>IF(AND(AQ80=1,ISNUMBER(AT80)),MAX(-Z_CLIP,MIN(Z_CLIP,(AR80-AT80)/AU80)),"")</f>
        <v/>
      </c>
      <c r="AW80" s="40">
        <f>IF(ISNUMBER(AV80),-AV80,"")</f>
        <v/>
      </c>
      <c r="AX80" s="40">
        <f>IF(ISNUMBER(AW80),1+AMPLITUD*TANH(AW80),"")</f>
        <v/>
      </c>
      <c r="AY80" s="40">
        <f>IF($A80="","",IF(COUNT(AX78:AX80)&gt;0,AVERAGE(AX78:AX80),""))</f>
        <v/>
      </c>
      <c r="AZ80" s="40">
        <f>IF(ISNUMBER(AY80),AY80-1,"")</f>
        <v/>
      </c>
      <c r="BA80" s="40">
        <f>IF(AND(ISNUMBER(AZ79),ISNUMBER(W80)),AZ79*W_BANCOS*W80,"")</f>
        <v/>
      </c>
      <c r="BB80" s="40">
        <f>IF(AND(ISNUMBER(AZ79),ISNUMBER(AZ78)),ABS(AZ79-AZ78)*W_BANCOS*COSTO,0)</f>
        <v/>
      </c>
      <c r="BC80" s="40">
        <f>IF(ISNUMBER(BA80),BA80-BB80,"")</f>
        <v/>
      </c>
      <c r="BD80" s="42">
        <f>IF(ISNUMBER(BC80),IF(A80&lt;=FECHA_ERA,"A","B"),"")</f>
        <v/>
      </c>
      <c r="BE80" s="40">
        <f>IF(BD80="A",BC80,"")</f>
        <v/>
      </c>
      <c r="BF80" s="40">
        <f>IF(BD80="B",BC80,"")</f>
        <v/>
      </c>
      <c r="BG80" s="38">
        <f>IF(AND(ISNUMBER(BC80),ISNUMBER(A80)),IF(A80&gt;=INICIO_VIVO,1,0),0)</f>
        <v/>
      </c>
      <c r="BH80" s="40">
        <f>IF(BG80=1,BC80,"")</f>
        <v/>
      </c>
      <c r="BI80" s="38">
        <f>IF(ISNUMBER(AY80),ROW(),0)</f>
        <v/>
      </c>
      <c r="BJ80" s="43">
        <f>IF(ISNUMBER(BC80),SUM(BC$5:BC80)*10000,NA())</f>
        <v/>
      </c>
      <c r="BK80" s="43">
        <f>IF(BG80=1,SUM(BH$5:BH80)*10000,NA())</f>
        <v/>
      </c>
      <c r="BL80" s="44">
        <f>IF(ISNUMBER(AY80),AY80,NA())</f>
        <v/>
      </c>
    </row>
    <row r="81">
      <c r="A81" s="36">
        <f>IF(Datos!A81="","",Datos!A81)</f>
        <v/>
      </c>
      <c r="B81" s="37">
        <f>IF(OR($A81="",NOT(ISNUMBER(Datos!B81)),NOT(ISNUMBER(Datos!B80))),"",Datos!B81/Datos!B80-1)</f>
        <v/>
      </c>
      <c r="C81" s="37">
        <f>IF(OR($A81="",NOT(ISNUMBER(Datos!C81)),NOT(ISNUMBER(Datos!C80))),"",Datos!C81/Datos!C80-1)</f>
        <v/>
      </c>
      <c r="D81" s="37">
        <f>IF(OR($A81="",NOT(ISNUMBER(Datos!D81)),NOT(ISNUMBER(Datos!D80))),"",Datos!D81/Datos!D80-1)</f>
        <v/>
      </c>
      <c r="E81" s="37">
        <f>IF(OR($A81="",NOT(ISNUMBER(Datos!E81)),NOT(ISNUMBER(Datos!E80))),"",Datos!E81/Datos!E80-1)</f>
        <v/>
      </c>
      <c r="F81" s="38">
        <f>IF($A81="","",COUNT(B81:E81))</f>
        <v/>
      </c>
      <c r="G81" s="37">
        <f>IF($A81="","",IF(F81&gt;=MIN_BANCOS,AVERAGE(B81:E81),""))</f>
        <v/>
      </c>
      <c r="H81" s="37">
        <f>IF(OR($A81="",NOT(ISNUMBER(Datos!F81)),NOT(ISNUMBER(Datos!F80))),"",Datos!F81/Datos!F80-1)</f>
        <v/>
      </c>
      <c r="I81" s="39">
        <f>IF($A81="","",IF(ISNUMBER(Datos!G81),Datos!G81,I80))</f>
        <v/>
      </c>
      <c r="J81" s="40">
        <f>IF($A81="","",IF(ISNUMBER(I80),LN(1+I80/100/12),0))</f>
        <v/>
      </c>
      <c r="K81" s="40">
        <f>IF(ISNUMBER(G81),LN(1+G81)-J81,"")</f>
        <v/>
      </c>
      <c r="L81" s="40">
        <f>IF(ISNUMBER(H81),LN(1+H81)-J81,"")</f>
        <v/>
      </c>
      <c r="M81" s="38">
        <f>IF(ISNUMBER(K81),1,0)</f>
        <v/>
      </c>
      <c r="N81" s="40">
        <f>IF(M81=1,K81,0)</f>
        <v/>
      </c>
      <c r="O81" s="38">
        <f>IF(ISNUMBER(L81),1,0)</f>
        <v/>
      </c>
      <c r="P81" s="40">
        <f>IF(O81=1,L81,0)</f>
        <v/>
      </c>
      <c r="Q81" s="38">
        <f>M81*O81</f>
        <v/>
      </c>
      <c r="R81" s="38">
        <f>SUM(Q45:Q80)</f>
        <v/>
      </c>
      <c r="S81" s="41">
        <f>IF(OR($A81="",R81&lt;MIN_OBS_ROLL),"",(SUMPRODUCT(Q45:Q80,N45:N80,P45:P80)/R81-SUMPRODUCT(Q45:Q80,N45:N80)/R81*SUMPRODUCT(Q45:Q80,P45:P80)/R81)*R81/(R81-1))</f>
        <v/>
      </c>
      <c r="T81" s="38">
        <f>SUM(O45:O80)</f>
        <v/>
      </c>
      <c r="U81" s="41">
        <f>IF(OR($A81="",T81&lt;MIN_OBS_ROLL),"",SUMPRODUCT(O45:O80,(P45:P80-SUMPRODUCT(O45:O80,P45:P80)/T81)^2)/(T81-1))</f>
        <v/>
      </c>
      <c r="V81" s="40">
        <f>IF(OR(S81="",U81=""),"",S81/U81)</f>
        <v/>
      </c>
      <c r="W81" s="40">
        <f>IF(AND(ISNUMBER(K81),ISNUMBER(L81),ISNUMBER(V81)),K81-V81*L81,"")</f>
        <v/>
      </c>
      <c r="X81" s="40">
        <f>IF(OR($A81="",NOT(ISNUMBER(Datos!H81)),NOT(ISNUMBER(Datos!H80))),"",LN(Datos!H81)-LN(Datos!H80))</f>
        <v/>
      </c>
      <c r="Y81" s="38">
        <f>IF(ISNUMBER(W81),1,0)</f>
        <v/>
      </c>
      <c r="Z81" s="40">
        <f>IF(Y81=1,W81,0)</f>
        <v/>
      </c>
      <c r="AA81" s="38">
        <f>IF(ISNUMBER(X81),1,0)</f>
        <v/>
      </c>
      <c r="AB81" s="40">
        <f>IF(AA81=1,X81,0)</f>
        <v/>
      </c>
      <c r="AC81" s="38">
        <f>Y81*AA81</f>
        <v/>
      </c>
      <c r="AD81" s="38">
        <f>SUM(AC45:AC80)</f>
        <v/>
      </c>
      <c r="AE81" s="41">
        <f>IF(OR($A81="",AD81&lt;MIN_OBS_ROLL),"",(SUMPRODUCT(AC45:AC80,Z45:Z80,AB45:AB80)/AD81-SUMPRODUCT(AC45:AC80,Z45:Z80)/AD81*SUMPRODUCT(AC45:AC80,AB45:AB80)/AD81)*AD81/(AD81-1))</f>
        <v/>
      </c>
      <c r="AF81" s="38">
        <f>SUM(AA45:AA80)</f>
        <v/>
      </c>
      <c r="AG81" s="41">
        <f>IF(OR($A81="",AF81&lt;MIN_OBS_ROLL),"",SUMPRODUCT(AA45:AA80,(AB45:AB80-SUMPRODUCT(AA45:AA80,AB45:AB80)/AF81)^2)/(AF81-1))</f>
        <v/>
      </c>
      <c r="AH81" s="38">
        <f>SUM(Y45:Y80)</f>
        <v/>
      </c>
      <c r="AI81" s="40">
        <f>IF(OR($A81="",AH81&lt;MIN_OBS_ROLL),"",SUMPRODUCT(Y45:Y80,Z45:Z80)/AH81)</f>
        <v/>
      </c>
      <c r="AJ81" s="40">
        <f>IF(OR($A81="",AF81&lt;MIN_OBS_ROLL),"",SUMPRODUCT(AA45:AA80,AB45:AB80)/AF81)</f>
        <v/>
      </c>
      <c r="AK81" s="40">
        <f>IF(OR(AE81="",AG81=""),"",AE81/AG81)</f>
        <v/>
      </c>
      <c r="AL81" s="40">
        <f>IF(OR(AI81="",AK81="",AJ81=""),"",AI81-AK81*AJ81)</f>
        <v/>
      </c>
      <c r="AM81" s="40">
        <f>IF(AND(ISNUMBER(W81),ISNUMBER(X81),ISNUMBER(AK81),ISNUMBER(AL81)),W81-(AL81+AK81*X81),"")</f>
        <v/>
      </c>
      <c r="AN81" s="38">
        <f>IF(ISNUMBER(AM81),1,0)</f>
        <v/>
      </c>
      <c r="AO81" s="40">
        <f>IF(AN81=1,AM81,0)</f>
        <v/>
      </c>
      <c r="AP81" s="40">
        <f>IF(SUM(AN79:AN81)=3,SUM(AO79:AO81),"")</f>
        <v/>
      </c>
      <c r="AQ81" s="38">
        <f>IF(ISNUMBER(AP81),1,0)</f>
        <v/>
      </c>
      <c r="AR81" s="40">
        <f>IF(AQ81=1,AP81,0)</f>
        <v/>
      </c>
      <c r="AS81" s="38">
        <f>SUM(AQ$5:AQ81)</f>
        <v/>
      </c>
      <c r="AT81" s="40">
        <f>IF(AS81&gt;=MIN_OBS_Z,SUMPRODUCT(AQ$5:AQ81,AR$5:AR81)/AS81,"")</f>
        <v/>
      </c>
      <c r="AU81" s="40">
        <f>IF(AS81&gt;=MIN_OBS_Z,SQRT(SUMPRODUCT(AQ$5:AQ81,(AR$5:AR81-AT81)^2)/(AS81-1)),"")</f>
        <v/>
      </c>
      <c r="AV81" s="40">
        <f>IF(AND(AQ81=1,ISNUMBER(AT81)),MAX(-Z_CLIP,MIN(Z_CLIP,(AR81-AT81)/AU81)),"")</f>
        <v/>
      </c>
      <c r="AW81" s="40">
        <f>IF(ISNUMBER(AV81),-AV81,"")</f>
        <v/>
      </c>
      <c r="AX81" s="40">
        <f>IF(ISNUMBER(AW81),1+AMPLITUD*TANH(AW81),"")</f>
        <v/>
      </c>
      <c r="AY81" s="40">
        <f>IF($A81="","",IF(COUNT(AX79:AX81)&gt;0,AVERAGE(AX79:AX81),""))</f>
        <v/>
      </c>
      <c r="AZ81" s="40">
        <f>IF(ISNUMBER(AY81),AY81-1,"")</f>
        <v/>
      </c>
      <c r="BA81" s="40">
        <f>IF(AND(ISNUMBER(AZ80),ISNUMBER(W81)),AZ80*W_BANCOS*W81,"")</f>
        <v/>
      </c>
      <c r="BB81" s="40">
        <f>IF(AND(ISNUMBER(AZ80),ISNUMBER(AZ79)),ABS(AZ80-AZ79)*W_BANCOS*COSTO,0)</f>
        <v/>
      </c>
      <c r="BC81" s="40">
        <f>IF(ISNUMBER(BA81),BA81-BB81,"")</f>
        <v/>
      </c>
      <c r="BD81" s="42">
        <f>IF(ISNUMBER(BC81),IF(A81&lt;=FECHA_ERA,"A","B"),"")</f>
        <v/>
      </c>
      <c r="BE81" s="40">
        <f>IF(BD81="A",BC81,"")</f>
        <v/>
      </c>
      <c r="BF81" s="40">
        <f>IF(BD81="B",BC81,"")</f>
        <v/>
      </c>
      <c r="BG81" s="38">
        <f>IF(AND(ISNUMBER(BC81),ISNUMBER(A81)),IF(A81&gt;=INICIO_VIVO,1,0),0)</f>
        <v/>
      </c>
      <c r="BH81" s="40">
        <f>IF(BG81=1,BC81,"")</f>
        <v/>
      </c>
      <c r="BI81" s="38">
        <f>IF(ISNUMBER(AY81),ROW(),0)</f>
        <v/>
      </c>
      <c r="BJ81" s="43">
        <f>IF(ISNUMBER(BC81),SUM(BC$5:BC81)*10000,NA())</f>
        <v/>
      </c>
      <c r="BK81" s="43">
        <f>IF(BG81=1,SUM(BH$5:BH81)*10000,NA())</f>
        <v/>
      </c>
      <c r="BL81" s="44">
        <f>IF(ISNUMBER(AY81),AY81,NA())</f>
        <v/>
      </c>
    </row>
    <row r="82">
      <c r="A82" s="36">
        <f>IF(Datos!A82="","",Datos!A82)</f>
        <v/>
      </c>
      <c r="B82" s="37">
        <f>IF(OR($A82="",NOT(ISNUMBER(Datos!B82)),NOT(ISNUMBER(Datos!B81))),"",Datos!B82/Datos!B81-1)</f>
        <v/>
      </c>
      <c r="C82" s="37">
        <f>IF(OR($A82="",NOT(ISNUMBER(Datos!C82)),NOT(ISNUMBER(Datos!C81))),"",Datos!C82/Datos!C81-1)</f>
        <v/>
      </c>
      <c r="D82" s="37">
        <f>IF(OR($A82="",NOT(ISNUMBER(Datos!D82)),NOT(ISNUMBER(Datos!D81))),"",Datos!D82/Datos!D81-1)</f>
        <v/>
      </c>
      <c r="E82" s="37">
        <f>IF(OR($A82="",NOT(ISNUMBER(Datos!E82)),NOT(ISNUMBER(Datos!E81))),"",Datos!E82/Datos!E81-1)</f>
        <v/>
      </c>
      <c r="F82" s="38">
        <f>IF($A82="","",COUNT(B82:E82))</f>
        <v/>
      </c>
      <c r="G82" s="37">
        <f>IF($A82="","",IF(F82&gt;=MIN_BANCOS,AVERAGE(B82:E82),""))</f>
        <v/>
      </c>
      <c r="H82" s="37">
        <f>IF(OR($A82="",NOT(ISNUMBER(Datos!F82)),NOT(ISNUMBER(Datos!F81))),"",Datos!F82/Datos!F81-1)</f>
        <v/>
      </c>
      <c r="I82" s="39">
        <f>IF($A82="","",IF(ISNUMBER(Datos!G82),Datos!G82,I81))</f>
        <v/>
      </c>
      <c r="J82" s="40">
        <f>IF($A82="","",IF(ISNUMBER(I81),LN(1+I81/100/12),0))</f>
        <v/>
      </c>
      <c r="K82" s="40">
        <f>IF(ISNUMBER(G82),LN(1+G82)-J82,"")</f>
        <v/>
      </c>
      <c r="L82" s="40">
        <f>IF(ISNUMBER(H82),LN(1+H82)-J82,"")</f>
        <v/>
      </c>
      <c r="M82" s="38">
        <f>IF(ISNUMBER(K82),1,0)</f>
        <v/>
      </c>
      <c r="N82" s="40">
        <f>IF(M82=1,K82,0)</f>
        <v/>
      </c>
      <c r="O82" s="38">
        <f>IF(ISNUMBER(L82),1,0)</f>
        <v/>
      </c>
      <c r="P82" s="40">
        <f>IF(O82=1,L82,0)</f>
        <v/>
      </c>
      <c r="Q82" s="38">
        <f>M82*O82</f>
        <v/>
      </c>
      <c r="R82" s="38">
        <f>SUM(Q46:Q81)</f>
        <v/>
      </c>
      <c r="S82" s="41">
        <f>IF(OR($A82="",R82&lt;MIN_OBS_ROLL),"",(SUMPRODUCT(Q46:Q81,N46:N81,P46:P81)/R82-SUMPRODUCT(Q46:Q81,N46:N81)/R82*SUMPRODUCT(Q46:Q81,P46:P81)/R82)*R82/(R82-1))</f>
        <v/>
      </c>
      <c r="T82" s="38">
        <f>SUM(O46:O81)</f>
        <v/>
      </c>
      <c r="U82" s="41">
        <f>IF(OR($A82="",T82&lt;MIN_OBS_ROLL),"",SUMPRODUCT(O46:O81,(P46:P81-SUMPRODUCT(O46:O81,P46:P81)/T82)^2)/(T82-1))</f>
        <v/>
      </c>
      <c r="V82" s="40">
        <f>IF(OR(S82="",U82=""),"",S82/U82)</f>
        <v/>
      </c>
      <c r="W82" s="40">
        <f>IF(AND(ISNUMBER(K82),ISNUMBER(L82),ISNUMBER(V82)),K82-V82*L82,"")</f>
        <v/>
      </c>
      <c r="X82" s="40">
        <f>IF(OR($A82="",NOT(ISNUMBER(Datos!H82)),NOT(ISNUMBER(Datos!H81))),"",LN(Datos!H82)-LN(Datos!H81))</f>
        <v/>
      </c>
      <c r="Y82" s="38">
        <f>IF(ISNUMBER(W82),1,0)</f>
        <v/>
      </c>
      <c r="Z82" s="40">
        <f>IF(Y82=1,W82,0)</f>
        <v/>
      </c>
      <c r="AA82" s="38">
        <f>IF(ISNUMBER(X82),1,0)</f>
        <v/>
      </c>
      <c r="AB82" s="40">
        <f>IF(AA82=1,X82,0)</f>
        <v/>
      </c>
      <c r="AC82" s="38">
        <f>Y82*AA82</f>
        <v/>
      </c>
      <c r="AD82" s="38">
        <f>SUM(AC46:AC81)</f>
        <v/>
      </c>
      <c r="AE82" s="41">
        <f>IF(OR($A82="",AD82&lt;MIN_OBS_ROLL),"",(SUMPRODUCT(AC46:AC81,Z46:Z81,AB46:AB81)/AD82-SUMPRODUCT(AC46:AC81,Z46:Z81)/AD82*SUMPRODUCT(AC46:AC81,AB46:AB81)/AD82)*AD82/(AD82-1))</f>
        <v/>
      </c>
      <c r="AF82" s="38">
        <f>SUM(AA46:AA81)</f>
        <v/>
      </c>
      <c r="AG82" s="41">
        <f>IF(OR($A82="",AF82&lt;MIN_OBS_ROLL),"",SUMPRODUCT(AA46:AA81,(AB46:AB81-SUMPRODUCT(AA46:AA81,AB46:AB81)/AF82)^2)/(AF82-1))</f>
        <v/>
      </c>
      <c r="AH82" s="38">
        <f>SUM(Y46:Y81)</f>
        <v/>
      </c>
      <c r="AI82" s="40">
        <f>IF(OR($A82="",AH82&lt;MIN_OBS_ROLL),"",SUMPRODUCT(Y46:Y81,Z46:Z81)/AH82)</f>
        <v/>
      </c>
      <c r="AJ82" s="40">
        <f>IF(OR($A82="",AF82&lt;MIN_OBS_ROLL),"",SUMPRODUCT(AA46:AA81,AB46:AB81)/AF82)</f>
        <v/>
      </c>
      <c r="AK82" s="40">
        <f>IF(OR(AE82="",AG82=""),"",AE82/AG82)</f>
        <v/>
      </c>
      <c r="AL82" s="40">
        <f>IF(OR(AI82="",AK82="",AJ82=""),"",AI82-AK82*AJ82)</f>
        <v/>
      </c>
      <c r="AM82" s="40">
        <f>IF(AND(ISNUMBER(W82),ISNUMBER(X82),ISNUMBER(AK82),ISNUMBER(AL82)),W82-(AL82+AK82*X82),"")</f>
        <v/>
      </c>
      <c r="AN82" s="38">
        <f>IF(ISNUMBER(AM82),1,0)</f>
        <v/>
      </c>
      <c r="AO82" s="40">
        <f>IF(AN82=1,AM82,0)</f>
        <v/>
      </c>
      <c r="AP82" s="40">
        <f>IF(SUM(AN80:AN82)=3,SUM(AO80:AO82),"")</f>
        <v/>
      </c>
      <c r="AQ82" s="38">
        <f>IF(ISNUMBER(AP82),1,0)</f>
        <v/>
      </c>
      <c r="AR82" s="40">
        <f>IF(AQ82=1,AP82,0)</f>
        <v/>
      </c>
      <c r="AS82" s="38">
        <f>SUM(AQ$5:AQ82)</f>
        <v/>
      </c>
      <c r="AT82" s="40">
        <f>IF(AS82&gt;=MIN_OBS_Z,SUMPRODUCT(AQ$5:AQ82,AR$5:AR82)/AS82,"")</f>
        <v/>
      </c>
      <c r="AU82" s="40">
        <f>IF(AS82&gt;=MIN_OBS_Z,SQRT(SUMPRODUCT(AQ$5:AQ82,(AR$5:AR82-AT82)^2)/(AS82-1)),"")</f>
        <v/>
      </c>
      <c r="AV82" s="40">
        <f>IF(AND(AQ82=1,ISNUMBER(AT82)),MAX(-Z_CLIP,MIN(Z_CLIP,(AR82-AT82)/AU82)),"")</f>
        <v/>
      </c>
      <c r="AW82" s="40">
        <f>IF(ISNUMBER(AV82),-AV82,"")</f>
        <v/>
      </c>
      <c r="AX82" s="40">
        <f>IF(ISNUMBER(AW82),1+AMPLITUD*TANH(AW82),"")</f>
        <v/>
      </c>
      <c r="AY82" s="40">
        <f>IF($A82="","",IF(COUNT(AX80:AX82)&gt;0,AVERAGE(AX80:AX82),""))</f>
        <v/>
      </c>
      <c r="AZ82" s="40">
        <f>IF(ISNUMBER(AY82),AY82-1,"")</f>
        <v/>
      </c>
      <c r="BA82" s="40">
        <f>IF(AND(ISNUMBER(AZ81),ISNUMBER(W82)),AZ81*W_BANCOS*W82,"")</f>
        <v/>
      </c>
      <c r="BB82" s="40">
        <f>IF(AND(ISNUMBER(AZ81),ISNUMBER(AZ80)),ABS(AZ81-AZ80)*W_BANCOS*COSTO,0)</f>
        <v/>
      </c>
      <c r="BC82" s="40">
        <f>IF(ISNUMBER(BA82),BA82-BB82,"")</f>
        <v/>
      </c>
      <c r="BD82" s="42">
        <f>IF(ISNUMBER(BC82),IF(A82&lt;=FECHA_ERA,"A","B"),"")</f>
        <v/>
      </c>
      <c r="BE82" s="40">
        <f>IF(BD82="A",BC82,"")</f>
        <v/>
      </c>
      <c r="BF82" s="40">
        <f>IF(BD82="B",BC82,"")</f>
        <v/>
      </c>
      <c r="BG82" s="38">
        <f>IF(AND(ISNUMBER(BC82),ISNUMBER(A82)),IF(A82&gt;=INICIO_VIVO,1,0),0)</f>
        <v/>
      </c>
      <c r="BH82" s="40">
        <f>IF(BG82=1,BC82,"")</f>
        <v/>
      </c>
      <c r="BI82" s="38">
        <f>IF(ISNUMBER(AY82),ROW(),0)</f>
        <v/>
      </c>
      <c r="BJ82" s="43">
        <f>IF(ISNUMBER(BC82),SUM(BC$5:BC82)*10000,NA())</f>
        <v/>
      </c>
      <c r="BK82" s="43">
        <f>IF(BG82=1,SUM(BH$5:BH82)*10000,NA())</f>
        <v/>
      </c>
      <c r="BL82" s="44">
        <f>IF(ISNUMBER(AY82),AY82,NA())</f>
        <v/>
      </c>
    </row>
    <row r="83">
      <c r="A83" s="36">
        <f>IF(Datos!A83="","",Datos!A83)</f>
        <v/>
      </c>
      <c r="B83" s="37">
        <f>IF(OR($A83="",NOT(ISNUMBER(Datos!B83)),NOT(ISNUMBER(Datos!B82))),"",Datos!B83/Datos!B82-1)</f>
        <v/>
      </c>
      <c r="C83" s="37">
        <f>IF(OR($A83="",NOT(ISNUMBER(Datos!C83)),NOT(ISNUMBER(Datos!C82))),"",Datos!C83/Datos!C82-1)</f>
        <v/>
      </c>
      <c r="D83" s="37">
        <f>IF(OR($A83="",NOT(ISNUMBER(Datos!D83)),NOT(ISNUMBER(Datos!D82))),"",Datos!D83/Datos!D82-1)</f>
        <v/>
      </c>
      <c r="E83" s="37">
        <f>IF(OR($A83="",NOT(ISNUMBER(Datos!E83)),NOT(ISNUMBER(Datos!E82))),"",Datos!E83/Datos!E82-1)</f>
        <v/>
      </c>
      <c r="F83" s="38">
        <f>IF($A83="","",COUNT(B83:E83))</f>
        <v/>
      </c>
      <c r="G83" s="37">
        <f>IF($A83="","",IF(F83&gt;=MIN_BANCOS,AVERAGE(B83:E83),""))</f>
        <v/>
      </c>
      <c r="H83" s="37">
        <f>IF(OR($A83="",NOT(ISNUMBER(Datos!F83)),NOT(ISNUMBER(Datos!F82))),"",Datos!F83/Datos!F82-1)</f>
        <v/>
      </c>
      <c r="I83" s="39">
        <f>IF($A83="","",IF(ISNUMBER(Datos!G83),Datos!G83,I82))</f>
        <v/>
      </c>
      <c r="J83" s="40">
        <f>IF($A83="","",IF(ISNUMBER(I82),LN(1+I82/100/12),0))</f>
        <v/>
      </c>
      <c r="K83" s="40">
        <f>IF(ISNUMBER(G83),LN(1+G83)-J83,"")</f>
        <v/>
      </c>
      <c r="L83" s="40">
        <f>IF(ISNUMBER(H83),LN(1+H83)-J83,"")</f>
        <v/>
      </c>
      <c r="M83" s="38">
        <f>IF(ISNUMBER(K83),1,0)</f>
        <v/>
      </c>
      <c r="N83" s="40">
        <f>IF(M83=1,K83,0)</f>
        <v/>
      </c>
      <c r="O83" s="38">
        <f>IF(ISNUMBER(L83),1,0)</f>
        <v/>
      </c>
      <c r="P83" s="40">
        <f>IF(O83=1,L83,0)</f>
        <v/>
      </c>
      <c r="Q83" s="38">
        <f>M83*O83</f>
        <v/>
      </c>
      <c r="R83" s="38">
        <f>SUM(Q47:Q82)</f>
        <v/>
      </c>
      <c r="S83" s="41">
        <f>IF(OR($A83="",R83&lt;MIN_OBS_ROLL),"",(SUMPRODUCT(Q47:Q82,N47:N82,P47:P82)/R83-SUMPRODUCT(Q47:Q82,N47:N82)/R83*SUMPRODUCT(Q47:Q82,P47:P82)/R83)*R83/(R83-1))</f>
        <v/>
      </c>
      <c r="T83" s="38">
        <f>SUM(O47:O82)</f>
        <v/>
      </c>
      <c r="U83" s="41">
        <f>IF(OR($A83="",T83&lt;MIN_OBS_ROLL),"",SUMPRODUCT(O47:O82,(P47:P82-SUMPRODUCT(O47:O82,P47:P82)/T83)^2)/(T83-1))</f>
        <v/>
      </c>
      <c r="V83" s="40">
        <f>IF(OR(S83="",U83=""),"",S83/U83)</f>
        <v/>
      </c>
      <c r="W83" s="40">
        <f>IF(AND(ISNUMBER(K83),ISNUMBER(L83),ISNUMBER(V83)),K83-V83*L83,"")</f>
        <v/>
      </c>
      <c r="X83" s="40">
        <f>IF(OR($A83="",NOT(ISNUMBER(Datos!H83)),NOT(ISNUMBER(Datos!H82))),"",LN(Datos!H83)-LN(Datos!H82))</f>
        <v/>
      </c>
      <c r="Y83" s="38">
        <f>IF(ISNUMBER(W83),1,0)</f>
        <v/>
      </c>
      <c r="Z83" s="40">
        <f>IF(Y83=1,W83,0)</f>
        <v/>
      </c>
      <c r="AA83" s="38">
        <f>IF(ISNUMBER(X83),1,0)</f>
        <v/>
      </c>
      <c r="AB83" s="40">
        <f>IF(AA83=1,X83,0)</f>
        <v/>
      </c>
      <c r="AC83" s="38">
        <f>Y83*AA83</f>
        <v/>
      </c>
      <c r="AD83" s="38">
        <f>SUM(AC47:AC82)</f>
        <v/>
      </c>
      <c r="AE83" s="41">
        <f>IF(OR($A83="",AD83&lt;MIN_OBS_ROLL),"",(SUMPRODUCT(AC47:AC82,Z47:Z82,AB47:AB82)/AD83-SUMPRODUCT(AC47:AC82,Z47:Z82)/AD83*SUMPRODUCT(AC47:AC82,AB47:AB82)/AD83)*AD83/(AD83-1))</f>
        <v/>
      </c>
      <c r="AF83" s="38">
        <f>SUM(AA47:AA82)</f>
        <v/>
      </c>
      <c r="AG83" s="41">
        <f>IF(OR($A83="",AF83&lt;MIN_OBS_ROLL),"",SUMPRODUCT(AA47:AA82,(AB47:AB82-SUMPRODUCT(AA47:AA82,AB47:AB82)/AF83)^2)/(AF83-1))</f>
        <v/>
      </c>
      <c r="AH83" s="38">
        <f>SUM(Y47:Y82)</f>
        <v/>
      </c>
      <c r="AI83" s="40">
        <f>IF(OR($A83="",AH83&lt;MIN_OBS_ROLL),"",SUMPRODUCT(Y47:Y82,Z47:Z82)/AH83)</f>
        <v/>
      </c>
      <c r="AJ83" s="40">
        <f>IF(OR($A83="",AF83&lt;MIN_OBS_ROLL),"",SUMPRODUCT(AA47:AA82,AB47:AB82)/AF83)</f>
        <v/>
      </c>
      <c r="AK83" s="40">
        <f>IF(OR(AE83="",AG83=""),"",AE83/AG83)</f>
        <v/>
      </c>
      <c r="AL83" s="40">
        <f>IF(OR(AI83="",AK83="",AJ83=""),"",AI83-AK83*AJ83)</f>
        <v/>
      </c>
      <c r="AM83" s="40">
        <f>IF(AND(ISNUMBER(W83),ISNUMBER(X83),ISNUMBER(AK83),ISNUMBER(AL83)),W83-(AL83+AK83*X83),"")</f>
        <v/>
      </c>
      <c r="AN83" s="38">
        <f>IF(ISNUMBER(AM83),1,0)</f>
        <v/>
      </c>
      <c r="AO83" s="40">
        <f>IF(AN83=1,AM83,0)</f>
        <v/>
      </c>
      <c r="AP83" s="40">
        <f>IF(SUM(AN81:AN83)=3,SUM(AO81:AO83),"")</f>
        <v/>
      </c>
      <c r="AQ83" s="38">
        <f>IF(ISNUMBER(AP83),1,0)</f>
        <v/>
      </c>
      <c r="AR83" s="40">
        <f>IF(AQ83=1,AP83,0)</f>
        <v/>
      </c>
      <c r="AS83" s="38">
        <f>SUM(AQ$5:AQ83)</f>
        <v/>
      </c>
      <c r="AT83" s="40">
        <f>IF(AS83&gt;=MIN_OBS_Z,SUMPRODUCT(AQ$5:AQ83,AR$5:AR83)/AS83,"")</f>
        <v/>
      </c>
      <c r="AU83" s="40">
        <f>IF(AS83&gt;=MIN_OBS_Z,SQRT(SUMPRODUCT(AQ$5:AQ83,(AR$5:AR83-AT83)^2)/(AS83-1)),"")</f>
        <v/>
      </c>
      <c r="AV83" s="40">
        <f>IF(AND(AQ83=1,ISNUMBER(AT83)),MAX(-Z_CLIP,MIN(Z_CLIP,(AR83-AT83)/AU83)),"")</f>
        <v/>
      </c>
      <c r="AW83" s="40">
        <f>IF(ISNUMBER(AV83),-AV83,"")</f>
        <v/>
      </c>
      <c r="AX83" s="40">
        <f>IF(ISNUMBER(AW83),1+AMPLITUD*TANH(AW83),"")</f>
        <v/>
      </c>
      <c r="AY83" s="40">
        <f>IF($A83="","",IF(COUNT(AX81:AX83)&gt;0,AVERAGE(AX81:AX83),""))</f>
        <v/>
      </c>
      <c r="AZ83" s="40">
        <f>IF(ISNUMBER(AY83),AY83-1,"")</f>
        <v/>
      </c>
      <c r="BA83" s="40">
        <f>IF(AND(ISNUMBER(AZ82),ISNUMBER(W83)),AZ82*W_BANCOS*W83,"")</f>
        <v/>
      </c>
      <c r="BB83" s="40">
        <f>IF(AND(ISNUMBER(AZ82),ISNUMBER(AZ81)),ABS(AZ82-AZ81)*W_BANCOS*COSTO,0)</f>
        <v/>
      </c>
      <c r="BC83" s="40">
        <f>IF(ISNUMBER(BA83),BA83-BB83,"")</f>
        <v/>
      </c>
      <c r="BD83" s="42">
        <f>IF(ISNUMBER(BC83),IF(A83&lt;=FECHA_ERA,"A","B"),"")</f>
        <v/>
      </c>
      <c r="BE83" s="40">
        <f>IF(BD83="A",BC83,"")</f>
        <v/>
      </c>
      <c r="BF83" s="40">
        <f>IF(BD83="B",BC83,"")</f>
        <v/>
      </c>
      <c r="BG83" s="38">
        <f>IF(AND(ISNUMBER(BC83),ISNUMBER(A83)),IF(A83&gt;=INICIO_VIVO,1,0),0)</f>
        <v/>
      </c>
      <c r="BH83" s="40">
        <f>IF(BG83=1,BC83,"")</f>
        <v/>
      </c>
      <c r="BI83" s="38">
        <f>IF(ISNUMBER(AY83),ROW(),0)</f>
        <v/>
      </c>
      <c r="BJ83" s="43">
        <f>IF(ISNUMBER(BC83),SUM(BC$5:BC83)*10000,NA())</f>
        <v/>
      </c>
      <c r="BK83" s="43">
        <f>IF(BG83=1,SUM(BH$5:BH83)*10000,NA())</f>
        <v/>
      </c>
      <c r="BL83" s="44">
        <f>IF(ISNUMBER(AY83),AY83,NA())</f>
        <v/>
      </c>
    </row>
    <row r="84">
      <c r="A84" s="36">
        <f>IF(Datos!A84="","",Datos!A84)</f>
        <v/>
      </c>
      <c r="B84" s="37">
        <f>IF(OR($A84="",NOT(ISNUMBER(Datos!B84)),NOT(ISNUMBER(Datos!B83))),"",Datos!B84/Datos!B83-1)</f>
        <v/>
      </c>
      <c r="C84" s="37">
        <f>IF(OR($A84="",NOT(ISNUMBER(Datos!C84)),NOT(ISNUMBER(Datos!C83))),"",Datos!C84/Datos!C83-1)</f>
        <v/>
      </c>
      <c r="D84" s="37">
        <f>IF(OR($A84="",NOT(ISNUMBER(Datos!D84)),NOT(ISNUMBER(Datos!D83))),"",Datos!D84/Datos!D83-1)</f>
        <v/>
      </c>
      <c r="E84" s="37">
        <f>IF(OR($A84="",NOT(ISNUMBER(Datos!E84)),NOT(ISNUMBER(Datos!E83))),"",Datos!E84/Datos!E83-1)</f>
        <v/>
      </c>
      <c r="F84" s="38">
        <f>IF($A84="","",COUNT(B84:E84))</f>
        <v/>
      </c>
      <c r="G84" s="37">
        <f>IF($A84="","",IF(F84&gt;=MIN_BANCOS,AVERAGE(B84:E84),""))</f>
        <v/>
      </c>
      <c r="H84" s="37">
        <f>IF(OR($A84="",NOT(ISNUMBER(Datos!F84)),NOT(ISNUMBER(Datos!F83))),"",Datos!F84/Datos!F83-1)</f>
        <v/>
      </c>
      <c r="I84" s="39">
        <f>IF($A84="","",IF(ISNUMBER(Datos!G84),Datos!G84,I83))</f>
        <v/>
      </c>
      <c r="J84" s="40">
        <f>IF($A84="","",IF(ISNUMBER(I83),LN(1+I83/100/12),0))</f>
        <v/>
      </c>
      <c r="K84" s="40">
        <f>IF(ISNUMBER(G84),LN(1+G84)-J84,"")</f>
        <v/>
      </c>
      <c r="L84" s="40">
        <f>IF(ISNUMBER(H84),LN(1+H84)-J84,"")</f>
        <v/>
      </c>
      <c r="M84" s="38">
        <f>IF(ISNUMBER(K84),1,0)</f>
        <v/>
      </c>
      <c r="N84" s="40">
        <f>IF(M84=1,K84,0)</f>
        <v/>
      </c>
      <c r="O84" s="38">
        <f>IF(ISNUMBER(L84),1,0)</f>
        <v/>
      </c>
      <c r="P84" s="40">
        <f>IF(O84=1,L84,0)</f>
        <v/>
      </c>
      <c r="Q84" s="38">
        <f>M84*O84</f>
        <v/>
      </c>
      <c r="R84" s="38">
        <f>SUM(Q48:Q83)</f>
        <v/>
      </c>
      <c r="S84" s="41">
        <f>IF(OR($A84="",R84&lt;MIN_OBS_ROLL),"",(SUMPRODUCT(Q48:Q83,N48:N83,P48:P83)/R84-SUMPRODUCT(Q48:Q83,N48:N83)/R84*SUMPRODUCT(Q48:Q83,P48:P83)/R84)*R84/(R84-1))</f>
        <v/>
      </c>
      <c r="T84" s="38">
        <f>SUM(O48:O83)</f>
        <v/>
      </c>
      <c r="U84" s="41">
        <f>IF(OR($A84="",T84&lt;MIN_OBS_ROLL),"",SUMPRODUCT(O48:O83,(P48:P83-SUMPRODUCT(O48:O83,P48:P83)/T84)^2)/(T84-1))</f>
        <v/>
      </c>
      <c r="V84" s="40">
        <f>IF(OR(S84="",U84=""),"",S84/U84)</f>
        <v/>
      </c>
      <c r="W84" s="40">
        <f>IF(AND(ISNUMBER(K84),ISNUMBER(L84),ISNUMBER(V84)),K84-V84*L84,"")</f>
        <v/>
      </c>
      <c r="X84" s="40">
        <f>IF(OR($A84="",NOT(ISNUMBER(Datos!H84)),NOT(ISNUMBER(Datos!H83))),"",LN(Datos!H84)-LN(Datos!H83))</f>
        <v/>
      </c>
      <c r="Y84" s="38">
        <f>IF(ISNUMBER(W84),1,0)</f>
        <v/>
      </c>
      <c r="Z84" s="40">
        <f>IF(Y84=1,W84,0)</f>
        <v/>
      </c>
      <c r="AA84" s="38">
        <f>IF(ISNUMBER(X84),1,0)</f>
        <v/>
      </c>
      <c r="AB84" s="40">
        <f>IF(AA84=1,X84,0)</f>
        <v/>
      </c>
      <c r="AC84" s="38">
        <f>Y84*AA84</f>
        <v/>
      </c>
      <c r="AD84" s="38">
        <f>SUM(AC48:AC83)</f>
        <v/>
      </c>
      <c r="AE84" s="41">
        <f>IF(OR($A84="",AD84&lt;MIN_OBS_ROLL),"",(SUMPRODUCT(AC48:AC83,Z48:Z83,AB48:AB83)/AD84-SUMPRODUCT(AC48:AC83,Z48:Z83)/AD84*SUMPRODUCT(AC48:AC83,AB48:AB83)/AD84)*AD84/(AD84-1))</f>
        <v/>
      </c>
      <c r="AF84" s="38">
        <f>SUM(AA48:AA83)</f>
        <v/>
      </c>
      <c r="AG84" s="41">
        <f>IF(OR($A84="",AF84&lt;MIN_OBS_ROLL),"",SUMPRODUCT(AA48:AA83,(AB48:AB83-SUMPRODUCT(AA48:AA83,AB48:AB83)/AF84)^2)/(AF84-1))</f>
        <v/>
      </c>
      <c r="AH84" s="38">
        <f>SUM(Y48:Y83)</f>
        <v/>
      </c>
      <c r="AI84" s="40">
        <f>IF(OR($A84="",AH84&lt;MIN_OBS_ROLL),"",SUMPRODUCT(Y48:Y83,Z48:Z83)/AH84)</f>
        <v/>
      </c>
      <c r="AJ84" s="40">
        <f>IF(OR($A84="",AF84&lt;MIN_OBS_ROLL),"",SUMPRODUCT(AA48:AA83,AB48:AB83)/AF84)</f>
        <v/>
      </c>
      <c r="AK84" s="40">
        <f>IF(OR(AE84="",AG84=""),"",AE84/AG84)</f>
        <v/>
      </c>
      <c r="AL84" s="40">
        <f>IF(OR(AI84="",AK84="",AJ84=""),"",AI84-AK84*AJ84)</f>
        <v/>
      </c>
      <c r="AM84" s="40">
        <f>IF(AND(ISNUMBER(W84),ISNUMBER(X84),ISNUMBER(AK84),ISNUMBER(AL84)),W84-(AL84+AK84*X84),"")</f>
        <v/>
      </c>
      <c r="AN84" s="38">
        <f>IF(ISNUMBER(AM84),1,0)</f>
        <v/>
      </c>
      <c r="AO84" s="40">
        <f>IF(AN84=1,AM84,0)</f>
        <v/>
      </c>
      <c r="AP84" s="40">
        <f>IF(SUM(AN82:AN84)=3,SUM(AO82:AO84),"")</f>
        <v/>
      </c>
      <c r="AQ84" s="38">
        <f>IF(ISNUMBER(AP84),1,0)</f>
        <v/>
      </c>
      <c r="AR84" s="40">
        <f>IF(AQ84=1,AP84,0)</f>
        <v/>
      </c>
      <c r="AS84" s="38">
        <f>SUM(AQ$5:AQ84)</f>
        <v/>
      </c>
      <c r="AT84" s="40">
        <f>IF(AS84&gt;=MIN_OBS_Z,SUMPRODUCT(AQ$5:AQ84,AR$5:AR84)/AS84,"")</f>
        <v/>
      </c>
      <c r="AU84" s="40">
        <f>IF(AS84&gt;=MIN_OBS_Z,SQRT(SUMPRODUCT(AQ$5:AQ84,(AR$5:AR84-AT84)^2)/(AS84-1)),"")</f>
        <v/>
      </c>
      <c r="AV84" s="40">
        <f>IF(AND(AQ84=1,ISNUMBER(AT84)),MAX(-Z_CLIP,MIN(Z_CLIP,(AR84-AT84)/AU84)),"")</f>
        <v/>
      </c>
      <c r="AW84" s="40">
        <f>IF(ISNUMBER(AV84),-AV84,"")</f>
        <v/>
      </c>
      <c r="AX84" s="40">
        <f>IF(ISNUMBER(AW84),1+AMPLITUD*TANH(AW84),"")</f>
        <v/>
      </c>
      <c r="AY84" s="40">
        <f>IF($A84="","",IF(COUNT(AX82:AX84)&gt;0,AVERAGE(AX82:AX84),""))</f>
        <v/>
      </c>
      <c r="AZ84" s="40">
        <f>IF(ISNUMBER(AY84),AY84-1,"")</f>
        <v/>
      </c>
      <c r="BA84" s="40">
        <f>IF(AND(ISNUMBER(AZ83),ISNUMBER(W84)),AZ83*W_BANCOS*W84,"")</f>
        <v/>
      </c>
      <c r="BB84" s="40">
        <f>IF(AND(ISNUMBER(AZ83),ISNUMBER(AZ82)),ABS(AZ83-AZ82)*W_BANCOS*COSTO,0)</f>
        <v/>
      </c>
      <c r="BC84" s="40">
        <f>IF(ISNUMBER(BA84),BA84-BB84,"")</f>
        <v/>
      </c>
      <c r="BD84" s="42">
        <f>IF(ISNUMBER(BC84),IF(A84&lt;=FECHA_ERA,"A","B"),"")</f>
        <v/>
      </c>
      <c r="BE84" s="40">
        <f>IF(BD84="A",BC84,"")</f>
        <v/>
      </c>
      <c r="BF84" s="40">
        <f>IF(BD84="B",BC84,"")</f>
        <v/>
      </c>
      <c r="BG84" s="38">
        <f>IF(AND(ISNUMBER(BC84),ISNUMBER(A84)),IF(A84&gt;=INICIO_VIVO,1,0),0)</f>
        <v/>
      </c>
      <c r="BH84" s="40">
        <f>IF(BG84=1,BC84,"")</f>
        <v/>
      </c>
      <c r="BI84" s="38">
        <f>IF(ISNUMBER(AY84),ROW(),0)</f>
        <v/>
      </c>
      <c r="BJ84" s="43">
        <f>IF(ISNUMBER(BC84),SUM(BC$5:BC84)*10000,NA())</f>
        <v/>
      </c>
      <c r="BK84" s="43">
        <f>IF(BG84=1,SUM(BH$5:BH84)*10000,NA())</f>
        <v/>
      </c>
      <c r="BL84" s="44">
        <f>IF(ISNUMBER(AY84),AY84,NA())</f>
        <v/>
      </c>
    </row>
    <row r="85">
      <c r="A85" s="36">
        <f>IF(Datos!A85="","",Datos!A85)</f>
        <v/>
      </c>
      <c r="B85" s="37">
        <f>IF(OR($A85="",NOT(ISNUMBER(Datos!B85)),NOT(ISNUMBER(Datos!B84))),"",Datos!B85/Datos!B84-1)</f>
        <v/>
      </c>
      <c r="C85" s="37">
        <f>IF(OR($A85="",NOT(ISNUMBER(Datos!C85)),NOT(ISNUMBER(Datos!C84))),"",Datos!C85/Datos!C84-1)</f>
        <v/>
      </c>
      <c r="D85" s="37">
        <f>IF(OR($A85="",NOT(ISNUMBER(Datos!D85)),NOT(ISNUMBER(Datos!D84))),"",Datos!D85/Datos!D84-1)</f>
        <v/>
      </c>
      <c r="E85" s="37">
        <f>IF(OR($A85="",NOT(ISNUMBER(Datos!E85)),NOT(ISNUMBER(Datos!E84))),"",Datos!E85/Datos!E84-1)</f>
        <v/>
      </c>
      <c r="F85" s="38">
        <f>IF($A85="","",COUNT(B85:E85))</f>
        <v/>
      </c>
      <c r="G85" s="37">
        <f>IF($A85="","",IF(F85&gt;=MIN_BANCOS,AVERAGE(B85:E85),""))</f>
        <v/>
      </c>
      <c r="H85" s="37">
        <f>IF(OR($A85="",NOT(ISNUMBER(Datos!F85)),NOT(ISNUMBER(Datos!F84))),"",Datos!F85/Datos!F84-1)</f>
        <v/>
      </c>
      <c r="I85" s="39">
        <f>IF($A85="","",IF(ISNUMBER(Datos!G85),Datos!G85,I84))</f>
        <v/>
      </c>
      <c r="J85" s="40">
        <f>IF($A85="","",IF(ISNUMBER(I84),LN(1+I84/100/12),0))</f>
        <v/>
      </c>
      <c r="K85" s="40">
        <f>IF(ISNUMBER(G85),LN(1+G85)-J85,"")</f>
        <v/>
      </c>
      <c r="L85" s="40">
        <f>IF(ISNUMBER(H85),LN(1+H85)-J85,"")</f>
        <v/>
      </c>
      <c r="M85" s="38">
        <f>IF(ISNUMBER(K85),1,0)</f>
        <v/>
      </c>
      <c r="N85" s="40">
        <f>IF(M85=1,K85,0)</f>
        <v/>
      </c>
      <c r="O85" s="38">
        <f>IF(ISNUMBER(L85),1,0)</f>
        <v/>
      </c>
      <c r="P85" s="40">
        <f>IF(O85=1,L85,0)</f>
        <v/>
      </c>
      <c r="Q85" s="38">
        <f>M85*O85</f>
        <v/>
      </c>
      <c r="R85" s="38">
        <f>SUM(Q49:Q84)</f>
        <v/>
      </c>
      <c r="S85" s="41">
        <f>IF(OR($A85="",R85&lt;MIN_OBS_ROLL),"",(SUMPRODUCT(Q49:Q84,N49:N84,P49:P84)/R85-SUMPRODUCT(Q49:Q84,N49:N84)/R85*SUMPRODUCT(Q49:Q84,P49:P84)/R85)*R85/(R85-1))</f>
        <v/>
      </c>
      <c r="T85" s="38">
        <f>SUM(O49:O84)</f>
        <v/>
      </c>
      <c r="U85" s="41">
        <f>IF(OR($A85="",T85&lt;MIN_OBS_ROLL),"",SUMPRODUCT(O49:O84,(P49:P84-SUMPRODUCT(O49:O84,P49:P84)/T85)^2)/(T85-1))</f>
        <v/>
      </c>
      <c r="V85" s="40">
        <f>IF(OR(S85="",U85=""),"",S85/U85)</f>
        <v/>
      </c>
      <c r="W85" s="40">
        <f>IF(AND(ISNUMBER(K85),ISNUMBER(L85),ISNUMBER(V85)),K85-V85*L85,"")</f>
        <v/>
      </c>
      <c r="X85" s="40">
        <f>IF(OR($A85="",NOT(ISNUMBER(Datos!H85)),NOT(ISNUMBER(Datos!H84))),"",LN(Datos!H85)-LN(Datos!H84))</f>
        <v/>
      </c>
      <c r="Y85" s="38">
        <f>IF(ISNUMBER(W85),1,0)</f>
        <v/>
      </c>
      <c r="Z85" s="40">
        <f>IF(Y85=1,W85,0)</f>
        <v/>
      </c>
      <c r="AA85" s="38">
        <f>IF(ISNUMBER(X85),1,0)</f>
        <v/>
      </c>
      <c r="AB85" s="40">
        <f>IF(AA85=1,X85,0)</f>
        <v/>
      </c>
      <c r="AC85" s="38">
        <f>Y85*AA85</f>
        <v/>
      </c>
      <c r="AD85" s="38">
        <f>SUM(AC49:AC84)</f>
        <v/>
      </c>
      <c r="AE85" s="41">
        <f>IF(OR($A85="",AD85&lt;MIN_OBS_ROLL),"",(SUMPRODUCT(AC49:AC84,Z49:Z84,AB49:AB84)/AD85-SUMPRODUCT(AC49:AC84,Z49:Z84)/AD85*SUMPRODUCT(AC49:AC84,AB49:AB84)/AD85)*AD85/(AD85-1))</f>
        <v/>
      </c>
      <c r="AF85" s="38">
        <f>SUM(AA49:AA84)</f>
        <v/>
      </c>
      <c r="AG85" s="41">
        <f>IF(OR($A85="",AF85&lt;MIN_OBS_ROLL),"",SUMPRODUCT(AA49:AA84,(AB49:AB84-SUMPRODUCT(AA49:AA84,AB49:AB84)/AF85)^2)/(AF85-1))</f>
        <v/>
      </c>
      <c r="AH85" s="38">
        <f>SUM(Y49:Y84)</f>
        <v/>
      </c>
      <c r="AI85" s="40">
        <f>IF(OR($A85="",AH85&lt;MIN_OBS_ROLL),"",SUMPRODUCT(Y49:Y84,Z49:Z84)/AH85)</f>
        <v/>
      </c>
      <c r="AJ85" s="40">
        <f>IF(OR($A85="",AF85&lt;MIN_OBS_ROLL),"",SUMPRODUCT(AA49:AA84,AB49:AB84)/AF85)</f>
        <v/>
      </c>
      <c r="AK85" s="40">
        <f>IF(OR(AE85="",AG85=""),"",AE85/AG85)</f>
        <v/>
      </c>
      <c r="AL85" s="40">
        <f>IF(OR(AI85="",AK85="",AJ85=""),"",AI85-AK85*AJ85)</f>
        <v/>
      </c>
      <c r="AM85" s="40">
        <f>IF(AND(ISNUMBER(W85),ISNUMBER(X85),ISNUMBER(AK85),ISNUMBER(AL85)),W85-(AL85+AK85*X85),"")</f>
        <v/>
      </c>
      <c r="AN85" s="38">
        <f>IF(ISNUMBER(AM85),1,0)</f>
        <v/>
      </c>
      <c r="AO85" s="40">
        <f>IF(AN85=1,AM85,0)</f>
        <v/>
      </c>
      <c r="AP85" s="40">
        <f>IF(SUM(AN83:AN85)=3,SUM(AO83:AO85),"")</f>
        <v/>
      </c>
      <c r="AQ85" s="38">
        <f>IF(ISNUMBER(AP85),1,0)</f>
        <v/>
      </c>
      <c r="AR85" s="40">
        <f>IF(AQ85=1,AP85,0)</f>
        <v/>
      </c>
      <c r="AS85" s="38">
        <f>SUM(AQ$5:AQ85)</f>
        <v/>
      </c>
      <c r="AT85" s="40">
        <f>IF(AS85&gt;=MIN_OBS_Z,SUMPRODUCT(AQ$5:AQ85,AR$5:AR85)/AS85,"")</f>
        <v/>
      </c>
      <c r="AU85" s="40">
        <f>IF(AS85&gt;=MIN_OBS_Z,SQRT(SUMPRODUCT(AQ$5:AQ85,(AR$5:AR85-AT85)^2)/(AS85-1)),"")</f>
        <v/>
      </c>
      <c r="AV85" s="40">
        <f>IF(AND(AQ85=1,ISNUMBER(AT85)),MAX(-Z_CLIP,MIN(Z_CLIP,(AR85-AT85)/AU85)),"")</f>
        <v/>
      </c>
      <c r="AW85" s="40">
        <f>IF(ISNUMBER(AV85),-AV85,"")</f>
        <v/>
      </c>
      <c r="AX85" s="40">
        <f>IF(ISNUMBER(AW85),1+AMPLITUD*TANH(AW85),"")</f>
        <v/>
      </c>
      <c r="AY85" s="40">
        <f>IF($A85="","",IF(COUNT(AX83:AX85)&gt;0,AVERAGE(AX83:AX85),""))</f>
        <v/>
      </c>
      <c r="AZ85" s="40">
        <f>IF(ISNUMBER(AY85),AY85-1,"")</f>
        <v/>
      </c>
      <c r="BA85" s="40">
        <f>IF(AND(ISNUMBER(AZ84),ISNUMBER(W85)),AZ84*W_BANCOS*W85,"")</f>
        <v/>
      </c>
      <c r="BB85" s="40">
        <f>IF(AND(ISNUMBER(AZ84),ISNUMBER(AZ83)),ABS(AZ84-AZ83)*W_BANCOS*COSTO,0)</f>
        <v/>
      </c>
      <c r="BC85" s="40">
        <f>IF(ISNUMBER(BA85),BA85-BB85,"")</f>
        <v/>
      </c>
      <c r="BD85" s="42">
        <f>IF(ISNUMBER(BC85),IF(A85&lt;=FECHA_ERA,"A","B"),"")</f>
        <v/>
      </c>
      <c r="BE85" s="40">
        <f>IF(BD85="A",BC85,"")</f>
        <v/>
      </c>
      <c r="BF85" s="40">
        <f>IF(BD85="B",BC85,"")</f>
        <v/>
      </c>
      <c r="BG85" s="38">
        <f>IF(AND(ISNUMBER(BC85),ISNUMBER(A85)),IF(A85&gt;=INICIO_VIVO,1,0),0)</f>
        <v/>
      </c>
      <c r="BH85" s="40">
        <f>IF(BG85=1,BC85,"")</f>
        <v/>
      </c>
      <c r="BI85" s="38">
        <f>IF(ISNUMBER(AY85),ROW(),0)</f>
        <v/>
      </c>
      <c r="BJ85" s="43">
        <f>IF(ISNUMBER(BC85),SUM(BC$5:BC85)*10000,NA())</f>
        <v/>
      </c>
      <c r="BK85" s="43">
        <f>IF(BG85=1,SUM(BH$5:BH85)*10000,NA())</f>
        <v/>
      </c>
      <c r="BL85" s="44">
        <f>IF(ISNUMBER(AY85),AY85,NA())</f>
        <v/>
      </c>
    </row>
    <row r="86">
      <c r="A86" s="36">
        <f>IF(Datos!A86="","",Datos!A86)</f>
        <v/>
      </c>
      <c r="B86" s="37">
        <f>IF(OR($A86="",NOT(ISNUMBER(Datos!B86)),NOT(ISNUMBER(Datos!B85))),"",Datos!B86/Datos!B85-1)</f>
        <v/>
      </c>
      <c r="C86" s="37">
        <f>IF(OR($A86="",NOT(ISNUMBER(Datos!C86)),NOT(ISNUMBER(Datos!C85))),"",Datos!C86/Datos!C85-1)</f>
        <v/>
      </c>
      <c r="D86" s="37">
        <f>IF(OR($A86="",NOT(ISNUMBER(Datos!D86)),NOT(ISNUMBER(Datos!D85))),"",Datos!D86/Datos!D85-1)</f>
        <v/>
      </c>
      <c r="E86" s="37">
        <f>IF(OR($A86="",NOT(ISNUMBER(Datos!E86)),NOT(ISNUMBER(Datos!E85))),"",Datos!E86/Datos!E85-1)</f>
        <v/>
      </c>
      <c r="F86" s="38">
        <f>IF($A86="","",COUNT(B86:E86))</f>
        <v/>
      </c>
      <c r="G86" s="37">
        <f>IF($A86="","",IF(F86&gt;=MIN_BANCOS,AVERAGE(B86:E86),""))</f>
        <v/>
      </c>
      <c r="H86" s="37">
        <f>IF(OR($A86="",NOT(ISNUMBER(Datos!F86)),NOT(ISNUMBER(Datos!F85))),"",Datos!F86/Datos!F85-1)</f>
        <v/>
      </c>
      <c r="I86" s="39">
        <f>IF($A86="","",IF(ISNUMBER(Datos!G86),Datos!G86,I85))</f>
        <v/>
      </c>
      <c r="J86" s="40">
        <f>IF($A86="","",IF(ISNUMBER(I85),LN(1+I85/100/12),0))</f>
        <v/>
      </c>
      <c r="K86" s="40">
        <f>IF(ISNUMBER(G86),LN(1+G86)-J86,"")</f>
        <v/>
      </c>
      <c r="L86" s="40">
        <f>IF(ISNUMBER(H86),LN(1+H86)-J86,"")</f>
        <v/>
      </c>
      <c r="M86" s="38">
        <f>IF(ISNUMBER(K86),1,0)</f>
        <v/>
      </c>
      <c r="N86" s="40">
        <f>IF(M86=1,K86,0)</f>
        <v/>
      </c>
      <c r="O86" s="38">
        <f>IF(ISNUMBER(L86),1,0)</f>
        <v/>
      </c>
      <c r="P86" s="40">
        <f>IF(O86=1,L86,0)</f>
        <v/>
      </c>
      <c r="Q86" s="38">
        <f>M86*O86</f>
        <v/>
      </c>
      <c r="R86" s="38">
        <f>SUM(Q50:Q85)</f>
        <v/>
      </c>
      <c r="S86" s="41">
        <f>IF(OR($A86="",R86&lt;MIN_OBS_ROLL),"",(SUMPRODUCT(Q50:Q85,N50:N85,P50:P85)/R86-SUMPRODUCT(Q50:Q85,N50:N85)/R86*SUMPRODUCT(Q50:Q85,P50:P85)/R86)*R86/(R86-1))</f>
        <v/>
      </c>
      <c r="T86" s="38">
        <f>SUM(O50:O85)</f>
        <v/>
      </c>
      <c r="U86" s="41">
        <f>IF(OR($A86="",T86&lt;MIN_OBS_ROLL),"",SUMPRODUCT(O50:O85,(P50:P85-SUMPRODUCT(O50:O85,P50:P85)/T86)^2)/(T86-1))</f>
        <v/>
      </c>
      <c r="V86" s="40">
        <f>IF(OR(S86="",U86=""),"",S86/U86)</f>
        <v/>
      </c>
      <c r="W86" s="40">
        <f>IF(AND(ISNUMBER(K86),ISNUMBER(L86),ISNUMBER(V86)),K86-V86*L86,"")</f>
        <v/>
      </c>
      <c r="X86" s="40">
        <f>IF(OR($A86="",NOT(ISNUMBER(Datos!H86)),NOT(ISNUMBER(Datos!H85))),"",LN(Datos!H86)-LN(Datos!H85))</f>
        <v/>
      </c>
      <c r="Y86" s="38">
        <f>IF(ISNUMBER(W86),1,0)</f>
        <v/>
      </c>
      <c r="Z86" s="40">
        <f>IF(Y86=1,W86,0)</f>
        <v/>
      </c>
      <c r="AA86" s="38">
        <f>IF(ISNUMBER(X86),1,0)</f>
        <v/>
      </c>
      <c r="AB86" s="40">
        <f>IF(AA86=1,X86,0)</f>
        <v/>
      </c>
      <c r="AC86" s="38">
        <f>Y86*AA86</f>
        <v/>
      </c>
      <c r="AD86" s="38">
        <f>SUM(AC50:AC85)</f>
        <v/>
      </c>
      <c r="AE86" s="41">
        <f>IF(OR($A86="",AD86&lt;MIN_OBS_ROLL),"",(SUMPRODUCT(AC50:AC85,Z50:Z85,AB50:AB85)/AD86-SUMPRODUCT(AC50:AC85,Z50:Z85)/AD86*SUMPRODUCT(AC50:AC85,AB50:AB85)/AD86)*AD86/(AD86-1))</f>
        <v/>
      </c>
      <c r="AF86" s="38">
        <f>SUM(AA50:AA85)</f>
        <v/>
      </c>
      <c r="AG86" s="41">
        <f>IF(OR($A86="",AF86&lt;MIN_OBS_ROLL),"",SUMPRODUCT(AA50:AA85,(AB50:AB85-SUMPRODUCT(AA50:AA85,AB50:AB85)/AF86)^2)/(AF86-1))</f>
        <v/>
      </c>
      <c r="AH86" s="38">
        <f>SUM(Y50:Y85)</f>
        <v/>
      </c>
      <c r="AI86" s="40">
        <f>IF(OR($A86="",AH86&lt;MIN_OBS_ROLL),"",SUMPRODUCT(Y50:Y85,Z50:Z85)/AH86)</f>
        <v/>
      </c>
      <c r="AJ86" s="40">
        <f>IF(OR($A86="",AF86&lt;MIN_OBS_ROLL),"",SUMPRODUCT(AA50:AA85,AB50:AB85)/AF86)</f>
        <v/>
      </c>
      <c r="AK86" s="40">
        <f>IF(OR(AE86="",AG86=""),"",AE86/AG86)</f>
        <v/>
      </c>
      <c r="AL86" s="40">
        <f>IF(OR(AI86="",AK86="",AJ86=""),"",AI86-AK86*AJ86)</f>
        <v/>
      </c>
      <c r="AM86" s="40">
        <f>IF(AND(ISNUMBER(W86),ISNUMBER(X86),ISNUMBER(AK86),ISNUMBER(AL86)),W86-(AL86+AK86*X86),"")</f>
        <v/>
      </c>
      <c r="AN86" s="38">
        <f>IF(ISNUMBER(AM86),1,0)</f>
        <v/>
      </c>
      <c r="AO86" s="40">
        <f>IF(AN86=1,AM86,0)</f>
        <v/>
      </c>
      <c r="AP86" s="40">
        <f>IF(SUM(AN84:AN86)=3,SUM(AO84:AO86),"")</f>
        <v/>
      </c>
      <c r="AQ86" s="38">
        <f>IF(ISNUMBER(AP86),1,0)</f>
        <v/>
      </c>
      <c r="AR86" s="40">
        <f>IF(AQ86=1,AP86,0)</f>
        <v/>
      </c>
      <c r="AS86" s="38">
        <f>SUM(AQ$5:AQ86)</f>
        <v/>
      </c>
      <c r="AT86" s="40">
        <f>IF(AS86&gt;=MIN_OBS_Z,SUMPRODUCT(AQ$5:AQ86,AR$5:AR86)/AS86,"")</f>
        <v/>
      </c>
      <c r="AU86" s="40">
        <f>IF(AS86&gt;=MIN_OBS_Z,SQRT(SUMPRODUCT(AQ$5:AQ86,(AR$5:AR86-AT86)^2)/(AS86-1)),"")</f>
        <v/>
      </c>
      <c r="AV86" s="40">
        <f>IF(AND(AQ86=1,ISNUMBER(AT86)),MAX(-Z_CLIP,MIN(Z_CLIP,(AR86-AT86)/AU86)),"")</f>
        <v/>
      </c>
      <c r="AW86" s="40">
        <f>IF(ISNUMBER(AV86),-AV86,"")</f>
        <v/>
      </c>
      <c r="AX86" s="40">
        <f>IF(ISNUMBER(AW86),1+AMPLITUD*TANH(AW86),"")</f>
        <v/>
      </c>
      <c r="AY86" s="40">
        <f>IF($A86="","",IF(COUNT(AX84:AX86)&gt;0,AVERAGE(AX84:AX86),""))</f>
        <v/>
      </c>
      <c r="AZ86" s="40">
        <f>IF(ISNUMBER(AY86),AY86-1,"")</f>
        <v/>
      </c>
      <c r="BA86" s="40">
        <f>IF(AND(ISNUMBER(AZ85),ISNUMBER(W86)),AZ85*W_BANCOS*W86,"")</f>
        <v/>
      </c>
      <c r="BB86" s="40">
        <f>IF(AND(ISNUMBER(AZ85),ISNUMBER(AZ84)),ABS(AZ85-AZ84)*W_BANCOS*COSTO,0)</f>
        <v/>
      </c>
      <c r="BC86" s="40">
        <f>IF(ISNUMBER(BA86),BA86-BB86,"")</f>
        <v/>
      </c>
      <c r="BD86" s="42">
        <f>IF(ISNUMBER(BC86),IF(A86&lt;=FECHA_ERA,"A","B"),"")</f>
        <v/>
      </c>
      <c r="BE86" s="40">
        <f>IF(BD86="A",BC86,"")</f>
        <v/>
      </c>
      <c r="BF86" s="40">
        <f>IF(BD86="B",BC86,"")</f>
        <v/>
      </c>
      <c r="BG86" s="38">
        <f>IF(AND(ISNUMBER(BC86),ISNUMBER(A86)),IF(A86&gt;=INICIO_VIVO,1,0),0)</f>
        <v/>
      </c>
      <c r="BH86" s="40">
        <f>IF(BG86=1,BC86,"")</f>
        <v/>
      </c>
      <c r="BI86" s="38">
        <f>IF(ISNUMBER(AY86),ROW(),0)</f>
        <v/>
      </c>
      <c r="BJ86" s="43">
        <f>IF(ISNUMBER(BC86),SUM(BC$5:BC86)*10000,NA())</f>
        <v/>
      </c>
      <c r="BK86" s="43">
        <f>IF(BG86=1,SUM(BH$5:BH86)*10000,NA())</f>
        <v/>
      </c>
      <c r="BL86" s="44">
        <f>IF(ISNUMBER(AY86),AY86,NA())</f>
        <v/>
      </c>
    </row>
    <row r="87">
      <c r="A87" s="36">
        <f>IF(Datos!A87="","",Datos!A87)</f>
        <v/>
      </c>
      <c r="B87" s="37">
        <f>IF(OR($A87="",NOT(ISNUMBER(Datos!B87)),NOT(ISNUMBER(Datos!B86))),"",Datos!B87/Datos!B86-1)</f>
        <v/>
      </c>
      <c r="C87" s="37">
        <f>IF(OR($A87="",NOT(ISNUMBER(Datos!C87)),NOT(ISNUMBER(Datos!C86))),"",Datos!C87/Datos!C86-1)</f>
        <v/>
      </c>
      <c r="D87" s="37">
        <f>IF(OR($A87="",NOT(ISNUMBER(Datos!D87)),NOT(ISNUMBER(Datos!D86))),"",Datos!D87/Datos!D86-1)</f>
        <v/>
      </c>
      <c r="E87" s="37">
        <f>IF(OR($A87="",NOT(ISNUMBER(Datos!E87)),NOT(ISNUMBER(Datos!E86))),"",Datos!E87/Datos!E86-1)</f>
        <v/>
      </c>
      <c r="F87" s="38">
        <f>IF($A87="","",COUNT(B87:E87))</f>
        <v/>
      </c>
      <c r="G87" s="37">
        <f>IF($A87="","",IF(F87&gt;=MIN_BANCOS,AVERAGE(B87:E87),""))</f>
        <v/>
      </c>
      <c r="H87" s="37">
        <f>IF(OR($A87="",NOT(ISNUMBER(Datos!F87)),NOT(ISNUMBER(Datos!F86))),"",Datos!F87/Datos!F86-1)</f>
        <v/>
      </c>
      <c r="I87" s="39">
        <f>IF($A87="","",IF(ISNUMBER(Datos!G87),Datos!G87,I86))</f>
        <v/>
      </c>
      <c r="J87" s="40">
        <f>IF($A87="","",IF(ISNUMBER(I86),LN(1+I86/100/12),0))</f>
        <v/>
      </c>
      <c r="K87" s="40">
        <f>IF(ISNUMBER(G87),LN(1+G87)-J87,"")</f>
        <v/>
      </c>
      <c r="L87" s="40">
        <f>IF(ISNUMBER(H87),LN(1+H87)-J87,"")</f>
        <v/>
      </c>
      <c r="M87" s="38">
        <f>IF(ISNUMBER(K87),1,0)</f>
        <v/>
      </c>
      <c r="N87" s="40">
        <f>IF(M87=1,K87,0)</f>
        <v/>
      </c>
      <c r="O87" s="38">
        <f>IF(ISNUMBER(L87),1,0)</f>
        <v/>
      </c>
      <c r="P87" s="40">
        <f>IF(O87=1,L87,0)</f>
        <v/>
      </c>
      <c r="Q87" s="38">
        <f>M87*O87</f>
        <v/>
      </c>
      <c r="R87" s="38">
        <f>SUM(Q51:Q86)</f>
        <v/>
      </c>
      <c r="S87" s="41">
        <f>IF(OR($A87="",R87&lt;MIN_OBS_ROLL),"",(SUMPRODUCT(Q51:Q86,N51:N86,P51:P86)/R87-SUMPRODUCT(Q51:Q86,N51:N86)/R87*SUMPRODUCT(Q51:Q86,P51:P86)/R87)*R87/(R87-1))</f>
        <v/>
      </c>
      <c r="T87" s="38">
        <f>SUM(O51:O86)</f>
        <v/>
      </c>
      <c r="U87" s="41">
        <f>IF(OR($A87="",T87&lt;MIN_OBS_ROLL),"",SUMPRODUCT(O51:O86,(P51:P86-SUMPRODUCT(O51:O86,P51:P86)/T87)^2)/(T87-1))</f>
        <v/>
      </c>
      <c r="V87" s="40">
        <f>IF(OR(S87="",U87=""),"",S87/U87)</f>
        <v/>
      </c>
      <c r="W87" s="40">
        <f>IF(AND(ISNUMBER(K87),ISNUMBER(L87),ISNUMBER(V87)),K87-V87*L87,"")</f>
        <v/>
      </c>
      <c r="X87" s="40">
        <f>IF(OR($A87="",NOT(ISNUMBER(Datos!H87)),NOT(ISNUMBER(Datos!H86))),"",LN(Datos!H87)-LN(Datos!H86))</f>
        <v/>
      </c>
      <c r="Y87" s="38">
        <f>IF(ISNUMBER(W87),1,0)</f>
        <v/>
      </c>
      <c r="Z87" s="40">
        <f>IF(Y87=1,W87,0)</f>
        <v/>
      </c>
      <c r="AA87" s="38">
        <f>IF(ISNUMBER(X87),1,0)</f>
        <v/>
      </c>
      <c r="AB87" s="40">
        <f>IF(AA87=1,X87,0)</f>
        <v/>
      </c>
      <c r="AC87" s="38">
        <f>Y87*AA87</f>
        <v/>
      </c>
      <c r="AD87" s="38">
        <f>SUM(AC51:AC86)</f>
        <v/>
      </c>
      <c r="AE87" s="41">
        <f>IF(OR($A87="",AD87&lt;MIN_OBS_ROLL),"",(SUMPRODUCT(AC51:AC86,Z51:Z86,AB51:AB86)/AD87-SUMPRODUCT(AC51:AC86,Z51:Z86)/AD87*SUMPRODUCT(AC51:AC86,AB51:AB86)/AD87)*AD87/(AD87-1))</f>
        <v/>
      </c>
      <c r="AF87" s="38">
        <f>SUM(AA51:AA86)</f>
        <v/>
      </c>
      <c r="AG87" s="41">
        <f>IF(OR($A87="",AF87&lt;MIN_OBS_ROLL),"",SUMPRODUCT(AA51:AA86,(AB51:AB86-SUMPRODUCT(AA51:AA86,AB51:AB86)/AF87)^2)/(AF87-1))</f>
        <v/>
      </c>
      <c r="AH87" s="38">
        <f>SUM(Y51:Y86)</f>
        <v/>
      </c>
      <c r="AI87" s="40">
        <f>IF(OR($A87="",AH87&lt;MIN_OBS_ROLL),"",SUMPRODUCT(Y51:Y86,Z51:Z86)/AH87)</f>
        <v/>
      </c>
      <c r="AJ87" s="40">
        <f>IF(OR($A87="",AF87&lt;MIN_OBS_ROLL),"",SUMPRODUCT(AA51:AA86,AB51:AB86)/AF87)</f>
        <v/>
      </c>
      <c r="AK87" s="40">
        <f>IF(OR(AE87="",AG87=""),"",AE87/AG87)</f>
        <v/>
      </c>
      <c r="AL87" s="40">
        <f>IF(OR(AI87="",AK87="",AJ87=""),"",AI87-AK87*AJ87)</f>
        <v/>
      </c>
      <c r="AM87" s="40">
        <f>IF(AND(ISNUMBER(W87),ISNUMBER(X87),ISNUMBER(AK87),ISNUMBER(AL87)),W87-(AL87+AK87*X87),"")</f>
        <v/>
      </c>
      <c r="AN87" s="38">
        <f>IF(ISNUMBER(AM87),1,0)</f>
        <v/>
      </c>
      <c r="AO87" s="40">
        <f>IF(AN87=1,AM87,0)</f>
        <v/>
      </c>
      <c r="AP87" s="40">
        <f>IF(SUM(AN85:AN87)=3,SUM(AO85:AO87),"")</f>
        <v/>
      </c>
      <c r="AQ87" s="38">
        <f>IF(ISNUMBER(AP87),1,0)</f>
        <v/>
      </c>
      <c r="AR87" s="40">
        <f>IF(AQ87=1,AP87,0)</f>
        <v/>
      </c>
      <c r="AS87" s="38">
        <f>SUM(AQ$5:AQ87)</f>
        <v/>
      </c>
      <c r="AT87" s="40">
        <f>IF(AS87&gt;=MIN_OBS_Z,SUMPRODUCT(AQ$5:AQ87,AR$5:AR87)/AS87,"")</f>
        <v/>
      </c>
      <c r="AU87" s="40">
        <f>IF(AS87&gt;=MIN_OBS_Z,SQRT(SUMPRODUCT(AQ$5:AQ87,(AR$5:AR87-AT87)^2)/(AS87-1)),"")</f>
        <v/>
      </c>
      <c r="AV87" s="40">
        <f>IF(AND(AQ87=1,ISNUMBER(AT87)),MAX(-Z_CLIP,MIN(Z_CLIP,(AR87-AT87)/AU87)),"")</f>
        <v/>
      </c>
      <c r="AW87" s="40">
        <f>IF(ISNUMBER(AV87),-AV87,"")</f>
        <v/>
      </c>
      <c r="AX87" s="40">
        <f>IF(ISNUMBER(AW87),1+AMPLITUD*TANH(AW87),"")</f>
        <v/>
      </c>
      <c r="AY87" s="40">
        <f>IF($A87="","",IF(COUNT(AX85:AX87)&gt;0,AVERAGE(AX85:AX87),""))</f>
        <v/>
      </c>
      <c r="AZ87" s="40">
        <f>IF(ISNUMBER(AY87),AY87-1,"")</f>
        <v/>
      </c>
      <c r="BA87" s="40">
        <f>IF(AND(ISNUMBER(AZ86),ISNUMBER(W87)),AZ86*W_BANCOS*W87,"")</f>
        <v/>
      </c>
      <c r="BB87" s="40">
        <f>IF(AND(ISNUMBER(AZ86),ISNUMBER(AZ85)),ABS(AZ86-AZ85)*W_BANCOS*COSTO,0)</f>
        <v/>
      </c>
      <c r="BC87" s="40">
        <f>IF(ISNUMBER(BA87),BA87-BB87,"")</f>
        <v/>
      </c>
      <c r="BD87" s="42">
        <f>IF(ISNUMBER(BC87),IF(A87&lt;=FECHA_ERA,"A","B"),"")</f>
        <v/>
      </c>
      <c r="BE87" s="40">
        <f>IF(BD87="A",BC87,"")</f>
        <v/>
      </c>
      <c r="BF87" s="40">
        <f>IF(BD87="B",BC87,"")</f>
        <v/>
      </c>
      <c r="BG87" s="38">
        <f>IF(AND(ISNUMBER(BC87),ISNUMBER(A87)),IF(A87&gt;=INICIO_VIVO,1,0),0)</f>
        <v/>
      </c>
      <c r="BH87" s="40">
        <f>IF(BG87=1,BC87,"")</f>
        <v/>
      </c>
      <c r="BI87" s="38">
        <f>IF(ISNUMBER(AY87),ROW(),0)</f>
        <v/>
      </c>
      <c r="BJ87" s="43">
        <f>IF(ISNUMBER(BC87),SUM(BC$5:BC87)*10000,NA())</f>
        <v/>
      </c>
      <c r="BK87" s="43">
        <f>IF(BG87=1,SUM(BH$5:BH87)*10000,NA())</f>
        <v/>
      </c>
      <c r="BL87" s="44">
        <f>IF(ISNUMBER(AY87),AY87,NA())</f>
        <v/>
      </c>
    </row>
    <row r="88">
      <c r="A88" s="36">
        <f>IF(Datos!A88="","",Datos!A88)</f>
        <v/>
      </c>
      <c r="B88" s="37">
        <f>IF(OR($A88="",NOT(ISNUMBER(Datos!B88)),NOT(ISNUMBER(Datos!B87))),"",Datos!B88/Datos!B87-1)</f>
        <v/>
      </c>
      <c r="C88" s="37">
        <f>IF(OR($A88="",NOT(ISNUMBER(Datos!C88)),NOT(ISNUMBER(Datos!C87))),"",Datos!C88/Datos!C87-1)</f>
        <v/>
      </c>
      <c r="D88" s="37">
        <f>IF(OR($A88="",NOT(ISNUMBER(Datos!D88)),NOT(ISNUMBER(Datos!D87))),"",Datos!D88/Datos!D87-1)</f>
        <v/>
      </c>
      <c r="E88" s="37">
        <f>IF(OR($A88="",NOT(ISNUMBER(Datos!E88)),NOT(ISNUMBER(Datos!E87))),"",Datos!E88/Datos!E87-1)</f>
        <v/>
      </c>
      <c r="F88" s="38">
        <f>IF($A88="","",COUNT(B88:E88))</f>
        <v/>
      </c>
      <c r="G88" s="37">
        <f>IF($A88="","",IF(F88&gt;=MIN_BANCOS,AVERAGE(B88:E88),""))</f>
        <v/>
      </c>
      <c r="H88" s="37">
        <f>IF(OR($A88="",NOT(ISNUMBER(Datos!F88)),NOT(ISNUMBER(Datos!F87))),"",Datos!F88/Datos!F87-1)</f>
        <v/>
      </c>
      <c r="I88" s="39">
        <f>IF($A88="","",IF(ISNUMBER(Datos!G88),Datos!G88,I87))</f>
        <v/>
      </c>
      <c r="J88" s="40">
        <f>IF($A88="","",IF(ISNUMBER(I87),LN(1+I87/100/12),0))</f>
        <v/>
      </c>
      <c r="K88" s="40">
        <f>IF(ISNUMBER(G88),LN(1+G88)-J88,"")</f>
        <v/>
      </c>
      <c r="L88" s="40">
        <f>IF(ISNUMBER(H88),LN(1+H88)-J88,"")</f>
        <v/>
      </c>
      <c r="M88" s="38">
        <f>IF(ISNUMBER(K88),1,0)</f>
        <v/>
      </c>
      <c r="N88" s="40">
        <f>IF(M88=1,K88,0)</f>
        <v/>
      </c>
      <c r="O88" s="38">
        <f>IF(ISNUMBER(L88),1,0)</f>
        <v/>
      </c>
      <c r="P88" s="40">
        <f>IF(O88=1,L88,0)</f>
        <v/>
      </c>
      <c r="Q88" s="38">
        <f>M88*O88</f>
        <v/>
      </c>
      <c r="R88" s="38">
        <f>SUM(Q52:Q87)</f>
        <v/>
      </c>
      <c r="S88" s="41">
        <f>IF(OR($A88="",R88&lt;MIN_OBS_ROLL),"",(SUMPRODUCT(Q52:Q87,N52:N87,P52:P87)/R88-SUMPRODUCT(Q52:Q87,N52:N87)/R88*SUMPRODUCT(Q52:Q87,P52:P87)/R88)*R88/(R88-1))</f>
        <v/>
      </c>
      <c r="T88" s="38">
        <f>SUM(O52:O87)</f>
        <v/>
      </c>
      <c r="U88" s="41">
        <f>IF(OR($A88="",T88&lt;MIN_OBS_ROLL),"",SUMPRODUCT(O52:O87,(P52:P87-SUMPRODUCT(O52:O87,P52:P87)/T88)^2)/(T88-1))</f>
        <v/>
      </c>
      <c r="V88" s="40">
        <f>IF(OR(S88="",U88=""),"",S88/U88)</f>
        <v/>
      </c>
      <c r="W88" s="40">
        <f>IF(AND(ISNUMBER(K88),ISNUMBER(L88),ISNUMBER(V88)),K88-V88*L88,"")</f>
        <v/>
      </c>
      <c r="X88" s="40">
        <f>IF(OR($A88="",NOT(ISNUMBER(Datos!H88)),NOT(ISNUMBER(Datos!H87))),"",LN(Datos!H88)-LN(Datos!H87))</f>
        <v/>
      </c>
      <c r="Y88" s="38">
        <f>IF(ISNUMBER(W88),1,0)</f>
        <v/>
      </c>
      <c r="Z88" s="40">
        <f>IF(Y88=1,W88,0)</f>
        <v/>
      </c>
      <c r="AA88" s="38">
        <f>IF(ISNUMBER(X88),1,0)</f>
        <v/>
      </c>
      <c r="AB88" s="40">
        <f>IF(AA88=1,X88,0)</f>
        <v/>
      </c>
      <c r="AC88" s="38">
        <f>Y88*AA88</f>
        <v/>
      </c>
      <c r="AD88" s="38">
        <f>SUM(AC52:AC87)</f>
        <v/>
      </c>
      <c r="AE88" s="41">
        <f>IF(OR($A88="",AD88&lt;MIN_OBS_ROLL),"",(SUMPRODUCT(AC52:AC87,Z52:Z87,AB52:AB87)/AD88-SUMPRODUCT(AC52:AC87,Z52:Z87)/AD88*SUMPRODUCT(AC52:AC87,AB52:AB87)/AD88)*AD88/(AD88-1))</f>
        <v/>
      </c>
      <c r="AF88" s="38">
        <f>SUM(AA52:AA87)</f>
        <v/>
      </c>
      <c r="AG88" s="41">
        <f>IF(OR($A88="",AF88&lt;MIN_OBS_ROLL),"",SUMPRODUCT(AA52:AA87,(AB52:AB87-SUMPRODUCT(AA52:AA87,AB52:AB87)/AF88)^2)/(AF88-1))</f>
        <v/>
      </c>
      <c r="AH88" s="38">
        <f>SUM(Y52:Y87)</f>
        <v/>
      </c>
      <c r="AI88" s="40">
        <f>IF(OR($A88="",AH88&lt;MIN_OBS_ROLL),"",SUMPRODUCT(Y52:Y87,Z52:Z87)/AH88)</f>
        <v/>
      </c>
      <c r="AJ88" s="40">
        <f>IF(OR($A88="",AF88&lt;MIN_OBS_ROLL),"",SUMPRODUCT(AA52:AA87,AB52:AB87)/AF88)</f>
        <v/>
      </c>
      <c r="AK88" s="40">
        <f>IF(OR(AE88="",AG88=""),"",AE88/AG88)</f>
        <v/>
      </c>
      <c r="AL88" s="40">
        <f>IF(OR(AI88="",AK88="",AJ88=""),"",AI88-AK88*AJ88)</f>
        <v/>
      </c>
      <c r="AM88" s="40">
        <f>IF(AND(ISNUMBER(W88),ISNUMBER(X88),ISNUMBER(AK88),ISNUMBER(AL88)),W88-(AL88+AK88*X88),"")</f>
        <v/>
      </c>
      <c r="AN88" s="38">
        <f>IF(ISNUMBER(AM88),1,0)</f>
        <v/>
      </c>
      <c r="AO88" s="40">
        <f>IF(AN88=1,AM88,0)</f>
        <v/>
      </c>
      <c r="AP88" s="40">
        <f>IF(SUM(AN86:AN88)=3,SUM(AO86:AO88),"")</f>
        <v/>
      </c>
      <c r="AQ88" s="38">
        <f>IF(ISNUMBER(AP88),1,0)</f>
        <v/>
      </c>
      <c r="AR88" s="40">
        <f>IF(AQ88=1,AP88,0)</f>
        <v/>
      </c>
      <c r="AS88" s="38">
        <f>SUM(AQ$5:AQ88)</f>
        <v/>
      </c>
      <c r="AT88" s="40">
        <f>IF(AS88&gt;=MIN_OBS_Z,SUMPRODUCT(AQ$5:AQ88,AR$5:AR88)/AS88,"")</f>
        <v/>
      </c>
      <c r="AU88" s="40">
        <f>IF(AS88&gt;=MIN_OBS_Z,SQRT(SUMPRODUCT(AQ$5:AQ88,(AR$5:AR88-AT88)^2)/(AS88-1)),"")</f>
        <v/>
      </c>
      <c r="AV88" s="40">
        <f>IF(AND(AQ88=1,ISNUMBER(AT88)),MAX(-Z_CLIP,MIN(Z_CLIP,(AR88-AT88)/AU88)),"")</f>
        <v/>
      </c>
      <c r="AW88" s="40">
        <f>IF(ISNUMBER(AV88),-AV88,"")</f>
        <v/>
      </c>
      <c r="AX88" s="40">
        <f>IF(ISNUMBER(AW88),1+AMPLITUD*TANH(AW88),"")</f>
        <v/>
      </c>
      <c r="AY88" s="40">
        <f>IF($A88="","",IF(COUNT(AX86:AX88)&gt;0,AVERAGE(AX86:AX88),""))</f>
        <v/>
      </c>
      <c r="AZ88" s="40">
        <f>IF(ISNUMBER(AY88),AY88-1,"")</f>
        <v/>
      </c>
      <c r="BA88" s="40">
        <f>IF(AND(ISNUMBER(AZ87),ISNUMBER(W88)),AZ87*W_BANCOS*W88,"")</f>
        <v/>
      </c>
      <c r="BB88" s="40">
        <f>IF(AND(ISNUMBER(AZ87),ISNUMBER(AZ86)),ABS(AZ87-AZ86)*W_BANCOS*COSTO,0)</f>
        <v/>
      </c>
      <c r="BC88" s="40">
        <f>IF(ISNUMBER(BA88),BA88-BB88,"")</f>
        <v/>
      </c>
      <c r="BD88" s="42">
        <f>IF(ISNUMBER(BC88),IF(A88&lt;=FECHA_ERA,"A","B"),"")</f>
        <v/>
      </c>
      <c r="BE88" s="40">
        <f>IF(BD88="A",BC88,"")</f>
        <v/>
      </c>
      <c r="BF88" s="40">
        <f>IF(BD88="B",BC88,"")</f>
        <v/>
      </c>
      <c r="BG88" s="38">
        <f>IF(AND(ISNUMBER(BC88),ISNUMBER(A88)),IF(A88&gt;=INICIO_VIVO,1,0),0)</f>
        <v/>
      </c>
      <c r="BH88" s="40">
        <f>IF(BG88=1,BC88,"")</f>
        <v/>
      </c>
      <c r="BI88" s="38">
        <f>IF(ISNUMBER(AY88),ROW(),0)</f>
        <v/>
      </c>
      <c r="BJ88" s="43">
        <f>IF(ISNUMBER(BC88),SUM(BC$5:BC88)*10000,NA())</f>
        <v/>
      </c>
      <c r="BK88" s="43">
        <f>IF(BG88=1,SUM(BH$5:BH88)*10000,NA())</f>
        <v/>
      </c>
      <c r="BL88" s="44">
        <f>IF(ISNUMBER(AY88),AY88,NA())</f>
        <v/>
      </c>
    </row>
    <row r="89">
      <c r="A89" s="36">
        <f>IF(Datos!A89="","",Datos!A89)</f>
        <v/>
      </c>
      <c r="B89" s="37">
        <f>IF(OR($A89="",NOT(ISNUMBER(Datos!B89)),NOT(ISNUMBER(Datos!B88))),"",Datos!B89/Datos!B88-1)</f>
        <v/>
      </c>
      <c r="C89" s="37">
        <f>IF(OR($A89="",NOT(ISNUMBER(Datos!C89)),NOT(ISNUMBER(Datos!C88))),"",Datos!C89/Datos!C88-1)</f>
        <v/>
      </c>
      <c r="D89" s="37">
        <f>IF(OR($A89="",NOT(ISNUMBER(Datos!D89)),NOT(ISNUMBER(Datos!D88))),"",Datos!D89/Datos!D88-1)</f>
        <v/>
      </c>
      <c r="E89" s="37">
        <f>IF(OR($A89="",NOT(ISNUMBER(Datos!E89)),NOT(ISNUMBER(Datos!E88))),"",Datos!E89/Datos!E88-1)</f>
        <v/>
      </c>
      <c r="F89" s="38">
        <f>IF($A89="","",COUNT(B89:E89))</f>
        <v/>
      </c>
      <c r="G89" s="37">
        <f>IF($A89="","",IF(F89&gt;=MIN_BANCOS,AVERAGE(B89:E89),""))</f>
        <v/>
      </c>
      <c r="H89" s="37">
        <f>IF(OR($A89="",NOT(ISNUMBER(Datos!F89)),NOT(ISNUMBER(Datos!F88))),"",Datos!F89/Datos!F88-1)</f>
        <v/>
      </c>
      <c r="I89" s="39">
        <f>IF($A89="","",IF(ISNUMBER(Datos!G89),Datos!G89,I88))</f>
        <v/>
      </c>
      <c r="J89" s="40">
        <f>IF($A89="","",IF(ISNUMBER(I88),LN(1+I88/100/12),0))</f>
        <v/>
      </c>
      <c r="K89" s="40">
        <f>IF(ISNUMBER(G89),LN(1+G89)-J89,"")</f>
        <v/>
      </c>
      <c r="L89" s="40">
        <f>IF(ISNUMBER(H89),LN(1+H89)-J89,"")</f>
        <v/>
      </c>
      <c r="M89" s="38">
        <f>IF(ISNUMBER(K89),1,0)</f>
        <v/>
      </c>
      <c r="N89" s="40">
        <f>IF(M89=1,K89,0)</f>
        <v/>
      </c>
      <c r="O89" s="38">
        <f>IF(ISNUMBER(L89),1,0)</f>
        <v/>
      </c>
      <c r="P89" s="40">
        <f>IF(O89=1,L89,0)</f>
        <v/>
      </c>
      <c r="Q89" s="38">
        <f>M89*O89</f>
        <v/>
      </c>
      <c r="R89" s="38">
        <f>SUM(Q53:Q88)</f>
        <v/>
      </c>
      <c r="S89" s="41">
        <f>IF(OR($A89="",R89&lt;MIN_OBS_ROLL),"",(SUMPRODUCT(Q53:Q88,N53:N88,P53:P88)/R89-SUMPRODUCT(Q53:Q88,N53:N88)/R89*SUMPRODUCT(Q53:Q88,P53:P88)/R89)*R89/(R89-1))</f>
        <v/>
      </c>
      <c r="T89" s="38">
        <f>SUM(O53:O88)</f>
        <v/>
      </c>
      <c r="U89" s="41">
        <f>IF(OR($A89="",T89&lt;MIN_OBS_ROLL),"",SUMPRODUCT(O53:O88,(P53:P88-SUMPRODUCT(O53:O88,P53:P88)/T89)^2)/(T89-1))</f>
        <v/>
      </c>
      <c r="V89" s="40">
        <f>IF(OR(S89="",U89=""),"",S89/U89)</f>
        <v/>
      </c>
      <c r="W89" s="40">
        <f>IF(AND(ISNUMBER(K89),ISNUMBER(L89),ISNUMBER(V89)),K89-V89*L89,"")</f>
        <v/>
      </c>
      <c r="X89" s="40">
        <f>IF(OR($A89="",NOT(ISNUMBER(Datos!H89)),NOT(ISNUMBER(Datos!H88))),"",LN(Datos!H89)-LN(Datos!H88))</f>
        <v/>
      </c>
      <c r="Y89" s="38">
        <f>IF(ISNUMBER(W89),1,0)</f>
        <v/>
      </c>
      <c r="Z89" s="40">
        <f>IF(Y89=1,W89,0)</f>
        <v/>
      </c>
      <c r="AA89" s="38">
        <f>IF(ISNUMBER(X89),1,0)</f>
        <v/>
      </c>
      <c r="AB89" s="40">
        <f>IF(AA89=1,X89,0)</f>
        <v/>
      </c>
      <c r="AC89" s="38">
        <f>Y89*AA89</f>
        <v/>
      </c>
      <c r="AD89" s="38">
        <f>SUM(AC53:AC88)</f>
        <v/>
      </c>
      <c r="AE89" s="41">
        <f>IF(OR($A89="",AD89&lt;MIN_OBS_ROLL),"",(SUMPRODUCT(AC53:AC88,Z53:Z88,AB53:AB88)/AD89-SUMPRODUCT(AC53:AC88,Z53:Z88)/AD89*SUMPRODUCT(AC53:AC88,AB53:AB88)/AD89)*AD89/(AD89-1))</f>
        <v/>
      </c>
      <c r="AF89" s="38">
        <f>SUM(AA53:AA88)</f>
        <v/>
      </c>
      <c r="AG89" s="41">
        <f>IF(OR($A89="",AF89&lt;MIN_OBS_ROLL),"",SUMPRODUCT(AA53:AA88,(AB53:AB88-SUMPRODUCT(AA53:AA88,AB53:AB88)/AF89)^2)/(AF89-1))</f>
        <v/>
      </c>
      <c r="AH89" s="38">
        <f>SUM(Y53:Y88)</f>
        <v/>
      </c>
      <c r="AI89" s="40">
        <f>IF(OR($A89="",AH89&lt;MIN_OBS_ROLL),"",SUMPRODUCT(Y53:Y88,Z53:Z88)/AH89)</f>
        <v/>
      </c>
      <c r="AJ89" s="40">
        <f>IF(OR($A89="",AF89&lt;MIN_OBS_ROLL),"",SUMPRODUCT(AA53:AA88,AB53:AB88)/AF89)</f>
        <v/>
      </c>
      <c r="AK89" s="40">
        <f>IF(OR(AE89="",AG89=""),"",AE89/AG89)</f>
        <v/>
      </c>
      <c r="AL89" s="40">
        <f>IF(OR(AI89="",AK89="",AJ89=""),"",AI89-AK89*AJ89)</f>
        <v/>
      </c>
      <c r="AM89" s="40">
        <f>IF(AND(ISNUMBER(W89),ISNUMBER(X89),ISNUMBER(AK89),ISNUMBER(AL89)),W89-(AL89+AK89*X89),"")</f>
        <v/>
      </c>
      <c r="AN89" s="38">
        <f>IF(ISNUMBER(AM89),1,0)</f>
        <v/>
      </c>
      <c r="AO89" s="40">
        <f>IF(AN89=1,AM89,0)</f>
        <v/>
      </c>
      <c r="AP89" s="40">
        <f>IF(SUM(AN87:AN89)=3,SUM(AO87:AO89),"")</f>
        <v/>
      </c>
      <c r="AQ89" s="38">
        <f>IF(ISNUMBER(AP89),1,0)</f>
        <v/>
      </c>
      <c r="AR89" s="40">
        <f>IF(AQ89=1,AP89,0)</f>
        <v/>
      </c>
      <c r="AS89" s="38">
        <f>SUM(AQ$5:AQ89)</f>
        <v/>
      </c>
      <c r="AT89" s="40">
        <f>IF(AS89&gt;=MIN_OBS_Z,SUMPRODUCT(AQ$5:AQ89,AR$5:AR89)/AS89,"")</f>
        <v/>
      </c>
      <c r="AU89" s="40">
        <f>IF(AS89&gt;=MIN_OBS_Z,SQRT(SUMPRODUCT(AQ$5:AQ89,(AR$5:AR89-AT89)^2)/(AS89-1)),"")</f>
        <v/>
      </c>
      <c r="AV89" s="40">
        <f>IF(AND(AQ89=1,ISNUMBER(AT89)),MAX(-Z_CLIP,MIN(Z_CLIP,(AR89-AT89)/AU89)),"")</f>
        <v/>
      </c>
      <c r="AW89" s="40">
        <f>IF(ISNUMBER(AV89),-AV89,"")</f>
        <v/>
      </c>
      <c r="AX89" s="40">
        <f>IF(ISNUMBER(AW89),1+AMPLITUD*TANH(AW89),"")</f>
        <v/>
      </c>
      <c r="AY89" s="40">
        <f>IF($A89="","",IF(COUNT(AX87:AX89)&gt;0,AVERAGE(AX87:AX89),""))</f>
        <v/>
      </c>
      <c r="AZ89" s="40">
        <f>IF(ISNUMBER(AY89),AY89-1,"")</f>
        <v/>
      </c>
      <c r="BA89" s="40">
        <f>IF(AND(ISNUMBER(AZ88),ISNUMBER(W89)),AZ88*W_BANCOS*W89,"")</f>
        <v/>
      </c>
      <c r="BB89" s="40">
        <f>IF(AND(ISNUMBER(AZ88),ISNUMBER(AZ87)),ABS(AZ88-AZ87)*W_BANCOS*COSTO,0)</f>
        <v/>
      </c>
      <c r="BC89" s="40">
        <f>IF(ISNUMBER(BA89),BA89-BB89,"")</f>
        <v/>
      </c>
      <c r="BD89" s="42">
        <f>IF(ISNUMBER(BC89),IF(A89&lt;=FECHA_ERA,"A","B"),"")</f>
        <v/>
      </c>
      <c r="BE89" s="40">
        <f>IF(BD89="A",BC89,"")</f>
        <v/>
      </c>
      <c r="BF89" s="40">
        <f>IF(BD89="B",BC89,"")</f>
        <v/>
      </c>
      <c r="BG89" s="38">
        <f>IF(AND(ISNUMBER(BC89),ISNUMBER(A89)),IF(A89&gt;=INICIO_VIVO,1,0),0)</f>
        <v/>
      </c>
      <c r="BH89" s="40">
        <f>IF(BG89=1,BC89,"")</f>
        <v/>
      </c>
      <c r="BI89" s="38">
        <f>IF(ISNUMBER(AY89),ROW(),0)</f>
        <v/>
      </c>
      <c r="BJ89" s="43">
        <f>IF(ISNUMBER(BC89),SUM(BC$5:BC89)*10000,NA())</f>
        <v/>
      </c>
      <c r="BK89" s="43">
        <f>IF(BG89=1,SUM(BH$5:BH89)*10000,NA())</f>
        <v/>
      </c>
      <c r="BL89" s="44">
        <f>IF(ISNUMBER(AY89),AY89,NA())</f>
        <v/>
      </c>
    </row>
    <row r="90">
      <c r="A90" s="36">
        <f>IF(Datos!A90="","",Datos!A90)</f>
        <v/>
      </c>
      <c r="B90" s="37">
        <f>IF(OR($A90="",NOT(ISNUMBER(Datos!B90)),NOT(ISNUMBER(Datos!B89))),"",Datos!B90/Datos!B89-1)</f>
        <v/>
      </c>
      <c r="C90" s="37">
        <f>IF(OR($A90="",NOT(ISNUMBER(Datos!C90)),NOT(ISNUMBER(Datos!C89))),"",Datos!C90/Datos!C89-1)</f>
        <v/>
      </c>
      <c r="D90" s="37">
        <f>IF(OR($A90="",NOT(ISNUMBER(Datos!D90)),NOT(ISNUMBER(Datos!D89))),"",Datos!D90/Datos!D89-1)</f>
        <v/>
      </c>
      <c r="E90" s="37">
        <f>IF(OR($A90="",NOT(ISNUMBER(Datos!E90)),NOT(ISNUMBER(Datos!E89))),"",Datos!E90/Datos!E89-1)</f>
        <v/>
      </c>
      <c r="F90" s="38">
        <f>IF($A90="","",COUNT(B90:E90))</f>
        <v/>
      </c>
      <c r="G90" s="37">
        <f>IF($A90="","",IF(F90&gt;=MIN_BANCOS,AVERAGE(B90:E90),""))</f>
        <v/>
      </c>
      <c r="H90" s="37">
        <f>IF(OR($A90="",NOT(ISNUMBER(Datos!F90)),NOT(ISNUMBER(Datos!F89))),"",Datos!F90/Datos!F89-1)</f>
        <v/>
      </c>
      <c r="I90" s="39">
        <f>IF($A90="","",IF(ISNUMBER(Datos!G90),Datos!G90,I89))</f>
        <v/>
      </c>
      <c r="J90" s="40">
        <f>IF($A90="","",IF(ISNUMBER(I89),LN(1+I89/100/12),0))</f>
        <v/>
      </c>
      <c r="K90" s="40">
        <f>IF(ISNUMBER(G90),LN(1+G90)-J90,"")</f>
        <v/>
      </c>
      <c r="L90" s="40">
        <f>IF(ISNUMBER(H90),LN(1+H90)-J90,"")</f>
        <v/>
      </c>
      <c r="M90" s="38">
        <f>IF(ISNUMBER(K90),1,0)</f>
        <v/>
      </c>
      <c r="N90" s="40">
        <f>IF(M90=1,K90,0)</f>
        <v/>
      </c>
      <c r="O90" s="38">
        <f>IF(ISNUMBER(L90),1,0)</f>
        <v/>
      </c>
      <c r="P90" s="40">
        <f>IF(O90=1,L90,0)</f>
        <v/>
      </c>
      <c r="Q90" s="38">
        <f>M90*O90</f>
        <v/>
      </c>
      <c r="R90" s="38">
        <f>SUM(Q54:Q89)</f>
        <v/>
      </c>
      <c r="S90" s="41">
        <f>IF(OR($A90="",R90&lt;MIN_OBS_ROLL),"",(SUMPRODUCT(Q54:Q89,N54:N89,P54:P89)/R90-SUMPRODUCT(Q54:Q89,N54:N89)/R90*SUMPRODUCT(Q54:Q89,P54:P89)/R90)*R90/(R90-1))</f>
        <v/>
      </c>
      <c r="T90" s="38">
        <f>SUM(O54:O89)</f>
        <v/>
      </c>
      <c r="U90" s="41">
        <f>IF(OR($A90="",T90&lt;MIN_OBS_ROLL),"",SUMPRODUCT(O54:O89,(P54:P89-SUMPRODUCT(O54:O89,P54:P89)/T90)^2)/(T90-1))</f>
        <v/>
      </c>
      <c r="V90" s="40">
        <f>IF(OR(S90="",U90=""),"",S90/U90)</f>
        <v/>
      </c>
      <c r="W90" s="40">
        <f>IF(AND(ISNUMBER(K90),ISNUMBER(L90),ISNUMBER(V90)),K90-V90*L90,"")</f>
        <v/>
      </c>
      <c r="X90" s="40">
        <f>IF(OR($A90="",NOT(ISNUMBER(Datos!H90)),NOT(ISNUMBER(Datos!H89))),"",LN(Datos!H90)-LN(Datos!H89))</f>
        <v/>
      </c>
      <c r="Y90" s="38">
        <f>IF(ISNUMBER(W90),1,0)</f>
        <v/>
      </c>
      <c r="Z90" s="40">
        <f>IF(Y90=1,W90,0)</f>
        <v/>
      </c>
      <c r="AA90" s="38">
        <f>IF(ISNUMBER(X90),1,0)</f>
        <v/>
      </c>
      <c r="AB90" s="40">
        <f>IF(AA90=1,X90,0)</f>
        <v/>
      </c>
      <c r="AC90" s="38">
        <f>Y90*AA90</f>
        <v/>
      </c>
      <c r="AD90" s="38">
        <f>SUM(AC54:AC89)</f>
        <v/>
      </c>
      <c r="AE90" s="41">
        <f>IF(OR($A90="",AD90&lt;MIN_OBS_ROLL),"",(SUMPRODUCT(AC54:AC89,Z54:Z89,AB54:AB89)/AD90-SUMPRODUCT(AC54:AC89,Z54:Z89)/AD90*SUMPRODUCT(AC54:AC89,AB54:AB89)/AD90)*AD90/(AD90-1))</f>
        <v/>
      </c>
      <c r="AF90" s="38">
        <f>SUM(AA54:AA89)</f>
        <v/>
      </c>
      <c r="AG90" s="41">
        <f>IF(OR($A90="",AF90&lt;MIN_OBS_ROLL),"",SUMPRODUCT(AA54:AA89,(AB54:AB89-SUMPRODUCT(AA54:AA89,AB54:AB89)/AF90)^2)/(AF90-1))</f>
        <v/>
      </c>
      <c r="AH90" s="38">
        <f>SUM(Y54:Y89)</f>
        <v/>
      </c>
      <c r="AI90" s="40">
        <f>IF(OR($A90="",AH90&lt;MIN_OBS_ROLL),"",SUMPRODUCT(Y54:Y89,Z54:Z89)/AH90)</f>
        <v/>
      </c>
      <c r="AJ90" s="40">
        <f>IF(OR($A90="",AF90&lt;MIN_OBS_ROLL),"",SUMPRODUCT(AA54:AA89,AB54:AB89)/AF90)</f>
        <v/>
      </c>
      <c r="AK90" s="40">
        <f>IF(OR(AE90="",AG90=""),"",AE90/AG90)</f>
        <v/>
      </c>
      <c r="AL90" s="40">
        <f>IF(OR(AI90="",AK90="",AJ90=""),"",AI90-AK90*AJ90)</f>
        <v/>
      </c>
      <c r="AM90" s="40">
        <f>IF(AND(ISNUMBER(W90),ISNUMBER(X90),ISNUMBER(AK90),ISNUMBER(AL90)),W90-(AL90+AK90*X90),"")</f>
        <v/>
      </c>
      <c r="AN90" s="38">
        <f>IF(ISNUMBER(AM90),1,0)</f>
        <v/>
      </c>
      <c r="AO90" s="40">
        <f>IF(AN90=1,AM90,0)</f>
        <v/>
      </c>
      <c r="AP90" s="40">
        <f>IF(SUM(AN88:AN90)=3,SUM(AO88:AO90),"")</f>
        <v/>
      </c>
      <c r="AQ90" s="38">
        <f>IF(ISNUMBER(AP90),1,0)</f>
        <v/>
      </c>
      <c r="AR90" s="40">
        <f>IF(AQ90=1,AP90,0)</f>
        <v/>
      </c>
      <c r="AS90" s="38">
        <f>SUM(AQ$5:AQ90)</f>
        <v/>
      </c>
      <c r="AT90" s="40">
        <f>IF(AS90&gt;=MIN_OBS_Z,SUMPRODUCT(AQ$5:AQ90,AR$5:AR90)/AS90,"")</f>
        <v/>
      </c>
      <c r="AU90" s="40">
        <f>IF(AS90&gt;=MIN_OBS_Z,SQRT(SUMPRODUCT(AQ$5:AQ90,(AR$5:AR90-AT90)^2)/(AS90-1)),"")</f>
        <v/>
      </c>
      <c r="AV90" s="40">
        <f>IF(AND(AQ90=1,ISNUMBER(AT90)),MAX(-Z_CLIP,MIN(Z_CLIP,(AR90-AT90)/AU90)),"")</f>
        <v/>
      </c>
      <c r="AW90" s="40">
        <f>IF(ISNUMBER(AV90),-AV90,"")</f>
        <v/>
      </c>
      <c r="AX90" s="40">
        <f>IF(ISNUMBER(AW90),1+AMPLITUD*TANH(AW90),"")</f>
        <v/>
      </c>
      <c r="AY90" s="40">
        <f>IF($A90="","",IF(COUNT(AX88:AX90)&gt;0,AVERAGE(AX88:AX90),""))</f>
        <v/>
      </c>
      <c r="AZ90" s="40">
        <f>IF(ISNUMBER(AY90),AY90-1,"")</f>
        <v/>
      </c>
      <c r="BA90" s="40">
        <f>IF(AND(ISNUMBER(AZ89),ISNUMBER(W90)),AZ89*W_BANCOS*W90,"")</f>
        <v/>
      </c>
      <c r="BB90" s="40">
        <f>IF(AND(ISNUMBER(AZ89),ISNUMBER(AZ88)),ABS(AZ89-AZ88)*W_BANCOS*COSTO,0)</f>
        <v/>
      </c>
      <c r="BC90" s="40">
        <f>IF(ISNUMBER(BA90),BA90-BB90,"")</f>
        <v/>
      </c>
      <c r="BD90" s="42">
        <f>IF(ISNUMBER(BC90),IF(A90&lt;=FECHA_ERA,"A","B"),"")</f>
        <v/>
      </c>
      <c r="BE90" s="40">
        <f>IF(BD90="A",BC90,"")</f>
        <v/>
      </c>
      <c r="BF90" s="40">
        <f>IF(BD90="B",BC90,"")</f>
        <v/>
      </c>
      <c r="BG90" s="38">
        <f>IF(AND(ISNUMBER(BC90),ISNUMBER(A90)),IF(A90&gt;=INICIO_VIVO,1,0),0)</f>
        <v/>
      </c>
      <c r="BH90" s="40">
        <f>IF(BG90=1,BC90,"")</f>
        <v/>
      </c>
      <c r="BI90" s="38">
        <f>IF(ISNUMBER(AY90),ROW(),0)</f>
        <v/>
      </c>
      <c r="BJ90" s="43">
        <f>IF(ISNUMBER(BC90),SUM(BC$5:BC90)*10000,NA())</f>
        <v/>
      </c>
      <c r="BK90" s="43">
        <f>IF(BG90=1,SUM(BH$5:BH90)*10000,NA())</f>
        <v/>
      </c>
      <c r="BL90" s="44">
        <f>IF(ISNUMBER(AY90),AY90,NA())</f>
        <v/>
      </c>
    </row>
    <row r="91">
      <c r="A91" s="36">
        <f>IF(Datos!A91="","",Datos!A91)</f>
        <v/>
      </c>
      <c r="B91" s="37">
        <f>IF(OR($A91="",NOT(ISNUMBER(Datos!B91)),NOT(ISNUMBER(Datos!B90))),"",Datos!B91/Datos!B90-1)</f>
        <v/>
      </c>
      <c r="C91" s="37">
        <f>IF(OR($A91="",NOT(ISNUMBER(Datos!C91)),NOT(ISNUMBER(Datos!C90))),"",Datos!C91/Datos!C90-1)</f>
        <v/>
      </c>
      <c r="D91" s="37">
        <f>IF(OR($A91="",NOT(ISNUMBER(Datos!D91)),NOT(ISNUMBER(Datos!D90))),"",Datos!D91/Datos!D90-1)</f>
        <v/>
      </c>
      <c r="E91" s="37">
        <f>IF(OR($A91="",NOT(ISNUMBER(Datos!E91)),NOT(ISNUMBER(Datos!E90))),"",Datos!E91/Datos!E90-1)</f>
        <v/>
      </c>
      <c r="F91" s="38">
        <f>IF($A91="","",COUNT(B91:E91))</f>
        <v/>
      </c>
      <c r="G91" s="37">
        <f>IF($A91="","",IF(F91&gt;=MIN_BANCOS,AVERAGE(B91:E91),""))</f>
        <v/>
      </c>
      <c r="H91" s="37">
        <f>IF(OR($A91="",NOT(ISNUMBER(Datos!F91)),NOT(ISNUMBER(Datos!F90))),"",Datos!F91/Datos!F90-1)</f>
        <v/>
      </c>
      <c r="I91" s="39">
        <f>IF($A91="","",IF(ISNUMBER(Datos!G91),Datos!G91,I90))</f>
        <v/>
      </c>
      <c r="J91" s="40">
        <f>IF($A91="","",IF(ISNUMBER(I90),LN(1+I90/100/12),0))</f>
        <v/>
      </c>
      <c r="K91" s="40">
        <f>IF(ISNUMBER(G91),LN(1+G91)-J91,"")</f>
        <v/>
      </c>
      <c r="L91" s="40">
        <f>IF(ISNUMBER(H91),LN(1+H91)-J91,"")</f>
        <v/>
      </c>
      <c r="M91" s="38">
        <f>IF(ISNUMBER(K91),1,0)</f>
        <v/>
      </c>
      <c r="N91" s="40">
        <f>IF(M91=1,K91,0)</f>
        <v/>
      </c>
      <c r="O91" s="38">
        <f>IF(ISNUMBER(L91),1,0)</f>
        <v/>
      </c>
      <c r="P91" s="40">
        <f>IF(O91=1,L91,0)</f>
        <v/>
      </c>
      <c r="Q91" s="38">
        <f>M91*O91</f>
        <v/>
      </c>
      <c r="R91" s="38">
        <f>SUM(Q55:Q90)</f>
        <v/>
      </c>
      <c r="S91" s="41">
        <f>IF(OR($A91="",R91&lt;MIN_OBS_ROLL),"",(SUMPRODUCT(Q55:Q90,N55:N90,P55:P90)/R91-SUMPRODUCT(Q55:Q90,N55:N90)/R91*SUMPRODUCT(Q55:Q90,P55:P90)/R91)*R91/(R91-1))</f>
        <v/>
      </c>
      <c r="T91" s="38">
        <f>SUM(O55:O90)</f>
        <v/>
      </c>
      <c r="U91" s="41">
        <f>IF(OR($A91="",T91&lt;MIN_OBS_ROLL),"",SUMPRODUCT(O55:O90,(P55:P90-SUMPRODUCT(O55:O90,P55:P90)/T91)^2)/(T91-1))</f>
        <v/>
      </c>
      <c r="V91" s="40">
        <f>IF(OR(S91="",U91=""),"",S91/U91)</f>
        <v/>
      </c>
      <c r="W91" s="40">
        <f>IF(AND(ISNUMBER(K91),ISNUMBER(L91),ISNUMBER(V91)),K91-V91*L91,"")</f>
        <v/>
      </c>
      <c r="X91" s="40">
        <f>IF(OR($A91="",NOT(ISNUMBER(Datos!H91)),NOT(ISNUMBER(Datos!H90))),"",LN(Datos!H91)-LN(Datos!H90))</f>
        <v/>
      </c>
      <c r="Y91" s="38">
        <f>IF(ISNUMBER(W91),1,0)</f>
        <v/>
      </c>
      <c r="Z91" s="40">
        <f>IF(Y91=1,W91,0)</f>
        <v/>
      </c>
      <c r="AA91" s="38">
        <f>IF(ISNUMBER(X91),1,0)</f>
        <v/>
      </c>
      <c r="AB91" s="40">
        <f>IF(AA91=1,X91,0)</f>
        <v/>
      </c>
      <c r="AC91" s="38">
        <f>Y91*AA91</f>
        <v/>
      </c>
      <c r="AD91" s="38">
        <f>SUM(AC55:AC90)</f>
        <v/>
      </c>
      <c r="AE91" s="41">
        <f>IF(OR($A91="",AD91&lt;MIN_OBS_ROLL),"",(SUMPRODUCT(AC55:AC90,Z55:Z90,AB55:AB90)/AD91-SUMPRODUCT(AC55:AC90,Z55:Z90)/AD91*SUMPRODUCT(AC55:AC90,AB55:AB90)/AD91)*AD91/(AD91-1))</f>
        <v/>
      </c>
      <c r="AF91" s="38">
        <f>SUM(AA55:AA90)</f>
        <v/>
      </c>
      <c r="AG91" s="41">
        <f>IF(OR($A91="",AF91&lt;MIN_OBS_ROLL),"",SUMPRODUCT(AA55:AA90,(AB55:AB90-SUMPRODUCT(AA55:AA90,AB55:AB90)/AF91)^2)/(AF91-1))</f>
        <v/>
      </c>
      <c r="AH91" s="38">
        <f>SUM(Y55:Y90)</f>
        <v/>
      </c>
      <c r="AI91" s="40">
        <f>IF(OR($A91="",AH91&lt;MIN_OBS_ROLL),"",SUMPRODUCT(Y55:Y90,Z55:Z90)/AH91)</f>
        <v/>
      </c>
      <c r="AJ91" s="40">
        <f>IF(OR($A91="",AF91&lt;MIN_OBS_ROLL),"",SUMPRODUCT(AA55:AA90,AB55:AB90)/AF91)</f>
        <v/>
      </c>
      <c r="AK91" s="40">
        <f>IF(OR(AE91="",AG91=""),"",AE91/AG91)</f>
        <v/>
      </c>
      <c r="AL91" s="40">
        <f>IF(OR(AI91="",AK91="",AJ91=""),"",AI91-AK91*AJ91)</f>
        <v/>
      </c>
      <c r="AM91" s="40">
        <f>IF(AND(ISNUMBER(W91),ISNUMBER(X91),ISNUMBER(AK91),ISNUMBER(AL91)),W91-(AL91+AK91*X91),"")</f>
        <v/>
      </c>
      <c r="AN91" s="38">
        <f>IF(ISNUMBER(AM91),1,0)</f>
        <v/>
      </c>
      <c r="AO91" s="40">
        <f>IF(AN91=1,AM91,0)</f>
        <v/>
      </c>
      <c r="AP91" s="40">
        <f>IF(SUM(AN89:AN91)=3,SUM(AO89:AO91),"")</f>
        <v/>
      </c>
      <c r="AQ91" s="38">
        <f>IF(ISNUMBER(AP91),1,0)</f>
        <v/>
      </c>
      <c r="AR91" s="40">
        <f>IF(AQ91=1,AP91,0)</f>
        <v/>
      </c>
      <c r="AS91" s="38">
        <f>SUM(AQ$5:AQ91)</f>
        <v/>
      </c>
      <c r="AT91" s="40">
        <f>IF(AS91&gt;=MIN_OBS_Z,SUMPRODUCT(AQ$5:AQ91,AR$5:AR91)/AS91,"")</f>
        <v/>
      </c>
      <c r="AU91" s="40">
        <f>IF(AS91&gt;=MIN_OBS_Z,SQRT(SUMPRODUCT(AQ$5:AQ91,(AR$5:AR91-AT91)^2)/(AS91-1)),"")</f>
        <v/>
      </c>
      <c r="AV91" s="40">
        <f>IF(AND(AQ91=1,ISNUMBER(AT91)),MAX(-Z_CLIP,MIN(Z_CLIP,(AR91-AT91)/AU91)),"")</f>
        <v/>
      </c>
      <c r="AW91" s="40">
        <f>IF(ISNUMBER(AV91),-AV91,"")</f>
        <v/>
      </c>
      <c r="AX91" s="40">
        <f>IF(ISNUMBER(AW91),1+AMPLITUD*TANH(AW91),"")</f>
        <v/>
      </c>
      <c r="AY91" s="40">
        <f>IF($A91="","",IF(COUNT(AX89:AX91)&gt;0,AVERAGE(AX89:AX91),""))</f>
        <v/>
      </c>
      <c r="AZ91" s="40">
        <f>IF(ISNUMBER(AY91),AY91-1,"")</f>
        <v/>
      </c>
      <c r="BA91" s="40">
        <f>IF(AND(ISNUMBER(AZ90),ISNUMBER(W91)),AZ90*W_BANCOS*W91,"")</f>
        <v/>
      </c>
      <c r="BB91" s="40">
        <f>IF(AND(ISNUMBER(AZ90),ISNUMBER(AZ89)),ABS(AZ90-AZ89)*W_BANCOS*COSTO,0)</f>
        <v/>
      </c>
      <c r="BC91" s="40">
        <f>IF(ISNUMBER(BA91),BA91-BB91,"")</f>
        <v/>
      </c>
      <c r="BD91" s="42">
        <f>IF(ISNUMBER(BC91),IF(A91&lt;=FECHA_ERA,"A","B"),"")</f>
        <v/>
      </c>
      <c r="BE91" s="40">
        <f>IF(BD91="A",BC91,"")</f>
        <v/>
      </c>
      <c r="BF91" s="40">
        <f>IF(BD91="B",BC91,"")</f>
        <v/>
      </c>
      <c r="BG91" s="38">
        <f>IF(AND(ISNUMBER(BC91),ISNUMBER(A91)),IF(A91&gt;=INICIO_VIVO,1,0),0)</f>
        <v/>
      </c>
      <c r="BH91" s="40">
        <f>IF(BG91=1,BC91,"")</f>
        <v/>
      </c>
      <c r="BI91" s="38">
        <f>IF(ISNUMBER(AY91),ROW(),0)</f>
        <v/>
      </c>
      <c r="BJ91" s="43">
        <f>IF(ISNUMBER(BC91),SUM(BC$5:BC91)*10000,NA())</f>
        <v/>
      </c>
      <c r="BK91" s="43">
        <f>IF(BG91=1,SUM(BH$5:BH91)*10000,NA())</f>
        <v/>
      </c>
      <c r="BL91" s="44">
        <f>IF(ISNUMBER(AY91),AY91,NA())</f>
        <v/>
      </c>
    </row>
    <row r="92">
      <c r="A92" s="36">
        <f>IF(Datos!A92="","",Datos!A92)</f>
        <v/>
      </c>
      <c r="B92" s="37">
        <f>IF(OR($A92="",NOT(ISNUMBER(Datos!B92)),NOT(ISNUMBER(Datos!B91))),"",Datos!B92/Datos!B91-1)</f>
        <v/>
      </c>
      <c r="C92" s="37">
        <f>IF(OR($A92="",NOT(ISNUMBER(Datos!C92)),NOT(ISNUMBER(Datos!C91))),"",Datos!C92/Datos!C91-1)</f>
        <v/>
      </c>
      <c r="D92" s="37">
        <f>IF(OR($A92="",NOT(ISNUMBER(Datos!D92)),NOT(ISNUMBER(Datos!D91))),"",Datos!D92/Datos!D91-1)</f>
        <v/>
      </c>
      <c r="E92" s="37">
        <f>IF(OR($A92="",NOT(ISNUMBER(Datos!E92)),NOT(ISNUMBER(Datos!E91))),"",Datos!E92/Datos!E91-1)</f>
        <v/>
      </c>
      <c r="F92" s="38">
        <f>IF($A92="","",COUNT(B92:E92))</f>
        <v/>
      </c>
      <c r="G92" s="37">
        <f>IF($A92="","",IF(F92&gt;=MIN_BANCOS,AVERAGE(B92:E92),""))</f>
        <v/>
      </c>
      <c r="H92" s="37">
        <f>IF(OR($A92="",NOT(ISNUMBER(Datos!F92)),NOT(ISNUMBER(Datos!F91))),"",Datos!F92/Datos!F91-1)</f>
        <v/>
      </c>
      <c r="I92" s="39">
        <f>IF($A92="","",IF(ISNUMBER(Datos!G92),Datos!G92,I91))</f>
        <v/>
      </c>
      <c r="J92" s="40">
        <f>IF($A92="","",IF(ISNUMBER(I91),LN(1+I91/100/12),0))</f>
        <v/>
      </c>
      <c r="K92" s="40">
        <f>IF(ISNUMBER(G92),LN(1+G92)-J92,"")</f>
        <v/>
      </c>
      <c r="L92" s="40">
        <f>IF(ISNUMBER(H92),LN(1+H92)-J92,"")</f>
        <v/>
      </c>
      <c r="M92" s="38">
        <f>IF(ISNUMBER(K92),1,0)</f>
        <v/>
      </c>
      <c r="N92" s="40">
        <f>IF(M92=1,K92,0)</f>
        <v/>
      </c>
      <c r="O92" s="38">
        <f>IF(ISNUMBER(L92),1,0)</f>
        <v/>
      </c>
      <c r="P92" s="40">
        <f>IF(O92=1,L92,0)</f>
        <v/>
      </c>
      <c r="Q92" s="38">
        <f>M92*O92</f>
        <v/>
      </c>
      <c r="R92" s="38">
        <f>SUM(Q56:Q91)</f>
        <v/>
      </c>
      <c r="S92" s="41">
        <f>IF(OR($A92="",R92&lt;MIN_OBS_ROLL),"",(SUMPRODUCT(Q56:Q91,N56:N91,P56:P91)/R92-SUMPRODUCT(Q56:Q91,N56:N91)/R92*SUMPRODUCT(Q56:Q91,P56:P91)/R92)*R92/(R92-1))</f>
        <v/>
      </c>
      <c r="T92" s="38">
        <f>SUM(O56:O91)</f>
        <v/>
      </c>
      <c r="U92" s="41">
        <f>IF(OR($A92="",T92&lt;MIN_OBS_ROLL),"",SUMPRODUCT(O56:O91,(P56:P91-SUMPRODUCT(O56:O91,P56:P91)/T92)^2)/(T92-1))</f>
        <v/>
      </c>
      <c r="V92" s="40">
        <f>IF(OR(S92="",U92=""),"",S92/U92)</f>
        <v/>
      </c>
      <c r="W92" s="40">
        <f>IF(AND(ISNUMBER(K92),ISNUMBER(L92),ISNUMBER(V92)),K92-V92*L92,"")</f>
        <v/>
      </c>
      <c r="X92" s="40">
        <f>IF(OR($A92="",NOT(ISNUMBER(Datos!H92)),NOT(ISNUMBER(Datos!H91))),"",LN(Datos!H92)-LN(Datos!H91))</f>
        <v/>
      </c>
      <c r="Y92" s="38">
        <f>IF(ISNUMBER(W92),1,0)</f>
        <v/>
      </c>
      <c r="Z92" s="40">
        <f>IF(Y92=1,W92,0)</f>
        <v/>
      </c>
      <c r="AA92" s="38">
        <f>IF(ISNUMBER(X92),1,0)</f>
        <v/>
      </c>
      <c r="AB92" s="40">
        <f>IF(AA92=1,X92,0)</f>
        <v/>
      </c>
      <c r="AC92" s="38">
        <f>Y92*AA92</f>
        <v/>
      </c>
      <c r="AD92" s="38">
        <f>SUM(AC56:AC91)</f>
        <v/>
      </c>
      <c r="AE92" s="41">
        <f>IF(OR($A92="",AD92&lt;MIN_OBS_ROLL),"",(SUMPRODUCT(AC56:AC91,Z56:Z91,AB56:AB91)/AD92-SUMPRODUCT(AC56:AC91,Z56:Z91)/AD92*SUMPRODUCT(AC56:AC91,AB56:AB91)/AD92)*AD92/(AD92-1))</f>
        <v/>
      </c>
      <c r="AF92" s="38">
        <f>SUM(AA56:AA91)</f>
        <v/>
      </c>
      <c r="AG92" s="41">
        <f>IF(OR($A92="",AF92&lt;MIN_OBS_ROLL),"",SUMPRODUCT(AA56:AA91,(AB56:AB91-SUMPRODUCT(AA56:AA91,AB56:AB91)/AF92)^2)/(AF92-1))</f>
        <v/>
      </c>
      <c r="AH92" s="38">
        <f>SUM(Y56:Y91)</f>
        <v/>
      </c>
      <c r="AI92" s="40">
        <f>IF(OR($A92="",AH92&lt;MIN_OBS_ROLL),"",SUMPRODUCT(Y56:Y91,Z56:Z91)/AH92)</f>
        <v/>
      </c>
      <c r="AJ92" s="40">
        <f>IF(OR($A92="",AF92&lt;MIN_OBS_ROLL),"",SUMPRODUCT(AA56:AA91,AB56:AB91)/AF92)</f>
        <v/>
      </c>
      <c r="AK92" s="40">
        <f>IF(OR(AE92="",AG92=""),"",AE92/AG92)</f>
        <v/>
      </c>
      <c r="AL92" s="40">
        <f>IF(OR(AI92="",AK92="",AJ92=""),"",AI92-AK92*AJ92)</f>
        <v/>
      </c>
      <c r="AM92" s="40">
        <f>IF(AND(ISNUMBER(W92),ISNUMBER(X92),ISNUMBER(AK92),ISNUMBER(AL92)),W92-(AL92+AK92*X92),"")</f>
        <v/>
      </c>
      <c r="AN92" s="38">
        <f>IF(ISNUMBER(AM92),1,0)</f>
        <v/>
      </c>
      <c r="AO92" s="40">
        <f>IF(AN92=1,AM92,0)</f>
        <v/>
      </c>
      <c r="AP92" s="40">
        <f>IF(SUM(AN90:AN92)=3,SUM(AO90:AO92),"")</f>
        <v/>
      </c>
      <c r="AQ92" s="38">
        <f>IF(ISNUMBER(AP92),1,0)</f>
        <v/>
      </c>
      <c r="AR92" s="40">
        <f>IF(AQ92=1,AP92,0)</f>
        <v/>
      </c>
      <c r="AS92" s="38">
        <f>SUM(AQ$5:AQ92)</f>
        <v/>
      </c>
      <c r="AT92" s="40">
        <f>IF(AS92&gt;=MIN_OBS_Z,SUMPRODUCT(AQ$5:AQ92,AR$5:AR92)/AS92,"")</f>
        <v/>
      </c>
      <c r="AU92" s="40">
        <f>IF(AS92&gt;=MIN_OBS_Z,SQRT(SUMPRODUCT(AQ$5:AQ92,(AR$5:AR92-AT92)^2)/(AS92-1)),"")</f>
        <v/>
      </c>
      <c r="AV92" s="40">
        <f>IF(AND(AQ92=1,ISNUMBER(AT92)),MAX(-Z_CLIP,MIN(Z_CLIP,(AR92-AT92)/AU92)),"")</f>
        <v/>
      </c>
      <c r="AW92" s="40">
        <f>IF(ISNUMBER(AV92),-AV92,"")</f>
        <v/>
      </c>
      <c r="AX92" s="40">
        <f>IF(ISNUMBER(AW92),1+AMPLITUD*TANH(AW92),"")</f>
        <v/>
      </c>
      <c r="AY92" s="40">
        <f>IF($A92="","",IF(COUNT(AX90:AX92)&gt;0,AVERAGE(AX90:AX92),""))</f>
        <v/>
      </c>
      <c r="AZ92" s="40">
        <f>IF(ISNUMBER(AY92),AY92-1,"")</f>
        <v/>
      </c>
      <c r="BA92" s="40">
        <f>IF(AND(ISNUMBER(AZ91),ISNUMBER(W92)),AZ91*W_BANCOS*W92,"")</f>
        <v/>
      </c>
      <c r="BB92" s="40">
        <f>IF(AND(ISNUMBER(AZ91),ISNUMBER(AZ90)),ABS(AZ91-AZ90)*W_BANCOS*COSTO,0)</f>
        <v/>
      </c>
      <c r="BC92" s="40">
        <f>IF(ISNUMBER(BA92),BA92-BB92,"")</f>
        <v/>
      </c>
      <c r="BD92" s="42">
        <f>IF(ISNUMBER(BC92),IF(A92&lt;=FECHA_ERA,"A","B"),"")</f>
        <v/>
      </c>
      <c r="BE92" s="40">
        <f>IF(BD92="A",BC92,"")</f>
        <v/>
      </c>
      <c r="BF92" s="40">
        <f>IF(BD92="B",BC92,"")</f>
        <v/>
      </c>
      <c r="BG92" s="38">
        <f>IF(AND(ISNUMBER(BC92),ISNUMBER(A92)),IF(A92&gt;=INICIO_VIVO,1,0),0)</f>
        <v/>
      </c>
      <c r="BH92" s="40">
        <f>IF(BG92=1,BC92,"")</f>
        <v/>
      </c>
      <c r="BI92" s="38">
        <f>IF(ISNUMBER(AY92),ROW(),0)</f>
        <v/>
      </c>
      <c r="BJ92" s="43">
        <f>IF(ISNUMBER(BC92),SUM(BC$5:BC92)*10000,NA())</f>
        <v/>
      </c>
      <c r="BK92" s="43">
        <f>IF(BG92=1,SUM(BH$5:BH92)*10000,NA())</f>
        <v/>
      </c>
      <c r="BL92" s="44">
        <f>IF(ISNUMBER(AY92),AY92,NA())</f>
        <v/>
      </c>
    </row>
    <row r="93">
      <c r="A93" s="36">
        <f>IF(Datos!A93="","",Datos!A93)</f>
        <v/>
      </c>
      <c r="B93" s="37">
        <f>IF(OR($A93="",NOT(ISNUMBER(Datos!B93)),NOT(ISNUMBER(Datos!B92))),"",Datos!B93/Datos!B92-1)</f>
        <v/>
      </c>
      <c r="C93" s="37">
        <f>IF(OR($A93="",NOT(ISNUMBER(Datos!C93)),NOT(ISNUMBER(Datos!C92))),"",Datos!C93/Datos!C92-1)</f>
        <v/>
      </c>
      <c r="D93" s="37">
        <f>IF(OR($A93="",NOT(ISNUMBER(Datos!D93)),NOT(ISNUMBER(Datos!D92))),"",Datos!D93/Datos!D92-1)</f>
        <v/>
      </c>
      <c r="E93" s="37">
        <f>IF(OR($A93="",NOT(ISNUMBER(Datos!E93)),NOT(ISNUMBER(Datos!E92))),"",Datos!E93/Datos!E92-1)</f>
        <v/>
      </c>
      <c r="F93" s="38">
        <f>IF($A93="","",COUNT(B93:E93))</f>
        <v/>
      </c>
      <c r="G93" s="37">
        <f>IF($A93="","",IF(F93&gt;=MIN_BANCOS,AVERAGE(B93:E93),""))</f>
        <v/>
      </c>
      <c r="H93" s="37">
        <f>IF(OR($A93="",NOT(ISNUMBER(Datos!F93)),NOT(ISNUMBER(Datos!F92))),"",Datos!F93/Datos!F92-1)</f>
        <v/>
      </c>
      <c r="I93" s="39">
        <f>IF($A93="","",IF(ISNUMBER(Datos!G93),Datos!G93,I92))</f>
        <v/>
      </c>
      <c r="J93" s="40">
        <f>IF($A93="","",IF(ISNUMBER(I92),LN(1+I92/100/12),0))</f>
        <v/>
      </c>
      <c r="K93" s="40">
        <f>IF(ISNUMBER(G93),LN(1+G93)-J93,"")</f>
        <v/>
      </c>
      <c r="L93" s="40">
        <f>IF(ISNUMBER(H93),LN(1+H93)-J93,"")</f>
        <v/>
      </c>
      <c r="M93" s="38">
        <f>IF(ISNUMBER(K93),1,0)</f>
        <v/>
      </c>
      <c r="N93" s="40">
        <f>IF(M93=1,K93,0)</f>
        <v/>
      </c>
      <c r="O93" s="38">
        <f>IF(ISNUMBER(L93),1,0)</f>
        <v/>
      </c>
      <c r="P93" s="40">
        <f>IF(O93=1,L93,0)</f>
        <v/>
      </c>
      <c r="Q93" s="38">
        <f>M93*O93</f>
        <v/>
      </c>
      <c r="R93" s="38">
        <f>SUM(Q57:Q92)</f>
        <v/>
      </c>
      <c r="S93" s="41">
        <f>IF(OR($A93="",R93&lt;MIN_OBS_ROLL),"",(SUMPRODUCT(Q57:Q92,N57:N92,P57:P92)/R93-SUMPRODUCT(Q57:Q92,N57:N92)/R93*SUMPRODUCT(Q57:Q92,P57:P92)/R93)*R93/(R93-1))</f>
        <v/>
      </c>
      <c r="T93" s="38">
        <f>SUM(O57:O92)</f>
        <v/>
      </c>
      <c r="U93" s="41">
        <f>IF(OR($A93="",T93&lt;MIN_OBS_ROLL),"",SUMPRODUCT(O57:O92,(P57:P92-SUMPRODUCT(O57:O92,P57:P92)/T93)^2)/(T93-1))</f>
        <v/>
      </c>
      <c r="V93" s="40">
        <f>IF(OR(S93="",U93=""),"",S93/U93)</f>
        <v/>
      </c>
      <c r="W93" s="40">
        <f>IF(AND(ISNUMBER(K93),ISNUMBER(L93),ISNUMBER(V93)),K93-V93*L93,"")</f>
        <v/>
      </c>
      <c r="X93" s="40">
        <f>IF(OR($A93="",NOT(ISNUMBER(Datos!H93)),NOT(ISNUMBER(Datos!H92))),"",LN(Datos!H93)-LN(Datos!H92))</f>
        <v/>
      </c>
      <c r="Y93" s="38">
        <f>IF(ISNUMBER(W93),1,0)</f>
        <v/>
      </c>
      <c r="Z93" s="40">
        <f>IF(Y93=1,W93,0)</f>
        <v/>
      </c>
      <c r="AA93" s="38">
        <f>IF(ISNUMBER(X93),1,0)</f>
        <v/>
      </c>
      <c r="AB93" s="40">
        <f>IF(AA93=1,X93,0)</f>
        <v/>
      </c>
      <c r="AC93" s="38">
        <f>Y93*AA93</f>
        <v/>
      </c>
      <c r="AD93" s="38">
        <f>SUM(AC57:AC92)</f>
        <v/>
      </c>
      <c r="AE93" s="41">
        <f>IF(OR($A93="",AD93&lt;MIN_OBS_ROLL),"",(SUMPRODUCT(AC57:AC92,Z57:Z92,AB57:AB92)/AD93-SUMPRODUCT(AC57:AC92,Z57:Z92)/AD93*SUMPRODUCT(AC57:AC92,AB57:AB92)/AD93)*AD93/(AD93-1))</f>
        <v/>
      </c>
      <c r="AF93" s="38">
        <f>SUM(AA57:AA92)</f>
        <v/>
      </c>
      <c r="AG93" s="41">
        <f>IF(OR($A93="",AF93&lt;MIN_OBS_ROLL),"",SUMPRODUCT(AA57:AA92,(AB57:AB92-SUMPRODUCT(AA57:AA92,AB57:AB92)/AF93)^2)/(AF93-1))</f>
        <v/>
      </c>
      <c r="AH93" s="38">
        <f>SUM(Y57:Y92)</f>
        <v/>
      </c>
      <c r="AI93" s="40">
        <f>IF(OR($A93="",AH93&lt;MIN_OBS_ROLL),"",SUMPRODUCT(Y57:Y92,Z57:Z92)/AH93)</f>
        <v/>
      </c>
      <c r="AJ93" s="40">
        <f>IF(OR($A93="",AF93&lt;MIN_OBS_ROLL),"",SUMPRODUCT(AA57:AA92,AB57:AB92)/AF93)</f>
        <v/>
      </c>
      <c r="AK93" s="40">
        <f>IF(OR(AE93="",AG93=""),"",AE93/AG93)</f>
        <v/>
      </c>
      <c r="AL93" s="40">
        <f>IF(OR(AI93="",AK93="",AJ93=""),"",AI93-AK93*AJ93)</f>
        <v/>
      </c>
      <c r="AM93" s="40">
        <f>IF(AND(ISNUMBER(W93),ISNUMBER(X93),ISNUMBER(AK93),ISNUMBER(AL93)),W93-(AL93+AK93*X93),"")</f>
        <v/>
      </c>
      <c r="AN93" s="38">
        <f>IF(ISNUMBER(AM93),1,0)</f>
        <v/>
      </c>
      <c r="AO93" s="40">
        <f>IF(AN93=1,AM93,0)</f>
        <v/>
      </c>
      <c r="AP93" s="40">
        <f>IF(SUM(AN91:AN93)=3,SUM(AO91:AO93),"")</f>
        <v/>
      </c>
      <c r="AQ93" s="38">
        <f>IF(ISNUMBER(AP93),1,0)</f>
        <v/>
      </c>
      <c r="AR93" s="40">
        <f>IF(AQ93=1,AP93,0)</f>
        <v/>
      </c>
      <c r="AS93" s="38">
        <f>SUM(AQ$5:AQ93)</f>
        <v/>
      </c>
      <c r="AT93" s="40">
        <f>IF(AS93&gt;=MIN_OBS_Z,SUMPRODUCT(AQ$5:AQ93,AR$5:AR93)/AS93,"")</f>
        <v/>
      </c>
      <c r="AU93" s="40">
        <f>IF(AS93&gt;=MIN_OBS_Z,SQRT(SUMPRODUCT(AQ$5:AQ93,(AR$5:AR93-AT93)^2)/(AS93-1)),"")</f>
        <v/>
      </c>
      <c r="AV93" s="40">
        <f>IF(AND(AQ93=1,ISNUMBER(AT93)),MAX(-Z_CLIP,MIN(Z_CLIP,(AR93-AT93)/AU93)),"")</f>
        <v/>
      </c>
      <c r="AW93" s="40">
        <f>IF(ISNUMBER(AV93),-AV93,"")</f>
        <v/>
      </c>
      <c r="AX93" s="40">
        <f>IF(ISNUMBER(AW93),1+AMPLITUD*TANH(AW93),"")</f>
        <v/>
      </c>
      <c r="AY93" s="40">
        <f>IF($A93="","",IF(COUNT(AX91:AX93)&gt;0,AVERAGE(AX91:AX93),""))</f>
        <v/>
      </c>
      <c r="AZ93" s="40">
        <f>IF(ISNUMBER(AY93),AY93-1,"")</f>
        <v/>
      </c>
      <c r="BA93" s="40">
        <f>IF(AND(ISNUMBER(AZ92),ISNUMBER(W93)),AZ92*W_BANCOS*W93,"")</f>
        <v/>
      </c>
      <c r="BB93" s="40">
        <f>IF(AND(ISNUMBER(AZ92),ISNUMBER(AZ91)),ABS(AZ92-AZ91)*W_BANCOS*COSTO,0)</f>
        <v/>
      </c>
      <c r="BC93" s="40">
        <f>IF(ISNUMBER(BA93),BA93-BB93,"")</f>
        <v/>
      </c>
      <c r="BD93" s="42">
        <f>IF(ISNUMBER(BC93),IF(A93&lt;=FECHA_ERA,"A","B"),"")</f>
        <v/>
      </c>
      <c r="BE93" s="40">
        <f>IF(BD93="A",BC93,"")</f>
        <v/>
      </c>
      <c r="BF93" s="40">
        <f>IF(BD93="B",BC93,"")</f>
        <v/>
      </c>
      <c r="BG93" s="38">
        <f>IF(AND(ISNUMBER(BC93),ISNUMBER(A93)),IF(A93&gt;=INICIO_VIVO,1,0),0)</f>
        <v/>
      </c>
      <c r="BH93" s="40">
        <f>IF(BG93=1,BC93,"")</f>
        <v/>
      </c>
      <c r="BI93" s="38">
        <f>IF(ISNUMBER(AY93),ROW(),0)</f>
        <v/>
      </c>
      <c r="BJ93" s="43">
        <f>IF(ISNUMBER(BC93),SUM(BC$5:BC93)*10000,NA())</f>
        <v/>
      </c>
      <c r="BK93" s="43">
        <f>IF(BG93=1,SUM(BH$5:BH93)*10000,NA())</f>
        <v/>
      </c>
      <c r="BL93" s="44">
        <f>IF(ISNUMBER(AY93),AY93,NA())</f>
        <v/>
      </c>
    </row>
    <row r="94">
      <c r="A94" s="36">
        <f>IF(Datos!A94="","",Datos!A94)</f>
        <v/>
      </c>
      <c r="B94" s="37">
        <f>IF(OR($A94="",NOT(ISNUMBER(Datos!B94)),NOT(ISNUMBER(Datos!B93))),"",Datos!B94/Datos!B93-1)</f>
        <v/>
      </c>
      <c r="C94" s="37">
        <f>IF(OR($A94="",NOT(ISNUMBER(Datos!C94)),NOT(ISNUMBER(Datos!C93))),"",Datos!C94/Datos!C93-1)</f>
        <v/>
      </c>
      <c r="D94" s="37">
        <f>IF(OR($A94="",NOT(ISNUMBER(Datos!D94)),NOT(ISNUMBER(Datos!D93))),"",Datos!D94/Datos!D93-1)</f>
        <v/>
      </c>
      <c r="E94" s="37">
        <f>IF(OR($A94="",NOT(ISNUMBER(Datos!E94)),NOT(ISNUMBER(Datos!E93))),"",Datos!E94/Datos!E93-1)</f>
        <v/>
      </c>
      <c r="F94" s="38">
        <f>IF($A94="","",COUNT(B94:E94))</f>
        <v/>
      </c>
      <c r="G94" s="37">
        <f>IF($A94="","",IF(F94&gt;=MIN_BANCOS,AVERAGE(B94:E94),""))</f>
        <v/>
      </c>
      <c r="H94" s="37">
        <f>IF(OR($A94="",NOT(ISNUMBER(Datos!F94)),NOT(ISNUMBER(Datos!F93))),"",Datos!F94/Datos!F93-1)</f>
        <v/>
      </c>
      <c r="I94" s="39">
        <f>IF($A94="","",IF(ISNUMBER(Datos!G94),Datos!G94,I93))</f>
        <v/>
      </c>
      <c r="J94" s="40">
        <f>IF($A94="","",IF(ISNUMBER(I93),LN(1+I93/100/12),0))</f>
        <v/>
      </c>
      <c r="K94" s="40">
        <f>IF(ISNUMBER(G94),LN(1+G94)-J94,"")</f>
        <v/>
      </c>
      <c r="L94" s="40">
        <f>IF(ISNUMBER(H94),LN(1+H94)-J94,"")</f>
        <v/>
      </c>
      <c r="M94" s="38">
        <f>IF(ISNUMBER(K94),1,0)</f>
        <v/>
      </c>
      <c r="N94" s="40">
        <f>IF(M94=1,K94,0)</f>
        <v/>
      </c>
      <c r="O94" s="38">
        <f>IF(ISNUMBER(L94),1,0)</f>
        <v/>
      </c>
      <c r="P94" s="40">
        <f>IF(O94=1,L94,0)</f>
        <v/>
      </c>
      <c r="Q94" s="38">
        <f>M94*O94</f>
        <v/>
      </c>
      <c r="R94" s="38">
        <f>SUM(Q58:Q93)</f>
        <v/>
      </c>
      <c r="S94" s="41">
        <f>IF(OR($A94="",R94&lt;MIN_OBS_ROLL),"",(SUMPRODUCT(Q58:Q93,N58:N93,P58:P93)/R94-SUMPRODUCT(Q58:Q93,N58:N93)/R94*SUMPRODUCT(Q58:Q93,P58:P93)/R94)*R94/(R94-1))</f>
        <v/>
      </c>
      <c r="T94" s="38">
        <f>SUM(O58:O93)</f>
        <v/>
      </c>
      <c r="U94" s="41">
        <f>IF(OR($A94="",T94&lt;MIN_OBS_ROLL),"",SUMPRODUCT(O58:O93,(P58:P93-SUMPRODUCT(O58:O93,P58:P93)/T94)^2)/(T94-1))</f>
        <v/>
      </c>
      <c r="V94" s="40">
        <f>IF(OR(S94="",U94=""),"",S94/U94)</f>
        <v/>
      </c>
      <c r="W94" s="40">
        <f>IF(AND(ISNUMBER(K94),ISNUMBER(L94),ISNUMBER(V94)),K94-V94*L94,"")</f>
        <v/>
      </c>
      <c r="X94" s="40">
        <f>IF(OR($A94="",NOT(ISNUMBER(Datos!H94)),NOT(ISNUMBER(Datos!H93))),"",LN(Datos!H94)-LN(Datos!H93))</f>
        <v/>
      </c>
      <c r="Y94" s="38">
        <f>IF(ISNUMBER(W94),1,0)</f>
        <v/>
      </c>
      <c r="Z94" s="40">
        <f>IF(Y94=1,W94,0)</f>
        <v/>
      </c>
      <c r="AA94" s="38">
        <f>IF(ISNUMBER(X94),1,0)</f>
        <v/>
      </c>
      <c r="AB94" s="40">
        <f>IF(AA94=1,X94,0)</f>
        <v/>
      </c>
      <c r="AC94" s="38">
        <f>Y94*AA94</f>
        <v/>
      </c>
      <c r="AD94" s="38">
        <f>SUM(AC58:AC93)</f>
        <v/>
      </c>
      <c r="AE94" s="41">
        <f>IF(OR($A94="",AD94&lt;MIN_OBS_ROLL),"",(SUMPRODUCT(AC58:AC93,Z58:Z93,AB58:AB93)/AD94-SUMPRODUCT(AC58:AC93,Z58:Z93)/AD94*SUMPRODUCT(AC58:AC93,AB58:AB93)/AD94)*AD94/(AD94-1))</f>
        <v/>
      </c>
      <c r="AF94" s="38">
        <f>SUM(AA58:AA93)</f>
        <v/>
      </c>
      <c r="AG94" s="41">
        <f>IF(OR($A94="",AF94&lt;MIN_OBS_ROLL),"",SUMPRODUCT(AA58:AA93,(AB58:AB93-SUMPRODUCT(AA58:AA93,AB58:AB93)/AF94)^2)/(AF94-1))</f>
        <v/>
      </c>
      <c r="AH94" s="38">
        <f>SUM(Y58:Y93)</f>
        <v/>
      </c>
      <c r="AI94" s="40">
        <f>IF(OR($A94="",AH94&lt;MIN_OBS_ROLL),"",SUMPRODUCT(Y58:Y93,Z58:Z93)/AH94)</f>
        <v/>
      </c>
      <c r="AJ94" s="40">
        <f>IF(OR($A94="",AF94&lt;MIN_OBS_ROLL),"",SUMPRODUCT(AA58:AA93,AB58:AB93)/AF94)</f>
        <v/>
      </c>
      <c r="AK94" s="40">
        <f>IF(OR(AE94="",AG94=""),"",AE94/AG94)</f>
        <v/>
      </c>
      <c r="AL94" s="40">
        <f>IF(OR(AI94="",AK94="",AJ94=""),"",AI94-AK94*AJ94)</f>
        <v/>
      </c>
      <c r="AM94" s="40">
        <f>IF(AND(ISNUMBER(W94),ISNUMBER(X94),ISNUMBER(AK94),ISNUMBER(AL94)),W94-(AL94+AK94*X94),"")</f>
        <v/>
      </c>
      <c r="AN94" s="38">
        <f>IF(ISNUMBER(AM94),1,0)</f>
        <v/>
      </c>
      <c r="AO94" s="40">
        <f>IF(AN94=1,AM94,0)</f>
        <v/>
      </c>
      <c r="AP94" s="40">
        <f>IF(SUM(AN92:AN94)=3,SUM(AO92:AO94),"")</f>
        <v/>
      </c>
      <c r="AQ94" s="38">
        <f>IF(ISNUMBER(AP94),1,0)</f>
        <v/>
      </c>
      <c r="AR94" s="40">
        <f>IF(AQ94=1,AP94,0)</f>
        <v/>
      </c>
      <c r="AS94" s="38">
        <f>SUM(AQ$5:AQ94)</f>
        <v/>
      </c>
      <c r="AT94" s="40">
        <f>IF(AS94&gt;=MIN_OBS_Z,SUMPRODUCT(AQ$5:AQ94,AR$5:AR94)/AS94,"")</f>
        <v/>
      </c>
      <c r="AU94" s="40">
        <f>IF(AS94&gt;=MIN_OBS_Z,SQRT(SUMPRODUCT(AQ$5:AQ94,(AR$5:AR94-AT94)^2)/(AS94-1)),"")</f>
        <v/>
      </c>
      <c r="AV94" s="40">
        <f>IF(AND(AQ94=1,ISNUMBER(AT94)),MAX(-Z_CLIP,MIN(Z_CLIP,(AR94-AT94)/AU94)),"")</f>
        <v/>
      </c>
      <c r="AW94" s="40">
        <f>IF(ISNUMBER(AV94),-AV94,"")</f>
        <v/>
      </c>
      <c r="AX94" s="40">
        <f>IF(ISNUMBER(AW94),1+AMPLITUD*TANH(AW94),"")</f>
        <v/>
      </c>
      <c r="AY94" s="40">
        <f>IF($A94="","",IF(COUNT(AX92:AX94)&gt;0,AVERAGE(AX92:AX94),""))</f>
        <v/>
      </c>
      <c r="AZ94" s="40">
        <f>IF(ISNUMBER(AY94),AY94-1,"")</f>
        <v/>
      </c>
      <c r="BA94" s="40">
        <f>IF(AND(ISNUMBER(AZ93),ISNUMBER(W94)),AZ93*W_BANCOS*W94,"")</f>
        <v/>
      </c>
      <c r="BB94" s="40">
        <f>IF(AND(ISNUMBER(AZ93),ISNUMBER(AZ92)),ABS(AZ93-AZ92)*W_BANCOS*COSTO,0)</f>
        <v/>
      </c>
      <c r="BC94" s="40">
        <f>IF(ISNUMBER(BA94),BA94-BB94,"")</f>
        <v/>
      </c>
      <c r="BD94" s="42">
        <f>IF(ISNUMBER(BC94),IF(A94&lt;=FECHA_ERA,"A","B"),"")</f>
        <v/>
      </c>
      <c r="BE94" s="40">
        <f>IF(BD94="A",BC94,"")</f>
        <v/>
      </c>
      <c r="BF94" s="40">
        <f>IF(BD94="B",BC94,"")</f>
        <v/>
      </c>
      <c r="BG94" s="38">
        <f>IF(AND(ISNUMBER(BC94),ISNUMBER(A94)),IF(A94&gt;=INICIO_VIVO,1,0),0)</f>
        <v/>
      </c>
      <c r="BH94" s="40">
        <f>IF(BG94=1,BC94,"")</f>
        <v/>
      </c>
      <c r="BI94" s="38">
        <f>IF(ISNUMBER(AY94),ROW(),0)</f>
        <v/>
      </c>
      <c r="BJ94" s="43">
        <f>IF(ISNUMBER(BC94),SUM(BC$5:BC94)*10000,NA())</f>
        <v/>
      </c>
      <c r="BK94" s="43">
        <f>IF(BG94=1,SUM(BH$5:BH94)*10000,NA())</f>
        <v/>
      </c>
      <c r="BL94" s="44">
        <f>IF(ISNUMBER(AY94),AY94,NA())</f>
        <v/>
      </c>
    </row>
    <row r="95">
      <c r="A95" s="36">
        <f>IF(Datos!A95="","",Datos!A95)</f>
        <v/>
      </c>
      <c r="B95" s="37">
        <f>IF(OR($A95="",NOT(ISNUMBER(Datos!B95)),NOT(ISNUMBER(Datos!B94))),"",Datos!B95/Datos!B94-1)</f>
        <v/>
      </c>
      <c r="C95" s="37">
        <f>IF(OR($A95="",NOT(ISNUMBER(Datos!C95)),NOT(ISNUMBER(Datos!C94))),"",Datos!C95/Datos!C94-1)</f>
        <v/>
      </c>
      <c r="D95" s="37">
        <f>IF(OR($A95="",NOT(ISNUMBER(Datos!D95)),NOT(ISNUMBER(Datos!D94))),"",Datos!D95/Datos!D94-1)</f>
        <v/>
      </c>
      <c r="E95" s="37">
        <f>IF(OR($A95="",NOT(ISNUMBER(Datos!E95)),NOT(ISNUMBER(Datos!E94))),"",Datos!E95/Datos!E94-1)</f>
        <v/>
      </c>
      <c r="F95" s="38">
        <f>IF($A95="","",COUNT(B95:E95))</f>
        <v/>
      </c>
      <c r="G95" s="37">
        <f>IF($A95="","",IF(F95&gt;=MIN_BANCOS,AVERAGE(B95:E95),""))</f>
        <v/>
      </c>
      <c r="H95" s="37">
        <f>IF(OR($A95="",NOT(ISNUMBER(Datos!F95)),NOT(ISNUMBER(Datos!F94))),"",Datos!F95/Datos!F94-1)</f>
        <v/>
      </c>
      <c r="I95" s="39">
        <f>IF($A95="","",IF(ISNUMBER(Datos!G95),Datos!G95,I94))</f>
        <v/>
      </c>
      <c r="J95" s="40">
        <f>IF($A95="","",IF(ISNUMBER(I94),LN(1+I94/100/12),0))</f>
        <v/>
      </c>
      <c r="K95" s="40">
        <f>IF(ISNUMBER(G95),LN(1+G95)-J95,"")</f>
        <v/>
      </c>
      <c r="L95" s="40">
        <f>IF(ISNUMBER(H95),LN(1+H95)-J95,"")</f>
        <v/>
      </c>
      <c r="M95" s="38">
        <f>IF(ISNUMBER(K95),1,0)</f>
        <v/>
      </c>
      <c r="N95" s="40">
        <f>IF(M95=1,K95,0)</f>
        <v/>
      </c>
      <c r="O95" s="38">
        <f>IF(ISNUMBER(L95),1,0)</f>
        <v/>
      </c>
      <c r="P95" s="40">
        <f>IF(O95=1,L95,0)</f>
        <v/>
      </c>
      <c r="Q95" s="38">
        <f>M95*O95</f>
        <v/>
      </c>
      <c r="R95" s="38">
        <f>SUM(Q59:Q94)</f>
        <v/>
      </c>
      <c r="S95" s="41">
        <f>IF(OR($A95="",R95&lt;MIN_OBS_ROLL),"",(SUMPRODUCT(Q59:Q94,N59:N94,P59:P94)/R95-SUMPRODUCT(Q59:Q94,N59:N94)/R95*SUMPRODUCT(Q59:Q94,P59:P94)/R95)*R95/(R95-1))</f>
        <v/>
      </c>
      <c r="T95" s="38">
        <f>SUM(O59:O94)</f>
        <v/>
      </c>
      <c r="U95" s="41">
        <f>IF(OR($A95="",T95&lt;MIN_OBS_ROLL),"",SUMPRODUCT(O59:O94,(P59:P94-SUMPRODUCT(O59:O94,P59:P94)/T95)^2)/(T95-1))</f>
        <v/>
      </c>
      <c r="V95" s="40">
        <f>IF(OR(S95="",U95=""),"",S95/U95)</f>
        <v/>
      </c>
      <c r="W95" s="40">
        <f>IF(AND(ISNUMBER(K95),ISNUMBER(L95),ISNUMBER(V95)),K95-V95*L95,"")</f>
        <v/>
      </c>
      <c r="X95" s="40">
        <f>IF(OR($A95="",NOT(ISNUMBER(Datos!H95)),NOT(ISNUMBER(Datos!H94))),"",LN(Datos!H95)-LN(Datos!H94))</f>
        <v/>
      </c>
      <c r="Y95" s="38">
        <f>IF(ISNUMBER(W95),1,0)</f>
        <v/>
      </c>
      <c r="Z95" s="40">
        <f>IF(Y95=1,W95,0)</f>
        <v/>
      </c>
      <c r="AA95" s="38">
        <f>IF(ISNUMBER(X95),1,0)</f>
        <v/>
      </c>
      <c r="AB95" s="40">
        <f>IF(AA95=1,X95,0)</f>
        <v/>
      </c>
      <c r="AC95" s="38">
        <f>Y95*AA95</f>
        <v/>
      </c>
      <c r="AD95" s="38">
        <f>SUM(AC59:AC94)</f>
        <v/>
      </c>
      <c r="AE95" s="41">
        <f>IF(OR($A95="",AD95&lt;MIN_OBS_ROLL),"",(SUMPRODUCT(AC59:AC94,Z59:Z94,AB59:AB94)/AD95-SUMPRODUCT(AC59:AC94,Z59:Z94)/AD95*SUMPRODUCT(AC59:AC94,AB59:AB94)/AD95)*AD95/(AD95-1))</f>
        <v/>
      </c>
      <c r="AF95" s="38">
        <f>SUM(AA59:AA94)</f>
        <v/>
      </c>
      <c r="AG95" s="41">
        <f>IF(OR($A95="",AF95&lt;MIN_OBS_ROLL),"",SUMPRODUCT(AA59:AA94,(AB59:AB94-SUMPRODUCT(AA59:AA94,AB59:AB94)/AF95)^2)/(AF95-1))</f>
        <v/>
      </c>
      <c r="AH95" s="38">
        <f>SUM(Y59:Y94)</f>
        <v/>
      </c>
      <c r="AI95" s="40">
        <f>IF(OR($A95="",AH95&lt;MIN_OBS_ROLL),"",SUMPRODUCT(Y59:Y94,Z59:Z94)/AH95)</f>
        <v/>
      </c>
      <c r="AJ95" s="40">
        <f>IF(OR($A95="",AF95&lt;MIN_OBS_ROLL),"",SUMPRODUCT(AA59:AA94,AB59:AB94)/AF95)</f>
        <v/>
      </c>
      <c r="AK95" s="40">
        <f>IF(OR(AE95="",AG95=""),"",AE95/AG95)</f>
        <v/>
      </c>
      <c r="AL95" s="40">
        <f>IF(OR(AI95="",AK95="",AJ95=""),"",AI95-AK95*AJ95)</f>
        <v/>
      </c>
      <c r="AM95" s="40">
        <f>IF(AND(ISNUMBER(W95),ISNUMBER(X95),ISNUMBER(AK95),ISNUMBER(AL95)),W95-(AL95+AK95*X95),"")</f>
        <v/>
      </c>
      <c r="AN95" s="38">
        <f>IF(ISNUMBER(AM95),1,0)</f>
        <v/>
      </c>
      <c r="AO95" s="40">
        <f>IF(AN95=1,AM95,0)</f>
        <v/>
      </c>
      <c r="AP95" s="40">
        <f>IF(SUM(AN93:AN95)=3,SUM(AO93:AO95),"")</f>
        <v/>
      </c>
      <c r="AQ95" s="38">
        <f>IF(ISNUMBER(AP95),1,0)</f>
        <v/>
      </c>
      <c r="AR95" s="40">
        <f>IF(AQ95=1,AP95,0)</f>
        <v/>
      </c>
      <c r="AS95" s="38">
        <f>SUM(AQ$5:AQ95)</f>
        <v/>
      </c>
      <c r="AT95" s="40">
        <f>IF(AS95&gt;=MIN_OBS_Z,SUMPRODUCT(AQ$5:AQ95,AR$5:AR95)/AS95,"")</f>
        <v/>
      </c>
      <c r="AU95" s="40">
        <f>IF(AS95&gt;=MIN_OBS_Z,SQRT(SUMPRODUCT(AQ$5:AQ95,(AR$5:AR95-AT95)^2)/(AS95-1)),"")</f>
        <v/>
      </c>
      <c r="AV95" s="40">
        <f>IF(AND(AQ95=1,ISNUMBER(AT95)),MAX(-Z_CLIP,MIN(Z_CLIP,(AR95-AT95)/AU95)),"")</f>
        <v/>
      </c>
      <c r="AW95" s="40">
        <f>IF(ISNUMBER(AV95),-AV95,"")</f>
        <v/>
      </c>
      <c r="AX95" s="40">
        <f>IF(ISNUMBER(AW95),1+AMPLITUD*TANH(AW95),"")</f>
        <v/>
      </c>
      <c r="AY95" s="40">
        <f>IF($A95="","",IF(COUNT(AX93:AX95)&gt;0,AVERAGE(AX93:AX95),""))</f>
        <v/>
      </c>
      <c r="AZ95" s="40">
        <f>IF(ISNUMBER(AY95),AY95-1,"")</f>
        <v/>
      </c>
      <c r="BA95" s="40">
        <f>IF(AND(ISNUMBER(AZ94),ISNUMBER(W95)),AZ94*W_BANCOS*W95,"")</f>
        <v/>
      </c>
      <c r="BB95" s="40">
        <f>IF(AND(ISNUMBER(AZ94),ISNUMBER(AZ93)),ABS(AZ94-AZ93)*W_BANCOS*COSTO,0)</f>
        <v/>
      </c>
      <c r="BC95" s="40">
        <f>IF(ISNUMBER(BA95),BA95-BB95,"")</f>
        <v/>
      </c>
      <c r="BD95" s="42">
        <f>IF(ISNUMBER(BC95),IF(A95&lt;=FECHA_ERA,"A","B"),"")</f>
        <v/>
      </c>
      <c r="BE95" s="40">
        <f>IF(BD95="A",BC95,"")</f>
        <v/>
      </c>
      <c r="BF95" s="40">
        <f>IF(BD95="B",BC95,"")</f>
        <v/>
      </c>
      <c r="BG95" s="38">
        <f>IF(AND(ISNUMBER(BC95),ISNUMBER(A95)),IF(A95&gt;=INICIO_VIVO,1,0),0)</f>
        <v/>
      </c>
      <c r="BH95" s="40">
        <f>IF(BG95=1,BC95,"")</f>
        <v/>
      </c>
      <c r="BI95" s="38">
        <f>IF(ISNUMBER(AY95),ROW(),0)</f>
        <v/>
      </c>
      <c r="BJ95" s="43">
        <f>IF(ISNUMBER(BC95),SUM(BC$5:BC95)*10000,NA())</f>
        <v/>
      </c>
      <c r="BK95" s="43">
        <f>IF(BG95=1,SUM(BH$5:BH95)*10000,NA())</f>
        <v/>
      </c>
      <c r="BL95" s="44">
        <f>IF(ISNUMBER(AY95),AY95,NA())</f>
        <v/>
      </c>
    </row>
    <row r="96">
      <c r="A96" s="36">
        <f>IF(Datos!A96="","",Datos!A96)</f>
        <v/>
      </c>
      <c r="B96" s="37">
        <f>IF(OR($A96="",NOT(ISNUMBER(Datos!B96)),NOT(ISNUMBER(Datos!B95))),"",Datos!B96/Datos!B95-1)</f>
        <v/>
      </c>
      <c r="C96" s="37">
        <f>IF(OR($A96="",NOT(ISNUMBER(Datos!C96)),NOT(ISNUMBER(Datos!C95))),"",Datos!C96/Datos!C95-1)</f>
        <v/>
      </c>
      <c r="D96" s="37">
        <f>IF(OR($A96="",NOT(ISNUMBER(Datos!D96)),NOT(ISNUMBER(Datos!D95))),"",Datos!D96/Datos!D95-1)</f>
        <v/>
      </c>
      <c r="E96" s="37">
        <f>IF(OR($A96="",NOT(ISNUMBER(Datos!E96)),NOT(ISNUMBER(Datos!E95))),"",Datos!E96/Datos!E95-1)</f>
        <v/>
      </c>
      <c r="F96" s="38">
        <f>IF($A96="","",COUNT(B96:E96))</f>
        <v/>
      </c>
      <c r="G96" s="37">
        <f>IF($A96="","",IF(F96&gt;=MIN_BANCOS,AVERAGE(B96:E96),""))</f>
        <v/>
      </c>
      <c r="H96" s="37">
        <f>IF(OR($A96="",NOT(ISNUMBER(Datos!F96)),NOT(ISNUMBER(Datos!F95))),"",Datos!F96/Datos!F95-1)</f>
        <v/>
      </c>
      <c r="I96" s="39">
        <f>IF($A96="","",IF(ISNUMBER(Datos!G96),Datos!G96,I95))</f>
        <v/>
      </c>
      <c r="J96" s="40">
        <f>IF($A96="","",IF(ISNUMBER(I95),LN(1+I95/100/12),0))</f>
        <v/>
      </c>
      <c r="K96" s="40">
        <f>IF(ISNUMBER(G96),LN(1+G96)-J96,"")</f>
        <v/>
      </c>
      <c r="L96" s="40">
        <f>IF(ISNUMBER(H96),LN(1+H96)-J96,"")</f>
        <v/>
      </c>
      <c r="M96" s="38">
        <f>IF(ISNUMBER(K96),1,0)</f>
        <v/>
      </c>
      <c r="N96" s="40">
        <f>IF(M96=1,K96,0)</f>
        <v/>
      </c>
      <c r="O96" s="38">
        <f>IF(ISNUMBER(L96),1,0)</f>
        <v/>
      </c>
      <c r="P96" s="40">
        <f>IF(O96=1,L96,0)</f>
        <v/>
      </c>
      <c r="Q96" s="38">
        <f>M96*O96</f>
        <v/>
      </c>
      <c r="R96" s="38">
        <f>SUM(Q60:Q95)</f>
        <v/>
      </c>
      <c r="S96" s="41">
        <f>IF(OR($A96="",R96&lt;MIN_OBS_ROLL),"",(SUMPRODUCT(Q60:Q95,N60:N95,P60:P95)/R96-SUMPRODUCT(Q60:Q95,N60:N95)/R96*SUMPRODUCT(Q60:Q95,P60:P95)/R96)*R96/(R96-1))</f>
        <v/>
      </c>
      <c r="T96" s="38">
        <f>SUM(O60:O95)</f>
        <v/>
      </c>
      <c r="U96" s="41">
        <f>IF(OR($A96="",T96&lt;MIN_OBS_ROLL),"",SUMPRODUCT(O60:O95,(P60:P95-SUMPRODUCT(O60:O95,P60:P95)/T96)^2)/(T96-1))</f>
        <v/>
      </c>
      <c r="V96" s="40">
        <f>IF(OR(S96="",U96=""),"",S96/U96)</f>
        <v/>
      </c>
      <c r="W96" s="40">
        <f>IF(AND(ISNUMBER(K96),ISNUMBER(L96),ISNUMBER(V96)),K96-V96*L96,"")</f>
        <v/>
      </c>
      <c r="X96" s="40">
        <f>IF(OR($A96="",NOT(ISNUMBER(Datos!H96)),NOT(ISNUMBER(Datos!H95))),"",LN(Datos!H96)-LN(Datos!H95))</f>
        <v/>
      </c>
      <c r="Y96" s="38">
        <f>IF(ISNUMBER(W96),1,0)</f>
        <v/>
      </c>
      <c r="Z96" s="40">
        <f>IF(Y96=1,W96,0)</f>
        <v/>
      </c>
      <c r="AA96" s="38">
        <f>IF(ISNUMBER(X96),1,0)</f>
        <v/>
      </c>
      <c r="AB96" s="40">
        <f>IF(AA96=1,X96,0)</f>
        <v/>
      </c>
      <c r="AC96" s="38">
        <f>Y96*AA96</f>
        <v/>
      </c>
      <c r="AD96" s="38">
        <f>SUM(AC60:AC95)</f>
        <v/>
      </c>
      <c r="AE96" s="41">
        <f>IF(OR($A96="",AD96&lt;MIN_OBS_ROLL),"",(SUMPRODUCT(AC60:AC95,Z60:Z95,AB60:AB95)/AD96-SUMPRODUCT(AC60:AC95,Z60:Z95)/AD96*SUMPRODUCT(AC60:AC95,AB60:AB95)/AD96)*AD96/(AD96-1))</f>
        <v/>
      </c>
      <c r="AF96" s="38">
        <f>SUM(AA60:AA95)</f>
        <v/>
      </c>
      <c r="AG96" s="41">
        <f>IF(OR($A96="",AF96&lt;MIN_OBS_ROLL),"",SUMPRODUCT(AA60:AA95,(AB60:AB95-SUMPRODUCT(AA60:AA95,AB60:AB95)/AF96)^2)/(AF96-1))</f>
        <v/>
      </c>
      <c r="AH96" s="38">
        <f>SUM(Y60:Y95)</f>
        <v/>
      </c>
      <c r="AI96" s="40">
        <f>IF(OR($A96="",AH96&lt;MIN_OBS_ROLL),"",SUMPRODUCT(Y60:Y95,Z60:Z95)/AH96)</f>
        <v/>
      </c>
      <c r="AJ96" s="40">
        <f>IF(OR($A96="",AF96&lt;MIN_OBS_ROLL),"",SUMPRODUCT(AA60:AA95,AB60:AB95)/AF96)</f>
        <v/>
      </c>
      <c r="AK96" s="40">
        <f>IF(OR(AE96="",AG96=""),"",AE96/AG96)</f>
        <v/>
      </c>
      <c r="AL96" s="40">
        <f>IF(OR(AI96="",AK96="",AJ96=""),"",AI96-AK96*AJ96)</f>
        <v/>
      </c>
      <c r="AM96" s="40">
        <f>IF(AND(ISNUMBER(W96),ISNUMBER(X96),ISNUMBER(AK96),ISNUMBER(AL96)),W96-(AL96+AK96*X96),"")</f>
        <v/>
      </c>
      <c r="AN96" s="38">
        <f>IF(ISNUMBER(AM96),1,0)</f>
        <v/>
      </c>
      <c r="AO96" s="40">
        <f>IF(AN96=1,AM96,0)</f>
        <v/>
      </c>
      <c r="AP96" s="40">
        <f>IF(SUM(AN94:AN96)=3,SUM(AO94:AO96),"")</f>
        <v/>
      </c>
      <c r="AQ96" s="38">
        <f>IF(ISNUMBER(AP96),1,0)</f>
        <v/>
      </c>
      <c r="AR96" s="40">
        <f>IF(AQ96=1,AP96,0)</f>
        <v/>
      </c>
      <c r="AS96" s="38">
        <f>SUM(AQ$5:AQ96)</f>
        <v/>
      </c>
      <c r="AT96" s="40">
        <f>IF(AS96&gt;=MIN_OBS_Z,SUMPRODUCT(AQ$5:AQ96,AR$5:AR96)/AS96,"")</f>
        <v/>
      </c>
      <c r="AU96" s="40">
        <f>IF(AS96&gt;=MIN_OBS_Z,SQRT(SUMPRODUCT(AQ$5:AQ96,(AR$5:AR96-AT96)^2)/(AS96-1)),"")</f>
        <v/>
      </c>
      <c r="AV96" s="40">
        <f>IF(AND(AQ96=1,ISNUMBER(AT96)),MAX(-Z_CLIP,MIN(Z_CLIP,(AR96-AT96)/AU96)),"")</f>
        <v/>
      </c>
      <c r="AW96" s="40">
        <f>IF(ISNUMBER(AV96),-AV96,"")</f>
        <v/>
      </c>
      <c r="AX96" s="40">
        <f>IF(ISNUMBER(AW96),1+AMPLITUD*TANH(AW96),"")</f>
        <v/>
      </c>
      <c r="AY96" s="40">
        <f>IF($A96="","",IF(COUNT(AX94:AX96)&gt;0,AVERAGE(AX94:AX96),""))</f>
        <v/>
      </c>
      <c r="AZ96" s="40">
        <f>IF(ISNUMBER(AY96),AY96-1,"")</f>
        <v/>
      </c>
      <c r="BA96" s="40">
        <f>IF(AND(ISNUMBER(AZ95),ISNUMBER(W96)),AZ95*W_BANCOS*W96,"")</f>
        <v/>
      </c>
      <c r="BB96" s="40">
        <f>IF(AND(ISNUMBER(AZ95),ISNUMBER(AZ94)),ABS(AZ95-AZ94)*W_BANCOS*COSTO,0)</f>
        <v/>
      </c>
      <c r="BC96" s="40">
        <f>IF(ISNUMBER(BA96),BA96-BB96,"")</f>
        <v/>
      </c>
      <c r="BD96" s="42">
        <f>IF(ISNUMBER(BC96),IF(A96&lt;=FECHA_ERA,"A","B"),"")</f>
        <v/>
      </c>
      <c r="BE96" s="40">
        <f>IF(BD96="A",BC96,"")</f>
        <v/>
      </c>
      <c r="BF96" s="40">
        <f>IF(BD96="B",BC96,"")</f>
        <v/>
      </c>
      <c r="BG96" s="38">
        <f>IF(AND(ISNUMBER(BC96),ISNUMBER(A96)),IF(A96&gt;=INICIO_VIVO,1,0),0)</f>
        <v/>
      </c>
      <c r="BH96" s="40">
        <f>IF(BG96=1,BC96,"")</f>
        <v/>
      </c>
      <c r="BI96" s="38">
        <f>IF(ISNUMBER(AY96),ROW(),0)</f>
        <v/>
      </c>
      <c r="BJ96" s="43">
        <f>IF(ISNUMBER(BC96),SUM(BC$5:BC96)*10000,NA())</f>
        <v/>
      </c>
      <c r="BK96" s="43">
        <f>IF(BG96=1,SUM(BH$5:BH96)*10000,NA())</f>
        <v/>
      </c>
      <c r="BL96" s="44">
        <f>IF(ISNUMBER(AY96),AY96,NA())</f>
        <v/>
      </c>
    </row>
    <row r="97">
      <c r="A97" s="36">
        <f>IF(Datos!A97="","",Datos!A97)</f>
        <v/>
      </c>
      <c r="B97" s="37">
        <f>IF(OR($A97="",NOT(ISNUMBER(Datos!B97)),NOT(ISNUMBER(Datos!B96))),"",Datos!B97/Datos!B96-1)</f>
        <v/>
      </c>
      <c r="C97" s="37">
        <f>IF(OR($A97="",NOT(ISNUMBER(Datos!C97)),NOT(ISNUMBER(Datos!C96))),"",Datos!C97/Datos!C96-1)</f>
        <v/>
      </c>
      <c r="D97" s="37">
        <f>IF(OR($A97="",NOT(ISNUMBER(Datos!D97)),NOT(ISNUMBER(Datos!D96))),"",Datos!D97/Datos!D96-1)</f>
        <v/>
      </c>
      <c r="E97" s="37">
        <f>IF(OR($A97="",NOT(ISNUMBER(Datos!E97)),NOT(ISNUMBER(Datos!E96))),"",Datos!E97/Datos!E96-1)</f>
        <v/>
      </c>
      <c r="F97" s="38">
        <f>IF($A97="","",COUNT(B97:E97))</f>
        <v/>
      </c>
      <c r="G97" s="37">
        <f>IF($A97="","",IF(F97&gt;=MIN_BANCOS,AVERAGE(B97:E97),""))</f>
        <v/>
      </c>
      <c r="H97" s="37">
        <f>IF(OR($A97="",NOT(ISNUMBER(Datos!F97)),NOT(ISNUMBER(Datos!F96))),"",Datos!F97/Datos!F96-1)</f>
        <v/>
      </c>
      <c r="I97" s="39">
        <f>IF($A97="","",IF(ISNUMBER(Datos!G97),Datos!G97,I96))</f>
        <v/>
      </c>
      <c r="J97" s="40">
        <f>IF($A97="","",IF(ISNUMBER(I96),LN(1+I96/100/12),0))</f>
        <v/>
      </c>
      <c r="K97" s="40">
        <f>IF(ISNUMBER(G97),LN(1+G97)-J97,"")</f>
        <v/>
      </c>
      <c r="L97" s="40">
        <f>IF(ISNUMBER(H97),LN(1+H97)-J97,"")</f>
        <v/>
      </c>
      <c r="M97" s="38">
        <f>IF(ISNUMBER(K97),1,0)</f>
        <v/>
      </c>
      <c r="N97" s="40">
        <f>IF(M97=1,K97,0)</f>
        <v/>
      </c>
      <c r="O97" s="38">
        <f>IF(ISNUMBER(L97),1,0)</f>
        <v/>
      </c>
      <c r="P97" s="40">
        <f>IF(O97=1,L97,0)</f>
        <v/>
      </c>
      <c r="Q97" s="38">
        <f>M97*O97</f>
        <v/>
      </c>
      <c r="R97" s="38">
        <f>SUM(Q61:Q96)</f>
        <v/>
      </c>
      <c r="S97" s="41">
        <f>IF(OR($A97="",R97&lt;MIN_OBS_ROLL),"",(SUMPRODUCT(Q61:Q96,N61:N96,P61:P96)/R97-SUMPRODUCT(Q61:Q96,N61:N96)/R97*SUMPRODUCT(Q61:Q96,P61:P96)/R97)*R97/(R97-1))</f>
        <v/>
      </c>
      <c r="T97" s="38">
        <f>SUM(O61:O96)</f>
        <v/>
      </c>
      <c r="U97" s="41">
        <f>IF(OR($A97="",T97&lt;MIN_OBS_ROLL),"",SUMPRODUCT(O61:O96,(P61:P96-SUMPRODUCT(O61:O96,P61:P96)/T97)^2)/(T97-1))</f>
        <v/>
      </c>
      <c r="V97" s="40">
        <f>IF(OR(S97="",U97=""),"",S97/U97)</f>
        <v/>
      </c>
      <c r="W97" s="40">
        <f>IF(AND(ISNUMBER(K97),ISNUMBER(L97),ISNUMBER(V97)),K97-V97*L97,"")</f>
        <v/>
      </c>
      <c r="X97" s="40">
        <f>IF(OR($A97="",NOT(ISNUMBER(Datos!H97)),NOT(ISNUMBER(Datos!H96))),"",LN(Datos!H97)-LN(Datos!H96))</f>
        <v/>
      </c>
      <c r="Y97" s="38">
        <f>IF(ISNUMBER(W97),1,0)</f>
        <v/>
      </c>
      <c r="Z97" s="40">
        <f>IF(Y97=1,W97,0)</f>
        <v/>
      </c>
      <c r="AA97" s="38">
        <f>IF(ISNUMBER(X97),1,0)</f>
        <v/>
      </c>
      <c r="AB97" s="40">
        <f>IF(AA97=1,X97,0)</f>
        <v/>
      </c>
      <c r="AC97" s="38">
        <f>Y97*AA97</f>
        <v/>
      </c>
      <c r="AD97" s="38">
        <f>SUM(AC61:AC96)</f>
        <v/>
      </c>
      <c r="AE97" s="41">
        <f>IF(OR($A97="",AD97&lt;MIN_OBS_ROLL),"",(SUMPRODUCT(AC61:AC96,Z61:Z96,AB61:AB96)/AD97-SUMPRODUCT(AC61:AC96,Z61:Z96)/AD97*SUMPRODUCT(AC61:AC96,AB61:AB96)/AD97)*AD97/(AD97-1))</f>
        <v/>
      </c>
      <c r="AF97" s="38">
        <f>SUM(AA61:AA96)</f>
        <v/>
      </c>
      <c r="AG97" s="41">
        <f>IF(OR($A97="",AF97&lt;MIN_OBS_ROLL),"",SUMPRODUCT(AA61:AA96,(AB61:AB96-SUMPRODUCT(AA61:AA96,AB61:AB96)/AF97)^2)/(AF97-1))</f>
        <v/>
      </c>
      <c r="AH97" s="38">
        <f>SUM(Y61:Y96)</f>
        <v/>
      </c>
      <c r="AI97" s="40">
        <f>IF(OR($A97="",AH97&lt;MIN_OBS_ROLL),"",SUMPRODUCT(Y61:Y96,Z61:Z96)/AH97)</f>
        <v/>
      </c>
      <c r="AJ97" s="40">
        <f>IF(OR($A97="",AF97&lt;MIN_OBS_ROLL),"",SUMPRODUCT(AA61:AA96,AB61:AB96)/AF97)</f>
        <v/>
      </c>
      <c r="AK97" s="40">
        <f>IF(OR(AE97="",AG97=""),"",AE97/AG97)</f>
        <v/>
      </c>
      <c r="AL97" s="40">
        <f>IF(OR(AI97="",AK97="",AJ97=""),"",AI97-AK97*AJ97)</f>
        <v/>
      </c>
      <c r="AM97" s="40">
        <f>IF(AND(ISNUMBER(W97),ISNUMBER(X97),ISNUMBER(AK97),ISNUMBER(AL97)),W97-(AL97+AK97*X97),"")</f>
        <v/>
      </c>
      <c r="AN97" s="38">
        <f>IF(ISNUMBER(AM97),1,0)</f>
        <v/>
      </c>
      <c r="AO97" s="40">
        <f>IF(AN97=1,AM97,0)</f>
        <v/>
      </c>
      <c r="AP97" s="40">
        <f>IF(SUM(AN95:AN97)=3,SUM(AO95:AO97),"")</f>
        <v/>
      </c>
      <c r="AQ97" s="38">
        <f>IF(ISNUMBER(AP97),1,0)</f>
        <v/>
      </c>
      <c r="AR97" s="40">
        <f>IF(AQ97=1,AP97,0)</f>
        <v/>
      </c>
      <c r="AS97" s="38">
        <f>SUM(AQ$5:AQ97)</f>
        <v/>
      </c>
      <c r="AT97" s="40">
        <f>IF(AS97&gt;=MIN_OBS_Z,SUMPRODUCT(AQ$5:AQ97,AR$5:AR97)/AS97,"")</f>
        <v/>
      </c>
      <c r="AU97" s="40">
        <f>IF(AS97&gt;=MIN_OBS_Z,SQRT(SUMPRODUCT(AQ$5:AQ97,(AR$5:AR97-AT97)^2)/(AS97-1)),"")</f>
        <v/>
      </c>
      <c r="AV97" s="40">
        <f>IF(AND(AQ97=1,ISNUMBER(AT97)),MAX(-Z_CLIP,MIN(Z_CLIP,(AR97-AT97)/AU97)),"")</f>
        <v/>
      </c>
      <c r="AW97" s="40">
        <f>IF(ISNUMBER(AV97),-AV97,"")</f>
        <v/>
      </c>
      <c r="AX97" s="40">
        <f>IF(ISNUMBER(AW97),1+AMPLITUD*TANH(AW97),"")</f>
        <v/>
      </c>
      <c r="AY97" s="40">
        <f>IF($A97="","",IF(COUNT(AX95:AX97)&gt;0,AVERAGE(AX95:AX97),""))</f>
        <v/>
      </c>
      <c r="AZ97" s="40">
        <f>IF(ISNUMBER(AY97),AY97-1,"")</f>
        <v/>
      </c>
      <c r="BA97" s="40">
        <f>IF(AND(ISNUMBER(AZ96),ISNUMBER(W97)),AZ96*W_BANCOS*W97,"")</f>
        <v/>
      </c>
      <c r="BB97" s="40">
        <f>IF(AND(ISNUMBER(AZ96),ISNUMBER(AZ95)),ABS(AZ96-AZ95)*W_BANCOS*COSTO,0)</f>
        <v/>
      </c>
      <c r="BC97" s="40">
        <f>IF(ISNUMBER(BA97),BA97-BB97,"")</f>
        <v/>
      </c>
      <c r="BD97" s="42">
        <f>IF(ISNUMBER(BC97),IF(A97&lt;=FECHA_ERA,"A","B"),"")</f>
        <v/>
      </c>
      <c r="BE97" s="40">
        <f>IF(BD97="A",BC97,"")</f>
        <v/>
      </c>
      <c r="BF97" s="40">
        <f>IF(BD97="B",BC97,"")</f>
        <v/>
      </c>
      <c r="BG97" s="38">
        <f>IF(AND(ISNUMBER(BC97),ISNUMBER(A97)),IF(A97&gt;=INICIO_VIVO,1,0),0)</f>
        <v/>
      </c>
      <c r="BH97" s="40">
        <f>IF(BG97=1,BC97,"")</f>
        <v/>
      </c>
      <c r="BI97" s="38">
        <f>IF(ISNUMBER(AY97),ROW(),0)</f>
        <v/>
      </c>
      <c r="BJ97" s="43">
        <f>IF(ISNUMBER(BC97),SUM(BC$5:BC97)*10000,NA())</f>
        <v/>
      </c>
      <c r="BK97" s="43">
        <f>IF(BG97=1,SUM(BH$5:BH97)*10000,NA())</f>
        <v/>
      </c>
      <c r="BL97" s="44">
        <f>IF(ISNUMBER(AY97),AY97,NA())</f>
        <v/>
      </c>
    </row>
    <row r="98">
      <c r="A98" s="36">
        <f>IF(Datos!A98="","",Datos!A98)</f>
        <v/>
      </c>
      <c r="B98" s="37">
        <f>IF(OR($A98="",NOT(ISNUMBER(Datos!B98)),NOT(ISNUMBER(Datos!B97))),"",Datos!B98/Datos!B97-1)</f>
        <v/>
      </c>
      <c r="C98" s="37">
        <f>IF(OR($A98="",NOT(ISNUMBER(Datos!C98)),NOT(ISNUMBER(Datos!C97))),"",Datos!C98/Datos!C97-1)</f>
        <v/>
      </c>
      <c r="D98" s="37">
        <f>IF(OR($A98="",NOT(ISNUMBER(Datos!D98)),NOT(ISNUMBER(Datos!D97))),"",Datos!D98/Datos!D97-1)</f>
        <v/>
      </c>
      <c r="E98" s="37">
        <f>IF(OR($A98="",NOT(ISNUMBER(Datos!E98)),NOT(ISNUMBER(Datos!E97))),"",Datos!E98/Datos!E97-1)</f>
        <v/>
      </c>
      <c r="F98" s="38">
        <f>IF($A98="","",COUNT(B98:E98))</f>
        <v/>
      </c>
      <c r="G98" s="37">
        <f>IF($A98="","",IF(F98&gt;=MIN_BANCOS,AVERAGE(B98:E98),""))</f>
        <v/>
      </c>
      <c r="H98" s="37">
        <f>IF(OR($A98="",NOT(ISNUMBER(Datos!F98)),NOT(ISNUMBER(Datos!F97))),"",Datos!F98/Datos!F97-1)</f>
        <v/>
      </c>
      <c r="I98" s="39">
        <f>IF($A98="","",IF(ISNUMBER(Datos!G98),Datos!G98,I97))</f>
        <v/>
      </c>
      <c r="J98" s="40">
        <f>IF($A98="","",IF(ISNUMBER(I97),LN(1+I97/100/12),0))</f>
        <v/>
      </c>
      <c r="K98" s="40">
        <f>IF(ISNUMBER(G98),LN(1+G98)-J98,"")</f>
        <v/>
      </c>
      <c r="L98" s="40">
        <f>IF(ISNUMBER(H98),LN(1+H98)-J98,"")</f>
        <v/>
      </c>
      <c r="M98" s="38">
        <f>IF(ISNUMBER(K98),1,0)</f>
        <v/>
      </c>
      <c r="N98" s="40">
        <f>IF(M98=1,K98,0)</f>
        <v/>
      </c>
      <c r="O98" s="38">
        <f>IF(ISNUMBER(L98),1,0)</f>
        <v/>
      </c>
      <c r="P98" s="40">
        <f>IF(O98=1,L98,0)</f>
        <v/>
      </c>
      <c r="Q98" s="38">
        <f>M98*O98</f>
        <v/>
      </c>
      <c r="R98" s="38">
        <f>SUM(Q62:Q97)</f>
        <v/>
      </c>
      <c r="S98" s="41">
        <f>IF(OR($A98="",R98&lt;MIN_OBS_ROLL),"",(SUMPRODUCT(Q62:Q97,N62:N97,P62:P97)/R98-SUMPRODUCT(Q62:Q97,N62:N97)/R98*SUMPRODUCT(Q62:Q97,P62:P97)/R98)*R98/(R98-1))</f>
        <v/>
      </c>
      <c r="T98" s="38">
        <f>SUM(O62:O97)</f>
        <v/>
      </c>
      <c r="U98" s="41">
        <f>IF(OR($A98="",T98&lt;MIN_OBS_ROLL),"",SUMPRODUCT(O62:O97,(P62:P97-SUMPRODUCT(O62:O97,P62:P97)/T98)^2)/(T98-1))</f>
        <v/>
      </c>
      <c r="V98" s="40">
        <f>IF(OR(S98="",U98=""),"",S98/U98)</f>
        <v/>
      </c>
      <c r="W98" s="40">
        <f>IF(AND(ISNUMBER(K98),ISNUMBER(L98),ISNUMBER(V98)),K98-V98*L98,"")</f>
        <v/>
      </c>
      <c r="X98" s="40">
        <f>IF(OR($A98="",NOT(ISNUMBER(Datos!H98)),NOT(ISNUMBER(Datos!H97))),"",LN(Datos!H98)-LN(Datos!H97))</f>
        <v/>
      </c>
      <c r="Y98" s="38">
        <f>IF(ISNUMBER(W98),1,0)</f>
        <v/>
      </c>
      <c r="Z98" s="40">
        <f>IF(Y98=1,W98,0)</f>
        <v/>
      </c>
      <c r="AA98" s="38">
        <f>IF(ISNUMBER(X98),1,0)</f>
        <v/>
      </c>
      <c r="AB98" s="40">
        <f>IF(AA98=1,X98,0)</f>
        <v/>
      </c>
      <c r="AC98" s="38">
        <f>Y98*AA98</f>
        <v/>
      </c>
      <c r="AD98" s="38">
        <f>SUM(AC62:AC97)</f>
        <v/>
      </c>
      <c r="AE98" s="41">
        <f>IF(OR($A98="",AD98&lt;MIN_OBS_ROLL),"",(SUMPRODUCT(AC62:AC97,Z62:Z97,AB62:AB97)/AD98-SUMPRODUCT(AC62:AC97,Z62:Z97)/AD98*SUMPRODUCT(AC62:AC97,AB62:AB97)/AD98)*AD98/(AD98-1))</f>
        <v/>
      </c>
      <c r="AF98" s="38">
        <f>SUM(AA62:AA97)</f>
        <v/>
      </c>
      <c r="AG98" s="41">
        <f>IF(OR($A98="",AF98&lt;MIN_OBS_ROLL),"",SUMPRODUCT(AA62:AA97,(AB62:AB97-SUMPRODUCT(AA62:AA97,AB62:AB97)/AF98)^2)/(AF98-1))</f>
        <v/>
      </c>
      <c r="AH98" s="38">
        <f>SUM(Y62:Y97)</f>
        <v/>
      </c>
      <c r="AI98" s="40">
        <f>IF(OR($A98="",AH98&lt;MIN_OBS_ROLL),"",SUMPRODUCT(Y62:Y97,Z62:Z97)/AH98)</f>
        <v/>
      </c>
      <c r="AJ98" s="40">
        <f>IF(OR($A98="",AF98&lt;MIN_OBS_ROLL),"",SUMPRODUCT(AA62:AA97,AB62:AB97)/AF98)</f>
        <v/>
      </c>
      <c r="AK98" s="40">
        <f>IF(OR(AE98="",AG98=""),"",AE98/AG98)</f>
        <v/>
      </c>
      <c r="AL98" s="40">
        <f>IF(OR(AI98="",AK98="",AJ98=""),"",AI98-AK98*AJ98)</f>
        <v/>
      </c>
      <c r="AM98" s="40">
        <f>IF(AND(ISNUMBER(W98),ISNUMBER(X98),ISNUMBER(AK98),ISNUMBER(AL98)),W98-(AL98+AK98*X98),"")</f>
        <v/>
      </c>
      <c r="AN98" s="38">
        <f>IF(ISNUMBER(AM98),1,0)</f>
        <v/>
      </c>
      <c r="AO98" s="40">
        <f>IF(AN98=1,AM98,0)</f>
        <v/>
      </c>
      <c r="AP98" s="40">
        <f>IF(SUM(AN96:AN98)=3,SUM(AO96:AO98),"")</f>
        <v/>
      </c>
      <c r="AQ98" s="38">
        <f>IF(ISNUMBER(AP98),1,0)</f>
        <v/>
      </c>
      <c r="AR98" s="40">
        <f>IF(AQ98=1,AP98,0)</f>
        <v/>
      </c>
      <c r="AS98" s="38">
        <f>SUM(AQ$5:AQ98)</f>
        <v/>
      </c>
      <c r="AT98" s="40">
        <f>IF(AS98&gt;=MIN_OBS_Z,SUMPRODUCT(AQ$5:AQ98,AR$5:AR98)/AS98,"")</f>
        <v/>
      </c>
      <c r="AU98" s="40">
        <f>IF(AS98&gt;=MIN_OBS_Z,SQRT(SUMPRODUCT(AQ$5:AQ98,(AR$5:AR98-AT98)^2)/(AS98-1)),"")</f>
        <v/>
      </c>
      <c r="AV98" s="40">
        <f>IF(AND(AQ98=1,ISNUMBER(AT98)),MAX(-Z_CLIP,MIN(Z_CLIP,(AR98-AT98)/AU98)),"")</f>
        <v/>
      </c>
      <c r="AW98" s="40">
        <f>IF(ISNUMBER(AV98),-AV98,"")</f>
        <v/>
      </c>
      <c r="AX98" s="40">
        <f>IF(ISNUMBER(AW98),1+AMPLITUD*TANH(AW98),"")</f>
        <v/>
      </c>
      <c r="AY98" s="40">
        <f>IF($A98="","",IF(COUNT(AX96:AX98)&gt;0,AVERAGE(AX96:AX98),""))</f>
        <v/>
      </c>
      <c r="AZ98" s="40">
        <f>IF(ISNUMBER(AY98),AY98-1,"")</f>
        <v/>
      </c>
      <c r="BA98" s="40">
        <f>IF(AND(ISNUMBER(AZ97),ISNUMBER(W98)),AZ97*W_BANCOS*W98,"")</f>
        <v/>
      </c>
      <c r="BB98" s="40">
        <f>IF(AND(ISNUMBER(AZ97),ISNUMBER(AZ96)),ABS(AZ97-AZ96)*W_BANCOS*COSTO,0)</f>
        <v/>
      </c>
      <c r="BC98" s="40">
        <f>IF(ISNUMBER(BA98),BA98-BB98,"")</f>
        <v/>
      </c>
      <c r="BD98" s="42">
        <f>IF(ISNUMBER(BC98),IF(A98&lt;=FECHA_ERA,"A","B"),"")</f>
        <v/>
      </c>
      <c r="BE98" s="40">
        <f>IF(BD98="A",BC98,"")</f>
        <v/>
      </c>
      <c r="BF98" s="40">
        <f>IF(BD98="B",BC98,"")</f>
        <v/>
      </c>
      <c r="BG98" s="38">
        <f>IF(AND(ISNUMBER(BC98),ISNUMBER(A98)),IF(A98&gt;=INICIO_VIVO,1,0),0)</f>
        <v/>
      </c>
      <c r="BH98" s="40">
        <f>IF(BG98=1,BC98,"")</f>
        <v/>
      </c>
      <c r="BI98" s="38">
        <f>IF(ISNUMBER(AY98),ROW(),0)</f>
        <v/>
      </c>
      <c r="BJ98" s="43">
        <f>IF(ISNUMBER(BC98),SUM(BC$5:BC98)*10000,NA())</f>
        <v/>
      </c>
      <c r="BK98" s="43">
        <f>IF(BG98=1,SUM(BH$5:BH98)*10000,NA())</f>
        <v/>
      </c>
      <c r="BL98" s="44">
        <f>IF(ISNUMBER(AY98),AY98,NA())</f>
        <v/>
      </c>
    </row>
    <row r="99">
      <c r="A99" s="36">
        <f>IF(Datos!A99="","",Datos!A99)</f>
        <v/>
      </c>
      <c r="B99" s="37">
        <f>IF(OR($A99="",NOT(ISNUMBER(Datos!B99)),NOT(ISNUMBER(Datos!B98))),"",Datos!B99/Datos!B98-1)</f>
        <v/>
      </c>
      <c r="C99" s="37">
        <f>IF(OR($A99="",NOT(ISNUMBER(Datos!C99)),NOT(ISNUMBER(Datos!C98))),"",Datos!C99/Datos!C98-1)</f>
        <v/>
      </c>
      <c r="D99" s="37">
        <f>IF(OR($A99="",NOT(ISNUMBER(Datos!D99)),NOT(ISNUMBER(Datos!D98))),"",Datos!D99/Datos!D98-1)</f>
        <v/>
      </c>
      <c r="E99" s="37">
        <f>IF(OR($A99="",NOT(ISNUMBER(Datos!E99)),NOT(ISNUMBER(Datos!E98))),"",Datos!E99/Datos!E98-1)</f>
        <v/>
      </c>
      <c r="F99" s="38">
        <f>IF($A99="","",COUNT(B99:E99))</f>
        <v/>
      </c>
      <c r="G99" s="37">
        <f>IF($A99="","",IF(F99&gt;=MIN_BANCOS,AVERAGE(B99:E99),""))</f>
        <v/>
      </c>
      <c r="H99" s="37">
        <f>IF(OR($A99="",NOT(ISNUMBER(Datos!F99)),NOT(ISNUMBER(Datos!F98))),"",Datos!F99/Datos!F98-1)</f>
        <v/>
      </c>
      <c r="I99" s="39">
        <f>IF($A99="","",IF(ISNUMBER(Datos!G99),Datos!G99,I98))</f>
        <v/>
      </c>
      <c r="J99" s="40">
        <f>IF($A99="","",IF(ISNUMBER(I98),LN(1+I98/100/12),0))</f>
        <v/>
      </c>
      <c r="K99" s="40">
        <f>IF(ISNUMBER(G99),LN(1+G99)-J99,"")</f>
        <v/>
      </c>
      <c r="L99" s="40">
        <f>IF(ISNUMBER(H99),LN(1+H99)-J99,"")</f>
        <v/>
      </c>
      <c r="M99" s="38">
        <f>IF(ISNUMBER(K99),1,0)</f>
        <v/>
      </c>
      <c r="N99" s="40">
        <f>IF(M99=1,K99,0)</f>
        <v/>
      </c>
      <c r="O99" s="38">
        <f>IF(ISNUMBER(L99),1,0)</f>
        <v/>
      </c>
      <c r="P99" s="40">
        <f>IF(O99=1,L99,0)</f>
        <v/>
      </c>
      <c r="Q99" s="38">
        <f>M99*O99</f>
        <v/>
      </c>
      <c r="R99" s="38">
        <f>SUM(Q63:Q98)</f>
        <v/>
      </c>
      <c r="S99" s="41">
        <f>IF(OR($A99="",R99&lt;MIN_OBS_ROLL),"",(SUMPRODUCT(Q63:Q98,N63:N98,P63:P98)/R99-SUMPRODUCT(Q63:Q98,N63:N98)/R99*SUMPRODUCT(Q63:Q98,P63:P98)/R99)*R99/(R99-1))</f>
        <v/>
      </c>
      <c r="T99" s="38">
        <f>SUM(O63:O98)</f>
        <v/>
      </c>
      <c r="U99" s="41">
        <f>IF(OR($A99="",T99&lt;MIN_OBS_ROLL),"",SUMPRODUCT(O63:O98,(P63:P98-SUMPRODUCT(O63:O98,P63:P98)/T99)^2)/(T99-1))</f>
        <v/>
      </c>
      <c r="V99" s="40">
        <f>IF(OR(S99="",U99=""),"",S99/U99)</f>
        <v/>
      </c>
      <c r="W99" s="40">
        <f>IF(AND(ISNUMBER(K99),ISNUMBER(L99),ISNUMBER(V99)),K99-V99*L99,"")</f>
        <v/>
      </c>
      <c r="X99" s="40">
        <f>IF(OR($A99="",NOT(ISNUMBER(Datos!H99)),NOT(ISNUMBER(Datos!H98))),"",LN(Datos!H99)-LN(Datos!H98))</f>
        <v/>
      </c>
      <c r="Y99" s="38">
        <f>IF(ISNUMBER(W99),1,0)</f>
        <v/>
      </c>
      <c r="Z99" s="40">
        <f>IF(Y99=1,W99,0)</f>
        <v/>
      </c>
      <c r="AA99" s="38">
        <f>IF(ISNUMBER(X99),1,0)</f>
        <v/>
      </c>
      <c r="AB99" s="40">
        <f>IF(AA99=1,X99,0)</f>
        <v/>
      </c>
      <c r="AC99" s="38">
        <f>Y99*AA99</f>
        <v/>
      </c>
      <c r="AD99" s="38">
        <f>SUM(AC63:AC98)</f>
        <v/>
      </c>
      <c r="AE99" s="41">
        <f>IF(OR($A99="",AD99&lt;MIN_OBS_ROLL),"",(SUMPRODUCT(AC63:AC98,Z63:Z98,AB63:AB98)/AD99-SUMPRODUCT(AC63:AC98,Z63:Z98)/AD99*SUMPRODUCT(AC63:AC98,AB63:AB98)/AD99)*AD99/(AD99-1))</f>
        <v/>
      </c>
      <c r="AF99" s="38">
        <f>SUM(AA63:AA98)</f>
        <v/>
      </c>
      <c r="AG99" s="41">
        <f>IF(OR($A99="",AF99&lt;MIN_OBS_ROLL),"",SUMPRODUCT(AA63:AA98,(AB63:AB98-SUMPRODUCT(AA63:AA98,AB63:AB98)/AF99)^2)/(AF99-1))</f>
        <v/>
      </c>
      <c r="AH99" s="38">
        <f>SUM(Y63:Y98)</f>
        <v/>
      </c>
      <c r="AI99" s="40">
        <f>IF(OR($A99="",AH99&lt;MIN_OBS_ROLL),"",SUMPRODUCT(Y63:Y98,Z63:Z98)/AH99)</f>
        <v/>
      </c>
      <c r="AJ99" s="40">
        <f>IF(OR($A99="",AF99&lt;MIN_OBS_ROLL),"",SUMPRODUCT(AA63:AA98,AB63:AB98)/AF99)</f>
        <v/>
      </c>
      <c r="AK99" s="40">
        <f>IF(OR(AE99="",AG99=""),"",AE99/AG99)</f>
        <v/>
      </c>
      <c r="AL99" s="40">
        <f>IF(OR(AI99="",AK99="",AJ99=""),"",AI99-AK99*AJ99)</f>
        <v/>
      </c>
      <c r="AM99" s="40">
        <f>IF(AND(ISNUMBER(W99),ISNUMBER(X99),ISNUMBER(AK99),ISNUMBER(AL99)),W99-(AL99+AK99*X99),"")</f>
        <v/>
      </c>
      <c r="AN99" s="38">
        <f>IF(ISNUMBER(AM99),1,0)</f>
        <v/>
      </c>
      <c r="AO99" s="40">
        <f>IF(AN99=1,AM99,0)</f>
        <v/>
      </c>
      <c r="AP99" s="40">
        <f>IF(SUM(AN97:AN99)=3,SUM(AO97:AO99),"")</f>
        <v/>
      </c>
      <c r="AQ99" s="38">
        <f>IF(ISNUMBER(AP99),1,0)</f>
        <v/>
      </c>
      <c r="AR99" s="40">
        <f>IF(AQ99=1,AP99,0)</f>
        <v/>
      </c>
      <c r="AS99" s="38">
        <f>SUM(AQ$5:AQ99)</f>
        <v/>
      </c>
      <c r="AT99" s="40">
        <f>IF(AS99&gt;=MIN_OBS_Z,SUMPRODUCT(AQ$5:AQ99,AR$5:AR99)/AS99,"")</f>
        <v/>
      </c>
      <c r="AU99" s="40">
        <f>IF(AS99&gt;=MIN_OBS_Z,SQRT(SUMPRODUCT(AQ$5:AQ99,(AR$5:AR99-AT99)^2)/(AS99-1)),"")</f>
        <v/>
      </c>
      <c r="AV99" s="40">
        <f>IF(AND(AQ99=1,ISNUMBER(AT99)),MAX(-Z_CLIP,MIN(Z_CLIP,(AR99-AT99)/AU99)),"")</f>
        <v/>
      </c>
      <c r="AW99" s="40">
        <f>IF(ISNUMBER(AV99),-AV99,"")</f>
        <v/>
      </c>
      <c r="AX99" s="40">
        <f>IF(ISNUMBER(AW99),1+AMPLITUD*TANH(AW99),"")</f>
        <v/>
      </c>
      <c r="AY99" s="40">
        <f>IF($A99="","",IF(COUNT(AX97:AX99)&gt;0,AVERAGE(AX97:AX99),""))</f>
        <v/>
      </c>
      <c r="AZ99" s="40">
        <f>IF(ISNUMBER(AY99),AY99-1,"")</f>
        <v/>
      </c>
      <c r="BA99" s="40">
        <f>IF(AND(ISNUMBER(AZ98),ISNUMBER(W99)),AZ98*W_BANCOS*W99,"")</f>
        <v/>
      </c>
      <c r="BB99" s="40">
        <f>IF(AND(ISNUMBER(AZ98),ISNUMBER(AZ97)),ABS(AZ98-AZ97)*W_BANCOS*COSTO,0)</f>
        <v/>
      </c>
      <c r="BC99" s="40">
        <f>IF(ISNUMBER(BA99),BA99-BB99,"")</f>
        <v/>
      </c>
      <c r="BD99" s="42">
        <f>IF(ISNUMBER(BC99),IF(A99&lt;=FECHA_ERA,"A","B"),"")</f>
        <v/>
      </c>
      <c r="BE99" s="40">
        <f>IF(BD99="A",BC99,"")</f>
        <v/>
      </c>
      <c r="BF99" s="40">
        <f>IF(BD99="B",BC99,"")</f>
        <v/>
      </c>
      <c r="BG99" s="38">
        <f>IF(AND(ISNUMBER(BC99),ISNUMBER(A99)),IF(A99&gt;=INICIO_VIVO,1,0),0)</f>
        <v/>
      </c>
      <c r="BH99" s="40">
        <f>IF(BG99=1,BC99,"")</f>
        <v/>
      </c>
      <c r="BI99" s="38">
        <f>IF(ISNUMBER(AY99),ROW(),0)</f>
        <v/>
      </c>
      <c r="BJ99" s="43">
        <f>IF(ISNUMBER(BC99),SUM(BC$5:BC99)*10000,NA())</f>
        <v/>
      </c>
      <c r="BK99" s="43">
        <f>IF(BG99=1,SUM(BH$5:BH99)*10000,NA())</f>
        <v/>
      </c>
      <c r="BL99" s="44">
        <f>IF(ISNUMBER(AY99),AY99,NA())</f>
        <v/>
      </c>
    </row>
    <row r="100">
      <c r="A100" s="36">
        <f>IF(Datos!A100="","",Datos!A100)</f>
        <v/>
      </c>
      <c r="B100" s="37">
        <f>IF(OR($A100="",NOT(ISNUMBER(Datos!B100)),NOT(ISNUMBER(Datos!B99))),"",Datos!B100/Datos!B99-1)</f>
        <v/>
      </c>
      <c r="C100" s="37">
        <f>IF(OR($A100="",NOT(ISNUMBER(Datos!C100)),NOT(ISNUMBER(Datos!C99))),"",Datos!C100/Datos!C99-1)</f>
        <v/>
      </c>
      <c r="D100" s="37">
        <f>IF(OR($A100="",NOT(ISNUMBER(Datos!D100)),NOT(ISNUMBER(Datos!D99))),"",Datos!D100/Datos!D99-1)</f>
        <v/>
      </c>
      <c r="E100" s="37">
        <f>IF(OR($A100="",NOT(ISNUMBER(Datos!E100)),NOT(ISNUMBER(Datos!E99))),"",Datos!E100/Datos!E99-1)</f>
        <v/>
      </c>
      <c r="F100" s="38">
        <f>IF($A100="","",COUNT(B100:E100))</f>
        <v/>
      </c>
      <c r="G100" s="37">
        <f>IF($A100="","",IF(F100&gt;=MIN_BANCOS,AVERAGE(B100:E100),""))</f>
        <v/>
      </c>
      <c r="H100" s="37">
        <f>IF(OR($A100="",NOT(ISNUMBER(Datos!F100)),NOT(ISNUMBER(Datos!F99))),"",Datos!F100/Datos!F99-1)</f>
        <v/>
      </c>
      <c r="I100" s="39">
        <f>IF($A100="","",IF(ISNUMBER(Datos!G100),Datos!G100,I99))</f>
        <v/>
      </c>
      <c r="J100" s="40">
        <f>IF($A100="","",IF(ISNUMBER(I99),LN(1+I99/100/12),0))</f>
        <v/>
      </c>
      <c r="K100" s="40">
        <f>IF(ISNUMBER(G100),LN(1+G100)-J100,"")</f>
        <v/>
      </c>
      <c r="L100" s="40">
        <f>IF(ISNUMBER(H100),LN(1+H100)-J100,"")</f>
        <v/>
      </c>
      <c r="M100" s="38">
        <f>IF(ISNUMBER(K100),1,0)</f>
        <v/>
      </c>
      <c r="N100" s="40">
        <f>IF(M100=1,K100,0)</f>
        <v/>
      </c>
      <c r="O100" s="38">
        <f>IF(ISNUMBER(L100),1,0)</f>
        <v/>
      </c>
      <c r="P100" s="40">
        <f>IF(O100=1,L100,0)</f>
        <v/>
      </c>
      <c r="Q100" s="38">
        <f>M100*O100</f>
        <v/>
      </c>
      <c r="R100" s="38">
        <f>SUM(Q64:Q99)</f>
        <v/>
      </c>
      <c r="S100" s="41">
        <f>IF(OR($A100="",R100&lt;MIN_OBS_ROLL),"",(SUMPRODUCT(Q64:Q99,N64:N99,P64:P99)/R100-SUMPRODUCT(Q64:Q99,N64:N99)/R100*SUMPRODUCT(Q64:Q99,P64:P99)/R100)*R100/(R100-1))</f>
        <v/>
      </c>
      <c r="T100" s="38">
        <f>SUM(O64:O99)</f>
        <v/>
      </c>
      <c r="U100" s="41">
        <f>IF(OR($A100="",T100&lt;MIN_OBS_ROLL),"",SUMPRODUCT(O64:O99,(P64:P99-SUMPRODUCT(O64:O99,P64:P99)/T100)^2)/(T100-1))</f>
        <v/>
      </c>
      <c r="V100" s="40">
        <f>IF(OR(S100="",U100=""),"",S100/U100)</f>
        <v/>
      </c>
      <c r="W100" s="40">
        <f>IF(AND(ISNUMBER(K100),ISNUMBER(L100),ISNUMBER(V100)),K100-V100*L100,"")</f>
        <v/>
      </c>
      <c r="X100" s="40">
        <f>IF(OR($A100="",NOT(ISNUMBER(Datos!H100)),NOT(ISNUMBER(Datos!H99))),"",LN(Datos!H100)-LN(Datos!H99))</f>
        <v/>
      </c>
      <c r="Y100" s="38">
        <f>IF(ISNUMBER(W100),1,0)</f>
        <v/>
      </c>
      <c r="Z100" s="40">
        <f>IF(Y100=1,W100,0)</f>
        <v/>
      </c>
      <c r="AA100" s="38">
        <f>IF(ISNUMBER(X100),1,0)</f>
        <v/>
      </c>
      <c r="AB100" s="40">
        <f>IF(AA100=1,X100,0)</f>
        <v/>
      </c>
      <c r="AC100" s="38">
        <f>Y100*AA100</f>
        <v/>
      </c>
      <c r="AD100" s="38">
        <f>SUM(AC64:AC99)</f>
        <v/>
      </c>
      <c r="AE100" s="41">
        <f>IF(OR($A100="",AD100&lt;MIN_OBS_ROLL),"",(SUMPRODUCT(AC64:AC99,Z64:Z99,AB64:AB99)/AD100-SUMPRODUCT(AC64:AC99,Z64:Z99)/AD100*SUMPRODUCT(AC64:AC99,AB64:AB99)/AD100)*AD100/(AD100-1))</f>
        <v/>
      </c>
      <c r="AF100" s="38">
        <f>SUM(AA64:AA99)</f>
        <v/>
      </c>
      <c r="AG100" s="41">
        <f>IF(OR($A100="",AF100&lt;MIN_OBS_ROLL),"",SUMPRODUCT(AA64:AA99,(AB64:AB99-SUMPRODUCT(AA64:AA99,AB64:AB99)/AF100)^2)/(AF100-1))</f>
        <v/>
      </c>
      <c r="AH100" s="38">
        <f>SUM(Y64:Y99)</f>
        <v/>
      </c>
      <c r="AI100" s="40">
        <f>IF(OR($A100="",AH100&lt;MIN_OBS_ROLL),"",SUMPRODUCT(Y64:Y99,Z64:Z99)/AH100)</f>
        <v/>
      </c>
      <c r="AJ100" s="40">
        <f>IF(OR($A100="",AF100&lt;MIN_OBS_ROLL),"",SUMPRODUCT(AA64:AA99,AB64:AB99)/AF100)</f>
        <v/>
      </c>
      <c r="AK100" s="40">
        <f>IF(OR(AE100="",AG100=""),"",AE100/AG100)</f>
        <v/>
      </c>
      <c r="AL100" s="40">
        <f>IF(OR(AI100="",AK100="",AJ100=""),"",AI100-AK100*AJ100)</f>
        <v/>
      </c>
      <c r="AM100" s="40">
        <f>IF(AND(ISNUMBER(W100),ISNUMBER(X100),ISNUMBER(AK100),ISNUMBER(AL100)),W100-(AL100+AK100*X100),"")</f>
        <v/>
      </c>
      <c r="AN100" s="38">
        <f>IF(ISNUMBER(AM100),1,0)</f>
        <v/>
      </c>
      <c r="AO100" s="40">
        <f>IF(AN100=1,AM100,0)</f>
        <v/>
      </c>
      <c r="AP100" s="40">
        <f>IF(SUM(AN98:AN100)=3,SUM(AO98:AO100),"")</f>
        <v/>
      </c>
      <c r="AQ100" s="38">
        <f>IF(ISNUMBER(AP100),1,0)</f>
        <v/>
      </c>
      <c r="AR100" s="40">
        <f>IF(AQ100=1,AP100,0)</f>
        <v/>
      </c>
      <c r="AS100" s="38">
        <f>SUM(AQ$5:AQ100)</f>
        <v/>
      </c>
      <c r="AT100" s="40">
        <f>IF(AS100&gt;=MIN_OBS_Z,SUMPRODUCT(AQ$5:AQ100,AR$5:AR100)/AS100,"")</f>
        <v/>
      </c>
      <c r="AU100" s="40">
        <f>IF(AS100&gt;=MIN_OBS_Z,SQRT(SUMPRODUCT(AQ$5:AQ100,(AR$5:AR100-AT100)^2)/(AS100-1)),"")</f>
        <v/>
      </c>
      <c r="AV100" s="40">
        <f>IF(AND(AQ100=1,ISNUMBER(AT100)),MAX(-Z_CLIP,MIN(Z_CLIP,(AR100-AT100)/AU100)),"")</f>
        <v/>
      </c>
      <c r="AW100" s="40">
        <f>IF(ISNUMBER(AV100),-AV100,"")</f>
        <v/>
      </c>
      <c r="AX100" s="40">
        <f>IF(ISNUMBER(AW100),1+AMPLITUD*TANH(AW100),"")</f>
        <v/>
      </c>
      <c r="AY100" s="40">
        <f>IF($A100="","",IF(COUNT(AX98:AX100)&gt;0,AVERAGE(AX98:AX100),""))</f>
        <v/>
      </c>
      <c r="AZ100" s="40">
        <f>IF(ISNUMBER(AY100),AY100-1,"")</f>
        <v/>
      </c>
      <c r="BA100" s="40">
        <f>IF(AND(ISNUMBER(AZ99),ISNUMBER(W100)),AZ99*W_BANCOS*W100,"")</f>
        <v/>
      </c>
      <c r="BB100" s="40">
        <f>IF(AND(ISNUMBER(AZ99),ISNUMBER(AZ98)),ABS(AZ99-AZ98)*W_BANCOS*COSTO,0)</f>
        <v/>
      </c>
      <c r="BC100" s="40">
        <f>IF(ISNUMBER(BA100),BA100-BB100,"")</f>
        <v/>
      </c>
      <c r="BD100" s="42">
        <f>IF(ISNUMBER(BC100),IF(A100&lt;=FECHA_ERA,"A","B"),"")</f>
        <v/>
      </c>
      <c r="BE100" s="40">
        <f>IF(BD100="A",BC100,"")</f>
        <v/>
      </c>
      <c r="BF100" s="40">
        <f>IF(BD100="B",BC100,"")</f>
        <v/>
      </c>
      <c r="BG100" s="38">
        <f>IF(AND(ISNUMBER(BC100),ISNUMBER(A100)),IF(A100&gt;=INICIO_VIVO,1,0),0)</f>
        <v/>
      </c>
      <c r="BH100" s="40">
        <f>IF(BG100=1,BC100,"")</f>
        <v/>
      </c>
      <c r="BI100" s="38">
        <f>IF(ISNUMBER(AY100),ROW(),0)</f>
        <v/>
      </c>
      <c r="BJ100" s="43">
        <f>IF(ISNUMBER(BC100),SUM(BC$5:BC100)*10000,NA())</f>
        <v/>
      </c>
      <c r="BK100" s="43">
        <f>IF(BG100=1,SUM(BH$5:BH100)*10000,NA())</f>
        <v/>
      </c>
      <c r="BL100" s="44">
        <f>IF(ISNUMBER(AY100),AY100,NA())</f>
        <v/>
      </c>
    </row>
    <row r="101">
      <c r="A101" s="36">
        <f>IF(Datos!A101="","",Datos!A101)</f>
        <v/>
      </c>
      <c r="B101" s="37">
        <f>IF(OR($A101="",NOT(ISNUMBER(Datos!B101)),NOT(ISNUMBER(Datos!B100))),"",Datos!B101/Datos!B100-1)</f>
        <v/>
      </c>
      <c r="C101" s="37">
        <f>IF(OR($A101="",NOT(ISNUMBER(Datos!C101)),NOT(ISNUMBER(Datos!C100))),"",Datos!C101/Datos!C100-1)</f>
        <v/>
      </c>
      <c r="D101" s="37">
        <f>IF(OR($A101="",NOT(ISNUMBER(Datos!D101)),NOT(ISNUMBER(Datos!D100))),"",Datos!D101/Datos!D100-1)</f>
        <v/>
      </c>
      <c r="E101" s="37">
        <f>IF(OR($A101="",NOT(ISNUMBER(Datos!E101)),NOT(ISNUMBER(Datos!E100))),"",Datos!E101/Datos!E100-1)</f>
        <v/>
      </c>
      <c r="F101" s="38">
        <f>IF($A101="","",COUNT(B101:E101))</f>
        <v/>
      </c>
      <c r="G101" s="37">
        <f>IF($A101="","",IF(F101&gt;=MIN_BANCOS,AVERAGE(B101:E101),""))</f>
        <v/>
      </c>
      <c r="H101" s="37">
        <f>IF(OR($A101="",NOT(ISNUMBER(Datos!F101)),NOT(ISNUMBER(Datos!F100))),"",Datos!F101/Datos!F100-1)</f>
        <v/>
      </c>
      <c r="I101" s="39">
        <f>IF($A101="","",IF(ISNUMBER(Datos!G101),Datos!G101,I100))</f>
        <v/>
      </c>
      <c r="J101" s="40">
        <f>IF($A101="","",IF(ISNUMBER(I100),LN(1+I100/100/12),0))</f>
        <v/>
      </c>
      <c r="K101" s="40">
        <f>IF(ISNUMBER(G101),LN(1+G101)-J101,"")</f>
        <v/>
      </c>
      <c r="L101" s="40">
        <f>IF(ISNUMBER(H101),LN(1+H101)-J101,"")</f>
        <v/>
      </c>
      <c r="M101" s="38">
        <f>IF(ISNUMBER(K101),1,0)</f>
        <v/>
      </c>
      <c r="N101" s="40">
        <f>IF(M101=1,K101,0)</f>
        <v/>
      </c>
      <c r="O101" s="38">
        <f>IF(ISNUMBER(L101),1,0)</f>
        <v/>
      </c>
      <c r="P101" s="40">
        <f>IF(O101=1,L101,0)</f>
        <v/>
      </c>
      <c r="Q101" s="38">
        <f>M101*O101</f>
        <v/>
      </c>
      <c r="R101" s="38">
        <f>SUM(Q65:Q100)</f>
        <v/>
      </c>
      <c r="S101" s="41">
        <f>IF(OR($A101="",R101&lt;MIN_OBS_ROLL),"",(SUMPRODUCT(Q65:Q100,N65:N100,P65:P100)/R101-SUMPRODUCT(Q65:Q100,N65:N100)/R101*SUMPRODUCT(Q65:Q100,P65:P100)/R101)*R101/(R101-1))</f>
        <v/>
      </c>
      <c r="T101" s="38">
        <f>SUM(O65:O100)</f>
        <v/>
      </c>
      <c r="U101" s="41">
        <f>IF(OR($A101="",T101&lt;MIN_OBS_ROLL),"",SUMPRODUCT(O65:O100,(P65:P100-SUMPRODUCT(O65:O100,P65:P100)/T101)^2)/(T101-1))</f>
        <v/>
      </c>
      <c r="V101" s="40">
        <f>IF(OR(S101="",U101=""),"",S101/U101)</f>
        <v/>
      </c>
      <c r="W101" s="40">
        <f>IF(AND(ISNUMBER(K101),ISNUMBER(L101),ISNUMBER(V101)),K101-V101*L101,"")</f>
        <v/>
      </c>
      <c r="X101" s="40">
        <f>IF(OR($A101="",NOT(ISNUMBER(Datos!H101)),NOT(ISNUMBER(Datos!H100))),"",LN(Datos!H101)-LN(Datos!H100))</f>
        <v/>
      </c>
      <c r="Y101" s="38">
        <f>IF(ISNUMBER(W101),1,0)</f>
        <v/>
      </c>
      <c r="Z101" s="40">
        <f>IF(Y101=1,W101,0)</f>
        <v/>
      </c>
      <c r="AA101" s="38">
        <f>IF(ISNUMBER(X101),1,0)</f>
        <v/>
      </c>
      <c r="AB101" s="40">
        <f>IF(AA101=1,X101,0)</f>
        <v/>
      </c>
      <c r="AC101" s="38">
        <f>Y101*AA101</f>
        <v/>
      </c>
      <c r="AD101" s="38">
        <f>SUM(AC65:AC100)</f>
        <v/>
      </c>
      <c r="AE101" s="41">
        <f>IF(OR($A101="",AD101&lt;MIN_OBS_ROLL),"",(SUMPRODUCT(AC65:AC100,Z65:Z100,AB65:AB100)/AD101-SUMPRODUCT(AC65:AC100,Z65:Z100)/AD101*SUMPRODUCT(AC65:AC100,AB65:AB100)/AD101)*AD101/(AD101-1))</f>
        <v/>
      </c>
      <c r="AF101" s="38">
        <f>SUM(AA65:AA100)</f>
        <v/>
      </c>
      <c r="AG101" s="41">
        <f>IF(OR($A101="",AF101&lt;MIN_OBS_ROLL),"",SUMPRODUCT(AA65:AA100,(AB65:AB100-SUMPRODUCT(AA65:AA100,AB65:AB100)/AF101)^2)/(AF101-1))</f>
        <v/>
      </c>
      <c r="AH101" s="38">
        <f>SUM(Y65:Y100)</f>
        <v/>
      </c>
      <c r="AI101" s="40">
        <f>IF(OR($A101="",AH101&lt;MIN_OBS_ROLL),"",SUMPRODUCT(Y65:Y100,Z65:Z100)/AH101)</f>
        <v/>
      </c>
      <c r="AJ101" s="40">
        <f>IF(OR($A101="",AF101&lt;MIN_OBS_ROLL),"",SUMPRODUCT(AA65:AA100,AB65:AB100)/AF101)</f>
        <v/>
      </c>
      <c r="AK101" s="40">
        <f>IF(OR(AE101="",AG101=""),"",AE101/AG101)</f>
        <v/>
      </c>
      <c r="AL101" s="40">
        <f>IF(OR(AI101="",AK101="",AJ101=""),"",AI101-AK101*AJ101)</f>
        <v/>
      </c>
      <c r="AM101" s="40">
        <f>IF(AND(ISNUMBER(W101),ISNUMBER(X101),ISNUMBER(AK101),ISNUMBER(AL101)),W101-(AL101+AK101*X101),"")</f>
        <v/>
      </c>
      <c r="AN101" s="38">
        <f>IF(ISNUMBER(AM101),1,0)</f>
        <v/>
      </c>
      <c r="AO101" s="40">
        <f>IF(AN101=1,AM101,0)</f>
        <v/>
      </c>
      <c r="AP101" s="40">
        <f>IF(SUM(AN99:AN101)=3,SUM(AO99:AO101),"")</f>
        <v/>
      </c>
      <c r="AQ101" s="38">
        <f>IF(ISNUMBER(AP101),1,0)</f>
        <v/>
      </c>
      <c r="AR101" s="40">
        <f>IF(AQ101=1,AP101,0)</f>
        <v/>
      </c>
      <c r="AS101" s="38">
        <f>SUM(AQ$5:AQ101)</f>
        <v/>
      </c>
      <c r="AT101" s="40">
        <f>IF(AS101&gt;=MIN_OBS_Z,SUMPRODUCT(AQ$5:AQ101,AR$5:AR101)/AS101,"")</f>
        <v/>
      </c>
      <c r="AU101" s="40">
        <f>IF(AS101&gt;=MIN_OBS_Z,SQRT(SUMPRODUCT(AQ$5:AQ101,(AR$5:AR101-AT101)^2)/(AS101-1)),"")</f>
        <v/>
      </c>
      <c r="AV101" s="40">
        <f>IF(AND(AQ101=1,ISNUMBER(AT101)),MAX(-Z_CLIP,MIN(Z_CLIP,(AR101-AT101)/AU101)),"")</f>
        <v/>
      </c>
      <c r="AW101" s="40">
        <f>IF(ISNUMBER(AV101),-AV101,"")</f>
        <v/>
      </c>
      <c r="AX101" s="40">
        <f>IF(ISNUMBER(AW101),1+AMPLITUD*TANH(AW101),"")</f>
        <v/>
      </c>
      <c r="AY101" s="40">
        <f>IF($A101="","",IF(COUNT(AX99:AX101)&gt;0,AVERAGE(AX99:AX101),""))</f>
        <v/>
      </c>
      <c r="AZ101" s="40">
        <f>IF(ISNUMBER(AY101),AY101-1,"")</f>
        <v/>
      </c>
      <c r="BA101" s="40">
        <f>IF(AND(ISNUMBER(AZ100),ISNUMBER(W101)),AZ100*W_BANCOS*W101,"")</f>
        <v/>
      </c>
      <c r="BB101" s="40">
        <f>IF(AND(ISNUMBER(AZ100),ISNUMBER(AZ99)),ABS(AZ100-AZ99)*W_BANCOS*COSTO,0)</f>
        <v/>
      </c>
      <c r="BC101" s="40">
        <f>IF(ISNUMBER(BA101),BA101-BB101,"")</f>
        <v/>
      </c>
      <c r="BD101" s="42">
        <f>IF(ISNUMBER(BC101),IF(A101&lt;=FECHA_ERA,"A","B"),"")</f>
        <v/>
      </c>
      <c r="BE101" s="40">
        <f>IF(BD101="A",BC101,"")</f>
        <v/>
      </c>
      <c r="BF101" s="40">
        <f>IF(BD101="B",BC101,"")</f>
        <v/>
      </c>
      <c r="BG101" s="38">
        <f>IF(AND(ISNUMBER(BC101),ISNUMBER(A101)),IF(A101&gt;=INICIO_VIVO,1,0),0)</f>
        <v/>
      </c>
      <c r="BH101" s="40">
        <f>IF(BG101=1,BC101,"")</f>
        <v/>
      </c>
      <c r="BI101" s="38">
        <f>IF(ISNUMBER(AY101),ROW(),0)</f>
        <v/>
      </c>
      <c r="BJ101" s="43">
        <f>IF(ISNUMBER(BC101),SUM(BC$5:BC101)*10000,NA())</f>
        <v/>
      </c>
      <c r="BK101" s="43">
        <f>IF(BG101=1,SUM(BH$5:BH101)*10000,NA())</f>
        <v/>
      </c>
      <c r="BL101" s="44">
        <f>IF(ISNUMBER(AY101),AY101,NA())</f>
        <v/>
      </c>
    </row>
    <row r="102">
      <c r="A102" s="36">
        <f>IF(Datos!A102="","",Datos!A102)</f>
        <v/>
      </c>
      <c r="B102" s="37">
        <f>IF(OR($A102="",NOT(ISNUMBER(Datos!B102)),NOT(ISNUMBER(Datos!B101))),"",Datos!B102/Datos!B101-1)</f>
        <v/>
      </c>
      <c r="C102" s="37">
        <f>IF(OR($A102="",NOT(ISNUMBER(Datos!C102)),NOT(ISNUMBER(Datos!C101))),"",Datos!C102/Datos!C101-1)</f>
        <v/>
      </c>
      <c r="D102" s="37">
        <f>IF(OR($A102="",NOT(ISNUMBER(Datos!D102)),NOT(ISNUMBER(Datos!D101))),"",Datos!D102/Datos!D101-1)</f>
        <v/>
      </c>
      <c r="E102" s="37">
        <f>IF(OR($A102="",NOT(ISNUMBER(Datos!E102)),NOT(ISNUMBER(Datos!E101))),"",Datos!E102/Datos!E101-1)</f>
        <v/>
      </c>
      <c r="F102" s="38">
        <f>IF($A102="","",COUNT(B102:E102))</f>
        <v/>
      </c>
      <c r="G102" s="37">
        <f>IF($A102="","",IF(F102&gt;=MIN_BANCOS,AVERAGE(B102:E102),""))</f>
        <v/>
      </c>
      <c r="H102" s="37">
        <f>IF(OR($A102="",NOT(ISNUMBER(Datos!F102)),NOT(ISNUMBER(Datos!F101))),"",Datos!F102/Datos!F101-1)</f>
        <v/>
      </c>
      <c r="I102" s="39">
        <f>IF($A102="","",IF(ISNUMBER(Datos!G102),Datos!G102,I101))</f>
        <v/>
      </c>
      <c r="J102" s="40">
        <f>IF($A102="","",IF(ISNUMBER(I101),LN(1+I101/100/12),0))</f>
        <v/>
      </c>
      <c r="K102" s="40">
        <f>IF(ISNUMBER(G102),LN(1+G102)-J102,"")</f>
        <v/>
      </c>
      <c r="L102" s="40">
        <f>IF(ISNUMBER(H102),LN(1+H102)-J102,"")</f>
        <v/>
      </c>
      <c r="M102" s="38">
        <f>IF(ISNUMBER(K102),1,0)</f>
        <v/>
      </c>
      <c r="N102" s="40">
        <f>IF(M102=1,K102,0)</f>
        <v/>
      </c>
      <c r="O102" s="38">
        <f>IF(ISNUMBER(L102),1,0)</f>
        <v/>
      </c>
      <c r="P102" s="40">
        <f>IF(O102=1,L102,0)</f>
        <v/>
      </c>
      <c r="Q102" s="38">
        <f>M102*O102</f>
        <v/>
      </c>
      <c r="R102" s="38">
        <f>SUM(Q66:Q101)</f>
        <v/>
      </c>
      <c r="S102" s="41">
        <f>IF(OR($A102="",R102&lt;MIN_OBS_ROLL),"",(SUMPRODUCT(Q66:Q101,N66:N101,P66:P101)/R102-SUMPRODUCT(Q66:Q101,N66:N101)/R102*SUMPRODUCT(Q66:Q101,P66:P101)/R102)*R102/(R102-1))</f>
        <v/>
      </c>
      <c r="T102" s="38">
        <f>SUM(O66:O101)</f>
        <v/>
      </c>
      <c r="U102" s="41">
        <f>IF(OR($A102="",T102&lt;MIN_OBS_ROLL),"",SUMPRODUCT(O66:O101,(P66:P101-SUMPRODUCT(O66:O101,P66:P101)/T102)^2)/(T102-1))</f>
        <v/>
      </c>
      <c r="V102" s="40">
        <f>IF(OR(S102="",U102=""),"",S102/U102)</f>
        <v/>
      </c>
      <c r="W102" s="40">
        <f>IF(AND(ISNUMBER(K102),ISNUMBER(L102),ISNUMBER(V102)),K102-V102*L102,"")</f>
        <v/>
      </c>
      <c r="X102" s="40">
        <f>IF(OR($A102="",NOT(ISNUMBER(Datos!H102)),NOT(ISNUMBER(Datos!H101))),"",LN(Datos!H102)-LN(Datos!H101))</f>
        <v/>
      </c>
      <c r="Y102" s="38">
        <f>IF(ISNUMBER(W102),1,0)</f>
        <v/>
      </c>
      <c r="Z102" s="40">
        <f>IF(Y102=1,W102,0)</f>
        <v/>
      </c>
      <c r="AA102" s="38">
        <f>IF(ISNUMBER(X102),1,0)</f>
        <v/>
      </c>
      <c r="AB102" s="40">
        <f>IF(AA102=1,X102,0)</f>
        <v/>
      </c>
      <c r="AC102" s="38">
        <f>Y102*AA102</f>
        <v/>
      </c>
      <c r="AD102" s="38">
        <f>SUM(AC66:AC101)</f>
        <v/>
      </c>
      <c r="AE102" s="41">
        <f>IF(OR($A102="",AD102&lt;MIN_OBS_ROLL),"",(SUMPRODUCT(AC66:AC101,Z66:Z101,AB66:AB101)/AD102-SUMPRODUCT(AC66:AC101,Z66:Z101)/AD102*SUMPRODUCT(AC66:AC101,AB66:AB101)/AD102)*AD102/(AD102-1))</f>
        <v/>
      </c>
      <c r="AF102" s="38">
        <f>SUM(AA66:AA101)</f>
        <v/>
      </c>
      <c r="AG102" s="41">
        <f>IF(OR($A102="",AF102&lt;MIN_OBS_ROLL),"",SUMPRODUCT(AA66:AA101,(AB66:AB101-SUMPRODUCT(AA66:AA101,AB66:AB101)/AF102)^2)/(AF102-1))</f>
        <v/>
      </c>
      <c r="AH102" s="38">
        <f>SUM(Y66:Y101)</f>
        <v/>
      </c>
      <c r="AI102" s="40">
        <f>IF(OR($A102="",AH102&lt;MIN_OBS_ROLL),"",SUMPRODUCT(Y66:Y101,Z66:Z101)/AH102)</f>
        <v/>
      </c>
      <c r="AJ102" s="40">
        <f>IF(OR($A102="",AF102&lt;MIN_OBS_ROLL),"",SUMPRODUCT(AA66:AA101,AB66:AB101)/AF102)</f>
        <v/>
      </c>
      <c r="AK102" s="40">
        <f>IF(OR(AE102="",AG102=""),"",AE102/AG102)</f>
        <v/>
      </c>
      <c r="AL102" s="40">
        <f>IF(OR(AI102="",AK102="",AJ102=""),"",AI102-AK102*AJ102)</f>
        <v/>
      </c>
      <c r="AM102" s="40">
        <f>IF(AND(ISNUMBER(W102),ISNUMBER(X102),ISNUMBER(AK102),ISNUMBER(AL102)),W102-(AL102+AK102*X102),"")</f>
        <v/>
      </c>
      <c r="AN102" s="38">
        <f>IF(ISNUMBER(AM102),1,0)</f>
        <v/>
      </c>
      <c r="AO102" s="40">
        <f>IF(AN102=1,AM102,0)</f>
        <v/>
      </c>
      <c r="AP102" s="40">
        <f>IF(SUM(AN100:AN102)=3,SUM(AO100:AO102),"")</f>
        <v/>
      </c>
      <c r="AQ102" s="38">
        <f>IF(ISNUMBER(AP102),1,0)</f>
        <v/>
      </c>
      <c r="AR102" s="40">
        <f>IF(AQ102=1,AP102,0)</f>
        <v/>
      </c>
      <c r="AS102" s="38">
        <f>SUM(AQ$5:AQ102)</f>
        <v/>
      </c>
      <c r="AT102" s="40">
        <f>IF(AS102&gt;=MIN_OBS_Z,SUMPRODUCT(AQ$5:AQ102,AR$5:AR102)/AS102,"")</f>
        <v/>
      </c>
      <c r="AU102" s="40">
        <f>IF(AS102&gt;=MIN_OBS_Z,SQRT(SUMPRODUCT(AQ$5:AQ102,(AR$5:AR102-AT102)^2)/(AS102-1)),"")</f>
        <v/>
      </c>
      <c r="AV102" s="40">
        <f>IF(AND(AQ102=1,ISNUMBER(AT102)),MAX(-Z_CLIP,MIN(Z_CLIP,(AR102-AT102)/AU102)),"")</f>
        <v/>
      </c>
      <c r="AW102" s="40">
        <f>IF(ISNUMBER(AV102),-AV102,"")</f>
        <v/>
      </c>
      <c r="AX102" s="40">
        <f>IF(ISNUMBER(AW102),1+AMPLITUD*TANH(AW102),"")</f>
        <v/>
      </c>
      <c r="AY102" s="40">
        <f>IF($A102="","",IF(COUNT(AX100:AX102)&gt;0,AVERAGE(AX100:AX102),""))</f>
        <v/>
      </c>
      <c r="AZ102" s="40">
        <f>IF(ISNUMBER(AY102),AY102-1,"")</f>
        <v/>
      </c>
      <c r="BA102" s="40">
        <f>IF(AND(ISNUMBER(AZ101),ISNUMBER(W102)),AZ101*W_BANCOS*W102,"")</f>
        <v/>
      </c>
      <c r="BB102" s="40">
        <f>IF(AND(ISNUMBER(AZ101),ISNUMBER(AZ100)),ABS(AZ101-AZ100)*W_BANCOS*COSTO,0)</f>
        <v/>
      </c>
      <c r="BC102" s="40">
        <f>IF(ISNUMBER(BA102),BA102-BB102,"")</f>
        <v/>
      </c>
      <c r="BD102" s="42">
        <f>IF(ISNUMBER(BC102),IF(A102&lt;=FECHA_ERA,"A","B"),"")</f>
        <v/>
      </c>
      <c r="BE102" s="40">
        <f>IF(BD102="A",BC102,"")</f>
        <v/>
      </c>
      <c r="BF102" s="40">
        <f>IF(BD102="B",BC102,"")</f>
        <v/>
      </c>
      <c r="BG102" s="38">
        <f>IF(AND(ISNUMBER(BC102),ISNUMBER(A102)),IF(A102&gt;=INICIO_VIVO,1,0),0)</f>
        <v/>
      </c>
      <c r="BH102" s="40">
        <f>IF(BG102=1,BC102,"")</f>
        <v/>
      </c>
      <c r="BI102" s="38">
        <f>IF(ISNUMBER(AY102),ROW(),0)</f>
        <v/>
      </c>
      <c r="BJ102" s="43">
        <f>IF(ISNUMBER(BC102),SUM(BC$5:BC102)*10000,NA())</f>
        <v/>
      </c>
      <c r="BK102" s="43">
        <f>IF(BG102=1,SUM(BH$5:BH102)*10000,NA())</f>
        <v/>
      </c>
      <c r="BL102" s="44">
        <f>IF(ISNUMBER(AY102),AY102,NA())</f>
        <v/>
      </c>
    </row>
    <row r="103">
      <c r="A103" s="36">
        <f>IF(Datos!A103="","",Datos!A103)</f>
        <v/>
      </c>
      <c r="B103" s="37">
        <f>IF(OR($A103="",NOT(ISNUMBER(Datos!B103)),NOT(ISNUMBER(Datos!B102))),"",Datos!B103/Datos!B102-1)</f>
        <v/>
      </c>
      <c r="C103" s="37">
        <f>IF(OR($A103="",NOT(ISNUMBER(Datos!C103)),NOT(ISNUMBER(Datos!C102))),"",Datos!C103/Datos!C102-1)</f>
        <v/>
      </c>
      <c r="D103" s="37">
        <f>IF(OR($A103="",NOT(ISNUMBER(Datos!D103)),NOT(ISNUMBER(Datos!D102))),"",Datos!D103/Datos!D102-1)</f>
        <v/>
      </c>
      <c r="E103" s="37">
        <f>IF(OR($A103="",NOT(ISNUMBER(Datos!E103)),NOT(ISNUMBER(Datos!E102))),"",Datos!E103/Datos!E102-1)</f>
        <v/>
      </c>
      <c r="F103" s="38">
        <f>IF($A103="","",COUNT(B103:E103))</f>
        <v/>
      </c>
      <c r="G103" s="37">
        <f>IF($A103="","",IF(F103&gt;=MIN_BANCOS,AVERAGE(B103:E103),""))</f>
        <v/>
      </c>
      <c r="H103" s="37">
        <f>IF(OR($A103="",NOT(ISNUMBER(Datos!F103)),NOT(ISNUMBER(Datos!F102))),"",Datos!F103/Datos!F102-1)</f>
        <v/>
      </c>
      <c r="I103" s="39">
        <f>IF($A103="","",IF(ISNUMBER(Datos!G103),Datos!G103,I102))</f>
        <v/>
      </c>
      <c r="J103" s="40">
        <f>IF($A103="","",IF(ISNUMBER(I102),LN(1+I102/100/12),0))</f>
        <v/>
      </c>
      <c r="K103" s="40">
        <f>IF(ISNUMBER(G103),LN(1+G103)-J103,"")</f>
        <v/>
      </c>
      <c r="L103" s="40">
        <f>IF(ISNUMBER(H103),LN(1+H103)-J103,"")</f>
        <v/>
      </c>
      <c r="M103" s="38">
        <f>IF(ISNUMBER(K103),1,0)</f>
        <v/>
      </c>
      <c r="N103" s="40">
        <f>IF(M103=1,K103,0)</f>
        <v/>
      </c>
      <c r="O103" s="38">
        <f>IF(ISNUMBER(L103),1,0)</f>
        <v/>
      </c>
      <c r="P103" s="40">
        <f>IF(O103=1,L103,0)</f>
        <v/>
      </c>
      <c r="Q103" s="38">
        <f>M103*O103</f>
        <v/>
      </c>
      <c r="R103" s="38">
        <f>SUM(Q67:Q102)</f>
        <v/>
      </c>
      <c r="S103" s="41">
        <f>IF(OR($A103="",R103&lt;MIN_OBS_ROLL),"",(SUMPRODUCT(Q67:Q102,N67:N102,P67:P102)/R103-SUMPRODUCT(Q67:Q102,N67:N102)/R103*SUMPRODUCT(Q67:Q102,P67:P102)/R103)*R103/(R103-1))</f>
        <v/>
      </c>
      <c r="T103" s="38">
        <f>SUM(O67:O102)</f>
        <v/>
      </c>
      <c r="U103" s="41">
        <f>IF(OR($A103="",T103&lt;MIN_OBS_ROLL),"",SUMPRODUCT(O67:O102,(P67:P102-SUMPRODUCT(O67:O102,P67:P102)/T103)^2)/(T103-1))</f>
        <v/>
      </c>
      <c r="V103" s="40">
        <f>IF(OR(S103="",U103=""),"",S103/U103)</f>
        <v/>
      </c>
      <c r="W103" s="40">
        <f>IF(AND(ISNUMBER(K103),ISNUMBER(L103),ISNUMBER(V103)),K103-V103*L103,"")</f>
        <v/>
      </c>
      <c r="X103" s="40">
        <f>IF(OR($A103="",NOT(ISNUMBER(Datos!H103)),NOT(ISNUMBER(Datos!H102))),"",LN(Datos!H103)-LN(Datos!H102))</f>
        <v/>
      </c>
      <c r="Y103" s="38">
        <f>IF(ISNUMBER(W103),1,0)</f>
        <v/>
      </c>
      <c r="Z103" s="40">
        <f>IF(Y103=1,W103,0)</f>
        <v/>
      </c>
      <c r="AA103" s="38">
        <f>IF(ISNUMBER(X103),1,0)</f>
        <v/>
      </c>
      <c r="AB103" s="40">
        <f>IF(AA103=1,X103,0)</f>
        <v/>
      </c>
      <c r="AC103" s="38">
        <f>Y103*AA103</f>
        <v/>
      </c>
      <c r="AD103" s="38">
        <f>SUM(AC67:AC102)</f>
        <v/>
      </c>
      <c r="AE103" s="41">
        <f>IF(OR($A103="",AD103&lt;MIN_OBS_ROLL),"",(SUMPRODUCT(AC67:AC102,Z67:Z102,AB67:AB102)/AD103-SUMPRODUCT(AC67:AC102,Z67:Z102)/AD103*SUMPRODUCT(AC67:AC102,AB67:AB102)/AD103)*AD103/(AD103-1))</f>
        <v/>
      </c>
      <c r="AF103" s="38">
        <f>SUM(AA67:AA102)</f>
        <v/>
      </c>
      <c r="AG103" s="41">
        <f>IF(OR($A103="",AF103&lt;MIN_OBS_ROLL),"",SUMPRODUCT(AA67:AA102,(AB67:AB102-SUMPRODUCT(AA67:AA102,AB67:AB102)/AF103)^2)/(AF103-1))</f>
        <v/>
      </c>
      <c r="AH103" s="38">
        <f>SUM(Y67:Y102)</f>
        <v/>
      </c>
      <c r="AI103" s="40">
        <f>IF(OR($A103="",AH103&lt;MIN_OBS_ROLL),"",SUMPRODUCT(Y67:Y102,Z67:Z102)/AH103)</f>
        <v/>
      </c>
      <c r="AJ103" s="40">
        <f>IF(OR($A103="",AF103&lt;MIN_OBS_ROLL),"",SUMPRODUCT(AA67:AA102,AB67:AB102)/AF103)</f>
        <v/>
      </c>
      <c r="AK103" s="40">
        <f>IF(OR(AE103="",AG103=""),"",AE103/AG103)</f>
        <v/>
      </c>
      <c r="AL103" s="40">
        <f>IF(OR(AI103="",AK103="",AJ103=""),"",AI103-AK103*AJ103)</f>
        <v/>
      </c>
      <c r="AM103" s="40">
        <f>IF(AND(ISNUMBER(W103),ISNUMBER(X103),ISNUMBER(AK103),ISNUMBER(AL103)),W103-(AL103+AK103*X103),"")</f>
        <v/>
      </c>
      <c r="AN103" s="38">
        <f>IF(ISNUMBER(AM103),1,0)</f>
        <v/>
      </c>
      <c r="AO103" s="40">
        <f>IF(AN103=1,AM103,0)</f>
        <v/>
      </c>
      <c r="AP103" s="40">
        <f>IF(SUM(AN101:AN103)=3,SUM(AO101:AO103),"")</f>
        <v/>
      </c>
      <c r="AQ103" s="38">
        <f>IF(ISNUMBER(AP103),1,0)</f>
        <v/>
      </c>
      <c r="AR103" s="40">
        <f>IF(AQ103=1,AP103,0)</f>
        <v/>
      </c>
      <c r="AS103" s="38">
        <f>SUM(AQ$5:AQ103)</f>
        <v/>
      </c>
      <c r="AT103" s="40">
        <f>IF(AS103&gt;=MIN_OBS_Z,SUMPRODUCT(AQ$5:AQ103,AR$5:AR103)/AS103,"")</f>
        <v/>
      </c>
      <c r="AU103" s="40">
        <f>IF(AS103&gt;=MIN_OBS_Z,SQRT(SUMPRODUCT(AQ$5:AQ103,(AR$5:AR103-AT103)^2)/(AS103-1)),"")</f>
        <v/>
      </c>
      <c r="AV103" s="40">
        <f>IF(AND(AQ103=1,ISNUMBER(AT103)),MAX(-Z_CLIP,MIN(Z_CLIP,(AR103-AT103)/AU103)),"")</f>
        <v/>
      </c>
      <c r="AW103" s="40">
        <f>IF(ISNUMBER(AV103),-AV103,"")</f>
        <v/>
      </c>
      <c r="AX103" s="40">
        <f>IF(ISNUMBER(AW103),1+AMPLITUD*TANH(AW103),"")</f>
        <v/>
      </c>
      <c r="AY103" s="40">
        <f>IF($A103="","",IF(COUNT(AX101:AX103)&gt;0,AVERAGE(AX101:AX103),""))</f>
        <v/>
      </c>
      <c r="AZ103" s="40">
        <f>IF(ISNUMBER(AY103),AY103-1,"")</f>
        <v/>
      </c>
      <c r="BA103" s="40">
        <f>IF(AND(ISNUMBER(AZ102),ISNUMBER(W103)),AZ102*W_BANCOS*W103,"")</f>
        <v/>
      </c>
      <c r="BB103" s="40">
        <f>IF(AND(ISNUMBER(AZ102),ISNUMBER(AZ101)),ABS(AZ102-AZ101)*W_BANCOS*COSTO,0)</f>
        <v/>
      </c>
      <c r="BC103" s="40">
        <f>IF(ISNUMBER(BA103),BA103-BB103,"")</f>
        <v/>
      </c>
      <c r="BD103" s="42">
        <f>IF(ISNUMBER(BC103),IF(A103&lt;=FECHA_ERA,"A","B"),"")</f>
        <v/>
      </c>
      <c r="BE103" s="40">
        <f>IF(BD103="A",BC103,"")</f>
        <v/>
      </c>
      <c r="BF103" s="40">
        <f>IF(BD103="B",BC103,"")</f>
        <v/>
      </c>
      <c r="BG103" s="38">
        <f>IF(AND(ISNUMBER(BC103),ISNUMBER(A103)),IF(A103&gt;=INICIO_VIVO,1,0),0)</f>
        <v/>
      </c>
      <c r="BH103" s="40">
        <f>IF(BG103=1,BC103,"")</f>
        <v/>
      </c>
      <c r="BI103" s="38">
        <f>IF(ISNUMBER(AY103),ROW(),0)</f>
        <v/>
      </c>
      <c r="BJ103" s="43">
        <f>IF(ISNUMBER(BC103),SUM(BC$5:BC103)*10000,NA())</f>
        <v/>
      </c>
      <c r="BK103" s="43">
        <f>IF(BG103=1,SUM(BH$5:BH103)*10000,NA())</f>
        <v/>
      </c>
      <c r="BL103" s="44">
        <f>IF(ISNUMBER(AY103),AY103,NA())</f>
        <v/>
      </c>
    </row>
    <row r="104">
      <c r="A104" s="36">
        <f>IF(Datos!A104="","",Datos!A104)</f>
        <v/>
      </c>
      <c r="B104" s="37">
        <f>IF(OR($A104="",NOT(ISNUMBER(Datos!B104)),NOT(ISNUMBER(Datos!B103))),"",Datos!B104/Datos!B103-1)</f>
        <v/>
      </c>
      <c r="C104" s="37">
        <f>IF(OR($A104="",NOT(ISNUMBER(Datos!C104)),NOT(ISNUMBER(Datos!C103))),"",Datos!C104/Datos!C103-1)</f>
        <v/>
      </c>
      <c r="D104" s="37">
        <f>IF(OR($A104="",NOT(ISNUMBER(Datos!D104)),NOT(ISNUMBER(Datos!D103))),"",Datos!D104/Datos!D103-1)</f>
        <v/>
      </c>
      <c r="E104" s="37">
        <f>IF(OR($A104="",NOT(ISNUMBER(Datos!E104)),NOT(ISNUMBER(Datos!E103))),"",Datos!E104/Datos!E103-1)</f>
        <v/>
      </c>
      <c r="F104" s="38">
        <f>IF($A104="","",COUNT(B104:E104))</f>
        <v/>
      </c>
      <c r="G104" s="37">
        <f>IF($A104="","",IF(F104&gt;=MIN_BANCOS,AVERAGE(B104:E104),""))</f>
        <v/>
      </c>
      <c r="H104" s="37">
        <f>IF(OR($A104="",NOT(ISNUMBER(Datos!F104)),NOT(ISNUMBER(Datos!F103))),"",Datos!F104/Datos!F103-1)</f>
        <v/>
      </c>
      <c r="I104" s="39">
        <f>IF($A104="","",IF(ISNUMBER(Datos!G104),Datos!G104,I103))</f>
        <v/>
      </c>
      <c r="J104" s="40">
        <f>IF($A104="","",IF(ISNUMBER(I103),LN(1+I103/100/12),0))</f>
        <v/>
      </c>
      <c r="K104" s="40">
        <f>IF(ISNUMBER(G104),LN(1+G104)-J104,"")</f>
        <v/>
      </c>
      <c r="L104" s="40">
        <f>IF(ISNUMBER(H104),LN(1+H104)-J104,"")</f>
        <v/>
      </c>
      <c r="M104" s="38">
        <f>IF(ISNUMBER(K104),1,0)</f>
        <v/>
      </c>
      <c r="N104" s="40">
        <f>IF(M104=1,K104,0)</f>
        <v/>
      </c>
      <c r="O104" s="38">
        <f>IF(ISNUMBER(L104),1,0)</f>
        <v/>
      </c>
      <c r="P104" s="40">
        <f>IF(O104=1,L104,0)</f>
        <v/>
      </c>
      <c r="Q104" s="38">
        <f>M104*O104</f>
        <v/>
      </c>
      <c r="R104" s="38">
        <f>SUM(Q68:Q103)</f>
        <v/>
      </c>
      <c r="S104" s="41">
        <f>IF(OR($A104="",R104&lt;MIN_OBS_ROLL),"",(SUMPRODUCT(Q68:Q103,N68:N103,P68:P103)/R104-SUMPRODUCT(Q68:Q103,N68:N103)/R104*SUMPRODUCT(Q68:Q103,P68:P103)/R104)*R104/(R104-1))</f>
        <v/>
      </c>
      <c r="T104" s="38">
        <f>SUM(O68:O103)</f>
        <v/>
      </c>
      <c r="U104" s="41">
        <f>IF(OR($A104="",T104&lt;MIN_OBS_ROLL),"",SUMPRODUCT(O68:O103,(P68:P103-SUMPRODUCT(O68:O103,P68:P103)/T104)^2)/(T104-1))</f>
        <v/>
      </c>
      <c r="V104" s="40">
        <f>IF(OR(S104="",U104=""),"",S104/U104)</f>
        <v/>
      </c>
      <c r="W104" s="40">
        <f>IF(AND(ISNUMBER(K104),ISNUMBER(L104),ISNUMBER(V104)),K104-V104*L104,"")</f>
        <v/>
      </c>
      <c r="X104" s="40">
        <f>IF(OR($A104="",NOT(ISNUMBER(Datos!H104)),NOT(ISNUMBER(Datos!H103))),"",LN(Datos!H104)-LN(Datos!H103))</f>
        <v/>
      </c>
      <c r="Y104" s="38">
        <f>IF(ISNUMBER(W104),1,0)</f>
        <v/>
      </c>
      <c r="Z104" s="40">
        <f>IF(Y104=1,W104,0)</f>
        <v/>
      </c>
      <c r="AA104" s="38">
        <f>IF(ISNUMBER(X104),1,0)</f>
        <v/>
      </c>
      <c r="AB104" s="40">
        <f>IF(AA104=1,X104,0)</f>
        <v/>
      </c>
      <c r="AC104" s="38">
        <f>Y104*AA104</f>
        <v/>
      </c>
      <c r="AD104" s="38">
        <f>SUM(AC68:AC103)</f>
        <v/>
      </c>
      <c r="AE104" s="41">
        <f>IF(OR($A104="",AD104&lt;MIN_OBS_ROLL),"",(SUMPRODUCT(AC68:AC103,Z68:Z103,AB68:AB103)/AD104-SUMPRODUCT(AC68:AC103,Z68:Z103)/AD104*SUMPRODUCT(AC68:AC103,AB68:AB103)/AD104)*AD104/(AD104-1))</f>
        <v/>
      </c>
      <c r="AF104" s="38">
        <f>SUM(AA68:AA103)</f>
        <v/>
      </c>
      <c r="AG104" s="41">
        <f>IF(OR($A104="",AF104&lt;MIN_OBS_ROLL),"",SUMPRODUCT(AA68:AA103,(AB68:AB103-SUMPRODUCT(AA68:AA103,AB68:AB103)/AF104)^2)/(AF104-1))</f>
        <v/>
      </c>
      <c r="AH104" s="38">
        <f>SUM(Y68:Y103)</f>
        <v/>
      </c>
      <c r="AI104" s="40">
        <f>IF(OR($A104="",AH104&lt;MIN_OBS_ROLL),"",SUMPRODUCT(Y68:Y103,Z68:Z103)/AH104)</f>
        <v/>
      </c>
      <c r="AJ104" s="40">
        <f>IF(OR($A104="",AF104&lt;MIN_OBS_ROLL),"",SUMPRODUCT(AA68:AA103,AB68:AB103)/AF104)</f>
        <v/>
      </c>
      <c r="AK104" s="40">
        <f>IF(OR(AE104="",AG104=""),"",AE104/AG104)</f>
        <v/>
      </c>
      <c r="AL104" s="40">
        <f>IF(OR(AI104="",AK104="",AJ104=""),"",AI104-AK104*AJ104)</f>
        <v/>
      </c>
      <c r="AM104" s="40">
        <f>IF(AND(ISNUMBER(W104),ISNUMBER(X104),ISNUMBER(AK104),ISNUMBER(AL104)),W104-(AL104+AK104*X104),"")</f>
        <v/>
      </c>
      <c r="AN104" s="38">
        <f>IF(ISNUMBER(AM104),1,0)</f>
        <v/>
      </c>
      <c r="AO104" s="40">
        <f>IF(AN104=1,AM104,0)</f>
        <v/>
      </c>
      <c r="AP104" s="40">
        <f>IF(SUM(AN102:AN104)=3,SUM(AO102:AO104),"")</f>
        <v/>
      </c>
      <c r="AQ104" s="38">
        <f>IF(ISNUMBER(AP104),1,0)</f>
        <v/>
      </c>
      <c r="AR104" s="40">
        <f>IF(AQ104=1,AP104,0)</f>
        <v/>
      </c>
      <c r="AS104" s="38">
        <f>SUM(AQ$5:AQ104)</f>
        <v/>
      </c>
      <c r="AT104" s="40">
        <f>IF(AS104&gt;=MIN_OBS_Z,SUMPRODUCT(AQ$5:AQ104,AR$5:AR104)/AS104,"")</f>
        <v/>
      </c>
      <c r="AU104" s="40">
        <f>IF(AS104&gt;=MIN_OBS_Z,SQRT(SUMPRODUCT(AQ$5:AQ104,(AR$5:AR104-AT104)^2)/(AS104-1)),"")</f>
        <v/>
      </c>
      <c r="AV104" s="40">
        <f>IF(AND(AQ104=1,ISNUMBER(AT104)),MAX(-Z_CLIP,MIN(Z_CLIP,(AR104-AT104)/AU104)),"")</f>
        <v/>
      </c>
      <c r="AW104" s="40">
        <f>IF(ISNUMBER(AV104),-AV104,"")</f>
        <v/>
      </c>
      <c r="AX104" s="40">
        <f>IF(ISNUMBER(AW104),1+AMPLITUD*TANH(AW104),"")</f>
        <v/>
      </c>
      <c r="AY104" s="40">
        <f>IF($A104="","",IF(COUNT(AX102:AX104)&gt;0,AVERAGE(AX102:AX104),""))</f>
        <v/>
      </c>
      <c r="AZ104" s="40">
        <f>IF(ISNUMBER(AY104),AY104-1,"")</f>
        <v/>
      </c>
      <c r="BA104" s="40">
        <f>IF(AND(ISNUMBER(AZ103),ISNUMBER(W104)),AZ103*W_BANCOS*W104,"")</f>
        <v/>
      </c>
      <c r="BB104" s="40">
        <f>IF(AND(ISNUMBER(AZ103),ISNUMBER(AZ102)),ABS(AZ103-AZ102)*W_BANCOS*COSTO,0)</f>
        <v/>
      </c>
      <c r="BC104" s="40">
        <f>IF(ISNUMBER(BA104),BA104-BB104,"")</f>
        <v/>
      </c>
      <c r="BD104" s="42">
        <f>IF(ISNUMBER(BC104),IF(A104&lt;=FECHA_ERA,"A","B"),"")</f>
        <v/>
      </c>
      <c r="BE104" s="40">
        <f>IF(BD104="A",BC104,"")</f>
        <v/>
      </c>
      <c r="BF104" s="40">
        <f>IF(BD104="B",BC104,"")</f>
        <v/>
      </c>
      <c r="BG104" s="38">
        <f>IF(AND(ISNUMBER(BC104),ISNUMBER(A104)),IF(A104&gt;=INICIO_VIVO,1,0),0)</f>
        <v/>
      </c>
      <c r="BH104" s="40">
        <f>IF(BG104=1,BC104,"")</f>
        <v/>
      </c>
      <c r="BI104" s="38">
        <f>IF(ISNUMBER(AY104),ROW(),0)</f>
        <v/>
      </c>
      <c r="BJ104" s="43">
        <f>IF(ISNUMBER(BC104),SUM(BC$5:BC104)*10000,NA())</f>
        <v/>
      </c>
      <c r="BK104" s="43">
        <f>IF(BG104=1,SUM(BH$5:BH104)*10000,NA())</f>
        <v/>
      </c>
      <c r="BL104" s="44">
        <f>IF(ISNUMBER(AY104),AY104,NA())</f>
        <v/>
      </c>
    </row>
    <row r="105">
      <c r="A105" s="36">
        <f>IF(Datos!A105="","",Datos!A105)</f>
        <v/>
      </c>
      <c r="B105" s="37">
        <f>IF(OR($A105="",NOT(ISNUMBER(Datos!B105)),NOT(ISNUMBER(Datos!B104))),"",Datos!B105/Datos!B104-1)</f>
        <v/>
      </c>
      <c r="C105" s="37">
        <f>IF(OR($A105="",NOT(ISNUMBER(Datos!C105)),NOT(ISNUMBER(Datos!C104))),"",Datos!C105/Datos!C104-1)</f>
        <v/>
      </c>
      <c r="D105" s="37">
        <f>IF(OR($A105="",NOT(ISNUMBER(Datos!D105)),NOT(ISNUMBER(Datos!D104))),"",Datos!D105/Datos!D104-1)</f>
        <v/>
      </c>
      <c r="E105" s="37">
        <f>IF(OR($A105="",NOT(ISNUMBER(Datos!E105)),NOT(ISNUMBER(Datos!E104))),"",Datos!E105/Datos!E104-1)</f>
        <v/>
      </c>
      <c r="F105" s="38">
        <f>IF($A105="","",COUNT(B105:E105))</f>
        <v/>
      </c>
      <c r="G105" s="37">
        <f>IF($A105="","",IF(F105&gt;=MIN_BANCOS,AVERAGE(B105:E105),""))</f>
        <v/>
      </c>
      <c r="H105" s="37">
        <f>IF(OR($A105="",NOT(ISNUMBER(Datos!F105)),NOT(ISNUMBER(Datos!F104))),"",Datos!F105/Datos!F104-1)</f>
        <v/>
      </c>
      <c r="I105" s="39">
        <f>IF($A105="","",IF(ISNUMBER(Datos!G105),Datos!G105,I104))</f>
        <v/>
      </c>
      <c r="J105" s="40">
        <f>IF($A105="","",IF(ISNUMBER(I104),LN(1+I104/100/12),0))</f>
        <v/>
      </c>
      <c r="K105" s="40">
        <f>IF(ISNUMBER(G105),LN(1+G105)-J105,"")</f>
        <v/>
      </c>
      <c r="L105" s="40">
        <f>IF(ISNUMBER(H105),LN(1+H105)-J105,"")</f>
        <v/>
      </c>
      <c r="M105" s="38">
        <f>IF(ISNUMBER(K105),1,0)</f>
        <v/>
      </c>
      <c r="N105" s="40">
        <f>IF(M105=1,K105,0)</f>
        <v/>
      </c>
      <c r="O105" s="38">
        <f>IF(ISNUMBER(L105),1,0)</f>
        <v/>
      </c>
      <c r="P105" s="40">
        <f>IF(O105=1,L105,0)</f>
        <v/>
      </c>
      <c r="Q105" s="38">
        <f>M105*O105</f>
        <v/>
      </c>
      <c r="R105" s="38">
        <f>SUM(Q69:Q104)</f>
        <v/>
      </c>
      <c r="S105" s="41">
        <f>IF(OR($A105="",R105&lt;MIN_OBS_ROLL),"",(SUMPRODUCT(Q69:Q104,N69:N104,P69:P104)/R105-SUMPRODUCT(Q69:Q104,N69:N104)/R105*SUMPRODUCT(Q69:Q104,P69:P104)/R105)*R105/(R105-1))</f>
        <v/>
      </c>
      <c r="T105" s="38">
        <f>SUM(O69:O104)</f>
        <v/>
      </c>
      <c r="U105" s="41">
        <f>IF(OR($A105="",T105&lt;MIN_OBS_ROLL),"",SUMPRODUCT(O69:O104,(P69:P104-SUMPRODUCT(O69:O104,P69:P104)/T105)^2)/(T105-1))</f>
        <v/>
      </c>
      <c r="V105" s="40">
        <f>IF(OR(S105="",U105=""),"",S105/U105)</f>
        <v/>
      </c>
      <c r="W105" s="40">
        <f>IF(AND(ISNUMBER(K105),ISNUMBER(L105),ISNUMBER(V105)),K105-V105*L105,"")</f>
        <v/>
      </c>
      <c r="X105" s="40">
        <f>IF(OR($A105="",NOT(ISNUMBER(Datos!H105)),NOT(ISNUMBER(Datos!H104))),"",LN(Datos!H105)-LN(Datos!H104))</f>
        <v/>
      </c>
      <c r="Y105" s="38">
        <f>IF(ISNUMBER(W105),1,0)</f>
        <v/>
      </c>
      <c r="Z105" s="40">
        <f>IF(Y105=1,W105,0)</f>
        <v/>
      </c>
      <c r="AA105" s="38">
        <f>IF(ISNUMBER(X105),1,0)</f>
        <v/>
      </c>
      <c r="AB105" s="40">
        <f>IF(AA105=1,X105,0)</f>
        <v/>
      </c>
      <c r="AC105" s="38">
        <f>Y105*AA105</f>
        <v/>
      </c>
      <c r="AD105" s="38">
        <f>SUM(AC69:AC104)</f>
        <v/>
      </c>
      <c r="AE105" s="41">
        <f>IF(OR($A105="",AD105&lt;MIN_OBS_ROLL),"",(SUMPRODUCT(AC69:AC104,Z69:Z104,AB69:AB104)/AD105-SUMPRODUCT(AC69:AC104,Z69:Z104)/AD105*SUMPRODUCT(AC69:AC104,AB69:AB104)/AD105)*AD105/(AD105-1))</f>
        <v/>
      </c>
      <c r="AF105" s="38">
        <f>SUM(AA69:AA104)</f>
        <v/>
      </c>
      <c r="AG105" s="41">
        <f>IF(OR($A105="",AF105&lt;MIN_OBS_ROLL),"",SUMPRODUCT(AA69:AA104,(AB69:AB104-SUMPRODUCT(AA69:AA104,AB69:AB104)/AF105)^2)/(AF105-1))</f>
        <v/>
      </c>
      <c r="AH105" s="38">
        <f>SUM(Y69:Y104)</f>
        <v/>
      </c>
      <c r="AI105" s="40">
        <f>IF(OR($A105="",AH105&lt;MIN_OBS_ROLL),"",SUMPRODUCT(Y69:Y104,Z69:Z104)/AH105)</f>
        <v/>
      </c>
      <c r="AJ105" s="40">
        <f>IF(OR($A105="",AF105&lt;MIN_OBS_ROLL),"",SUMPRODUCT(AA69:AA104,AB69:AB104)/AF105)</f>
        <v/>
      </c>
      <c r="AK105" s="40">
        <f>IF(OR(AE105="",AG105=""),"",AE105/AG105)</f>
        <v/>
      </c>
      <c r="AL105" s="40">
        <f>IF(OR(AI105="",AK105="",AJ105=""),"",AI105-AK105*AJ105)</f>
        <v/>
      </c>
      <c r="AM105" s="40">
        <f>IF(AND(ISNUMBER(W105),ISNUMBER(X105),ISNUMBER(AK105),ISNUMBER(AL105)),W105-(AL105+AK105*X105),"")</f>
        <v/>
      </c>
      <c r="AN105" s="38">
        <f>IF(ISNUMBER(AM105),1,0)</f>
        <v/>
      </c>
      <c r="AO105" s="40">
        <f>IF(AN105=1,AM105,0)</f>
        <v/>
      </c>
      <c r="AP105" s="40">
        <f>IF(SUM(AN103:AN105)=3,SUM(AO103:AO105),"")</f>
        <v/>
      </c>
      <c r="AQ105" s="38">
        <f>IF(ISNUMBER(AP105),1,0)</f>
        <v/>
      </c>
      <c r="AR105" s="40">
        <f>IF(AQ105=1,AP105,0)</f>
        <v/>
      </c>
      <c r="AS105" s="38">
        <f>SUM(AQ$5:AQ105)</f>
        <v/>
      </c>
      <c r="AT105" s="40">
        <f>IF(AS105&gt;=MIN_OBS_Z,SUMPRODUCT(AQ$5:AQ105,AR$5:AR105)/AS105,"")</f>
        <v/>
      </c>
      <c r="AU105" s="40">
        <f>IF(AS105&gt;=MIN_OBS_Z,SQRT(SUMPRODUCT(AQ$5:AQ105,(AR$5:AR105-AT105)^2)/(AS105-1)),"")</f>
        <v/>
      </c>
      <c r="AV105" s="40">
        <f>IF(AND(AQ105=1,ISNUMBER(AT105)),MAX(-Z_CLIP,MIN(Z_CLIP,(AR105-AT105)/AU105)),"")</f>
        <v/>
      </c>
      <c r="AW105" s="40">
        <f>IF(ISNUMBER(AV105),-AV105,"")</f>
        <v/>
      </c>
      <c r="AX105" s="40">
        <f>IF(ISNUMBER(AW105),1+AMPLITUD*TANH(AW105),"")</f>
        <v/>
      </c>
      <c r="AY105" s="40">
        <f>IF($A105="","",IF(COUNT(AX103:AX105)&gt;0,AVERAGE(AX103:AX105),""))</f>
        <v/>
      </c>
      <c r="AZ105" s="40">
        <f>IF(ISNUMBER(AY105),AY105-1,"")</f>
        <v/>
      </c>
      <c r="BA105" s="40">
        <f>IF(AND(ISNUMBER(AZ104),ISNUMBER(W105)),AZ104*W_BANCOS*W105,"")</f>
        <v/>
      </c>
      <c r="BB105" s="40">
        <f>IF(AND(ISNUMBER(AZ104),ISNUMBER(AZ103)),ABS(AZ104-AZ103)*W_BANCOS*COSTO,0)</f>
        <v/>
      </c>
      <c r="BC105" s="40">
        <f>IF(ISNUMBER(BA105),BA105-BB105,"")</f>
        <v/>
      </c>
      <c r="BD105" s="42">
        <f>IF(ISNUMBER(BC105),IF(A105&lt;=FECHA_ERA,"A","B"),"")</f>
        <v/>
      </c>
      <c r="BE105" s="40">
        <f>IF(BD105="A",BC105,"")</f>
        <v/>
      </c>
      <c r="BF105" s="40">
        <f>IF(BD105="B",BC105,"")</f>
        <v/>
      </c>
      <c r="BG105" s="38">
        <f>IF(AND(ISNUMBER(BC105),ISNUMBER(A105)),IF(A105&gt;=INICIO_VIVO,1,0),0)</f>
        <v/>
      </c>
      <c r="BH105" s="40">
        <f>IF(BG105=1,BC105,"")</f>
        <v/>
      </c>
      <c r="BI105" s="38">
        <f>IF(ISNUMBER(AY105),ROW(),0)</f>
        <v/>
      </c>
      <c r="BJ105" s="43">
        <f>IF(ISNUMBER(BC105),SUM(BC$5:BC105)*10000,NA())</f>
        <v/>
      </c>
      <c r="BK105" s="43">
        <f>IF(BG105=1,SUM(BH$5:BH105)*10000,NA())</f>
        <v/>
      </c>
      <c r="BL105" s="44">
        <f>IF(ISNUMBER(AY105),AY105,NA())</f>
        <v/>
      </c>
    </row>
    <row r="106">
      <c r="A106" s="36">
        <f>IF(Datos!A106="","",Datos!A106)</f>
        <v/>
      </c>
      <c r="B106" s="37">
        <f>IF(OR($A106="",NOT(ISNUMBER(Datos!B106)),NOT(ISNUMBER(Datos!B105))),"",Datos!B106/Datos!B105-1)</f>
        <v/>
      </c>
      <c r="C106" s="37">
        <f>IF(OR($A106="",NOT(ISNUMBER(Datos!C106)),NOT(ISNUMBER(Datos!C105))),"",Datos!C106/Datos!C105-1)</f>
        <v/>
      </c>
      <c r="D106" s="37">
        <f>IF(OR($A106="",NOT(ISNUMBER(Datos!D106)),NOT(ISNUMBER(Datos!D105))),"",Datos!D106/Datos!D105-1)</f>
        <v/>
      </c>
      <c r="E106" s="37">
        <f>IF(OR($A106="",NOT(ISNUMBER(Datos!E106)),NOT(ISNUMBER(Datos!E105))),"",Datos!E106/Datos!E105-1)</f>
        <v/>
      </c>
      <c r="F106" s="38">
        <f>IF($A106="","",COUNT(B106:E106))</f>
        <v/>
      </c>
      <c r="G106" s="37">
        <f>IF($A106="","",IF(F106&gt;=MIN_BANCOS,AVERAGE(B106:E106),""))</f>
        <v/>
      </c>
      <c r="H106" s="37">
        <f>IF(OR($A106="",NOT(ISNUMBER(Datos!F106)),NOT(ISNUMBER(Datos!F105))),"",Datos!F106/Datos!F105-1)</f>
        <v/>
      </c>
      <c r="I106" s="39">
        <f>IF($A106="","",IF(ISNUMBER(Datos!G106),Datos!G106,I105))</f>
        <v/>
      </c>
      <c r="J106" s="40">
        <f>IF($A106="","",IF(ISNUMBER(I105),LN(1+I105/100/12),0))</f>
        <v/>
      </c>
      <c r="K106" s="40">
        <f>IF(ISNUMBER(G106),LN(1+G106)-J106,"")</f>
        <v/>
      </c>
      <c r="L106" s="40">
        <f>IF(ISNUMBER(H106),LN(1+H106)-J106,"")</f>
        <v/>
      </c>
      <c r="M106" s="38">
        <f>IF(ISNUMBER(K106),1,0)</f>
        <v/>
      </c>
      <c r="N106" s="40">
        <f>IF(M106=1,K106,0)</f>
        <v/>
      </c>
      <c r="O106" s="38">
        <f>IF(ISNUMBER(L106),1,0)</f>
        <v/>
      </c>
      <c r="P106" s="40">
        <f>IF(O106=1,L106,0)</f>
        <v/>
      </c>
      <c r="Q106" s="38">
        <f>M106*O106</f>
        <v/>
      </c>
      <c r="R106" s="38">
        <f>SUM(Q70:Q105)</f>
        <v/>
      </c>
      <c r="S106" s="41">
        <f>IF(OR($A106="",R106&lt;MIN_OBS_ROLL),"",(SUMPRODUCT(Q70:Q105,N70:N105,P70:P105)/R106-SUMPRODUCT(Q70:Q105,N70:N105)/R106*SUMPRODUCT(Q70:Q105,P70:P105)/R106)*R106/(R106-1))</f>
        <v/>
      </c>
      <c r="T106" s="38">
        <f>SUM(O70:O105)</f>
        <v/>
      </c>
      <c r="U106" s="41">
        <f>IF(OR($A106="",T106&lt;MIN_OBS_ROLL),"",SUMPRODUCT(O70:O105,(P70:P105-SUMPRODUCT(O70:O105,P70:P105)/T106)^2)/(T106-1))</f>
        <v/>
      </c>
      <c r="V106" s="40">
        <f>IF(OR(S106="",U106=""),"",S106/U106)</f>
        <v/>
      </c>
      <c r="W106" s="40">
        <f>IF(AND(ISNUMBER(K106),ISNUMBER(L106),ISNUMBER(V106)),K106-V106*L106,"")</f>
        <v/>
      </c>
      <c r="X106" s="40">
        <f>IF(OR($A106="",NOT(ISNUMBER(Datos!H106)),NOT(ISNUMBER(Datos!H105))),"",LN(Datos!H106)-LN(Datos!H105))</f>
        <v/>
      </c>
      <c r="Y106" s="38">
        <f>IF(ISNUMBER(W106),1,0)</f>
        <v/>
      </c>
      <c r="Z106" s="40">
        <f>IF(Y106=1,W106,0)</f>
        <v/>
      </c>
      <c r="AA106" s="38">
        <f>IF(ISNUMBER(X106),1,0)</f>
        <v/>
      </c>
      <c r="AB106" s="40">
        <f>IF(AA106=1,X106,0)</f>
        <v/>
      </c>
      <c r="AC106" s="38">
        <f>Y106*AA106</f>
        <v/>
      </c>
      <c r="AD106" s="38">
        <f>SUM(AC70:AC105)</f>
        <v/>
      </c>
      <c r="AE106" s="41">
        <f>IF(OR($A106="",AD106&lt;MIN_OBS_ROLL),"",(SUMPRODUCT(AC70:AC105,Z70:Z105,AB70:AB105)/AD106-SUMPRODUCT(AC70:AC105,Z70:Z105)/AD106*SUMPRODUCT(AC70:AC105,AB70:AB105)/AD106)*AD106/(AD106-1))</f>
        <v/>
      </c>
      <c r="AF106" s="38">
        <f>SUM(AA70:AA105)</f>
        <v/>
      </c>
      <c r="AG106" s="41">
        <f>IF(OR($A106="",AF106&lt;MIN_OBS_ROLL),"",SUMPRODUCT(AA70:AA105,(AB70:AB105-SUMPRODUCT(AA70:AA105,AB70:AB105)/AF106)^2)/(AF106-1))</f>
        <v/>
      </c>
      <c r="AH106" s="38">
        <f>SUM(Y70:Y105)</f>
        <v/>
      </c>
      <c r="AI106" s="40">
        <f>IF(OR($A106="",AH106&lt;MIN_OBS_ROLL),"",SUMPRODUCT(Y70:Y105,Z70:Z105)/AH106)</f>
        <v/>
      </c>
      <c r="AJ106" s="40">
        <f>IF(OR($A106="",AF106&lt;MIN_OBS_ROLL),"",SUMPRODUCT(AA70:AA105,AB70:AB105)/AF106)</f>
        <v/>
      </c>
      <c r="AK106" s="40">
        <f>IF(OR(AE106="",AG106=""),"",AE106/AG106)</f>
        <v/>
      </c>
      <c r="AL106" s="40">
        <f>IF(OR(AI106="",AK106="",AJ106=""),"",AI106-AK106*AJ106)</f>
        <v/>
      </c>
      <c r="AM106" s="40">
        <f>IF(AND(ISNUMBER(W106),ISNUMBER(X106),ISNUMBER(AK106),ISNUMBER(AL106)),W106-(AL106+AK106*X106),"")</f>
        <v/>
      </c>
      <c r="AN106" s="38">
        <f>IF(ISNUMBER(AM106),1,0)</f>
        <v/>
      </c>
      <c r="AO106" s="40">
        <f>IF(AN106=1,AM106,0)</f>
        <v/>
      </c>
      <c r="AP106" s="40">
        <f>IF(SUM(AN104:AN106)=3,SUM(AO104:AO106),"")</f>
        <v/>
      </c>
      <c r="AQ106" s="38">
        <f>IF(ISNUMBER(AP106),1,0)</f>
        <v/>
      </c>
      <c r="AR106" s="40">
        <f>IF(AQ106=1,AP106,0)</f>
        <v/>
      </c>
      <c r="AS106" s="38">
        <f>SUM(AQ$5:AQ106)</f>
        <v/>
      </c>
      <c r="AT106" s="40">
        <f>IF(AS106&gt;=MIN_OBS_Z,SUMPRODUCT(AQ$5:AQ106,AR$5:AR106)/AS106,"")</f>
        <v/>
      </c>
      <c r="AU106" s="40">
        <f>IF(AS106&gt;=MIN_OBS_Z,SQRT(SUMPRODUCT(AQ$5:AQ106,(AR$5:AR106-AT106)^2)/(AS106-1)),"")</f>
        <v/>
      </c>
      <c r="AV106" s="40">
        <f>IF(AND(AQ106=1,ISNUMBER(AT106)),MAX(-Z_CLIP,MIN(Z_CLIP,(AR106-AT106)/AU106)),"")</f>
        <v/>
      </c>
      <c r="AW106" s="40">
        <f>IF(ISNUMBER(AV106),-AV106,"")</f>
        <v/>
      </c>
      <c r="AX106" s="40">
        <f>IF(ISNUMBER(AW106),1+AMPLITUD*TANH(AW106),"")</f>
        <v/>
      </c>
      <c r="AY106" s="40">
        <f>IF($A106="","",IF(COUNT(AX104:AX106)&gt;0,AVERAGE(AX104:AX106),""))</f>
        <v/>
      </c>
      <c r="AZ106" s="40">
        <f>IF(ISNUMBER(AY106),AY106-1,"")</f>
        <v/>
      </c>
      <c r="BA106" s="40">
        <f>IF(AND(ISNUMBER(AZ105),ISNUMBER(W106)),AZ105*W_BANCOS*W106,"")</f>
        <v/>
      </c>
      <c r="BB106" s="40">
        <f>IF(AND(ISNUMBER(AZ105),ISNUMBER(AZ104)),ABS(AZ105-AZ104)*W_BANCOS*COSTO,0)</f>
        <v/>
      </c>
      <c r="BC106" s="40">
        <f>IF(ISNUMBER(BA106),BA106-BB106,"")</f>
        <v/>
      </c>
      <c r="BD106" s="42">
        <f>IF(ISNUMBER(BC106),IF(A106&lt;=FECHA_ERA,"A","B"),"")</f>
        <v/>
      </c>
      <c r="BE106" s="40">
        <f>IF(BD106="A",BC106,"")</f>
        <v/>
      </c>
      <c r="BF106" s="40">
        <f>IF(BD106="B",BC106,"")</f>
        <v/>
      </c>
      <c r="BG106" s="38">
        <f>IF(AND(ISNUMBER(BC106),ISNUMBER(A106)),IF(A106&gt;=INICIO_VIVO,1,0),0)</f>
        <v/>
      </c>
      <c r="BH106" s="40">
        <f>IF(BG106=1,BC106,"")</f>
        <v/>
      </c>
      <c r="BI106" s="38">
        <f>IF(ISNUMBER(AY106),ROW(),0)</f>
        <v/>
      </c>
      <c r="BJ106" s="43">
        <f>IF(ISNUMBER(BC106),SUM(BC$5:BC106)*10000,NA())</f>
        <v/>
      </c>
      <c r="BK106" s="43">
        <f>IF(BG106=1,SUM(BH$5:BH106)*10000,NA())</f>
        <v/>
      </c>
      <c r="BL106" s="44">
        <f>IF(ISNUMBER(AY106),AY106,NA())</f>
        <v/>
      </c>
    </row>
    <row r="107">
      <c r="A107" s="36">
        <f>IF(Datos!A107="","",Datos!A107)</f>
        <v/>
      </c>
      <c r="B107" s="37">
        <f>IF(OR($A107="",NOT(ISNUMBER(Datos!B107)),NOT(ISNUMBER(Datos!B106))),"",Datos!B107/Datos!B106-1)</f>
        <v/>
      </c>
      <c r="C107" s="37">
        <f>IF(OR($A107="",NOT(ISNUMBER(Datos!C107)),NOT(ISNUMBER(Datos!C106))),"",Datos!C107/Datos!C106-1)</f>
        <v/>
      </c>
      <c r="D107" s="37">
        <f>IF(OR($A107="",NOT(ISNUMBER(Datos!D107)),NOT(ISNUMBER(Datos!D106))),"",Datos!D107/Datos!D106-1)</f>
        <v/>
      </c>
      <c r="E107" s="37">
        <f>IF(OR($A107="",NOT(ISNUMBER(Datos!E107)),NOT(ISNUMBER(Datos!E106))),"",Datos!E107/Datos!E106-1)</f>
        <v/>
      </c>
      <c r="F107" s="38">
        <f>IF($A107="","",COUNT(B107:E107))</f>
        <v/>
      </c>
      <c r="G107" s="37">
        <f>IF($A107="","",IF(F107&gt;=MIN_BANCOS,AVERAGE(B107:E107),""))</f>
        <v/>
      </c>
      <c r="H107" s="37">
        <f>IF(OR($A107="",NOT(ISNUMBER(Datos!F107)),NOT(ISNUMBER(Datos!F106))),"",Datos!F107/Datos!F106-1)</f>
        <v/>
      </c>
      <c r="I107" s="39">
        <f>IF($A107="","",IF(ISNUMBER(Datos!G107),Datos!G107,I106))</f>
        <v/>
      </c>
      <c r="J107" s="40">
        <f>IF($A107="","",IF(ISNUMBER(I106),LN(1+I106/100/12),0))</f>
        <v/>
      </c>
      <c r="K107" s="40">
        <f>IF(ISNUMBER(G107),LN(1+G107)-J107,"")</f>
        <v/>
      </c>
      <c r="L107" s="40">
        <f>IF(ISNUMBER(H107),LN(1+H107)-J107,"")</f>
        <v/>
      </c>
      <c r="M107" s="38">
        <f>IF(ISNUMBER(K107),1,0)</f>
        <v/>
      </c>
      <c r="N107" s="40">
        <f>IF(M107=1,K107,0)</f>
        <v/>
      </c>
      <c r="O107" s="38">
        <f>IF(ISNUMBER(L107),1,0)</f>
        <v/>
      </c>
      <c r="P107" s="40">
        <f>IF(O107=1,L107,0)</f>
        <v/>
      </c>
      <c r="Q107" s="38">
        <f>M107*O107</f>
        <v/>
      </c>
      <c r="R107" s="38">
        <f>SUM(Q71:Q106)</f>
        <v/>
      </c>
      <c r="S107" s="41">
        <f>IF(OR($A107="",R107&lt;MIN_OBS_ROLL),"",(SUMPRODUCT(Q71:Q106,N71:N106,P71:P106)/R107-SUMPRODUCT(Q71:Q106,N71:N106)/R107*SUMPRODUCT(Q71:Q106,P71:P106)/R107)*R107/(R107-1))</f>
        <v/>
      </c>
      <c r="T107" s="38">
        <f>SUM(O71:O106)</f>
        <v/>
      </c>
      <c r="U107" s="41">
        <f>IF(OR($A107="",T107&lt;MIN_OBS_ROLL),"",SUMPRODUCT(O71:O106,(P71:P106-SUMPRODUCT(O71:O106,P71:P106)/T107)^2)/(T107-1))</f>
        <v/>
      </c>
      <c r="V107" s="40">
        <f>IF(OR(S107="",U107=""),"",S107/U107)</f>
        <v/>
      </c>
      <c r="W107" s="40">
        <f>IF(AND(ISNUMBER(K107),ISNUMBER(L107),ISNUMBER(V107)),K107-V107*L107,"")</f>
        <v/>
      </c>
      <c r="X107" s="40">
        <f>IF(OR($A107="",NOT(ISNUMBER(Datos!H107)),NOT(ISNUMBER(Datos!H106))),"",LN(Datos!H107)-LN(Datos!H106))</f>
        <v/>
      </c>
      <c r="Y107" s="38">
        <f>IF(ISNUMBER(W107),1,0)</f>
        <v/>
      </c>
      <c r="Z107" s="40">
        <f>IF(Y107=1,W107,0)</f>
        <v/>
      </c>
      <c r="AA107" s="38">
        <f>IF(ISNUMBER(X107),1,0)</f>
        <v/>
      </c>
      <c r="AB107" s="40">
        <f>IF(AA107=1,X107,0)</f>
        <v/>
      </c>
      <c r="AC107" s="38">
        <f>Y107*AA107</f>
        <v/>
      </c>
      <c r="AD107" s="38">
        <f>SUM(AC71:AC106)</f>
        <v/>
      </c>
      <c r="AE107" s="41">
        <f>IF(OR($A107="",AD107&lt;MIN_OBS_ROLL),"",(SUMPRODUCT(AC71:AC106,Z71:Z106,AB71:AB106)/AD107-SUMPRODUCT(AC71:AC106,Z71:Z106)/AD107*SUMPRODUCT(AC71:AC106,AB71:AB106)/AD107)*AD107/(AD107-1))</f>
        <v/>
      </c>
      <c r="AF107" s="38">
        <f>SUM(AA71:AA106)</f>
        <v/>
      </c>
      <c r="AG107" s="41">
        <f>IF(OR($A107="",AF107&lt;MIN_OBS_ROLL),"",SUMPRODUCT(AA71:AA106,(AB71:AB106-SUMPRODUCT(AA71:AA106,AB71:AB106)/AF107)^2)/(AF107-1))</f>
        <v/>
      </c>
      <c r="AH107" s="38">
        <f>SUM(Y71:Y106)</f>
        <v/>
      </c>
      <c r="AI107" s="40">
        <f>IF(OR($A107="",AH107&lt;MIN_OBS_ROLL),"",SUMPRODUCT(Y71:Y106,Z71:Z106)/AH107)</f>
        <v/>
      </c>
      <c r="AJ107" s="40">
        <f>IF(OR($A107="",AF107&lt;MIN_OBS_ROLL),"",SUMPRODUCT(AA71:AA106,AB71:AB106)/AF107)</f>
        <v/>
      </c>
      <c r="AK107" s="40">
        <f>IF(OR(AE107="",AG107=""),"",AE107/AG107)</f>
        <v/>
      </c>
      <c r="AL107" s="40">
        <f>IF(OR(AI107="",AK107="",AJ107=""),"",AI107-AK107*AJ107)</f>
        <v/>
      </c>
      <c r="AM107" s="40">
        <f>IF(AND(ISNUMBER(W107),ISNUMBER(X107),ISNUMBER(AK107),ISNUMBER(AL107)),W107-(AL107+AK107*X107),"")</f>
        <v/>
      </c>
      <c r="AN107" s="38">
        <f>IF(ISNUMBER(AM107),1,0)</f>
        <v/>
      </c>
      <c r="AO107" s="40">
        <f>IF(AN107=1,AM107,0)</f>
        <v/>
      </c>
      <c r="AP107" s="40">
        <f>IF(SUM(AN105:AN107)=3,SUM(AO105:AO107),"")</f>
        <v/>
      </c>
      <c r="AQ107" s="38">
        <f>IF(ISNUMBER(AP107),1,0)</f>
        <v/>
      </c>
      <c r="AR107" s="40">
        <f>IF(AQ107=1,AP107,0)</f>
        <v/>
      </c>
      <c r="AS107" s="38">
        <f>SUM(AQ$5:AQ107)</f>
        <v/>
      </c>
      <c r="AT107" s="40">
        <f>IF(AS107&gt;=MIN_OBS_Z,SUMPRODUCT(AQ$5:AQ107,AR$5:AR107)/AS107,"")</f>
        <v/>
      </c>
      <c r="AU107" s="40">
        <f>IF(AS107&gt;=MIN_OBS_Z,SQRT(SUMPRODUCT(AQ$5:AQ107,(AR$5:AR107-AT107)^2)/(AS107-1)),"")</f>
        <v/>
      </c>
      <c r="AV107" s="40">
        <f>IF(AND(AQ107=1,ISNUMBER(AT107)),MAX(-Z_CLIP,MIN(Z_CLIP,(AR107-AT107)/AU107)),"")</f>
        <v/>
      </c>
      <c r="AW107" s="40">
        <f>IF(ISNUMBER(AV107),-AV107,"")</f>
        <v/>
      </c>
      <c r="AX107" s="40">
        <f>IF(ISNUMBER(AW107),1+AMPLITUD*TANH(AW107),"")</f>
        <v/>
      </c>
      <c r="AY107" s="40">
        <f>IF($A107="","",IF(COUNT(AX105:AX107)&gt;0,AVERAGE(AX105:AX107),""))</f>
        <v/>
      </c>
      <c r="AZ107" s="40">
        <f>IF(ISNUMBER(AY107),AY107-1,"")</f>
        <v/>
      </c>
      <c r="BA107" s="40">
        <f>IF(AND(ISNUMBER(AZ106),ISNUMBER(W107)),AZ106*W_BANCOS*W107,"")</f>
        <v/>
      </c>
      <c r="BB107" s="40">
        <f>IF(AND(ISNUMBER(AZ106),ISNUMBER(AZ105)),ABS(AZ106-AZ105)*W_BANCOS*COSTO,0)</f>
        <v/>
      </c>
      <c r="BC107" s="40">
        <f>IF(ISNUMBER(BA107),BA107-BB107,"")</f>
        <v/>
      </c>
      <c r="BD107" s="42">
        <f>IF(ISNUMBER(BC107),IF(A107&lt;=FECHA_ERA,"A","B"),"")</f>
        <v/>
      </c>
      <c r="BE107" s="40">
        <f>IF(BD107="A",BC107,"")</f>
        <v/>
      </c>
      <c r="BF107" s="40">
        <f>IF(BD107="B",BC107,"")</f>
        <v/>
      </c>
      <c r="BG107" s="38">
        <f>IF(AND(ISNUMBER(BC107),ISNUMBER(A107)),IF(A107&gt;=INICIO_VIVO,1,0),0)</f>
        <v/>
      </c>
      <c r="BH107" s="40">
        <f>IF(BG107=1,BC107,"")</f>
        <v/>
      </c>
      <c r="BI107" s="38">
        <f>IF(ISNUMBER(AY107),ROW(),0)</f>
        <v/>
      </c>
      <c r="BJ107" s="43">
        <f>IF(ISNUMBER(BC107),SUM(BC$5:BC107)*10000,NA())</f>
        <v/>
      </c>
      <c r="BK107" s="43">
        <f>IF(BG107=1,SUM(BH$5:BH107)*10000,NA())</f>
        <v/>
      </c>
      <c r="BL107" s="44">
        <f>IF(ISNUMBER(AY107),AY107,NA())</f>
        <v/>
      </c>
    </row>
    <row r="108">
      <c r="A108" s="36">
        <f>IF(Datos!A108="","",Datos!A108)</f>
        <v/>
      </c>
      <c r="B108" s="37">
        <f>IF(OR($A108="",NOT(ISNUMBER(Datos!B108)),NOT(ISNUMBER(Datos!B107))),"",Datos!B108/Datos!B107-1)</f>
        <v/>
      </c>
      <c r="C108" s="37">
        <f>IF(OR($A108="",NOT(ISNUMBER(Datos!C108)),NOT(ISNUMBER(Datos!C107))),"",Datos!C108/Datos!C107-1)</f>
        <v/>
      </c>
      <c r="D108" s="37">
        <f>IF(OR($A108="",NOT(ISNUMBER(Datos!D108)),NOT(ISNUMBER(Datos!D107))),"",Datos!D108/Datos!D107-1)</f>
        <v/>
      </c>
      <c r="E108" s="37">
        <f>IF(OR($A108="",NOT(ISNUMBER(Datos!E108)),NOT(ISNUMBER(Datos!E107))),"",Datos!E108/Datos!E107-1)</f>
        <v/>
      </c>
      <c r="F108" s="38">
        <f>IF($A108="","",COUNT(B108:E108))</f>
        <v/>
      </c>
      <c r="G108" s="37">
        <f>IF($A108="","",IF(F108&gt;=MIN_BANCOS,AVERAGE(B108:E108),""))</f>
        <v/>
      </c>
      <c r="H108" s="37">
        <f>IF(OR($A108="",NOT(ISNUMBER(Datos!F108)),NOT(ISNUMBER(Datos!F107))),"",Datos!F108/Datos!F107-1)</f>
        <v/>
      </c>
      <c r="I108" s="39">
        <f>IF($A108="","",IF(ISNUMBER(Datos!G108),Datos!G108,I107))</f>
        <v/>
      </c>
      <c r="J108" s="40">
        <f>IF($A108="","",IF(ISNUMBER(I107),LN(1+I107/100/12),0))</f>
        <v/>
      </c>
      <c r="K108" s="40">
        <f>IF(ISNUMBER(G108),LN(1+G108)-J108,"")</f>
        <v/>
      </c>
      <c r="L108" s="40">
        <f>IF(ISNUMBER(H108),LN(1+H108)-J108,"")</f>
        <v/>
      </c>
      <c r="M108" s="38">
        <f>IF(ISNUMBER(K108),1,0)</f>
        <v/>
      </c>
      <c r="N108" s="40">
        <f>IF(M108=1,K108,0)</f>
        <v/>
      </c>
      <c r="O108" s="38">
        <f>IF(ISNUMBER(L108),1,0)</f>
        <v/>
      </c>
      <c r="P108" s="40">
        <f>IF(O108=1,L108,0)</f>
        <v/>
      </c>
      <c r="Q108" s="38">
        <f>M108*O108</f>
        <v/>
      </c>
      <c r="R108" s="38">
        <f>SUM(Q72:Q107)</f>
        <v/>
      </c>
      <c r="S108" s="41">
        <f>IF(OR($A108="",R108&lt;MIN_OBS_ROLL),"",(SUMPRODUCT(Q72:Q107,N72:N107,P72:P107)/R108-SUMPRODUCT(Q72:Q107,N72:N107)/R108*SUMPRODUCT(Q72:Q107,P72:P107)/R108)*R108/(R108-1))</f>
        <v/>
      </c>
      <c r="T108" s="38">
        <f>SUM(O72:O107)</f>
        <v/>
      </c>
      <c r="U108" s="41">
        <f>IF(OR($A108="",T108&lt;MIN_OBS_ROLL),"",SUMPRODUCT(O72:O107,(P72:P107-SUMPRODUCT(O72:O107,P72:P107)/T108)^2)/(T108-1))</f>
        <v/>
      </c>
      <c r="V108" s="40">
        <f>IF(OR(S108="",U108=""),"",S108/U108)</f>
        <v/>
      </c>
      <c r="W108" s="40">
        <f>IF(AND(ISNUMBER(K108),ISNUMBER(L108),ISNUMBER(V108)),K108-V108*L108,"")</f>
        <v/>
      </c>
      <c r="X108" s="40">
        <f>IF(OR($A108="",NOT(ISNUMBER(Datos!H108)),NOT(ISNUMBER(Datos!H107))),"",LN(Datos!H108)-LN(Datos!H107))</f>
        <v/>
      </c>
      <c r="Y108" s="38">
        <f>IF(ISNUMBER(W108),1,0)</f>
        <v/>
      </c>
      <c r="Z108" s="40">
        <f>IF(Y108=1,W108,0)</f>
        <v/>
      </c>
      <c r="AA108" s="38">
        <f>IF(ISNUMBER(X108),1,0)</f>
        <v/>
      </c>
      <c r="AB108" s="40">
        <f>IF(AA108=1,X108,0)</f>
        <v/>
      </c>
      <c r="AC108" s="38">
        <f>Y108*AA108</f>
        <v/>
      </c>
      <c r="AD108" s="38">
        <f>SUM(AC72:AC107)</f>
        <v/>
      </c>
      <c r="AE108" s="41">
        <f>IF(OR($A108="",AD108&lt;MIN_OBS_ROLL),"",(SUMPRODUCT(AC72:AC107,Z72:Z107,AB72:AB107)/AD108-SUMPRODUCT(AC72:AC107,Z72:Z107)/AD108*SUMPRODUCT(AC72:AC107,AB72:AB107)/AD108)*AD108/(AD108-1))</f>
        <v/>
      </c>
      <c r="AF108" s="38">
        <f>SUM(AA72:AA107)</f>
        <v/>
      </c>
      <c r="AG108" s="41">
        <f>IF(OR($A108="",AF108&lt;MIN_OBS_ROLL),"",SUMPRODUCT(AA72:AA107,(AB72:AB107-SUMPRODUCT(AA72:AA107,AB72:AB107)/AF108)^2)/(AF108-1))</f>
        <v/>
      </c>
      <c r="AH108" s="38">
        <f>SUM(Y72:Y107)</f>
        <v/>
      </c>
      <c r="AI108" s="40">
        <f>IF(OR($A108="",AH108&lt;MIN_OBS_ROLL),"",SUMPRODUCT(Y72:Y107,Z72:Z107)/AH108)</f>
        <v/>
      </c>
      <c r="AJ108" s="40">
        <f>IF(OR($A108="",AF108&lt;MIN_OBS_ROLL),"",SUMPRODUCT(AA72:AA107,AB72:AB107)/AF108)</f>
        <v/>
      </c>
      <c r="AK108" s="40">
        <f>IF(OR(AE108="",AG108=""),"",AE108/AG108)</f>
        <v/>
      </c>
      <c r="AL108" s="40">
        <f>IF(OR(AI108="",AK108="",AJ108=""),"",AI108-AK108*AJ108)</f>
        <v/>
      </c>
      <c r="AM108" s="40">
        <f>IF(AND(ISNUMBER(W108),ISNUMBER(X108),ISNUMBER(AK108),ISNUMBER(AL108)),W108-(AL108+AK108*X108),"")</f>
        <v/>
      </c>
      <c r="AN108" s="38">
        <f>IF(ISNUMBER(AM108),1,0)</f>
        <v/>
      </c>
      <c r="AO108" s="40">
        <f>IF(AN108=1,AM108,0)</f>
        <v/>
      </c>
      <c r="AP108" s="40">
        <f>IF(SUM(AN106:AN108)=3,SUM(AO106:AO108),"")</f>
        <v/>
      </c>
      <c r="AQ108" s="38">
        <f>IF(ISNUMBER(AP108),1,0)</f>
        <v/>
      </c>
      <c r="AR108" s="40">
        <f>IF(AQ108=1,AP108,0)</f>
        <v/>
      </c>
      <c r="AS108" s="38">
        <f>SUM(AQ$5:AQ108)</f>
        <v/>
      </c>
      <c r="AT108" s="40">
        <f>IF(AS108&gt;=MIN_OBS_Z,SUMPRODUCT(AQ$5:AQ108,AR$5:AR108)/AS108,"")</f>
        <v/>
      </c>
      <c r="AU108" s="40">
        <f>IF(AS108&gt;=MIN_OBS_Z,SQRT(SUMPRODUCT(AQ$5:AQ108,(AR$5:AR108-AT108)^2)/(AS108-1)),"")</f>
        <v/>
      </c>
      <c r="AV108" s="40">
        <f>IF(AND(AQ108=1,ISNUMBER(AT108)),MAX(-Z_CLIP,MIN(Z_CLIP,(AR108-AT108)/AU108)),"")</f>
        <v/>
      </c>
      <c r="AW108" s="40">
        <f>IF(ISNUMBER(AV108),-AV108,"")</f>
        <v/>
      </c>
      <c r="AX108" s="40">
        <f>IF(ISNUMBER(AW108),1+AMPLITUD*TANH(AW108),"")</f>
        <v/>
      </c>
      <c r="AY108" s="40">
        <f>IF($A108="","",IF(COUNT(AX106:AX108)&gt;0,AVERAGE(AX106:AX108),""))</f>
        <v/>
      </c>
      <c r="AZ108" s="40">
        <f>IF(ISNUMBER(AY108),AY108-1,"")</f>
        <v/>
      </c>
      <c r="BA108" s="40">
        <f>IF(AND(ISNUMBER(AZ107),ISNUMBER(W108)),AZ107*W_BANCOS*W108,"")</f>
        <v/>
      </c>
      <c r="BB108" s="40">
        <f>IF(AND(ISNUMBER(AZ107),ISNUMBER(AZ106)),ABS(AZ107-AZ106)*W_BANCOS*COSTO,0)</f>
        <v/>
      </c>
      <c r="BC108" s="40">
        <f>IF(ISNUMBER(BA108),BA108-BB108,"")</f>
        <v/>
      </c>
      <c r="BD108" s="42">
        <f>IF(ISNUMBER(BC108),IF(A108&lt;=FECHA_ERA,"A","B"),"")</f>
        <v/>
      </c>
      <c r="BE108" s="40">
        <f>IF(BD108="A",BC108,"")</f>
        <v/>
      </c>
      <c r="BF108" s="40">
        <f>IF(BD108="B",BC108,"")</f>
        <v/>
      </c>
      <c r="BG108" s="38">
        <f>IF(AND(ISNUMBER(BC108),ISNUMBER(A108)),IF(A108&gt;=INICIO_VIVO,1,0),0)</f>
        <v/>
      </c>
      <c r="BH108" s="40">
        <f>IF(BG108=1,BC108,"")</f>
        <v/>
      </c>
      <c r="BI108" s="38">
        <f>IF(ISNUMBER(AY108),ROW(),0)</f>
        <v/>
      </c>
      <c r="BJ108" s="43">
        <f>IF(ISNUMBER(BC108),SUM(BC$5:BC108)*10000,NA())</f>
        <v/>
      </c>
      <c r="BK108" s="43">
        <f>IF(BG108=1,SUM(BH$5:BH108)*10000,NA())</f>
        <v/>
      </c>
      <c r="BL108" s="44">
        <f>IF(ISNUMBER(AY108),AY108,NA())</f>
        <v/>
      </c>
    </row>
    <row r="109">
      <c r="A109" s="36">
        <f>IF(Datos!A109="","",Datos!A109)</f>
        <v/>
      </c>
      <c r="B109" s="37">
        <f>IF(OR($A109="",NOT(ISNUMBER(Datos!B109)),NOT(ISNUMBER(Datos!B108))),"",Datos!B109/Datos!B108-1)</f>
        <v/>
      </c>
      <c r="C109" s="37">
        <f>IF(OR($A109="",NOT(ISNUMBER(Datos!C109)),NOT(ISNUMBER(Datos!C108))),"",Datos!C109/Datos!C108-1)</f>
        <v/>
      </c>
      <c r="D109" s="37">
        <f>IF(OR($A109="",NOT(ISNUMBER(Datos!D109)),NOT(ISNUMBER(Datos!D108))),"",Datos!D109/Datos!D108-1)</f>
        <v/>
      </c>
      <c r="E109" s="37">
        <f>IF(OR($A109="",NOT(ISNUMBER(Datos!E109)),NOT(ISNUMBER(Datos!E108))),"",Datos!E109/Datos!E108-1)</f>
        <v/>
      </c>
      <c r="F109" s="38">
        <f>IF($A109="","",COUNT(B109:E109))</f>
        <v/>
      </c>
      <c r="G109" s="37">
        <f>IF($A109="","",IF(F109&gt;=MIN_BANCOS,AVERAGE(B109:E109),""))</f>
        <v/>
      </c>
      <c r="H109" s="37">
        <f>IF(OR($A109="",NOT(ISNUMBER(Datos!F109)),NOT(ISNUMBER(Datos!F108))),"",Datos!F109/Datos!F108-1)</f>
        <v/>
      </c>
      <c r="I109" s="39">
        <f>IF($A109="","",IF(ISNUMBER(Datos!G109),Datos!G109,I108))</f>
        <v/>
      </c>
      <c r="J109" s="40">
        <f>IF($A109="","",IF(ISNUMBER(I108),LN(1+I108/100/12),0))</f>
        <v/>
      </c>
      <c r="K109" s="40">
        <f>IF(ISNUMBER(G109),LN(1+G109)-J109,"")</f>
        <v/>
      </c>
      <c r="L109" s="40">
        <f>IF(ISNUMBER(H109),LN(1+H109)-J109,"")</f>
        <v/>
      </c>
      <c r="M109" s="38">
        <f>IF(ISNUMBER(K109),1,0)</f>
        <v/>
      </c>
      <c r="N109" s="40">
        <f>IF(M109=1,K109,0)</f>
        <v/>
      </c>
      <c r="O109" s="38">
        <f>IF(ISNUMBER(L109),1,0)</f>
        <v/>
      </c>
      <c r="P109" s="40">
        <f>IF(O109=1,L109,0)</f>
        <v/>
      </c>
      <c r="Q109" s="38">
        <f>M109*O109</f>
        <v/>
      </c>
      <c r="R109" s="38">
        <f>SUM(Q73:Q108)</f>
        <v/>
      </c>
      <c r="S109" s="41">
        <f>IF(OR($A109="",R109&lt;MIN_OBS_ROLL),"",(SUMPRODUCT(Q73:Q108,N73:N108,P73:P108)/R109-SUMPRODUCT(Q73:Q108,N73:N108)/R109*SUMPRODUCT(Q73:Q108,P73:P108)/R109)*R109/(R109-1))</f>
        <v/>
      </c>
      <c r="T109" s="38">
        <f>SUM(O73:O108)</f>
        <v/>
      </c>
      <c r="U109" s="41">
        <f>IF(OR($A109="",T109&lt;MIN_OBS_ROLL),"",SUMPRODUCT(O73:O108,(P73:P108-SUMPRODUCT(O73:O108,P73:P108)/T109)^2)/(T109-1))</f>
        <v/>
      </c>
      <c r="V109" s="40">
        <f>IF(OR(S109="",U109=""),"",S109/U109)</f>
        <v/>
      </c>
      <c r="W109" s="40">
        <f>IF(AND(ISNUMBER(K109),ISNUMBER(L109),ISNUMBER(V109)),K109-V109*L109,"")</f>
        <v/>
      </c>
      <c r="X109" s="40">
        <f>IF(OR($A109="",NOT(ISNUMBER(Datos!H109)),NOT(ISNUMBER(Datos!H108))),"",LN(Datos!H109)-LN(Datos!H108))</f>
        <v/>
      </c>
      <c r="Y109" s="38">
        <f>IF(ISNUMBER(W109),1,0)</f>
        <v/>
      </c>
      <c r="Z109" s="40">
        <f>IF(Y109=1,W109,0)</f>
        <v/>
      </c>
      <c r="AA109" s="38">
        <f>IF(ISNUMBER(X109),1,0)</f>
        <v/>
      </c>
      <c r="AB109" s="40">
        <f>IF(AA109=1,X109,0)</f>
        <v/>
      </c>
      <c r="AC109" s="38">
        <f>Y109*AA109</f>
        <v/>
      </c>
      <c r="AD109" s="38">
        <f>SUM(AC73:AC108)</f>
        <v/>
      </c>
      <c r="AE109" s="41">
        <f>IF(OR($A109="",AD109&lt;MIN_OBS_ROLL),"",(SUMPRODUCT(AC73:AC108,Z73:Z108,AB73:AB108)/AD109-SUMPRODUCT(AC73:AC108,Z73:Z108)/AD109*SUMPRODUCT(AC73:AC108,AB73:AB108)/AD109)*AD109/(AD109-1))</f>
        <v/>
      </c>
      <c r="AF109" s="38">
        <f>SUM(AA73:AA108)</f>
        <v/>
      </c>
      <c r="AG109" s="41">
        <f>IF(OR($A109="",AF109&lt;MIN_OBS_ROLL),"",SUMPRODUCT(AA73:AA108,(AB73:AB108-SUMPRODUCT(AA73:AA108,AB73:AB108)/AF109)^2)/(AF109-1))</f>
        <v/>
      </c>
      <c r="AH109" s="38">
        <f>SUM(Y73:Y108)</f>
        <v/>
      </c>
      <c r="AI109" s="40">
        <f>IF(OR($A109="",AH109&lt;MIN_OBS_ROLL),"",SUMPRODUCT(Y73:Y108,Z73:Z108)/AH109)</f>
        <v/>
      </c>
      <c r="AJ109" s="40">
        <f>IF(OR($A109="",AF109&lt;MIN_OBS_ROLL),"",SUMPRODUCT(AA73:AA108,AB73:AB108)/AF109)</f>
        <v/>
      </c>
      <c r="AK109" s="40">
        <f>IF(OR(AE109="",AG109=""),"",AE109/AG109)</f>
        <v/>
      </c>
      <c r="AL109" s="40">
        <f>IF(OR(AI109="",AK109="",AJ109=""),"",AI109-AK109*AJ109)</f>
        <v/>
      </c>
      <c r="AM109" s="40">
        <f>IF(AND(ISNUMBER(W109),ISNUMBER(X109),ISNUMBER(AK109),ISNUMBER(AL109)),W109-(AL109+AK109*X109),"")</f>
        <v/>
      </c>
      <c r="AN109" s="38">
        <f>IF(ISNUMBER(AM109),1,0)</f>
        <v/>
      </c>
      <c r="AO109" s="40">
        <f>IF(AN109=1,AM109,0)</f>
        <v/>
      </c>
      <c r="AP109" s="40">
        <f>IF(SUM(AN107:AN109)=3,SUM(AO107:AO109),"")</f>
        <v/>
      </c>
      <c r="AQ109" s="38">
        <f>IF(ISNUMBER(AP109),1,0)</f>
        <v/>
      </c>
      <c r="AR109" s="40">
        <f>IF(AQ109=1,AP109,0)</f>
        <v/>
      </c>
      <c r="AS109" s="38">
        <f>SUM(AQ$5:AQ109)</f>
        <v/>
      </c>
      <c r="AT109" s="40">
        <f>IF(AS109&gt;=MIN_OBS_Z,SUMPRODUCT(AQ$5:AQ109,AR$5:AR109)/AS109,"")</f>
        <v/>
      </c>
      <c r="AU109" s="40">
        <f>IF(AS109&gt;=MIN_OBS_Z,SQRT(SUMPRODUCT(AQ$5:AQ109,(AR$5:AR109-AT109)^2)/(AS109-1)),"")</f>
        <v/>
      </c>
      <c r="AV109" s="40">
        <f>IF(AND(AQ109=1,ISNUMBER(AT109)),MAX(-Z_CLIP,MIN(Z_CLIP,(AR109-AT109)/AU109)),"")</f>
        <v/>
      </c>
      <c r="AW109" s="40">
        <f>IF(ISNUMBER(AV109),-AV109,"")</f>
        <v/>
      </c>
      <c r="AX109" s="40">
        <f>IF(ISNUMBER(AW109),1+AMPLITUD*TANH(AW109),"")</f>
        <v/>
      </c>
      <c r="AY109" s="40">
        <f>IF($A109="","",IF(COUNT(AX107:AX109)&gt;0,AVERAGE(AX107:AX109),""))</f>
        <v/>
      </c>
      <c r="AZ109" s="40">
        <f>IF(ISNUMBER(AY109),AY109-1,"")</f>
        <v/>
      </c>
      <c r="BA109" s="40">
        <f>IF(AND(ISNUMBER(AZ108),ISNUMBER(W109)),AZ108*W_BANCOS*W109,"")</f>
        <v/>
      </c>
      <c r="BB109" s="40">
        <f>IF(AND(ISNUMBER(AZ108),ISNUMBER(AZ107)),ABS(AZ108-AZ107)*W_BANCOS*COSTO,0)</f>
        <v/>
      </c>
      <c r="BC109" s="40">
        <f>IF(ISNUMBER(BA109),BA109-BB109,"")</f>
        <v/>
      </c>
      <c r="BD109" s="42">
        <f>IF(ISNUMBER(BC109),IF(A109&lt;=FECHA_ERA,"A","B"),"")</f>
        <v/>
      </c>
      <c r="BE109" s="40">
        <f>IF(BD109="A",BC109,"")</f>
        <v/>
      </c>
      <c r="BF109" s="40">
        <f>IF(BD109="B",BC109,"")</f>
        <v/>
      </c>
      <c r="BG109" s="38">
        <f>IF(AND(ISNUMBER(BC109),ISNUMBER(A109)),IF(A109&gt;=INICIO_VIVO,1,0),0)</f>
        <v/>
      </c>
      <c r="BH109" s="40">
        <f>IF(BG109=1,BC109,"")</f>
        <v/>
      </c>
      <c r="BI109" s="38">
        <f>IF(ISNUMBER(AY109),ROW(),0)</f>
        <v/>
      </c>
      <c r="BJ109" s="43">
        <f>IF(ISNUMBER(BC109),SUM(BC$5:BC109)*10000,NA())</f>
        <v/>
      </c>
      <c r="BK109" s="43">
        <f>IF(BG109=1,SUM(BH$5:BH109)*10000,NA())</f>
        <v/>
      </c>
      <c r="BL109" s="44">
        <f>IF(ISNUMBER(AY109),AY109,NA())</f>
        <v/>
      </c>
    </row>
    <row r="110">
      <c r="A110" s="36">
        <f>IF(Datos!A110="","",Datos!A110)</f>
        <v/>
      </c>
      <c r="B110" s="37">
        <f>IF(OR($A110="",NOT(ISNUMBER(Datos!B110)),NOT(ISNUMBER(Datos!B109))),"",Datos!B110/Datos!B109-1)</f>
        <v/>
      </c>
      <c r="C110" s="37">
        <f>IF(OR($A110="",NOT(ISNUMBER(Datos!C110)),NOT(ISNUMBER(Datos!C109))),"",Datos!C110/Datos!C109-1)</f>
        <v/>
      </c>
      <c r="D110" s="37">
        <f>IF(OR($A110="",NOT(ISNUMBER(Datos!D110)),NOT(ISNUMBER(Datos!D109))),"",Datos!D110/Datos!D109-1)</f>
        <v/>
      </c>
      <c r="E110" s="37">
        <f>IF(OR($A110="",NOT(ISNUMBER(Datos!E110)),NOT(ISNUMBER(Datos!E109))),"",Datos!E110/Datos!E109-1)</f>
        <v/>
      </c>
      <c r="F110" s="38">
        <f>IF($A110="","",COUNT(B110:E110))</f>
        <v/>
      </c>
      <c r="G110" s="37">
        <f>IF($A110="","",IF(F110&gt;=MIN_BANCOS,AVERAGE(B110:E110),""))</f>
        <v/>
      </c>
      <c r="H110" s="37">
        <f>IF(OR($A110="",NOT(ISNUMBER(Datos!F110)),NOT(ISNUMBER(Datos!F109))),"",Datos!F110/Datos!F109-1)</f>
        <v/>
      </c>
      <c r="I110" s="39">
        <f>IF($A110="","",IF(ISNUMBER(Datos!G110),Datos!G110,I109))</f>
        <v/>
      </c>
      <c r="J110" s="40">
        <f>IF($A110="","",IF(ISNUMBER(I109),LN(1+I109/100/12),0))</f>
        <v/>
      </c>
      <c r="K110" s="40">
        <f>IF(ISNUMBER(G110),LN(1+G110)-J110,"")</f>
        <v/>
      </c>
      <c r="L110" s="40">
        <f>IF(ISNUMBER(H110),LN(1+H110)-J110,"")</f>
        <v/>
      </c>
      <c r="M110" s="38">
        <f>IF(ISNUMBER(K110),1,0)</f>
        <v/>
      </c>
      <c r="N110" s="40">
        <f>IF(M110=1,K110,0)</f>
        <v/>
      </c>
      <c r="O110" s="38">
        <f>IF(ISNUMBER(L110),1,0)</f>
        <v/>
      </c>
      <c r="P110" s="40">
        <f>IF(O110=1,L110,0)</f>
        <v/>
      </c>
      <c r="Q110" s="38">
        <f>M110*O110</f>
        <v/>
      </c>
      <c r="R110" s="38">
        <f>SUM(Q74:Q109)</f>
        <v/>
      </c>
      <c r="S110" s="41">
        <f>IF(OR($A110="",R110&lt;MIN_OBS_ROLL),"",(SUMPRODUCT(Q74:Q109,N74:N109,P74:P109)/R110-SUMPRODUCT(Q74:Q109,N74:N109)/R110*SUMPRODUCT(Q74:Q109,P74:P109)/R110)*R110/(R110-1))</f>
        <v/>
      </c>
      <c r="T110" s="38">
        <f>SUM(O74:O109)</f>
        <v/>
      </c>
      <c r="U110" s="41">
        <f>IF(OR($A110="",T110&lt;MIN_OBS_ROLL),"",SUMPRODUCT(O74:O109,(P74:P109-SUMPRODUCT(O74:O109,P74:P109)/T110)^2)/(T110-1))</f>
        <v/>
      </c>
      <c r="V110" s="40">
        <f>IF(OR(S110="",U110=""),"",S110/U110)</f>
        <v/>
      </c>
      <c r="W110" s="40">
        <f>IF(AND(ISNUMBER(K110),ISNUMBER(L110),ISNUMBER(V110)),K110-V110*L110,"")</f>
        <v/>
      </c>
      <c r="X110" s="40">
        <f>IF(OR($A110="",NOT(ISNUMBER(Datos!H110)),NOT(ISNUMBER(Datos!H109))),"",LN(Datos!H110)-LN(Datos!H109))</f>
        <v/>
      </c>
      <c r="Y110" s="38">
        <f>IF(ISNUMBER(W110),1,0)</f>
        <v/>
      </c>
      <c r="Z110" s="40">
        <f>IF(Y110=1,W110,0)</f>
        <v/>
      </c>
      <c r="AA110" s="38">
        <f>IF(ISNUMBER(X110),1,0)</f>
        <v/>
      </c>
      <c r="AB110" s="40">
        <f>IF(AA110=1,X110,0)</f>
        <v/>
      </c>
      <c r="AC110" s="38">
        <f>Y110*AA110</f>
        <v/>
      </c>
      <c r="AD110" s="38">
        <f>SUM(AC74:AC109)</f>
        <v/>
      </c>
      <c r="AE110" s="41">
        <f>IF(OR($A110="",AD110&lt;MIN_OBS_ROLL),"",(SUMPRODUCT(AC74:AC109,Z74:Z109,AB74:AB109)/AD110-SUMPRODUCT(AC74:AC109,Z74:Z109)/AD110*SUMPRODUCT(AC74:AC109,AB74:AB109)/AD110)*AD110/(AD110-1))</f>
        <v/>
      </c>
      <c r="AF110" s="38">
        <f>SUM(AA74:AA109)</f>
        <v/>
      </c>
      <c r="AG110" s="41">
        <f>IF(OR($A110="",AF110&lt;MIN_OBS_ROLL),"",SUMPRODUCT(AA74:AA109,(AB74:AB109-SUMPRODUCT(AA74:AA109,AB74:AB109)/AF110)^2)/(AF110-1))</f>
        <v/>
      </c>
      <c r="AH110" s="38">
        <f>SUM(Y74:Y109)</f>
        <v/>
      </c>
      <c r="AI110" s="40">
        <f>IF(OR($A110="",AH110&lt;MIN_OBS_ROLL),"",SUMPRODUCT(Y74:Y109,Z74:Z109)/AH110)</f>
        <v/>
      </c>
      <c r="AJ110" s="40">
        <f>IF(OR($A110="",AF110&lt;MIN_OBS_ROLL),"",SUMPRODUCT(AA74:AA109,AB74:AB109)/AF110)</f>
        <v/>
      </c>
      <c r="AK110" s="40">
        <f>IF(OR(AE110="",AG110=""),"",AE110/AG110)</f>
        <v/>
      </c>
      <c r="AL110" s="40">
        <f>IF(OR(AI110="",AK110="",AJ110=""),"",AI110-AK110*AJ110)</f>
        <v/>
      </c>
      <c r="AM110" s="40">
        <f>IF(AND(ISNUMBER(W110),ISNUMBER(X110),ISNUMBER(AK110),ISNUMBER(AL110)),W110-(AL110+AK110*X110),"")</f>
        <v/>
      </c>
      <c r="AN110" s="38">
        <f>IF(ISNUMBER(AM110),1,0)</f>
        <v/>
      </c>
      <c r="AO110" s="40">
        <f>IF(AN110=1,AM110,0)</f>
        <v/>
      </c>
      <c r="AP110" s="40">
        <f>IF(SUM(AN108:AN110)=3,SUM(AO108:AO110),"")</f>
        <v/>
      </c>
      <c r="AQ110" s="38">
        <f>IF(ISNUMBER(AP110),1,0)</f>
        <v/>
      </c>
      <c r="AR110" s="40">
        <f>IF(AQ110=1,AP110,0)</f>
        <v/>
      </c>
      <c r="AS110" s="38">
        <f>SUM(AQ$5:AQ110)</f>
        <v/>
      </c>
      <c r="AT110" s="40">
        <f>IF(AS110&gt;=MIN_OBS_Z,SUMPRODUCT(AQ$5:AQ110,AR$5:AR110)/AS110,"")</f>
        <v/>
      </c>
      <c r="AU110" s="40">
        <f>IF(AS110&gt;=MIN_OBS_Z,SQRT(SUMPRODUCT(AQ$5:AQ110,(AR$5:AR110-AT110)^2)/(AS110-1)),"")</f>
        <v/>
      </c>
      <c r="AV110" s="40">
        <f>IF(AND(AQ110=1,ISNUMBER(AT110)),MAX(-Z_CLIP,MIN(Z_CLIP,(AR110-AT110)/AU110)),"")</f>
        <v/>
      </c>
      <c r="AW110" s="40">
        <f>IF(ISNUMBER(AV110),-AV110,"")</f>
        <v/>
      </c>
      <c r="AX110" s="40">
        <f>IF(ISNUMBER(AW110),1+AMPLITUD*TANH(AW110),"")</f>
        <v/>
      </c>
      <c r="AY110" s="40">
        <f>IF($A110="","",IF(COUNT(AX108:AX110)&gt;0,AVERAGE(AX108:AX110),""))</f>
        <v/>
      </c>
      <c r="AZ110" s="40">
        <f>IF(ISNUMBER(AY110),AY110-1,"")</f>
        <v/>
      </c>
      <c r="BA110" s="40">
        <f>IF(AND(ISNUMBER(AZ109),ISNUMBER(W110)),AZ109*W_BANCOS*W110,"")</f>
        <v/>
      </c>
      <c r="BB110" s="40">
        <f>IF(AND(ISNUMBER(AZ109),ISNUMBER(AZ108)),ABS(AZ109-AZ108)*W_BANCOS*COSTO,0)</f>
        <v/>
      </c>
      <c r="BC110" s="40">
        <f>IF(ISNUMBER(BA110),BA110-BB110,"")</f>
        <v/>
      </c>
      <c r="BD110" s="42">
        <f>IF(ISNUMBER(BC110),IF(A110&lt;=FECHA_ERA,"A","B"),"")</f>
        <v/>
      </c>
      <c r="BE110" s="40">
        <f>IF(BD110="A",BC110,"")</f>
        <v/>
      </c>
      <c r="BF110" s="40">
        <f>IF(BD110="B",BC110,"")</f>
        <v/>
      </c>
      <c r="BG110" s="38">
        <f>IF(AND(ISNUMBER(BC110),ISNUMBER(A110)),IF(A110&gt;=INICIO_VIVO,1,0),0)</f>
        <v/>
      </c>
      <c r="BH110" s="40">
        <f>IF(BG110=1,BC110,"")</f>
        <v/>
      </c>
      <c r="BI110" s="38">
        <f>IF(ISNUMBER(AY110),ROW(),0)</f>
        <v/>
      </c>
      <c r="BJ110" s="43">
        <f>IF(ISNUMBER(BC110),SUM(BC$5:BC110)*10000,NA())</f>
        <v/>
      </c>
      <c r="BK110" s="43">
        <f>IF(BG110=1,SUM(BH$5:BH110)*10000,NA())</f>
        <v/>
      </c>
      <c r="BL110" s="44">
        <f>IF(ISNUMBER(AY110),AY110,NA())</f>
        <v/>
      </c>
    </row>
    <row r="111">
      <c r="A111" s="36">
        <f>IF(Datos!A111="","",Datos!A111)</f>
        <v/>
      </c>
      <c r="B111" s="37">
        <f>IF(OR($A111="",NOT(ISNUMBER(Datos!B111)),NOT(ISNUMBER(Datos!B110))),"",Datos!B111/Datos!B110-1)</f>
        <v/>
      </c>
      <c r="C111" s="37">
        <f>IF(OR($A111="",NOT(ISNUMBER(Datos!C111)),NOT(ISNUMBER(Datos!C110))),"",Datos!C111/Datos!C110-1)</f>
        <v/>
      </c>
      <c r="D111" s="37">
        <f>IF(OR($A111="",NOT(ISNUMBER(Datos!D111)),NOT(ISNUMBER(Datos!D110))),"",Datos!D111/Datos!D110-1)</f>
        <v/>
      </c>
      <c r="E111" s="37">
        <f>IF(OR($A111="",NOT(ISNUMBER(Datos!E111)),NOT(ISNUMBER(Datos!E110))),"",Datos!E111/Datos!E110-1)</f>
        <v/>
      </c>
      <c r="F111" s="38">
        <f>IF($A111="","",COUNT(B111:E111))</f>
        <v/>
      </c>
      <c r="G111" s="37">
        <f>IF($A111="","",IF(F111&gt;=MIN_BANCOS,AVERAGE(B111:E111),""))</f>
        <v/>
      </c>
      <c r="H111" s="37">
        <f>IF(OR($A111="",NOT(ISNUMBER(Datos!F111)),NOT(ISNUMBER(Datos!F110))),"",Datos!F111/Datos!F110-1)</f>
        <v/>
      </c>
      <c r="I111" s="39">
        <f>IF($A111="","",IF(ISNUMBER(Datos!G111),Datos!G111,I110))</f>
        <v/>
      </c>
      <c r="J111" s="40">
        <f>IF($A111="","",IF(ISNUMBER(I110),LN(1+I110/100/12),0))</f>
        <v/>
      </c>
      <c r="K111" s="40">
        <f>IF(ISNUMBER(G111),LN(1+G111)-J111,"")</f>
        <v/>
      </c>
      <c r="L111" s="40">
        <f>IF(ISNUMBER(H111),LN(1+H111)-J111,"")</f>
        <v/>
      </c>
      <c r="M111" s="38">
        <f>IF(ISNUMBER(K111),1,0)</f>
        <v/>
      </c>
      <c r="N111" s="40">
        <f>IF(M111=1,K111,0)</f>
        <v/>
      </c>
      <c r="O111" s="38">
        <f>IF(ISNUMBER(L111),1,0)</f>
        <v/>
      </c>
      <c r="P111" s="40">
        <f>IF(O111=1,L111,0)</f>
        <v/>
      </c>
      <c r="Q111" s="38">
        <f>M111*O111</f>
        <v/>
      </c>
      <c r="R111" s="38">
        <f>SUM(Q75:Q110)</f>
        <v/>
      </c>
      <c r="S111" s="41">
        <f>IF(OR($A111="",R111&lt;MIN_OBS_ROLL),"",(SUMPRODUCT(Q75:Q110,N75:N110,P75:P110)/R111-SUMPRODUCT(Q75:Q110,N75:N110)/R111*SUMPRODUCT(Q75:Q110,P75:P110)/R111)*R111/(R111-1))</f>
        <v/>
      </c>
      <c r="T111" s="38">
        <f>SUM(O75:O110)</f>
        <v/>
      </c>
      <c r="U111" s="41">
        <f>IF(OR($A111="",T111&lt;MIN_OBS_ROLL),"",SUMPRODUCT(O75:O110,(P75:P110-SUMPRODUCT(O75:O110,P75:P110)/T111)^2)/(T111-1))</f>
        <v/>
      </c>
      <c r="V111" s="40">
        <f>IF(OR(S111="",U111=""),"",S111/U111)</f>
        <v/>
      </c>
      <c r="W111" s="40">
        <f>IF(AND(ISNUMBER(K111),ISNUMBER(L111),ISNUMBER(V111)),K111-V111*L111,"")</f>
        <v/>
      </c>
      <c r="X111" s="40">
        <f>IF(OR($A111="",NOT(ISNUMBER(Datos!H111)),NOT(ISNUMBER(Datos!H110))),"",LN(Datos!H111)-LN(Datos!H110))</f>
        <v/>
      </c>
      <c r="Y111" s="38">
        <f>IF(ISNUMBER(W111),1,0)</f>
        <v/>
      </c>
      <c r="Z111" s="40">
        <f>IF(Y111=1,W111,0)</f>
        <v/>
      </c>
      <c r="AA111" s="38">
        <f>IF(ISNUMBER(X111),1,0)</f>
        <v/>
      </c>
      <c r="AB111" s="40">
        <f>IF(AA111=1,X111,0)</f>
        <v/>
      </c>
      <c r="AC111" s="38">
        <f>Y111*AA111</f>
        <v/>
      </c>
      <c r="AD111" s="38">
        <f>SUM(AC75:AC110)</f>
        <v/>
      </c>
      <c r="AE111" s="41">
        <f>IF(OR($A111="",AD111&lt;MIN_OBS_ROLL),"",(SUMPRODUCT(AC75:AC110,Z75:Z110,AB75:AB110)/AD111-SUMPRODUCT(AC75:AC110,Z75:Z110)/AD111*SUMPRODUCT(AC75:AC110,AB75:AB110)/AD111)*AD111/(AD111-1))</f>
        <v/>
      </c>
      <c r="AF111" s="38">
        <f>SUM(AA75:AA110)</f>
        <v/>
      </c>
      <c r="AG111" s="41">
        <f>IF(OR($A111="",AF111&lt;MIN_OBS_ROLL),"",SUMPRODUCT(AA75:AA110,(AB75:AB110-SUMPRODUCT(AA75:AA110,AB75:AB110)/AF111)^2)/(AF111-1))</f>
        <v/>
      </c>
      <c r="AH111" s="38">
        <f>SUM(Y75:Y110)</f>
        <v/>
      </c>
      <c r="AI111" s="40">
        <f>IF(OR($A111="",AH111&lt;MIN_OBS_ROLL),"",SUMPRODUCT(Y75:Y110,Z75:Z110)/AH111)</f>
        <v/>
      </c>
      <c r="AJ111" s="40">
        <f>IF(OR($A111="",AF111&lt;MIN_OBS_ROLL),"",SUMPRODUCT(AA75:AA110,AB75:AB110)/AF111)</f>
        <v/>
      </c>
      <c r="AK111" s="40">
        <f>IF(OR(AE111="",AG111=""),"",AE111/AG111)</f>
        <v/>
      </c>
      <c r="AL111" s="40">
        <f>IF(OR(AI111="",AK111="",AJ111=""),"",AI111-AK111*AJ111)</f>
        <v/>
      </c>
      <c r="AM111" s="40">
        <f>IF(AND(ISNUMBER(W111),ISNUMBER(X111),ISNUMBER(AK111),ISNUMBER(AL111)),W111-(AL111+AK111*X111),"")</f>
        <v/>
      </c>
      <c r="AN111" s="38">
        <f>IF(ISNUMBER(AM111),1,0)</f>
        <v/>
      </c>
      <c r="AO111" s="40">
        <f>IF(AN111=1,AM111,0)</f>
        <v/>
      </c>
      <c r="AP111" s="40">
        <f>IF(SUM(AN109:AN111)=3,SUM(AO109:AO111),"")</f>
        <v/>
      </c>
      <c r="AQ111" s="38">
        <f>IF(ISNUMBER(AP111),1,0)</f>
        <v/>
      </c>
      <c r="AR111" s="40">
        <f>IF(AQ111=1,AP111,0)</f>
        <v/>
      </c>
      <c r="AS111" s="38">
        <f>SUM(AQ$5:AQ111)</f>
        <v/>
      </c>
      <c r="AT111" s="40">
        <f>IF(AS111&gt;=MIN_OBS_Z,SUMPRODUCT(AQ$5:AQ111,AR$5:AR111)/AS111,"")</f>
        <v/>
      </c>
      <c r="AU111" s="40">
        <f>IF(AS111&gt;=MIN_OBS_Z,SQRT(SUMPRODUCT(AQ$5:AQ111,(AR$5:AR111-AT111)^2)/(AS111-1)),"")</f>
        <v/>
      </c>
      <c r="AV111" s="40">
        <f>IF(AND(AQ111=1,ISNUMBER(AT111)),MAX(-Z_CLIP,MIN(Z_CLIP,(AR111-AT111)/AU111)),"")</f>
        <v/>
      </c>
      <c r="AW111" s="40">
        <f>IF(ISNUMBER(AV111),-AV111,"")</f>
        <v/>
      </c>
      <c r="AX111" s="40">
        <f>IF(ISNUMBER(AW111),1+AMPLITUD*TANH(AW111),"")</f>
        <v/>
      </c>
      <c r="AY111" s="40">
        <f>IF($A111="","",IF(COUNT(AX109:AX111)&gt;0,AVERAGE(AX109:AX111),""))</f>
        <v/>
      </c>
      <c r="AZ111" s="40">
        <f>IF(ISNUMBER(AY111),AY111-1,"")</f>
        <v/>
      </c>
      <c r="BA111" s="40">
        <f>IF(AND(ISNUMBER(AZ110),ISNUMBER(W111)),AZ110*W_BANCOS*W111,"")</f>
        <v/>
      </c>
      <c r="BB111" s="40">
        <f>IF(AND(ISNUMBER(AZ110),ISNUMBER(AZ109)),ABS(AZ110-AZ109)*W_BANCOS*COSTO,0)</f>
        <v/>
      </c>
      <c r="BC111" s="40">
        <f>IF(ISNUMBER(BA111),BA111-BB111,"")</f>
        <v/>
      </c>
      <c r="BD111" s="42">
        <f>IF(ISNUMBER(BC111),IF(A111&lt;=FECHA_ERA,"A","B"),"")</f>
        <v/>
      </c>
      <c r="BE111" s="40">
        <f>IF(BD111="A",BC111,"")</f>
        <v/>
      </c>
      <c r="BF111" s="40">
        <f>IF(BD111="B",BC111,"")</f>
        <v/>
      </c>
      <c r="BG111" s="38">
        <f>IF(AND(ISNUMBER(BC111),ISNUMBER(A111)),IF(A111&gt;=INICIO_VIVO,1,0),0)</f>
        <v/>
      </c>
      <c r="BH111" s="40">
        <f>IF(BG111=1,BC111,"")</f>
        <v/>
      </c>
      <c r="BI111" s="38">
        <f>IF(ISNUMBER(AY111),ROW(),0)</f>
        <v/>
      </c>
      <c r="BJ111" s="43">
        <f>IF(ISNUMBER(BC111),SUM(BC$5:BC111)*10000,NA())</f>
        <v/>
      </c>
      <c r="BK111" s="43">
        <f>IF(BG111=1,SUM(BH$5:BH111)*10000,NA())</f>
        <v/>
      </c>
      <c r="BL111" s="44">
        <f>IF(ISNUMBER(AY111),AY111,NA())</f>
        <v/>
      </c>
    </row>
    <row r="112">
      <c r="A112" s="36">
        <f>IF(Datos!A112="","",Datos!A112)</f>
        <v/>
      </c>
      <c r="B112" s="37">
        <f>IF(OR($A112="",NOT(ISNUMBER(Datos!B112)),NOT(ISNUMBER(Datos!B111))),"",Datos!B112/Datos!B111-1)</f>
        <v/>
      </c>
      <c r="C112" s="37">
        <f>IF(OR($A112="",NOT(ISNUMBER(Datos!C112)),NOT(ISNUMBER(Datos!C111))),"",Datos!C112/Datos!C111-1)</f>
        <v/>
      </c>
      <c r="D112" s="37">
        <f>IF(OR($A112="",NOT(ISNUMBER(Datos!D112)),NOT(ISNUMBER(Datos!D111))),"",Datos!D112/Datos!D111-1)</f>
        <v/>
      </c>
      <c r="E112" s="37">
        <f>IF(OR($A112="",NOT(ISNUMBER(Datos!E112)),NOT(ISNUMBER(Datos!E111))),"",Datos!E112/Datos!E111-1)</f>
        <v/>
      </c>
      <c r="F112" s="38">
        <f>IF($A112="","",COUNT(B112:E112))</f>
        <v/>
      </c>
      <c r="G112" s="37">
        <f>IF($A112="","",IF(F112&gt;=MIN_BANCOS,AVERAGE(B112:E112),""))</f>
        <v/>
      </c>
      <c r="H112" s="37">
        <f>IF(OR($A112="",NOT(ISNUMBER(Datos!F112)),NOT(ISNUMBER(Datos!F111))),"",Datos!F112/Datos!F111-1)</f>
        <v/>
      </c>
      <c r="I112" s="39">
        <f>IF($A112="","",IF(ISNUMBER(Datos!G112),Datos!G112,I111))</f>
        <v/>
      </c>
      <c r="J112" s="40">
        <f>IF($A112="","",IF(ISNUMBER(I111),LN(1+I111/100/12),0))</f>
        <v/>
      </c>
      <c r="K112" s="40">
        <f>IF(ISNUMBER(G112),LN(1+G112)-J112,"")</f>
        <v/>
      </c>
      <c r="L112" s="40">
        <f>IF(ISNUMBER(H112),LN(1+H112)-J112,"")</f>
        <v/>
      </c>
      <c r="M112" s="38">
        <f>IF(ISNUMBER(K112),1,0)</f>
        <v/>
      </c>
      <c r="N112" s="40">
        <f>IF(M112=1,K112,0)</f>
        <v/>
      </c>
      <c r="O112" s="38">
        <f>IF(ISNUMBER(L112),1,0)</f>
        <v/>
      </c>
      <c r="P112" s="40">
        <f>IF(O112=1,L112,0)</f>
        <v/>
      </c>
      <c r="Q112" s="38">
        <f>M112*O112</f>
        <v/>
      </c>
      <c r="R112" s="38">
        <f>SUM(Q76:Q111)</f>
        <v/>
      </c>
      <c r="S112" s="41">
        <f>IF(OR($A112="",R112&lt;MIN_OBS_ROLL),"",(SUMPRODUCT(Q76:Q111,N76:N111,P76:P111)/R112-SUMPRODUCT(Q76:Q111,N76:N111)/R112*SUMPRODUCT(Q76:Q111,P76:P111)/R112)*R112/(R112-1))</f>
        <v/>
      </c>
      <c r="T112" s="38">
        <f>SUM(O76:O111)</f>
        <v/>
      </c>
      <c r="U112" s="41">
        <f>IF(OR($A112="",T112&lt;MIN_OBS_ROLL),"",SUMPRODUCT(O76:O111,(P76:P111-SUMPRODUCT(O76:O111,P76:P111)/T112)^2)/(T112-1))</f>
        <v/>
      </c>
      <c r="V112" s="40">
        <f>IF(OR(S112="",U112=""),"",S112/U112)</f>
        <v/>
      </c>
      <c r="W112" s="40">
        <f>IF(AND(ISNUMBER(K112),ISNUMBER(L112),ISNUMBER(V112)),K112-V112*L112,"")</f>
        <v/>
      </c>
      <c r="X112" s="40">
        <f>IF(OR($A112="",NOT(ISNUMBER(Datos!H112)),NOT(ISNUMBER(Datos!H111))),"",LN(Datos!H112)-LN(Datos!H111))</f>
        <v/>
      </c>
      <c r="Y112" s="38">
        <f>IF(ISNUMBER(W112),1,0)</f>
        <v/>
      </c>
      <c r="Z112" s="40">
        <f>IF(Y112=1,W112,0)</f>
        <v/>
      </c>
      <c r="AA112" s="38">
        <f>IF(ISNUMBER(X112),1,0)</f>
        <v/>
      </c>
      <c r="AB112" s="40">
        <f>IF(AA112=1,X112,0)</f>
        <v/>
      </c>
      <c r="AC112" s="38">
        <f>Y112*AA112</f>
        <v/>
      </c>
      <c r="AD112" s="38">
        <f>SUM(AC76:AC111)</f>
        <v/>
      </c>
      <c r="AE112" s="41">
        <f>IF(OR($A112="",AD112&lt;MIN_OBS_ROLL),"",(SUMPRODUCT(AC76:AC111,Z76:Z111,AB76:AB111)/AD112-SUMPRODUCT(AC76:AC111,Z76:Z111)/AD112*SUMPRODUCT(AC76:AC111,AB76:AB111)/AD112)*AD112/(AD112-1))</f>
        <v/>
      </c>
      <c r="AF112" s="38">
        <f>SUM(AA76:AA111)</f>
        <v/>
      </c>
      <c r="AG112" s="41">
        <f>IF(OR($A112="",AF112&lt;MIN_OBS_ROLL),"",SUMPRODUCT(AA76:AA111,(AB76:AB111-SUMPRODUCT(AA76:AA111,AB76:AB111)/AF112)^2)/(AF112-1))</f>
        <v/>
      </c>
      <c r="AH112" s="38">
        <f>SUM(Y76:Y111)</f>
        <v/>
      </c>
      <c r="AI112" s="40">
        <f>IF(OR($A112="",AH112&lt;MIN_OBS_ROLL),"",SUMPRODUCT(Y76:Y111,Z76:Z111)/AH112)</f>
        <v/>
      </c>
      <c r="AJ112" s="40">
        <f>IF(OR($A112="",AF112&lt;MIN_OBS_ROLL),"",SUMPRODUCT(AA76:AA111,AB76:AB111)/AF112)</f>
        <v/>
      </c>
      <c r="AK112" s="40">
        <f>IF(OR(AE112="",AG112=""),"",AE112/AG112)</f>
        <v/>
      </c>
      <c r="AL112" s="40">
        <f>IF(OR(AI112="",AK112="",AJ112=""),"",AI112-AK112*AJ112)</f>
        <v/>
      </c>
      <c r="AM112" s="40">
        <f>IF(AND(ISNUMBER(W112),ISNUMBER(X112),ISNUMBER(AK112),ISNUMBER(AL112)),W112-(AL112+AK112*X112),"")</f>
        <v/>
      </c>
      <c r="AN112" s="38">
        <f>IF(ISNUMBER(AM112),1,0)</f>
        <v/>
      </c>
      <c r="AO112" s="40">
        <f>IF(AN112=1,AM112,0)</f>
        <v/>
      </c>
      <c r="AP112" s="40">
        <f>IF(SUM(AN110:AN112)=3,SUM(AO110:AO112),"")</f>
        <v/>
      </c>
      <c r="AQ112" s="38">
        <f>IF(ISNUMBER(AP112),1,0)</f>
        <v/>
      </c>
      <c r="AR112" s="40">
        <f>IF(AQ112=1,AP112,0)</f>
        <v/>
      </c>
      <c r="AS112" s="38">
        <f>SUM(AQ$5:AQ112)</f>
        <v/>
      </c>
      <c r="AT112" s="40">
        <f>IF(AS112&gt;=MIN_OBS_Z,SUMPRODUCT(AQ$5:AQ112,AR$5:AR112)/AS112,"")</f>
        <v/>
      </c>
      <c r="AU112" s="40">
        <f>IF(AS112&gt;=MIN_OBS_Z,SQRT(SUMPRODUCT(AQ$5:AQ112,(AR$5:AR112-AT112)^2)/(AS112-1)),"")</f>
        <v/>
      </c>
      <c r="AV112" s="40">
        <f>IF(AND(AQ112=1,ISNUMBER(AT112)),MAX(-Z_CLIP,MIN(Z_CLIP,(AR112-AT112)/AU112)),"")</f>
        <v/>
      </c>
      <c r="AW112" s="40">
        <f>IF(ISNUMBER(AV112),-AV112,"")</f>
        <v/>
      </c>
      <c r="AX112" s="40">
        <f>IF(ISNUMBER(AW112),1+AMPLITUD*TANH(AW112),"")</f>
        <v/>
      </c>
      <c r="AY112" s="40">
        <f>IF($A112="","",IF(COUNT(AX110:AX112)&gt;0,AVERAGE(AX110:AX112),""))</f>
        <v/>
      </c>
      <c r="AZ112" s="40">
        <f>IF(ISNUMBER(AY112),AY112-1,"")</f>
        <v/>
      </c>
      <c r="BA112" s="40">
        <f>IF(AND(ISNUMBER(AZ111),ISNUMBER(W112)),AZ111*W_BANCOS*W112,"")</f>
        <v/>
      </c>
      <c r="BB112" s="40">
        <f>IF(AND(ISNUMBER(AZ111),ISNUMBER(AZ110)),ABS(AZ111-AZ110)*W_BANCOS*COSTO,0)</f>
        <v/>
      </c>
      <c r="BC112" s="40">
        <f>IF(ISNUMBER(BA112),BA112-BB112,"")</f>
        <v/>
      </c>
      <c r="BD112" s="42">
        <f>IF(ISNUMBER(BC112),IF(A112&lt;=FECHA_ERA,"A","B"),"")</f>
        <v/>
      </c>
      <c r="BE112" s="40">
        <f>IF(BD112="A",BC112,"")</f>
        <v/>
      </c>
      <c r="BF112" s="40">
        <f>IF(BD112="B",BC112,"")</f>
        <v/>
      </c>
      <c r="BG112" s="38">
        <f>IF(AND(ISNUMBER(BC112),ISNUMBER(A112)),IF(A112&gt;=INICIO_VIVO,1,0),0)</f>
        <v/>
      </c>
      <c r="BH112" s="40">
        <f>IF(BG112=1,BC112,"")</f>
        <v/>
      </c>
      <c r="BI112" s="38">
        <f>IF(ISNUMBER(AY112),ROW(),0)</f>
        <v/>
      </c>
      <c r="BJ112" s="43">
        <f>IF(ISNUMBER(BC112),SUM(BC$5:BC112)*10000,NA())</f>
        <v/>
      </c>
      <c r="BK112" s="43">
        <f>IF(BG112=1,SUM(BH$5:BH112)*10000,NA())</f>
        <v/>
      </c>
      <c r="BL112" s="44">
        <f>IF(ISNUMBER(AY112),AY112,NA())</f>
        <v/>
      </c>
    </row>
    <row r="113">
      <c r="A113" s="36">
        <f>IF(Datos!A113="","",Datos!A113)</f>
        <v/>
      </c>
      <c r="B113" s="37">
        <f>IF(OR($A113="",NOT(ISNUMBER(Datos!B113)),NOT(ISNUMBER(Datos!B112))),"",Datos!B113/Datos!B112-1)</f>
        <v/>
      </c>
      <c r="C113" s="37">
        <f>IF(OR($A113="",NOT(ISNUMBER(Datos!C113)),NOT(ISNUMBER(Datos!C112))),"",Datos!C113/Datos!C112-1)</f>
        <v/>
      </c>
      <c r="D113" s="37">
        <f>IF(OR($A113="",NOT(ISNUMBER(Datos!D113)),NOT(ISNUMBER(Datos!D112))),"",Datos!D113/Datos!D112-1)</f>
        <v/>
      </c>
      <c r="E113" s="37">
        <f>IF(OR($A113="",NOT(ISNUMBER(Datos!E113)),NOT(ISNUMBER(Datos!E112))),"",Datos!E113/Datos!E112-1)</f>
        <v/>
      </c>
      <c r="F113" s="38">
        <f>IF($A113="","",COUNT(B113:E113))</f>
        <v/>
      </c>
      <c r="G113" s="37">
        <f>IF($A113="","",IF(F113&gt;=MIN_BANCOS,AVERAGE(B113:E113),""))</f>
        <v/>
      </c>
      <c r="H113" s="37">
        <f>IF(OR($A113="",NOT(ISNUMBER(Datos!F113)),NOT(ISNUMBER(Datos!F112))),"",Datos!F113/Datos!F112-1)</f>
        <v/>
      </c>
      <c r="I113" s="39">
        <f>IF($A113="","",IF(ISNUMBER(Datos!G113),Datos!G113,I112))</f>
        <v/>
      </c>
      <c r="J113" s="40">
        <f>IF($A113="","",IF(ISNUMBER(I112),LN(1+I112/100/12),0))</f>
        <v/>
      </c>
      <c r="K113" s="40">
        <f>IF(ISNUMBER(G113),LN(1+G113)-J113,"")</f>
        <v/>
      </c>
      <c r="L113" s="40">
        <f>IF(ISNUMBER(H113),LN(1+H113)-J113,"")</f>
        <v/>
      </c>
      <c r="M113" s="38">
        <f>IF(ISNUMBER(K113),1,0)</f>
        <v/>
      </c>
      <c r="N113" s="40">
        <f>IF(M113=1,K113,0)</f>
        <v/>
      </c>
      <c r="O113" s="38">
        <f>IF(ISNUMBER(L113),1,0)</f>
        <v/>
      </c>
      <c r="P113" s="40">
        <f>IF(O113=1,L113,0)</f>
        <v/>
      </c>
      <c r="Q113" s="38">
        <f>M113*O113</f>
        <v/>
      </c>
      <c r="R113" s="38">
        <f>SUM(Q77:Q112)</f>
        <v/>
      </c>
      <c r="S113" s="41">
        <f>IF(OR($A113="",R113&lt;MIN_OBS_ROLL),"",(SUMPRODUCT(Q77:Q112,N77:N112,P77:P112)/R113-SUMPRODUCT(Q77:Q112,N77:N112)/R113*SUMPRODUCT(Q77:Q112,P77:P112)/R113)*R113/(R113-1))</f>
        <v/>
      </c>
      <c r="T113" s="38">
        <f>SUM(O77:O112)</f>
        <v/>
      </c>
      <c r="U113" s="41">
        <f>IF(OR($A113="",T113&lt;MIN_OBS_ROLL),"",SUMPRODUCT(O77:O112,(P77:P112-SUMPRODUCT(O77:O112,P77:P112)/T113)^2)/(T113-1))</f>
        <v/>
      </c>
      <c r="V113" s="40">
        <f>IF(OR(S113="",U113=""),"",S113/U113)</f>
        <v/>
      </c>
      <c r="W113" s="40">
        <f>IF(AND(ISNUMBER(K113),ISNUMBER(L113),ISNUMBER(V113)),K113-V113*L113,"")</f>
        <v/>
      </c>
      <c r="X113" s="40">
        <f>IF(OR($A113="",NOT(ISNUMBER(Datos!H113)),NOT(ISNUMBER(Datos!H112))),"",LN(Datos!H113)-LN(Datos!H112))</f>
        <v/>
      </c>
      <c r="Y113" s="38">
        <f>IF(ISNUMBER(W113),1,0)</f>
        <v/>
      </c>
      <c r="Z113" s="40">
        <f>IF(Y113=1,W113,0)</f>
        <v/>
      </c>
      <c r="AA113" s="38">
        <f>IF(ISNUMBER(X113),1,0)</f>
        <v/>
      </c>
      <c r="AB113" s="40">
        <f>IF(AA113=1,X113,0)</f>
        <v/>
      </c>
      <c r="AC113" s="38">
        <f>Y113*AA113</f>
        <v/>
      </c>
      <c r="AD113" s="38">
        <f>SUM(AC77:AC112)</f>
        <v/>
      </c>
      <c r="AE113" s="41">
        <f>IF(OR($A113="",AD113&lt;MIN_OBS_ROLL),"",(SUMPRODUCT(AC77:AC112,Z77:Z112,AB77:AB112)/AD113-SUMPRODUCT(AC77:AC112,Z77:Z112)/AD113*SUMPRODUCT(AC77:AC112,AB77:AB112)/AD113)*AD113/(AD113-1))</f>
        <v/>
      </c>
      <c r="AF113" s="38">
        <f>SUM(AA77:AA112)</f>
        <v/>
      </c>
      <c r="AG113" s="41">
        <f>IF(OR($A113="",AF113&lt;MIN_OBS_ROLL),"",SUMPRODUCT(AA77:AA112,(AB77:AB112-SUMPRODUCT(AA77:AA112,AB77:AB112)/AF113)^2)/(AF113-1))</f>
        <v/>
      </c>
      <c r="AH113" s="38">
        <f>SUM(Y77:Y112)</f>
        <v/>
      </c>
      <c r="AI113" s="40">
        <f>IF(OR($A113="",AH113&lt;MIN_OBS_ROLL),"",SUMPRODUCT(Y77:Y112,Z77:Z112)/AH113)</f>
        <v/>
      </c>
      <c r="AJ113" s="40">
        <f>IF(OR($A113="",AF113&lt;MIN_OBS_ROLL),"",SUMPRODUCT(AA77:AA112,AB77:AB112)/AF113)</f>
        <v/>
      </c>
      <c r="AK113" s="40">
        <f>IF(OR(AE113="",AG113=""),"",AE113/AG113)</f>
        <v/>
      </c>
      <c r="AL113" s="40">
        <f>IF(OR(AI113="",AK113="",AJ113=""),"",AI113-AK113*AJ113)</f>
        <v/>
      </c>
      <c r="AM113" s="40">
        <f>IF(AND(ISNUMBER(W113),ISNUMBER(X113),ISNUMBER(AK113),ISNUMBER(AL113)),W113-(AL113+AK113*X113),"")</f>
        <v/>
      </c>
      <c r="AN113" s="38">
        <f>IF(ISNUMBER(AM113),1,0)</f>
        <v/>
      </c>
      <c r="AO113" s="40">
        <f>IF(AN113=1,AM113,0)</f>
        <v/>
      </c>
      <c r="AP113" s="40">
        <f>IF(SUM(AN111:AN113)=3,SUM(AO111:AO113),"")</f>
        <v/>
      </c>
      <c r="AQ113" s="38">
        <f>IF(ISNUMBER(AP113),1,0)</f>
        <v/>
      </c>
      <c r="AR113" s="40">
        <f>IF(AQ113=1,AP113,0)</f>
        <v/>
      </c>
      <c r="AS113" s="38">
        <f>SUM(AQ$5:AQ113)</f>
        <v/>
      </c>
      <c r="AT113" s="40">
        <f>IF(AS113&gt;=MIN_OBS_Z,SUMPRODUCT(AQ$5:AQ113,AR$5:AR113)/AS113,"")</f>
        <v/>
      </c>
      <c r="AU113" s="40">
        <f>IF(AS113&gt;=MIN_OBS_Z,SQRT(SUMPRODUCT(AQ$5:AQ113,(AR$5:AR113-AT113)^2)/(AS113-1)),"")</f>
        <v/>
      </c>
      <c r="AV113" s="40">
        <f>IF(AND(AQ113=1,ISNUMBER(AT113)),MAX(-Z_CLIP,MIN(Z_CLIP,(AR113-AT113)/AU113)),"")</f>
        <v/>
      </c>
      <c r="AW113" s="40">
        <f>IF(ISNUMBER(AV113),-AV113,"")</f>
        <v/>
      </c>
      <c r="AX113" s="40">
        <f>IF(ISNUMBER(AW113),1+AMPLITUD*TANH(AW113),"")</f>
        <v/>
      </c>
      <c r="AY113" s="40">
        <f>IF($A113="","",IF(COUNT(AX111:AX113)&gt;0,AVERAGE(AX111:AX113),""))</f>
        <v/>
      </c>
      <c r="AZ113" s="40">
        <f>IF(ISNUMBER(AY113),AY113-1,"")</f>
        <v/>
      </c>
      <c r="BA113" s="40">
        <f>IF(AND(ISNUMBER(AZ112),ISNUMBER(W113)),AZ112*W_BANCOS*W113,"")</f>
        <v/>
      </c>
      <c r="BB113" s="40">
        <f>IF(AND(ISNUMBER(AZ112),ISNUMBER(AZ111)),ABS(AZ112-AZ111)*W_BANCOS*COSTO,0)</f>
        <v/>
      </c>
      <c r="BC113" s="40">
        <f>IF(ISNUMBER(BA113),BA113-BB113,"")</f>
        <v/>
      </c>
      <c r="BD113" s="42">
        <f>IF(ISNUMBER(BC113),IF(A113&lt;=FECHA_ERA,"A","B"),"")</f>
        <v/>
      </c>
      <c r="BE113" s="40">
        <f>IF(BD113="A",BC113,"")</f>
        <v/>
      </c>
      <c r="BF113" s="40">
        <f>IF(BD113="B",BC113,"")</f>
        <v/>
      </c>
      <c r="BG113" s="38">
        <f>IF(AND(ISNUMBER(BC113),ISNUMBER(A113)),IF(A113&gt;=INICIO_VIVO,1,0),0)</f>
        <v/>
      </c>
      <c r="BH113" s="40">
        <f>IF(BG113=1,BC113,"")</f>
        <v/>
      </c>
      <c r="BI113" s="38">
        <f>IF(ISNUMBER(AY113),ROW(),0)</f>
        <v/>
      </c>
      <c r="BJ113" s="43">
        <f>IF(ISNUMBER(BC113),SUM(BC$5:BC113)*10000,NA())</f>
        <v/>
      </c>
      <c r="BK113" s="43">
        <f>IF(BG113=1,SUM(BH$5:BH113)*10000,NA())</f>
        <v/>
      </c>
      <c r="BL113" s="44">
        <f>IF(ISNUMBER(AY113),AY113,NA())</f>
        <v/>
      </c>
    </row>
    <row r="114">
      <c r="A114" s="36">
        <f>IF(Datos!A114="","",Datos!A114)</f>
        <v/>
      </c>
      <c r="B114" s="37">
        <f>IF(OR($A114="",NOT(ISNUMBER(Datos!B114)),NOT(ISNUMBER(Datos!B113))),"",Datos!B114/Datos!B113-1)</f>
        <v/>
      </c>
      <c r="C114" s="37">
        <f>IF(OR($A114="",NOT(ISNUMBER(Datos!C114)),NOT(ISNUMBER(Datos!C113))),"",Datos!C114/Datos!C113-1)</f>
        <v/>
      </c>
      <c r="D114" s="37">
        <f>IF(OR($A114="",NOT(ISNUMBER(Datos!D114)),NOT(ISNUMBER(Datos!D113))),"",Datos!D114/Datos!D113-1)</f>
        <v/>
      </c>
      <c r="E114" s="37">
        <f>IF(OR($A114="",NOT(ISNUMBER(Datos!E114)),NOT(ISNUMBER(Datos!E113))),"",Datos!E114/Datos!E113-1)</f>
        <v/>
      </c>
      <c r="F114" s="38">
        <f>IF($A114="","",COUNT(B114:E114))</f>
        <v/>
      </c>
      <c r="G114" s="37">
        <f>IF($A114="","",IF(F114&gt;=MIN_BANCOS,AVERAGE(B114:E114),""))</f>
        <v/>
      </c>
      <c r="H114" s="37">
        <f>IF(OR($A114="",NOT(ISNUMBER(Datos!F114)),NOT(ISNUMBER(Datos!F113))),"",Datos!F114/Datos!F113-1)</f>
        <v/>
      </c>
      <c r="I114" s="39">
        <f>IF($A114="","",IF(ISNUMBER(Datos!G114),Datos!G114,I113))</f>
        <v/>
      </c>
      <c r="J114" s="40">
        <f>IF($A114="","",IF(ISNUMBER(I113),LN(1+I113/100/12),0))</f>
        <v/>
      </c>
      <c r="K114" s="40">
        <f>IF(ISNUMBER(G114),LN(1+G114)-J114,"")</f>
        <v/>
      </c>
      <c r="L114" s="40">
        <f>IF(ISNUMBER(H114),LN(1+H114)-J114,"")</f>
        <v/>
      </c>
      <c r="M114" s="38">
        <f>IF(ISNUMBER(K114),1,0)</f>
        <v/>
      </c>
      <c r="N114" s="40">
        <f>IF(M114=1,K114,0)</f>
        <v/>
      </c>
      <c r="O114" s="38">
        <f>IF(ISNUMBER(L114),1,0)</f>
        <v/>
      </c>
      <c r="P114" s="40">
        <f>IF(O114=1,L114,0)</f>
        <v/>
      </c>
      <c r="Q114" s="38">
        <f>M114*O114</f>
        <v/>
      </c>
      <c r="R114" s="38">
        <f>SUM(Q78:Q113)</f>
        <v/>
      </c>
      <c r="S114" s="41">
        <f>IF(OR($A114="",R114&lt;MIN_OBS_ROLL),"",(SUMPRODUCT(Q78:Q113,N78:N113,P78:P113)/R114-SUMPRODUCT(Q78:Q113,N78:N113)/R114*SUMPRODUCT(Q78:Q113,P78:P113)/R114)*R114/(R114-1))</f>
        <v/>
      </c>
      <c r="T114" s="38">
        <f>SUM(O78:O113)</f>
        <v/>
      </c>
      <c r="U114" s="41">
        <f>IF(OR($A114="",T114&lt;MIN_OBS_ROLL),"",SUMPRODUCT(O78:O113,(P78:P113-SUMPRODUCT(O78:O113,P78:P113)/T114)^2)/(T114-1))</f>
        <v/>
      </c>
      <c r="V114" s="40">
        <f>IF(OR(S114="",U114=""),"",S114/U114)</f>
        <v/>
      </c>
      <c r="W114" s="40">
        <f>IF(AND(ISNUMBER(K114),ISNUMBER(L114),ISNUMBER(V114)),K114-V114*L114,"")</f>
        <v/>
      </c>
      <c r="X114" s="40">
        <f>IF(OR($A114="",NOT(ISNUMBER(Datos!H114)),NOT(ISNUMBER(Datos!H113))),"",LN(Datos!H114)-LN(Datos!H113))</f>
        <v/>
      </c>
      <c r="Y114" s="38">
        <f>IF(ISNUMBER(W114),1,0)</f>
        <v/>
      </c>
      <c r="Z114" s="40">
        <f>IF(Y114=1,W114,0)</f>
        <v/>
      </c>
      <c r="AA114" s="38">
        <f>IF(ISNUMBER(X114),1,0)</f>
        <v/>
      </c>
      <c r="AB114" s="40">
        <f>IF(AA114=1,X114,0)</f>
        <v/>
      </c>
      <c r="AC114" s="38">
        <f>Y114*AA114</f>
        <v/>
      </c>
      <c r="AD114" s="38">
        <f>SUM(AC78:AC113)</f>
        <v/>
      </c>
      <c r="AE114" s="41">
        <f>IF(OR($A114="",AD114&lt;MIN_OBS_ROLL),"",(SUMPRODUCT(AC78:AC113,Z78:Z113,AB78:AB113)/AD114-SUMPRODUCT(AC78:AC113,Z78:Z113)/AD114*SUMPRODUCT(AC78:AC113,AB78:AB113)/AD114)*AD114/(AD114-1))</f>
        <v/>
      </c>
      <c r="AF114" s="38">
        <f>SUM(AA78:AA113)</f>
        <v/>
      </c>
      <c r="AG114" s="41">
        <f>IF(OR($A114="",AF114&lt;MIN_OBS_ROLL),"",SUMPRODUCT(AA78:AA113,(AB78:AB113-SUMPRODUCT(AA78:AA113,AB78:AB113)/AF114)^2)/(AF114-1))</f>
        <v/>
      </c>
      <c r="AH114" s="38">
        <f>SUM(Y78:Y113)</f>
        <v/>
      </c>
      <c r="AI114" s="40">
        <f>IF(OR($A114="",AH114&lt;MIN_OBS_ROLL),"",SUMPRODUCT(Y78:Y113,Z78:Z113)/AH114)</f>
        <v/>
      </c>
      <c r="AJ114" s="40">
        <f>IF(OR($A114="",AF114&lt;MIN_OBS_ROLL),"",SUMPRODUCT(AA78:AA113,AB78:AB113)/AF114)</f>
        <v/>
      </c>
      <c r="AK114" s="40">
        <f>IF(OR(AE114="",AG114=""),"",AE114/AG114)</f>
        <v/>
      </c>
      <c r="AL114" s="40">
        <f>IF(OR(AI114="",AK114="",AJ114=""),"",AI114-AK114*AJ114)</f>
        <v/>
      </c>
      <c r="AM114" s="40">
        <f>IF(AND(ISNUMBER(W114),ISNUMBER(X114),ISNUMBER(AK114),ISNUMBER(AL114)),W114-(AL114+AK114*X114),"")</f>
        <v/>
      </c>
      <c r="AN114" s="38">
        <f>IF(ISNUMBER(AM114),1,0)</f>
        <v/>
      </c>
      <c r="AO114" s="40">
        <f>IF(AN114=1,AM114,0)</f>
        <v/>
      </c>
      <c r="AP114" s="40">
        <f>IF(SUM(AN112:AN114)=3,SUM(AO112:AO114),"")</f>
        <v/>
      </c>
      <c r="AQ114" s="38">
        <f>IF(ISNUMBER(AP114),1,0)</f>
        <v/>
      </c>
      <c r="AR114" s="40">
        <f>IF(AQ114=1,AP114,0)</f>
        <v/>
      </c>
      <c r="AS114" s="38">
        <f>SUM(AQ$5:AQ114)</f>
        <v/>
      </c>
      <c r="AT114" s="40">
        <f>IF(AS114&gt;=MIN_OBS_Z,SUMPRODUCT(AQ$5:AQ114,AR$5:AR114)/AS114,"")</f>
        <v/>
      </c>
      <c r="AU114" s="40">
        <f>IF(AS114&gt;=MIN_OBS_Z,SQRT(SUMPRODUCT(AQ$5:AQ114,(AR$5:AR114-AT114)^2)/(AS114-1)),"")</f>
        <v/>
      </c>
      <c r="AV114" s="40">
        <f>IF(AND(AQ114=1,ISNUMBER(AT114)),MAX(-Z_CLIP,MIN(Z_CLIP,(AR114-AT114)/AU114)),"")</f>
        <v/>
      </c>
      <c r="AW114" s="40">
        <f>IF(ISNUMBER(AV114),-AV114,"")</f>
        <v/>
      </c>
      <c r="AX114" s="40">
        <f>IF(ISNUMBER(AW114),1+AMPLITUD*TANH(AW114),"")</f>
        <v/>
      </c>
      <c r="AY114" s="40">
        <f>IF($A114="","",IF(COUNT(AX112:AX114)&gt;0,AVERAGE(AX112:AX114),""))</f>
        <v/>
      </c>
      <c r="AZ114" s="40">
        <f>IF(ISNUMBER(AY114),AY114-1,"")</f>
        <v/>
      </c>
      <c r="BA114" s="40">
        <f>IF(AND(ISNUMBER(AZ113),ISNUMBER(W114)),AZ113*W_BANCOS*W114,"")</f>
        <v/>
      </c>
      <c r="BB114" s="40">
        <f>IF(AND(ISNUMBER(AZ113),ISNUMBER(AZ112)),ABS(AZ113-AZ112)*W_BANCOS*COSTO,0)</f>
        <v/>
      </c>
      <c r="BC114" s="40">
        <f>IF(ISNUMBER(BA114),BA114-BB114,"")</f>
        <v/>
      </c>
      <c r="BD114" s="42">
        <f>IF(ISNUMBER(BC114),IF(A114&lt;=FECHA_ERA,"A","B"),"")</f>
        <v/>
      </c>
      <c r="BE114" s="40">
        <f>IF(BD114="A",BC114,"")</f>
        <v/>
      </c>
      <c r="BF114" s="40">
        <f>IF(BD114="B",BC114,"")</f>
        <v/>
      </c>
      <c r="BG114" s="38">
        <f>IF(AND(ISNUMBER(BC114),ISNUMBER(A114)),IF(A114&gt;=INICIO_VIVO,1,0),0)</f>
        <v/>
      </c>
      <c r="BH114" s="40">
        <f>IF(BG114=1,BC114,"")</f>
        <v/>
      </c>
      <c r="BI114" s="38">
        <f>IF(ISNUMBER(AY114),ROW(),0)</f>
        <v/>
      </c>
      <c r="BJ114" s="43">
        <f>IF(ISNUMBER(BC114),SUM(BC$5:BC114)*10000,NA())</f>
        <v/>
      </c>
      <c r="BK114" s="43">
        <f>IF(BG114=1,SUM(BH$5:BH114)*10000,NA())</f>
        <v/>
      </c>
      <c r="BL114" s="44">
        <f>IF(ISNUMBER(AY114),AY114,NA())</f>
        <v/>
      </c>
    </row>
    <row r="115">
      <c r="A115" s="36">
        <f>IF(Datos!A115="","",Datos!A115)</f>
        <v/>
      </c>
      <c r="B115" s="37">
        <f>IF(OR($A115="",NOT(ISNUMBER(Datos!B115)),NOT(ISNUMBER(Datos!B114))),"",Datos!B115/Datos!B114-1)</f>
        <v/>
      </c>
      <c r="C115" s="37">
        <f>IF(OR($A115="",NOT(ISNUMBER(Datos!C115)),NOT(ISNUMBER(Datos!C114))),"",Datos!C115/Datos!C114-1)</f>
        <v/>
      </c>
      <c r="D115" s="37">
        <f>IF(OR($A115="",NOT(ISNUMBER(Datos!D115)),NOT(ISNUMBER(Datos!D114))),"",Datos!D115/Datos!D114-1)</f>
        <v/>
      </c>
      <c r="E115" s="37">
        <f>IF(OR($A115="",NOT(ISNUMBER(Datos!E115)),NOT(ISNUMBER(Datos!E114))),"",Datos!E115/Datos!E114-1)</f>
        <v/>
      </c>
      <c r="F115" s="38">
        <f>IF($A115="","",COUNT(B115:E115))</f>
        <v/>
      </c>
      <c r="G115" s="37">
        <f>IF($A115="","",IF(F115&gt;=MIN_BANCOS,AVERAGE(B115:E115),""))</f>
        <v/>
      </c>
      <c r="H115" s="37">
        <f>IF(OR($A115="",NOT(ISNUMBER(Datos!F115)),NOT(ISNUMBER(Datos!F114))),"",Datos!F115/Datos!F114-1)</f>
        <v/>
      </c>
      <c r="I115" s="39">
        <f>IF($A115="","",IF(ISNUMBER(Datos!G115),Datos!G115,I114))</f>
        <v/>
      </c>
      <c r="J115" s="40">
        <f>IF($A115="","",IF(ISNUMBER(I114),LN(1+I114/100/12),0))</f>
        <v/>
      </c>
      <c r="K115" s="40">
        <f>IF(ISNUMBER(G115),LN(1+G115)-J115,"")</f>
        <v/>
      </c>
      <c r="L115" s="40">
        <f>IF(ISNUMBER(H115),LN(1+H115)-J115,"")</f>
        <v/>
      </c>
      <c r="M115" s="38">
        <f>IF(ISNUMBER(K115),1,0)</f>
        <v/>
      </c>
      <c r="N115" s="40">
        <f>IF(M115=1,K115,0)</f>
        <v/>
      </c>
      <c r="O115" s="38">
        <f>IF(ISNUMBER(L115),1,0)</f>
        <v/>
      </c>
      <c r="P115" s="40">
        <f>IF(O115=1,L115,0)</f>
        <v/>
      </c>
      <c r="Q115" s="38">
        <f>M115*O115</f>
        <v/>
      </c>
      <c r="R115" s="38">
        <f>SUM(Q79:Q114)</f>
        <v/>
      </c>
      <c r="S115" s="41">
        <f>IF(OR($A115="",R115&lt;MIN_OBS_ROLL),"",(SUMPRODUCT(Q79:Q114,N79:N114,P79:P114)/R115-SUMPRODUCT(Q79:Q114,N79:N114)/R115*SUMPRODUCT(Q79:Q114,P79:P114)/R115)*R115/(R115-1))</f>
        <v/>
      </c>
      <c r="T115" s="38">
        <f>SUM(O79:O114)</f>
        <v/>
      </c>
      <c r="U115" s="41">
        <f>IF(OR($A115="",T115&lt;MIN_OBS_ROLL),"",SUMPRODUCT(O79:O114,(P79:P114-SUMPRODUCT(O79:O114,P79:P114)/T115)^2)/(T115-1))</f>
        <v/>
      </c>
      <c r="V115" s="40">
        <f>IF(OR(S115="",U115=""),"",S115/U115)</f>
        <v/>
      </c>
      <c r="W115" s="40">
        <f>IF(AND(ISNUMBER(K115),ISNUMBER(L115),ISNUMBER(V115)),K115-V115*L115,"")</f>
        <v/>
      </c>
      <c r="X115" s="40">
        <f>IF(OR($A115="",NOT(ISNUMBER(Datos!H115)),NOT(ISNUMBER(Datos!H114))),"",LN(Datos!H115)-LN(Datos!H114))</f>
        <v/>
      </c>
      <c r="Y115" s="38">
        <f>IF(ISNUMBER(W115),1,0)</f>
        <v/>
      </c>
      <c r="Z115" s="40">
        <f>IF(Y115=1,W115,0)</f>
        <v/>
      </c>
      <c r="AA115" s="38">
        <f>IF(ISNUMBER(X115),1,0)</f>
        <v/>
      </c>
      <c r="AB115" s="40">
        <f>IF(AA115=1,X115,0)</f>
        <v/>
      </c>
      <c r="AC115" s="38">
        <f>Y115*AA115</f>
        <v/>
      </c>
      <c r="AD115" s="38">
        <f>SUM(AC79:AC114)</f>
        <v/>
      </c>
      <c r="AE115" s="41">
        <f>IF(OR($A115="",AD115&lt;MIN_OBS_ROLL),"",(SUMPRODUCT(AC79:AC114,Z79:Z114,AB79:AB114)/AD115-SUMPRODUCT(AC79:AC114,Z79:Z114)/AD115*SUMPRODUCT(AC79:AC114,AB79:AB114)/AD115)*AD115/(AD115-1))</f>
        <v/>
      </c>
      <c r="AF115" s="38">
        <f>SUM(AA79:AA114)</f>
        <v/>
      </c>
      <c r="AG115" s="41">
        <f>IF(OR($A115="",AF115&lt;MIN_OBS_ROLL),"",SUMPRODUCT(AA79:AA114,(AB79:AB114-SUMPRODUCT(AA79:AA114,AB79:AB114)/AF115)^2)/(AF115-1))</f>
        <v/>
      </c>
      <c r="AH115" s="38">
        <f>SUM(Y79:Y114)</f>
        <v/>
      </c>
      <c r="AI115" s="40">
        <f>IF(OR($A115="",AH115&lt;MIN_OBS_ROLL),"",SUMPRODUCT(Y79:Y114,Z79:Z114)/AH115)</f>
        <v/>
      </c>
      <c r="AJ115" s="40">
        <f>IF(OR($A115="",AF115&lt;MIN_OBS_ROLL),"",SUMPRODUCT(AA79:AA114,AB79:AB114)/AF115)</f>
        <v/>
      </c>
      <c r="AK115" s="40">
        <f>IF(OR(AE115="",AG115=""),"",AE115/AG115)</f>
        <v/>
      </c>
      <c r="AL115" s="40">
        <f>IF(OR(AI115="",AK115="",AJ115=""),"",AI115-AK115*AJ115)</f>
        <v/>
      </c>
      <c r="AM115" s="40">
        <f>IF(AND(ISNUMBER(W115),ISNUMBER(X115),ISNUMBER(AK115),ISNUMBER(AL115)),W115-(AL115+AK115*X115),"")</f>
        <v/>
      </c>
      <c r="AN115" s="38">
        <f>IF(ISNUMBER(AM115),1,0)</f>
        <v/>
      </c>
      <c r="AO115" s="40">
        <f>IF(AN115=1,AM115,0)</f>
        <v/>
      </c>
      <c r="AP115" s="40">
        <f>IF(SUM(AN113:AN115)=3,SUM(AO113:AO115),"")</f>
        <v/>
      </c>
      <c r="AQ115" s="38">
        <f>IF(ISNUMBER(AP115),1,0)</f>
        <v/>
      </c>
      <c r="AR115" s="40">
        <f>IF(AQ115=1,AP115,0)</f>
        <v/>
      </c>
      <c r="AS115" s="38">
        <f>SUM(AQ$5:AQ115)</f>
        <v/>
      </c>
      <c r="AT115" s="40">
        <f>IF(AS115&gt;=MIN_OBS_Z,SUMPRODUCT(AQ$5:AQ115,AR$5:AR115)/AS115,"")</f>
        <v/>
      </c>
      <c r="AU115" s="40">
        <f>IF(AS115&gt;=MIN_OBS_Z,SQRT(SUMPRODUCT(AQ$5:AQ115,(AR$5:AR115-AT115)^2)/(AS115-1)),"")</f>
        <v/>
      </c>
      <c r="AV115" s="40">
        <f>IF(AND(AQ115=1,ISNUMBER(AT115)),MAX(-Z_CLIP,MIN(Z_CLIP,(AR115-AT115)/AU115)),"")</f>
        <v/>
      </c>
      <c r="AW115" s="40">
        <f>IF(ISNUMBER(AV115),-AV115,"")</f>
        <v/>
      </c>
      <c r="AX115" s="40">
        <f>IF(ISNUMBER(AW115),1+AMPLITUD*TANH(AW115),"")</f>
        <v/>
      </c>
      <c r="AY115" s="40">
        <f>IF($A115="","",IF(COUNT(AX113:AX115)&gt;0,AVERAGE(AX113:AX115),""))</f>
        <v/>
      </c>
      <c r="AZ115" s="40">
        <f>IF(ISNUMBER(AY115),AY115-1,"")</f>
        <v/>
      </c>
      <c r="BA115" s="40">
        <f>IF(AND(ISNUMBER(AZ114),ISNUMBER(W115)),AZ114*W_BANCOS*W115,"")</f>
        <v/>
      </c>
      <c r="BB115" s="40">
        <f>IF(AND(ISNUMBER(AZ114),ISNUMBER(AZ113)),ABS(AZ114-AZ113)*W_BANCOS*COSTO,0)</f>
        <v/>
      </c>
      <c r="BC115" s="40">
        <f>IF(ISNUMBER(BA115),BA115-BB115,"")</f>
        <v/>
      </c>
      <c r="BD115" s="42">
        <f>IF(ISNUMBER(BC115),IF(A115&lt;=FECHA_ERA,"A","B"),"")</f>
        <v/>
      </c>
      <c r="BE115" s="40">
        <f>IF(BD115="A",BC115,"")</f>
        <v/>
      </c>
      <c r="BF115" s="40">
        <f>IF(BD115="B",BC115,"")</f>
        <v/>
      </c>
      <c r="BG115" s="38">
        <f>IF(AND(ISNUMBER(BC115),ISNUMBER(A115)),IF(A115&gt;=INICIO_VIVO,1,0),0)</f>
        <v/>
      </c>
      <c r="BH115" s="40">
        <f>IF(BG115=1,BC115,"")</f>
        <v/>
      </c>
      <c r="BI115" s="38">
        <f>IF(ISNUMBER(AY115),ROW(),0)</f>
        <v/>
      </c>
      <c r="BJ115" s="43">
        <f>IF(ISNUMBER(BC115),SUM(BC$5:BC115)*10000,NA())</f>
        <v/>
      </c>
      <c r="BK115" s="43">
        <f>IF(BG115=1,SUM(BH$5:BH115)*10000,NA())</f>
        <v/>
      </c>
      <c r="BL115" s="44">
        <f>IF(ISNUMBER(AY115),AY115,NA())</f>
        <v/>
      </c>
    </row>
    <row r="116">
      <c r="A116" s="36">
        <f>IF(Datos!A116="","",Datos!A116)</f>
        <v/>
      </c>
      <c r="B116" s="37">
        <f>IF(OR($A116="",NOT(ISNUMBER(Datos!B116)),NOT(ISNUMBER(Datos!B115))),"",Datos!B116/Datos!B115-1)</f>
        <v/>
      </c>
      <c r="C116" s="37">
        <f>IF(OR($A116="",NOT(ISNUMBER(Datos!C116)),NOT(ISNUMBER(Datos!C115))),"",Datos!C116/Datos!C115-1)</f>
        <v/>
      </c>
      <c r="D116" s="37">
        <f>IF(OR($A116="",NOT(ISNUMBER(Datos!D116)),NOT(ISNUMBER(Datos!D115))),"",Datos!D116/Datos!D115-1)</f>
        <v/>
      </c>
      <c r="E116" s="37">
        <f>IF(OR($A116="",NOT(ISNUMBER(Datos!E116)),NOT(ISNUMBER(Datos!E115))),"",Datos!E116/Datos!E115-1)</f>
        <v/>
      </c>
      <c r="F116" s="38">
        <f>IF($A116="","",COUNT(B116:E116))</f>
        <v/>
      </c>
      <c r="G116" s="37">
        <f>IF($A116="","",IF(F116&gt;=MIN_BANCOS,AVERAGE(B116:E116),""))</f>
        <v/>
      </c>
      <c r="H116" s="37">
        <f>IF(OR($A116="",NOT(ISNUMBER(Datos!F116)),NOT(ISNUMBER(Datos!F115))),"",Datos!F116/Datos!F115-1)</f>
        <v/>
      </c>
      <c r="I116" s="39">
        <f>IF($A116="","",IF(ISNUMBER(Datos!G116),Datos!G116,I115))</f>
        <v/>
      </c>
      <c r="J116" s="40">
        <f>IF($A116="","",IF(ISNUMBER(I115),LN(1+I115/100/12),0))</f>
        <v/>
      </c>
      <c r="K116" s="40">
        <f>IF(ISNUMBER(G116),LN(1+G116)-J116,"")</f>
        <v/>
      </c>
      <c r="L116" s="40">
        <f>IF(ISNUMBER(H116),LN(1+H116)-J116,"")</f>
        <v/>
      </c>
      <c r="M116" s="38">
        <f>IF(ISNUMBER(K116),1,0)</f>
        <v/>
      </c>
      <c r="N116" s="40">
        <f>IF(M116=1,K116,0)</f>
        <v/>
      </c>
      <c r="O116" s="38">
        <f>IF(ISNUMBER(L116),1,0)</f>
        <v/>
      </c>
      <c r="P116" s="40">
        <f>IF(O116=1,L116,0)</f>
        <v/>
      </c>
      <c r="Q116" s="38">
        <f>M116*O116</f>
        <v/>
      </c>
      <c r="R116" s="38">
        <f>SUM(Q80:Q115)</f>
        <v/>
      </c>
      <c r="S116" s="41">
        <f>IF(OR($A116="",R116&lt;MIN_OBS_ROLL),"",(SUMPRODUCT(Q80:Q115,N80:N115,P80:P115)/R116-SUMPRODUCT(Q80:Q115,N80:N115)/R116*SUMPRODUCT(Q80:Q115,P80:P115)/R116)*R116/(R116-1))</f>
        <v/>
      </c>
      <c r="T116" s="38">
        <f>SUM(O80:O115)</f>
        <v/>
      </c>
      <c r="U116" s="41">
        <f>IF(OR($A116="",T116&lt;MIN_OBS_ROLL),"",SUMPRODUCT(O80:O115,(P80:P115-SUMPRODUCT(O80:O115,P80:P115)/T116)^2)/(T116-1))</f>
        <v/>
      </c>
      <c r="V116" s="40">
        <f>IF(OR(S116="",U116=""),"",S116/U116)</f>
        <v/>
      </c>
      <c r="W116" s="40">
        <f>IF(AND(ISNUMBER(K116),ISNUMBER(L116),ISNUMBER(V116)),K116-V116*L116,"")</f>
        <v/>
      </c>
      <c r="X116" s="40">
        <f>IF(OR($A116="",NOT(ISNUMBER(Datos!H116)),NOT(ISNUMBER(Datos!H115))),"",LN(Datos!H116)-LN(Datos!H115))</f>
        <v/>
      </c>
      <c r="Y116" s="38">
        <f>IF(ISNUMBER(W116),1,0)</f>
        <v/>
      </c>
      <c r="Z116" s="40">
        <f>IF(Y116=1,W116,0)</f>
        <v/>
      </c>
      <c r="AA116" s="38">
        <f>IF(ISNUMBER(X116),1,0)</f>
        <v/>
      </c>
      <c r="AB116" s="40">
        <f>IF(AA116=1,X116,0)</f>
        <v/>
      </c>
      <c r="AC116" s="38">
        <f>Y116*AA116</f>
        <v/>
      </c>
      <c r="AD116" s="38">
        <f>SUM(AC80:AC115)</f>
        <v/>
      </c>
      <c r="AE116" s="41">
        <f>IF(OR($A116="",AD116&lt;MIN_OBS_ROLL),"",(SUMPRODUCT(AC80:AC115,Z80:Z115,AB80:AB115)/AD116-SUMPRODUCT(AC80:AC115,Z80:Z115)/AD116*SUMPRODUCT(AC80:AC115,AB80:AB115)/AD116)*AD116/(AD116-1))</f>
        <v/>
      </c>
      <c r="AF116" s="38">
        <f>SUM(AA80:AA115)</f>
        <v/>
      </c>
      <c r="AG116" s="41">
        <f>IF(OR($A116="",AF116&lt;MIN_OBS_ROLL),"",SUMPRODUCT(AA80:AA115,(AB80:AB115-SUMPRODUCT(AA80:AA115,AB80:AB115)/AF116)^2)/(AF116-1))</f>
        <v/>
      </c>
      <c r="AH116" s="38">
        <f>SUM(Y80:Y115)</f>
        <v/>
      </c>
      <c r="AI116" s="40">
        <f>IF(OR($A116="",AH116&lt;MIN_OBS_ROLL),"",SUMPRODUCT(Y80:Y115,Z80:Z115)/AH116)</f>
        <v/>
      </c>
      <c r="AJ116" s="40">
        <f>IF(OR($A116="",AF116&lt;MIN_OBS_ROLL),"",SUMPRODUCT(AA80:AA115,AB80:AB115)/AF116)</f>
        <v/>
      </c>
      <c r="AK116" s="40">
        <f>IF(OR(AE116="",AG116=""),"",AE116/AG116)</f>
        <v/>
      </c>
      <c r="AL116" s="40">
        <f>IF(OR(AI116="",AK116="",AJ116=""),"",AI116-AK116*AJ116)</f>
        <v/>
      </c>
      <c r="AM116" s="40">
        <f>IF(AND(ISNUMBER(W116),ISNUMBER(X116),ISNUMBER(AK116),ISNUMBER(AL116)),W116-(AL116+AK116*X116),"")</f>
        <v/>
      </c>
      <c r="AN116" s="38">
        <f>IF(ISNUMBER(AM116),1,0)</f>
        <v/>
      </c>
      <c r="AO116" s="40">
        <f>IF(AN116=1,AM116,0)</f>
        <v/>
      </c>
      <c r="AP116" s="40">
        <f>IF(SUM(AN114:AN116)=3,SUM(AO114:AO116),"")</f>
        <v/>
      </c>
      <c r="AQ116" s="38">
        <f>IF(ISNUMBER(AP116),1,0)</f>
        <v/>
      </c>
      <c r="AR116" s="40">
        <f>IF(AQ116=1,AP116,0)</f>
        <v/>
      </c>
      <c r="AS116" s="38">
        <f>SUM(AQ$5:AQ116)</f>
        <v/>
      </c>
      <c r="AT116" s="40">
        <f>IF(AS116&gt;=MIN_OBS_Z,SUMPRODUCT(AQ$5:AQ116,AR$5:AR116)/AS116,"")</f>
        <v/>
      </c>
      <c r="AU116" s="40">
        <f>IF(AS116&gt;=MIN_OBS_Z,SQRT(SUMPRODUCT(AQ$5:AQ116,(AR$5:AR116-AT116)^2)/(AS116-1)),"")</f>
        <v/>
      </c>
      <c r="AV116" s="40">
        <f>IF(AND(AQ116=1,ISNUMBER(AT116)),MAX(-Z_CLIP,MIN(Z_CLIP,(AR116-AT116)/AU116)),"")</f>
        <v/>
      </c>
      <c r="AW116" s="40">
        <f>IF(ISNUMBER(AV116),-AV116,"")</f>
        <v/>
      </c>
      <c r="AX116" s="40">
        <f>IF(ISNUMBER(AW116),1+AMPLITUD*TANH(AW116),"")</f>
        <v/>
      </c>
      <c r="AY116" s="40">
        <f>IF($A116="","",IF(COUNT(AX114:AX116)&gt;0,AVERAGE(AX114:AX116),""))</f>
        <v/>
      </c>
      <c r="AZ116" s="40">
        <f>IF(ISNUMBER(AY116),AY116-1,"")</f>
        <v/>
      </c>
      <c r="BA116" s="40">
        <f>IF(AND(ISNUMBER(AZ115),ISNUMBER(W116)),AZ115*W_BANCOS*W116,"")</f>
        <v/>
      </c>
      <c r="BB116" s="40">
        <f>IF(AND(ISNUMBER(AZ115),ISNUMBER(AZ114)),ABS(AZ115-AZ114)*W_BANCOS*COSTO,0)</f>
        <v/>
      </c>
      <c r="BC116" s="40">
        <f>IF(ISNUMBER(BA116),BA116-BB116,"")</f>
        <v/>
      </c>
      <c r="BD116" s="42">
        <f>IF(ISNUMBER(BC116),IF(A116&lt;=FECHA_ERA,"A","B"),"")</f>
        <v/>
      </c>
      <c r="BE116" s="40">
        <f>IF(BD116="A",BC116,"")</f>
        <v/>
      </c>
      <c r="BF116" s="40">
        <f>IF(BD116="B",BC116,"")</f>
        <v/>
      </c>
      <c r="BG116" s="38">
        <f>IF(AND(ISNUMBER(BC116),ISNUMBER(A116)),IF(A116&gt;=INICIO_VIVO,1,0),0)</f>
        <v/>
      </c>
      <c r="BH116" s="40">
        <f>IF(BG116=1,BC116,"")</f>
        <v/>
      </c>
      <c r="BI116" s="38">
        <f>IF(ISNUMBER(AY116),ROW(),0)</f>
        <v/>
      </c>
      <c r="BJ116" s="43">
        <f>IF(ISNUMBER(BC116),SUM(BC$5:BC116)*10000,NA())</f>
        <v/>
      </c>
      <c r="BK116" s="43">
        <f>IF(BG116=1,SUM(BH$5:BH116)*10000,NA())</f>
        <v/>
      </c>
      <c r="BL116" s="44">
        <f>IF(ISNUMBER(AY116),AY116,NA())</f>
        <v/>
      </c>
    </row>
    <row r="117">
      <c r="A117" s="36">
        <f>IF(Datos!A117="","",Datos!A117)</f>
        <v/>
      </c>
      <c r="B117" s="37">
        <f>IF(OR($A117="",NOT(ISNUMBER(Datos!B117)),NOT(ISNUMBER(Datos!B116))),"",Datos!B117/Datos!B116-1)</f>
        <v/>
      </c>
      <c r="C117" s="37">
        <f>IF(OR($A117="",NOT(ISNUMBER(Datos!C117)),NOT(ISNUMBER(Datos!C116))),"",Datos!C117/Datos!C116-1)</f>
        <v/>
      </c>
      <c r="D117" s="37">
        <f>IF(OR($A117="",NOT(ISNUMBER(Datos!D117)),NOT(ISNUMBER(Datos!D116))),"",Datos!D117/Datos!D116-1)</f>
        <v/>
      </c>
      <c r="E117" s="37">
        <f>IF(OR($A117="",NOT(ISNUMBER(Datos!E117)),NOT(ISNUMBER(Datos!E116))),"",Datos!E117/Datos!E116-1)</f>
        <v/>
      </c>
      <c r="F117" s="38">
        <f>IF($A117="","",COUNT(B117:E117))</f>
        <v/>
      </c>
      <c r="G117" s="37">
        <f>IF($A117="","",IF(F117&gt;=MIN_BANCOS,AVERAGE(B117:E117),""))</f>
        <v/>
      </c>
      <c r="H117" s="37">
        <f>IF(OR($A117="",NOT(ISNUMBER(Datos!F117)),NOT(ISNUMBER(Datos!F116))),"",Datos!F117/Datos!F116-1)</f>
        <v/>
      </c>
      <c r="I117" s="39">
        <f>IF($A117="","",IF(ISNUMBER(Datos!G117),Datos!G117,I116))</f>
        <v/>
      </c>
      <c r="J117" s="40">
        <f>IF($A117="","",IF(ISNUMBER(I116),LN(1+I116/100/12),0))</f>
        <v/>
      </c>
      <c r="K117" s="40">
        <f>IF(ISNUMBER(G117),LN(1+G117)-J117,"")</f>
        <v/>
      </c>
      <c r="L117" s="40">
        <f>IF(ISNUMBER(H117),LN(1+H117)-J117,"")</f>
        <v/>
      </c>
      <c r="M117" s="38">
        <f>IF(ISNUMBER(K117),1,0)</f>
        <v/>
      </c>
      <c r="N117" s="40">
        <f>IF(M117=1,K117,0)</f>
        <v/>
      </c>
      <c r="O117" s="38">
        <f>IF(ISNUMBER(L117),1,0)</f>
        <v/>
      </c>
      <c r="P117" s="40">
        <f>IF(O117=1,L117,0)</f>
        <v/>
      </c>
      <c r="Q117" s="38">
        <f>M117*O117</f>
        <v/>
      </c>
      <c r="R117" s="38">
        <f>SUM(Q81:Q116)</f>
        <v/>
      </c>
      <c r="S117" s="41">
        <f>IF(OR($A117="",R117&lt;MIN_OBS_ROLL),"",(SUMPRODUCT(Q81:Q116,N81:N116,P81:P116)/R117-SUMPRODUCT(Q81:Q116,N81:N116)/R117*SUMPRODUCT(Q81:Q116,P81:P116)/R117)*R117/(R117-1))</f>
        <v/>
      </c>
      <c r="T117" s="38">
        <f>SUM(O81:O116)</f>
        <v/>
      </c>
      <c r="U117" s="41">
        <f>IF(OR($A117="",T117&lt;MIN_OBS_ROLL),"",SUMPRODUCT(O81:O116,(P81:P116-SUMPRODUCT(O81:O116,P81:P116)/T117)^2)/(T117-1))</f>
        <v/>
      </c>
      <c r="V117" s="40">
        <f>IF(OR(S117="",U117=""),"",S117/U117)</f>
        <v/>
      </c>
      <c r="W117" s="40">
        <f>IF(AND(ISNUMBER(K117),ISNUMBER(L117),ISNUMBER(V117)),K117-V117*L117,"")</f>
        <v/>
      </c>
      <c r="X117" s="40">
        <f>IF(OR($A117="",NOT(ISNUMBER(Datos!H117)),NOT(ISNUMBER(Datos!H116))),"",LN(Datos!H117)-LN(Datos!H116))</f>
        <v/>
      </c>
      <c r="Y117" s="38">
        <f>IF(ISNUMBER(W117),1,0)</f>
        <v/>
      </c>
      <c r="Z117" s="40">
        <f>IF(Y117=1,W117,0)</f>
        <v/>
      </c>
      <c r="AA117" s="38">
        <f>IF(ISNUMBER(X117),1,0)</f>
        <v/>
      </c>
      <c r="AB117" s="40">
        <f>IF(AA117=1,X117,0)</f>
        <v/>
      </c>
      <c r="AC117" s="38">
        <f>Y117*AA117</f>
        <v/>
      </c>
      <c r="AD117" s="38">
        <f>SUM(AC81:AC116)</f>
        <v/>
      </c>
      <c r="AE117" s="41">
        <f>IF(OR($A117="",AD117&lt;MIN_OBS_ROLL),"",(SUMPRODUCT(AC81:AC116,Z81:Z116,AB81:AB116)/AD117-SUMPRODUCT(AC81:AC116,Z81:Z116)/AD117*SUMPRODUCT(AC81:AC116,AB81:AB116)/AD117)*AD117/(AD117-1))</f>
        <v/>
      </c>
      <c r="AF117" s="38">
        <f>SUM(AA81:AA116)</f>
        <v/>
      </c>
      <c r="AG117" s="41">
        <f>IF(OR($A117="",AF117&lt;MIN_OBS_ROLL),"",SUMPRODUCT(AA81:AA116,(AB81:AB116-SUMPRODUCT(AA81:AA116,AB81:AB116)/AF117)^2)/(AF117-1))</f>
        <v/>
      </c>
      <c r="AH117" s="38">
        <f>SUM(Y81:Y116)</f>
        <v/>
      </c>
      <c r="AI117" s="40">
        <f>IF(OR($A117="",AH117&lt;MIN_OBS_ROLL),"",SUMPRODUCT(Y81:Y116,Z81:Z116)/AH117)</f>
        <v/>
      </c>
      <c r="AJ117" s="40">
        <f>IF(OR($A117="",AF117&lt;MIN_OBS_ROLL),"",SUMPRODUCT(AA81:AA116,AB81:AB116)/AF117)</f>
        <v/>
      </c>
      <c r="AK117" s="40">
        <f>IF(OR(AE117="",AG117=""),"",AE117/AG117)</f>
        <v/>
      </c>
      <c r="AL117" s="40">
        <f>IF(OR(AI117="",AK117="",AJ117=""),"",AI117-AK117*AJ117)</f>
        <v/>
      </c>
      <c r="AM117" s="40">
        <f>IF(AND(ISNUMBER(W117),ISNUMBER(X117),ISNUMBER(AK117),ISNUMBER(AL117)),W117-(AL117+AK117*X117),"")</f>
        <v/>
      </c>
      <c r="AN117" s="38">
        <f>IF(ISNUMBER(AM117),1,0)</f>
        <v/>
      </c>
      <c r="AO117" s="40">
        <f>IF(AN117=1,AM117,0)</f>
        <v/>
      </c>
      <c r="AP117" s="40">
        <f>IF(SUM(AN115:AN117)=3,SUM(AO115:AO117),"")</f>
        <v/>
      </c>
      <c r="AQ117" s="38">
        <f>IF(ISNUMBER(AP117),1,0)</f>
        <v/>
      </c>
      <c r="AR117" s="40">
        <f>IF(AQ117=1,AP117,0)</f>
        <v/>
      </c>
      <c r="AS117" s="38">
        <f>SUM(AQ$5:AQ117)</f>
        <v/>
      </c>
      <c r="AT117" s="40">
        <f>IF(AS117&gt;=MIN_OBS_Z,SUMPRODUCT(AQ$5:AQ117,AR$5:AR117)/AS117,"")</f>
        <v/>
      </c>
      <c r="AU117" s="40">
        <f>IF(AS117&gt;=MIN_OBS_Z,SQRT(SUMPRODUCT(AQ$5:AQ117,(AR$5:AR117-AT117)^2)/(AS117-1)),"")</f>
        <v/>
      </c>
      <c r="AV117" s="40">
        <f>IF(AND(AQ117=1,ISNUMBER(AT117)),MAX(-Z_CLIP,MIN(Z_CLIP,(AR117-AT117)/AU117)),"")</f>
        <v/>
      </c>
      <c r="AW117" s="40">
        <f>IF(ISNUMBER(AV117),-AV117,"")</f>
        <v/>
      </c>
      <c r="AX117" s="40">
        <f>IF(ISNUMBER(AW117),1+AMPLITUD*TANH(AW117),"")</f>
        <v/>
      </c>
      <c r="AY117" s="40">
        <f>IF($A117="","",IF(COUNT(AX115:AX117)&gt;0,AVERAGE(AX115:AX117),""))</f>
        <v/>
      </c>
      <c r="AZ117" s="40">
        <f>IF(ISNUMBER(AY117),AY117-1,"")</f>
        <v/>
      </c>
      <c r="BA117" s="40">
        <f>IF(AND(ISNUMBER(AZ116),ISNUMBER(W117)),AZ116*W_BANCOS*W117,"")</f>
        <v/>
      </c>
      <c r="BB117" s="40">
        <f>IF(AND(ISNUMBER(AZ116),ISNUMBER(AZ115)),ABS(AZ116-AZ115)*W_BANCOS*COSTO,0)</f>
        <v/>
      </c>
      <c r="BC117" s="40">
        <f>IF(ISNUMBER(BA117),BA117-BB117,"")</f>
        <v/>
      </c>
      <c r="BD117" s="42">
        <f>IF(ISNUMBER(BC117),IF(A117&lt;=FECHA_ERA,"A","B"),"")</f>
        <v/>
      </c>
      <c r="BE117" s="40">
        <f>IF(BD117="A",BC117,"")</f>
        <v/>
      </c>
      <c r="BF117" s="40">
        <f>IF(BD117="B",BC117,"")</f>
        <v/>
      </c>
      <c r="BG117" s="38">
        <f>IF(AND(ISNUMBER(BC117),ISNUMBER(A117)),IF(A117&gt;=INICIO_VIVO,1,0),0)</f>
        <v/>
      </c>
      <c r="BH117" s="40">
        <f>IF(BG117=1,BC117,"")</f>
        <v/>
      </c>
      <c r="BI117" s="38">
        <f>IF(ISNUMBER(AY117),ROW(),0)</f>
        <v/>
      </c>
      <c r="BJ117" s="43">
        <f>IF(ISNUMBER(BC117),SUM(BC$5:BC117)*10000,NA())</f>
        <v/>
      </c>
      <c r="BK117" s="43">
        <f>IF(BG117=1,SUM(BH$5:BH117)*10000,NA())</f>
        <v/>
      </c>
      <c r="BL117" s="44">
        <f>IF(ISNUMBER(AY117),AY117,NA())</f>
        <v/>
      </c>
    </row>
    <row r="118">
      <c r="A118" s="36">
        <f>IF(Datos!A118="","",Datos!A118)</f>
        <v/>
      </c>
      <c r="B118" s="37">
        <f>IF(OR($A118="",NOT(ISNUMBER(Datos!B118)),NOT(ISNUMBER(Datos!B117))),"",Datos!B118/Datos!B117-1)</f>
        <v/>
      </c>
      <c r="C118" s="37">
        <f>IF(OR($A118="",NOT(ISNUMBER(Datos!C118)),NOT(ISNUMBER(Datos!C117))),"",Datos!C118/Datos!C117-1)</f>
        <v/>
      </c>
      <c r="D118" s="37">
        <f>IF(OR($A118="",NOT(ISNUMBER(Datos!D118)),NOT(ISNUMBER(Datos!D117))),"",Datos!D118/Datos!D117-1)</f>
        <v/>
      </c>
      <c r="E118" s="37">
        <f>IF(OR($A118="",NOT(ISNUMBER(Datos!E118)),NOT(ISNUMBER(Datos!E117))),"",Datos!E118/Datos!E117-1)</f>
        <v/>
      </c>
      <c r="F118" s="38">
        <f>IF($A118="","",COUNT(B118:E118))</f>
        <v/>
      </c>
      <c r="G118" s="37">
        <f>IF($A118="","",IF(F118&gt;=MIN_BANCOS,AVERAGE(B118:E118),""))</f>
        <v/>
      </c>
      <c r="H118" s="37">
        <f>IF(OR($A118="",NOT(ISNUMBER(Datos!F118)),NOT(ISNUMBER(Datos!F117))),"",Datos!F118/Datos!F117-1)</f>
        <v/>
      </c>
      <c r="I118" s="39">
        <f>IF($A118="","",IF(ISNUMBER(Datos!G118),Datos!G118,I117))</f>
        <v/>
      </c>
      <c r="J118" s="40">
        <f>IF($A118="","",IF(ISNUMBER(I117),LN(1+I117/100/12),0))</f>
        <v/>
      </c>
      <c r="K118" s="40">
        <f>IF(ISNUMBER(G118),LN(1+G118)-J118,"")</f>
        <v/>
      </c>
      <c r="L118" s="40">
        <f>IF(ISNUMBER(H118),LN(1+H118)-J118,"")</f>
        <v/>
      </c>
      <c r="M118" s="38">
        <f>IF(ISNUMBER(K118),1,0)</f>
        <v/>
      </c>
      <c r="N118" s="40">
        <f>IF(M118=1,K118,0)</f>
        <v/>
      </c>
      <c r="O118" s="38">
        <f>IF(ISNUMBER(L118),1,0)</f>
        <v/>
      </c>
      <c r="P118" s="40">
        <f>IF(O118=1,L118,0)</f>
        <v/>
      </c>
      <c r="Q118" s="38">
        <f>M118*O118</f>
        <v/>
      </c>
      <c r="R118" s="38">
        <f>SUM(Q82:Q117)</f>
        <v/>
      </c>
      <c r="S118" s="41">
        <f>IF(OR($A118="",R118&lt;MIN_OBS_ROLL),"",(SUMPRODUCT(Q82:Q117,N82:N117,P82:P117)/R118-SUMPRODUCT(Q82:Q117,N82:N117)/R118*SUMPRODUCT(Q82:Q117,P82:P117)/R118)*R118/(R118-1))</f>
        <v/>
      </c>
      <c r="T118" s="38">
        <f>SUM(O82:O117)</f>
        <v/>
      </c>
      <c r="U118" s="41">
        <f>IF(OR($A118="",T118&lt;MIN_OBS_ROLL),"",SUMPRODUCT(O82:O117,(P82:P117-SUMPRODUCT(O82:O117,P82:P117)/T118)^2)/(T118-1))</f>
        <v/>
      </c>
      <c r="V118" s="40">
        <f>IF(OR(S118="",U118=""),"",S118/U118)</f>
        <v/>
      </c>
      <c r="W118" s="40">
        <f>IF(AND(ISNUMBER(K118),ISNUMBER(L118),ISNUMBER(V118)),K118-V118*L118,"")</f>
        <v/>
      </c>
      <c r="X118" s="40">
        <f>IF(OR($A118="",NOT(ISNUMBER(Datos!H118)),NOT(ISNUMBER(Datos!H117))),"",LN(Datos!H118)-LN(Datos!H117))</f>
        <v/>
      </c>
      <c r="Y118" s="38">
        <f>IF(ISNUMBER(W118),1,0)</f>
        <v/>
      </c>
      <c r="Z118" s="40">
        <f>IF(Y118=1,W118,0)</f>
        <v/>
      </c>
      <c r="AA118" s="38">
        <f>IF(ISNUMBER(X118),1,0)</f>
        <v/>
      </c>
      <c r="AB118" s="40">
        <f>IF(AA118=1,X118,0)</f>
        <v/>
      </c>
      <c r="AC118" s="38">
        <f>Y118*AA118</f>
        <v/>
      </c>
      <c r="AD118" s="38">
        <f>SUM(AC82:AC117)</f>
        <v/>
      </c>
      <c r="AE118" s="41">
        <f>IF(OR($A118="",AD118&lt;MIN_OBS_ROLL),"",(SUMPRODUCT(AC82:AC117,Z82:Z117,AB82:AB117)/AD118-SUMPRODUCT(AC82:AC117,Z82:Z117)/AD118*SUMPRODUCT(AC82:AC117,AB82:AB117)/AD118)*AD118/(AD118-1))</f>
        <v/>
      </c>
      <c r="AF118" s="38">
        <f>SUM(AA82:AA117)</f>
        <v/>
      </c>
      <c r="AG118" s="41">
        <f>IF(OR($A118="",AF118&lt;MIN_OBS_ROLL),"",SUMPRODUCT(AA82:AA117,(AB82:AB117-SUMPRODUCT(AA82:AA117,AB82:AB117)/AF118)^2)/(AF118-1))</f>
        <v/>
      </c>
      <c r="AH118" s="38">
        <f>SUM(Y82:Y117)</f>
        <v/>
      </c>
      <c r="AI118" s="40">
        <f>IF(OR($A118="",AH118&lt;MIN_OBS_ROLL),"",SUMPRODUCT(Y82:Y117,Z82:Z117)/AH118)</f>
        <v/>
      </c>
      <c r="AJ118" s="40">
        <f>IF(OR($A118="",AF118&lt;MIN_OBS_ROLL),"",SUMPRODUCT(AA82:AA117,AB82:AB117)/AF118)</f>
        <v/>
      </c>
      <c r="AK118" s="40">
        <f>IF(OR(AE118="",AG118=""),"",AE118/AG118)</f>
        <v/>
      </c>
      <c r="AL118" s="40">
        <f>IF(OR(AI118="",AK118="",AJ118=""),"",AI118-AK118*AJ118)</f>
        <v/>
      </c>
      <c r="AM118" s="40">
        <f>IF(AND(ISNUMBER(W118),ISNUMBER(X118),ISNUMBER(AK118),ISNUMBER(AL118)),W118-(AL118+AK118*X118),"")</f>
        <v/>
      </c>
      <c r="AN118" s="38">
        <f>IF(ISNUMBER(AM118),1,0)</f>
        <v/>
      </c>
      <c r="AO118" s="40">
        <f>IF(AN118=1,AM118,0)</f>
        <v/>
      </c>
      <c r="AP118" s="40">
        <f>IF(SUM(AN116:AN118)=3,SUM(AO116:AO118),"")</f>
        <v/>
      </c>
      <c r="AQ118" s="38">
        <f>IF(ISNUMBER(AP118),1,0)</f>
        <v/>
      </c>
      <c r="AR118" s="40">
        <f>IF(AQ118=1,AP118,0)</f>
        <v/>
      </c>
      <c r="AS118" s="38">
        <f>SUM(AQ$5:AQ118)</f>
        <v/>
      </c>
      <c r="AT118" s="40">
        <f>IF(AS118&gt;=MIN_OBS_Z,SUMPRODUCT(AQ$5:AQ118,AR$5:AR118)/AS118,"")</f>
        <v/>
      </c>
      <c r="AU118" s="40">
        <f>IF(AS118&gt;=MIN_OBS_Z,SQRT(SUMPRODUCT(AQ$5:AQ118,(AR$5:AR118-AT118)^2)/(AS118-1)),"")</f>
        <v/>
      </c>
      <c r="AV118" s="40">
        <f>IF(AND(AQ118=1,ISNUMBER(AT118)),MAX(-Z_CLIP,MIN(Z_CLIP,(AR118-AT118)/AU118)),"")</f>
        <v/>
      </c>
      <c r="AW118" s="40">
        <f>IF(ISNUMBER(AV118),-AV118,"")</f>
        <v/>
      </c>
      <c r="AX118" s="40">
        <f>IF(ISNUMBER(AW118),1+AMPLITUD*TANH(AW118),"")</f>
        <v/>
      </c>
      <c r="AY118" s="40">
        <f>IF($A118="","",IF(COUNT(AX116:AX118)&gt;0,AVERAGE(AX116:AX118),""))</f>
        <v/>
      </c>
      <c r="AZ118" s="40">
        <f>IF(ISNUMBER(AY118),AY118-1,"")</f>
        <v/>
      </c>
      <c r="BA118" s="40">
        <f>IF(AND(ISNUMBER(AZ117),ISNUMBER(W118)),AZ117*W_BANCOS*W118,"")</f>
        <v/>
      </c>
      <c r="BB118" s="40">
        <f>IF(AND(ISNUMBER(AZ117),ISNUMBER(AZ116)),ABS(AZ117-AZ116)*W_BANCOS*COSTO,0)</f>
        <v/>
      </c>
      <c r="BC118" s="40">
        <f>IF(ISNUMBER(BA118),BA118-BB118,"")</f>
        <v/>
      </c>
      <c r="BD118" s="42">
        <f>IF(ISNUMBER(BC118),IF(A118&lt;=FECHA_ERA,"A","B"),"")</f>
        <v/>
      </c>
      <c r="BE118" s="40">
        <f>IF(BD118="A",BC118,"")</f>
        <v/>
      </c>
      <c r="BF118" s="40">
        <f>IF(BD118="B",BC118,"")</f>
        <v/>
      </c>
      <c r="BG118" s="38">
        <f>IF(AND(ISNUMBER(BC118),ISNUMBER(A118)),IF(A118&gt;=INICIO_VIVO,1,0),0)</f>
        <v/>
      </c>
      <c r="BH118" s="40">
        <f>IF(BG118=1,BC118,"")</f>
        <v/>
      </c>
      <c r="BI118" s="38">
        <f>IF(ISNUMBER(AY118),ROW(),0)</f>
        <v/>
      </c>
      <c r="BJ118" s="43">
        <f>IF(ISNUMBER(BC118),SUM(BC$5:BC118)*10000,NA())</f>
        <v/>
      </c>
      <c r="BK118" s="43">
        <f>IF(BG118=1,SUM(BH$5:BH118)*10000,NA())</f>
        <v/>
      </c>
      <c r="BL118" s="44">
        <f>IF(ISNUMBER(AY118),AY118,NA())</f>
        <v/>
      </c>
    </row>
    <row r="119">
      <c r="A119" s="36">
        <f>IF(Datos!A119="","",Datos!A119)</f>
        <v/>
      </c>
      <c r="B119" s="37">
        <f>IF(OR($A119="",NOT(ISNUMBER(Datos!B119)),NOT(ISNUMBER(Datos!B118))),"",Datos!B119/Datos!B118-1)</f>
        <v/>
      </c>
      <c r="C119" s="37">
        <f>IF(OR($A119="",NOT(ISNUMBER(Datos!C119)),NOT(ISNUMBER(Datos!C118))),"",Datos!C119/Datos!C118-1)</f>
        <v/>
      </c>
      <c r="D119" s="37">
        <f>IF(OR($A119="",NOT(ISNUMBER(Datos!D119)),NOT(ISNUMBER(Datos!D118))),"",Datos!D119/Datos!D118-1)</f>
        <v/>
      </c>
      <c r="E119" s="37">
        <f>IF(OR($A119="",NOT(ISNUMBER(Datos!E119)),NOT(ISNUMBER(Datos!E118))),"",Datos!E119/Datos!E118-1)</f>
        <v/>
      </c>
      <c r="F119" s="38">
        <f>IF($A119="","",COUNT(B119:E119))</f>
        <v/>
      </c>
      <c r="G119" s="37">
        <f>IF($A119="","",IF(F119&gt;=MIN_BANCOS,AVERAGE(B119:E119),""))</f>
        <v/>
      </c>
      <c r="H119" s="37">
        <f>IF(OR($A119="",NOT(ISNUMBER(Datos!F119)),NOT(ISNUMBER(Datos!F118))),"",Datos!F119/Datos!F118-1)</f>
        <v/>
      </c>
      <c r="I119" s="39">
        <f>IF($A119="","",IF(ISNUMBER(Datos!G119),Datos!G119,I118))</f>
        <v/>
      </c>
      <c r="J119" s="40">
        <f>IF($A119="","",IF(ISNUMBER(I118),LN(1+I118/100/12),0))</f>
        <v/>
      </c>
      <c r="K119" s="40">
        <f>IF(ISNUMBER(G119),LN(1+G119)-J119,"")</f>
        <v/>
      </c>
      <c r="L119" s="40">
        <f>IF(ISNUMBER(H119),LN(1+H119)-J119,"")</f>
        <v/>
      </c>
      <c r="M119" s="38">
        <f>IF(ISNUMBER(K119),1,0)</f>
        <v/>
      </c>
      <c r="N119" s="40">
        <f>IF(M119=1,K119,0)</f>
        <v/>
      </c>
      <c r="O119" s="38">
        <f>IF(ISNUMBER(L119),1,0)</f>
        <v/>
      </c>
      <c r="P119" s="40">
        <f>IF(O119=1,L119,0)</f>
        <v/>
      </c>
      <c r="Q119" s="38">
        <f>M119*O119</f>
        <v/>
      </c>
      <c r="R119" s="38">
        <f>SUM(Q83:Q118)</f>
        <v/>
      </c>
      <c r="S119" s="41">
        <f>IF(OR($A119="",R119&lt;MIN_OBS_ROLL),"",(SUMPRODUCT(Q83:Q118,N83:N118,P83:P118)/R119-SUMPRODUCT(Q83:Q118,N83:N118)/R119*SUMPRODUCT(Q83:Q118,P83:P118)/R119)*R119/(R119-1))</f>
        <v/>
      </c>
      <c r="T119" s="38">
        <f>SUM(O83:O118)</f>
        <v/>
      </c>
      <c r="U119" s="41">
        <f>IF(OR($A119="",T119&lt;MIN_OBS_ROLL),"",SUMPRODUCT(O83:O118,(P83:P118-SUMPRODUCT(O83:O118,P83:P118)/T119)^2)/(T119-1))</f>
        <v/>
      </c>
      <c r="V119" s="40">
        <f>IF(OR(S119="",U119=""),"",S119/U119)</f>
        <v/>
      </c>
      <c r="W119" s="40">
        <f>IF(AND(ISNUMBER(K119),ISNUMBER(L119),ISNUMBER(V119)),K119-V119*L119,"")</f>
        <v/>
      </c>
      <c r="X119" s="40">
        <f>IF(OR($A119="",NOT(ISNUMBER(Datos!H119)),NOT(ISNUMBER(Datos!H118))),"",LN(Datos!H119)-LN(Datos!H118))</f>
        <v/>
      </c>
      <c r="Y119" s="38">
        <f>IF(ISNUMBER(W119),1,0)</f>
        <v/>
      </c>
      <c r="Z119" s="40">
        <f>IF(Y119=1,W119,0)</f>
        <v/>
      </c>
      <c r="AA119" s="38">
        <f>IF(ISNUMBER(X119),1,0)</f>
        <v/>
      </c>
      <c r="AB119" s="40">
        <f>IF(AA119=1,X119,0)</f>
        <v/>
      </c>
      <c r="AC119" s="38">
        <f>Y119*AA119</f>
        <v/>
      </c>
      <c r="AD119" s="38">
        <f>SUM(AC83:AC118)</f>
        <v/>
      </c>
      <c r="AE119" s="41">
        <f>IF(OR($A119="",AD119&lt;MIN_OBS_ROLL),"",(SUMPRODUCT(AC83:AC118,Z83:Z118,AB83:AB118)/AD119-SUMPRODUCT(AC83:AC118,Z83:Z118)/AD119*SUMPRODUCT(AC83:AC118,AB83:AB118)/AD119)*AD119/(AD119-1))</f>
        <v/>
      </c>
      <c r="AF119" s="38">
        <f>SUM(AA83:AA118)</f>
        <v/>
      </c>
      <c r="AG119" s="41">
        <f>IF(OR($A119="",AF119&lt;MIN_OBS_ROLL),"",SUMPRODUCT(AA83:AA118,(AB83:AB118-SUMPRODUCT(AA83:AA118,AB83:AB118)/AF119)^2)/(AF119-1))</f>
        <v/>
      </c>
      <c r="AH119" s="38">
        <f>SUM(Y83:Y118)</f>
        <v/>
      </c>
      <c r="AI119" s="40">
        <f>IF(OR($A119="",AH119&lt;MIN_OBS_ROLL),"",SUMPRODUCT(Y83:Y118,Z83:Z118)/AH119)</f>
        <v/>
      </c>
      <c r="AJ119" s="40">
        <f>IF(OR($A119="",AF119&lt;MIN_OBS_ROLL),"",SUMPRODUCT(AA83:AA118,AB83:AB118)/AF119)</f>
        <v/>
      </c>
      <c r="AK119" s="40">
        <f>IF(OR(AE119="",AG119=""),"",AE119/AG119)</f>
        <v/>
      </c>
      <c r="AL119" s="40">
        <f>IF(OR(AI119="",AK119="",AJ119=""),"",AI119-AK119*AJ119)</f>
        <v/>
      </c>
      <c r="AM119" s="40">
        <f>IF(AND(ISNUMBER(W119),ISNUMBER(X119),ISNUMBER(AK119),ISNUMBER(AL119)),W119-(AL119+AK119*X119),"")</f>
        <v/>
      </c>
      <c r="AN119" s="38">
        <f>IF(ISNUMBER(AM119),1,0)</f>
        <v/>
      </c>
      <c r="AO119" s="40">
        <f>IF(AN119=1,AM119,0)</f>
        <v/>
      </c>
      <c r="AP119" s="40">
        <f>IF(SUM(AN117:AN119)=3,SUM(AO117:AO119),"")</f>
        <v/>
      </c>
      <c r="AQ119" s="38">
        <f>IF(ISNUMBER(AP119),1,0)</f>
        <v/>
      </c>
      <c r="AR119" s="40">
        <f>IF(AQ119=1,AP119,0)</f>
        <v/>
      </c>
      <c r="AS119" s="38">
        <f>SUM(AQ$5:AQ119)</f>
        <v/>
      </c>
      <c r="AT119" s="40">
        <f>IF(AS119&gt;=MIN_OBS_Z,SUMPRODUCT(AQ$5:AQ119,AR$5:AR119)/AS119,"")</f>
        <v/>
      </c>
      <c r="AU119" s="40">
        <f>IF(AS119&gt;=MIN_OBS_Z,SQRT(SUMPRODUCT(AQ$5:AQ119,(AR$5:AR119-AT119)^2)/(AS119-1)),"")</f>
        <v/>
      </c>
      <c r="AV119" s="40">
        <f>IF(AND(AQ119=1,ISNUMBER(AT119)),MAX(-Z_CLIP,MIN(Z_CLIP,(AR119-AT119)/AU119)),"")</f>
        <v/>
      </c>
      <c r="AW119" s="40">
        <f>IF(ISNUMBER(AV119),-AV119,"")</f>
        <v/>
      </c>
      <c r="AX119" s="40">
        <f>IF(ISNUMBER(AW119),1+AMPLITUD*TANH(AW119),"")</f>
        <v/>
      </c>
      <c r="AY119" s="40">
        <f>IF($A119="","",IF(COUNT(AX117:AX119)&gt;0,AVERAGE(AX117:AX119),""))</f>
        <v/>
      </c>
      <c r="AZ119" s="40">
        <f>IF(ISNUMBER(AY119),AY119-1,"")</f>
        <v/>
      </c>
      <c r="BA119" s="40">
        <f>IF(AND(ISNUMBER(AZ118),ISNUMBER(W119)),AZ118*W_BANCOS*W119,"")</f>
        <v/>
      </c>
      <c r="BB119" s="40">
        <f>IF(AND(ISNUMBER(AZ118),ISNUMBER(AZ117)),ABS(AZ118-AZ117)*W_BANCOS*COSTO,0)</f>
        <v/>
      </c>
      <c r="BC119" s="40">
        <f>IF(ISNUMBER(BA119),BA119-BB119,"")</f>
        <v/>
      </c>
      <c r="BD119" s="42">
        <f>IF(ISNUMBER(BC119),IF(A119&lt;=FECHA_ERA,"A","B"),"")</f>
        <v/>
      </c>
      <c r="BE119" s="40">
        <f>IF(BD119="A",BC119,"")</f>
        <v/>
      </c>
      <c r="BF119" s="40">
        <f>IF(BD119="B",BC119,"")</f>
        <v/>
      </c>
      <c r="BG119" s="38">
        <f>IF(AND(ISNUMBER(BC119),ISNUMBER(A119)),IF(A119&gt;=INICIO_VIVO,1,0),0)</f>
        <v/>
      </c>
      <c r="BH119" s="40">
        <f>IF(BG119=1,BC119,"")</f>
        <v/>
      </c>
      <c r="BI119" s="38">
        <f>IF(ISNUMBER(AY119),ROW(),0)</f>
        <v/>
      </c>
      <c r="BJ119" s="43">
        <f>IF(ISNUMBER(BC119),SUM(BC$5:BC119)*10000,NA())</f>
        <v/>
      </c>
      <c r="BK119" s="43">
        <f>IF(BG119=1,SUM(BH$5:BH119)*10000,NA())</f>
        <v/>
      </c>
      <c r="BL119" s="44">
        <f>IF(ISNUMBER(AY119),AY119,NA())</f>
        <v/>
      </c>
    </row>
    <row r="120">
      <c r="A120" s="36">
        <f>IF(Datos!A120="","",Datos!A120)</f>
        <v/>
      </c>
      <c r="B120" s="37">
        <f>IF(OR($A120="",NOT(ISNUMBER(Datos!B120)),NOT(ISNUMBER(Datos!B119))),"",Datos!B120/Datos!B119-1)</f>
        <v/>
      </c>
      <c r="C120" s="37">
        <f>IF(OR($A120="",NOT(ISNUMBER(Datos!C120)),NOT(ISNUMBER(Datos!C119))),"",Datos!C120/Datos!C119-1)</f>
        <v/>
      </c>
      <c r="D120" s="37">
        <f>IF(OR($A120="",NOT(ISNUMBER(Datos!D120)),NOT(ISNUMBER(Datos!D119))),"",Datos!D120/Datos!D119-1)</f>
        <v/>
      </c>
      <c r="E120" s="37">
        <f>IF(OR($A120="",NOT(ISNUMBER(Datos!E120)),NOT(ISNUMBER(Datos!E119))),"",Datos!E120/Datos!E119-1)</f>
        <v/>
      </c>
      <c r="F120" s="38">
        <f>IF($A120="","",COUNT(B120:E120))</f>
        <v/>
      </c>
      <c r="G120" s="37">
        <f>IF($A120="","",IF(F120&gt;=MIN_BANCOS,AVERAGE(B120:E120),""))</f>
        <v/>
      </c>
      <c r="H120" s="37">
        <f>IF(OR($A120="",NOT(ISNUMBER(Datos!F120)),NOT(ISNUMBER(Datos!F119))),"",Datos!F120/Datos!F119-1)</f>
        <v/>
      </c>
      <c r="I120" s="39">
        <f>IF($A120="","",IF(ISNUMBER(Datos!G120),Datos!G120,I119))</f>
        <v/>
      </c>
      <c r="J120" s="40">
        <f>IF($A120="","",IF(ISNUMBER(I119),LN(1+I119/100/12),0))</f>
        <v/>
      </c>
      <c r="K120" s="40">
        <f>IF(ISNUMBER(G120),LN(1+G120)-J120,"")</f>
        <v/>
      </c>
      <c r="L120" s="40">
        <f>IF(ISNUMBER(H120),LN(1+H120)-J120,"")</f>
        <v/>
      </c>
      <c r="M120" s="38">
        <f>IF(ISNUMBER(K120),1,0)</f>
        <v/>
      </c>
      <c r="N120" s="40">
        <f>IF(M120=1,K120,0)</f>
        <v/>
      </c>
      <c r="O120" s="38">
        <f>IF(ISNUMBER(L120),1,0)</f>
        <v/>
      </c>
      <c r="P120" s="40">
        <f>IF(O120=1,L120,0)</f>
        <v/>
      </c>
      <c r="Q120" s="38">
        <f>M120*O120</f>
        <v/>
      </c>
      <c r="R120" s="38">
        <f>SUM(Q84:Q119)</f>
        <v/>
      </c>
      <c r="S120" s="41">
        <f>IF(OR($A120="",R120&lt;MIN_OBS_ROLL),"",(SUMPRODUCT(Q84:Q119,N84:N119,P84:P119)/R120-SUMPRODUCT(Q84:Q119,N84:N119)/R120*SUMPRODUCT(Q84:Q119,P84:P119)/R120)*R120/(R120-1))</f>
        <v/>
      </c>
      <c r="T120" s="38">
        <f>SUM(O84:O119)</f>
        <v/>
      </c>
      <c r="U120" s="41">
        <f>IF(OR($A120="",T120&lt;MIN_OBS_ROLL),"",SUMPRODUCT(O84:O119,(P84:P119-SUMPRODUCT(O84:O119,P84:P119)/T120)^2)/(T120-1))</f>
        <v/>
      </c>
      <c r="V120" s="40">
        <f>IF(OR(S120="",U120=""),"",S120/U120)</f>
        <v/>
      </c>
      <c r="W120" s="40">
        <f>IF(AND(ISNUMBER(K120),ISNUMBER(L120),ISNUMBER(V120)),K120-V120*L120,"")</f>
        <v/>
      </c>
      <c r="X120" s="40">
        <f>IF(OR($A120="",NOT(ISNUMBER(Datos!H120)),NOT(ISNUMBER(Datos!H119))),"",LN(Datos!H120)-LN(Datos!H119))</f>
        <v/>
      </c>
      <c r="Y120" s="38">
        <f>IF(ISNUMBER(W120),1,0)</f>
        <v/>
      </c>
      <c r="Z120" s="40">
        <f>IF(Y120=1,W120,0)</f>
        <v/>
      </c>
      <c r="AA120" s="38">
        <f>IF(ISNUMBER(X120),1,0)</f>
        <v/>
      </c>
      <c r="AB120" s="40">
        <f>IF(AA120=1,X120,0)</f>
        <v/>
      </c>
      <c r="AC120" s="38">
        <f>Y120*AA120</f>
        <v/>
      </c>
      <c r="AD120" s="38">
        <f>SUM(AC84:AC119)</f>
        <v/>
      </c>
      <c r="AE120" s="41">
        <f>IF(OR($A120="",AD120&lt;MIN_OBS_ROLL),"",(SUMPRODUCT(AC84:AC119,Z84:Z119,AB84:AB119)/AD120-SUMPRODUCT(AC84:AC119,Z84:Z119)/AD120*SUMPRODUCT(AC84:AC119,AB84:AB119)/AD120)*AD120/(AD120-1))</f>
        <v/>
      </c>
      <c r="AF120" s="38">
        <f>SUM(AA84:AA119)</f>
        <v/>
      </c>
      <c r="AG120" s="41">
        <f>IF(OR($A120="",AF120&lt;MIN_OBS_ROLL),"",SUMPRODUCT(AA84:AA119,(AB84:AB119-SUMPRODUCT(AA84:AA119,AB84:AB119)/AF120)^2)/(AF120-1))</f>
        <v/>
      </c>
      <c r="AH120" s="38">
        <f>SUM(Y84:Y119)</f>
        <v/>
      </c>
      <c r="AI120" s="40">
        <f>IF(OR($A120="",AH120&lt;MIN_OBS_ROLL),"",SUMPRODUCT(Y84:Y119,Z84:Z119)/AH120)</f>
        <v/>
      </c>
      <c r="AJ120" s="40">
        <f>IF(OR($A120="",AF120&lt;MIN_OBS_ROLL),"",SUMPRODUCT(AA84:AA119,AB84:AB119)/AF120)</f>
        <v/>
      </c>
      <c r="AK120" s="40">
        <f>IF(OR(AE120="",AG120=""),"",AE120/AG120)</f>
        <v/>
      </c>
      <c r="AL120" s="40">
        <f>IF(OR(AI120="",AK120="",AJ120=""),"",AI120-AK120*AJ120)</f>
        <v/>
      </c>
      <c r="AM120" s="40">
        <f>IF(AND(ISNUMBER(W120),ISNUMBER(X120),ISNUMBER(AK120),ISNUMBER(AL120)),W120-(AL120+AK120*X120),"")</f>
        <v/>
      </c>
      <c r="AN120" s="38">
        <f>IF(ISNUMBER(AM120),1,0)</f>
        <v/>
      </c>
      <c r="AO120" s="40">
        <f>IF(AN120=1,AM120,0)</f>
        <v/>
      </c>
      <c r="AP120" s="40">
        <f>IF(SUM(AN118:AN120)=3,SUM(AO118:AO120),"")</f>
        <v/>
      </c>
      <c r="AQ120" s="38">
        <f>IF(ISNUMBER(AP120),1,0)</f>
        <v/>
      </c>
      <c r="AR120" s="40">
        <f>IF(AQ120=1,AP120,0)</f>
        <v/>
      </c>
      <c r="AS120" s="38">
        <f>SUM(AQ$5:AQ120)</f>
        <v/>
      </c>
      <c r="AT120" s="40">
        <f>IF(AS120&gt;=MIN_OBS_Z,SUMPRODUCT(AQ$5:AQ120,AR$5:AR120)/AS120,"")</f>
        <v/>
      </c>
      <c r="AU120" s="40">
        <f>IF(AS120&gt;=MIN_OBS_Z,SQRT(SUMPRODUCT(AQ$5:AQ120,(AR$5:AR120-AT120)^2)/(AS120-1)),"")</f>
        <v/>
      </c>
      <c r="AV120" s="40">
        <f>IF(AND(AQ120=1,ISNUMBER(AT120)),MAX(-Z_CLIP,MIN(Z_CLIP,(AR120-AT120)/AU120)),"")</f>
        <v/>
      </c>
      <c r="AW120" s="40">
        <f>IF(ISNUMBER(AV120),-AV120,"")</f>
        <v/>
      </c>
      <c r="AX120" s="40">
        <f>IF(ISNUMBER(AW120),1+AMPLITUD*TANH(AW120),"")</f>
        <v/>
      </c>
      <c r="AY120" s="40">
        <f>IF($A120="","",IF(COUNT(AX118:AX120)&gt;0,AVERAGE(AX118:AX120),""))</f>
        <v/>
      </c>
      <c r="AZ120" s="40">
        <f>IF(ISNUMBER(AY120),AY120-1,"")</f>
        <v/>
      </c>
      <c r="BA120" s="40">
        <f>IF(AND(ISNUMBER(AZ119),ISNUMBER(W120)),AZ119*W_BANCOS*W120,"")</f>
        <v/>
      </c>
      <c r="BB120" s="40">
        <f>IF(AND(ISNUMBER(AZ119),ISNUMBER(AZ118)),ABS(AZ119-AZ118)*W_BANCOS*COSTO,0)</f>
        <v/>
      </c>
      <c r="BC120" s="40">
        <f>IF(ISNUMBER(BA120),BA120-BB120,"")</f>
        <v/>
      </c>
      <c r="BD120" s="42">
        <f>IF(ISNUMBER(BC120),IF(A120&lt;=FECHA_ERA,"A","B"),"")</f>
        <v/>
      </c>
      <c r="BE120" s="40">
        <f>IF(BD120="A",BC120,"")</f>
        <v/>
      </c>
      <c r="BF120" s="40">
        <f>IF(BD120="B",BC120,"")</f>
        <v/>
      </c>
      <c r="BG120" s="38">
        <f>IF(AND(ISNUMBER(BC120),ISNUMBER(A120)),IF(A120&gt;=INICIO_VIVO,1,0),0)</f>
        <v/>
      </c>
      <c r="BH120" s="40">
        <f>IF(BG120=1,BC120,"")</f>
        <v/>
      </c>
      <c r="BI120" s="38">
        <f>IF(ISNUMBER(AY120),ROW(),0)</f>
        <v/>
      </c>
      <c r="BJ120" s="43">
        <f>IF(ISNUMBER(BC120),SUM(BC$5:BC120)*10000,NA())</f>
        <v/>
      </c>
      <c r="BK120" s="43">
        <f>IF(BG120=1,SUM(BH$5:BH120)*10000,NA())</f>
        <v/>
      </c>
      <c r="BL120" s="44">
        <f>IF(ISNUMBER(AY120),AY120,NA())</f>
        <v/>
      </c>
    </row>
    <row r="121">
      <c r="A121" s="36">
        <f>IF(Datos!A121="","",Datos!A121)</f>
        <v/>
      </c>
      <c r="B121" s="37">
        <f>IF(OR($A121="",NOT(ISNUMBER(Datos!B121)),NOT(ISNUMBER(Datos!B120))),"",Datos!B121/Datos!B120-1)</f>
        <v/>
      </c>
      <c r="C121" s="37">
        <f>IF(OR($A121="",NOT(ISNUMBER(Datos!C121)),NOT(ISNUMBER(Datos!C120))),"",Datos!C121/Datos!C120-1)</f>
        <v/>
      </c>
      <c r="D121" s="37">
        <f>IF(OR($A121="",NOT(ISNUMBER(Datos!D121)),NOT(ISNUMBER(Datos!D120))),"",Datos!D121/Datos!D120-1)</f>
        <v/>
      </c>
      <c r="E121" s="37">
        <f>IF(OR($A121="",NOT(ISNUMBER(Datos!E121)),NOT(ISNUMBER(Datos!E120))),"",Datos!E121/Datos!E120-1)</f>
        <v/>
      </c>
      <c r="F121" s="38">
        <f>IF($A121="","",COUNT(B121:E121))</f>
        <v/>
      </c>
      <c r="G121" s="37">
        <f>IF($A121="","",IF(F121&gt;=MIN_BANCOS,AVERAGE(B121:E121),""))</f>
        <v/>
      </c>
      <c r="H121" s="37">
        <f>IF(OR($A121="",NOT(ISNUMBER(Datos!F121)),NOT(ISNUMBER(Datos!F120))),"",Datos!F121/Datos!F120-1)</f>
        <v/>
      </c>
      <c r="I121" s="39">
        <f>IF($A121="","",IF(ISNUMBER(Datos!G121),Datos!G121,I120))</f>
        <v/>
      </c>
      <c r="J121" s="40">
        <f>IF($A121="","",IF(ISNUMBER(I120),LN(1+I120/100/12),0))</f>
        <v/>
      </c>
      <c r="K121" s="40">
        <f>IF(ISNUMBER(G121),LN(1+G121)-J121,"")</f>
        <v/>
      </c>
      <c r="L121" s="40">
        <f>IF(ISNUMBER(H121),LN(1+H121)-J121,"")</f>
        <v/>
      </c>
      <c r="M121" s="38">
        <f>IF(ISNUMBER(K121),1,0)</f>
        <v/>
      </c>
      <c r="N121" s="40">
        <f>IF(M121=1,K121,0)</f>
        <v/>
      </c>
      <c r="O121" s="38">
        <f>IF(ISNUMBER(L121),1,0)</f>
        <v/>
      </c>
      <c r="P121" s="40">
        <f>IF(O121=1,L121,0)</f>
        <v/>
      </c>
      <c r="Q121" s="38">
        <f>M121*O121</f>
        <v/>
      </c>
      <c r="R121" s="38">
        <f>SUM(Q85:Q120)</f>
        <v/>
      </c>
      <c r="S121" s="41">
        <f>IF(OR($A121="",R121&lt;MIN_OBS_ROLL),"",(SUMPRODUCT(Q85:Q120,N85:N120,P85:P120)/R121-SUMPRODUCT(Q85:Q120,N85:N120)/R121*SUMPRODUCT(Q85:Q120,P85:P120)/R121)*R121/(R121-1))</f>
        <v/>
      </c>
      <c r="T121" s="38">
        <f>SUM(O85:O120)</f>
        <v/>
      </c>
      <c r="U121" s="41">
        <f>IF(OR($A121="",T121&lt;MIN_OBS_ROLL),"",SUMPRODUCT(O85:O120,(P85:P120-SUMPRODUCT(O85:O120,P85:P120)/T121)^2)/(T121-1))</f>
        <v/>
      </c>
      <c r="V121" s="40">
        <f>IF(OR(S121="",U121=""),"",S121/U121)</f>
        <v/>
      </c>
      <c r="W121" s="40">
        <f>IF(AND(ISNUMBER(K121),ISNUMBER(L121),ISNUMBER(V121)),K121-V121*L121,"")</f>
        <v/>
      </c>
      <c r="X121" s="40">
        <f>IF(OR($A121="",NOT(ISNUMBER(Datos!H121)),NOT(ISNUMBER(Datos!H120))),"",LN(Datos!H121)-LN(Datos!H120))</f>
        <v/>
      </c>
      <c r="Y121" s="38">
        <f>IF(ISNUMBER(W121),1,0)</f>
        <v/>
      </c>
      <c r="Z121" s="40">
        <f>IF(Y121=1,W121,0)</f>
        <v/>
      </c>
      <c r="AA121" s="38">
        <f>IF(ISNUMBER(X121),1,0)</f>
        <v/>
      </c>
      <c r="AB121" s="40">
        <f>IF(AA121=1,X121,0)</f>
        <v/>
      </c>
      <c r="AC121" s="38">
        <f>Y121*AA121</f>
        <v/>
      </c>
      <c r="AD121" s="38">
        <f>SUM(AC85:AC120)</f>
        <v/>
      </c>
      <c r="AE121" s="41">
        <f>IF(OR($A121="",AD121&lt;MIN_OBS_ROLL),"",(SUMPRODUCT(AC85:AC120,Z85:Z120,AB85:AB120)/AD121-SUMPRODUCT(AC85:AC120,Z85:Z120)/AD121*SUMPRODUCT(AC85:AC120,AB85:AB120)/AD121)*AD121/(AD121-1))</f>
        <v/>
      </c>
      <c r="AF121" s="38">
        <f>SUM(AA85:AA120)</f>
        <v/>
      </c>
      <c r="AG121" s="41">
        <f>IF(OR($A121="",AF121&lt;MIN_OBS_ROLL),"",SUMPRODUCT(AA85:AA120,(AB85:AB120-SUMPRODUCT(AA85:AA120,AB85:AB120)/AF121)^2)/(AF121-1))</f>
        <v/>
      </c>
      <c r="AH121" s="38">
        <f>SUM(Y85:Y120)</f>
        <v/>
      </c>
      <c r="AI121" s="40">
        <f>IF(OR($A121="",AH121&lt;MIN_OBS_ROLL),"",SUMPRODUCT(Y85:Y120,Z85:Z120)/AH121)</f>
        <v/>
      </c>
      <c r="AJ121" s="40">
        <f>IF(OR($A121="",AF121&lt;MIN_OBS_ROLL),"",SUMPRODUCT(AA85:AA120,AB85:AB120)/AF121)</f>
        <v/>
      </c>
      <c r="AK121" s="40">
        <f>IF(OR(AE121="",AG121=""),"",AE121/AG121)</f>
        <v/>
      </c>
      <c r="AL121" s="40">
        <f>IF(OR(AI121="",AK121="",AJ121=""),"",AI121-AK121*AJ121)</f>
        <v/>
      </c>
      <c r="AM121" s="40">
        <f>IF(AND(ISNUMBER(W121),ISNUMBER(X121),ISNUMBER(AK121),ISNUMBER(AL121)),W121-(AL121+AK121*X121),"")</f>
        <v/>
      </c>
      <c r="AN121" s="38">
        <f>IF(ISNUMBER(AM121),1,0)</f>
        <v/>
      </c>
      <c r="AO121" s="40">
        <f>IF(AN121=1,AM121,0)</f>
        <v/>
      </c>
      <c r="AP121" s="40">
        <f>IF(SUM(AN119:AN121)=3,SUM(AO119:AO121),"")</f>
        <v/>
      </c>
      <c r="AQ121" s="38">
        <f>IF(ISNUMBER(AP121),1,0)</f>
        <v/>
      </c>
      <c r="AR121" s="40">
        <f>IF(AQ121=1,AP121,0)</f>
        <v/>
      </c>
      <c r="AS121" s="38">
        <f>SUM(AQ$5:AQ121)</f>
        <v/>
      </c>
      <c r="AT121" s="40">
        <f>IF(AS121&gt;=MIN_OBS_Z,SUMPRODUCT(AQ$5:AQ121,AR$5:AR121)/AS121,"")</f>
        <v/>
      </c>
      <c r="AU121" s="40">
        <f>IF(AS121&gt;=MIN_OBS_Z,SQRT(SUMPRODUCT(AQ$5:AQ121,(AR$5:AR121-AT121)^2)/(AS121-1)),"")</f>
        <v/>
      </c>
      <c r="AV121" s="40">
        <f>IF(AND(AQ121=1,ISNUMBER(AT121)),MAX(-Z_CLIP,MIN(Z_CLIP,(AR121-AT121)/AU121)),"")</f>
        <v/>
      </c>
      <c r="AW121" s="40">
        <f>IF(ISNUMBER(AV121),-AV121,"")</f>
        <v/>
      </c>
      <c r="AX121" s="40">
        <f>IF(ISNUMBER(AW121),1+AMPLITUD*TANH(AW121),"")</f>
        <v/>
      </c>
      <c r="AY121" s="40">
        <f>IF($A121="","",IF(COUNT(AX119:AX121)&gt;0,AVERAGE(AX119:AX121),""))</f>
        <v/>
      </c>
      <c r="AZ121" s="40">
        <f>IF(ISNUMBER(AY121),AY121-1,"")</f>
        <v/>
      </c>
      <c r="BA121" s="40">
        <f>IF(AND(ISNUMBER(AZ120),ISNUMBER(W121)),AZ120*W_BANCOS*W121,"")</f>
        <v/>
      </c>
      <c r="BB121" s="40">
        <f>IF(AND(ISNUMBER(AZ120),ISNUMBER(AZ119)),ABS(AZ120-AZ119)*W_BANCOS*COSTO,0)</f>
        <v/>
      </c>
      <c r="BC121" s="40">
        <f>IF(ISNUMBER(BA121),BA121-BB121,"")</f>
        <v/>
      </c>
      <c r="BD121" s="42">
        <f>IF(ISNUMBER(BC121),IF(A121&lt;=FECHA_ERA,"A","B"),"")</f>
        <v/>
      </c>
      <c r="BE121" s="40">
        <f>IF(BD121="A",BC121,"")</f>
        <v/>
      </c>
      <c r="BF121" s="40">
        <f>IF(BD121="B",BC121,"")</f>
        <v/>
      </c>
      <c r="BG121" s="38">
        <f>IF(AND(ISNUMBER(BC121),ISNUMBER(A121)),IF(A121&gt;=INICIO_VIVO,1,0),0)</f>
        <v/>
      </c>
      <c r="BH121" s="40">
        <f>IF(BG121=1,BC121,"")</f>
        <v/>
      </c>
      <c r="BI121" s="38">
        <f>IF(ISNUMBER(AY121),ROW(),0)</f>
        <v/>
      </c>
      <c r="BJ121" s="43">
        <f>IF(ISNUMBER(BC121),SUM(BC$5:BC121)*10000,NA())</f>
        <v/>
      </c>
      <c r="BK121" s="43">
        <f>IF(BG121=1,SUM(BH$5:BH121)*10000,NA())</f>
        <v/>
      </c>
      <c r="BL121" s="44">
        <f>IF(ISNUMBER(AY121),AY121,NA())</f>
        <v/>
      </c>
    </row>
    <row r="122">
      <c r="A122" s="36">
        <f>IF(Datos!A122="","",Datos!A122)</f>
        <v/>
      </c>
      <c r="B122" s="37">
        <f>IF(OR($A122="",NOT(ISNUMBER(Datos!B122)),NOT(ISNUMBER(Datos!B121))),"",Datos!B122/Datos!B121-1)</f>
        <v/>
      </c>
      <c r="C122" s="37">
        <f>IF(OR($A122="",NOT(ISNUMBER(Datos!C122)),NOT(ISNUMBER(Datos!C121))),"",Datos!C122/Datos!C121-1)</f>
        <v/>
      </c>
      <c r="D122" s="37">
        <f>IF(OR($A122="",NOT(ISNUMBER(Datos!D122)),NOT(ISNUMBER(Datos!D121))),"",Datos!D122/Datos!D121-1)</f>
        <v/>
      </c>
      <c r="E122" s="37">
        <f>IF(OR($A122="",NOT(ISNUMBER(Datos!E122)),NOT(ISNUMBER(Datos!E121))),"",Datos!E122/Datos!E121-1)</f>
        <v/>
      </c>
      <c r="F122" s="38">
        <f>IF($A122="","",COUNT(B122:E122))</f>
        <v/>
      </c>
      <c r="G122" s="37">
        <f>IF($A122="","",IF(F122&gt;=MIN_BANCOS,AVERAGE(B122:E122),""))</f>
        <v/>
      </c>
      <c r="H122" s="37">
        <f>IF(OR($A122="",NOT(ISNUMBER(Datos!F122)),NOT(ISNUMBER(Datos!F121))),"",Datos!F122/Datos!F121-1)</f>
        <v/>
      </c>
      <c r="I122" s="39">
        <f>IF($A122="","",IF(ISNUMBER(Datos!G122),Datos!G122,I121))</f>
        <v/>
      </c>
      <c r="J122" s="40">
        <f>IF($A122="","",IF(ISNUMBER(I121),LN(1+I121/100/12),0))</f>
        <v/>
      </c>
      <c r="K122" s="40">
        <f>IF(ISNUMBER(G122),LN(1+G122)-J122,"")</f>
        <v/>
      </c>
      <c r="L122" s="40">
        <f>IF(ISNUMBER(H122),LN(1+H122)-J122,"")</f>
        <v/>
      </c>
      <c r="M122" s="38">
        <f>IF(ISNUMBER(K122),1,0)</f>
        <v/>
      </c>
      <c r="N122" s="40">
        <f>IF(M122=1,K122,0)</f>
        <v/>
      </c>
      <c r="O122" s="38">
        <f>IF(ISNUMBER(L122),1,0)</f>
        <v/>
      </c>
      <c r="P122" s="40">
        <f>IF(O122=1,L122,0)</f>
        <v/>
      </c>
      <c r="Q122" s="38">
        <f>M122*O122</f>
        <v/>
      </c>
      <c r="R122" s="38">
        <f>SUM(Q86:Q121)</f>
        <v/>
      </c>
      <c r="S122" s="41">
        <f>IF(OR($A122="",R122&lt;MIN_OBS_ROLL),"",(SUMPRODUCT(Q86:Q121,N86:N121,P86:P121)/R122-SUMPRODUCT(Q86:Q121,N86:N121)/R122*SUMPRODUCT(Q86:Q121,P86:P121)/R122)*R122/(R122-1))</f>
        <v/>
      </c>
      <c r="T122" s="38">
        <f>SUM(O86:O121)</f>
        <v/>
      </c>
      <c r="U122" s="41">
        <f>IF(OR($A122="",T122&lt;MIN_OBS_ROLL),"",SUMPRODUCT(O86:O121,(P86:P121-SUMPRODUCT(O86:O121,P86:P121)/T122)^2)/(T122-1))</f>
        <v/>
      </c>
      <c r="V122" s="40">
        <f>IF(OR(S122="",U122=""),"",S122/U122)</f>
        <v/>
      </c>
      <c r="W122" s="40">
        <f>IF(AND(ISNUMBER(K122),ISNUMBER(L122),ISNUMBER(V122)),K122-V122*L122,"")</f>
        <v/>
      </c>
      <c r="X122" s="40">
        <f>IF(OR($A122="",NOT(ISNUMBER(Datos!H122)),NOT(ISNUMBER(Datos!H121))),"",LN(Datos!H122)-LN(Datos!H121))</f>
        <v/>
      </c>
      <c r="Y122" s="38">
        <f>IF(ISNUMBER(W122),1,0)</f>
        <v/>
      </c>
      <c r="Z122" s="40">
        <f>IF(Y122=1,W122,0)</f>
        <v/>
      </c>
      <c r="AA122" s="38">
        <f>IF(ISNUMBER(X122),1,0)</f>
        <v/>
      </c>
      <c r="AB122" s="40">
        <f>IF(AA122=1,X122,0)</f>
        <v/>
      </c>
      <c r="AC122" s="38">
        <f>Y122*AA122</f>
        <v/>
      </c>
      <c r="AD122" s="38">
        <f>SUM(AC86:AC121)</f>
        <v/>
      </c>
      <c r="AE122" s="41">
        <f>IF(OR($A122="",AD122&lt;MIN_OBS_ROLL),"",(SUMPRODUCT(AC86:AC121,Z86:Z121,AB86:AB121)/AD122-SUMPRODUCT(AC86:AC121,Z86:Z121)/AD122*SUMPRODUCT(AC86:AC121,AB86:AB121)/AD122)*AD122/(AD122-1))</f>
        <v/>
      </c>
      <c r="AF122" s="38">
        <f>SUM(AA86:AA121)</f>
        <v/>
      </c>
      <c r="AG122" s="41">
        <f>IF(OR($A122="",AF122&lt;MIN_OBS_ROLL),"",SUMPRODUCT(AA86:AA121,(AB86:AB121-SUMPRODUCT(AA86:AA121,AB86:AB121)/AF122)^2)/(AF122-1))</f>
        <v/>
      </c>
      <c r="AH122" s="38">
        <f>SUM(Y86:Y121)</f>
        <v/>
      </c>
      <c r="AI122" s="40">
        <f>IF(OR($A122="",AH122&lt;MIN_OBS_ROLL),"",SUMPRODUCT(Y86:Y121,Z86:Z121)/AH122)</f>
        <v/>
      </c>
      <c r="AJ122" s="40">
        <f>IF(OR($A122="",AF122&lt;MIN_OBS_ROLL),"",SUMPRODUCT(AA86:AA121,AB86:AB121)/AF122)</f>
        <v/>
      </c>
      <c r="AK122" s="40">
        <f>IF(OR(AE122="",AG122=""),"",AE122/AG122)</f>
        <v/>
      </c>
      <c r="AL122" s="40">
        <f>IF(OR(AI122="",AK122="",AJ122=""),"",AI122-AK122*AJ122)</f>
        <v/>
      </c>
      <c r="AM122" s="40">
        <f>IF(AND(ISNUMBER(W122),ISNUMBER(X122),ISNUMBER(AK122),ISNUMBER(AL122)),W122-(AL122+AK122*X122),"")</f>
        <v/>
      </c>
      <c r="AN122" s="38">
        <f>IF(ISNUMBER(AM122),1,0)</f>
        <v/>
      </c>
      <c r="AO122" s="40">
        <f>IF(AN122=1,AM122,0)</f>
        <v/>
      </c>
      <c r="AP122" s="40">
        <f>IF(SUM(AN120:AN122)=3,SUM(AO120:AO122),"")</f>
        <v/>
      </c>
      <c r="AQ122" s="38">
        <f>IF(ISNUMBER(AP122),1,0)</f>
        <v/>
      </c>
      <c r="AR122" s="40">
        <f>IF(AQ122=1,AP122,0)</f>
        <v/>
      </c>
      <c r="AS122" s="38">
        <f>SUM(AQ$5:AQ122)</f>
        <v/>
      </c>
      <c r="AT122" s="40">
        <f>IF(AS122&gt;=MIN_OBS_Z,SUMPRODUCT(AQ$5:AQ122,AR$5:AR122)/AS122,"")</f>
        <v/>
      </c>
      <c r="AU122" s="40">
        <f>IF(AS122&gt;=MIN_OBS_Z,SQRT(SUMPRODUCT(AQ$5:AQ122,(AR$5:AR122-AT122)^2)/(AS122-1)),"")</f>
        <v/>
      </c>
      <c r="AV122" s="40">
        <f>IF(AND(AQ122=1,ISNUMBER(AT122)),MAX(-Z_CLIP,MIN(Z_CLIP,(AR122-AT122)/AU122)),"")</f>
        <v/>
      </c>
      <c r="AW122" s="40">
        <f>IF(ISNUMBER(AV122),-AV122,"")</f>
        <v/>
      </c>
      <c r="AX122" s="40">
        <f>IF(ISNUMBER(AW122),1+AMPLITUD*TANH(AW122),"")</f>
        <v/>
      </c>
      <c r="AY122" s="40">
        <f>IF($A122="","",IF(COUNT(AX120:AX122)&gt;0,AVERAGE(AX120:AX122),""))</f>
        <v/>
      </c>
      <c r="AZ122" s="40">
        <f>IF(ISNUMBER(AY122),AY122-1,"")</f>
        <v/>
      </c>
      <c r="BA122" s="40">
        <f>IF(AND(ISNUMBER(AZ121),ISNUMBER(W122)),AZ121*W_BANCOS*W122,"")</f>
        <v/>
      </c>
      <c r="BB122" s="40">
        <f>IF(AND(ISNUMBER(AZ121),ISNUMBER(AZ120)),ABS(AZ121-AZ120)*W_BANCOS*COSTO,0)</f>
        <v/>
      </c>
      <c r="BC122" s="40">
        <f>IF(ISNUMBER(BA122),BA122-BB122,"")</f>
        <v/>
      </c>
      <c r="BD122" s="42">
        <f>IF(ISNUMBER(BC122),IF(A122&lt;=FECHA_ERA,"A","B"),"")</f>
        <v/>
      </c>
      <c r="BE122" s="40">
        <f>IF(BD122="A",BC122,"")</f>
        <v/>
      </c>
      <c r="BF122" s="40">
        <f>IF(BD122="B",BC122,"")</f>
        <v/>
      </c>
      <c r="BG122" s="38">
        <f>IF(AND(ISNUMBER(BC122),ISNUMBER(A122)),IF(A122&gt;=INICIO_VIVO,1,0),0)</f>
        <v/>
      </c>
      <c r="BH122" s="40">
        <f>IF(BG122=1,BC122,"")</f>
        <v/>
      </c>
      <c r="BI122" s="38">
        <f>IF(ISNUMBER(AY122),ROW(),0)</f>
        <v/>
      </c>
      <c r="BJ122" s="43">
        <f>IF(ISNUMBER(BC122),SUM(BC$5:BC122)*10000,NA())</f>
        <v/>
      </c>
      <c r="BK122" s="43">
        <f>IF(BG122=1,SUM(BH$5:BH122)*10000,NA())</f>
        <v/>
      </c>
      <c r="BL122" s="44">
        <f>IF(ISNUMBER(AY122),AY122,NA())</f>
        <v/>
      </c>
    </row>
    <row r="123">
      <c r="A123" s="36">
        <f>IF(Datos!A123="","",Datos!A123)</f>
        <v/>
      </c>
      <c r="B123" s="37">
        <f>IF(OR($A123="",NOT(ISNUMBER(Datos!B123)),NOT(ISNUMBER(Datos!B122))),"",Datos!B123/Datos!B122-1)</f>
        <v/>
      </c>
      <c r="C123" s="37">
        <f>IF(OR($A123="",NOT(ISNUMBER(Datos!C123)),NOT(ISNUMBER(Datos!C122))),"",Datos!C123/Datos!C122-1)</f>
        <v/>
      </c>
      <c r="D123" s="37">
        <f>IF(OR($A123="",NOT(ISNUMBER(Datos!D123)),NOT(ISNUMBER(Datos!D122))),"",Datos!D123/Datos!D122-1)</f>
        <v/>
      </c>
      <c r="E123" s="37">
        <f>IF(OR($A123="",NOT(ISNUMBER(Datos!E123)),NOT(ISNUMBER(Datos!E122))),"",Datos!E123/Datos!E122-1)</f>
        <v/>
      </c>
      <c r="F123" s="38">
        <f>IF($A123="","",COUNT(B123:E123))</f>
        <v/>
      </c>
      <c r="G123" s="37">
        <f>IF($A123="","",IF(F123&gt;=MIN_BANCOS,AVERAGE(B123:E123),""))</f>
        <v/>
      </c>
      <c r="H123" s="37">
        <f>IF(OR($A123="",NOT(ISNUMBER(Datos!F123)),NOT(ISNUMBER(Datos!F122))),"",Datos!F123/Datos!F122-1)</f>
        <v/>
      </c>
      <c r="I123" s="39">
        <f>IF($A123="","",IF(ISNUMBER(Datos!G123),Datos!G123,I122))</f>
        <v/>
      </c>
      <c r="J123" s="40">
        <f>IF($A123="","",IF(ISNUMBER(I122),LN(1+I122/100/12),0))</f>
        <v/>
      </c>
      <c r="K123" s="40">
        <f>IF(ISNUMBER(G123),LN(1+G123)-J123,"")</f>
        <v/>
      </c>
      <c r="L123" s="40">
        <f>IF(ISNUMBER(H123),LN(1+H123)-J123,"")</f>
        <v/>
      </c>
      <c r="M123" s="38">
        <f>IF(ISNUMBER(K123),1,0)</f>
        <v/>
      </c>
      <c r="N123" s="40">
        <f>IF(M123=1,K123,0)</f>
        <v/>
      </c>
      <c r="O123" s="38">
        <f>IF(ISNUMBER(L123),1,0)</f>
        <v/>
      </c>
      <c r="P123" s="40">
        <f>IF(O123=1,L123,0)</f>
        <v/>
      </c>
      <c r="Q123" s="38">
        <f>M123*O123</f>
        <v/>
      </c>
      <c r="R123" s="38">
        <f>SUM(Q87:Q122)</f>
        <v/>
      </c>
      <c r="S123" s="41">
        <f>IF(OR($A123="",R123&lt;MIN_OBS_ROLL),"",(SUMPRODUCT(Q87:Q122,N87:N122,P87:P122)/R123-SUMPRODUCT(Q87:Q122,N87:N122)/R123*SUMPRODUCT(Q87:Q122,P87:P122)/R123)*R123/(R123-1))</f>
        <v/>
      </c>
      <c r="T123" s="38">
        <f>SUM(O87:O122)</f>
        <v/>
      </c>
      <c r="U123" s="41">
        <f>IF(OR($A123="",T123&lt;MIN_OBS_ROLL),"",SUMPRODUCT(O87:O122,(P87:P122-SUMPRODUCT(O87:O122,P87:P122)/T123)^2)/(T123-1))</f>
        <v/>
      </c>
      <c r="V123" s="40">
        <f>IF(OR(S123="",U123=""),"",S123/U123)</f>
        <v/>
      </c>
      <c r="W123" s="40">
        <f>IF(AND(ISNUMBER(K123),ISNUMBER(L123),ISNUMBER(V123)),K123-V123*L123,"")</f>
        <v/>
      </c>
      <c r="X123" s="40">
        <f>IF(OR($A123="",NOT(ISNUMBER(Datos!H123)),NOT(ISNUMBER(Datos!H122))),"",LN(Datos!H123)-LN(Datos!H122))</f>
        <v/>
      </c>
      <c r="Y123" s="38">
        <f>IF(ISNUMBER(W123),1,0)</f>
        <v/>
      </c>
      <c r="Z123" s="40">
        <f>IF(Y123=1,W123,0)</f>
        <v/>
      </c>
      <c r="AA123" s="38">
        <f>IF(ISNUMBER(X123),1,0)</f>
        <v/>
      </c>
      <c r="AB123" s="40">
        <f>IF(AA123=1,X123,0)</f>
        <v/>
      </c>
      <c r="AC123" s="38">
        <f>Y123*AA123</f>
        <v/>
      </c>
      <c r="AD123" s="38">
        <f>SUM(AC87:AC122)</f>
        <v/>
      </c>
      <c r="AE123" s="41">
        <f>IF(OR($A123="",AD123&lt;MIN_OBS_ROLL),"",(SUMPRODUCT(AC87:AC122,Z87:Z122,AB87:AB122)/AD123-SUMPRODUCT(AC87:AC122,Z87:Z122)/AD123*SUMPRODUCT(AC87:AC122,AB87:AB122)/AD123)*AD123/(AD123-1))</f>
        <v/>
      </c>
      <c r="AF123" s="38">
        <f>SUM(AA87:AA122)</f>
        <v/>
      </c>
      <c r="AG123" s="41">
        <f>IF(OR($A123="",AF123&lt;MIN_OBS_ROLL),"",SUMPRODUCT(AA87:AA122,(AB87:AB122-SUMPRODUCT(AA87:AA122,AB87:AB122)/AF123)^2)/(AF123-1))</f>
        <v/>
      </c>
      <c r="AH123" s="38">
        <f>SUM(Y87:Y122)</f>
        <v/>
      </c>
      <c r="AI123" s="40">
        <f>IF(OR($A123="",AH123&lt;MIN_OBS_ROLL),"",SUMPRODUCT(Y87:Y122,Z87:Z122)/AH123)</f>
        <v/>
      </c>
      <c r="AJ123" s="40">
        <f>IF(OR($A123="",AF123&lt;MIN_OBS_ROLL),"",SUMPRODUCT(AA87:AA122,AB87:AB122)/AF123)</f>
        <v/>
      </c>
      <c r="AK123" s="40">
        <f>IF(OR(AE123="",AG123=""),"",AE123/AG123)</f>
        <v/>
      </c>
      <c r="AL123" s="40">
        <f>IF(OR(AI123="",AK123="",AJ123=""),"",AI123-AK123*AJ123)</f>
        <v/>
      </c>
      <c r="AM123" s="40">
        <f>IF(AND(ISNUMBER(W123),ISNUMBER(X123),ISNUMBER(AK123),ISNUMBER(AL123)),W123-(AL123+AK123*X123),"")</f>
        <v/>
      </c>
      <c r="AN123" s="38">
        <f>IF(ISNUMBER(AM123),1,0)</f>
        <v/>
      </c>
      <c r="AO123" s="40">
        <f>IF(AN123=1,AM123,0)</f>
        <v/>
      </c>
      <c r="AP123" s="40">
        <f>IF(SUM(AN121:AN123)=3,SUM(AO121:AO123),"")</f>
        <v/>
      </c>
      <c r="AQ123" s="38">
        <f>IF(ISNUMBER(AP123),1,0)</f>
        <v/>
      </c>
      <c r="AR123" s="40">
        <f>IF(AQ123=1,AP123,0)</f>
        <v/>
      </c>
      <c r="AS123" s="38">
        <f>SUM(AQ$5:AQ123)</f>
        <v/>
      </c>
      <c r="AT123" s="40">
        <f>IF(AS123&gt;=MIN_OBS_Z,SUMPRODUCT(AQ$5:AQ123,AR$5:AR123)/AS123,"")</f>
        <v/>
      </c>
      <c r="AU123" s="40">
        <f>IF(AS123&gt;=MIN_OBS_Z,SQRT(SUMPRODUCT(AQ$5:AQ123,(AR$5:AR123-AT123)^2)/(AS123-1)),"")</f>
        <v/>
      </c>
      <c r="AV123" s="40">
        <f>IF(AND(AQ123=1,ISNUMBER(AT123)),MAX(-Z_CLIP,MIN(Z_CLIP,(AR123-AT123)/AU123)),"")</f>
        <v/>
      </c>
      <c r="AW123" s="40">
        <f>IF(ISNUMBER(AV123),-AV123,"")</f>
        <v/>
      </c>
      <c r="AX123" s="40">
        <f>IF(ISNUMBER(AW123),1+AMPLITUD*TANH(AW123),"")</f>
        <v/>
      </c>
      <c r="AY123" s="40">
        <f>IF($A123="","",IF(COUNT(AX121:AX123)&gt;0,AVERAGE(AX121:AX123),""))</f>
        <v/>
      </c>
      <c r="AZ123" s="40">
        <f>IF(ISNUMBER(AY123),AY123-1,"")</f>
        <v/>
      </c>
      <c r="BA123" s="40">
        <f>IF(AND(ISNUMBER(AZ122),ISNUMBER(W123)),AZ122*W_BANCOS*W123,"")</f>
        <v/>
      </c>
      <c r="BB123" s="40">
        <f>IF(AND(ISNUMBER(AZ122),ISNUMBER(AZ121)),ABS(AZ122-AZ121)*W_BANCOS*COSTO,0)</f>
        <v/>
      </c>
      <c r="BC123" s="40">
        <f>IF(ISNUMBER(BA123),BA123-BB123,"")</f>
        <v/>
      </c>
      <c r="BD123" s="42">
        <f>IF(ISNUMBER(BC123),IF(A123&lt;=FECHA_ERA,"A","B"),"")</f>
        <v/>
      </c>
      <c r="BE123" s="40">
        <f>IF(BD123="A",BC123,"")</f>
        <v/>
      </c>
      <c r="BF123" s="40">
        <f>IF(BD123="B",BC123,"")</f>
        <v/>
      </c>
      <c r="BG123" s="38">
        <f>IF(AND(ISNUMBER(BC123),ISNUMBER(A123)),IF(A123&gt;=INICIO_VIVO,1,0),0)</f>
        <v/>
      </c>
      <c r="BH123" s="40">
        <f>IF(BG123=1,BC123,"")</f>
        <v/>
      </c>
      <c r="BI123" s="38">
        <f>IF(ISNUMBER(AY123),ROW(),0)</f>
        <v/>
      </c>
      <c r="BJ123" s="43">
        <f>IF(ISNUMBER(BC123),SUM(BC$5:BC123)*10000,NA())</f>
        <v/>
      </c>
      <c r="BK123" s="43">
        <f>IF(BG123=1,SUM(BH$5:BH123)*10000,NA())</f>
        <v/>
      </c>
      <c r="BL123" s="44">
        <f>IF(ISNUMBER(AY123),AY123,NA())</f>
        <v/>
      </c>
    </row>
    <row r="124">
      <c r="A124" s="36">
        <f>IF(Datos!A124="","",Datos!A124)</f>
        <v/>
      </c>
      <c r="B124" s="37">
        <f>IF(OR($A124="",NOT(ISNUMBER(Datos!B124)),NOT(ISNUMBER(Datos!B123))),"",Datos!B124/Datos!B123-1)</f>
        <v/>
      </c>
      <c r="C124" s="37">
        <f>IF(OR($A124="",NOT(ISNUMBER(Datos!C124)),NOT(ISNUMBER(Datos!C123))),"",Datos!C124/Datos!C123-1)</f>
        <v/>
      </c>
      <c r="D124" s="37">
        <f>IF(OR($A124="",NOT(ISNUMBER(Datos!D124)),NOT(ISNUMBER(Datos!D123))),"",Datos!D124/Datos!D123-1)</f>
        <v/>
      </c>
      <c r="E124" s="37">
        <f>IF(OR($A124="",NOT(ISNUMBER(Datos!E124)),NOT(ISNUMBER(Datos!E123))),"",Datos!E124/Datos!E123-1)</f>
        <v/>
      </c>
      <c r="F124" s="38">
        <f>IF($A124="","",COUNT(B124:E124))</f>
        <v/>
      </c>
      <c r="G124" s="37">
        <f>IF($A124="","",IF(F124&gt;=MIN_BANCOS,AVERAGE(B124:E124),""))</f>
        <v/>
      </c>
      <c r="H124" s="37">
        <f>IF(OR($A124="",NOT(ISNUMBER(Datos!F124)),NOT(ISNUMBER(Datos!F123))),"",Datos!F124/Datos!F123-1)</f>
        <v/>
      </c>
      <c r="I124" s="39">
        <f>IF($A124="","",IF(ISNUMBER(Datos!G124),Datos!G124,I123))</f>
        <v/>
      </c>
      <c r="J124" s="40">
        <f>IF($A124="","",IF(ISNUMBER(I123),LN(1+I123/100/12),0))</f>
        <v/>
      </c>
      <c r="K124" s="40">
        <f>IF(ISNUMBER(G124),LN(1+G124)-J124,"")</f>
        <v/>
      </c>
      <c r="L124" s="40">
        <f>IF(ISNUMBER(H124),LN(1+H124)-J124,"")</f>
        <v/>
      </c>
      <c r="M124" s="38">
        <f>IF(ISNUMBER(K124),1,0)</f>
        <v/>
      </c>
      <c r="N124" s="40">
        <f>IF(M124=1,K124,0)</f>
        <v/>
      </c>
      <c r="O124" s="38">
        <f>IF(ISNUMBER(L124),1,0)</f>
        <v/>
      </c>
      <c r="P124" s="40">
        <f>IF(O124=1,L124,0)</f>
        <v/>
      </c>
      <c r="Q124" s="38">
        <f>M124*O124</f>
        <v/>
      </c>
      <c r="R124" s="38">
        <f>SUM(Q88:Q123)</f>
        <v/>
      </c>
      <c r="S124" s="41">
        <f>IF(OR($A124="",R124&lt;MIN_OBS_ROLL),"",(SUMPRODUCT(Q88:Q123,N88:N123,P88:P123)/R124-SUMPRODUCT(Q88:Q123,N88:N123)/R124*SUMPRODUCT(Q88:Q123,P88:P123)/R124)*R124/(R124-1))</f>
        <v/>
      </c>
      <c r="T124" s="38">
        <f>SUM(O88:O123)</f>
        <v/>
      </c>
      <c r="U124" s="41">
        <f>IF(OR($A124="",T124&lt;MIN_OBS_ROLL),"",SUMPRODUCT(O88:O123,(P88:P123-SUMPRODUCT(O88:O123,P88:P123)/T124)^2)/(T124-1))</f>
        <v/>
      </c>
      <c r="V124" s="40">
        <f>IF(OR(S124="",U124=""),"",S124/U124)</f>
        <v/>
      </c>
      <c r="W124" s="40">
        <f>IF(AND(ISNUMBER(K124),ISNUMBER(L124),ISNUMBER(V124)),K124-V124*L124,"")</f>
        <v/>
      </c>
      <c r="X124" s="40">
        <f>IF(OR($A124="",NOT(ISNUMBER(Datos!H124)),NOT(ISNUMBER(Datos!H123))),"",LN(Datos!H124)-LN(Datos!H123))</f>
        <v/>
      </c>
      <c r="Y124" s="38">
        <f>IF(ISNUMBER(W124),1,0)</f>
        <v/>
      </c>
      <c r="Z124" s="40">
        <f>IF(Y124=1,W124,0)</f>
        <v/>
      </c>
      <c r="AA124" s="38">
        <f>IF(ISNUMBER(X124),1,0)</f>
        <v/>
      </c>
      <c r="AB124" s="40">
        <f>IF(AA124=1,X124,0)</f>
        <v/>
      </c>
      <c r="AC124" s="38">
        <f>Y124*AA124</f>
        <v/>
      </c>
      <c r="AD124" s="38">
        <f>SUM(AC88:AC123)</f>
        <v/>
      </c>
      <c r="AE124" s="41">
        <f>IF(OR($A124="",AD124&lt;MIN_OBS_ROLL),"",(SUMPRODUCT(AC88:AC123,Z88:Z123,AB88:AB123)/AD124-SUMPRODUCT(AC88:AC123,Z88:Z123)/AD124*SUMPRODUCT(AC88:AC123,AB88:AB123)/AD124)*AD124/(AD124-1))</f>
        <v/>
      </c>
      <c r="AF124" s="38">
        <f>SUM(AA88:AA123)</f>
        <v/>
      </c>
      <c r="AG124" s="41">
        <f>IF(OR($A124="",AF124&lt;MIN_OBS_ROLL),"",SUMPRODUCT(AA88:AA123,(AB88:AB123-SUMPRODUCT(AA88:AA123,AB88:AB123)/AF124)^2)/(AF124-1))</f>
        <v/>
      </c>
      <c r="AH124" s="38">
        <f>SUM(Y88:Y123)</f>
        <v/>
      </c>
      <c r="AI124" s="40">
        <f>IF(OR($A124="",AH124&lt;MIN_OBS_ROLL),"",SUMPRODUCT(Y88:Y123,Z88:Z123)/AH124)</f>
        <v/>
      </c>
      <c r="AJ124" s="40">
        <f>IF(OR($A124="",AF124&lt;MIN_OBS_ROLL),"",SUMPRODUCT(AA88:AA123,AB88:AB123)/AF124)</f>
        <v/>
      </c>
      <c r="AK124" s="40">
        <f>IF(OR(AE124="",AG124=""),"",AE124/AG124)</f>
        <v/>
      </c>
      <c r="AL124" s="40">
        <f>IF(OR(AI124="",AK124="",AJ124=""),"",AI124-AK124*AJ124)</f>
        <v/>
      </c>
      <c r="AM124" s="40">
        <f>IF(AND(ISNUMBER(W124),ISNUMBER(X124),ISNUMBER(AK124),ISNUMBER(AL124)),W124-(AL124+AK124*X124),"")</f>
        <v/>
      </c>
      <c r="AN124" s="38">
        <f>IF(ISNUMBER(AM124),1,0)</f>
        <v/>
      </c>
      <c r="AO124" s="40">
        <f>IF(AN124=1,AM124,0)</f>
        <v/>
      </c>
      <c r="AP124" s="40">
        <f>IF(SUM(AN122:AN124)=3,SUM(AO122:AO124),"")</f>
        <v/>
      </c>
      <c r="AQ124" s="38">
        <f>IF(ISNUMBER(AP124),1,0)</f>
        <v/>
      </c>
      <c r="AR124" s="40">
        <f>IF(AQ124=1,AP124,0)</f>
        <v/>
      </c>
      <c r="AS124" s="38">
        <f>SUM(AQ$5:AQ124)</f>
        <v/>
      </c>
      <c r="AT124" s="40">
        <f>IF(AS124&gt;=MIN_OBS_Z,SUMPRODUCT(AQ$5:AQ124,AR$5:AR124)/AS124,"")</f>
        <v/>
      </c>
      <c r="AU124" s="40">
        <f>IF(AS124&gt;=MIN_OBS_Z,SQRT(SUMPRODUCT(AQ$5:AQ124,(AR$5:AR124-AT124)^2)/(AS124-1)),"")</f>
        <v/>
      </c>
      <c r="AV124" s="40">
        <f>IF(AND(AQ124=1,ISNUMBER(AT124)),MAX(-Z_CLIP,MIN(Z_CLIP,(AR124-AT124)/AU124)),"")</f>
        <v/>
      </c>
      <c r="AW124" s="40">
        <f>IF(ISNUMBER(AV124),-AV124,"")</f>
        <v/>
      </c>
      <c r="AX124" s="40">
        <f>IF(ISNUMBER(AW124),1+AMPLITUD*TANH(AW124),"")</f>
        <v/>
      </c>
      <c r="AY124" s="40">
        <f>IF($A124="","",IF(COUNT(AX122:AX124)&gt;0,AVERAGE(AX122:AX124),""))</f>
        <v/>
      </c>
      <c r="AZ124" s="40">
        <f>IF(ISNUMBER(AY124),AY124-1,"")</f>
        <v/>
      </c>
      <c r="BA124" s="40">
        <f>IF(AND(ISNUMBER(AZ123),ISNUMBER(W124)),AZ123*W_BANCOS*W124,"")</f>
        <v/>
      </c>
      <c r="BB124" s="40">
        <f>IF(AND(ISNUMBER(AZ123),ISNUMBER(AZ122)),ABS(AZ123-AZ122)*W_BANCOS*COSTO,0)</f>
        <v/>
      </c>
      <c r="BC124" s="40">
        <f>IF(ISNUMBER(BA124),BA124-BB124,"")</f>
        <v/>
      </c>
      <c r="BD124" s="42">
        <f>IF(ISNUMBER(BC124),IF(A124&lt;=FECHA_ERA,"A","B"),"")</f>
        <v/>
      </c>
      <c r="BE124" s="40">
        <f>IF(BD124="A",BC124,"")</f>
        <v/>
      </c>
      <c r="BF124" s="40">
        <f>IF(BD124="B",BC124,"")</f>
        <v/>
      </c>
      <c r="BG124" s="38">
        <f>IF(AND(ISNUMBER(BC124),ISNUMBER(A124)),IF(A124&gt;=INICIO_VIVO,1,0),0)</f>
        <v/>
      </c>
      <c r="BH124" s="40">
        <f>IF(BG124=1,BC124,"")</f>
        <v/>
      </c>
      <c r="BI124" s="38">
        <f>IF(ISNUMBER(AY124),ROW(),0)</f>
        <v/>
      </c>
      <c r="BJ124" s="43">
        <f>IF(ISNUMBER(BC124),SUM(BC$5:BC124)*10000,NA())</f>
        <v/>
      </c>
      <c r="BK124" s="43">
        <f>IF(BG124=1,SUM(BH$5:BH124)*10000,NA())</f>
        <v/>
      </c>
      <c r="BL124" s="44">
        <f>IF(ISNUMBER(AY124),AY124,NA())</f>
        <v/>
      </c>
    </row>
    <row r="125">
      <c r="A125" s="36">
        <f>IF(Datos!A125="","",Datos!A125)</f>
        <v/>
      </c>
      <c r="B125" s="37">
        <f>IF(OR($A125="",NOT(ISNUMBER(Datos!B125)),NOT(ISNUMBER(Datos!B124))),"",Datos!B125/Datos!B124-1)</f>
        <v/>
      </c>
      <c r="C125" s="37">
        <f>IF(OR($A125="",NOT(ISNUMBER(Datos!C125)),NOT(ISNUMBER(Datos!C124))),"",Datos!C125/Datos!C124-1)</f>
        <v/>
      </c>
      <c r="D125" s="37">
        <f>IF(OR($A125="",NOT(ISNUMBER(Datos!D125)),NOT(ISNUMBER(Datos!D124))),"",Datos!D125/Datos!D124-1)</f>
        <v/>
      </c>
      <c r="E125" s="37">
        <f>IF(OR($A125="",NOT(ISNUMBER(Datos!E125)),NOT(ISNUMBER(Datos!E124))),"",Datos!E125/Datos!E124-1)</f>
        <v/>
      </c>
      <c r="F125" s="38">
        <f>IF($A125="","",COUNT(B125:E125))</f>
        <v/>
      </c>
      <c r="G125" s="37">
        <f>IF($A125="","",IF(F125&gt;=MIN_BANCOS,AVERAGE(B125:E125),""))</f>
        <v/>
      </c>
      <c r="H125" s="37">
        <f>IF(OR($A125="",NOT(ISNUMBER(Datos!F125)),NOT(ISNUMBER(Datos!F124))),"",Datos!F125/Datos!F124-1)</f>
        <v/>
      </c>
      <c r="I125" s="39">
        <f>IF($A125="","",IF(ISNUMBER(Datos!G125),Datos!G125,I124))</f>
        <v/>
      </c>
      <c r="J125" s="40">
        <f>IF($A125="","",IF(ISNUMBER(I124),LN(1+I124/100/12),0))</f>
        <v/>
      </c>
      <c r="K125" s="40">
        <f>IF(ISNUMBER(G125),LN(1+G125)-J125,"")</f>
        <v/>
      </c>
      <c r="L125" s="40">
        <f>IF(ISNUMBER(H125),LN(1+H125)-J125,"")</f>
        <v/>
      </c>
      <c r="M125" s="38">
        <f>IF(ISNUMBER(K125),1,0)</f>
        <v/>
      </c>
      <c r="N125" s="40">
        <f>IF(M125=1,K125,0)</f>
        <v/>
      </c>
      <c r="O125" s="38">
        <f>IF(ISNUMBER(L125),1,0)</f>
        <v/>
      </c>
      <c r="P125" s="40">
        <f>IF(O125=1,L125,0)</f>
        <v/>
      </c>
      <c r="Q125" s="38">
        <f>M125*O125</f>
        <v/>
      </c>
      <c r="R125" s="38">
        <f>SUM(Q89:Q124)</f>
        <v/>
      </c>
      <c r="S125" s="41">
        <f>IF(OR($A125="",R125&lt;MIN_OBS_ROLL),"",(SUMPRODUCT(Q89:Q124,N89:N124,P89:P124)/R125-SUMPRODUCT(Q89:Q124,N89:N124)/R125*SUMPRODUCT(Q89:Q124,P89:P124)/R125)*R125/(R125-1))</f>
        <v/>
      </c>
      <c r="T125" s="38">
        <f>SUM(O89:O124)</f>
        <v/>
      </c>
      <c r="U125" s="41">
        <f>IF(OR($A125="",T125&lt;MIN_OBS_ROLL),"",SUMPRODUCT(O89:O124,(P89:P124-SUMPRODUCT(O89:O124,P89:P124)/T125)^2)/(T125-1))</f>
        <v/>
      </c>
      <c r="V125" s="40">
        <f>IF(OR(S125="",U125=""),"",S125/U125)</f>
        <v/>
      </c>
      <c r="W125" s="40">
        <f>IF(AND(ISNUMBER(K125),ISNUMBER(L125),ISNUMBER(V125)),K125-V125*L125,"")</f>
        <v/>
      </c>
      <c r="X125" s="40">
        <f>IF(OR($A125="",NOT(ISNUMBER(Datos!H125)),NOT(ISNUMBER(Datos!H124))),"",LN(Datos!H125)-LN(Datos!H124))</f>
        <v/>
      </c>
      <c r="Y125" s="38">
        <f>IF(ISNUMBER(W125),1,0)</f>
        <v/>
      </c>
      <c r="Z125" s="40">
        <f>IF(Y125=1,W125,0)</f>
        <v/>
      </c>
      <c r="AA125" s="38">
        <f>IF(ISNUMBER(X125),1,0)</f>
        <v/>
      </c>
      <c r="AB125" s="40">
        <f>IF(AA125=1,X125,0)</f>
        <v/>
      </c>
      <c r="AC125" s="38">
        <f>Y125*AA125</f>
        <v/>
      </c>
      <c r="AD125" s="38">
        <f>SUM(AC89:AC124)</f>
        <v/>
      </c>
      <c r="AE125" s="41">
        <f>IF(OR($A125="",AD125&lt;MIN_OBS_ROLL),"",(SUMPRODUCT(AC89:AC124,Z89:Z124,AB89:AB124)/AD125-SUMPRODUCT(AC89:AC124,Z89:Z124)/AD125*SUMPRODUCT(AC89:AC124,AB89:AB124)/AD125)*AD125/(AD125-1))</f>
        <v/>
      </c>
      <c r="AF125" s="38">
        <f>SUM(AA89:AA124)</f>
        <v/>
      </c>
      <c r="AG125" s="41">
        <f>IF(OR($A125="",AF125&lt;MIN_OBS_ROLL),"",SUMPRODUCT(AA89:AA124,(AB89:AB124-SUMPRODUCT(AA89:AA124,AB89:AB124)/AF125)^2)/(AF125-1))</f>
        <v/>
      </c>
      <c r="AH125" s="38">
        <f>SUM(Y89:Y124)</f>
        <v/>
      </c>
      <c r="AI125" s="40">
        <f>IF(OR($A125="",AH125&lt;MIN_OBS_ROLL),"",SUMPRODUCT(Y89:Y124,Z89:Z124)/AH125)</f>
        <v/>
      </c>
      <c r="AJ125" s="40">
        <f>IF(OR($A125="",AF125&lt;MIN_OBS_ROLL),"",SUMPRODUCT(AA89:AA124,AB89:AB124)/AF125)</f>
        <v/>
      </c>
      <c r="AK125" s="40">
        <f>IF(OR(AE125="",AG125=""),"",AE125/AG125)</f>
        <v/>
      </c>
      <c r="AL125" s="40">
        <f>IF(OR(AI125="",AK125="",AJ125=""),"",AI125-AK125*AJ125)</f>
        <v/>
      </c>
      <c r="AM125" s="40">
        <f>IF(AND(ISNUMBER(W125),ISNUMBER(X125),ISNUMBER(AK125),ISNUMBER(AL125)),W125-(AL125+AK125*X125),"")</f>
        <v/>
      </c>
      <c r="AN125" s="38">
        <f>IF(ISNUMBER(AM125),1,0)</f>
        <v/>
      </c>
      <c r="AO125" s="40">
        <f>IF(AN125=1,AM125,0)</f>
        <v/>
      </c>
      <c r="AP125" s="40">
        <f>IF(SUM(AN123:AN125)=3,SUM(AO123:AO125),"")</f>
        <v/>
      </c>
      <c r="AQ125" s="38">
        <f>IF(ISNUMBER(AP125),1,0)</f>
        <v/>
      </c>
      <c r="AR125" s="40">
        <f>IF(AQ125=1,AP125,0)</f>
        <v/>
      </c>
      <c r="AS125" s="38">
        <f>SUM(AQ$5:AQ125)</f>
        <v/>
      </c>
      <c r="AT125" s="40">
        <f>IF(AS125&gt;=MIN_OBS_Z,SUMPRODUCT(AQ$5:AQ125,AR$5:AR125)/AS125,"")</f>
        <v/>
      </c>
      <c r="AU125" s="40">
        <f>IF(AS125&gt;=MIN_OBS_Z,SQRT(SUMPRODUCT(AQ$5:AQ125,(AR$5:AR125-AT125)^2)/(AS125-1)),"")</f>
        <v/>
      </c>
      <c r="AV125" s="40">
        <f>IF(AND(AQ125=1,ISNUMBER(AT125)),MAX(-Z_CLIP,MIN(Z_CLIP,(AR125-AT125)/AU125)),"")</f>
        <v/>
      </c>
      <c r="AW125" s="40">
        <f>IF(ISNUMBER(AV125),-AV125,"")</f>
        <v/>
      </c>
      <c r="AX125" s="40">
        <f>IF(ISNUMBER(AW125),1+AMPLITUD*TANH(AW125),"")</f>
        <v/>
      </c>
      <c r="AY125" s="40">
        <f>IF($A125="","",IF(COUNT(AX123:AX125)&gt;0,AVERAGE(AX123:AX125),""))</f>
        <v/>
      </c>
      <c r="AZ125" s="40">
        <f>IF(ISNUMBER(AY125),AY125-1,"")</f>
        <v/>
      </c>
      <c r="BA125" s="40">
        <f>IF(AND(ISNUMBER(AZ124),ISNUMBER(W125)),AZ124*W_BANCOS*W125,"")</f>
        <v/>
      </c>
      <c r="BB125" s="40">
        <f>IF(AND(ISNUMBER(AZ124),ISNUMBER(AZ123)),ABS(AZ124-AZ123)*W_BANCOS*COSTO,0)</f>
        <v/>
      </c>
      <c r="BC125" s="40">
        <f>IF(ISNUMBER(BA125),BA125-BB125,"")</f>
        <v/>
      </c>
      <c r="BD125" s="42">
        <f>IF(ISNUMBER(BC125),IF(A125&lt;=FECHA_ERA,"A","B"),"")</f>
        <v/>
      </c>
      <c r="BE125" s="40">
        <f>IF(BD125="A",BC125,"")</f>
        <v/>
      </c>
      <c r="BF125" s="40">
        <f>IF(BD125="B",BC125,"")</f>
        <v/>
      </c>
      <c r="BG125" s="38">
        <f>IF(AND(ISNUMBER(BC125),ISNUMBER(A125)),IF(A125&gt;=INICIO_VIVO,1,0),0)</f>
        <v/>
      </c>
      <c r="BH125" s="40">
        <f>IF(BG125=1,BC125,"")</f>
        <v/>
      </c>
      <c r="BI125" s="38">
        <f>IF(ISNUMBER(AY125),ROW(),0)</f>
        <v/>
      </c>
      <c r="BJ125" s="43">
        <f>IF(ISNUMBER(BC125),SUM(BC$5:BC125)*10000,NA())</f>
        <v/>
      </c>
      <c r="BK125" s="43">
        <f>IF(BG125=1,SUM(BH$5:BH125)*10000,NA())</f>
        <v/>
      </c>
      <c r="BL125" s="44">
        <f>IF(ISNUMBER(AY125),AY125,NA())</f>
        <v/>
      </c>
    </row>
    <row r="126">
      <c r="A126" s="36">
        <f>IF(Datos!A126="","",Datos!A126)</f>
        <v/>
      </c>
      <c r="B126" s="37">
        <f>IF(OR($A126="",NOT(ISNUMBER(Datos!B126)),NOT(ISNUMBER(Datos!B125))),"",Datos!B126/Datos!B125-1)</f>
        <v/>
      </c>
      <c r="C126" s="37">
        <f>IF(OR($A126="",NOT(ISNUMBER(Datos!C126)),NOT(ISNUMBER(Datos!C125))),"",Datos!C126/Datos!C125-1)</f>
        <v/>
      </c>
      <c r="D126" s="37">
        <f>IF(OR($A126="",NOT(ISNUMBER(Datos!D126)),NOT(ISNUMBER(Datos!D125))),"",Datos!D126/Datos!D125-1)</f>
        <v/>
      </c>
      <c r="E126" s="37">
        <f>IF(OR($A126="",NOT(ISNUMBER(Datos!E126)),NOT(ISNUMBER(Datos!E125))),"",Datos!E126/Datos!E125-1)</f>
        <v/>
      </c>
      <c r="F126" s="38">
        <f>IF($A126="","",COUNT(B126:E126))</f>
        <v/>
      </c>
      <c r="G126" s="37">
        <f>IF($A126="","",IF(F126&gt;=MIN_BANCOS,AVERAGE(B126:E126),""))</f>
        <v/>
      </c>
      <c r="H126" s="37">
        <f>IF(OR($A126="",NOT(ISNUMBER(Datos!F126)),NOT(ISNUMBER(Datos!F125))),"",Datos!F126/Datos!F125-1)</f>
        <v/>
      </c>
      <c r="I126" s="39">
        <f>IF($A126="","",IF(ISNUMBER(Datos!G126),Datos!G126,I125))</f>
        <v/>
      </c>
      <c r="J126" s="40">
        <f>IF($A126="","",IF(ISNUMBER(I125),LN(1+I125/100/12),0))</f>
        <v/>
      </c>
      <c r="K126" s="40">
        <f>IF(ISNUMBER(G126),LN(1+G126)-J126,"")</f>
        <v/>
      </c>
      <c r="L126" s="40">
        <f>IF(ISNUMBER(H126),LN(1+H126)-J126,"")</f>
        <v/>
      </c>
      <c r="M126" s="38">
        <f>IF(ISNUMBER(K126),1,0)</f>
        <v/>
      </c>
      <c r="N126" s="40">
        <f>IF(M126=1,K126,0)</f>
        <v/>
      </c>
      <c r="O126" s="38">
        <f>IF(ISNUMBER(L126),1,0)</f>
        <v/>
      </c>
      <c r="P126" s="40">
        <f>IF(O126=1,L126,0)</f>
        <v/>
      </c>
      <c r="Q126" s="38">
        <f>M126*O126</f>
        <v/>
      </c>
      <c r="R126" s="38">
        <f>SUM(Q90:Q125)</f>
        <v/>
      </c>
      <c r="S126" s="41">
        <f>IF(OR($A126="",R126&lt;MIN_OBS_ROLL),"",(SUMPRODUCT(Q90:Q125,N90:N125,P90:P125)/R126-SUMPRODUCT(Q90:Q125,N90:N125)/R126*SUMPRODUCT(Q90:Q125,P90:P125)/R126)*R126/(R126-1))</f>
        <v/>
      </c>
      <c r="T126" s="38">
        <f>SUM(O90:O125)</f>
        <v/>
      </c>
      <c r="U126" s="41">
        <f>IF(OR($A126="",T126&lt;MIN_OBS_ROLL),"",SUMPRODUCT(O90:O125,(P90:P125-SUMPRODUCT(O90:O125,P90:P125)/T126)^2)/(T126-1))</f>
        <v/>
      </c>
      <c r="V126" s="40">
        <f>IF(OR(S126="",U126=""),"",S126/U126)</f>
        <v/>
      </c>
      <c r="W126" s="40">
        <f>IF(AND(ISNUMBER(K126),ISNUMBER(L126),ISNUMBER(V126)),K126-V126*L126,"")</f>
        <v/>
      </c>
      <c r="X126" s="40">
        <f>IF(OR($A126="",NOT(ISNUMBER(Datos!H126)),NOT(ISNUMBER(Datos!H125))),"",LN(Datos!H126)-LN(Datos!H125))</f>
        <v/>
      </c>
      <c r="Y126" s="38">
        <f>IF(ISNUMBER(W126),1,0)</f>
        <v/>
      </c>
      <c r="Z126" s="40">
        <f>IF(Y126=1,W126,0)</f>
        <v/>
      </c>
      <c r="AA126" s="38">
        <f>IF(ISNUMBER(X126),1,0)</f>
        <v/>
      </c>
      <c r="AB126" s="40">
        <f>IF(AA126=1,X126,0)</f>
        <v/>
      </c>
      <c r="AC126" s="38">
        <f>Y126*AA126</f>
        <v/>
      </c>
      <c r="AD126" s="38">
        <f>SUM(AC90:AC125)</f>
        <v/>
      </c>
      <c r="AE126" s="41">
        <f>IF(OR($A126="",AD126&lt;MIN_OBS_ROLL),"",(SUMPRODUCT(AC90:AC125,Z90:Z125,AB90:AB125)/AD126-SUMPRODUCT(AC90:AC125,Z90:Z125)/AD126*SUMPRODUCT(AC90:AC125,AB90:AB125)/AD126)*AD126/(AD126-1))</f>
        <v/>
      </c>
      <c r="AF126" s="38">
        <f>SUM(AA90:AA125)</f>
        <v/>
      </c>
      <c r="AG126" s="41">
        <f>IF(OR($A126="",AF126&lt;MIN_OBS_ROLL),"",SUMPRODUCT(AA90:AA125,(AB90:AB125-SUMPRODUCT(AA90:AA125,AB90:AB125)/AF126)^2)/(AF126-1))</f>
        <v/>
      </c>
      <c r="AH126" s="38">
        <f>SUM(Y90:Y125)</f>
        <v/>
      </c>
      <c r="AI126" s="40">
        <f>IF(OR($A126="",AH126&lt;MIN_OBS_ROLL),"",SUMPRODUCT(Y90:Y125,Z90:Z125)/AH126)</f>
        <v/>
      </c>
      <c r="AJ126" s="40">
        <f>IF(OR($A126="",AF126&lt;MIN_OBS_ROLL),"",SUMPRODUCT(AA90:AA125,AB90:AB125)/AF126)</f>
        <v/>
      </c>
      <c r="AK126" s="40">
        <f>IF(OR(AE126="",AG126=""),"",AE126/AG126)</f>
        <v/>
      </c>
      <c r="AL126" s="40">
        <f>IF(OR(AI126="",AK126="",AJ126=""),"",AI126-AK126*AJ126)</f>
        <v/>
      </c>
      <c r="AM126" s="40">
        <f>IF(AND(ISNUMBER(W126),ISNUMBER(X126),ISNUMBER(AK126),ISNUMBER(AL126)),W126-(AL126+AK126*X126),"")</f>
        <v/>
      </c>
      <c r="AN126" s="38">
        <f>IF(ISNUMBER(AM126),1,0)</f>
        <v/>
      </c>
      <c r="AO126" s="40">
        <f>IF(AN126=1,AM126,0)</f>
        <v/>
      </c>
      <c r="AP126" s="40">
        <f>IF(SUM(AN124:AN126)=3,SUM(AO124:AO126),"")</f>
        <v/>
      </c>
      <c r="AQ126" s="38">
        <f>IF(ISNUMBER(AP126),1,0)</f>
        <v/>
      </c>
      <c r="AR126" s="40">
        <f>IF(AQ126=1,AP126,0)</f>
        <v/>
      </c>
      <c r="AS126" s="38">
        <f>SUM(AQ$5:AQ126)</f>
        <v/>
      </c>
      <c r="AT126" s="40">
        <f>IF(AS126&gt;=MIN_OBS_Z,SUMPRODUCT(AQ$5:AQ126,AR$5:AR126)/AS126,"")</f>
        <v/>
      </c>
      <c r="AU126" s="40">
        <f>IF(AS126&gt;=MIN_OBS_Z,SQRT(SUMPRODUCT(AQ$5:AQ126,(AR$5:AR126-AT126)^2)/(AS126-1)),"")</f>
        <v/>
      </c>
      <c r="AV126" s="40">
        <f>IF(AND(AQ126=1,ISNUMBER(AT126)),MAX(-Z_CLIP,MIN(Z_CLIP,(AR126-AT126)/AU126)),"")</f>
        <v/>
      </c>
      <c r="AW126" s="40">
        <f>IF(ISNUMBER(AV126),-AV126,"")</f>
        <v/>
      </c>
      <c r="AX126" s="40">
        <f>IF(ISNUMBER(AW126),1+AMPLITUD*TANH(AW126),"")</f>
        <v/>
      </c>
      <c r="AY126" s="40">
        <f>IF($A126="","",IF(COUNT(AX124:AX126)&gt;0,AVERAGE(AX124:AX126),""))</f>
        <v/>
      </c>
      <c r="AZ126" s="40">
        <f>IF(ISNUMBER(AY126),AY126-1,"")</f>
        <v/>
      </c>
      <c r="BA126" s="40">
        <f>IF(AND(ISNUMBER(AZ125),ISNUMBER(W126)),AZ125*W_BANCOS*W126,"")</f>
        <v/>
      </c>
      <c r="BB126" s="40">
        <f>IF(AND(ISNUMBER(AZ125),ISNUMBER(AZ124)),ABS(AZ125-AZ124)*W_BANCOS*COSTO,0)</f>
        <v/>
      </c>
      <c r="BC126" s="40">
        <f>IF(ISNUMBER(BA126),BA126-BB126,"")</f>
        <v/>
      </c>
      <c r="BD126" s="42">
        <f>IF(ISNUMBER(BC126),IF(A126&lt;=FECHA_ERA,"A","B"),"")</f>
        <v/>
      </c>
      <c r="BE126" s="40">
        <f>IF(BD126="A",BC126,"")</f>
        <v/>
      </c>
      <c r="BF126" s="40">
        <f>IF(BD126="B",BC126,"")</f>
        <v/>
      </c>
      <c r="BG126" s="38">
        <f>IF(AND(ISNUMBER(BC126),ISNUMBER(A126)),IF(A126&gt;=INICIO_VIVO,1,0),0)</f>
        <v/>
      </c>
      <c r="BH126" s="40">
        <f>IF(BG126=1,BC126,"")</f>
        <v/>
      </c>
      <c r="BI126" s="38">
        <f>IF(ISNUMBER(AY126),ROW(),0)</f>
        <v/>
      </c>
      <c r="BJ126" s="43">
        <f>IF(ISNUMBER(BC126),SUM(BC$5:BC126)*10000,NA())</f>
        <v/>
      </c>
      <c r="BK126" s="43">
        <f>IF(BG126=1,SUM(BH$5:BH126)*10000,NA())</f>
        <v/>
      </c>
      <c r="BL126" s="44">
        <f>IF(ISNUMBER(AY126),AY126,NA())</f>
        <v/>
      </c>
    </row>
    <row r="127">
      <c r="A127" s="36">
        <f>IF(Datos!A127="","",Datos!A127)</f>
        <v/>
      </c>
      <c r="B127" s="37">
        <f>IF(OR($A127="",NOT(ISNUMBER(Datos!B127)),NOT(ISNUMBER(Datos!B126))),"",Datos!B127/Datos!B126-1)</f>
        <v/>
      </c>
      <c r="C127" s="37">
        <f>IF(OR($A127="",NOT(ISNUMBER(Datos!C127)),NOT(ISNUMBER(Datos!C126))),"",Datos!C127/Datos!C126-1)</f>
        <v/>
      </c>
      <c r="D127" s="37">
        <f>IF(OR($A127="",NOT(ISNUMBER(Datos!D127)),NOT(ISNUMBER(Datos!D126))),"",Datos!D127/Datos!D126-1)</f>
        <v/>
      </c>
      <c r="E127" s="37">
        <f>IF(OR($A127="",NOT(ISNUMBER(Datos!E127)),NOT(ISNUMBER(Datos!E126))),"",Datos!E127/Datos!E126-1)</f>
        <v/>
      </c>
      <c r="F127" s="38">
        <f>IF($A127="","",COUNT(B127:E127))</f>
        <v/>
      </c>
      <c r="G127" s="37">
        <f>IF($A127="","",IF(F127&gt;=MIN_BANCOS,AVERAGE(B127:E127),""))</f>
        <v/>
      </c>
      <c r="H127" s="37">
        <f>IF(OR($A127="",NOT(ISNUMBER(Datos!F127)),NOT(ISNUMBER(Datos!F126))),"",Datos!F127/Datos!F126-1)</f>
        <v/>
      </c>
      <c r="I127" s="39">
        <f>IF($A127="","",IF(ISNUMBER(Datos!G127),Datos!G127,I126))</f>
        <v/>
      </c>
      <c r="J127" s="40">
        <f>IF($A127="","",IF(ISNUMBER(I126),LN(1+I126/100/12),0))</f>
        <v/>
      </c>
      <c r="K127" s="40">
        <f>IF(ISNUMBER(G127),LN(1+G127)-J127,"")</f>
        <v/>
      </c>
      <c r="L127" s="40">
        <f>IF(ISNUMBER(H127),LN(1+H127)-J127,"")</f>
        <v/>
      </c>
      <c r="M127" s="38">
        <f>IF(ISNUMBER(K127),1,0)</f>
        <v/>
      </c>
      <c r="N127" s="40">
        <f>IF(M127=1,K127,0)</f>
        <v/>
      </c>
      <c r="O127" s="38">
        <f>IF(ISNUMBER(L127),1,0)</f>
        <v/>
      </c>
      <c r="P127" s="40">
        <f>IF(O127=1,L127,0)</f>
        <v/>
      </c>
      <c r="Q127" s="38">
        <f>M127*O127</f>
        <v/>
      </c>
      <c r="R127" s="38">
        <f>SUM(Q91:Q126)</f>
        <v/>
      </c>
      <c r="S127" s="41">
        <f>IF(OR($A127="",R127&lt;MIN_OBS_ROLL),"",(SUMPRODUCT(Q91:Q126,N91:N126,P91:P126)/R127-SUMPRODUCT(Q91:Q126,N91:N126)/R127*SUMPRODUCT(Q91:Q126,P91:P126)/R127)*R127/(R127-1))</f>
        <v/>
      </c>
      <c r="T127" s="38">
        <f>SUM(O91:O126)</f>
        <v/>
      </c>
      <c r="U127" s="41">
        <f>IF(OR($A127="",T127&lt;MIN_OBS_ROLL),"",SUMPRODUCT(O91:O126,(P91:P126-SUMPRODUCT(O91:O126,P91:P126)/T127)^2)/(T127-1))</f>
        <v/>
      </c>
      <c r="V127" s="40">
        <f>IF(OR(S127="",U127=""),"",S127/U127)</f>
        <v/>
      </c>
      <c r="W127" s="40">
        <f>IF(AND(ISNUMBER(K127),ISNUMBER(L127),ISNUMBER(V127)),K127-V127*L127,"")</f>
        <v/>
      </c>
      <c r="X127" s="40">
        <f>IF(OR($A127="",NOT(ISNUMBER(Datos!H127)),NOT(ISNUMBER(Datos!H126))),"",LN(Datos!H127)-LN(Datos!H126))</f>
        <v/>
      </c>
      <c r="Y127" s="38">
        <f>IF(ISNUMBER(W127),1,0)</f>
        <v/>
      </c>
      <c r="Z127" s="40">
        <f>IF(Y127=1,W127,0)</f>
        <v/>
      </c>
      <c r="AA127" s="38">
        <f>IF(ISNUMBER(X127),1,0)</f>
        <v/>
      </c>
      <c r="AB127" s="40">
        <f>IF(AA127=1,X127,0)</f>
        <v/>
      </c>
      <c r="AC127" s="38">
        <f>Y127*AA127</f>
        <v/>
      </c>
      <c r="AD127" s="38">
        <f>SUM(AC91:AC126)</f>
        <v/>
      </c>
      <c r="AE127" s="41">
        <f>IF(OR($A127="",AD127&lt;MIN_OBS_ROLL),"",(SUMPRODUCT(AC91:AC126,Z91:Z126,AB91:AB126)/AD127-SUMPRODUCT(AC91:AC126,Z91:Z126)/AD127*SUMPRODUCT(AC91:AC126,AB91:AB126)/AD127)*AD127/(AD127-1))</f>
        <v/>
      </c>
      <c r="AF127" s="38">
        <f>SUM(AA91:AA126)</f>
        <v/>
      </c>
      <c r="AG127" s="41">
        <f>IF(OR($A127="",AF127&lt;MIN_OBS_ROLL),"",SUMPRODUCT(AA91:AA126,(AB91:AB126-SUMPRODUCT(AA91:AA126,AB91:AB126)/AF127)^2)/(AF127-1))</f>
        <v/>
      </c>
      <c r="AH127" s="38">
        <f>SUM(Y91:Y126)</f>
        <v/>
      </c>
      <c r="AI127" s="40">
        <f>IF(OR($A127="",AH127&lt;MIN_OBS_ROLL),"",SUMPRODUCT(Y91:Y126,Z91:Z126)/AH127)</f>
        <v/>
      </c>
      <c r="AJ127" s="40">
        <f>IF(OR($A127="",AF127&lt;MIN_OBS_ROLL),"",SUMPRODUCT(AA91:AA126,AB91:AB126)/AF127)</f>
        <v/>
      </c>
      <c r="AK127" s="40">
        <f>IF(OR(AE127="",AG127=""),"",AE127/AG127)</f>
        <v/>
      </c>
      <c r="AL127" s="40">
        <f>IF(OR(AI127="",AK127="",AJ127=""),"",AI127-AK127*AJ127)</f>
        <v/>
      </c>
      <c r="AM127" s="40">
        <f>IF(AND(ISNUMBER(W127),ISNUMBER(X127),ISNUMBER(AK127),ISNUMBER(AL127)),W127-(AL127+AK127*X127),"")</f>
        <v/>
      </c>
      <c r="AN127" s="38">
        <f>IF(ISNUMBER(AM127),1,0)</f>
        <v/>
      </c>
      <c r="AO127" s="40">
        <f>IF(AN127=1,AM127,0)</f>
        <v/>
      </c>
      <c r="AP127" s="40">
        <f>IF(SUM(AN125:AN127)=3,SUM(AO125:AO127),"")</f>
        <v/>
      </c>
      <c r="AQ127" s="38">
        <f>IF(ISNUMBER(AP127),1,0)</f>
        <v/>
      </c>
      <c r="AR127" s="40">
        <f>IF(AQ127=1,AP127,0)</f>
        <v/>
      </c>
      <c r="AS127" s="38">
        <f>SUM(AQ$5:AQ127)</f>
        <v/>
      </c>
      <c r="AT127" s="40">
        <f>IF(AS127&gt;=MIN_OBS_Z,SUMPRODUCT(AQ$5:AQ127,AR$5:AR127)/AS127,"")</f>
        <v/>
      </c>
      <c r="AU127" s="40">
        <f>IF(AS127&gt;=MIN_OBS_Z,SQRT(SUMPRODUCT(AQ$5:AQ127,(AR$5:AR127-AT127)^2)/(AS127-1)),"")</f>
        <v/>
      </c>
      <c r="AV127" s="40">
        <f>IF(AND(AQ127=1,ISNUMBER(AT127)),MAX(-Z_CLIP,MIN(Z_CLIP,(AR127-AT127)/AU127)),"")</f>
        <v/>
      </c>
      <c r="AW127" s="40">
        <f>IF(ISNUMBER(AV127),-AV127,"")</f>
        <v/>
      </c>
      <c r="AX127" s="40">
        <f>IF(ISNUMBER(AW127),1+AMPLITUD*TANH(AW127),"")</f>
        <v/>
      </c>
      <c r="AY127" s="40">
        <f>IF($A127="","",IF(COUNT(AX125:AX127)&gt;0,AVERAGE(AX125:AX127),""))</f>
        <v/>
      </c>
      <c r="AZ127" s="40">
        <f>IF(ISNUMBER(AY127),AY127-1,"")</f>
        <v/>
      </c>
      <c r="BA127" s="40">
        <f>IF(AND(ISNUMBER(AZ126),ISNUMBER(W127)),AZ126*W_BANCOS*W127,"")</f>
        <v/>
      </c>
      <c r="BB127" s="40">
        <f>IF(AND(ISNUMBER(AZ126),ISNUMBER(AZ125)),ABS(AZ126-AZ125)*W_BANCOS*COSTO,0)</f>
        <v/>
      </c>
      <c r="BC127" s="40">
        <f>IF(ISNUMBER(BA127),BA127-BB127,"")</f>
        <v/>
      </c>
      <c r="BD127" s="42">
        <f>IF(ISNUMBER(BC127),IF(A127&lt;=FECHA_ERA,"A","B"),"")</f>
        <v/>
      </c>
      <c r="BE127" s="40">
        <f>IF(BD127="A",BC127,"")</f>
        <v/>
      </c>
      <c r="BF127" s="40">
        <f>IF(BD127="B",BC127,"")</f>
        <v/>
      </c>
      <c r="BG127" s="38">
        <f>IF(AND(ISNUMBER(BC127),ISNUMBER(A127)),IF(A127&gt;=INICIO_VIVO,1,0),0)</f>
        <v/>
      </c>
      <c r="BH127" s="40">
        <f>IF(BG127=1,BC127,"")</f>
        <v/>
      </c>
      <c r="BI127" s="38">
        <f>IF(ISNUMBER(AY127),ROW(),0)</f>
        <v/>
      </c>
      <c r="BJ127" s="43">
        <f>IF(ISNUMBER(BC127),SUM(BC$5:BC127)*10000,NA())</f>
        <v/>
      </c>
      <c r="BK127" s="43">
        <f>IF(BG127=1,SUM(BH$5:BH127)*10000,NA())</f>
        <v/>
      </c>
      <c r="BL127" s="44">
        <f>IF(ISNUMBER(AY127),AY127,NA())</f>
        <v/>
      </c>
    </row>
    <row r="128">
      <c r="A128" s="36">
        <f>IF(Datos!A128="","",Datos!A128)</f>
        <v/>
      </c>
      <c r="B128" s="37">
        <f>IF(OR($A128="",NOT(ISNUMBER(Datos!B128)),NOT(ISNUMBER(Datos!B127))),"",Datos!B128/Datos!B127-1)</f>
        <v/>
      </c>
      <c r="C128" s="37">
        <f>IF(OR($A128="",NOT(ISNUMBER(Datos!C128)),NOT(ISNUMBER(Datos!C127))),"",Datos!C128/Datos!C127-1)</f>
        <v/>
      </c>
      <c r="D128" s="37">
        <f>IF(OR($A128="",NOT(ISNUMBER(Datos!D128)),NOT(ISNUMBER(Datos!D127))),"",Datos!D128/Datos!D127-1)</f>
        <v/>
      </c>
      <c r="E128" s="37">
        <f>IF(OR($A128="",NOT(ISNUMBER(Datos!E128)),NOT(ISNUMBER(Datos!E127))),"",Datos!E128/Datos!E127-1)</f>
        <v/>
      </c>
      <c r="F128" s="38">
        <f>IF($A128="","",COUNT(B128:E128))</f>
        <v/>
      </c>
      <c r="G128" s="37">
        <f>IF($A128="","",IF(F128&gt;=MIN_BANCOS,AVERAGE(B128:E128),""))</f>
        <v/>
      </c>
      <c r="H128" s="37">
        <f>IF(OR($A128="",NOT(ISNUMBER(Datos!F128)),NOT(ISNUMBER(Datos!F127))),"",Datos!F128/Datos!F127-1)</f>
        <v/>
      </c>
      <c r="I128" s="39">
        <f>IF($A128="","",IF(ISNUMBER(Datos!G128),Datos!G128,I127))</f>
        <v/>
      </c>
      <c r="J128" s="40">
        <f>IF($A128="","",IF(ISNUMBER(I127),LN(1+I127/100/12),0))</f>
        <v/>
      </c>
      <c r="K128" s="40">
        <f>IF(ISNUMBER(G128),LN(1+G128)-J128,"")</f>
        <v/>
      </c>
      <c r="L128" s="40">
        <f>IF(ISNUMBER(H128),LN(1+H128)-J128,"")</f>
        <v/>
      </c>
      <c r="M128" s="38">
        <f>IF(ISNUMBER(K128),1,0)</f>
        <v/>
      </c>
      <c r="N128" s="40">
        <f>IF(M128=1,K128,0)</f>
        <v/>
      </c>
      <c r="O128" s="38">
        <f>IF(ISNUMBER(L128),1,0)</f>
        <v/>
      </c>
      <c r="P128" s="40">
        <f>IF(O128=1,L128,0)</f>
        <v/>
      </c>
      <c r="Q128" s="38">
        <f>M128*O128</f>
        <v/>
      </c>
      <c r="R128" s="38">
        <f>SUM(Q92:Q127)</f>
        <v/>
      </c>
      <c r="S128" s="41">
        <f>IF(OR($A128="",R128&lt;MIN_OBS_ROLL),"",(SUMPRODUCT(Q92:Q127,N92:N127,P92:P127)/R128-SUMPRODUCT(Q92:Q127,N92:N127)/R128*SUMPRODUCT(Q92:Q127,P92:P127)/R128)*R128/(R128-1))</f>
        <v/>
      </c>
      <c r="T128" s="38">
        <f>SUM(O92:O127)</f>
        <v/>
      </c>
      <c r="U128" s="41">
        <f>IF(OR($A128="",T128&lt;MIN_OBS_ROLL),"",SUMPRODUCT(O92:O127,(P92:P127-SUMPRODUCT(O92:O127,P92:P127)/T128)^2)/(T128-1))</f>
        <v/>
      </c>
      <c r="V128" s="40">
        <f>IF(OR(S128="",U128=""),"",S128/U128)</f>
        <v/>
      </c>
      <c r="W128" s="40">
        <f>IF(AND(ISNUMBER(K128),ISNUMBER(L128),ISNUMBER(V128)),K128-V128*L128,"")</f>
        <v/>
      </c>
      <c r="X128" s="40">
        <f>IF(OR($A128="",NOT(ISNUMBER(Datos!H128)),NOT(ISNUMBER(Datos!H127))),"",LN(Datos!H128)-LN(Datos!H127))</f>
        <v/>
      </c>
      <c r="Y128" s="38">
        <f>IF(ISNUMBER(W128),1,0)</f>
        <v/>
      </c>
      <c r="Z128" s="40">
        <f>IF(Y128=1,W128,0)</f>
        <v/>
      </c>
      <c r="AA128" s="38">
        <f>IF(ISNUMBER(X128),1,0)</f>
        <v/>
      </c>
      <c r="AB128" s="40">
        <f>IF(AA128=1,X128,0)</f>
        <v/>
      </c>
      <c r="AC128" s="38">
        <f>Y128*AA128</f>
        <v/>
      </c>
      <c r="AD128" s="38">
        <f>SUM(AC92:AC127)</f>
        <v/>
      </c>
      <c r="AE128" s="41">
        <f>IF(OR($A128="",AD128&lt;MIN_OBS_ROLL),"",(SUMPRODUCT(AC92:AC127,Z92:Z127,AB92:AB127)/AD128-SUMPRODUCT(AC92:AC127,Z92:Z127)/AD128*SUMPRODUCT(AC92:AC127,AB92:AB127)/AD128)*AD128/(AD128-1))</f>
        <v/>
      </c>
      <c r="AF128" s="38">
        <f>SUM(AA92:AA127)</f>
        <v/>
      </c>
      <c r="AG128" s="41">
        <f>IF(OR($A128="",AF128&lt;MIN_OBS_ROLL),"",SUMPRODUCT(AA92:AA127,(AB92:AB127-SUMPRODUCT(AA92:AA127,AB92:AB127)/AF128)^2)/(AF128-1))</f>
        <v/>
      </c>
      <c r="AH128" s="38">
        <f>SUM(Y92:Y127)</f>
        <v/>
      </c>
      <c r="AI128" s="40">
        <f>IF(OR($A128="",AH128&lt;MIN_OBS_ROLL),"",SUMPRODUCT(Y92:Y127,Z92:Z127)/AH128)</f>
        <v/>
      </c>
      <c r="AJ128" s="40">
        <f>IF(OR($A128="",AF128&lt;MIN_OBS_ROLL),"",SUMPRODUCT(AA92:AA127,AB92:AB127)/AF128)</f>
        <v/>
      </c>
      <c r="AK128" s="40">
        <f>IF(OR(AE128="",AG128=""),"",AE128/AG128)</f>
        <v/>
      </c>
      <c r="AL128" s="40">
        <f>IF(OR(AI128="",AK128="",AJ128=""),"",AI128-AK128*AJ128)</f>
        <v/>
      </c>
      <c r="AM128" s="40">
        <f>IF(AND(ISNUMBER(W128),ISNUMBER(X128),ISNUMBER(AK128),ISNUMBER(AL128)),W128-(AL128+AK128*X128),"")</f>
        <v/>
      </c>
      <c r="AN128" s="38">
        <f>IF(ISNUMBER(AM128),1,0)</f>
        <v/>
      </c>
      <c r="AO128" s="40">
        <f>IF(AN128=1,AM128,0)</f>
        <v/>
      </c>
      <c r="AP128" s="40">
        <f>IF(SUM(AN126:AN128)=3,SUM(AO126:AO128),"")</f>
        <v/>
      </c>
      <c r="AQ128" s="38">
        <f>IF(ISNUMBER(AP128),1,0)</f>
        <v/>
      </c>
      <c r="AR128" s="40">
        <f>IF(AQ128=1,AP128,0)</f>
        <v/>
      </c>
      <c r="AS128" s="38">
        <f>SUM(AQ$5:AQ128)</f>
        <v/>
      </c>
      <c r="AT128" s="40">
        <f>IF(AS128&gt;=MIN_OBS_Z,SUMPRODUCT(AQ$5:AQ128,AR$5:AR128)/AS128,"")</f>
        <v/>
      </c>
      <c r="AU128" s="40">
        <f>IF(AS128&gt;=MIN_OBS_Z,SQRT(SUMPRODUCT(AQ$5:AQ128,(AR$5:AR128-AT128)^2)/(AS128-1)),"")</f>
        <v/>
      </c>
      <c r="AV128" s="40">
        <f>IF(AND(AQ128=1,ISNUMBER(AT128)),MAX(-Z_CLIP,MIN(Z_CLIP,(AR128-AT128)/AU128)),"")</f>
        <v/>
      </c>
      <c r="AW128" s="40">
        <f>IF(ISNUMBER(AV128),-AV128,"")</f>
        <v/>
      </c>
      <c r="AX128" s="40">
        <f>IF(ISNUMBER(AW128),1+AMPLITUD*TANH(AW128),"")</f>
        <v/>
      </c>
      <c r="AY128" s="40">
        <f>IF($A128="","",IF(COUNT(AX126:AX128)&gt;0,AVERAGE(AX126:AX128),""))</f>
        <v/>
      </c>
      <c r="AZ128" s="40">
        <f>IF(ISNUMBER(AY128),AY128-1,"")</f>
        <v/>
      </c>
      <c r="BA128" s="40">
        <f>IF(AND(ISNUMBER(AZ127),ISNUMBER(W128)),AZ127*W_BANCOS*W128,"")</f>
        <v/>
      </c>
      <c r="BB128" s="40">
        <f>IF(AND(ISNUMBER(AZ127),ISNUMBER(AZ126)),ABS(AZ127-AZ126)*W_BANCOS*COSTO,0)</f>
        <v/>
      </c>
      <c r="BC128" s="40">
        <f>IF(ISNUMBER(BA128),BA128-BB128,"")</f>
        <v/>
      </c>
      <c r="BD128" s="42">
        <f>IF(ISNUMBER(BC128),IF(A128&lt;=FECHA_ERA,"A","B"),"")</f>
        <v/>
      </c>
      <c r="BE128" s="40">
        <f>IF(BD128="A",BC128,"")</f>
        <v/>
      </c>
      <c r="BF128" s="40">
        <f>IF(BD128="B",BC128,"")</f>
        <v/>
      </c>
      <c r="BG128" s="38">
        <f>IF(AND(ISNUMBER(BC128),ISNUMBER(A128)),IF(A128&gt;=INICIO_VIVO,1,0),0)</f>
        <v/>
      </c>
      <c r="BH128" s="40">
        <f>IF(BG128=1,BC128,"")</f>
        <v/>
      </c>
      <c r="BI128" s="38">
        <f>IF(ISNUMBER(AY128),ROW(),0)</f>
        <v/>
      </c>
      <c r="BJ128" s="43">
        <f>IF(ISNUMBER(BC128),SUM(BC$5:BC128)*10000,NA())</f>
        <v/>
      </c>
      <c r="BK128" s="43">
        <f>IF(BG128=1,SUM(BH$5:BH128)*10000,NA())</f>
        <v/>
      </c>
      <c r="BL128" s="44">
        <f>IF(ISNUMBER(AY128),AY128,NA())</f>
        <v/>
      </c>
    </row>
    <row r="129">
      <c r="A129" s="36">
        <f>IF(Datos!A129="","",Datos!A129)</f>
        <v/>
      </c>
      <c r="B129" s="37">
        <f>IF(OR($A129="",NOT(ISNUMBER(Datos!B129)),NOT(ISNUMBER(Datos!B128))),"",Datos!B129/Datos!B128-1)</f>
        <v/>
      </c>
      <c r="C129" s="37">
        <f>IF(OR($A129="",NOT(ISNUMBER(Datos!C129)),NOT(ISNUMBER(Datos!C128))),"",Datos!C129/Datos!C128-1)</f>
        <v/>
      </c>
      <c r="D129" s="37">
        <f>IF(OR($A129="",NOT(ISNUMBER(Datos!D129)),NOT(ISNUMBER(Datos!D128))),"",Datos!D129/Datos!D128-1)</f>
        <v/>
      </c>
      <c r="E129" s="37">
        <f>IF(OR($A129="",NOT(ISNUMBER(Datos!E129)),NOT(ISNUMBER(Datos!E128))),"",Datos!E129/Datos!E128-1)</f>
        <v/>
      </c>
      <c r="F129" s="38">
        <f>IF($A129="","",COUNT(B129:E129))</f>
        <v/>
      </c>
      <c r="G129" s="37">
        <f>IF($A129="","",IF(F129&gt;=MIN_BANCOS,AVERAGE(B129:E129),""))</f>
        <v/>
      </c>
      <c r="H129" s="37">
        <f>IF(OR($A129="",NOT(ISNUMBER(Datos!F129)),NOT(ISNUMBER(Datos!F128))),"",Datos!F129/Datos!F128-1)</f>
        <v/>
      </c>
      <c r="I129" s="39">
        <f>IF($A129="","",IF(ISNUMBER(Datos!G129),Datos!G129,I128))</f>
        <v/>
      </c>
      <c r="J129" s="40">
        <f>IF($A129="","",IF(ISNUMBER(I128),LN(1+I128/100/12),0))</f>
        <v/>
      </c>
      <c r="K129" s="40">
        <f>IF(ISNUMBER(G129),LN(1+G129)-J129,"")</f>
        <v/>
      </c>
      <c r="L129" s="40">
        <f>IF(ISNUMBER(H129),LN(1+H129)-J129,"")</f>
        <v/>
      </c>
      <c r="M129" s="38">
        <f>IF(ISNUMBER(K129),1,0)</f>
        <v/>
      </c>
      <c r="N129" s="40">
        <f>IF(M129=1,K129,0)</f>
        <v/>
      </c>
      <c r="O129" s="38">
        <f>IF(ISNUMBER(L129),1,0)</f>
        <v/>
      </c>
      <c r="P129" s="40">
        <f>IF(O129=1,L129,0)</f>
        <v/>
      </c>
      <c r="Q129" s="38">
        <f>M129*O129</f>
        <v/>
      </c>
      <c r="R129" s="38">
        <f>SUM(Q93:Q128)</f>
        <v/>
      </c>
      <c r="S129" s="41">
        <f>IF(OR($A129="",R129&lt;MIN_OBS_ROLL),"",(SUMPRODUCT(Q93:Q128,N93:N128,P93:P128)/R129-SUMPRODUCT(Q93:Q128,N93:N128)/R129*SUMPRODUCT(Q93:Q128,P93:P128)/R129)*R129/(R129-1))</f>
        <v/>
      </c>
      <c r="T129" s="38">
        <f>SUM(O93:O128)</f>
        <v/>
      </c>
      <c r="U129" s="41">
        <f>IF(OR($A129="",T129&lt;MIN_OBS_ROLL),"",SUMPRODUCT(O93:O128,(P93:P128-SUMPRODUCT(O93:O128,P93:P128)/T129)^2)/(T129-1))</f>
        <v/>
      </c>
      <c r="V129" s="40">
        <f>IF(OR(S129="",U129=""),"",S129/U129)</f>
        <v/>
      </c>
      <c r="W129" s="40">
        <f>IF(AND(ISNUMBER(K129),ISNUMBER(L129),ISNUMBER(V129)),K129-V129*L129,"")</f>
        <v/>
      </c>
      <c r="X129" s="40">
        <f>IF(OR($A129="",NOT(ISNUMBER(Datos!H129)),NOT(ISNUMBER(Datos!H128))),"",LN(Datos!H129)-LN(Datos!H128))</f>
        <v/>
      </c>
      <c r="Y129" s="38">
        <f>IF(ISNUMBER(W129),1,0)</f>
        <v/>
      </c>
      <c r="Z129" s="40">
        <f>IF(Y129=1,W129,0)</f>
        <v/>
      </c>
      <c r="AA129" s="38">
        <f>IF(ISNUMBER(X129),1,0)</f>
        <v/>
      </c>
      <c r="AB129" s="40">
        <f>IF(AA129=1,X129,0)</f>
        <v/>
      </c>
      <c r="AC129" s="38">
        <f>Y129*AA129</f>
        <v/>
      </c>
      <c r="AD129" s="38">
        <f>SUM(AC93:AC128)</f>
        <v/>
      </c>
      <c r="AE129" s="41">
        <f>IF(OR($A129="",AD129&lt;MIN_OBS_ROLL),"",(SUMPRODUCT(AC93:AC128,Z93:Z128,AB93:AB128)/AD129-SUMPRODUCT(AC93:AC128,Z93:Z128)/AD129*SUMPRODUCT(AC93:AC128,AB93:AB128)/AD129)*AD129/(AD129-1))</f>
        <v/>
      </c>
      <c r="AF129" s="38">
        <f>SUM(AA93:AA128)</f>
        <v/>
      </c>
      <c r="AG129" s="41">
        <f>IF(OR($A129="",AF129&lt;MIN_OBS_ROLL),"",SUMPRODUCT(AA93:AA128,(AB93:AB128-SUMPRODUCT(AA93:AA128,AB93:AB128)/AF129)^2)/(AF129-1))</f>
        <v/>
      </c>
      <c r="AH129" s="38">
        <f>SUM(Y93:Y128)</f>
        <v/>
      </c>
      <c r="AI129" s="40">
        <f>IF(OR($A129="",AH129&lt;MIN_OBS_ROLL),"",SUMPRODUCT(Y93:Y128,Z93:Z128)/AH129)</f>
        <v/>
      </c>
      <c r="AJ129" s="40">
        <f>IF(OR($A129="",AF129&lt;MIN_OBS_ROLL),"",SUMPRODUCT(AA93:AA128,AB93:AB128)/AF129)</f>
        <v/>
      </c>
      <c r="AK129" s="40">
        <f>IF(OR(AE129="",AG129=""),"",AE129/AG129)</f>
        <v/>
      </c>
      <c r="AL129" s="40">
        <f>IF(OR(AI129="",AK129="",AJ129=""),"",AI129-AK129*AJ129)</f>
        <v/>
      </c>
      <c r="AM129" s="40">
        <f>IF(AND(ISNUMBER(W129),ISNUMBER(X129),ISNUMBER(AK129),ISNUMBER(AL129)),W129-(AL129+AK129*X129),"")</f>
        <v/>
      </c>
      <c r="AN129" s="38">
        <f>IF(ISNUMBER(AM129),1,0)</f>
        <v/>
      </c>
      <c r="AO129" s="40">
        <f>IF(AN129=1,AM129,0)</f>
        <v/>
      </c>
      <c r="AP129" s="40">
        <f>IF(SUM(AN127:AN129)=3,SUM(AO127:AO129),"")</f>
        <v/>
      </c>
      <c r="AQ129" s="38">
        <f>IF(ISNUMBER(AP129),1,0)</f>
        <v/>
      </c>
      <c r="AR129" s="40">
        <f>IF(AQ129=1,AP129,0)</f>
        <v/>
      </c>
      <c r="AS129" s="38">
        <f>SUM(AQ$5:AQ129)</f>
        <v/>
      </c>
      <c r="AT129" s="40">
        <f>IF(AS129&gt;=MIN_OBS_Z,SUMPRODUCT(AQ$5:AQ129,AR$5:AR129)/AS129,"")</f>
        <v/>
      </c>
      <c r="AU129" s="40">
        <f>IF(AS129&gt;=MIN_OBS_Z,SQRT(SUMPRODUCT(AQ$5:AQ129,(AR$5:AR129-AT129)^2)/(AS129-1)),"")</f>
        <v/>
      </c>
      <c r="AV129" s="40">
        <f>IF(AND(AQ129=1,ISNUMBER(AT129)),MAX(-Z_CLIP,MIN(Z_CLIP,(AR129-AT129)/AU129)),"")</f>
        <v/>
      </c>
      <c r="AW129" s="40">
        <f>IF(ISNUMBER(AV129),-AV129,"")</f>
        <v/>
      </c>
      <c r="AX129" s="40">
        <f>IF(ISNUMBER(AW129),1+AMPLITUD*TANH(AW129),"")</f>
        <v/>
      </c>
      <c r="AY129" s="40">
        <f>IF($A129="","",IF(COUNT(AX127:AX129)&gt;0,AVERAGE(AX127:AX129),""))</f>
        <v/>
      </c>
      <c r="AZ129" s="40">
        <f>IF(ISNUMBER(AY129),AY129-1,"")</f>
        <v/>
      </c>
      <c r="BA129" s="40">
        <f>IF(AND(ISNUMBER(AZ128),ISNUMBER(W129)),AZ128*W_BANCOS*W129,"")</f>
        <v/>
      </c>
      <c r="BB129" s="40">
        <f>IF(AND(ISNUMBER(AZ128),ISNUMBER(AZ127)),ABS(AZ128-AZ127)*W_BANCOS*COSTO,0)</f>
        <v/>
      </c>
      <c r="BC129" s="40">
        <f>IF(ISNUMBER(BA129),BA129-BB129,"")</f>
        <v/>
      </c>
      <c r="BD129" s="42">
        <f>IF(ISNUMBER(BC129),IF(A129&lt;=FECHA_ERA,"A","B"),"")</f>
        <v/>
      </c>
      <c r="BE129" s="40">
        <f>IF(BD129="A",BC129,"")</f>
        <v/>
      </c>
      <c r="BF129" s="40">
        <f>IF(BD129="B",BC129,"")</f>
        <v/>
      </c>
      <c r="BG129" s="38">
        <f>IF(AND(ISNUMBER(BC129),ISNUMBER(A129)),IF(A129&gt;=INICIO_VIVO,1,0),0)</f>
        <v/>
      </c>
      <c r="BH129" s="40">
        <f>IF(BG129=1,BC129,"")</f>
        <v/>
      </c>
      <c r="BI129" s="38">
        <f>IF(ISNUMBER(AY129),ROW(),0)</f>
        <v/>
      </c>
      <c r="BJ129" s="43">
        <f>IF(ISNUMBER(BC129),SUM(BC$5:BC129)*10000,NA())</f>
        <v/>
      </c>
      <c r="BK129" s="43">
        <f>IF(BG129=1,SUM(BH$5:BH129)*10000,NA())</f>
        <v/>
      </c>
      <c r="BL129" s="44">
        <f>IF(ISNUMBER(AY129),AY129,NA())</f>
        <v/>
      </c>
    </row>
    <row r="130">
      <c r="A130" s="36">
        <f>IF(Datos!A130="","",Datos!A130)</f>
        <v/>
      </c>
      <c r="B130" s="37">
        <f>IF(OR($A130="",NOT(ISNUMBER(Datos!B130)),NOT(ISNUMBER(Datos!B129))),"",Datos!B130/Datos!B129-1)</f>
        <v/>
      </c>
      <c r="C130" s="37">
        <f>IF(OR($A130="",NOT(ISNUMBER(Datos!C130)),NOT(ISNUMBER(Datos!C129))),"",Datos!C130/Datos!C129-1)</f>
        <v/>
      </c>
      <c r="D130" s="37">
        <f>IF(OR($A130="",NOT(ISNUMBER(Datos!D130)),NOT(ISNUMBER(Datos!D129))),"",Datos!D130/Datos!D129-1)</f>
        <v/>
      </c>
      <c r="E130" s="37">
        <f>IF(OR($A130="",NOT(ISNUMBER(Datos!E130)),NOT(ISNUMBER(Datos!E129))),"",Datos!E130/Datos!E129-1)</f>
        <v/>
      </c>
      <c r="F130" s="38">
        <f>IF($A130="","",COUNT(B130:E130))</f>
        <v/>
      </c>
      <c r="G130" s="37">
        <f>IF($A130="","",IF(F130&gt;=MIN_BANCOS,AVERAGE(B130:E130),""))</f>
        <v/>
      </c>
      <c r="H130" s="37">
        <f>IF(OR($A130="",NOT(ISNUMBER(Datos!F130)),NOT(ISNUMBER(Datos!F129))),"",Datos!F130/Datos!F129-1)</f>
        <v/>
      </c>
      <c r="I130" s="39">
        <f>IF($A130="","",IF(ISNUMBER(Datos!G130),Datos!G130,I129))</f>
        <v/>
      </c>
      <c r="J130" s="40">
        <f>IF($A130="","",IF(ISNUMBER(I129),LN(1+I129/100/12),0))</f>
        <v/>
      </c>
      <c r="K130" s="40">
        <f>IF(ISNUMBER(G130),LN(1+G130)-J130,"")</f>
        <v/>
      </c>
      <c r="L130" s="40">
        <f>IF(ISNUMBER(H130),LN(1+H130)-J130,"")</f>
        <v/>
      </c>
      <c r="M130" s="38">
        <f>IF(ISNUMBER(K130),1,0)</f>
        <v/>
      </c>
      <c r="N130" s="40">
        <f>IF(M130=1,K130,0)</f>
        <v/>
      </c>
      <c r="O130" s="38">
        <f>IF(ISNUMBER(L130),1,0)</f>
        <v/>
      </c>
      <c r="P130" s="40">
        <f>IF(O130=1,L130,0)</f>
        <v/>
      </c>
      <c r="Q130" s="38">
        <f>M130*O130</f>
        <v/>
      </c>
      <c r="R130" s="38">
        <f>SUM(Q94:Q129)</f>
        <v/>
      </c>
      <c r="S130" s="41">
        <f>IF(OR($A130="",R130&lt;MIN_OBS_ROLL),"",(SUMPRODUCT(Q94:Q129,N94:N129,P94:P129)/R130-SUMPRODUCT(Q94:Q129,N94:N129)/R130*SUMPRODUCT(Q94:Q129,P94:P129)/R130)*R130/(R130-1))</f>
        <v/>
      </c>
      <c r="T130" s="38">
        <f>SUM(O94:O129)</f>
        <v/>
      </c>
      <c r="U130" s="41">
        <f>IF(OR($A130="",T130&lt;MIN_OBS_ROLL),"",SUMPRODUCT(O94:O129,(P94:P129-SUMPRODUCT(O94:O129,P94:P129)/T130)^2)/(T130-1))</f>
        <v/>
      </c>
      <c r="V130" s="40">
        <f>IF(OR(S130="",U130=""),"",S130/U130)</f>
        <v/>
      </c>
      <c r="W130" s="40">
        <f>IF(AND(ISNUMBER(K130),ISNUMBER(L130),ISNUMBER(V130)),K130-V130*L130,"")</f>
        <v/>
      </c>
      <c r="X130" s="40">
        <f>IF(OR($A130="",NOT(ISNUMBER(Datos!H130)),NOT(ISNUMBER(Datos!H129))),"",LN(Datos!H130)-LN(Datos!H129))</f>
        <v/>
      </c>
      <c r="Y130" s="38">
        <f>IF(ISNUMBER(W130),1,0)</f>
        <v/>
      </c>
      <c r="Z130" s="40">
        <f>IF(Y130=1,W130,0)</f>
        <v/>
      </c>
      <c r="AA130" s="38">
        <f>IF(ISNUMBER(X130),1,0)</f>
        <v/>
      </c>
      <c r="AB130" s="40">
        <f>IF(AA130=1,X130,0)</f>
        <v/>
      </c>
      <c r="AC130" s="38">
        <f>Y130*AA130</f>
        <v/>
      </c>
      <c r="AD130" s="38">
        <f>SUM(AC94:AC129)</f>
        <v/>
      </c>
      <c r="AE130" s="41">
        <f>IF(OR($A130="",AD130&lt;MIN_OBS_ROLL),"",(SUMPRODUCT(AC94:AC129,Z94:Z129,AB94:AB129)/AD130-SUMPRODUCT(AC94:AC129,Z94:Z129)/AD130*SUMPRODUCT(AC94:AC129,AB94:AB129)/AD130)*AD130/(AD130-1))</f>
        <v/>
      </c>
      <c r="AF130" s="38">
        <f>SUM(AA94:AA129)</f>
        <v/>
      </c>
      <c r="AG130" s="41">
        <f>IF(OR($A130="",AF130&lt;MIN_OBS_ROLL),"",SUMPRODUCT(AA94:AA129,(AB94:AB129-SUMPRODUCT(AA94:AA129,AB94:AB129)/AF130)^2)/(AF130-1))</f>
        <v/>
      </c>
      <c r="AH130" s="38">
        <f>SUM(Y94:Y129)</f>
        <v/>
      </c>
      <c r="AI130" s="40">
        <f>IF(OR($A130="",AH130&lt;MIN_OBS_ROLL),"",SUMPRODUCT(Y94:Y129,Z94:Z129)/AH130)</f>
        <v/>
      </c>
      <c r="AJ130" s="40">
        <f>IF(OR($A130="",AF130&lt;MIN_OBS_ROLL),"",SUMPRODUCT(AA94:AA129,AB94:AB129)/AF130)</f>
        <v/>
      </c>
      <c r="AK130" s="40">
        <f>IF(OR(AE130="",AG130=""),"",AE130/AG130)</f>
        <v/>
      </c>
      <c r="AL130" s="40">
        <f>IF(OR(AI130="",AK130="",AJ130=""),"",AI130-AK130*AJ130)</f>
        <v/>
      </c>
      <c r="AM130" s="40">
        <f>IF(AND(ISNUMBER(W130),ISNUMBER(X130),ISNUMBER(AK130),ISNUMBER(AL130)),W130-(AL130+AK130*X130),"")</f>
        <v/>
      </c>
      <c r="AN130" s="38">
        <f>IF(ISNUMBER(AM130),1,0)</f>
        <v/>
      </c>
      <c r="AO130" s="40">
        <f>IF(AN130=1,AM130,0)</f>
        <v/>
      </c>
      <c r="AP130" s="40">
        <f>IF(SUM(AN128:AN130)=3,SUM(AO128:AO130),"")</f>
        <v/>
      </c>
      <c r="AQ130" s="38">
        <f>IF(ISNUMBER(AP130),1,0)</f>
        <v/>
      </c>
      <c r="AR130" s="40">
        <f>IF(AQ130=1,AP130,0)</f>
        <v/>
      </c>
      <c r="AS130" s="38">
        <f>SUM(AQ$5:AQ130)</f>
        <v/>
      </c>
      <c r="AT130" s="40">
        <f>IF(AS130&gt;=MIN_OBS_Z,SUMPRODUCT(AQ$5:AQ130,AR$5:AR130)/AS130,"")</f>
        <v/>
      </c>
      <c r="AU130" s="40">
        <f>IF(AS130&gt;=MIN_OBS_Z,SQRT(SUMPRODUCT(AQ$5:AQ130,(AR$5:AR130-AT130)^2)/(AS130-1)),"")</f>
        <v/>
      </c>
      <c r="AV130" s="40">
        <f>IF(AND(AQ130=1,ISNUMBER(AT130)),MAX(-Z_CLIP,MIN(Z_CLIP,(AR130-AT130)/AU130)),"")</f>
        <v/>
      </c>
      <c r="AW130" s="40">
        <f>IF(ISNUMBER(AV130),-AV130,"")</f>
        <v/>
      </c>
      <c r="AX130" s="40">
        <f>IF(ISNUMBER(AW130),1+AMPLITUD*TANH(AW130),"")</f>
        <v/>
      </c>
      <c r="AY130" s="40">
        <f>IF($A130="","",IF(COUNT(AX128:AX130)&gt;0,AVERAGE(AX128:AX130),""))</f>
        <v/>
      </c>
      <c r="AZ130" s="40">
        <f>IF(ISNUMBER(AY130),AY130-1,"")</f>
        <v/>
      </c>
      <c r="BA130" s="40">
        <f>IF(AND(ISNUMBER(AZ129),ISNUMBER(W130)),AZ129*W_BANCOS*W130,"")</f>
        <v/>
      </c>
      <c r="BB130" s="40">
        <f>IF(AND(ISNUMBER(AZ129),ISNUMBER(AZ128)),ABS(AZ129-AZ128)*W_BANCOS*COSTO,0)</f>
        <v/>
      </c>
      <c r="BC130" s="40">
        <f>IF(ISNUMBER(BA130),BA130-BB130,"")</f>
        <v/>
      </c>
      <c r="BD130" s="42">
        <f>IF(ISNUMBER(BC130),IF(A130&lt;=FECHA_ERA,"A","B"),"")</f>
        <v/>
      </c>
      <c r="BE130" s="40">
        <f>IF(BD130="A",BC130,"")</f>
        <v/>
      </c>
      <c r="BF130" s="40">
        <f>IF(BD130="B",BC130,"")</f>
        <v/>
      </c>
      <c r="BG130" s="38">
        <f>IF(AND(ISNUMBER(BC130),ISNUMBER(A130)),IF(A130&gt;=INICIO_VIVO,1,0),0)</f>
        <v/>
      </c>
      <c r="BH130" s="40">
        <f>IF(BG130=1,BC130,"")</f>
        <v/>
      </c>
      <c r="BI130" s="38">
        <f>IF(ISNUMBER(AY130),ROW(),0)</f>
        <v/>
      </c>
      <c r="BJ130" s="43">
        <f>IF(ISNUMBER(BC130),SUM(BC$5:BC130)*10000,NA())</f>
        <v/>
      </c>
      <c r="BK130" s="43">
        <f>IF(BG130=1,SUM(BH$5:BH130)*10000,NA())</f>
        <v/>
      </c>
      <c r="BL130" s="44">
        <f>IF(ISNUMBER(AY130),AY130,NA())</f>
        <v/>
      </c>
    </row>
    <row r="131">
      <c r="A131" s="36">
        <f>IF(Datos!A131="","",Datos!A131)</f>
        <v/>
      </c>
      <c r="B131" s="37">
        <f>IF(OR($A131="",NOT(ISNUMBER(Datos!B131)),NOT(ISNUMBER(Datos!B130))),"",Datos!B131/Datos!B130-1)</f>
        <v/>
      </c>
      <c r="C131" s="37">
        <f>IF(OR($A131="",NOT(ISNUMBER(Datos!C131)),NOT(ISNUMBER(Datos!C130))),"",Datos!C131/Datos!C130-1)</f>
        <v/>
      </c>
      <c r="D131" s="37">
        <f>IF(OR($A131="",NOT(ISNUMBER(Datos!D131)),NOT(ISNUMBER(Datos!D130))),"",Datos!D131/Datos!D130-1)</f>
        <v/>
      </c>
      <c r="E131" s="37">
        <f>IF(OR($A131="",NOT(ISNUMBER(Datos!E131)),NOT(ISNUMBER(Datos!E130))),"",Datos!E131/Datos!E130-1)</f>
        <v/>
      </c>
      <c r="F131" s="38">
        <f>IF($A131="","",COUNT(B131:E131))</f>
        <v/>
      </c>
      <c r="G131" s="37">
        <f>IF($A131="","",IF(F131&gt;=MIN_BANCOS,AVERAGE(B131:E131),""))</f>
        <v/>
      </c>
      <c r="H131" s="37">
        <f>IF(OR($A131="",NOT(ISNUMBER(Datos!F131)),NOT(ISNUMBER(Datos!F130))),"",Datos!F131/Datos!F130-1)</f>
        <v/>
      </c>
      <c r="I131" s="39">
        <f>IF($A131="","",IF(ISNUMBER(Datos!G131),Datos!G131,I130))</f>
        <v/>
      </c>
      <c r="J131" s="40">
        <f>IF($A131="","",IF(ISNUMBER(I130),LN(1+I130/100/12),0))</f>
        <v/>
      </c>
      <c r="K131" s="40">
        <f>IF(ISNUMBER(G131),LN(1+G131)-J131,"")</f>
        <v/>
      </c>
      <c r="L131" s="40">
        <f>IF(ISNUMBER(H131),LN(1+H131)-J131,"")</f>
        <v/>
      </c>
      <c r="M131" s="38">
        <f>IF(ISNUMBER(K131),1,0)</f>
        <v/>
      </c>
      <c r="N131" s="40">
        <f>IF(M131=1,K131,0)</f>
        <v/>
      </c>
      <c r="O131" s="38">
        <f>IF(ISNUMBER(L131),1,0)</f>
        <v/>
      </c>
      <c r="P131" s="40">
        <f>IF(O131=1,L131,0)</f>
        <v/>
      </c>
      <c r="Q131" s="38">
        <f>M131*O131</f>
        <v/>
      </c>
      <c r="R131" s="38">
        <f>SUM(Q95:Q130)</f>
        <v/>
      </c>
      <c r="S131" s="41">
        <f>IF(OR($A131="",R131&lt;MIN_OBS_ROLL),"",(SUMPRODUCT(Q95:Q130,N95:N130,P95:P130)/R131-SUMPRODUCT(Q95:Q130,N95:N130)/R131*SUMPRODUCT(Q95:Q130,P95:P130)/R131)*R131/(R131-1))</f>
        <v/>
      </c>
      <c r="T131" s="38">
        <f>SUM(O95:O130)</f>
        <v/>
      </c>
      <c r="U131" s="41">
        <f>IF(OR($A131="",T131&lt;MIN_OBS_ROLL),"",SUMPRODUCT(O95:O130,(P95:P130-SUMPRODUCT(O95:O130,P95:P130)/T131)^2)/(T131-1))</f>
        <v/>
      </c>
      <c r="V131" s="40">
        <f>IF(OR(S131="",U131=""),"",S131/U131)</f>
        <v/>
      </c>
      <c r="W131" s="40">
        <f>IF(AND(ISNUMBER(K131),ISNUMBER(L131),ISNUMBER(V131)),K131-V131*L131,"")</f>
        <v/>
      </c>
      <c r="X131" s="40">
        <f>IF(OR($A131="",NOT(ISNUMBER(Datos!H131)),NOT(ISNUMBER(Datos!H130))),"",LN(Datos!H131)-LN(Datos!H130))</f>
        <v/>
      </c>
      <c r="Y131" s="38">
        <f>IF(ISNUMBER(W131),1,0)</f>
        <v/>
      </c>
      <c r="Z131" s="40">
        <f>IF(Y131=1,W131,0)</f>
        <v/>
      </c>
      <c r="AA131" s="38">
        <f>IF(ISNUMBER(X131),1,0)</f>
        <v/>
      </c>
      <c r="AB131" s="40">
        <f>IF(AA131=1,X131,0)</f>
        <v/>
      </c>
      <c r="AC131" s="38">
        <f>Y131*AA131</f>
        <v/>
      </c>
      <c r="AD131" s="38">
        <f>SUM(AC95:AC130)</f>
        <v/>
      </c>
      <c r="AE131" s="41">
        <f>IF(OR($A131="",AD131&lt;MIN_OBS_ROLL),"",(SUMPRODUCT(AC95:AC130,Z95:Z130,AB95:AB130)/AD131-SUMPRODUCT(AC95:AC130,Z95:Z130)/AD131*SUMPRODUCT(AC95:AC130,AB95:AB130)/AD131)*AD131/(AD131-1))</f>
        <v/>
      </c>
      <c r="AF131" s="38">
        <f>SUM(AA95:AA130)</f>
        <v/>
      </c>
      <c r="AG131" s="41">
        <f>IF(OR($A131="",AF131&lt;MIN_OBS_ROLL),"",SUMPRODUCT(AA95:AA130,(AB95:AB130-SUMPRODUCT(AA95:AA130,AB95:AB130)/AF131)^2)/(AF131-1))</f>
        <v/>
      </c>
      <c r="AH131" s="38">
        <f>SUM(Y95:Y130)</f>
        <v/>
      </c>
      <c r="AI131" s="40">
        <f>IF(OR($A131="",AH131&lt;MIN_OBS_ROLL),"",SUMPRODUCT(Y95:Y130,Z95:Z130)/AH131)</f>
        <v/>
      </c>
      <c r="AJ131" s="40">
        <f>IF(OR($A131="",AF131&lt;MIN_OBS_ROLL),"",SUMPRODUCT(AA95:AA130,AB95:AB130)/AF131)</f>
        <v/>
      </c>
      <c r="AK131" s="40">
        <f>IF(OR(AE131="",AG131=""),"",AE131/AG131)</f>
        <v/>
      </c>
      <c r="AL131" s="40">
        <f>IF(OR(AI131="",AK131="",AJ131=""),"",AI131-AK131*AJ131)</f>
        <v/>
      </c>
      <c r="AM131" s="40">
        <f>IF(AND(ISNUMBER(W131),ISNUMBER(X131),ISNUMBER(AK131),ISNUMBER(AL131)),W131-(AL131+AK131*X131),"")</f>
        <v/>
      </c>
      <c r="AN131" s="38">
        <f>IF(ISNUMBER(AM131),1,0)</f>
        <v/>
      </c>
      <c r="AO131" s="40">
        <f>IF(AN131=1,AM131,0)</f>
        <v/>
      </c>
      <c r="AP131" s="40">
        <f>IF(SUM(AN129:AN131)=3,SUM(AO129:AO131),"")</f>
        <v/>
      </c>
      <c r="AQ131" s="38">
        <f>IF(ISNUMBER(AP131),1,0)</f>
        <v/>
      </c>
      <c r="AR131" s="40">
        <f>IF(AQ131=1,AP131,0)</f>
        <v/>
      </c>
      <c r="AS131" s="38">
        <f>SUM(AQ$5:AQ131)</f>
        <v/>
      </c>
      <c r="AT131" s="40">
        <f>IF(AS131&gt;=MIN_OBS_Z,SUMPRODUCT(AQ$5:AQ131,AR$5:AR131)/AS131,"")</f>
        <v/>
      </c>
      <c r="AU131" s="40">
        <f>IF(AS131&gt;=MIN_OBS_Z,SQRT(SUMPRODUCT(AQ$5:AQ131,(AR$5:AR131-AT131)^2)/(AS131-1)),"")</f>
        <v/>
      </c>
      <c r="AV131" s="40">
        <f>IF(AND(AQ131=1,ISNUMBER(AT131)),MAX(-Z_CLIP,MIN(Z_CLIP,(AR131-AT131)/AU131)),"")</f>
        <v/>
      </c>
      <c r="AW131" s="40">
        <f>IF(ISNUMBER(AV131),-AV131,"")</f>
        <v/>
      </c>
      <c r="AX131" s="40">
        <f>IF(ISNUMBER(AW131),1+AMPLITUD*TANH(AW131),"")</f>
        <v/>
      </c>
      <c r="AY131" s="40">
        <f>IF($A131="","",IF(COUNT(AX129:AX131)&gt;0,AVERAGE(AX129:AX131),""))</f>
        <v/>
      </c>
      <c r="AZ131" s="40">
        <f>IF(ISNUMBER(AY131),AY131-1,"")</f>
        <v/>
      </c>
      <c r="BA131" s="40">
        <f>IF(AND(ISNUMBER(AZ130),ISNUMBER(W131)),AZ130*W_BANCOS*W131,"")</f>
        <v/>
      </c>
      <c r="BB131" s="40">
        <f>IF(AND(ISNUMBER(AZ130),ISNUMBER(AZ129)),ABS(AZ130-AZ129)*W_BANCOS*COSTO,0)</f>
        <v/>
      </c>
      <c r="BC131" s="40">
        <f>IF(ISNUMBER(BA131),BA131-BB131,"")</f>
        <v/>
      </c>
      <c r="BD131" s="42">
        <f>IF(ISNUMBER(BC131),IF(A131&lt;=FECHA_ERA,"A","B"),"")</f>
        <v/>
      </c>
      <c r="BE131" s="40">
        <f>IF(BD131="A",BC131,"")</f>
        <v/>
      </c>
      <c r="BF131" s="40">
        <f>IF(BD131="B",BC131,"")</f>
        <v/>
      </c>
      <c r="BG131" s="38">
        <f>IF(AND(ISNUMBER(BC131),ISNUMBER(A131)),IF(A131&gt;=INICIO_VIVO,1,0),0)</f>
        <v/>
      </c>
      <c r="BH131" s="40">
        <f>IF(BG131=1,BC131,"")</f>
        <v/>
      </c>
      <c r="BI131" s="38">
        <f>IF(ISNUMBER(AY131),ROW(),0)</f>
        <v/>
      </c>
      <c r="BJ131" s="43">
        <f>IF(ISNUMBER(BC131),SUM(BC$5:BC131)*10000,NA())</f>
        <v/>
      </c>
      <c r="BK131" s="43">
        <f>IF(BG131=1,SUM(BH$5:BH131)*10000,NA())</f>
        <v/>
      </c>
      <c r="BL131" s="44">
        <f>IF(ISNUMBER(AY131),AY131,NA())</f>
        <v/>
      </c>
    </row>
    <row r="132">
      <c r="A132" s="36">
        <f>IF(Datos!A132="","",Datos!A132)</f>
        <v/>
      </c>
      <c r="B132" s="37">
        <f>IF(OR($A132="",NOT(ISNUMBER(Datos!B132)),NOT(ISNUMBER(Datos!B131))),"",Datos!B132/Datos!B131-1)</f>
        <v/>
      </c>
      <c r="C132" s="37">
        <f>IF(OR($A132="",NOT(ISNUMBER(Datos!C132)),NOT(ISNUMBER(Datos!C131))),"",Datos!C132/Datos!C131-1)</f>
        <v/>
      </c>
      <c r="D132" s="37">
        <f>IF(OR($A132="",NOT(ISNUMBER(Datos!D132)),NOT(ISNUMBER(Datos!D131))),"",Datos!D132/Datos!D131-1)</f>
        <v/>
      </c>
      <c r="E132" s="37">
        <f>IF(OR($A132="",NOT(ISNUMBER(Datos!E132)),NOT(ISNUMBER(Datos!E131))),"",Datos!E132/Datos!E131-1)</f>
        <v/>
      </c>
      <c r="F132" s="38">
        <f>IF($A132="","",COUNT(B132:E132))</f>
        <v/>
      </c>
      <c r="G132" s="37">
        <f>IF($A132="","",IF(F132&gt;=MIN_BANCOS,AVERAGE(B132:E132),""))</f>
        <v/>
      </c>
      <c r="H132" s="37">
        <f>IF(OR($A132="",NOT(ISNUMBER(Datos!F132)),NOT(ISNUMBER(Datos!F131))),"",Datos!F132/Datos!F131-1)</f>
        <v/>
      </c>
      <c r="I132" s="39">
        <f>IF($A132="","",IF(ISNUMBER(Datos!G132),Datos!G132,I131))</f>
        <v/>
      </c>
      <c r="J132" s="40">
        <f>IF($A132="","",IF(ISNUMBER(I131),LN(1+I131/100/12),0))</f>
        <v/>
      </c>
      <c r="K132" s="40">
        <f>IF(ISNUMBER(G132),LN(1+G132)-J132,"")</f>
        <v/>
      </c>
      <c r="L132" s="40">
        <f>IF(ISNUMBER(H132),LN(1+H132)-J132,"")</f>
        <v/>
      </c>
      <c r="M132" s="38">
        <f>IF(ISNUMBER(K132),1,0)</f>
        <v/>
      </c>
      <c r="N132" s="40">
        <f>IF(M132=1,K132,0)</f>
        <v/>
      </c>
      <c r="O132" s="38">
        <f>IF(ISNUMBER(L132),1,0)</f>
        <v/>
      </c>
      <c r="P132" s="40">
        <f>IF(O132=1,L132,0)</f>
        <v/>
      </c>
      <c r="Q132" s="38">
        <f>M132*O132</f>
        <v/>
      </c>
      <c r="R132" s="38">
        <f>SUM(Q96:Q131)</f>
        <v/>
      </c>
      <c r="S132" s="41">
        <f>IF(OR($A132="",R132&lt;MIN_OBS_ROLL),"",(SUMPRODUCT(Q96:Q131,N96:N131,P96:P131)/R132-SUMPRODUCT(Q96:Q131,N96:N131)/R132*SUMPRODUCT(Q96:Q131,P96:P131)/R132)*R132/(R132-1))</f>
        <v/>
      </c>
      <c r="T132" s="38">
        <f>SUM(O96:O131)</f>
        <v/>
      </c>
      <c r="U132" s="41">
        <f>IF(OR($A132="",T132&lt;MIN_OBS_ROLL),"",SUMPRODUCT(O96:O131,(P96:P131-SUMPRODUCT(O96:O131,P96:P131)/T132)^2)/(T132-1))</f>
        <v/>
      </c>
      <c r="V132" s="40">
        <f>IF(OR(S132="",U132=""),"",S132/U132)</f>
        <v/>
      </c>
      <c r="W132" s="40">
        <f>IF(AND(ISNUMBER(K132),ISNUMBER(L132),ISNUMBER(V132)),K132-V132*L132,"")</f>
        <v/>
      </c>
      <c r="X132" s="40">
        <f>IF(OR($A132="",NOT(ISNUMBER(Datos!H132)),NOT(ISNUMBER(Datos!H131))),"",LN(Datos!H132)-LN(Datos!H131))</f>
        <v/>
      </c>
      <c r="Y132" s="38">
        <f>IF(ISNUMBER(W132),1,0)</f>
        <v/>
      </c>
      <c r="Z132" s="40">
        <f>IF(Y132=1,W132,0)</f>
        <v/>
      </c>
      <c r="AA132" s="38">
        <f>IF(ISNUMBER(X132),1,0)</f>
        <v/>
      </c>
      <c r="AB132" s="40">
        <f>IF(AA132=1,X132,0)</f>
        <v/>
      </c>
      <c r="AC132" s="38">
        <f>Y132*AA132</f>
        <v/>
      </c>
      <c r="AD132" s="38">
        <f>SUM(AC96:AC131)</f>
        <v/>
      </c>
      <c r="AE132" s="41">
        <f>IF(OR($A132="",AD132&lt;MIN_OBS_ROLL),"",(SUMPRODUCT(AC96:AC131,Z96:Z131,AB96:AB131)/AD132-SUMPRODUCT(AC96:AC131,Z96:Z131)/AD132*SUMPRODUCT(AC96:AC131,AB96:AB131)/AD132)*AD132/(AD132-1))</f>
        <v/>
      </c>
      <c r="AF132" s="38">
        <f>SUM(AA96:AA131)</f>
        <v/>
      </c>
      <c r="AG132" s="41">
        <f>IF(OR($A132="",AF132&lt;MIN_OBS_ROLL),"",SUMPRODUCT(AA96:AA131,(AB96:AB131-SUMPRODUCT(AA96:AA131,AB96:AB131)/AF132)^2)/(AF132-1))</f>
        <v/>
      </c>
      <c r="AH132" s="38">
        <f>SUM(Y96:Y131)</f>
        <v/>
      </c>
      <c r="AI132" s="40">
        <f>IF(OR($A132="",AH132&lt;MIN_OBS_ROLL),"",SUMPRODUCT(Y96:Y131,Z96:Z131)/AH132)</f>
        <v/>
      </c>
      <c r="AJ132" s="40">
        <f>IF(OR($A132="",AF132&lt;MIN_OBS_ROLL),"",SUMPRODUCT(AA96:AA131,AB96:AB131)/AF132)</f>
        <v/>
      </c>
      <c r="AK132" s="40">
        <f>IF(OR(AE132="",AG132=""),"",AE132/AG132)</f>
        <v/>
      </c>
      <c r="AL132" s="40">
        <f>IF(OR(AI132="",AK132="",AJ132=""),"",AI132-AK132*AJ132)</f>
        <v/>
      </c>
      <c r="AM132" s="40">
        <f>IF(AND(ISNUMBER(W132),ISNUMBER(X132),ISNUMBER(AK132),ISNUMBER(AL132)),W132-(AL132+AK132*X132),"")</f>
        <v/>
      </c>
      <c r="AN132" s="38">
        <f>IF(ISNUMBER(AM132),1,0)</f>
        <v/>
      </c>
      <c r="AO132" s="40">
        <f>IF(AN132=1,AM132,0)</f>
        <v/>
      </c>
      <c r="AP132" s="40">
        <f>IF(SUM(AN130:AN132)=3,SUM(AO130:AO132),"")</f>
        <v/>
      </c>
      <c r="AQ132" s="38">
        <f>IF(ISNUMBER(AP132),1,0)</f>
        <v/>
      </c>
      <c r="AR132" s="40">
        <f>IF(AQ132=1,AP132,0)</f>
        <v/>
      </c>
      <c r="AS132" s="38">
        <f>SUM(AQ$5:AQ132)</f>
        <v/>
      </c>
      <c r="AT132" s="40">
        <f>IF(AS132&gt;=MIN_OBS_Z,SUMPRODUCT(AQ$5:AQ132,AR$5:AR132)/AS132,"")</f>
        <v/>
      </c>
      <c r="AU132" s="40">
        <f>IF(AS132&gt;=MIN_OBS_Z,SQRT(SUMPRODUCT(AQ$5:AQ132,(AR$5:AR132-AT132)^2)/(AS132-1)),"")</f>
        <v/>
      </c>
      <c r="AV132" s="40">
        <f>IF(AND(AQ132=1,ISNUMBER(AT132)),MAX(-Z_CLIP,MIN(Z_CLIP,(AR132-AT132)/AU132)),"")</f>
        <v/>
      </c>
      <c r="AW132" s="40">
        <f>IF(ISNUMBER(AV132),-AV132,"")</f>
        <v/>
      </c>
      <c r="AX132" s="40">
        <f>IF(ISNUMBER(AW132),1+AMPLITUD*TANH(AW132),"")</f>
        <v/>
      </c>
      <c r="AY132" s="40">
        <f>IF($A132="","",IF(COUNT(AX130:AX132)&gt;0,AVERAGE(AX130:AX132),""))</f>
        <v/>
      </c>
      <c r="AZ132" s="40">
        <f>IF(ISNUMBER(AY132),AY132-1,"")</f>
        <v/>
      </c>
      <c r="BA132" s="40">
        <f>IF(AND(ISNUMBER(AZ131),ISNUMBER(W132)),AZ131*W_BANCOS*W132,"")</f>
        <v/>
      </c>
      <c r="BB132" s="40">
        <f>IF(AND(ISNUMBER(AZ131),ISNUMBER(AZ130)),ABS(AZ131-AZ130)*W_BANCOS*COSTO,0)</f>
        <v/>
      </c>
      <c r="BC132" s="40">
        <f>IF(ISNUMBER(BA132),BA132-BB132,"")</f>
        <v/>
      </c>
      <c r="BD132" s="42">
        <f>IF(ISNUMBER(BC132),IF(A132&lt;=FECHA_ERA,"A","B"),"")</f>
        <v/>
      </c>
      <c r="BE132" s="40">
        <f>IF(BD132="A",BC132,"")</f>
        <v/>
      </c>
      <c r="BF132" s="40">
        <f>IF(BD132="B",BC132,"")</f>
        <v/>
      </c>
      <c r="BG132" s="38">
        <f>IF(AND(ISNUMBER(BC132),ISNUMBER(A132)),IF(A132&gt;=INICIO_VIVO,1,0),0)</f>
        <v/>
      </c>
      <c r="BH132" s="40">
        <f>IF(BG132=1,BC132,"")</f>
        <v/>
      </c>
      <c r="BI132" s="38">
        <f>IF(ISNUMBER(AY132),ROW(),0)</f>
        <v/>
      </c>
      <c r="BJ132" s="43">
        <f>IF(ISNUMBER(BC132),SUM(BC$5:BC132)*10000,NA())</f>
        <v/>
      </c>
      <c r="BK132" s="43">
        <f>IF(BG132=1,SUM(BH$5:BH132)*10000,NA())</f>
        <v/>
      </c>
      <c r="BL132" s="44">
        <f>IF(ISNUMBER(AY132),AY132,NA())</f>
        <v/>
      </c>
    </row>
    <row r="133">
      <c r="A133" s="36">
        <f>IF(Datos!A133="","",Datos!A133)</f>
        <v/>
      </c>
      <c r="B133" s="37">
        <f>IF(OR($A133="",NOT(ISNUMBER(Datos!B133)),NOT(ISNUMBER(Datos!B132))),"",Datos!B133/Datos!B132-1)</f>
        <v/>
      </c>
      <c r="C133" s="37">
        <f>IF(OR($A133="",NOT(ISNUMBER(Datos!C133)),NOT(ISNUMBER(Datos!C132))),"",Datos!C133/Datos!C132-1)</f>
        <v/>
      </c>
      <c r="D133" s="37">
        <f>IF(OR($A133="",NOT(ISNUMBER(Datos!D133)),NOT(ISNUMBER(Datos!D132))),"",Datos!D133/Datos!D132-1)</f>
        <v/>
      </c>
      <c r="E133" s="37">
        <f>IF(OR($A133="",NOT(ISNUMBER(Datos!E133)),NOT(ISNUMBER(Datos!E132))),"",Datos!E133/Datos!E132-1)</f>
        <v/>
      </c>
      <c r="F133" s="38">
        <f>IF($A133="","",COUNT(B133:E133))</f>
        <v/>
      </c>
      <c r="G133" s="37">
        <f>IF($A133="","",IF(F133&gt;=MIN_BANCOS,AVERAGE(B133:E133),""))</f>
        <v/>
      </c>
      <c r="H133" s="37">
        <f>IF(OR($A133="",NOT(ISNUMBER(Datos!F133)),NOT(ISNUMBER(Datos!F132))),"",Datos!F133/Datos!F132-1)</f>
        <v/>
      </c>
      <c r="I133" s="39">
        <f>IF($A133="","",IF(ISNUMBER(Datos!G133),Datos!G133,I132))</f>
        <v/>
      </c>
      <c r="J133" s="40">
        <f>IF($A133="","",IF(ISNUMBER(I132),LN(1+I132/100/12),0))</f>
        <v/>
      </c>
      <c r="K133" s="40">
        <f>IF(ISNUMBER(G133),LN(1+G133)-J133,"")</f>
        <v/>
      </c>
      <c r="L133" s="40">
        <f>IF(ISNUMBER(H133),LN(1+H133)-J133,"")</f>
        <v/>
      </c>
      <c r="M133" s="38">
        <f>IF(ISNUMBER(K133),1,0)</f>
        <v/>
      </c>
      <c r="N133" s="40">
        <f>IF(M133=1,K133,0)</f>
        <v/>
      </c>
      <c r="O133" s="38">
        <f>IF(ISNUMBER(L133),1,0)</f>
        <v/>
      </c>
      <c r="P133" s="40">
        <f>IF(O133=1,L133,0)</f>
        <v/>
      </c>
      <c r="Q133" s="38">
        <f>M133*O133</f>
        <v/>
      </c>
      <c r="R133" s="38">
        <f>SUM(Q97:Q132)</f>
        <v/>
      </c>
      <c r="S133" s="41">
        <f>IF(OR($A133="",R133&lt;MIN_OBS_ROLL),"",(SUMPRODUCT(Q97:Q132,N97:N132,P97:P132)/R133-SUMPRODUCT(Q97:Q132,N97:N132)/R133*SUMPRODUCT(Q97:Q132,P97:P132)/R133)*R133/(R133-1))</f>
        <v/>
      </c>
      <c r="T133" s="38">
        <f>SUM(O97:O132)</f>
        <v/>
      </c>
      <c r="U133" s="41">
        <f>IF(OR($A133="",T133&lt;MIN_OBS_ROLL),"",SUMPRODUCT(O97:O132,(P97:P132-SUMPRODUCT(O97:O132,P97:P132)/T133)^2)/(T133-1))</f>
        <v/>
      </c>
      <c r="V133" s="40">
        <f>IF(OR(S133="",U133=""),"",S133/U133)</f>
        <v/>
      </c>
      <c r="W133" s="40">
        <f>IF(AND(ISNUMBER(K133),ISNUMBER(L133),ISNUMBER(V133)),K133-V133*L133,"")</f>
        <v/>
      </c>
      <c r="X133" s="40">
        <f>IF(OR($A133="",NOT(ISNUMBER(Datos!H133)),NOT(ISNUMBER(Datos!H132))),"",LN(Datos!H133)-LN(Datos!H132))</f>
        <v/>
      </c>
      <c r="Y133" s="38">
        <f>IF(ISNUMBER(W133),1,0)</f>
        <v/>
      </c>
      <c r="Z133" s="40">
        <f>IF(Y133=1,W133,0)</f>
        <v/>
      </c>
      <c r="AA133" s="38">
        <f>IF(ISNUMBER(X133),1,0)</f>
        <v/>
      </c>
      <c r="AB133" s="40">
        <f>IF(AA133=1,X133,0)</f>
        <v/>
      </c>
      <c r="AC133" s="38">
        <f>Y133*AA133</f>
        <v/>
      </c>
      <c r="AD133" s="38">
        <f>SUM(AC97:AC132)</f>
        <v/>
      </c>
      <c r="AE133" s="41">
        <f>IF(OR($A133="",AD133&lt;MIN_OBS_ROLL),"",(SUMPRODUCT(AC97:AC132,Z97:Z132,AB97:AB132)/AD133-SUMPRODUCT(AC97:AC132,Z97:Z132)/AD133*SUMPRODUCT(AC97:AC132,AB97:AB132)/AD133)*AD133/(AD133-1))</f>
        <v/>
      </c>
      <c r="AF133" s="38">
        <f>SUM(AA97:AA132)</f>
        <v/>
      </c>
      <c r="AG133" s="41">
        <f>IF(OR($A133="",AF133&lt;MIN_OBS_ROLL),"",SUMPRODUCT(AA97:AA132,(AB97:AB132-SUMPRODUCT(AA97:AA132,AB97:AB132)/AF133)^2)/(AF133-1))</f>
        <v/>
      </c>
      <c r="AH133" s="38">
        <f>SUM(Y97:Y132)</f>
        <v/>
      </c>
      <c r="AI133" s="40">
        <f>IF(OR($A133="",AH133&lt;MIN_OBS_ROLL),"",SUMPRODUCT(Y97:Y132,Z97:Z132)/AH133)</f>
        <v/>
      </c>
      <c r="AJ133" s="40">
        <f>IF(OR($A133="",AF133&lt;MIN_OBS_ROLL),"",SUMPRODUCT(AA97:AA132,AB97:AB132)/AF133)</f>
        <v/>
      </c>
      <c r="AK133" s="40">
        <f>IF(OR(AE133="",AG133=""),"",AE133/AG133)</f>
        <v/>
      </c>
      <c r="AL133" s="40">
        <f>IF(OR(AI133="",AK133="",AJ133=""),"",AI133-AK133*AJ133)</f>
        <v/>
      </c>
      <c r="AM133" s="40">
        <f>IF(AND(ISNUMBER(W133),ISNUMBER(X133),ISNUMBER(AK133),ISNUMBER(AL133)),W133-(AL133+AK133*X133),"")</f>
        <v/>
      </c>
      <c r="AN133" s="38">
        <f>IF(ISNUMBER(AM133),1,0)</f>
        <v/>
      </c>
      <c r="AO133" s="40">
        <f>IF(AN133=1,AM133,0)</f>
        <v/>
      </c>
      <c r="AP133" s="40">
        <f>IF(SUM(AN131:AN133)=3,SUM(AO131:AO133),"")</f>
        <v/>
      </c>
      <c r="AQ133" s="38">
        <f>IF(ISNUMBER(AP133),1,0)</f>
        <v/>
      </c>
      <c r="AR133" s="40">
        <f>IF(AQ133=1,AP133,0)</f>
        <v/>
      </c>
      <c r="AS133" s="38">
        <f>SUM(AQ$5:AQ133)</f>
        <v/>
      </c>
      <c r="AT133" s="40">
        <f>IF(AS133&gt;=MIN_OBS_Z,SUMPRODUCT(AQ$5:AQ133,AR$5:AR133)/AS133,"")</f>
        <v/>
      </c>
      <c r="AU133" s="40">
        <f>IF(AS133&gt;=MIN_OBS_Z,SQRT(SUMPRODUCT(AQ$5:AQ133,(AR$5:AR133-AT133)^2)/(AS133-1)),"")</f>
        <v/>
      </c>
      <c r="AV133" s="40">
        <f>IF(AND(AQ133=1,ISNUMBER(AT133)),MAX(-Z_CLIP,MIN(Z_CLIP,(AR133-AT133)/AU133)),"")</f>
        <v/>
      </c>
      <c r="AW133" s="40">
        <f>IF(ISNUMBER(AV133),-AV133,"")</f>
        <v/>
      </c>
      <c r="AX133" s="40">
        <f>IF(ISNUMBER(AW133),1+AMPLITUD*TANH(AW133),"")</f>
        <v/>
      </c>
      <c r="AY133" s="40">
        <f>IF($A133="","",IF(COUNT(AX131:AX133)&gt;0,AVERAGE(AX131:AX133),""))</f>
        <v/>
      </c>
      <c r="AZ133" s="40">
        <f>IF(ISNUMBER(AY133),AY133-1,"")</f>
        <v/>
      </c>
      <c r="BA133" s="40">
        <f>IF(AND(ISNUMBER(AZ132),ISNUMBER(W133)),AZ132*W_BANCOS*W133,"")</f>
        <v/>
      </c>
      <c r="BB133" s="40">
        <f>IF(AND(ISNUMBER(AZ132),ISNUMBER(AZ131)),ABS(AZ132-AZ131)*W_BANCOS*COSTO,0)</f>
        <v/>
      </c>
      <c r="BC133" s="40">
        <f>IF(ISNUMBER(BA133),BA133-BB133,"")</f>
        <v/>
      </c>
      <c r="BD133" s="42">
        <f>IF(ISNUMBER(BC133),IF(A133&lt;=FECHA_ERA,"A","B"),"")</f>
        <v/>
      </c>
      <c r="BE133" s="40">
        <f>IF(BD133="A",BC133,"")</f>
        <v/>
      </c>
      <c r="BF133" s="40">
        <f>IF(BD133="B",BC133,"")</f>
        <v/>
      </c>
      <c r="BG133" s="38">
        <f>IF(AND(ISNUMBER(BC133),ISNUMBER(A133)),IF(A133&gt;=INICIO_VIVO,1,0),0)</f>
        <v/>
      </c>
      <c r="BH133" s="40">
        <f>IF(BG133=1,BC133,"")</f>
        <v/>
      </c>
      <c r="BI133" s="38">
        <f>IF(ISNUMBER(AY133),ROW(),0)</f>
        <v/>
      </c>
      <c r="BJ133" s="43">
        <f>IF(ISNUMBER(BC133),SUM(BC$5:BC133)*10000,NA())</f>
        <v/>
      </c>
      <c r="BK133" s="43">
        <f>IF(BG133=1,SUM(BH$5:BH133)*10000,NA())</f>
        <v/>
      </c>
      <c r="BL133" s="44">
        <f>IF(ISNUMBER(AY133),AY133,NA())</f>
        <v/>
      </c>
    </row>
    <row r="134">
      <c r="A134" s="36">
        <f>IF(Datos!A134="","",Datos!A134)</f>
        <v/>
      </c>
      <c r="B134" s="37">
        <f>IF(OR($A134="",NOT(ISNUMBER(Datos!B134)),NOT(ISNUMBER(Datos!B133))),"",Datos!B134/Datos!B133-1)</f>
        <v/>
      </c>
      <c r="C134" s="37">
        <f>IF(OR($A134="",NOT(ISNUMBER(Datos!C134)),NOT(ISNUMBER(Datos!C133))),"",Datos!C134/Datos!C133-1)</f>
        <v/>
      </c>
      <c r="D134" s="37">
        <f>IF(OR($A134="",NOT(ISNUMBER(Datos!D134)),NOT(ISNUMBER(Datos!D133))),"",Datos!D134/Datos!D133-1)</f>
        <v/>
      </c>
      <c r="E134" s="37">
        <f>IF(OR($A134="",NOT(ISNUMBER(Datos!E134)),NOT(ISNUMBER(Datos!E133))),"",Datos!E134/Datos!E133-1)</f>
        <v/>
      </c>
      <c r="F134" s="38">
        <f>IF($A134="","",COUNT(B134:E134))</f>
        <v/>
      </c>
      <c r="G134" s="37">
        <f>IF($A134="","",IF(F134&gt;=MIN_BANCOS,AVERAGE(B134:E134),""))</f>
        <v/>
      </c>
      <c r="H134" s="37">
        <f>IF(OR($A134="",NOT(ISNUMBER(Datos!F134)),NOT(ISNUMBER(Datos!F133))),"",Datos!F134/Datos!F133-1)</f>
        <v/>
      </c>
      <c r="I134" s="39">
        <f>IF($A134="","",IF(ISNUMBER(Datos!G134),Datos!G134,I133))</f>
        <v/>
      </c>
      <c r="J134" s="40">
        <f>IF($A134="","",IF(ISNUMBER(I133),LN(1+I133/100/12),0))</f>
        <v/>
      </c>
      <c r="K134" s="40">
        <f>IF(ISNUMBER(G134),LN(1+G134)-J134,"")</f>
        <v/>
      </c>
      <c r="L134" s="40">
        <f>IF(ISNUMBER(H134),LN(1+H134)-J134,"")</f>
        <v/>
      </c>
      <c r="M134" s="38">
        <f>IF(ISNUMBER(K134),1,0)</f>
        <v/>
      </c>
      <c r="N134" s="40">
        <f>IF(M134=1,K134,0)</f>
        <v/>
      </c>
      <c r="O134" s="38">
        <f>IF(ISNUMBER(L134),1,0)</f>
        <v/>
      </c>
      <c r="P134" s="40">
        <f>IF(O134=1,L134,0)</f>
        <v/>
      </c>
      <c r="Q134" s="38">
        <f>M134*O134</f>
        <v/>
      </c>
      <c r="R134" s="38">
        <f>SUM(Q98:Q133)</f>
        <v/>
      </c>
      <c r="S134" s="41">
        <f>IF(OR($A134="",R134&lt;MIN_OBS_ROLL),"",(SUMPRODUCT(Q98:Q133,N98:N133,P98:P133)/R134-SUMPRODUCT(Q98:Q133,N98:N133)/R134*SUMPRODUCT(Q98:Q133,P98:P133)/R134)*R134/(R134-1))</f>
        <v/>
      </c>
      <c r="T134" s="38">
        <f>SUM(O98:O133)</f>
        <v/>
      </c>
      <c r="U134" s="41">
        <f>IF(OR($A134="",T134&lt;MIN_OBS_ROLL),"",SUMPRODUCT(O98:O133,(P98:P133-SUMPRODUCT(O98:O133,P98:P133)/T134)^2)/(T134-1))</f>
        <v/>
      </c>
      <c r="V134" s="40">
        <f>IF(OR(S134="",U134=""),"",S134/U134)</f>
        <v/>
      </c>
      <c r="W134" s="40">
        <f>IF(AND(ISNUMBER(K134),ISNUMBER(L134),ISNUMBER(V134)),K134-V134*L134,"")</f>
        <v/>
      </c>
      <c r="X134" s="40">
        <f>IF(OR($A134="",NOT(ISNUMBER(Datos!H134)),NOT(ISNUMBER(Datos!H133))),"",LN(Datos!H134)-LN(Datos!H133))</f>
        <v/>
      </c>
      <c r="Y134" s="38">
        <f>IF(ISNUMBER(W134),1,0)</f>
        <v/>
      </c>
      <c r="Z134" s="40">
        <f>IF(Y134=1,W134,0)</f>
        <v/>
      </c>
      <c r="AA134" s="38">
        <f>IF(ISNUMBER(X134),1,0)</f>
        <v/>
      </c>
      <c r="AB134" s="40">
        <f>IF(AA134=1,X134,0)</f>
        <v/>
      </c>
      <c r="AC134" s="38">
        <f>Y134*AA134</f>
        <v/>
      </c>
      <c r="AD134" s="38">
        <f>SUM(AC98:AC133)</f>
        <v/>
      </c>
      <c r="AE134" s="41">
        <f>IF(OR($A134="",AD134&lt;MIN_OBS_ROLL),"",(SUMPRODUCT(AC98:AC133,Z98:Z133,AB98:AB133)/AD134-SUMPRODUCT(AC98:AC133,Z98:Z133)/AD134*SUMPRODUCT(AC98:AC133,AB98:AB133)/AD134)*AD134/(AD134-1))</f>
        <v/>
      </c>
      <c r="AF134" s="38">
        <f>SUM(AA98:AA133)</f>
        <v/>
      </c>
      <c r="AG134" s="41">
        <f>IF(OR($A134="",AF134&lt;MIN_OBS_ROLL),"",SUMPRODUCT(AA98:AA133,(AB98:AB133-SUMPRODUCT(AA98:AA133,AB98:AB133)/AF134)^2)/(AF134-1))</f>
        <v/>
      </c>
      <c r="AH134" s="38">
        <f>SUM(Y98:Y133)</f>
        <v/>
      </c>
      <c r="AI134" s="40">
        <f>IF(OR($A134="",AH134&lt;MIN_OBS_ROLL),"",SUMPRODUCT(Y98:Y133,Z98:Z133)/AH134)</f>
        <v/>
      </c>
      <c r="AJ134" s="40">
        <f>IF(OR($A134="",AF134&lt;MIN_OBS_ROLL),"",SUMPRODUCT(AA98:AA133,AB98:AB133)/AF134)</f>
        <v/>
      </c>
      <c r="AK134" s="40">
        <f>IF(OR(AE134="",AG134=""),"",AE134/AG134)</f>
        <v/>
      </c>
      <c r="AL134" s="40">
        <f>IF(OR(AI134="",AK134="",AJ134=""),"",AI134-AK134*AJ134)</f>
        <v/>
      </c>
      <c r="AM134" s="40">
        <f>IF(AND(ISNUMBER(W134),ISNUMBER(X134),ISNUMBER(AK134),ISNUMBER(AL134)),W134-(AL134+AK134*X134),"")</f>
        <v/>
      </c>
      <c r="AN134" s="38">
        <f>IF(ISNUMBER(AM134),1,0)</f>
        <v/>
      </c>
      <c r="AO134" s="40">
        <f>IF(AN134=1,AM134,0)</f>
        <v/>
      </c>
      <c r="AP134" s="40">
        <f>IF(SUM(AN132:AN134)=3,SUM(AO132:AO134),"")</f>
        <v/>
      </c>
      <c r="AQ134" s="38">
        <f>IF(ISNUMBER(AP134),1,0)</f>
        <v/>
      </c>
      <c r="AR134" s="40">
        <f>IF(AQ134=1,AP134,0)</f>
        <v/>
      </c>
      <c r="AS134" s="38">
        <f>SUM(AQ$5:AQ134)</f>
        <v/>
      </c>
      <c r="AT134" s="40">
        <f>IF(AS134&gt;=MIN_OBS_Z,SUMPRODUCT(AQ$5:AQ134,AR$5:AR134)/AS134,"")</f>
        <v/>
      </c>
      <c r="AU134" s="40">
        <f>IF(AS134&gt;=MIN_OBS_Z,SQRT(SUMPRODUCT(AQ$5:AQ134,(AR$5:AR134-AT134)^2)/(AS134-1)),"")</f>
        <v/>
      </c>
      <c r="AV134" s="40">
        <f>IF(AND(AQ134=1,ISNUMBER(AT134)),MAX(-Z_CLIP,MIN(Z_CLIP,(AR134-AT134)/AU134)),"")</f>
        <v/>
      </c>
      <c r="AW134" s="40">
        <f>IF(ISNUMBER(AV134),-AV134,"")</f>
        <v/>
      </c>
      <c r="AX134" s="40">
        <f>IF(ISNUMBER(AW134),1+AMPLITUD*TANH(AW134),"")</f>
        <v/>
      </c>
      <c r="AY134" s="40">
        <f>IF($A134="","",IF(COUNT(AX132:AX134)&gt;0,AVERAGE(AX132:AX134),""))</f>
        <v/>
      </c>
      <c r="AZ134" s="40">
        <f>IF(ISNUMBER(AY134),AY134-1,"")</f>
        <v/>
      </c>
      <c r="BA134" s="40">
        <f>IF(AND(ISNUMBER(AZ133),ISNUMBER(W134)),AZ133*W_BANCOS*W134,"")</f>
        <v/>
      </c>
      <c r="BB134" s="40">
        <f>IF(AND(ISNUMBER(AZ133),ISNUMBER(AZ132)),ABS(AZ133-AZ132)*W_BANCOS*COSTO,0)</f>
        <v/>
      </c>
      <c r="BC134" s="40">
        <f>IF(ISNUMBER(BA134),BA134-BB134,"")</f>
        <v/>
      </c>
      <c r="BD134" s="42">
        <f>IF(ISNUMBER(BC134),IF(A134&lt;=FECHA_ERA,"A","B"),"")</f>
        <v/>
      </c>
      <c r="BE134" s="40">
        <f>IF(BD134="A",BC134,"")</f>
        <v/>
      </c>
      <c r="BF134" s="40">
        <f>IF(BD134="B",BC134,"")</f>
        <v/>
      </c>
      <c r="BG134" s="38">
        <f>IF(AND(ISNUMBER(BC134),ISNUMBER(A134)),IF(A134&gt;=INICIO_VIVO,1,0),0)</f>
        <v/>
      </c>
      <c r="BH134" s="40">
        <f>IF(BG134=1,BC134,"")</f>
        <v/>
      </c>
      <c r="BI134" s="38">
        <f>IF(ISNUMBER(AY134),ROW(),0)</f>
        <v/>
      </c>
      <c r="BJ134" s="43">
        <f>IF(ISNUMBER(BC134),SUM(BC$5:BC134)*10000,NA())</f>
        <v/>
      </c>
      <c r="BK134" s="43">
        <f>IF(BG134=1,SUM(BH$5:BH134)*10000,NA())</f>
        <v/>
      </c>
      <c r="BL134" s="44">
        <f>IF(ISNUMBER(AY134),AY134,NA())</f>
        <v/>
      </c>
    </row>
    <row r="135">
      <c r="A135" s="36">
        <f>IF(Datos!A135="","",Datos!A135)</f>
        <v/>
      </c>
      <c r="B135" s="37">
        <f>IF(OR($A135="",NOT(ISNUMBER(Datos!B135)),NOT(ISNUMBER(Datos!B134))),"",Datos!B135/Datos!B134-1)</f>
        <v/>
      </c>
      <c r="C135" s="37">
        <f>IF(OR($A135="",NOT(ISNUMBER(Datos!C135)),NOT(ISNUMBER(Datos!C134))),"",Datos!C135/Datos!C134-1)</f>
        <v/>
      </c>
      <c r="D135" s="37">
        <f>IF(OR($A135="",NOT(ISNUMBER(Datos!D135)),NOT(ISNUMBER(Datos!D134))),"",Datos!D135/Datos!D134-1)</f>
        <v/>
      </c>
      <c r="E135" s="37">
        <f>IF(OR($A135="",NOT(ISNUMBER(Datos!E135)),NOT(ISNUMBER(Datos!E134))),"",Datos!E135/Datos!E134-1)</f>
        <v/>
      </c>
      <c r="F135" s="38">
        <f>IF($A135="","",COUNT(B135:E135))</f>
        <v/>
      </c>
      <c r="G135" s="37">
        <f>IF($A135="","",IF(F135&gt;=MIN_BANCOS,AVERAGE(B135:E135),""))</f>
        <v/>
      </c>
      <c r="H135" s="37">
        <f>IF(OR($A135="",NOT(ISNUMBER(Datos!F135)),NOT(ISNUMBER(Datos!F134))),"",Datos!F135/Datos!F134-1)</f>
        <v/>
      </c>
      <c r="I135" s="39">
        <f>IF($A135="","",IF(ISNUMBER(Datos!G135),Datos!G135,I134))</f>
        <v/>
      </c>
      <c r="J135" s="40">
        <f>IF($A135="","",IF(ISNUMBER(I134),LN(1+I134/100/12),0))</f>
        <v/>
      </c>
      <c r="K135" s="40">
        <f>IF(ISNUMBER(G135),LN(1+G135)-J135,"")</f>
        <v/>
      </c>
      <c r="L135" s="40">
        <f>IF(ISNUMBER(H135),LN(1+H135)-J135,"")</f>
        <v/>
      </c>
      <c r="M135" s="38">
        <f>IF(ISNUMBER(K135),1,0)</f>
        <v/>
      </c>
      <c r="N135" s="40">
        <f>IF(M135=1,K135,0)</f>
        <v/>
      </c>
      <c r="O135" s="38">
        <f>IF(ISNUMBER(L135),1,0)</f>
        <v/>
      </c>
      <c r="P135" s="40">
        <f>IF(O135=1,L135,0)</f>
        <v/>
      </c>
      <c r="Q135" s="38">
        <f>M135*O135</f>
        <v/>
      </c>
      <c r="R135" s="38">
        <f>SUM(Q99:Q134)</f>
        <v/>
      </c>
      <c r="S135" s="41">
        <f>IF(OR($A135="",R135&lt;MIN_OBS_ROLL),"",(SUMPRODUCT(Q99:Q134,N99:N134,P99:P134)/R135-SUMPRODUCT(Q99:Q134,N99:N134)/R135*SUMPRODUCT(Q99:Q134,P99:P134)/R135)*R135/(R135-1))</f>
        <v/>
      </c>
      <c r="T135" s="38">
        <f>SUM(O99:O134)</f>
        <v/>
      </c>
      <c r="U135" s="41">
        <f>IF(OR($A135="",T135&lt;MIN_OBS_ROLL),"",SUMPRODUCT(O99:O134,(P99:P134-SUMPRODUCT(O99:O134,P99:P134)/T135)^2)/(T135-1))</f>
        <v/>
      </c>
      <c r="V135" s="40">
        <f>IF(OR(S135="",U135=""),"",S135/U135)</f>
        <v/>
      </c>
      <c r="W135" s="40">
        <f>IF(AND(ISNUMBER(K135),ISNUMBER(L135),ISNUMBER(V135)),K135-V135*L135,"")</f>
        <v/>
      </c>
      <c r="X135" s="40">
        <f>IF(OR($A135="",NOT(ISNUMBER(Datos!H135)),NOT(ISNUMBER(Datos!H134))),"",LN(Datos!H135)-LN(Datos!H134))</f>
        <v/>
      </c>
      <c r="Y135" s="38">
        <f>IF(ISNUMBER(W135),1,0)</f>
        <v/>
      </c>
      <c r="Z135" s="40">
        <f>IF(Y135=1,W135,0)</f>
        <v/>
      </c>
      <c r="AA135" s="38">
        <f>IF(ISNUMBER(X135),1,0)</f>
        <v/>
      </c>
      <c r="AB135" s="40">
        <f>IF(AA135=1,X135,0)</f>
        <v/>
      </c>
      <c r="AC135" s="38">
        <f>Y135*AA135</f>
        <v/>
      </c>
      <c r="AD135" s="38">
        <f>SUM(AC99:AC134)</f>
        <v/>
      </c>
      <c r="AE135" s="41">
        <f>IF(OR($A135="",AD135&lt;MIN_OBS_ROLL),"",(SUMPRODUCT(AC99:AC134,Z99:Z134,AB99:AB134)/AD135-SUMPRODUCT(AC99:AC134,Z99:Z134)/AD135*SUMPRODUCT(AC99:AC134,AB99:AB134)/AD135)*AD135/(AD135-1))</f>
        <v/>
      </c>
      <c r="AF135" s="38">
        <f>SUM(AA99:AA134)</f>
        <v/>
      </c>
      <c r="AG135" s="41">
        <f>IF(OR($A135="",AF135&lt;MIN_OBS_ROLL),"",SUMPRODUCT(AA99:AA134,(AB99:AB134-SUMPRODUCT(AA99:AA134,AB99:AB134)/AF135)^2)/(AF135-1))</f>
        <v/>
      </c>
      <c r="AH135" s="38">
        <f>SUM(Y99:Y134)</f>
        <v/>
      </c>
      <c r="AI135" s="40">
        <f>IF(OR($A135="",AH135&lt;MIN_OBS_ROLL),"",SUMPRODUCT(Y99:Y134,Z99:Z134)/AH135)</f>
        <v/>
      </c>
      <c r="AJ135" s="40">
        <f>IF(OR($A135="",AF135&lt;MIN_OBS_ROLL),"",SUMPRODUCT(AA99:AA134,AB99:AB134)/AF135)</f>
        <v/>
      </c>
      <c r="AK135" s="40">
        <f>IF(OR(AE135="",AG135=""),"",AE135/AG135)</f>
        <v/>
      </c>
      <c r="AL135" s="40">
        <f>IF(OR(AI135="",AK135="",AJ135=""),"",AI135-AK135*AJ135)</f>
        <v/>
      </c>
      <c r="AM135" s="40">
        <f>IF(AND(ISNUMBER(W135),ISNUMBER(X135),ISNUMBER(AK135),ISNUMBER(AL135)),W135-(AL135+AK135*X135),"")</f>
        <v/>
      </c>
      <c r="AN135" s="38">
        <f>IF(ISNUMBER(AM135),1,0)</f>
        <v/>
      </c>
      <c r="AO135" s="40">
        <f>IF(AN135=1,AM135,0)</f>
        <v/>
      </c>
      <c r="AP135" s="40">
        <f>IF(SUM(AN133:AN135)=3,SUM(AO133:AO135),"")</f>
        <v/>
      </c>
      <c r="AQ135" s="38">
        <f>IF(ISNUMBER(AP135),1,0)</f>
        <v/>
      </c>
      <c r="AR135" s="40">
        <f>IF(AQ135=1,AP135,0)</f>
        <v/>
      </c>
      <c r="AS135" s="38">
        <f>SUM(AQ$5:AQ135)</f>
        <v/>
      </c>
      <c r="AT135" s="40">
        <f>IF(AS135&gt;=MIN_OBS_Z,SUMPRODUCT(AQ$5:AQ135,AR$5:AR135)/AS135,"")</f>
        <v/>
      </c>
      <c r="AU135" s="40">
        <f>IF(AS135&gt;=MIN_OBS_Z,SQRT(SUMPRODUCT(AQ$5:AQ135,(AR$5:AR135-AT135)^2)/(AS135-1)),"")</f>
        <v/>
      </c>
      <c r="AV135" s="40">
        <f>IF(AND(AQ135=1,ISNUMBER(AT135)),MAX(-Z_CLIP,MIN(Z_CLIP,(AR135-AT135)/AU135)),"")</f>
        <v/>
      </c>
      <c r="AW135" s="40">
        <f>IF(ISNUMBER(AV135),-AV135,"")</f>
        <v/>
      </c>
      <c r="AX135" s="40">
        <f>IF(ISNUMBER(AW135),1+AMPLITUD*TANH(AW135),"")</f>
        <v/>
      </c>
      <c r="AY135" s="40">
        <f>IF($A135="","",IF(COUNT(AX133:AX135)&gt;0,AVERAGE(AX133:AX135),""))</f>
        <v/>
      </c>
      <c r="AZ135" s="40">
        <f>IF(ISNUMBER(AY135),AY135-1,"")</f>
        <v/>
      </c>
      <c r="BA135" s="40">
        <f>IF(AND(ISNUMBER(AZ134),ISNUMBER(W135)),AZ134*W_BANCOS*W135,"")</f>
        <v/>
      </c>
      <c r="BB135" s="40">
        <f>IF(AND(ISNUMBER(AZ134),ISNUMBER(AZ133)),ABS(AZ134-AZ133)*W_BANCOS*COSTO,0)</f>
        <v/>
      </c>
      <c r="BC135" s="40">
        <f>IF(ISNUMBER(BA135),BA135-BB135,"")</f>
        <v/>
      </c>
      <c r="BD135" s="42">
        <f>IF(ISNUMBER(BC135),IF(A135&lt;=FECHA_ERA,"A","B"),"")</f>
        <v/>
      </c>
      <c r="BE135" s="40">
        <f>IF(BD135="A",BC135,"")</f>
        <v/>
      </c>
      <c r="BF135" s="40">
        <f>IF(BD135="B",BC135,"")</f>
        <v/>
      </c>
      <c r="BG135" s="38">
        <f>IF(AND(ISNUMBER(BC135),ISNUMBER(A135)),IF(A135&gt;=INICIO_VIVO,1,0),0)</f>
        <v/>
      </c>
      <c r="BH135" s="40">
        <f>IF(BG135=1,BC135,"")</f>
        <v/>
      </c>
      <c r="BI135" s="38">
        <f>IF(ISNUMBER(AY135),ROW(),0)</f>
        <v/>
      </c>
      <c r="BJ135" s="43">
        <f>IF(ISNUMBER(BC135),SUM(BC$5:BC135)*10000,NA())</f>
        <v/>
      </c>
      <c r="BK135" s="43">
        <f>IF(BG135=1,SUM(BH$5:BH135)*10000,NA())</f>
        <v/>
      </c>
      <c r="BL135" s="44">
        <f>IF(ISNUMBER(AY135),AY135,NA())</f>
        <v/>
      </c>
    </row>
    <row r="136">
      <c r="A136" s="36">
        <f>IF(Datos!A136="","",Datos!A136)</f>
        <v/>
      </c>
      <c r="B136" s="37">
        <f>IF(OR($A136="",NOT(ISNUMBER(Datos!B136)),NOT(ISNUMBER(Datos!B135))),"",Datos!B136/Datos!B135-1)</f>
        <v/>
      </c>
      <c r="C136" s="37">
        <f>IF(OR($A136="",NOT(ISNUMBER(Datos!C136)),NOT(ISNUMBER(Datos!C135))),"",Datos!C136/Datos!C135-1)</f>
        <v/>
      </c>
      <c r="D136" s="37">
        <f>IF(OR($A136="",NOT(ISNUMBER(Datos!D136)),NOT(ISNUMBER(Datos!D135))),"",Datos!D136/Datos!D135-1)</f>
        <v/>
      </c>
      <c r="E136" s="37">
        <f>IF(OR($A136="",NOT(ISNUMBER(Datos!E136)),NOT(ISNUMBER(Datos!E135))),"",Datos!E136/Datos!E135-1)</f>
        <v/>
      </c>
      <c r="F136" s="38">
        <f>IF($A136="","",COUNT(B136:E136))</f>
        <v/>
      </c>
      <c r="G136" s="37">
        <f>IF($A136="","",IF(F136&gt;=MIN_BANCOS,AVERAGE(B136:E136),""))</f>
        <v/>
      </c>
      <c r="H136" s="37">
        <f>IF(OR($A136="",NOT(ISNUMBER(Datos!F136)),NOT(ISNUMBER(Datos!F135))),"",Datos!F136/Datos!F135-1)</f>
        <v/>
      </c>
      <c r="I136" s="39">
        <f>IF($A136="","",IF(ISNUMBER(Datos!G136),Datos!G136,I135))</f>
        <v/>
      </c>
      <c r="J136" s="40">
        <f>IF($A136="","",IF(ISNUMBER(I135),LN(1+I135/100/12),0))</f>
        <v/>
      </c>
      <c r="K136" s="40">
        <f>IF(ISNUMBER(G136),LN(1+G136)-J136,"")</f>
        <v/>
      </c>
      <c r="L136" s="40">
        <f>IF(ISNUMBER(H136),LN(1+H136)-J136,"")</f>
        <v/>
      </c>
      <c r="M136" s="38">
        <f>IF(ISNUMBER(K136),1,0)</f>
        <v/>
      </c>
      <c r="N136" s="40">
        <f>IF(M136=1,K136,0)</f>
        <v/>
      </c>
      <c r="O136" s="38">
        <f>IF(ISNUMBER(L136),1,0)</f>
        <v/>
      </c>
      <c r="P136" s="40">
        <f>IF(O136=1,L136,0)</f>
        <v/>
      </c>
      <c r="Q136" s="38">
        <f>M136*O136</f>
        <v/>
      </c>
      <c r="R136" s="38">
        <f>SUM(Q100:Q135)</f>
        <v/>
      </c>
      <c r="S136" s="41">
        <f>IF(OR($A136="",R136&lt;MIN_OBS_ROLL),"",(SUMPRODUCT(Q100:Q135,N100:N135,P100:P135)/R136-SUMPRODUCT(Q100:Q135,N100:N135)/R136*SUMPRODUCT(Q100:Q135,P100:P135)/R136)*R136/(R136-1))</f>
        <v/>
      </c>
      <c r="T136" s="38">
        <f>SUM(O100:O135)</f>
        <v/>
      </c>
      <c r="U136" s="41">
        <f>IF(OR($A136="",T136&lt;MIN_OBS_ROLL),"",SUMPRODUCT(O100:O135,(P100:P135-SUMPRODUCT(O100:O135,P100:P135)/T136)^2)/(T136-1))</f>
        <v/>
      </c>
      <c r="V136" s="40">
        <f>IF(OR(S136="",U136=""),"",S136/U136)</f>
        <v/>
      </c>
      <c r="W136" s="40">
        <f>IF(AND(ISNUMBER(K136),ISNUMBER(L136),ISNUMBER(V136)),K136-V136*L136,"")</f>
        <v/>
      </c>
      <c r="X136" s="40">
        <f>IF(OR($A136="",NOT(ISNUMBER(Datos!H136)),NOT(ISNUMBER(Datos!H135))),"",LN(Datos!H136)-LN(Datos!H135))</f>
        <v/>
      </c>
      <c r="Y136" s="38">
        <f>IF(ISNUMBER(W136),1,0)</f>
        <v/>
      </c>
      <c r="Z136" s="40">
        <f>IF(Y136=1,W136,0)</f>
        <v/>
      </c>
      <c r="AA136" s="38">
        <f>IF(ISNUMBER(X136),1,0)</f>
        <v/>
      </c>
      <c r="AB136" s="40">
        <f>IF(AA136=1,X136,0)</f>
        <v/>
      </c>
      <c r="AC136" s="38">
        <f>Y136*AA136</f>
        <v/>
      </c>
      <c r="AD136" s="38">
        <f>SUM(AC100:AC135)</f>
        <v/>
      </c>
      <c r="AE136" s="41">
        <f>IF(OR($A136="",AD136&lt;MIN_OBS_ROLL),"",(SUMPRODUCT(AC100:AC135,Z100:Z135,AB100:AB135)/AD136-SUMPRODUCT(AC100:AC135,Z100:Z135)/AD136*SUMPRODUCT(AC100:AC135,AB100:AB135)/AD136)*AD136/(AD136-1))</f>
        <v/>
      </c>
      <c r="AF136" s="38">
        <f>SUM(AA100:AA135)</f>
        <v/>
      </c>
      <c r="AG136" s="41">
        <f>IF(OR($A136="",AF136&lt;MIN_OBS_ROLL),"",SUMPRODUCT(AA100:AA135,(AB100:AB135-SUMPRODUCT(AA100:AA135,AB100:AB135)/AF136)^2)/(AF136-1))</f>
        <v/>
      </c>
      <c r="AH136" s="38">
        <f>SUM(Y100:Y135)</f>
        <v/>
      </c>
      <c r="AI136" s="40">
        <f>IF(OR($A136="",AH136&lt;MIN_OBS_ROLL),"",SUMPRODUCT(Y100:Y135,Z100:Z135)/AH136)</f>
        <v/>
      </c>
      <c r="AJ136" s="40">
        <f>IF(OR($A136="",AF136&lt;MIN_OBS_ROLL),"",SUMPRODUCT(AA100:AA135,AB100:AB135)/AF136)</f>
        <v/>
      </c>
      <c r="AK136" s="40">
        <f>IF(OR(AE136="",AG136=""),"",AE136/AG136)</f>
        <v/>
      </c>
      <c r="AL136" s="40">
        <f>IF(OR(AI136="",AK136="",AJ136=""),"",AI136-AK136*AJ136)</f>
        <v/>
      </c>
      <c r="AM136" s="40">
        <f>IF(AND(ISNUMBER(W136),ISNUMBER(X136),ISNUMBER(AK136),ISNUMBER(AL136)),W136-(AL136+AK136*X136),"")</f>
        <v/>
      </c>
      <c r="AN136" s="38">
        <f>IF(ISNUMBER(AM136),1,0)</f>
        <v/>
      </c>
      <c r="AO136" s="40">
        <f>IF(AN136=1,AM136,0)</f>
        <v/>
      </c>
      <c r="AP136" s="40">
        <f>IF(SUM(AN134:AN136)=3,SUM(AO134:AO136),"")</f>
        <v/>
      </c>
      <c r="AQ136" s="38">
        <f>IF(ISNUMBER(AP136),1,0)</f>
        <v/>
      </c>
      <c r="AR136" s="40">
        <f>IF(AQ136=1,AP136,0)</f>
        <v/>
      </c>
      <c r="AS136" s="38">
        <f>SUM(AQ$5:AQ136)</f>
        <v/>
      </c>
      <c r="AT136" s="40">
        <f>IF(AS136&gt;=MIN_OBS_Z,SUMPRODUCT(AQ$5:AQ136,AR$5:AR136)/AS136,"")</f>
        <v/>
      </c>
      <c r="AU136" s="40">
        <f>IF(AS136&gt;=MIN_OBS_Z,SQRT(SUMPRODUCT(AQ$5:AQ136,(AR$5:AR136-AT136)^2)/(AS136-1)),"")</f>
        <v/>
      </c>
      <c r="AV136" s="40">
        <f>IF(AND(AQ136=1,ISNUMBER(AT136)),MAX(-Z_CLIP,MIN(Z_CLIP,(AR136-AT136)/AU136)),"")</f>
        <v/>
      </c>
      <c r="AW136" s="40">
        <f>IF(ISNUMBER(AV136),-AV136,"")</f>
        <v/>
      </c>
      <c r="AX136" s="40">
        <f>IF(ISNUMBER(AW136),1+AMPLITUD*TANH(AW136),"")</f>
        <v/>
      </c>
      <c r="AY136" s="40">
        <f>IF($A136="","",IF(COUNT(AX134:AX136)&gt;0,AVERAGE(AX134:AX136),""))</f>
        <v/>
      </c>
      <c r="AZ136" s="40">
        <f>IF(ISNUMBER(AY136),AY136-1,"")</f>
        <v/>
      </c>
      <c r="BA136" s="40">
        <f>IF(AND(ISNUMBER(AZ135),ISNUMBER(W136)),AZ135*W_BANCOS*W136,"")</f>
        <v/>
      </c>
      <c r="BB136" s="40">
        <f>IF(AND(ISNUMBER(AZ135),ISNUMBER(AZ134)),ABS(AZ135-AZ134)*W_BANCOS*COSTO,0)</f>
        <v/>
      </c>
      <c r="BC136" s="40">
        <f>IF(ISNUMBER(BA136),BA136-BB136,"")</f>
        <v/>
      </c>
      <c r="BD136" s="42">
        <f>IF(ISNUMBER(BC136),IF(A136&lt;=FECHA_ERA,"A","B"),"")</f>
        <v/>
      </c>
      <c r="BE136" s="40">
        <f>IF(BD136="A",BC136,"")</f>
        <v/>
      </c>
      <c r="BF136" s="40">
        <f>IF(BD136="B",BC136,"")</f>
        <v/>
      </c>
      <c r="BG136" s="38">
        <f>IF(AND(ISNUMBER(BC136),ISNUMBER(A136)),IF(A136&gt;=INICIO_VIVO,1,0),0)</f>
        <v/>
      </c>
      <c r="BH136" s="40">
        <f>IF(BG136=1,BC136,"")</f>
        <v/>
      </c>
      <c r="BI136" s="38">
        <f>IF(ISNUMBER(AY136),ROW(),0)</f>
        <v/>
      </c>
      <c r="BJ136" s="43">
        <f>IF(ISNUMBER(BC136),SUM(BC$5:BC136)*10000,NA())</f>
        <v/>
      </c>
      <c r="BK136" s="43">
        <f>IF(BG136=1,SUM(BH$5:BH136)*10000,NA())</f>
        <v/>
      </c>
      <c r="BL136" s="44">
        <f>IF(ISNUMBER(AY136),AY136,NA())</f>
        <v/>
      </c>
    </row>
    <row r="137">
      <c r="A137" s="36">
        <f>IF(Datos!A137="","",Datos!A137)</f>
        <v/>
      </c>
      <c r="B137" s="37">
        <f>IF(OR($A137="",NOT(ISNUMBER(Datos!B137)),NOT(ISNUMBER(Datos!B136))),"",Datos!B137/Datos!B136-1)</f>
        <v/>
      </c>
      <c r="C137" s="37">
        <f>IF(OR($A137="",NOT(ISNUMBER(Datos!C137)),NOT(ISNUMBER(Datos!C136))),"",Datos!C137/Datos!C136-1)</f>
        <v/>
      </c>
      <c r="D137" s="37">
        <f>IF(OR($A137="",NOT(ISNUMBER(Datos!D137)),NOT(ISNUMBER(Datos!D136))),"",Datos!D137/Datos!D136-1)</f>
        <v/>
      </c>
      <c r="E137" s="37">
        <f>IF(OR($A137="",NOT(ISNUMBER(Datos!E137)),NOT(ISNUMBER(Datos!E136))),"",Datos!E137/Datos!E136-1)</f>
        <v/>
      </c>
      <c r="F137" s="38">
        <f>IF($A137="","",COUNT(B137:E137))</f>
        <v/>
      </c>
      <c r="G137" s="37">
        <f>IF($A137="","",IF(F137&gt;=MIN_BANCOS,AVERAGE(B137:E137),""))</f>
        <v/>
      </c>
      <c r="H137" s="37">
        <f>IF(OR($A137="",NOT(ISNUMBER(Datos!F137)),NOT(ISNUMBER(Datos!F136))),"",Datos!F137/Datos!F136-1)</f>
        <v/>
      </c>
      <c r="I137" s="39">
        <f>IF($A137="","",IF(ISNUMBER(Datos!G137),Datos!G137,I136))</f>
        <v/>
      </c>
      <c r="J137" s="40">
        <f>IF($A137="","",IF(ISNUMBER(I136),LN(1+I136/100/12),0))</f>
        <v/>
      </c>
      <c r="K137" s="40">
        <f>IF(ISNUMBER(G137),LN(1+G137)-J137,"")</f>
        <v/>
      </c>
      <c r="L137" s="40">
        <f>IF(ISNUMBER(H137),LN(1+H137)-J137,"")</f>
        <v/>
      </c>
      <c r="M137" s="38">
        <f>IF(ISNUMBER(K137),1,0)</f>
        <v/>
      </c>
      <c r="N137" s="40">
        <f>IF(M137=1,K137,0)</f>
        <v/>
      </c>
      <c r="O137" s="38">
        <f>IF(ISNUMBER(L137),1,0)</f>
        <v/>
      </c>
      <c r="P137" s="40">
        <f>IF(O137=1,L137,0)</f>
        <v/>
      </c>
      <c r="Q137" s="38">
        <f>M137*O137</f>
        <v/>
      </c>
      <c r="R137" s="38">
        <f>SUM(Q101:Q136)</f>
        <v/>
      </c>
      <c r="S137" s="41">
        <f>IF(OR($A137="",R137&lt;MIN_OBS_ROLL),"",(SUMPRODUCT(Q101:Q136,N101:N136,P101:P136)/R137-SUMPRODUCT(Q101:Q136,N101:N136)/R137*SUMPRODUCT(Q101:Q136,P101:P136)/R137)*R137/(R137-1))</f>
        <v/>
      </c>
      <c r="T137" s="38">
        <f>SUM(O101:O136)</f>
        <v/>
      </c>
      <c r="U137" s="41">
        <f>IF(OR($A137="",T137&lt;MIN_OBS_ROLL),"",SUMPRODUCT(O101:O136,(P101:P136-SUMPRODUCT(O101:O136,P101:P136)/T137)^2)/(T137-1))</f>
        <v/>
      </c>
      <c r="V137" s="40">
        <f>IF(OR(S137="",U137=""),"",S137/U137)</f>
        <v/>
      </c>
      <c r="W137" s="40">
        <f>IF(AND(ISNUMBER(K137),ISNUMBER(L137),ISNUMBER(V137)),K137-V137*L137,"")</f>
        <v/>
      </c>
      <c r="X137" s="40">
        <f>IF(OR($A137="",NOT(ISNUMBER(Datos!H137)),NOT(ISNUMBER(Datos!H136))),"",LN(Datos!H137)-LN(Datos!H136))</f>
        <v/>
      </c>
      <c r="Y137" s="38">
        <f>IF(ISNUMBER(W137),1,0)</f>
        <v/>
      </c>
      <c r="Z137" s="40">
        <f>IF(Y137=1,W137,0)</f>
        <v/>
      </c>
      <c r="AA137" s="38">
        <f>IF(ISNUMBER(X137),1,0)</f>
        <v/>
      </c>
      <c r="AB137" s="40">
        <f>IF(AA137=1,X137,0)</f>
        <v/>
      </c>
      <c r="AC137" s="38">
        <f>Y137*AA137</f>
        <v/>
      </c>
      <c r="AD137" s="38">
        <f>SUM(AC101:AC136)</f>
        <v/>
      </c>
      <c r="AE137" s="41">
        <f>IF(OR($A137="",AD137&lt;MIN_OBS_ROLL),"",(SUMPRODUCT(AC101:AC136,Z101:Z136,AB101:AB136)/AD137-SUMPRODUCT(AC101:AC136,Z101:Z136)/AD137*SUMPRODUCT(AC101:AC136,AB101:AB136)/AD137)*AD137/(AD137-1))</f>
        <v/>
      </c>
      <c r="AF137" s="38">
        <f>SUM(AA101:AA136)</f>
        <v/>
      </c>
      <c r="AG137" s="41">
        <f>IF(OR($A137="",AF137&lt;MIN_OBS_ROLL),"",SUMPRODUCT(AA101:AA136,(AB101:AB136-SUMPRODUCT(AA101:AA136,AB101:AB136)/AF137)^2)/(AF137-1))</f>
        <v/>
      </c>
      <c r="AH137" s="38">
        <f>SUM(Y101:Y136)</f>
        <v/>
      </c>
      <c r="AI137" s="40">
        <f>IF(OR($A137="",AH137&lt;MIN_OBS_ROLL),"",SUMPRODUCT(Y101:Y136,Z101:Z136)/AH137)</f>
        <v/>
      </c>
      <c r="AJ137" s="40">
        <f>IF(OR($A137="",AF137&lt;MIN_OBS_ROLL),"",SUMPRODUCT(AA101:AA136,AB101:AB136)/AF137)</f>
        <v/>
      </c>
      <c r="AK137" s="40">
        <f>IF(OR(AE137="",AG137=""),"",AE137/AG137)</f>
        <v/>
      </c>
      <c r="AL137" s="40">
        <f>IF(OR(AI137="",AK137="",AJ137=""),"",AI137-AK137*AJ137)</f>
        <v/>
      </c>
      <c r="AM137" s="40">
        <f>IF(AND(ISNUMBER(W137),ISNUMBER(X137),ISNUMBER(AK137),ISNUMBER(AL137)),W137-(AL137+AK137*X137),"")</f>
        <v/>
      </c>
      <c r="AN137" s="38">
        <f>IF(ISNUMBER(AM137),1,0)</f>
        <v/>
      </c>
      <c r="AO137" s="40">
        <f>IF(AN137=1,AM137,0)</f>
        <v/>
      </c>
      <c r="AP137" s="40">
        <f>IF(SUM(AN135:AN137)=3,SUM(AO135:AO137),"")</f>
        <v/>
      </c>
      <c r="AQ137" s="38">
        <f>IF(ISNUMBER(AP137),1,0)</f>
        <v/>
      </c>
      <c r="AR137" s="40">
        <f>IF(AQ137=1,AP137,0)</f>
        <v/>
      </c>
      <c r="AS137" s="38">
        <f>SUM(AQ$5:AQ137)</f>
        <v/>
      </c>
      <c r="AT137" s="40">
        <f>IF(AS137&gt;=MIN_OBS_Z,SUMPRODUCT(AQ$5:AQ137,AR$5:AR137)/AS137,"")</f>
        <v/>
      </c>
      <c r="AU137" s="40">
        <f>IF(AS137&gt;=MIN_OBS_Z,SQRT(SUMPRODUCT(AQ$5:AQ137,(AR$5:AR137-AT137)^2)/(AS137-1)),"")</f>
        <v/>
      </c>
      <c r="AV137" s="40">
        <f>IF(AND(AQ137=1,ISNUMBER(AT137)),MAX(-Z_CLIP,MIN(Z_CLIP,(AR137-AT137)/AU137)),"")</f>
        <v/>
      </c>
      <c r="AW137" s="40">
        <f>IF(ISNUMBER(AV137),-AV137,"")</f>
        <v/>
      </c>
      <c r="AX137" s="40">
        <f>IF(ISNUMBER(AW137),1+AMPLITUD*TANH(AW137),"")</f>
        <v/>
      </c>
      <c r="AY137" s="40">
        <f>IF($A137="","",IF(COUNT(AX135:AX137)&gt;0,AVERAGE(AX135:AX137),""))</f>
        <v/>
      </c>
      <c r="AZ137" s="40">
        <f>IF(ISNUMBER(AY137),AY137-1,"")</f>
        <v/>
      </c>
      <c r="BA137" s="40">
        <f>IF(AND(ISNUMBER(AZ136),ISNUMBER(W137)),AZ136*W_BANCOS*W137,"")</f>
        <v/>
      </c>
      <c r="BB137" s="40">
        <f>IF(AND(ISNUMBER(AZ136),ISNUMBER(AZ135)),ABS(AZ136-AZ135)*W_BANCOS*COSTO,0)</f>
        <v/>
      </c>
      <c r="BC137" s="40">
        <f>IF(ISNUMBER(BA137),BA137-BB137,"")</f>
        <v/>
      </c>
      <c r="BD137" s="42">
        <f>IF(ISNUMBER(BC137),IF(A137&lt;=FECHA_ERA,"A","B"),"")</f>
        <v/>
      </c>
      <c r="BE137" s="40">
        <f>IF(BD137="A",BC137,"")</f>
        <v/>
      </c>
      <c r="BF137" s="40">
        <f>IF(BD137="B",BC137,"")</f>
        <v/>
      </c>
      <c r="BG137" s="38">
        <f>IF(AND(ISNUMBER(BC137),ISNUMBER(A137)),IF(A137&gt;=INICIO_VIVO,1,0),0)</f>
        <v/>
      </c>
      <c r="BH137" s="40">
        <f>IF(BG137=1,BC137,"")</f>
        <v/>
      </c>
      <c r="BI137" s="38">
        <f>IF(ISNUMBER(AY137),ROW(),0)</f>
        <v/>
      </c>
      <c r="BJ137" s="43">
        <f>IF(ISNUMBER(BC137),SUM(BC$5:BC137)*10000,NA())</f>
        <v/>
      </c>
      <c r="BK137" s="43">
        <f>IF(BG137=1,SUM(BH$5:BH137)*10000,NA())</f>
        <v/>
      </c>
      <c r="BL137" s="44">
        <f>IF(ISNUMBER(AY137),AY137,NA())</f>
        <v/>
      </c>
    </row>
    <row r="138">
      <c r="A138" s="36">
        <f>IF(Datos!A138="","",Datos!A138)</f>
        <v/>
      </c>
      <c r="B138" s="37">
        <f>IF(OR($A138="",NOT(ISNUMBER(Datos!B138)),NOT(ISNUMBER(Datos!B137))),"",Datos!B138/Datos!B137-1)</f>
        <v/>
      </c>
      <c r="C138" s="37">
        <f>IF(OR($A138="",NOT(ISNUMBER(Datos!C138)),NOT(ISNUMBER(Datos!C137))),"",Datos!C138/Datos!C137-1)</f>
        <v/>
      </c>
      <c r="D138" s="37">
        <f>IF(OR($A138="",NOT(ISNUMBER(Datos!D138)),NOT(ISNUMBER(Datos!D137))),"",Datos!D138/Datos!D137-1)</f>
        <v/>
      </c>
      <c r="E138" s="37">
        <f>IF(OR($A138="",NOT(ISNUMBER(Datos!E138)),NOT(ISNUMBER(Datos!E137))),"",Datos!E138/Datos!E137-1)</f>
        <v/>
      </c>
      <c r="F138" s="38">
        <f>IF($A138="","",COUNT(B138:E138))</f>
        <v/>
      </c>
      <c r="G138" s="37">
        <f>IF($A138="","",IF(F138&gt;=MIN_BANCOS,AVERAGE(B138:E138),""))</f>
        <v/>
      </c>
      <c r="H138" s="37">
        <f>IF(OR($A138="",NOT(ISNUMBER(Datos!F138)),NOT(ISNUMBER(Datos!F137))),"",Datos!F138/Datos!F137-1)</f>
        <v/>
      </c>
      <c r="I138" s="39">
        <f>IF($A138="","",IF(ISNUMBER(Datos!G138),Datos!G138,I137))</f>
        <v/>
      </c>
      <c r="J138" s="40">
        <f>IF($A138="","",IF(ISNUMBER(I137),LN(1+I137/100/12),0))</f>
        <v/>
      </c>
      <c r="K138" s="40">
        <f>IF(ISNUMBER(G138),LN(1+G138)-J138,"")</f>
        <v/>
      </c>
      <c r="L138" s="40">
        <f>IF(ISNUMBER(H138),LN(1+H138)-J138,"")</f>
        <v/>
      </c>
      <c r="M138" s="38">
        <f>IF(ISNUMBER(K138),1,0)</f>
        <v/>
      </c>
      <c r="N138" s="40">
        <f>IF(M138=1,K138,0)</f>
        <v/>
      </c>
      <c r="O138" s="38">
        <f>IF(ISNUMBER(L138),1,0)</f>
        <v/>
      </c>
      <c r="P138" s="40">
        <f>IF(O138=1,L138,0)</f>
        <v/>
      </c>
      <c r="Q138" s="38">
        <f>M138*O138</f>
        <v/>
      </c>
      <c r="R138" s="38">
        <f>SUM(Q102:Q137)</f>
        <v/>
      </c>
      <c r="S138" s="41">
        <f>IF(OR($A138="",R138&lt;MIN_OBS_ROLL),"",(SUMPRODUCT(Q102:Q137,N102:N137,P102:P137)/R138-SUMPRODUCT(Q102:Q137,N102:N137)/R138*SUMPRODUCT(Q102:Q137,P102:P137)/R138)*R138/(R138-1))</f>
        <v/>
      </c>
      <c r="T138" s="38">
        <f>SUM(O102:O137)</f>
        <v/>
      </c>
      <c r="U138" s="41">
        <f>IF(OR($A138="",T138&lt;MIN_OBS_ROLL),"",SUMPRODUCT(O102:O137,(P102:P137-SUMPRODUCT(O102:O137,P102:P137)/T138)^2)/(T138-1))</f>
        <v/>
      </c>
      <c r="V138" s="40">
        <f>IF(OR(S138="",U138=""),"",S138/U138)</f>
        <v/>
      </c>
      <c r="W138" s="40">
        <f>IF(AND(ISNUMBER(K138),ISNUMBER(L138),ISNUMBER(V138)),K138-V138*L138,"")</f>
        <v/>
      </c>
      <c r="X138" s="40">
        <f>IF(OR($A138="",NOT(ISNUMBER(Datos!H138)),NOT(ISNUMBER(Datos!H137))),"",LN(Datos!H138)-LN(Datos!H137))</f>
        <v/>
      </c>
      <c r="Y138" s="38">
        <f>IF(ISNUMBER(W138),1,0)</f>
        <v/>
      </c>
      <c r="Z138" s="40">
        <f>IF(Y138=1,W138,0)</f>
        <v/>
      </c>
      <c r="AA138" s="38">
        <f>IF(ISNUMBER(X138),1,0)</f>
        <v/>
      </c>
      <c r="AB138" s="40">
        <f>IF(AA138=1,X138,0)</f>
        <v/>
      </c>
      <c r="AC138" s="38">
        <f>Y138*AA138</f>
        <v/>
      </c>
      <c r="AD138" s="38">
        <f>SUM(AC102:AC137)</f>
        <v/>
      </c>
      <c r="AE138" s="41">
        <f>IF(OR($A138="",AD138&lt;MIN_OBS_ROLL),"",(SUMPRODUCT(AC102:AC137,Z102:Z137,AB102:AB137)/AD138-SUMPRODUCT(AC102:AC137,Z102:Z137)/AD138*SUMPRODUCT(AC102:AC137,AB102:AB137)/AD138)*AD138/(AD138-1))</f>
        <v/>
      </c>
      <c r="AF138" s="38">
        <f>SUM(AA102:AA137)</f>
        <v/>
      </c>
      <c r="AG138" s="41">
        <f>IF(OR($A138="",AF138&lt;MIN_OBS_ROLL),"",SUMPRODUCT(AA102:AA137,(AB102:AB137-SUMPRODUCT(AA102:AA137,AB102:AB137)/AF138)^2)/(AF138-1))</f>
        <v/>
      </c>
      <c r="AH138" s="38">
        <f>SUM(Y102:Y137)</f>
        <v/>
      </c>
      <c r="AI138" s="40">
        <f>IF(OR($A138="",AH138&lt;MIN_OBS_ROLL),"",SUMPRODUCT(Y102:Y137,Z102:Z137)/AH138)</f>
        <v/>
      </c>
      <c r="AJ138" s="40">
        <f>IF(OR($A138="",AF138&lt;MIN_OBS_ROLL),"",SUMPRODUCT(AA102:AA137,AB102:AB137)/AF138)</f>
        <v/>
      </c>
      <c r="AK138" s="40">
        <f>IF(OR(AE138="",AG138=""),"",AE138/AG138)</f>
        <v/>
      </c>
      <c r="AL138" s="40">
        <f>IF(OR(AI138="",AK138="",AJ138=""),"",AI138-AK138*AJ138)</f>
        <v/>
      </c>
      <c r="AM138" s="40">
        <f>IF(AND(ISNUMBER(W138),ISNUMBER(X138),ISNUMBER(AK138),ISNUMBER(AL138)),W138-(AL138+AK138*X138),"")</f>
        <v/>
      </c>
      <c r="AN138" s="38">
        <f>IF(ISNUMBER(AM138),1,0)</f>
        <v/>
      </c>
      <c r="AO138" s="40">
        <f>IF(AN138=1,AM138,0)</f>
        <v/>
      </c>
      <c r="AP138" s="40">
        <f>IF(SUM(AN136:AN138)=3,SUM(AO136:AO138),"")</f>
        <v/>
      </c>
      <c r="AQ138" s="38">
        <f>IF(ISNUMBER(AP138),1,0)</f>
        <v/>
      </c>
      <c r="AR138" s="40">
        <f>IF(AQ138=1,AP138,0)</f>
        <v/>
      </c>
      <c r="AS138" s="38">
        <f>SUM(AQ$5:AQ138)</f>
        <v/>
      </c>
      <c r="AT138" s="40">
        <f>IF(AS138&gt;=MIN_OBS_Z,SUMPRODUCT(AQ$5:AQ138,AR$5:AR138)/AS138,"")</f>
        <v/>
      </c>
      <c r="AU138" s="40">
        <f>IF(AS138&gt;=MIN_OBS_Z,SQRT(SUMPRODUCT(AQ$5:AQ138,(AR$5:AR138-AT138)^2)/(AS138-1)),"")</f>
        <v/>
      </c>
      <c r="AV138" s="40">
        <f>IF(AND(AQ138=1,ISNUMBER(AT138)),MAX(-Z_CLIP,MIN(Z_CLIP,(AR138-AT138)/AU138)),"")</f>
        <v/>
      </c>
      <c r="AW138" s="40">
        <f>IF(ISNUMBER(AV138),-AV138,"")</f>
        <v/>
      </c>
      <c r="AX138" s="40">
        <f>IF(ISNUMBER(AW138),1+AMPLITUD*TANH(AW138),"")</f>
        <v/>
      </c>
      <c r="AY138" s="40">
        <f>IF($A138="","",IF(COUNT(AX136:AX138)&gt;0,AVERAGE(AX136:AX138),""))</f>
        <v/>
      </c>
      <c r="AZ138" s="40">
        <f>IF(ISNUMBER(AY138),AY138-1,"")</f>
        <v/>
      </c>
      <c r="BA138" s="40">
        <f>IF(AND(ISNUMBER(AZ137),ISNUMBER(W138)),AZ137*W_BANCOS*W138,"")</f>
        <v/>
      </c>
      <c r="BB138" s="40">
        <f>IF(AND(ISNUMBER(AZ137),ISNUMBER(AZ136)),ABS(AZ137-AZ136)*W_BANCOS*COSTO,0)</f>
        <v/>
      </c>
      <c r="BC138" s="40">
        <f>IF(ISNUMBER(BA138),BA138-BB138,"")</f>
        <v/>
      </c>
      <c r="BD138" s="42">
        <f>IF(ISNUMBER(BC138),IF(A138&lt;=FECHA_ERA,"A","B"),"")</f>
        <v/>
      </c>
      <c r="BE138" s="40">
        <f>IF(BD138="A",BC138,"")</f>
        <v/>
      </c>
      <c r="BF138" s="40">
        <f>IF(BD138="B",BC138,"")</f>
        <v/>
      </c>
      <c r="BG138" s="38">
        <f>IF(AND(ISNUMBER(BC138),ISNUMBER(A138)),IF(A138&gt;=INICIO_VIVO,1,0),0)</f>
        <v/>
      </c>
      <c r="BH138" s="40">
        <f>IF(BG138=1,BC138,"")</f>
        <v/>
      </c>
      <c r="BI138" s="38">
        <f>IF(ISNUMBER(AY138),ROW(),0)</f>
        <v/>
      </c>
      <c r="BJ138" s="43">
        <f>IF(ISNUMBER(BC138),SUM(BC$5:BC138)*10000,NA())</f>
        <v/>
      </c>
      <c r="BK138" s="43">
        <f>IF(BG138=1,SUM(BH$5:BH138)*10000,NA())</f>
        <v/>
      </c>
      <c r="BL138" s="44">
        <f>IF(ISNUMBER(AY138),AY138,NA())</f>
        <v/>
      </c>
    </row>
    <row r="139">
      <c r="A139" s="36">
        <f>IF(Datos!A139="","",Datos!A139)</f>
        <v/>
      </c>
      <c r="B139" s="37">
        <f>IF(OR($A139="",NOT(ISNUMBER(Datos!B139)),NOT(ISNUMBER(Datos!B138))),"",Datos!B139/Datos!B138-1)</f>
        <v/>
      </c>
      <c r="C139" s="37">
        <f>IF(OR($A139="",NOT(ISNUMBER(Datos!C139)),NOT(ISNUMBER(Datos!C138))),"",Datos!C139/Datos!C138-1)</f>
        <v/>
      </c>
      <c r="D139" s="37">
        <f>IF(OR($A139="",NOT(ISNUMBER(Datos!D139)),NOT(ISNUMBER(Datos!D138))),"",Datos!D139/Datos!D138-1)</f>
        <v/>
      </c>
      <c r="E139" s="37">
        <f>IF(OR($A139="",NOT(ISNUMBER(Datos!E139)),NOT(ISNUMBER(Datos!E138))),"",Datos!E139/Datos!E138-1)</f>
        <v/>
      </c>
      <c r="F139" s="38">
        <f>IF($A139="","",COUNT(B139:E139))</f>
        <v/>
      </c>
      <c r="G139" s="37">
        <f>IF($A139="","",IF(F139&gt;=MIN_BANCOS,AVERAGE(B139:E139),""))</f>
        <v/>
      </c>
      <c r="H139" s="37">
        <f>IF(OR($A139="",NOT(ISNUMBER(Datos!F139)),NOT(ISNUMBER(Datos!F138))),"",Datos!F139/Datos!F138-1)</f>
        <v/>
      </c>
      <c r="I139" s="39">
        <f>IF($A139="","",IF(ISNUMBER(Datos!G139),Datos!G139,I138))</f>
        <v/>
      </c>
      <c r="J139" s="40">
        <f>IF($A139="","",IF(ISNUMBER(I138),LN(1+I138/100/12),0))</f>
        <v/>
      </c>
      <c r="K139" s="40">
        <f>IF(ISNUMBER(G139),LN(1+G139)-J139,"")</f>
        <v/>
      </c>
      <c r="L139" s="40">
        <f>IF(ISNUMBER(H139),LN(1+H139)-J139,"")</f>
        <v/>
      </c>
      <c r="M139" s="38">
        <f>IF(ISNUMBER(K139),1,0)</f>
        <v/>
      </c>
      <c r="N139" s="40">
        <f>IF(M139=1,K139,0)</f>
        <v/>
      </c>
      <c r="O139" s="38">
        <f>IF(ISNUMBER(L139),1,0)</f>
        <v/>
      </c>
      <c r="P139" s="40">
        <f>IF(O139=1,L139,0)</f>
        <v/>
      </c>
      <c r="Q139" s="38">
        <f>M139*O139</f>
        <v/>
      </c>
      <c r="R139" s="38">
        <f>SUM(Q103:Q138)</f>
        <v/>
      </c>
      <c r="S139" s="41">
        <f>IF(OR($A139="",R139&lt;MIN_OBS_ROLL),"",(SUMPRODUCT(Q103:Q138,N103:N138,P103:P138)/R139-SUMPRODUCT(Q103:Q138,N103:N138)/R139*SUMPRODUCT(Q103:Q138,P103:P138)/R139)*R139/(R139-1))</f>
        <v/>
      </c>
      <c r="T139" s="38">
        <f>SUM(O103:O138)</f>
        <v/>
      </c>
      <c r="U139" s="41">
        <f>IF(OR($A139="",T139&lt;MIN_OBS_ROLL),"",SUMPRODUCT(O103:O138,(P103:P138-SUMPRODUCT(O103:O138,P103:P138)/T139)^2)/(T139-1))</f>
        <v/>
      </c>
      <c r="V139" s="40">
        <f>IF(OR(S139="",U139=""),"",S139/U139)</f>
        <v/>
      </c>
      <c r="W139" s="40">
        <f>IF(AND(ISNUMBER(K139),ISNUMBER(L139),ISNUMBER(V139)),K139-V139*L139,"")</f>
        <v/>
      </c>
      <c r="X139" s="40">
        <f>IF(OR($A139="",NOT(ISNUMBER(Datos!H139)),NOT(ISNUMBER(Datos!H138))),"",LN(Datos!H139)-LN(Datos!H138))</f>
        <v/>
      </c>
      <c r="Y139" s="38">
        <f>IF(ISNUMBER(W139),1,0)</f>
        <v/>
      </c>
      <c r="Z139" s="40">
        <f>IF(Y139=1,W139,0)</f>
        <v/>
      </c>
      <c r="AA139" s="38">
        <f>IF(ISNUMBER(X139),1,0)</f>
        <v/>
      </c>
      <c r="AB139" s="40">
        <f>IF(AA139=1,X139,0)</f>
        <v/>
      </c>
      <c r="AC139" s="38">
        <f>Y139*AA139</f>
        <v/>
      </c>
      <c r="AD139" s="38">
        <f>SUM(AC103:AC138)</f>
        <v/>
      </c>
      <c r="AE139" s="41">
        <f>IF(OR($A139="",AD139&lt;MIN_OBS_ROLL),"",(SUMPRODUCT(AC103:AC138,Z103:Z138,AB103:AB138)/AD139-SUMPRODUCT(AC103:AC138,Z103:Z138)/AD139*SUMPRODUCT(AC103:AC138,AB103:AB138)/AD139)*AD139/(AD139-1))</f>
        <v/>
      </c>
      <c r="AF139" s="38">
        <f>SUM(AA103:AA138)</f>
        <v/>
      </c>
      <c r="AG139" s="41">
        <f>IF(OR($A139="",AF139&lt;MIN_OBS_ROLL),"",SUMPRODUCT(AA103:AA138,(AB103:AB138-SUMPRODUCT(AA103:AA138,AB103:AB138)/AF139)^2)/(AF139-1))</f>
        <v/>
      </c>
      <c r="AH139" s="38">
        <f>SUM(Y103:Y138)</f>
        <v/>
      </c>
      <c r="AI139" s="40">
        <f>IF(OR($A139="",AH139&lt;MIN_OBS_ROLL),"",SUMPRODUCT(Y103:Y138,Z103:Z138)/AH139)</f>
        <v/>
      </c>
      <c r="AJ139" s="40">
        <f>IF(OR($A139="",AF139&lt;MIN_OBS_ROLL),"",SUMPRODUCT(AA103:AA138,AB103:AB138)/AF139)</f>
        <v/>
      </c>
      <c r="AK139" s="40">
        <f>IF(OR(AE139="",AG139=""),"",AE139/AG139)</f>
        <v/>
      </c>
      <c r="AL139" s="40">
        <f>IF(OR(AI139="",AK139="",AJ139=""),"",AI139-AK139*AJ139)</f>
        <v/>
      </c>
      <c r="AM139" s="40">
        <f>IF(AND(ISNUMBER(W139),ISNUMBER(X139),ISNUMBER(AK139),ISNUMBER(AL139)),W139-(AL139+AK139*X139),"")</f>
        <v/>
      </c>
      <c r="AN139" s="38">
        <f>IF(ISNUMBER(AM139),1,0)</f>
        <v/>
      </c>
      <c r="AO139" s="40">
        <f>IF(AN139=1,AM139,0)</f>
        <v/>
      </c>
      <c r="AP139" s="40">
        <f>IF(SUM(AN137:AN139)=3,SUM(AO137:AO139),"")</f>
        <v/>
      </c>
      <c r="AQ139" s="38">
        <f>IF(ISNUMBER(AP139),1,0)</f>
        <v/>
      </c>
      <c r="AR139" s="40">
        <f>IF(AQ139=1,AP139,0)</f>
        <v/>
      </c>
      <c r="AS139" s="38">
        <f>SUM(AQ$5:AQ139)</f>
        <v/>
      </c>
      <c r="AT139" s="40">
        <f>IF(AS139&gt;=MIN_OBS_Z,SUMPRODUCT(AQ$5:AQ139,AR$5:AR139)/AS139,"")</f>
        <v/>
      </c>
      <c r="AU139" s="40">
        <f>IF(AS139&gt;=MIN_OBS_Z,SQRT(SUMPRODUCT(AQ$5:AQ139,(AR$5:AR139-AT139)^2)/(AS139-1)),"")</f>
        <v/>
      </c>
      <c r="AV139" s="40">
        <f>IF(AND(AQ139=1,ISNUMBER(AT139)),MAX(-Z_CLIP,MIN(Z_CLIP,(AR139-AT139)/AU139)),"")</f>
        <v/>
      </c>
      <c r="AW139" s="40">
        <f>IF(ISNUMBER(AV139),-AV139,"")</f>
        <v/>
      </c>
      <c r="AX139" s="40">
        <f>IF(ISNUMBER(AW139),1+AMPLITUD*TANH(AW139),"")</f>
        <v/>
      </c>
      <c r="AY139" s="40">
        <f>IF($A139="","",IF(COUNT(AX137:AX139)&gt;0,AVERAGE(AX137:AX139),""))</f>
        <v/>
      </c>
      <c r="AZ139" s="40">
        <f>IF(ISNUMBER(AY139),AY139-1,"")</f>
        <v/>
      </c>
      <c r="BA139" s="40">
        <f>IF(AND(ISNUMBER(AZ138),ISNUMBER(W139)),AZ138*W_BANCOS*W139,"")</f>
        <v/>
      </c>
      <c r="BB139" s="40">
        <f>IF(AND(ISNUMBER(AZ138),ISNUMBER(AZ137)),ABS(AZ138-AZ137)*W_BANCOS*COSTO,0)</f>
        <v/>
      </c>
      <c r="BC139" s="40">
        <f>IF(ISNUMBER(BA139),BA139-BB139,"")</f>
        <v/>
      </c>
      <c r="BD139" s="42">
        <f>IF(ISNUMBER(BC139),IF(A139&lt;=FECHA_ERA,"A","B"),"")</f>
        <v/>
      </c>
      <c r="BE139" s="40">
        <f>IF(BD139="A",BC139,"")</f>
        <v/>
      </c>
      <c r="BF139" s="40">
        <f>IF(BD139="B",BC139,"")</f>
        <v/>
      </c>
      <c r="BG139" s="38">
        <f>IF(AND(ISNUMBER(BC139),ISNUMBER(A139)),IF(A139&gt;=INICIO_VIVO,1,0),0)</f>
        <v/>
      </c>
      <c r="BH139" s="40">
        <f>IF(BG139=1,BC139,"")</f>
        <v/>
      </c>
      <c r="BI139" s="38">
        <f>IF(ISNUMBER(AY139),ROW(),0)</f>
        <v/>
      </c>
      <c r="BJ139" s="43">
        <f>IF(ISNUMBER(BC139),SUM(BC$5:BC139)*10000,NA())</f>
        <v/>
      </c>
      <c r="BK139" s="43">
        <f>IF(BG139=1,SUM(BH$5:BH139)*10000,NA())</f>
        <v/>
      </c>
      <c r="BL139" s="44">
        <f>IF(ISNUMBER(AY139),AY139,NA())</f>
        <v/>
      </c>
    </row>
    <row r="140">
      <c r="A140" s="36">
        <f>IF(Datos!A140="","",Datos!A140)</f>
        <v/>
      </c>
      <c r="B140" s="37">
        <f>IF(OR($A140="",NOT(ISNUMBER(Datos!B140)),NOT(ISNUMBER(Datos!B139))),"",Datos!B140/Datos!B139-1)</f>
        <v/>
      </c>
      <c r="C140" s="37">
        <f>IF(OR($A140="",NOT(ISNUMBER(Datos!C140)),NOT(ISNUMBER(Datos!C139))),"",Datos!C140/Datos!C139-1)</f>
        <v/>
      </c>
      <c r="D140" s="37">
        <f>IF(OR($A140="",NOT(ISNUMBER(Datos!D140)),NOT(ISNUMBER(Datos!D139))),"",Datos!D140/Datos!D139-1)</f>
        <v/>
      </c>
      <c r="E140" s="37">
        <f>IF(OR($A140="",NOT(ISNUMBER(Datos!E140)),NOT(ISNUMBER(Datos!E139))),"",Datos!E140/Datos!E139-1)</f>
        <v/>
      </c>
      <c r="F140" s="38">
        <f>IF($A140="","",COUNT(B140:E140))</f>
        <v/>
      </c>
      <c r="G140" s="37">
        <f>IF($A140="","",IF(F140&gt;=MIN_BANCOS,AVERAGE(B140:E140),""))</f>
        <v/>
      </c>
      <c r="H140" s="37">
        <f>IF(OR($A140="",NOT(ISNUMBER(Datos!F140)),NOT(ISNUMBER(Datos!F139))),"",Datos!F140/Datos!F139-1)</f>
        <v/>
      </c>
      <c r="I140" s="39">
        <f>IF($A140="","",IF(ISNUMBER(Datos!G140),Datos!G140,I139))</f>
        <v/>
      </c>
      <c r="J140" s="40">
        <f>IF($A140="","",IF(ISNUMBER(I139),LN(1+I139/100/12),0))</f>
        <v/>
      </c>
      <c r="K140" s="40">
        <f>IF(ISNUMBER(G140),LN(1+G140)-J140,"")</f>
        <v/>
      </c>
      <c r="L140" s="40">
        <f>IF(ISNUMBER(H140),LN(1+H140)-J140,"")</f>
        <v/>
      </c>
      <c r="M140" s="38">
        <f>IF(ISNUMBER(K140),1,0)</f>
        <v/>
      </c>
      <c r="N140" s="40">
        <f>IF(M140=1,K140,0)</f>
        <v/>
      </c>
      <c r="O140" s="38">
        <f>IF(ISNUMBER(L140),1,0)</f>
        <v/>
      </c>
      <c r="P140" s="40">
        <f>IF(O140=1,L140,0)</f>
        <v/>
      </c>
      <c r="Q140" s="38">
        <f>M140*O140</f>
        <v/>
      </c>
      <c r="R140" s="38">
        <f>SUM(Q104:Q139)</f>
        <v/>
      </c>
      <c r="S140" s="41">
        <f>IF(OR($A140="",R140&lt;MIN_OBS_ROLL),"",(SUMPRODUCT(Q104:Q139,N104:N139,P104:P139)/R140-SUMPRODUCT(Q104:Q139,N104:N139)/R140*SUMPRODUCT(Q104:Q139,P104:P139)/R140)*R140/(R140-1))</f>
        <v/>
      </c>
      <c r="T140" s="38">
        <f>SUM(O104:O139)</f>
        <v/>
      </c>
      <c r="U140" s="41">
        <f>IF(OR($A140="",T140&lt;MIN_OBS_ROLL),"",SUMPRODUCT(O104:O139,(P104:P139-SUMPRODUCT(O104:O139,P104:P139)/T140)^2)/(T140-1))</f>
        <v/>
      </c>
      <c r="V140" s="40">
        <f>IF(OR(S140="",U140=""),"",S140/U140)</f>
        <v/>
      </c>
      <c r="W140" s="40">
        <f>IF(AND(ISNUMBER(K140),ISNUMBER(L140),ISNUMBER(V140)),K140-V140*L140,"")</f>
        <v/>
      </c>
      <c r="X140" s="40">
        <f>IF(OR($A140="",NOT(ISNUMBER(Datos!H140)),NOT(ISNUMBER(Datos!H139))),"",LN(Datos!H140)-LN(Datos!H139))</f>
        <v/>
      </c>
      <c r="Y140" s="38">
        <f>IF(ISNUMBER(W140),1,0)</f>
        <v/>
      </c>
      <c r="Z140" s="40">
        <f>IF(Y140=1,W140,0)</f>
        <v/>
      </c>
      <c r="AA140" s="38">
        <f>IF(ISNUMBER(X140),1,0)</f>
        <v/>
      </c>
      <c r="AB140" s="40">
        <f>IF(AA140=1,X140,0)</f>
        <v/>
      </c>
      <c r="AC140" s="38">
        <f>Y140*AA140</f>
        <v/>
      </c>
      <c r="AD140" s="38">
        <f>SUM(AC104:AC139)</f>
        <v/>
      </c>
      <c r="AE140" s="41">
        <f>IF(OR($A140="",AD140&lt;MIN_OBS_ROLL),"",(SUMPRODUCT(AC104:AC139,Z104:Z139,AB104:AB139)/AD140-SUMPRODUCT(AC104:AC139,Z104:Z139)/AD140*SUMPRODUCT(AC104:AC139,AB104:AB139)/AD140)*AD140/(AD140-1))</f>
        <v/>
      </c>
      <c r="AF140" s="38">
        <f>SUM(AA104:AA139)</f>
        <v/>
      </c>
      <c r="AG140" s="41">
        <f>IF(OR($A140="",AF140&lt;MIN_OBS_ROLL),"",SUMPRODUCT(AA104:AA139,(AB104:AB139-SUMPRODUCT(AA104:AA139,AB104:AB139)/AF140)^2)/(AF140-1))</f>
        <v/>
      </c>
      <c r="AH140" s="38">
        <f>SUM(Y104:Y139)</f>
        <v/>
      </c>
      <c r="AI140" s="40">
        <f>IF(OR($A140="",AH140&lt;MIN_OBS_ROLL),"",SUMPRODUCT(Y104:Y139,Z104:Z139)/AH140)</f>
        <v/>
      </c>
      <c r="AJ140" s="40">
        <f>IF(OR($A140="",AF140&lt;MIN_OBS_ROLL),"",SUMPRODUCT(AA104:AA139,AB104:AB139)/AF140)</f>
        <v/>
      </c>
      <c r="AK140" s="40">
        <f>IF(OR(AE140="",AG140=""),"",AE140/AG140)</f>
        <v/>
      </c>
      <c r="AL140" s="40">
        <f>IF(OR(AI140="",AK140="",AJ140=""),"",AI140-AK140*AJ140)</f>
        <v/>
      </c>
      <c r="AM140" s="40">
        <f>IF(AND(ISNUMBER(W140),ISNUMBER(X140),ISNUMBER(AK140),ISNUMBER(AL140)),W140-(AL140+AK140*X140),"")</f>
        <v/>
      </c>
      <c r="AN140" s="38">
        <f>IF(ISNUMBER(AM140),1,0)</f>
        <v/>
      </c>
      <c r="AO140" s="40">
        <f>IF(AN140=1,AM140,0)</f>
        <v/>
      </c>
      <c r="AP140" s="40">
        <f>IF(SUM(AN138:AN140)=3,SUM(AO138:AO140),"")</f>
        <v/>
      </c>
      <c r="AQ140" s="38">
        <f>IF(ISNUMBER(AP140),1,0)</f>
        <v/>
      </c>
      <c r="AR140" s="40">
        <f>IF(AQ140=1,AP140,0)</f>
        <v/>
      </c>
      <c r="AS140" s="38">
        <f>SUM(AQ$5:AQ140)</f>
        <v/>
      </c>
      <c r="AT140" s="40">
        <f>IF(AS140&gt;=MIN_OBS_Z,SUMPRODUCT(AQ$5:AQ140,AR$5:AR140)/AS140,"")</f>
        <v/>
      </c>
      <c r="AU140" s="40">
        <f>IF(AS140&gt;=MIN_OBS_Z,SQRT(SUMPRODUCT(AQ$5:AQ140,(AR$5:AR140-AT140)^2)/(AS140-1)),"")</f>
        <v/>
      </c>
      <c r="AV140" s="40">
        <f>IF(AND(AQ140=1,ISNUMBER(AT140)),MAX(-Z_CLIP,MIN(Z_CLIP,(AR140-AT140)/AU140)),"")</f>
        <v/>
      </c>
      <c r="AW140" s="40">
        <f>IF(ISNUMBER(AV140),-AV140,"")</f>
        <v/>
      </c>
      <c r="AX140" s="40">
        <f>IF(ISNUMBER(AW140),1+AMPLITUD*TANH(AW140),"")</f>
        <v/>
      </c>
      <c r="AY140" s="40">
        <f>IF($A140="","",IF(COUNT(AX138:AX140)&gt;0,AVERAGE(AX138:AX140),""))</f>
        <v/>
      </c>
      <c r="AZ140" s="40">
        <f>IF(ISNUMBER(AY140),AY140-1,"")</f>
        <v/>
      </c>
      <c r="BA140" s="40">
        <f>IF(AND(ISNUMBER(AZ139),ISNUMBER(W140)),AZ139*W_BANCOS*W140,"")</f>
        <v/>
      </c>
      <c r="BB140" s="40">
        <f>IF(AND(ISNUMBER(AZ139),ISNUMBER(AZ138)),ABS(AZ139-AZ138)*W_BANCOS*COSTO,0)</f>
        <v/>
      </c>
      <c r="BC140" s="40">
        <f>IF(ISNUMBER(BA140),BA140-BB140,"")</f>
        <v/>
      </c>
      <c r="BD140" s="42">
        <f>IF(ISNUMBER(BC140),IF(A140&lt;=FECHA_ERA,"A","B"),"")</f>
        <v/>
      </c>
      <c r="BE140" s="40">
        <f>IF(BD140="A",BC140,"")</f>
        <v/>
      </c>
      <c r="BF140" s="40">
        <f>IF(BD140="B",BC140,"")</f>
        <v/>
      </c>
      <c r="BG140" s="38">
        <f>IF(AND(ISNUMBER(BC140),ISNUMBER(A140)),IF(A140&gt;=INICIO_VIVO,1,0),0)</f>
        <v/>
      </c>
      <c r="BH140" s="40">
        <f>IF(BG140=1,BC140,"")</f>
        <v/>
      </c>
      <c r="BI140" s="38">
        <f>IF(ISNUMBER(AY140),ROW(),0)</f>
        <v/>
      </c>
      <c r="BJ140" s="43">
        <f>IF(ISNUMBER(BC140),SUM(BC$5:BC140)*10000,NA())</f>
        <v/>
      </c>
      <c r="BK140" s="43">
        <f>IF(BG140=1,SUM(BH$5:BH140)*10000,NA())</f>
        <v/>
      </c>
      <c r="BL140" s="44">
        <f>IF(ISNUMBER(AY140),AY140,NA())</f>
        <v/>
      </c>
    </row>
    <row r="141">
      <c r="A141" s="36">
        <f>IF(Datos!A141="","",Datos!A141)</f>
        <v/>
      </c>
      <c r="B141" s="37">
        <f>IF(OR($A141="",NOT(ISNUMBER(Datos!B141)),NOT(ISNUMBER(Datos!B140))),"",Datos!B141/Datos!B140-1)</f>
        <v/>
      </c>
      <c r="C141" s="37">
        <f>IF(OR($A141="",NOT(ISNUMBER(Datos!C141)),NOT(ISNUMBER(Datos!C140))),"",Datos!C141/Datos!C140-1)</f>
        <v/>
      </c>
      <c r="D141" s="37">
        <f>IF(OR($A141="",NOT(ISNUMBER(Datos!D141)),NOT(ISNUMBER(Datos!D140))),"",Datos!D141/Datos!D140-1)</f>
        <v/>
      </c>
      <c r="E141" s="37">
        <f>IF(OR($A141="",NOT(ISNUMBER(Datos!E141)),NOT(ISNUMBER(Datos!E140))),"",Datos!E141/Datos!E140-1)</f>
        <v/>
      </c>
      <c r="F141" s="38">
        <f>IF($A141="","",COUNT(B141:E141))</f>
        <v/>
      </c>
      <c r="G141" s="37">
        <f>IF($A141="","",IF(F141&gt;=MIN_BANCOS,AVERAGE(B141:E141),""))</f>
        <v/>
      </c>
      <c r="H141" s="37">
        <f>IF(OR($A141="",NOT(ISNUMBER(Datos!F141)),NOT(ISNUMBER(Datos!F140))),"",Datos!F141/Datos!F140-1)</f>
        <v/>
      </c>
      <c r="I141" s="39">
        <f>IF($A141="","",IF(ISNUMBER(Datos!G141),Datos!G141,I140))</f>
        <v/>
      </c>
      <c r="J141" s="40">
        <f>IF($A141="","",IF(ISNUMBER(I140),LN(1+I140/100/12),0))</f>
        <v/>
      </c>
      <c r="K141" s="40">
        <f>IF(ISNUMBER(G141),LN(1+G141)-J141,"")</f>
        <v/>
      </c>
      <c r="L141" s="40">
        <f>IF(ISNUMBER(H141),LN(1+H141)-J141,"")</f>
        <v/>
      </c>
      <c r="M141" s="38">
        <f>IF(ISNUMBER(K141),1,0)</f>
        <v/>
      </c>
      <c r="N141" s="40">
        <f>IF(M141=1,K141,0)</f>
        <v/>
      </c>
      <c r="O141" s="38">
        <f>IF(ISNUMBER(L141),1,0)</f>
        <v/>
      </c>
      <c r="P141" s="40">
        <f>IF(O141=1,L141,0)</f>
        <v/>
      </c>
      <c r="Q141" s="38">
        <f>M141*O141</f>
        <v/>
      </c>
      <c r="R141" s="38">
        <f>SUM(Q105:Q140)</f>
        <v/>
      </c>
      <c r="S141" s="41">
        <f>IF(OR($A141="",R141&lt;MIN_OBS_ROLL),"",(SUMPRODUCT(Q105:Q140,N105:N140,P105:P140)/R141-SUMPRODUCT(Q105:Q140,N105:N140)/R141*SUMPRODUCT(Q105:Q140,P105:P140)/R141)*R141/(R141-1))</f>
        <v/>
      </c>
      <c r="T141" s="38">
        <f>SUM(O105:O140)</f>
        <v/>
      </c>
      <c r="U141" s="41">
        <f>IF(OR($A141="",T141&lt;MIN_OBS_ROLL),"",SUMPRODUCT(O105:O140,(P105:P140-SUMPRODUCT(O105:O140,P105:P140)/T141)^2)/(T141-1))</f>
        <v/>
      </c>
      <c r="V141" s="40">
        <f>IF(OR(S141="",U141=""),"",S141/U141)</f>
        <v/>
      </c>
      <c r="W141" s="40">
        <f>IF(AND(ISNUMBER(K141),ISNUMBER(L141),ISNUMBER(V141)),K141-V141*L141,"")</f>
        <v/>
      </c>
      <c r="X141" s="40">
        <f>IF(OR($A141="",NOT(ISNUMBER(Datos!H141)),NOT(ISNUMBER(Datos!H140))),"",LN(Datos!H141)-LN(Datos!H140))</f>
        <v/>
      </c>
      <c r="Y141" s="38">
        <f>IF(ISNUMBER(W141),1,0)</f>
        <v/>
      </c>
      <c r="Z141" s="40">
        <f>IF(Y141=1,W141,0)</f>
        <v/>
      </c>
      <c r="AA141" s="38">
        <f>IF(ISNUMBER(X141),1,0)</f>
        <v/>
      </c>
      <c r="AB141" s="40">
        <f>IF(AA141=1,X141,0)</f>
        <v/>
      </c>
      <c r="AC141" s="38">
        <f>Y141*AA141</f>
        <v/>
      </c>
      <c r="AD141" s="38">
        <f>SUM(AC105:AC140)</f>
        <v/>
      </c>
      <c r="AE141" s="41">
        <f>IF(OR($A141="",AD141&lt;MIN_OBS_ROLL),"",(SUMPRODUCT(AC105:AC140,Z105:Z140,AB105:AB140)/AD141-SUMPRODUCT(AC105:AC140,Z105:Z140)/AD141*SUMPRODUCT(AC105:AC140,AB105:AB140)/AD141)*AD141/(AD141-1))</f>
        <v/>
      </c>
      <c r="AF141" s="38">
        <f>SUM(AA105:AA140)</f>
        <v/>
      </c>
      <c r="AG141" s="41">
        <f>IF(OR($A141="",AF141&lt;MIN_OBS_ROLL),"",SUMPRODUCT(AA105:AA140,(AB105:AB140-SUMPRODUCT(AA105:AA140,AB105:AB140)/AF141)^2)/(AF141-1))</f>
        <v/>
      </c>
      <c r="AH141" s="38">
        <f>SUM(Y105:Y140)</f>
        <v/>
      </c>
      <c r="AI141" s="40">
        <f>IF(OR($A141="",AH141&lt;MIN_OBS_ROLL),"",SUMPRODUCT(Y105:Y140,Z105:Z140)/AH141)</f>
        <v/>
      </c>
      <c r="AJ141" s="40">
        <f>IF(OR($A141="",AF141&lt;MIN_OBS_ROLL),"",SUMPRODUCT(AA105:AA140,AB105:AB140)/AF141)</f>
        <v/>
      </c>
      <c r="AK141" s="40">
        <f>IF(OR(AE141="",AG141=""),"",AE141/AG141)</f>
        <v/>
      </c>
      <c r="AL141" s="40">
        <f>IF(OR(AI141="",AK141="",AJ141=""),"",AI141-AK141*AJ141)</f>
        <v/>
      </c>
      <c r="AM141" s="40">
        <f>IF(AND(ISNUMBER(W141),ISNUMBER(X141),ISNUMBER(AK141),ISNUMBER(AL141)),W141-(AL141+AK141*X141),"")</f>
        <v/>
      </c>
      <c r="AN141" s="38">
        <f>IF(ISNUMBER(AM141),1,0)</f>
        <v/>
      </c>
      <c r="AO141" s="40">
        <f>IF(AN141=1,AM141,0)</f>
        <v/>
      </c>
      <c r="AP141" s="40">
        <f>IF(SUM(AN139:AN141)=3,SUM(AO139:AO141),"")</f>
        <v/>
      </c>
      <c r="AQ141" s="38">
        <f>IF(ISNUMBER(AP141),1,0)</f>
        <v/>
      </c>
      <c r="AR141" s="40">
        <f>IF(AQ141=1,AP141,0)</f>
        <v/>
      </c>
      <c r="AS141" s="38">
        <f>SUM(AQ$5:AQ141)</f>
        <v/>
      </c>
      <c r="AT141" s="40">
        <f>IF(AS141&gt;=MIN_OBS_Z,SUMPRODUCT(AQ$5:AQ141,AR$5:AR141)/AS141,"")</f>
        <v/>
      </c>
      <c r="AU141" s="40">
        <f>IF(AS141&gt;=MIN_OBS_Z,SQRT(SUMPRODUCT(AQ$5:AQ141,(AR$5:AR141-AT141)^2)/(AS141-1)),"")</f>
        <v/>
      </c>
      <c r="AV141" s="40">
        <f>IF(AND(AQ141=1,ISNUMBER(AT141)),MAX(-Z_CLIP,MIN(Z_CLIP,(AR141-AT141)/AU141)),"")</f>
        <v/>
      </c>
      <c r="AW141" s="40">
        <f>IF(ISNUMBER(AV141),-AV141,"")</f>
        <v/>
      </c>
      <c r="AX141" s="40">
        <f>IF(ISNUMBER(AW141),1+AMPLITUD*TANH(AW141),"")</f>
        <v/>
      </c>
      <c r="AY141" s="40">
        <f>IF($A141="","",IF(COUNT(AX139:AX141)&gt;0,AVERAGE(AX139:AX141),""))</f>
        <v/>
      </c>
      <c r="AZ141" s="40">
        <f>IF(ISNUMBER(AY141),AY141-1,"")</f>
        <v/>
      </c>
      <c r="BA141" s="40">
        <f>IF(AND(ISNUMBER(AZ140),ISNUMBER(W141)),AZ140*W_BANCOS*W141,"")</f>
        <v/>
      </c>
      <c r="BB141" s="40">
        <f>IF(AND(ISNUMBER(AZ140),ISNUMBER(AZ139)),ABS(AZ140-AZ139)*W_BANCOS*COSTO,0)</f>
        <v/>
      </c>
      <c r="BC141" s="40">
        <f>IF(ISNUMBER(BA141),BA141-BB141,"")</f>
        <v/>
      </c>
      <c r="BD141" s="42">
        <f>IF(ISNUMBER(BC141),IF(A141&lt;=FECHA_ERA,"A","B"),"")</f>
        <v/>
      </c>
      <c r="BE141" s="40">
        <f>IF(BD141="A",BC141,"")</f>
        <v/>
      </c>
      <c r="BF141" s="40">
        <f>IF(BD141="B",BC141,"")</f>
        <v/>
      </c>
      <c r="BG141" s="38">
        <f>IF(AND(ISNUMBER(BC141),ISNUMBER(A141)),IF(A141&gt;=INICIO_VIVO,1,0),0)</f>
        <v/>
      </c>
      <c r="BH141" s="40">
        <f>IF(BG141=1,BC141,"")</f>
        <v/>
      </c>
      <c r="BI141" s="38">
        <f>IF(ISNUMBER(AY141),ROW(),0)</f>
        <v/>
      </c>
      <c r="BJ141" s="43">
        <f>IF(ISNUMBER(BC141),SUM(BC$5:BC141)*10000,NA())</f>
        <v/>
      </c>
      <c r="BK141" s="43">
        <f>IF(BG141=1,SUM(BH$5:BH141)*10000,NA())</f>
        <v/>
      </c>
      <c r="BL141" s="44">
        <f>IF(ISNUMBER(AY141),AY141,NA())</f>
        <v/>
      </c>
    </row>
    <row r="142">
      <c r="A142" s="36">
        <f>IF(Datos!A142="","",Datos!A142)</f>
        <v/>
      </c>
      <c r="B142" s="37">
        <f>IF(OR($A142="",NOT(ISNUMBER(Datos!B142)),NOT(ISNUMBER(Datos!B141))),"",Datos!B142/Datos!B141-1)</f>
        <v/>
      </c>
      <c r="C142" s="37">
        <f>IF(OR($A142="",NOT(ISNUMBER(Datos!C142)),NOT(ISNUMBER(Datos!C141))),"",Datos!C142/Datos!C141-1)</f>
        <v/>
      </c>
      <c r="D142" s="37">
        <f>IF(OR($A142="",NOT(ISNUMBER(Datos!D142)),NOT(ISNUMBER(Datos!D141))),"",Datos!D142/Datos!D141-1)</f>
        <v/>
      </c>
      <c r="E142" s="37">
        <f>IF(OR($A142="",NOT(ISNUMBER(Datos!E142)),NOT(ISNUMBER(Datos!E141))),"",Datos!E142/Datos!E141-1)</f>
        <v/>
      </c>
      <c r="F142" s="38">
        <f>IF($A142="","",COUNT(B142:E142))</f>
        <v/>
      </c>
      <c r="G142" s="37">
        <f>IF($A142="","",IF(F142&gt;=MIN_BANCOS,AVERAGE(B142:E142),""))</f>
        <v/>
      </c>
      <c r="H142" s="37">
        <f>IF(OR($A142="",NOT(ISNUMBER(Datos!F142)),NOT(ISNUMBER(Datos!F141))),"",Datos!F142/Datos!F141-1)</f>
        <v/>
      </c>
      <c r="I142" s="39">
        <f>IF($A142="","",IF(ISNUMBER(Datos!G142),Datos!G142,I141))</f>
        <v/>
      </c>
      <c r="J142" s="40">
        <f>IF($A142="","",IF(ISNUMBER(I141),LN(1+I141/100/12),0))</f>
        <v/>
      </c>
      <c r="K142" s="40">
        <f>IF(ISNUMBER(G142),LN(1+G142)-J142,"")</f>
        <v/>
      </c>
      <c r="L142" s="40">
        <f>IF(ISNUMBER(H142),LN(1+H142)-J142,"")</f>
        <v/>
      </c>
      <c r="M142" s="38">
        <f>IF(ISNUMBER(K142),1,0)</f>
        <v/>
      </c>
      <c r="N142" s="40">
        <f>IF(M142=1,K142,0)</f>
        <v/>
      </c>
      <c r="O142" s="38">
        <f>IF(ISNUMBER(L142),1,0)</f>
        <v/>
      </c>
      <c r="P142" s="40">
        <f>IF(O142=1,L142,0)</f>
        <v/>
      </c>
      <c r="Q142" s="38">
        <f>M142*O142</f>
        <v/>
      </c>
      <c r="R142" s="38">
        <f>SUM(Q106:Q141)</f>
        <v/>
      </c>
      <c r="S142" s="41">
        <f>IF(OR($A142="",R142&lt;MIN_OBS_ROLL),"",(SUMPRODUCT(Q106:Q141,N106:N141,P106:P141)/R142-SUMPRODUCT(Q106:Q141,N106:N141)/R142*SUMPRODUCT(Q106:Q141,P106:P141)/R142)*R142/(R142-1))</f>
        <v/>
      </c>
      <c r="T142" s="38">
        <f>SUM(O106:O141)</f>
        <v/>
      </c>
      <c r="U142" s="41">
        <f>IF(OR($A142="",T142&lt;MIN_OBS_ROLL),"",SUMPRODUCT(O106:O141,(P106:P141-SUMPRODUCT(O106:O141,P106:P141)/T142)^2)/(T142-1))</f>
        <v/>
      </c>
      <c r="V142" s="40">
        <f>IF(OR(S142="",U142=""),"",S142/U142)</f>
        <v/>
      </c>
      <c r="W142" s="40">
        <f>IF(AND(ISNUMBER(K142),ISNUMBER(L142),ISNUMBER(V142)),K142-V142*L142,"")</f>
        <v/>
      </c>
      <c r="X142" s="40">
        <f>IF(OR($A142="",NOT(ISNUMBER(Datos!H142)),NOT(ISNUMBER(Datos!H141))),"",LN(Datos!H142)-LN(Datos!H141))</f>
        <v/>
      </c>
      <c r="Y142" s="38">
        <f>IF(ISNUMBER(W142),1,0)</f>
        <v/>
      </c>
      <c r="Z142" s="40">
        <f>IF(Y142=1,W142,0)</f>
        <v/>
      </c>
      <c r="AA142" s="38">
        <f>IF(ISNUMBER(X142),1,0)</f>
        <v/>
      </c>
      <c r="AB142" s="40">
        <f>IF(AA142=1,X142,0)</f>
        <v/>
      </c>
      <c r="AC142" s="38">
        <f>Y142*AA142</f>
        <v/>
      </c>
      <c r="AD142" s="38">
        <f>SUM(AC106:AC141)</f>
        <v/>
      </c>
      <c r="AE142" s="41">
        <f>IF(OR($A142="",AD142&lt;MIN_OBS_ROLL),"",(SUMPRODUCT(AC106:AC141,Z106:Z141,AB106:AB141)/AD142-SUMPRODUCT(AC106:AC141,Z106:Z141)/AD142*SUMPRODUCT(AC106:AC141,AB106:AB141)/AD142)*AD142/(AD142-1))</f>
        <v/>
      </c>
      <c r="AF142" s="38">
        <f>SUM(AA106:AA141)</f>
        <v/>
      </c>
      <c r="AG142" s="41">
        <f>IF(OR($A142="",AF142&lt;MIN_OBS_ROLL),"",SUMPRODUCT(AA106:AA141,(AB106:AB141-SUMPRODUCT(AA106:AA141,AB106:AB141)/AF142)^2)/(AF142-1))</f>
        <v/>
      </c>
      <c r="AH142" s="38">
        <f>SUM(Y106:Y141)</f>
        <v/>
      </c>
      <c r="AI142" s="40">
        <f>IF(OR($A142="",AH142&lt;MIN_OBS_ROLL),"",SUMPRODUCT(Y106:Y141,Z106:Z141)/AH142)</f>
        <v/>
      </c>
      <c r="AJ142" s="40">
        <f>IF(OR($A142="",AF142&lt;MIN_OBS_ROLL),"",SUMPRODUCT(AA106:AA141,AB106:AB141)/AF142)</f>
        <v/>
      </c>
      <c r="AK142" s="40">
        <f>IF(OR(AE142="",AG142=""),"",AE142/AG142)</f>
        <v/>
      </c>
      <c r="AL142" s="40">
        <f>IF(OR(AI142="",AK142="",AJ142=""),"",AI142-AK142*AJ142)</f>
        <v/>
      </c>
      <c r="AM142" s="40">
        <f>IF(AND(ISNUMBER(W142),ISNUMBER(X142),ISNUMBER(AK142),ISNUMBER(AL142)),W142-(AL142+AK142*X142),"")</f>
        <v/>
      </c>
      <c r="AN142" s="38">
        <f>IF(ISNUMBER(AM142),1,0)</f>
        <v/>
      </c>
      <c r="AO142" s="40">
        <f>IF(AN142=1,AM142,0)</f>
        <v/>
      </c>
      <c r="AP142" s="40">
        <f>IF(SUM(AN140:AN142)=3,SUM(AO140:AO142),"")</f>
        <v/>
      </c>
      <c r="AQ142" s="38">
        <f>IF(ISNUMBER(AP142),1,0)</f>
        <v/>
      </c>
      <c r="AR142" s="40">
        <f>IF(AQ142=1,AP142,0)</f>
        <v/>
      </c>
      <c r="AS142" s="38">
        <f>SUM(AQ$5:AQ142)</f>
        <v/>
      </c>
      <c r="AT142" s="40">
        <f>IF(AS142&gt;=MIN_OBS_Z,SUMPRODUCT(AQ$5:AQ142,AR$5:AR142)/AS142,"")</f>
        <v/>
      </c>
      <c r="AU142" s="40">
        <f>IF(AS142&gt;=MIN_OBS_Z,SQRT(SUMPRODUCT(AQ$5:AQ142,(AR$5:AR142-AT142)^2)/(AS142-1)),"")</f>
        <v/>
      </c>
      <c r="AV142" s="40">
        <f>IF(AND(AQ142=1,ISNUMBER(AT142)),MAX(-Z_CLIP,MIN(Z_CLIP,(AR142-AT142)/AU142)),"")</f>
        <v/>
      </c>
      <c r="AW142" s="40">
        <f>IF(ISNUMBER(AV142),-AV142,"")</f>
        <v/>
      </c>
      <c r="AX142" s="40">
        <f>IF(ISNUMBER(AW142),1+AMPLITUD*TANH(AW142),"")</f>
        <v/>
      </c>
      <c r="AY142" s="40">
        <f>IF($A142="","",IF(COUNT(AX140:AX142)&gt;0,AVERAGE(AX140:AX142),""))</f>
        <v/>
      </c>
      <c r="AZ142" s="40">
        <f>IF(ISNUMBER(AY142),AY142-1,"")</f>
        <v/>
      </c>
      <c r="BA142" s="40">
        <f>IF(AND(ISNUMBER(AZ141),ISNUMBER(W142)),AZ141*W_BANCOS*W142,"")</f>
        <v/>
      </c>
      <c r="BB142" s="40">
        <f>IF(AND(ISNUMBER(AZ141),ISNUMBER(AZ140)),ABS(AZ141-AZ140)*W_BANCOS*COSTO,0)</f>
        <v/>
      </c>
      <c r="BC142" s="40">
        <f>IF(ISNUMBER(BA142),BA142-BB142,"")</f>
        <v/>
      </c>
      <c r="BD142" s="42">
        <f>IF(ISNUMBER(BC142),IF(A142&lt;=FECHA_ERA,"A","B"),"")</f>
        <v/>
      </c>
      <c r="BE142" s="40">
        <f>IF(BD142="A",BC142,"")</f>
        <v/>
      </c>
      <c r="BF142" s="40">
        <f>IF(BD142="B",BC142,"")</f>
        <v/>
      </c>
      <c r="BG142" s="38">
        <f>IF(AND(ISNUMBER(BC142),ISNUMBER(A142)),IF(A142&gt;=INICIO_VIVO,1,0),0)</f>
        <v/>
      </c>
      <c r="BH142" s="40">
        <f>IF(BG142=1,BC142,"")</f>
        <v/>
      </c>
      <c r="BI142" s="38">
        <f>IF(ISNUMBER(AY142),ROW(),0)</f>
        <v/>
      </c>
      <c r="BJ142" s="43">
        <f>IF(ISNUMBER(BC142),SUM(BC$5:BC142)*10000,NA())</f>
        <v/>
      </c>
      <c r="BK142" s="43">
        <f>IF(BG142=1,SUM(BH$5:BH142)*10000,NA())</f>
        <v/>
      </c>
      <c r="BL142" s="44">
        <f>IF(ISNUMBER(AY142),AY142,NA())</f>
        <v/>
      </c>
    </row>
    <row r="143">
      <c r="A143" s="36">
        <f>IF(Datos!A143="","",Datos!A143)</f>
        <v/>
      </c>
      <c r="B143" s="37">
        <f>IF(OR($A143="",NOT(ISNUMBER(Datos!B143)),NOT(ISNUMBER(Datos!B142))),"",Datos!B143/Datos!B142-1)</f>
        <v/>
      </c>
      <c r="C143" s="37">
        <f>IF(OR($A143="",NOT(ISNUMBER(Datos!C143)),NOT(ISNUMBER(Datos!C142))),"",Datos!C143/Datos!C142-1)</f>
        <v/>
      </c>
      <c r="D143" s="37">
        <f>IF(OR($A143="",NOT(ISNUMBER(Datos!D143)),NOT(ISNUMBER(Datos!D142))),"",Datos!D143/Datos!D142-1)</f>
        <v/>
      </c>
      <c r="E143" s="37">
        <f>IF(OR($A143="",NOT(ISNUMBER(Datos!E143)),NOT(ISNUMBER(Datos!E142))),"",Datos!E143/Datos!E142-1)</f>
        <v/>
      </c>
      <c r="F143" s="38">
        <f>IF($A143="","",COUNT(B143:E143))</f>
        <v/>
      </c>
      <c r="G143" s="37">
        <f>IF($A143="","",IF(F143&gt;=MIN_BANCOS,AVERAGE(B143:E143),""))</f>
        <v/>
      </c>
      <c r="H143" s="37">
        <f>IF(OR($A143="",NOT(ISNUMBER(Datos!F143)),NOT(ISNUMBER(Datos!F142))),"",Datos!F143/Datos!F142-1)</f>
        <v/>
      </c>
      <c r="I143" s="39">
        <f>IF($A143="","",IF(ISNUMBER(Datos!G143),Datos!G143,I142))</f>
        <v/>
      </c>
      <c r="J143" s="40">
        <f>IF($A143="","",IF(ISNUMBER(I142),LN(1+I142/100/12),0))</f>
        <v/>
      </c>
      <c r="K143" s="40">
        <f>IF(ISNUMBER(G143),LN(1+G143)-J143,"")</f>
        <v/>
      </c>
      <c r="L143" s="40">
        <f>IF(ISNUMBER(H143),LN(1+H143)-J143,"")</f>
        <v/>
      </c>
      <c r="M143" s="38">
        <f>IF(ISNUMBER(K143),1,0)</f>
        <v/>
      </c>
      <c r="N143" s="40">
        <f>IF(M143=1,K143,0)</f>
        <v/>
      </c>
      <c r="O143" s="38">
        <f>IF(ISNUMBER(L143),1,0)</f>
        <v/>
      </c>
      <c r="P143" s="40">
        <f>IF(O143=1,L143,0)</f>
        <v/>
      </c>
      <c r="Q143" s="38">
        <f>M143*O143</f>
        <v/>
      </c>
      <c r="R143" s="38">
        <f>SUM(Q107:Q142)</f>
        <v/>
      </c>
      <c r="S143" s="41">
        <f>IF(OR($A143="",R143&lt;MIN_OBS_ROLL),"",(SUMPRODUCT(Q107:Q142,N107:N142,P107:P142)/R143-SUMPRODUCT(Q107:Q142,N107:N142)/R143*SUMPRODUCT(Q107:Q142,P107:P142)/R143)*R143/(R143-1))</f>
        <v/>
      </c>
      <c r="T143" s="38">
        <f>SUM(O107:O142)</f>
        <v/>
      </c>
      <c r="U143" s="41">
        <f>IF(OR($A143="",T143&lt;MIN_OBS_ROLL),"",SUMPRODUCT(O107:O142,(P107:P142-SUMPRODUCT(O107:O142,P107:P142)/T143)^2)/(T143-1))</f>
        <v/>
      </c>
      <c r="V143" s="40">
        <f>IF(OR(S143="",U143=""),"",S143/U143)</f>
        <v/>
      </c>
      <c r="W143" s="40">
        <f>IF(AND(ISNUMBER(K143),ISNUMBER(L143),ISNUMBER(V143)),K143-V143*L143,"")</f>
        <v/>
      </c>
      <c r="X143" s="40">
        <f>IF(OR($A143="",NOT(ISNUMBER(Datos!H143)),NOT(ISNUMBER(Datos!H142))),"",LN(Datos!H143)-LN(Datos!H142))</f>
        <v/>
      </c>
      <c r="Y143" s="38">
        <f>IF(ISNUMBER(W143),1,0)</f>
        <v/>
      </c>
      <c r="Z143" s="40">
        <f>IF(Y143=1,W143,0)</f>
        <v/>
      </c>
      <c r="AA143" s="38">
        <f>IF(ISNUMBER(X143),1,0)</f>
        <v/>
      </c>
      <c r="AB143" s="40">
        <f>IF(AA143=1,X143,0)</f>
        <v/>
      </c>
      <c r="AC143" s="38">
        <f>Y143*AA143</f>
        <v/>
      </c>
      <c r="AD143" s="38">
        <f>SUM(AC107:AC142)</f>
        <v/>
      </c>
      <c r="AE143" s="41">
        <f>IF(OR($A143="",AD143&lt;MIN_OBS_ROLL),"",(SUMPRODUCT(AC107:AC142,Z107:Z142,AB107:AB142)/AD143-SUMPRODUCT(AC107:AC142,Z107:Z142)/AD143*SUMPRODUCT(AC107:AC142,AB107:AB142)/AD143)*AD143/(AD143-1))</f>
        <v/>
      </c>
      <c r="AF143" s="38">
        <f>SUM(AA107:AA142)</f>
        <v/>
      </c>
      <c r="AG143" s="41">
        <f>IF(OR($A143="",AF143&lt;MIN_OBS_ROLL),"",SUMPRODUCT(AA107:AA142,(AB107:AB142-SUMPRODUCT(AA107:AA142,AB107:AB142)/AF143)^2)/(AF143-1))</f>
        <v/>
      </c>
      <c r="AH143" s="38">
        <f>SUM(Y107:Y142)</f>
        <v/>
      </c>
      <c r="AI143" s="40">
        <f>IF(OR($A143="",AH143&lt;MIN_OBS_ROLL),"",SUMPRODUCT(Y107:Y142,Z107:Z142)/AH143)</f>
        <v/>
      </c>
      <c r="AJ143" s="40">
        <f>IF(OR($A143="",AF143&lt;MIN_OBS_ROLL),"",SUMPRODUCT(AA107:AA142,AB107:AB142)/AF143)</f>
        <v/>
      </c>
      <c r="AK143" s="40">
        <f>IF(OR(AE143="",AG143=""),"",AE143/AG143)</f>
        <v/>
      </c>
      <c r="AL143" s="40">
        <f>IF(OR(AI143="",AK143="",AJ143=""),"",AI143-AK143*AJ143)</f>
        <v/>
      </c>
      <c r="AM143" s="40">
        <f>IF(AND(ISNUMBER(W143),ISNUMBER(X143),ISNUMBER(AK143),ISNUMBER(AL143)),W143-(AL143+AK143*X143),"")</f>
        <v/>
      </c>
      <c r="AN143" s="38">
        <f>IF(ISNUMBER(AM143),1,0)</f>
        <v/>
      </c>
      <c r="AO143" s="40">
        <f>IF(AN143=1,AM143,0)</f>
        <v/>
      </c>
      <c r="AP143" s="40">
        <f>IF(SUM(AN141:AN143)=3,SUM(AO141:AO143),"")</f>
        <v/>
      </c>
      <c r="AQ143" s="38">
        <f>IF(ISNUMBER(AP143),1,0)</f>
        <v/>
      </c>
      <c r="AR143" s="40">
        <f>IF(AQ143=1,AP143,0)</f>
        <v/>
      </c>
      <c r="AS143" s="38">
        <f>SUM(AQ$5:AQ143)</f>
        <v/>
      </c>
      <c r="AT143" s="40">
        <f>IF(AS143&gt;=MIN_OBS_Z,SUMPRODUCT(AQ$5:AQ143,AR$5:AR143)/AS143,"")</f>
        <v/>
      </c>
      <c r="AU143" s="40">
        <f>IF(AS143&gt;=MIN_OBS_Z,SQRT(SUMPRODUCT(AQ$5:AQ143,(AR$5:AR143-AT143)^2)/(AS143-1)),"")</f>
        <v/>
      </c>
      <c r="AV143" s="40">
        <f>IF(AND(AQ143=1,ISNUMBER(AT143)),MAX(-Z_CLIP,MIN(Z_CLIP,(AR143-AT143)/AU143)),"")</f>
        <v/>
      </c>
      <c r="AW143" s="40">
        <f>IF(ISNUMBER(AV143),-AV143,"")</f>
        <v/>
      </c>
      <c r="AX143" s="40">
        <f>IF(ISNUMBER(AW143),1+AMPLITUD*TANH(AW143),"")</f>
        <v/>
      </c>
      <c r="AY143" s="40">
        <f>IF($A143="","",IF(COUNT(AX141:AX143)&gt;0,AVERAGE(AX141:AX143),""))</f>
        <v/>
      </c>
      <c r="AZ143" s="40">
        <f>IF(ISNUMBER(AY143),AY143-1,"")</f>
        <v/>
      </c>
      <c r="BA143" s="40">
        <f>IF(AND(ISNUMBER(AZ142),ISNUMBER(W143)),AZ142*W_BANCOS*W143,"")</f>
        <v/>
      </c>
      <c r="BB143" s="40">
        <f>IF(AND(ISNUMBER(AZ142),ISNUMBER(AZ141)),ABS(AZ142-AZ141)*W_BANCOS*COSTO,0)</f>
        <v/>
      </c>
      <c r="BC143" s="40">
        <f>IF(ISNUMBER(BA143),BA143-BB143,"")</f>
        <v/>
      </c>
      <c r="BD143" s="42">
        <f>IF(ISNUMBER(BC143),IF(A143&lt;=FECHA_ERA,"A","B"),"")</f>
        <v/>
      </c>
      <c r="BE143" s="40">
        <f>IF(BD143="A",BC143,"")</f>
        <v/>
      </c>
      <c r="BF143" s="40">
        <f>IF(BD143="B",BC143,"")</f>
        <v/>
      </c>
      <c r="BG143" s="38">
        <f>IF(AND(ISNUMBER(BC143),ISNUMBER(A143)),IF(A143&gt;=INICIO_VIVO,1,0),0)</f>
        <v/>
      </c>
      <c r="BH143" s="40">
        <f>IF(BG143=1,BC143,"")</f>
        <v/>
      </c>
      <c r="BI143" s="38">
        <f>IF(ISNUMBER(AY143),ROW(),0)</f>
        <v/>
      </c>
      <c r="BJ143" s="43">
        <f>IF(ISNUMBER(BC143),SUM(BC$5:BC143)*10000,NA())</f>
        <v/>
      </c>
      <c r="BK143" s="43">
        <f>IF(BG143=1,SUM(BH$5:BH143)*10000,NA())</f>
        <v/>
      </c>
      <c r="BL143" s="44">
        <f>IF(ISNUMBER(AY143),AY143,NA())</f>
        <v/>
      </c>
    </row>
    <row r="144">
      <c r="A144" s="36">
        <f>IF(Datos!A144="","",Datos!A144)</f>
        <v/>
      </c>
      <c r="B144" s="37">
        <f>IF(OR($A144="",NOT(ISNUMBER(Datos!B144)),NOT(ISNUMBER(Datos!B143))),"",Datos!B144/Datos!B143-1)</f>
        <v/>
      </c>
      <c r="C144" s="37">
        <f>IF(OR($A144="",NOT(ISNUMBER(Datos!C144)),NOT(ISNUMBER(Datos!C143))),"",Datos!C144/Datos!C143-1)</f>
        <v/>
      </c>
      <c r="D144" s="37">
        <f>IF(OR($A144="",NOT(ISNUMBER(Datos!D144)),NOT(ISNUMBER(Datos!D143))),"",Datos!D144/Datos!D143-1)</f>
        <v/>
      </c>
      <c r="E144" s="37">
        <f>IF(OR($A144="",NOT(ISNUMBER(Datos!E144)),NOT(ISNUMBER(Datos!E143))),"",Datos!E144/Datos!E143-1)</f>
        <v/>
      </c>
      <c r="F144" s="38">
        <f>IF($A144="","",COUNT(B144:E144))</f>
        <v/>
      </c>
      <c r="G144" s="37">
        <f>IF($A144="","",IF(F144&gt;=MIN_BANCOS,AVERAGE(B144:E144),""))</f>
        <v/>
      </c>
      <c r="H144" s="37">
        <f>IF(OR($A144="",NOT(ISNUMBER(Datos!F144)),NOT(ISNUMBER(Datos!F143))),"",Datos!F144/Datos!F143-1)</f>
        <v/>
      </c>
      <c r="I144" s="39">
        <f>IF($A144="","",IF(ISNUMBER(Datos!G144),Datos!G144,I143))</f>
        <v/>
      </c>
      <c r="J144" s="40">
        <f>IF($A144="","",IF(ISNUMBER(I143),LN(1+I143/100/12),0))</f>
        <v/>
      </c>
      <c r="K144" s="40">
        <f>IF(ISNUMBER(G144),LN(1+G144)-J144,"")</f>
        <v/>
      </c>
      <c r="L144" s="40">
        <f>IF(ISNUMBER(H144),LN(1+H144)-J144,"")</f>
        <v/>
      </c>
      <c r="M144" s="38">
        <f>IF(ISNUMBER(K144),1,0)</f>
        <v/>
      </c>
      <c r="N144" s="40">
        <f>IF(M144=1,K144,0)</f>
        <v/>
      </c>
      <c r="O144" s="38">
        <f>IF(ISNUMBER(L144),1,0)</f>
        <v/>
      </c>
      <c r="P144" s="40">
        <f>IF(O144=1,L144,0)</f>
        <v/>
      </c>
      <c r="Q144" s="38">
        <f>M144*O144</f>
        <v/>
      </c>
      <c r="R144" s="38">
        <f>SUM(Q108:Q143)</f>
        <v/>
      </c>
      <c r="S144" s="41">
        <f>IF(OR($A144="",R144&lt;MIN_OBS_ROLL),"",(SUMPRODUCT(Q108:Q143,N108:N143,P108:P143)/R144-SUMPRODUCT(Q108:Q143,N108:N143)/R144*SUMPRODUCT(Q108:Q143,P108:P143)/R144)*R144/(R144-1))</f>
        <v/>
      </c>
      <c r="T144" s="38">
        <f>SUM(O108:O143)</f>
        <v/>
      </c>
      <c r="U144" s="41">
        <f>IF(OR($A144="",T144&lt;MIN_OBS_ROLL),"",SUMPRODUCT(O108:O143,(P108:P143-SUMPRODUCT(O108:O143,P108:P143)/T144)^2)/(T144-1))</f>
        <v/>
      </c>
      <c r="V144" s="40">
        <f>IF(OR(S144="",U144=""),"",S144/U144)</f>
        <v/>
      </c>
      <c r="W144" s="40">
        <f>IF(AND(ISNUMBER(K144),ISNUMBER(L144),ISNUMBER(V144)),K144-V144*L144,"")</f>
        <v/>
      </c>
      <c r="X144" s="40">
        <f>IF(OR($A144="",NOT(ISNUMBER(Datos!H144)),NOT(ISNUMBER(Datos!H143))),"",LN(Datos!H144)-LN(Datos!H143))</f>
        <v/>
      </c>
      <c r="Y144" s="38">
        <f>IF(ISNUMBER(W144),1,0)</f>
        <v/>
      </c>
      <c r="Z144" s="40">
        <f>IF(Y144=1,W144,0)</f>
        <v/>
      </c>
      <c r="AA144" s="38">
        <f>IF(ISNUMBER(X144),1,0)</f>
        <v/>
      </c>
      <c r="AB144" s="40">
        <f>IF(AA144=1,X144,0)</f>
        <v/>
      </c>
      <c r="AC144" s="38">
        <f>Y144*AA144</f>
        <v/>
      </c>
      <c r="AD144" s="38">
        <f>SUM(AC108:AC143)</f>
        <v/>
      </c>
      <c r="AE144" s="41">
        <f>IF(OR($A144="",AD144&lt;MIN_OBS_ROLL),"",(SUMPRODUCT(AC108:AC143,Z108:Z143,AB108:AB143)/AD144-SUMPRODUCT(AC108:AC143,Z108:Z143)/AD144*SUMPRODUCT(AC108:AC143,AB108:AB143)/AD144)*AD144/(AD144-1))</f>
        <v/>
      </c>
      <c r="AF144" s="38">
        <f>SUM(AA108:AA143)</f>
        <v/>
      </c>
      <c r="AG144" s="41">
        <f>IF(OR($A144="",AF144&lt;MIN_OBS_ROLL),"",SUMPRODUCT(AA108:AA143,(AB108:AB143-SUMPRODUCT(AA108:AA143,AB108:AB143)/AF144)^2)/(AF144-1))</f>
        <v/>
      </c>
      <c r="AH144" s="38">
        <f>SUM(Y108:Y143)</f>
        <v/>
      </c>
      <c r="AI144" s="40">
        <f>IF(OR($A144="",AH144&lt;MIN_OBS_ROLL),"",SUMPRODUCT(Y108:Y143,Z108:Z143)/AH144)</f>
        <v/>
      </c>
      <c r="AJ144" s="40">
        <f>IF(OR($A144="",AF144&lt;MIN_OBS_ROLL),"",SUMPRODUCT(AA108:AA143,AB108:AB143)/AF144)</f>
        <v/>
      </c>
      <c r="AK144" s="40">
        <f>IF(OR(AE144="",AG144=""),"",AE144/AG144)</f>
        <v/>
      </c>
      <c r="AL144" s="40">
        <f>IF(OR(AI144="",AK144="",AJ144=""),"",AI144-AK144*AJ144)</f>
        <v/>
      </c>
      <c r="AM144" s="40">
        <f>IF(AND(ISNUMBER(W144),ISNUMBER(X144),ISNUMBER(AK144),ISNUMBER(AL144)),W144-(AL144+AK144*X144),"")</f>
        <v/>
      </c>
      <c r="AN144" s="38">
        <f>IF(ISNUMBER(AM144),1,0)</f>
        <v/>
      </c>
      <c r="AO144" s="40">
        <f>IF(AN144=1,AM144,0)</f>
        <v/>
      </c>
      <c r="AP144" s="40">
        <f>IF(SUM(AN142:AN144)=3,SUM(AO142:AO144),"")</f>
        <v/>
      </c>
      <c r="AQ144" s="38">
        <f>IF(ISNUMBER(AP144),1,0)</f>
        <v/>
      </c>
      <c r="AR144" s="40">
        <f>IF(AQ144=1,AP144,0)</f>
        <v/>
      </c>
      <c r="AS144" s="38">
        <f>SUM(AQ$5:AQ144)</f>
        <v/>
      </c>
      <c r="AT144" s="40">
        <f>IF(AS144&gt;=MIN_OBS_Z,SUMPRODUCT(AQ$5:AQ144,AR$5:AR144)/AS144,"")</f>
        <v/>
      </c>
      <c r="AU144" s="40">
        <f>IF(AS144&gt;=MIN_OBS_Z,SQRT(SUMPRODUCT(AQ$5:AQ144,(AR$5:AR144-AT144)^2)/(AS144-1)),"")</f>
        <v/>
      </c>
      <c r="AV144" s="40">
        <f>IF(AND(AQ144=1,ISNUMBER(AT144)),MAX(-Z_CLIP,MIN(Z_CLIP,(AR144-AT144)/AU144)),"")</f>
        <v/>
      </c>
      <c r="AW144" s="40">
        <f>IF(ISNUMBER(AV144),-AV144,"")</f>
        <v/>
      </c>
      <c r="AX144" s="40">
        <f>IF(ISNUMBER(AW144),1+AMPLITUD*TANH(AW144),"")</f>
        <v/>
      </c>
      <c r="AY144" s="40">
        <f>IF($A144="","",IF(COUNT(AX142:AX144)&gt;0,AVERAGE(AX142:AX144),""))</f>
        <v/>
      </c>
      <c r="AZ144" s="40">
        <f>IF(ISNUMBER(AY144),AY144-1,"")</f>
        <v/>
      </c>
      <c r="BA144" s="40">
        <f>IF(AND(ISNUMBER(AZ143),ISNUMBER(W144)),AZ143*W_BANCOS*W144,"")</f>
        <v/>
      </c>
      <c r="BB144" s="40">
        <f>IF(AND(ISNUMBER(AZ143),ISNUMBER(AZ142)),ABS(AZ143-AZ142)*W_BANCOS*COSTO,0)</f>
        <v/>
      </c>
      <c r="BC144" s="40">
        <f>IF(ISNUMBER(BA144),BA144-BB144,"")</f>
        <v/>
      </c>
      <c r="BD144" s="42">
        <f>IF(ISNUMBER(BC144),IF(A144&lt;=FECHA_ERA,"A","B"),"")</f>
        <v/>
      </c>
      <c r="BE144" s="40">
        <f>IF(BD144="A",BC144,"")</f>
        <v/>
      </c>
      <c r="BF144" s="40">
        <f>IF(BD144="B",BC144,"")</f>
        <v/>
      </c>
      <c r="BG144" s="38">
        <f>IF(AND(ISNUMBER(BC144),ISNUMBER(A144)),IF(A144&gt;=INICIO_VIVO,1,0),0)</f>
        <v/>
      </c>
      <c r="BH144" s="40">
        <f>IF(BG144=1,BC144,"")</f>
        <v/>
      </c>
      <c r="BI144" s="38">
        <f>IF(ISNUMBER(AY144),ROW(),0)</f>
        <v/>
      </c>
      <c r="BJ144" s="43">
        <f>IF(ISNUMBER(BC144),SUM(BC$5:BC144)*10000,NA())</f>
        <v/>
      </c>
      <c r="BK144" s="43">
        <f>IF(BG144=1,SUM(BH$5:BH144)*10000,NA())</f>
        <v/>
      </c>
      <c r="BL144" s="44">
        <f>IF(ISNUMBER(AY144),AY144,NA())</f>
        <v/>
      </c>
    </row>
    <row r="145">
      <c r="A145" s="36">
        <f>IF(Datos!A145="","",Datos!A145)</f>
        <v/>
      </c>
      <c r="B145" s="37">
        <f>IF(OR($A145="",NOT(ISNUMBER(Datos!B145)),NOT(ISNUMBER(Datos!B144))),"",Datos!B145/Datos!B144-1)</f>
        <v/>
      </c>
      <c r="C145" s="37">
        <f>IF(OR($A145="",NOT(ISNUMBER(Datos!C145)),NOT(ISNUMBER(Datos!C144))),"",Datos!C145/Datos!C144-1)</f>
        <v/>
      </c>
      <c r="D145" s="37">
        <f>IF(OR($A145="",NOT(ISNUMBER(Datos!D145)),NOT(ISNUMBER(Datos!D144))),"",Datos!D145/Datos!D144-1)</f>
        <v/>
      </c>
      <c r="E145" s="37">
        <f>IF(OR($A145="",NOT(ISNUMBER(Datos!E145)),NOT(ISNUMBER(Datos!E144))),"",Datos!E145/Datos!E144-1)</f>
        <v/>
      </c>
      <c r="F145" s="38">
        <f>IF($A145="","",COUNT(B145:E145))</f>
        <v/>
      </c>
      <c r="G145" s="37">
        <f>IF($A145="","",IF(F145&gt;=MIN_BANCOS,AVERAGE(B145:E145),""))</f>
        <v/>
      </c>
      <c r="H145" s="37">
        <f>IF(OR($A145="",NOT(ISNUMBER(Datos!F145)),NOT(ISNUMBER(Datos!F144))),"",Datos!F145/Datos!F144-1)</f>
        <v/>
      </c>
      <c r="I145" s="39">
        <f>IF($A145="","",IF(ISNUMBER(Datos!G145),Datos!G145,I144))</f>
        <v/>
      </c>
      <c r="J145" s="40">
        <f>IF($A145="","",IF(ISNUMBER(I144),LN(1+I144/100/12),0))</f>
        <v/>
      </c>
      <c r="K145" s="40">
        <f>IF(ISNUMBER(G145),LN(1+G145)-J145,"")</f>
        <v/>
      </c>
      <c r="L145" s="40">
        <f>IF(ISNUMBER(H145),LN(1+H145)-J145,"")</f>
        <v/>
      </c>
      <c r="M145" s="38">
        <f>IF(ISNUMBER(K145),1,0)</f>
        <v/>
      </c>
      <c r="N145" s="40">
        <f>IF(M145=1,K145,0)</f>
        <v/>
      </c>
      <c r="O145" s="38">
        <f>IF(ISNUMBER(L145),1,0)</f>
        <v/>
      </c>
      <c r="P145" s="40">
        <f>IF(O145=1,L145,0)</f>
        <v/>
      </c>
      <c r="Q145" s="38">
        <f>M145*O145</f>
        <v/>
      </c>
      <c r="R145" s="38">
        <f>SUM(Q109:Q144)</f>
        <v/>
      </c>
      <c r="S145" s="41">
        <f>IF(OR($A145="",R145&lt;MIN_OBS_ROLL),"",(SUMPRODUCT(Q109:Q144,N109:N144,P109:P144)/R145-SUMPRODUCT(Q109:Q144,N109:N144)/R145*SUMPRODUCT(Q109:Q144,P109:P144)/R145)*R145/(R145-1))</f>
        <v/>
      </c>
      <c r="T145" s="38">
        <f>SUM(O109:O144)</f>
        <v/>
      </c>
      <c r="U145" s="41">
        <f>IF(OR($A145="",T145&lt;MIN_OBS_ROLL),"",SUMPRODUCT(O109:O144,(P109:P144-SUMPRODUCT(O109:O144,P109:P144)/T145)^2)/(T145-1))</f>
        <v/>
      </c>
      <c r="V145" s="40">
        <f>IF(OR(S145="",U145=""),"",S145/U145)</f>
        <v/>
      </c>
      <c r="W145" s="40">
        <f>IF(AND(ISNUMBER(K145),ISNUMBER(L145),ISNUMBER(V145)),K145-V145*L145,"")</f>
        <v/>
      </c>
      <c r="X145" s="40">
        <f>IF(OR($A145="",NOT(ISNUMBER(Datos!H145)),NOT(ISNUMBER(Datos!H144))),"",LN(Datos!H145)-LN(Datos!H144))</f>
        <v/>
      </c>
      <c r="Y145" s="38">
        <f>IF(ISNUMBER(W145),1,0)</f>
        <v/>
      </c>
      <c r="Z145" s="40">
        <f>IF(Y145=1,W145,0)</f>
        <v/>
      </c>
      <c r="AA145" s="38">
        <f>IF(ISNUMBER(X145),1,0)</f>
        <v/>
      </c>
      <c r="AB145" s="40">
        <f>IF(AA145=1,X145,0)</f>
        <v/>
      </c>
      <c r="AC145" s="38">
        <f>Y145*AA145</f>
        <v/>
      </c>
      <c r="AD145" s="38">
        <f>SUM(AC109:AC144)</f>
        <v/>
      </c>
      <c r="AE145" s="41">
        <f>IF(OR($A145="",AD145&lt;MIN_OBS_ROLL),"",(SUMPRODUCT(AC109:AC144,Z109:Z144,AB109:AB144)/AD145-SUMPRODUCT(AC109:AC144,Z109:Z144)/AD145*SUMPRODUCT(AC109:AC144,AB109:AB144)/AD145)*AD145/(AD145-1))</f>
        <v/>
      </c>
      <c r="AF145" s="38">
        <f>SUM(AA109:AA144)</f>
        <v/>
      </c>
      <c r="AG145" s="41">
        <f>IF(OR($A145="",AF145&lt;MIN_OBS_ROLL),"",SUMPRODUCT(AA109:AA144,(AB109:AB144-SUMPRODUCT(AA109:AA144,AB109:AB144)/AF145)^2)/(AF145-1))</f>
        <v/>
      </c>
      <c r="AH145" s="38">
        <f>SUM(Y109:Y144)</f>
        <v/>
      </c>
      <c r="AI145" s="40">
        <f>IF(OR($A145="",AH145&lt;MIN_OBS_ROLL),"",SUMPRODUCT(Y109:Y144,Z109:Z144)/AH145)</f>
        <v/>
      </c>
      <c r="AJ145" s="40">
        <f>IF(OR($A145="",AF145&lt;MIN_OBS_ROLL),"",SUMPRODUCT(AA109:AA144,AB109:AB144)/AF145)</f>
        <v/>
      </c>
      <c r="AK145" s="40">
        <f>IF(OR(AE145="",AG145=""),"",AE145/AG145)</f>
        <v/>
      </c>
      <c r="AL145" s="40">
        <f>IF(OR(AI145="",AK145="",AJ145=""),"",AI145-AK145*AJ145)</f>
        <v/>
      </c>
      <c r="AM145" s="40">
        <f>IF(AND(ISNUMBER(W145),ISNUMBER(X145),ISNUMBER(AK145),ISNUMBER(AL145)),W145-(AL145+AK145*X145),"")</f>
        <v/>
      </c>
      <c r="AN145" s="38">
        <f>IF(ISNUMBER(AM145),1,0)</f>
        <v/>
      </c>
      <c r="AO145" s="40">
        <f>IF(AN145=1,AM145,0)</f>
        <v/>
      </c>
      <c r="AP145" s="40">
        <f>IF(SUM(AN143:AN145)=3,SUM(AO143:AO145),"")</f>
        <v/>
      </c>
      <c r="AQ145" s="38">
        <f>IF(ISNUMBER(AP145),1,0)</f>
        <v/>
      </c>
      <c r="AR145" s="40">
        <f>IF(AQ145=1,AP145,0)</f>
        <v/>
      </c>
      <c r="AS145" s="38">
        <f>SUM(AQ$5:AQ145)</f>
        <v/>
      </c>
      <c r="AT145" s="40">
        <f>IF(AS145&gt;=MIN_OBS_Z,SUMPRODUCT(AQ$5:AQ145,AR$5:AR145)/AS145,"")</f>
        <v/>
      </c>
      <c r="AU145" s="40">
        <f>IF(AS145&gt;=MIN_OBS_Z,SQRT(SUMPRODUCT(AQ$5:AQ145,(AR$5:AR145-AT145)^2)/(AS145-1)),"")</f>
        <v/>
      </c>
      <c r="AV145" s="40">
        <f>IF(AND(AQ145=1,ISNUMBER(AT145)),MAX(-Z_CLIP,MIN(Z_CLIP,(AR145-AT145)/AU145)),"")</f>
        <v/>
      </c>
      <c r="AW145" s="40">
        <f>IF(ISNUMBER(AV145),-AV145,"")</f>
        <v/>
      </c>
      <c r="AX145" s="40">
        <f>IF(ISNUMBER(AW145),1+AMPLITUD*TANH(AW145),"")</f>
        <v/>
      </c>
      <c r="AY145" s="40">
        <f>IF($A145="","",IF(COUNT(AX143:AX145)&gt;0,AVERAGE(AX143:AX145),""))</f>
        <v/>
      </c>
      <c r="AZ145" s="40">
        <f>IF(ISNUMBER(AY145),AY145-1,"")</f>
        <v/>
      </c>
      <c r="BA145" s="40">
        <f>IF(AND(ISNUMBER(AZ144),ISNUMBER(W145)),AZ144*W_BANCOS*W145,"")</f>
        <v/>
      </c>
      <c r="BB145" s="40">
        <f>IF(AND(ISNUMBER(AZ144),ISNUMBER(AZ143)),ABS(AZ144-AZ143)*W_BANCOS*COSTO,0)</f>
        <v/>
      </c>
      <c r="BC145" s="40">
        <f>IF(ISNUMBER(BA145),BA145-BB145,"")</f>
        <v/>
      </c>
      <c r="BD145" s="42">
        <f>IF(ISNUMBER(BC145),IF(A145&lt;=FECHA_ERA,"A","B"),"")</f>
        <v/>
      </c>
      <c r="BE145" s="40">
        <f>IF(BD145="A",BC145,"")</f>
        <v/>
      </c>
      <c r="BF145" s="40">
        <f>IF(BD145="B",BC145,"")</f>
        <v/>
      </c>
      <c r="BG145" s="38">
        <f>IF(AND(ISNUMBER(BC145),ISNUMBER(A145)),IF(A145&gt;=INICIO_VIVO,1,0),0)</f>
        <v/>
      </c>
      <c r="BH145" s="40">
        <f>IF(BG145=1,BC145,"")</f>
        <v/>
      </c>
      <c r="BI145" s="38">
        <f>IF(ISNUMBER(AY145),ROW(),0)</f>
        <v/>
      </c>
      <c r="BJ145" s="43">
        <f>IF(ISNUMBER(BC145),SUM(BC$5:BC145)*10000,NA())</f>
        <v/>
      </c>
      <c r="BK145" s="43">
        <f>IF(BG145=1,SUM(BH$5:BH145)*10000,NA())</f>
        <v/>
      </c>
      <c r="BL145" s="44">
        <f>IF(ISNUMBER(AY145),AY145,NA())</f>
        <v/>
      </c>
    </row>
    <row r="146">
      <c r="A146" s="36">
        <f>IF(Datos!A146="","",Datos!A146)</f>
        <v/>
      </c>
      <c r="B146" s="37">
        <f>IF(OR($A146="",NOT(ISNUMBER(Datos!B146)),NOT(ISNUMBER(Datos!B145))),"",Datos!B146/Datos!B145-1)</f>
        <v/>
      </c>
      <c r="C146" s="37">
        <f>IF(OR($A146="",NOT(ISNUMBER(Datos!C146)),NOT(ISNUMBER(Datos!C145))),"",Datos!C146/Datos!C145-1)</f>
        <v/>
      </c>
      <c r="D146" s="37">
        <f>IF(OR($A146="",NOT(ISNUMBER(Datos!D146)),NOT(ISNUMBER(Datos!D145))),"",Datos!D146/Datos!D145-1)</f>
        <v/>
      </c>
      <c r="E146" s="37">
        <f>IF(OR($A146="",NOT(ISNUMBER(Datos!E146)),NOT(ISNUMBER(Datos!E145))),"",Datos!E146/Datos!E145-1)</f>
        <v/>
      </c>
      <c r="F146" s="38">
        <f>IF($A146="","",COUNT(B146:E146))</f>
        <v/>
      </c>
      <c r="G146" s="37">
        <f>IF($A146="","",IF(F146&gt;=MIN_BANCOS,AVERAGE(B146:E146),""))</f>
        <v/>
      </c>
      <c r="H146" s="37">
        <f>IF(OR($A146="",NOT(ISNUMBER(Datos!F146)),NOT(ISNUMBER(Datos!F145))),"",Datos!F146/Datos!F145-1)</f>
        <v/>
      </c>
      <c r="I146" s="39">
        <f>IF($A146="","",IF(ISNUMBER(Datos!G146),Datos!G146,I145))</f>
        <v/>
      </c>
      <c r="J146" s="40">
        <f>IF($A146="","",IF(ISNUMBER(I145),LN(1+I145/100/12),0))</f>
        <v/>
      </c>
      <c r="K146" s="40">
        <f>IF(ISNUMBER(G146),LN(1+G146)-J146,"")</f>
        <v/>
      </c>
      <c r="L146" s="40">
        <f>IF(ISNUMBER(H146),LN(1+H146)-J146,"")</f>
        <v/>
      </c>
      <c r="M146" s="38">
        <f>IF(ISNUMBER(K146),1,0)</f>
        <v/>
      </c>
      <c r="N146" s="40">
        <f>IF(M146=1,K146,0)</f>
        <v/>
      </c>
      <c r="O146" s="38">
        <f>IF(ISNUMBER(L146),1,0)</f>
        <v/>
      </c>
      <c r="P146" s="40">
        <f>IF(O146=1,L146,0)</f>
        <v/>
      </c>
      <c r="Q146" s="38">
        <f>M146*O146</f>
        <v/>
      </c>
      <c r="R146" s="38">
        <f>SUM(Q110:Q145)</f>
        <v/>
      </c>
      <c r="S146" s="41">
        <f>IF(OR($A146="",R146&lt;MIN_OBS_ROLL),"",(SUMPRODUCT(Q110:Q145,N110:N145,P110:P145)/R146-SUMPRODUCT(Q110:Q145,N110:N145)/R146*SUMPRODUCT(Q110:Q145,P110:P145)/R146)*R146/(R146-1))</f>
        <v/>
      </c>
      <c r="T146" s="38">
        <f>SUM(O110:O145)</f>
        <v/>
      </c>
      <c r="U146" s="41">
        <f>IF(OR($A146="",T146&lt;MIN_OBS_ROLL),"",SUMPRODUCT(O110:O145,(P110:P145-SUMPRODUCT(O110:O145,P110:P145)/T146)^2)/(T146-1))</f>
        <v/>
      </c>
      <c r="V146" s="40">
        <f>IF(OR(S146="",U146=""),"",S146/U146)</f>
        <v/>
      </c>
      <c r="W146" s="40">
        <f>IF(AND(ISNUMBER(K146),ISNUMBER(L146),ISNUMBER(V146)),K146-V146*L146,"")</f>
        <v/>
      </c>
      <c r="X146" s="40">
        <f>IF(OR($A146="",NOT(ISNUMBER(Datos!H146)),NOT(ISNUMBER(Datos!H145))),"",LN(Datos!H146)-LN(Datos!H145))</f>
        <v/>
      </c>
      <c r="Y146" s="38">
        <f>IF(ISNUMBER(W146),1,0)</f>
        <v/>
      </c>
      <c r="Z146" s="40">
        <f>IF(Y146=1,W146,0)</f>
        <v/>
      </c>
      <c r="AA146" s="38">
        <f>IF(ISNUMBER(X146),1,0)</f>
        <v/>
      </c>
      <c r="AB146" s="40">
        <f>IF(AA146=1,X146,0)</f>
        <v/>
      </c>
      <c r="AC146" s="38">
        <f>Y146*AA146</f>
        <v/>
      </c>
      <c r="AD146" s="38">
        <f>SUM(AC110:AC145)</f>
        <v/>
      </c>
      <c r="AE146" s="41">
        <f>IF(OR($A146="",AD146&lt;MIN_OBS_ROLL),"",(SUMPRODUCT(AC110:AC145,Z110:Z145,AB110:AB145)/AD146-SUMPRODUCT(AC110:AC145,Z110:Z145)/AD146*SUMPRODUCT(AC110:AC145,AB110:AB145)/AD146)*AD146/(AD146-1))</f>
        <v/>
      </c>
      <c r="AF146" s="38">
        <f>SUM(AA110:AA145)</f>
        <v/>
      </c>
      <c r="AG146" s="41">
        <f>IF(OR($A146="",AF146&lt;MIN_OBS_ROLL),"",SUMPRODUCT(AA110:AA145,(AB110:AB145-SUMPRODUCT(AA110:AA145,AB110:AB145)/AF146)^2)/(AF146-1))</f>
        <v/>
      </c>
      <c r="AH146" s="38">
        <f>SUM(Y110:Y145)</f>
        <v/>
      </c>
      <c r="AI146" s="40">
        <f>IF(OR($A146="",AH146&lt;MIN_OBS_ROLL),"",SUMPRODUCT(Y110:Y145,Z110:Z145)/AH146)</f>
        <v/>
      </c>
      <c r="AJ146" s="40">
        <f>IF(OR($A146="",AF146&lt;MIN_OBS_ROLL),"",SUMPRODUCT(AA110:AA145,AB110:AB145)/AF146)</f>
        <v/>
      </c>
      <c r="AK146" s="40">
        <f>IF(OR(AE146="",AG146=""),"",AE146/AG146)</f>
        <v/>
      </c>
      <c r="AL146" s="40">
        <f>IF(OR(AI146="",AK146="",AJ146=""),"",AI146-AK146*AJ146)</f>
        <v/>
      </c>
      <c r="AM146" s="40">
        <f>IF(AND(ISNUMBER(W146),ISNUMBER(X146),ISNUMBER(AK146),ISNUMBER(AL146)),W146-(AL146+AK146*X146),"")</f>
        <v/>
      </c>
      <c r="AN146" s="38">
        <f>IF(ISNUMBER(AM146),1,0)</f>
        <v/>
      </c>
      <c r="AO146" s="40">
        <f>IF(AN146=1,AM146,0)</f>
        <v/>
      </c>
      <c r="AP146" s="40">
        <f>IF(SUM(AN144:AN146)=3,SUM(AO144:AO146),"")</f>
        <v/>
      </c>
      <c r="AQ146" s="38">
        <f>IF(ISNUMBER(AP146),1,0)</f>
        <v/>
      </c>
      <c r="AR146" s="40">
        <f>IF(AQ146=1,AP146,0)</f>
        <v/>
      </c>
      <c r="AS146" s="38">
        <f>SUM(AQ$5:AQ146)</f>
        <v/>
      </c>
      <c r="AT146" s="40">
        <f>IF(AS146&gt;=MIN_OBS_Z,SUMPRODUCT(AQ$5:AQ146,AR$5:AR146)/AS146,"")</f>
        <v/>
      </c>
      <c r="AU146" s="40">
        <f>IF(AS146&gt;=MIN_OBS_Z,SQRT(SUMPRODUCT(AQ$5:AQ146,(AR$5:AR146-AT146)^2)/(AS146-1)),"")</f>
        <v/>
      </c>
      <c r="AV146" s="40">
        <f>IF(AND(AQ146=1,ISNUMBER(AT146)),MAX(-Z_CLIP,MIN(Z_CLIP,(AR146-AT146)/AU146)),"")</f>
        <v/>
      </c>
      <c r="AW146" s="40">
        <f>IF(ISNUMBER(AV146),-AV146,"")</f>
        <v/>
      </c>
      <c r="AX146" s="40">
        <f>IF(ISNUMBER(AW146),1+AMPLITUD*TANH(AW146),"")</f>
        <v/>
      </c>
      <c r="AY146" s="40">
        <f>IF($A146="","",IF(COUNT(AX144:AX146)&gt;0,AVERAGE(AX144:AX146),""))</f>
        <v/>
      </c>
      <c r="AZ146" s="40">
        <f>IF(ISNUMBER(AY146),AY146-1,"")</f>
        <v/>
      </c>
      <c r="BA146" s="40">
        <f>IF(AND(ISNUMBER(AZ145),ISNUMBER(W146)),AZ145*W_BANCOS*W146,"")</f>
        <v/>
      </c>
      <c r="BB146" s="40">
        <f>IF(AND(ISNUMBER(AZ145),ISNUMBER(AZ144)),ABS(AZ145-AZ144)*W_BANCOS*COSTO,0)</f>
        <v/>
      </c>
      <c r="BC146" s="40">
        <f>IF(ISNUMBER(BA146),BA146-BB146,"")</f>
        <v/>
      </c>
      <c r="BD146" s="42">
        <f>IF(ISNUMBER(BC146),IF(A146&lt;=FECHA_ERA,"A","B"),"")</f>
        <v/>
      </c>
      <c r="BE146" s="40">
        <f>IF(BD146="A",BC146,"")</f>
        <v/>
      </c>
      <c r="BF146" s="40">
        <f>IF(BD146="B",BC146,"")</f>
        <v/>
      </c>
      <c r="BG146" s="38">
        <f>IF(AND(ISNUMBER(BC146),ISNUMBER(A146)),IF(A146&gt;=INICIO_VIVO,1,0),0)</f>
        <v/>
      </c>
      <c r="BH146" s="40">
        <f>IF(BG146=1,BC146,"")</f>
        <v/>
      </c>
      <c r="BI146" s="38">
        <f>IF(ISNUMBER(AY146),ROW(),0)</f>
        <v/>
      </c>
      <c r="BJ146" s="43">
        <f>IF(ISNUMBER(BC146),SUM(BC$5:BC146)*10000,NA())</f>
        <v/>
      </c>
      <c r="BK146" s="43">
        <f>IF(BG146=1,SUM(BH$5:BH146)*10000,NA())</f>
        <v/>
      </c>
      <c r="BL146" s="44">
        <f>IF(ISNUMBER(AY146),AY146,NA())</f>
        <v/>
      </c>
    </row>
    <row r="147">
      <c r="A147" s="36">
        <f>IF(Datos!A147="","",Datos!A147)</f>
        <v/>
      </c>
      <c r="B147" s="37">
        <f>IF(OR($A147="",NOT(ISNUMBER(Datos!B147)),NOT(ISNUMBER(Datos!B146))),"",Datos!B147/Datos!B146-1)</f>
        <v/>
      </c>
      <c r="C147" s="37">
        <f>IF(OR($A147="",NOT(ISNUMBER(Datos!C147)),NOT(ISNUMBER(Datos!C146))),"",Datos!C147/Datos!C146-1)</f>
        <v/>
      </c>
      <c r="D147" s="37">
        <f>IF(OR($A147="",NOT(ISNUMBER(Datos!D147)),NOT(ISNUMBER(Datos!D146))),"",Datos!D147/Datos!D146-1)</f>
        <v/>
      </c>
      <c r="E147" s="37">
        <f>IF(OR($A147="",NOT(ISNUMBER(Datos!E147)),NOT(ISNUMBER(Datos!E146))),"",Datos!E147/Datos!E146-1)</f>
        <v/>
      </c>
      <c r="F147" s="38">
        <f>IF($A147="","",COUNT(B147:E147))</f>
        <v/>
      </c>
      <c r="G147" s="37">
        <f>IF($A147="","",IF(F147&gt;=MIN_BANCOS,AVERAGE(B147:E147),""))</f>
        <v/>
      </c>
      <c r="H147" s="37">
        <f>IF(OR($A147="",NOT(ISNUMBER(Datos!F147)),NOT(ISNUMBER(Datos!F146))),"",Datos!F147/Datos!F146-1)</f>
        <v/>
      </c>
      <c r="I147" s="39">
        <f>IF($A147="","",IF(ISNUMBER(Datos!G147),Datos!G147,I146))</f>
        <v/>
      </c>
      <c r="J147" s="40">
        <f>IF($A147="","",IF(ISNUMBER(I146),LN(1+I146/100/12),0))</f>
        <v/>
      </c>
      <c r="K147" s="40">
        <f>IF(ISNUMBER(G147),LN(1+G147)-J147,"")</f>
        <v/>
      </c>
      <c r="L147" s="40">
        <f>IF(ISNUMBER(H147),LN(1+H147)-J147,"")</f>
        <v/>
      </c>
      <c r="M147" s="38">
        <f>IF(ISNUMBER(K147),1,0)</f>
        <v/>
      </c>
      <c r="N147" s="40">
        <f>IF(M147=1,K147,0)</f>
        <v/>
      </c>
      <c r="O147" s="38">
        <f>IF(ISNUMBER(L147),1,0)</f>
        <v/>
      </c>
      <c r="P147" s="40">
        <f>IF(O147=1,L147,0)</f>
        <v/>
      </c>
      <c r="Q147" s="38">
        <f>M147*O147</f>
        <v/>
      </c>
      <c r="R147" s="38">
        <f>SUM(Q111:Q146)</f>
        <v/>
      </c>
      <c r="S147" s="41">
        <f>IF(OR($A147="",R147&lt;MIN_OBS_ROLL),"",(SUMPRODUCT(Q111:Q146,N111:N146,P111:P146)/R147-SUMPRODUCT(Q111:Q146,N111:N146)/R147*SUMPRODUCT(Q111:Q146,P111:P146)/R147)*R147/(R147-1))</f>
        <v/>
      </c>
      <c r="T147" s="38">
        <f>SUM(O111:O146)</f>
        <v/>
      </c>
      <c r="U147" s="41">
        <f>IF(OR($A147="",T147&lt;MIN_OBS_ROLL),"",SUMPRODUCT(O111:O146,(P111:P146-SUMPRODUCT(O111:O146,P111:P146)/T147)^2)/(T147-1))</f>
        <v/>
      </c>
      <c r="V147" s="40">
        <f>IF(OR(S147="",U147=""),"",S147/U147)</f>
        <v/>
      </c>
      <c r="W147" s="40">
        <f>IF(AND(ISNUMBER(K147),ISNUMBER(L147),ISNUMBER(V147)),K147-V147*L147,"")</f>
        <v/>
      </c>
      <c r="X147" s="40">
        <f>IF(OR($A147="",NOT(ISNUMBER(Datos!H147)),NOT(ISNUMBER(Datos!H146))),"",LN(Datos!H147)-LN(Datos!H146))</f>
        <v/>
      </c>
      <c r="Y147" s="38">
        <f>IF(ISNUMBER(W147),1,0)</f>
        <v/>
      </c>
      <c r="Z147" s="40">
        <f>IF(Y147=1,W147,0)</f>
        <v/>
      </c>
      <c r="AA147" s="38">
        <f>IF(ISNUMBER(X147),1,0)</f>
        <v/>
      </c>
      <c r="AB147" s="40">
        <f>IF(AA147=1,X147,0)</f>
        <v/>
      </c>
      <c r="AC147" s="38">
        <f>Y147*AA147</f>
        <v/>
      </c>
      <c r="AD147" s="38">
        <f>SUM(AC111:AC146)</f>
        <v/>
      </c>
      <c r="AE147" s="41">
        <f>IF(OR($A147="",AD147&lt;MIN_OBS_ROLL),"",(SUMPRODUCT(AC111:AC146,Z111:Z146,AB111:AB146)/AD147-SUMPRODUCT(AC111:AC146,Z111:Z146)/AD147*SUMPRODUCT(AC111:AC146,AB111:AB146)/AD147)*AD147/(AD147-1))</f>
        <v/>
      </c>
      <c r="AF147" s="38">
        <f>SUM(AA111:AA146)</f>
        <v/>
      </c>
      <c r="AG147" s="41">
        <f>IF(OR($A147="",AF147&lt;MIN_OBS_ROLL),"",SUMPRODUCT(AA111:AA146,(AB111:AB146-SUMPRODUCT(AA111:AA146,AB111:AB146)/AF147)^2)/(AF147-1))</f>
        <v/>
      </c>
      <c r="AH147" s="38">
        <f>SUM(Y111:Y146)</f>
        <v/>
      </c>
      <c r="AI147" s="40">
        <f>IF(OR($A147="",AH147&lt;MIN_OBS_ROLL),"",SUMPRODUCT(Y111:Y146,Z111:Z146)/AH147)</f>
        <v/>
      </c>
      <c r="AJ147" s="40">
        <f>IF(OR($A147="",AF147&lt;MIN_OBS_ROLL),"",SUMPRODUCT(AA111:AA146,AB111:AB146)/AF147)</f>
        <v/>
      </c>
      <c r="AK147" s="40">
        <f>IF(OR(AE147="",AG147=""),"",AE147/AG147)</f>
        <v/>
      </c>
      <c r="AL147" s="40">
        <f>IF(OR(AI147="",AK147="",AJ147=""),"",AI147-AK147*AJ147)</f>
        <v/>
      </c>
      <c r="AM147" s="40">
        <f>IF(AND(ISNUMBER(W147),ISNUMBER(X147),ISNUMBER(AK147),ISNUMBER(AL147)),W147-(AL147+AK147*X147),"")</f>
        <v/>
      </c>
      <c r="AN147" s="38">
        <f>IF(ISNUMBER(AM147),1,0)</f>
        <v/>
      </c>
      <c r="AO147" s="40">
        <f>IF(AN147=1,AM147,0)</f>
        <v/>
      </c>
      <c r="AP147" s="40">
        <f>IF(SUM(AN145:AN147)=3,SUM(AO145:AO147),"")</f>
        <v/>
      </c>
      <c r="AQ147" s="38">
        <f>IF(ISNUMBER(AP147),1,0)</f>
        <v/>
      </c>
      <c r="AR147" s="40">
        <f>IF(AQ147=1,AP147,0)</f>
        <v/>
      </c>
      <c r="AS147" s="38">
        <f>SUM(AQ$5:AQ147)</f>
        <v/>
      </c>
      <c r="AT147" s="40">
        <f>IF(AS147&gt;=MIN_OBS_Z,SUMPRODUCT(AQ$5:AQ147,AR$5:AR147)/AS147,"")</f>
        <v/>
      </c>
      <c r="AU147" s="40">
        <f>IF(AS147&gt;=MIN_OBS_Z,SQRT(SUMPRODUCT(AQ$5:AQ147,(AR$5:AR147-AT147)^2)/(AS147-1)),"")</f>
        <v/>
      </c>
      <c r="AV147" s="40">
        <f>IF(AND(AQ147=1,ISNUMBER(AT147)),MAX(-Z_CLIP,MIN(Z_CLIP,(AR147-AT147)/AU147)),"")</f>
        <v/>
      </c>
      <c r="AW147" s="40">
        <f>IF(ISNUMBER(AV147),-AV147,"")</f>
        <v/>
      </c>
      <c r="AX147" s="40">
        <f>IF(ISNUMBER(AW147),1+AMPLITUD*TANH(AW147),"")</f>
        <v/>
      </c>
      <c r="AY147" s="40">
        <f>IF($A147="","",IF(COUNT(AX145:AX147)&gt;0,AVERAGE(AX145:AX147),""))</f>
        <v/>
      </c>
      <c r="AZ147" s="40">
        <f>IF(ISNUMBER(AY147),AY147-1,"")</f>
        <v/>
      </c>
      <c r="BA147" s="40">
        <f>IF(AND(ISNUMBER(AZ146),ISNUMBER(W147)),AZ146*W_BANCOS*W147,"")</f>
        <v/>
      </c>
      <c r="BB147" s="40">
        <f>IF(AND(ISNUMBER(AZ146),ISNUMBER(AZ145)),ABS(AZ146-AZ145)*W_BANCOS*COSTO,0)</f>
        <v/>
      </c>
      <c r="BC147" s="40">
        <f>IF(ISNUMBER(BA147),BA147-BB147,"")</f>
        <v/>
      </c>
      <c r="BD147" s="42">
        <f>IF(ISNUMBER(BC147),IF(A147&lt;=FECHA_ERA,"A","B"),"")</f>
        <v/>
      </c>
      <c r="BE147" s="40">
        <f>IF(BD147="A",BC147,"")</f>
        <v/>
      </c>
      <c r="BF147" s="40">
        <f>IF(BD147="B",BC147,"")</f>
        <v/>
      </c>
      <c r="BG147" s="38">
        <f>IF(AND(ISNUMBER(BC147),ISNUMBER(A147)),IF(A147&gt;=INICIO_VIVO,1,0),0)</f>
        <v/>
      </c>
      <c r="BH147" s="40">
        <f>IF(BG147=1,BC147,"")</f>
        <v/>
      </c>
      <c r="BI147" s="38">
        <f>IF(ISNUMBER(AY147),ROW(),0)</f>
        <v/>
      </c>
      <c r="BJ147" s="43">
        <f>IF(ISNUMBER(BC147),SUM(BC$5:BC147)*10000,NA())</f>
        <v/>
      </c>
      <c r="BK147" s="43">
        <f>IF(BG147=1,SUM(BH$5:BH147)*10000,NA())</f>
        <v/>
      </c>
      <c r="BL147" s="44">
        <f>IF(ISNUMBER(AY147),AY147,NA())</f>
        <v/>
      </c>
    </row>
    <row r="148">
      <c r="A148" s="36">
        <f>IF(Datos!A148="","",Datos!A148)</f>
        <v/>
      </c>
      <c r="B148" s="37">
        <f>IF(OR($A148="",NOT(ISNUMBER(Datos!B148)),NOT(ISNUMBER(Datos!B147))),"",Datos!B148/Datos!B147-1)</f>
        <v/>
      </c>
      <c r="C148" s="37">
        <f>IF(OR($A148="",NOT(ISNUMBER(Datos!C148)),NOT(ISNUMBER(Datos!C147))),"",Datos!C148/Datos!C147-1)</f>
        <v/>
      </c>
      <c r="D148" s="37">
        <f>IF(OR($A148="",NOT(ISNUMBER(Datos!D148)),NOT(ISNUMBER(Datos!D147))),"",Datos!D148/Datos!D147-1)</f>
        <v/>
      </c>
      <c r="E148" s="37">
        <f>IF(OR($A148="",NOT(ISNUMBER(Datos!E148)),NOT(ISNUMBER(Datos!E147))),"",Datos!E148/Datos!E147-1)</f>
        <v/>
      </c>
      <c r="F148" s="38">
        <f>IF($A148="","",COUNT(B148:E148))</f>
        <v/>
      </c>
      <c r="G148" s="37">
        <f>IF($A148="","",IF(F148&gt;=MIN_BANCOS,AVERAGE(B148:E148),""))</f>
        <v/>
      </c>
      <c r="H148" s="37">
        <f>IF(OR($A148="",NOT(ISNUMBER(Datos!F148)),NOT(ISNUMBER(Datos!F147))),"",Datos!F148/Datos!F147-1)</f>
        <v/>
      </c>
      <c r="I148" s="39">
        <f>IF($A148="","",IF(ISNUMBER(Datos!G148),Datos!G148,I147))</f>
        <v/>
      </c>
      <c r="J148" s="40">
        <f>IF($A148="","",IF(ISNUMBER(I147),LN(1+I147/100/12),0))</f>
        <v/>
      </c>
      <c r="K148" s="40">
        <f>IF(ISNUMBER(G148),LN(1+G148)-J148,"")</f>
        <v/>
      </c>
      <c r="L148" s="40">
        <f>IF(ISNUMBER(H148),LN(1+H148)-J148,"")</f>
        <v/>
      </c>
      <c r="M148" s="38">
        <f>IF(ISNUMBER(K148),1,0)</f>
        <v/>
      </c>
      <c r="N148" s="40">
        <f>IF(M148=1,K148,0)</f>
        <v/>
      </c>
      <c r="O148" s="38">
        <f>IF(ISNUMBER(L148),1,0)</f>
        <v/>
      </c>
      <c r="P148" s="40">
        <f>IF(O148=1,L148,0)</f>
        <v/>
      </c>
      <c r="Q148" s="38">
        <f>M148*O148</f>
        <v/>
      </c>
      <c r="R148" s="38">
        <f>SUM(Q112:Q147)</f>
        <v/>
      </c>
      <c r="S148" s="41">
        <f>IF(OR($A148="",R148&lt;MIN_OBS_ROLL),"",(SUMPRODUCT(Q112:Q147,N112:N147,P112:P147)/R148-SUMPRODUCT(Q112:Q147,N112:N147)/R148*SUMPRODUCT(Q112:Q147,P112:P147)/R148)*R148/(R148-1))</f>
        <v/>
      </c>
      <c r="T148" s="38">
        <f>SUM(O112:O147)</f>
        <v/>
      </c>
      <c r="U148" s="41">
        <f>IF(OR($A148="",T148&lt;MIN_OBS_ROLL),"",SUMPRODUCT(O112:O147,(P112:P147-SUMPRODUCT(O112:O147,P112:P147)/T148)^2)/(T148-1))</f>
        <v/>
      </c>
      <c r="V148" s="40">
        <f>IF(OR(S148="",U148=""),"",S148/U148)</f>
        <v/>
      </c>
      <c r="W148" s="40">
        <f>IF(AND(ISNUMBER(K148),ISNUMBER(L148),ISNUMBER(V148)),K148-V148*L148,"")</f>
        <v/>
      </c>
      <c r="X148" s="40">
        <f>IF(OR($A148="",NOT(ISNUMBER(Datos!H148)),NOT(ISNUMBER(Datos!H147))),"",LN(Datos!H148)-LN(Datos!H147))</f>
        <v/>
      </c>
      <c r="Y148" s="38">
        <f>IF(ISNUMBER(W148),1,0)</f>
        <v/>
      </c>
      <c r="Z148" s="40">
        <f>IF(Y148=1,W148,0)</f>
        <v/>
      </c>
      <c r="AA148" s="38">
        <f>IF(ISNUMBER(X148),1,0)</f>
        <v/>
      </c>
      <c r="AB148" s="40">
        <f>IF(AA148=1,X148,0)</f>
        <v/>
      </c>
      <c r="AC148" s="38">
        <f>Y148*AA148</f>
        <v/>
      </c>
      <c r="AD148" s="38">
        <f>SUM(AC112:AC147)</f>
        <v/>
      </c>
      <c r="AE148" s="41">
        <f>IF(OR($A148="",AD148&lt;MIN_OBS_ROLL),"",(SUMPRODUCT(AC112:AC147,Z112:Z147,AB112:AB147)/AD148-SUMPRODUCT(AC112:AC147,Z112:Z147)/AD148*SUMPRODUCT(AC112:AC147,AB112:AB147)/AD148)*AD148/(AD148-1))</f>
        <v/>
      </c>
      <c r="AF148" s="38">
        <f>SUM(AA112:AA147)</f>
        <v/>
      </c>
      <c r="AG148" s="41">
        <f>IF(OR($A148="",AF148&lt;MIN_OBS_ROLL),"",SUMPRODUCT(AA112:AA147,(AB112:AB147-SUMPRODUCT(AA112:AA147,AB112:AB147)/AF148)^2)/(AF148-1))</f>
        <v/>
      </c>
      <c r="AH148" s="38">
        <f>SUM(Y112:Y147)</f>
        <v/>
      </c>
      <c r="AI148" s="40">
        <f>IF(OR($A148="",AH148&lt;MIN_OBS_ROLL),"",SUMPRODUCT(Y112:Y147,Z112:Z147)/AH148)</f>
        <v/>
      </c>
      <c r="AJ148" s="40">
        <f>IF(OR($A148="",AF148&lt;MIN_OBS_ROLL),"",SUMPRODUCT(AA112:AA147,AB112:AB147)/AF148)</f>
        <v/>
      </c>
      <c r="AK148" s="40">
        <f>IF(OR(AE148="",AG148=""),"",AE148/AG148)</f>
        <v/>
      </c>
      <c r="AL148" s="40">
        <f>IF(OR(AI148="",AK148="",AJ148=""),"",AI148-AK148*AJ148)</f>
        <v/>
      </c>
      <c r="AM148" s="40">
        <f>IF(AND(ISNUMBER(W148),ISNUMBER(X148),ISNUMBER(AK148),ISNUMBER(AL148)),W148-(AL148+AK148*X148),"")</f>
        <v/>
      </c>
      <c r="AN148" s="38">
        <f>IF(ISNUMBER(AM148),1,0)</f>
        <v/>
      </c>
      <c r="AO148" s="40">
        <f>IF(AN148=1,AM148,0)</f>
        <v/>
      </c>
      <c r="AP148" s="40">
        <f>IF(SUM(AN146:AN148)=3,SUM(AO146:AO148),"")</f>
        <v/>
      </c>
      <c r="AQ148" s="38">
        <f>IF(ISNUMBER(AP148),1,0)</f>
        <v/>
      </c>
      <c r="AR148" s="40">
        <f>IF(AQ148=1,AP148,0)</f>
        <v/>
      </c>
      <c r="AS148" s="38">
        <f>SUM(AQ$5:AQ148)</f>
        <v/>
      </c>
      <c r="AT148" s="40">
        <f>IF(AS148&gt;=MIN_OBS_Z,SUMPRODUCT(AQ$5:AQ148,AR$5:AR148)/AS148,"")</f>
        <v/>
      </c>
      <c r="AU148" s="40">
        <f>IF(AS148&gt;=MIN_OBS_Z,SQRT(SUMPRODUCT(AQ$5:AQ148,(AR$5:AR148-AT148)^2)/(AS148-1)),"")</f>
        <v/>
      </c>
      <c r="AV148" s="40">
        <f>IF(AND(AQ148=1,ISNUMBER(AT148)),MAX(-Z_CLIP,MIN(Z_CLIP,(AR148-AT148)/AU148)),"")</f>
        <v/>
      </c>
      <c r="AW148" s="40">
        <f>IF(ISNUMBER(AV148),-AV148,"")</f>
        <v/>
      </c>
      <c r="AX148" s="40">
        <f>IF(ISNUMBER(AW148),1+AMPLITUD*TANH(AW148),"")</f>
        <v/>
      </c>
      <c r="AY148" s="40">
        <f>IF($A148="","",IF(COUNT(AX146:AX148)&gt;0,AVERAGE(AX146:AX148),""))</f>
        <v/>
      </c>
      <c r="AZ148" s="40">
        <f>IF(ISNUMBER(AY148),AY148-1,"")</f>
        <v/>
      </c>
      <c r="BA148" s="40">
        <f>IF(AND(ISNUMBER(AZ147),ISNUMBER(W148)),AZ147*W_BANCOS*W148,"")</f>
        <v/>
      </c>
      <c r="BB148" s="40">
        <f>IF(AND(ISNUMBER(AZ147),ISNUMBER(AZ146)),ABS(AZ147-AZ146)*W_BANCOS*COSTO,0)</f>
        <v/>
      </c>
      <c r="BC148" s="40">
        <f>IF(ISNUMBER(BA148),BA148-BB148,"")</f>
        <v/>
      </c>
      <c r="BD148" s="42">
        <f>IF(ISNUMBER(BC148),IF(A148&lt;=FECHA_ERA,"A","B"),"")</f>
        <v/>
      </c>
      <c r="BE148" s="40">
        <f>IF(BD148="A",BC148,"")</f>
        <v/>
      </c>
      <c r="BF148" s="40">
        <f>IF(BD148="B",BC148,"")</f>
        <v/>
      </c>
      <c r="BG148" s="38">
        <f>IF(AND(ISNUMBER(BC148),ISNUMBER(A148)),IF(A148&gt;=INICIO_VIVO,1,0),0)</f>
        <v/>
      </c>
      <c r="BH148" s="40">
        <f>IF(BG148=1,BC148,"")</f>
        <v/>
      </c>
      <c r="BI148" s="38">
        <f>IF(ISNUMBER(AY148),ROW(),0)</f>
        <v/>
      </c>
      <c r="BJ148" s="43">
        <f>IF(ISNUMBER(BC148),SUM(BC$5:BC148)*10000,NA())</f>
        <v/>
      </c>
      <c r="BK148" s="43">
        <f>IF(BG148=1,SUM(BH$5:BH148)*10000,NA())</f>
        <v/>
      </c>
      <c r="BL148" s="44">
        <f>IF(ISNUMBER(AY148),AY148,NA())</f>
        <v/>
      </c>
    </row>
    <row r="149">
      <c r="A149" s="36">
        <f>IF(Datos!A149="","",Datos!A149)</f>
        <v/>
      </c>
      <c r="B149" s="37">
        <f>IF(OR($A149="",NOT(ISNUMBER(Datos!B149)),NOT(ISNUMBER(Datos!B148))),"",Datos!B149/Datos!B148-1)</f>
        <v/>
      </c>
      <c r="C149" s="37">
        <f>IF(OR($A149="",NOT(ISNUMBER(Datos!C149)),NOT(ISNUMBER(Datos!C148))),"",Datos!C149/Datos!C148-1)</f>
        <v/>
      </c>
      <c r="D149" s="37">
        <f>IF(OR($A149="",NOT(ISNUMBER(Datos!D149)),NOT(ISNUMBER(Datos!D148))),"",Datos!D149/Datos!D148-1)</f>
        <v/>
      </c>
      <c r="E149" s="37">
        <f>IF(OR($A149="",NOT(ISNUMBER(Datos!E149)),NOT(ISNUMBER(Datos!E148))),"",Datos!E149/Datos!E148-1)</f>
        <v/>
      </c>
      <c r="F149" s="38">
        <f>IF($A149="","",COUNT(B149:E149))</f>
        <v/>
      </c>
      <c r="G149" s="37">
        <f>IF($A149="","",IF(F149&gt;=MIN_BANCOS,AVERAGE(B149:E149),""))</f>
        <v/>
      </c>
      <c r="H149" s="37">
        <f>IF(OR($A149="",NOT(ISNUMBER(Datos!F149)),NOT(ISNUMBER(Datos!F148))),"",Datos!F149/Datos!F148-1)</f>
        <v/>
      </c>
      <c r="I149" s="39">
        <f>IF($A149="","",IF(ISNUMBER(Datos!G149),Datos!G149,I148))</f>
        <v/>
      </c>
      <c r="J149" s="40">
        <f>IF($A149="","",IF(ISNUMBER(I148),LN(1+I148/100/12),0))</f>
        <v/>
      </c>
      <c r="K149" s="40">
        <f>IF(ISNUMBER(G149),LN(1+G149)-J149,"")</f>
        <v/>
      </c>
      <c r="L149" s="40">
        <f>IF(ISNUMBER(H149),LN(1+H149)-J149,"")</f>
        <v/>
      </c>
      <c r="M149" s="38">
        <f>IF(ISNUMBER(K149),1,0)</f>
        <v/>
      </c>
      <c r="N149" s="40">
        <f>IF(M149=1,K149,0)</f>
        <v/>
      </c>
      <c r="O149" s="38">
        <f>IF(ISNUMBER(L149),1,0)</f>
        <v/>
      </c>
      <c r="P149" s="40">
        <f>IF(O149=1,L149,0)</f>
        <v/>
      </c>
      <c r="Q149" s="38">
        <f>M149*O149</f>
        <v/>
      </c>
      <c r="R149" s="38">
        <f>SUM(Q113:Q148)</f>
        <v/>
      </c>
      <c r="S149" s="41">
        <f>IF(OR($A149="",R149&lt;MIN_OBS_ROLL),"",(SUMPRODUCT(Q113:Q148,N113:N148,P113:P148)/R149-SUMPRODUCT(Q113:Q148,N113:N148)/R149*SUMPRODUCT(Q113:Q148,P113:P148)/R149)*R149/(R149-1))</f>
        <v/>
      </c>
      <c r="T149" s="38">
        <f>SUM(O113:O148)</f>
        <v/>
      </c>
      <c r="U149" s="41">
        <f>IF(OR($A149="",T149&lt;MIN_OBS_ROLL),"",SUMPRODUCT(O113:O148,(P113:P148-SUMPRODUCT(O113:O148,P113:P148)/T149)^2)/(T149-1))</f>
        <v/>
      </c>
      <c r="V149" s="40">
        <f>IF(OR(S149="",U149=""),"",S149/U149)</f>
        <v/>
      </c>
      <c r="W149" s="40">
        <f>IF(AND(ISNUMBER(K149),ISNUMBER(L149),ISNUMBER(V149)),K149-V149*L149,"")</f>
        <v/>
      </c>
      <c r="X149" s="40">
        <f>IF(OR($A149="",NOT(ISNUMBER(Datos!H149)),NOT(ISNUMBER(Datos!H148))),"",LN(Datos!H149)-LN(Datos!H148))</f>
        <v/>
      </c>
      <c r="Y149" s="38">
        <f>IF(ISNUMBER(W149),1,0)</f>
        <v/>
      </c>
      <c r="Z149" s="40">
        <f>IF(Y149=1,W149,0)</f>
        <v/>
      </c>
      <c r="AA149" s="38">
        <f>IF(ISNUMBER(X149),1,0)</f>
        <v/>
      </c>
      <c r="AB149" s="40">
        <f>IF(AA149=1,X149,0)</f>
        <v/>
      </c>
      <c r="AC149" s="38">
        <f>Y149*AA149</f>
        <v/>
      </c>
      <c r="AD149" s="38">
        <f>SUM(AC113:AC148)</f>
        <v/>
      </c>
      <c r="AE149" s="41">
        <f>IF(OR($A149="",AD149&lt;MIN_OBS_ROLL),"",(SUMPRODUCT(AC113:AC148,Z113:Z148,AB113:AB148)/AD149-SUMPRODUCT(AC113:AC148,Z113:Z148)/AD149*SUMPRODUCT(AC113:AC148,AB113:AB148)/AD149)*AD149/(AD149-1))</f>
        <v/>
      </c>
      <c r="AF149" s="38">
        <f>SUM(AA113:AA148)</f>
        <v/>
      </c>
      <c r="AG149" s="41">
        <f>IF(OR($A149="",AF149&lt;MIN_OBS_ROLL),"",SUMPRODUCT(AA113:AA148,(AB113:AB148-SUMPRODUCT(AA113:AA148,AB113:AB148)/AF149)^2)/(AF149-1))</f>
        <v/>
      </c>
      <c r="AH149" s="38">
        <f>SUM(Y113:Y148)</f>
        <v/>
      </c>
      <c r="AI149" s="40">
        <f>IF(OR($A149="",AH149&lt;MIN_OBS_ROLL),"",SUMPRODUCT(Y113:Y148,Z113:Z148)/AH149)</f>
        <v/>
      </c>
      <c r="AJ149" s="40">
        <f>IF(OR($A149="",AF149&lt;MIN_OBS_ROLL),"",SUMPRODUCT(AA113:AA148,AB113:AB148)/AF149)</f>
        <v/>
      </c>
      <c r="AK149" s="40">
        <f>IF(OR(AE149="",AG149=""),"",AE149/AG149)</f>
        <v/>
      </c>
      <c r="AL149" s="40">
        <f>IF(OR(AI149="",AK149="",AJ149=""),"",AI149-AK149*AJ149)</f>
        <v/>
      </c>
      <c r="AM149" s="40">
        <f>IF(AND(ISNUMBER(W149),ISNUMBER(X149),ISNUMBER(AK149),ISNUMBER(AL149)),W149-(AL149+AK149*X149),"")</f>
        <v/>
      </c>
      <c r="AN149" s="38">
        <f>IF(ISNUMBER(AM149),1,0)</f>
        <v/>
      </c>
      <c r="AO149" s="40">
        <f>IF(AN149=1,AM149,0)</f>
        <v/>
      </c>
      <c r="AP149" s="40">
        <f>IF(SUM(AN147:AN149)=3,SUM(AO147:AO149),"")</f>
        <v/>
      </c>
      <c r="AQ149" s="38">
        <f>IF(ISNUMBER(AP149),1,0)</f>
        <v/>
      </c>
      <c r="AR149" s="40">
        <f>IF(AQ149=1,AP149,0)</f>
        <v/>
      </c>
      <c r="AS149" s="38">
        <f>SUM(AQ$5:AQ149)</f>
        <v/>
      </c>
      <c r="AT149" s="40">
        <f>IF(AS149&gt;=MIN_OBS_Z,SUMPRODUCT(AQ$5:AQ149,AR$5:AR149)/AS149,"")</f>
        <v/>
      </c>
      <c r="AU149" s="40">
        <f>IF(AS149&gt;=MIN_OBS_Z,SQRT(SUMPRODUCT(AQ$5:AQ149,(AR$5:AR149-AT149)^2)/(AS149-1)),"")</f>
        <v/>
      </c>
      <c r="AV149" s="40">
        <f>IF(AND(AQ149=1,ISNUMBER(AT149)),MAX(-Z_CLIP,MIN(Z_CLIP,(AR149-AT149)/AU149)),"")</f>
        <v/>
      </c>
      <c r="AW149" s="40">
        <f>IF(ISNUMBER(AV149),-AV149,"")</f>
        <v/>
      </c>
      <c r="AX149" s="40">
        <f>IF(ISNUMBER(AW149),1+AMPLITUD*TANH(AW149),"")</f>
        <v/>
      </c>
      <c r="AY149" s="40">
        <f>IF($A149="","",IF(COUNT(AX147:AX149)&gt;0,AVERAGE(AX147:AX149),""))</f>
        <v/>
      </c>
      <c r="AZ149" s="40">
        <f>IF(ISNUMBER(AY149),AY149-1,"")</f>
        <v/>
      </c>
      <c r="BA149" s="40">
        <f>IF(AND(ISNUMBER(AZ148),ISNUMBER(W149)),AZ148*W_BANCOS*W149,"")</f>
        <v/>
      </c>
      <c r="BB149" s="40">
        <f>IF(AND(ISNUMBER(AZ148),ISNUMBER(AZ147)),ABS(AZ148-AZ147)*W_BANCOS*COSTO,0)</f>
        <v/>
      </c>
      <c r="BC149" s="40">
        <f>IF(ISNUMBER(BA149),BA149-BB149,"")</f>
        <v/>
      </c>
      <c r="BD149" s="42">
        <f>IF(ISNUMBER(BC149),IF(A149&lt;=FECHA_ERA,"A","B"),"")</f>
        <v/>
      </c>
      <c r="BE149" s="40">
        <f>IF(BD149="A",BC149,"")</f>
        <v/>
      </c>
      <c r="BF149" s="40">
        <f>IF(BD149="B",BC149,"")</f>
        <v/>
      </c>
      <c r="BG149" s="38">
        <f>IF(AND(ISNUMBER(BC149),ISNUMBER(A149)),IF(A149&gt;=INICIO_VIVO,1,0),0)</f>
        <v/>
      </c>
      <c r="BH149" s="40">
        <f>IF(BG149=1,BC149,"")</f>
        <v/>
      </c>
      <c r="BI149" s="38">
        <f>IF(ISNUMBER(AY149),ROW(),0)</f>
        <v/>
      </c>
      <c r="BJ149" s="43">
        <f>IF(ISNUMBER(BC149),SUM(BC$5:BC149)*10000,NA())</f>
        <v/>
      </c>
      <c r="BK149" s="43">
        <f>IF(BG149=1,SUM(BH$5:BH149)*10000,NA())</f>
        <v/>
      </c>
      <c r="BL149" s="44">
        <f>IF(ISNUMBER(AY149),AY149,NA())</f>
        <v/>
      </c>
    </row>
    <row r="150">
      <c r="A150" s="36">
        <f>IF(Datos!A150="","",Datos!A150)</f>
        <v/>
      </c>
      <c r="B150" s="37">
        <f>IF(OR($A150="",NOT(ISNUMBER(Datos!B150)),NOT(ISNUMBER(Datos!B149))),"",Datos!B150/Datos!B149-1)</f>
        <v/>
      </c>
      <c r="C150" s="37">
        <f>IF(OR($A150="",NOT(ISNUMBER(Datos!C150)),NOT(ISNUMBER(Datos!C149))),"",Datos!C150/Datos!C149-1)</f>
        <v/>
      </c>
      <c r="D150" s="37">
        <f>IF(OR($A150="",NOT(ISNUMBER(Datos!D150)),NOT(ISNUMBER(Datos!D149))),"",Datos!D150/Datos!D149-1)</f>
        <v/>
      </c>
      <c r="E150" s="37">
        <f>IF(OR($A150="",NOT(ISNUMBER(Datos!E150)),NOT(ISNUMBER(Datos!E149))),"",Datos!E150/Datos!E149-1)</f>
        <v/>
      </c>
      <c r="F150" s="38">
        <f>IF($A150="","",COUNT(B150:E150))</f>
        <v/>
      </c>
      <c r="G150" s="37">
        <f>IF($A150="","",IF(F150&gt;=MIN_BANCOS,AVERAGE(B150:E150),""))</f>
        <v/>
      </c>
      <c r="H150" s="37">
        <f>IF(OR($A150="",NOT(ISNUMBER(Datos!F150)),NOT(ISNUMBER(Datos!F149))),"",Datos!F150/Datos!F149-1)</f>
        <v/>
      </c>
      <c r="I150" s="39">
        <f>IF($A150="","",IF(ISNUMBER(Datos!G150),Datos!G150,I149))</f>
        <v/>
      </c>
      <c r="J150" s="40">
        <f>IF($A150="","",IF(ISNUMBER(I149),LN(1+I149/100/12),0))</f>
        <v/>
      </c>
      <c r="K150" s="40">
        <f>IF(ISNUMBER(G150),LN(1+G150)-J150,"")</f>
        <v/>
      </c>
      <c r="L150" s="40">
        <f>IF(ISNUMBER(H150),LN(1+H150)-J150,"")</f>
        <v/>
      </c>
      <c r="M150" s="38">
        <f>IF(ISNUMBER(K150),1,0)</f>
        <v/>
      </c>
      <c r="N150" s="40">
        <f>IF(M150=1,K150,0)</f>
        <v/>
      </c>
      <c r="O150" s="38">
        <f>IF(ISNUMBER(L150),1,0)</f>
        <v/>
      </c>
      <c r="P150" s="40">
        <f>IF(O150=1,L150,0)</f>
        <v/>
      </c>
      <c r="Q150" s="38">
        <f>M150*O150</f>
        <v/>
      </c>
      <c r="R150" s="38">
        <f>SUM(Q114:Q149)</f>
        <v/>
      </c>
      <c r="S150" s="41">
        <f>IF(OR($A150="",R150&lt;MIN_OBS_ROLL),"",(SUMPRODUCT(Q114:Q149,N114:N149,P114:P149)/R150-SUMPRODUCT(Q114:Q149,N114:N149)/R150*SUMPRODUCT(Q114:Q149,P114:P149)/R150)*R150/(R150-1))</f>
        <v/>
      </c>
      <c r="T150" s="38">
        <f>SUM(O114:O149)</f>
        <v/>
      </c>
      <c r="U150" s="41">
        <f>IF(OR($A150="",T150&lt;MIN_OBS_ROLL),"",SUMPRODUCT(O114:O149,(P114:P149-SUMPRODUCT(O114:O149,P114:P149)/T150)^2)/(T150-1))</f>
        <v/>
      </c>
      <c r="V150" s="40">
        <f>IF(OR(S150="",U150=""),"",S150/U150)</f>
        <v/>
      </c>
      <c r="W150" s="40">
        <f>IF(AND(ISNUMBER(K150),ISNUMBER(L150),ISNUMBER(V150)),K150-V150*L150,"")</f>
        <v/>
      </c>
      <c r="X150" s="40">
        <f>IF(OR($A150="",NOT(ISNUMBER(Datos!H150)),NOT(ISNUMBER(Datos!H149))),"",LN(Datos!H150)-LN(Datos!H149))</f>
        <v/>
      </c>
      <c r="Y150" s="38">
        <f>IF(ISNUMBER(W150),1,0)</f>
        <v/>
      </c>
      <c r="Z150" s="40">
        <f>IF(Y150=1,W150,0)</f>
        <v/>
      </c>
      <c r="AA150" s="38">
        <f>IF(ISNUMBER(X150),1,0)</f>
        <v/>
      </c>
      <c r="AB150" s="40">
        <f>IF(AA150=1,X150,0)</f>
        <v/>
      </c>
      <c r="AC150" s="38">
        <f>Y150*AA150</f>
        <v/>
      </c>
      <c r="AD150" s="38">
        <f>SUM(AC114:AC149)</f>
        <v/>
      </c>
      <c r="AE150" s="41">
        <f>IF(OR($A150="",AD150&lt;MIN_OBS_ROLL),"",(SUMPRODUCT(AC114:AC149,Z114:Z149,AB114:AB149)/AD150-SUMPRODUCT(AC114:AC149,Z114:Z149)/AD150*SUMPRODUCT(AC114:AC149,AB114:AB149)/AD150)*AD150/(AD150-1))</f>
        <v/>
      </c>
      <c r="AF150" s="38">
        <f>SUM(AA114:AA149)</f>
        <v/>
      </c>
      <c r="AG150" s="41">
        <f>IF(OR($A150="",AF150&lt;MIN_OBS_ROLL),"",SUMPRODUCT(AA114:AA149,(AB114:AB149-SUMPRODUCT(AA114:AA149,AB114:AB149)/AF150)^2)/(AF150-1))</f>
        <v/>
      </c>
      <c r="AH150" s="38">
        <f>SUM(Y114:Y149)</f>
        <v/>
      </c>
      <c r="AI150" s="40">
        <f>IF(OR($A150="",AH150&lt;MIN_OBS_ROLL),"",SUMPRODUCT(Y114:Y149,Z114:Z149)/AH150)</f>
        <v/>
      </c>
      <c r="AJ150" s="40">
        <f>IF(OR($A150="",AF150&lt;MIN_OBS_ROLL),"",SUMPRODUCT(AA114:AA149,AB114:AB149)/AF150)</f>
        <v/>
      </c>
      <c r="AK150" s="40">
        <f>IF(OR(AE150="",AG150=""),"",AE150/AG150)</f>
        <v/>
      </c>
      <c r="AL150" s="40">
        <f>IF(OR(AI150="",AK150="",AJ150=""),"",AI150-AK150*AJ150)</f>
        <v/>
      </c>
      <c r="AM150" s="40">
        <f>IF(AND(ISNUMBER(W150),ISNUMBER(X150),ISNUMBER(AK150),ISNUMBER(AL150)),W150-(AL150+AK150*X150),"")</f>
        <v/>
      </c>
      <c r="AN150" s="38">
        <f>IF(ISNUMBER(AM150),1,0)</f>
        <v/>
      </c>
      <c r="AO150" s="40">
        <f>IF(AN150=1,AM150,0)</f>
        <v/>
      </c>
      <c r="AP150" s="40">
        <f>IF(SUM(AN148:AN150)=3,SUM(AO148:AO150),"")</f>
        <v/>
      </c>
      <c r="AQ150" s="38">
        <f>IF(ISNUMBER(AP150),1,0)</f>
        <v/>
      </c>
      <c r="AR150" s="40">
        <f>IF(AQ150=1,AP150,0)</f>
        <v/>
      </c>
      <c r="AS150" s="38">
        <f>SUM(AQ$5:AQ150)</f>
        <v/>
      </c>
      <c r="AT150" s="40">
        <f>IF(AS150&gt;=MIN_OBS_Z,SUMPRODUCT(AQ$5:AQ150,AR$5:AR150)/AS150,"")</f>
        <v/>
      </c>
      <c r="AU150" s="40">
        <f>IF(AS150&gt;=MIN_OBS_Z,SQRT(SUMPRODUCT(AQ$5:AQ150,(AR$5:AR150-AT150)^2)/(AS150-1)),"")</f>
        <v/>
      </c>
      <c r="AV150" s="40">
        <f>IF(AND(AQ150=1,ISNUMBER(AT150)),MAX(-Z_CLIP,MIN(Z_CLIP,(AR150-AT150)/AU150)),"")</f>
        <v/>
      </c>
      <c r="AW150" s="40">
        <f>IF(ISNUMBER(AV150),-AV150,"")</f>
        <v/>
      </c>
      <c r="AX150" s="40">
        <f>IF(ISNUMBER(AW150),1+AMPLITUD*TANH(AW150),"")</f>
        <v/>
      </c>
      <c r="AY150" s="40">
        <f>IF($A150="","",IF(COUNT(AX148:AX150)&gt;0,AVERAGE(AX148:AX150),""))</f>
        <v/>
      </c>
      <c r="AZ150" s="40">
        <f>IF(ISNUMBER(AY150),AY150-1,"")</f>
        <v/>
      </c>
      <c r="BA150" s="40">
        <f>IF(AND(ISNUMBER(AZ149),ISNUMBER(W150)),AZ149*W_BANCOS*W150,"")</f>
        <v/>
      </c>
      <c r="BB150" s="40">
        <f>IF(AND(ISNUMBER(AZ149),ISNUMBER(AZ148)),ABS(AZ149-AZ148)*W_BANCOS*COSTO,0)</f>
        <v/>
      </c>
      <c r="BC150" s="40">
        <f>IF(ISNUMBER(BA150),BA150-BB150,"")</f>
        <v/>
      </c>
      <c r="BD150" s="42">
        <f>IF(ISNUMBER(BC150),IF(A150&lt;=FECHA_ERA,"A","B"),"")</f>
        <v/>
      </c>
      <c r="BE150" s="40">
        <f>IF(BD150="A",BC150,"")</f>
        <v/>
      </c>
      <c r="BF150" s="40">
        <f>IF(BD150="B",BC150,"")</f>
        <v/>
      </c>
      <c r="BG150" s="38">
        <f>IF(AND(ISNUMBER(BC150),ISNUMBER(A150)),IF(A150&gt;=INICIO_VIVO,1,0),0)</f>
        <v/>
      </c>
      <c r="BH150" s="40">
        <f>IF(BG150=1,BC150,"")</f>
        <v/>
      </c>
      <c r="BI150" s="38">
        <f>IF(ISNUMBER(AY150),ROW(),0)</f>
        <v/>
      </c>
      <c r="BJ150" s="43">
        <f>IF(ISNUMBER(BC150),SUM(BC$5:BC150)*10000,NA())</f>
        <v/>
      </c>
      <c r="BK150" s="43">
        <f>IF(BG150=1,SUM(BH$5:BH150)*10000,NA())</f>
        <v/>
      </c>
      <c r="BL150" s="44">
        <f>IF(ISNUMBER(AY150),AY150,NA())</f>
        <v/>
      </c>
    </row>
    <row r="151">
      <c r="A151" s="36">
        <f>IF(Datos!A151="","",Datos!A151)</f>
        <v/>
      </c>
      <c r="B151" s="37">
        <f>IF(OR($A151="",NOT(ISNUMBER(Datos!B151)),NOT(ISNUMBER(Datos!B150))),"",Datos!B151/Datos!B150-1)</f>
        <v/>
      </c>
      <c r="C151" s="37">
        <f>IF(OR($A151="",NOT(ISNUMBER(Datos!C151)),NOT(ISNUMBER(Datos!C150))),"",Datos!C151/Datos!C150-1)</f>
        <v/>
      </c>
      <c r="D151" s="37">
        <f>IF(OR($A151="",NOT(ISNUMBER(Datos!D151)),NOT(ISNUMBER(Datos!D150))),"",Datos!D151/Datos!D150-1)</f>
        <v/>
      </c>
      <c r="E151" s="37">
        <f>IF(OR($A151="",NOT(ISNUMBER(Datos!E151)),NOT(ISNUMBER(Datos!E150))),"",Datos!E151/Datos!E150-1)</f>
        <v/>
      </c>
      <c r="F151" s="38">
        <f>IF($A151="","",COUNT(B151:E151))</f>
        <v/>
      </c>
      <c r="G151" s="37">
        <f>IF($A151="","",IF(F151&gt;=MIN_BANCOS,AVERAGE(B151:E151),""))</f>
        <v/>
      </c>
      <c r="H151" s="37">
        <f>IF(OR($A151="",NOT(ISNUMBER(Datos!F151)),NOT(ISNUMBER(Datos!F150))),"",Datos!F151/Datos!F150-1)</f>
        <v/>
      </c>
      <c r="I151" s="39">
        <f>IF($A151="","",IF(ISNUMBER(Datos!G151),Datos!G151,I150))</f>
        <v/>
      </c>
      <c r="J151" s="40">
        <f>IF($A151="","",IF(ISNUMBER(I150),LN(1+I150/100/12),0))</f>
        <v/>
      </c>
      <c r="K151" s="40">
        <f>IF(ISNUMBER(G151),LN(1+G151)-J151,"")</f>
        <v/>
      </c>
      <c r="L151" s="40">
        <f>IF(ISNUMBER(H151),LN(1+H151)-J151,"")</f>
        <v/>
      </c>
      <c r="M151" s="38">
        <f>IF(ISNUMBER(K151),1,0)</f>
        <v/>
      </c>
      <c r="N151" s="40">
        <f>IF(M151=1,K151,0)</f>
        <v/>
      </c>
      <c r="O151" s="38">
        <f>IF(ISNUMBER(L151),1,0)</f>
        <v/>
      </c>
      <c r="P151" s="40">
        <f>IF(O151=1,L151,0)</f>
        <v/>
      </c>
      <c r="Q151" s="38">
        <f>M151*O151</f>
        <v/>
      </c>
      <c r="R151" s="38">
        <f>SUM(Q115:Q150)</f>
        <v/>
      </c>
      <c r="S151" s="41">
        <f>IF(OR($A151="",R151&lt;MIN_OBS_ROLL),"",(SUMPRODUCT(Q115:Q150,N115:N150,P115:P150)/R151-SUMPRODUCT(Q115:Q150,N115:N150)/R151*SUMPRODUCT(Q115:Q150,P115:P150)/R151)*R151/(R151-1))</f>
        <v/>
      </c>
      <c r="T151" s="38">
        <f>SUM(O115:O150)</f>
        <v/>
      </c>
      <c r="U151" s="41">
        <f>IF(OR($A151="",T151&lt;MIN_OBS_ROLL),"",SUMPRODUCT(O115:O150,(P115:P150-SUMPRODUCT(O115:O150,P115:P150)/T151)^2)/(T151-1))</f>
        <v/>
      </c>
      <c r="V151" s="40">
        <f>IF(OR(S151="",U151=""),"",S151/U151)</f>
        <v/>
      </c>
      <c r="W151" s="40">
        <f>IF(AND(ISNUMBER(K151),ISNUMBER(L151),ISNUMBER(V151)),K151-V151*L151,"")</f>
        <v/>
      </c>
      <c r="X151" s="40">
        <f>IF(OR($A151="",NOT(ISNUMBER(Datos!H151)),NOT(ISNUMBER(Datos!H150))),"",LN(Datos!H151)-LN(Datos!H150))</f>
        <v/>
      </c>
      <c r="Y151" s="38">
        <f>IF(ISNUMBER(W151),1,0)</f>
        <v/>
      </c>
      <c r="Z151" s="40">
        <f>IF(Y151=1,W151,0)</f>
        <v/>
      </c>
      <c r="AA151" s="38">
        <f>IF(ISNUMBER(X151),1,0)</f>
        <v/>
      </c>
      <c r="AB151" s="40">
        <f>IF(AA151=1,X151,0)</f>
        <v/>
      </c>
      <c r="AC151" s="38">
        <f>Y151*AA151</f>
        <v/>
      </c>
      <c r="AD151" s="38">
        <f>SUM(AC115:AC150)</f>
        <v/>
      </c>
      <c r="AE151" s="41">
        <f>IF(OR($A151="",AD151&lt;MIN_OBS_ROLL),"",(SUMPRODUCT(AC115:AC150,Z115:Z150,AB115:AB150)/AD151-SUMPRODUCT(AC115:AC150,Z115:Z150)/AD151*SUMPRODUCT(AC115:AC150,AB115:AB150)/AD151)*AD151/(AD151-1))</f>
        <v/>
      </c>
      <c r="AF151" s="38">
        <f>SUM(AA115:AA150)</f>
        <v/>
      </c>
      <c r="AG151" s="41">
        <f>IF(OR($A151="",AF151&lt;MIN_OBS_ROLL),"",SUMPRODUCT(AA115:AA150,(AB115:AB150-SUMPRODUCT(AA115:AA150,AB115:AB150)/AF151)^2)/(AF151-1))</f>
        <v/>
      </c>
      <c r="AH151" s="38">
        <f>SUM(Y115:Y150)</f>
        <v/>
      </c>
      <c r="AI151" s="40">
        <f>IF(OR($A151="",AH151&lt;MIN_OBS_ROLL),"",SUMPRODUCT(Y115:Y150,Z115:Z150)/AH151)</f>
        <v/>
      </c>
      <c r="AJ151" s="40">
        <f>IF(OR($A151="",AF151&lt;MIN_OBS_ROLL),"",SUMPRODUCT(AA115:AA150,AB115:AB150)/AF151)</f>
        <v/>
      </c>
      <c r="AK151" s="40">
        <f>IF(OR(AE151="",AG151=""),"",AE151/AG151)</f>
        <v/>
      </c>
      <c r="AL151" s="40">
        <f>IF(OR(AI151="",AK151="",AJ151=""),"",AI151-AK151*AJ151)</f>
        <v/>
      </c>
      <c r="AM151" s="40">
        <f>IF(AND(ISNUMBER(W151),ISNUMBER(X151),ISNUMBER(AK151),ISNUMBER(AL151)),W151-(AL151+AK151*X151),"")</f>
        <v/>
      </c>
      <c r="AN151" s="38">
        <f>IF(ISNUMBER(AM151),1,0)</f>
        <v/>
      </c>
      <c r="AO151" s="40">
        <f>IF(AN151=1,AM151,0)</f>
        <v/>
      </c>
      <c r="AP151" s="40">
        <f>IF(SUM(AN149:AN151)=3,SUM(AO149:AO151),"")</f>
        <v/>
      </c>
      <c r="AQ151" s="38">
        <f>IF(ISNUMBER(AP151),1,0)</f>
        <v/>
      </c>
      <c r="AR151" s="40">
        <f>IF(AQ151=1,AP151,0)</f>
        <v/>
      </c>
      <c r="AS151" s="38">
        <f>SUM(AQ$5:AQ151)</f>
        <v/>
      </c>
      <c r="AT151" s="40">
        <f>IF(AS151&gt;=MIN_OBS_Z,SUMPRODUCT(AQ$5:AQ151,AR$5:AR151)/AS151,"")</f>
        <v/>
      </c>
      <c r="AU151" s="40">
        <f>IF(AS151&gt;=MIN_OBS_Z,SQRT(SUMPRODUCT(AQ$5:AQ151,(AR$5:AR151-AT151)^2)/(AS151-1)),"")</f>
        <v/>
      </c>
      <c r="AV151" s="40">
        <f>IF(AND(AQ151=1,ISNUMBER(AT151)),MAX(-Z_CLIP,MIN(Z_CLIP,(AR151-AT151)/AU151)),"")</f>
        <v/>
      </c>
      <c r="AW151" s="40">
        <f>IF(ISNUMBER(AV151),-AV151,"")</f>
        <v/>
      </c>
      <c r="AX151" s="40">
        <f>IF(ISNUMBER(AW151),1+AMPLITUD*TANH(AW151),"")</f>
        <v/>
      </c>
      <c r="AY151" s="40">
        <f>IF($A151="","",IF(COUNT(AX149:AX151)&gt;0,AVERAGE(AX149:AX151),""))</f>
        <v/>
      </c>
      <c r="AZ151" s="40">
        <f>IF(ISNUMBER(AY151),AY151-1,"")</f>
        <v/>
      </c>
      <c r="BA151" s="40">
        <f>IF(AND(ISNUMBER(AZ150),ISNUMBER(W151)),AZ150*W_BANCOS*W151,"")</f>
        <v/>
      </c>
      <c r="BB151" s="40">
        <f>IF(AND(ISNUMBER(AZ150),ISNUMBER(AZ149)),ABS(AZ150-AZ149)*W_BANCOS*COSTO,0)</f>
        <v/>
      </c>
      <c r="BC151" s="40">
        <f>IF(ISNUMBER(BA151),BA151-BB151,"")</f>
        <v/>
      </c>
      <c r="BD151" s="42">
        <f>IF(ISNUMBER(BC151),IF(A151&lt;=FECHA_ERA,"A","B"),"")</f>
        <v/>
      </c>
      <c r="BE151" s="40">
        <f>IF(BD151="A",BC151,"")</f>
        <v/>
      </c>
      <c r="BF151" s="40">
        <f>IF(BD151="B",BC151,"")</f>
        <v/>
      </c>
      <c r="BG151" s="38">
        <f>IF(AND(ISNUMBER(BC151),ISNUMBER(A151)),IF(A151&gt;=INICIO_VIVO,1,0),0)</f>
        <v/>
      </c>
      <c r="BH151" s="40">
        <f>IF(BG151=1,BC151,"")</f>
        <v/>
      </c>
      <c r="BI151" s="38">
        <f>IF(ISNUMBER(AY151),ROW(),0)</f>
        <v/>
      </c>
      <c r="BJ151" s="43">
        <f>IF(ISNUMBER(BC151),SUM(BC$5:BC151)*10000,NA())</f>
        <v/>
      </c>
      <c r="BK151" s="43">
        <f>IF(BG151=1,SUM(BH$5:BH151)*10000,NA())</f>
        <v/>
      </c>
      <c r="BL151" s="44">
        <f>IF(ISNUMBER(AY151),AY151,NA())</f>
        <v/>
      </c>
    </row>
    <row r="152">
      <c r="A152" s="36">
        <f>IF(Datos!A152="","",Datos!A152)</f>
        <v/>
      </c>
      <c r="B152" s="37">
        <f>IF(OR($A152="",NOT(ISNUMBER(Datos!B152)),NOT(ISNUMBER(Datos!B151))),"",Datos!B152/Datos!B151-1)</f>
        <v/>
      </c>
      <c r="C152" s="37">
        <f>IF(OR($A152="",NOT(ISNUMBER(Datos!C152)),NOT(ISNUMBER(Datos!C151))),"",Datos!C152/Datos!C151-1)</f>
        <v/>
      </c>
      <c r="D152" s="37">
        <f>IF(OR($A152="",NOT(ISNUMBER(Datos!D152)),NOT(ISNUMBER(Datos!D151))),"",Datos!D152/Datos!D151-1)</f>
        <v/>
      </c>
      <c r="E152" s="37">
        <f>IF(OR($A152="",NOT(ISNUMBER(Datos!E152)),NOT(ISNUMBER(Datos!E151))),"",Datos!E152/Datos!E151-1)</f>
        <v/>
      </c>
      <c r="F152" s="38">
        <f>IF($A152="","",COUNT(B152:E152))</f>
        <v/>
      </c>
      <c r="G152" s="37">
        <f>IF($A152="","",IF(F152&gt;=MIN_BANCOS,AVERAGE(B152:E152),""))</f>
        <v/>
      </c>
      <c r="H152" s="37">
        <f>IF(OR($A152="",NOT(ISNUMBER(Datos!F152)),NOT(ISNUMBER(Datos!F151))),"",Datos!F152/Datos!F151-1)</f>
        <v/>
      </c>
      <c r="I152" s="39">
        <f>IF($A152="","",IF(ISNUMBER(Datos!G152),Datos!G152,I151))</f>
        <v/>
      </c>
      <c r="J152" s="40">
        <f>IF($A152="","",IF(ISNUMBER(I151),LN(1+I151/100/12),0))</f>
        <v/>
      </c>
      <c r="K152" s="40">
        <f>IF(ISNUMBER(G152),LN(1+G152)-J152,"")</f>
        <v/>
      </c>
      <c r="L152" s="40">
        <f>IF(ISNUMBER(H152),LN(1+H152)-J152,"")</f>
        <v/>
      </c>
      <c r="M152" s="38">
        <f>IF(ISNUMBER(K152),1,0)</f>
        <v/>
      </c>
      <c r="N152" s="40">
        <f>IF(M152=1,K152,0)</f>
        <v/>
      </c>
      <c r="O152" s="38">
        <f>IF(ISNUMBER(L152),1,0)</f>
        <v/>
      </c>
      <c r="P152" s="40">
        <f>IF(O152=1,L152,0)</f>
        <v/>
      </c>
      <c r="Q152" s="38">
        <f>M152*O152</f>
        <v/>
      </c>
      <c r="R152" s="38">
        <f>SUM(Q116:Q151)</f>
        <v/>
      </c>
      <c r="S152" s="41">
        <f>IF(OR($A152="",R152&lt;MIN_OBS_ROLL),"",(SUMPRODUCT(Q116:Q151,N116:N151,P116:P151)/R152-SUMPRODUCT(Q116:Q151,N116:N151)/R152*SUMPRODUCT(Q116:Q151,P116:P151)/R152)*R152/(R152-1))</f>
        <v/>
      </c>
      <c r="T152" s="38">
        <f>SUM(O116:O151)</f>
        <v/>
      </c>
      <c r="U152" s="41">
        <f>IF(OR($A152="",T152&lt;MIN_OBS_ROLL),"",SUMPRODUCT(O116:O151,(P116:P151-SUMPRODUCT(O116:O151,P116:P151)/T152)^2)/(T152-1))</f>
        <v/>
      </c>
      <c r="V152" s="40">
        <f>IF(OR(S152="",U152=""),"",S152/U152)</f>
        <v/>
      </c>
      <c r="W152" s="40">
        <f>IF(AND(ISNUMBER(K152),ISNUMBER(L152),ISNUMBER(V152)),K152-V152*L152,"")</f>
        <v/>
      </c>
      <c r="X152" s="40">
        <f>IF(OR($A152="",NOT(ISNUMBER(Datos!H152)),NOT(ISNUMBER(Datos!H151))),"",LN(Datos!H152)-LN(Datos!H151))</f>
        <v/>
      </c>
      <c r="Y152" s="38">
        <f>IF(ISNUMBER(W152),1,0)</f>
        <v/>
      </c>
      <c r="Z152" s="40">
        <f>IF(Y152=1,W152,0)</f>
        <v/>
      </c>
      <c r="AA152" s="38">
        <f>IF(ISNUMBER(X152),1,0)</f>
        <v/>
      </c>
      <c r="AB152" s="40">
        <f>IF(AA152=1,X152,0)</f>
        <v/>
      </c>
      <c r="AC152" s="38">
        <f>Y152*AA152</f>
        <v/>
      </c>
      <c r="AD152" s="38">
        <f>SUM(AC116:AC151)</f>
        <v/>
      </c>
      <c r="AE152" s="41">
        <f>IF(OR($A152="",AD152&lt;MIN_OBS_ROLL),"",(SUMPRODUCT(AC116:AC151,Z116:Z151,AB116:AB151)/AD152-SUMPRODUCT(AC116:AC151,Z116:Z151)/AD152*SUMPRODUCT(AC116:AC151,AB116:AB151)/AD152)*AD152/(AD152-1))</f>
        <v/>
      </c>
      <c r="AF152" s="38">
        <f>SUM(AA116:AA151)</f>
        <v/>
      </c>
      <c r="AG152" s="41">
        <f>IF(OR($A152="",AF152&lt;MIN_OBS_ROLL),"",SUMPRODUCT(AA116:AA151,(AB116:AB151-SUMPRODUCT(AA116:AA151,AB116:AB151)/AF152)^2)/(AF152-1))</f>
        <v/>
      </c>
      <c r="AH152" s="38">
        <f>SUM(Y116:Y151)</f>
        <v/>
      </c>
      <c r="AI152" s="40">
        <f>IF(OR($A152="",AH152&lt;MIN_OBS_ROLL),"",SUMPRODUCT(Y116:Y151,Z116:Z151)/AH152)</f>
        <v/>
      </c>
      <c r="AJ152" s="40">
        <f>IF(OR($A152="",AF152&lt;MIN_OBS_ROLL),"",SUMPRODUCT(AA116:AA151,AB116:AB151)/AF152)</f>
        <v/>
      </c>
      <c r="AK152" s="40">
        <f>IF(OR(AE152="",AG152=""),"",AE152/AG152)</f>
        <v/>
      </c>
      <c r="AL152" s="40">
        <f>IF(OR(AI152="",AK152="",AJ152=""),"",AI152-AK152*AJ152)</f>
        <v/>
      </c>
      <c r="AM152" s="40">
        <f>IF(AND(ISNUMBER(W152),ISNUMBER(X152),ISNUMBER(AK152),ISNUMBER(AL152)),W152-(AL152+AK152*X152),"")</f>
        <v/>
      </c>
      <c r="AN152" s="38">
        <f>IF(ISNUMBER(AM152),1,0)</f>
        <v/>
      </c>
      <c r="AO152" s="40">
        <f>IF(AN152=1,AM152,0)</f>
        <v/>
      </c>
      <c r="AP152" s="40">
        <f>IF(SUM(AN150:AN152)=3,SUM(AO150:AO152),"")</f>
        <v/>
      </c>
      <c r="AQ152" s="38">
        <f>IF(ISNUMBER(AP152),1,0)</f>
        <v/>
      </c>
      <c r="AR152" s="40">
        <f>IF(AQ152=1,AP152,0)</f>
        <v/>
      </c>
      <c r="AS152" s="38">
        <f>SUM(AQ$5:AQ152)</f>
        <v/>
      </c>
      <c r="AT152" s="40">
        <f>IF(AS152&gt;=MIN_OBS_Z,SUMPRODUCT(AQ$5:AQ152,AR$5:AR152)/AS152,"")</f>
        <v/>
      </c>
      <c r="AU152" s="40">
        <f>IF(AS152&gt;=MIN_OBS_Z,SQRT(SUMPRODUCT(AQ$5:AQ152,(AR$5:AR152-AT152)^2)/(AS152-1)),"")</f>
        <v/>
      </c>
      <c r="AV152" s="40">
        <f>IF(AND(AQ152=1,ISNUMBER(AT152)),MAX(-Z_CLIP,MIN(Z_CLIP,(AR152-AT152)/AU152)),"")</f>
        <v/>
      </c>
      <c r="AW152" s="40">
        <f>IF(ISNUMBER(AV152),-AV152,"")</f>
        <v/>
      </c>
      <c r="AX152" s="40">
        <f>IF(ISNUMBER(AW152),1+AMPLITUD*TANH(AW152),"")</f>
        <v/>
      </c>
      <c r="AY152" s="40">
        <f>IF($A152="","",IF(COUNT(AX150:AX152)&gt;0,AVERAGE(AX150:AX152),""))</f>
        <v/>
      </c>
      <c r="AZ152" s="40">
        <f>IF(ISNUMBER(AY152),AY152-1,"")</f>
        <v/>
      </c>
      <c r="BA152" s="40">
        <f>IF(AND(ISNUMBER(AZ151),ISNUMBER(W152)),AZ151*W_BANCOS*W152,"")</f>
        <v/>
      </c>
      <c r="BB152" s="40">
        <f>IF(AND(ISNUMBER(AZ151),ISNUMBER(AZ150)),ABS(AZ151-AZ150)*W_BANCOS*COSTO,0)</f>
        <v/>
      </c>
      <c r="BC152" s="40">
        <f>IF(ISNUMBER(BA152),BA152-BB152,"")</f>
        <v/>
      </c>
      <c r="BD152" s="42">
        <f>IF(ISNUMBER(BC152),IF(A152&lt;=FECHA_ERA,"A","B"),"")</f>
        <v/>
      </c>
      <c r="BE152" s="40">
        <f>IF(BD152="A",BC152,"")</f>
        <v/>
      </c>
      <c r="BF152" s="40">
        <f>IF(BD152="B",BC152,"")</f>
        <v/>
      </c>
      <c r="BG152" s="38">
        <f>IF(AND(ISNUMBER(BC152),ISNUMBER(A152)),IF(A152&gt;=INICIO_VIVO,1,0),0)</f>
        <v/>
      </c>
      <c r="BH152" s="40">
        <f>IF(BG152=1,BC152,"")</f>
        <v/>
      </c>
      <c r="BI152" s="38">
        <f>IF(ISNUMBER(AY152),ROW(),0)</f>
        <v/>
      </c>
      <c r="BJ152" s="43">
        <f>IF(ISNUMBER(BC152),SUM(BC$5:BC152)*10000,NA())</f>
        <v/>
      </c>
      <c r="BK152" s="43">
        <f>IF(BG152=1,SUM(BH$5:BH152)*10000,NA())</f>
        <v/>
      </c>
      <c r="BL152" s="44">
        <f>IF(ISNUMBER(AY152),AY152,NA())</f>
        <v/>
      </c>
    </row>
    <row r="153">
      <c r="A153" s="36">
        <f>IF(Datos!A153="","",Datos!A153)</f>
        <v/>
      </c>
      <c r="B153" s="37">
        <f>IF(OR($A153="",NOT(ISNUMBER(Datos!B153)),NOT(ISNUMBER(Datos!B152))),"",Datos!B153/Datos!B152-1)</f>
        <v/>
      </c>
      <c r="C153" s="37">
        <f>IF(OR($A153="",NOT(ISNUMBER(Datos!C153)),NOT(ISNUMBER(Datos!C152))),"",Datos!C153/Datos!C152-1)</f>
        <v/>
      </c>
      <c r="D153" s="37">
        <f>IF(OR($A153="",NOT(ISNUMBER(Datos!D153)),NOT(ISNUMBER(Datos!D152))),"",Datos!D153/Datos!D152-1)</f>
        <v/>
      </c>
      <c r="E153" s="37">
        <f>IF(OR($A153="",NOT(ISNUMBER(Datos!E153)),NOT(ISNUMBER(Datos!E152))),"",Datos!E153/Datos!E152-1)</f>
        <v/>
      </c>
      <c r="F153" s="38">
        <f>IF($A153="","",COUNT(B153:E153))</f>
        <v/>
      </c>
      <c r="G153" s="37">
        <f>IF($A153="","",IF(F153&gt;=MIN_BANCOS,AVERAGE(B153:E153),""))</f>
        <v/>
      </c>
      <c r="H153" s="37">
        <f>IF(OR($A153="",NOT(ISNUMBER(Datos!F153)),NOT(ISNUMBER(Datos!F152))),"",Datos!F153/Datos!F152-1)</f>
        <v/>
      </c>
      <c r="I153" s="39">
        <f>IF($A153="","",IF(ISNUMBER(Datos!G153),Datos!G153,I152))</f>
        <v/>
      </c>
      <c r="J153" s="40">
        <f>IF($A153="","",IF(ISNUMBER(I152),LN(1+I152/100/12),0))</f>
        <v/>
      </c>
      <c r="K153" s="40">
        <f>IF(ISNUMBER(G153),LN(1+G153)-J153,"")</f>
        <v/>
      </c>
      <c r="L153" s="40">
        <f>IF(ISNUMBER(H153),LN(1+H153)-J153,"")</f>
        <v/>
      </c>
      <c r="M153" s="38">
        <f>IF(ISNUMBER(K153),1,0)</f>
        <v/>
      </c>
      <c r="N153" s="40">
        <f>IF(M153=1,K153,0)</f>
        <v/>
      </c>
      <c r="O153" s="38">
        <f>IF(ISNUMBER(L153),1,0)</f>
        <v/>
      </c>
      <c r="P153" s="40">
        <f>IF(O153=1,L153,0)</f>
        <v/>
      </c>
      <c r="Q153" s="38">
        <f>M153*O153</f>
        <v/>
      </c>
      <c r="R153" s="38">
        <f>SUM(Q117:Q152)</f>
        <v/>
      </c>
      <c r="S153" s="41">
        <f>IF(OR($A153="",R153&lt;MIN_OBS_ROLL),"",(SUMPRODUCT(Q117:Q152,N117:N152,P117:P152)/R153-SUMPRODUCT(Q117:Q152,N117:N152)/R153*SUMPRODUCT(Q117:Q152,P117:P152)/R153)*R153/(R153-1))</f>
        <v/>
      </c>
      <c r="T153" s="38">
        <f>SUM(O117:O152)</f>
        <v/>
      </c>
      <c r="U153" s="41">
        <f>IF(OR($A153="",T153&lt;MIN_OBS_ROLL),"",SUMPRODUCT(O117:O152,(P117:P152-SUMPRODUCT(O117:O152,P117:P152)/T153)^2)/(T153-1))</f>
        <v/>
      </c>
      <c r="V153" s="40">
        <f>IF(OR(S153="",U153=""),"",S153/U153)</f>
        <v/>
      </c>
      <c r="W153" s="40">
        <f>IF(AND(ISNUMBER(K153),ISNUMBER(L153),ISNUMBER(V153)),K153-V153*L153,"")</f>
        <v/>
      </c>
      <c r="X153" s="40">
        <f>IF(OR($A153="",NOT(ISNUMBER(Datos!H153)),NOT(ISNUMBER(Datos!H152))),"",LN(Datos!H153)-LN(Datos!H152))</f>
        <v/>
      </c>
      <c r="Y153" s="38">
        <f>IF(ISNUMBER(W153),1,0)</f>
        <v/>
      </c>
      <c r="Z153" s="40">
        <f>IF(Y153=1,W153,0)</f>
        <v/>
      </c>
      <c r="AA153" s="38">
        <f>IF(ISNUMBER(X153),1,0)</f>
        <v/>
      </c>
      <c r="AB153" s="40">
        <f>IF(AA153=1,X153,0)</f>
        <v/>
      </c>
      <c r="AC153" s="38">
        <f>Y153*AA153</f>
        <v/>
      </c>
      <c r="AD153" s="38">
        <f>SUM(AC117:AC152)</f>
        <v/>
      </c>
      <c r="AE153" s="41">
        <f>IF(OR($A153="",AD153&lt;MIN_OBS_ROLL),"",(SUMPRODUCT(AC117:AC152,Z117:Z152,AB117:AB152)/AD153-SUMPRODUCT(AC117:AC152,Z117:Z152)/AD153*SUMPRODUCT(AC117:AC152,AB117:AB152)/AD153)*AD153/(AD153-1))</f>
        <v/>
      </c>
      <c r="AF153" s="38">
        <f>SUM(AA117:AA152)</f>
        <v/>
      </c>
      <c r="AG153" s="41">
        <f>IF(OR($A153="",AF153&lt;MIN_OBS_ROLL),"",SUMPRODUCT(AA117:AA152,(AB117:AB152-SUMPRODUCT(AA117:AA152,AB117:AB152)/AF153)^2)/(AF153-1))</f>
        <v/>
      </c>
      <c r="AH153" s="38">
        <f>SUM(Y117:Y152)</f>
        <v/>
      </c>
      <c r="AI153" s="40">
        <f>IF(OR($A153="",AH153&lt;MIN_OBS_ROLL),"",SUMPRODUCT(Y117:Y152,Z117:Z152)/AH153)</f>
        <v/>
      </c>
      <c r="AJ153" s="40">
        <f>IF(OR($A153="",AF153&lt;MIN_OBS_ROLL),"",SUMPRODUCT(AA117:AA152,AB117:AB152)/AF153)</f>
        <v/>
      </c>
      <c r="AK153" s="40">
        <f>IF(OR(AE153="",AG153=""),"",AE153/AG153)</f>
        <v/>
      </c>
      <c r="AL153" s="40">
        <f>IF(OR(AI153="",AK153="",AJ153=""),"",AI153-AK153*AJ153)</f>
        <v/>
      </c>
      <c r="AM153" s="40">
        <f>IF(AND(ISNUMBER(W153),ISNUMBER(X153),ISNUMBER(AK153),ISNUMBER(AL153)),W153-(AL153+AK153*X153),"")</f>
        <v/>
      </c>
      <c r="AN153" s="38">
        <f>IF(ISNUMBER(AM153),1,0)</f>
        <v/>
      </c>
      <c r="AO153" s="40">
        <f>IF(AN153=1,AM153,0)</f>
        <v/>
      </c>
      <c r="AP153" s="40">
        <f>IF(SUM(AN151:AN153)=3,SUM(AO151:AO153),"")</f>
        <v/>
      </c>
      <c r="AQ153" s="38">
        <f>IF(ISNUMBER(AP153),1,0)</f>
        <v/>
      </c>
      <c r="AR153" s="40">
        <f>IF(AQ153=1,AP153,0)</f>
        <v/>
      </c>
      <c r="AS153" s="38">
        <f>SUM(AQ$5:AQ153)</f>
        <v/>
      </c>
      <c r="AT153" s="40">
        <f>IF(AS153&gt;=MIN_OBS_Z,SUMPRODUCT(AQ$5:AQ153,AR$5:AR153)/AS153,"")</f>
        <v/>
      </c>
      <c r="AU153" s="40">
        <f>IF(AS153&gt;=MIN_OBS_Z,SQRT(SUMPRODUCT(AQ$5:AQ153,(AR$5:AR153-AT153)^2)/(AS153-1)),"")</f>
        <v/>
      </c>
      <c r="AV153" s="40">
        <f>IF(AND(AQ153=1,ISNUMBER(AT153)),MAX(-Z_CLIP,MIN(Z_CLIP,(AR153-AT153)/AU153)),"")</f>
        <v/>
      </c>
      <c r="AW153" s="40">
        <f>IF(ISNUMBER(AV153),-AV153,"")</f>
        <v/>
      </c>
      <c r="AX153" s="40">
        <f>IF(ISNUMBER(AW153),1+AMPLITUD*TANH(AW153),"")</f>
        <v/>
      </c>
      <c r="AY153" s="40">
        <f>IF($A153="","",IF(COUNT(AX151:AX153)&gt;0,AVERAGE(AX151:AX153),""))</f>
        <v/>
      </c>
      <c r="AZ153" s="40">
        <f>IF(ISNUMBER(AY153),AY153-1,"")</f>
        <v/>
      </c>
      <c r="BA153" s="40">
        <f>IF(AND(ISNUMBER(AZ152),ISNUMBER(W153)),AZ152*W_BANCOS*W153,"")</f>
        <v/>
      </c>
      <c r="BB153" s="40">
        <f>IF(AND(ISNUMBER(AZ152),ISNUMBER(AZ151)),ABS(AZ152-AZ151)*W_BANCOS*COSTO,0)</f>
        <v/>
      </c>
      <c r="BC153" s="40">
        <f>IF(ISNUMBER(BA153),BA153-BB153,"")</f>
        <v/>
      </c>
      <c r="BD153" s="42">
        <f>IF(ISNUMBER(BC153),IF(A153&lt;=FECHA_ERA,"A","B"),"")</f>
        <v/>
      </c>
      <c r="BE153" s="40">
        <f>IF(BD153="A",BC153,"")</f>
        <v/>
      </c>
      <c r="BF153" s="40">
        <f>IF(BD153="B",BC153,"")</f>
        <v/>
      </c>
      <c r="BG153" s="38">
        <f>IF(AND(ISNUMBER(BC153),ISNUMBER(A153)),IF(A153&gt;=INICIO_VIVO,1,0),0)</f>
        <v/>
      </c>
      <c r="BH153" s="40">
        <f>IF(BG153=1,BC153,"")</f>
        <v/>
      </c>
      <c r="BI153" s="38">
        <f>IF(ISNUMBER(AY153),ROW(),0)</f>
        <v/>
      </c>
      <c r="BJ153" s="43">
        <f>IF(ISNUMBER(BC153),SUM(BC$5:BC153)*10000,NA())</f>
        <v/>
      </c>
      <c r="BK153" s="43">
        <f>IF(BG153=1,SUM(BH$5:BH153)*10000,NA())</f>
        <v/>
      </c>
      <c r="BL153" s="44">
        <f>IF(ISNUMBER(AY153),AY153,NA())</f>
        <v/>
      </c>
    </row>
    <row r="154">
      <c r="A154" s="36">
        <f>IF(Datos!A154="","",Datos!A154)</f>
        <v/>
      </c>
      <c r="B154" s="37">
        <f>IF(OR($A154="",NOT(ISNUMBER(Datos!B154)),NOT(ISNUMBER(Datos!B153))),"",Datos!B154/Datos!B153-1)</f>
        <v/>
      </c>
      <c r="C154" s="37">
        <f>IF(OR($A154="",NOT(ISNUMBER(Datos!C154)),NOT(ISNUMBER(Datos!C153))),"",Datos!C154/Datos!C153-1)</f>
        <v/>
      </c>
      <c r="D154" s="37">
        <f>IF(OR($A154="",NOT(ISNUMBER(Datos!D154)),NOT(ISNUMBER(Datos!D153))),"",Datos!D154/Datos!D153-1)</f>
        <v/>
      </c>
      <c r="E154" s="37">
        <f>IF(OR($A154="",NOT(ISNUMBER(Datos!E154)),NOT(ISNUMBER(Datos!E153))),"",Datos!E154/Datos!E153-1)</f>
        <v/>
      </c>
      <c r="F154" s="38">
        <f>IF($A154="","",COUNT(B154:E154))</f>
        <v/>
      </c>
      <c r="G154" s="37">
        <f>IF($A154="","",IF(F154&gt;=MIN_BANCOS,AVERAGE(B154:E154),""))</f>
        <v/>
      </c>
      <c r="H154" s="37">
        <f>IF(OR($A154="",NOT(ISNUMBER(Datos!F154)),NOT(ISNUMBER(Datos!F153))),"",Datos!F154/Datos!F153-1)</f>
        <v/>
      </c>
      <c r="I154" s="39">
        <f>IF($A154="","",IF(ISNUMBER(Datos!G154),Datos!G154,I153))</f>
        <v/>
      </c>
      <c r="J154" s="40">
        <f>IF($A154="","",IF(ISNUMBER(I153),LN(1+I153/100/12),0))</f>
        <v/>
      </c>
      <c r="K154" s="40">
        <f>IF(ISNUMBER(G154),LN(1+G154)-J154,"")</f>
        <v/>
      </c>
      <c r="L154" s="40">
        <f>IF(ISNUMBER(H154),LN(1+H154)-J154,"")</f>
        <v/>
      </c>
      <c r="M154" s="38">
        <f>IF(ISNUMBER(K154),1,0)</f>
        <v/>
      </c>
      <c r="N154" s="40">
        <f>IF(M154=1,K154,0)</f>
        <v/>
      </c>
      <c r="O154" s="38">
        <f>IF(ISNUMBER(L154),1,0)</f>
        <v/>
      </c>
      <c r="P154" s="40">
        <f>IF(O154=1,L154,0)</f>
        <v/>
      </c>
      <c r="Q154" s="38">
        <f>M154*O154</f>
        <v/>
      </c>
      <c r="R154" s="38">
        <f>SUM(Q118:Q153)</f>
        <v/>
      </c>
      <c r="S154" s="41">
        <f>IF(OR($A154="",R154&lt;MIN_OBS_ROLL),"",(SUMPRODUCT(Q118:Q153,N118:N153,P118:P153)/R154-SUMPRODUCT(Q118:Q153,N118:N153)/R154*SUMPRODUCT(Q118:Q153,P118:P153)/R154)*R154/(R154-1))</f>
        <v/>
      </c>
      <c r="T154" s="38">
        <f>SUM(O118:O153)</f>
        <v/>
      </c>
      <c r="U154" s="41">
        <f>IF(OR($A154="",T154&lt;MIN_OBS_ROLL),"",SUMPRODUCT(O118:O153,(P118:P153-SUMPRODUCT(O118:O153,P118:P153)/T154)^2)/(T154-1))</f>
        <v/>
      </c>
      <c r="V154" s="40">
        <f>IF(OR(S154="",U154=""),"",S154/U154)</f>
        <v/>
      </c>
      <c r="W154" s="40">
        <f>IF(AND(ISNUMBER(K154),ISNUMBER(L154),ISNUMBER(V154)),K154-V154*L154,"")</f>
        <v/>
      </c>
      <c r="X154" s="40">
        <f>IF(OR($A154="",NOT(ISNUMBER(Datos!H154)),NOT(ISNUMBER(Datos!H153))),"",LN(Datos!H154)-LN(Datos!H153))</f>
        <v/>
      </c>
      <c r="Y154" s="38">
        <f>IF(ISNUMBER(W154),1,0)</f>
        <v/>
      </c>
      <c r="Z154" s="40">
        <f>IF(Y154=1,W154,0)</f>
        <v/>
      </c>
      <c r="AA154" s="38">
        <f>IF(ISNUMBER(X154),1,0)</f>
        <v/>
      </c>
      <c r="AB154" s="40">
        <f>IF(AA154=1,X154,0)</f>
        <v/>
      </c>
      <c r="AC154" s="38">
        <f>Y154*AA154</f>
        <v/>
      </c>
      <c r="AD154" s="38">
        <f>SUM(AC118:AC153)</f>
        <v/>
      </c>
      <c r="AE154" s="41">
        <f>IF(OR($A154="",AD154&lt;MIN_OBS_ROLL),"",(SUMPRODUCT(AC118:AC153,Z118:Z153,AB118:AB153)/AD154-SUMPRODUCT(AC118:AC153,Z118:Z153)/AD154*SUMPRODUCT(AC118:AC153,AB118:AB153)/AD154)*AD154/(AD154-1))</f>
        <v/>
      </c>
      <c r="AF154" s="38">
        <f>SUM(AA118:AA153)</f>
        <v/>
      </c>
      <c r="AG154" s="41">
        <f>IF(OR($A154="",AF154&lt;MIN_OBS_ROLL),"",SUMPRODUCT(AA118:AA153,(AB118:AB153-SUMPRODUCT(AA118:AA153,AB118:AB153)/AF154)^2)/(AF154-1))</f>
        <v/>
      </c>
      <c r="AH154" s="38">
        <f>SUM(Y118:Y153)</f>
        <v/>
      </c>
      <c r="AI154" s="40">
        <f>IF(OR($A154="",AH154&lt;MIN_OBS_ROLL),"",SUMPRODUCT(Y118:Y153,Z118:Z153)/AH154)</f>
        <v/>
      </c>
      <c r="AJ154" s="40">
        <f>IF(OR($A154="",AF154&lt;MIN_OBS_ROLL),"",SUMPRODUCT(AA118:AA153,AB118:AB153)/AF154)</f>
        <v/>
      </c>
      <c r="AK154" s="40">
        <f>IF(OR(AE154="",AG154=""),"",AE154/AG154)</f>
        <v/>
      </c>
      <c r="AL154" s="40">
        <f>IF(OR(AI154="",AK154="",AJ154=""),"",AI154-AK154*AJ154)</f>
        <v/>
      </c>
      <c r="AM154" s="40">
        <f>IF(AND(ISNUMBER(W154),ISNUMBER(X154),ISNUMBER(AK154),ISNUMBER(AL154)),W154-(AL154+AK154*X154),"")</f>
        <v/>
      </c>
      <c r="AN154" s="38">
        <f>IF(ISNUMBER(AM154),1,0)</f>
        <v/>
      </c>
      <c r="AO154" s="40">
        <f>IF(AN154=1,AM154,0)</f>
        <v/>
      </c>
      <c r="AP154" s="40">
        <f>IF(SUM(AN152:AN154)=3,SUM(AO152:AO154),"")</f>
        <v/>
      </c>
      <c r="AQ154" s="38">
        <f>IF(ISNUMBER(AP154),1,0)</f>
        <v/>
      </c>
      <c r="AR154" s="40">
        <f>IF(AQ154=1,AP154,0)</f>
        <v/>
      </c>
      <c r="AS154" s="38">
        <f>SUM(AQ$5:AQ154)</f>
        <v/>
      </c>
      <c r="AT154" s="40">
        <f>IF(AS154&gt;=MIN_OBS_Z,SUMPRODUCT(AQ$5:AQ154,AR$5:AR154)/AS154,"")</f>
        <v/>
      </c>
      <c r="AU154" s="40">
        <f>IF(AS154&gt;=MIN_OBS_Z,SQRT(SUMPRODUCT(AQ$5:AQ154,(AR$5:AR154-AT154)^2)/(AS154-1)),"")</f>
        <v/>
      </c>
      <c r="AV154" s="40">
        <f>IF(AND(AQ154=1,ISNUMBER(AT154)),MAX(-Z_CLIP,MIN(Z_CLIP,(AR154-AT154)/AU154)),"")</f>
        <v/>
      </c>
      <c r="AW154" s="40">
        <f>IF(ISNUMBER(AV154),-AV154,"")</f>
        <v/>
      </c>
      <c r="AX154" s="40">
        <f>IF(ISNUMBER(AW154),1+AMPLITUD*TANH(AW154),"")</f>
        <v/>
      </c>
      <c r="AY154" s="40">
        <f>IF($A154="","",IF(COUNT(AX152:AX154)&gt;0,AVERAGE(AX152:AX154),""))</f>
        <v/>
      </c>
      <c r="AZ154" s="40">
        <f>IF(ISNUMBER(AY154),AY154-1,"")</f>
        <v/>
      </c>
      <c r="BA154" s="40">
        <f>IF(AND(ISNUMBER(AZ153),ISNUMBER(W154)),AZ153*W_BANCOS*W154,"")</f>
        <v/>
      </c>
      <c r="BB154" s="40">
        <f>IF(AND(ISNUMBER(AZ153),ISNUMBER(AZ152)),ABS(AZ153-AZ152)*W_BANCOS*COSTO,0)</f>
        <v/>
      </c>
      <c r="BC154" s="40">
        <f>IF(ISNUMBER(BA154),BA154-BB154,"")</f>
        <v/>
      </c>
      <c r="BD154" s="42">
        <f>IF(ISNUMBER(BC154),IF(A154&lt;=FECHA_ERA,"A","B"),"")</f>
        <v/>
      </c>
      <c r="BE154" s="40">
        <f>IF(BD154="A",BC154,"")</f>
        <v/>
      </c>
      <c r="BF154" s="40">
        <f>IF(BD154="B",BC154,"")</f>
        <v/>
      </c>
      <c r="BG154" s="38">
        <f>IF(AND(ISNUMBER(BC154),ISNUMBER(A154)),IF(A154&gt;=INICIO_VIVO,1,0),0)</f>
        <v/>
      </c>
      <c r="BH154" s="40">
        <f>IF(BG154=1,BC154,"")</f>
        <v/>
      </c>
      <c r="BI154" s="38">
        <f>IF(ISNUMBER(AY154),ROW(),0)</f>
        <v/>
      </c>
      <c r="BJ154" s="43">
        <f>IF(ISNUMBER(BC154),SUM(BC$5:BC154)*10000,NA())</f>
        <v/>
      </c>
      <c r="BK154" s="43">
        <f>IF(BG154=1,SUM(BH$5:BH154)*10000,NA())</f>
        <v/>
      </c>
      <c r="BL154" s="44">
        <f>IF(ISNUMBER(AY154),AY154,NA())</f>
        <v/>
      </c>
    </row>
    <row r="155">
      <c r="A155" s="36">
        <f>IF(Datos!A155="","",Datos!A155)</f>
        <v/>
      </c>
      <c r="B155" s="37">
        <f>IF(OR($A155="",NOT(ISNUMBER(Datos!B155)),NOT(ISNUMBER(Datos!B154))),"",Datos!B155/Datos!B154-1)</f>
        <v/>
      </c>
      <c r="C155" s="37">
        <f>IF(OR($A155="",NOT(ISNUMBER(Datos!C155)),NOT(ISNUMBER(Datos!C154))),"",Datos!C155/Datos!C154-1)</f>
        <v/>
      </c>
      <c r="D155" s="37">
        <f>IF(OR($A155="",NOT(ISNUMBER(Datos!D155)),NOT(ISNUMBER(Datos!D154))),"",Datos!D155/Datos!D154-1)</f>
        <v/>
      </c>
      <c r="E155" s="37">
        <f>IF(OR($A155="",NOT(ISNUMBER(Datos!E155)),NOT(ISNUMBER(Datos!E154))),"",Datos!E155/Datos!E154-1)</f>
        <v/>
      </c>
      <c r="F155" s="38">
        <f>IF($A155="","",COUNT(B155:E155))</f>
        <v/>
      </c>
      <c r="G155" s="37">
        <f>IF($A155="","",IF(F155&gt;=MIN_BANCOS,AVERAGE(B155:E155),""))</f>
        <v/>
      </c>
      <c r="H155" s="37">
        <f>IF(OR($A155="",NOT(ISNUMBER(Datos!F155)),NOT(ISNUMBER(Datos!F154))),"",Datos!F155/Datos!F154-1)</f>
        <v/>
      </c>
      <c r="I155" s="39">
        <f>IF($A155="","",IF(ISNUMBER(Datos!G155),Datos!G155,I154))</f>
        <v/>
      </c>
      <c r="J155" s="40">
        <f>IF($A155="","",IF(ISNUMBER(I154),LN(1+I154/100/12),0))</f>
        <v/>
      </c>
      <c r="K155" s="40">
        <f>IF(ISNUMBER(G155),LN(1+G155)-J155,"")</f>
        <v/>
      </c>
      <c r="L155" s="40">
        <f>IF(ISNUMBER(H155),LN(1+H155)-J155,"")</f>
        <v/>
      </c>
      <c r="M155" s="38">
        <f>IF(ISNUMBER(K155),1,0)</f>
        <v/>
      </c>
      <c r="N155" s="40">
        <f>IF(M155=1,K155,0)</f>
        <v/>
      </c>
      <c r="O155" s="38">
        <f>IF(ISNUMBER(L155),1,0)</f>
        <v/>
      </c>
      <c r="P155" s="40">
        <f>IF(O155=1,L155,0)</f>
        <v/>
      </c>
      <c r="Q155" s="38">
        <f>M155*O155</f>
        <v/>
      </c>
      <c r="R155" s="38">
        <f>SUM(Q119:Q154)</f>
        <v/>
      </c>
      <c r="S155" s="41">
        <f>IF(OR($A155="",R155&lt;MIN_OBS_ROLL),"",(SUMPRODUCT(Q119:Q154,N119:N154,P119:P154)/R155-SUMPRODUCT(Q119:Q154,N119:N154)/R155*SUMPRODUCT(Q119:Q154,P119:P154)/R155)*R155/(R155-1))</f>
        <v/>
      </c>
      <c r="T155" s="38">
        <f>SUM(O119:O154)</f>
        <v/>
      </c>
      <c r="U155" s="41">
        <f>IF(OR($A155="",T155&lt;MIN_OBS_ROLL),"",SUMPRODUCT(O119:O154,(P119:P154-SUMPRODUCT(O119:O154,P119:P154)/T155)^2)/(T155-1))</f>
        <v/>
      </c>
      <c r="V155" s="40">
        <f>IF(OR(S155="",U155=""),"",S155/U155)</f>
        <v/>
      </c>
      <c r="W155" s="40">
        <f>IF(AND(ISNUMBER(K155),ISNUMBER(L155),ISNUMBER(V155)),K155-V155*L155,"")</f>
        <v/>
      </c>
      <c r="X155" s="40">
        <f>IF(OR($A155="",NOT(ISNUMBER(Datos!H155)),NOT(ISNUMBER(Datos!H154))),"",LN(Datos!H155)-LN(Datos!H154))</f>
        <v/>
      </c>
      <c r="Y155" s="38">
        <f>IF(ISNUMBER(W155),1,0)</f>
        <v/>
      </c>
      <c r="Z155" s="40">
        <f>IF(Y155=1,W155,0)</f>
        <v/>
      </c>
      <c r="AA155" s="38">
        <f>IF(ISNUMBER(X155),1,0)</f>
        <v/>
      </c>
      <c r="AB155" s="40">
        <f>IF(AA155=1,X155,0)</f>
        <v/>
      </c>
      <c r="AC155" s="38">
        <f>Y155*AA155</f>
        <v/>
      </c>
      <c r="AD155" s="38">
        <f>SUM(AC119:AC154)</f>
        <v/>
      </c>
      <c r="AE155" s="41">
        <f>IF(OR($A155="",AD155&lt;MIN_OBS_ROLL),"",(SUMPRODUCT(AC119:AC154,Z119:Z154,AB119:AB154)/AD155-SUMPRODUCT(AC119:AC154,Z119:Z154)/AD155*SUMPRODUCT(AC119:AC154,AB119:AB154)/AD155)*AD155/(AD155-1))</f>
        <v/>
      </c>
      <c r="AF155" s="38">
        <f>SUM(AA119:AA154)</f>
        <v/>
      </c>
      <c r="AG155" s="41">
        <f>IF(OR($A155="",AF155&lt;MIN_OBS_ROLL),"",SUMPRODUCT(AA119:AA154,(AB119:AB154-SUMPRODUCT(AA119:AA154,AB119:AB154)/AF155)^2)/(AF155-1))</f>
        <v/>
      </c>
      <c r="AH155" s="38">
        <f>SUM(Y119:Y154)</f>
        <v/>
      </c>
      <c r="AI155" s="40">
        <f>IF(OR($A155="",AH155&lt;MIN_OBS_ROLL),"",SUMPRODUCT(Y119:Y154,Z119:Z154)/AH155)</f>
        <v/>
      </c>
      <c r="AJ155" s="40">
        <f>IF(OR($A155="",AF155&lt;MIN_OBS_ROLL),"",SUMPRODUCT(AA119:AA154,AB119:AB154)/AF155)</f>
        <v/>
      </c>
      <c r="AK155" s="40">
        <f>IF(OR(AE155="",AG155=""),"",AE155/AG155)</f>
        <v/>
      </c>
      <c r="AL155" s="40">
        <f>IF(OR(AI155="",AK155="",AJ155=""),"",AI155-AK155*AJ155)</f>
        <v/>
      </c>
      <c r="AM155" s="40">
        <f>IF(AND(ISNUMBER(W155),ISNUMBER(X155),ISNUMBER(AK155),ISNUMBER(AL155)),W155-(AL155+AK155*X155),"")</f>
        <v/>
      </c>
      <c r="AN155" s="38">
        <f>IF(ISNUMBER(AM155),1,0)</f>
        <v/>
      </c>
      <c r="AO155" s="40">
        <f>IF(AN155=1,AM155,0)</f>
        <v/>
      </c>
      <c r="AP155" s="40">
        <f>IF(SUM(AN153:AN155)=3,SUM(AO153:AO155),"")</f>
        <v/>
      </c>
      <c r="AQ155" s="38">
        <f>IF(ISNUMBER(AP155),1,0)</f>
        <v/>
      </c>
      <c r="AR155" s="40">
        <f>IF(AQ155=1,AP155,0)</f>
        <v/>
      </c>
      <c r="AS155" s="38">
        <f>SUM(AQ$5:AQ155)</f>
        <v/>
      </c>
      <c r="AT155" s="40">
        <f>IF(AS155&gt;=MIN_OBS_Z,SUMPRODUCT(AQ$5:AQ155,AR$5:AR155)/AS155,"")</f>
        <v/>
      </c>
      <c r="AU155" s="40">
        <f>IF(AS155&gt;=MIN_OBS_Z,SQRT(SUMPRODUCT(AQ$5:AQ155,(AR$5:AR155-AT155)^2)/(AS155-1)),"")</f>
        <v/>
      </c>
      <c r="AV155" s="40">
        <f>IF(AND(AQ155=1,ISNUMBER(AT155)),MAX(-Z_CLIP,MIN(Z_CLIP,(AR155-AT155)/AU155)),"")</f>
        <v/>
      </c>
      <c r="AW155" s="40">
        <f>IF(ISNUMBER(AV155),-AV155,"")</f>
        <v/>
      </c>
      <c r="AX155" s="40">
        <f>IF(ISNUMBER(AW155),1+AMPLITUD*TANH(AW155),"")</f>
        <v/>
      </c>
      <c r="AY155" s="40">
        <f>IF($A155="","",IF(COUNT(AX153:AX155)&gt;0,AVERAGE(AX153:AX155),""))</f>
        <v/>
      </c>
      <c r="AZ155" s="40">
        <f>IF(ISNUMBER(AY155),AY155-1,"")</f>
        <v/>
      </c>
      <c r="BA155" s="40">
        <f>IF(AND(ISNUMBER(AZ154),ISNUMBER(W155)),AZ154*W_BANCOS*W155,"")</f>
        <v/>
      </c>
      <c r="BB155" s="40">
        <f>IF(AND(ISNUMBER(AZ154),ISNUMBER(AZ153)),ABS(AZ154-AZ153)*W_BANCOS*COSTO,0)</f>
        <v/>
      </c>
      <c r="BC155" s="40">
        <f>IF(ISNUMBER(BA155),BA155-BB155,"")</f>
        <v/>
      </c>
      <c r="BD155" s="42">
        <f>IF(ISNUMBER(BC155),IF(A155&lt;=FECHA_ERA,"A","B"),"")</f>
        <v/>
      </c>
      <c r="BE155" s="40">
        <f>IF(BD155="A",BC155,"")</f>
        <v/>
      </c>
      <c r="BF155" s="40">
        <f>IF(BD155="B",BC155,"")</f>
        <v/>
      </c>
      <c r="BG155" s="38">
        <f>IF(AND(ISNUMBER(BC155),ISNUMBER(A155)),IF(A155&gt;=INICIO_VIVO,1,0),0)</f>
        <v/>
      </c>
      <c r="BH155" s="40">
        <f>IF(BG155=1,BC155,"")</f>
        <v/>
      </c>
      <c r="BI155" s="38">
        <f>IF(ISNUMBER(AY155),ROW(),0)</f>
        <v/>
      </c>
      <c r="BJ155" s="43">
        <f>IF(ISNUMBER(BC155),SUM(BC$5:BC155)*10000,NA())</f>
        <v/>
      </c>
      <c r="BK155" s="43">
        <f>IF(BG155=1,SUM(BH$5:BH155)*10000,NA())</f>
        <v/>
      </c>
      <c r="BL155" s="44">
        <f>IF(ISNUMBER(AY155),AY155,NA())</f>
        <v/>
      </c>
    </row>
    <row r="156">
      <c r="A156" s="36">
        <f>IF(Datos!A156="","",Datos!A156)</f>
        <v/>
      </c>
      <c r="B156" s="37">
        <f>IF(OR($A156="",NOT(ISNUMBER(Datos!B156)),NOT(ISNUMBER(Datos!B155))),"",Datos!B156/Datos!B155-1)</f>
        <v/>
      </c>
      <c r="C156" s="37">
        <f>IF(OR($A156="",NOT(ISNUMBER(Datos!C156)),NOT(ISNUMBER(Datos!C155))),"",Datos!C156/Datos!C155-1)</f>
        <v/>
      </c>
      <c r="D156" s="37">
        <f>IF(OR($A156="",NOT(ISNUMBER(Datos!D156)),NOT(ISNUMBER(Datos!D155))),"",Datos!D156/Datos!D155-1)</f>
        <v/>
      </c>
      <c r="E156" s="37">
        <f>IF(OR($A156="",NOT(ISNUMBER(Datos!E156)),NOT(ISNUMBER(Datos!E155))),"",Datos!E156/Datos!E155-1)</f>
        <v/>
      </c>
      <c r="F156" s="38">
        <f>IF($A156="","",COUNT(B156:E156))</f>
        <v/>
      </c>
      <c r="G156" s="37">
        <f>IF($A156="","",IF(F156&gt;=MIN_BANCOS,AVERAGE(B156:E156),""))</f>
        <v/>
      </c>
      <c r="H156" s="37">
        <f>IF(OR($A156="",NOT(ISNUMBER(Datos!F156)),NOT(ISNUMBER(Datos!F155))),"",Datos!F156/Datos!F155-1)</f>
        <v/>
      </c>
      <c r="I156" s="39">
        <f>IF($A156="","",IF(ISNUMBER(Datos!G156),Datos!G156,I155))</f>
        <v/>
      </c>
      <c r="J156" s="40">
        <f>IF($A156="","",IF(ISNUMBER(I155),LN(1+I155/100/12),0))</f>
        <v/>
      </c>
      <c r="K156" s="40">
        <f>IF(ISNUMBER(G156),LN(1+G156)-J156,"")</f>
        <v/>
      </c>
      <c r="L156" s="40">
        <f>IF(ISNUMBER(H156),LN(1+H156)-J156,"")</f>
        <v/>
      </c>
      <c r="M156" s="38">
        <f>IF(ISNUMBER(K156),1,0)</f>
        <v/>
      </c>
      <c r="N156" s="40">
        <f>IF(M156=1,K156,0)</f>
        <v/>
      </c>
      <c r="O156" s="38">
        <f>IF(ISNUMBER(L156),1,0)</f>
        <v/>
      </c>
      <c r="P156" s="40">
        <f>IF(O156=1,L156,0)</f>
        <v/>
      </c>
      <c r="Q156" s="38">
        <f>M156*O156</f>
        <v/>
      </c>
      <c r="R156" s="38">
        <f>SUM(Q120:Q155)</f>
        <v/>
      </c>
      <c r="S156" s="41">
        <f>IF(OR($A156="",R156&lt;MIN_OBS_ROLL),"",(SUMPRODUCT(Q120:Q155,N120:N155,P120:P155)/R156-SUMPRODUCT(Q120:Q155,N120:N155)/R156*SUMPRODUCT(Q120:Q155,P120:P155)/R156)*R156/(R156-1))</f>
        <v/>
      </c>
      <c r="T156" s="38">
        <f>SUM(O120:O155)</f>
        <v/>
      </c>
      <c r="U156" s="41">
        <f>IF(OR($A156="",T156&lt;MIN_OBS_ROLL),"",SUMPRODUCT(O120:O155,(P120:P155-SUMPRODUCT(O120:O155,P120:P155)/T156)^2)/(T156-1))</f>
        <v/>
      </c>
      <c r="V156" s="40">
        <f>IF(OR(S156="",U156=""),"",S156/U156)</f>
        <v/>
      </c>
      <c r="W156" s="40">
        <f>IF(AND(ISNUMBER(K156),ISNUMBER(L156),ISNUMBER(V156)),K156-V156*L156,"")</f>
        <v/>
      </c>
      <c r="X156" s="40">
        <f>IF(OR($A156="",NOT(ISNUMBER(Datos!H156)),NOT(ISNUMBER(Datos!H155))),"",LN(Datos!H156)-LN(Datos!H155))</f>
        <v/>
      </c>
      <c r="Y156" s="38">
        <f>IF(ISNUMBER(W156),1,0)</f>
        <v/>
      </c>
      <c r="Z156" s="40">
        <f>IF(Y156=1,W156,0)</f>
        <v/>
      </c>
      <c r="AA156" s="38">
        <f>IF(ISNUMBER(X156),1,0)</f>
        <v/>
      </c>
      <c r="AB156" s="40">
        <f>IF(AA156=1,X156,0)</f>
        <v/>
      </c>
      <c r="AC156" s="38">
        <f>Y156*AA156</f>
        <v/>
      </c>
      <c r="AD156" s="38">
        <f>SUM(AC120:AC155)</f>
        <v/>
      </c>
      <c r="AE156" s="41">
        <f>IF(OR($A156="",AD156&lt;MIN_OBS_ROLL),"",(SUMPRODUCT(AC120:AC155,Z120:Z155,AB120:AB155)/AD156-SUMPRODUCT(AC120:AC155,Z120:Z155)/AD156*SUMPRODUCT(AC120:AC155,AB120:AB155)/AD156)*AD156/(AD156-1))</f>
        <v/>
      </c>
      <c r="AF156" s="38">
        <f>SUM(AA120:AA155)</f>
        <v/>
      </c>
      <c r="AG156" s="41">
        <f>IF(OR($A156="",AF156&lt;MIN_OBS_ROLL),"",SUMPRODUCT(AA120:AA155,(AB120:AB155-SUMPRODUCT(AA120:AA155,AB120:AB155)/AF156)^2)/(AF156-1))</f>
        <v/>
      </c>
      <c r="AH156" s="38">
        <f>SUM(Y120:Y155)</f>
        <v/>
      </c>
      <c r="AI156" s="40">
        <f>IF(OR($A156="",AH156&lt;MIN_OBS_ROLL),"",SUMPRODUCT(Y120:Y155,Z120:Z155)/AH156)</f>
        <v/>
      </c>
      <c r="AJ156" s="40">
        <f>IF(OR($A156="",AF156&lt;MIN_OBS_ROLL),"",SUMPRODUCT(AA120:AA155,AB120:AB155)/AF156)</f>
        <v/>
      </c>
      <c r="AK156" s="40">
        <f>IF(OR(AE156="",AG156=""),"",AE156/AG156)</f>
        <v/>
      </c>
      <c r="AL156" s="40">
        <f>IF(OR(AI156="",AK156="",AJ156=""),"",AI156-AK156*AJ156)</f>
        <v/>
      </c>
      <c r="AM156" s="40">
        <f>IF(AND(ISNUMBER(W156),ISNUMBER(X156),ISNUMBER(AK156),ISNUMBER(AL156)),W156-(AL156+AK156*X156),"")</f>
        <v/>
      </c>
      <c r="AN156" s="38">
        <f>IF(ISNUMBER(AM156),1,0)</f>
        <v/>
      </c>
      <c r="AO156" s="40">
        <f>IF(AN156=1,AM156,0)</f>
        <v/>
      </c>
      <c r="AP156" s="40">
        <f>IF(SUM(AN154:AN156)=3,SUM(AO154:AO156),"")</f>
        <v/>
      </c>
      <c r="AQ156" s="38">
        <f>IF(ISNUMBER(AP156),1,0)</f>
        <v/>
      </c>
      <c r="AR156" s="40">
        <f>IF(AQ156=1,AP156,0)</f>
        <v/>
      </c>
      <c r="AS156" s="38">
        <f>SUM(AQ$5:AQ156)</f>
        <v/>
      </c>
      <c r="AT156" s="40">
        <f>IF(AS156&gt;=MIN_OBS_Z,SUMPRODUCT(AQ$5:AQ156,AR$5:AR156)/AS156,"")</f>
        <v/>
      </c>
      <c r="AU156" s="40">
        <f>IF(AS156&gt;=MIN_OBS_Z,SQRT(SUMPRODUCT(AQ$5:AQ156,(AR$5:AR156-AT156)^2)/(AS156-1)),"")</f>
        <v/>
      </c>
      <c r="AV156" s="40">
        <f>IF(AND(AQ156=1,ISNUMBER(AT156)),MAX(-Z_CLIP,MIN(Z_CLIP,(AR156-AT156)/AU156)),"")</f>
        <v/>
      </c>
      <c r="AW156" s="40">
        <f>IF(ISNUMBER(AV156),-AV156,"")</f>
        <v/>
      </c>
      <c r="AX156" s="40">
        <f>IF(ISNUMBER(AW156),1+AMPLITUD*TANH(AW156),"")</f>
        <v/>
      </c>
      <c r="AY156" s="40">
        <f>IF($A156="","",IF(COUNT(AX154:AX156)&gt;0,AVERAGE(AX154:AX156),""))</f>
        <v/>
      </c>
      <c r="AZ156" s="40">
        <f>IF(ISNUMBER(AY156),AY156-1,"")</f>
        <v/>
      </c>
      <c r="BA156" s="40">
        <f>IF(AND(ISNUMBER(AZ155),ISNUMBER(W156)),AZ155*W_BANCOS*W156,"")</f>
        <v/>
      </c>
      <c r="BB156" s="40">
        <f>IF(AND(ISNUMBER(AZ155),ISNUMBER(AZ154)),ABS(AZ155-AZ154)*W_BANCOS*COSTO,0)</f>
        <v/>
      </c>
      <c r="BC156" s="40">
        <f>IF(ISNUMBER(BA156),BA156-BB156,"")</f>
        <v/>
      </c>
      <c r="BD156" s="42">
        <f>IF(ISNUMBER(BC156),IF(A156&lt;=FECHA_ERA,"A","B"),"")</f>
        <v/>
      </c>
      <c r="BE156" s="40">
        <f>IF(BD156="A",BC156,"")</f>
        <v/>
      </c>
      <c r="BF156" s="40">
        <f>IF(BD156="B",BC156,"")</f>
        <v/>
      </c>
      <c r="BG156" s="38">
        <f>IF(AND(ISNUMBER(BC156),ISNUMBER(A156)),IF(A156&gt;=INICIO_VIVO,1,0),0)</f>
        <v/>
      </c>
      <c r="BH156" s="40">
        <f>IF(BG156=1,BC156,"")</f>
        <v/>
      </c>
      <c r="BI156" s="38">
        <f>IF(ISNUMBER(AY156),ROW(),0)</f>
        <v/>
      </c>
      <c r="BJ156" s="43">
        <f>IF(ISNUMBER(BC156),SUM(BC$5:BC156)*10000,NA())</f>
        <v/>
      </c>
      <c r="BK156" s="43">
        <f>IF(BG156=1,SUM(BH$5:BH156)*10000,NA())</f>
        <v/>
      </c>
      <c r="BL156" s="44">
        <f>IF(ISNUMBER(AY156),AY156,NA())</f>
        <v/>
      </c>
    </row>
    <row r="157">
      <c r="A157" s="36">
        <f>IF(Datos!A157="","",Datos!A157)</f>
        <v/>
      </c>
      <c r="B157" s="37">
        <f>IF(OR($A157="",NOT(ISNUMBER(Datos!B157)),NOT(ISNUMBER(Datos!B156))),"",Datos!B157/Datos!B156-1)</f>
        <v/>
      </c>
      <c r="C157" s="37">
        <f>IF(OR($A157="",NOT(ISNUMBER(Datos!C157)),NOT(ISNUMBER(Datos!C156))),"",Datos!C157/Datos!C156-1)</f>
        <v/>
      </c>
      <c r="D157" s="37">
        <f>IF(OR($A157="",NOT(ISNUMBER(Datos!D157)),NOT(ISNUMBER(Datos!D156))),"",Datos!D157/Datos!D156-1)</f>
        <v/>
      </c>
      <c r="E157" s="37">
        <f>IF(OR($A157="",NOT(ISNUMBER(Datos!E157)),NOT(ISNUMBER(Datos!E156))),"",Datos!E157/Datos!E156-1)</f>
        <v/>
      </c>
      <c r="F157" s="38">
        <f>IF($A157="","",COUNT(B157:E157))</f>
        <v/>
      </c>
      <c r="G157" s="37">
        <f>IF($A157="","",IF(F157&gt;=MIN_BANCOS,AVERAGE(B157:E157),""))</f>
        <v/>
      </c>
      <c r="H157" s="37">
        <f>IF(OR($A157="",NOT(ISNUMBER(Datos!F157)),NOT(ISNUMBER(Datos!F156))),"",Datos!F157/Datos!F156-1)</f>
        <v/>
      </c>
      <c r="I157" s="39">
        <f>IF($A157="","",IF(ISNUMBER(Datos!G157),Datos!G157,I156))</f>
        <v/>
      </c>
      <c r="J157" s="40">
        <f>IF($A157="","",IF(ISNUMBER(I156),LN(1+I156/100/12),0))</f>
        <v/>
      </c>
      <c r="K157" s="40">
        <f>IF(ISNUMBER(G157),LN(1+G157)-J157,"")</f>
        <v/>
      </c>
      <c r="L157" s="40">
        <f>IF(ISNUMBER(H157),LN(1+H157)-J157,"")</f>
        <v/>
      </c>
      <c r="M157" s="38">
        <f>IF(ISNUMBER(K157),1,0)</f>
        <v/>
      </c>
      <c r="N157" s="40">
        <f>IF(M157=1,K157,0)</f>
        <v/>
      </c>
      <c r="O157" s="38">
        <f>IF(ISNUMBER(L157),1,0)</f>
        <v/>
      </c>
      <c r="P157" s="40">
        <f>IF(O157=1,L157,0)</f>
        <v/>
      </c>
      <c r="Q157" s="38">
        <f>M157*O157</f>
        <v/>
      </c>
      <c r="R157" s="38">
        <f>SUM(Q121:Q156)</f>
        <v/>
      </c>
      <c r="S157" s="41">
        <f>IF(OR($A157="",R157&lt;MIN_OBS_ROLL),"",(SUMPRODUCT(Q121:Q156,N121:N156,P121:P156)/R157-SUMPRODUCT(Q121:Q156,N121:N156)/R157*SUMPRODUCT(Q121:Q156,P121:P156)/R157)*R157/(R157-1))</f>
        <v/>
      </c>
      <c r="T157" s="38">
        <f>SUM(O121:O156)</f>
        <v/>
      </c>
      <c r="U157" s="41">
        <f>IF(OR($A157="",T157&lt;MIN_OBS_ROLL),"",SUMPRODUCT(O121:O156,(P121:P156-SUMPRODUCT(O121:O156,P121:P156)/T157)^2)/(T157-1))</f>
        <v/>
      </c>
      <c r="V157" s="40">
        <f>IF(OR(S157="",U157=""),"",S157/U157)</f>
        <v/>
      </c>
      <c r="W157" s="40">
        <f>IF(AND(ISNUMBER(K157),ISNUMBER(L157),ISNUMBER(V157)),K157-V157*L157,"")</f>
        <v/>
      </c>
      <c r="X157" s="40">
        <f>IF(OR($A157="",NOT(ISNUMBER(Datos!H157)),NOT(ISNUMBER(Datos!H156))),"",LN(Datos!H157)-LN(Datos!H156))</f>
        <v/>
      </c>
      <c r="Y157" s="38">
        <f>IF(ISNUMBER(W157),1,0)</f>
        <v/>
      </c>
      <c r="Z157" s="40">
        <f>IF(Y157=1,W157,0)</f>
        <v/>
      </c>
      <c r="AA157" s="38">
        <f>IF(ISNUMBER(X157),1,0)</f>
        <v/>
      </c>
      <c r="AB157" s="40">
        <f>IF(AA157=1,X157,0)</f>
        <v/>
      </c>
      <c r="AC157" s="38">
        <f>Y157*AA157</f>
        <v/>
      </c>
      <c r="AD157" s="38">
        <f>SUM(AC121:AC156)</f>
        <v/>
      </c>
      <c r="AE157" s="41">
        <f>IF(OR($A157="",AD157&lt;MIN_OBS_ROLL),"",(SUMPRODUCT(AC121:AC156,Z121:Z156,AB121:AB156)/AD157-SUMPRODUCT(AC121:AC156,Z121:Z156)/AD157*SUMPRODUCT(AC121:AC156,AB121:AB156)/AD157)*AD157/(AD157-1))</f>
        <v/>
      </c>
      <c r="AF157" s="38">
        <f>SUM(AA121:AA156)</f>
        <v/>
      </c>
      <c r="AG157" s="41">
        <f>IF(OR($A157="",AF157&lt;MIN_OBS_ROLL),"",SUMPRODUCT(AA121:AA156,(AB121:AB156-SUMPRODUCT(AA121:AA156,AB121:AB156)/AF157)^2)/(AF157-1))</f>
        <v/>
      </c>
      <c r="AH157" s="38">
        <f>SUM(Y121:Y156)</f>
        <v/>
      </c>
      <c r="AI157" s="40">
        <f>IF(OR($A157="",AH157&lt;MIN_OBS_ROLL),"",SUMPRODUCT(Y121:Y156,Z121:Z156)/AH157)</f>
        <v/>
      </c>
      <c r="AJ157" s="40">
        <f>IF(OR($A157="",AF157&lt;MIN_OBS_ROLL),"",SUMPRODUCT(AA121:AA156,AB121:AB156)/AF157)</f>
        <v/>
      </c>
      <c r="AK157" s="40">
        <f>IF(OR(AE157="",AG157=""),"",AE157/AG157)</f>
        <v/>
      </c>
      <c r="AL157" s="40">
        <f>IF(OR(AI157="",AK157="",AJ157=""),"",AI157-AK157*AJ157)</f>
        <v/>
      </c>
      <c r="AM157" s="40">
        <f>IF(AND(ISNUMBER(W157),ISNUMBER(X157),ISNUMBER(AK157),ISNUMBER(AL157)),W157-(AL157+AK157*X157),"")</f>
        <v/>
      </c>
      <c r="AN157" s="38">
        <f>IF(ISNUMBER(AM157),1,0)</f>
        <v/>
      </c>
      <c r="AO157" s="40">
        <f>IF(AN157=1,AM157,0)</f>
        <v/>
      </c>
      <c r="AP157" s="40">
        <f>IF(SUM(AN155:AN157)=3,SUM(AO155:AO157),"")</f>
        <v/>
      </c>
      <c r="AQ157" s="38">
        <f>IF(ISNUMBER(AP157),1,0)</f>
        <v/>
      </c>
      <c r="AR157" s="40">
        <f>IF(AQ157=1,AP157,0)</f>
        <v/>
      </c>
      <c r="AS157" s="38">
        <f>SUM(AQ$5:AQ157)</f>
        <v/>
      </c>
      <c r="AT157" s="40">
        <f>IF(AS157&gt;=MIN_OBS_Z,SUMPRODUCT(AQ$5:AQ157,AR$5:AR157)/AS157,"")</f>
        <v/>
      </c>
      <c r="AU157" s="40">
        <f>IF(AS157&gt;=MIN_OBS_Z,SQRT(SUMPRODUCT(AQ$5:AQ157,(AR$5:AR157-AT157)^2)/(AS157-1)),"")</f>
        <v/>
      </c>
      <c r="AV157" s="40">
        <f>IF(AND(AQ157=1,ISNUMBER(AT157)),MAX(-Z_CLIP,MIN(Z_CLIP,(AR157-AT157)/AU157)),"")</f>
        <v/>
      </c>
      <c r="AW157" s="40">
        <f>IF(ISNUMBER(AV157),-AV157,"")</f>
        <v/>
      </c>
      <c r="AX157" s="40">
        <f>IF(ISNUMBER(AW157),1+AMPLITUD*TANH(AW157),"")</f>
        <v/>
      </c>
      <c r="AY157" s="40">
        <f>IF($A157="","",IF(COUNT(AX155:AX157)&gt;0,AVERAGE(AX155:AX157),""))</f>
        <v/>
      </c>
      <c r="AZ157" s="40">
        <f>IF(ISNUMBER(AY157),AY157-1,"")</f>
        <v/>
      </c>
      <c r="BA157" s="40">
        <f>IF(AND(ISNUMBER(AZ156),ISNUMBER(W157)),AZ156*W_BANCOS*W157,"")</f>
        <v/>
      </c>
      <c r="BB157" s="40">
        <f>IF(AND(ISNUMBER(AZ156),ISNUMBER(AZ155)),ABS(AZ156-AZ155)*W_BANCOS*COSTO,0)</f>
        <v/>
      </c>
      <c r="BC157" s="40">
        <f>IF(ISNUMBER(BA157),BA157-BB157,"")</f>
        <v/>
      </c>
      <c r="BD157" s="42">
        <f>IF(ISNUMBER(BC157),IF(A157&lt;=FECHA_ERA,"A","B"),"")</f>
        <v/>
      </c>
      <c r="BE157" s="40">
        <f>IF(BD157="A",BC157,"")</f>
        <v/>
      </c>
      <c r="BF157" s="40">
        <f>IF(BD157="B",BC157,"")</f>
        <v/>
      </c>
      <c r="BG157" s="38">
        <f>IF(AND(ISNUMBER(BC157),ISNUMBER(A157)),IF(A157&gt;=INICIO_VIVO,1,0),0)</f>
        <v/>
      </c>
      <c r="BH157" s="40">
        <f>IF(BG157=1,BC157,"")</f>
        <v/>
      </c>
      <c r="BI157" s="38">
        <f>IF(ISNUMBER(AY157),ROW(),0)</f>
        <v/>
      </c>
      <c r="BJ157" s="43">
        <f>IF(ISNUMBER(BC157),SUM(BC$5:BC157)*10000,NA())</f>
        <v/>
      </c>
      <c r="BK157" s="43">
        <f>IF(BG157=1,SUM(BH$5:BH157)*10000,NA())</f>
        <v/>
      </c>
      <c r="BL157" s="44">
        <f>IF(ISNUMBER(AY157),AY157,NA())</f>
        <v/>
      </c>
    </row>
    <row r="158">
      <c r="A158" s="36">
        <f>IF(Datos!A158="","",Datos!A158)</f>
        <v/>
      </c>
      <c r="B158" s="37">
        <f>IF(OR($A158="",NOT(ISNUMBER(Datos!B158)),NOT(ISNUMBER(Datos!B157))),"",Datos!B158/Datos!B157-1)</f>
        <v/>
      </c>
      <c r="C158" s="37">
        <f>IF(OR($A158="",NOT(ISNUMBER(Datos!C158)),NOT(ISNUMBER(Datos!C157))),"",Datos!C158/Datos!C157-1)</f>
        <v/>
      </c>
      <c r="D158" s="37">
        <f>IF(OR($A158="",NOT(ISNUMBER(Datos!D158)),NOT(ISNUMBER(Datos!D157))),"",Datos!D158/Datos!D157-1)</f>
        <v/>
      </c>
      <c r="E158" s="37">
        <f>IF(OR($A158="",NOT(ISNUMBER(Datos!E158)),NOT(ISNUMBER(Datos!E157))),"",Datos!E158/Datos!E157-1)</f>
        <v/>
      </c>
      <c r="F158" s="38">
        <f>IF($A158="","",COUNT(B158:E158))</f>
        <v/>
      </c>
      <c r="G158" s="37">
        <f>IF($A158="","",IF(F158&gt;=MIN_BANCOS,AVERAGE(B158:E158),""))</f>
        <v/>
      </c>
      <c r="H158" s="37">
        <f>IF(OR($A158="",NOT(ISNUMBER(Datos!F158)),NOT(ISNUMBER(Datos!F157))),"",Datos!F158/Datos!F157-1)</f>
        <v/>
      </c>
      <c r="I158" s="39">
        <f>IF($A158="","",IF(ISNUMBER(Datos!G158),Datos!G158,I157))</f>
        <v/>
      </c>
      <c r="J158" s="40">
        <f>IF($A158="","",IF(ISNUMBER(I157),LN(1+I157/100/12),0))</f>
        <v/>
      </c>
      <c r="K158" s="40">
        <f>IF(ISNUMBER(G158),LN(1+G158)-J158,"")</f>
        <v/>
      </c>
      <c r="L158" s="40">
        <f>IF(ISNUMBER(H158),LN(1+H158)-J158,"")</f>
        <v/>
      </c>
      <c r="M158" s="38">
        <f>IF(ISNUMBER(K158),1,0)</f>
        <v/>
      </c>
      <c r="N158" s="40">
        <f>IF(M158=1,K158,0)</f>
        <v/>
      </c>
      <c r="O158" s="38">
        <f>IF(ISNUMBER(L158),1,0)</f>
        <v/>
      </c>
      <c r="P158" s="40">
        <f>IF(O158=1,L158,0)</f>
        <v/>
      </c>
      <c r="Q158" s="38">
        <f>M158*O158</f>
        <v/>
      </c>
      <c r="R158" s="38">
        <f>SUM(Q122:Q157)</f>
        <v/>
      </c>
      <c r="S158" s="41">
        <f>IF(OR($A158="",R158&lt;MIN_OBS_ROLL),"",(SUMPRODUCT(Q122:Q157,N122:N157,P122:P157)/R158-SUMPRODUCT(Q122:Q157,N122:N157)/R158*SUMPRODUCT(Q122:Q157,P122:P157)/R158)*R158/(R158-1))</f>
        <v/>
      </c>
      <c r="T158" s="38">
        <f>SUM(O122:O157)</f>
        <v/>
      </c>
      <c r="U158" s="41">
        <f>IF(OR($A158="",T158&lt;MIN_OBS_ROLL),"",SUMPRODUCT(O122:O157,(P122:P157-SUMPRODUCT(O122:O157,P122:P157)/T158)^2)/(T158-1))</f>
        <v/>
      </c>
      <c r="V158" s="40">
        <f>IF(OR(S158="",U158=""),"",S158/U158)</f>
        <v/>
      </c>
      <c r="W158" s="40">
        <f>IF(AND(ISNUMBER(K158),ISNUMBER(L158),ISNUMBER(V158)),K158-V158*L158,"")</f>
        <v/>
      </c>
      <c r="X158" s="40">
        <f>IF(OR($A158="",NOT(ISNUMBER(Datos!H158)),NOT(ISNUMBER(Datos!H157))),"",LN(Datos!H158)-LN(Datos!H157))</f>
        <v/>
      </c>
      <c r="Y158" s="38">
        <f>IF(ISNUMBER(W158),1,0)</f>
        <v/>
      </c>
      <c r="Z158" s="40">
        <f>IF(Y158=1,W158,0)</f>
        <v/>
      </c>
      <c r="AA158" s="38">
        <f>IF(ISNUMBER(X158),1,0)</f>
        <v/>
      </c>
      <c r="AB158" s="40">
        <f>IF(AA158=1,X158,0)</f>
        <v/>
      </c>
      <c r="AC158" s="38">
        <f>Y158*AA158</f>
        <v/>
      </c>
      <c r="AD158" s="38">
        <f>SUM(AC122:AC157)</f>
        <v/>
      </c>
      <c r="AE158" s="41">
        <f>IF(OR($A158="",AD158&lt;MIN_OBS_ROLL),"",(SUMPRODUCT(AC122:AC157,Z122:Z157,AB122:AB157)/AD158-SUMPRODUCT(AC122:AC157,Z122:Z157)/AD158*SUMPRODUCT(AC122:AC157,AB122:AB157)/AD158)*AD158/(AD158-1))</f>
        <v/>
      </c>
      <c r="AF158" s="38">
        <f>SUM(AA122:AA157)</f>
        <v/>
      </c>
      <c r="AG158" s="41">
        <f>IF(OR($A158="",AF158&lt;MIN_OBS_ROLL),"",SUMPRODUCT(AA122:AA157,(AB122:AB157-SUMPRODUCT(AA122:AA157,AB122:AB157)/AF158)^2)/(AF158-1))</f>
        <v/>
      </c>
      <c r="AH158" s="38">
        <f>SUM(Y122:Y157)</f>
        <v/>
      </c>
      <c r="AI158" s="40">
        <f>IF(OR($A158="",AH158&lt;MIN_OBS_ROLL),"",SUMPRODUCT(Y122:Y157,Z122:Z157)/AH158)</f>
        <v/>
      </c>
      <c r="AJ158" s="40">
        <f>IF(OR($A158="",AF158&lt;MIN_OBS_ROLL),"",SUMPRODUCT(AA122:AA157,AB122:AB157)/AF158)</f>
        <v/>
      </c>
      <c r="AK158" s="40">
        <f>IF(OR(AE158="",AG158=""),"",AE158/AG158)</f>
        <v/>
      </c>
      <c r="AL158" s="40">
        <f>IF(OR(AI158="",AK158="",AJ158=""),"",AI158-AK158*AJ158)</f>
        <v/>
      </c>
      <c r="AM158" s="40">
        <f>IF(AND(ISNUMBER(W158),ISNUMBER(X158),ISNUMBER(AK158),ISNUMBER(AL158)),W158-(AL158+AK158*X158),"")</f>
        <v/>
      </c>
      <c r="AN158" s="38">
        <f>IF(ISNUMBER(AM158),1,0)</f>
        <v/>
      </c>
      <c r="AO158" s="40">
        <f>IF(AN158=1,AM158,0)</f>
        <v/>
      </c>
      <c r="AP158" s="40">
        <f>IF(SUM(AN156:AN158)=3,SUM(AO156:AO158),"")</f>
        <v/>
      </c>
      <c r="AQ158" s="38">
        <f>IF(ISNUMBER(AP158),1,0)</f>
        <v/>
      </c>
      <c r="AR158" s="40">
        <f>IF(AQ158=1,AP158,0)</f>
        <v/>
      </c>
      <c r="AS158" s="38">
        <f>SUM(AQ$5:AQ158)</f>
        <v/>
      </c>
      <c r="AT158" s="40">
        <f>IF(AS158&gt;=MIN_OBS_Z,SUMPRODUCT(AQ$5:AQ158,AR$5:AR158)/AS158,"")</f>
        <v/>
      </c>
      <c r="AU158" s="40">
        <f>IF(AS158&gt;=MIN_OBS_Z,SQRT(SUMPRODUCT(AQ$5:AQ158,(AR$5:AR158-AT158)^2)/(AS158-1)),"")</f>
        <v/>
      </c>
      <c r="AV158" s="40">
        <f>IF(AND(AQ158=1,ISNUMBER(AT158)),MAX(-Z_CLIP,MIN(Z_CLIP,(AR158-AT158)/AU158)),"")</f>
        <v/>
      </c>
      <c r="AW158" s="40">
        <f>IF(ISNUMBER(AV158),-AV158,"")</f>
        <v/>
      </c>
      <c r="AX158" s="40">
        <f>IF(ISNUMBER(AW158),1+AMPLITUD*TANH(AW158),"")</f>
        <v/>
      </c>
      <c r="AY158" s="40">
        <f>IF($A158="","",IF(COUNT(AX156:AX158)&gt;0,AVERAGE(AX156:AX158),""))</f>
        <v/>
      </c>
      <c r="AZ158" s="40">
        <f>IF(ISNUMBER(AY158),AY158-1,"")</f>
        <v/>
      </c>
      <c r="BA158" s="40">
        <f>IF(AND(ISNUMBER(AZ157),ISNUMBER(W158)),AZ157*W_BANCOS*W158,"")</f>
        <v/>
      </c>
      <c r="BB158" s="40">
        <f>IF(AND(ISNUMBER(AZ157),ISNUMBER(AZ156)),ABS(AZ157-AZ156)*W_BANCOS*COSTO,0)</f>
        <v/>
      </c>
      <c r="BC158" s="40">
        <f>IF(ISNUMBER(BA158),BA158-BB158,"")</f>
        <v/>
      </c>
      <c r="BD158" s="42">
        <f>IF(ISNUMBER(BC158),IF(A158&lt;=FECHA_ERA,"A","B"),"")</f>
        <v/>
      </c>
      <c r="BE158" s="40">
        <f>IF(BD158="A",BC158,"")</f>
        <v/>
      </c>
      <c r="BF158" s="40">
        <f>IF(BD158="B",BC158,"")</f>
        <v/>
      </c>
      <c r="BG158" s="38">
        <f>IF(AND(ISNUMBER(BC158),ISNUMBER(A158)),IF(A158&gt;=INICIO_VIVO,1,0),0)</f>
        <v/>
      </c>
      <c r="BH158" s="40">
        <f>IF(BG158=1,BC158,"")</f>
        <v/>
      </c>
      <c r="BI158" s="38">
        <f>IF(ISNUMBER(AY158),ROW(),0)</f>
        <v/>
      </c>
      <c r="BJ158" s="43">
        <f>IF(ISNUMBER(BC158),SUM(BC$5:BC158)*10000,NA())</f>
        <v/>
      </c>
      <c r="BK158" s="43">
        <f>IF(BG158=1,SUM(BH$5:BH158)*10000,NA())</f>
        <v/>
      </c>
      <c r="BL158" s="44">
        <f>IF(ISNUMBER(AY158),AY158,NA())</f>
        <v/>
      </c>
    </row>
    <row r="159">
      <c r="A159" s="36">
        <f>IF(Datos!A159="","",Datos!A159)</f>
        <v/>
      </c>
      <c r="B159" s="37">
        <f>IF(OR($A159="",NOT(ISNUMBER(Datos!B159)),NOT(ISNUMBER(Datos!B158))),"",Datos!B159/Datos!B158-1)</f>
        <v/>
      </c>
      <c r="C159" s="37">
        <f>IF(OR($A159="",NOT(ISNUMBER(Datos!C159)),NOT(ISNUMBER(Datos!C158))),"",Datos!C159/Datos!C158-1)</f>
        <v/>
      </c>
      <c r="D159" s="37">
        <f>IF(OR($A159="",NOT(ISNUMBER(Datos!D159)),NOT(ISNUMBER(Datos!D158))),"",Datos!D159/Datos!D158-1)</f>
        <v/>
      </c>
      <c r="E159" s="37">
        <f>IF(OR($A159="",NOT(ISNUMBER(Datos!E159)),NOT(ISNUMBER(Datos!E158))),"",Datos!E159/Datos!E158-1)</f>
        <v/>
      </c>
      <c r="F159" s="38">
        <f>IF($A159="","",COUNT(B159:E159))</f>
        <v/>
      </c>
      <c r="G159" s="37">
        <f>IF($A159="","",IF(F159&gt;=MIN_BANCOS,AVERAGE(B159:E159),""))</f>
        <v/>
      </c>
      <c r="H159" s="37">
        <f>IF(OR($A159="",NOT(ISNUMBER(Datos!F159)),NOT(ISNUMBER(Datos!F158))),"",Datos!F159/Datos!F158-1)</f>
        <v/>
      </c>
      <c r="I159" s="39">
        <f>IF($A159="","",IF(ISNUMBER(Datos!G159),Datos!G159,I158))</f>
        <v/>
      </c>
      <c r="J159" s="40">
        <f>IF($A159="","",IF(ISNUMBER(I158),LN(1+I158/100/12),0))</f>
        <v/>
      </c>
      <c r="K159" s="40">
        <f>IF(ISNUMBER(G159),LN(1+G159)-J159,"")</f>
        <v/>
      </c>
      <c r="L159" s="40">
        <f>IF(ISNUMBER(H159),LN(1+H159)-J159,"")</f>
        <v/>
      </c>
      <c r="M159" s="38">
        <f>IF(ISNUMBER(K159),1,0)</f>
        <v/>
      </c>
      <c r="N159" s="40">
        <f>IF(M159=1,K159,0)</f>
        <v/>
      </c>
      <c r="O159" s="38">
        <f>IF(ISNUMBER(L159),1,0)</f>
        <v/>
      </c>
      <c r="P159" s="40">
        <f>IF(O159=1,L159,0)</f>
        <v/>
      </c>
      <c r="Q159" s="38">
        <f>M159*O159</f>
        <v/>
      </c>
      <c r="R159" s="38">
        <f>SUM(Q123:Q158)</f>
        <v/>
      </c>
      <c r="S159" s="41">
        <f>IF(OR($A159="",R159&lt;MIN_OBS_ROLL),"",(SUMPRODUCT(Q123:Q158,N123:N158,P123:P158)/R159-SUMPRODUCT(Q123:Q158,N123:N158)/R159*SUMPRODUCT(Q123:Q158,P123:P158)/R159)*R159/(R159-1))</f>
        <v/>
      </c>
      <c r="T159" s="38">
        <f>SUM(O123:O158)</f>
        <v/>
      </c>
      <c r="U159" s="41">
        <f>IF(OR($A159="",T159&lt;MIN_OBS_ROLL),"",SUMPRODUCT(O123:O158,(P123:P158-SUMPRODUCT(O123:O158,P123:P158)/T159)^2)/(T159-1))</f>
        <v/>
      </c>
      <c r="V159" s="40">
        <f>IF(OR(S159="",U159=""),"",S159/U159)</f>
        <v/>
      </c>
      <c r="W159" s="40">
        <f>IF(AND(ISNUMBER(K159),ISNUMBER(L159),ISNUMBER(V159)),K159-V159*L159,"")</f>
        <v/>
      </c>
      <c r="X159" s="40">
        <f>IF(OR($A159="",NOT(ISNUMBER(Datos!H159)),NOT(ISNUMBER(Datos!H158))),"",LN(Datos!H159)-LN(Datos!H158))</f>
        <v/>
      </c>
      <c r="Y159" s="38">
        <f>IF(ISNUMBER(W159),1,0)</f>
        <v/>
      </c>
      <c r="Z159" s="40">
        <f>IF(Y159=1,W159,0)</f>
        <v/>
      </c>
      <c r="AA159" s="38">
        <f>IF(ISNUMBER(X159),1,0)</f>
        <v/>
      </c>
      <c r="AB159" s="40">
        <f>IF(AA159=1,X159,0)</f>
        <v/>
      </c>
      <c r="AC159" s="38">
        <f>Y159*AA159</f>
        <v/>
      </c>
      <c r="AD159" s="38">
        <f>SUM(AC123:AC158)</f>
        <v/>
      </c>
      <c r="AE159" s="41">
        <f>IF(OR($A159="",AD159&lt;MIN_OBS_ROLL),"",(SUMPRODUCT(AC123:AC158,Z123:Z158,AB123:AB158)/AD159-SUMPRODUCT(AC123:AC158,Z123:Z158)/AD159*SUMPRODUCT(AC123:AC158,AB123:AB158)/AD159)*AD159/(AD159-1))</f>
        <v/>
      </c>
      <c r="AF159" s="38">
        <f>SUM(AA123:AA158)</f>
        <v/>
      </c>
      <c r="AG159" s="41">
        <f>IF(OR($A159="",AF159&lt;MIN_OBS_ROLL),"",SUMPRODUCT(AA123:AA158,(AB123:AB158-SUMPRODUCT(AA123:AA158,AB123:AB158)/AF159)^2)/(AF159-1))</f>
        <v/>
      </c>
      <c r="AH159" s="38">
        <f>SUM(Y123:Y158)</f>
        <v/>
      </c>
      <c r="AI159" s="40">
        <f>IF(OR($A159="",AH159&lt;MIN_OBS_ROLL),"",SUMPRODUCT(Y123:Y158,Z123:Z158)/AH159)</f>
        <v/>
      </c>
      <c r="AJ159" s="40">
        <f>IF(OR($A159="",AF159&lt;MIN_OBS_ROLL),"",SUMPRODUCT(AA123:AA158,AB123:AB158)/AF159)</f>
        <v/>
      </c>
      <c r="AK159" s="40">
        <f>IF(OR(AE159="",AG159=""),"",AE159/AG159)</f>
        <v/>
      </c>
      <c r="AL159" s="40">
        <f>IF(OR(AI159="",AK159="",AJ159=""),"",AI159-AK159*AJ159)</f>
        <v/>
      </c>
      <c r="AM159" s="40">
        <f>IF(AND(ISNUMBER(W159),ISNUMBER(X159),ISNUMBER(AK159),ISNUMBER(AL159)),W159-(AL159+AK159*X159),"")</f>
        <v/>
      </c>
      <c r="AN159" s="38">
        <f>IF(ISNUMBER(AM159),1,0)</f>
        <v/>
      </c>
      <c r="AO159" s="40">
        <f>IF(AN159=1,AM159,0)</f>
        <v/>
      </c>
      <c r="AP159" s="40">
        <f>IF(SUM(AN157:AN159)=3,SUM(AO157:AO159),"")</f>
        <v/>
      </c>
      <c r="AQ159" s="38">
        <f>IF(ISNUMBER(AP159),1,0)</f>
        <v/>
      </c>
      <c r="AR159" s="40">
        <f>IF(AQ159=1,AP159,0)</f>
        <v/>
      </c>
      <c r="AS159" s="38">
        <f>SUM(AQ$5:AQ159)</f>
        <v/>
      </c>
      <c r="AT159" s="40">
        <f>IF(AS159&gt;=MIN_OBS_Z,SUMPRODUCT(AQ$5:AQ159,AR$5:AR159)/AS159,"")</f>
        <v/>
      </c>
      <c r="AU159" s="40">
        <f>IF(AS159&gt;=MIN_OBS_Z,SQRT(SUMPRODUCT(AQ$5:AQ159,(AR$5:AR159-AT159)^2)/(AS159-1)),"")</f>
        <v/>
      </c>
      <c r="AV159" s="40">
        <f>IF(AND(AQ159=1,ISNUMBER(AT159)),MAX(-Z_CLIP,MIN(Z_CLIP,(AR159-AT159)/AU159)),"")</f>
        <v/>
      </c>
      <c r="AW159" s="40">
        <f>IF(ISNUMBER(AV159),-AV159,"")</f>
        <v/>
      </c>
      <c r="AX159" s="40">
        <f>IF(ISNUMBER(AW159),1+AMPLITUD*TANH(AW159),"")</f>
        <v/>
      </c>
      <c r="AY159" s="40">
        <f>IF($A159="","",IF(COUNT(AX157:AX159)&gt;0,AVERAGE(AX157:AX159),""))</f>
        <v/>
      </c>
      <c r="AZ159" s="40">
        <f>IF(ISNUMBER(AY159),AY159-1,"")</f>
        <v/>
      </c>
      <c r="BA159" s="40">
        <f>IF(AND(ISNUMBER(AZ158),ISNUMBER(W159)),AZ158*W_BANCOS*W159,"")</f>
        <v/>
      </c>
      <c r="BB159" s="40">
        <f>IF(AND(ISNUMBER(AZ158),ISNUMBER(AZ157)),ABS(AZ158-AZ157)*W_BANCOS*COSTO,0)</f>
        <v/>
      </c>
      <c r="BC159" s="40">
        <f>IF(ISNUMBER(BA159),BA159-BB159,"")</f>
        <v/>
      </c>
      <c r="BD159" s="42">
        <f>IF(ISNUMBER(BC159),IF(A159&lt;=FECHA_ERA,"A","B"),"")</f>
        <v/>
      </c>
      <c r="BE159" s="40">
        <f>IF(BD159="A",BC159,"")</f>
        <v/>
      </c>
      <c r="BF159" s="40">
        <f>IF(BD159="B",BC159,"")</f>
        <v/>
      </c>
      <c r="BG159" s="38">
        <f>IF(AND(ISNUMBER(BC159),ISNUMBER(A159)),IF(A159&gt;=INICIO_VIVO,1,0),0)</f>
        <v/>
      </c>
      <c r="BH159" s="40">
        <f>IF(BG159=1,BC159,"")</f>
        <v/>
      </c>
      <c r="BI159" s="38">
        <f>IF(ISNUMBER(AY159),ROW(),0)</f>
        <v/>
      </c>
      <c r="BJ159" s="43">
        <f>IF(ISNUMBER(BC159),SUM(BC$5:BC159)*10000,NA())</f>
        <v/>
      </c>
      <c r="BK159" s="43">
        <f>IF(BG159=1,SUM(BH$5:BH159)*10000,NA())</f>
        <v/>
      </c>
      <c r="BL159" s="44">
        <f>IF(ISNUMBER(AY159),AY159,NA())</f>
        <v/>
      </c>
    </row>
    <row r="160">
      <c r="A160" s="36">
        <f>IF(Datos!A160="","",Datos!A160)</f>
        <v/>
      </c>
      <c r="B160" s="37">
        <f>IF(OR($A160="",NOT(ISNUMBER(Datos!B160)),NOT(ISNUMBER(Datos!B159))),"",Datos!B160/Datos!B159-1)</f>
        <v/>
      </c>
      <c r="C160" s="37">
        <f>IF(OR($A160="",NOT(ISNUMBER(Datos!C160)),NOT(ISNUMBER(Datos!C159))),"",Datos!C160/Datos!C159-1)</f>
        <v/>
      </c>
      <c r="D160" s="37">
        <f>IF(OR($A160="",NOT(ISNUMBER(Datos!D160)),NOT(ISNUMBER(Datos!D159))),"",Datos!D160/Datos!D159-1)</f>
        <v/>
      </c>
      <c r="E160" s="37">
        <f>IF(OR($A160="",NOT(ISNUMBER(Datos!E160)),NOT(ISNUMBER(Datos!E159))),"",Datos!E160/Datos!E159-1)</f>
        <v/>
      </c>
      <c r="F160" s="38">
        <f>IF($A160="","",COUNT(B160:E160))</f>
        <v/>
      </c>
      <c r="G160" s="37">
        <f>IF($A160="","",IF(F160&gt;=MIN_BANCOS,AVERAGE(B160:E160),""))</f>
        <v/>
      </c>
      <c r="H160" s="37">
        <f>IF(OR($A160="",NOT(ISNUMBER(Datos!F160)),NOT(ISNUMBER(Datos!F159))),"",Datos!F160/Datos!F159-1)</f>
        <v/>
      </c>
      <c r="I160" s="39">
        <f>IF($A160="","",IF(ISNUMBER(Datos!G160),Datos!G160,I159))</f>
        <v/>
      </c>
      <c r="J160" s="40">
        <f>IF($A160="","",IF(ISNUMBER(I159),LN(1+I159/100/12),0))</f>
        <v/>
      </c>
      <c r="K160" s="40">
        <f>IF(ISNUMBER(G160),LN(1+G160)-J160,"")</f>
        <v/>
      </c>
      <c r="L160" s="40">
        <f>IF(ISNUMBER(H160),LN(1+H160)-J160,"")</f>
        <v/>
      </c>
      <c r="M160" s="38">
        <f>IF(ISNUMBER(K160),1,0)</f>
        <v/>
      </c>
      <c r="N160" s="40">
        <f>IF(M160=1,K160,0)</f>
        <v/>
      </c>
      <c r="O160" s="38">
        <f>IF(ISNUMBER(L160),1,0)</f>
        <v/>
      </c>
      <c r="P160" s="40">
        <f>IF(O160=1,L160,0)</f>
        <v/>
      </c>
      <c r="Q160" s="38">
        <f>M160*O160</f>
        <v/>
      </c>
      <c r="R160" s="38">
        <f>SUM(Q124:Q159)</f>
        <v/>
      </c>
      <c r="S160" s="41">
        <f>IF(OR($A160="",R160&lt;MIN_OBS_ROLL),"",(SUMPRODUCT(Q124:Q159,N124:N159,P124:P159)/R160-SUMPRODUCT(Q124:Q159,N124:N159)/R160*SUMPRODUCT(Q124:Q159,P124:P159)/R160)*R160/(R160-1))</f>
        <v/>
      </c>
      <c r="T160" s="38">
        <f>SUM(O124:O159)</f>
        <v/>
      </c>
      <c r="U160" s="41">
        <f>IF(OR($A160="",T160&lt;MIN_OBS_ROLL),"",SUMPRODUCT(O124:O159,(P124:P159-SUMPRODUCT(O124:O159,P124:P159)/T160)^2)/(T160-1))</f>
        <v/>
      </c>
      <c r="V160" s="40">
        <f>IF(OR(S160="",U160=""),"",S160/U160)</f>
        <v/>
      </c>
      <c r="W160" s="40">
        <f>IF(AND(ISNUMBER(K160),ISNUMBER(L160),ISNUMBER(V160)),K160-V160*L160,"")</f>
        <v/>
      </c>
      <c r="X160" s="40">
        <f>IF(OR($A160="",NOT(ISNUMBER(Datos!H160)),NOT(ISNUMBER(Datos!H159))),"",LN(Datos!H160)-LN(Datos!H159))</f>
        <v/>
      </c>
      <c r="Y160" s="38">
        <f>IF(ISNUMBER(W160),1,0)</f>
        <v/>
      </c>
      <c r="Z160" s="40">
        <f>IF(Y160=1,W160,0)</f>
        <v/>
      </c>
      <c r="AA160" s="38">
        <f>IF(ISNUMBER(X160),1,0)</f>
        <v/>
      </c>
      <c r="AB160" s="40">
        <f>IF(AA160=1,X160,0)</f>
        <v/>
      </c>
      <c r="AC160" s="38">
        <f>Y160*AA160</f>
        <v/>
      </c>
      <c r="AD160" s="38">
        <f>SUM(AC124:AC159)</f>
        <v/>
      </c>
      <c r="AE160" s="41">
        <f>IF(OR($A160="",AD160&lt;MIN_OBS_ROLL),"",(SUMPRODUCT(AC124:AC159,Z124:Z159,AB124:AB159)/AD160-SUMPRODUCT(AC124:AC159,Z124:Z159)/AD160*SUMPRODUCT(AC124:AC159,AB124:AB159)/AD160)*AD160/(AD160-1))</f>
        <v/>
      </c>
      <c r="AF160" s="38">
        <f>SUM(AA124:AA159)</f>
        <v/>
      </c>
      <c r="AG160" s="41">
        <f>IF(OR($A160="",AF160&lt;MIN_OBS_ROLL),"",SUMPRODUCT(AA124:AA159,(AB124:AB159-SUMPRODUCT(AA124:AA159,AB124:AB159)/AF160)^2)/(AF160-1))</f>
        <v/>
      </c>
      <c r="AH160" s="38">
        <f>SUM(Y124:Y159)</f>
        <v/>
      </c>
      <c r="AI160" s="40">
        <f>IF(OR($A160="",AH160&lt;MIN_OBS_ROLL),"",SUMPRODUCT(Y124:Y159,Z124:Z159)/AH160)</f>
        <v/>
      </c>
      <c r="AJ160" s="40">
        <f>IF(OR($A160="",AF160&lt;MIN_OBS_ROLL),"",SUMPRODUCT(AA124:AA159,AB124:AB159)/AF160)</f>
        <v/>
      </c>
      <c r="AK160" s="40">
        <f>IF(OR(AE160="",AG160=""),"",AE160/AG160)</f>
        <v/>
      </c>
      <c r="AL160" s="40">
        <f>IF(OR(AI160="",AK160="",AJ160=""),"",AI160-AK160*AJ160)</f>
        <v/>
      </c>
      <c r="AM160" s="40">
        <f>IF(AND(ISNUMBER(W160),ISNUMBER(X160),ISNUMBER(AK160),ISNUMBER(AL160)),W160-(AL160+AK160*X160),"")</f>
        <v/>
      </c>
      <c r="AN160" s="38">
        <f>IF(ISNUMBER(AM160),1,0)</f>
        <v/>
      </c>
      <c r="AO160" s="40">
        <f>IF(AN160=1,AM160,0)</f>
        <v/>
      </c>
      <c r="AP160" s="40">
        <f>IF(SUM(AN158:AN160)=3,SUM(AO158:AO160),"")</f>
        <v/>
      </c>
      <c r="AQ160" s="38">
        <f>IF(ISNUMBER(AP160),1,0)</f>
        <v/>
      </c>
      <c r="AR160" s="40">
        <f>IF(AQ160=1,AP160,0)</f>
        <v/>
      </c>
      <c r="AS160" s="38">
        <f>SUM(AQ$5:AQ160)</f>
        <v/>
      </c>
      <c r="AT160" s="40">
        <f>IF(AS160&gt;=MIN_OBS_Z,SUMPRODUCT(AQ$5:AQ160,AR$5:AR160)/AS160,"")</f>
        <v/>
      </c>
      <c r="AU160" s="40">
        <f>IF(AS160&gt;=MIN_OBS_Z,SQRT(SUMPRODUCT(AQ$5:AQ160,(AR$5:AR160-AT160)^2)/(AS160-1)),"")</f>
        <v/>
      </c>
      <c r="AV160" s="40">
        <f>IF(AND(AQ160=1,ISNUMBER(AT160)),MAX(-Z_CLIP,MIN(Z_CLIP,(AR160-AT160)/AU160)),"")</f>
        <v/>
      </c>
      <c r="AW160" s="40">
        <f>IF(ISNUMBER(AV160),-AV160,"")</f>
        <v/>
      </c>
      <c r="AX160" s="40">
        <f>IF(ISNUMBER(AW160),1+AMPLITUD*TANH(AW160),"")</f>
        <v/>
      </c>
      <c r="AY160" s="40">
        <f>IF($A160="","",IF(COUNT(AX158:AX160)&gt;0,AVERAGE(AX158:AX160),""))</f>
        <v/>
      </c>
      <c r="AZ160" s="40">
        <f>IF(ISNUMBER(AY160),AY160-1,"")</f>
        <v/>
      </c>
      <c r="BA160" s="40">
        <f>IF(AND(ISNUMBER(AZ159),ISNUMBER(W160)),AZ159*W_BANCOS*W160,"")</f>
        <v/>
      </c>
      <c r="BB160" s="40">
        <f>IF(AND(ISNUMBER(AZ159),ISNUMBER(AZ158)),ABS(AZ159-AZ158)*W_BANCOS*COSTO,0)</f>
        <v/>
      </c>
      <c r="BC160" s="40">
        <f>IF(ISNUMBER(BA160),BA160-BB160,"")</f>
        <v/>
      </c>
      <c r="BD160" s="42">
        <f>IF(ISNUMBER(BC160),IF(A160&lt;=FECHA_ERA,"A","B"),"")</f>
        <v/>
      </c>
      <c r="BE160" s="40">
        <f>IF(BD160="A",BC160,"")</f>
        <v/>
      </c>
      <c r="BF160" s="40">
        <f>IF(BD160="B",BC160,"")</f>
        <v/>
      </c>
      <c r="BG160" s="38">
        <f>IF(AND(ISNUMBER(BC160),ISNUMBER(A160)),IF(A160&gt;=INICIO_VIVO,1,0),0)</f>
        <v/>
      </c>
      <c r="BH160" s="40">
        <f>IF(BG160=1,BC160,"")</f>
        <v/>
      </c>
      <c r="BI160" s="38">
        <f>IF(ISNUMBER(AY160),ROW(),0)</f>
        <v/>
      </c>
      <c r="BJ160" s="43">
        <f>IF(ISNUMBER(BC160),SUM(BC$5:BC160)*10000,NA())</f>
        <v/>
      </c>
      <c r="BK160" s="43">
        <f>IF(BG160=1,SUM(BH$5:BH160)*10000,NA())</f>
        <v/>
      </c>
      <c r="BL160" s="44">
        <f>IF(ISNUMBER(AY160),AY160,NA())</f>
        <v/>
      </c>
    </row>
    <row r="161">
      <c r="A161" s="36">
        <f>IF(Datos!A161="","",Datos!A161)</f>
        <v/>
      </c>
      <c r="B161" s="37">
        <f>IF(OR($A161="",NOT(ISNUMBER(Datos!B161)),NOT(ISNUMBER(Datos!B160))),"",Datos!B161/Datos!B160-1)</f>
        <v/>
      </c>
      <c r="C161" s="37">
        <f>IF(OR($A161="",NOT(ISNUMBER(Datos!C161)),NOT(ISNUMBER(Datos!C160))),"",Datos!C161/Datos!C160-1)</f>
        <v/>
      </c>
      <c r="D161" s="37">
        <f>IF(OR($A161="",NOT(ISNUMBER(Datos!D161)),NOT(ISNUMBER(Datos!D160))),"",Datos!D161/Datos!D160-1)</f>
        <v/>
      </c>
      <c r="E161" s="37">
        <f>IF(OR($A161="",NOT(ISNUMBER(Datos!E161)),NOT(ISNUMBER(Datos!E160))),"",Datos!E161/Datos!E160-1)</f>
        <v/>
      </c>
      <c r="F161" s="38">
        <f>IF($A161="","",COUNT(B161:E161))</f>
        <v/>
      </c>
      <c r="G161" s="37">
        <f>IF($A161="","",IF(F161&gt;=MIN_BANCOS,AVERAGE(B161:E161),""))</f>
        <v/>
      </c>
      <c r="H161" s="37">
        <f>IF(OR($A161="",NOT(ISNUMBER(Datos!F161)),NOT(ISNUMBER(Datos!F160))),"",Datos!F161/Datos!F160-1)</f>
        <v/>
      </c>
      <c r="I161" s="39">
        <f>IF($A161="","",IF(ISNUMBER(Datos!G161),Datos!G161,I160))</f>
        <v/>
      </c>
      <c r="J161" s="40">
        <f>IF($A161="","",IF(ISNUMBER(I160),LN(1+I160/100/12),0))</f>
        <v/>
      </c>
      <c r="K161" s="40">
        <f>IF(ISNUMBER(G161),LN(1+G161)-J161,"")</f>
        <v/>
      </c>
      <c r="L161" s="40">
        <f>IF(ISNUMBER(H161),LN(1+H161)-J161,"")</f>
        <v/>
      </c>
      <c r="M161" s="38">
        <f>IF(ISNUMBER(K161),1,0)</f>
        <v/>
      </c>
      <c r="N161" s="40">
        <f>IF(M161=1,K161,0)</f>
        <v/>
      </c>
      <c r="O161" s="38">
        <f>IF(ISNUMBER(L161),1,0)</f>
        <v/>
      </c>
      <c r="P161" s="40">
        <f>IF(O161=1,L161,0)</f>
        <v/>
      </c>
      <c r="Q161" s="38">
        <f>M161*O161</f>
        <v/>
      </c>
      <c r="R161" s="38">
        <f>SUM(Q125:Q160)</f>
        <v/>
      </c>
      <c r="S161" s="41">
        <f>IF(OR($A161="",R161&lt;MIN_OBS_ROLL),"",(SUMPRODUCT(Q125:Q160,N125:N160,P125:P160)/R161-SUMPRODUCT(Q125:Q160,N125:N160)/R161*SUMPRODUCT(Q125:Q160,P125:P160)/R161)*R161/(R161-1))</f>
        <v/>
      </c>
      <c r="T161" s="38">
        <f>SUM(O125:O160)</f>
        <v/>
      </c>
      <c r="U161" s="41">
        <f>IF(OR($A161="",T161&lt;MIN_OBS_ROLL),"",SUMPRODUCT(O125:O160,(P125:P160-SUMPRODUCT(O125:O160,P125:P160)/T161)^2)/(T161-1))</f>
        <v/>
      </c>
      <c r="V161" s="40">
        <f>IF(OR(S161="",U161=""),"",S161/U161)</f>
        <v/>
      </c>
      <c r="W161" s="40">
        <f>IF(AND(ISNUMBER(K161),ISNUMBER(L161),ISNUMBER(V161)),K161-V161*L161,"")</f>
        <v/>
      </c>
      <c r="X161" s="40">
        <f>IF(OR($A161="",NOT(ISNUMBER(Datos!H161)),NOT(ISNUMBER(Datos!H160))),"",LN(Datos!H161)-LN(Datos!H160))</f>
        <v/>
      </c>
      <c r="Y161" s="38">
        <f>IF(ISNUMBER(W161),1,0)</f>
        <v/>
      </c>
      <c r="Z161" s="40">
        <f>IF(Y161=1,W161,0)</f>
        <v/>
      </c>
      <c r="AA161" s="38">
        <f>IF(ISNUMBER(X161),1,0)</f>
        <v/>
      </c>
      <c r="AB161" s="40">
        <f>IF(AA161=1,X161,0)</f>
        <v/>
      </c>
      <c r="AC161" s="38">
        <f>Y161*AA161</f>
        <v/>
      </c>
      <c r="AD161" s="38">
        <f>SUM(AC125:AC160)</f>
        <v/>
      </c>
      <c r="AE161" s="41">
        <f>IF(OR($A161="",AD161&lt;MIN_OBS_ROLL),"",(SUMPRODUCT(AC125:AC160,Z125:Z160,AB125:AB160)/AD161-SUMPRODUCT(AC125:AC160,Z125:Z160)/AD161*SUMPRODUCT(AC125:AC160,AB125:AB160)/AD161)*AD161/(AD161-1))</f>
        <v/>
      </c>
      <c r="AF161" s="38">
        <f>SUM(AA125:AA160)</f>
        <v/>
      </c>
      <c r="AG161" s="41">
        <f>IF(OR($A161="",AF161&lt;MIN_OBS_ROLL),"",SUMPRODUCT(AA125:AA160,(AB125:AB160-SUMPRODUCT(AA125:AA160,AB125:AB160)/AF161)^2)/(AF161-1))</f>
        <v/>
      </c>
      <c r="AH161" s="38">
        <f>SUM(Y125:Y160)</f>
        <v/>
      </c>
      <c r="AI161" s="40">
        <f>IF(OR($A161="",AH161&lt;MIN_OBS_ROLL),"",SUMPRODUCT(Y125:Y160,Z125:Z160)/AH161)</f>
        <v/>
      </c>
      <c r="AJ161" s="40">
        <f>IF(OR($A161="",AF161&lt;MIN_OBS_ROLL),"",SUMPRODUCT(AA125:AA160,AB125:AB160)/AF161)</f>
        <v/>
      </c>
      <c r="AK161" s="40">
        <f>IF(OR(AE161="",AG161=""),"",AE161/AG161)</f>
        <v/>
      </c>
      <c r="AL161" s="40">
        <f>IF(OR(AI161="",AK161="",AJ161=""),"",AI161-AK161*AJ161)</f>
        <v/>
      </c>
      <c r="AM161" s="40">
        <f>IF(AND(ISNUMBER(W161),ISNUMBER(X161),ISNUMBER(AK161),ISNUMBER(AL161)),W161-(AL161+AK161*X161),"")</f>
        <v/>
      </c>
      <c r="AN161" s="38">
        <f>IF(ISNUMBER(AM161),1,0)</f>
        <v/>
      </c>
      <c r="AO161" s="40">
        <f>IF(AN161=1,AM161,0)</f>
        <v/>
      </c>
      <c r="AP161" s="40">
        <f>IF(SUM(AN159:AN161)=3,SUM(AO159:AO161),"")</f>
        <v/>
      </c>
      <c r="AQ161" s="38">
        <f>IF(ISNUMBER(AP161),1,0)</f>
        <v/>
      </c>
      <c r="AR161" s="40">
        <f>IF(AQ161=1,AP161,0)</f>
        <v/>
      </c>
      <c r="AS161" s="38">
        <f>SUM(AQ$5:AQ161)</f>
        <v/>
      </c>
      <c r="AT161" s="40">
        <f>IF(AS161&gt;=MIN_OBS_Z,SUMPRODUCT(AQ$5:AQ161,AR$5:AR161)/AS161,"")</f>
        <v/>
      </c>
      <c r="AU161" s="40">
        <f>IF(AS161&gt;=MIN_OBS_Z,SQRT(SUMPRODUCT(AQ$5:AQ161,(AR$5:AR161-AT161)^2)/(AS161-1)),"")</f>
        <v/>
      </c>
      <c r="AV161" s="40">
        <f>IF(AND(AQ161=1,ISNUMBER(AT161)),MAX(-Z_CLIP,MIN(Z_CLIP,(AR161-AT161)/AU161)),"")</f>
        <v/>
      </c>
      <c r="AW161" s="40">
        <f>IF(ISNUMBER(AV161),-AV161,"")</f>
        <v/>
      </c>
      <c r="AX161" s="40">
        <f>IF(ISNUMBER(AW161),1+AMPLITUD*TANH(AW161),"")</f>
        <v/>
      </c>
      <c r="AY161" s="40">
        <f>IF($A161="","",IF(COUNT(AX159:AX161)&gt;0,AVERAGE(AX159:AX161),""))</f>
        <v/>
      </c>
      <c r="AZ161" s="40">
        <f>IF(ISNUMBER(AY161),AY161-1,"")</f>
        <v/>
      </c>
      <c r="BA161" s="40">
        <f>IF(AND(ISNUMBER(AZ160),ISNUMBER(W161)),AZ160*W_BANCOS*W161,"")</f>
        <v/>
      </c>
      <c r="BB161" s="40">
        <f>IF(AND(ISNUMBER(AZ160),ISNUMBER(AZ159)),ABS(AZ160-AZ159)*W_BANCOS*COSTO,0)</f>
        <v/>
      </c>
      <c r="BC161" s="40">
        <f>IF(ISNUMBER(BA161),BA161-BB161,"")</f>
        <v/>
      </c>
      <c r="BD161" s="42">
        <f>IF(ISNUMBER(BC161),IF(A161&lt;=FECHA_ERA,"A","B"),"")</f>
        <v/>
      </c>
      <c r="BE161" s="40">
        <f>IF(BD161="A",BC161,"")</f>
        <v/>
      </c>
      <c r="BF161" s="40">
        <f>IF(BD161="B",BC161,"")</f>
        <v/>
      </c>
      <c r="BG161" s="38">
        <f>IF(AND(ISNUMBER(BC161),ISNUMBER(A161)),IF(A161&gt;=INICIO_VIVO,1,0),0)</f>
        <v/>
      </c>
      <c r="BH161" s="40">
        <f>IF(BG161=1,BC161,"")</f>
        <v/>
      </c>
      <c r="BI161" s="38">
        <f>IF(ISNUMBER(AY161),ROW(),0)</f>
        <v/>
      </c>
      <c r="BJ161" s="43">
        <f>IF(ISNUMBER(BC161),SUM(BC$5:BC161)*10000,NA())</f>
        <v/>
      </c>
      <c r="BK161" s="43">
        <f>IF(BG161=1,SUM(BH$5:BH161)*10000,NA())</f>
        <v/>
      </c>
      <c r="BL161" s="44">
        <f>IF(ISNUMBER(AY161),AY161,NA())</f>
        <v/>
      </c>
    </row>
    <row r="162">
      <c r="A162" s="36">
        <f>IF(Datos!A162="","",Datos!A162)</f>
        <v/>
      </c>
      <c r="B162" s="37">
        <f>IF(OR($A162="",NOT(ISNUMBER(Datos!B162)),NOT(ISNUMBER(Datos!B161))),"",Datos!B162/Datos!B161-1)</f>
        <v/>
      </c>
      <c r="C162" s="37">
        <f>IF(OR($A162="",NOT(ISNUMBER(Datos!C162)),NOT(ISNUMBER(Datos!C161))),"",Datos!C162/Datos!C161-1)</f>
        <v/>
      </c>
      <c r="D162" s="37">
        <f>IF(OR($A162="",NOT(ISNUMBER(Datos!D162)),NOT(ISNUMBER(Datos!D161))),"",Datos!D162/Datos!D161-1)</f>
        <v/>
      </c>
      <c r="E162" s="37">
        <f>IF(OR($A162="",NOT(ISNUMBER(Datos!E162)),NOT(ISNUMBER(Datos!E161))),"",Datos!E162/Datos!E161-1)</f>
        <v/>
      </c>
      <c r="F162" s="38">
        <f>IF($A162="","",COUNT(B162:E162))</f>
        <v/>
      </c>
      <c r="G162" s="37">
        <f>IF($A162="","",IF(F162&gt;=MIN_BANCOS,AVERAGE(B162:E162),""))</f>
        <v/>
      </c>
      <c r="H162" s="37">
        <f>IF(OR($A162="",NOT(ISNUMBER(Datos!F162)),NOT(ISNUMBER(Datos!F161))),"",Datos!F162/Datos!F161-1)</f>
        <v/>
      </c>
      <c r="I162" s="39">
        <f>IF($A162="","",IF(ISNUMBER(Datos!G162),Datos!G162,I161))</f>
        <v/>
      </c>
      <c r="J162" s="40">
        <f>IF($A162="","",IF(ISNUMBER(I161),LN(1+I161/100/12),0))</f>
        <v/>
      </c>
      <c r="K162" s="40">
        <f>IF(ISNUMBER(G162),LN(1+G162)-J162,"")</f>
        <v/>
      </c>
      <c r="L162" s="40">
        <f>IF(ISNUMBER(H162),LN(1+H162)-J162,"")</f>
        <v/>
      </c>
      <c r="M162" s="38">
        <f>IF(ISNUMBER(K162),1,0)</f>
        <v/>
      </c>
      <c r="N162" s="40">
        <f>IF(M162=1,K162,0)</f>
        <v/>
      </c>
      <c r="O162" s="38">
        <f>IF(ISNUMBER(L162),1,0)</f>
        <v/>
      </c>
      <c r="P162" s="40">
        <f>IF(O162=1,L162,0)</f>
        <v/>
      </c>
      <c r="Q162" s="38">
        <f>M162*O162</f>
        <v/>
      </c>
      <c r="R162" s="38">
        <f>SUM(Q126:Q161)</f>
        <v/>
      </c>
      <c r="S162" s="41">
        <f>IF(OR($A162="",R162&lt;MIN_OBS_ROLL),"",(SUMPRODUCT(Q126:Q161,N126:N161,P126:P161)/R162-SUMPRODUCT(Q126:Q161,N126:N161)/R162*SUMPRODUCT(Q126:Q161,P126:P161)/R162)*R162/(R162-1))</f>
        <v/>
      </c>
      <c r="T162" s="38">
        <f>SUM(O126:O161)</f>
        <v/>
      </c>
      <c r="U162" s="41">
        <f>IF(OR($A162="",T162&lt;MIN_OBS_ROLL),"",SUMPRODUCT(O126:O161,(P126:P161-SUMPRODUCT(O126:O161,P126:P161)/T162)^2)/(T162-1))</f>
        <v/>
      </c>
      <c r="V162" s="40">
        <f>IF(OR(S162="",U162=""),"",S162/U162)</f>
        <v/>
      </c>
      <c r="W162" s="40">
        <f>IF(AND(ISNUMBER(K162),ISNUMBER(L162),ISNUMBER(V162)),K162-V162*L162,"")</f>
        <v/>
      </c>
      <c r="X162" s="40">
        <f>IF(OR($A162="",NOT(ISNUMBER(Datos!H162)),NOT(ISNUMBER(Datos!H161))),"",LN(Datos!H162)-LN(Datos!H161))</f>
        <v/>
      </c>
      <c r="Y162" s="38">
        <f>IF(ISNUMBER(W162),1,0)</f>
        <v/>
      </c>
      <c r="Z162" s="40">
        <f>IF(Y162=1,W162,0)</f>
        <v/>
      </c>
      <c r="AA162" s="38">
        <f>IF(ISNUMBER(X162),1,0)</f>
        <v/>
      </c>
      <c r="AB162" s="40">
        <f>IF(AA162=1,X162,0)</f>
        <v/>
      </c>
      <c r="AC162" s="38">
        <f>Y162*AA162</f>
        <v/>
      </c>
      <c r="AD162" s="38">
        <f>SUM(AC126:AC161)</f>
        <v/>
      </c>
      <c r="AE162" s="41">
        <f>IF(OR($A162="",AD162&lt;MIN_OBS_ROLL),"",(SUMPRODUCT(AC126:AC161,Z126:Z161,AB126:AB161)/AD162-SUMPRODUCT(AC126:AC161,Z126:Z161)/AD162*SUMPRODUCT(AC126:AC161,AB126:AB161)/AD162)*AD162/(AD162-1))</f>
        <v/>
      </c>
      <c r="AF162" s="38">
        <f>SUM(AA126:AA161)</f>
        <v/>
      </c>
      <c r="AG162" s="41">
        <f>IF(OR($A162="",AF162&lt;MIN_OBS_ROLL),"",SUMPRODUCT(AA126:AA161,(AB126:AB161-SUMPRODUCT(AA126:AA161,AB126:AB161)/AF162)^2)/(AF162-1))</f>
        <v/>
      </c>
      <c r="AH162" s="38">
        <f>SUM(Y126:Y161)</f>
        <v/>
      </c>
      <c r="AI162" s="40">
        <f>IF(OR($A162="",AH162&lt;MIN_OBS_ROLL),"",SUMPRODUCT(Y126:Y161,Z126:Z161)/AH162)</f>
        <v/>
      </c>
      <c r="AJ162" s="40">
        <f>IF(OR($A162="",AF162&lt;MIN_OBS_ROLL),"",SUMPRODUCT(AA126:AA161,AB126:AB161)/AF162)</f>
        <v/>
      </c>
      <c r="AK162" s="40">
        <f>IF(OR(AE162="",AG162=""),"",AE162/AG162)</f>
        <v/>
      </c>
      <c r="AL162" s="40">
        <f>IF(OR(AI162="",AK162="",AJ162=""),"",AI162-AK162*AJ162)</f>
        <v/>
      </c>
      <c r="AM162" s="40">
        <f>IF(AND(ISNUMBER(W162),ISNUMBER(X162),ISNUMBER(AK162),ISNUMBER(AL162)),W162-(AL162+AK162*X162),"")</f>
        <v/>
      </c>
      <c r="AN162" s="38">
        <f>IF(ISNUMBER(AM162),1,0)</f>
        <v/>
      </c>
      <c r="AO162" s="40">
        <f>IF(AN162=1,AM162,0)</f>
        <v/>
      </c>
      <c r="AP162" s="40">
        <f>IF(SUM(AN160:AN162)=3,SUM(AO160:AO162),"")</f>
        <v/>
      </c>
      <c r="AQ162" s="38">
        <f>IF(ISNUMBER(AP162),1,0)</f>
        <v/>
      </c>
      <c r="AR162" s="40">
        <f>IF(AQ162=1,AP162,0)</f>
        <v/>
      </c>
      <c r="AS162" s="38">
        <f>SUM(AQ$5:AQ162)</f>
        <v/>
      </c>
      <c r="AT162" s="40">
        <f>IF(AS162&gt;=MIN_OBS_Z,SUMPRODUCT(AQ$5:AQ162,AR$5:AR162)/AS162,"")</f>
        <v/>
      </c>
      <c r="AU162" s="40">
        <f>IF(AS162&gt;=MIN_OBS_Z,SQRT(SUMPRODUCT(AQ$5:AQ162,(AR$5:AR162-AT162)^2)/(AS162-1)),"")</f>
        <v/>
      </c>
      <c r="AV162" s="40">
        <f>IF(AND(AQ162=1,ISNUMBER(AT162)),MAX(-Z_CLIP,MIN(Z_CLIP,(AR162-AT162)/AU162)),"")</f>
        <v/>
      </c>
      <c r="AW162" s="40">
        <f>IF(ISNUMBER(AV162),-AV162,"")</f>
        <v/>
      </c>
      <c r="AX162" s="40">
        <f>IF(ISNUMBER(AW162),1+AMPLITUD*TANH(AW162),"")</f>
        <v/>
      </c>
      <c r="AY162" s="40">
        <f>IF($A162="","",IF(COUNT(AX160:AX162)&gt;0,AVERAGE(AX160:AX162),""))</f>
        <v/>
      </c>
      <c r="AZ162" s="40">
        <f>IF(ISNUMBER(AY162),AY162-1,"")</f>
        <v/>
      </c>
      <c r="BA162" s="40">
        <f>IF(AND(ISNUMBER(AZ161),ISNUMBER(W162)),AZ161*W_BANCOS*W162,"")</f>
        <v/>
      </c>
      <c r="BB162" s="40">
        <f>IF(AND(ISNUMBER(AZ161),ISNUMBER(AZ160)),ABS(AZ161-AZ160)*W_BANCOS*COSTO,0)</f>
        <v/>
      </c>
      <c r="BC162" s="40">
        <f>IF(ISNUMBER(BA162),BA162-BB162,"")</f>
        <v/>
      </c>
      <c r="BD162" s="42">
        <f>IF(ISNUMBER(BC162),IF(A162&lt;=FECHA_ERA,"A","B"),"")</f>
        <v/>
      </c>
      <c r="BE162" s="40">
        <f>IF(BD162="A",BC162,"")</f>
        <v/>
      </c>
      <c r="BF162" s="40">
        <f>IF(BD162="B",BC162,"")</f>
        <v/>
      </c>
      <c r="BG162" s="38">
        <f>IF(AND(ISNUMBER(BC162),ISNUMBER(A162)),IF(A162&gt;=INICIO_VIVO,1,0),0)</f>
        <v/>
      </c>
      <c r="BH162" s="40">
        <f>IF(BG162=1,BC162,"")</f>
        <v/>
      </c>
      <c r="BI162" s="38">
        <f>IF(ISNUMBER(AY162),ROW(),0)</f>
        <v/>
      </c>
      <c r="BJ162" s="43">
        <f>IF(ISNUMBER(BC162),SUM(BC$5:BC162)*10000,NA())</f>
        <v/>
      </c>
      <c r="BK162" s="43">
        <f>IF(BG162=1,SUM(BH$5:BH162)*10000,NA())</f>
        <v/>
      </c>
      <c r="BL162" s="44">
        <f>IF(ISNUMBER(AY162),AY162,NA())</f>
        <v/>
      </c>
    </row>
    <row r="163">
      <c r="A163" s="36">
        <f>IF(Datos!A163="","",Datos!A163)</f>
        <v/>
      </c>
      <c r="B163" s="37">
        <f>IF(OR($A163="",NOT(ISNUMBER(Datos!B163)),NOT(ISNUMBER(Datos!B162))),"",Datos!B163/Datos!B162-1)</f>
        <v/>
      </c>
      <c r="C163" s="37">
        <f>IF(OR($A163="",NOT(ISNUMBER(Datos!C163)),NOT(ISNUMBER(Datos!C162))),"",Datos!C163/Datos!C162-1)</f>
        <v/>
      </c>
      <c r="D163" s="37">
        <f>IF(OR($A163="",NOT(ISNUMBER(Datos!D163)),NOT(ISNUMBER(Datos!D162))),"",Datos!D163/Datos!D162-1)</f>
        <v/>
      </c>
      <c r="E163" s="37">
        <f>IF(OR($A163="",NOT(ISNUMBER(Datos!E163)),NOT(ISNUMBER(Datos!E162))),"",Datos!E163/Datos!E162-1)</f>
        <v/>
      </c>
      <c r="F163" s="38">
        <f>IF($A163="","",COUNT(B163:E163))</f>
        <v/>
      </c>
      <c r="G163" s="37">
        <f>IF($A163="","",IF(F163&gt;=MIN_BANCOS,AVERAGE(B163:E163),""))</f>
        <v/>
      </c>
      <c r="H163" s="37">
        <f>IF(OR($A163="",NOT(ISNUMBER(Datos!F163)),NOT(ISNUMBER(Datos!F162))),"",Datos!F163/Datos!F162-1)</f>
        <v/>
      </c>
      <c r="I163" s="39">
        <f>IF($A163="","",IF(ISNUMBER(Datos!G163),Datos!G163,I162))</f>
        <v/>
      </c>
      <c r="J163" s="40">
        <f>IF($A163="","",IF(ISNUMBER(I162),LN(1+I162/100/12),0))</f>
        <v/>
      </c>
      <c r="K163" s="40">
        <f>IF(ISNUMBER(G163),LN(1+G163)-J163,"")</f>
        <v/>
      </c>
      <c r="L163" s="40">
        <f>IF(ISNUMBER(H163),LN(1+H163)-J163,"")</f>
        <v/>
      </c>
      <c r="M163" s="38">
        <f>IF(ISNUMBER(K163),1,0)</f>
        <v/>
      </c>
      <c r="N163" s="40">
        <f>IF(M163=1,K163,0)</f>
        <v/>
      </c>
      <c r="O163" s="38">
        <f>IF(ISNUMBER(L163),1,0)</f>
        <v/>
      </c>
      <c r="P163" s="40">
        <f>IF(O163=1,L163,0)</f>
        <v/>
      </c>
      <c r="Q163" s="38">
        <f>M163*O163</f>
        <v/>
      </c>
      <c r="R163" s="38">
        <f>SUM(Q127:Q162)</f>
        <v/>
      </c>
      <c r="S163" s="41">
        <f>IF(OR($A163="",R163&lt;MIN_OBS_ROLL),"",(SUMPRODUCT(Q127:Q162,N127:N162,P127:P162)/R163-SUMPRODUCT(Q127:Q162,N127:N162)/R163*SUMPRODUCT(Q127:Q162,P127:P162)/R163)*R163/(R163-1))</f>
        <v/>
      </c>
      <c r="T163" s="38">
        <f>SUM(O127:O162)</f>
        <v/>
      </c>
      <c r="U163" s="41">
        <f>IF(OR($A163="",T163&lt;MIN_OBS_ROLL),"",SUMPRODUCT(O127:O162,(P127:P162-SUMPRODUCT(O127:O162,P127:P162)/T163)^2)/(T163-1))</f>
        <v/>
      </c>
      <c r="V163" s="40">
        <f>IF(OR(S163="",U163=""),"",S163/U163)</f>
        <v/>
      </c>
      <c r="W163" s="40">
        <f>IF(AND(ISNUMBER(K163),ISNUMBER(L163),ISNUMBER(V163)),K163-V163*L163,"")</f>
        <v/>
      </c>
      <c r="X163" s="40">
        <f>IF(OR($A163="",NOT(ISNUMBER(Datos!H163)),NOT(ISNUMBER(Datos!H162))),"",LN(Datos!H163)-LN(Datos!H162))</f>
        <v/>
      </c>
      <c r="Y163" s="38">
        <f>IF(ISNUMBER(W163),1,0)</f>
        <v/>
      </c>
      <c r="Z163" s="40">
        <f>IF(Y163=1,W163,0)</f>
        <v/>
      </c>
      <c r="AA163" s="38">
        <f>IF(ISNUMBER(X163),1,0)</f>
        <v/>
      </c>
      <c r="AB163" s="40">
        <f>IF(AA163=1,X163,0)</f>
        <v/>
      </c>
      <c r="AC163" s="38">
        <f>Y163*AA163</f>
        <v/>
      </c>
      <c r="AD163" s="38">
        <f>SUM(AC127:AC162)</f>
        <v/>
      </c>
      <c r="AE163" s="41">
        <f>IF(OR($A163="",AD163&lt;MIN_OBS_ROLL),"",(SUMPRODUCT(AC127:AC162,Z127:Z162,AB127:AB162)/AD163-SUMPRODUCT(AC127:AC162,Z127:Z162)/AD163*SUMPRODUCT(AC127:AC162,AB127:AB162)/AD163)*AD163/(AD163-1))</f>
        <v/>
      </c>
      <c r="AF163" s="38">
        <f>SUM(AA127:AA162)</f>
        <v/>
      </c>
      <c r="AG163" s="41">
        <f>IF(OR($A163="",AF163&lt;MIN_OBS_ROLL),"",SUMPRODUCT(AA127:AA162,(AB127:AB162-SUMPRODUCT(AA127:AA162,AB127:AB162)/AF163)^2)/(AF163-1))</f>
        <v/>
      </c>
      <c r="AH163" s="38">
        <f>SUM(Y127:Y162)</f>
        <v/>
      </c>
      <c r="AI163" s="40">
        <f>IF(OR($A163="",AH163&lt;MIN_OBS_ROLL),"",SUMPRODUCT(Y127:Y162,Z127:Z162)/AH163)</f>
        <v/>
      </c>
      <c r="AJ163" s="40">
        <f>IF(OR($A163="",AF163&lt;MIN_OBS_ROLL),"",SUMPRODUCT(AA127:AA162,AB127:AB162)/AF163)</f>
        <v/>
      </c>
      <c r="AK163" s="40">
        <f>IF(OR(AE163="",AG163=""),"",AE163/AG163)</f>
        <v/>
      </c>
      <c r="AL163" s="40">
        <f>IF(OR(AI163="",AK163="",AJ163=""),"",AI163-AK163*AJ163)</f>
        <v/>
      </c>
      <c r="AM163" s="40">
        <f>IF(AND(ISNUMBER(W163),ISNUMBER(X163),ISNUMBER(AK163),ISNUMBER(AL163)),W163-(AL163+AK163*X163),"")</f>
        <v/>
      </c>
      <c r="AN163" s="38">
        <f>IF(ISNUMBER(AM163),1,0)</f>
        <v/>
      </c>
      <c r="AO163" s="40">
        <f>IF(AN163=1,AM163,0)</f>
        <v/>
      </c>
      <c r="AP163" s="40">
        <f>IF(SUM(AN161:AN163)=3,SUM(AO161:AO163),"")</f>
        <v/>
      </c>
      <c r="AQ163" s="38">
        <f>IF(ISNUMBER(AP163),1,0)</f>
        <v/>
      </c>
      <c r="AR163" s="40">
        <f>IF(AQ163=1,AP163,0)</f>
        <v/>
      </c>
      <c r="AS163" s="38">
        <f>SUM(AQ$5:AQ163)</f>
        <v/>
      </c>
      <c r="AT163" s="40">
        <f>IF(AS163&gt;=MIN_OBS_Z,SUMPRODUCT(AQ$5:AQ163,AR$5:AR163)/AS163,"")</f>
        <v/>
      </c>
      <c r="AU163" s="40">
        <f>IF(AS163&gt;=MIN_OBS_Z,SQRT(SUMPRODUCT(AQ$5:AQ163,(AR$5:AR163-AT163)^2)/(AS163-1)),"")</f>
        <v/>
      </c>
      <c r="AV163" s="40">
        <f>IF(AND(AQ163=1,ISNUMBER(AT163)),MAX(-Z_CLIP,MIN(Z_CLIP,(AR163-AT163)/AU163)),"")</f>
        <v/>
      </c>
      <c r="AW163" s="40">
        <f>IF(ISNUMBER(AV163),-AV163,"")</f>
        <v/>
      </c>
      <c r="AX163" s="40">
        <f>IF(ISNUMBER(AW163),1+AMPLITUD*TANH(AW163),"")</f>
        <v/>
      </c>
      <c r="AY163" s="40">
        <f>IF($A163="","",IF(COUNT(AX161:AX163)&gt;0,AVERAGE(AX161:AX163),""))</f>
        <v/>
      </c>
      <c r="AZ163" s="40">
        <f>IF(ISNUMBER(AY163),AY163-1,"")</f>
        <v/>
      </c>
      <c r="BA163" s="40">
        <f>IF(AND(ISNUMBER(AZ162),ISNUMBER(W163)),AZ162*W_BANCOS*W163,"")</f>
        <v/>
      </c>
      <c r="BB163" s="40">
        <f>IF(AND(ISNUMBER(AZ162),ISNUMBER(AZ161)),ABS(AZ162-AZ161)*W_BANCOS*COSTO,0)</f>
        <v/>
      </c>
      <c r="BC163" s="40">
        <f>IF(ISNUMBER(BA163),BA163-BB163,"")</f>
        <v/>
      </c>
      <c r="BD163" s="42">
        <f>IF(ISNUMBER(BC163),IF(A163&lt;=FECHA_ERA,"A","B"),"")</f>
        <v/>
      </c>
      <c r="BE163" s="40">
        <f>IF(BD163="A",BC163,"")</f>
        <v/>
      </c>
      <c r="BF163" s="40">
        <f>IF(BD163="B",BC163,"")</f>
        <v/>
      </c>
      <c r="BG163" s="38">
        <f>IF(AND(ISNUMBER(BC163),ISNUMBER(A163)),IF(A163&gt;=INICIO_VIVO,1,0),0)</f>
        <v/>
      </c>
      <c r="BH163" s="40">
        <f>IF(BG163=1,BC163,"")</f>
        <v/>
      </c>
      <c r="BI163" s="38">
        <f>IF(ISNUMBER(AY163),ROW(),0)</f>
        <v/>
      </c>
      <c r="BJ163" s="43">
        <f>IF(ISNUMBER(BC163),SUM(BC$5:BC163)*10000,NA())</f>
        <v/>
      </c>
      <c r="BK163" s="43">
        <f>IF(BG163=1,SUM(BH$5:BH163)*10000,NA())</f>
        <v/>
      </c>
      <c r="BL163" s="44">
        <f>IF(ISNUMBER(AY163),AY163,NA())</f>
        <v/>
      </c>
    </row>
    <row r="164">
      <c r="A164" s="36">
        <f>IF(Datos!A164="","",Datos!A164)</f>
        <v/>
      </c>
      <c r="B164" s="37">
        <f>IF(OR($A164="",NOT(ISNUMBER(Datos!B164)),NOT(ISNUMBER(Datos!B163))),"",Datos!B164/Datos!B163-1)</f>
        <v/>
      </c>
      <c r="C164" s="37">
        <f>IF(OR($A164="",NOT(ISNUMBER(Datos!C164)),NOT(ISNUMBER(Datos!C163))),"",Datos!C164/Datos!C163-1)</f>
        <v/>
      </c>
      <c r="D164" s="37">
        <f>IF(OR($A164="",NOT(ISNUMBER(Datos!D164)),NOT(ISNUMBER(Datos!D163))),"",Datos!D164/Datos!D163-1)</f>
        <v/>
      </c>
      <c r="E164" s="37">
        <f>IF(OR($A164="",NOT(ISNUMBER(Datos!E164)),NOT(ISNUMBER(Datos!E163))),"",Datos!E164/Datos!E163-1)</f>
        <v/>
      </c>
      <c r="F164" s="38">
        <f>IF($A164="","",COUNT(B164:E164))</f>
        <v/>
      </c>
      <c r="G164" s="37">
        <f>IF($A164="","",IF(F164&gt;=MIN_BANCOS,AVERAGE(B164:E164),""))</f>
        <v/>
      </c>
      <c r="H164" s="37">
        <f>IF(OR($A164="",NOT(ISNUMBER(Datos!F164)),NOT(ISNUMBER(Datos!F163))),"",Datos!F164/Datos!F163-1)</f>
        <v/>
      </c>
      <c r="I164" s="39">
        <f>IF($A164="","",IF(ISNUMBER(Datos!G164),Datos!G164,I163))</f>
        <v/>
      </c>
      <c r="J164" s="40">
        <f>IF($A164="","",IF(ISNUMBER(I163),LN(1+I163/100/12),0))</f>
        <v/>
      </c>
      <c r="K164" s="40">
        <f>IF(ISNUMBER(G164),LN(1+G164)-J164,"")</f>
        <v/>
      </c>
      <c r="L164" s="40">
        <f>IF(ISNUMBER(H164),LN(1+H164)-J164,"")</f>
        <v/>
      </c>
      <c r="M164" s="38">
        <f>IF(ISNUMBER(K164),1,0)</f>
        <v/>
      </c>
      <c r="N164" s="40">
        <f>IF(M164=1,K164,0)</f>
        <v/>
      </c>
      <c r="O164" s="38">
        <f>IF(ISNUMBER(L164),1,0)</f>
        <v/>
      </c>
      <c r="P164" s="40">
        <f>IF(O164=1,L164,0)</f>
        <v/>
      </c>
      <c r="Q164" s="38">
        <f>M164*O164</f>
        <v/>
      </c>
      <c r="R164" s="38">
        <f>SUM(Q128:Q163)</f>
        <v/>
      </c>
      <c r="S164" s="41">
        <f>IF(OR($A164="",R164&lt;MIN_OBS_ROLL),"",(SUMPRODUCT(Q128:Q163,N128:N163,P128:P163)/R164-SUMPRODUCT(Q128:Q163,N128:N163)/R164*SUMPRODUCT(Q128:Q163,P128:P163)/R164)*R164/(R164-1))</f>
        <v/>
      </c>
      <c r="T164" s="38">
        <f>SUM(O128:O163)</f>
        <v/>
      </c>
      <c r="U164" s="41">
        <f>IF(OR($A164="",T164&lt;MIN_OBS_ROLL),"",SUMPRODUCT(O128:O163,(P128:P163-SUMPRODUCT(O128:O163,P128:P163)/T164)^2)/(T164-1))</f>
        <v/>
      </c>
      <c r="V164" s="40">
        <f>IF(OR(S164="",U164=""),"",S164/U164)</f>
        <v/>
      </c>
      <c r="W164" s="40">
        <f>IF(AND(ISNUMBER(K164),ISNUMBER(L164),ISNUMBER(V164)),K164-V164*L164,"")</f>
        <v/>
      </c>
      <c r="X164" s="40">
        <f>IF(OR($A164="",NOT(ISNUMBER(Datos!H164)),NOT(ISNUMBER(Datos!H163))),"",LN(Datos!H164)-LN(Datos!H163))</f>
        <v/>
      </c>
      <c r="Y164" s="38">
        <f>IF(ISNUMBER(W164),1,0)</f>
        <v/>
      </c>
      <c r="Z164" s="40">
        <f>IF(Y164=1,W164,0)</f>
        <v/>
      </c>
      <c r="AA164" s="38">
        <f>IF(ISNUMBER(X164),1,0)</f>
        <v/>
      </c>
      <c r="AB164" s="40">
        <f>IF(AA164=1,X164,0)</f>
        <v/>
      </c>
      <c r="AC164" s="38">
        <f>Y164*AA164</f>
        <v/>
      </c>
      <c r="AD164" s="38">
        <f>SUM(AC128:AC163)</f>
        <v/>
      </c>
      <c r="AE164" s="41">
        <f>IF(OR($A164="",AD164&lt;MIN_OBS_ROLL),"",(SUMPRODUCT(AC128:AC163,Z128:Z163,AB128:AB163)/AD164-SUMPRODUCT(AC128:AC163,Z128:Z163)/AD164*SUMPRODUCT(AC128:AC163,AB128:AB163)/AD164)*AD164/(AD164-1))</f>
        <v/>
      </c>
      <c r="AF164" s="38">
        <f>SUM(AA128:AA163)</f>
        <v/>
      </c>
      <c r="AG164" s="41">
        <f>IF(OR($A164="",AF164&lt;MIN_OBS_ROLL),"",SUMPRODUCT(AA128:AA163,(AB128:AB163-SUMPRODUCT(AA128:AA163,AB128:AB163)/AF164)^2)/(AF164-1))</f>
        <v/>
      </c>
      <c r="AH164" s="38">
        <f>SUM(Y128:Y163)</f>
        <v/>
      </c>
      <c r="AI164" s="40">
        <f>IF(OR($A164="",AH164&lt;MIN_OBS_ROLL),"",SUMPRODUCT(Y128:Y163,Z128:Z163)/AH164)</f>
        <v/>
      </c>
      <c r="AJ164" s="40">
        <f>IF(OR($A164="",AF164&lt;MIN_OBS_ROLL),"",SUMPRODUCT(AA128:AA163,AB128:AB163)/AF164)</f>
        <v/>
      </c>
      <c r="AK164" s="40">
        <f>IF(OR(AE164="",AG164=""),"",AE164/AG164)</f>
        <v/>
      </c>
      <c r="AL164" s="40">
        <f>IF(OR(AI164="",AK164="",AJ164=""),"",AI164-AK164*AJ164)</f>
        <v/>
      </c>
      <c r="AM164" s="40">
        <f>IF(AND(ISNUMBER(W164),ISNUMBER(X164),ISNUMBER(AK164),ISNUMBER(AL164)),W164-(AL164+AK164*X164),"")</f>
        <v/>
      </c>
      <c r="AN164" s="38">
        <f>IF(ISNUMBER(AM164),1,0)</f>
        <v/>
      </c>
      <c r="AO164" s="40">
        <f>IF(AN164=1,AM164,0)</f>
        <v/>
      </c>
      <c r="AP164" s="40">
        <f>IF(SUM(AN162:AN164)=3,SUM(AO162:AO164),"")</f>
        <v/>
      </c>
      <c r="AQ164" s="38">
        <f>IF(ISNUMBER(AP164),1,0)</f>
        <v/>
      </c>
      <c r="AR164" s="40">
        <f>IF(AQ164=1,AP164,0)</f>
        <v/>
      </c>
      <c r="AS164" s="38">
        <f>SUM(AQ$5:AQ164)</f>
        <v/>
      </c>
      <c r="AT164" s="40">
        <f>IF(AS164&gt;=MIN_OBS_Z,SUMPRODUCT(AQ$5:AQ164,AR$5:AR164)/AS164,"")</f>
        <v/>
      </c>
      <c r="AU164" s="40">
        <f>IF(AS164&gt;=MIN_OBS_Z,SQRT(SUMPRODUCT(AQ$5:AQ164,(AR$5:AR164-AT164)^2)/(AS164-1)),"")</f>
        <v/>
      </c>
      <c r="AV164" s="40">
        <f>IF(AND(AQ164=1,ISNUMBER(AT164)),MAX(-Z_CLIP,MIN(Z_CLIP,(AR164-AT164)/AU164)),"")</f>
        <v/>
      </c>
      <c r="AW164" s="40">
        <f>IF(ISNUMBER(AV164),-AV164,"")</f>
        <v/>
      </c>
      <c r="AX164" s="40">
        <f>IF(ISNUMBER(AW164),1+AMPLITUD*TANH(AW164),"")</f>
        <v/>
      </c>
      <c r="AY164" s="40">
        <f>IF($A164="","",IF(COUNT(AX162:AX164)&gt;0,AVERAGE(AX162:AX164),""))</f>
        <v/>
      </c>
      <c r="AZ164" s="40">
        <f>IF(ISNUMBER(AY164),AY164-1,"")</f>
        <v/>
      </c>
      <c r="BA164" s="40">
        <f>IF(AND(ISNUMBER(AZ163),ISNUMBER(W164)),AZ163*W_BANCOS*W164,"")</f>
        <v/>
      </c>
      <c r="BB164" s="40">
        <f>IF(AND(ISNUMBER(AZ163),ISNUMBER(AZ162)),ABS(AZ163-AZ162)*W_BANCOS*COSTO,0)</f>
        <v/>
      </c>
      <c r="BC164" s="40">
        <f>IF(ISNUMBER(BA164),BA164-BB164,"")</f>
        <v/>
      </c>
      <c r="BD164" s="42">
        <f>IF(ISNUMBER(BC164),IF(A164&lt;=FECHA_ERA,"A","B"),"")</f>
        <v/>
      </c>
      <c r="BE164" s="40">
        <f>IF(BD164="A",BC164,"")</f>
        <v/>
      </c>
      <c r="BF164" s="40">
        <f>IF(BD164="B",BC164,"")</f>
        <v/>
      </c>
      <c r="BG164" s="38">
        <f>IF(AND(ISNUMBER(BC164),ISNUMBER(A164)),IF(A164&gt;=INICIO_VIVO,1,0),0)</f>
        <v/>
      </c>
      <c r="BH164" s="40">
        <f>IF(BG164=1,BC164,"")</f>
        <v/>
      </c>
      <c r="BI164" s="38">
        <f>IF(ISNUMBER(AY164),ROW(),0)</f>
        <v/>
      </c>
      <c r="BJ164" s="43">
        <f>IF(ISNUMBER(BC164),SUM(BC$5:BC164)*10000,NA())</f>
        <v/>
      </c>
      <c r="BK164" s="43">
        <f>IF(BG164=1,SUM(BH$5:BH164)*10000,NA())</f>
        <v/>
      </c>
      <c r="BL164" s="44">
        <f>IF(ISNUMBER(AY164),AY164,NA())</f>
        <v/>
      </c>
    </row>
    <row r="165">
      <c r="A165" s="36">
        <f>IF(Datos!A165="","",Datos!A165)</f>
        <v/>
      </c>
      <c r="B165" s="37">
        <f>IF(OR($A165="",NOT(ISNUMBER(Datos!B165)),NOT(ISNUMBER(Datos!B164))),"",Datos!B165/Datos!B164-1)</f>
        <v/>
      </c>
      <c r="C165" s="37">
        <f>IF(OR($A165="",NOT(ISNUMBER(Datos!C165)),NOT(ISNUMBER(Datos!C164))),"",Datos!C165/Datos!C164-1)</f>
        <v/>
      </c>
      <c r="D165" s="37">
        <f>IF(OR($A165="",NOT(ISNUMBER(Datos!D165)),NOT(ISNUMBER(Datos!D164))),"",Datos!D165/Datos!D164-1)</f>
        <v/>
      </c>
      <c r="E165" s="37">
        <f>IF(OR($A165="",NOT(ISNUMBER(Datos!E165)),NOT(ISNUMBER(Datos!E164))),"",Datos!E165/Datos!E164-1)</f>
        <v/>
      </c>
      <c r="F165" s="38">
        <f>IF($A165="","",COUNT(B165:E165))</f>
        <v/>
      </c>
      <c r="G165" s="37">
        <f>IF($A165="","",IF(F165&gt;=MIN_BANCOS,AVERAGE(B165:E165),""))</f>
        <v/>
      </c>
      <c r="H165" s="37">
        <f>IF(OR($A165="",NOT(ISNUMBER(Datos!F165)),NOT(ISNUMBER(Datos!F164))),"",Datos!F165/Datos!F164-1)</f>
        <v/>
      </c>
      <c r="I165" s="39">
        <f>IF($A165="","",IF(ISNUMBER(Datos!G165),Datos!G165,I164))</f>
        <v/>
      </c>
      <c r="J165" s="40">
        <f>IF($A165="","",IF(ISNUMBER(I164),LN(1+I164/100/12),0))</f>
        <v/>
      </c>
      <c r="K165" s="40">
        <f>IF(ISNUMBER(G165),LN(1+G165)-J165,"")</f>
        <v/>
      </c>
      <c r="L165" s="40">
        <f>IF(ISNUMBER(H165),LN(1+H165)-J165,"")</f>
        <v/>
      </c>
      <c r="M165" s="38">
        <f>IF(ISNUMBER(K165),1,0)</f>
        <v/>
      </c>
      <c r="N165" s="40">
        <f>IF(M165=1,K165,0)</f>
        <v/>
      </c>
      <c r="O165" s="38">
        <f>IF(ISNUMBER(L165),1,0)</f>
        <v/>
      </c>
      <c r="P165" s="40">
        <f>IF(O165=1,L165,0)</f>
        <v/>
      </c>
      <c r="Q165" s="38">
        <f>M165*O165</f>
        <v/>
      </c>
      <c r="R165" s="38">
        <f>SUM(Q129:Q164)</f>
        <v/>
      </c>
      <c r="S165" s="41">
        <f>IF(OR($A165="",R165&lt;MIN_OBS_ROLL),"",(SUMPRODUCT(Q129:Q164,N129:N164,P129:P164)/R165-SUMPRODUCT(Q129:Q164,N129:N164)/R165*SUMPRODUCT(Q129:Q164,P129:P164)/R165)*R165/(R165-1))</f>
        <v/>
      </c>
      <c r="T165" s="38">
        <f>SUM(O129:O164)</f>
        <v/>
      </c>
      <c r="U165" s="41">
        <f>IF(OR($A165="",T165&lt;MIN_OBS_ROLL),"",SUMPRODUCT(O129:O164,(P129:P164-SUMPRODUCT(O129:O164,P129:P164)/T165)^2)/(T165-1))</f>
        <v/>
      </c>
      <c r="V165" s="40">
        <f>IF(OR(S165="",U165=""),"",S165/U165)</f>
        <v/>
      </c>
      <c r="W165" s="40">
        <f>IF(AND(ISNUMBER(K165),ISNUMBER(L165),ISNUMBER(V165)),K165-V165*L165,"")</f>
        <v/>
      </c>
      <c r="X165" s="40">
        <f>IF(OR($A165="",NOT(ISNUMBER(Datos!H165)),NOT(ISNUMBER(Datos!H164))),"",LN(Datos!H165)-LN(Datos!H164))</f>
        <v/>
      </c>
      <c r="Y165" s="38">
        <f>IF(ISNUMBER(W165),1,0)</f>
        <v/>
      </c>
      <c r="Z165" s="40">
        <f>IF(Y165=1,W165,0)</f>
        <v/>
      </c>
      <c r="AA165" s="38">
        <f>IF(ISNUMBER(X165),1,0)</f>
        <v/>
      </c>
      <c r="AB165" s="40">
        <f>IF(AA165=1,X165,0)</f>
        <v/>
      </c>
      <c r="AC165" s="38">
        <f>Y165*AA165</f>
        <v/>
      </c>
      <c r="AD165" s="38">
        <f>SUM(AC129:AC164)</f>
        <v/>
      </c>
      <c r="AE165" s="41">
        <f>IF(OR($A165="",AD165&lt;MIN_OBS_ROLL),"",(SUMPRODUCT(AC129:AC164,Z129:Z164,AB129:AB164)/AD165-SUMPRODUCT(AC129:AC164,Z129:Z164)/AD165*SUMPRODUCT(AC129:AC164,AB129:AB164)/AD165)*AD165/(AD165-1))</f>
        <v/>
      </c>
      <c r="AF165" s="38">
        <f>SUM(AA129:AA164)</f>
        <v/>
      </c>
      <c r="AG165" s="41">
        <f>IF(OR($A165="",AF165&lt;MIN_OBS_ROLL),"",SUMPRODUCT(AA129:AA164,(AB129:AB164-SUMPRODUCT(AA129:AA164,AB129:AB164)/AF165)^2)/(AF165-1))</f>
        <v/>
      </c>
      <c r="AH165" s="38">
        <f>SUM(Y129:Y164)</f>
        <v/>
      </c>
      <c r="AI165" s="40">
        <f>IF(OR($A165="",AH165&lt;MIN_OBS_ROLL),"",SUMPRODUCT(Y129:Y164,Z129:Z164)/AH165)</f>
        <v/>
      </c>
      <c r="AJ165" s="40">
        <f>IF(OR($A165="",AF165&lt;MIN_OBS_ROLL),"",SUMPRODUCT(AA129:AA164,AB129:AB164)/AF165)</f>
        <v/>
      </c>
      <c r="AK165" s="40">
        <f>IF(OR(AE165="",AG165=""),"",AE165/AG165)</f>
        <v/>
      </c>
      <c r="AL165" s="40">
        <f>IF(OR(AI165="",AK165="",AJ165=""),"",AI165-AK165*AJ165)</f>
        <v/>
      </c>
      <c r="AM165" s="40">
        <f>IF(AND(ISNUMBER(W165),ISNUMBER(X165),ISNUMBER(AK165),ISNUMBER(AL165)),W165-(AL165+AK165*X165),"")</f>
        <v/>
      </c>
      <c r="AN165" s="38">
        <f>IF(ISNUMBER(AM165),1,0)</f>
        <v/>
      </c>
      <c r="AO165" s="40">
        <f>IF(AN165=1,AM165,0)</f>
        <v/>
      </c>
      <c r="AP165" s="40">
        <f>IF(SUM(AN163:AN165)=3,SUM(AO163:AO165),"")</f>
        <v/>
      </c>
      <c r="AQ165" s="38">
        <f>IF(ISNUMBER(AP165),1,0)</f>
        <v/>
      </c>
      <c r="AR165" s="40">
        <f>IF(AQ165=1,AP165,0)</f>
        <v/>
      </c>
      <c r="AS165" s="38">
        <f>SUM(AQ$5:AQ165)</f>
        <v/>
      </c>
      <c r="AT165" s="40">
        <f>IF(AS165&gt;=MIN_OBS_Z,SUMPRODUCT(AQ$5:AQ165,AR$5:AR165)/AS165,"")</f>
        <v/>
      </c>
      <c r="AU165" s="40">
        <f>IF(AS165&gt;=MIN_OBS_Z,SQRT(SUMPRODUCT(AQ$5:AQ165,(AR$5:AR165-AT165)^2)/(AS165-1)),"")</f>
        <v/>
      </c>
      <c r="AV165" s="40">
        <f>IF(AND(AQ165=1,ISNUMBER(AT165)),MAX(-Z_CLIP,MIN(Z_CLIP,(AR165-AT165)/AU165)),"")</f>
        <v/>
      </c>
      <c r="AW165" s="40">
        <f>IF(ISNUMBER(AV165),-AV165,"")</f>
        <v/>
      </c>
      <c r="AX165" s="40">
        <f>IF(ISNUMBER(AW165),1+AMPLITUD*TANH(AW165),"")</f>
        <v/>
      </c>
      <c r="AY165" s="40">
        <f>IF($A165="","",IF(COUNT(AX163:AX165)&gt;0,AVERAGE(AX163:AX165),""))</f>
        <v/>
      </c>
      <c r="AZ165" s="40">
        <f>IF(ISNUMBER(AY165),AY165-1,"")</f>
        <v/>
      </c>
      <c r="BA165" s="40">
        <f>IF(AND(ISNUMBER(AZ164),ISNUMBER(W165)),AZ164*W_BANCOS*W165,"")</f>
        <v/>
      </c>
      <c r="BB165" s="40">
        <f>IF(AND(ISNUMBER(AZ164),ISNUMBER(AZ163)),ABS(AZ164-AZ163)*W_BANCOS*COSTO,0)</f>
        <v/>
      </c>
      <c r="BC165" s="40">
        <f>IF(ISNUMBER(BA165),BA165-BB165,"")</f>
        <v/>
      </c>
      <c r="BD165" s="42">
        <f>IF(ISNUMBER(BC165),IF(A165&lt;=FECHA_ERA,"A","B"),"")</f>
        <v/>
      </c>
      <c r="BE165" s="40">
        <f>IF(BD165="A",BC165,"")</f>
        <v/>
      </c>
      <c r="BF165" s="40">
        <f>IF(BD165="B",BC165,"")</f>
        <v/>
      </c>
      <c r="BG165" s="38">
        <f>IF(AND(ISNUMBER(BC165),ISNUMBER(A165)),IF(A165&gt;=INICIO_VIVO,1,0),0)</f>
        <v/>
      </c>
      <c r="BH165" s="40">
        <f>IF(BG165=1,BC165,"")</f>
        <v/>
      </c>
      <c r="BI165" s="38">
        <f>IF(ISNUMBER(AY165),ROW(),0)</f>
        <v/>
      </c>
      <c r="BJ165" s="43">
        <f>IF(ISNUMBER(BC165),SUM(BC$5:BC165)*10000,NA())</f>
        <v/>
      </c>
      <c r="BK165" s="43">
        <f>IF(BG165=1,SUM(BH$5:BH165)*10000,NA())</f>
        <v/>
      </c>
      <c r="BL165" s="44">
        <f>IF(ISNUMBER(AY165),AY165,NA())</f>
        <v/>
      </c>
    </row>
    <row r="166">
      <c r="A166" s="36">
        <f>IF(Datos!A166="","",Datos!A166)</f>
        <v/>
      </c>
      <c r="B166" s="37">
        <f>IF(OR($A166="",NOT(ISNUMBER(Datos!B166)),NOT(ISNUMBER(Datos!B165))),"",Datos!B166/Datos!B165-1)</f>
        <v/>
      </c>
      <c r="C166" s="37">
        <f>IF(OR($A166="",NOT(ISNUMBER(Datos!C166)),NOT(ISNUMBER(Datos!C165))),"",Datos!C166/Datos!C165-1)</f>
        <v/>
      </c>
      <c r="D166" s="37">
        <f>IF(OR($A166="",NOT(ISNUMBER(Datos!D166)),NOT(ISNUMBER(Datos!D165))),"",Datos!D166/Datos!D165-1)</f>
        <v/>
      </c>
      <c r="E166" s="37">
        <f>IF(OR($A166="",NOT(ISNUMBER(Datos!E166)),NOT(ISNUMBER(Datos!E165))),"",Datos!E166/Datos!E165-1)</f>
        <v/>
      </c>
      <c r="F166" s="38">
        <f>IF($A166="","",COUNT(B166:E166))</f>
        <v/>
      </c>
      <c r="G166" s="37">
        <f>IF($A166="","",IF(F166&gt;=MIN_BANCOS,AVERAGE(B166:E166),""))</f>
        <v/>
      </c>
      <c r="H166" s="37">
        <f>IF(OR($A166="",NOT(ISNUMBER(Datos!F166)),NOT(ISNUMBER(Datos!F165))),"",Datos!F166/Datos!F165-1)</f>
        <v/>
      </c>
      <c r="I166" s="39">
        <f>IF($A166="","",IF(ISNUMBER(Datos!G166),Datos!G166,I165))</f>
        <v/>
      </c>
      <c r="J166" s="40">
        <f>IF($A166="","",IF(ISNUMBER(I165),LN(1+I165/100/12),0))</f>
        <v/>
      </c>
      <c r="K166" s="40">
        <f>IF(ISNUMBER(G166),LN(1+G166)-J166,"")</f>
        <v/>
      </c>
      <c r="L166" s="40">
        <f>IF(ISNUMBER(H166),LN(1+H166)-J166,"")</f>
        <v/>
      </c>
      <c r="M166" s="38">
        <f>IF(ISNUMBER(K166),1,0)</f>
        <v/>
      </c>
      <c r="N166" s="40">
        <f>IF(M166=1,K166,0)</f>
        <v/>
      </c>
      <c r="O166" s="38">
        <f>IF(ISNUMBER(L166),1,0)</f>
        <v/>
      </c>
      <c r="P166" s="40">
        <f>IF(O166=1,L166,0)</f>
        <v/>
      </c>
      <c r="Q166" s="38">
        <f>M166*O166</f>
        <v/>
      </c>
      <c r="R166" s="38">
        <f>SUM(Q130:Q165)</f>
        <v/>
      </c>
      <c r="S166" s="41">
        <f>IF(OR($A166="",R166&lt;MIN_OBS_ROLL),"",(SUMPRODUCT(Q130:Q165,N130:N165,P130:P165)/R166-SUMPRODUCT(Q130:Q165,N130:N165)/R166*SUMPRODUCT(Q130:Q165,P130:P165)/R166)*R166/(R166-1))</f>
        <v/>
      </c>
      <c r="T166" s="38">
        <f>SUM(O130:O165)</f>
        <v/>
      </c>
      <c r="U166" s="41">
        <f>IF(OR($A166="",T166&lt;MIN_OBS_ROLL),"",SUMPRODUCT(O130:O165,(P130:P165-SUMPRODUCT(O130:O165,P130:P165)/T166)^2)/(T166-1))</f>
        <v/>
      </c>
      <c r="V166" s="40">
        <f>IF(OR(S166="",U166=""),"",S166/U166)</f>
        <v/>
      </c>
      <c r="W166" s="40">
        <f>IF(AND(ISNUMBER(K166),ISNUMBER(L166),ISNUMBER(V166)),K166-V166*L166,"")</f>
        <v/>
      </c>
      <c r="X166" s="40">
        <f>IF(OR($A166="",NOT(ISNUMBER(Datos!H166)),NOT(ISNUMBER(Datos!H165))),"",LN(Datos!H166)-LN(Datos!H165))</f>
        <v/>
      </c>
      <c r="Y166" s="38">
        <f>IF(ISNUMBER(W166),1,0)</f>
        <v/>
      </c>
      <c r="Z166" s="40">
        <f>IF(Y166=1,W166,0)</f>
        <v/>
      </c>
      <c r="AA166" s="38">
        <f>IF(ISNUMBER(X166),1,0)</f>
        <v/>
      </c>
      <c r="AB166" s="40">
        <f>IF(AA166=1,X166,0)</f>
        <v/>
      </c>
      <c r="AC166" s="38">
        <f>Y166*AA166</f>
        <v/>
      </c>
      <c r="AD166" s="38">
        <f>SUM(AC130:AC165)</f>
        <v/>
      </c>
      <c r="AE166" s="41">
        <f>IF(OR($A166="",AD166&lt;MIN_OBS_ROLL),"",(SUMPRODUCT(AC130:AC165,Z130:Z165,AB130:AB165)/AD166-SUMPRODUCT(AC130:AC165,Z130:Z165)/AD166*SUMPRODUCT(AC130:AC165,AB130:AB165)/AD166)*AD166/(AD166-1))</f>
        <v/>
      </c>
      <c r="AF166" s="38">
        <f>SUM(AA130:AA165)</f>
        <v/>
      </c>
      <c r="AG166" s="41">
        <f>IF(OR($A166="",AF166&lt;MIN_OBS_ROLL),"",SUMPRODUCT(AA130:AA165,(AB130:AB165-SUMPRODUCT(AA130:AA165,AB130:AB165)/AF166)^2)/(AF166-1))</f>
        <v/>
      </c>
      <c r="AH166" s="38">
        <f>SUM(Y130:Y165)</f>
        <v/>
      </c>
      <c r="AI166" s="40">
        <f>IF(OR($A166="",AH166&lt;MIN_OBS_ROLL),"",SUMPRODUCT(Y130:Y165,Z130:Z165)/AH166)</f>
        <v/>
      </c>
      <c r="AJ166" s="40">
        <f>IF(OR($A166="",AF166&lt;MIN_OBS_ROLL),"",SUMPRODUCT(AA130:AA165,AB130:AB165)/AF166)</f>
        <v/>
      </c>
      <c r="AK166" s="40">
        <f>IF(OR(AE166="",AG166=""),"",AE166/AG166)</f>
        <v/>
      </c>
      <c r="AL166" s="40">
        <f>IF(OR(AI166="",AK166="",AJ166=""),"",AI166-AK166*AJ166)</f>
        <v/>
      </c>
      <c r="AM166" s="40">
        <f>IF(AND(ISNUMBER(W166),ISNUMBER(X166),ISNUMBER(AK166),ISNUMBER(AL166)),W166-(AL166+AK166*X166),"")</f>
        <v/>
      </c>
      <c r="AN166" s="38">
        <f>IF(ISNUMBER(AM166),1,0)</f>
        <v/>
      </c>
      <c r="AO166" s="40">
        <f>IF(AN166=1,AM166,0)</f>
        <v/>
      </c>
      <c r="AP166" s="40">
        <f>IF(SUM(AN164:AN166)=3,SUM(AO164:AO166),"")</f>
        <v/>
      </c>
      <c r="AQ166" s="38">
        <f>IF(ISNUMBER(AP166),1,0)</f>
        <v/>
      </c>
      <c r="AR166" s="40">
        <f>IF(AQ166=1,AP166,0)</f>
        <v/>
      </c>
      <c r="AS166" s="38">
        <f>SUM(AQ$5:AQ166)</f>
        <v/>
      </c>
      <c r="AT166" s="40">
        <f>IF(AS166&gt;=MIN_OBS_Z,SUMPRODUCT(AQ$5:AQ166,AR$5:AR166)/AS166,"")</f>
        <v/>
      </c>
      <c r="AU166" s="40">
        <f>IF(AS166&gt;=MIN_OBS_Z,SQRT(SUMPRODUCT(AQ$5:AQ166,(AR$5:AR166-AT166)^2)/(AS166-1)),"")</f>
        <v/>
      </c>
      <c r="AV166" s="40">
        <f>IF(AND(AQ166=1,ISNUMBER(AT166)),MAX(-Z_CLIP,MIN(Z_CLIP,(AR166-AT166)/AU166)),"")</f>
        <v/>
      </c>
      <c r="AW166" s="40">
        <f>IF(ISNUMBER(AV166),-AV166,"")</f>
        <v/>
      </c>
      <c r="AX166" s="40">
        <f>IF(ISNUMBER(AW166),1+AMPLITUD*TANH(AW166),"")</f>
        <v/>
      </c>
      <c r="AY166" s="40">
        <f>IF($A166="","",IF(COUNT(AX164:AX166)&gt;0,AVERAGE(AX164:AX166),""))</f>
        <v/>
      </c>
      <c r="AZ166" s="40">
        <f>IF(ISNUMBER(AY166),AY166-1,"")</f>
        <v/>
      </c>
      <c r="BA166" s="40">
        <f>IF(AND(ISNUMBER(AZ165),ISNUMBER(W166)),AZ165*W_BANCOS*W166,"")</f>
        <v/>
      </c>
      <c r="BB166" s="40">
        <f>IF(AND(ISNUMBER(AZ165),ISNUMBER(AZ164)),ABS(AZ165-AZ164)*W_BANCOS*COSTO,0)</f>
        <v/>
      </c>
      <c r="BC166" s="40">
        <f>IF(ISNUMBER(BA166),BA166-BB166,"")</f>
        <v/>
      </c>
      <c r="BD166" s="42">
        <f>IF(ISNUMBER(BC166),IF(A166&lt;=FECHA_ERA,"A","B"),"")</f>
        <v/>
      </c>
      <c r="BE166" s="40">
        <f>IF(BD166="A",BC166,"")</f>
        <v/>
      </c>
      <c r="BF166" s="40">
        <f>IF(BD166="B",BC166,"")</f>
        <v/>
      </c>
      <c r="BG166" s="38">
        <f>IF(AND(ISNUMBER(BC166),ISNUMBER(A166)),IF(A166&gt;=INICIO_VIVO,1,0),0)</f>
        <v/>
      </c>
      <c r="BH166" s="40">
        <f>IF(BG166=1,BC166,"")</f>
        <v/>
      </c>
      <c r="BI166" s="38">
        <f>IF(ISNUMBER(AY166),ROW(),0)</f>
        <v/>
      </c>
      <c r="BJ166" s="43">
        <f>IF(ISNUMBER(BC166),SUM(BC$5:BC166)*10000,NA())</f>
        <v/>
      </c>
      <c r="BK166" s="43">
        <f>IF(BG166=1,SUM(BH$5:BH166)*10000,NA())</f>
        <v/>
      </c>
      <c r="BL166" s="44">
        <f>IF(ISNUMBER(AY166),AY166,NA())</f>
        <v/>
      </c>
    </row>
    <row r="167">
      <c r="A167" s="36">
        <f>IF(Datos!A167="","",Datos!A167)</f>
        <v/>
      </c>
      <c r="B167" s="37">
        <f>IF(OR($A167="",NOT(ISNUMBER(Datos!B167)),NOT(ISNUMBER(Datos!B166))),"",Datos!B167/Datos!B166-1)</f>
        <v/>
      </c>
      <c r="C167" s="37">
        <f>IF(OR($A167="",NOT(ISNUMBER(Datos!C167)),NOT(ISNUMBER(Datos!C166))),"",Datos!C167/Datos!C166-1)</f>
        <v/>
      </c>
      <c r="D167" s="37">
        <f>IF(OR($A167="",NOT(ISNUMBER(Datos!D167)),NOT(ISNUMBER(Datos!D166))),"",Datos!D167/Datos!D166-1)</f>
        <v/>
      </c>
      <c r="E167" s="37">
        <f>IF(OR($A167="",NOT(ISNUMBER(Datos!E167)),NOT(ISNUMBER(Datos!E166))),"",Datos!E167/Datos!E166-1)</f>
        <v/>
      </c>
      <c r="F167" s="38">
        <f>IF($A167="","",COUNT(B167:E167))</f>
        <v/>
      </c>
      <c r="G167" s="37">
        <f>IF($A167="","",IF(F167&gt;=MIN_BANCOS,AVERAGE(B167:E167),""))</f>
        <v/>
      </c>
      <c r="H167" s="37">
        <f>IF(OR($A167="",NOT(ISNUMBER(Datos!F167)),NOT(ISNUMBER(Datos!F166))),"",Datos!F167/Datos!F166-1)</f>
        <v/>
      </c>
      <c r="I167" s="39">
        <f>IF($A167="","",IF(ISNUMBER(Datos!G167),Datos!G167,I166))</f>
        <v/>
      </c>
      <c r="J167" s="40">
        <f>IF($A167="","",IF(ISNUMBER(I166),LN(1+I166/100/12),0))</f>
        <v/>
      </c>
      <c r="K167" s="40">
        <f>IF(ISNUMBER(G167),LN(1+G167)-J167,"")</f>
        <v/>
      </c>
      <c r="L167" s="40">
        <f>IF(ISNUMBER(H167),LN(1+H167)-J167,"")</f>
        <v/>
      </c>
      <c r="M167" s="38">
        <f>IF(ISNUMBER(K167),1,0)</f>
        <v/>
      </c>
      <c r="N167" s="40">
        <f>IF(M167=1,K167,0)</f>
        <v/>
      </c>
      <c r="O167" s="38">
        <f>IF(ISNUMBER(L167),1,0)</f>
        <v/>
      </c>
      <c r="P167" s="40">
        <f>IF(O167=1,L167,0)</f>
        <v/>
      </c>
      <c r="Q167" s="38">
        <f>M167*O167</f>
        <v/>
      </c>
      <c r="R167" s="38">
        <f>SUM(Q131:Q166)</f>
        <v/>
      </c>
      <c r="S167" s="41">
        <f>IF(OR($A167="",R167&lt;MIN_OBS_ROLL),"",(SUMPRODUCT(Q131:Q166,N131:N166,P131:P166)/R167-SUMPRODUCT(Q131:Q166,N131:N166)/R167*SUMPRODUCT(Q131:Q166,P131:P166)/R167)*R167/(R167-1))</f>
        <v/>
      </c>
      <c r="T167" s="38">
        <f>SUM(O131:O166)</f>
        <v/>
      </c>
      <c r="U167" s="41">
        <f>IF(OR($A167="",T167&lt;MIN_OBS_ROLL),"",SUMPRODUCT(O131:O166,(P131:P166-SUMPRODUCT(O131:O166,P131:P166)/T167)^2)/(T167-1))</f>
        <v/>
      </c>
      <c r="V167" s="40">
        <f>IF(OR(S167="",U167=""),"",S167/U167)</f>
        <v/>
      </c>
      <c r="W167" s="40">
        <f>IF(AND(ISNUMBER(K167),ISNUMBER(L167),ISNUMBER(V167)),K167-V167*L167,"")</f>
        <v/>
      </c>
      <c r="X167" s="40">
        <f>IF(OR($A167="",NOT(ISNUMBER(Datos!H167)),NOT(ISNUMBER(Datos!H166))),"",LN(Datos!H167)-LN(Datos!H166))</f>
        <v/>
      </c>
      <c r="Y167" s="38">
        <f>IF(ISNUMBER(W167),1,0)</f>
        <v/>
      </c>
      <c r="Z167" s="40">
        <f>IF(Y167=1,W167,0)</f>
        <v/>
      </c>
      <c r="AA167" s="38">
        <f>IF(ISNUMBER(X167),1,0)</f>
        <v/>
      </c>
      <c r="AB167" s="40">
        <f>IF(AA167=1,X167,0)</f>
        <v/>
      </c>
      <c r="AC167" s="38">
        <f>Y167*AA167</f>
        <v/>
      </c>
      <c r="AD167" s="38">
        <f>SUM(AC131:AC166)</f>
        <v/>
      </c>
      <c r="AE167" s="41">
        <f>IF(OR($A167="",AD167&lt;MIN_OBS_ROLL),"",(SUMPRODUCT(AC131:AC166,Z131:Z166,AB131:AB166)/AD167-SUMPRODUCT(AC131:AC166,Z131:Z166)/AD167*SUMPRODUCT(AC131:AC166,AB131:AB166)/AD167)*AD167/(AD167-1))</f>
        <v/>
      </c>
      <c r="AF167" s="38">
        <f>SUM(AA131:AA166)</f>
        <v/>
      </c>
      <c r="AG167" s="41">
        <f>IF(OR($A167="",AF167&lt;MIN_OBS_ROLL),"",SUMPRODUCT(AA131:AA166,(AB131:AB166-SUMPRODUCT(AA131:AA166,AB131:AB166)/AF167)^2)/(AF167-1))</f>
        <v/>
      </c>
      <c r="AH167" s="38">
        <f>SUM(Y131:Y166)</f>
        <v/>
      </c>
      <c r="AI167" s="40">
        <f>IF(OR($A167="",AH167&lt;MIN_OBS_ROLL),"",SUMPRODUCT(Y131:Y166,Z131:Z166)/AH167)</f>
        <v/>
      </c>
      <c r="AJ167" s="40">
        <f>IF(OR($A167="",AF167&lt;MIN_OBS_ROLL),"",SUMPRODUCT(AA131:AA166,AB131:AB166)/AF167)</f>
        <v/>
      </c>
      <c r="AK167" s="40">
        <f>IF(OR(AE167="",AG167=""),"",AE167/AG167)</f>
        <v/>
      </c>
      <c r="AL167" s="40">
        <f>IF(OR(AI167="",AK167="",AJ167=""),"",AI167-AK167*AJ167)</f>
        <v/>
      </c>
      <c r="AM167" s="40">
        <f>IF(AND(ISNUMBER(W167),ISNUMBER(X167),ISNUMBER(AK167),ISNUMBER(AL167)),W167-(AL167+AK167*X167),"")</f>
        <v/>
      </c>
      <c r="AN167" s="38">
        <f>IF(ISNUMBER(AM167),1,0)</f>
        <v/>
      </c>
      <c r="AO167" s="40">
        <f>IF(AN167=1,AM167,0)</f>
        <v/>
      </c>
      <c r="AP167" s="40">
        <f>IF(SUM(AN165:AN167)=3,SUM(AO165:AO167),"")</f>
        <v/>
      </c>
      <c r="AQ167" s="38">
        <f>IF(ISNUMBER(AP167),1,0)</f>
        <v/>
      </c>
      <c r="AR167" s="40">
        <f>IF(AQ167=1,AP167,0)</f>
        <v/>
      </c>
      <c r="AS167" s="38">
        <f>SUM(AQ$5:AQ167)</f>
        <v/>
      </c>
      <c r="AT167" s="40">
        <f>IF(AS167&gt;=MIN_OBS_Z,SUMPRODUCT(AQ$5:AQ167,AR$5:AR167)/AS167,"")</f>
        <v/>
      </c>
      <c r="AU167" s="40">
        <f>IF(AS167&gt;=MIN_OBS_Z,SQRT(SUMPRODUCT(AQ$5:AQ167,(AR$5:AR167-AT167)^2)/(AS167-1)),"")</f>
        <v/>
      </c>
      <c r="AV167" s="40">
        <f>IF(AND(AQ167=1,ISNUMBER(AT167)),MAX(-Z_CLIP,MIN(Z_CLIP,(AR167-AT167)/AU167)),"")</f>
        <v/>
      </c>
      <c r="AW167" s="40">
        <f>IF(ISNUMBER(AV167),-AV167,"")</f>
        <v/>
      </c>
      <c r="AX167" s="40">
        <f>IF(ISNUMBER(AW167),1+AMPLITUD*TANH(AW167),"")</f>
        <v/>
      </c>
      <c r="AY167" s="40">
        <f>IF($A167="","",IF(COUNT(AX165:AX167)&gt;0,AVERAGE(AX165:AX167),""))</f>
        <v/>
      </c>
      <c r="AZ167" s="40">
        <f>IF(ISNUMBER(AY167),AY167-1,"")</f>
        <v/>
      </c>
      <c r="BA167" s="40">
        <f>IF(AND(ISNUMBER(AZ166),ISNUMBER(W167)),AZ166*W_BANCOS*W167,"")</f>
        <v/>
      </c>
      <c r="BB167" s="40">
        <f>IF(AND(ISNUMBER(AZ166),ISNUMBER(AZ165)),ABS(AZ166-AZ165)*W_BANCOS*COSTO,0)</f>
        <v/>
      </c>
      <c r="BC167" s="40">
        <f>IF(ISNUMBER(BA167),BA167-BB167,"")</f>
        <v/>
      </c>
      <c r="BD167" s="42">
        <f>IF(ISNUMBER(BC167),IF(A167&lt;=FECHA_ERA,"A","B"),"")</f>
        <v/>
      </c>
      <c r="BE167" s="40">
        <f>IF(BD167="A",BC167,"")</f>
        <v/>
      </c>
      <c r="BF167" s="40">
        <f>IF(BD167="B",BC167,"")</f>
        <v/>
      </c>
      <c r="BG167" s="38">
        <f>IF(AND(ISNUMBER(BC167),ISNUMBER(A167)),IF(A167&gt;=INICIO_VIVO,1,0),0)</f>
        <v/>
      </c>
      <c r="BH167" s="40">
        <f>IF(BG167=1,BC167,"")</f>
        <v/>
      </c>
      <c r="BI167" s="38">
        <f>IF(ISNUMBER(AY167),ROW(),0)</f>
        <v/>
      </c>
      <c r="BJ167" s="43">
        <f>IF(ISNUMBER(BC167),SUM(BC$5:BC167)*10000,NA())</f>
        <v/>
      </c>
      <c r="BK167" s="43">
        <f>IF(BG167=1,SUM(BH$5:BH167)*10000,NA())</f>
        <v/>
      </c>
      <c r="BL167" s="44">
        <f>IF(ISNUMBER(AY167),AY167,NA())</f>
        <v/>
      </c>
    </row>
    <row r="168">
      <c r="A168" s="36">
        <f>IF(Datos!A168="","",Datos!A168)</f>
        <v/>
      </c>
      <c r="B168" s="37">
        <f>IF(OR($A168="",NOT(ISNUMBER(Datos!B168)),NOT(ISNUMBER(Datos!B167))),"",Datos!B168/Datos!B167-1)</f>
        <v/>
      </c>
      <c r="C168" s="37">
        <f>IF(OR($A168="",NOT(ISNUMBER(Datos!C168)),NOT(ISNUMBER(Datos!C167))),"",Datos!C168/Datos!C167-1)</f>
        <v/>
      </c>
      <c r="D168" s="37">
        <f>IF(OR($A168="",NOT(ISNUMBER(Datos!D168)),NOT(ISNUMBER(Datos!D167))),"",Datos!D168/Datos!D167-1)</f>
        <v/>
      </c>
      <c r="E168" s="37">
        <f>IF(OR($A168="",NOT(ISNUMBER(Datos!E168)),NOT(ISNUMBER(Datos!E167))),"",Datos!E168/Datos!E167-1)</f>
        <v/>
      </c>
      <c r="F168" s="38">
        <f>IF($A168="","",COUNT(B168:E168))</f>
        <v/>
      </c>
      <c r="G168" s="37">
        <f>IF($A168="","",IF(F168&gt;=MIN_BANCOS,AVERAGE(B168:E168),""))</f>
        <v/>
      </c>
      <c r="H168" s="37">
        <f>IF(OR($A168="",NOT(ISNUMBER(Datos!F168)),NOT(ISNUMBER(Datos!F167))),"",Datos!F168/Datos!F167-1)</f>
        <v/>
      </c>
      <c r="I168" s="39">
        <f>IF($A168="","",IF(ISNUMBER(Datos!G168),Datos!G168,I167))</f>
        <v/>
      </c>
      <c r="J168" s="40">
        <f>IF($A168="","",IF(ISNUMBER(I167),LN(1+I167/100/12),0))</f>
        <v/>
      </c>
      <c r="K168" s="40">
        <f>IF(ISNUMBER(G168),LN(1+G168)-J168,"")</f>
        <v/>
      </c>
      <c r="L168" s="40">
        <f>IF(ISNUMBER(H168),LN(1+H168)-J168,"")</f>
        <v/>
      </c>
      <c r="M168" s="38">
        <f>IF(ISNUMBER(K168),1,0)</f>
        <v/>
      </c>
      <c r="N168" s="40">
        <f>IF(M168=1,K168,0)</f>
        <v/>
      </c>
      <c r="O168" s="38">
        <f>IF(ISNUMBER(L168),1,0)</f>
        <v/>
      </c>
      <c r="P168" s="40">
        <f>IF(O168=1,L168,0)</f>
        <v/>
      </c>
      <c r="Q168" s="38">
        <f>M168*O168</f>
        <v/>
      </c>
      <c r="R168" s="38">
        <f>SUM(Q132:Q167)</f>
        <v/>
      </c>
      <c r="S168" s="41">
        <f>IF(OR($A168="",R168&lt;MIN_OBS_ROLL),"",(SUMPRODUCT(Q132:Q167,N132:N167,P132:P167)/R168-SUMPRODUCT(Q132:Q167,N132:N167)/R168*SUMPRODUCT(Q132:Q167,P132:P167)/R168)*R168/(R168-1))</f>
        <v/>
      </c>
      <c r="T168" s="38">
        <f>SUM(O132:O167)</f>
        <v/>
      </c>
      <c r="U168" s="41">
        <f>IF(OR($A168="",T168&lt;MIN_OBS_ROLL),"",SUMPRODUCT(O132:O167,(P132:P167-SUMPRODUCT(O132:O167,P132:P167)/T168)^2)/(T168-1))</f>
        <v/>
      </c>
      <c r="V168" s="40">
        <f>IF(OR(S168="",U168=""),"",S168/U168)</f>
        <v/>
      </c>
      <c r="W168" s="40">
        <f>IF(AND(ISNUMBER(K168),ISNUMBER(L168),ISNUMBER(V168)),K168-V168*L168,"")</f>
        <v/>
      </c>
      <c r="X168" s="40">
        <f>IF(OR($A168="",NOT(ISNUMBER(Datos!H168)),NOT(ISNUMBER(Datos!H167))),"",LN(Datos!H168)-LN(Datos!H167))</f>
        <v/>
      </c>
      <c r="Y168" s="38">
        <f>IF(ISNUMBER(W168),1,0)</f>
        <v/>
      </c>
      <c r="Z168" s="40">
        <f>IF(Y168=1,W168,0)</f>
        <v/>
      </c>
      <c r="AA168" s="38">
        <f>IF(ISNUMBER(X168),1,0)</f>
        <v/>
      </c>
      <c r="AB168" s="40">
        <f>IF(AA168=1,X168,0)</f>
        <v/>
      </c>
      <c r="AC168" s="38">
        <f>Y168*AA168</f>
        <v/>
      </c>
      <c r="AD168" s="38">
        <f>SUM(AC132:AC167)</f>
        <v/>
      </c>
      <c r="AE168" s="41">
        <f>IF(OR($A168="",AD168&lt;MIN_OBS_ROLL),"",(SUMPRODUCT(AC132:AC167,Z132:Z167,AB132:AB167)/AD168-SUMPRODUCT(AC132:AC167,Z132:Z167)/AD168*SUMPRODUCT(AC132:AC167,AB132:AB167)/AD168)*AD168/(AD168-1))</f>
        <v/>
      </c>
      <c r="AF168" s="38">
        <f>SUM(AA132:AA167)</f>
        <v/>
      </c>
      <c r="AG168" s="41">
        <f>IF(OR($A168="",AF168&lt;MIN_OBS_ROLL),"",SUMPRODUCT(AA132:AA167,(AB132:AB167-SUMPRODUCT(AA132:AA167,AB132:AB167)/AF168)^2)/(AF168-1))</f>
        <v/>
      </c>
      <c r="AH168" s="38">
        <f>SUM(Y132:Y167)</f>
        <v/>
      </c>
      <c r="AI168" s="40">
        <f>IF(OR($A168="",AH168&lt;MIN_OBS_ROLL),"",SUMPRODUCT(Y132:Y167,Z132:Z167)/AH168)</f>
        <v/>
      </c>
      <c r="AJ168" s="40">
        <f>IF(OR($A168="",AF168&lt;MIN_OBS_ROLL),"",SUMPRODUCT(AA132:AA167,AB132:AB167)/AF168)</f>
        <v/>
      </c>
      <c r="AK168" s="40">
        <f>IF(OR(AE168="",AG168=""),"",AE168/AG168)</f>
        <v/>
      </c>
      <c r="AL168" s="40">
        <f>IF(OR(AI168="",AK168="",AJ168=""),"",AI168-AK168*AJ168)</f>
        <v/>
      </c>
      <c r="AM168" s="40">
        <f>IF(AND(ISNUMBER(W168),ISNUMBER(X168),ISNUMBER(AK168),ISNUMBER(AL168)),W168-(AL168+AK168*X168),"")</f>
        <v/>
      </c>
      <c r="AN168" s="38">
        <f>IF(ISNUMBER(AM168),1,0)</f>
        <v/>
      </c>
      <c r="AO168" s="40">
        <f>IF(AN168=1,AM168,0)</f>
        <v/>
      </c>
      <c r="AP168" s="40">
        <f>IF(SUM(AN166:AN168)=3,SUM(AO166:AO168),"")</f>
        <v/>
      </c>
      <c r="AQ168" s="38">
        <f>IF(ISNUMBER(AP168),1,0)</f>
        <v/>
      </c>
      <c r="AR168" s="40">
        <f>IF(AQ168=1,AP168,0)</f>
        <v/>
      </c>
      <c r="AS168" s="38">
        <f>SUM(AQ$5:AQ168)</f>
        <v/>
      </c>
      <c r="AT168" s="40">
        <f>IF(AS168&gt;=MIN_OBS_Z,SUMPRODUCT(AQ$5:AQ168,AR$5:AR168)/AS168,"")</f>
        <v/>
      </c>
      <c r="AU168" s="40">
        <f>IF(AS168&gt;=MIN_OBS_Z,SQRT(SUMPRODUCT(AQ$5:AQ168,(AR$5:AR168-AT168)^2)/(AS168-1)),"")</f>
        <v/>
      </c>
      <c r="AV168" s="40">
        <f>IF(AND(AQ168=1,ISNUMBER(AT168)),MAX(-Z_CLIP,MIN(Z_CLIP,(AR168-AT168)/AU168)),"")</f>
        <v/>
      </c>
      <c r="AW168" s="40">
        <f>IF(ISNUMBER(AV168),-AV168,"")</f>
        <v/>
      </c>
      <c r="AX168" s="40">
        <f>IF(ISNUMBER(AW168),1+AMPLITUD*TANH(AW168),"")</f>
        <v/>
      </c>
      <c r="AY168" s="40">
        <f>IF($A168="","",IF(COUNT(AX166:AX168)&gt;0,AVERAGE(AX166:AX168),""))</f>
        <v/>
      </c>
      <c r="AZ168" s="40">
        <f>IF(ISNUMBER(AY168),AY168-1,"")</f>
        <v/>
      </c>
      <c r="BA168" s="40">
        <f>IF(AND(ISNUMBER(AZ167),ISNUMBER(W168)),AZ167*W_BANCOS*W168,"")</f>
        <v/>
      </c>
      <c r="BB168" s="40">
        <f>IF(AND(ISNUMBER(AZ167),ISNUMBER(AZ166)),ABS(AZ167-AZ166)*W_BANCOS*COSTO,0)</f>
        <v/>
      </c>
      <c r="BC168" s="40">
        <f>IF(ISNUMBER(BA168),BA168-BB168,"")</f>
        <v/>
      </c>
      <c r="BD168" s="42">
        <f>IF(ISNUMBER(BC168),IF(A168&lt;=FECHA_ERA,"A","B"),"")</f>
        <v/>
      </c>
      <c r="BE168" s="40">
        <f>IF(BD168="A",BC168,"")</f>
        <v/>
      </c>
      <c r="BF168" s="40">
        <f>IF(BD168="B",BC168,"")</f>
        <v/>
      </c>
      <c r="BG168" s="38">
        <f>IF(AND(ISNUMBER(BC168),ISNUMBER(A168)),IF(A168&gt;=INICIO_VIVO,1,0),0)</f>
        <v/>
      </c>
      <c r="BH168" s="40">
        <f>IF(BG168=1,BC168,"")</f>
        <v/>
      </c>
      <c r="BI168" s="38">
        <f>IF(ISNUMBER(AY168),ROW(),0)</f>
        <v/>
      </c>
      <c r="BJ168" s="43">
        <f>IF(ISNUMBER(BC168),SUM(BC$5:BC168)*10000,NA())</f>
        <v/>
      </c>
      <c r="BK168" s="43">
        <f>IF(BG168=1,SUM(BH$5:BH168)*10000,NA())</f>
        <v/>
      </c>
      <c r="BL168" s="44">
        <f>IF(ISNUMBER(AY168),AY168,NA())</f>
        <v/>
      </c>
    </row>
    <row r="169">
      <c r="A169" s="36">
        <f>IF(Datos!A169="","",Datos!A169)</f>
        <v/>
      </c>
      <c r="B169" s="37">
        <f>IF(OR($A169="",NOT(ISNUMBER(Datos!B169)),NOT(ISNUMBER(Datos!B168))),"",Datos!B169/Datos!B168-1)</f>
        <v/>
      </c>
      <c r="C169" s="37">
        <f>IF(OR($A169="",NOT(ISNUMBER(Datos!C169)),NOT(ISNUMBER(Datos!C168))),"",Datos!C169/Datos!C168-1)</f>
        <v/>
      </c>
      <c r="D169" s="37">
        <f>IF(OR($A169="",NOT(ISNUMBER(Datos!D169)),NOT(ISNUMBER(Datos!D168))),"",Datos!D169/Datos!D168-1)</f>
        <v/>
      </c>
      <c r="E169" s="37">
        <f>IF(OR($A169="",NOT(ISNUMBER(Datos!E169)),NOT(ISNUMBER(Datos!E168))),"",Datos!E169/Datos!E168-1)</f>
        <v/>
      </c>
      <c r="F169" s="38">
        <f>IF($A169="","",COUNT(B169:E169))</f>
        <v/>
      </c>
      <c r="G169" s="37">
        <f>IF($A169="","",IF(F169&gt;=MIN_BANCOS,AVERAGE(B169:E169),""))</f>
        <v/>
      </c>
      <c r="H169" s="37">
        <f>IF(OR($A169="",NOT(ISNUMBER(Datos!F169)),NOT(ISNUMBER(Datos!F168))),"",Datos!F169/Datos!F168-1)</f>
        <v/>
      </c>
      <c r="I169" s="39">
        <f>IF($A169="","",IF(ISNUMBER(Datos!G169),Datos!G169,I168))</f>
        <v/>
      </c>
      <c r="J169" s="40">
        <f>IF($A169="","",IF(ISNUMBER(I168),LN(1+I168/100/12),0))</f>
        <v/>
      </c>
      <c r="K169" s="40">
        <f>IF(ISNUMBER(G169),LN(1+G169)-J169,"")</f>
        <v/>
      </c>
      <c r="L169" s="40">
        <f>IF(ISNUMBER(H169),LN(1+H169)-J169,"")</f>
        <v/>
      </c>
      <c r="M169" s="38">
        <f>IF(ISNUMBER(K169),1,0)</f>
        <v/>
      </c>
      <c r="N169" s="40">
        <f>IF(M169=1,K169,0)</f>
        <v/>
      </c>
      <c r="O169" s="38">
        <f>IF(ISNUMBER(L169),1,0)</f>
        <v/>
      </c>
      <c r="P169" s="40">
        <f>IF(O169=1,L169,0)</f>
        <v/>
      </c>
      <c r="Q169" s="38">
        <f>M169*O169</f>
        <v/>
      </c>
      <c r="R169" s="38">
        <f>SUM(Q133:Q168)</f>
        <v/>
      </c>
      <c r="S169" s="41">
        <f>IF(OR($A169="",R169&lt;MIN_OBS_ROLL),"",(SUMPRODUCT(Q133:Q168,N133:N168,P133:P168)/R169-SUMPRODUCT(Q133:Q168,N133:N168)/R169*SUMPRODUCT(Q133:Q168,P133:P168)/R169)*R169/(R169-1))</f>
        <v/>
      </c>
      <c r="T169" s="38">
        <f>SUM(O133:O168)</f>
        <v/>
      </c>
      <c r="U169" s="41">
        <f>IF(OR($A169="",T169&lt;MIN_OBS_ROLL),"",SUMPRODUCT(O133:O168,(P133:P168-SUMPRODUCT(O133:O168,P133:P168)/T169)^2)/(T169-1))</f>
        <v/>
      </c>
      <c r="V169" s="40">
        <f>IF(OR(S169="",U169=""),"",S169/U169)</f>
        <v/>
      </c>
      <c r="W169" s="40">
        <f>IF(AND(ISNUMBER(K169),ISNUMBER(L169),ISNUMBER(V169)),K169-V169*L169,"")</f>
        <v/>
      </c>
      <c r="X169" s="40">
        <f>IF(OR($A169="",NOT(ISNUMBER(Datos!H169)),NOT(ISNUMBER(Datos!H168))),"",LN(Datos!H169)-LN(Datos!H168))</f>
        <v/>
      </c>
      <c r="Y169" s="38">
        <f>IF(ISNUMBER(W169),1,0)</f>
        <v/>
      </c>
      <c r="Z169" s="40">
        <f>IF(Y169=1,W169,0)</f>
        <v/>
      </c>
      <c r="AA169" s="38">
        <f>IF(ISNUMBER(X169),1,0)</f>
        <v/>
      </c>
      <c r="AB169" s="40">
        <f>IF(AA169=1,X169,0)</f>
        <v/>
      </c>
      <c r="AC169" s="38">
        <f>Y169*AA169</f>
        <v/>
      </c>
      <c r="AD169" s="38">
        <f>SUM(AC133:AC168)</f>
        <v/>
      </c>
      <c r="AE169" s="41">
        <f>IF(OR($A169="",AD169&lt;MIN_OBS_ROLL),"",(SUMPRODUCT(AC133:AC168,Z133:Z168,AB133:AB168)/AD169-SUMPRODUCT(AC133:AC168,Z133:Z168)/AD169*SUMPRODUCT(AC133:AC168,AB133:AB168)/AD169)*AD169/(AD169-1))</f>
        <v/>
      </c>
      <c r="AF169" s="38">
        <f>SUM(AA133:AA168)</f>
        <v/>
      </c>
      <c r="AG169" s="41">
        <f>IF(OR($A169="",AF169&lt;MIN_OBS_ROLL),"",SUMPRODUCT(AA133:AA168,(AB133:AB168-SUMPRODUCT(AA133:AA168,AB133:AB168)/AF169)^2)/(AF169-1))</f>
        <v/>
      </c>
      <c r="AH169" s="38">
        <f>SUM(Y133:Y168)</f>
        <v/>
      </c>
      <c r="AI169" s="40">
        <f>IF(OR($A169="",AH169&lt;MIN_OBS_ROLL),"",SUMPRODUCT(Y133:Y168,Z133:Z168)/AH169)</f>
        <v/>
      </c>
      <c r="AJ169" s="40">
        <f>IF(OR($A169="",AF169&lt;MIN_OBS_ROLL),"",SUMPRODUCT(AA133:AA168,AB133:AB168)/AF169)</f>
        <v/>
      </c>
      <c r="AK169" s="40">
        <f>IF(OR(AE169="",AG169=""),"",AE169/AG169)</f>
        <v/>
      </c>
      <c r="AL169" s="40">
        <f>IF(OR(AI169="",AK169="",AJ169=""),"",AI169-AK169*AJ169)</f>
        <v/>
      </c>
      <c r="AM169" s="40">
        <f>IF(AND(ISNUMBER(W169),ISNUMBER(X169),ISNUMBER(AK169),ISNUMBER(AL169)),W169-(AL169+AK169*X169),"")</f>
        <v/>
      </c>
      <c r="AN169" s="38">
        <f>IF(ISNUMBER(AM169),1,0)</f>
        <v/>
      </c>
      <c r="AO169" s="40">
        <f>IF(AN169=1,AM169,0)</f>
        <v/>
      </c>
      <c r="AP169" s="40">
        <f>IF(SUM(AN167:AN169)=3,SUM(AO167:AO169),"")</f>
        <v/>
      </c>
      <c r="AQ169" s="38">
        <f>IF(ISNUMBER(AP169),1,0)</f>
        <v/>
      </c>
      <c r="AR169" s="40">
        <f>IF(AQ169=1,AP169,0)</f>
        <v/>
      </c>
      <c r="AS169" s="38">
        <f>SUM(AQ$5:AQ169)</f>
        <v/>
      </c>
      <c r="AT169" s="40">
        <f>IF(AS169&gt;=MIN_OBS_Z,SUMPRODUCT(AQ$5:AQ169,AR$5:AR169)/AS169,"")</f>
        <v/>
      </c>
      <c r="AU169" s="40">
        <f>IF(AS169&gt;=MIN_OBS_Z,SQRT(SUMPRODUCT(AQ$5:AQ169,(AR$5:AR169-AT169)^2)/(AS169-1)),"")</f>
        <v/>
      </c>
      <c r="AV169" s="40">
        <f>IF(AND(AQ169=1,ISNUMBER(AT169)),MAX(-Z_CLIP,MIN(Z_CLIP,(AR169-AT169)/AU169)),"")</f>
        <v/>
      </c>
      <c r="AW169" s="40">
        <f>IF(ISNUMBER(AV169),-AV169,"")</f>
        <v/>
      </c>
      <c r="AX169" s="40">
        <f>IF(ISNUMBER(AW169),1+AMPLITUD*TANH(AW169),"")</f>
        <v/>
      </c>
      <c r="AY169" s="40">
        <f>IF($A169="","",IF(COUNT(AX167:AX169)&gt;0,AVERAGE(AX167:AX169),""))</f>
        <v/>
      </c>
      <c r="AZ169" s="40">
        <f>IF(ISNUMBER(AY169),AY169-1,"")</f>
        <v/>
      </c>
      <c r="BA169" s="40">
        <f>IF(AND(ISNUMBER(AZ168),ISNUMBER(W169)),AZ168*W_BANCOS*W169,"")</f>
        <v/>
      </c>
      <c r="BB169" s="40">
        <f>IF(AND(ISNUMBER(AZ168),ISNUMBER(AZ167)),ABS(AZ168-AZ167)*W_BANCOS*COSTO,0)</f>
        <v/>
      </c>
      <c r="BC169" s="40">
        <f>IF(ISNUMBER(BA169),BA169-BB169,"")</f>
        <v/>
      </c>
      <c r="BD169" s="42">
        <f>IF(ISNUMBER(BC169),IF(A169&lt;=FECHA_ERA,"A","B"),"")</f>
        <v/>
      </c>
      <c r="BE169" s="40">
        <f>IF(BD169="A",BC169,"")</f>
        <v/>
      </c>
      <c r="BF169" s="40">
        <f>IF(BD169="B",BC169,"")</f>
        <v/>
      </c>
      <c r="BG169" s="38">
        <f>IF(AND(ISNUMBER(BC169),ISNUMBER(A169)),IF(A169&gt;=INICIO_VIVO,1,0),0)</f>
        <v/>
      </c>
      <c r="BH169" s="40">
        <f>IF(BG169=1,BC169,"")</f>
        <v/>
      </c>
      <c r="BI169" s="38">
        <f>IF(ISNUMBER(AY169),ROW(),0)</f>
        <v/>
      </c>
      <c r="BJ169" s="43">
        <f>IF(ISNUMBER(BC169),SUM(BC$5:BC169)*10000,NA())</f>
        <v/>
      </c>
      <c r="BK169" s="43">
        <f>IF(BG169=1,SUM(BH$5:BH169)*10000,NA())</f>
        <v/>
      </c>
      <c r="BL169" s="44">
        <f>IF(ISNUMBER(AY169),AY169,NA())</f>
        <v/>
      </c>
    </row>
    <row r="170">
      <c r="A170" s="36">
        <f>IF(Datos!A170="","",Datos!A170)</f>
        <v/>
      </c>
      <c r="B170" s="37">
        <f>IF(OR($A170="",NOT(ISNUMBER(Datos!B170)),NOT(ISNUMBER(Datos!B169))),"",Datos!B170/Datos!B169-1)</f>
        <v/>
      </c>
      <c r="C170" s="37">
        <f>IF(OR($A170="",NOT(ISNUMBER(Datos!C170)),NOT(ISNUMBER(Datos!C169))),"",Datos!C170/Datos!C169-1)</f>
        <v/>
      </c>
      <c r="D170" s="37">
        <f>IF(OR($A170="",NOT(ISNUMBER(Datos!D170)),NOT(ISNUMBER(Datos!D169))),"",Datos!D170/Datos!D169-1)</f>
        <v/>
      </c>
      <c r="E170" s="37">
        <f>IF(OR($A170="",NOT(ISNUMBER(Datos!E170)),NOT(ISNUMBER(Datos!E169))),"",Datos!E170/Datos!E169-1)</f>
        <v/>
      </c>
      <c r="F170" s="38">
        <f>IF($A170="","",COUNT(B170:E170))</f>
        <v/>
      </c>
      <c r="G170" s="37">
        <f>IF($A170="","",IF(F170&gt;=MIN_BANCOS,AVERAGE(B170:E170),""))</f>
        <v/>
      </c>
      <c r="H170" s="37">
        <f>IF(OR($A170="",NOT(ISNUMBER(Datos!F170)),NOT(ISNUMBER(Datos!F169))),"",Datos!F170/Datos!F169-1)</f>
        <v/>
      </c>
      <c r="I170" s="39">
        <f>IF($A170="","",IF(ISNUMBER(Datos!G170),Datos!G170,I169))</f>
        <v/>
      </c>
      <c r="J170" s="40">
        <f>IF($A170="","",IF(ISNUMBER(I169),LN(1+I169/100/12),0))</f>
        <v/>
      </c>
      <c r="K170" s="40">
        <f>IF(ISNUMBER(G170),LN(1+G170)-J170,"")</f>
        <v/>
      </c>
      <c r="L170" s="40">
        <f>IF(ISNUMBER(H170),LN(1+H170)-J170,"")</f>
        <v/>
      </c>
      <c r="M170" s="38">
        <f>IF(ISNUMBER(K170),1,0)</f>
        <v/>
      </c>
      <c r="N170" s="40">
        <f>IF(M170=1,K170,0)</f>
        <v/>
      </c>
      <c r="O170" s="38">
        <f>IF(ISNUMBER(L170),1,0)</f>
        <v/>
      </c>
      <c r="P170" s="40">
        <f>IF(O170=1,L170,0)</f>
        <v/>
      </c>
      <c r="Q170" s="38">
        <f>M170*O170</f>
        <v/>
      </c>
      <c r="R170" s="38">
        <f>SUM(Q134:Q169)</f>
        <v/>
      </c>
      <c r="S170" s="41">
        <f>IF(OR($A170="",R170&lt;MIN_OBS_ROLL),"",(SUMPRODUCT(Q134:Q169,N134:N169,P134:P169)/R170-SUMPRODUCT(Q134:Q169,N134:N169)/R170*SUMPRODUCT(Q134:Q169,P134:P169)/R170)*R170/(R170-1))</f>
        <v/>
      </c>
      <c r="T170" s="38">
        <f>SUM(O134:O169)</f>
        <v/>
      </c>
      <c r="U170" s="41">
        <f>IF(OR($A170="",T170&lt;MIN_OBS_ROLL),"",SUMPRODUCT(O134:O169,(P134:P169-SUMPRODUCT(O134:O169,P134:P169)/T170)^2)/(T170-1))</f>
        <v/>
      </c>
      <c r="V170" s="40">
        <f>IF(OR(S170="",U170=""),"",S170/U170)</f>
        <v/>
      </c>
      <c r="W170" s="40">
        <f>IF(AND(ISNUMBER(K170),ISNUMBER(L170),ISNUMBER(V170)),K170-V170*L170,"")</f>
        <v/>
      </c>
      <c r="X170" s="40">
        <f>IF(OR($A170="",NOT(ISNUMBER(Datos!H170)),NOT(ISNUMBER(Datos!H169))),"",LN(Datos!H170)-LN(Datos!H169))</f>
        <v/>
      </c>
      <c r="Y170" s="38">
        <f>IF(ISNUMBER(W170),1,0)</f>
        <v/>
      </c>
      <c r="Z170" s="40">
        <f>IF(Y170=1,W170,0)</f>
        <v/>
      </c>
      <c r="AA170" s="38">
        <f>IF(ISNUMBER(X170),1,0)</f>
        <v/>
      </c>
      <c r="AB170" s="40">
        <f>IF(AA170=1,X170,0)</f>
        <v/>
      </c>
      <c r="AC170" s="38">
        <f>Y170*AA170</f>
        <v/>
      </c>
      <c r="AD170" s="38">
        <f>SUM(AC134:AC169)</f>
        <v/>
      </c>
      <c r="AE170" s="41">
        <f>IF(OR($A170="",AD170&lt;MIN_OBS_ROLL),"",(SUMPRODUCT(AC134:AC169,Z134:Z169,AB134:AB169)/AD170-SUMPRODUCT(AC134:AC169,Z134:Z169)/AD170*SUMPRODUCT(AC134:AC169,AB134:AB169)/AD170)*AD170/(AD170-1))</f>
        <v/>
      </c>
      <c r="AF170" s="38">
        <f>SUM(AA134:AA169)</f>
        <v/>
      </c>
      <c r="AG170" s="41">
        <f>IF(OR($A170="",AF170&lt;MIN_OBS_ROLL),"",SUMPRODUCT(AA134:AA169,(AB134:AB169-SUMPRODUCT(AA134:AA169,AB134:AB169)/AF170)^2)/(AF170-1))</f>
        <v/>
      </c>
      <c r="AH170" s="38">
        <f>SUM(Y134:Y169)</f>
        <v/>
      </c>
      <c r="AI170" s="40">
        <f>IF(OR($A170="",AH170&lt;MIN_OBS_ROLL),"",SUMPRODUCT(Y134:Y169,Z134:Z169)/AH170)</f>
        <v/>
      </c>
      <c r="AJ170" s="40">
        <f>IF(OR($A170="",AF170&lt;MIN_OBS_ROLL),"",SUMPRODUCT(AA134:AA169,AB134:AB169)/AF170)</f>
        <v/>
      </c>
      <c r="AK170" s="40">
        <f>IF(OR(AE170="",AG170=""),"",AE170/AG170)</f>
        <v/>
      </c>
      <c r="AL170" s="40">
        <f>IF(OR(AI170="",AK170="",AJ170=""),"",AI170-AK170*AJ170)</f>
        <v/>
      </c>
      <c r="AM170" s="40">
        <f>IF(AND(ISNUMBER(W170),ISNUMBER(X170),ISNUMBER(AK170),ISNUMBER(AL170)),W170-(AL170+AK170*X170),"")</f>
        <v/>
      </c>
      <c r="AN170" s="38">
        <f>IF(ISNUMBER(AM170),1,0)</f>
        <v/>
      </c>
      <c r="AO170" s="40">
        <f>IF(AN170=1,AM170,0)</f>
        <v/>
      </c>
      <c r="AP170" s="40">
        <f>IF(SUM(AN168:AN170)=3,SUM(AO168:AO170),"")</f>
        <v/>
      </c>
      <c r="AQ170" s="38">
        <f>IF(ISNUMBER(AP170),1,0)</f>
        <v/>
      </c>
      <c r="AR170" s="40">
        <f>IF(AQ170=1,AP170,0)</f>
        <v/>
      </c>
      <c r="AS170" s="38">
        <f>SUM(AQ$5:AQ170)</f>
        <v/>
      </c>
      <c r="AT170" s="40">
        <f>IF(AS170&gt;=MIN_OBS_Z,SUMPRODUCT(AQ$5:AQ170,AR$5:AR170)/AS170,"")</f>
        <v/>
      </c>
      <c r="AU170" s="40">
        <f>IF(AS170&gt;=MIN_OBS_Z,SQRT(SUMPRODUCT(AQ$5:AQ170,(AR$5:AR170-AT170)^2)/(AS170-1)),"")</f>
        <v/>
      </c>
      <c r="AV170" s="40">
        <f>IF(AND(AQ170=1,ISNUMBER(AT170)),MAX(-Z_CLIP,MIN(Z_CLIP,(AR170-AT170)/AU170)),"")</f>
        <v/>
      </c>
      <c r="AW170" s="40">
        <f>IF(ISNUMBER(AV170),-AV170,"")</f>
        <v/>
      </c>
      <c r="AX170" s="40">
        <f>IF(ISNUMBER(AW170),1+AMPLITUD*TANH(AW170),"")</f>
        <v/>
      </c>
      <c r="AY170" s="40">
        <f>IF($A170="","",IF(COUNT(AX168:AX170)&gt;0,AVERAGE(AX168:AX170),""))</f>
        <v/>
      </c>
      <c r="AZ170" s="40">
        <f>IF(ISNUMBER(AY170),AY170-1,"")</f>
        <v/>
      </c>
      <c r="BA170" s="40">
        <f>IF(AND(ISNUMBER(AZ169),ISNUMBER(W170)),AZ169*W_BANCOS*W170,"")</f>
        <v/>
      </c>
      <c r="BB170" s="40">
        <f>IF(AND(ISNUMBER(AZ169),ISNUMBER(AZ168)),ABS(AZ169-AZ168)*W_BANCOS*COSTO,0)</f>
        <v/>
      </c>
      <c r="BC170" s="40">
        <f>IF(ISNUMBER(BA170),BA170-BB170,"")</f>
        <v/>
      </c>
      <c r="BD170" s="42">
        <f>IF(ISNUMBER(BC170),IF(A170&lt;=FECHA_ERA,"A","B"),"")</f>
        <v/>
      </c>
      <c r="BE170" s="40">
        <f>IF(BD170="A",BC170,"")</f>
        <v/>
      </c>
      <c r="BF170" s="40">
        <f>IF(BD170="B",BC170,"")</f>
        <v/>
      </c>
      <c r="BG170" s="38">
        <f>IF(AND(ISNUMBER(BC170),ISNUMBER(A170)),IF(A170&gt;=INICIO_VIVO,1,0),0)</f>
        <v/>
      </c>
      <c r="BH170" s="40">
        <f>IF(BG170=1,BC170,"")</f>
        <v/>
      </c>
      <c r="BI170" s="38">
        <f>IF(ISNUMBER(AY170),ROW(),0)</f>
        <v/>
      </c>
      <c r="BJ170" s="43">
        <f>IF(ISNUMBER(BC170),SUM(BC$5:BC170)*10000,NA())</f>
        <v/>
      </c>
      <c r="BK170" s="43">
        <f>IF(BG170=1,SUM(BH$5:BH170)*10000,NA())</f>
        <v/>
      </c>
      <c r="BL170" s="44">
        <f>IF(ISNUMBER(AY170),AY170,NA())</f>
        <v/>
      </c>
    </row>
    <row r="171">
      <c r="A171" s="36">
        <f>IF(Datos!A171="","",Datos!A171)</f>
        <v/>
      </c>
      <c r="B171" s="37">
        <f>IF(OR($A171="",NOT(ISNUMBER(Datos!B171)),NOT(ISNUMBER(Datos!B170))),"",Datos!B171/Datos!B170-1)</f>
        <v/>
      </c>
      <c r="C171" s="37">
        <f>IF(OR($A171="",NOT(ISNUMBER(Datos!C171)),NOT(ISNUMBER(Datos!C170))),"",Datos!C171/Datos!C170-1)</f>
        <v/>
      </c>
      <c r="D171" s="37">
        <f>IF(OR($A171="",NOT(ISNUMBER(Datos!D171)),NOT(ISNUMBER(Datos!D170))),"",Datos!D171/Datos!D170-1)</f>
        <v/>
      </c>
      <c r="E171" s="37">
        <f>IF(OR($A171="",NOT(ISNUMBER(Datos!E171)),NOT(ISNUMBER(Datos!E170))),"",Datos!E171/Datos!E170-1)</f>
        <v/>
      </c>
      <c r="F171" s="38">
        <f>IF($A171="","",COUNT(B171:E171))</f>
        <v/>
      </c>
      <c r="G171" s="37">
        <f>IF($A171="","",IF(F171&gt;=MIN_BANCOS,AVERAGE(B171:E171),""))</f>
        <v/>
      </c>
      <c r="H171" s="37">
        <f>IF(OR($A171="",NOT(ISNUMBER(Datos!F171)),NOT(ISNUMBER(Datos!F170))),"",Datos!F171/Datos!F170-1)</f>
        <v/>
      </c>
      <c r="I171" s="39">
        <f>IF($A171="","",IF(ISNUMBER(Datos!G171),Datos!G171,I170))</f>
        <v/>
      </c>
      <c r="J171" s="40">
        <f>IF($A171="","",IF(ISNUMBER(I170),LN(1+I170/100/12),0))</f>
        <v/>
      </c>
      <c r="K171" s="40">
        <f>IF(ISNUMBER(G171),LN(1+G171)-J171,"")</f>
        <v/>
      </c>
      <c r="L171" s="40">
        <f>IF(ISNUMBER(H171),LN(1+H171)-J171,"")</f>
        <v/>
      </c>
      <c r="M171" s="38">
        <f>IF(ISNUMBER(K171),1,0)</f>
        <v/>
      </c>
      <c r="N171" s="40">
        <f>IF(M171=1,K171,0)</f>
        <v/>
      </c>
      <c r="O171" s="38">
        <f>IF(ISNUMBER(L171),1,0)</f>
        <v/>
      </c>
      <c r="P171" s="40">
        <f>IF(O171=1,L171,0)</f>
        <v/>
      </c>
      <c r="Q171" s="38">
        <f>M171*O171</f>
        <v/>
      </c>
      <c r="R171" s="38">
        <f>SUM(Q135:Q170)</f>
        <v/>
      </c>
      <c r="S171" s="41">
        <f>IF(OR($A171="",R171&lt;MIN_OBS_ROLL),"",(SUMPRODUCT(Q135:Q170,N135:N170,P135:P170)/R171-SUMPRODUCT(Q135:Q170,N135:N170)/R171*SUMPRODUCT(Q135:Q170,P135:P170)/R171)*R171/(R171-1))</f>
        <v/>
      </c>
      <c r="T171" s="38">
        <f>SUM(O135:O170)</f>
        <v/>
      </c>
      <c r="U171" s="41">
        <f>IF(OR($A171="",T171&lt;MIN_OBS_ROLL),"",SUMPRODUCT(O135:O170,(P135:P170-SUMPRODUCT(O135:O170,P135:P170)/T171)^2)/(T171-1))</f>
        <v/>
      </c>
      <c r="V171" s="40">
        <f>IF(OR(S171="",U171=""),"",S171/U171)</f>
        <v/>
      </c>
      <c r="W171" s="40">
        <f>IF(AND(ISNUMBER(K171),ISNUMBER(L171),ISNUMBER(V171)),K171-V171*L171,"")</f>
        <v/>
      </c>
      <c r="X171" s="40">
        <f>IF(OR($A171="",NOT(ISNUMBER(Datos!H171)),NOT(ISNUMBER(Datos!H170))),"",LN(Datos!H171)-LN(Datos!H170))</f>
        <v/>
      </c>
      <c r="Y171" s="38">
        <f>IF(ISNUMBER(W171),1,0)</f>
        <v/>
      </c>
      <c r="Z171" s="40">
        <f>IF(Y171=1,W171,0)</f>
        <v/>
      </c>
      <c r="AA171" s="38">
        <f>IF(ISNUMBER(X171),1,0)</f>
        <v/>
      </c>
      <c r="AB171" s="40">
        <f>IF(AA171=1,X171,0)</f>
        <v/>
      </c>
      <c r="AC171" s="38">
        <f>Y171*AA171</f>
        <v/>
      </c>
      <c r="AD171" s="38">
        <f>SUM(AC135:AC170)</f>
        <v/>
      </c>
      <c r="AE171" s="41">
        <f>IF(OR($A171="",AD171&lt;MIN_OBS_ROLL),"",(SUMPRODUCT(AC135:AC170,Z135:Z170,AB135:AB170)/AD171-SUMPRODUCT(AC135:AC170,Z135:Z170)/AD171*SUMPRODUCT(AC135:AC170,AB135:AB170)/AD171)*AD171/(AD171-1))</f>
        <v/>
      </c>
      <c r="AF171" s="38">
        <f>SUM(AA135:AA170)</f>
        <v/>
      </c>
      <c r="AG171" s="41">
        <f>IF(OR($A171="",AF171&lt;MIN_OBS_ROLL),"",SUMPRODUCT(AA135:AA170,(AB135:AB170-SUMPRODUCT(AA135:AA170,AB135:AB170)/AF171)^2)/(AF171-1))</f>
        <v/>
      </c>
      <c r="AH171" s="38">
        <f>SUM(Y135:Y170)</f>
        <v/>
      </c>
      <c r="AI171" s="40">
        <f>IF(OR($A171="",AH171&lt;MIN_OBS_ROLL),"",SUMPRODUCT(Y135:Y170,Z135:Z170)/AH171)</f>
        <v/>
      </c>
      <c r="AJ171" s="40">
        <f>IF(OR($A171="",AF171&lt;MIN_OBS_ROLL),"",SUMPRODUCT(AA135:AA170,AB135:AB170)/AF171)</f>
        <v/>
      </c>
      <c r="AK171" s="40">
        <f>IF(OR(AE171="",AG171=""),"",AE171/AG171)</f>
        <v/>
      </c>
      <c r="AL171" s="40">
        <f>IF(OR(AI171="",AK171="",AJ171=""),"",AI171-AK171*AJ171)</f>
        <v/>
      </c>
      <c r="AM171" s="40">
        <f>IF(AND(ISNUMBER(W171),ISNUMBER(X171),ISNUMBER(AK171),ISNUMBER(AL171)),W171-(AL171+AK171*X171),"")</f>
        <v/>
      </c>
      <c r="AN171" s="38">
        <f>IF(ISNUMBER(AM171),1,0)</f>
        <v/>
      </c>
      <c r="AO171" s="40">
        <f>IF(AN171=1,AM171,0)</f>
        <v/>
      </c>
      <c r="AP171" s="40">
        <f>IF(SUM(AN169:AN171)=3,SUM(AO169:AO171),"")</f>
        <v/>
      </c>
      <c r="AQ171" s="38">
        <f>IF(ISNUMBER(AP171),1,0)</f>
        <v/>
      </c>
      <c r="AR171" s="40">
        <f>IF(AQ171=1,AP171,0)</f>
        <v/>
      </c>
      <c r="AS171" s="38">
        <f>SUM(AQ$5:AQ171)</f>
        <v/>
      </c>
      <c r="AT171" s="40">
        <f>IF(AS171&gt;=MIN_OBS_Z,SUMPRODUCT(AQ$5:AQ171,AR$5:AR171)/AS171,"")</f>
        <v/>
      </c>
      <c r="AU171" s="40">
        <f>IF(AS171&gt;=MIN_OBS_Z,SQRT(SUMPRODUCT(AQ$5:AQ171,(AR$5:AR171-AT171)^2)/(AS171-1)),"")</f>
        <v/>
      </c>
      <c r="AV171" s="40">
        <f>IF(AND(AQ171=1,ISNUMBER(AT171)),MAX(-Z_CLIP,MIN(Z_CLIP,(AR171-AT171)/AU171)),"")</f>
        <v/>
      </c>
      <c r="AW171" s="40">
        <f>IF(ISNUMBER(AV171),-AV171,"")</f>
        <v/>
      </c>
      <c r="AX171" s="40">
        <f>IF(ISNUMBER(AW171),1+AMPLITUD*TANH(AW171),"")</f>
        <v/>
      </c>
      <c r="AY171" s="40">
        <f>IF($A171="","",IF(COUNT(AX169:AX171)&gt;0,AVERAGE(AX169:AX171),""))</f>
        <v/>
      </c>
      <c r="AZ171" s="40">
        <f>IF(ISNUMBER(AY171),AY171-1,"")</f>
        <v/>
      </c>
      <c r="BA171" s="40">
        <f>IF(AND(ISNUMBER(AZ170),ISNUMBER(W171)),AZ170*W_BANCOS*W171,"")</f>
        <v/>
      </c>
      <c r="BB171" s="40">
        <f>IF(AND(ISNUMBER(AZ170),ISNUMBER(AZ169)),ABS(AZ170-AZ169)*W_BANCOS*COSTO,0)</f>
        <v/>
      </c>
      <c r="BC171" s="40">
        <f>IF(ISNUMBER(BA171),BA171-BB171,"")</f>
        <v/>
      </c>
      <c r="BD171" s="42">
        <f>IF(ISNUMBER(BC171),IF(A171&lt;=FECHA_ERA,"A","B"),"")</f>
        <v/>
      </c>
      <c r="BE171" s="40">
        <f>IF(BD171="A",BC171,"")</f>
        <v/>
      </c>
      <c r="BF171" s="40">
        <f>IF(BD171="B",BC171,"")</f>
        <v/>
      </c>
      <c r="BG171" s="38">
        <f>IF(AND(ISNUMBER(BC171),ISNUMBER(A171)),IF(A171&gt;=INICIO_VIVO,1,0),0)</f>
        <v/>
      </c>
      <c r="BH171" s="40">
        <f>IF(BG171=1,BC171,"")</f>
        <v/>
      </c>
      <c r="BI171" s="38">
        <f>IF(ISNUMBER(AY171),ROW(),0)</f>
        <v/>
      </c>
      <c r="BJ171" s="43">
        <f>IF(ISNUMBER(BC171),SUM(BC$5:BC171)*10000,NA())</f>
        <v/>
      </c>
      <c r="BK171" s="43">
        <f>IF(BG171=1,SUM(BH$5:BH171)*10000,NA())</f>
        <v/>
      </c>
      <c r="BL171" s="44">
        <f>IF(ISNUMBER(AY171),AY171,NA())</f>
        <v/>
      </c>
    </row>
    <row r="172">
      <c r="A172" s="36">
        <f>IF(Datos!A172="","",Datos!A172)</f>
        <v/>
      </c>
      <c r="B172" s="37">
        <f>IF(OR($A172="",NOT(ISNUMBER(Datos!B172)),NOT(ISNUMBER(Datos!B171))),"",Datos!B172/Datos!B171-1)</f>
        <v/>
      </c>
      <c r="C172" s="37">
        <f>IF(OR($A172="",NOT(ISNUMBER(Datos!C172)),NOT(ISNUMBER(Datos!C171))),"",Datos!C172/Datos!C171-1)</f>
        <v/>
      </c>
      <c r="D172" s="37">
        <f>IF(OR($A172="",NOT(ISNUMBER(Datos!D172)),NOT(ISNUMBER(Datos!D171))),"",Datos!D172/Datos!D171-1)</f>
        <v/>
      </c>
      <c r="E172" s="37">
        <f>IF(OR($A172="",NOT(ISNUMBER(Datos!E172)),NOT(ISNUMBER(Datos!E171))),"",Datos!E172/Datos!E171-1)</f>
        <v/>
      </c>
      <c r="F172" s="38">
        <f>IF($A172="","",COUNT(B172:E172))</f>
        <v/>
      </c>
      <c r="G172" s="37">
        <f>IF($A172="","",IF(F172&gt;=MIN_BANCOS,AVERAGE(B172:E172),""))</f>
        <v/>
      </c>
      <c r="H172" s="37">
        <f>IF(OR($A172="",NOT(ISNUMBER(Datos!F172)),NOT(ISNUMBER(Datos!F171))),"",Datos!F172/Datos!F171-1)</f>
        <v/>
      </c>
      <c r="I172" s="39">
        <f>IF($A172="","",IF(ISNUMBER(Datos!G172),Datos!G172,I171))</f>
        <v/>
      </c>
      <c r="J172" s="40">
        <f>IF($A172="","",IF(ISNUMBER(I171),LN(1+I171/100/12),0))</f>
        <v/>
      </c>
      <c r="K172" s="40">
        <f>IF(ISNUMBER(G172),LN(1+G172)-J172,"")</f>
        <v/>
      </c>
      <c r="L172" s="40">
        <f>IF(ISNUMBER(H172),LN(1+H172)-J172,"")</f>
        <v/>
      </c>
      <c r="M172" s="38">
        <f>IF(ISNUMBER(K172),1,0)</f>
        <v/>
      </c>
      <c r="N172" s="40">
        <f>IF(M172=1,K172,0)</f>
        <v/>
      </c>
      <c r="O172" s="38">
        <f>IF(ISNUMBER(L172),1,0)</f>
        <v/>
      </c>
      <c r="P172" s="40">
        <f>IF(O172=1,L172,0)</f>
        <v/>
      </c>
      <c r="Q172" s="38">
        <f>M172*O172</f>
        <v/>
      </c>
      <c r="R172" s="38">
        <f>SUM(Q136:Q171)</f>
        <v/>
      </c>
      <c r="S172" s="41">
        <f>IF(OR($A172="",R172&lt;MIN_OBS_ROLL),"",(SUMPRODUCT(Q136:Q171,N136:N171,P136:P171)/R172-SUMPRODUCT(Q136:Q171,N136:N171)/R172*SUMPRODUCT(Q136:Q171,P136:P171)/R172)*R172/(R172-1))</f>
        <v/>
      </c>
      <c r="T172" s="38">
        <f>SUM(O136:O171)</f>
        <v/>
      </c>
      <c r="U172" s="41">
        <f>IF(OR($A172="",T172&lt;MIN_OBS_ROLL),"",SUMPRODUCT(O136:O171,(P136:P171-SUMPRODUCT(O136:O171,P136:P171)/T172)^2)/(T172-1))</f>
        <v/>
      </c>
      <c r="V172" s="40">
        <f>IF(OR(S172="",U172=""),"",S172/U172)</f>
        <v/>
      </c>
      <c r="W172" s="40">
        <f>IF(AND(ISNUMBER(K172),ISNUMBER(L172),ISNUMBER(V172)),K172-V172*L172,"")</f>
        <v/>
      </c>
      <c r="X172" s="40">
        <f>IF(OR($A172="",NOT(ISNUMBER(Datos!H172)),NOT(ISNUMBER(Datos!H171))),"",LN(Datos!H172)-LN(Datos!H171))</f>
        <v/>
      </c>
      <c r="Y172" s="38">
        <f>IF(ISNUMBER(W172),1,0)</f>
        <v/>
      </c>
      <c r="Z172" s="40">
        <f>IF(Y172=1,W172,0)</f>
        <v/>
      </c>
      <c r="AA172" s="38">
        <f>IF(ISNUMBER(X172),1,0)</f>
        <v/>
      </c>
      <c r="AB172" s="40">
        <f>IF(AA172=1,X172,0)</f>
        <v/>
      </c>
      <c r="AC172" s="38">
        <f>Y172*AA172</f>
        <v/>
      </c>
      <c r="AD172" s="38">
        <f>SUM(AC136:AC171)</f>
        <v/>
      </c>
      <c r="AE172" s="41">
        <f>IF(OR($A172="",AD172&lt;MIN_OBS_ROLL),"",(SUMPRODUCT(AC136:AC171,Z136:Z171,AB136:AB171)/AD172-SUMPRODUCT(AC136:AC171,Z136:Z171)/AD172*SUMPRODUCT(AC136:AC171,AB136:AB171)/AD172)*AD172/(AD172-1))</f>
        <v/>
      </c>
      <c r="AF172" s="38">
        <f>SUM(AA136:AA171)</f>
        <v/>
      </c>
      <c r="AG172" s="41">
        <f>IF(OR($A172="",AF172&lt;MIN_OBS_ROLL),"",SUMPRODUCT(AA136:AA171,(AB136:AB171-SUMPRODUCT(AA136:AA171,AB136:AB171)/AF172)^2)/(AF172-1))</f>
        <v/>
      </c>
      <c r="AH172" s="38">
        <f>SUM(Y136:Y171)</f>
        <v/>
      </c>
      <c r="AI172" s="40">
        <f>IF(OR($A172="",AH172&lt;MIN_OBS_ROLL),"",SUMPRODUCT(Y136:Y171,Z136:Z171)/AH172)</f>
        <v/>
      </c>
      <c r="AJ172" s="40">
        <f>IF(OR($A172="",AF172&lt;MIN_OBS_ROLL),"",SUMPRODUCT(AA136:AA171,AB136:AB171)/AF172)</f>
        <v/>
      </c>
      <c r="AK172" s="40">
        <f>IF(OR(AE172="",AG172=""),"",AE172/AG172)</f>
        <v/>
      </c>
      <c r="AL172" s="40">
        <f>IF(OR(AI172="",AK172="",AJ172=""),"",AI172-AK172*AJ172)</f>
        <v/>
      </c>
      <c r="AM172" s="40">
        <f>IF(AND(ISNUMBER(W172),ISNUMBER(X172),ISNUMBER(AK172),ISNUMBER(AL172)),W172-(AL172+AK172*X172),"")</f>
        <v/>
      </c>
      <c r="AN172" s="38">
        <f>IF(ISNUMBER(AM172),1,0)</f>
        <v/>
      </c>
      <c r="AO172" s="40">
        <f>IF(AN172=1,AM172,0)</f>
        <v/>
      </c>
      <c r="AP172" s="40">
        <f>IF(SUM(AN170:AN172)=3,SUM(AO170:AO172),"")</f>
        <v/>
      </c>
      <c r="AQ172" s="38">
        <f>IF(ISNUMBER(AP172),1,0)</f>
        <v/>
      </c>
      <c r="AR172" s="40">
        <f>IF(AQ172=1,AP172,0)</f>
        <v/>
      </c>
      <c r="AS172" s="38">
        <f>SUM(AQ$5:AQ172)</f>
        <v/>
      </c>
      <c r="AT172" s="40">
        <f>IF(AS172&gt;=MIN_OBS_Z,SUMPRODUCT(AQ$5:AQ172,AR$5:AR172)/AS172,"")</f>
        <v/>
      </c>
      <c r="AU172" s="40">
        <f>IF(AS172&gt;=MIN_OBS_Z,SQRT(SUMPRODUCT(AQ$5:AQ172,(AR$5:AR172-AT172)^2)/(AS172-1)),"")</f>
        <v/>
      </c>
      <c r="AV172" s="40">
        <f>IF(AND(AQ172=1,ISNUMBER(AT172)),MAX(-Z_CLIP,MIN(Z_CLIP,(AR172-AT172)/AU172)),"")</f>
        <v/>
      </c>
      <c r="AW172" s="40">
        <f>IF(ISNUMBER(AV172),-AV172,"")</f>
        <v/>
      </c>
      <c r="AX172" s="40">
        <f>IF(ISNUMBER(AW172),1+AMPLITUD*TANH(AW172),"")</f>
        <v/>
      </c>
      <c r="AY172" s="40">
        <f>IF($A172="","",IF(COUNT(AX170:AX172)&gt;0,AVERAGE(AX170:AX172),""))</f>
        <v/>
      </c>
      <c r="AZ172" s="40">
        <f>IF(ISNUMBER(AY172),AY172-1,"")</f>
        <v/>
      </c>
      <c r="BA172" s="40">
        <f>IF(AND(ISNUMBER(AZ171),ISNUMBER(W172)),AZ171*W_BANCOS*W172,"")</f>
        <v/>
      </c>
      <c r="BB172" s="40">
        <f>IF(AND(ISNUMBER(AZ171),ISNUMBER(AZ170)),ABS(AZ171-AZ170)*W_BANCOS*COSTO,0)</f>
        <v/>
      </c>
      <c r="BC172" s="40">
        <f>IF(ISNUMBER(BA172),BA172-BB172,"")</f>
        <v/>
      </c>
      <c r="BD172" s="42">
        <f>IF(ISNUMBER(BC172),IF(A172&lt;=FECHA_ERA,"A","B"),"")</f>
        <v/>
      </c>
      <c r="BE172" s="40">
        <f>IF(BD172="A",BC172,"")</f>
        <v/>
      </c>
      <c r="BF172" s="40">
        <f>IF(BD172="B",BC172,"")</f>
        <v/>
      </c>
      <c r="BG172" s="38">
        <f>IF(AND(ISNUMBER(BC172),ISNUMBER(A172)),IF(A172&gt;=INICIO_VIVO,1,0),0)</f>
        <v/>
      </c>
      <c r="BH172" s="40">
        <f>IF(BG172=1,BC172,"")</f>
        <v/>
      </c>
      <c r="BI172" s="38">
        <f>IF(ISNUMBER(AY172),ROW(),0)</f>
        <v/>
      </c>
      <c r="BJ172" s="43">
        <f>IF(ISNUMBER(BC172),SUM(BC$5:BC172)*10000,NA())</f>
        <v/>
      </c>
      <c r="BK172" s="43">
        <f>IF(BG172=1,SUM(BH$5:BH172)*10000,NA())</f>
        <v/>
      </c>
      <c r="BL172" s="44">
        <f>IF(ISNUMBER(AY172),AY172,NA())</f>
        <v/>
      </c>
    </row>
    <row r="173">
      <c r="A173" s="36">
        <f>IF(Datos!A173="","",Datos!A173)</f>
        <v/>
      </c>
      <c r="B173" s="37">
        <f>IF(OR($A173="",NOT(ISNUMBER(Datos!B173)),NOT(ISNUMBER(Datos!B172))),"",Datos!B173/Datos!B172-1)</f>
        <v/>
      </c>
      <c r="C173" s="37">
        <f>IF(OR($A173="",NOT(ISNUMBER(Datos!C173)),NOT(ISNUMBER(Datos!C172))),"",Datos!C173/Datos!C172-1)</f>
        <v/>
      </c>
      <c r="D173" s="37">
        <f>IF(OR($A173="",NOT(ISNUMBER(Datos!D173)),NOT(ISNUMBER(Datos!D172))),"",Datos!D173/Datos!D172-1)</f>
        <v/>
      </c>
      <c r="E173" s="37">
        <f>IF(OR($A173="",NOT(ISNUMBER(Datos!E173)),NOT(ISNUMBER(Datos!E172))),"",Datos!E173/Datos!E172-1)</f>
        <v/>
      </c>
      <c r="F173" s="38">
        <f>IF($A173="","",COUNT(B173:E173))</f>
        <v/>
      </c>
      <c r="G173" s="37">
        <f>IF($A173="","",IF(F173&gt;=MIN_BANCOS,AVERAGE(B173:E173),""))</f>
        <v/>
      </c>
      <c r="H173" s="37">
        <f>IF(OR($A173="",NOT(ISNUMBER(Datos!F173)),NOT(ISNUMBER(Datos!F172))),"",Datos!F173/Datos!F172-1)</f>
        <v/>
      </c>
      <c r="I173" s="39">
        <f>IF($A173="","",IF(ISNUMBER(Datos!G173),Datos!G173,I172))</f>
        <v/>
      </c>
      <c r="J173" s="40">
        <f>IF($A173="","",IF(ISNUMBER(I172),LN(1+I172/100/12),0))</f>
        <v/>
      </c>
      <c r="K173" s="40">
        <f>IF(ISNUMBER(G173),LN(1+G173)-J173,"")</f>
        <v/>
      </c>
      <c r="L173" s="40">
        <f>IF(ISNUMBER(H173),LN(1+H173)-J173,"")</f>
        <v/>
      </c>
      <c r="M173" s="38">
        <f>IF(ISNUMBER(K173),1,0)</f>
        <v/>
      </c>
      <c r="N173" s="40">
        <f>IF(M173=1,K173,0)</f>
        <v/>
      </c>
      <c r="O173" s="38">
        <f>IF(ISNUMBER(L173),1,0)</f>
        <v/>
      </c>
      <c r="P173" s="40">
        <f>IF(O173=1,L173,0)</f>
        <v/>
      </c>
      <c r="Q173" s="38">
        <f>M173*O173</f>
        <v/>
      </c>
      <c r="R173" s="38">
        <f>SUM(Q137:Q172)</f>
        <v/>
      </c>
      <c r="S173" s="41">
        <f>IF(OR($A173="",R173&lt;MIN_OBS_ROLL),"",(SUMPRODUCT(Q137:Q172,N137:N172,P137:P172)/R173-SUMPRODUCT(Q137:Q172,N137:N172)/R173*SUMPRODUCT(Q137:Q172,P137:P172)/R173)*R173/(R173-1))</f>
        <v/>
      </c>
      <c r="T173" s="38">
        <f>SUM(O137:O172)</f>
        <v/>
      </c>
      <c r="U173" s="41">
        <f>IF(OR($A173="",T173&lt;MIN_OBS_ROLL),"",SUMPRODUCT(O137:O172,(P137:P172-SUMPRODUCT(O137:O172,P137:P172)/T173)^2)/(T173-1))</f>
        <v/>
      </c>
      <c r="V173" s="40">
        <f>IF(OR(S173="",U173=""),"",S173/U173)</f>
        <v/>
      </c>
      <c r="W173" s="40">
        <f>IF(AND(ISNUMBER(K173),ISNUMBER(L173),ISNUMBER(V173)),K173-V173*L173,"")</f>
        <v/>
      </c>
      <c r="X173" s="40">
        <f>IF(OR($A173="",NOT(ISNUMBER(Datos!H173)),NOT(ISNUMBER(Datos!H172))),"",LN(Datos!H173)-LN(Datos!H172))</f>
        <v/>
      </c>
      <c r="Y173" s="38">
        <f>IF(ISNUMBER(W173),1,0)</f>
        <v/>
      </c>
      <c r="Z173" s="40">
        <f>IF(Y173=1,W173,0)</f>
        <v/>
      </c>
      <c r="AA173" s="38">
        <f>IF(ISNUMBER(X173),1,0)</f>
        <v/>
      </c>
      <c r="AB173" s="40">
        <f>IF(AA173=1,X173,0)</f>
        <v/>
      </c>
      <c r="AC173" s="38">
        <f>Y173*AA173</f>
        <v/>
      </c>
      <c r="AD173" s="38">
        <f>SUM(AC137:AC172)</f>
        <v/>
      </c>
      <c r="AE173" s="41">
        <f>IF(OR($A173="",AD173&lt;MIN_OBS_ROLL),"",(SUMPRODUCT(AC137:AC172,Z137:Z172,AB137:AB172)/AD173-SUMPRODUCT(AC137:AC172,Z137:Z172)/AD173*SUMPRODUCT(AC137:AC172,AB137:AB172)/AD173)*AD173/(AD173-1))</f>
        <v/>
      </c>
      <c r="AF173" s="38">
        <f>SUM(AA137:AA172)</f>
        <v/>
      </c>
      <c r="AG173" s="41">
        <f>IF(OR($A173="",AF173&lt;MIN_OBS_ROLL),"",SUMPRODUCT(AA137:AA172,(AB137:AB172-SUMPRODUCT(AA137:AA172,AB137:AB172)/AF173)^2)/(AF173-1))</f>
        <v/>
      </c>
      <c r="AH173" s="38">
        <f>SUM(Y137:Y172)</f>
        <v/>
      </c>
      <c r="AI173" s="40">
        <f>IF(OR($A173="",AH173&lt;MIN_OBS_ROLL),"",SUMPRODUCT(Y137:Y172,Z137:Z172)/AH173)</f>
        <v/>
      </c>
      <c r="AJ173" s="40">
        <f>IF(OR($A173="",AF173&lt;MIN_OBS_ROLL),"",SUMPRODUCT(AA137:AA172,AB137:AB172)/AF173)</f>
        <v/>
      </c>
      <c r="AK173" s="40">
        <f>IF(OR(AE173="",AG173=""),"",AE173/AG173)</f>
        <v/>
      </c>
      <c r="AL173" s="40">
        <f>IF(OR(AI173="",AK173="",AJ173=""),"",AI173-AK173*AJ173)</f>
        <v/>
      </c>
      <c r="AM173" s="40">
        <f>IF(AND(ISNUMBER(W173),ISNUMBER(X173),ISNUMBER(AK173),ISNUMBER(AL173)),W173-(AL173+AK173*X173),"")</f>
        <v/>
      </c>
      <c r="AN173" s="38">
        <f>IF(ISNUMBER(AM173),1,0)</f>
        <v/>
      </c>
      <c r="AO173" s="40">
        <f>IF(AN173=1,AM173,0)</f>
        <v/>
      </c>
      <c r="AP173" s="40">
        <f>IF(SUM(AN171:AN173)=3,SUM(AO171:AO173),"")</f>
        <v/>
      </c>
      <c r="AQ173" s="38">
        <f>IF(ISNUMBER(AP173),1,0)</f>
        <v/>
      </c>
      <c r="AR173" s="40">
        <f>IF(AQ173=1,AP173,0)</f>
        <v/>
      </c>
      <c r="AS173" s="38">
        <f>SUM(AQ$5:AQ173)</f>
        <v/>
      </c>
      <c r="AT173" s="40">
        <f>IF(AS173&gt;=MIN_OBS_Z,SUMPRODUCT(AQ$5:AQ173,AR$5:AR173)/AS173,"")</f>
        <v/>
      </c>
      <c r="AU173" s="40">
        <f>IF(AS173&gt;=MIN_OBS_Z,SQRT(SUMPRODUCT(AQ$5:AQ173,(AR$5:AR173-AT173)^2)/(AS173-1)),"")</f>
        <v/>
      </c>
      <c r="AV173" s="40">
        <f>IF(AND(AQ173=1,ISNUMBER(AT173)),MAX(-Z_CLIP,MIN(Z_CLIP,(AR173-AT173)/AU173)),"")</f>
        <v/>
      </c>
      <c r="AW173" s="40">
        <f>IF(ISNUMBER(AV173),-AV173,"")</f>
        <v/>
      </c>
      <c r="AX173" s="40">
        <f>IF(ISNUMBER(AW173),1+AMPLITUD*TANH(AW173),"")</f>
        <v/>
      </c>
      <c r="AY173" s="40">
        <f>IF($A173="","",IF(COUNT(AX171:AX173)&gt;0,AVERAGE(AX171:AX173),""))</f>
        <v/>
      </c>
      <c r="AZ173" s="40">
        <f>IF(ISNUMBER(AY173),AY173-1,"")</f>
        <v/>
      </c>
      <c r="BA173" s="40">
        <f>IF(AND(ISNUMBER(AZ172),ISNUMBER(W173)),AZ172*W_BANCOS*W173,"")</f>
        <v/>
      </c>
      <c r="BB173" s="40">
        <f>IF(AND(ISNUMBER(AZ172),ISNUMBER(AZ171)),ABS(AZ172-AZ171)*W_BANCOS*COSTO,0)</f>
        <v/>
      </c>
      <c r="BC173" s="40">
        <f>IF(ISNUMBER(BA173),BA173-BB173,"")</f>
        <v/>
      </c>
      <c r="BD173" s="42">
        <f>IF(ISNUMBER(BC173),IF(A173&lt;=FECHA_ERA,"A","B"),"")</f>
        <v/>
      </c>
      <c r="BE173" s="40">
        <f>IF(BD173="A",BC173,"")</f>
        <v/>
      </c>
      <c r="BF173" s="40">
        <f>IF(BD173="B",BC173,"")</f>
        <v/>
      </c>
      <c r="BG173" s="38">
        <f>IF(AND(ISNUMBER(BC173),ISNUMBER(A173)),IF(A173&gt;=INICIO_VIVO,1,0),0)</f>
        <v/>
      </c>
      <c r="BH173" s="40">
        <f>IF(BG173=1,BC173,"")</f>
        <v/>
      </c>
      <c r="BI173" s="38">
        <f>IF(ISNUMBER(AY173),ROW(),0)</f>
        <v/>
      </c>
      <c r="BJ173" s="43">
        <f>IF(ISNUMBER(BC173),SUM(BC$5:BC173)*10000,NA())</f>
        <v/>
      </c>
      <c r="BK173" s="43">
        <f>IF(BG173=1,SUM(BH$5:BH173)*10000,NA())</f>
        <v/>
      </c>
      <c r="BL173" s="44">
        <f>IF(ISNUMBER(AY173),AY173,NA())</f>
        <v/>
      </c>
    </row>
    <row r="174">
      <c r="A174" s="36">
        <f>IF(Datos!A174="","",Datos!A174)</f>
        <v/>
      </c>
      <c r="B174" s="37">
        <f>IF(OR($A174="",NOT(ISNUMBER(Datos!B174)),NOT(ISNUMBER(Datos!B173))),"",Datos!B174/Datos!B173-1)</f>
        <v/>
      </c>
      <c r="C174" s="37">
        <f>IF(OR($A174="",NOT(ISNUMBER(Datos!C174)),NOT(ISNUMBER(Datos!C173))),"",Datos!C174/Datos!C173-1)</f>
        <v/>
      </c>
      <c r="D174" s="37">
        <f>IF(OR($A174="",NOT(ISNUMBER(Datos!D174)),NOT(ISNUMBER(Datos!D173))),"",Datos!D174/Datos!D173-1)</f>
        <v/>
      </c>
      <c r="E174" s="37">
        <f>IF(OR($A174="",NOT(ISNUMBER(Datos!E174)),NOT(ISNUMBER(Datos!E173))),"",Datos!E174/Datos!E173-1)</f>
        <v/>
      </c>
      <c r="F174" s="38">
        <f>IF($A174="","",COUNT(B174:E174))</f>
        <v/>
      </c>
      <c r="G174" s="37">
        <f>IF($A174="","",IF(F174&gt;=MIN_BANCOS,AVERAGE(B174:E174),""))</f>
        <v/>
      </c>
      <c r="H174" s="37">
        <f>IF(OR($A174="",NOT(ISNUMBER(Datos!F174)),NOT(ISNUMBER(Datos!F173))),"",Datos!F174/Datos!F173-1)</f>
        <v/>
      </c>
      <c r="I174" s="39">
        <f>IF($A174="","",IF(ISNUMBER(Datos!G174),Datos!G174,I173))</f>
        <v/>
      </c>
      <c r="J174" s="40">
        <f>IF($A174="","",IF(ISNUMBER(I173),LN(1+I173/100/12),0))</f>
        <v/>
      </c>
      <c r="K174" s="40">
        <f>IF(ISNUMBER(G174),LN(1+G174)-J174,"")</f>
        <v/>
      </c>
      <c r="L174" s="40">
        <f>IF(ISNUMBER(H174),LN(1+H174)-J174,"")</f>
        <v/>
      </c>
      <c r="M174" s="38">
        <f>IF(ISNUMBER(K174),1,0)</f>
        <v/>
      </c>
      <c r="N174" s="40">
        <f>IF(M174=1,K174,0)</f>
        <v/>
      </c>
      <c r="O174" s="38">
        <f>IF(ISNUMBER(L174),1,0)</f>
        <v/>
      </c>
      <c r="P174" s="40">
        <f>IF(O174=1,L174,0)</f>
        <v/>
      </c>
      <c r="Q174" s="38">
        <f>M174*O174</f>
        <v/>
      </c>
      <c r="R174" s="38">
        <f>SUM(Q138:Q173)</f>
        <v/>
      </c>
      <c r="S174" s="41">
        <f>IF(OR($A174="",R174&lt;MIN_OBS_ROLL),"",(SUMPRODUCT(Q138:Q173,N138:N173,P138:P173)/R174-SUMPRODUCT(Q138:Q173,N138:N173)/R174*SUMPRODUCT(Q138:Q173,P138:P173)/R174)*R174/(R174-1))</f>
        <v/>
      </c>
      <c r="T174" s="38">
        <f>SUM(O138:O173)</f>
        <v/>
      </c>
      <c r="U174" s="41">
        <f>IF(OR($A174="",T174&lt;MIN_OBS_ROLL),"",SUMPRODUCT(O138:O173,(P138:P173-SUMPRODUCT(O138:O173,P138:P173)/T174)^2)/(T174-1))</f>
        <v/>
      </c>
      <c r="V174" s="40">
        <f>IF(OR(S174="",U174=""),"",S174/U174)</f>
        <v/>
      </c>
      <c r="W174" s="40">
        <f>IF(AND(ISNUMBER(K174),ISNUMBER(L174),ISNUMBER(V174)),K174-V174*L174,"")</f>
        <v/>
      </c>
      <c r="X174" s="40">
        <f>IF(OR($A174="",NOT(ISNUMBER(Datos!H174)),NOT(ISNUMBER(Datos!H173))),"",LN(Datos!H174)-LN(Datos!H173))</f>
        <v/>
      </c>
      <c r="Y174" s="38">
        <f>IF(ISNUMBER(W174),1,0)</f>
        <v/>
      </c>
      <c r="Z174" s="40">
        <f>IF(Y174=1,W174,0)</f>
        <v/>
      </c>
      <c r="AA174" s="38">
        <f>IF(ISNUMBER(X174),1,0)</f>
        <v/>
      </c>
      <c r="AB174" s="40">
        <f>IF(AA174=1,X174,0)</f>
        <v/>
      </c>
      <c r="AC174" s="38">
        <f>Y174*AA174</f>
        <v/>
      </c>
      <c r="AD174" s="38">
        <f>SUM(AC138:AC173)</f>
        <v/>
      </c>
      <c r="AE174" s="41">
        <f>IF(OR($A174="",AD174&lt;MIN_OBS_ROLL),"",(SUMPRODUCT(AC138:AC173,Z138:Z173,AB138:AB173)/AD174-SUMPRODUCT(AC138:AC173,Z138:Z173)/AD174*SUMPRODUCT(AC138:AC173,AB138:AB173)/AD174)*AD174/(AD174-1))</f>
        <v/>
      </c>
      <c r="AF174" s="38">
        <f>SUM(AA138:AA173)</f>
        <v/>
      </c>
      <c r="AG174" s="41">
        <f>IF(OR($A174="",AF174&lt;MIN_OBS_ROLL),"",SUMPRODUCT(AA138:AA173,(AB138:AB173-SUMPRODUCT(AA138:AA173,AB138:AB173)/AF174)^2)/(AF174-1))</f>
        <v/>
      </c>
      <c r="AH174" s="38">
        <f>SUM(Y138:Y173)</f>
        <v/>
      </c>
      <c r="AI174" s="40">
        <f>IF(OR($A174="",AH174&lt;MIN_OBS_ROLL),"",SUMPRODUCT(Y138:Y173,Z138:Z173)/AH174)</f>
        <v/>
      </c>
      <c r="AJ174" s="40">
        <f>IF(OR($A174="",AF174&lt;MIN_OBS_ROLL),"",SUMPRODUCT(AA138:AA173,AB138:AB173)/AF174)</f>
        <v/>
      </c>
      <c r="AK174" s="40">
        <f>IF(OR(AE174="",AG174=""),"",AE174/AG174)</f>
        <v/>
      </c>
      <c r="AL174" s="40">
        <f>IF(OR(AI174="",AK174="",AJ174=""),"",AI174-AK174*AJ174)</f>
        <v/>
      </c>
      <c r="AM174" s="40">
        <f>IF(AND(ISNUMBER(W174),ISNUMBER(X174),ISNUMBER(AK174),ISNUMBER(AL174)),W174-(AL174+AK174*X174),"")</f>
        <v/>
      </c>
      <c r="AN174" s="38">
        <f>IF(ISNUMBER(AM174),1,0)</f>
        <v/>
      </c>
      <c r="AO174" s="40">
        <f>IF(AN174=1,AM174,0)</f>
        <v/>
      </c>
      <c r="AP174" s="40">
        <f>IF(SUM(AN172:AN174)=3,SUM(AO172:AO174),"")</f>
        <v/>
      </c>
      <c r="AQ174" s="38">
        <f>IF(ISNUMBER(AP174),1,0)</f>
        <v/>
      </c>
      <c r="AR174" s="40">
        <f>IF(AQ174=1,AP174,0)</f>
        <v/>
      </c>
      <c r="AS174" s="38">
        <f>SUM(AQ$5:AQ174)</f>
        <v/>
      </c>
      <c r="AT174" s="40">
        <f>IF(AS174&gt;=MIN_OBS_Z,SUMPRODUCT(AQ$5:AQ174,AR$5:AR174)/AS174,"")</f>
        <v/>
      </c>
      <c r="AU174" s="40">
        <f>IF(AS174&gt;=MIN_OBS_Z,SQRT(SUMPRODUCT(AQ$5:AQ174,(AR$5:AR174-AT174)^2)/(AS174-1)),"")</f>
        <v/>
      </c>
      <c r="AV174" s="40">
        <f>IF(AND(AQ174=1,ISNUMBER(AT174)),MAX(-Z_CLIP,MIN(Z_CLIP,(AR174-AT174)/AU174)),"")</f>
        <v/>
      </c>
      <c r="AW174" s="40">
        <f>IF(ISNUMBER(AV174),-AV174,"")</f>
        <v/>
      </c>
      <c r="AX174" s="40">
        <f>IF(ISNUMBER(AW174),1+AMPLITUD*TANH(AW174),"")</f>
        <v/>
      </c>
      <c r="AY174" s="40">
        <f>IF($A174="","",IF(COUNT(AX172:AX174)&gt;0,AVERAGE(AX172:AX174),""))</f>
        <v/>
      </c>
      <c r="AZ174" s="40">
        <f>IF(ISNUMBER(AY174),AY174-1,"")</f>
        <v/>
      </c>
      <c r="BA174" s="40">
        <f>IF(AND(ISNUMBER(AZ173),ISNUMBER(W174)),AZ173*W_BANCOS*W174,"")</f>
        <v/>
      </c>
      <c r="BB174" s="40">
        <f>IF(AND(ISNUMBER(AZ173),ISNUMBER(AZ172)),ABS(AZ173-AZ172)*W_BANCOS*COSTO,0)</f>
        <v/>
      </c>
      <c r="BC174" s="40">
        <f>IF(ISNUMBER(BA174),BA174-BB174,"")</f>
        <v/>
      </c>
      <c r="BD174" s="42">
        <f>IF(ISNUMBER(BC174),IF(A174&lt;=FECHA_ERA,"A","B"),"")</f>
        <v/>
      </c>
      <c r="BE174" s="40">
        <f>IF(BD174="A",BC174,"")</f>
        <v/>
      </c>
      <c r="BF174" s="40">
        <f>IF(BD174="B",BC174,"")</f>
        <v/>
      </c>
      <c r="BG174" s="38">
        <f>IF(AND(ISNUMBER(BC174),ISNUMBER(A174)),IF(A174&gt;=INICIO_VIVO,1,0),0)</f>
        <v/>
      </c>
      <c r="BH174" s="40">
        <f>IF(BG174=1,BC174,"")</f>
        <v/>
      </c>
      <c r="BI174" s="38">
        <f>IF(ISNUMBER(AY174),ROW(),0)</f>
        <v/>
      </c>
      <c r="BJ174" s="43">
        <f>IF(ISNUMBER(BC174),SUM(BC$5:BC174)*10000,NA())</f>
        <v/>
      </c>
      <c r="BK174" s="43">
        <f>IF(BG174=1,SUM(BH$5:BH174)*10000,NA())</f>
        <v/>
      </c>
      <c r="BL174" s="44">
        <f>IF(ISNUMBER(AY174),AY174,NA())</f>
        <v/>
      </c>
    </row>
    <row r="175">
      <c r="A175" s="36">
        <f>IF(Datos!A175="","",Datos!A175)</f>
        <v/>
      </c>
      <c r="B175" s="37">
        <f>IF(OR($A175="",NOT(ISNUMBER(Datos!B175)),NOT(ISNUMBER(Datos!B174))),"",Datos!B175/Datos!B174-1)</f>
        <v/>
      </c>
      <c r="C175" s="37">
        <f>IF(OR($A175="",NOT(ISNUMBER(Datos!C175)),NOT(ISNUMBER(Datos!C174))),"",Datos!C175/Datos!C174-1)</f>
        <v/>
      </c>
      <c r="D175" s="37">
        <f>IF(OR($A175="",NOT(ISNUMBER(Datos!D175)),NOT(ISNUMBER(Datos!D174))),"",Datos!D175/Datos!D174-1)</f>
        <v/>
      </c>
      <c r="E175" s="37">
        <f>IF(OR($A175="",NOT(ISNUMBER(Datos!E175)),NOT(ISNUMBER(Datos!E174))),"",Datos!E175/Datos!E174-1)</f>
        <v/>
      </c>
      <c r="F175" s="38">
        <f>IF($A175="","",COUNT(B175:E175))</f>
        <v/>
      </c>
      <c r="G175" s="37">
        <f>IF($A175="","",IF(F175&gt;=MIN_BANCOS,AVERAGE(B175:E175),""))</f>
        <v/>
      </c>
      <c r="H175" s="37">
        <f>IF(OR($A175="",NOT(ISNUMBER(Datos!F175)),NOT(ISNUMBER(Datos!F174))),"",Datos!F175/Datos!F174-1)</f>
        <v/>
      </c>
      <c r="I175" s="39">
        <f>IF($A175="","",IF(ISNUMBER(Datos!G175),Datos!G175,I174))</f>
        <v/>
      </c>
      <c r="J175" s="40">
        <f>IF($A175="","",IF(ISNUMBER(I174),LN(1+I174/100/12),0))</f>
        <v/>
      </c>
      <c r="K175" s="40">
        <f>IF(ISNUMBER(G175),LN(1+G175)-J175,"")</f>
        <v/>
      </c>
      <c r="L175" s="40">
        <f>IF(ISNUMBER(H175),LN(1+H175)-J175,"")</f>
        <v/>
      </c>
      <c r="M175" s="38">
        <f>IF(ISNUMBER(K175),1,0)</f>
        <v/>
      </c>
      <c r="N175" s="40">
        <f>IF(M175=1,K175,0)</f>
        <v/>
      </c>
      <c r="O175" s="38">
        <f>IF(ISNUMBER(L175),1,0)</f>
        <v/>
      </c>
      <c r="P175" s="40">
        <f>IF(O175=1,L175,0)</f>
        <v/>
      </c>
      <c r="Q175" s="38">
        <f>M175*O175</f>
        <v/>
      </c>
      <c r="R175" s="38">
        <f>SUM(Q139:Q174)</f>
        <v/>
      </c>
      <c r="S175" s="41">
        <f>IF(OR($A175="",R175&lt;MIN_OBS_ROLL),"",(SUMPRODUCT(Q139:Q174,N139:N174,P139:P174)/R175-SUMPRODUCT(Q139:Q174,N139:N174)/R175*SUMPRODUCT(Q139:Q174,P139:P174)/R175)*R175/(R175-1))</f>
        <v/>
      </c>
      <c r="T175" s="38">
        <f>SUM(O139:O174)</f>
        <v/>
      </c>
      <c r="U175" s="41">
        <f>IF(OR($A175="",T175&lt;MIN_OBS_ROLL),"",SUMPRODUCT(O139:O174,(P139:P174-SUMPRODUCT(O139:O174,P139:P174)/T175)^2)/(T175-1))</f>
        <v/>
      </c>
      <c r="V175" s="40">
        <f>IF(OR(S175="",U175=""),"",S175/U175)</f>
        <v/>
      </c>
      <c r="W175" s="40">
        <f>IF(AND(ISNUMBER(K175),ISNUMBER(L175),ISNUMBER(V175)),K175-V175*L175,"")</f>
        <v/>
      </c>
      <c r="X175" s="40">
        <f>IF(OR($A175="",NOT(ISNUMBER(Datos!H175)),NOT(ISNUMBER(Datos!H174))),"",LN(Datos!H175)-LN(Datos!H174))</f>
        <v/>
      </c>
      <c r="Y175" s="38">
        <f>IF(ISNUMBER(W175),1,0)</f>
        <v/>
      </c>
      <c r="Z175" s="40">
        <f>IF(Y175=1,W175,0)</f>
        <v/>
      </c>
      <c r="AA175" s="38">
        <f>IF(ISNUMBER(X175),1,0)</f>
        <v/>
      </c>
      <c r="AB175" s="40">
        <f>IF(AA175=1,X175,0)</f>
        <v/>
      </c>
      <c r="AC175" s="38">
        <f>Y175*AA175</f>
        <v/>
      </c>
      <c r="AD175" s="38">
        <f>SUM(AC139:AC174)</f>
        <v/>
      </c>
      <c r="AE175" s="41">
        <f>IF(OR($A175="",AD175&lt;MIN_OBS_ROLL),"",(SUMPRODUCT(AC139:AC174,Z139:Z174,AB139:AB174)/AD175-SUMPRODUCT(AC139:AC174,Z139:Z174)/AD175*SUMPRODUCT(AC139:AC174,AB139:AB174)/AD175)*AD175/(AD175-1))</f>
        <v/>
      </c>
      <c r="AF175" s="38">
        <f>SUM(AA139:AA174)</f>
        <v/>
      </c>
      <c r="AG175" s="41">
        <f>IF(OR($A175="",AF175&lt;MIN_OBS_ROLL),"",SUMPRODUCT(AA139:AA174,(AB139:AB174-SUMPRODUCT(AA139:AA174,AB139:AB174)/AF175)^2)/(AF175-1))</f>
        <v/>
      </c>
      <c r="AH175" s="38">
        <f>SUM(Y139:Y174)</f>
        <v/>
      </c>
      <c r="AI175" s="40">
        <f>IF(OR($A175="",AH175&lt;MIN_OBS_ROLL),"",SUMPRODUCT(Y139:Y174,Z139:Z174)/AH175)</f>
        <v/>
      </c>
      <c r="AJ175" s="40">
        <f>IF(OR($A175="",AF175&lt;MIN_OBS_ROLL),"",SUMPRODUCT(AA139:AA174,AB139:AB174)/AF175)</f>
        <v/>
      </c>
      <c r="AK175" s="40">
        <f>IF(OR(AE175="",AG175=""),"",AE175/AG175)</f>
        <v/>
      </c>
      <c r="AL175" s="40">
        <f>IF(OR(AI175="",AK175="",AJ175=""),"",AI175-AK175*AJ175)</f>
        <v/>
      </c>
      <c r="AM175" s="40">
        <f>IF(AND(ISNUMBER(W175),ISNUMBER(X175),ISNUMBER(AK175),ISNUMBER(AL175)),W175-(AL175+AK175*X175),"")</f>
        <v/>
      </c>
      <c r="AN175" s="38">
        <f>IF(ISNUMBER(AM175),1,0)</f>
        <v/>
      </c>
      <c r="AO175" s="40">
        <f>IF(AN175=1,AM175,0)</f>
        <v/>
      </c>
      <c r="AP175" s="40">
        <f>IF(SUM(AN173:AN175)=3,SUM(AO173:AO175),"")</f>
        <v/>
      </c>
      <c r="AQ175" s="38">
        <f>IF(ISNUMBER(AP175),1,0)</f>
        <v/>
      </c>
      <c r="AR175" s="40">
        <f>IF(AQ175=1,AP175,0)</f>
        <v/>
      </c>
      <c r="AS175" s="38">
        <f>SUM(AQ$5:AQ175)</f>
        <v/>
      </c>
      <c r="AT175" s="40">
        <f>IF(AS175&gt;=MIN_OBS_Z,SUMPRODUCT(AQ$5:AQ175,AR$5:AR175)/AS175,"")</f>
        <v/>
      </c>
      <c r="AU175" s="40">
        <f>IF(AS175&gt;=MIN_OBS_Z,SQRT(SUMPRODUCT(AQ$5:AQ175,(AR$5:AR175-AT175)^2)/(AS175-1)),"")</f>
        <v/>
      </c>
      <c r="AV175" s="40">
        <f>IF(AND(AQ175=1,ISNUMBER(AT175)),MAX(-Z_CLIP,MIN(Z_CLIP,(AR175-AT175)/AU175)),"")</f>
        <v/>
      </c>
      <c r="AW175" s="40">
        <f>IF(ISNUMBER(AV175),-AV175,"")</f>
        <v/>
      </c>
      <c r="AX175" s="40">
        <f>IF(ISNUMBER(AW175),1+AMPLITUD*TANH(AW175),"")</f>
        <v/>
      </c>
      <c r="AY175" s="40">
        <f>IF($A175="","",IF(COUNT(AX173:AX175)&gt;0,AVERAGE(AX173:AX175),""))</f>
        <v/>
      </c>
      <c r="AZ175" s="40">
        <f>IF(ISNUMBER(AY175),AY175-1,"")</f>
        <v/>
      </c>
      <c r="BA175" s="40">
        <f>IF(AND(ISNUMBER(AZ174),ISNUMBER(W175)),AZ174*W_BANCOS*W175,"")</f>
        <v/>
      </c>
      <c r="BB175" s="40">
        <f>IF(AND(ISNUMBER(AZ174),ISNUMBER(AZ173)),ABS(AZ174-AZ173)*W_BANCOS*COSTO,0)</f>
        <v/>
      </c>
      <c r="BC175" s="40">
        <f>IF(ISNUMBER(BA175),BA175-BB175,"")</f>
        <v/>
      </c>
      <c r="BD175" s="42">
        <f>IF(ISNUMBER(BC175),IF(A175&lt;=FECHA_ERA,"A","B"),"")</f>
        <v/>
      </c>
      <c r="BE175" s="40">
        <f>IF(BD175="A",BC175,"")</f>
        <v/>
      </c>
      <c r="BF175" s="40">
        <f>IF(BD175="B",BC175,"")</f>
        <v/>
      </c>
      <c r="BG175" s="38">
        <f>IF(AND(ISNUMBER(BC175),ISNUMBER(A175)),IF(A175&gt;=INICIO_VIVO,1,0),0)</f>
        <v/>
      </c>
      <c r="BH175" s="40">
        <f>IF(BG175=1,BC175,"")</f>
        <v/>
      </c>
      <c r="BI175" s="38">
        <f>IF(ISNUMBER(AY175),ROW(),0)</f>
        <v/>
      </c>
      <c r="BJ175" s="43">
        <f>IF(ISNUMBER(BC175),SUM(BC$5:BC175)*10000,NA())</f>
        <v/>
      </c>
      <c r="BK175" s="43">
        <f>IF(BG175=1,SUM(BH$5:BH175)*10000,NA())</f>
        <v/>
      </c>
      <c r="BL175" s="44">
        <f>IF(ISNUMBER(AY175),AY175,NA())</f>
        <v/>
      </c>
    </row>
    <row r="176">
      <c r="A176" s="36">
        <f>IF(Datos!A176="","",Datos!A176)</f>
        <v/>
      </c>
      <c r="B176" s="37">
        <f>IF(OR($A176="",NOT(ISNUMBER(Datos!B176)),NOT(ISNUMBER(Datos!B175))),"",Datos!B176/Datos!B175-1)</f>
        <v/>
      </c>
      <c r="C176" s="37">
        <f>IF(OR($A176="",NOT(ISNUMBER(Datos!C176)),NOT(ISNUMBER(Datos!C175))),"",Datos!C176/Datos!C175-1)</f>
        <v/>
      </c>
      <c r="D176" s="37">
        <f>IF(OR($A176="",NOT(ISNUMBER(Datos!D176)),NOT(ISNUMBER(Datos!D175))),"",Datos!D176/Datos!D175-1)</f>
        <v/>
      </c>
      <c r="E176" s="37">
        <f>IF(OR($A176="",NOT(ISNUMBER(Datos!E176)),NOT(ISNUMBER(Datos!E175))),"",Datos!E176/Datos!E175-1)</f>
        <v/>
      </c>
      <c r="F176" s="38">
        <f>IF($A176="","",COUNT(B176:E176))</f>
        <v/>
      </c>
      <c r="G176" s="37">
        <f>IF($A176="","",IF(F176&gt;=MIN_BANCOS,AVERAGE(B176:E176),""))</f>
        <v/>
      </c>
      <c r="H176" s="37">
        <f>IF(OR($A176="",NOT(ISNUMBER(Datos!F176)),NOT(ISNUMBER(Datos!F175))),"",Datos!F176/Datos!F175-1)</f>
        <v/>
      </c>
      <c r="I176" s="39">
        <f>IF($A176="","",IF(ISNUMBER(Datos!G176),Datos!G176,I175))</f>
        <v/>
      </c>
      <c r="J176" s="40">
        <f>IF($A176="","",IF(ISNUMBER(I175),LN(1+I175/100/12),0))</f>
        <v/>
      </c>
      <c r="K176" s="40">
        <f>IF(ISNUMBER(G176),LN(1+G176)-J176,"")</f>
        <v/>
      </c>
      <c r="L176" s="40">
        <f>IF(ISNUMBER(H176),LN(1+H176)-J176,"")</f>
        <v/>
      </c>
      <c r="M176" s="38">
        <f>IF(ISNUMBER(K176),1,0)</f>
        <v/>
      </c>
      <c r="N176" s="40">
        <f>IF(M176=1,K176,0)</f>
        <v/>
      </c>
      <c r="O176" s="38">
        <f>IF(ISNUMBER(L176),1,0)</f>
        <v/>
      </c>
      <c r="P176" s="40">
        <f>IF(O176=1,L176,0)</f>
        <v/>
      </c>
      <c r="Q176" s="38">
        <f>M176*O176</f>
        <v/>
      </c>
      <c r="R176" s="38">
        <f>SUM(Q140:Q175)</f>
        <v/>
      </c>
      <c r="S176" s="41">
        <f>IF(OR($A176="",R176&lt;MIN_OBS_ROLL),"",(SUMPRODUCT(Q140:Q175,N140:N175,P140:P175)/R176-SUMPRODUCT(Q140:Q175,N140:N175)/R176*SUMPRODUCT(Q140:Q175,P140:P175)/R176)*R176/(R176-1))</f>
        <v/>
      </c>
      <c r="T176" s="38">
        <f>SUM(O140:O175)</f>
        <v/>
      </c>
      <c r="U176" s="41">
        <f>IF(OR($A176="",T176&lt;MIN_OBS_ROLL),"",SUMPRODUCT(O140:O175,(P140:P175-SUMPRODUCT(O140:O175,P140:P175)/T176)^2)/(T176-1))</f>
        <v/>
      </c>
      <c r="V176" s="40">
        <f>IF(OR(S176="",U176=""),"",S176/U176)</f>
        <v/>
      </c>
      <c r="W176" s="40">
        <f>IF(AND(ISNUMBER(K176),ISNUMBER(L176),ISNUMBER(V176)),K176-V176*L176,"")</f>
        <v/>
      </c>
      <c r="X176" s="40">
        <f>IF(OR($A176="",NOT(ISNUMBER(Datos!H176)),NOT(ISNUMBER(Datos!H175))),"",LN(Datos!H176)-LN(Datos!H175))</f>
        <v/>
      </c>
      <c r="Y176" s="38">
        <f>IF(ISNUMBER(W176),1,0)</f>
        <v/>
      </c>
      <c r="Z176" s="40">
        <f>IF(Y176=1,W176,0)</f>
        <v/>
      </c>
      <c r="AA176" s="38">
        <f>IF(ISNUMBER(X176),1,0)</f>
        <v/>
      </c>
      <c r="AB176" s="40">
        <f>IF(AA176=1,X176,0)</f>
        <v/>
      </c>
      <c r="AC176" s="38">
        <f>Y176*AA176</f>
        <v/>
      </c>
      <c r="AD176" s="38">
        <f>SUM(AC140:AC175)</f>
        <v/>
      </c>
      <c r="AE176" s="41">
        <f>IF(OR($A176="",AD176&lt;MIN_OBS_ROLL),"",(SUMPRODUCT(AC140:AC175,Z140:Z175,AB140:AB175)/AD176-SUMPRODUCT(AC140:AC175,Z140:Z175)/AD176*SUMPRODUCT(AC140:AC175,AB140:AB175)/AD176)*AD176/(AD176-1))</f>
        <v/>
      </c>
      <c r="AF176" s="38">
        <f>SUM(AA140:AA175)</f>
        <v/>
      </c>
      <c r="AG176" s="41">
        <f>IF(OR($A176="",AF176&lt;MIN_OBS_ROLL),"",SUMPRODUCT(AA140:AA175,(AB140:AB175-SUMPRODUCT(AA140:AA175,AB140:AB175)/AF176)^2)/(AF176-1))</f>
        <v/>
      </c>
      <c r="AH176" s="38">
        <f>SUM(Y140:Y175)</f>
        <v/>
      </c>
      <c r="AI176" s="40">
        <f>IF(OR($A176="",AH176&lt;MIN_OBS_ROLL),"",SUMPRODUCT(Y140:Y175,Z140:Z175)/AH176)</f>
        <v/>
      </c>
      <c r="AJ176" s="40">
        <f>IF(OR($A176="",AF176&lt;MIN_OBS_ROLL),"",SUMPRODUCT(AA140:AA175,AB140:AB175)/AF176)</f>
        <v/>
      </c>
      <c r="AK176" s="40">
        <f>IF(OR(AE176="",AG176=""),"",AE176/AG176)</f>
        <v/>
      </c>
      <c r="AL176" s="40">
        <f>IF(OR(AI176="",AK176="",AJ176=""),"",AI176-AK176*AJ176)</f>
        <v/>
      </c>
      <c r="AM176" s="40">
        <f>IF(AND(ISNUMBER(W176),ISNUMBER(X176),ISNUMBER(AK176),ISNUMBER(AL176)),W176-(AL176+AK176*X176),"")</f>
        <v/>
      </c>
      <c r="AN176" s="38">
        <f>IF(ISNUMBER(AM176),1,0)</f>
        <v/>
      </c>
      <c r="AO176" s="40">
        <f>IF(AN176=1,AM176,0)</f>
        <v/>
      </c>
      <c r="AP176" s="40">
        <f>IF(SUM(AN174:AN176)=3,SUM(AO174:AO176),"")</f>
        <v/>
      </c>
      <c r="AQ176" s="38">
        <f>IF(ISNUMBER(AP176),1,0)</f>
        <v/>
      </c>
      <c r="AR176" s="40">
        <f>IF(AQ176=1,AP176,0)</f>
        <v/>
      </c>
      <c r="AS176" s="38">
        <f>SUM(AQ$5:AQ176)</f>
        <v/>
      </c>
      <c r="AT176" s="40">
        <f>IF(AS176&gt;=MIN_OBS_Z,SUMPRODUCT(AQ$5:AQ176,AR$5:AR176)/AS176,"")</f>
        <v/>
      </c>
      <c r="AU176" s="40">
        <f>IF(AS176&gt;=MIN_OBS_Z,SQRT(SUMPRODUCT(AQ$5:AQ176,(AR$5:AR176-AT176)^2)/(AS176-1)),"")</f>
        <v/>
      </c>
      <c r="AV176" s="40">
        <f>IF(AND(AQ176=1,ISNUMBER(AT176)),MAX(-Z_CLIP,MIN(Z_CLIP,(AR176-AT176)/AU176)),"")</f>
        <v/>
      </c>
      <c r="AW176" s="40">
        <f>IF(ISNUMBER(AV176),-AV176,"")</f>
        <v/>
      </c>
      <c r="AX176" s="40">
        <f>IF(ISNUMBER(AW176),1+AMPLITUD*TANH(AW176),"")</f>
        <v/>
      </c>
      <c r="AY176" s="40">
        <f>IF($A176="","",IF(COUNT(AX174:AX176)&gt;0,AVERAGE(AX174:AX176),""))</f>
        <v/>
      </c>
      <c r="AZ176" s="40">
        <f>IF(ISNUMBER(AY176),AY176-1,"")</f>
        <v/>
      </c>
      <c r="BA176" s="40">
        <f>IF(AND(ISNUMBER(AZ175),ISNUMBER(W176)),AZ175*W_BANCOS*W176,"")</f>
        <v/>
      </c>
      <c r="BB176" s="40">
        <f>IF(AND(ISNUMBER(AZ175),ISNUMBER(AZ174)),ABS(AZ175-AZ174)*W_BANCOS*COSTO,0)</f>
        <v/>
      </c>
      <c r="BC176" s="40">
        <f>IF(ISNUMBER(BA176),BA176-BB176,"")</f>
        <v/>
      </c>
      <c r="BD176" s="42">
        <f>IF(ISNUMBER(BC176),IF(A176&lt;=FECHA_ERA,"A","B"),"")</f>
        <v/>
      </c>
      <c r="BE176" s="40">
        <f>IF(BD176="A",BC176,"")</f>
        <v/>
      </c>
      <c r="BF176" s="40">
        <f>IF(BD176="B",BC176,"")</f>
        <v/>
      </c>
      <c r="BG176" s="38">
        <f>IF(AND(ISNUMBER(BC176),ISNUMBER(A176)),IF(A176&gt;=INICIO_VIVO,1,0),0)</f>
        <v/>
      </c>
      <c r="BH176" s="40">
        <f>IF(BG176=1,BC176,"")</f>
        <v/>
      </c>
      <c r="BI176" s="38">
        <f>IF(ISNUMBER(AY176),ROW(),0)</f>
        <v/>
      </c>
      <c r="BJ176" s="43">
        <f>IF(ISNUMBER(BC176),SUM(BC$5:BC176)*10000,NA())</f>
        <v/>
      </c>
      <c r="BK176" s="43">
        <f>IF(BG176=1,SUM(BH$5:BH176)*10000,NA())</f>
        <v/>
      </c>
      <c r="BL176" s="44">
        <f>IF(ISNUMBER(AY176),AY176,NA())</f>
        <v/>
      </c>
    </row>
    <row r="177">
      <c r="A177" s="36">
        <f>IF(Datos!A177="","",Datos!A177)</f>
        <v/>
      </c>
      <c r="B177" s="37">
        <f>IF(OR($A177="",NOT(ISNUMBER(Datos!B177)),NOT(ISNUMBER(Datos!B176))),"",Datos!B177/Datos!B176-1)</f>
        <v/>
      </c>
      <c r="C177" s="37">
        <f>IF(OR($A177="",NOT(ISNUMBER(Datos!C177)),NOT(ISNUMBER(Datos!C176))),"",Datos!C177/Datos!C176-1)</f>
        <v/>
      </c>
      <c r="D177" s="37">
        <f>IF(OR($A177="",NOT(ISNUMBER(Datos!D177)),NOT(ISNUMBER(Datos!D176))),"",Datos!D177/Datos!D176-1)</f>
        <v/>
      </c>
      <c r="E177" s="37">
        <f>IF(OR($A177="",NOT(ISNUMBER(Datos!E177)),NOT(ISNUMBER(Datos!E176))),"",Datos!E177/Datos!E176-1)</f>
        <v/>
      </c>
      <c r="F177" s="38">
        <f>IF($A177="","",COUNT(B177:E177))</f>
        <v/>
      </c>
      <c r="G177" s="37">
        <f>IF($A177="","",IF(F177&gt;=MIN_BANCOS,AVERAGE(B177:E177),""))</f>
        <v/>
      </c>
      <c r="H177" s="37">
        <f>IF(OR($A177="",NOT(ISNUMBER(Datos!F177)),NOT(ISNUMBER(Datos!F176))),"",Datos!F177/Datos!F176-1)</f>
        <v/>
      </c>
      <c r="I177" s="39">
        <f>IF($A177="","",IF(ISNUMBER(Datos!G177),Datos!G177,I176))</f>
        <v/>
      </c>
      <c r="J177" s="40">
        <f>IF($A177="","",IF(ISNUMBER(I176),LN(1+I176/100/12),0))</f>
        <v/>
      </c>
      <c r="K177" s="40">
        <f>IF(ISNUMBER(G177),LN(1+G177)-J177,"")</f>
        <v/>
      </c>
      <c r="L177" s="40">
        <f>IF(ISNUMBER(H177),LN(1+H177)-J177,"")</f>
        <v/>
      </c>
      <c r="M177" s="38">
        <f>IF(ISNUMBER(K177),1,0)</f>
        <v/>
      </c>
      <c r="N177" s="40">
        <f>IF(M177=1,K177,0)</f>
        <v/>
      </c>
      <c r="O177" s="38">
        <f>IF(ISNUMBER(L177),1,0)</f>
        <v/>
      </c>
      <c r="P177" s="40">
        <f>IF(O177=1,L177,0)</f>
        <v/>
      </c>
      <c r="Q177" s="38">
        <f>M177*O177</f>
        <v/>
      </c>
      <c r="R177" s="38">
        <f>SUM(Q141:Q176)</f>
        <v/>
      </c>
      <c r="S177" s="41">
        <f>IF(OR($A177="",R177&lt;MIN_OBS_ROLL),"",(SUMPRODUCT(Q141:Q176,N141:N176,P141:P176)/R177-SUMPRODUCT(Q141:Q176,N141:N176)/R177*SUMPRODUCT(Q141:Q176,P141:P176)/R177)*R177/(R177-1))</f>
        <v/>
      </c>
      <c r="T177" s="38">
        <f>SUM(O141:O176)</f>
        <v/>
      </c>
      <c r="U177" s="41">
        <f>IF(OR($A177="",T177&lt;MIN_OBS_ROLL),"",SUMPRODUCT(O141:O176,(P141:P176-SUMPRODUCT(O141:O176,P141:P176)/T177)^2)/(T177-1))</f>
        <v/>
      </c>
      <c r="V177" s="40">
        <f>IF(OR(S177="",U177=""),"",S177/U177)</f>
        <v/>
      </c>
      <c r="W177" s="40">
        <f>IF(AND(ISNUMBER(K177),ISNUMBER(L177),ISNUMBER(V177)),K177-V177*L177,"")</f>
        <v/>
      </c>
      <c r="X177" s="40">
        <f>IF(OR($A177="",NOT(ISNUMBER(Datos!H177)),NOT(ISNUMBER(Datos!H176))),"",LN(Datos!H177)-LN(Datos!H176))</f>
        <v/>
      </c>
      <c r="Y177" s="38">
        <f>IF(ISNUMBER(W177),1,0)</f>
        <v/>
      </c>
      <c r="Z177" s="40">
        <f>IF(Y177=1,W177,0)</f>
        <v/>
      </c>
      <c r="AA177" s="38">
        <f>IF(ISNUMBER(X177),1,0)</f>
        <v/>
      </c>
      <c r="AB177" s="40">
        <f>IF(AA177=1,X177,0)</f>
        <v/>
      </c>
      <c r="AC177" s="38">
        <f>Y177*AA177</f>
        <v/>
      </c>
      <c r="AD177" s="38">
        <f>SUM(AC141:AC176)</f>
        <v/>
      </c>
      <c r="AE177" s="41">
        <f>IF(OR($A177="",AD177&lt;MIN_OBS_ROLL),"",(SUMPRODUCT(AC141:AC176,Z141:Z176,AB141:AB176)/AD177-SUMPRODUCT(AC141:AC176,Z141:Z176)/AD177*SUMPRODUCT(AC141:AC176,AB141:AB176)/AD177)*AD177/(AD177-1))</f>
        <v/>
      </c>
      <c r="AF177" s="38">
        <f>SUM(AA141:AA176)</f>
        <v/>
      </c>
      <c r="AG177" s="41">
        <f>IF(OR($A177="",AF177&lt;MIN_OBS_ROLL),"",SUMPRODUCT(AA141:AA176,(AB141:AB176-SUMPRODUCT(AA141:AA176,AB141:AB176)/AF177)^2)/(AF177-1))</f>
        <v/>
      </c>
      <c r="AH177" s="38">
        <f>SUM(Y141:Y176)</f>
        <v/>
      </c>
      <c r="AI177" s="40">
        <f>IF(OR($A177="",AH177&lt;MIN_OBS_ROLL),"",SUMPRODUCT(Y141:Y176,Z141:Z176)/AH177)</f>
        <v/>
      </c>
      <c r="AJ177" s="40">
        <f>IF(OR($A177="",AF177&lt;MIN_OBS_ROLL),"",SUMPRODUCT(AA141:AA176,AB141:AB176)/AF177)</f>
        <v/>
      </c>
      <c r="AK177" s="40">
        <f>IF(OR(AE177="",AG177=""),"",AE177/AG177)</f>
        <v/>
      </c>
      <c r="AL177" s="40">
        <f>IF(OR(AI177="",AK177="",AJ177=""),"",AI177-AK177*AJ177)</f>
        <v/>
      </c>
      <c r="AM177" s="40">
        <f>IF(AND(ISNUMBER(W177),ISNUMBER(X177),ISNUMBER(AK177),ISNUMBER(AL177)),W177-(AL177+AK177*X177),"")</f>
        <v/>
      </c>
      <c r="AN177" s="38">
        <f>IF(ISNUMBER(AM177),1,0)</f>
        <v/>
      </c>
      <c r="AO177" s="40">
        <f>IF(AN177=1,AM177,0)</f>
        <v/>
      </c>
      <c r="AP177" s="40">
        <f>IF(SUM(AN175:AN177)=3,SUM(AO175:AO177),"")</f>
        <v/>
      </c>
      <c r="AQ177" s="38">
        <f>IF(ISNUMBER(AP177),1,0)</f>
        <v/>
      </c>
      <c r="AR177" s="40">
        <f>IF(AQ177=1,AP177,0)</f>
        <v/>
      </c>
      <c r="AS177" s="38">
        <f>SUM(AQ$5:AQ177)</f>
        <v/>
      </c>
      <c r="AT177" s="40">
        <f>IF(AS177&gt;=MIN_OBS_Z,SUMPRODUCT(AQ$5:AQ177,AR$5:AR177)/AS177,"")</f>
        <v/>
      </c>
      <c r="AU177" s="40">
        <f>IF(AS177&gt;=MIN_OBS_Z,SQRT(SUMPRODUCT(AQ$5:AQ177,(AR$5:AR177-AT177)^2)/(AS177-1)),"")</f>
        <v/>
      </c>
      <c r="AV177" s="40">
        <f>IF(AND(AQ177=1,ISNUMBER(AT177)),MAX(-Z_CLIP,MIN(Z_CLIP,(AR177-AT177)/AU177)),"")</f>
        <v/>
      </c>
      <c r="AW177" s="40">
        <f>IF(ISNUMBER(AV177),-AV177,"")</f>
        <v/>
      </c>
      <c r="AX177" s="40">
        <f>IF(ISNUMBER(AW177),1+AMPLITUD*TANH(AW177),"")</f>
        <v/>
      </c>
      <c r="AY177" s="40">
        <f>IF($A177="","",IF(COUNT(AX175:AX177)&gt;0,AVERAGE(AX175:AX177),""))</f>
        <v/>
      </c>
      <c r="AZ177" s="40">
        <f>IF(ISNUMBER(AY177),AY177-1,"")</f>
        <v/>
      </c>
      <c r="BA177" s="40">
        <f>IF(AND(ISNUMBER(AZ176),ISNUMBER(W177)),AZ176*W_BANCOS*W177,"")</f>
        <v/>
      </c>
      <c r="BB177" s="40">
        <f>IF(AND(ISNUMBER(AZ176),ISNUMBER(AZ175)),ABS(AZ176-AZ175)*W_BANCOS*COSTO,0)</f>
        <v/>
      </c>
      <c r="BC177" s="40">
        <f>IF(ISNUMBER(BA177),BA177-BB177,"")</f>
        <v/>
      </c>
      <c r="BD177" s="42">
        <f>IF(ISNUMBER(BC177),IF(A177&lt;=FECHA_ERA,"A","B"),"")</f>
        <v/>
      </c>
      <c r="BE177" s="40">
        <f>IF(BD177="A",BC177,"")</f>
        <v/>
      </c>
      <c r="BF177" s="40">
        <f>IF(BD177="B",BC177,"")</f>
        <v/>
      </c>
      <c r="BG177" s="38">
        <f>IF(AND(ISNUMBER(BC177),ISNUMBER(A177)),IF(A177&gt;=INICIO_VIVO,1,0),0)</f>
        <v/>
      </c>
      <c r="BH177" s="40">
        <f>IF(BG177=1,BC177,"")</f>
        <v/>
      </c>
      <c r="BI177" s="38">
        <f>IF(ISNUMBER(AY177),ROW(),0)</f>
        <v/>
      </c>
      <c r="BJ177" s="43">
        <f>IF(ISNUMBER(BC177),SUM(BC$5:BC177)*10000,NA())</f>
        <v/>
      </c>
      <c r="BK177" s="43">
        <f>IF(BG177=1,SUM(BH$5:BH177)*10000,NA())</f>
        <v/>
      </c>
      <c r="BL177" s="44">
        <f>IF(ISNUMBER(AY177),AY177,NA())</f>
        <v/>
      </c>
    </row>
    <row r="178">
      <c r="A178" s="36">
        <f>IF(Datos!A178="","",Datos!A178)</f>
        <v/>
      </c>
      <c r="B178" s="37">
        <f>IF(OR($A178="",NOT(ISNUMBER(Datos!B178)),NOT(ISNUMBER(Datos!B177))),"",Datos!B178/Datos!B177-1)</f>
        <v/>
      </c>
      <c r="C178" s="37">
        <f>IF(OR($A178="",NOT(ISNUMBER(Datos!C178)),NOT(ISNUMBER(Datos!C177))),"",Datos!C178/Datos!C177-1)</f>
        <v/>
      </c>
      <c r="D178" s="37">
        <f>IF(OR($A178="",NOT(ISNUMBER(Datos!D178)),NOT(ISNUMBER(Datos!D177))),"",Datos!D178/Datos!D177-1)</f>
        <v/>
      </c>
      <c r="E178" s="37">
        <f>IF(OR($A178="",NOT(ISNUMBER(Datos!E178)),NOT(ISNUMBER(Datos!E177))),"",Datos!E178/Datos!E177-1)</f>
        <v/>
      </c>
      <c r="F178" s="38">
        <f>IF($A178="","",COUNT(B178:E178))</f>
        <v/>
      </c>
      <c r="G178" s="37">
        <f>IF($A178="","",IF(F178&gt;=MIN_BANCOS,AVERAGE(B178:E178),""))</f>
        <v/>
      </c>
      <c r="H178" s="37">
        <f>IF(OR($A178="",NOT(ISNUMBER(Datos!F178)),NOT(ISNUMBER(Datos!F177))),"",Datos!F178/Datos!F177-1)</f>
        <v/>
      </c>
      <c r="I178" s="39">
        <f>IF($A178="","",IF(ISNUMBER(Datos!G178),Datos!G178,I177))</f>
        <v/>
      </c>
      <c r="J178" s="40">
        <f>IF($A178="","",IF(ISNUMBER(I177),LN(1+I177/100/12),0))</f>
        <v/>
      </c>
      <c r="K178" s="40">
        <f>IF(ISNUMBER(G178),LN(1+G178)-J178,"")</f>
        <v/>
      </c>
      <c r="L178" s="40">
        <f>IF(ISNUMBER(H178),LN(1+H178)-J178,"")</f>
        <v/>
      </c>
      <c r="M178" s="38">
        <f>IF(ISNUMBER(K178),1,0)</f>
        <v/>
      </c>
      <c r="N178" s="40">
        <f>IF(M178=1,K178,0)</f>
        <v/>
      </c>
      <c r="O178" s="38">
        <f>IF(ISNUMBER(L178),1,0)</f>
        <v/>
      </c>
      <c r="P178" s="40">
        <f>IF(O178=1,L178,0)</f>
        <v/>
      </c>
      <c r="Q178" s="38">
        <f>M178*O178</f>
        <v/>
      </c>
      <c r="R178" s="38">
        <f>SUM(Q142:Q177)</f>
        <v/>
      </c>
      <c r="S178" s="41">
        <f>IF(OR($A178="",R178&lt;MIN_OBS_ROLL),"",(SUMPRODUCT(Q142:Q177,N142:N177,P142:P177)/R178-SUMPRODUCT(Q142:Q177,N142:N177)/R178*SUMPRODUCT(Q142:Q177,P142:P177)/R178)*R178/(R178-1))</f>
        <v/>
      </c>
      <c r="T178" s="38">
        <f>SUM(O142:O177)</f>
        <v/>
      </c>
      <c r="U178" s="41">
        <f>IF(OR($A178="",T178&lt;MIN_OBS_ROLL),"",SUMPRODUCT(O142:O177,(P142:P177-SUMPRODUCT(O142:O177,P142:P177)/T178)^2)/(T178-1))</f>
        <v/>
      </c>
      <c r="V178" s="40">
        <f>IF(OR(S178="",U178=""),"",S178/U178)</f>
        <v/>
      </c>
      <c r="W178" s="40">
        <f>IF(AND(ISNUMBER(K178),ISNUMBER(L178),ISNUMBER(V178)),K178-V178*L178,"")</f>
        <v/>
      </c>
      <c r="X178" s="40">
        <f>IF(OR($A178="",NOT(ISNUMBER(Datos!H178)),NOT(ISNUMBER(Datos!H177))),"",LN(Datos!H178)-LN(Datos!H177))</f>
        <v/>
      </c>
      <c r="Y178" s="38">
        <f>IF(ISNUMBER(W178),1,0)</f>
        <v/>
      </c>
      <c r="Z178" s="40">
        <f>IF(Y178=1,W178,0)</f>
        <v/>
      </c>
      <c r="AA178" s="38">
        <f>IF(ISNUMBER(X178),1,0)</f>
        <v/>
      </c>
      <c r="AB178" s="40">
        <f>IF(AA178=1,X178,0)</f>
        <v/>
      </c>
      <c r="AC178" s="38">
        <f>Y178*AA178</f>
        <v/>
      </c>
      <c r="AD178" s="38">
        <f>SUM(AC142:AC177)</f>
        <v/>
      </c>
      <c r="AE178" s="41">
        <f>IF(OR($A178="",AD178&lt;MIN_OBS_ROLL),"",(SUMPRODUCT(AC142:AC177,Z142:Z177,AB142:AB177)/AD178-SUMPRODUCT(AC142:AC177,Z142:Z177)/AD178*SUMPRODUCT(AC142:AC177,AB142:AB177)/AD178)*AD178/(AD178-1))</f>
        <v/>
      </c>
      <c r="AF178" s="38">
        <f>SUM(AA142:AA177)</f>
        <v/>
      </c>
      <c r="AG178" s="41">
        <f>IF(OR($A178="",AF178&lt;MIN_OBS_ROLL),"",SUMPRODUCT(AA142:AA177,(AB142:AB177-SUMPRODUCT(AA142:AA177,AB142:AB177)/AF178)^2)/(AF178-1))</f>
        <v/>
      </c>
      <c r="AH178" s="38">
        <f>SUM(Y142:Y177)</f>
        <v/>
      </c>
      <c r="AI178" s="40">
        <f>IF(OR($A178="",AH178&lt;MIN_OBS_ROLL),"",SUMPRODUCT(Y142:Y177,Z142:Z177)/AH178)</f>
        <v/>
      </c>
      <c r="AJ178" s="40">
        <f>IF(OR($A178="",AF178&lt;MIN_OBS_ROLL),"",SUMPRODUCT(AA142:AA177,AB142:AB177)/AF178)</f>
        <v/>
      </c>
      <c r="AK178" s="40">
        <f>IF(OR(AE178="",AG178=""),"",AE178/AG178)</f>
        <v/>
      </c>
      <c r="AL178" s="40">
        <f>IF(OR(AI178="",AK178="",AJ178=""),"",AI178-AK178*AJ178)</f>
        <v/>
      </c>
      <c r="AM178" s="40">
        <f>IF(AND(ISNUMBER(W178),ISNUMBER(X178),ISNUMBER(AK178),ISNUMBER(AL178)),W178-(AL178+AK178*X178),"")</f>
        <v/>
      </c>
      <c r="AN178" s="38">
        <f>IF(ISNUMBER(AM178),1,0)</f>
        <v/>
      </c>
      <c r="AO178" s="40">
        <f>IF(AN178=1,AM178,0)</f>
        <v/>
      </c>
      <c r="AP178" s="40">
        <f>IF(SUM(AN176:AN178)=3,SUM(AO176:AO178),"")</f>
        <v/>
      </c>
      <c r="AQ178" s="38">
        <f>IF(ISNUMBER(AP178),1,0)</f>
        <v/>
      </c>
      <c r="AR178" s="40">
        <f>IF(AQ178=1,AP178,0)</f>
        <v/>
      </c>
      <c r="AS178" s="38">
        <f>SUM(AQ$5:AQ178)</f>
        <v/>
      </c>
      <c r="AT178" s="40">
        <f>IF(AS178&gt;=MIN_OBS_Z,SUMPRODUCT(AQ$5:AQ178,AR$5:AR178)/AS178,"")</f>
        <v/>
      </c>
      <c r="AU178" s="40">
        <f>IF(AS178&gt;=MIN_OBS_Z,SQRT(SUMPRODUCT(AQ$5:AQ178,(AR$5:AR178-AT178)^2)/(AS178-1)),"")</f>
        <v/>
      </c>
      <c r="AV178" s="40">
        <f>IF(AND(AQ178=1,ISNUMBER(AT178)),MAX(-Z_CLIP,MIN(Z_CLIP,(AR178-AT178)/AU178)),"")</f>
        <v/>
      </c>
      <c r="AW178" s="40">
        <f>IF(ISNUMBER(AV178),-AV178,"")</f>
        <v/>
      </c>
      <c r="AX178" s="40">
        <f>IF(ISNUMBER(AW178),1+AMPLITUD*TANH(AW178),"")</f>
        <v/>
      </c>
      <c r="AY178" s="40">
        <f>IF($A178="","",IF(COUNT(AX176:AX178)&gt;0,AVERAGE(AX176:AX178),""))</f>
        <v/>
      </c>
      <c r="AZ178" s="40">
        <f>IF(ISNUMBER(AY178),AY178-1,"")</f>
        <v/>
      </c>
      <c r="BA178" s="40">
        <f>IF(AND(ISNUMBER(AZ177),ISNUMBER(W178)),AZ177*W_BANCOS*W178,"")</f>
        <v/>
      </c>
      <c r="BB178" s="40">
        <f>IF(AND(ISNUMBER(AZ177),ISNUMBER(AZ176)),ABS(AZ177-AZ176)*W_BANCOS*COSTO,0)</f>
        <v/>
      </c>
      <c r="BC178" s="40">
        <f>IF(ISNUMBER(BA178),BA178-BB178,"")</f>
        <v/>
      </c>
      <c r="BD178" s="42">
        <f>IF(ISNUMBER(BC178),IF(A178&lt;=FECHA_ERA,"A","B"),"")</f>
        <v/>
      </c>
      <c r="BE178" s="40">
        <f>IF(BD178="A",BC178,"")</f>
        <v/>
      </c>
      <c r="BF178" s="40">
        <f>IF(BD178="B",BC178,"")</f>
        <v/>
      </c>
      <c r="BG178" s="38">
        <f>IF(AND(ISNUMBER(BC178),ISNUMBER(A178)),IF(A178&gt;=INICIO_VIVO,1,0),0)</f>
        <v/>
      </c>
      <c r="BH178" s="40">
        <f>IF(BG178=1,BC178,"")</f>
        <v/>
      </c>
      <c r="BI178" s="38">
        <f>IF(ISNUMBER(AY178),ROW(),0)</f>
        <v/>
      </c>
      <c r="BJ178" s="43">
        <f>IF(ISNUMBER(BC178),SUM(BC$5:BC178)*10000,NA())</f>
        <v/>
      </c>
      <c r="BK178" s="43">
        <f>IF(BG178=1,SUM(BH$5:BH178)*10000,NA())</f>
        <v/>
      </c>
      <c r="BL178" s="44">
        <f>IF(ISNUMBER(AY178),AY178,NA())</f>
        <v/>
      </c>
    </row>
    <row r="179">
      <c r="A179" s="36">
        <f>IF(Datos!A179="","",Datos!A179)</f>
        <v/>
      </c>
      <c r="B179" s="37">
        <f>IF(OR($A179="",NOT(ISNUMBER(Datos!B179)),NOT(ISNUMBER(Datos!B178))),"",Datos!B179/Datos!B178-1)</f>
        <v/>
      </c>
      <c r="C179" s="37">
        <f>IF(OR($A179="",NOT(ISNUMBER(Datos!C179)),NOT(ISNUMBER(Datos!C178))),"",Datos!C179/Datos!C178-1)</f>
        <v/>
      </c>
      <c r="D179" s="37">
        <f>IF(OR($A179="",NOT(ISNUMBER(Datos!D179)),NOT(ISNUMBER(Datos!D178))),"",Datos!D179/Datos!D178-1)</f>
        <v/>
      </c>
      <c r="E179" s="37">
        <f>IF(OR($A179="",NOT(ISNUMBER(Datos!E179)),NOT(ISNUMBER(Datos!E178))),"",Datos!E179/Datos!E178-1)</f>
        <v/>
      </c>
      <c r="F179" s="38">
        <f>IF($A179="","",COUNT(B179:E179))</f>
        <v/>
      </c>
      <c r="G179" s="37">
        <f>IF($A179="","",IF(F179&gt;=MIN_BANCOS,AVERAGE(B179:E179),""))</f>
        <v/>
      </c>
      <c r="H179" s="37">
        <f>IF(OR($A179="",NOT(ISNUMBER(Datos!F179)),NOT(ISNUMBER(Datos!F178))),"",Datos!F179/Datos!F178-1)</f>
        <v/>
      </c>
      <c r="I179" s="39">
        <f>IF($A179="","",IF(ISNUMBER(Datos!G179),Datos!G179,I178))</f>
        <v/>
      </c>
      <c r="J179" s="40">
        <f>IF($A179="","",IF(ISNUMBER(I178),LN(1+I178/100/12),0))</f>
        <v/>
      </c>
      <c r="K179" s="40">
        <f>IF(ISNUMBER(G179),LN(1+G179)-J179,"")</f>
        <v/>
      </c>
      <c r="L179" s="40">
        <f>IF(ISNUMBER(H179),LN(1+H179)-J179,"")</f>
        <v/>
      </c>
      <c r="M179" s="38">
        <f>IF(ISNUMBER(K179),1,0)</f>
        <v/>
      </c>
      <c r="N179" s="40">
        <f>IF(M179=1,K179,0)</f>
        <v/>
      </c>
      <c r="O179" s="38">
        <f>IF(ISNUMBER(L179),1,0)</f>
        <v/>
      </c>
      <c r="P179" s="40">
        <f>IF(O179=1,L179,0)</f>
        <v/>
      </c>
      <c r="Q179" s="38">
        <f>M179*O179</f>
        <v/>
      </c>
      <c r="R179" s="38">
        <f>SUM(Q143:Q178)</f>
        <v/>
      </c>
      <c r="S179" s="41">
        <f>IF(OR($A179="",R179&lt;MIN_OBS_ROLL),"",(SUMPRODUCT(Q143:Q178,N143:N178,P143:P178)/R179-SUMPRODUCT(Q143:Q178,N143:N178)/R179*SUMPRODUCT(Q143:Q178,P143:P178)/R179)*R179/(R179-1))</f>
        <v/>
      </c>
      <c r="T179" s="38">
        <f>SUM(O143:O178)</f>
        <v/>
      </c>
      <c r="U179" s="41">
        <f>IF(OR($A179="",T179&lt;MIN_OBS_ROLL),"",SUMPRODUCT(O143:O178,(P143:P178-SUMPRODUCT(O143:O178,P143:P178)/T179)^2)/(T179-1))</f>
        <v/>
      </c>
      <c r="V179" s="40">
        <f>IF(OR(S179="",U179=""),"",S179/U179)</f>
        <v/>
      </c>
      <c r="W179" s="40">
        <f>IF(AND(ISNUMBER(K179),ISNUMBER(L179),ISNUMBER(V179)),K179-V179*L179,"")</f>
        <v/>
      </c>
      <c r="X179" s="40">
        <f>IF(OR($A179="",NOT(ISNUMBER(Datos!H179)),NOT(ISNUMBER(Datos!H178))),"",LN(Datos!H179)-LN(Datos!H178))</f>
        <v/>
      </c>
      <c r="Y179" s="38">
        <f>IF(ISNUMBER(W179),1,0)</f>
        <v/>
      </c>
      <c r="Z179" s="40">
        <f>IF(Y179=1,W179,0)</f>
        <v/>
      </c>
      <c r="AA179" s="38">
        <f>IF(ISNUMBER(X179),1,0)</f>
        <v/>
      </c>
      <c r="AB179" s="40">
        <f>IF(AA179=1,X179,0)</f>
        <v/>
      </c>
      <c r="AC179" s="38">
        <f>Y179*AA179</f>
        <v/>
      </c>
      <c r="AD179" s="38">
        <f>SUM(AC143:AC178)</f>
        <v/>
      </c>
      <c r="AE179" s="41">
        <f>IF(OR($A179="",AD179&lt;MIN_OBS_ROLL),"",(SUMPRODUCT(AC143:AC178,Z143:Z178,AB143:AB178)/AD179-SUMPRODUCT(AC143:AC178,Z143:Z178)/AD179*SUMPRODUCT(AC143:AC178,AB143:AB178)/AD179)*AD179/(AD179-1))</f>
        <v/>
      </c>
      <c r="AF179" s="38">
        <f>SUM(AA143:AA178)</f>
        <v/>
      </c>
      <c r="AG179" s="41">
        <f>IF(OR($A179="",AF179&lt;MIN_OBS_ROLL),"",SUMPRODUCT(AA143:AA178,(AB143:AB178-SUMPRODUCT(AA143:AA178,AB143:AB178)/AF179)^2)/(AF179-1))</f>
        <v/>
      </c>
      <c r="AH179" s="38">
        <f>SUM(Y143:Y178)</f>
        <v/>
      </c>
      <c r="AI179" s="40">
        <f>IF(OR($A179="",AH179&lt;MIN_OBS_ROLL),"",SUMPRODUCT(Y143:Y178,Z143:Z178)/AH179)</f>
        <v/>
      </c>
      <c r="AJ179" s="40">
        <f>IF(OR($A179="",AF179&lt;MIN_OBS_ROLL),"",SUMPRODUCT(AA143:AA178,AB143:AB178)/AF179)</f>
        <v/>
      </c>
      <c r="AK179" s="40">
        <f>IF(OR(AE179="",AG179=""),"",AE179/AG179)</f>
        <v/>
      </c>
      <c r="AL179" s="40">
        <f>IF(OR(AI179="",AK179="",AJ179=""),"",AI179-AK179*AJ179)</f>
        <v/>
      </c>
      <c r="AM179" s="40">
        <f>IF(AND(ISNUMBER(W179),ISNUMBER(X179),ISNUMBER(AK179),ISNUMBER(AL179)),W179-(AL179+AK179*X179),"")</f>
        <v/>
      </c>
      <c r="AN179" s="38">
        <f>IF(ISNUMBER(AM179),1,0)</f>
        <v/>
      </c>
      <c r="AO179" s="40">
        <f>IF(AN179=1,AM179,0)</f>
        <v/>
      </c>
      <c r="AP179" s="40">
        <f>IF(SUM(AN177:AN179)=3,SUM(AO177:AO179),"")</f>
        <v/>
      </c>
      <c r="AQ179" s="38">
        <f>IF(ISNUMBER(AP179),1,0)</f>
        <v/>
      </c>
      <c r="AR179" s="40">
        <f>IF(AQ179=1,AP179,0)</f>
        <v/>
      </c>
      <c r="AS179" s="38">
        <f>SUM(AQ$5:AQ179)</f>
        <v/>
      </c>
      <c r="AT179" s="40">
        <f>IF(AS179&gt;=MIN_OBS_Z,SUMPRODUCT(AQ$5:AQ179,AR$5:AR179)/AS179,"")</f>
        <v/>
      </c>
      <c r="AU179" s="40">
        <f>IF(AS179&gt;=MIN_OBS_Z,SQRT(SUMPRODUCT(AQ$5:AQ179,(AR$5:AR179-AT179)^2)/(AS179-1)),"")</f>
        <v/>
      </c>
      <c r="AV179" s="40">
        <f>IF(AND(AQ179=1,ISNUMBER(AT179)),MAX(-Z_CLIP,MIN(Z_CLIP,(AR179-AT179)/AU179)),"")</f>
        <v/>
      </c>
      <c r="AW179" s="40">
        <f>IF(ISNUMBER(AV179),-AV179,"")</f>
        <v/>
      </c>
      <c r="AX179" s="40">
        <f>IF(ISNUMBER(AW179),1+AMPLITUD*TANH(AW179),"")</f>
        <v/>
      </c>
      <c r="AY179" s="40">
        <f>IF($A179="","",IF(COUNT(AX177:AX179)&gt;0,AVERAGE(AX177:AX179),""))</f>
        <v/>
      </c>
      <c r="AZ179" s="40">
        <f>IF(ISNUMBER(AY179),AY179-1,"")</f>
        <v/>
      </c>
      <c r="BA179" s="40">
        <f>IF(AND(ISNUMBER(AZ178),ISNUMBER(W179)),AZ178*W_BANCOS*W179,"")</f>
        <v/>
      </c>
      <c r="BB179" s="40">
        <f>IF(AND(ISNUMBER(AZ178),ISNUMBER(AZ177)),ABS(AZ178-AZ177)*W_BANCOS*COSTO,0)</f>
        <v/>
      </c>
      <c r="BC179" s="40">
        <f>IF(ISNUMBER(BA179),BA179-BB179,"")</f>
        <v/>
      </c>
      <c r="BD179" s="42">
        <f>IF(ISNUMBER(BC179),IF(A179&lt;=FECHA_ERA,"A","B"),"")</f>
        <v/>
      </c>
      <c r="BE179" s="40">
        <f>IF(BD179="A",BC179,"")</f>
        <v/>
      </c>
      <c r="BF179" s="40">
        <f>IF(BD179="B",BC179,"")</f>
        <v/>
      </c>
      <c r="BG179" s="38">
        <f>IF(AND(ISNUMBER(BC179),ISNUMBER(A179)),IF(A179&gt;=INICIO_VIVO,1,0),0)</f>
        <v/>
      </c>
      <c r="BH179" s="40">
        <f>IF(BG179=1,BC179,"")</f>
        <v/>
      </c>
      <c r="BI179" s="38">
        <f>IF(ISNUMBER(AY179),ROW(),0)</f>
        <v/>
      </c>
      <c r="BJ179" s="43">
        <f>IF(ISNUMBER(BC179),SUM(BC$5:BC179)*10000,NA())</f>
        <v/>
      </c>
      <c r="BK179" s="43">
        <f>IF(BG179=1,SUM(BH$5:BH179)*10000,NA())</f>
        <v/>
      </c>
      <c r="BL179" s="44">
        <f>IF(ISNUMBER(AY179),AY179,NA())</f>
        <v/>
      </c>
    </row>
    <row r="180">
      <c r="A180" s="36">
        <f>IF(Datos!A180="","",Datos!A180)</f>
        <v/>
      </c>
      <c r="B180" s="37">
        <f>IF(OR($A180="",NOT(ISNUMBER(Datos!B180)),NOT(ISNUMBER(Datos!B179))),"",Datos!B180/Datos!B179-1)</f>
        <v/>
      </c>
      <c r="C180" s="37">
        <f>IF(OR($A180="",NOT(ISNUMBER(Datos!C180)),NOT(ISNUMBER(Datos!C179))),"",Datos!C180/Datos!C179-1)</f>
        <v/>
      </c>
      <c r="D180" s="37">
        <f>IF(OR($A180="",NOT(ISNUMBER(Datos!D180)),NOT(ISNUMBER(Datos!D179))),"",Datos!D180/Datos!D179-1)</f>
        <v/>
      </c>
      <c r="E180" s="37">
        <f>IF(OR($A180="",NOT(ISNUMBER(Datos!E180)),NOT(ISNUMBER(Datos!E179))),"",Datos!E180/Datos!E179-1)</f>
        <v/>
      </c>
      <c r="F180" s="38">
        <f>IF($A180="","",COUNT(B180:E180))</f>
        <v/>
      </c>
      <c r="G180" s="37">
        <f>IF($A180="","",IF(F180&gt;=MIN_BANCOS,AVERAGE(B180:E180),""))</f>
        <v/>
      </c>
      <c r="H180" s="37">
        <f>IF(OR($A180="",NOT(ISNUMBER(Datos!F180)),NOT(ISNUMBER(Datos!F179))),"",Datos!F180/Datos!F179-1)</f>
        <v/>
      </c>
      <c r="I180" s="39">
        <f>IF($A180="","",IF(ISNUMBER(Datos!G180),Datos!G180,I179))</f>
        <v/>
      </c>
      <c r="J180" s="40">
        <f>IF($A180="","",IF(ISNUMBER(I179),LN(1+I179/100/12),0))</f>
        <v/>
      </c>
      <c r="K180" s="40">
        <f>IF(ISNUMBER(G180),LN(1+G180)-J180,"")</f>
        <v/>
      </c>
      <c r="L180" s="40">
        <f>IF(ISNUMBER(H180),LN(1+H180)-J180,"")</f>
        <v/>
      </c>
      <c r="M180" s="38">
        <f>IF(ISNUMBER(K180),1,0)</f>
        <v/>
      </c>
      <c r="N180" s="40">
        <f>IF(M180=1,K180,0)</f>
        <v/>
      </c>
      <c r="O180" s="38">
        <f>IF(ISNUMBER(L180),1,0)</f>
        <v/>
      </c>
      <c r="P180" s="40">
        <f>IF(O180=1,L180,0)</f>
        <v/>
      </c>
      <c r="Q180" s="38">
        <f>M180*O180</f>
        <v/>
      </c>
      <c r="R180" s="38">
        <f>SUM(Q144:Q179)</f>
        <v/>
      </c>
      <c r="S180" s="41">
        <f>IF(OR($A180="",R180&lt;MIN_OBS_ROLL),"",(SUMPRODUCT(Q144:Q179,N144:N179,P144:P179)/R180-SUMPRODUCT(Q144:Q179,N144:N179)/R180*SUMPRODUCT(Q144:Q179,P144:P179)/R180)*R180/(R180-1))</f>
        <v/>
      </c>
      <c r="T180" s="38">
        <f>SUM(O144:O179)</f>
        <v/>
      </c>
      <c r="U180" s="41">
        <f>IF(OR($A180="",T180&lt;MIN_OBS_ROLL),"",SUMPRODUCT(O144:O179,(P144:P179-SUMPRODUCT(O144:O179,P144:P179)/T180)^2)/(T180-1))</f>
        <v/>
      </c>
      <c r="V180" s="40">
        <f>IF(OR(S180="",U180=""),"",S180/U180)</f>
        <v/>
      </c>
      <c r="W180" s="40">
        <f>IF(AND(ISNUMBER(K180),ISNUMBER(L180),ISNUMBER(V180)),K180-V180*L180,"")</f>
        <v/>
      </c>
      <c r="X180" s="40">
        <f>IF(OR($A180="",NOT(ISNUMBER(Datos!H180)),NOT(ISNUMBER(Datos!H179))),"",LN(Datos!H180)-LN(Datos!H179))</f>
        <v/>
      </c>
      <c r="Y180" s="38">
        <f>IF(ISNUMBER(W180),1,0)</f>
        <v/>
      </c>
      <c r="Z180" s="40">
        <f>IF(Y180=1,W180,0)</f>
        <v/>
      </c>
      <c r="AA180" s="38">
        <f>IF(ISNUMBER(X180),1,0)</f>
        <v/>
      </c>
      <c r="AB180" s="40">
        <f>IF(AA180=1,X180,0)</f>
        <v/>
      </c>
      <c r="AC180" s="38">
        <f>Y180*AA180</f>
        <v/>
      </c>
      <c r="AD180" s="38">
        <f>SUM(AC144:AC179)</f>
        <v/>
      </c>
      <c r="AE180" s="41">
        <f>IF(OR($A180="",AD180&lt;MIN_OBS_ROLL),"",(SUMPRODUCT(AC144:AC179,Z144:Z179,AB144:AB179)/AD180-SUMPRODUCT(AC144:AC179,Z144:Z179)/AD180*SUMPRODUCT(AC144:AC179,AB144:AB179)/AD180)*AD180/(AD180-1))</f>
        <v/>
      </c>
      <c r="AF180" s="38">
        <f>SUM(AA144:AA179)</f>
        <v/>
      </c>
      <c r="AG180" s="41">
        <f>IF(OR($A180="",AF180&lt;MIN_OBS_ROLL),"",SUMPRODUCT(AA144:AA179,(AB144:AB179-SUMPRODUCT(AA144:AA179,AB144:AB179)/AF180)^2)/(AF180-1))</f>
        <v/>
      </c>
      <c r="AH180" s="38">
        <f>SUM(Y144:Y179)</f>
        <v/>
      </c>
      <c r="AI180" s="40">
        <f>IF(OR($A180="",AH180&lt;MIN_OBS_ROLL),"",SUMPRODUCT(Y144:Y179,Z144:Z179)/AH180)</f>
        <v/>
      </c>
      <c r="AJ180" s="40">
        <f>IF(OR($A180="",AF180&lt;MIN_OBS_ROLL),"",SUMPRODUCT(AA144:AA179,AB144:AB179)/AF180)</f>
        <v/>
      </c>
      <c r="AK180" s="40">
        <f>IF(OR(AE180="",AG180=""),"",AE180/AG180)</f>
        <v/>
      </c>
      <c r="AL180" s="40">
        <f>IF(OR(AI180="",AK180="",AJ180=""),"",AI180-AK180*AJ180)</f>
        <v/>
      </c>
      <c r="AM180" s="40">
        <f>IF(AND(ISNUMBER(W180),ISNUMBER(X180),ISNUMBER(AK180),ISNUMBER(AL180)),W180-(AL180+AK180*X180),"")</f>
        <v/>
      </c>
      <c r="AN180" s="38">
        <f>IF(ISNUMBER(AM180),1,0)</f>
        <v/>
      </c>
      <c r="AO180" s="40">
        <f>IF(AN180=1,AM180,0)</f>
        <v/>
      </c>
      <c r="AP180" s="40">
        <f>IF(SUM(AN178:AN180)=3,SUM(AO178:AO180),"")</f>
        <v/>
      </c>
      <c r="AQ180" s="38">
        <f>IF(ISNUMBER(AP180),1,0)</f>
        <v/>
      </c>
      <c r="AR180" s="40">
        <f>IF(AQ180=1,AP180,0)</f>
        <v/>
      </c>
      <c r="AS180" s="38">
        <f>SUM(AQ$5:AQ180)</f>
        <v/>
      </c>
      <c r="AT180" s="40">
        <f>IF(AS180&gt;=MIN_OBS_Z,SUMPRODUCT(AQ$5:AQ180,AR$5:AR180)/AS180,"")</f>
        <v/>
      </c>
      <c r="AU180" s="40">
        <f>IF(AS180&gt;=MIN_OBS_Z,SQRT(SUMPRODUCT(AQ$5:AQ180,(AR$5:AR180-AT180)^2)/(AS180-1)),"")</f>
        <v/>
      </c>
      <c r="AV180" s="40">
        <f>IF(AND(AQ180=1,ISNUMBER(AT180)),MAX(-Z_CLIP,MIN(Z_CLIP,(AR180-AT180)/AU180)),"")</f>
        <v/>
      </c>
      <c r="AW180" s="40">
        <f>IF(ISNUMBER(AV180),-AV180,"")</f>
        <v/>
      </c>
      <c r="AX180" s="40">
        <f>IF(ISNUMBER(AW180),1+AMPLITUD*TANH(AW180),"")</f>
        <v/>
      </c>
      <c r="AY180" s="40">
        <f>IF($A180="","",IF(COUNT(AX178:AX180)&gt;0,AVERAGE(AX178:AX180),""))</f>
        <v/>
      </c>
      <c r="AZ180" s="40">
        <f>IF(ISNUMBER(AY180),AY180-1,"")</f>
        <v/>
      </c>
      <c r="BA180" s="40">
        <f>IF(AND(ISNUMBER(AZ179),ISNUMBER(W180)),AZ179*W_BANCOS*W180,"")</f>
        <v/>
      </c>
      <c r="BB180" s="40">
        <f>IF(AND(ISNUMBER(AZ179),ISNUMBER(AZ178)),ABS(AZ179-AZ178)*W_BANCOS*COSTO,0)</f>
        <v/>
      </c>
      <c r="BC180" s="40">
        <f>IF(ISNUMBER(BA180),BA180-BB180,"")</f>
        <v/>
      </c>
      <c r="BD180" s="42">
        <f>IF(ISNUMBER(BC180),IF(A180&lt;=FECHA_ERA,"A","B"),"")</f>
        <v/>
      </c>
      <c r="BE180" s="40">
        <f>IF(BD180="A",BC180,"")</f>
        <v/>
      </c>
      <c r="BF180" s="40">
        <f>IF(BD180="B",BC180,"")</f>
        <v/>
      </c>
      <c r="BG180" s="38">
        <f>IF(AND(ISNUMBER(BC180),ISNUMBER(A180)),IF(A180&gt;=INICIO_VIVO,1,0),0)</f>
        <v/>
      </c>
      <c r="BH180" s="40">
        <f>IF(BG180=1,BC180,"")</f>
        <v/>
      </c>
      <c r="BI180" s="38">
        <f>IF(ISNUMBER(AY180),ROW(),0)</f>
        <v/>
      </c>
      <c r="BJ180" s="43">
        <f>IF(ISNUMBER(BC180),SUM(BC$5:BC180)*10000,NA())</f>
        <v/>
      </c>
      <c r="BK180" s="43">
        <f>IF(BG180=1,SUM(BH$5:BH180)*10000,NA())</f>
        <v/>
      </c>
      <c r="BL180" s="44">
        <f>IF(ISNUMBER(AY180),AY180,NA())</f>
        <v/>
      </c>
    </row>
    <row r="181">
      <c r="A181" s="36">
        <f>IF(Datos!A181="","",Datos!A181)</f>
        <v/>
      </c>
      <c r="B181" s="37">
        <f>IF(OR($A181="",NOT(ISNUMBER(Datos!B181)),NOT(ISNUMBER(Datos!B180))),"",Datos!B181/Datos!B180-1)</f>
        <v/>
      </c>
      <c r="C181" s="37">
        <f>IF(OR($A181="",NOT(ISNUMBER(Datos!C181)),NOT(ISNUMBER(Datos!C180))),"",Datos!C181/Datos!C180-1)</f>
        <v/>
      </c>
      <c r="D181" s="37">
        <f>IF(OR($A181="",NOT(ISNUMBER(Datos!D181)),NOT(ISNUMBER(Datos!D180))),"",Datos!D181/Datos!D180-1)</f>
        <v/>
      </c>
      <c r="E181" s="37">
        <f>IF(OR($A181="",NOT(ISNUMBER(Datos!E181)),NOT(ISNUMBER(Datos!E180))),"",Datos!E181/Datos!E180-1)</f>
        <v/>
      </c>
      <c r="F181" s="38">
        <f>IF($A181="","",COUNT(B181:E181))</f>
        <v/>
      </c>
      <c r="G181" s="37">
        <f>IF($A181="","",IF(F181&gt;=MIN_BANCOS,AVERAGE(B181:E181),""))</f>
        <v/>
      </c>
      <c r="H181" s="37">
        <f>IF(OR($A181="",NOT(ISNUMBER(Datos!F181)),NOT(ISNUMBER(Datos!F180))),"",Datos!F181/Datos!F180-1)</f>
        <v/>
      </c>
      <c r="I181" s="39">
        <f>IF($A181="","",IF(ISNUMBER(Datos!G181),Datos!G181,I180))</f>
        <v/>
      </c>
      <c r="J181" s="40">
        <f>IF($A181="","",IF(ISNUMBER(I180),LN(1+I180/100/12),0))</f>
        <v/>
      </c>
      <c r="K181" s="40">
        <f>IF(ISNUMBER(G181),LN(1+G181)-J181,"")</f>
        <v/>
      </c>
      <c r="L181" s="40">
        <f>IF(ISNUMBER(H181),LN(1+H181)-J181,"")</f>
        <v/>
      </c>
      <c r="M181" s="38">
        <f>IF(ISNUMBER(K181),1,0)</f>
        <v/>
      </c>
      <c r="N181" s="40">
        <f>IF(M181=1,K181,0)</f>
        <v/>
      </c>
      <c r="O181" s="38">
        <f>IF(ISNUMBER(L181),1,0)</f>
        <v/>
      </c>
      <c r="P181" s="40">
        <f>IF(O181=1,L181,0)</f>
        <v/>
      </c>
      <c r="Q181" s="38">
        <f>M181*O181</f>
        <v/>
      </c>
      <c r="R181" s="38">
        <f>SUM(Q145:Q180)</f>
        <v/>
      </c>
      <c r="S181" s="41">
        <f>IF(OR($A181="",R181&lt;MIN_OBS_ROLL),"",(SUMPRODUCT(Q145:Q180,N145:N180,P145:P180)/R181-SUMPRODUCT(Q145:Q180,N145:N180)/R181*SUMPRODUCT(Q145:Q180,P145:P180)/R181)*R181/(R181-1))</f>
        <v/>
      </c>
      <c r="T181" s="38">
        <f>SUM(O145:O180)</f>
        <v/>
      </c>
      <c r="U181" s="41">
        <f>IF(OR($A181="",T181&lt;MIN_OBS_ROLL),"",SUMPRODUCT(O145:O180,(P145:P180-SUMPRODUCT(O145:O180,P145:P180)/T181)^2)/(T181-1))</f>
        <v/>
      </c>
      <c r="V181" s="40">
        <f>IF(OR(S181="",U181=""),"",S181/U181)</f>
        <v/>
      </c>
      <c r="W181" s="40">
        <f>IF(AND(ISNUMBER(K181),ISNUMBER(L181),ISNUMBER(V181)),K181-V181*L181,"")</f>
        <v/>
      </c>
      <c r="X181" s="40">
        <f>IF(OR($A181="",NOT(ISNUMBER(Datos!H181)),NOT(ISNUMBER(Datos!H180))),"",LN(Datos!H181)-LN(Datos!H180))</f>
        <v/>
      </c>
      <c r="Y181" s="38">
        <f>IF(ISNUMBER(W181),1,0)</f>
        <v/>
      </c>
      <c r="Z181" s="40">
        <f>IF(Y181=1,W181,0)</f>
        <v/>
      </c>
      <c r="AA181" s="38">
        <f>IF(ISNUMBER(X181),1,0)</f>
        <v/>
      </c>
      <c r="AB181" s="40">
        <f>IF(AA181=1,X181,0)</f>
        <v/>
      </c>
      <c r="AC181" s="38">
        <f>Y181*AA181</f>
        <v/>
      </c>
      <c r="AD181" s="38">
        <f>SUM(AC145:AC180)</f>
        <v/>
      </c>
      <c r="AE181" s="41">
        <f>IF(OR($A181="",AD181&lt;MIN_OBS_ROLL),"",(SUMPRODUCT(AC145:AC180,Z145:Z180,AB145:AB180)/AD181-SUMPRODUCT(AC145:AC180,Z145:Z180)/AD181*SUMPRODUCT(AC145:AC180,AB145:AB180)/AD181)*AD181/(AD181-1))</f>
        <v/>
      </c>
      <c r="AF181" s="38">
        <f>SUM(AA145:AA180)</f>
        <v/>
      </c>
      <c r="AG181" s="41">
        <f>IF(OR($A181="",AF181&lt;MIN_OBS_ROLL),"",SUMPRODUCT(AA145:AA180,(AB145:AB180-SUMPRODUCT(AA145:AA180,AB145:AB180)/AF181)^2)/(AF181-1))</f>
        <v/>
      </c>
      <c r="AH181" s="38">
        <f>SUM(Y145:Y180)</f>
        <v/>
      </c>
      <c r="AI181" s="40">
        <f>IF(OR($A181="",AH181&lt;MIN_OBS_ROLL),"",SUMPRODUCT(Y145:Y180,Z145:Z180)/AH181)</f>
        <v/>
      </c>
      <c r="AJ181" s="40">
        <f>IF(OR($A181="",AF181&lt;MIN_OBS_ROLL),"",SUMPRODUCT(AA145:AA180,AB145:AB180)/AF181)</f>
        <v/>
      </c>
      <c r="AK181" s="40">
        <f>IF(OR(AE181="",AG181=""),"",AE181/AG181)</f>
        <v/>
      </c>
      <c r="AL181" s="40">
        <f>IF(OR(AI181="",AK181="",AJ181=""),"",AI181-AK181*AJ181)</f>
        <v/>
      </c>
      <c r="AM181" s="40">
        <f>IF(AND(ISNUMBER(W181),ISNUMBER(X181),ISNUMBER(AK181),ISNUMBER(AL181)),W181-(AL181+AK181*X181),"")</f>
        <v/>
      </c>
      <c r="AN181" s="38">
        <f>IF(ISNUMBER(AM181),1,0)</f>
        <v/>
      </c>
      <c r="AO181" s="40">
        <f>IF(AN181=1,AM181,0)</f>
        <v/>
      </c>
      <c r="AP181" s="40">
        <f>IF(SUM(AN179:AN181)=3,SUM(AO179:AO181),"")</f>
        <v/>
      </c>
      <c r="AQ181" s="38">
        <f>IF(ISNUMBER(AP181),1,0)</f>
        <v/>
      </c>
      <c r="AR181" s="40">
        <f>IF(AQ181=1,AP181,0)</f>
        <v/>
      </c>
      <c r="AS181" s="38">
        <f>SUM(AQ$5:AQ181)</f>
        <v/>
      </c>
      <c r="AT181" s="40">
        <f>IF(AS181&gt;=MIN_OBS_Z,SUMPRODUCT(AQ$5:AQ181,AR$5:AR181)/AS181,"")</f>
        <v/>
      </c>
      <c r="AU181" s="40">
        <f>IF(AS181&gt;=MIN_OBS_Z,SQRT(SUMPRODUCT(AQ$5:AQ181,(AR$5:AR181-AT181)^2)/(AS181-1)),"")</f>
        <v/>
      </c>
      <c r="AV181" s="40">
        <f>IF(AND(AQ181=1,ISNUMBER(AT181)),MAX(-Z_CLIP,MIN(Z_CLIP,(AR181-AT181)/AU181)),"")</f>
        <v/>
      </c>
      <c r="AW181" s="40">
        <f>IF(ISNUMBER(AV181),-AV181,"")</f>
        <v/>
      </c>
      <c r="AX181" s="40">
        <f>IF(ISNUMBER(AW181),1+AMPLITUD*TANH(AW181),"")</f>
        <v/>
      </c>
      <c r="AY181" s="40">
        <f>IF($A181="","",IF(COUNT(AX179:AX181)&gt;0,AVERAGE(AX179:AX181),""))</f>
        <v/>
      </c>
      <c r="AZ181" s="40">
        <f>IF(ISNUMBER(AY181),AY181-1,"")</f>
        <v/>
      </c>
      <c r="BA181" s="40">
        <f>IF(AND(ISNUMBER(AZ180),ISNUMBER(W181)),AZ180*W_BANCOS*W181,"")</f>
        <v/>
      </c>
      <c r="BB181" s="40">
        <f>IF(AND(ISNUMBER(AZ180),ISNUMBER(AZ179)),ABS(AZ180-AZ179)*W_BANCOS*COSTO,0)</f>
        <v/>
      </c>
      <c r="BC181" s="40">
        <f>IF(ISNUMBER(BA181),BA181-BB181,"")</f>
        <v/>
      </c>
      <c r="BD181" s="42">
        <f>IF(ISNUMBER(BC181),IF(A181&lt;=FECHA_ERA,"A","B"),"")</f>
        <v/>
      </c>
      <c r="BE181" s="40">
        <f>IF(BD181="A",BC181,"")</f>
        <v/>
      </c>
      <c r="BF181" s="40">
        <f>IF(BD181="B",BC181,"")</f>
        <v/>
      </c>
      <c r="BG181" s="38">
        <f>IF(AND(ISNUMBER(BC181),ISNUMBER(A181)),IF(A181&gt;=INICIO_VIVO,1,0),0)</f>
        <v/>
      </c>
      <c r="BH181" s="40">
        <f>IF(BG181=1,BC181,"")</f>
        <v/>
      </c>
      <c r="BI181" s="38">
        <f>IF(ISNUMBER(AY181),ROW(),0)</f>
        <v/>
      </c>
      <c r="BJ181" s="43">
        <f>IF(ISNUMBER(BC181),SUM(BC$5:BC181)*10000,NA())</f>
        <v/>
      </c>
      <c r="BK181" s="43">
        <f>IF(BG181=1,SUM(BH$5:BH181)*10000,NA())</f>
        <v/>
      </c>
      <c r="BL181" s="44">
        <f>IF(ISNUMBER(AY181),AY181,NA())</f>
        <v/>
      </c>
    </row>
    <row r="182">
      <c r="A182" s="36">
        <f>IF(Datos!A182="","",Datos!A182)</f>
        <v/>
      </c>
      <c r="B182" s="37">
        <f>IF(OR($A182="",NOT(ISNUMBER(Datos!B182)),NOT(ISNUMBER(Datos!B181))),"",Datos!B182/Datos!B181-1)</f>
        <v/>
      </c>
      <c r="C182" s="37">
        <f>IF(OR($A182="",NOT(ISNUMBER(Datos!C182)),NOT(ISNUMBER(Datos!C181))),"",Datos!C182/Datos!C181-1)</f>
        <v/>
      </c>
      <c r="D182" s="37">
        <f>IF(OR($A182="",NOT(ISNUMBER(Datos!D182)),NOT(ISNUMBER(Datos!D181))),"",Datos!D182/Datos!D181-1)</f>
        <v/>
      </c>
      <c r="E182" s="37">
        <f>IF(OR($A182="",NOT(ISNUMBER(Datos!E182)),NOT(ISNUMBER(Datos!E181))),"",Datos!E182/Datos!E181-1)</f>
        <v/>
      </c>
      <c r="F182" s="38">
        <f>IF($A182="","",COUNT(B182:E182))</f>
        <v/>
      </c>
      <c r="G182" s="37">
        <f>IF($A182="","",IF(F182&gt;=MIN_BANCOS,AVERAGE(B182:E182),""))</f>
        <v/>
      </c>
      <c r="H182" s="37">
        <f>IF(OR($A182="",NOT(ISNUMBER(Datos!F182)),NOT(ISNUMBER(Datos!F181))),"",Datos!F182/Datos!F181-1)</f>
        <v/>
      </c>
      <c r="I182" s="39">
        <f>IF($A182="","",IF(ISNUMBER(Datos!G182),Datos!G182,I181))</f>
        <v/>
      </c>
      <c r="J182" s="40">
        <f>IF($A182="","",IF(ISNUMBER(I181),LN(1+I181/100/12),0))</f>
        <v/>
      </c>
      <c r="K182" s="40">
        <f>IF(ISNUMBER(G182),LN(1+G182)-J182,"")</f>
        <v/>
      </c>
      <c r="L182" s="40">
        <f>IF(ISNUMBER(H182),LN(1+H182)-J182,"")</f>
        <v/>
      </c>
      <c r="M182" s="38">
        <f>IF(ISNUMBER(K182),1,0)</f>
        <v/>
      </c>
      <c r="N182" s="40">
        <f>IF(M182=1,K182,0)</f>
        <v/>
      </c>
      <c r="O182" s="38">
        <f>IF(ISNUMBER(L182),1,0)</f>
        <v/>
      </c>
      <c r="P182" s="40">
        <f>IF(O182=1,L182,0)</f>
        <v/>
      </c>
      <c r="Q182" s="38">
        <f>M182*O182</f>
        <v/>
      </c>
      <c r="R182" s="38">
        <f>SUM(Q146:Q181)</f>
        <v/>
      </c>
      <c r="S182" s="41">
        <f>IF(OR($A182="",R182&lt;MIN_OBS_ROLL),"",(SUMPRODUCT(Q146:Q181,N146:N181,P146:P181)/R182-SUMPRODUCT(Q146:Q181,N146:N181)/R182*SUMPRODUCT(Q146:Q181,P146:P181)/R182)*R182/(R182-1))</f>
        <v/>
      </c>
      <c r="T182" s="38">
        <f>SUM(O146:O181)</f>
        <v/>
      </c>
      <c r="U182" s="41">
        <f>IF(OR($A182="",T182&lt;MIN_OBS_ROLL),"",SUMPRODUCT(O146:O181,(P146:P181-SUMPRODUCT(O146:O181,P146:P181)/T182)^2)/(T182-1))</f>
        <v/>
      </c>
      <c r="V182" s="40">
        <f>IF(OR(S182="",U182=""),"",S182/U182)</f>
        <v/>
      </c>
      <c r="W182" s="40">
        <f>IF(AND(ISNUMBER(K182),ISNUMBER(L182),ISNUMBER(V182)),K182-V182*L182,"")</f>
        <v/>
      </c>
      <c r="X182" s="40">
        <f>IF(OR($A182="",NOT(ISNUMBER(Datos!H182)),NOT(ISNUMBER(Datos!H181))),"",LN(Datos!H182)-LN(Datos!H181))</f>
        <v/>
      </c>
      <c r="Y182" s="38">
        <f>IF(ISNUMBER(W182),1,0)</f>
        <v/>
      </c>
      <c r="Z182" s="40">
        <f>IF(Y182=1,W182,0)</f>
        <v/>
      </c>
      <c r="AA182" s="38">
        <f>IF(ISNUMBER(X182),1,0)</f>
        <v/>
      </c>
      <c r="AB182" s="40">
        <f>IF(AA182=1,X182,0)</f>
        <v/>
      </c>
      <c r="AC182" s="38">
        <f>Y182*AA182</f>
        <v/>
      </c>
      <c r="AD182" s="38">
        <f>SUM(AC146:AC181)</f>
        <v/>
      </c>
      <c r="AE182" s="41">
        <f>IF(OR($A182="",AD182&lt;MIN_OBS_ROLL),"",(SUMPRODUCT(AC146:AC181,Z146:Z181,AB146:AB181)/AD182-SUMPRODUCT(AC146:AC181,Z146:Z181)/AD182*SUMPRODUCT(AC146:AC181,AB146:AB181)/AD182)*AD182/(AD182-1))</f>
        <v/>
      </c>
      <c r="AF182" s="38">
        <f>SUM(AA146:AA181)</f>
        <v/>
      </c>
      <c r="AG182" s="41">
        <f>IF(OR($A182="",AF182&lt;MIN_OBS_ROLL),"",SUMPRODUCT(AA146:AA181,(AB146:AB181-SUMPRODUCT(AA146:AA181,AB146:AB181)/AF182)^2)/(AF182-1))</f>
        <v/>
      </c>
      <c r="AH182" s="38">
        <f>SUM(Y146:Y181)</f>
        <v/>
      </c>
      <c r="AI182" s="40">
        <f>IF(OR($A182="",AH182&lt;MIN_OBS_ROLL),"",SUMPRODUCT(Y146:Y181,Z146:Z181)/AH182)</f>
        <v/>
      </c>
      <c r="AJ182" s="40">
        <f>IF(OR($A182="",AF182&lt;MIN_OBS_ROLL),"",SUMPRODUCT(AA146:AA181,AB146:AB181)/AF182)</f>
        <v/>
      </c>
      <c r="AK182" s="40">
        <f>IF(OR(AE182="",AG182=""),"",AE182/AG182)</f>
        <v/>
      </c>
      <c r="AL182" s="40">
        <f>IF(OR(AI182="",AK182="",AJ182=""),"",AI182-AK182*AJ182)</f>
        <v/>
      </c>
      <c r="AM182" s="40">
        <f>IF(AND(ISNUMBER(W182),ISNUMBER(X182),ISNUMBER(AK182),ISNUMBER(AL182)),W182-(AL182+AK182*X182),"")</f>
        <v/>
      </c>
      <c r="AN182" s="38">
        <f>IF(ISNUMBER(AM182),1,0)</f>
        <v/>
      </c>
      <c r="AO182" s="40">
        <f>IF(AN182=1,AM182,0)</f>
        <v/>
      </c>
      <c r="AP182" s="40">
        <f>IF(SUM(AN180:AN182)=3,SUM(AO180:AO182),"")</f>
        <v/>
      </c>
      <c r="AQ182" s="38">
        <f>IF(ISNUMBER(AP182),1,0)</f>
        <v/>
      </c>
      <c r="AR182" s="40">
        <f>IF(AQ182=1,AP182,0)</f>
        <v/>
      </c>
      <c r="AS182" s="38">
        <f>SUM(AQ$5:AQ182)</f>
        <v/>
      </c>
      <c r="AT182" s="40">
        <f>IF(AS182&gt;=MIN_OBS_Z,SUMPRODUCT(AQ$5:AQ182,AR$5:AR182)/AS182,"")</f>
        <v/>
      </c>
      <c r="AU182" s="40">
        <f>IF(AS182&gt;=MIN_OBS_Z,SQRT(SUMPRODUCT(AQ$5:AQ182,(AR$5:AR182-AT182)^2)/(AS182-1)),"")</f>
        <v/>
      </c>
      <c r="AV182" s="40">
        <f>IF(AND(AQ182=1,ISNUMBER(AT182)),MAX(-Z_CLIP,MIN(Z_CLIP,(AR182-AT182)/AU182)),"")</f>
        <v/>
      </c>
      <c r="AW182" s="40">
        <f>IF(ISNUMBER(AV182),-AV182,"")</f>
        <v/>
      </c>
      <c r="AX182" s="40">
        <f>IF(ISNUMBER(AW182),1+AMPLITUD*TANH(AW182),"")</f>
        <v/>
      </c>
      <c r="AY182" s="40">
        <f>IF($A182="","",IF(COUNT(AX180:AX182)&gt;0,AVERAGE(AX180:AX182),""))</f>
        <v/>
      </c>
      <c r="AZ182" s="40">
        <f>IF(ISNUMBER(AY182),AY182-1,"")</f>
        <v/>
      </c>
      <c r="BA182" s="40">
        <f>IF(AND(ISNUMBER(AZ181),ISNUMBER(W182)),AZ181*W_BANCOS*W182,"")</f>
        <v/>
      </c>
      <c r="BB182" s="40">
        <f>IF(AND(ISNUMBER(AZ181),ISNUMBER(AZ180)),ABS(AZ181-AZ180)*W_BANCOS*COSTO,0)</f>
        <v/>
      </c>
      <c r="BC182" s="40">
        <f>IF(ISNUMBER(BA182),BA182-BB182,"")</f>
        <v/>
      </c>
      <c r="BD182" s="42">
        <f>IF(ISNUMBER(BC182),IF(A182&lt;=FECHA_ERA,"A","B"),"")</f>
        <v/>
      </c>
      <c r="BE182" s="40">
        <f>IF(BD182="A",BC182,"")</f>
        <v/>
      </c>
      <c r="BF182" s="40">
        <f>IF(BD182="B",BC182,"")</f>
        <v/>
      </c>
      <c r="BG182" s="38">
        <f>IF(AND(ISNUMBER(BC182),ISNUMBER(A182)),IF(A182&gt;=INICIO_VIVO,1,0),0)</f>
        <v/>
      </c>
      <c r="BH182" s="40">
        <f>IF(BG182=1,BC182,"")</f>
        <v/>
      </c>
      <c r="BI182" s="38">
        <f>IF(ISNUMBER(AY182),ROW(),0)</f>
        <v/>
      </c>
      <c r="BJ182" s="43">
        <f>IF(ISNUMBER(BC182),SUM(BC$5:BC182)*10000,NA())</f>
        <v/>
      </c>
      <c r="BK182" s="43">
        <f>IF(BG182=1,SUM(BH$5:BH182)*10000,NA())</f>
        <v/>
      </c>
      <c r="BL182" s="44">
        <f>IF(ISNUMBER(AY182),AY182,NA())</f>
        <v/>
      </c>
    </row>
    <row r="183">
      <c r="A183" s="36">
        <f>IF(Datos!A183="","",Datos!A183)</f>
        <v/>
      </c>
      <c r="B183" s="37">
        <f>IF(OR($A183="",NOT(ISNUMBER(Datos!B183)),NOT(ISNUMBER(Datos!B182))),"",Datos!B183/Datos!B182-1)</f>
        <v/>
      </c>
      <c r="C183" s="37">
        <f>IF(OR($A183="",NOT(ISNUMBER(Datos!C183)),NOT(ISNUMBER(Datos!C182))),"",Datos!C183/Datos!C182-1)</f>
        <v/>
      </c>
      <c r="D183" s="37">
        <f>IF(OR($A183="",NOT(ISNUMBER(Datos!D183)),NOT(ISNUMBER(Datos!D182))),"",Datos!D183/Datos!D182-1)</f>
        <v/>
      </c>
      <c r="E183" s="37">
        <f>IF(OR($A183="",NOT(ISNUMBER(Datos!E183)),NOT(ISNUMBER(Datos!E182))),"",Datos!E183/Datos!E182-1)</f>
        <v/>
      </c>
      <c r="F183" s="38">
        <f>IF($A183="","",COUNT(B183:E183))</f>
        <v/>
      </c>
      <c r="G183" s="37">
        <f>IF($A183="","",IF(F183&gt;=MIN_BANCOS,AVERAGE(B183:E183),""))</f>
        <v/>
      </c>
      <c r="H183" s="37">
        <f>IF(OR($A183="",NOT(ISNUMBER(Datos!F183)),NOT(ISNUMBER(Datos!F182))),"",Datos!F183/Datos!F182-1)</f>
        <v/>
      </c>
      <c r="I183" s="39">
        <f>IF($A183="","",IF(ISNUMBER(Datos!G183),Datos!G183,I182))</f>
        <v/>
      </c>
      <c r="J183" s="40">
        <f>IF($A183="","",IF(ISNUMBER(I182),LN(1+I182/100/12),0))</f>
        <v/>
      </c>
      <c r="K183" s="40">
        <f>IF(ISNUMBER(G183),LN(1+G183)-J183,"")</f>
        <v/>
      </c>
      <c r="L183" s="40">
        <f>IF(ISNUMBER(H183),LN(1+H183)-J183,"")</f>
        <v/>
      </c>
      <c r="M183" s="38">
        <f>IF(ISNUMBER(K183),1,0)</f>
        <v/>
      </c>
      <c r="N183" s="40">
        <f>IF(M183=1,K183,0)</f>
        <v/>
      </c>
      <c r="O183" s="38">
        <f>IF(ISNUMBER(L183),1,0)</f>
        <v/>
      </c>
      <c r="P183" s="40">
        <f>IF(O183=1,L183,0)</f>
        <v/>
      </c>
      <c r="Q183" s="38">
        <f>M183*O183</f>
        <v/>
      </c>
      <c r="R183" s="38">
        <f>SUM(Q147:Q182)</f>
        <v/>
      </c>
      <c r="S183" s="41">
        <f>IF(OR($A183="",R183&lt;MIN_OBS_ROLL),"",(SUMPRODUCT(Q147:Q182,N147:N182,P147:P182)/R183-SUMPRODUCT(Q147:Q182,N147:N182)/R183*SUMPRODUCT(Q147:Q182,P147:P182)/R183)*R183/(R183-1))</f>
        <v/>
      </c>
      <c r="T183" s="38">
        <f>SUM(O147:O182)</f>
        <v/>
      </c>
      <c r="U183" s="41">
        <f>IF(OR($A183="",T183&lt;MIN_OBS_ROLL),"",SUMPRODUCT(O147:O182,(P147:P182-SUMPRODUCT(O147:O182,P147:P182)/T183)^2)/(T183-1))</f>
        <v/>
      </c>
      <c r="V183" s="40">
        <f>IF(OR(S183="",U183=""),"",S183/U183)</f>
        <v/>
      </c>
      <c r="W183" s="40">
        <f>IF(AND(ISNUMBER(K183),ISNUMBER(L183),ISNUMBER(V183)),K183-V183*L183,"")</f>
        <v/>
      </c>
      <c r="X183" s="40">
        <f>IF(OR($A183="",NOT(ISNUMBER(Datos!H183)),NOT(ISNUMBER(Datos!H182))),"",LN(Datos!H183)-LN(Datos!H182))</f>
        <v/>
      </c>
      <c r="Y183" s="38">
        <f>IF(ISNUMBER(W183),1,0)</f>
        <v/>
      </c>
      <c r="Z183" s="40">
        <f>IF(Y183=1,W183,0)</f>
        <v/>
      </c>
      <c r="AA183" s="38">
        <f>IF(ISNUMBER(X183),1,0)</f>
        <v/>
      </c>
      <c r="AB183" s="40">
        <f>IF(AA183=1,X183,0)</f>
        <v/>
      </c>
      <c r="AC183" s="38">
        <f>Y183*AA183</f>
        <v/>
      </c>
      <c r="AD183" s="38">
        <f>SUM(AC147:AC182)</f>
        <v/>
      </c>
      <c r="AE183" s="41">
        <f>IF(OR($A183="",AD183&lt;MIN_OBS_ROLL),"",(SUMPRODUCT(AC147:AC182,Z147:Z182,AB147:AB182)/AD183-SUMPRODUCT(AC147:AC182,Z147:Z182)/AD183*SUMPRODUCT(AC147:AC182,AB147:AB182)/AD183)*AD183/(AD183-1))</f>
        <v/>
      </c>
      <c r="AF183" s="38">
        <f>SUM(AA147:AA182)</f>
        <v/>
      </c>
      <c r="AG183" s="41">
        <f>IF(OR($A183="",AF183&lt;MIN_OBS_ROLL),"",SUMPRODUCT(AA147:AA182,(AB147:AB182-SUMPRODUCT(AA147:AA182,AB147:AB182)/AF183)^2)/(AF183-1))</f>
        <v/>
      </c>
      <c r="AH183" s="38">
        <f>SUM(Y147:Y182)</f>
        <v/>
      </c>
      <c r="AI183" s="40">
        <f>IF(OR($A183="",AH183&lt;MIN_OBS_ROLL),"",SUMPRODUCT(Y147:Y182,Z147:Z182)/AH183)</f>
        <v/>
      </c>
      <c r="AJ183" s="40">
        <f>IF(OR($A183="",AF183&lt;MIN_OBS_ROLL),"",SUMPRODUCT(AA147:AA182,AB147:AB182)/AF183)</f>
        <v/>
      </c>
      <c r="AK183" s="40">
        <f>IF(OR(AE183="",AG183=""),"",AE183/AG183)</f>
        <v/>
      </c>
      <c r="AL183" s="40">
        <f>IF(OR(AI183="",AK183="",AJ183=""),"",AI183-AK183*AJ183)</f>
        <v/>
      </c>
      <c r="AM183" s="40">
        <f>IF(AND(ISNUMBER(W183),ISNUMBER(X183),ISNUMBER(AK183),ISNUMBER(AL183)),W183-(AL183+AK183*X183),"")</f>
        <v/>
      </c>
      <c r="AN183" s="38">
        <f>IF(ISNUMBER(AM183),1,0)</f>
        <v/>
      </c>
      <c r="AO183" s="40">
        <f>IF(AN183=1,AM183,0)</f>
        <v/>
      </c>
      <c r="AP183" s="40">
        <f>IF(SUM(AN181:AN183)=3,SUM(AO181:AO183),"")</f>
        <v/>
      </c>
      <c r="AQ183" s="38">
        <f>IF(ISNUMBER(AP183),1,0)</f>
        <v/>
      </c>
      <c r="AR183" s="40">
        <f>IF(AQ183=1,AP183,0)</f>
        <v/>
      </c>
      <c r="AS183" s="38">
        <f>SUM(AQ$5:AQ183)</f>
        <v/>
      </c>
      <c r="AT183" s="40">
        <f>IF(AS183&gt;=MIN_OBS_Z,SUMPRODUCT(AQ$5:AQ183,AR$5:AR183)/AS183,"")</f>
        <v/>
      </c>
      <c r="AU183" s="40">
        <f>IF(AS183&gt;=MIN_OBS_Z,SQRT(SUMPRODUCT(AQ$5:AQ183,(AR$5:AR183-AT183)^2)/(AS183-1)),"")</f>
        <v/>
      </c>
      <c r="AV183" s="40">
        <f>IF(AND(AQ183=1,ISNUMBER(AT183)),MAX(-Z_CLIP,MIN(Z_CLIP,(AR183-AT183)/AU183)),"")</f>
        <v/>
      </c>
      <c r="AW183" s="40">
        <f>IF(ISNUMBER(AV183),-AV183,"")</f>
        <v/>
      </c>
      <c r="AX183" s="40">
        <f>IF(ISNUMBER(AW183),1+AMPLITUD*TANH(AW183),"")</f>
        <v/>
      </c>
      <c r="AY183" s="40">
        <f>IF($A183="","",IF(COUNT(AX181:AX183)&gt;0,AVERAGE(AX181:AX183),""))</f>
        <v/>
      </c>
      <c r="AZ183" s="40">
        <f>IF(ISNUMBER(AY183),AY183-1,"")</f>
        <v/>
      </c>
      <c r="BA183" s="40">
        <f>IF(AND(ISNUMBER(AZ182),ISNUMBER(W183)),AZ182*W_BANCOS*W183,"")</f>
        <v/>
      </c>
      <c r="BB183" s="40">
        <f>IF(AND(ISNUMBER(AZ182),ISNUMBER(AZ181)),ABS(AZ182-AZ181)*W_BANCOS*COSTO,0)</f>
        <v/>
      </c>
      <c r="BC183" s="40">
        <f>IF(ISNUMBER(BA183),BA183-BB183,"")</f>
        <v/>
      </c>
      <c r="BD183" s="42">
        <f>IF(ISNUMBER(BC183),IF(A183&lt;=FECHA_ERA,"A","B"),"")</f>
        <v/>
      </c>
      <c r="BE183" s="40">
        <f>IF(BD183="A",BC183,"")</f>
        <v/>
      </c>
      <c r="BF183" s="40">
        <f>IF(BD183="B",BC183,"")</f>
        <v/>
      </c>
      <c r="BG183" s="38">
        <f>IF(AND(ISNUMBER(BC183),ISNUMBER(A183)),IF(A183&gt;=INICIO_VIVO,1,0),0)</f>
        <v/>
      </c>
      <c r="BH183" s="40">
        <f>IF(BG183=1,BC183,"")</f>
        <v/>
      </c>
      <c r="BI183" s="38">
        <f>IF(ISNUMBER(AY183),ROW(),0)</f>
        <v/>
      </c>
      <c r="BJ183" s="43">
        <f>IF(ISNUMBER(BC183),SUM(BC$5:BC183)*10000,NA())</f>
        <v/>
      </c>
      <c r="BK183" s="43">
        <f>IF(BG183=1,SUM(BH$5:BH183)*10000,NA())</f>
        <v/>
      </c>
      <c r="BL183" s="44">
        <f>IF(ISNUMBER(AY183),AY183,NA())</f>
        <v/>
      </c>
    </row>
    <row r="184">
      <c r="A184" s="36">
        <f>IF(Datos!A184="","",Datos!A184)</f>
        <v/>
      </c>
      <c r="B184" s="37">
        <f>IF(OR($A184="",NOT(ISNUMBER(Datos!B184)),NOT(ISNUMBER(Datos!B183))),"",Datos!B184/Datos!B183-1)</f>
        <v/>
      </c>
      <c r="C184" s="37">
        <f>IF(OR($A184="",NOT(ISNUMBER(Datos!C184)),NOT(ISNUMBER(Datos!C183))),"",Datos!C184/Datos!C183-1)</f>
        <v/>
      </c>
      <c r="D184" s="37">
        <f>IF(OR($A184="",NOT(ISNUMBER(Datos!D184)),NOT(ISNUMBER(Datos!D183))),"",Datos!D184/Datos!D183-1)</f>
        <v/>
      </c>
      <c r="E184" s="37">
        <f>IF(OR($A184="",NOT(ISNUMBER(Datos!E184)),NOT(ISNUMBER(Datos!E183))),"",Datos!E184/Datos!E183-1)</f>
        <v/>
      </c>
      <c r="F184" s="38">
        <f>IF($A184="","",COUNT(B184:E184))</f>
        <v/>
      </c>
      <c r="G184" s="37">
        <f>IF($A184="","",IF(F184&gt;=MIN_BANCOS,AVERAGE(B184:E184),""))</f>
        <v/>
      </c>
      <c r="H184" s="37">
        <f>IF(OR($A184="",NOT(ISNUMBER(Datos!F184)),NOT(ISNUMBER(Datos!F183))),"",Datos!F184/Datos!F183-1)</f>
        <v/>
      </c>
      <c r="I184" s="39">
        <f>IF($A184="","",IF(ISNUMBER(Datos!G184),Datos!G184,I183))</f>
        <v/>
      </c>
      <c r="J184" s="40">
        <f>IF($A184="","",IF(ISNUMBER(I183),LN(1+I183/100/12),0))</f>
        <v/>
      </c>
      <c r="K184" s="40">
        <f>IF(ISNUMBER(G184),LN(1+G184)-J184,"")</f>
        <v/>
      </c>
      <c r="L184" s="40">
        <f>IF(ISNUMBER(H184),LN(1+H184)-J184,"")</f>
        <v/>
      </c>
      <c r="M184" s="38">
        <f>IF(ISNUMBER(K184),1,0)</f>
        <v/>
      </c>
      <c r="N184" s="40">
        <f>IF(M184=1,K184,0)</f>
        <v/>
      </c>
      <c r="O184" s="38">
        <f>IF(ISNUMBER(L184),1,0)</f>
        <v/>
      </c>
      <c r="P184" s="40">
        <f>IF(O184=1,L184,0)</f>
        <v/>
      </c>
      <c r="Q184" s="38">
        <f>M184*O184</f>
        <v/>
      </c>
      <c r="R184" s="38">
        <f>SUM(Q148:Q183)</f>
        <v/>
      </c>
      <c r="S184" s="41">
        <f>IF(OR($A184="",R184&lt;MIN_OBS_ROLL),"",(SUMPRODUCT(Q148:Q183,N148:N183,P148:P183)/R184-SUMPRODUCT(Q148:Q183,N148:N183)/R184*SUMPRODUCT(Q148:Q183,P148:P183)/R184)*R184/(R184-1))</f>
        <v/>
      </c>
      <c r="T184" s="38">
        <f>SUM(O148:O183)</f>
        <v/>
      </c>
      <c r="U184" s="41">
        <f>IF(OR($A184="",T184&lt;MIN_OBS_ROLL),"",SUMPRODUCT(O148:O183,(P148:P183-SUMPRODUCT(O148:O183,P148:P183)/T184)^2)/(T184-1))</f>
        <v/>
      </c>
      <c r="V184" s="40">
        <f>IF(OR(S184="",U184=""),"",S184/U184)</f>
        <v/>
      </c>
      <c r="W184" s="40">
        <f>IF(AND(ISNUMBER(K184),ISNUMBER(L184),ISNUMBER(V184)),K184-V184*L184,"")</f>
        <v/>
      </c>
      <c r="X184" s="40">
        <f>IF(OR($A184="",NOT(ISNUMBER(Datos!H184)),NOT(ISNUMBER(Datos!H183))),"",LN(Datos!H184)-LN(Datos!H183))</f>
        <v/>
      </c>
      <c r="Y184" s="38">
        <f>IF(ISNUMBER(W184),1,0)</f>
        <v/>
      </c>
      <c r="Z184" s="40">
        <f>IF(Y184=1,W184,0)</f>
        <v/>
      </c>
      <c r="AA184" s="38">
        <f>IF(ISNUMBER(X184),1,0)</f>
        <v/>
      </c>
      <c r="AB184" s="40">
        <f>IF(AA184=1,X184,0)</f>
        <v/>
      </c>
      <c r="AC184" s="38">
        <f>Y184*AA184</f>
        <v/>
      </c>
      <c r="AD184" s="38">
        <f>SUM(AC148:AC183)</f>
        <v/>
      </c>
      <c r="AE184" s="41">
        <f>IF(OR($A184="",AD184&lt;MIN_OBS_ROLL),"",(SUMPRODUCT(AC148:AC183,Z148:Z183,AB148:AB183)/AD184-SUMPRODUCT(AC148:AC183,Z148:Z183)/AD184*SUMPRODUCT(AC148:AC183,AB148:AB183)/AD184)*AD184/(AD184-1))</f>
        <v/>
      </c>
      <c r="AF184" s="38">
        <f>SUM(AA148:AA183)</f>
        <v/>
      </c>
      <c r="AG184" s="41">
        <f>IF(OR($A184="",AF184&lt;MIN_OBS_ROLL),"",SUMPRODUCT(AA148:AA183,(AB148:AB183-SUMPRODUCT(AA148:AA183,AB148:AB183)/AF184)^2)/(AF184-1))</f>
        <v/>
      </c>
      <c r="AH184" s="38">
        <f>SUM(Y148:Y183)</f>
        <v/>
      </c>
      <c r="AI184" s="40">
        <f>IF(OR($A184="",AH184&lt;MIN_OBS_ROLL),"",SUMPRODUCT(Y148:Y183,Z148:Z183)/AH184)</f>
        <v/>
      </c>
      <c r="AJ184" s="40">
        <f>IF(OR($A184="",AF184&lt;MIN_OBS_ROLL),"",SUMPRODUCT(AA148:AA183,AB148:AB183)/AF184)</f>
        <v/>
      </c>
      <c r="AK184" s="40">
        <f>IF(OR(AE184="",AG184=""),"",AE184/AG184)</f>
        <v/>
      </c>
      <c r="AL184" s="40">
        <f>IF(OR(AI184="",AK184="",AJ184=""),"",AI184-AK184*AJ184)</f>
        <v/>
      </c>
      <c r="AM184" s="40">
        <f>IF(AND(ISNUMBER(W184),ISNUMBER(X184),ISNUMBER(AK184),ISNUMBER(AL184)),W184-(AL184+AK184*X184),"")</f>
        <v/>
      </c>
      <c r="AN184" s="38">
        <f>IF(ISNUMBER(AM184),1,0)</f>
        <v/>
      </c>
      <c r="AO184" s="40">
        <f>IF(AN184=1,AM184,0)</f>
        <v/>
      </c>
      <c r="AP184" s="40">
        <f>IF(SUM(AN182:AN184)=3,SUM(AO182:AO184),"")</f>
        <v/>
      </c>
      <c r="AQ184" s="38">
        <f>IF(ISNUMBER(AP184),1,0)</f>
        <v/>
      </c>
      <c r="AR184" s="40">
        <f>IF(AQ184=1,AP184,0)</f>
        <v/>
      </c>
      <c r="AS184" s="38">
        <f>SUM(AQ$5:AQ184)</f>
        <v/>
      </c>
      <c r="AT184" s="40">
        <f>IF(AS184&gt;=MIN_OBS_Z,SUMPRODUCT(AQ$5:AQ184,AR$5:AR184)/AS184,"")</f>
        <v/>
      </c>
      <c r="AU184" s="40">
        <f>IF(AS184&gt;=MIN_OBS_Z,SQRT(SUMPRODUCT(AQ$5:AQ184,(AR$5:AR184-AT184)^2)/(AS184-1)),"")</f>
        <v/>
      </c>
      <c r="AV184" s="40">
        <f>IF(AND(AQ184=1,ISNUMBER(AT184)),MAX(-Z_CLIP,MIN(Z_CLIP,(AR184-AT184)/AU184)),"")</f>
        <v/>
      </c>
      <c r="AW184" s="40">
        <f>IF(ISNUMBER(AV184),-AV184,"")</f>
        <v/>
      </c>
      <c r="AX184" s="40">
        <f>IF(ISNUMBER(AW184),1+AMPLITUD*TANH(AW184),"")</f>
        <v/>
      </c>
      <c r="AY184" s="40">
        <f>IF($A184="","",IF(COUNT(AX182:AX184)&gt;0,AVERAGE(AX182:AX184),""))</f>
        <v/>
      </c>
      <c r="AZ184" s="40">
        <f>IF(ISNUMBER(AY184),AY184-1,"")</f>
        <v/>
      </c>
      <c r="BA184" s="40">
        <f>IF(AND(ISNUMBER(AZ183),ISNUMBER(W184)),AZ183*W_BANCOS*W184,"")</f>
        <v/>
      </c>
      <c r="BB184" s="40">
        <f>IF(AND(ISNUMBER(AZ183),ISNUMBER(AZ182)),ABS(AZ183-AZ182)*W_BANCOS*COSTO,0)</f>
        <v/>
      </c>
      <c r="BC184" s="40">
        <f>IF(ISNUMBER(BA184),BA184-BB184,"")</f>
        <v/>
      </c>
      <c r="BD184" s="42">
        <f>IF(ISNUMBER(BC184),IF(A184&lt;=FECHA_ERA,"A","B"),"")</f>
        <v/>
      </c>
      <c r="BE184" s="40">
        <f>IF(BD184="A",BC184,"")</f>
        <v/>
      </c>
      <c r="BF184" s="40">
        <f>IF(BD184="B",BC184,"")</f>
        <v/>
      </c>
      <c r="BG184" s="38">
        <f>IF(AND(ISNUMBER(BC184),ISNUMBER(A184)),IF(A184&gt;=INICIO_VIVO,1,0),0)</f>
        <v/>
      </c>
      <c r="BH184" s="40">
        <f>IF(BG184=1,BC184,"")</f>
        <v/>
      </c>
      <c r="BI184" s="38">
        <f>IF(ISNUMBER(AY184),ROW(),0)</f>
        <v/>
      </c>
      <c r="BJ184" s="43">
        <f>IF(ISNUMBER(BC184),SUM(BC$5:BC184)*10000,NA())</f>
        <v/>
      </c>
      <c r="BK184" s="43">
        <f>IF(BG184=1,SUM(BH$5:BH184)*10000,NA())</f>
        <v/>
      </c>
      <c r="BL184" s="44">
        <f>IF(ISNUMBER(AY184),AY184,NA())</f>
        <v/>
      </c>
    </row>
    <row r="185">
      <c r="A185" s="36">
        <f>IF(Datos!A185="","",Datos!A185)</f>
        <v/>
      </c>
      <c r="B185" s="37">
        <f>IF(OR($A185="",NOT(ISNUMBER(Datos!B185)),NOT(ISNUMBER(Datos!B184))),"",Datos!B185/Datos!B184-1)</f>
        <v/>
      </c>
      <c r="C185" s="37">
        <f>IF(OR($A185="",NOT(ISNUMBER(Datos!C185)),NOT(ISNUMBER(Datos!C184))),"",Datos!C185/Datos!C184-1)</f>
        <v/>
      </c>
      <c r="D185" s="37">
        <f>IF(OR($A185="",NOT(ISNUMBER(Datos!D185)),NOT(ISNUMBER(Datos!D184))),"",Datos!D185/Datos!D184-1)</f>
        <v/>
      </c>
      <c r="E185" s="37">
        <f>IF(OR($A185="",NOT(ISNUMBER(Datos!E185)),NOT(ISNUMBER(Datos!E184))),"",Datos!E185/Datos!E184-1)</f>
        <v/>
      </c>
      <c r="F185" s="38">
        <f>IF($A185="","",COUNT(B185:E185))</f>
        <v/>
      </c>
      <c r="G185" s="37">
        <f>IF($A185="","",IF(F185&gt;=MIN_BANCOS,AVERAGE(B185:E185),""))</f>
        <v/>
      </c>
      <c r="H185" s="37">
        <f>IF(OR($A185="",NOT(ISNUMBER(Datos!F185)),NOT(ISNUMBER(Datos!F184))),"",Datos!F185/Datos!F184-1)</f>
        <v/>
      </c>
      <c r="I185" s="39">
        <f>IF($A185="","",IF(ISNUMBER(Datos!G185),Datos!G185,I184))</f>
        <v/>
      </c>
      <c r="J185" s="40">
        <f>IF($A185="","",IF(ISNUMBER(I184),LN(1+I184/100/12),0))</f>
        <v/>
      </c>
      <c r="K185" s="40">
        <f>IF(ISNUMBER(G185),LN(1+G185)-J185,"")</f>
        <v/>
      </c>
      <c r="L185" s="40">
        <f>IF(ISNUMBER(H185),LN(1+H185)-J185,"")</f>
        <v/>
      </c>
      <c r="M185" s="38">
        <f>IF(ISNUMBER(K185),1,0)</f>
        <v/>
      </c>
      <c r="N185" s="40">
        <f>IF(M185=1,K185,0)</f>
        <v/>
      </c>
      <c r="O185" s="38">
        <f>IF(ISNUMBER(L185),1,0)</f>
        <v/>
      </c>
      <c r="P185" s="40">
        <f>IF(O185=1,L185,0)</f>
        <v/>
      </c>
      <c r="Q185" s="38">
        <f>M185*O185</f>
        <v/>
      </c>
      <c r="R185" s="38">
        <f>SUM(Q149:Q184)</f>
        <v/>
      </c>
      <c r="S185" s="41">
        <f>IF(OR($A185="",R185&lt;MIN_OBS_ROLL),"",(SUMPRODUCT(Q149:Q184,N149:N184,P149:P184)/R185-SUMPRODUCT(Q149:Q184,N149:N184)/R185*SUMPRODUCT(Q149:Q184,P149:P184)/R185)*R185/(R185-1))</f>
        <v/>
      </c>
      <c r="T185" s="38">
        <f>SUM(O149:O184)</f>
        <v/>
      </c>
      <c r="U185" s="41">
        <f>IF(OR($A185="",T185&lt;MIN_OBS_ROLL),"",SUMPRODUCT(O149:O184,(P149:P184-SUMPRODUCT(O149:O184,P149:P184)/T185)^2)/(T185-1))</f>
        <v/>
      </c>
      <c r="V185" s="40">
        <f>IF(OR(S185="",U185=""),"",S185/U185)</f>
        <v/>
      </c>
      <c r="W185" s="40">
        <f>IF(AND(ISNUMBER(K185),ISNUMBER(L185),ISNUMBER(V185)),K185-V185*L185,"")</f>
        <v/>
      </c>
      <c r="X185" s="40">
        <f>IF(OR($A185="",NOT(ISNUMBER(Datos!H185)),NOT(ISNUMBER(Datos!H184))),"",LN(Datos!H185)-LN(Datos!H184))</f>
        <v/>
      </c>
      <c r="Y185" s="38">
        <f>IF(ISNUMBER(W185),1,0)</f>
        <v/>
      </c>
      <c r="Z185" s="40">
        <f>IF(Y185=1,W185,0)</f>
        <v/>
      </c>
      <c r="AA185" s="38">
        <f>IF(ISNUMBER(X185),1,0)</f>
        <v/>
      </c>
      <c r="AB185" s="40">
        <f>IF(AA185=1,X185,0)</f>
        <v/>
      </c>
      <c r="AC185" s="38">
        <f>Y185*AA185</f>
        <v/>
      </c>
      <c r="AD185" s="38">
        <f>SUM(AC149:AC184)</f>
        <v/>
      </c>
      <c r="AE185" s="41">
        <f>IF(OR($A185="",AD185&lt;MIN_OBS_ROLL),"",(SUMPRODUCT(AC149:AC184,Z149:Z184,AB149:AB184)/AD185-SUMPRODUCT(AC149:AC184,Z149:Z184)/AD185*SUMPRODUCT(AC149:AC184,AB149:AB184)/AD185)*AD185/(AD185-1))</f>
        <v/>
      </c>
      <c r="AF185" s="38">
        <f>SUM(AA149:AA184)</f>
        <v/>
      </c>
      <c r="AG185" s="41">
        <f>IF(OR($A185="",AF185&lt;MIN_OBS_ROLL),"",SUMPRODUCT(AA149:AA184,(AB149:AB184-SUMPRODUCT(AA149:AA184,AB149:AB184)/AF185)^2)/(AF185-1))</f>
        <v/>
      </c>
      <c r="AH185" s="38">
        <f>SUM(Y149:Y184)</f>
        <v/>
      </c>
      <c r="AI185" s="40">
        <f>IF(OR($A185="",AH185&lt;MIN_OBS_ROLL),"",SUMPRODUCT(Y149:Y184,Z149:Z184)/AH185)</f>
        <v/>
      </c>
      <c r="AJ185" s="40">
        <f>IF(OR($A185="",AF185&lt;MIN_OBS_ROLL),"",SUMPRODUCT(AA149:AA184,AB149:AB184)/AF185)</f>
        <v/>
      </c>
      <c r="AK185" s="40">
        <f>IF(OR(AE185="",AG185=""),"",AE185/AG185)</f>
        <v/>
      </c>
      <c r="AL185" s="40">
        <f>IF(OR(AI185="",AK185="",AJ185=""),"",AI185-AK185*AJ185)</f>
        <v/>
      </c>
      <c r="AM185" s="40">
        <f>IF(AND(ISNUMBER(W185),ISNUMBER(X185),ISNUMBER(AK185),ISNUMBER(AL185)),W185-(AL185+AK185*X185),"")</f>
        <v/>
      </c>
      <c r="AN185" s="38">
        <f>IF(ISNUMBER(AM185),1,0)</f>
        <v/>
      </c>
      <c r="AO185" s="40">
        <f>IF(AN185=1,AM185,0)</f>
        <v/>
      </c>
      <c r="AP185" s="40">
        <f>IF(SUM(AN183:AN185)=3,SUM(AO183:AO185),"")</f>
        <v/>
      </c>
      <c r="AQ185" s="38">
        <f>IF(ISNUMBER(AP185),1,0)</f>
        <v/>
      </c>
      <c r="AR185" s="40">
        <f>IF(AQ185=1,AP185,0)</f>
        <v/>
      </c>
      <c r="AS185" s="38">
        <f>SUM(AQ$5:AQ185)</f>
        <v/>
      </c>
      <c r="AT185" s="40">
        <f>IF(AS185&gt;=MIN_OBS_Z,SUMPRODUCT(AQ$5:AQ185,AR$5:AR185)/AS185,"")</f>
        <v/>
      </c>
      <c r="AU185" s="40">
        <f>IF(AS185&gt;=MIN_OBS_Z,SQRT(SUMPRODUCT(AQ$5:AQ185,(AR$5:AR185-AT185)^2)/(AS185-1)),"")</f>
        <v/>
      </c>
      <c r="AV185" s="40">
        <f>IF(AND(AQ185=1,ISNUMBER(AT185)),MAX(-Z_CLIP,MIN(Z_CLIP,(AR185-AT185)/AU185)),"")</f>
        <v/>
      </c>
      <c r="AW185" s="40">
        <f>IF(ISNUMBER(AV185),-AV185,"")</f>
        <v/>
      </c>
      <c r="AX185" s="40">
        <f>IF(ISNUMBER(AW185),1+AMPLITUD*TANH(AW185),"")</f>
        <v/>
      </c>
      <c r="AY185" s="40">
        <f>IF($A185="","",IF(COUNT(AX183:AX185)&gt;0,AVERAGE(AX183:AX185),""))</f>
        <v/>
      </c>
      <c r="AZ185" s="40">
        <f>IF(ISNUMBER(AY185),AY185-1,"")</f>
        <v/>
      </c>
      <c r="BA185" s="40">
        <f>IF(AND(ISNUMBER(AZ184),ISNUMBER(W185)),AZ184*W_BANCOS*W185,"")</f>
        <v/>
      </c>
      <c r="BB185" s="40">
        <f>IF(AND(ISNUMBER(AZ184),ISNUMBER(AZ183)),ABS(AZ184-AZ183)*W_BANCOS*COSTO,0)</f>
        <v/>
      </c>
      <c r="BC185" s="40">
        <f>IF(ISNUMBER(BA185),BA185-BB185,"")</f>
        <v/>
      </c>
      <c r="BD185" s="42">
        <f>IF(ISNUMBER(BC185),IF(A185&lt;=FECHA_ERA,"A","B"),"")</f>
        <v/>
      </c>
      <c r="BE185" s="40">
        <f>IF(BD185="A",BC185,"")</f>
        <v/>
      </c>
      <c r="BF185" s="40">
        <f>IF(BD185="B",BC185,"")</f>
        <v/>
      </c>
      <c r="BG185" s="38">
        <f>IF(AND(ISNUMBER(BC185),ISNUMBER(A185)),IF(A185&gt;=INICIO_VIVO,1,0),0)</f>
        <v/>
      </c>
      <c r="BH185" s="40">
        <f>IF(BG185=1,BC185,"")</f>
        <v/>
      </c>
      <c r="BI185" s="38">
        <f>IF(ISNUMBER(AY185),ROW(),0)</f>
        <v/>
      </c>
      <c r="BJ185" s="43">
        <f>IF(ISNUMBER(BC185),SUM(BC$5:BC185)*10000,NA())</f>
        <v/>
      </c>
      <c r="BK185" s="43">
        <f>IF(BG185=1,SUM(BH$5:BH185)*10000,NA())</f>
        <v/>
      </c>
      <c r="BL185" s="44">
        <f>IF(ISNUMBER(AY185),AY185,NA())</f>
        <v/>
      </c>
    </row>
    <row r="186">
      <c r="A186" s="36">
        <f>IF(Datos!A186="","",Datos!A186)</f>
        <v/>
      </c>
      <c r="B186" s="37">
        <f>IF(OR($A186="",NOT(ISNUMBER(Datos!B186)),NOT(ISNUMBER(Datos!B185))),"",Datos!B186/Datos!B185-1)</f>
        <v/>
      </c>
      <c r="C186" s="37">
        <f>IF(OR($A186="",NOT(ISNUMBER(Datos!C186)),NOT(ISNUMBER(Datos!C185))),"",Datos!C186/Datos!C185-1)</f>
        <v/>
      </c>
      <c r="D186" s="37">
        <f>IF(OR($A186="",NOT(ISNUMBER(Datos!D186)),NOT(ISNUMBER(Datos!D185))),"",Datos!D186/Datos!D185-1)</f>
        <v/>
      </c>
      <c r="E186" s="37">
        <f>IF(OR($A186="",NOT(ISNUMBER(Datos!E186)),NOT(ISNUMBER(Datos!E185))),"",Datos!E186/Datos!E185-1)</f>
        <v/>
      </c>
      <c r="F186" s="38">
        <f>IF($A186="","",COUNT(B186:E186))</f>
        <v/>
      </c>
      <c r="G186" s="37">
        <f>IF($A186="","",IF(F186&gt;=MIN_BANCOS,AVERAGE(B186:E186),""))</f>
        <v/>
      </c>
      <c r="H186" s="37">
        <f>IF(OR($A186="",NOT(ISNUMBER(Datos!F186)),NOT(ISNUMBER(Datos!F185))),"",Datos!F186/Datos!F185-1)</f>
        <v/>
      </c>
      <c r="I186" s="39">
        <f>IF($A186="","",IF(ISNUMBER(Datos!G186),Datos!G186,I185))</f>
        <v/>
      </c>
      <c r="J186" s="40">
        <f>IF($A186="","",IF(ISNUMBER(I185),LN(1+I185/100/12),0))</f>
        <v/>
      </c>
      <c r="K186" s="40">
        <f>IF(ISNUMBER(G186),LN(1+G186)-J186,"")</f>
        <v/>
      </c>
      <c r="L186" s="40">
        <f>IF(ISNUMBER(H186),LN(1+H186)-J186,"")</f>
        <v/>
      </c>
      <c r="M186" s="38">
        <f>IF(ISNUMBER(K186),1,0)</f>
        <v/>
      </c>
      <c r="N186" s="40">
        <f>IF(M186=1,K186,0)</f>
        <v/>
      </c>
      <c r="O186" s="38">
        <f>IF(ISNUMBER(L186),1,0)</f>
        <v/>
      </c>
      <c r="P186" s="40">
        <f>IF(O186=1,L186,0)</f>
        <v/>
      </c>
      <c r="Q186" s="38">
        <f>M186*O186</f>
        <v/>
      </c>
      <c r="R186" s="38">
        <f>SUM(Q150:Q185)</f>
        <v/>
      </c>
      <c r="S186" s="41">
        <f>IF(OR($A186="",R186&lt;MIN_OBS_ROLL),"",(SUMPRODUCT(Q150:Q185,N150:N185,P150:P185)/R186-SUMPRODUCT(Q150:Q185,N150:N185)/R186*SUMPRODUCT(Q150:Q185,P150:P185)/R186)*R186/(R186-1))</f>
        <v/>
      </c>
      <c r="T186" s="38">
        <f>SUM(O150:O185)</f>
        <v/>
      </c>
      <c r="U186" s="41">
        <f>IF(OR($A186="",T186&lt;MIN_OBS_ROLL),"",SUMPRODUCT(O150:O185,(P150:P185-SUMPRODUCT(O150:O185,P150:P185)/T186)^2)/(T186-1))</f>
        <v/>
      </c>
      <c r="V186" s="40">
        <f>IF(OR(S186="",U186=""),"",S186/U186)</f>
        <v/>
      </c>
      <c r="W186" s="40">
        <f>IF(AND(ISNUMBER(K186),ISNUMBER(L186),ISNUMBER(V186)),K186-V186*L186,"")</f>
        <v/>
      </c>
      <c r="X186" s="40">
        <f>IF(OR($A186="",NOT(ISNUMBER(Datos!H186)),NOT(ISNUMBER(Datos!H185))),"",LN(Datos!H186)-LN(Datos!H185))</f>
        <v/>
      </c>
      <c r="Y186" s="38">
        <f>IF(ISNUMBER(W186),1,0)</f>
        <v/>
      </c>
      <c r="Z186" s="40">
        <f>IF(Y186=1,W186,0)</f>
        <v/>
      </c>
      <c r="AA186" s="38">
        <f>IF(ISNUMBER(X186),1,0)</f>
        <v/>
      </c>
      <c r="AB186" s="40">
        <f>IF(AA186=1,X186,0)</f>
        <v/>
      </c>
      <c r="AC186" s="38">
        <f>Y186*AA186</f>
        <v/>
      </c>
      <c r="AD186" s="38">
        <f>SUM(AC150:AC185)</f>
        <v/>
      </c>
      <c r="AE186" s="41">
        <f>IF(OR($A186="",AD186&lt;MIN_OBS_ROLL),"",(SUMPRODUCT(AC150:AC185,Z150:Z185,AB150:AB185)/AD186-SUMPRODUCT(AC150:AC185,Z150:Z185)/AD186*SUMPRODUCT(AC150:AC185,AB150:AB185)/AD186)*AD186/(AD186-1))</f>
        <v/>
      </c>
      <c r="AF186" s="38">
        <f>SUM(AA150:AA185)</f>
        <v/>
      </c>
      <c r="AG186" s="41">
        <f>IF(OR($A186="",AF186&lt;MIN_OBS_ROLL),"",SUMPRODUCT(AA150:AA185,(AB150:AB185-SUMPRODUCT(AA150:AA185,AB150:AB185)/AF186)^2)/(AF186-1))</f>
        <v/>
      </c>
      <c r="AH186" s="38">
        <f>SUM(Y150:Y185)</f>
        <v/>
      </c>
      <c r="AI186" s="40">
        <f>IF(OR($A186="",AH186&lt;MIN_OBS_ROLL),"",SUMPRODUCT(Y150:Y185,Z150:Z185)/AH186)</f>
        <v/>
      </c>
      <c r="AJ186" s="40">
        <f>IF(OR($A186="",AF186&lt;MIN_OBS_ROLL),"",SUMPRODUCT(AA150:AA185,AB150:AB185)/AF186)</f>
        <v/>
      </c>
      <c r="AK186" s="40">
        <f>IF(OR(AE186="",AG186=""),"",AE186/AG186)</f>
        <v/>
      </c>
      <c r="AL186" s="40">
        <f>IF(OR(AI186="",AK186="",AJ186=""),"",AI186-AK186*AJ186)</f>
        <v/>
      </c>
      <c r="AM186" s="40">
        <f>IF(AND(ISNUMBER(W186),ISNUMBER(X186),ISNUMBER(AK186),ISNUMBER(AL186)),W186-(AL186+AK186*X186),"")</f>
        <v/>
      </c>
      <c r="AN186" s="38">
        <f>IF(ISNUMBER(AM186),1,0)</f>
        <v/>
      </c>
      <c r="AO186" s="40">
        <f>IF(AN186=1,AM186,0)</f>
        <v/>
      </c>
      <c r="AP186" s="40">
        <f>IF(SUM(AN184:AN186)=3,SUM(AO184:AO186),"")</f>
        <v/>
      </c>
      <c r="AQ186" s="38">
        <f>IF(ISNUMBER(AP186),1,0)</f>
        <v/>
      </c>
      <c r="AR186" s="40">
        <f>IF(AQ186=1,AP186,0)</f>
        <v/>
      </c>
      <c r="AS186" s="38">
        <f>SUM(AQ$5:AQ186)</f>
        <v/>
      </c>
      <c r="AT186" s="40">
        <f>IF(AS186&gt;=MIN_OBS_Z,SUMPRODUCT(AQ$5:AQ186,AR$5:AR186)/AS186,"")</f>
        <v/>
      </c>
      <c r="AU186" s="40">
        <f>IF(AS186&gt;=MIN_OBS_Z,SQRT(SUMPRODUCT(AQ$5:AQ186,(AR$5:AR186-AT186)^2)/(AS186-1)),"")</f>
        <v/>
      </c>
      <c r="AV186" s="40">
        <f>IF(AND(AQ186=1,ISNUMBER(AT186)),MAX(-Z_CLIP,MIN(Z_CLIP,(AR186-AT186)/AU186)),"")</f>
        <v/>
      </c>
      <c r="AW186" s="40">
        <f>IF(ISNUMBER(AV186),-AV186,"")</f>
        <v/>
      </c>
      <c r="AX186" s="40">
        <f>IF(ISNUMBER(AW186),1+AMPLITUD*TANH(AW186),"")</f>
        <v/>
      </c>
      <c r="AY186" s="40">
        <f>IF($A186="","",IF(COUNT(AX184:AX186)&gt;0,AVERAGE(AX184:AX186),""))</f>
        <v/>
      </c>
      <c r="AZ186" s="40">
        <f>IF(ISNUMBER(AY186),AY186-1,"")</f>
        <v/>
      </c>
      <c r="BA186" s="40">
        <f>IF(AND(ISNUMBER(AZ185),ISNUMBER(W186)),AZ185*W_BANCOS*W186,"")</f>
        <v/>
      </c>
      <c r="BB186" s="40">
        <f>IF(AND(ISNUMBER(AZ185),ISNUMBER(AZ184)),ABS(AZ185-AZ184)*W_BANCOS*COSTO,0)</f>
        <v/>
      </c>
      <c r="BC186" s="40">
        <f>IF(ISNUMBER(BA186),BA186-BB186,"")</f>
        <v/>
      </c>
      <c r="BD186" s="42">
        <f>IF(ISNUMBER(BC186),IF(A186&lt;=FECHA_ERA,"A","B"),"")</f>
        <v/>
      </c>
      <c r="BE186" s="40">
        <f>IF(BD186="A",BC186,"")</f>
        <v/>
      </c>
      <c r="BF186" s="40">
        <f>IF(BD186="B",BC186,"")</f>
        <v/>
      </c>
      <c r="BG186" s="38">
        <f>IF(AND(ISNUMBER(BC186),ISNUMBER(A186)),IF(A186&gt;=INICIO_VIVO,1,0),0)</f>
        <v/>
      </c>
      <c r="BH186" s="40">
        <f>IF(BG186=1,BC186,"")</f>
        <v/>
      </c>
      <c r="BI186" s="38">
        <f>IF(ISNUMBER(AY186),ROW(),0)</f>
        <v/>
      </c>
      <c r="BJ186" s="43">
        <f>IF(ISNUMBER(BC186),SUM(BC$5:BC186)*10000,NA())</f>
        <v/>
      </c>
      <c r="BK186" s="43">
        <f>IF(BG186=1,SUM(BH$5:BH186)*10000,NA())</f>
        <v/>
      </c>
      <c r="BL186" s="44">
        <f>IF(ISNUMBER(AY186),AY186,NA())</f>
        <v/>
      </c>
    </row>
    <row r="187">
      <c r="A187" s="36">
        <f>IF(Datos!A187="","",Datos!A187)</f>
        <v/>
      </c>
      <c r="B187" s="37">
        <f>IF(OR($A187="",NOT(ISNUMBER(Datos!B187)),NOT(ISNUMBER(Datos!B186))),"",Datos!B187/Datos!B186-1)</f>
        <v/>
      </c>
      <c r="C187" s="37">
        <f>IF(OR($A187="",NOT(ISNUMBER(Datos!C187)),NOT(ISNUMBER(Datos!C186))),"",Datos!C187/Datos!C186-1)</f>
        <v/>
      </c>
      <c r="D187" s="37">
        <f>IF(OR($A187="",NOT(ISNUMBER(Datos!D187)),NOT(ISNUMBER(Datos!D186))),"",Datos!D187/Datos!D186-1)</f>
        <v/>
      </c>
      <c r="E187" s="37">
        <f>IF(OR($A187="",NOT(ISNUMBER(Datos!E187)),NOT(ISNUMBER(Datos!E186))),"",Datos!E187/Datos!E186-1)</f>
        <v/>
      </c>
      <c r="F187" s="38">
        <f>IF($A187="","",COUNT(B187:E187))</f>
        <v/>
      </c>
      <c r="G187" s="37">
        <f>IF($A187="","",IF(F187&gt;=MIN_BANCOS,AVERAGE(B187:E187),""))</f>
        <v/>
      </c>
      <c r="H187" s="37">
        <f>IF(OR($A187="",NOT(ISNUMBER(Datos!F187)),NOT(ISNUMBER(Datos!F186))),"",Datos!F187/Datos!F186-1)</f>
        <v/>
      </c>
      <c r="I187" s="39">
        <f>IF($A187="","",IF(ISNUMBER(Datos!G187),Datos!G187,I186))</f>
        <v/>
      </c>
      <c r="J187" s="40">
        <f>IF($A187="","",IF(ISNUMBER(I186),LN(1+I186/100/12),0))</f>
        <v/>
      </c>
      <c r="K187" s="40">
        <f>IF(ISNUMBER(G187),LN(1+G187)-J187,"")</f>
        <v/>
      </c>
      <c r="L187" s="40">
        <f>IF(ISNUMBER(H187),LN(1+H187)-J187,"")</f>
        <v/>
      </c>
      <c r="M187" s="38">
        <f>IF(ISNUMBER(K187),1,0)</f>
        <v/>
      </c>
      <c r="N187" s="40">
        <f>IF(M187=1,K187,0)</f>
        <v/>
      </c>
      <c r="O187" s="38">
        <f>IF(ISNUMBER(L187),1,0)</f>
        <v/>
      </c>
      <c r="P187" s="40">
        <f>IF(O187=1,L187,0)</f>
        <v/>
      </c>
      <c r="Q187" s="38">
        <f>M187*O187</f>
        <v/>
      </c>
      <c r="R187" s="38">
        <f>SUM(Q151:Q186)</f>
        <v/>
      </c>
      <c r="S187" s="41">
        <f>IF(OR($A187="",R187&lt;MIN_OBS_ROLL),"",(SUMPRODUCT(Q151:Q186,N151:N186,P151:P186)/R187-SUMPRODUCT(Q151:Q186,N151:N186)/R187*SUMPRODUCT(Q151:Q186,P151:P186)/R187)*R187/(R187-1))</f>
        <v/>
      </c>
      <c r="T187" s="38">
        <f>SUM(O151:O186)</f>
        <v/>
      </c>
      <c r="U187" s="41">
        <f>IF(OR($A187="",T187&lt;MIN_OBS_ROLL),"",SUMPRODUCT(O151:O186,(P151:P186-SUMPRODUCT(O151:O186,P151:P186)/T187)^2)/(T187-1))</f>
        <v/>
      </c>
      <c r="V187" s="40">
        <f>IF(OR(S187="",U187=""),"",S187/U187)</f>
        <v/>
      </c>
      <c r="W187" s="40">
        <f>IF(AND(ISNUMBER(K187),ISNUMBER(L187),ISNUMBER(V187)),K187-V187*L187,"")</f>
        <v/>
      </c>
      <c r="X187" s="40">
        <f>IF(OR($A187="",NOT(ISNUMBER(Datos!H187)),NOT(ISNUMBER(Datos!H186))),"",LN(Datos!H187)-LN(Datos!H186))</f>
        <v/>
      </c>
      <c r="Y187" s="38">
        <f>IF(ISNUMBER(W187),1,0)</f>
        <v/>
      </c>
      <c r="Z187" s="40">
        <f>IF(Y187=1,W187,0)</f>
        <v/>
      </c>
      <c r="AA187" s="38">
        <f>IF(ISNUMBER(X187),1,0)</f>
        <v/>
      </c>
      <c r="AB187" s="40">
        <f>IF(AA187=1,X187,0)</f>
        <v/>
      </c>
      <c r="AC187" s="38">
        <f>Y187*AA187</f>
        <v/>
      </c>
      <c r="AD187" s="38">
        <f>SUM(AC151:AC186)</f>
        <v/>
      </c>
      <c r="AE187" s="41">
        <f>IF(OR($A187="",AD187&lt;MIN_OBS_ROLL),"",(SUMPRODUCT(AC151:AC186,Z151:Z186,AB151:AB186)/AD187-SUMPRODUCT(AC151:AC186,Z151:Z186)/AD187*SUMPRODUCT(AC151:AC186,AB151:AB186)/AD187)*AD187/(AD187-1))</f>
        <v/>
      </c>
      <c r="AF187" s="38">
        <f>SUM(AA151:AA186)</f>
        <v/>
      </c>
      <c r="AG187" s="41">
        <f>IF(OR($A187="",AF187&lt;MIN_OBS_ROLL),"",SUMPRODUCT(AA151:AA186,(AB151:AB186-SUMPRODUCT(AA151:AA186,AB151:AB186)/AF187)^2)/(AF187-1))</f>
        <v/>
      </c>
      <c r="AH187" s="38">
        <f>SUM(Y151:Y186)</f>
        <v/>
      </c>
      <c r="AI187" s="40">
        <f>IF(OR($A187="",AH187&lt;MIN_OBS_ROLL),"",SUMPRODUCT(Y151:Y186,Z151:Z186)/AH187)</f>
        <v/>
      </c>
      <c r="AJ187" s="40">
        <f>IF(OR($A187="",AF187&lt;MIN_OBS_ROLL),"",SUMPRODUCT(AA151:AA186,AB151:AB186)/AF187)</f>
        <v/>
      </c>
      <c r="AK187" s="40">
        <f>IF(OR(AE187="",AG187=""),"",AE187/AG187)</f>
        <v/>
      </c>
      <c r="AL187" s="40">
        <f>IF(OR(AI187="",AK187="",AJ187=""),"",AI187-AK187*AJ187)</f>
        <v/>
      </c>
      <c r="AM187" s="40">
        <f>IF(AND(ISNUMBER(W187),ISNUMBER(X187),ISNUMBER(AK187),ISNUMBER(AL187)),W187-(AL187+AK187*X187),"")</f>
        <v/>
      </c>
      <c r="AN187" s="38">
        <f>IF(ISNUMBER(AM187),1,0)</f>
        <v/>
      </c>
      <c r="AO187" s="40">
        <f>IF(AN187=1,AM187,0)</f>
        <v/>
      </c>
      <c r="AP187" s="40">
        <f>IF(SUM(AN185:AN187)=3,SUM(AO185:AO187),"")</f>
        <v/>
      </c>
      <c r="AQ187" s="38">
        <f>IF(ISNUMBER(AP187),1,0)</f>
        <v/>
      </c>
      <c r="AR187" s="40">
        <f>IF(AQ187=1,AP187,0)</f>
        <v/>
      </c>
      <c r="AS187" s="38">
        <f>SUM(AQ$5:AQ187)</f>
        <v/>
      </c>
      <c r="AT187" s="40">
        <f>IF(AS187&gt;=MIN_OBS_Z,SUMPRODUCT(AQ$5:AQ187,AR$5:AR187)/AS187,"")</f>
        <v/>
      </c>
      <c r="AU187" s="40">
        <f>IF(AS187&gt;=MIN_OBS_Z,SQRT(SUMPRODUCT(AQ$5:AQ187,(AR$5:AR187-AT187)^2)/(AS187-1)),"")</f>
        <v/>
      </c>
      <c r="AV187" s="40">
        <f>IF(AND(AQ187=1,ISNUMBER(AT187)),MAX(-Z_CLIP,MIN(Z_CLIP,(AR187-AT187)/AU187)),"")</f>
        <v/>
      </c>
      <c r="AW187" s="40">
        <f>IF(ISNUMBER(AV187),-AV187,"")</f>
        <v/>
      </c>
      <c r="AX187" s="40">
        <f>IF(ISNUMBER(AW187),1+AMPLITUD*TANH(AW187),"")</f>
        <v/>
      </c>
      <c r="AY187" s="40">
        <f>IF($A187="","",IF(COUNT(AX185:AX187)&gt;0,AVERAGE(AX185:AX187),""))</f>
        <v/>
      </c>
      <c r="AZ187" s="40">
        <f>IF(ISNUMBER(AY187),AY187-1,"")</f>
        <v/>
      </c>
      <c r="BA187" s="40">
        <f>IF(AND(ISNUMBER(AZ186),ISNUMBER(W187)),AZ186*W_BANCOS*W187,"")</f>
        <v/>
      </c>
      <c r="BB187" s="40">
        <f>IF(AND(ISNUMBER(AZ186),ISNUMBER(AZ185)),ABS(AZ186-AZ185)*W_BANCOS*COSTO,0)</f>
        <v/>
      </c>
      <c r="BC187" s="40">
        <f>IF(ISNUMBER(BA187),BA187-BB187,"")</f>
        <v/>
      </c>
      <c r="BD187" s="42">
        <f>IF(ISNUMBER(BC187),IF(A187&lt;=FECHA_ERA,"A","B"),"")</f>
        <v/>
      </c>
      <c r="BE187" s="40">
        <f>IF(BD187="A",BC187,"")</f>
        <v/>
      </c>
      <c r="BF187" s="40">
        <f>IF(BD187="B",BC187,"")</f>
        <v/>
      </c>
      <c r="BG187" s="38">
        <f>IF(AND(ISNUMBER(BC187),ISNUMBER(A187)),IF(A187&gt;=INICIO_VIVO,1,0),0)</f>
        <v/>
      </c>
      <c r="BH187" s="40">
        <f>IF(BG187=1,BC187,"")</f>
        <v/>
      </c>
      <c r="BI187" s="38">
        <f>IF(ISNUMBER(AY187),ROW(),0)</f>
        <v/>
      </c>
      <c r="BJ187" s="43">
        <f>IF(ISNUMBER(BC187),SUM(BC$5:BC187)*10000,NA())</f>
        <v/>
      </c>
      <c r="BK187" s="43">
        <f>IF(BG187=1,SUM(BH$5:BH187)*10000,NA())</f>
        <v/>
      </c>
      <c r="BL187" s="44">
        <f>IF(ISNUMBER(AY187),AY187,NA())</f>
        <v/>
      </c>
    </row>
    <row r="188">
      <c r="A188" s="36">
        <f>IF(Datos!A188="","",Datos!A188)</f>
        <v/>
      </c>
      <c r="B188" s="37">
        <f>IF(OR($A188="",NOT(ISNUMBER(Datos!B188)),NOT(ISNUMBER(Datos!B187))),"",Datos!B188/Datos!B187-1)</f>
        <v/>
      </c>
      <c r="C188" s="37">
        <f>IF(OR($A188="",NOT(ISNUMBER(Datos!C188)),NOT(ISNUMBER(Datos!C187))),"",Datos!C188/Datos!C187-1)</f>
        <v/>
      </c>
      <c r="D188" s="37">
        <f>IF(OR($A188="",NOT(ISNUMBER(Datos!D188)),NOT(ISNUMBER(Datos!D187))),"",Datos!D188/Datos!D187-1)</f>
        <v/>
      </c>
      <c r="E188" s="37">
        <f>IF(OR($A188="",NOT(ISNUMBER(Datos!E188)),NOT(ISNUMBER(Datos!E187))),"",Datos!E188/Datos!E187-1)</f>
        <v/>
      </c>
      <c r="F188" s="38">
        <f>IF($A188="","",COUNT(B188:E188))</f>
        <v/>
      </c>
      <c r="G188" s="37">
        <f>IF($A188="","",IF(F188&gt;=MIN_BANCOS,AVERAGE(B188:E188),""))</f>
        <v/>
      </c>
      <c r="H188" s="37">
        <f>IF(OR($A188="",NOT(ISNUMBER(Datos!F188)),NOT(ISNUMBER(Datos!F187))),"",Datos!F188/Datos!F187-1)</f>
        <v/>
      </c>
      <c r="I188" s="39">
        <f>IF($A188="","",IF(ISNUMBER(Datos!G188),Datos!G188,I187))</f>
        <v/>
      </c>
      <c r="J188" s="40">
        <f>IF($A188="","",IF(ISNUMBER(I187),LN(1+I187/100/12),0))</f>
        <v/>
      </c>
      <c r="K188" s="40">
        <f>IF(ISNUMBER(G188),LN(1+G188)-J188,"")</f>
        <v/>
      </c>
      <c r="L188" s="40">
        <f>IF(ISNUMBER(H188),LN(1+H188)-J188,"")</f>
        <v/>
      </c>
      <c r="M188" s="38">
        <f>IF(ISNUMBER(K188),1,0)</f>
        <v/>
      </c>
      <c r="N188" s="40">
        <f>IF(M188=1,K188,0)</f>
        <v/>
      </c>
      <c r="O188" s="38">
        <f>IF(ISNUMBER(L188),1,0)</f>
        <v/>
      </c>
      <c r="P188" s="40">
        <f>IF(O188=1,L188,0)</f>
        <v/>
      </c>
      <c r="Q188" s="38">
        <f>M188*O188</f>
        <v/>
      </c>
      <c r="R188" s="38">
        <f>SUM(Q152:Q187)</f>
        <v/>
      </c>
      <c r="S188" s="41">
        <f>IF(OR($A188="",R188&lt;MIN_OBS_ROLL),"",(SUMPRODUCT(Q152:Q187,N152:N187,P152:P187)/R188-SUMPRODUCT(Q152:Q187,N152:N187)/R188*SUMPRODUCT(Q152:Q187,P152:P187)/R188)*R188/(R188-1))</f>
        <v/>
      </c>
      <c r="T188" s="38">
        <f>SUM(O152:O187)</f>
        <v/>
      </c>
      <c r="U188" s="41">
        <f>IF(OR($A188="",T188&lt;MIN_OBS_ROLL),"",SUMPRODUCT(O152:O187,(P152:P187-SUMPRODUCT(O152:O187,P152:P187)/T188)^2)/(T188-1))</f>
        <v/>
      </c>
      <c r="V188" s="40">
        <f>IF(OR(S188="",U188=""),"",S188/U188)</f>
        <v/>
      </c>
      <c r="W188" s="40">
        <f>IF(AND(ISNUMBER(K188),ISNUMBER(L188),ISNUMBER(V188)),K188-V188*L188,"")</f>
        <v/>
      </c>
      <c r="X188" s="40">
        <f>IF(OR($A188="",NOT(ISNUMBER(Datos!H188)),NOT(ISNUMBER(Datos!H187))),"",LN(Datos!H188)-LN(Datos!H187))</f>
        <v/>
      </c>
      <c r="Y188" s="38">
        <f>IF(ISNUMBER(W188),1,0)</f>
        <v/>
      </c>
      <c r="Z188" s="40">
        <f>IF(Y188=1,W188,0)</f>
        <v/>
      </c>
      <c r="AA188" s="38">
        <f>IF(ISNUMBER(X188),1,0)</f>
        <v/>
      </c>
      <c r="AB188" s="40">
        <f>IF(AA188=1,X188,0)</f>
        <v/>
      </c>
      <c r="AC188" s="38">
        <f>Y188*AA188</f>
        <v/>
      </c>
      <c r="AD188" s="38">
        <f>SUM(AC152:AC187)</f>
        <v/>
      </c>
      <c r="AE188" s="41">
        <f>IF(OR($A188="",AD188&lt;MIN_OBS_ROLL),"",(SUMPRODUCT(AC152:AC187,Z152:Z187,AB152:AB187)/AD188-SUMPRODUCT(AC152:AC187,Z152:Z187)/AD188*SUMPRODUCT(AC152:AC187,AB152:AB187)/AD188)*AD188/(AD188-1))</f>
        <v/>
      </c>
      <c r="AF188" s="38">
        <f>SUM(AA152:AA187)</f>
        <v/>
      </c>
      <c r="AG188" s="41">
        <f>IF(OR($A188="",AF188&lt;MIN_OBS_ROLL),"",SUMPRODUCT(AA152:AA187,(AB152:AB187-SUMPRODUCT(AA152:AA187,AB152:AB187)/AF188)^2)/(AF188-1))</f>
        <v/>
      </c>
      <c r="AH188" s="38">
        <f>SUM(Y152:Y187)</f>
        <v/>
      </c>
      <c r="AI188" s="40">
        <f>IF(OR($A188="",AH188&lt;MIN_OBS_ROLL),"",SUMPRODUCT(Y152:Y187,Z152:Z187)/AH188)</f>
        <v/>
      </c>
      <c r="AJ188" s="40">
        <f>IF(OR($A188="",AF188&lt;MIN_OBS_ROLL),"",SUMPRODUCT(AA152:AA187,AB152:AB187)/AF188)</f>
        <v/>
      </c>
      <c r="AK188" s="40">
        <f>IF(OR(AE188="",AG188=""),"",AE188/AG188)</f>
        <v/>
      </c>
      <c r="AL188" s="40">
        <f>IF(OR(AI188="",AK188="",AJ188=""),"",AI188-AK188*AJ188)</f>
        <v/>
      </c>
      <c r="AM188" s="40">
        <f>IF(AND(ISNUMBER(W188),ISNUMBER(X188),ISNUMBER(AK188),ISNUMBER(AL188)),W188-(AL188+AK188*X188),"")</f>
        <v/>
      </c>
      <c r="AN188" s="38">
        <f>IF(ISNUMBER(AM188),1,0)</f>
        <v/>
      </c>
      <c r="AO188" s="40">
        <f>IF(AN188=1,AM188,0)</f>
        <v/>
      </c>
      <c r="AP188" s="40">
        <f>IF(SUM(AN186:AN188)=3,SUM(AO186:AO188),"")</f>
        <v/>
      </c>
      <c r="AQ188" s="38">
        <f>IF(ISNUMBER(AP188),1,0)</f>
        <v/>
      </c>
      <c r="AR188" s="40">
        <f>IF(AQ188=1,AP188,0)</f>
        <v/>
      </c>
      <c r="AS188" s="38">
        <f>SUM(AQ$5:AQ188)</f>
        <v/>
      </c>
      <c r="AT188" s="40">
        <f>IF(AS188&gt;=MIN_OBS_Z,SUMPRODUCT(AQ$5:AQ188,AR$5:AR188)/AS188,"")</f>
        <v/>
      </c>
      <c r="AU188" s="40">
        <f>IF(AS188&gt;=MIN_OBS_Z,SQRT(SUMPRODUCT(AQ$5:AQ188,(AR$5:AR188-AT188)^2)/(AS188-1)),"")</f>
        <v/>
      </c>
      <c r="AV188" s="40">
        <f>IF(AND(AQ188=1,ISNUMBER(AT188)),MAX(-Z_CLIP,MIN(Z_CLIP,(AR188-AT188)/AU188)),"")</f>
        <v/>
      </c>
      <c r="AW188" s="40">
        <f>IF(ISNUMBER(AV188),-AV188,"")</f>
        <v/>
      </c>
      <c r="AX188" s="40">
        <f>IF(ISNUMBER(AW188),1+AMPLITUD*TANH(AW188),"")</f>
        <v/>
      </c>
      <c r="AY188" s="40">
        <f>IF($A188="","",IF(COUNT(AX186:AX188)&gt;0,AVERAGE(AX186:AX188),""))</f>
        <v/>
      </c>
      <c r="AZ188" s="40">
        <f>IF(ISNUMBER(AY188),AY188-1,"")</f>
        <v/>
      </c>
      <c r="BA188" s="40">
        <f>IF(AND(ISNUMBER(AZ187),ISNUMBER(W188)),AZ187*W_BANCOS*W188,"")</f>
        <v/>
      </c>
      <c r="BB188" s="40">
        <f>IF(AND(ISNUMBER(AZ187),ISNUMBER(AZ186)),ABS(AZ187-AZ186)*W_BANCOS*COSTO,0)</f>
        <v/>
      </c>
      <c r="BC188" s="40">
        <f>IF(ISNUMBER(BA188),BA188-BB188,"")</f>
        <v/>
      </c>
      <c r="BD188" s="42">
        <f>IF(ISNUMBER(BC188),IF(A188&lt;=FECHA_ERA,"A","B"),"")</f>
        <v/>
      </c>
      <c r="BE188" s="40">
        <f>IF(BD188="A",BC188,"")</f>
        <v/>
      </c>
      <c r="BF188" s="40">
        <f>IF(BD188="B",BC188,"")</f>
        <v/>
      </c>
      <c r="BG188" s="38">
        <f>IF(AND(ISNUMBER(BC188),ISNUMBER(A188)),IF(A188&gt;=INICIO_VIVO,1,0),0)</f>
        <v/>
      </c>
      <c r="BH188" s="40">
        <f>IF(BG188=1,BC188,"")</f>
        <v/>
      </c>
      <c r="BI188" s="38">
        <f>IF(ISNUMBER(AY188),ROW(),0)</f>
        <v/>
      </c>
      <c r="BJ188" s="43">
        <f>IF(ISNUMBER(BC188),SUM(BC$5:BC188)*10000,NA())</f>
        <v/>
      </c>
      <c r="BK188" s="43">
        <f>IF(BG188=1,SUM(BH$5:BH188)*10000,NA())</f>
        <v/>
      </c>
      <c r="BL188" s="44">
        <f>IF(ISNUMBER(AY188),AY188,NA())</f>
        <v/>
      </c>
    </row>
    <row r="189">
      <c r="A189" s="36">
        <f>IF(Datos!A189="","",Datos!A189)</f>
        <v/>
      </c>
      <c r="B189" s="37">
        <f>IF(OR($A189="",NOT(ISNUMBER(Datos!B189)),NOT(ISNUMBER(Datos!B188))),"",Datos!B189/Datos!B188-1)</f>
        <v/>
      </c>
      <c r="C189" s="37">
        <f>IF(OR($A189="",NOT(ISNUMBER(Datos!C189)),NOT(ISNUMBER(Datos!C188))),"",Datos!C189/Datos!C188-1)</f>
        <v/>
      </c>
      <c r="D189" s="37">
        <f>IF(OR($A189="",NOT(ISNUMBER(Datos!D189)),NOT(ISNUMBER(Datos!D188))),"",Datos!D189/Datos!D188-1)</f>
        <v/>
      </c>
      <c r="E189" s="37">
        <f>IF(OR($A189="",NOT(ISNUMBER(Datos!E189)),NOT(ISNUMBER(Datos!E188))),"",Datos!E189/Datos!E188-1)</f>
        <v/>
      </c>
      <c r="F189" s="38">
        <f>IF($A189="","",COUNT(B189:E189))</f>
        <v/>
      </c>
      <c r="G189" s="37">
        <f>IF($A189="","",IF(F189&gt;=MIN_BANCOS,AVERAGE(B189:E189),""))</f>
        <v/>
      </c>
      <c r="H189" s="37">
        <f>IF(OR($A189="",NOT(ISNUMBER(Datos!F189)),NOT(ISNUMBER(Datos!F188))),"",Datos!F189/Datos!F188-1)</f>
        <v/>
      </c>
      <c r="I189" s="39">
        <f>IF($A189="","",IF(ISNUMBER(Datos!G189),Datos!G189,I188))</f>
        <v/>
      </c>
      <c r="J189" s="40">
        <f>IF($A189="","",IF(ISNUMBER(I188),LN(1+I188/100/12),0))</f>
        <v/>
      </c>
      <c r="K189" s="40">
        <f>IF(ISNUMBER(G189),LN(1+G189)-J189,"")</f>
        <v/>
      </c>
      <c r="L189" s="40">
        <f>IF(ISNUMBER(H189),LN(1+H189)-J189,"")</f>
        <v/>
      </c>
      <c r="M189" s="38">
        <f>IF(ISNUMBER(K189),1,0)</f>
        <v/>
      </c>
      <c r="N189" s="40">
        <f>IF(M189=1,K189,0)</f>
        <v/>
      </c>
      <c r="O189" s="38">
        <f>IF(ISNUMBER(L189),1,0)</f>
        <v/>
      </c>
      <c r="P189" s="40">
        <f>IF(O189=1,L189,0)</f>
        <v/>
      </c>
      <c r="Q189" s="38">
        <f>M189*O189</f>
        <v/>
      </c>
      <c r="R189" s="38">
        <f>SUM(Q153:Q188)</f>
        <v/>
      </c>
      <c r="S189" s="41">
        <f>IF(OR($A189="",R189&lt;MIN_OBS_ROLL),"",(SUMPRODUCT(Q153:Q188,N153:N188,P153:P188)/R189-SUMPRODUCT(Q153:Q188,N153:N188)/R189*SUMPRODUCT(Q153:Q188,P153:P188)/R189)*R189/(R189-1))</f>
        <v/>
      </c>
      <c r="T189" s="38">
        <f>SUM(O153:O188)</f>
        <v/>
      </c>
      <c r="U189" s="41">
        <f>IF(OR($A189="",T189&lt;MIN_OBS_ROLL),"",SUMPRODUCT(O153:O188,(P153:P188-SUMPRODUCT(O153:O188,P153:P188)/T189)^2)/(T189-1))</f>
        <v/>
      </c>
      <c r="V189" s="40">
        <f>IF(OR(S189="",U189=""),"",S189/U189)</f>
        <v/>
      </c>
      <c r="W189" s="40">
        <f>IF(AND(ISNUMBER(K189),ISNUMBER(L189),ISNUMBER(V189)),K189-V189*L189,"")</f>
        <v/>
      </c>
      <c r="X189" s="40">
        <f>IF(OR($A189="",NOT(ISNUMBER(Datos!H189)),NOT(ISNUMBER(Datos!H188))),"",LN(Datos!H189)-LN(Datos!H188))</f>
        <v/>
      </c>
      <c r="Y189" s="38">
        <f>IF(ISNUMBER(W189),1,0)</f>
        <v/>
      </c>
      <c r="Z189" s="40">
        <f>IF(Y189=1,W189,0)</f>
        <v/>
      </c>
      <c r="AA189" s="38">
        <f>IF(ISNUMBER(X189),1,0)</f>
        <v/>
      </c>
      <c r="AB189" s="40">
        <f>IF(AA189=1,X189,0)</f>
        <v/>
      </c>
      <c r="AC189" s="38">
        <f>Y189*AA189</f>
        <v/>
      </c>
      <c r="AD189" s="38">
        <f>SUM(AC153:AC188)</f>
        <v/>
      </c>
      <c r="AE189" s="41">
        <f>IF(OR($A189="",AD189&lt;MIN_OBS_ROLL),"",(SUMPRODUCT(AC153:AC188,Z153:Z188,AB153:AB188)/AD189-SUMPRODUCT(AC153:AC188,Z153:Z188)/AD189*SUMPRODUCT(AC153:AC188,AB153:AB188)/AD189)*AD189/(AD189-1))</f>
        <v/>
      </c>
      <c r="AF189" s="38">
        <f>SUM(AA153:AA188)</f>
        <v/>
      </c>
      <c r="AG189" s="41">
        <f>IF(OR($A189="",AF189&lt;MIN_OBS_ROLL),"",SUMPRODUCT(AA153:AA188,(AB153:AB188-SUMPRODUCT(AA153:AA188,AB153:AB188)/AF189)^2)/(AF189-1))</f>
        <v/>
      </c>
      <c r="AH189" s="38">
        <f>SUM(Y153:Y188)</f>
        <v/>
      </c>
      <c r="AI189" s="40">
        <f>IF(OR($A189="",AH189&lt;MIN_OBS_ROLL),"",SUMPRODUCT(Y153:Y188,Z153:Z188)/AH189)</f>
        <v/>
      </c>
      <c r="AJ189" s="40">
        <f>IF(OR($A189="",AF189&lt;MIN_OBS_ROLL),"",SUMPRODUCT(AA153:AA188,AB153:AB188)/AF189)</f>
        <v/>
      </c>
      <c r="AK189" s="40">
        <f>IF(OR(AE189="",AG189=""),"",AE189/AG189)</f>
        <v/>
      </c>
      <c r="AL189" s="40">
        <f>IF(OR(AI189="",AK189="",AJ189=""),"",AI189-AK189*AJ189)</f>
        <v/>
      </c>
      <c r="AM189" s="40">
        <f>IF(AND(ISNUMBER(W189),ISNUMBER(X189),ISNUMBER(AK189),ISNUMBER(AL189)),W189-(AL189+AK189*X189),"")</f>
        <v/>
      </c>
      <c r="AN189" s="38">
        <f>IF(ISNUMBER(AM189),1,0)</f>
        <v/>
      </c>
      <c r="AO189" s="40">
        <f>IF(AN189=1,AM189,0)</f>
        <v/>
      </c>
      <c r="AP189" s="40">
        <f>IF(SUM(AN187:AN189)=3,SUM(AO187:AO189),"")</f>
        <v/>
      </c>
      <c r="AQ189" s="38">
        <f>IF(ISNUMBER(AP189),1,0)</f>
        <v/>
      </c>
      <c r="AR189" s="40">
        <f>IF(AQ189=1,AP189,0)</f>
        <v/>
      </c>
      <c r="AS189" s="38">
        <f>SUM(AQ$5:AQ189)</f>
        <v/>
      </c>
      <c r="AT189" s="40">
        <f>IF(AS189&gt;=MIN_OBS_Z,SUMPRODUCT(AQ$5:AQ189,AR$5:AR189)/AS189,"")</f>
        <v/>
      </c>
      <c r="AU189" s="40">
        <f>IF(AS189&gt;=MIN_OBS_Z,SQRT(SUMPRODUCT(AQ$5:AQ189,(AR$5:AR189-AT189)^2)/(AS189-1)),"")</f>
        <v/>
      </c>
      <c r="AV189" s="40">
        <f>IF(AND(AQ189=1,ISNUMBER(AT189)),MAX(-Z_CLIP,MIN(Z_CLIP,(AR189-AT189)/AU189)),"")</f>
        <v/>
      </c>
      <c r="AW189" s="40">
        <f>IF(ISNUMBER(AV189),-AV189,"")</f>
        <v/>
      </c>
      <c r="AX189" s="40">
        <f>IF(ISNUMBER(AW189),1+AMPLITUD*TANH(AW189),"")</f>
        <v/>
      </c>
      <c r="AY189" s="40">
        <f>IF($A189="","",IF(COUNT(AX187:AX189)&gt;0,AVERAGE(AX187:AX189),""))</f>
        <v/>
      </c>
      <c r="AZ189" s="40">
        <f>IF(ISNUMBER(AY189),AY189-1,"")</f>
        <v/>
      </c>
      <c r="BA189" s="40">
        <f>IF(AND(ISNUMBER(AZ188),ISNUMBER(W189)),AZ188*W_BANCOS*W189,"")</f>
        <v/>
      </c>
      <c r="BB189" s="40">
        <f>IF(AND(ISNUMBER(AZ188),ISNUMBER(AZ187)),ABS(AZ188-AZ187)*W_BANCOS*COSTO,0)</f>
        <v/>
      </c>
      <c r="BC189" s="40">
        <f>IF(ISNUMBER(BA189),BA189-BB189,"")</f>
        <v/>
      </c>
      <c r="BD189" s="42">
        <f>IF(ISNUMBER(BC189),IF(A189&lt;=FECHA_ERA,"A","B"),"")</f>
        <v/>
      </c>
      <c r="BE189" s="40">
        <f>IF(BD189="A",BC189,"")</f>
        <v/>
      </c>
      <c r="BF189" s="40">
        <f>IF(BD189="B",BC189,"")</f>
        <v/>
      </c>
      <c r="BG189" s="38">
        <f>IF(AND(ISNUMBER(BC189),ISNUMBER(A189)),IF(A189&gt;=INICIO_VIVO,1,0),0)</f>
        <v/>
      </c>
      <c r="BH189" s="40">
        <f>IF(BG189=1,BC189,"")</f>
        <v/>
      </c>
      <c r="BI189" s="38">
        <f>IF(ISNUMBER(AY189),ROW(),0)</f>
        <v/>
      </c>
      <c r="BJ189" s="43">
        <f>IF(ISNUMBER(BC189),SUM(BC$5:BC189)*10000,NA())</f>
        <v/>
      </c>
      <c r="BK189" s="43">
        <f>IF(BG189=1,SUM(BH$5:BH189)*10000,NA())</f>
        <v/>
      </c>
      <c r="BL189" s="44">
        <f>IF(ISNUMBER(AY189),AY189,NA())</f>
        <v/>
      </c>
    </row>
    <row r="190">
      <c r="A190" s="36">
        <f>IF(Datos!A190="","",Datos!A190)</f>
        <v/>
      </c>
      <c r="B190" s="37">
        <f>IF(OR($A190="",NOT(ISNUMBER(Datos!B190)),NOT(ISNUMBER(Datos!B189))),"",Datos!B190/Datos!B189-1)</f>
        <v/>
      </c>
      <c r="C190" s="37">
        <f>IF(OR($A190="",NOT(ISNUMBER(Datos!C190)),NOT(ISNUMBER(Datos!C189))),"",Datos!C190/Datos!C189-1)</f>
        <v/>
      </c>
      <c r="D190" s="37">
        <f>IF(OR($A190="",NOT(ISNUMBER(Datos!D190)),NOT(ISNUMBER(Datos!D189))),"",Datos!D190/Datos!D189-1)</f>
        <v/>
      </c>
      <c r="E190" s="37">
        <f>IF(OR($A190="",NOT(ISNUMBER(Datos!E190)),NOT(ISNUMBER(Datos!E189))),"",Datos!E190/Datos!E189-1)</f>
        <v/>
      </c>
      <c r="F190" s="38">
        <f>IF($A190="","",COUNT(B190:E190))</f>
        <v/>
      </c>
      <c r="G190" s="37">
        <f>IF($A190="","",IF(F190&gt;=MIN_BANCOS,AVERAGE(B190:E190),""))</f>
        <v/>
      </c>
      <c r="H190" s="37">
        <f>IF(OR($A190="",NOT(ISNUMBER(Datos!F190)),NOT(ISNUMBER(Datos!F189))),"",Datos!F190/Datos!F189-1)</f>
        <v/>
      </c>
      <c r="I190" s="39">
        <f>IF($A190="","",IF(ISNUMBER(Datos!G190),Datos!G190,I189))</f>
        <v/>
      </c>
      <c r="J190" s="40">
        <f>IF($A190="","",IF(ISNUMBER(I189),LN(1+I189/100/12),0))</f>
        <v/>
      </c>
      <c r="K190" s="40">
        <f>IF(ISNUMBER(G190),LN(1+G190)-J190,"")</f>
        <v/>
      </c>
      <c r="L190" s="40">
        <f>IF(ISNUMBER(H190),LN(1+H190)-J190,"")</f>
        <v/>
      </c>
      <c r="M190" s="38">
        <f>IF(ISNUMBER(K190),1,0)</f>
        <v/>
      </c>
      <c r="N190" s="40">
        <f>IF(M190=1,K190,0)</f>
        <v/>
      </c>
      <c r="O190" s="38">
        <f>IF(ISNUMBER(L190),1,0)</f>
        <v/>
      </c>
      <c r="P190" s="40">
        <f>IF(O190=1,L190,0)</f>
        <v/>
      </c>
      <c r="Q190" s="38">
        <f>M190*O190</f>
        <v/>
      </c>
      <c r="R190" s="38">
        <f>SUM(Q154:Q189)</f>
        <v/>
      </c>
      <c r="S190" s="41">
        <f>IF(OR($A190="",R190&lt;MIN_OBS_ROLL),"",(SUMPRODUCT(Q154:Q189,N154:N189,P154:P189)/R190-SUMPRODUCT(Q154:Q189,N154:N189)/R190*SUMPRODUCT(Q154:Q189,P154:P189)/R190)*R190/(R190-1))</f>
        <v/>
      </c>
      <c r="T190" s="38">
        <f>SUM(O154:O189)</f>
        <v/>
      </c>
      <c r="U190" s="41">
        <f>IF(OR($A190="",T190&lt;MIN_OBS_ROLL),"",SUMPRODUCT(O154:O189,(P154:P189-SUMPRODUCT(O154:O189,P154:P189)/T190)^2)/(T190-1))</f>
        <v/>
      </c>
      <c r="V190" s="40">
        <f>IF(OR(S190="",U190=""),"",S190/U190)</f>
        <v/>
      </c>
      <c r="W190" s="40">
        <f>IF(AND(ISNUMBER(K190),ISNUMBER(L190),ISNUMBER(V190)),K190-V190*L190,"")</f>
        <v/>
      </c>
      <c r="X190" s="40">
        <f>IF(OR($A190="",NOT(ISNUMBER(Datos!H190)),NOT(ISNUMBER(Datos!H189))),"",LN(Datos!H190)-LN(Datos!H189))</f>
        <v/>
      </c>
      <c r="Y190" s="38">
        <f>IF(ISNUMBER(W190),1,0)</f>
        <v/>
      </c>
      <c r="Z190" s="40">
        <f>IF(Y190=1,W190,0)</f>
        <v/>
      </c>
      <c r="AA190" s="38">
        <f>IF(ISNUMBER(X190),1,0)</f>
        <v/>
      </c>
      <c r="AB190" s="40">
        <f>IF(AA190=1,X190,0)</f>
        <v/>
      </c>
      <c r="AC190" s="38">
        <f>Y190*AA190</f>
        <v/>
      </c>
      <c r="AD190" s="38">
        <f>SUM(AC154:AC189)</f>
        <v/>
      </c>
      <c r="AE190" s="41">
        <f>IF(OR($A190="",AD190&lt;MIN_OBS_ROLL),"",(SUMPRODUCT(AC154:AC189,Z154:Z189,AB154:AB189)/AD190-SUMPRODUCT(AC154:AC189,Z154:Z189)/AD190*SUMPRODUCT(AC154:AC189,AB154:AB189)/AD190)*AD190/(AD190-1))</f>
        <v/>
      </c>
      <c r="AF190" s="38">
        <f>SUM(AA154:AA189)</f>
        <v/>
      </c>
      <c r="AG190" s="41">
        <f>IF(OR($A190="",AF190&lt;MIN_OBS_ROLL),"",SUMPRODUCT(AA154:AA189,(AB154:AB189-SUMPRODUCT(AA154:AA189,AB154:AB189)/AF190)^2)/(AF190-1))</f>
        <v/>
      </c>
      <c r="AH190" s="38">
        <f>SUM(Y154:Y189)</f>
        <v/>
      </c>
      <c r="AI190" s="40">
        <f>IF(OR($A190="",AH190&lt;MIN_OBS_ROLL),"",SUMPRODUCT(Y154:Y189,Z154:Z189)/AH190)</f>
        <v/>
      </c>
      <c r="AJ190" s="40">
        <f>IF(OR($A190="",AF190&lt;MIN_OBS_ROLL),"",SUMPRODUCT(AA154:AA189,AB154:AB189)/AF190)</f>
        <v/>
      </c>
      <c r="AK190" s="40">
        <f>IF(OR(AE190="",AG190=""),"",AE190/AG190)</f>
        <v/>
      </c>
      <c r="AL190" s="40">
        <f>IF(OR(AI190="",AK190="",AJ190=""),"",AI190-AK190*AJ190)</f>
        <v/>
      </c>
      <c r="AM190" s="40">
        <f>IF(AND(ISNUMBER(W190),ISNUMBER(X190),ISNUMBER(AK190),ISNUMBER(AL190)),W190-(AL190+AK190*X190),"")</f>
        <v/>
      </c>
      <c r="AN190" s="38">
        <f>IF(ISNUMBER(AM190),1,0)</f>
        <v/>
      </c>
      <c r="AO190" s="40">
        <f>IF(AN190=1,AM190,0)</f>
        <v/>
      </c>
      <c r="AP190" s="40">
        <f>IF(SUM(AN188:AN190)=3,SUM(AO188:AO190),"")</f>
        <v/>
      </c>
      <c r="AQ190" s="38">
        <f>IF(ISNUMBER(AP190),1,0)</f>
        <v/>
      </c>
      <c r="AR190" s="40">
        <f>IF(AQ190=1,AP190,0)</f>
        <v/>
      </c>
      <c r="AS190" s="38">
        <f>SUM(AQ$5:AQ190)</f>
        <v/>
      </c>
      <c r="AT190" s="40">
        <f>IF(AS190&gt;=MIN_OBS_Z,SUMPRODUCT(AQ$5:AQ190,AR$5:AR190)/AS190,"")</f>
        <v/>
      </c>
      <c r="AU190" s="40">
        <f>IF(AS190&gt;=MIN_OBS_Z,SQRT(SUMPRODUCT(AQ$5:AQ190,(AR$5:AR190-AT190)^2)/(AS190-1)),"")</f>
        <v/>
      </c>
      <c r="AV190" s="40">
        <f>IF(AND(AQ190=1,ISNUMBER(AT190)),MAX(-Z_CLIP,MIN(Z_CLIP,(AR190-AT190)/AU190)),"")</f>
        <v/>
      </c>
      <c r="AW190" s="40">
        <f>IF(ISNUMBER(AV190),-AV190,"")</f>
        <v/>
      </c>
      <c r="AX190" s="40">
        <f>IF(ISNUMBER(AW190),1+AMPLITUD*TANH(AW190),"")</f>
        <v/>
      </c>
      <c r="AY190" s="40">
        <f>IF($A190="","",IF(COUNT(AX188:AX190)&gt;0,AVERAGE(AX188:AX190),""))</f>
        <v/>
      </c>
      <c r="AZ190" s="40">
        <f>IF(ISNUMBER(AY190),AY190-1,"")</f>
        <v/>
      </c>
      <c r="BA190" s="40">
        <f>IF(AND(ISNUMBER(AZ189),ISNUMBER(W190)),AZ189*W_BANCOS*W190,"")</f>
        <v/>
      </c>
      <c r="BB190" s="40">
        <f>IF(AND(ISNUMBER(AZ189),ISNUMBER(AZ188)),ABS(AZ189-AZ188)*W_BANCOS*COSTO,0)</f>
        <v/>
      </c>
      <c r="BC190" s="40">
        <f>IF(ISNUMBER(BA190),BA190-BB190,"")</f>
        <v/>
      </c>
      <c r="BD190" s="42">
        <f>IF(ISNUMBER(BC190),IF(A190&lt;=FECHA_ERA,"A","B"),"")</f>
        <v/>
      </c>
      <c r="BE190" s="40">
        <f>IF(BD190="A",BC190,"")</f>
        <v/>
      </c>
      <c r="BF190" s="40">
        <f>IF(BD190="B",BC190,"")</f>
        <v/>
      </c>
      <c r="BG190" s="38">
        <f>IF(AND(ISNUMBER(BC190),ISNUMBER(A190)),IF(A190&gt;=INICIO_VIVO,1,0),0)</f>
        <v/>
      </c>
      <c r="BH190" s="40">
        <f>IF(BG190=1,BC190,"")</f>
        <v/>
      </c>
      <c r="BI190" s="38">
        <f>IF(ISNUMBER(AY190),ROW(),0)</f>
        <v/>
      </c>
      <c r="BJ190" s="43">
        <f>IF(ISNUMBER(BC190),SUM(BC$5:BC190)*10000,NA())</f>
        <v/>
      </c>
      <c r="BK190" s="43">
        <f>IF(BG190=1,SUM(BH$5:BH190)*10000,NA())</f>
        <v/>
      </c>
      <c r="BL190" s="44">
        <f>IF(ISNUMBER(AY190),AY190,NA())</f>
        <v/>
      </c>
    </row>
    <row r="191">
      <c r="A191" s="36">
        <f>IF(Datos!A191="","",Datos!A191)</f>
        <v/>
      </c>
      <c r="B191" s="37">
        <f>IF(OR($A191="",NOT(ISNUMBER(Datos!B191)),NOT(ISNUMBER(Datos!B190))),"",Datos!B191/Datos!B190-1)</f>
        <v/>
      </c>
      <c r="C191" s="37">
        <f>IF(OR($A191="",NOT(ISNUMBER(Datos!C191)),NOT(ISNUMBER(Datos!C190))),"",Datos!C191/Datos!C190-1)</f>
        <v/>
      </c>
      <c r="D191" s="37">
        <f>IF(OR($A191="",NOT(ISNUMBER(Datos!D191)),NOT(ISNUMBER(Datos!D190))),"",Datos!D191/Datos!D190-1)</f>
        <v/>
      </c>
      <c r="E191" s="37">
        <f>IF(OR($A191="",NOT(ISNUMBER(Datos!E191)),NOT(ISNUMBER(Datos!E190))),"",Datos!E191/Datos!E190-1)</f>
        <v/>
      </c>
      <c r="F191" s="38">
        <f>IF($A191="","",COUNT(B191:E191))</f>
        <v/>
      </c>
      <c r="G191" s="37">
        <f>IF($A191="","",IF(F191&gt;=MIN_BANCOS,AVERAGE(B191:E191),""))</f>
        <v/>
      </c>
      <c r="H191" s="37">
        <f>IF(OR($A191="",NOT(ISNUMBER(Datos!F191)),NOT(ISNUMBER(Datos!F190))),"",Datos!F191/Datos!F190-1)</f>
        <v/>
      </c>
      <c r="I191" s="39">
        <f>IF($A191="","",IF(ISNUMBER(Datos!G191),Datos!G191,I190))</f>
        <v/>
      </c>
      <c r="J191" s="40">
        <f>IF($A191="","",IF(ISNUMBER(I190),LN(1+I190/100/12),0))</f>
        <v/>
      </c>
      <c r="K191" s="40">
        <f>IF(ISNUMBER(G191),LN(1+G191)-J191,"")</f>
        <v/>
      </c>
      <c r="L191" s="40">
        <f>IF(ISNUMBER(H191),LN(1+H191)-J191,"")</f>
        <v/>
      </c>
      <c r="M191" s="38">
        <f>IF(ISNUMBER(K191),1,0)</f>
        <v/>
      </c>
      <c r="N191" s="40">
        <f>IF(M191=1,K191,0)</f>
        <v/>
      </c>
      <c r="O191" s="38">
        <f>IF(ISNUMBER(L191),1,0)</f>
        <v/>
      </c>
      <c r="P191" s="40">
        <f>IF(O191=1,L191,0)</f>
        <v/>
      </c>
      <c r="Q191" s="38">
        <f>M191*O191</f>
        <v/>
      </c>
      <c r="R191" s="38">
        <f>SUM(Q155:Q190)</f>
        <v/>
      </c>
      <c r="S191" s="41">
        <f>IF(OR($A191="",R191&lt;MIN_OBS_ROLL),"",(SUMPRODUCT(Q155:Q190,N155:N190,P155:P190)/R191-SUMPRODUCT(Q155:Q190,N155:N190)/R191*SUMPRODUCT(Q155:Q190,P155:P190)/R191)*R191/(R191-1))</f>
        <v/>
      </c>
      <c r="T191" s="38">
        <f>SUM(O155:O190)</f>
        <v/>
      </c>
      <c r="U191" s="41">
        <f>IF(OR($A191="",T191&lt;MIN_OBS_ROLL),"",SUMPRODUCT(O155:O190,(P155:P190-SUMPRODUCT(O155:O190,P155:P190)/T191)^2)/(T191-1))</f>
        <v/>
      </c>
      <c r="V191" s="40">
        <f>IF(OR(S191="",U191=""),"",S191/U191)</f>
        <v/>
      </c>
      <c r="W191" s="40">
        <f>IF(AND(ISNUMBER(K191),ISNUMBER(L191),ISNUMBER(V191)),K191-V191*L191,"")</f>
        <v/>
      </c>
      <c r="X191" s="40">
        <f>IF(OR($A191="",NOT(ISNUMBER(Datos!H191)),NOT(ISNUMBER(Datos!H190))),"",LN(Datos!H191)-LN(Datos!H190))</f>
        <v/>
      </c>
      <c r="Y191" s="38">
        <f>IF(ISNUMBER(W191),1,0)</f>
        <v/>
      </c>
      <c r="Z191" s="40">
        <f>IF(Y191=1,W191,0)</f>
        <v/>
      </c>
      <c r="AA191" s="38">
        <f>IF(ISNUMBER(X191),1,0)</f>
        <v/>
      </c>
      <c r="AB191" s="40">
        <f>IF(AA191=1,X191,0)</f>
        <v/>
      </c>
      <c r="AC191" s="38">
        <f>Y191*AA191</f>
        <v/>
      </c>
      <c r="AD191" s="38">
        <f>SUM(AC155:AC190)</f>
        <v/>
      </c>
      <c r="AE191" s="41">
        <f>IF(OR($A191="",AD191&lt;MIN_OBS_ROLL),"",(SUMPRODUCT(AC155:AC190,Z155:Z190,AB155:AB190)/AD191-SUMPRODUCT(AC155:AC190,Z155:Z190)/AD191*SUMPRODUCT(AC155:AC190,AB155:AB190)/AD191)*AD191/(AD191-1))</f>
        <v/>
      </c>
      <c r="AF191" s="38">
        <f>SUM(AA155:AA190)</f>
        <v/>
      </c>
      <c r="AG191" s="41">
        <f>IF(OR($A191="",AF191&lt;MIN_OBS_ROLL),"",SUMPRODUCT(AA155:AA190,(AB155:AB190-SUMPRODUCT(AA155:AA190,AB155:AB190)/AF191)^2)/(AF191-1))</f>
        <v/>
      </c>
      <c r="AH191" s="38">
        <f>SUM(Y155:Y190)</f>
        <v/>
      </c>
      <c r="AI191" s="40">
        <f>IF(OR($A191="",AH191&lt;MIN_OBS_ROLL),"",SUMPRODUCT(Y155:Y190,Z155:Z190)/AH191)</f>
        <v/>
      </c>
      <c r="AJ191" s="40">
        <f>IF(OR($A191="",AF191&lt;MIN_OBS_ROLL),"",SUMPRODUCT(AA155:AA190,AB155:AB190)/AF191)</f>
        <v/>
      </c>
      <c r="AK191" s="40">
        <f>IF(OR(AE191="",AG191=""),"",AE191/AG191)</f>
        <v/>
      </c>
      <c r="AL191" s="40">
        <f>IF(OR(AI191="",AK191="",AJ191=""),"",AI191-AK191*AJ191)</f>
        <v/>
      </c>
      <c r="AM191" s="40">
        <f>IF(AND(ISNUMBER(W191),ISNUMBER(X191),ISNUMBER(AK191),ISNUMBER(AL191)),W191-(AL191+AK191*X191),"")</f>
        <v/>
      </c>
      <c r="AN191" s="38">
        <f>IF(ISNUMBER(AM191),1,0)</f>
        <v/>
      </c>
      <c r="AO191" s="40">
        <f>IF(AN191=1,AM191,0)</f>
        <v/>
      </c>
      <c r="AP191" s="40">
        <f>IF(SUM(AN189:AN191)=3,SUM(AO189:AO191),"")</f>
        <v/>
      </c>
      <c r="AQ191" s="38">
        <f>IF(ISNUMBER(AP191),1,0)</f>
        <v/>
      </c>
      <c r="AR191" s="40">
        <f>IF(AQ191=1,AP191,0)</f>
        <v/>
      </c>
      <c r="AS191" s="38">
        <f>SUM(AQ$5:AQ191)</f>
        <v/>
      </c>
      <c r="AT191" s="40">
        <f>IF(AS191&gt;=MIN_OBS_Z,SUMPRODUCT(AQ$5:AQ191,AR$5:AR191)/AS191,"")</f>
        <v/>
      </c>
      <c r="AU191" s="40">
        <f>IF(AS191&gt;=MIN_OBS_Z,SQRT(SUMPRODUCT(AQ$5:AQ191,(AR$5:AR191-AT191)^2)/(AS191-1)),"")</f>
        <v/>
      </c>
      <c r="AV191" s="40">
        <f>IF(AND(AQ191=1,ISNUMBER(AT191)),MAX(-Z_CLIP,MIN(Z_CLIP,(AR191-AT191)/AU191)),"")</f>
        <v/>
      </c>
      <c r="AW191" s="40">
        <f>IF(ISNUMBER(AV191),-AV191,"")</f>
        <v/>
      </c>
      <c r="AX191" s="40">
        <f>IF(ISNUMBER(AW191),1+AMPLITUD*TANH(AW191),"")</f>
        <v/>
      </c>
      <c r="AY191" s="40">
        <f>IF($A191="","",IF(COUNT(AX189:AX191)&gt;0,AVERAGE(AX189:AX191),""))</f>
        <v/>
      </c>
      <c r="AZ191" s="40">
        <f>IF(ISNUMBER(AY191),AY191-1,"")</f>
        <v/>
      </c>
      <c r="BA191" s="40">
        <f>IF(AND(ISNUMBER(AZ190),ISNUMBER(W191)),AZ190*W_BANCOS*W191,"")</f>
        <v/>
      </c>
      <c r="BB191" s="40">
        <f>IF(AND(ISNUMBER(AZ190),ISNUMBER(AZ189)),ABS(AZ190-AZ189)*W_BANCOS*COSTO,0)</f>
        <v/>
      </c>
      <c r="BC191" s="40">
        <f>IF(ISNUMBER(BA191),BA191-BB191,"")</f>
        <v/>
      </c>
      <c r="BD191" s="42">
        <f>IF(ISNUMBER(BC191),IF(A191&lt;=FECHA_ERA,"A","B"),"")</f>
        <v/>
      </c>
      <c r="BE191" s="40">
        <f>IF(BD191="A",BC191,"")</f>
        <v/>
      </c>
      <c r="BF191" s="40">
        <f>IF(BD191="B",BC191,"")</f>
        <v/>
      </c>
      <c r="BG191" s="38">
        <f>IF(AND(ISNUMBER(BC191),ISNUMBER(A191)),IF(A191&gt;=INICIO_VIVO,1,0),0)</f>
        <v/>
      </c>
      <c r="BH191" s="40">
        <f>IF(BG191=1,BC191,"")</f>
        <v/>
      </c>
      <c r="BI191" s="38">
        <f>IF(ISNUMBER(AY191),ROW(),0)</f>
        <v/>
      </c>
      <c r="BJ191" s="43">
        <f>IF(ISNUMBER(BC191),SUM(BC$5:BC191)*10000,NA())</f>
        <v/>
      </c>
      <c r="BK191" s="43">
        <f>IF(BG191=1,SUM(BH$5:BH191)*10000,NA())</f>
        <v/>
      </c>
      <c r="BL191" s="44">
        <f>IF(ISNUMBER(AY191),AY191,NA())</f>
        <v/>
      </c>
    </row>
    <row r="192">
      <c r="A192" s="36">
        <f>IF(Datos!A192="","",Datos!A192)</f>
        <v/>
      </c>
      <c r="B192" s="37">
        <f>IF(OR($A192="",NOT(ISNUMBER(Datos!B192)),NOT(ISNUMBER(Datos!B191))),"",Datos!B192/Datos!B191-1)</f>
        <v/>
      </c>
      <c r="C192" s="37">
        <f>IF(OR($A192="",NOT(ISNUMBER(Datos!C192)),NOT(ISNUMBER(Datos!C191))),"",Datos!C192/Datos!C191-1)</f>
        <v/>
      </c>
      <c r="D192" s="37">
        <f>IF(OR($A192="",NOT(ISNUMBER(Datos!D192)),NOT(ISNUMBER(Datos!D191))),"",Datos!D192/Datos!D191-1)</f>
        <v/>
      </c>
      <c r="E192" s="37">
        <f>IF(OR($A192="",NOT(ISNUMBER(Datos!E192)),NOT(ISNUMBER(Datos!E191))),"",Datos!E192/Datos!E191-1)</f>
        <v/>
      </c>
      <c r="F192" s="38">
        <f>IF($A192="","",COUNT(B192:E192))</f>
        <v/>
      </c>
      <c r="G192" s="37">
        <f>IF($A192="","",IF(F192&gt;=MIN_BANCOS,AVERAGE(B192:E192),""))</f>
        <v/>
      </c>
      <c r="H192" s="37">
        <f>IF(OR($A192="",NOT(ISNUMBER(Datos!F192)),NOT(ISNUMBER(Datos!F191))),"",Datos!F192/Datos!F191-1)</f>
        <v/>
      </c>
      <c r="I192" s="39">
        <f>IF($A192="","",IF(ISNUMBER(Datos!G192),Datos!G192,I191))</f>
        <v/>
      </c>
      <c r="J192" s="40">
        <f>IF($A192="","",IF(ISNUMBER(I191),LN(1+I191/100/12),0))</f>
        <v/>
      </c>
      <c r="K192" s="40">
        <f>IF(ISNUMBER(G192),LN(1+G192)-J192,"")</f>
        <v/>
      </c>
      <c r="L192" s="40">
        <f>IF(ISNUMBER(H192),LN(1+H192)-J192,"")</f>
        <v/>
      </c>
      <c r="M192" s="38">
        <f>IF(ISNUMBER(K192),1,0)</f>
        <v/>
      </c>
      <c r="N192" s="40">
        <f>IF(M192=1,K192,0)</f>
        <v/>
      </c>
      <c r="O192" s="38">
        <f>IF(ISNUMBER(L192),1,0)</f>
        <v/>
      </c>
      <c r="P192" s="40">
        <f>IF(O192=1,L192,0)</f>
        <v/>
      </c>
      <c r="Q192" s="38">
        <f>M192*O192</f>
        <v/>
      </c>
      <c r="R192" s="38">
        <f>SUM(Q156:Q191)</f>
        <v/>
      </c>
      <c r="S192" s="41">
        <f>IF(OR($A192="",R192&lt;MIN_OBS_ROLL),"",(SUMPRODUCT(Q156:Q191,N156:N191,P156:P191)/R192-SUMPRODUCT(Q156:Q191,N156:N191)/R192*SUMPRODUCT(Q156:Q191,P156:P191)/R192)*R192/(R192-1))</f>
        <v/>
      </c>
      <c r="T192" s="38">
        <f>SUM(O156:O191)</f>
        <v/>
      </c>
      <c r="U192" s="41">
        <f>IF(OR($A192="",T192&lt;MIN_OBS_ROLL),"",SUMPRODUCT(O156:O191,(P156:P191-SUMPRODUCT(O156:O191,P156:P191)/T192)^2)/(T192-1))</f>
        <v/>
      </c>
      <c r="V192" s="40">
        <f>IF(OR(S192="",U192=""),"",S192/U192)</f>
        <v/>
      </c>
      <c r="W192" s="40">
        <f>IF(AND(ISNUMBER(K192),ISNUMBER(L192),ISNUMBER(V192)),K192-V192*L192,"")</f>
        <v/>
      </c>
      <c r="X192" s="40">
        <f>IF(OR($A192="",NOT(ISNUMBER(Datos!H192)),NOT(ISNUMBER(Datos!H191))),"",LN(Datos!H192)-LN(Datos!H191))</f>
        <v/>
      </c>
      <c r="Y192" s="38">
        <f>IF(ISNUMBER(W192),1,0)</f>
        <v/>
      </c>
      <c r="Z192" s="40">
        <f>IF(Y192=1,W192,0)</f>
        <v/>
      </c>
      <c r="AA192" s="38">
        <f>IF(ISNUMBER(X192),1,0)</f>
        <v/>
      </c>
      <c r="AB192" s="40">
        <f>IF(AA192=1,X192,0)</f>
        <v/>
      </c>
      <c r="AC192" s="38">
        <f>Y192*AA192</f>
        <v/>
      </c>
      <c r="AD192" s="38">
        <f>SUM(AC156:AC191)</f>
        <v/>
      </c>
      <c r="AE192" s="41">
        <f>IF(OR($A192="",AD192&lt;MIN_OBS_ROLL),"",(SUMPRODUCT(AC156:AC191,Z156:Z191,AB156:AB191)/AD192-SUMPRODUCT(AC156:AC191,Z156:Z191)/AD192*SUMPRODUCT(AC156:AC191,AB156:AB191)/AD192)*AD192/(AD192-1))</f>
        <v/>
      </c>
      <c r="AF192" s="38">
        <f>SUM(AA156:AA191)</f>
        <v/>
      </c>
      <c r="AG192" s="41">
        <f>IF(OR($A192="",AF192&lt;MIN_OBS_ROLL),"",SUMPRODUCT(AA156:AA191,(AB156:AB191-SUMPRODUCT(AA156:AA191,AB156:AB191)/AF192)^2)/(AF192-1))</f>
        <v/>
      </c>
      <c r="AH192" s="38">
        <f>SUM(Y156:Y191)</f>
        <v/>
      </c>
      <c r="AI192" s="40">
        <f>IF(OR($A192="",AH192&lt;MIN_OBS_ROLL),"",SUMPRODUCT(Y156:Y191,Z156:Z191)/AH192)</f>
        <v/>
      </c>
      <c r="AJ192" s="40">
        <f>IF(OR($A192="",AF192&lt;MIN_OBS_ROLL),"",SUMPRODUCT(AA156:AA191,AB156:AB191)/AF192)</f>
        <v/>
      </c>
      <c r="AK192" s="40">
        <f>IF(OR(AE192="",AG192=""),"",AE192/AG192)</f>
        <v/>
      </c>
      <c r="AL192" s="40">
        <f>IF(OR(AI192="",AK192="",AJ192=""),"",AI192-AK192*AJ192)</f>
        <v/>
      </c>
      <c r="AM192" s="40">
        <f>IF(AND(ISNUMBER(W192),ISNUMBER(X192),ISNUMBER(AK192),ISNUMBER(AL192)),W192-(AL192+AK192*X192),"")</f>
        <v/>
      </c>
      <c r="AN192" s="38">
        <f>IF(ISNUMBER(AM192),1,0)</f>
        <v/>
      </c>
      <c r="AO192" s="40">
        <f>IF(AN192=1,AM192,0)</f>
        <v/>
      </c>
      <c r="AP192" s="40">
        <f>IF(SUM(AN190:AN192)=3,SUM(AO190:AO192),"")</f>
        <v/>
      </c>
      <c r="AQ192" s="38">
        <f>IF(ISNUMBER(AP192),1,0)</f>
        <v/>
      </c>
      <c r="AR192" s="40">
        <f>IF(AQ192=1,AP192,0)</f>
        <v/>
      </c>
      <c r="AS192" s="38">
        <f>SUM(AQ$5:AQ192)</f>
        <v/>
      </c>
      <c r="AT192" s="40">
        <f>IF(AS192&gt;=MIN_OBS_Z,SUMPRODUCT(AQ$5:AQ192,AR$5:AR192)/AS192,"")</f>
        <v/>
      </c>
      <c r="AU192" s="40">
        <f>IF(AS192&gt;=MIN_OBS_Z,SQRT(SUMPRODUCT(AQ$5:AQ192,(AR$5:AR192-AT192)^2)/(AS192-1)),"")</f>
        <v/>
      </c>
      <c r="AV192" s="40">
        <f>IF(AND(AQ192=1,ISNUMBER(AT192)),MAX(-Z_CLIP,MIN(Z_CLIP,(AR192-AT192)/AU192)),"")</f>
        <v/>
      </c>
      <c r="AW192" s="40">
        <f>IF(ISNUMBER(AV192),-AV192,"")</f>
        <v/>
      </c>
      <c r="AX192" s="40">
        <f>IF(ISNUMBER(AW192),1+AMPLITUD*TANH(AW192),"")</f>
        <v/>
      </c>
      <c r="AY192" s="40">
        <f>IF($A192="","",IF(COUNT(AX190:AX192)&gt;0,AVERAGE(AX190:AX192),""))</f>
        <v/>
      </c>
      <c r="AZ192" s="40">
        <f>IF(ISNUMBER(AY192),AY192-1,"")</f>
        <v/>
      </c>
      <c r="BA192" s="40">
        <f>IF(AND(ISNUMBER(AZ191),ISNUMBER(W192)),AZ191*W_BANCOS*W192,"")</f>
        <v/>
      </c>
      <c r="BB192" s="40">
        <f>IF(AND(ISNUMBER(AZ191),ISNUMBER(AZ190)),ABS(AZ191-AZ190)*W_BANCOS*COSTO,0)</f>
        <v/>
      </c>
      <c r="BC192" s="40">
        <f>IF(ISNUMBER(BA192),BA192-BB192,"")</f>
        <v/>
      </c>
      <c r="BD192" s="42">
        <f>IF(ISNUMBER(BC192),IF(A192&lt;=FECHA_ERA,"A","B"),"")</f>
        <v/>
      </c>
      <c r="BE192" s="40">
        <f>IF(BD192="A",BC192,"")</f>
        <v/>
      </c>
      <c r="BF192" s="40">
        <f>IF(BD192="B",BC192,"")</f>
        <v/>
      </c>
      <c r="BG192" s="38">
        <f>IF(AND(ISNUMBER(BC192),ISNUMBER(A192)),IF(A192&gt;=INICIO_VIVO,1,0),0)</f>
        <v/>
      </c>
      <c r="BH192" s="40">
        <f>IF(BG192=1,BC192,"")</f>
        <v/>
      </c>
      <c r="BI192" s="38">
        <f>IF(ISNUMBER(AY192),ROW(),0)</f>
        <v/>
      </c>
      <c r="BJ192" s="43">
        <f>IF(ISNUMBER(BC192),SUM(BC$5:BC192)*10000,NA())</f>
        <v/>
      </c>
      <c r="BK192" s="43">
        <f>IF(BG192=1,SUM(BH$5:BH192)*10000,NA())</f>
        <v/>
      </c>
      <c r="BL192" s="44">
        <f>IF(ISNUMBER(AY192),AY192,NA())</f>
        <v/>
      </c>
    </row>
    <row r="193">
      <c r="A193" s="36">
        <f>IF(Datos!A193="","",Datos!A193)</f>
        <v/>
      </c>
      <c r="B193" s="37">
        <f>IF(OR($A193="",NOT(ISNUMBER(Datos!B193)),NOT(ISNUMBER(Datos!B192))),"",Datos!B193/Datos!B192-1)</f>
        <v/>
      </c>
      <c r="C193" s="37">
        <f>IF(OR($A193="",NOT(ISNUMBER(Datos!C193)),NOT(ISNUMBER(Datos!C192))),"",Datos!C193/Datos!C192-1)</f>
        <v/>
      </c>
      <c r="D193" s="37">
        <f>IF(OR($A193="",NOT(ISNUMBER(Datos!D193)),NOT(ISNUMBER(Datos!D192))),"",Datos!D193/Datos!D192-1)</f>
        <v/>
      </c>
      <c r="E193" s="37">
        <f>IF(OR($A193="",NOT(ISNUMBER(Datos!E193)),NOT(ISNUMBER(Datos!E192))),"",Datos!E193/Datos!E192-1)</f>
        <v/>
      </c>
      <c r="F193" s="38">
        <f>IF($A193="","",COUNT(B193:E193))</f>
        <v/>
      </c>
      <c r="G193" s="37">
        <f>IF($A193="","",IF(F193&gt;=MIN_BANCOS,AVERAGE(B193:E193),""))</f>
        <v/>
      </c>
      <c r="H193" s="37">
        <f>IF(OR($A193="",NOT(ISNUMBER(Datos!F193)),NOT(ISNUMBER(Datos!F192))),"",Datos!F193/Datos!F192-1)</f>
        <v/>
      </c>
      <c r="I193" s="39">
        <f>IF($A193="","",IF(ISNUMBER(Datos!G193),Datos!G193,I192))</f>
        <v/>
      </c>
      <c r="J193" s="40">
        <f>IF($A193="","",IF(ISNUMBER(I192),LN(1+I192/100/12),0))</f>
        <v/>
      </c>
      <c r="K193" s="40">
        <f>IF(ISNUMBER(G193),LN(1+G193)-J193,"")</f>
        <v/>
      </c>
      <c r="L193" s="40">
        <f>IF(ISNUMBER(H193),LN(1+H193)-J193,"")</f>
        <v/>
      </c>
      <c r="M193" s="38">
        <f>IF(ISNUMBER(K193),1,0)</f>
        <v/>
      </c>
      <c r="N193" s="40">
        <f>IF(M193=1,K193,0)</f>
        <v/>
      </c>
      <c r="O193" s="38">
        <f>IF(ISNUMBER(L193),1,0)</f>
        <v/>
      </c>
      <c r="P193" s="40">
        <f>IF(O193=1,L193,0)</f>
        <v/>
      </c>
      <c r="Q193" s="38">
        <f>M193*O193</f>
        <v/>
      </c>
      <c r="R193" s="38">
        <f>SUM(Q157:Q192)</f>
        <v/>
      </c>
      <c r="S193" s="41">
        <f>IF(OR($A193="",R193&lt;MIN_OBS_ROLL),"",(SUMPRODUCT(Q157:Q192,N157:N192,P157:P192)/R193-SUMPRODUCT(Q157:Q192,N157:N192)/R193*SUMPRODUCT(Q157:Q192,P157:P192)/R193)*R193/(R193-1))</f>
        <v/>
      </c>
      <c r="T193" s="38">
        <f>SUM(O157:O192)</f>
        <v/>
      </c>
      <c r="U193" s="41">
        <f>IF(OR($A193="",T193&lt;MIN_OBS_ROLL),"",SUMPRODUCT(O157:O192,(P157:P192-SUMPRODUCT(O157:O192,P157:P192)/T193)^2)/(T193-1))</f>
        <v/>
      </c>
      <c r="V193" s="40">
        <f>IF(OR(S193="",U193=""),"",S193/U193)</f>
        <v/>
      </c>
      <c r="W193" s="40">
        <f>IF(AND(ISNUMBER(K193),ISNUMBER(L193),ISNUMBER(V193)),K193-V193*L193,"")</f>
        <v/>
      </c>
      <c r="X193" s="40">
        <f>IF(OR($A193="",NOT(ISNUMBER(Datos!H193)),NOT(ISNUMBER(Datos!H192))),"",LN(Datos!H193)-LN(Datos!H192))</f>
        <v/>
      </c>
      <c r="Y193" s="38">
        <f>IF(ISNUMBER(W193),1,0)</f>
        <v/>
      </c>
      <c r="Z193" s="40">
        <f>IF(Y193=1,W193,0)</f>
        <v/>
      </c>
      <c r="AA193" s="38">
        <f>IF(ISNUMBER(X193),1,0)</f>
        <v/>
      </c>
      <c r="AB193" s="40">
        <f>IF(AA193=1,X193,0)</f>
        <v/>
      </c>
      <c r="AC193" s="38">
        <f>Y193*AA193</f>
        <v/>
      </c>
      <c r="AD193" s="38">
        <f>SUM(AC157:AC192)</f>
        <v/>
      </c>
      <c r="AE193" s="41">
        <f>IF(OR($A193="",AD193&lt;MIN_OBS_ROLL),"",(SUMPRODUCT(AC157:AC192,Z157:Z192,AB157:AB192)/AD193-SUMPRODUCT(AC157:AC192,Z157:Z192)/AD193*SUMPRODUCT(AC157:AC192,AB157:AB192)/AD193)*AD193/(AD193-1))</f>
        <v/>
      </c>
      <c r="AF193" s="38">
        <f>SUM(AA157:AA192)</f>
        <v/>
      </c>
      <c r="AG193" s="41">
        <f>IF(OR($A193="",AF193&lt;MIN_OBS_ROLL),"",SUMPRODUCT(AA157:AA192,(AB157:AB192-SUMPRODUCT(AA157:AA192,AB157:AB192)/AF193)^2)/(AF193-1))</f>
        <v/>
      </c>
      <c r="AH193" s="38">
        <f>SUM(Y157:Y192)</f>
        <v/>
      </c>
      <c r="AI193" s="40">
        <f>IF(OR($A193="",AH193&lt;MIN_OBS_ROLL),"",SUMPRODUCT(Y157:Y192,Z157:Z192)/AH193)</f>
        <v/>
      </c>
      <c r="AJ193" s="40">
        <f>IF(OR($A193="",AF193&lt;MIN_OBS_ROLL),"",SUMPRODUCT(AA157:AA192,AB157:AB192)/AF193)</f>
        <v/>
      </c>
      <c r="AK193" s="40">
        <f>IF(OR(AE193="",AG193=""),"",AE193/AG193)</f>
        <v/>
      </c>
      <c r="AL193" s="40">
        <f>IF(OR(AI193="",AK193="",AJ193=""),"",AI193-AK193*AJ193)</f>
        <v/>
      </c>
      <c r="AM193" s="40">
        <f>IF(AND(ISNUMBER(W193),ISNUMBER(X193),ISNUMBER(AK193),ISNUMBER(AL193)),W193-(AL193+AK193*X193),"")</f>
        <v/>
      </c>
      <c r="AN193" s="38">
        <f>IF(ISNUMBER(AM193),1,0)</f>
        <v/>
      </c>
      <c r="AO193" s="40">
        <f>IF(AN193=1,AM193,0)</f>
        <v/>
      </c>
      <c r="AP193" s="40">
        <f>IF(SUM(AN191:AN193)=3,SUM(AO191:AO193),"")</f>
        <v/>
      </c>
      <c r="AQ193" s="38">
        <f>IF(ISNUMBER(AP193),1,0)</f>
        <v/>
      </c>
      <c r="AR193" s="40">
        <f>IF(AQ193=1,AP193,0)</f>
        <v/>
      </c>
      <c r="AS193" s="38">
        <f>SUM(AQ$5:AQ193)</f>
        <v/>
      </c>
      <c r="AT193" s="40">
        <f>IF(AS193&gt;=MIN_OBS_Z,SUMPRODUCT(AQ$5:AQ193,AR$5:AR193)/AS193,"")</f>
        <v/>
      </c>
      <c r="AU193" s="40">
        <f>IF(AS193&gt;=MIN_OBS_Z,SQRT(SUMPRODUCT(AQ$5:AQ193,(AR$5:AR193-AT193)^2)/(AS193-1)),"")</f>
        <v/>
      </c>
      <c r="AV193" s="40">
        <f>IF(AND(AQ193=1,ISNUMBER(AT193)),MAX(-Z_CLIP,MIN(Z_CLIP,(AR193-AT193)/AU193)),"")</f>
        <v/>
      </c>
      <c r="AW193" s="40">
        <f>IF(ISNUMBER(AV193),-AV193,"")</f>
        <v/>
      </c>
      <c r="AX193" s="40">
        <f>IF(ISNUMBER(AW193),1+AMPLITUD*TANH(AW193),"")</f>
        <v/>
      </c>
      <c r="AY193" s="40">
        <f>IF($A193="","",IF(COUNT(AX191:AX193)&gt;0,AVERAGE(AX191:AX193),""))</f>
        <v/>
      </c>
      <c r="AZ193" s="40">
        <f>IF(ISNUMBER(AY193),AY193-1,"")</f>
        <v/>
      </c>
      <c r="BA193" s="40">
        <f>IF(AND(ISNUMBER(AZ192),ISNUMBER(W193)),AZ192*W_BANCOS*W193,"")</f>
        <v/>
      </c>
      <c r="BB193" s="40">
        <f>IF(AND(ISNUMBER(AZ192),ISNUMBER(AZ191)),ABS(AZ192-AZ191)*W_BANCOS*COSTO,0)</f>
        <v/>
      </c>
      <c r="BC193" s="40">
        <f>IF(ISNUMBER(BA193),BA193-BB193,"")</f>
        <v/>
      </c>
      <c r="BD193" s="42">
        <f>IF(ISNUMBER(BC193),IF(A193&lt;=FECHA_ERA,"A","B"),"")</f>
        <v/>
      </c>
      <c r="BE193" s="40">
        <f>IF(BD193="A",BC193,"")</f>
        <v/>
      </c>
      <c r="BF193" s="40">
        <f>IF(BD193="B",BC193,"")</f>
        <v/>
      </c>
      <c r="BG193" s="38">
        <f>IF(AND(ISNUMBER(BC193),ISNUMBER(A193)),IF(A193&gt;=INICIO_VIVO,1,0),0)</f>
        <v/>
      </c>
      <c r="BH193" s="40">
        <f>IF(BG193=1,BC193,"")</f>
        <v/>
      </c>
      <c r="BI193" s="38">
        <f>IF(ISNUMBER(AY193),ROW(),0)</f>
        <v/>
      </c>
      <c r="BJ193" s="43">
        <f>IF(ISNUMBER(BC193),SUM(BC$5:BC193)*10000,NA())</f>
        <v/>
      </c>
      <c r="BK193" s="43">
        <f>IF(BG193=1,SUM(BH$5:BH193)*10000,NA())</f>
        <v/>
      </c>
      <c r="BL193" s="44">
        <f>IF(ISNUMBER(AY193),AY193,NA())</f>
        <v/>
      </c>
    </row>
    <row r="194">
      <c r="A194" s="36">
        <f>IF(Datos!A194="","",Datos!A194)</f>
        <v/>
      </c>
      <c r="B194" s="37">
        <f>IF(OR($A194="",NOT(ISNUMBER(Datos!B194)),NOT(ISNUMBER(Datos!B193))),"",Datos!B194/Datos!B193-1)</f>
        <v/>
      </c>
      <c r="C194" s="37">
        <f>IF(OR($A194="",NOT(ISNUMBER(Datos!C194)),NOT(ISNUMBER(Datos!C193))),"",Datos!C194/Datos!C193-1)</f>
        <v/>
      </c>
      <c r="D194" s="37">
        <f>IF(OR($A194="",NOT(ISNUMBER(Datos!D194)),NOT(ISNUMBER(Datos!D193))),"",Datos!D194/Datos!D193-1)</f>
        <v/>
      </c>
      <c r="E194" s="37">
        <f>IF(OR($A194="",NOT(ISNUMBER(Datos!E194)),NOT(ISNUMBER(Datos!E193))),"",Datos!E194/Datos!E193-1)</f>
        <v/>
      </c>
      <c r="F194" s="38">
        <f>IF($A194="","",COUNT(B194:E194))</f>
        <v/>
      </c>
      <c r="G194" s="37">
        <f>IF($A194="","",IF(F194&gt;=MIN_BANCOS,AVERAGE(B194:E194),""))</f>
        <v/>
      </c>
      <c r="H194" s="37">
        <f>IF(OR($A194="",NOT(ISNUMBER(Datos!F194)),NOT(ISNUMBER(Datos!F193))),"",Datos!F194/Datos!F193-1)</f>
        <v/>
      </c>
      <c r="I194" s="39">
        <f>IF($A194="","",IF(ISNUMBER(Datos!G194),Datos!G194,I193))</f>
        <v/>
      </c>
      <c r="J194" s="40">
        <f>IF($A194="","",IF(ISNUMBER(I193),LN(1+I193/100/12),0))</f>
        <v/>
      </c>
      <c r="K194" s="40">
        <f>IF(ISNUMBER(G194),LN(1+G194)-J194,"")</f>
        <v/>
      </c>
      <c r="L194" s="40">
        <f>IF(ISNUMBER(H194),LN(1+H194)-J194,"")</f>
        <v/>
      </c>
      <c r="M194" s="38">
        <f>IF(ISNUMBER(K194),1,0)</f>
        <v/>
      </c>
      <c r="N194" s="40">
        <f>IF(M194=1,K194,0)</f>
        <v/>
      </c>
      <c r="O194" s="38">
        <f>IF(ISNUMBER(L194),1,0)</f>
        <v/>
      </c>
      <c r="P194" s="40">
        <f>IF(O194=1,L194,0)</f>
        <v/>
      </c>
      <c r="Q194" s="38">
        <f>M194*O194</f>
        <v/>
      </c>
      <c r="R194" s="38">
        <f>SUM(Q158:Q193)</f>
        <v/>
      </c>
      <c r="S194" s="41">
        <f>IF(OR($A194="",R194&lt;MIN_OBS_ROLL),"",(SUMPRODUCT(Q158:Q193,N158:N193,P158:P193)/R194-SUMPRODUCT(Q158:Q193,N158:N193)/R194*SUMPRODUCT(Q158:Q193,P158:P193)/R194)*R194/(R194-1))</f>
        <v/>
      </c>
      <c r="T194" s="38">
        <f>SUM(O158:O193)</f>
        <v/>
      </c>
      <c r="U194" s="41">
        <f>IF(OR($A194="",T194&lt;MIN_OBS_ROLL),"",SUMPRODUCT(O158:O193,(P158:P193-SUMPRODUCT(O158:O193,P158:P193)/T194)^2)/(T194-1))</f>
        <v/>
      </c>
      <c r="V194" s="40">
        <f>IF(OR(S194="",U194=""),"",S194/U194)</f>
        <v/>
      </c>
      <c r="W194" s="40">
        <f>IF(AND(ISNUMBER(K194),ISNUMBER(L194),ISNUMBER(V194)),K194-V194*L194,"")</f>
        <v/>
      </c>
      <c r="X194" s="40">
        <f>IF(OR($A194="",NOT(ISNUMBER(Datos!H194)),NOT(ISNUMBER(Datos!H193))),"",LN(Datos!H194)-LN(Datos!H193))</f>
        <v/>
      </c>
      <c r="Y194" s="38">
        <f>IF(ISNUMBER(W194),1,0)</f>
        <v/>
      </c>
      <c r="Z194" s="40">
        <f>IF(Y194=1,W194,0)</f>
        <v/>
      </c>
      <c r="AA194" s="38">
        <f>IF(ISNUMBER(X194),1,0)</f>
        <v/>
      </c>
      <c r="AB194" s="40">
        <f>IF(AA194=1,X194,0)</f>
        <v/>
      </c>
      <c r="AC194" s="38">
        <f>Y194*AA194</f>
        <v/>
      </c>
      <c r="AD194" s="38">
        <f>SUM(AC158:AC193)</f>
        <v/>
      </c>
      <c r="AE194" s="41">
        <f>IF(OR($A194="",AD194&lt;MIN_OBS_ROLL),"",(SUMPRODUCT(AC158:AC193,Z158:Z193,AB158:AB193)/AD194-SUMPRODUCT(AC158:AC193,Z158:Z193)/AD194*SUMPRODUCT(AC158:AC193,AB158:AB193)/AD194)*AD194/(AD194-1))</f>
        <v/>
      </c>
      <c r="AF194" s="38">
        <f>SUM(AA158:AA193)</f>
        <v/>
      </c>
      <c r="AG194" s="41">
        <f>IF(OR($A194="",AF194&lt;MIN_OBS_ROLL),"",SUMPRODUCT(AA158:AA193,(AB158:AB193-SUMPRODUCT(AA158:AA193,AB158:AB193)/AF194)^2)/(AF194-1))</f>
        <v/>
      </c>
      <c r="AH194" s="38">
        <f>SUM(Y158:Y193)</f>
        <v/>
      </c>
      <c r="AI194" s="40">
        <f>IF(OR($A194="",AH194&lt;MIN_OBS_ROLL),"",SUMPRODUCT(Y158:Y193,Z158:Z193)/AH194)</f>
        <v/>
      </c>
      <c r="AJ194" s="40">
        <f>IF(OR($A194="",AF194&lt;MIN_OBS_ROLL),"",SUMPRODUCT(AA158:AA193,AB158:AB193)/AF194)</f>
        <v/>
      </c>
      <c r="AK194" s="40">
        <f>IF(OR(AE194="",AG194=""),"",AE194/AG194)</f>
        <v/>
      </c>
      <c r="AL194" s="40">
        <f>IF(OR(AI194="",AK194="",AJ194=""),"",AI194-AK194*AJ194)</f>
        <v/>
      </c>
      <c r="AM194" s="40">
        <f>IF(AND(ISNUMBER(W194),ISNUMBER(X194),ISNUMBER(AK194),ISNUMBER(AL194)),W194-(AL194+AK194*X194),"")</f>
        <v/>
      </c>
      <c r="AN194" s="38">
        <f>IF(ISNUMBER(AM194),1,0)</f>
        <v/>
      </c>
      <c r="AO194" s="40">
        <f>IF(AN194=1,AM194,0)</f>
        <v/>
      </c>
      <c r="AP194" s="40">
        <f>IF(SUM(AN192:AN194)=3,SUM(AO192:AO194),"")</f>
        <v/>
      </c>
      <c r="AQ194" s="38">
        <f>IF(ISNUMBER(AP194),1,0)</f>
        <v/>
      </c>
      <c r="AR194" s="40">
        <f>IF(AQ194=1,AP194,0)</f>
        <v/>
      </c>
      <c r="AS194" s="38">
        <f>SUM(AQ$5:AQ194)</f>
        <v/>
      </c>
      <c r="AT194" s="40">
        <f>IF(AS194&gt;=MIN_OBS_Z,SUMPRODUCT(AQ$5:AQ194,AR$5:AR194)/AS194,"")</f>
        <v/>
      </c>
      <c r="AU194" s="40">
        <f>IF(AS194&gt;=MIN_OBS_Z,SQRT(SUMPRODUCT(AQ$5:AQ194,(AR$5:AR194-AT194)^2)/(AS194-1)),"")</f>
        <v/>
      </c>
      <c r="AV194" s="40">
        <f>IF(AND(AQ194=1,ISNUMBER(AT194)),MAX(-Z_CLIP,MIN(Z_CLIP,(AR194-AT194)/AU194)),"")</f>
        <v/>
      </c>
      <c r="AW194" s="40">
        <f>IF(ISNUMBER(AV194),-AV194,"")</f>
        <v/>
      </c>
      <c r="AX194" s="40">
        <f>IF(ISNUMBER(AW194),1+AMPLITUD*TANH(AW194),"")</f>
        <v/>
      </c>
      <c r="AY194" s="40">
        <f>IF($A194="","",IF(COUNT(AX192:AX194)&gt;0,AVERAGE(AX192:AX194),""))</f>
        <v/>
      </c>
      <c r="AZ194" s="40">
        <f>IF(ISNUMBER(AY194),AY194-1,"")</f>
        <v/>
      </c>
      <c r="BA194" s="40">
        <f>IF(AND(ISNUMBER(AZ193),ISNUMBER(W194)),AZ193*W_BANCOS*W194,"")</f>
        <v/>
      </c>
      <c r="BB194" s="40">
        <f>IF(AND(ISNUMBER(AZ193),ISNUMBER(AZ192)),ABS(AZ193-AZ192)*W_BANCOS*COSTO,0)</f>
        <v/>
      </c>
      <c r="BC194" s="40">
        <f>IF(ISNUMBER(BA194),BA194-BB194,"")</f>
        <v/>
      </c>
      <c r="BD194" s="42">
        <f>IF(ISNUMBER(BC194),IF(A194&lt;=FECHA_ERA,"A","B"),"")</f>
        <v/>
      </c>
      <c r="BE194" s="40">
        <f>IF(BD194="A",BC194,"")</f>
        <v/>
      </c>
      <c r="BF194" s="40">
        <f>IF(BD194="B",BC194,"")</f>
        <v/>
      </c>
      <c r="BG194" s="38">
        <f>IF(AND(ISNUMBER(BC194),ISNUMBER(A194)),IF(A194&gt;=INICIO_VIVO,1,0),0)</f>
        <v/>
      </c>
      <c r="BH194" s="40">
        <f>IF(BG194=1,BC194,"")</f>
        <v/>
      </c>
      <c r="BI194" s="38">
        <f>IF(ISNUMBER(AY194),ROW(),0)</f>
        <v/>
      </c>
      <c r="BJ194" s="43">
        <f>IF(ISNUMBER(BC194),SUM(BC$5:BC194)*10000,NA())</f>
        <v/>
      </c>
      <c r="BK194" s="43">
        <f>IF(BG194=1,SUM(BH$5:BH194)*10000,NA())</f>
        <v/>
      </c>
      <c r="BL194" s="44">
        <f>IF(ISNUMBER(AY194),AY194,NA())</f>
        <v/>
      </c>
    </row>
    <row r="195">
      <c r="A195" s="36">
        <f>IF(Datos!A195="","",Datos!A195)</f>
        <v/>
      </c>
      <c r="B195" s="37">
        <f>IF(OR($A195="",NOT(ISNUMBER(Datos!B195)),NOT(ISNUMBER(Datos!B194))),"",Datos!B195/Datos!B194-1)</f>
        <v/>
      </c>
      <c r="C195" s="37">
        <f>IF(OR($A195="",NOT(ISNUMBER(Datos!C195)),NOT(ISNUMBER(Datos!C194))),"",Datos!C195/Datos!C194-1)</f>
        <v/>
      </c>
      <c r="D195" s="37">
        <f>IF(OR($A195="",NOT(ISNUMBER(Datos!D195)),NOT(ISNUMBER(Datos!D194))),"",Datos!D195/Datos!D194-1)</f>
        <v/>
      </c>
      <c r="E195" s="37">
        <f>IF(OR($A195="",NOT(ISNUMBER(Datos!E195)),NOT(ISNUMBER(Datos!E194))),"",Datos!E195/Datos!E194-1)</f>
        <v/>
      </c>
      <c r="F195" s="38">
        <f>IF($A195="","",COUNT(B195:E195))</f>
        <v/>
      </c>
      <c r="G195" s="37">
        <f>IF($A195="","",IF(F195&gt;=MIN_BANCOS,AVERAGE(B195:E195),""))</f>
        <v/>
      </c>
      <c r="H195" s="37">
        <f>IF(OR($A195="",NOT(ISNUMBER(Datos!F195)),NOT(ISNUMBER(Datos!F194))),"",Datos!F195/Datos!F194-1)</f>
        <v/>
      </c>
      <c r="I195" s="39">
        <f>IF($A195="","",IF(ISNUMBER(Datos!G195),Datos!G195,I194))</f>
        <v/>
      </c>
      <c r="J195" s="40">
        <f>IF($A195="","",IF(ISNUMBER(I194),LN(1+I194/100/12),0))</f>
        <v/>
      </c>
      <c r="K195" s="40">
        <f>IF(ISNUMBER(G195),LN(1+G195)-J195,"")</f>
        <v/>
      </c>
      <c r="L195" s="40">
        <f>IF(ISNUMBER(H195),LN(1+H195)-J195,"")</f>
        <v/>
      </c>
      <c r="M195" s="38">
        <f>IF(ISNUMBER(K195),1,0)</f>
        <v/>
      </c>
      <c r="N195" s="40">
        <f>IF(M195=1,K195,0)</f>
        <v/>
      </c>
      <c r="O195" s="38">
        <f>IF(ISNUMBER(L195),1,0)</f>
        <v/>
      </c>
      <c r="P195" s="40">
        <f>IF(O195=1,L195,0)</f>
        <v/>
      </c>
      <c r="Q195" s="38">
        <f>M195*O195</f>
        <v/>
      </c>
      <c r="R195" s="38">
        <f>SUM(Q159:Q194)</f>
        <v/>
      </c>
      <c r="S195" s="41">
        <f>IF(OR($A195="",R195&lt;MIN_OBS_ROLL),"",(SUMPRODUCT(Q159:Q194,N159:N194,P159:P194)/R195-SUMPRODUCT(Q159:Q194,N159:N194)/R195*SUMPRODUCT(Q159:Q194,P159:P194)/R195)*R195/(R195-1))</f>
        <v/>
      </c>
      <c r="T195" s="38">
        <f>SUM(O159:O194)</f>
        <v/>
      </c>
      <c r="U195" s="41">
        <f>IF(OR($A195="",T195&lt;MIN_OBS_ROLL),"",SUMPRODUCT(O159:O194,(P159:P194-SUMPRODUCT(O159:O194,P159:P194)/T195)^2)/(T195-1))</f>
        <v/>
      </c>
      <c r="V195" s="40">
        <f>IF(OR(S195="",U195=""),"",S195/U195)</f>
        <v/>
      </c>
      <c r="W195" s="40">
        <f>IF(AND(ISNUMBER(K195),ISNUMBER(L195),ISNUMBER(V195)),K195-V195*L195,"")</f>
        <v/>
      </c>
      <c r="X195" s="40">
        <f>IF(OR($A195="",NOT(ISNUMBER(Datos!H195)),NOT(ISNUMBER(Datos!H194))),"",LN(Datos!H195)-LN(Datos!H194))</f>
        <v/>
      </c>
      <c r="Y195" s="38">
        <f>IF(ISNUMBER(W195),1,0)</f>
        <v/>
      </c>
      <c r="Z195" s="40">
        <f>IF(Y195=1,W195,0)</f>
        <v/>
      </c>
      <c r="AA195" s="38">
        <f>IF(ISNUMBER(X195),1,0)</f>
        <v/>
      </c>
      <c r="AB195" s="40">
        <f>IF(AA195=1,X195,0)</f>
        <v/>
      </c>
      <c r="AC195" s="38">
        <f>Y195*AA195</f>
        <v/>
      </c>
      <c r="AD195" s="38">
        <f>SUM(AC159:AC194)</f>
        <v/>
      </c>
      <c r="AE195" s="41">
        <f>IF(OR($A195="",AD195&lt;MIN_OBS_ROLL),"",(SUMPRODUCT(AC159:AC194,Z159:Z194,AB159:AB194)/AD195-SUMPRODUCT(AC159:AC194,Z159:Z194)/AD195*SUMPRODUCT(AC159:AC194,AB159:AB194)/AD195)*AD195/(AD195-1))</f>
        <v/>
      </c>
      <c r="AF195" s="38">
        <f>SUM(AA159:AA194)</f>
        <v/>
      </c>
      <c r="AG195" s="41">
        <f>IF(OR($A195="",AF195&lt;MIN_OBS_ROLL),"",SUMPRODUCT(AA159:AA194,(AB159:AB194-SUMPRODUCT(AA159:AA194,AB159:AB194)/AF195)^2)/(AF195-1))</f>
        <v/>
      </c>
      <c r="AH195" s="38">
        <f>SUM(Y159:Y194)</f>
        <v/>
      </c>
      <c r="AI195" s="40">
        <f>IF(OR($A195="",AH195&lt;MIN_OBS_ROLL),"",SUMPRODUCT(Y159:Y194,Z159:Z194)/AH195)</f>
        <v/>
      </c>
      <c r="AJ195" s="40">
        <f>IF(OR($A195="",AF195&lt;MIN_OBS_ROLL),"",SUMPRODUCT(AA159:AA194,AB159:AB194)/AF195)</f>
        <v/>
      </c>
      <c r="AK195" s="40">
        <f>IF(OR(AE195="",AG195=""),"",AE195/AG195)</f>
        <v/>
      </c>
      <c r="AL195" s="40">
        <f>IF(OR(AI195="",AK195="",AJ195=""),"",AI195-AK195*AJ195)</f>
        <v/>
      </c>
      <c r="AM195" s="40">
        <f>IF(AND(ISNUMBER(W195),ISNUMBER(X195),ISNUMBER(AK195),ISNUMBER(AL195)),W195-(AL195+AK195*X195),"")</f>
        <v/>
      </c>
      <c r="AN195" s="38">
        <f>IF(ISNUMBER(AM195),1,0)</f>
        <v/>
      </c>
      <c r="AO195" s="40">
        <f>IF(AN195=1,AM195,0)</f>
        <v/>
      </c>
      <c r="AP195" s="40">
        <f>IF(SUM(AN193:AN195)=3,SUM(AO193:AO195),"")</f>
        <v/>
      </c>
      <c r="AQ195" s="38">
        <f>IF(ISNUMBER(AP195),1,0)</f>
        <v/>
      </c>
      <c r="AR195" s="40">
        <f>IF(AQ195=1,AP195,0)</f>
        <v/>
      </c>
      <c r="AS195" s="38">
        <f>SUM(AQ$5:AQ195)</f>
        <v/>
      </c>
      <c r="AT195" s="40">
        <f>IF(AS195&gt;=MIN_OBS_Z,SUMPRODUCT(AQ$5:AQ195,AR$5:AR195)/AS195,"")</f>
        <v/>
      </c>
      <c r="AU195" s="40">
        <f>IF(AS195&gt;=MIN_OBS_Z,SQRT(SUMPRODUCT(AQ$5:AQ195,(AR$5:AR195-AT195)^2)/(AS195-1)),"")</f>
        <v/>
      </c>
      <c r="AV195" s="40">
        <f>IF(AND(AQ195=1,ISNUMBER(AT195)),MAX(-Z_CLIP,MIN(Z_CLIP,(AR195-AT195)/AU195)),"")</f>
        <v/>
      </c>
      <c r="AW195" s="40">
        <f>IF(ISNUMBER(AV195),-AV195,"")</f>
        <v/>
      </c>
      <c r="AX195" s="40">
        <f>IF(ISNUMBER(AW195),1+AMPLITUD*TANH(AW195),"")</f>
        <v/>
      </c>
      <c r="AY195" s="40">
        <f>IF($A195="","",IF(COUNT(AX193:AX195)&gt;0,AVERAGE(AX193:AX195),""))</f>
        <v/>
      </c>
      <c r="AZ195" s="40">
        <f>IF(ISNUMBER(AY195),AY195-1,"")</f>
        <v/>
      </c>
      <c r="BA195" s="40">
        <f>IF(AND(ISNUMBER(AZ194),ISNUMBER(W195)),AZ194*W_BANCOS*W195,"")</f>
        <v/>
      </c>
      <c r="BB195" s="40">
        <f>IF(AND(ISNUMBER(AZ194),ISNUMBER(AZ193)),ABS(AZ194-AZ193)*W_BANCOS*COSTO,0)</f>
        <v/>
      </c>
      <c r="BC195" s="40">
        <f>IF(ISNUMBER(BA195),BA195-BB195,"")</f>
        <v/>
      </c>
      <c r="BD195" s="42">
        <f>IF(ISNUMBER(BC195),IF(A195&lt;=FECHA_ERA,"A","B"),"")</f>
        <v/>
      </c>
      <c r="BE195" s="40">
        <f>IF(BD195="A",BC195,"")</f>
        <v/>
      </c>
      <c r="BF195" s="40">
        <f>IF(BD195="B",BC195,"")</f>
        <v/>
      </c>
      <c r="BG195" s="38">
        <f>IF(AND(ISNUMBER(BC195),ISNUMBER(A195)),IF(A195&gt;=INICIO_VIVO,1,0),0)</f>
        <v/>
      </c>
      <c r="BH195" s="40">
        <f>IF(BG195=1,BC195,"")</f>
        <v/>
      </c>
      <c r="BI195" s="38">
        <f>IF(ISNUMBER(AY195),ROW(),0)</f>
        <v/>
      </c>
      <c r="BJ195" s="43">
        <f>IF(ISNUMBER(BC195),SUM(BC$5:BC195)*10000,NA())</f>
        <v/>
      </c>
      <c r="BK195" s="43">
        <f>IF(BG195=1,SUM(BH$5:BH195)*10000,NA())</f>
        <v/>
      </c>
      <c r="BL195" s="44">
        <f>IF(ISNUMBER(AY195),AY195,NA())</f>
        <v/>
      </c>
    </row>
    <row r="196">
      <c r="A196" s="36">
        <f>IF(Datos!A196="","",Datos!A196)</f>
        <v/>
      </c>
      <c r="B196" s="37">
        <f>IF(OR($A196="",NOT(ISNUMBER(Datos!B196)),NOT(ISNUMBER(Datos!B195))),"",Datos!B196/Datos!B195-1)</f>
        <v/>
      </c>
      <c r="C196" s="37">
        <f>IF(OR($A196="",NOT(ISNUMBER(Datos!C196)),NOT(ISNUMBER(Datos!C195))),"",Datos!C196/Datos!C195-1)</f>
        <v/>
      </c>
      <c r="D196" s="37">
        <f>IF(OR($A196="",NOT(ISNUMBER(Datos!D196)),NOT(ISNUMBER(Datos!D195))),"",Datos!D196/Datos!D195-1)</f>
        <v/>
      </c>
      <c r="E196" s="37">
        <f>IF(OR($A196="",NOT(ISNUMBER(Datos!E196)),NOT(ISNUMBER(Datos!E195))),"",Datos!E196/Datos!E195-1)</f>
        <v/>
      </c>
      <c r="F196" s="38">
        <f>IF($A196="","",COUNT(B196:E196))</f>
        <v/>
      </c>
      <c r="G196" s="37">
        <f>IF($A196="","",IF(F196&gt;=MIN_BANCOS,AVERAGE(B196:E196),""))</f>
        <v/>
      </c>
      <c r="H196" s="37">
        <f>IF(OR($A196="",NOT(ISNUMBER(Datos!F196)),NOT(ISNUMBER(Datos!F195))),"",Datos!F196/Datos!F195-1)</f>
        <v/>
      </c>
      <c r="I196" s="39">
        <f>IF($A196="","",IF(ISNUMBER(Datos!G196),Datos!G196,I195))</f>
        <v/>
      </c>
      <c r="J196" s="40">
        <f>IF($A196="","",IF(ISNUMBER(I195),LN(1+I195/100/12),0))</f>
        <v/>
      </c>
      <c r="K196" s="40">
        <f>IF(ISNUMBER(G196),LN(1+G196)-J196,"")</f>
        <v/>
      </c>
      <c r="L196" s="40">
        <f>IF(ISNUMBER(H196),LN(1+H196)-J196,"")</f>
        <v/>
      </c>
      <c r="M196" s="38">
        <f>IF(ISNUMBER(K196),1,0)</f>
        <v/>
      </c>
      <c r="N196" s="40">
        <f>IF(M196=1,K196,0)</f>
        <v/>
      </c>
      <c r="O196" s="38">
        <f>IF(ISNUMBER(L196),1,0)</f>
        <v/>
      </c>
      <c r="P196" s="40">
        <f>IF(O196=1,L196,0)</f>
        <v/>
      </c>
      <c r="Q196" s="38">
        <f>M196*O196</f>
        <v/>
      </c>
      <c r="R196" s="38">
        <f>SUM(Q160:Q195)</f>
        <v/>
      </c>
      <c r="S196" s="41">
        <f>IF(OR($A196="",R196&lt;MIN_OBS_ROLL),"",(SUMPRODUCT(Q160:Q195,N160:N195,P160:P195)/R196-SUMPRODUCT(Q160:Q195,N160:N195)/R196*SUMPRODUCT(Q160:Q195,P160:P195)/R196)*R196/(R196-1))</f>
        <v/>
      </c>
      <c r="T196" s="38">
        <f>SUM(O160:O195)</f>
        <v/>
      </c>
      <c r="U196" s="41">
        <f>IF(OR($A196="",T196&lt;MIN_OBS_ROLL),"",SUMPRODUCT(O160:O195,(P160:P195-SUMPRODUCT(O160:O195,P160:P195)/T196)^2)/(T196-1))</f>
        <v/>
      </c>
      <c r="V196" s="40">
        <f>IF(OR(S196="",U196=""),"",S196/U196)</f>
        <v/>
      </c>
      <c r="W196" s="40">
        <f>IF(AND(ISNUMBER(K196),ISNUMBER(L196),ISNUMBER(V196)),K196-V196*L196,"")</f>
        <v/>
      </c>
      <c r="X196" s="40">
        <f>IF(OR($A196="",NOT(ISNUMBER(Datos!H196)),NOT(ISNUMBER(Datos!H195))),"",LN(Datos!H196)-LN(Datos!H195))</f>
        <v/>
      </c>
      <c r="Y196" s="38">
        <f>IF(ISNUMBER(W196),1,0)</f>
        <v/>
      </c>
      <c r="Z196" s="40">
        <f>IF(Y196=1,W196,0)</f>
        <v/>
      </c>
      <c r="AA196" s="38">
        <f>IF(ISNUMBER(X196),1,0)</f>
        <v/>
      </c>
      <c r="AB196" s="40">
        <f>IF(AA196=1,X196,0)</f>
        <v/>
      </c>
      <c r="AC196" s="38">
        <f>Y196*AA196</f>
        <v/>
      </c>
      <c r="AD196" s="38">
        <f>SUM(AC160:AC195)</f>
        <v/>
      </c>
      <c r="AE196" s="41">
        <f>IF(OR($A196="",AD196&lt;MIN_OBS_ROLL),"",(SUMPRODUCT(AC160:AC195,Z160:Z195,AB160:AB195)/AD196-SUMPRODUCT(AC160:AC195,Z160:Z195)/AD196*SUMPRODUCT(AC160:AC195,AB160:AB195)/AD196)*AD196/(AD196-1))</f>
        <v/>
      </c>
      <c r="AF196" s="38">
        <f>SUM(AA160:AA195)</f>
        <v/>
      </c>
      <c r="AG196" s="41">
        <f>IF(OR($A196="",AF196&lt;MIN_OBS_ROLL),"",SUMPRODUCT(AA160:AA195,(AB160:AB195-SUMPRODUCT(AA160:AA195,AB160:AB195)/AF196)^2)/(AF196-1))</f>
        <v/>
      </c>
      <c r="AH196" s="38">
        <f>SUM(Y160:Y195)</f>
        <v/>
      </c>
      <c r="AI196" s="40">
        <f>IF(OR($A196="",AH196&lt;MIN_OBS_ROLL),"",SUMPRODUCT(Y160:Y195,Z160:Z195)/AH196)</f>
        <v/>
      </c>
      <c r="AJ196" s="40">
        <f>IF(OR($A196="",AF196&lt;MIN_OBS_ROLL),"",SUMPRODUCT(AA160:AA195,AB160:AB195)/AF196)</f>
        <v/>
      </c>
      <c r="AK196" s="40">
        <f>IF(OR(AE196="",AG196=""),"",AE196/AG196)</f>
        <v/>
      </c>
      <c r="AL196" s="40">
        <f>IF(OR(AI196="",AK196="",AJ196=""),"",AI196-AK196*AJ196)</f>
        <v/>
      </c>
      <c r="AM196" s="40">
        <f>IF(AND(ISNUMBER(W196),ISNUMBER(X196),ISNUMBER(AK196),ISNUMBER(AL196)),W196-(AL196+AK196*X196),"")</f>
        <v/>
      </c>
      <c r="AN196" s="38">
        <f>IF(ISNUMBER(AM196),1,0)</f>
        <v/>
      </c>
      <c r="AO196" s="40">
        <f>IF(AN196=1,AM196,0)</f>
        <v/>
      </c>
      <c r="AP196" s="40">
        <f>IF(SUM(AN194:AN196)=3,SUM(AO194:AO196),"")</f>
        <v/>
      </c>
      <c r="AQ196" s="38">
        <f>IF(ISNUMBER(AP196),1,0)</f>
        <v/>
      </c>
      <c r="AR196" s="40">
        <f>IF(AQ196=1,AP196,0)</f>
        <v/>
      </c>
      <c r="AS196" s="38">
        <f>SUM(AQ$5:AQ196)</f>
        <v/>
      </c>
      <c r="AT196" s="40">
        <f>IF(AS196&gt;=MIN_OBS_Z,SUMPRODUCT(AQ$5:AQ196,AR$5:AR196)/AS196,"")</f>
        <v/>
      </c>
      <c r="AU196" s="40">
        <f>IF(AS196&gt;=MIN_OBS_Z,SQRT(SUMPRODUCT(AQ$5:AQ196,(AR$5:AR196-AT196)^2)/(AS196-1)),"")</f>
        <v/>
      </c>
      <c r="AV196" s="40">
        <f>IF(AND(AQ196=1,ISNUMBER(AT196)),MAX(-Z_CLIP,MIN(Z_CLIP,(AR196-AT196)/AU196)),"")</f>
        <v/>
      </c>
      <c r="AW196" s="40">
        <f>IF(ISNUMBER(AV196),-AV196,"")</f>
        <v/>
      </c>
      <c r="AX196" s="40">
        <f>IF(ISNUMBER(AW196),1+AMPLITUD*TANH(AW196),"")</f>
        <v/>
      </c>
      <c r="AY196" s="40">
        <f>IF($A196="","",IF(COUNT(AX194:AX196)&gt;0,AVERAGE(AX194:AX196),""))</f>
        <v/>
      </c>
      <c r="AZ196" s="40">
        <f>IF(ISNUMBER(AY196),AY196-1,"")</f>
        <v/>
      </c>
      <c r="BA196" s="40">
        <f>IF(AND(ISNUMBER(AZ195),ISNUMBER(W196)),AZ195*W_BANCOS*W196,"")</f>
        <v/>
      </c>
      <c r="BB196" s="40">
        <f>IF(AND(ISNUMBER(AZ195),ISNUMBER(AZ194)),ABS(AZ195-AZ194)*W_BANCOS*COSTO,0)</f>
        <v/>
      </c>
      <c r="BC196" s="40">
        <f>IF(ISNUMBER(BA196),BA196-BB196,"")</f>
        <v/>
      </c>
      <c r="BD196" s="42">
        <f>IF(ISNUMBER(BC196),IF(A196&lt;=FECHA_ERA,"A","B"),"")</f>
        <v/>
      </c>
      <c r="BE196" s="40">
        <f>IF(BD196="A",BC196,"")</f>
        <v/>
      </c>
      <c r="BF196" s="40">
        <f>IF(BD196="B",BC196,"")</f>
        <v/>
      </c>
      <c r="BG196" s="38">
        <f>IF(AND(ISNUMBER(BC196),ISNUMBER(A196)),IF(A196&gt;=INICIO_VIVO,1,0),0)</f>
        <v/>
      </c>
      <c r="BH196" s="40">
        <f>IF(BG196=1,BC196,"")</f>
        <v/>
      </c>
      <c r="BI196" s="38">
        <f>IF(ISNUMBER(AY196),ROW(),0)</f>
        <v/>
      </c>
      <c r="BJ196" s="43">
        <f>IF(ISNUMBER(BC196),SUM(BC$5:BC196)*10000,NA())</f>
        <v/>
      </c>
      <c r="BK196" s="43">
        <f>IF(BG196=1,SUM(BH$5:BH196)*10000,NA())</f>
        <v/>
      </c>
      <c r="BL196" s="44">
        <f>IF(ISNUMBER(AY196),AY196,NA())</f>
        <v/>
      </c>
    </row>
    <row r="197">
      <c r="A197" s="36">
        <f>IF(Datos!A197="","",Datos!A197)</f>
        <v/>
      </c>
      <c r="B197" s="37">
        <f>IF(OR($A197="",NOT(ISNUMBER(Datos!B197)),NOT(ISNUMBER(Datos!B196))),"",Datos!B197/Datos!B196-1)</f>
        <v/>
      </c>
      <c r="C197" s="37">
        <f>IF(OR($A197="",NOT(ISNUMBER(Datos!C197)),NOT(ISNUMBER(Datos!C196))),"",Datos!C197/Datos!C196-1)</f>
        <v/>
      </c>
      <c r="D197" s="37">
        <f>IF(OR($A197="",NOT(ISNUMBER(Datos!D197)),NOT(ISNUMBER(Datos!D196))),"",Datos!D197/Datos!D196-1)</f>
        <v/>
      </c>
      <c r="E197" s="37">
        <f>IF(OR($A197="",NOT(ISNUMBER(Datos!E197)),NOT(ISNUMBER(Datos!E196))),"",Datos!E197/Datos!E196-1)</f>
        <v/>
      </c>
      <c r="F197" s="38">
        <f>IF($A197="","",COUNT(B197:E197))</f>
        <v/>
      </c>
      <c r="G197" s="37">
        <f>IF($A197="","",IF(F197&gt;=MIN_BANCOS,AVERAGE(B197:E197),""))</f>
        <v/>
      </c>
      <c r="H197" s="37">
        <f>IF(OR($A197="",NOT(ISNUMBER(Datos!F197)),NOT(ISNUMBER(Datos!F196))),"",Datos!F197/Datos!F196-1)</f>
        <v/>
      </c>
      <c r="I197" s="39">
        <f>IF($A197="","",IF(ISNUMBER(Datos!G197),Datos!G197,I196))</f>
        <v/>
      </c>
      <c r="J197" s="40">
        <f>IF($A197="","",IF(ISNUMBER(I196),LN(1+I196/100/12),0))</f>
        <v/>
      </c>
      <c r="K197" s="40">
        <f>IF(ISNUMBER(G197),LN(1+G197)-J197,"")</f>
        <v/>
      </c>
      <c r="L197" s="40">
        <f>IF(ISNUMBER(H197),LN(1+H197)-J197,"")</f>
        <v/>
      </c>
      <c r="M197" s="38">
        <f>IF(ISNUMBER(K197),1,0)</f>
        <v/>
      </c>
      <c r="N197" s="40">
        <f>IF(M197=1,K197,0)</f>
        <v/>
      </c>
      <c r="O197" s="38">
        <f>IF(ISNUMBER(L197),1,0)</f>
        <v/>
      </c>
      <c r="P197" s="40">
        <f>IF(O197=1,L197,0)</f>
        <v/>
      </c>
      <c r="Q197" s="38">
        <f>M197*O197</f>
        <v/>
      </c>
      <c r="R197" s="38">
        <f>SUM(Q161:Q196)</f>
        <v/>
      </c>
      <c r="S197" s="41">
        <f>IF(OR($A197="",R197&lt;MIN_OBS_ROLL),"",(SUMPRODUCT(Q161:Q196,N161:N196,P161:P196)/R197-SUMPRODUCT(Q161:Q196,N161:N196)/R197*SUMPRODUCT(Q161:Q196,P161:P196)/R197)*R197/(R197-1))</f>
        <v/>
      </c>
      <c r="T197" s="38">
        <f>SUM(O161:O196)</f>
        <v/>
      </c>
      <c r="U197" s="41">
        <f>IF(OR($A197="",T197&lt;MIN_OBS_ROLL),"",SUMPRODUCT(O161:O196,(P161:P196-SUMPRODUCT(O161:O196,P161:P196)/T197)^2)/(T197-1))</f>
        <v/>
      </c>
      <c r="V197" s="40">
        <f>IF(OR(S197="",U197=""),"",S197/U197)</f>
        <v/>
      </c>
      <c r="W197" s="40">
        <f>IF(AND(ISNUMBER(K197),ISNUMBER(L197),ISNUMBER(V197)),K197-V197*L197,"")</f>
        <v/>
      </c>
      <c r="X197" s="40">
        <f>IF(OR($A197="",NOT(ISNUMBER(Datos!H197)),NOT(ISNUMBER(Datos!H196))),"",LN(Datos!H197)-LN(Datos!H196))</f>
        <v/>
      </c>
      <c r="Y197" s="38">
        <f>IF(ISNUMBER(W197),1,0)</f>
        <v/>
      </c>
      <c r="Z197" s="40">
        <f>IF(Y197=1,W197,0)</f>
        <v/>
      </c>
      <c r="AA197" s="38">
        <f>IF(ISNUMBER(X197),1,0)</f>
        <v/>
      </c>
      <c r="AB197" s="40">
        <f>IF(AA197=1,X197,0)</f>
        <v/>
      </c>
      <c r="AC197" s="38">
        <f>Y197*AA197</f>
        <v/>
      </c>
      <c r="AD197" s="38">
        <f>SUM(AC161:AC196)</f>
        <v/>
      </c>
      <c r="AE197" s="41">
        <f>IF(OR($A197="",AD197&lt;MIN_OBS_ROLL),"",(SUMPRODUCT(AC161:AC196,Z161:Z196,AB161:AB196)/AD197-SUMPRODUCT(AC161:AC196,Z161:Z196)/AD197*SUMPRODUCT(AC161:AC196,AB161:AB196)/AD197)*AD197/(AD197-1))</f>
        <v/>
      </c>
      <c r="AF197" s="38">
        <f>SUM(AA161:AA196)</f>
        <v/>
      </c>
      <c r="AG197" s="41">
        <f>IF(OR($A197="",AF197&lt;MIN_OBS_ROLL),"",SUMPRODUCT(AA161:AA196,(AB161:AB196-SUMPRODUCT(AA161:AA196,AB161:AB196)/AF197)^2)/(AF197-1))</f>
        <v/>
      </c>
      <c r="AH197" s="38">
        <f>SUM(Y161:Y196)</f>
        <v/>
      </c>
      <c r="AI197" s="40">
        <f>IF(OR($A197="",AH197&lt;MIN_OBS_ROLL),"",SUMPRODUCT(Y161:Y196,Z161:Z196)/AH197)</f>
        <v/>
      </c>
      <c r="AJ197" s="40">
        <f>IF(OR($A197="",AF197&lt;MIN_OBS_ROLL),"",SUMPRODUCT(AA161:AA196,AB161:AB196)/AF197)</f>
        <v/>
      </c>
      <c r="AK197" s="40">
        <f>IF(OR(AE197="",AG197=""),"",AE197/AG197)</f>
        <v/>
      </c>
      <c r="AL197" s="40">
        <f>IF(OR(AI197="",AK197="",AJ197=""),"",AI197-AK197*AJ197)</f>
        <v/>
      </c>
      <c r="AM197" s="40">
        <f>IF(AND(ISNUMBER(W197),ISNUMBER(X197),ISNUMBER(AK197),ISNUMBER(AL197)),W197-(AL197+AK197*X197),"")</f>
        <v/>
      </c>
      <c r="AN197" s="38">
        <f>IF(ISNUMBER(AM197),1,0)</f>
        <v/>
      </c>
      <c r="AO197" s="40">
        <f>IF(AN197=1,AM197,0)</f>
        <v/>
      </c>
      <c r="AP197" s="40">
        <f>IF(SUM(AN195:AN197)=3,SUM(AO195:AO197),"")</f>
        <v/>
      </c>
      <c r="AQ197" s="38">
        <f>IF(ISNUMBER(AP197),1,0)</f>
        <v/>
      </c>
      <c r="AR197" s="40">
        <f>IF(AQ197=1,AP197,0)</f>
        <v/>
      </c>
      <c r="AS197" s="38">
        <f>SUM(AQ$5:AQ197)</f>
        <v/>
      </c>
      <c r="AT197" s="40">
        <f>IF(AS197&gt;=MIN_OBS_Z,SUMPRODUCT(AQ$5:AQ197,AR$5:AR197)/AS197,"")</f>
        <v/>
      </c>
      <c r="AU197" s="40">
        <f>IF(AS197&gt;=MIN_OBS_Z,SQRT(SUMPRODUCT(AQ$5:AQ197,(AR$5:AR197-AT197)^2)/(AS197-1)),"")</f>
        <v/>
      </c>
      <c r="AV197" s="40">
        <f>IF(AND(AQ197=1,ISNUMBER(AT197)),MAX(-Z_CLIP,MIN(Z_CLIP,(AR197-AT197)/AU197)),"")</f>
        <v/>
      </c>
      <c r="AW197" s="40">
        <f>IF(ISNUMBER(AV197),-AV197,"")</f>
        <v/>
      </c>
      <c r="AX197" s="40">
        <f>IF(ISNUMBER(AW197),1+AMPLITUD*TANH(AW197),"")</f>
        <v/>
      </c>
      <c r="AY197" s="40">
        <f>IF($A197="","",IF(COUNT(AX195:AX197)&gt;0,AVERAGE(AX195:AX197),""))</f>
        <v/>
      </c>
      <c r="AZ197" s="40">
        <f>IF(ISNUMBER(AY197),AY197-1,"")</f>
        <v/>
      </c>
      <c r="BA197" s="40">
        <f>IF(AND(ISNUMBER(AZ196),ISNUMBER(W197)),AZ196*W_BANCOS*W197,"")</f>
        <v/>
      </c>
      <c r="BB197" s="40">
        <f>IF(AND(ISNUMBER(AZ196),ISNUMBER(AZ195)),ABS(AZ196-AZ195)*W_BANCOS*COSTO,0)</f>
        <v/>
      </c>
      <c r="BC197" s="40">
        <f>IF(ISNUMBER(BA197),BA197-BB197,"")</f>
        <v/>
      </c>
      <c r="BD197" s="42">
        <f>IF(ISNUMBER(BC197),IF(A197&lt;=FECHA_ERA,"A","B"),"")</f>
        <v/>
      </c>
      <c r="BE197" s="40">
        <f>IF(BD197="A",BC197,"")</f>
        <v/>
      </c>
      <c r="BF197" s="40">
        <f>IF(BD197="B",BC197,"")</f>
        <v/>
      </c>
      <c r="BG197" s="38">
        <f>IF(AND(ISNUMBER(BC197),ISNUMBER(A197)),IF(A197&gt;=INICIO_VIVO,1,0),0)</f>
        <v/>
      </c>
      <c r="BH197" s="40">
        <f>IF(BG197=1,BC197,"")</f>
        <v/>
      </c>
      <c r="BI197" s="38">
        <f>IF(ISNUMBER(AY197),ROW(),0)</f>
        <v/>
      </c>
      <c r="BJ197" s="43">
        <f>IF(ISNUMBER(BC197),SUM(BC$5:BC197)*10000,NA())</f>
        <v/>
      </c>
      <c r="BK197" s="43">
        <f>IF(BG197=1,SUM(BH$5:BH197)*10000,NA())</f>
        <v/>
      </c>
      <c r="BL197" s="44">
        <f>IF(ISNUMBER(AY197),AY197,NA())</f>
        <v/>
      </c>
    </row>
    <row r="198">
      <c r="A198" s="36">
        <f>IF(Datos!A198="","",Datos!A198)</f>
        <v/>
      </c>
      <c r="B198" s="37">
        <f>IF(OR($A198="",NOT(ISNUMBER(Datos!B198)),NOT(ISNUMBER(Datos!B197))),"",Datos!B198/Datos!B197-1)</f>
        <v/>
      </c>
      <c r="C198" s="37">
        <f>IF(OR($A198="",NOT(ISNUMBER(Datos!C198)),NOT(ISNUMBER(Datos!C197))),"",Datos!C198/Datos!C197-1)</f>
        <v/>
      </c>
      <c r="D198" s="37">
        <f>IF(OR($A198="",NOT(ISNUMBER(Datos!D198)),NOT(ISNUMBER(Datos!D197))),"",Datos!D198/Datos!D197-1)</f>
        <v/>
      </c>
      <c r="E198" s="37">
        <f>IF(OR($A198="",NOT(ISNUMBER(Datos!E198)),NOT(ISNUMBER(Datos!E197))),"",Datos!E198/Datos!E197-1)</f>
        <v/>
      </c>
      <c r="F198" s="38">
        <f>IF($A198="","",COUNT(B198:E198))</f>
        <v/>
      </c>
      <c r="G198" s="37">
        <f>IF($A198="","",IF(F198&gt;=MIN_BANCOS,AVERAGE(B198:E198),""))</f>
        <v/>
      </c>
      <c r="H198" s="37">
        <f>IF(OR($A198="",NOT(ISNUMBER(Datos!F198)),NOT(ISNUMBER(Datos!F197))),"",Datos!F198/Datos!F197-1)</f>
        <v/>
      </c>
      <c r="I198" s="39">
        <f>IF($A198="","",IF(ISNUMBER(Datos!G198),Datos!G198,I197))</f>
        <v/>
      </c>
      <c r="J198" s="40">
        <f>IF($A198="","",IF(ISNUMBER(I197),LN(1+I197/100/12),0))</f>
        <v/>
      </c>
      <c r="K198" s="40">
        <f>IF(ISNUMBER(G198),LN(1+G198)-J198,"")</f>
        <v/>
      </c>
      <c r="L198" s="40">
        <f>IF(ISNUMBER(H198),LN(1+H198)-J198,"")</f>
        <v/>
      </c>
      <c r="M198" s="38">
        <f>IF(ISNUMBER(K198),1,0)</f>
        <v/>
      </c>
      <c r="N198" s="40">
        <f>IF(M198=1,K198,0)</f>
        <v/>
      </c>
      <c r="O198" s="38">
        <f>IF(ISNUMBER(L198),1,0)</f>
        <v/>
      </c>
      <c r="P198" s="40">
        <f>IF(O198=1,L198,0)</f>
        <v/>
      </c>
      <c r="Q198" s="38">
        <f>M198*O198</f>
        <v/>
      </c>
      <c r="R198" s="38">
        <f>SUM(Q162:Q197)</f>
        <v/>
      </c>
      <c r="S198" s="41">
        <f>IF(OR($A198="",R198&lt;MIN_OBS_ROLL),"",(SUMPRODUCT(Q162:Q197,N162:N197,P162:P197)/R198-SUMPRODUCT(Q162:Q197,N162:N197)/R198*SUMPRODUCT(Q162:Q197,P162:P197)/R198)*R198/(R198-1))</f>
        <v/>
      </c>
      <c r="T198" s="38">
        <f>SUM(O162:O197)</f>
        <v/>
      </c>
      <c r="U198" s="41">
        <f>IF(OR($A198="",T198&lt;MIN_OBS_ROLL),"",SUMPRODUCT(O162:O197,(P162:P197-SUMPRODUCT(O162:O197,P162:P197)/T198)^2)/(T198-1))</f>
        <v/>
      </c>
      <c r="V198" s="40">
        <f>IF(OR(S198="",U198=""),"",S198/U198)</f>
        <v/>
      </c>
      <c r="W198" s="40">
        <f>IF(AND(ISNUMBER(K198),ISNUMBER(L198),ISNUMBER(V198)),K198-V198*L198,"")</f>
        <v/>
      </c>
      <c r="X198" s="40">
        <f>IF(OR($A198="",NOT(ISNUMBER(Datos!H198)),NOT(ISNUMBER(Datos!H197))),"",LN(Datos!H198)-LN(Datos!H197))</f>
        <v/>
      </c>
      <c r="Y198" s="38">
        <f>IF(ISNUMBER(W198),1,0)</f>
        <v/>
      </c>
      <c r="Z198" s="40">
        <f>IF(Y198=1,W198,0)</f>
        <v/>
      </c>
      <c r="AA198" s="38">
        <f>IF(ISNUMBER(X198),1,0)</f>
        <v/>
      </c>
      <c r="AB198" s="40">
        <f>IF(AA198=1,X198,0)</f>
        <v/>
      </c>
      <c r="AC198" s="38">
        <f>Y198*AA198</f>
        <v/>
      </c>
      <c r="AD198" s="38">
        <f>SUM(AC162:AC197)</f>
        <v/>
      </c>
      <c r="AE198" s="41">
        <f>IF(OR($A198="",AD198&lt;MIN_OBS_ROLL),"",(SUMPRODUCT(AC162:AC197,Z162:Z197,AB162:AB197)/AD198-SUMPRODUCT(AC162:AC197,Z162:Z197)/AD198*SUMPRODUCT(AC162:AC197,AB162:AB197)/AD198)*AD198/(AD198-1))</f>
        <v/>
      </c>
      <c r="AF198" s="38">
        <f>SUM(AA162:AA197)</f>
        <v/>
      </c>
      <c r="AG198" s="41">
        <f>IF(OR($A198="",AF198&lt;MIN_OBS_ROLL),"",SUMPRODUCT(AA162:AA197,(AB162:AB197-SUMPRODUCT(AA162:AA197,AB162:AB197)/AF198)^2)/(AF198-1))</f>
        <v/>
      </c>
      <c r="AH198" s="38">
        <f>SUM(Y162:Y197)</f>
        <v/>
      </c>
      <c r="AI198" s="40">
        <f>IF(OR($A198="",AH198&lt;MIN_OBS_ROLL),"",SUMPRODUCT(Y162:Y197,Z162:Z197)/AH198)</f>
        <v/>
      </c>
      <c r="AJ198" s="40">
        <f>IF(OR($A198="",AF198&lt;MIN_OBS_ROLL),"",SUMPRODUCT(AA162:AA197,AB162:AB197)/AF198)</f>
        <v/>
      </c>
      <c r="AK198" s="40">
        <f>IF(OR(AE198="",AG198=""),"",AE198/AG198)</f>
        <v/>
      </c>
      <c r="AL198" s="40">
        <f>IF(OR(AI198="",AK198="",AJ198=""),"",AI198-AK198*AJ198)</f>
        <v/>
      </c>
      <c r="AM198" s="40">
        <f>IF(AND(ISNUMBER(W198),ISNUMBER(X198),ISNUMBER(AK198),ISNUMBER(AL198)),W198-(AL198+AK198*X198),"")</f>
        <v/>
      </c>
      <c r="AN198" s="38">
        <f>IF(ISNUMBER(AM198),1,0)</f>
        <v/>
      </c>
      <c r="AO198" s="40">
        <f>IF(AN198=1,AM198,0)</f>
        <v/>
      </c>
      <c r="AP198" s="40">
        <f>IF(SUM(AN196:AN198)=3,SUM(AO196:AO198),"")</f>
        <v/>
      </c>
      <c r="AQ198" s="38">
        <f>IF(ISNUMBER(AP198),1,0)</f>
        <v/>
      </c>
      <c r="AR198" s="40">
        <f>IF(AQ198=1,AP198,0)</f>
        <v/>
      </c>
      <c r="AS198" s="38">
        <f>SUM(AQ$5:AQ198)</f>
        <v/>
      </c>
      <c r="AT198" s="40">
        <f>IF(AS198&gt;=MIN_OBS_Z,SUMPRODUCT(AQ$5:AQ198,AR$5:AR198)/AS198,"")</f>
        <v/>
      </c>
      <c r="AU198" s="40">
        <f>IF(AS198&gt;=MIN_OBS_Z,SQRT(SUMPRODUCT(AQ$5:AQ198,(AR$5:AR198-AT198)^2)/(AS198-1)),"")</f>
        <v/>
      </c>
      <c r="AV198" s="40">
        <f>IF(AND(AQ198=1,ISNUMBER(AT198)),MAX(-Z_CLIP,MIN(Z_CLIP,(AR198-AT198)/AU198)),"")</f>
        <v/>
      </c>
      <c r="AW198" s="40">
        <f>IF(ISNUMBER(AV198),-AV198,"")</f>
        <v/>
      </c>
      <c r="AX198" s="40">
        <f>IF(ISNUMBER(AW198),1+AMPLITUD*TANH(AW198),"")</f>
        <v/>
      </c>
      <c r="AY198" s="40">
        <f>IF($A198="","",IF(COUNT(AX196:AX198)&gt;0,AVERAGE(AX196:AX198),""))</f>
        <v/>
      </c>
      <c r="AZ198" s="40">
        <f>IF(ISNUMBER(AY198),AY198-1,"")</f>
        <v/>
      </c>
      <c r="BA198" s="40">
        <f>IF(AND(ISNUMBER(AZ197),ISNUMBER(W198)),AZ197*W_BANCOS*W198,"")</f>
        <v/>
      </c>
      <c r="BB198" s="40">
        <f>IF(AND(ISNUMBER(AZ197),ISNUMBER(AZ196)),ABS(AZ197-AZ196)*W_BANCOS*COSTO,0)</f>
        <v/>
      </c>
      <c r="BC198" s="40">
        <f>IF(ISNUMBER(BA198),BA198-BB198,"")</f>
        <v/>
      </c>
      <c r="BD198" s="42">
        <f>IF(ISNUMBER(BC198),IF(A198&lt;=FECHA_ERA,"A","B"),"")</f>
        <v/>
      </c>
      <c r="BE198" s="40">
        <f>IF(BD198="A",BC198,"")</f>
        <v/>
      </c>
      <c r="BF198" s="40">
        <f>IF(BD198="B",BC198,"")</f>
        <v/>
      </c>
      <c r="BG198" s="38">
        <f>IF(AND(ISNUMBER(BC198),ISNUMBER(A198)),IF(A198&gt;=INICIO_VIVO,1,0),0)</f>
        <v/>
      </c>
      <c r="BH198" s="40">
        <f>IF(BG198=1,BC198,"")</f>
        <v/>
      </c>
      <c r="BI198" s="38">
        <f>IF(ISNUMBER(AY198),ROW(),0)</f>
        <v/>
      </c>
      <c r="BJ198" s="43">
        <f>IF(ISNUMBER(BC198),SUM(BC$5:BC198)*10000,NA())</f>
        <v/>
      </c>
      <c r="BK198" s="43">
        <f>IF(BG198=1,SUM(BH$5:BH198)*10000,NA())</f>
        <v/>
      </c>
      <c r="BL198" s="44">
        <f>IF(ISNUMBER(AY198),AY198,NA())</f>
        <v/>
      </c>
    </row>
    <row r="199">
      <c r="A199" s="36">
        <f>IF(Datos!A199="","",Datos!A199)</f>
        <v/>
      </c>
      <c r="B199" s="37">
        <f>IF(OR($A199="",NOT(ISNUMBER(Datos!B199)),NOT(ISNUMBER(Datos!B198))),"",Datos!B199/Datos!B198-1)</f>
        <v/>
      </c>
      <c r="C199" s="37">
        <f>IF(OR($A199="",NOT(ISNUMBER(Datos!C199)),NOT(ISNUMBER(Datos!C198))),"",Datos!C199/Datos!C198-1)</f>
        <v/>
      </c>
      <c r="D199" s="37">
        <f>IF(OR($A199="",NOT(ISNUMBER(Datos!D199)),NOT(ISNUMBER(Datos!D198))),"",Datos!D199/Datos!D198-1)</f>
        <v/>
      </c>
      <c r="E199" s="37">
        <f>IF(OR($A199="",NOT(ISNUMBER(Datos!E199)),NOT(ISNUMBER(Datos!E198))),"",Datos!E199/Datos!E198-1)</f>
        <v/>
      </c>
      <c r="F199" s="38">
        <f>IF($A199="","",COUNT(B199:E199))</f>
        <v/>
      </c>
      <c r="G199" s="37">
        <f>IF($A199="","",IF(F199&gt;=MIN_BANCOS,AVERAGE(B199:E199),""))</f>
        <v/>
      </c>
      <c r="H199" s="37">
        <f>IF(OR($A199="",NOT(ISNUMBER(Datos!F199)),NOT(ISNUMBER(Datos!F198))),"",Datos!F199/Datos!F198-1)</f>
        <v/>
      </c>
      <c r="I199" s="39">
        <f>IF($A199="","",IF(ISNUMBER(Datos!G199),Datos!G199,I198))</f>
        <v/>
      </c>
      <c r="J199" s="40">
        <f>IF($A199="","",IF(ISNUMBER(I198),LN(1+I198/100/12),0))</f>
        <v/>
      </c>
      <c r="K199" s="40">
        <f>IF(ISNUMBER(G199),LN(1+G199)-J199,"")</f>
        <v/>
      </c>
      <c r="L199" s="40">
        <f>IF(ISNUMBER(H199),LN(1+H199)-J199,"")</f>
        <v/>
      </c>
      <c r="M199" s="38">
        <f>IF(ISNUMBER(K199),1,0)</f>
        <v/>
      </c>
      <c r="N199" s="40">
        <f>IF(M199=1,K199,0)</f>
        <v/>
      </c>
      <c r="O199" s="38">
        <f>IF(ISNUMBER(L199),1,0)</f>
        <v/>
      </c>
      <c r="P199" s="40">
        <f>IF(O199=1,L199,0)</f>
        <v/>
      </c>
      <c r="Q199" s="38">
        <f>M199*O199</f>
        <v/>
      </c>
      <c r="R199" s="38">
        <f>SUM(Q163:Q198)</f>
        <v/>
      </c>
      <c r="S199" s="41">
        <f>IF(OR($A199="",R199&lt;MIN_OBS_ROLL),"",(SUMPRODUCT(Q163:Q198,N163:N198,P163:P198)/R199-SUMPRODUCT(Q163:Q198,N163:N198)/R199*SUMPRODUCT(Q163:Q198,P163:P198)/R199)*R199/(R199-1))</f>
        <v/>
      </c>
      <c r="T199" s="38">
        <f>SUM(O163:O198)</f>
        <v/>
      </c>
      <c r="U199" s="41">
        <f>IF(OR($A199="",T199&lt;MIN_OBS_ROLL),"",SUMPRODUCT(O163:O198,(P163:P198-SUMPRODUCT(O163:O198,P163:P198)/T199)^2)/(T199-1))</f>
        <v/>
      </c>
      <c r="V199" s="40">
        <f>IF(OR(S199="",U199=""),"",S199/U199)</f>
        <v/>
      </c>
      <c r="W199" s="40">
        <f>IF(AND(ISNUMBER(K199),ISNUMBER(L199),ISNUMBER(V199)),K199-V199*L199,"")</f>
        <v/>
      </c>
      <c r="X199" s="40">
        <f>IF(OR($A199="",NOT(ISNUMBER(Datos!H199)),NOT(ISNUMBER(Datos!H198))),"",LN(Datos!H199)-LN(Datos!H198))</f>
        <v/>
      </c>
      <c r="Y199" s="38">
        <f>IF(ISNUMBER(W199),1,0)</f>
        <v/>
      </c>
      <c r="Z199" s="40">
        <f>IF(Y199=1,W199,0)</f>
        <v/>
      </c>
      <c r="AA199" s="38">
        <f>IF(ISNUMBER(X199),1,0)</f>
        <v/>
      </c>
      <c r="AB199" s="40">
        <f>IF(AA199=1,X199,0)</f>
        <v/>
      </c>
      <c r="AC199" s="38">
        <f>Y199*AA199</f>
        <v/>
      </c>
      <c r="AD199" s="38">
        <f>SUM(AC163:AC198)</f>
        <v/>
      </c>
      <c r="AE199" s="41">
        <f>IF(OR($A199="",AD199&lt;MIN_OBS_ROLL),"",(SUMPRODUCT(AC163:AC198,Z163:Z198,AB163:AB198)/AD199-SUMPRODUCT(AC163:AC198,Z163:Z198)/AD199*SUMPRODUCT(AC163:AC198,AB163:AB198)/AD199)*AD199/(AD199-1))</f>
        <v/>
      </c>
      <c r="AF199" s="38">
        <f>SUM(AA163:AA198)</f>
        <v/>
      </c>
      <c r="AG199" s="41">
        <f>IF(OR($A199="",AF199&lt;MIN_OBS_ROLL),"",SUMPRODUCT(AA163:AA198,(AB163:AB198-SUMPRODUCT(AA163:AA198,AB163:AB198)/AF199)^2)/(AF199-1))</f>
        <v/>
      </c>
      <c r="AH199" s="38">
        <f>SUM(Y163:Y198)</f>
        <v/>
      </c>
      <c r="AI199" s="40">
        <f>IF(OR($A199="",AH199&lt;MIN_OBS_ROLL),"",SUMPRODUCT(Y163:Y198,Z163:Z198)/AH199)</f>
        <v/>
      </c>
      <c r="AJ199" s="40">
        <f>IF(OR($A199="",AF199&lt;MIN_OBS_ROLL),"",SUMPRODUCT(AA163:AA198,AB163:AB198)/AF199)</f>
        <v/>
      </c>
      <c r="AK199" s="40">
        <f>IF(OR(AE199="",AG199=""),"",AE199/AG199)</f>
        <v/>
      </c>
      <c r="AL199" s="40">
        <f>IF(OR(AI199="",AK199="",AJ199=""),"",AI199-AK199*AJ199)</f>
        <v/>
      </c>
      <c r="AM199" s="40">
        <f>IF(AND(ISNUMBER(W199),ISNUMBER(X199),ISNUMBER(AK199),ISNUMBER(AL199)),W199-(AL199+AK199*X199),"")</f>
        <v/>
      </c>
      <c r="AN199" s="38">
        <f>IF(ISNUMBER(AM199),1,0)</f>
        <v/>
      </c>
      <c r="AO199" s="40">
        <f>IF(AN199=1,AM199,0)</f>
        <v/>
      </c>
      <c r="AP199" s="40">
        <f>IF(SUM(AN197:AN199)=3,SUM(AO197:AO199),"")</f>
        <v/>
      </c>
      <c r="AQ199" s="38">
        <f>IF(ISNUMBER(AP199),1,0)</f>
        <v/>
      </c>
      <c r="AR199" s="40">
        <f>IF(AQ199=1,AP199,0)</f>
        <v/>
      </c>
      <c r="AS199" s="38">
        <f>SUM(AQ$5:AQ199)</f>
        <v/>
      </c>
      <c r="AT199" s="40">
        <f>IF(AS199&gt;=MIN_OBS_Z,SUMPRODUCT(AQ$5:AQ199,AR$5:AR199)/AS199,"")</f>
        <v/>
      </c>
      <c r="AU199" s="40">
        <f>IF(AS199&gt;=MIN_OBS_Z,SQRT(SUMPRODUCT(AQ$5:AQ199,(AR$5:AR199-AT199)^2)/(AS199-1)),"")</f>
        <v/>
      </c>
      <c r="AV199" s="40">
        <f>IF(AND(AQ199=1,ISNUMBER(AT199)),MAX(-Z_CLIP,MIN(Z_CLIP,(AR199-AT199)/AU199)),"")</f>
        <v/>
      </c>
      <c r="AW199" s="40">
        <f>IF(ISNUMBER(AV199),-AV199,"")</f>
        <v/>
      </c>
      <c r="AX199" s="40">
        <f>IF(ISNUMBER(AW199),1+AMPLITUD*TANH(AW199),"")</f>
        <v/>
      </c>
      <c r="AY199" s="40">
        <f>IF($A199="","",IF(COUNT(AX197:AX199)&gt;0,AVERAGE(AX197:AX199),""))</f>
        <v/>
      </c>
      <c r="AZ199" s="40">
        <f>IF(ISNUMBER(AY199),AY199-1,"")</f>
        <v/>
      </c>
      <c r="BA199" s="40">
        <f>IF(AND(ISNUMBER(AZ198),ISNUMBER(W199)),AZ198*W_BANCOS*W199,"")</f>
        <v/>
      </c>
      <c r="BB199" s="40">
        <f>IF(AND(ISNUMBER(AZ198),ISNUMBER(AZ197)),ABS(AZ198-AZ197)*W_BANCOS*COSTO,0)</f>
        <v/>
      </c>
      <c r="BC199" s="40">
        <f>IF(ISNUMBER(BA199),BA199-BB199,"")</f>
        <v/>
      </c>
      <c r="BD199" s="42">
        <f>IF(ISNUMBER(BC199),IF(A199&lt;=FECHA_ERA,"A","B"),"")</f>
        <v/>
      </c>
      <c r="BE199" s="40">
        <f>IF(BD199="A",BC199,"")</f>
        <v/>
      </c>
      <c r="BF199" s="40">
        <f>IF(BD199="B",BC199,"")</f>
        <v/>
      </c>
      <c r="BG199" s="38">
        <f>IF(AND(ISNUMBER(BC199),ISNUMBER(A199)),IF(A199&gt;=INICIO_VIVO,1,0),0)</f>
        <v/>
      </c>
      <c r="BH199" s="40">
        <f>IF(BG199=1,BC199,"")</f>
        <v/>
      </c>
      <c r="BI199" s="38">
        <f>IF(ISNUMBER(AY199),ROW(),0)</f>
        <v/>
      </c>
      <c r="BJ199" s="43">
        <f>IF(ISNUMBER(BC199),SUM(BC$5:BC199)*10000,NA())</f>
        <v/>
      </c>
      <c r="BK199" s="43">
        <f>IF(BG199=1,SUM(BH$5:BH199)*10000,NA())</f>
        <v/>
      </c>
      <c r="BL199" s="44">
        <f>IF(ISNUMBER(AY199),AY199,NA())</f>
        <v/>
      </c>
    </row>
    <row r="200">
      <c r="A200" s="36">
        <f>IF(Datos!A200="","",Datos!A200)</f>
        <v/>
      </c>
      <c r="B200" s="37">
        <f>IF(OR($A200="",NOT(ISNUMBER(Datos!B200)),NOT(ISNUMBER(Datos!B199))),"",Datos!B200/Datos!B199-1)</f>
        <v/>
      </c>
      <c r="C200" s="37">
        <f>IF(OR($A200="",NOT(ISNUMBER(Datos!C200)),NOT(ISNUMBER(Datos!C199))),"",Datos!C200/Datos!C199-1)</f>
        <v/>
      </c>
      <c r="D200" s="37">
        <f>IF(OR($A200="",NOT(ISNUMBER(Datos!D200)),NOT(ISNUMBER(Datos!D199))),"",Datos!D200/Datos!D199-1)</f>
        <v/>
      </c>
      <c r="E200" s="37">
        <f>IF(OR($A200="",NOT(ISNUMBER(Datos!E200)),NOT(ISNUMBER(Datos!E199))),"",Datos!E200/Datos!E199-1)</f>
        <v/>
      </c>
      <c r="F200" s="38">
        <f>IF($A200="","",COUNT(B200:E200))</f>
        <v/>
      </c>
      <c r="G200" s="37">
        <f>IF($A200="","",IF(F200&gt;=MIN_BANCOS,AVERAGE(B200:E200),""))</f>
        <v/>
      </c>
      <c r="H200" s="37">
        <f>IF(OR($A200="",NOT(ISNUMBER(Datos!F200)),NOT(ISNUMBER(Datos!F199))),"",Datos!F200/Datos!F199-1)</f>
        <v/>
      </c>
      <c r="I200" s="39">
        <f>IF($A200="","",IF(ISNUMBER(Datos!G200),Datos!G200,I199))</f>
        <v/>
      </c>
      <c r="J200" s="40">
        <f>IF($A200="","",IF(ISNUMBER(I199),LN(1+I199/100/12),0))</f>
        <v/>
      </c>
      <c r="K200" s="40">
        <f>IF(ISNUMBER(G200),LN(1+G200)-J200,"")</f>
        <v/>
      </c>
      <c r="L200" s="40">
        <f>IF(ISNUMBER(H200),LN(1+H200)-J200,"")</f>
        <v/>
      </c>
      <c r="M200" s="38">
        <f>IF(ISNUMBER(K200),1,0)</f>
        <v/>
      </c>
      <c r="N200" s="40">
        <f>IF(M200=1,K200,0)</f>
        <v/>
      </c>
      <c r="O200" s="38">
        <f>IF(ISNUMBER(L200),1,0)</f>
        <v/>
      </c>
      <c r="P200" s="40">
        <f>IF(O200=1,L200,0)</f>
        <v/>
      </c>
      <c r="Q200" s="38">
        <f>M200*O200</f>
        <v/>
      </c>
      <c r="R200" s="38">
        <f>SUM(Q164:Q199)</f>
        <v/>
      </c>
      <c r="S200" s="41">
        <f>IF(OR($A200="",R200&lt;MIN_OBS_ROLL),"",(SUMPRODUCT(Q164:Q199,N164:N199,P164:P199)/R200-SUMPRODUCT(Q164:Q199,N164:N199)/R200*SUMPRODUCT(Q164:Q199,P164:P199)/R200)*R200/(R200-1))</f>
        <v/>
      </c>
      <c r="T200" s="38">
        <f>SUM(O164:O199)</f>
        <v/>
      </c>
      <c r="U200" s="41">
        <f>IF(OR($A200="",T200&lt;MIN_OBS_ROLL),"",SUMPRODUCT(O164:O199,(P164:P199-SUMPRODUCT(O164:O199,P164:P199)/T200)^2)/(T200-1))</f>
        <v/>
      </c>
      <c r="V200" s="40">
        <f>IF(OR(S200="",U200=""),"",S200/U200)</f>
        <v/>
      </c>
      <c r="W200" s="40">
        <f>IF(AND(ISNUMBER(K200),ISNUMBER(L200),ISNUMBER(V200)),K200-V200*L200,"")</f>
        <v/>
      </c>
      <c r="X200" s="40">
        <f>IF(OR($A200="",NOT(ISNUMBER(Datos!H200)),NOT(ISNUMBER(Datos!H199))),"",LN(Datos!H200)-LN(Datos!H199))</f>
        <v/>
      </c>
      <c r="Y200" s="38">
        <f>IF(ISNUMBER(W200),1,0)</f>
        <v/>
      </c>
      <c r="Z200" s="40">
        <f>IF(Y200=1,W200,0)</f>
        <v/>
      </c>
      <c r="AA200" s="38">
        <f>IF(ISNUMBER(X200),1,0)</f>
        <v/>
      </c>
      <c r="AB200" s="40">
        <f>IF(AA200=1,X200,0)</f>
        <v/>
      </c>
      <c r="AC200" s="38">
        <f>Y200*AA200</f>
        <v/>
      </c>
      <c r="AD200" s="38">
        <f>SUM(AC164:AC199)</f>
        <v/>
      </c>
      <c r="AE200" s="41">
        <f>IF(OR($A200="",AD200&lt;MIN_OBS_ROLL),"",(SUMPRODUCT(AC164:AC199,Z164:Z199,AB164:AB199)/AD200-SUMPRODUCT(AC164:AC199,Z164:Z199)/AD200*SUMPRODUCT(AC164:AC199,AB164:AB199)/AD200)*AD200/(AD200-1))</f>
        <v/>
      </c>
      <c r="AF200" s="38">
        <f>SUM(AA164:AA199)</f>
        <v/>
      </c>
      <c r="AG200" s="41">
        <f>IF(OR($A200="",AF200&lt;MIN_OBS_ROLL),"",SUMPRODUCT(AA164:AA199,(AB164:AB199-SUMPRODUCT(AA164:AA199,AB164:AB199)/AF200)^2)/(AF200-1))</f>
        <v/>
      </c>
      <c r="AH200" s="38">
        <f>SUM(Y164:Y199)</f>
        <v/>
      </c>
      <c r="AI200" s="40">
        <f>IF(OR($A200="",AH200&lt;MIN_OBS_ROLL),"",SUMPRODUCT(Y164:Y199,Z164:Z199)/AH200)</f>
        <v/>
      </c>
      <c r="AJ200" s="40">
        <f>IF(OR($A200="",AF200&lt;MIN_OBS_ROLL),"",SUMPRODUCT(AA164:AA199,AB164:AB199)/AF200)</f>
        <v/>
      </c>
      <c r="AK200" s="40">
        <f>IF(OR(AE200="",AG200=""),"",AE200/AG200)</f>
        <v/>
      </c>
      <c r="AL200" s="40">
        <f>IF(OR(AI200="",AK200="",AJ200=""),"",AI200-AK200*AJ200)</f>
        <v/>
      </c>
      <c r="AM200" s="40">
        <f>IF(AND(ISNUMBER(W200),ISNUMBER(X200),ISNUMBER(AK200),ISNUMBER(AL200)),W200-(AL200+AK200*X200),"")</f>
        <v/>
      </c>
      <c r="AN200" s="38">
        <f>IF(ISNUMBER(AM200),1,0)</f>
        <v/>
      </c>
      <c r="AO200" s="40">
        <f>IF(AN200=1,AM200,0)</f>
        <v/>
      </c>
      <c r="AP200" s="40">
        <f>IF(SUM(AN198:AN200)=3,SUM(AO198:AO200),"")</f>
        <v/>
      </c>
      <c r="AQ200" s="38">
        <f>IF(ISNUMBER(AP200),1,0)</f>
        <v/>
      </c>
      <c r="AR200" s="40">
        <f>IF(AQ200=1,AP200,0)</f>
        <v/>
      </c>
      <c r="AS200" s="38">
        <f>SUM(AQ$5:AQ200)</f>
        <v/>
      </c>
      <c r="AT200" s="40">
        <f>IF(AS200&gt;=MIN_OBS_Z,SUMPRODUCT(AQ$5:AQ200,AR$5:AR200)/AS200,"")</f>
        <v/>
      </c>
      <c r="AU200" s="40">
        <f>IF(AS200&gt;=MIN_OBS_Z,SQRT(SUMPRODUCT(AQ$5:AQ200,(AR$5:AR200-AT200)^2)/(AS200-1)),"")</f>
        <v/>
      </c>
      <c r="AV200" s="40">
        <f>IF(AND(AQ200=1,ISNUMBER(AT200)),MAX(-Z_CLIP,MIN(Z_CLIP,(AR200-AT200)/AU200)),"")</f>
        <v/>
      </c>
      <c r="AW200" s="40">
        <f>IF(ISNUMBER(AV200),-AV200,"")</f>
        <v/>
      </c>
      <c r="AX200" s="40">
        <f>IF(ISNUMBER(AW200),1+AMPLITUD*TANH(AW200),"")</f>
        <v/>
      </c>
      <c r="AY200" s="40">
        <f>IF($A200="","",IF(COUNT(AX198:AX200)&gt;0,AVERAGE(AX198:AX200),""))</f>
        <v/>
      </c>
      <c r="AZ200" s="40">
        <f>IF(ISNUMBER(AY200),AY200-1,"")</f>
        <v/>
      </c>
      <c r="BA200" s="40">
        <f>IF(AND(ISNUMBER(AZ199),ISNUMBER(W200)),AZ199*W_BANCOS*W200,"")</f>
        <v/>
      </c>
      <c r="BB200" s="40">
        <f>IF(AND(ISNUMBER(AZ199),ISNUMBER(AZ198)),ABS(AZ199-AZ198)*W_BANCOS*COSTO,0)</f>
        <v/>
      </c>
      <c r="BC200" s="40">
        <f>IF(ISNUMBER(BA200),BA200-BB200,"")</f>
        <v/>
      </c>
      <c r="BD200" s="42">
        <f>IF(ISNUMBER(BC200),IF(A200&lt;=FECHA_ERA,"A","B"),"")</f>
        <v/>
      </c>
      <c r="BE200" s="40">
        <f>IF(BD200="A",BC200,"")</f>
        <v/>
      </c>
      <c r="BF200" s="40">
        <f>IF(BD200="B",BC200,"")</f>
        <v/>
      </c>
      <c r="BG200" s="38">
        <f>IF(AND(ISNUMBER(BC200),ISNUMBER(A200)),IF(A200&gt;=INICIO_VIVO,1,0),0)</f>
        <v/>
      </c>
      <c r="BH200" s="40">
        <f>IF(BG200=1,BC200,"")</f>
        <v/>
      </c>
      <c r="BI200" s="38">
        <f>IF(ISNUMBER(AY200),ROW(),0)</f>
        <v/>
      </c>
      <c r="BJ200" s="43">
        <f>IF(ISNUMBER(BC200),SUM(BC$5:BC200)*10000,NA())</f>
        <v/>
      </c>
      <c r="BK200" s="43">
        <f>IF(BG200=1,SUM(BH$5:BH200)*10000,NA())</f>
        <v/>
      </c>
      <c r="BL200" s="44">
        <f>IF(ISNUMBER(AY200),AY200,NA())</f>
        <v/>
      </c>
    </row>
    <row r="201">
      <c r="A201" s="36">
        <f>IF(Datos!A201="","",Datos!A201)</f>
        <v/>
      </c>
      <c r="B201" s="37">
        <f>IF(OR($A201="",NOT(ISNUMBER(Datos!B201)),NOT(ISNUMBER(Datos!B200))),"",Datos!B201/Datos!B200-1)</f>
        <v/>
      </c>
      <c r="C201" s="37">
        <f>IF(OR($A201="",NOT(ISNUMBER(Datos!C201)),NOT(ISNUMBER(Datos!C200))),"",Datos!C201/Datos!C200-1)</f>
        <v/>
      </c>
      <c r="D201" s="37">
        <f>IF(OR($A201="",NOT(ISNUMBER(Datos!D201)),NOT(ISNUMBER(Datos!D200))),"",Datos!D201/Datos!D200-1)</f>
        <v/>
      </c>
      <c r="E201" s="37">
        <f>IF(OR($A201="",NOT(ISNUMBER(Datos!E201)),NOT(ISNUMBER(Datos!E200))),"",Datos!E201/Datos!E200-1)</f>
        <v/>
      </c>
      <c r="F201" s="38">
        <f>IF($A201="","",COUNT(B201:E201))</f>
        <v/>
      </c>
      <c r="G201" s="37">
        <f>IF($A201="","",IF(F201&gt;=MIN_BANCOS,AVERAGE(B201:E201),""))</f>
        <v/>
      </c>
      <c r="H201" s="37">
        <f>IF(OR($A201="",NOT(ISNUMBER(Datos!F201)),NOT(ISNUMBER(Datos!F200))),"",Datos!F201/Datos!F200-1)</f>
        <v/>
      </c>
      <c r="I201" s="39">
        <f>IF($A201="","",IF(ISNUMBER(Datos!G201),Datos!G201,I200))</f>
        <v/>
      </c>
      <c r="J201" s="40">
        <f>IF($A201="","",IF(ISNUMBER(I200),LN(1+I200/100/12),0))</f>
        <v/>
      </c>
      <c r="K201" s="40">
        <f>IF(ISNUMBER(G201),LN(1+G201)-J201,"")</f>
        <v/>
      </c>
      <c r="L201" s="40">
        <f>IF(ISNUMBER(H201),LN(1+H201)-J201,"")</f>
        <v/>
      </c>
      <c r="M201" s="38">
        <f>IF(ISNUMBER(K201),1,0)</f>
        <v/>
      </c>
      <c r="N201" s="40">
        <f>IF(M201=1,K201,0)</f>
        <v/>
      </c>
      <c r="O201" s="38">
        <f>IF(ISNUMBER(L201),1,0)</f>
        <v/>
      </c>
      <c r="P201" s="40">
        <f>IF(O201=1,L201,0)</f>
        <v/>
      </c>
      <c r="Q201" s="38">
        <f>M201*O201</f>
        <v/>
      </c>
      <c r="R201" s="38">
        <f>SUM(Q165:Q200)</f>
        <v/>
      </c>
      <c r="S201" s="41">
        <f>IF(OR($A201="",R201&lt;MIN_OBS_ROLL),"",(SUMPRODUCT(Q165:Q200,N165:N200,P165:P200)/R201-SUMPRODUCT(Q165:Q200,N165:N200)/R201*SUMPRODUCT(Q165:Q200,P165:P200)/R201)*R201/(R201-1))</f>
        <v/>
      </c>
      <c r="T201" s="38">
        <f>SUM(O165:O200)</f>
        <v/>
      </c>
      <c r="U201" s="41">
        <f>IF(OR($A201="",T201&lt;MIN_OBS_ROLL),"",SUMPRODUCT(O165:O200,(P165:P200-SUMPRODUCT(O165:O200,P165:P200)/T201)^2)/(T201-1))</f>
        <v/>
      </c>
      <c r="V201" s="40">
        <f>IF(OR(S201="",U201=""),"",S201/U201)</f>
        <v/>
      </c>
      <c r="W201" s="40">
        <f>IF(AND(ISNUMBER(K201),ISNUMBER(L201),ISNUMBER(V201)),K201-V201*L201,"")</f>
        <v/>
      </c>
      <c r="X201" s="40">
        <f>IF(OR($A201="",NOT(ISNUMBER(Datos!H201)),NOT(ISNUMBER(Datos!H200))),"",LN(Datos!H201)-LN(Datos!H200))</f>
        <v/>
      </c>
      <c r="Y201" s="38">
        <f>IF(ISNUMBER(W201),1,0)</f>
        <v/>
      </c>
      <c r="Z201" s="40">
        <f>IF(Y201=1,W201,0)</f>
        <v/>
      </c>
      <c r="AA201" s="38">
        <f>IF(ISNUMBER(X201),1,0)</f>
        <v/>
      </c>
      <c r="AB201" s="40">
        <f>IF(AA201=1,X201,0)</f>
        <v/>
      </c>
      <c r="AC201" s="38">
        <f>Y201*AA201</f>
        <v/>
      </c>
      <c r="AD201" s="38">
        <f>SUM(AC165:AC200)</f>
        <v/>
      </c>
      <c r="AE201" s="41">
        <f>IF(OR($A201="",AD201&lt;MIN_OBS_ROLL),"",(SUMPRODUCT(AC165:AC200,Z165:Z200,AB165:AB200)/AD201-SUMPRODUCT(AC165:AC200,Z165:Z200)/AD201*SUMPRODUCT(AC165:AC200,AB165:AB200)/AD201)*AD201/(AD201-1))</f>
        <v/>
      </c>
      <c r="AF201" s="38">
        <f>SUM(AA165:AA200)</f>
        <v/>
      </c>
      <c r="AG201" s="41">
        <f>IF(OR($A201="",AF201&lt;MIN_OBS_ROLL),"",SUMPRODUCT(AA165:AA200,(AB165:AB200-SUMPRODUCT(AA165:AA200,AB165:AB200)/AF201)^2)/(AF201-1))</f>
        <v/>
      </c>
      <c r="AH201" s="38">
        <f>SUM(Y165:Y200)</f>
        <v/>
      </c>
      <c r="AI201" s="40">
        <f>IF(OR($A201="",AH201&lt;MIN_OBS_ROLL),"",SUMPRODUCT(Y165:Y200,Z165:Z200)/AH201)</f>
        <v/>
      </c>
      <c r="AJ201" s="40">
        <f>IF(OR($A201="",AF201&lt;MIN_OBS_ROLL),"",SUMPRODUCT(AA165:AA200,AB165:AB200)/AF201)</f>
        <v/>
      </c>
      <c r="AK201" s="40">
        <f>IF(OR(AE201="",AG201=""),"",AE201/AG201)</f>
        <v/>
      </c>
      <c r="AL201" s="40">
        <f>IF(OR(AI201="",AK201="",AJ201=""),"",AI201-AK201*AJ201)</f>
        <v/>
      </c>
      <c r="AM201" s="40">
        <f>IF(AND(ISNUMBER(W201),ISNUMBER(X201),ISNUMBER(AK201),ISNUMBER(AL201)),W201-(AL201+AK201*X201),"")</f>
        <v/>
      </c>
      <c r="AN201" s="38">
        <f>IF(ISNUMBER(AM201),1,0)</f>
        <v/>
      </c>
      <c r="AO201" s="40">
        <f>IF(AN201=1,AM201,0)</f>
        <v/>
      </c>
      <c r="AP201" s="40">
        <f>IF(SUM(AN199:AN201)=3,SUM(AO199:AO201),"")</f>
        <v/>
      </c>
      <c r="AQ201" s="38">
        <f>IF(ISNUMBER(AP201),1,0)</f>
        <v/>
      </c>
      <c r="AR201" s="40">
        <f>IF(AQ201=1,AP201,0)</f>
        <v/>
      </c>
      <c r="AS201" s="38">
        <f>SUM(AQ$5:AQ201)</f>
        <v/>
      </c>
      <c r="AT201" s="40">
        <f>IF(AS201&gt;=MIN_OBS_Z,SUMPRODUCT(AQ$5:AQ201,AR$5:AR201)/AS201,"")</f>
        <v/>
      </c>
      <c r="AU201" s="40">
        <f>IF(AS201&gt;=MIN_OBS_Z,SQRT(SUMPRODUCT(AQ$5:AQ201,(AR$5:AR201-AT201)^2)/(AS201-1)),"")</f>
        <v/>
      </c>
      <c r="AV201" s="40">
        <f>IF(AND(AQ201=1,ISNUMBER(AT201)),MAX(-Z_CLIP,MIN(Z_CLIP,(AR201-AT201)/AU201)),"")</f>
        <v/>
      </c>
      <c r="AW201" s="40">
        <f>IF(ISNUMBER(AV201),-AV201,"")</f>
        <v/>
      </c>
      <c r="AX201" s="40">
        <f>IF(ISNUMBER(AW201),1+AMPLITUD*TANH(AW201),"")</f>
        <v/>
      </c>
      <c r="AY201" s="40">
        <f>IF($A201="","",IF(COUNT(AX199:AX201)&gt;0,AVERAGE(AX199:AX201),""))</f>
        <v/>
      </c>
      <c r="AZ201" s="40">
        <f>IF(ISNUMBER(AY201),AY201-1,"")</f>
        <v/>
      </c>
      <c r="BA201" s="40">
        <f>IF(AND(ISNUMBER(AZ200),ISNUMBER(W201)),AZ200*W_BANCOS*W201,"")</f>
        <v/>
      </c>
      <c r="BB201" s="40">
        <f>IF(AND(ISNUMBER(AZ200),ISNUMBER(AZ199)),ABS(AZ200-AZ199)*W_BANCOS*COSTO,0)</f>
        <v/>
      </c>
      <c r="BC201" s="40">
        <f>IF(ISNUMBER(BA201),BA201-BB201,"")</f>
        <v/>
      </c>
      <c r="BD201" s="42">
        <f>IF(ISNUMBER(BC201),IF(A201&lt;=FECHA_ERA,"A","B"),"")</f>
        <v/>
      </c>
      <c r="BE201" s="40">
        <f>IF(BD201="A",BC201,"")</f>
        <v/>
      </c>
      <c r="BF201" s="40">
        <f>IF(BD201="B",BC201,"")</f>
        <v/>
      </c>
      <c r="BG201" s="38">
        <f>IF(AND(ISNUMBER(BC201),ISNUMBER(A201)),IF(A201&gt;=INICIO_VIVO,1,0),0)</f>
        <v/>
      </c>
      <c r="BH201" s="40">
        <f>IF(BG201=1,BC201,"")</f>
        <v/>
      </c>
      <c r="BI201" s="38">
        <f>IF(ISNUMBER(AY201),ROW(),0)</f>
        <v/>
      </c>
      <c r="BJ201" s="43">
        <f>IF(ISNUMBER(BC201),SUM(BC$5:BC201)*10000,NA())</f>
        <v/>
      </c>
      <c r="BK201" s="43">
        <f>IF(BG201=1,SUM(BH$5:BH201)*10000,NA())</f>
        <v/>
      </c>
      <c r="BL201" s="44">
        <f>IF(ISNUMBER(AY201),AY201,NA())</f>
        <v/>
      </c>
    </row>
    <row r="202">
      <c r="A202" s="36">
        <f>IF(Datos!A202="","",Datos!A202)</f>
        <v/>
      </c>
      <c r="B202" s="37">
        <f>IF(OR($A202="",NOT(ISNUMBER(Datos!B202)),NOT(ISNUMBER(Datos!B201))),"",Datos!B202/Datos!B201-1)</f>
        <v/>
      </c>
      <c r="C202" s="37">
        <f>IF(OR($A202="",NOT(ISNUMBER(Datos!C202)),NOT(ISNUMBER(Datos!C201))),"",Datos!C202/Datos!C201-1)</f>
        <v/>
      </c>
      <c r="D202" s="37">
        <f>IF(OR($A202="",NOT(ISNUMBER(Datos!D202)),NOT(ISNUMBER(Datos!D201))),"",Datos!D202/Datos!D201-1)</f>
        <v/>
      </c>
      <c r="E202" s="37">
        <f>IF(OR($A202="",NOT(ISNUMBER(Datos!E202)),NOT(ISNUMBER(Datos!E201))),"",Datos!E202/Datos!E201-1)</f>
        <v/>
      </c>
      <c r="F202" s="38">
        <f>IF($A202="","",COUNT(B202:E202))</f>
        <v/>
      </c>
      <c r="G202" s="37">
        <f>IF($A202="","",IF(F202&gt;=MIN_BANCOS,AVERAGE(B202:E202),""))</f>
        <v/>
      </c>
      <c r="H202" s="37">
        <f>IF(OR($A202="",NOT(ISNUMBER(Datos!F202)),NOT(ISNUMBER(Datos!F201))),"",Datos!F202/Datos!F201-1)</f>
        <v/>
      </c>
      <c r="I202" s="39">
        <f>IF($A202="","",IF(ISNUMBER(Datos!G202),Datos!G202,I201))</f>
        <v/>
      </c>
      <c r="J202" s="40">
        <f>IF($A202="","",IF(ISNUMBER(I201),LN(1+I201/100/12),0))</f>
        <v/>
      </c>
      <c r="K202" s="40">
        <f>IF(ISNUMBER(G202),LN(1+G202)-J202,"")</f>
        <v/>
      </c>
      <c r="L202" s="40">
        <f>IF(ISNUMBER(H202),LN(1+H202)-J202,"")</f>
        <v/>
      </c>
      <c r="M202" s="38">
        <f>IF(ISNUMBER(K202),1,0)</f>
        <v/>
      </c>
      <c r="N202" s="40">
        <f>IF(M202=1,K202,0)</f>
        <v/>
      </c>
      <c r="O202" s="38">
        <f>IF(ISNUMBER(L202),1,0)</f>
        <v/>
      </c>
      <c r="P202" s="40">
        <f>IF(O202=1,L202,0)</f>
        <v/>
      </c>
      <c r="Q202" s="38">
        <f>M202*O202</f>
        <v/>
      </c>
      <c r="R202" s="38">
        <f>SUM(Q166:Q201)</f>
        <v/>
      </c>
      <c r="S202" s="41">
        <f>IF(OR($A202="",R202&lt;MIN_OBS_ROLL),"",(SUMPRODUCT(Q166:Q201,N166:N201,P166:P201)/R202-SUMPRODUCT(Q166:Q201,N166:N201)/R202*SUMPRODUCT(Q166:Q201,P166:P201)/R202)*R202/(R202-1))</f>
        <v/>
      </c>
      <c r="T202" s="38">
        <f>SUM(O166:O201)</f>
        <v/>
      </c>
      <c r="U202" s="41">
        <f>IF(OR($A202="",T202&lt;MIN_OBS_ROLL),"",SUMPRODUCT(O166:O201,(P166:P201-SUMPRODUCT(O166:O201,P166:P201)/T202)^2)/(T202-1))</f>
        <v/>
      </c>
      <c r="V202" s="40">
        <f>IF(OR(S202="",U202=""),"",S202/U202)</f>
        <v/>
      </c>
      <c r="W202" s="40">
        <f>IF(AND(ISNUMBER(K202),ISNUMBER(L202),ISNUMBER(V202)),K202-V202*L202,"")</f>
        <v/>
      </c>
      <c r="X202" s="40">
        <f>IF(OR($A202="",NOT(ISNUMBER(Datos!H202)),NOT(ISNUMBER(Datos!H201))),"",LN(Datos!H202)-LN(Datos!H201))</f>
        <v/>
      </c>
      <c r="Y202" s="38">
        <f>IF(ISNUMBER(W202),1,0)</f>
        <v/>
      </c>
      <c r="Z202" s="40">
        <f>IF(Y202=1,W202,0)</f>
        <v/>
      </c>
      <c r="AA202" s="38">
        <f>IF(ISNUMBER(X202),1,0)</f>
        <v/>
      </c>
      <c r="AB202" s="40">
        <f>IF(AA202=1,X202,0)</f>
        <v/>
      </c>
      <c r="AC202" s="38">
        <f>Y202*AA202</f>
        <v/>
      </c>
      <c r="AD202" s="38">
        <f>SUM(AC166:AC201)</f>
        <v/>
      </c>
      <c r="AE202" s="41">
        <f>IF(OR($A202="",AD202&lt;MIN_OBS_ROLL),"",(SUMPRODUCT(AC166:AC201,Z166:Z201,AB166:AB201)/AD202-SUMPRODUCT(AC166:AC201,Z166:Z201)/AD202*SUMPRODUCT(AC166:AC201,AB166:AB201)/AD202)*AD202/(AD202-1))</f>
        <v/>
      </c>
      <c r="AF202" s="38">
        <f>SUM(AA166:AA201)</f>
        <v/>
      </c>
      <c r="AG202" s="41">
        <f>IF(OR($A202="",AF202&lt;MIN_OBS_ROLL),"",SUMPRODUCT(AA166:AA201,(AB166:AB201-SUMPRODUCT(AA166:AA201,AB166:AB201)/AF202)^2)/(AF202-1))</f>
        <v/>
      </c>
      <c r="AH202" s="38">
        <f>SUM(Y166:Y201)</f>
        <v/>
      </c>
      <c r="AI202" s="40">
        <f>IF(OR($A202="",AH202&lt;MIN_OBS_ROLL),"",SUMPRODUCT(Y166:Y201,Z166:Z201)/AH202)</f>
        <v/>
      </c>
      <c r="AJ202" s="40">
        <f>IF(OR($A202="",AF202&lt;MIN_OBS_ROLL),"",SUMPRODUCT(AA166:AA201,AB166:AB201)/AF202)</f>
        <v/>
      </c>
      <c r="AK202" s="40">
        <f>IF(OR(AE202="",AG202=""),"",AE202/AG202)</f>
        <v/>
      </c>
      <c r="AL202" s="40">
        <f>IF(OR(AI202="",AK202="",AJ202=""),"",AI202-AK202*AJ202)</f>
        <v/>
      </c>
      <c r="AM202" s="40">
        <f>IF(AND(ISNUMBER(W202),ISNUMBER(X202),ISNUMBER(AK202),ISNUMBER(AL202)),W202-(AL202+AK202*X202),"")</f>
        <v/>
      </c>
      <c r="AN202" s="38">
        <f>IF(ISNUMBER(AM202),1,0)</f>
        <v/>
      </c>
      <c r="AO202" s="40">
        <f>IF(AN202=1,AM202,0)</f>
        <v/>
      </c>
      <c r="AP202" s="40">
        <f>IF(SUM(AN200:AN202)=3,SUM(AO200:AO202),"")</f>
        <v/>
      </c>
      <c r="AQ202" s="38">
        <f>IF(ISNUMBER(AP202),1,0)</f>
        <v/>
      </c>
      <c r="AR202" s="40">
        <f>IF(AQ202=1,AP202,0)</f>
        <v/>
      </c>
      <c r="AS202" s="38">
        <f>SUM(AQ$5:AQ202)</f>
        <v/>
      </c>
      <c r="AT202" s="40">
        <f>IF(AS202&gt;=MIN_OBS_Z,SUMPRODUCT(AQ$5:AQ202,AR$5:AR202)/AS202,"")</f>
        <v/>
      </c>
      <c r="AU202" s="40">
        <f>IF(AS202&gt;=MIN_OBS_Z,SQRT(SUMPRODUCT(AQ$5:AQ202,(AR$5:AR202-AT202)^2)/(AS202-1)),"")</f>
        <v/>
      </c>
      <c r="AV202" s="40">
        <f>IF(AND(AQ202=1,ISNUMBER(AT202)),MAX(-Z_CLIP,MIN(Z_CLIP,(AR202-AT202)/AU202)),"")</f>
        <v/>
      </c>
      <c r="AW202" s="40">
        <f>IF(ISNUMBER(AV202),-AV202,"")</f>
        <v/>
      </c>
      <c r="AX202" s="40">
        <f>IF(ISNUMBER(AW202),1+AMPLITUD*TANH(AW202),"")</f>
        <v/>
      </c>
      <c r="AY202" s="40">
        <f>IF($A202="","",IF(COUNT(AX200:AX202)&gt;0,AVERAGE(AX200:AX202),""))</f>
        <v/>
      </c>
      <c r="AZ202" s="40">
        <f>IF(ISNUMBER(AY202),AY202-1,"")</f>
        <v/>
      </c>
      <c r="BA202" s="40">
        <f>IF(AND(ISNUMBER(AZ201),ISNUMBER(W202)),AZ201*W_BANCOS*W202,"")</f>
        <v/>
      </c>
      <c r="BB202" s="40">
        <f>IF(AND(ISNUMBER(AZ201),ISNUMBER(AZ200)),ABS(AZ201-AZ200)*W_BANCOS*COSTO,0)</f>
        <v/>
      </c>
      <c r="BC202" s="40">
        <f>IF(ISNUMBER(BA202),BA202-BB202,"")</f>
        <v/>
      </c>
      <c r="BD202" s="42">
        <f>IF(ISNUMBER(BC202),IF(A202&lt;=FECHA_ERA,"A","B"),"")</f>
        <v/>
      </c>
      <c r="BE202" s="40">
        <f>IF(BD202="A",BC202,"")</f>
        <v/>
      </c>
      <c r="BF202" s="40">
        <f>IF(BD202="B",BC202,"")</f>
        <v/>
      </c>
      <c r="BG202" s="38">
        <f>IF(AND(ISNUMBER(BC202),ISNUMBER(A202)),IF(A202&gt;=INICIO_VIVO,1,0),0)</f>
        <v/>
      </c>
      <c r="BH202" s="40">
        <f>IF(BG202=1,BC202,"")</f>
        <v/>
      </c>
      <c r="BI202" s="38">
        <f>IF(ISNUMBER(AY202),ROW(),0)</f>
        <v/>
      </c>
      <c r="BJ202" s="43">
        <f>IF(ISNUMBER(BC202),SUM(BC$5:BC202)*10000,NA())</f>
        <v/>
      </c>
      <c r="BK202" s="43">
        <f>IF(BG202=1,SUM(BH$5:BH202)*10000,NA())</f>
        <v/>
      </c>
      <c r="BL202" s="44">
        <f>IF(ISNUMBER(AY202),AY202,NA())</f>
        <v/>
      </c>
    </row>
    <row r="203">
      <c r="A203" s="36">
        <f>IF(Datos!A203="","",Datos!A203)</f>
        <v/>
      </c>
      <c r="B203" s="37">
        <f>IF(OR($A203="",NOT(ISNUMBER(Datos!B203)),NOT(ISNUMBER(Datos!B202))),"",Datos!B203/Datos!B202-1)</f>
        <v/>
      </c>
      <c r="C203" s="37">
        <f>IF(OR($A203="",NOT(ISNUMBER(Datos!C203)),NOT(ISNUMBER(Datos!C202))),"",Datos!C203/Datos!C202-1)</f>
        <v/>
      </c>
      <c r="D203" s="37">
        <f>IF(OR($A203="",NOT(ISNUMBER(Datos!D203)),NOT(ISNUMBER(Datos!D202))),"",Datos!D203/Datos!D202-1)</f>
        <v/>
      </c>
      <c r="E203" s="37">
        <f>IF(OR($A203="",NOT(ISNUMBER(Datos!E203)),NOT(ISNUMBER(Datos!E202))),"",Datos!E203/Datos!E202-1)</f>
        <v/>
      </c>
      <c r="F203" s="38">
        <f>IF($A203="","",COUNT(B203:E203))</f>
        <v/>
      </c>
      <c r="G203" s="37">
        <f>IF($A203="","",IF(F203&gt;=MIN_BANCOS,AVERAGE(B203:E203),""))</f>
        <v/>
      </c>
      <c r="H203" s="37">
        <f>IF(OR($A203="",NOT(ISNUMBER(Datos!F203)),NOT(ISNUMBER(Datos!F202))),"",Datos!F203/Datos!F202-1)</f>
        <v/>
      </c>
      <c r="I203" s="39">
        <f>IF($A203="","",IF(ISNUMBER(Datos!G203),Datos!G203,I202))</f>
        <v/>
      </c>
      <c r="J203" s="40">
        <f>IF($A203="","",IF(ISNUMBER(I202),LN(1+I202/100/12),0))</f>
        <v/>
      </c>
      <c r="K203" s="40">
        <f>IF(ISNUMBER(G203),LN(1+G203)-J203,"")</f>
        <v/>
      </c>
      <c r="L203" s="40">
        <f>IF(ISNUMBER(H203),LN(1+H203)-J203,"")</f>
        <v/>
      </c>
      <c r="M203" s="38">
        <f>IF(ISNUMBER(K203),1,0)</f>
        <v/>
      </c>
      <c r="N203" s="40">
        <f>IF(M203=1,K203,0)</f>
        <v/>
      </c>
      <c r="O203" s="38">
        <f>IF(ISNUMBER(L203),1,0)</f>
        <v/>
      </c>
      <c r="P203" s="40">
        <f>IF(O203=1,L203,0)</f>
        <v/>
      </c>
      <c r="Q203" s="38">
        <f>M203*O203</f>
        <v/>
      </c>
      <c r="R203" s="38">
        <f>SUM(Q167:Q202)</f>
        <v/>
      </c>
      <c r="S203" s="41">
        <f>IF(OR($A203="",R203&lt;MIN_OBS_ROLL),"",(SUMPRODUCT(Q167:Q202,N167:N202,P167:P202)/R203-SUMPRODUCT(Q167:Q202,N167:N202)/R203*SUMPRODUCT(Q167:Q202,P167:P202)/R203)*R203/(R203-1))</f>
        <v/>
      </c>
      <c r="T203" s="38">
        <f>SUM(O167:O202)</f>
        <v/>
      </c>
      <c r="U203" s="41">
        <f>IF(OR($A203="",T203&lt;MIN_OBS_ROLL),"",SUMPRODUCT(O167:O202,(P167:P202-SUMPRODUCT(O167:O202,P167:P202)/T203)^2)/(T203-1))</f>
        <v/>
      </c>
      <c r="V203" s="40">
        <f>IF(OR(S203="",U203=""),"",S203/U203)</f>
        <v/>
      </c>
      <c r="W203" s="40">
        <f>IF(AND(ISNUMBER(K203),ISNUMBER(L203),ISNUMBER(V203)),K203-V203*L203,"")</f>
        <v/>
      </c>
      <c r="X203" s="40">
        <f>IF(OR($A203="",NOT(ISNUMBER(Datos!H203)),NOT(ISNUMBER(Datos!H202))),"",LN(Datos!H203)-LN(Datos!H202))</f>
        <v/>
      </c>
      <c r="Y203" s="38">
        <f>IF(ISNUMBER(W203),1,0)</f>
        <v/>
      </c>
      <c r="Z203" s="40">
        <f>IF(Y203=1,W203,0)</f>
        <v/>
      </c>
      <c r="AA203" s="38">
        <f>IF(ISNUMBER(X203),1,0)</f>
        <v/>
      </c>
      <c r="AB203" s="40">
        <f>IF(AA203=1,X203,0)</f>
        <v/>
      </c>
      <c r="AC203" s="38">
        <f>Y203*AA203</f>
        <v/>
      </c>
      <c r="AD203" s="38">
        <f>SUM(AC167:AC202)</f>
        <v/>
      </c>
      <c r="AE203" s="41">
        <f>IF(OR($A203="",AD203&lt;MIN_OBS_ROLL),"",(SUMPRODUCT(AC167:AC202,Z167:Z202,AB167:AB202)/AD203-SUMPRODUCT(AC167:AC202,Z167:Z202)/AD203*SUMPRODUCT(AC167:AC202,AB167:AB202)/AD203)*AD203/(AD203-1))</f>
        <v/>
      </c>
      <c r="AF203" s="38">
        <f>SUM(AA167:AA202)</f>
        <v/>
      </c>
      <c r="AG203" s="41">
        <f>IF(OR($A203="",AF203&lt;MIN_OBS_ROLL),"",SUMPRODUCT(AA167:AA202,(AB167:AB202-SUMPRODUCT(AA167:AA202,AB167:AB202)/AF203)^2)/(AF203-1))</f>
        <v/>
      </c>
      <c r="AH203" s="38">
        <f>SUM(Y167:Y202)</f>
        <v/>
      </c>
      <c r="AI203" s="40">
        <f>IF(OR($A203="",AH203&lt;MIN_OBS_ROLL),"",SUMPRODUCT(Y167:Y202,Z167:Z202)/AH203)</f>
        <v/>
      </c>
      <c r="AJ203" s="40">
        <f>IF(OR($A203="",AF203&lt;MIN_OBS_ROLL),"",SUMPRODUCT(AA167:AA202,AB167:AB202)/AF203)</f>
        <v/>
      </c>
      <c r="AK203" s="40">
        <f>IF(OR(AE203="",AG203=""),"",AE203/AG203)</f>
        <v/>
      </c>
      <c r="AL203" s="40">
        <f>IF(OR(AI203="",AK203="",AJ203=""),"",AI203-AK203*AJ203)</f>
        <v/>
      </c>
      <c r="AM203" s="40">
        <f>IF(AND(ISNUMBER(W203),ISNUMBER(X203),ISNUMBER(AK203),ISNUMBER(AL203)),W203-(AL203+AK203*X203),"")</f>
        <v/>
      </c>
      <c r="AN203" s="38">
        <f>IF(ISNUMBER(AM203),1,0)</f>
        <v/>
      </c>
      <c r="AO203" s="40">
        <f>IF(AN203=1,AM203,0)</f>
        <v/>
      </c>
      <c r="AP203" s="40">
        <f>IF(SUM(AN201:AN203)=3,SUM(AO201:AO203),"")</f>
        <v/>
      </c>
      <c r="AQ203" s="38">
        <f>IF(ISNUMBER(AP203),1,0)</f>
        <v/>
      </c>
      <c r="AR203" s="40">
        <f>IF(AQ203=1,AP203,0)</f>
        <v/>
      </c>
      <c r="AS203" s="38">
        <f>SUM(AQ$5:AQ203)</f>
        <v/>
      </c>
      <c r="AT203" s="40">
        <f>IF(AS203&gt;=MIN_OBS_Z,SUMPRODUCT(AQ$5:AQ203,AR$5:AR203)/AS203,"")</f>
        <v/>
      </c>
      <c r="AU203" s="40">
        <f>IF(AS203&gt;=MIN_OBS_Z,SQRT(SUMPRODUCT(AQ$5:AQ203,(AR$5:AR203-AT203)^2)/(AS203-1)),"")</f>
        <v/>
      </c>
      <c r="AV203" s="40">
        <f>IF(AND(AQ203=1,ISNUMBER(AT203)),MAX(-Z_CLIP,MIN(Z_CLIP,(AR203-AT203)/AU203)),"")</f>
        <v/>
      </c>
      <c r="AW203" s="40">
        <f>IF(ISNUMBER(AV203),-AV203,"")</f>
        <v/>
      </c>
      <c r="AX203" s="40">
        <f>IF(ISNUMBER(AW203),1+AMPLITUD*TANH(AW203),"")</f>
        <v/>
      </c>
      <c r="AY203" s="40">
        <f>IF($A203="","",IF(COUNT(AX201:AX203)&gt;0,AVERAGE(AX201:AX203),""))</f>
        <v/>
      </c>
      <c r="AZ203" s="40">
        <f>IF(ISNUMBER(AY203),AY203-1,"")</f>
        <v/>
      </c>
      <c r="BA203" s="40">
        <f>IF(AND(ISNUMBER(AZ202),ISNUMBER(W203)),AZ202*W_BANCOS*W203,"")</f>
        <v/>
      </c>
      <c r="BB203" s="40">
        <f>IF(AND(ISNUMBER(AZ202),ISNUMBER(AZ201)),ABS(AZ202-AZ201)*W_BANCOS*COSTO,0)</f>
        <v/>
      </c>
      <c r="BC203" s="40">
        <f>IF(ISNUMBER(BA203),BA203-BB203,"")</f>
        <v/>
      </c>
      <c r="BD203" s="42">
        <f>IF(ISNUMBER(BC203),IF(A203&lt;=FECHA_ERA,"A","B"),"")</f>
        <v/>
      </c>
      <c r="BE203" s="40">
        <f>IF(BD203="A",BC203,"")</f>
        <v/>
      </c>
      <c r="BF203" s="40">
        <f>IF(BD203="B",BC203,"")</f>
        <v/>
      </c>
      <c r="BG203" s="38">
        <f>IF(AND(ISNUMBER(BC203),ISNUMBER(A203)),IF(A203&gt;=INICIO_VIVO,1,0),0)</f>
        <v/>
      </c>
      <c r="BH203" s="40">
        <f>IF(BG203=1,BC203,"")</f>
        <v/>
      </c>
      <c r="BI203" s="38">
        <f>IF(ISNUMBER(AY203),ROW(),0)</f>
        <v/>
      </c>
      <c r="BJ203" s="43">
        <f>IF(ISNUMBER(BC203),SUM(BC$5:BC203)*10000,NA())</f>
        <v/>
      </c>
      <c r="BK203" s="43">
        <f>IF(BG203=1,SUM(BH$5:BH203)*10000,NA())</f>
        <v/>
      </c>
      <c r="BL203" s="44">
        <f>IF(ISNUMBER(AY203),AY203,NA())</f>
        <v/>
      </c>
    </row>
    <row r="204">
      <c r="A204" s="36">
        <f>IF(Datos!A204="","",Datos!A204)</f>
        <v/>
      </c>
      <c r="B204" s="37">
        <f>IF(OR($A204="",NOT(ISNUMBER(Datos!B204)),NOT(ISNUMBER(Datos!B203))),"",Datos!B204/Datos!B203-1)</f>
        <v/>
      </c>
      <c r="C204" s="37">
        <f>IF(OR($A204="",NOT(ISNUMBER(Datos!C204)),NOT(ISNUMBER(Datos!C203))),"",Datos!C204/Datos!C203-1)</f>
        <v/>
      </c>
      <c r="D204" s="37">
        <f>IF(OR($A204="",NOT(ISNUMBER(Datos!D204)),NOT(ISNUMBER(Datos!D203))),"",Datos!D204/Datos!D203-1)</f>
        <v/>
      </c>
      <c r="E204" s="37">
        <f>IF(OR($A204="",NOT(ISNUMBER(Datos!E204)),NOT(ISNUMBER(Datos!E203))),"",Datos!E204/Datos!E203-1)</f>
        <v/>
      </c>
      <c r="F204" s="38">
        <f>IF($A204="","",COUNT(B204:E204))</f>
        <v/>
      </c>
      <c r="G204" s="37">
        <f>IF($A204="","",IF(F204&gt;=MIN_BANCOS,AVERAGE(B204:E204),""))</f>
        <v/>
      </c>
      <c r="H204" s="37">
        <f>IF(OR($A204="",NOT(ISNUMBER(Datos!F204)),NOT(ISNUMBER(Datos!F203))),"",Datos!F204/Datos!F203-1)</f>
        <v/>
      </c>
      <c r="I204" s="39">
        <f>IF($A204="","",IF(ISNUMBER(Datos!G204),Datos!G204,I203))</f>
        <v/>
      </c>
      <c r="J204" s="40">
        <f>IF($A204="","",IF(ISNUMBER(I203),LN(1+I203/100/12),0))</f>
        <v/>
      </c>
      <c r="K204" s="40">
        <f>IF(ISNUMBER(G204),LN(1+G204)-J204,"")</f>
        <v/>
      </c>
      <c r="L204" s="40">
        <f>IF(ISNUMBER(H204),LN(1+H204)-J204,"")</f>
        <v/>
      </c>
      <c r="M204" s="38">
        <f>IF(ISNUMBER(K204),1,0)</f>
        <v/>
      </c>
      <c r="N204" s="40">
        <f>IF(M204=1,K204,0)</f>
        <v/>
      </c>
      <c r="O204" s="38">
        <f>IF(ISNUMBER(L204),1,0)</f>
        <v/>
      </c>
      <c r="P204" s="40">
        <f>IF(O204=1,L204,0)</f>
        <v/>
      </c>
      <c r="Q204" s="38">
        <f>M204*O204</f>
        <v/>
      </c>
      <c r="R204" s="38">
        <f>SUM(Q168:Q203)</f>
        <v/>
      </c>
      <c r="S204" s="41">
        <f>IF(OR($A204="",R204&lt;MIN_OBS_ROLL),"",(SUMPRODUCT(Q168:Q203,N168:N203,P168:P203)/R204-SUMPRODUCT(Q168:Q203,N168:N203)/R204*SUMPRODUCT(Q168:Q203,P168:P203)/R204)*R204/(R204-1))</f>
        <v/>
      </c>
      <c r="T204" s="38">
        <f>SUM(O168:O203)</f>
        <v/>
      </c>
      <c r="U204" s="41">
        <f>IF(OR($A204="",T204&lt;MIN_OBS_ROLL),"",SUMPRODUCT(O168:O203,(P168:P203-SUMPRODUCT(O168:O203,P168:P203)/T204)^2)/(T204-1))</f>
        <v/>
      </c>
      <c r="V204" s="40">
        <f>IF(OR(S204="",U204=""),"",S204/U204)</f>
        <v/>
      </c>
      <c r="W204" s="40">
        <f>IF(AND(ISNUMBER(K204),ISNUMBER(L204),ISNUMBER(V204)),K204-V204*L204,"")</f>
        <v/>
      </c>
      <c r="X204" s="40">
        <f>IF(OR($A204="",NOT(ISNUMBER(Datos!H204)),NOT(ISNUMBER(Datos!H203))),"",LN(Datos!H204)-LN(Datos!H203))</f>
        <v/>
      </c>
      <c r="Y204" s="38">
        <f>IF(ISNUMBER(W204),1,0)</f>
        <v/>
      </c>
      <c r="Z204" s="40">
        <f>IF(Y204=1,W204,0)</f>
        <v/>
      </c>
      <c r="AA204" s="38">
        <f>IF(ISNUMBER(X204),1,0)</f>
        <v/>
      </c>
      <c r="AB204" s="40">
        <f>IF(AA204=1,X204,0)</f>
        <v/>
      </c>
      <c r="AC204" s="38">
        <f>Y204*AA204</f>
        <v/>
      </c>
      <c r="AD204" s="38">
        <f>SUM(AC168:AC203)</f>
        <v/>
      </c>
      <c r="AE204" s="41">
        <f>IF(OR($A204="",AD204&lt;MIN_OBS_ROLL),"",(SUMPRODUCT(AC168:AC203,Z168:Z203,AB168:AB203)/AD204-SUMPRODUCT(AC168:AC203,Z168:Z203)/AD204*SUMPRODUCT(AC168:AC203,AB168:AB203)/AD204)*AD204/(AD204-1))</f>
        <v/>
      </c>
      <c r="AF204" s="38">
        <f>SUM(AA168:AA203)</f>
        <v/>
      </c>
      <c r="AG204" s="41">
        <f>IF(OR($A204="",AF204&lt;MIN_OBS_ROLL),"",SUMPRODUCT(AA168:AA203,(AB168:AB203-SUMPRODUCT(AA168:AA203,AB168:AB203)/AF204)^2)/(AF204-1))</f>
        <v/>
      </c>
      <c r="AH204" s="38">
        <f>SUM(Y168:Y203)</f>
        <v/>
      </c>
      <c r="AI204" s="40">
        <f>IF(OR($A204="",AH204&lt;MIN_OBS_ROLL),"",SUMPRODUCT(Y168:Y203,Z168:Z203)/AH204)</f>
        <v/>
      </c>
      <c r="AJ204" s="40">
        <f>IF(OR($A204="",AF204&lt;MIN_OBS_ROLL),"",SUMPRODUCT(AA168:AA203,AB168:AB203)/AF204)</f>
        <v/>
      </c>
      <c r="AK204" s="40">
        <f>IF(OR(AE204="",AG204=""),"",AE204/AG204)</f>
        <v/>
      </c>
      <c r="AL204" s="40">
        <f>IF(OR(AI204="",AK204="",AJ204=""),"",AI204-AK204*AJ204)</f>
        <v/>
      </c>
      <c r="AM204" s="40">
        <f>IF(AND(ISNUMBER(W204),ISNUMBER(X204),ISNUMBER(AK204),ISNUMBER(AL204)),W204-(AL204+AK204*X204),"")</f>
        <v/>
      </c>
      <c r="AN204" s="38">
        <f>IF(ISNUMBER(AM204),1,0)</f>
        <v/>
      </c>
      <c r="AO204" s="40">
        <f>IF(AN204=1,AM204,0)</f>
        <v/>
      </c>
      <c r="AP204" s="40">
        <f>IF(SUM(AN202:AN204)=3,SUM(AO202:AO204),"")</f>
        <v/>
      </c>
      <c r="AQ204" s="38">
        <f>IF(ISNUMBER(AP204),1,0)</f>
        <v/>
      </c>
      <c r="AR204" s="40">
        <f>IF(AQ204=1,AP204,0)</f>
        <v/>
      </c>
      <c r="AS204" s="38">
        <f>SUM(AQ$5:AQ204)</f>
        <v/>
      </c>
      <c r="AT204" s="40">
        <f>IF(AS204&gt;=MIN_OBS_Z,SUMPRODUCT(AQ$5:AQ204,AR$5:AR204)/AS204,"")</f>
        <v/>
      </c>
      <c r="AU204" s="40">
        <f>IF(AS204&gt;=MIN_OBS_Z,SQRT(SUMPRODUCT(AQ$5:AQ204,(AR$5:AR204-AT204)^2)/(AS204-1)),"")</f>
        <v/>
      </c>
      <c r="AV204" s="40">
        <f>IF(AND(AQ204=1,ISNUMBER(AT204)),MAX(-Z_CLIP,MIN(Z_CLIP,(AR204-AT204)/AU204)),"")</f>
        <v/>
      </c>
      <c r="AW204" s="40">
        <f>IF(ISNUMBER(AV204),-AV204,"")</f>
        <v/>
      </c>
      <c r="AX204" s="40">
        <f>IF(ISNUMBER(AW204),1+AMPLITUD*TANH(AW204),"")</f>
        <v/>
      </c>
      <c r="AY204" s="40">
        <f>IF($A204="","",IF(COUNT(AX202:AX204)&gt;0,AVERAGE(AX202:AX204),""))</f>
        <v/>
      </c>
      <c r="AZ204" s="40">
        <f>IF(ISNUMBER(AY204),AY204-1,"")</f>
        <v/>
      </c>
      <c r="BA204" s="40">
        <f>IF(AND(ISNUMBER(AZ203),ISNUMBER(W204)),AZ203*W_BANCOS*W204,"")</f>
        <v/>
      </c>
      <c r="BB204" s="40">
        <f>IF(AND(ISNUMBER(AZ203),ISNUMBER(AZ202)),ABS(AZ203-AZ202)*W_BANCOS*COSTO,0)</f>
        <v/>
      </c>
      <c r="BC204" s="40">
        <f>IF(ISNUMBER(BA204),BA204-BB204,"")</f>
        <v/>
      </c>
      <c r="BD204" s="42">
        <f>IF(ISNUMBER(BC204),IF(A204&lt;=FECHA_ERA,"A","B"),"")</f>
        <v/>
      </c>
      <c r="BE204" s="40">
        <f>IF(BD204="A",BC204,"")</f>
        <v/>
      </c>
      <c r="BF204" s="40">
        <f>IF(BD204="B",BC204,"")</f>
        <v/>
      </c>
      <c r="BG204" s="38">
        <f>IF(AND(ISNUMBER(BC204),ISNUMBER(A204)),IF(A204&gt;=INICIO_VIVO,1,0),0)</f>
        <v/>
      </c>
      <c r="BH204" s="40">
        <f>IF(BG204=1,BC204,"")</f>
        <v/>
      </c>
      <c r="BI204" s="38">
        <f>IF(ISNUMBER(AY204),ROW(),0)</f>
        <v/>
      </c>
      <c r="BJ204" s="43">
        <f>IF(ISNUMBER(BC204),SUM(BC$5:BC204)*10000,NA())</f>
        <v/>
      </c>
      <c r="BK204" s="43">
        <f>IF(BG204=1,SUM(BH$5:BH204)*10000,NA())</f>
        <v/>
      </c>
      <c r="BL204" s="44">
        <f>IF(ISNUMBER(AY204),AY204,NA())</f>
        <v/>
      </c>
    </row>
    <row r="205">
      <c r="A205" s="36">
        <f>IF(Datos!A205="","",Datos!A205)</f>
        <v/>
      </c>
      <c r="B205" s="37">
        <f>IF(OR($A205="",NOT(ISNUMBER(Datos!B205)),NOT(ISNUMBER(Datos!B204))),"",Datos!B205/Datos!B204-1)</f>
        <v/>
      </c>
      <c r="C205" s="37">
        <f>IF(OR($A205="",NOT(ISNUMBER(Datos!C205)),NOT(ISNUMBER(Datos!C204))),"",Datos!C205/Datos!C204-1)</f>
        <v/>
      </c>
      <c r="D205" s="37">
        <f>IF(OR($A205="",NOT(ISNUMBER(Datos!D205)),NOT(ISNUMBER(Datos!D204))),"",Datos!D205/Datos!D204-1)</f>
        <v/>
      </c>
      <c r="E205" s="37">
        <f>IF(OR($A205="",NOT(ISNUMBER(Datos!E205)),NOT(ISNUMBER(Datos!E204))),"",Datos!E205/Datos!E204-1)</f>
        <v/>
      </c>
      <c r="F205" s="38">
        <f>IF($A205="","",COUNT(B205:E205))</f>
        <v/>
      </c>
      <c r="G205" s="37">
        <f>IF($A205="","",IF(F205&gt;=MIN_BANCOS,AVERAGE(B205:E205),""))</f>
        <v/>
      </c>
      <c r="H205" s="37">
        <f>IF(OR($A205="",NOT(ISNUMBER(Datos!F205)),NOT(ISNUMBER(Datos!F204))),"",Datos!F205/Datos!F204-1)</f>
        <v/>
      </c>
      <c r="I205" s="39">
        <f>IF($A205="","",IF(ISNUMBER(Datos!G205),Datos!G205,I204))</f>
        <v/>
      </c>
      <c r="J205" s="40">
        <f>IF($A205="","",IF(ISNUMBER(I204),LN(1+I204/100/12),0))</f>
        <v/>
      </c>
      <c r="K205" s="40">
        <f>IF(ISNUMBER(G205),LN(1+G205)-J205,"")</f>
        <v/>
      </c>
      <c r="L205" s="40">
        <f>IF(ISNUMBER(H205),LN(1+H205)-J205,"")</f>
        <v/>
      </c>
      <c r="M205" s="38">
        <f>IF(ISNUMBER(K205),1,0)</f>
        <v/>
      </c>
      <c r="N205" s="40">
        <f>IF(M205=1,K205,0)</f>
        <v/>
      </c>
      <c r="O205" s="38">
        <f>IF(ISNUMBER(L205),1,0)</f>
        <v/>
      </c>
      <c r="P205" s="40">
        <f>IF(O205=1,L205,0)</f>
        <v/>
      </c>
      <c r="Q205" s="38">
        <f>M205*O205</f>
        <v/>
      </c>
      <c r="R205" s="38">
        <f>SUM(Q169:Q204)</f>
        <v/>
      </c>
      <c r="S205" s="41">
        <f>IF(OR($A205="",R205&lt;MIN_OBS_ROLL),"",(SUMPRODUCT(Q169:Q204,N169:N204,P169:P204)/R205-SUMPRODUCT(Q169:Q204,N169:N204)/R205*SUMPRODUCT(Q169:Q204,P169:P204)/R205)*R205/(R205-1))</f>
        <v/>
      </c>
      <c r="T205" s="38">
        <f>SUM(O169:O204)</f>
        <v/>
      </c>
      <c r="U205" s="41">
        <f>IF(OR($A205="",T205&lt;MIN_OBS_ROLL),"",SUMPRODUCT(O169:O204,(P169:P204-SUMPRODUCT(O169:O204,P169:P204)/T205)^2)/(T205-1))</f>
        <v/>
      </c>
      <c r="V205" s="40">
        <f>IF(OR(S205="",U205=""),"",S205/U205)</f>
        <v/>
      </c>
      <c r="W205" s="40">
        <f>IF(AND(ISNUMBER(K205),ISNUMBER(L205),ISNUMBER(V205)),K205-V205*L205,"")</f>
        <v/>
      </c>
      <c r="X205" s="40">
        <f>IF(OR($A205="",NOT(ISNUMBER(Datos!H205)),NOT(ISNUMBER(Datos!H204))),"",LN(Datos!H205)-LN(Datos!H204))</f>
        <v/>
      </c>
      <c r="Y205" s="38">
        <f>IF(ISNUMBER(W205),1,0)</f>
        <v/>
      </c>
      <c r="Z205" s="40">
        <f>IF(Y205=1,W205,0)</f>
        <v/>
      </c>
      <c r="AA205" s="38">
        <f>IF(ISNUMBER(X205),1,0)</f>
        <v/>
      </c>
      <c r="AB205" s="40">
        <f>IF(AA205=1,X205,0)</f>
        <v/>
      </c>
      <c r="AC205" s="38">
        <f>Y205*AA205</f>
        <v/>
      </c>
      <c r="AD205" s="38">
        <f>SUM(AC169:AC204)</f>
        <v/>
      </c>
      <c r="AE205" s="41">
        <f>IF(OR($A205="",AD205&lt;MIN_OBS_ROLL),"",(SUMPRODUCT(AC169:AC204,Z169:Z204,AB169:AB204)/AD205-SUMPRODUCT(AC169:AC204,Z169:Z204)/AD205*SUMPRODUCT(AC169:AC204,AB169:AB204)/AD205)*AD205/(AD205-1))</f>
        <v/>
      </c>
      <c r="AF205" s="38">
        <f>SUM(AA169:AA204)</f>
        <v/>
      </c>
      <c r="AG205" s="41">
        <f>IF(OR($A205="",AF205&lt;MIN_OBS_ROLL),"",SUMPRODUCT(AA169:AA204,(AB169:AB204-SUMPRODUCT(AA169:AA204,AB169:AB204)/AF205)^2)/(AF205-1))</f>
        <v/>
      </c>
      <c r="AH205" s="38">
        <f>SUM(Y169:Y204)</f>
        <v/>
      </c>
      <c r="AI205" s="40">
        <f>IF(OR($A205="",AH205&lt;MIN_OBS_ROLL),"",SUMPRODUCT(Y169:Y204,Z169:Z204)/AH205)</f>
        <v/>
      </c>
      <c r="AJ205" s="40">
        <f>IF(OR($A205="",AF205&lt;MIN_OBS_ROLL),"",SUMPRODUCT(AA169:AA204,AB169:AB204)/AF205)</f>
        <v/>
      </c>
      <c r="AK205" s="40">
        <f>IF(OR(AE205="",AG205=""),"",AE205/AG205)</f>
        <v/>
      </c>
      <c r="AL205" s="40">
        <f>IF(OR(AI205="",AK205="",AJ205=""),"",AI205-AK205*AJ205)</f>
        <v/>
      </c>
      <c r="AM205" s="40">
        <f>IF(AND(ISNUMBER(W205),ISNUMBER(X205),ISNUMBER(AK205),ISNUMBER(AL205)),W205-(AL205+AK205*X205),"")</f>
        <v/>
      </c>
      <c r="AN205" s="38">
        <f>IF(ISNUMBER(AM205),1,0)</f>
        <v/>
      </c>
      <c r="AO205" s="40">
        <f>IF(AN205=1,AM205,0)</f>
        <v/>
      </c>
      <c r="AP205" s="40">
        <f>IF(SUM(AN203:AN205)=3,SUM(AO203:AO205),"")</f>
        <v/>
      </c>
      <c r="AQ205" s="38">
        <f>IF(ISNUMBER(AP205),1,0)</f>
        <v/>
      </c>
      <c r="AR205" s="40">
        <f>IF(AQ205=1,AP205,0)</f>
        <v/>
      </c>
      <c r="AS205" s="38">
        <f>SUM(AQ$5:AQ205)</f>
        <v/>
      </c>
      <c r="AT205" s="40">
        <f>IF(AS205&gt;=MIN_OBS_Z,SUMPRODUCT(AQ$5:AQ205,AR$5:AR205)/AS205,"")</f>
        <v/>
      </c>
      <c r="AU205" s="40">
        <f>IF(AS205&gt;=MIN_OBS_Z,SQRT(SUMPRODUCT(AQ$5:AQ205,(AR$5:AR205-AT205)^2)/(AS205-1)),"")</f>
        <v/>
      </c>
      <c r="AV205" s="40">
        <f>IF(AND(AQ205=1,ISNUMBER(AT205)),MAX(-Z_CLIP,MIN(Z_CLIP,(AR205-AT205)/AU205)),"")</f>
        <v/>
      </c>
      <c r="AW205" s="40">
        <f>IF(ISNUMBER(AV205),-AV205,"")</f>
        <v/>
      </c>
      <c r="AX205" s="40">
        <f>IF(ISNUMBER(AW205),1+AMPLITUD*TANH(AW205),"")</f>
        <v/>
      </c>
      <c r="AY205" s="40">
        <f>IF($A205="","",IF(COUNT(AX203:AX205)&gt;0,AVERAGE(AX203:AX205),""))</f>
        <v/>
      </c>
      <c r="AZ205" s="40">
        <f>IF(ISNUMBER(AY205),AY205-1,"")</f>
        <v/>
      </c>
      <c r="BA205" s="40">
        <f>IF(AND(ISNUMBER(AZ204),ISNUMBER(W205)),AZ204*W_BANCOS*W205,"")</f>
        <v/>
      </c>
      <c r="BB205" s="40">
        <f>IF(AND(ISNUMBER(AZ204),ISNUMBER(AZ203)),ABS(AZ204-AZ203)*W_BANCOS*COSTO,0)</f>
        <v/>
      </c>
      <c r="BC205" s="40">
        <f>IF(ISNUMBER(BA205),BA205-BB205,"")</f>
        <v/>
      </c>
      <c r="BD205" s="42">
        <f>IF(ISNUMBER(BC205),IF(A205&lt;=FECHA_ERA,"A","B"),"")</f>
        <v/>
      </c>
      <c r="BE205" s="40">
        <f>IF(BD205="A",BC205,"")</f>
        <v/>
      </c>
      <c r="BF205" s="40">
        <f>IF(BD205="B",BC205,"")</f>
        <v/>
      </c>
      <c r="BG205" s="38">
        <f>IF(AND(ISNUMBER(BC205),ISNUMBER(A205)),IF(A205&gt;=INICIO_VIVO,1,0),0)</f>
        <v/>
      </c>
      <c r="BH205" s="40">
        <f>IF(BG205=1,BC205,"")</f>
        <v/>
      </c>
      <c r="BI205" s="38">
        <f>IF(ISNUMBER(AY205),ROW(),0)</f>
        <v/>
      </c>
      <c r="BJ205" s="43">
        <f>IF(ISNUMBER(BC205),SUM(BC$5:BC205)*10000,NA())</f>
        <v/>
      </c>
      <c r="BK205" s="43">
        <f>IF(BG205=1,SUM(BH$5:BH205)*10000,NA())</f>
        <v/>
      </c>
      <c r="BL205" s="44">
        <f>IF(ISNUMBER(AY205),AY205,NA())</f>
        <v/>
      </c>
    </row>
    <row r="206">
      <c r="A206" s="36">
        <f>IF(Datos!A206="","",Datos!A206)</f>
        <v/>
      </c>
      <c r="B206" s="37">
        <f>IF(OR($A206="",NOT(ISNUMBER(Datos!B206)),NOT(ISNUMBER(Datos!B205))),"",Datos!B206/Datos!B205-1)</f>
        <v/>
      </c>
      <c r="C206" s="37">
        <f>IF(OR($A206="",NOT(ISNUMBER(Datos!C206)),NOT(ISNUMBER(Datos!C205))),"",Datos!C206/Datos!C205-1)</f>
        <v/>
      </c>
      <c r="D206" s="37">
        <f>IF(OR($A206="",NOT(ISNUMBER(Datos!D206)),NOT(ISNUMBER(Datos!D205))),"",Datos!D206/Datos!D205-1)</f>
        <v/>
      </c>
      <c r="E206" s="37">
        <f>IF(OR($A206="",NOT(ISNUMBER(Datos!E206)),NOT(ISNUMBER(Datos!E205))),"",Datos!E206/Datos!E205-1)</f>
        <v/>
      </c>
      <c r="F206" s="38">
        <f>IF($A206="","",COUNT(B206:E206))</f>
        <v/>
      </c>
      <c r="G206" s="37">
        <f>IF($A206="","",IF(F206&gt;=MIN_BANCOS,AVERAGE(B206:E206),""))</f>
        <v/>
      </c>
      <c r="H206" s="37">
        <f>IF(OR($A206="",NOT(ISNUMBER(Datos!F206)),NOT(ISNUMBER(Datos!F205))),"",Datos!F206/Datos!F205-1)</f>
        <v/>
      </c>
      <c r="I206" s="39">
        <f>IF($A206="","",IF(ISNUMBER(Datos!G206),Datos!G206,I205))</f>
        <v/>
      </c>
      <c r="J206" s="40">
        <f>IF($A206="","",IF(ISNUMBER(I205),LN(1+I205/100/12),0))</f>
        <v/>
      </c>
      <c r="K206" s="40">
        <f>IF(ISNUMBER(G206),LN(1+G206)-J206,"")</f>
        <v/>
      </c>
      <c r="L206" s="40">
        <f>IF(ISNUMBER(H206),LN(1+H206)-J206,"")</f>
        <v/>
      </c>
      <c r="M206" s="38">
        <f>IF(ISNUMBER(K206),1,0)</f>
        <v/>
      </c>
      <c r="N206" s="40">
        <f>IF(M206=1,K206,0)</f>
        <v/>
      </c>
      <c r="O206" s="38">
        <f>IF(ISNUMBER(L206),1,0)</f>
        <v/>
      </c>
      <c r="P206" s="40">
        <f>IF(O206=1,L206,0)</f>
        <v/>
      </c>
      <c r="Q206" s="38">
        <f>M206*O206</f>
        <v/>
      </c>
      <c r="R206" s="38">
        <f>SUM(Q170:Q205)</f>
        <v/>
      </c>
      <c r="S206" s="41">
        <f>IF(OR($A206="",R206&lt;MIN_OBS_ROLL),"",(SUMPRODUCT(Q170:Q205,N170:N205,P170:P205)/R206-SUMPRODUCT(Q170:Q205,N170:N205)/R206*SUMPRODUCT(Q170:Q205,P170:P205)/R206)*R206/(R206-1))</f>
        <v/>
      </c>
      <c r="T206" s="38">
        <f>SUM(O170:O205)</f>
        <v/>
      </c>
      <c r="U206" s="41">
        <f>IF(OR($A206="",T206&lt;MIN_OBS_ROLL),"",SUMPRODUCT(O170:O205,(P170:P205-SUMPRODUCT(O170:O205,P170:P205)/T206)^2)/(T206-1))</f>
        <v/>
      </c>
      <c r="V206" s="40">
        <f>IF(OR(S206="",U206=""),"",S206/U206)</f>
        <v/>
      </c>
      <c r="W206" s="40">
        <f>IF(AND(ISNUMBER(K206),ISNUMBER(L206),ISNUMBER(V206)),K206-V206*L206,"")</f>
        <v/>
      </c>
      <c r="X206" s="40">
        <f>IF(OR($A206="",NOT(ISNUMBER(Datos!H206)),NOT(ISNUMBER(Datos!H205))),"",LN(Datos!H206)-LN(Datos!H205))</f>
        <v/>
      </c>
      <c r="Y206" s="38">
        <f>IF(ISNUMBER(W206),1,0)</f>
        <v/>
      </c>
      <c r="Z206" s="40">
        <f>IF(Y206=1,W206,0)</f>
        <v/>
      </c>
      <c r="AA206" s="38">
        <f>IF(ISNUMBER(X206),1,0)</f>
        <v/>
      </c>
      <c r="AB206" s="40">
        <f>IF(AA206=1,X206,0)</f>
        <v/>
      </c>
      <c r="AC206" s="38">
        <f>Y206*AA206</f>
        <v/>
      </c>
      <c r="AD206" s="38">
        <f>SUM(AC170:AC205)</f>
        <v/>
      </c>
      <c r="AE206" s="41">
        <f>IF(OR($A206="",AD206&lt;MIN_OBS_ROLL),"",(SUMPRODUCT(AC170:AC205,Z170:Z205,AB170:AB205)/AD206-SUMPRODUCT(AC170:AC205,Z170:Z205)/AD206*SUMPRODUCT(AC170:AC205,AB170:AB205)/AD206)*AD206/(AD206-1))</f>
        <v/>
      </c>
      <c r="AF206" s="38">
        <f>SUM(AA170:AA205)</f>
        <v/>
      </c>
      <c r="AG206" s="41">
        <f>IF(OR($A206="",AF206&lt;MIN_OBS_ROLL),"",SUMPRODUCT(AA170:AA205,(AB170:AB205-SUMPRODUCT(AA170:AA205,AB170:AB205)/AF206)^2)/(AF206-1))</f>
        <v/>
      </c>
      <c r="AH206" s="38">
        <f>SUM(Y170:Y205)</f>
        <v/>
      </c>
      <c r="AI206" s="40">
        <f>IF(OR($A206="",AH206&lt;MIN_OBS_ROLL),"",SUMPRODUCT(Y170:Y205,Z170:Z205)/AH206)</f>
        <v/>
      </c>
      <c r="AJ206" s="40">
        <f>IF(OR($A206="",AF206&lt;MIN_OBS_ROLL),"",SUMPRODUCT(AA170:AA205,AB170:AB205)/AF206)</f>
        <v/>
      </c>
      <c r="AK206" s="40">
        <f>IF(OR(AE206="",AG206=""),"",AE206/AG206)</f>
        <v/>
      </c>
      <c r="AL206" s="40">
        <f>IF(OR(AI206="",AK206="",AJ206=""),"",AI206-AK206*AJ206)</f>
        <v/>
      </c>
      <c r="AM206" s="40">
        <f>IF(AND(ISNUMBER(W206),ISNUMBER(X206),ISNUMBER(AK206),ISNUMBER(AL206)),W206-(AL206+AK206*X206),"")</f>
        <v/>
      </c>
      <c r="AN206" s="38">
        <f>IF(ISNUMBER(AM206),1,0)</f>
        <v/>
      </c>
      <c r="AO206" s="40">
        <f>IF(AN206=1,AM206,0)</f>
        <v/>
      </c>
      <c r="AP206" s="40">
        <f>IF(SUM(AN204:AN206)=3,SUM(AO204:AO206),"")</f>
        <v/>
      </c>
      <c r="AQ206" s="38">
        <f>IF(ISNUMBER(AP206),1,0)</f>
        <v/>
      </c>
      <c r="AR206" s="40">
        <f>IF(AQ206=1,AP206,0)</f>
        <v/>
      </c>
      <c r="AS206" s="38">
        <f>SUM(AQ$5:AQ206)</f>
        <v/>
      </c>
      <c r="AT206" s="40">
        <f>IF(AS206&gt;=MIN_OBS_Z,SUMPRODUCT(AQ$5:AQ206,AR$5:AR206)/AS206,"")</f>
        <v/>
      </c>
      <c r="AU206" s="40">
        <f>IF(AS206&gt;=MIN_OBS_Z,SQRT(SUMPRODUCT(AQ$5:AQ206,(AR$5:AR206-AT206)^2)/(AS206-1)),"")</f>
        <v/>
      </c>
      <c r="AV206" s="40">
        <f>IF(AND(AQ206=1,ISNUMBER(AT206)),MAX(-Z_CLIP,MIN(Z_CLIP,(AR206-AT206)/AU206)),"")</f>
        <v/>
      </c>
      <c r="AW206" s="40">
        <f>IF(ISNUMBER(AV206),-AV206,"")</f>
        <v/>
      </c>
      <c r="AX206" s="40">
        <f>IF(ISNUMBER(AW206),1+AMPLITUD*TANH(AW206),"")</f>
        <v/>
      </c>
      <c r="AY206" s="40">
        <f>IF($A206="","",IF(COUNT(AX204:AX206)&gt;0,AVERAGE(AX204:AX206),""))</f>
        <v/>
      </c>
      <c r="AZ206" s="40">
        <f>IF(ISNUMBER(AY206),AY206-1,"")</f>
        <v/>
      </c>
      <c r="BA206" s="40">
        <f>IF(AND(ISNUMBER(AZ205),ISNUMBER(W206)),AZ205*W_BANCOS*W206,"")</f>
        <v/>
      </c>
      <c r="BB206" s="40">
        <f>IF(AND(ISNUMBER(AZ205),ISNUMBER(AZ204)),ABS(AZ205-AZ204)*W_BANCOS*COSTO,0)</f>
        <v/>
      </c>
      <c r="BC206" s="40">
        <f>IF(ISNUMBER(BA206),BA206-BB206,"")</f>
        <v/>
      </c>
      <c r="BD206" s="42">
        <f>IF(ISNUMBER(BC206),IF(A206&lt;=FECHA_ERA,"A","B"),"")</f>
        <v/>
      </c>
      <c r="BE206" s="40">
        <f>IF(BD206="A",BC206,"")</f>
        <v/>
      </c>
      <c r="BF206" s="40">
        <f>IF(BD206="B",BC206,"")</f>
        <v/>
      </c>
      <c r="BG206" s="38">
        <f>IF(AND(ISNUMBER(BC206),ISNUMBER(A206)),IF(A206&gt;=INICIO_VIVO,1,0),0)</f>
        <v/>
      </c>
      <c r="BH206" s="40">
        <f>IF(BG206=1,BC206,"")</f>
        <v/>
      </c>
      <c r="BI206" s="38">
        <f>IF(ISNUMBER(AY206),ROW(),0)</f>
        <v/>
      </c>
      <c r="BJ206" s="43">
        <f>IF(ISNUMBER(BC206),SUM(BC$5:BC206)*10000,NA())</f>
        <v/>
      </c>
      <c r="BK206" s="43">
        <f>IF(BG206=1,SUM(BH$5:BH206)*10000,NA())</f>
        <v/>
      </c>
      <c r="BL206" s="44">
        <f>IF(ISNUMBER(AY206),AY206,NA())</f>
        <v/>
      </c>
    </row>
    <row r="207">
      <c r="A207" s="36">
        <f>IF(Datos!A207="","",Datos!A207)</f>
        <v/>
      </c>
      <c r="B207" s="37">
        <f>IF(OR($A207="",NOT(ISNUMBER(Datos!B207)),NOT(ISNUMBER(Datos!B206))),"",Datos!B207/Datos!B206-1)</f>
        <v/>
      </c>
      <c r="C207" s="37">
        <f>IF(OR($A207="",NOT(ISNUMBER(Datos!C207)),NOT(ISNUMBER(Datos!C206))),"",Datos!C207/Datos!C206-1)</f>
        <v/>
      </c>
      <c r="D207" s="37">
        <f>IF(OR($A207="",NOT(ISNUMBER(Datos!D207)),NOT(ISNUMBER(Datos!D206))),"",Datos!D207/Datos!D206-1)</f>
        <v/>
      </c>
      <c r="E207" s="37">
        <f>IF(OR($A207="",NOT(ISNUMBER(Datos!E207)),NOT(ISNUMBER(Datos!E206))),"",Datos!E207/Datos!E206-1)</f>
        <v/>
      </c>
      <c r="F207" s="38">
        <f>IF($A207="","",COUNT(B207:E207))</f>
        <v/>
      </c>
      <c r="G207" s="37">
        <f>IF($A207="","",IF(F207&gt;=MIN_BANCOS,AVERAGE(B207:E207),""))</f>
        <v/>
      </c>
      <c r="H207" s="37">
        <f>IF(OR($A207="",NOT(ISNUMBER(Datos!F207)),NOT(ISNUMBER(Datos!F206))),"",Datos!F207/Datos!F206-1)</f>
        <v/>
      </c>
      <c r="I207" s="39">
        <f>IF($A207="","",IF(ISNUMBER(Datos!G207),Datos!G207,I206))</f>
        <v/>
      </c>
      <c r="J207" s="40">
        <f>IF($A207="","",IF(ISNUMBER(I206),LN(1+I206/100/12),0))</f>
        <v/>
      </c>
      <c r="K207" s="40">
        <f>IF(ISNUMBER(G207),LN(1+G207)-J207,"")</f>
        <v/>
      </c>
      <c r="L207" s="40">
        <f>IF(ISNUMBER(H207),LN(1+H207)-J207,"")</f>
        <v/>
      </c>
      <c r="M207" s="38">
        <f>IF(ISNUMBER(K207),1,0)</f>
        <v/>
      </c>
      <c r="N207" s="40">
        <f>IF(M207=1,K207,0)</f>
        <v/>
      </c>
      <c r="O207" s="38">
        <f>IF(ISNUMBER(L207),1,0)</f>
        <v/>
      </c>
      <c r="P207" s="40">
        <f>IF(O207=1,L207,0)</f>
        <v/>
      </c>
      <c r="Q207" s="38">
        <f>M207*O207</f>
        <v/>
      </c>
      <c r="R207" s="38">
        <f>SUM(Q171:Q206)</f>
        <v/>
      </c>
      <c r="S207" s="41">
        <f>IF(OR($A207="",R207&lt;MIN_OBS_ROLL),"",(SUMPRODUCT(Q171:Q206,N171:N206,P171:P206)/R207-SUMPRODUCT(Q171:Q206,N171:N206)/R207*SUMPRODUCT(Q171:Q206,P171:P206)/R207)*R207/(R207-1))</f>
        <v/>
      </c>
      <c r="T207" s="38">
        <f>SUM(O171:O206)</f>
        <v/>
      </c>
      <c r="U207" s="41">
        <f>IF(OR($A207="",T207&lt;MIN_OBS_ROLL),"",SUMPRODUCT(O171:O206,(P171:P206-SUMPRODUCT(O171:O206,P171:P206)/T207)^2)/(T207-1))</f>
        <v/>
      </c>
      <c r="V207" s="40">
        <f>IF(OR(S207="",U207=""),"",S207/U207)</f>
        <v/>
      </c>
      <c r="W207" s="40">
        <f>IF(AND(ISNUMBER(K207),ISNUMBER(L207),ISNUMBER(V207)),K207-V207*L207,"")</f>
        <v/>
      </c>
      <c r="X207" s="40">
        <f>IF(OR($A207="",NOT(ISNUMBER(Datos!H207)),NOT(ISNUMBER(Datos!H206))),"",LN(Datos!H207)-LN(Datos!H206))</f>
        <v/>
      </c>
      <c r="Y207" s="38">
        <f>IF(ISNUMBER(W207),1,0)</f>
        <v/>
      </c>
      <c r="Z207" s="40">
        <f>IF(Y207=1,W207,0)</f>
        <v/>
      </c>
      <c r="AA207" s="38">
        <f>IF(ISNUMBER(X207),1,0)</f>
        <v/>
      </c>
      <c r="AB207" s="40">
        <f>IF(AA207=1,X207,0)</f>
        <v/>
      </c>
      <c r="AC207" s="38">
        <f>Y207*AA207</f>
        <v/>
      </c>
      <c r="AD207" s="38">
        <f>SUM(AC171:AC206)</f>
        <v/>
      </c>
      <c r="AE207" s="41">
        <f>IF(OR($A207="",AD207&lt;MIN_OBS_ROLL),"",(SUMPRODUCT(AC171:AC206,Z171:Z206,AB171:AB206)/AD207-SUMPRODUCT(AC171:AC206,Z171:Z206)/AD207*SUMPRODUCT(AC171:AC206,AB171:AB206)/AD207)*AD207/(AD207-1))</f>
        <v/>
      </c>
      <c r="AF207" s="38">
        <f>SUM(AA171:AA206)</f>
        <v/>
      </c>
      <c r="AG207" s="41">
        <f>IF(OR($A207="",AF207&lt;MIN_OBS_ROLL),"",SUMPRODUCT(AA171:AA206,(AB171:AB206-SUMPRODUCT(AA171:AA206,AB171:AB206)/AF207)^2)/(AF207-1))</f>
        <v/>
      </c>
      <c r="AH207" s="38">
        <f>SUM(Y171:Y206)</f>
        <v/>
      </c>
      <c r="AI207" s="40">
        <f>IF(OR($A207="",AH207&lt;MIN_OBS_ROLL),"",SUMPRODUCT(Y171:Y206,Z171:Z206)/AH207)</f>
        <v/>
      </c>
      <c r="AJ207" s="40">
        <f>IF(OR($A207="",AF207&lt;MIN_OBS_ROLL),"",SUMPRODUCT(AA171:AA206,AB171:AB206)/AF207)</f>
        <v/>
      </c>
      <c r="AK207" s="40">
        <f>IF(OR(AE207="",AG207=""),"",AE207/AG207)</f>
        <v/>
      </c>
      <c r="AL207" s="40">
        <f>IF(OR(AI207="",AK207="",AJ207=""),"",AI207-AK207*AJ207)</f>
        <v/>
      </c>
      <c r="AM207" s="40">
        <f>IF(AND(ISNUMBER(W207),ISNUMBER(X207),ISNUMBER(AK207),ISNUMBER(AL207)),W207-(AL207+AK207*X207),"")</f>
        <v/>
      </c>
      <c r="AN207" s="38">
        <f>IF(ISNUMBER(AM207),1,0)</f>
        <v/>
      </c>
      <c r="AO207" s="40">
        <f>IF(AN207=1,AM207,0)</f>
        <v/>
      </c>
      <c r="AP207" s="40">
        <f>IF(SUM(AN205:AN207)=3,SUM(AO205:AO207),"")</f>
        <v/>
      </c>
      <c r="AQ207" s="38">
        <f>IF(ISNUMBER(AP207),1,0)</f>
        <v/>
      </c>
      <c r="AR207" s="40">
        <f>IF(AQ207=1,AP207,0)</f>
        <v/>
      </c>
      <c r="AS207" s="38">
        <f>SUM(AQ$5:AQ207)</f>
        <v/>
      </c>
      <c r="AT207" s="40">
        <f>IF(AS207&gt;=MIN_OBS_Z,SUMPRODUCT(AQ$5:AQ207,AR$5:AR207)/AS207,"")</f>
        <v/>
      </c>
      <c r="AU207" s="40">
        <f>IF(AS207&gt;=MIN_OBS_Z,SQRT(SUMPRODUCT(AQ$5:AQ207,(AR$5:AR207-AT207)^2)/(AS207-1)),"")</f>
        <v/>
      </c>
      <c r="AV207" s="40">
        <f>IF(AND(AQ207=1,ISNUMBER(AT207)),MAX(-Z_CLIP,MIN(Z_CLIP,(AR207-AT207)/AU207)),"")</f>
        <v/>
      </c>
      <c r="AW207" s="40">
        <f>IF(ISNUMBER(AV207),-AV207,"")</f>
        <v/>
      </c>
      <c r="AX207" s="40">
        <f>IF(ISNUMBER(AW207),1+AMPLITUD*TANH(AW207),"")</f>
        <v/>
      </c>
      <c r="AY207" s="40">
        <f>IF($A207="","",IF(COUNT(AX205:AX207)&gt;0,AVERAGE(AX205:AX207),""))</f>
        <v/>
      </c>
      <c r="AZ207" s="40">
        <f>IF(ISNUMBER(AY207),AY207-1,"")</f>
        <v/>
      </c>
      <c r="BA207" s="40">
        <f>IF(AND(ISNUMBER(AZ206),ISNUMBER(W207)),AZ206*W_BANCOS*W207,"")</f>
        <v/>
      </c>
      <c r="BB207" s="40">
        <f>IF(AND(ISNUMBER(AZ206),ISNUMBER(AZ205)),ABS(AZ206-AZ205)*W_BANCOS*COSTO,0)</f>
        <v/>
      </c>
      <c r="BC207" s="40">
        <f>IF(ISNUMBER(BA207),BA207-BB207,"")</f>
        <v/>
      </c>
      <c r="BD207" s="42">
        <f>IF(ISNUMBER(BC207),IF(A207&lt;=FECHA_ERA,"A","B"),"")</f>
        <v/>
      </c>
      <c r="BE207" s="40">
        <f>IF(BD207="A",BC207,"")</f>
        <v/>
      </c>
      <c r="BF207" s="40">
        <f>IF(BD207="B",BC207,"")</f>
        <v/>
      </c>
      <c r="BG207" s="38">
        <f>IF(AND(ISNUMBER(BC207),ISNUMBER(A207)),IF(A207&gt;=INICIO_VIVO,1,0),0)</f>
        <v/>
      </c>
      <c r="BH207" s="40">
        <f>IF(BG207=1,BC207,"")</f>
        <v/>
      </c>
      <c r="BI207" s="38">
        <f>IF(ISNUMBER(AY207),ROW(),0)</f>
        <v/>
      </c>
      <c r="BJ207" s="43">
        <f>IF(ISNUMBER(BC207),SUM(BC$5:BC207)*10000,NA())</f>
        <v/>
      </c>
      <c r="BK207" s="43">
        <f>IF(BG207=1,SUM(BH$5:BH207)*10000,NA())</f>
        <v/>
      </c>
      <c r="BL207" s="44">
        <f>IF(ISNUMBER(AY207),AY207,NA())</f>
        <v/>
      </c>
    </row>
    <row r="208">
      <c r="A208" s="36">
        <f>IF(Datos!A208="","",Datos!A208)</f>
        <v/>
      </c>
      <c r="B208" s="37">
        <f>IF(OR($A208="",NOT(ISNUMBER(Datos!B208)),NOT(ISNUMBER(Datos!B207))),"",Datos!B208/Datos!B207-1)</f>
        <v/>
      </c>
      <c r="C208" s="37">
        <f>IF(OR($A208="",NOT(ISNUMBER(Datos!C208)),NOT(ISNUMBER(Datos!C207))),"",Datos!C208/Datos!C207-1)</f>
        <v/>
      </c>
      <c r="D208" s="37">
        <f>IF(OR($A208="",NOT(ISNUMBER(Datos!D208)),NOT(ISNUMBER(Datos!D207))),"",Datos!D208/Datos!D207-1)</f>
        <v/>
      </c>
      <c r="E208" s="37">
        <f>IF(OR($A208="",NOT(ISNUMBER(Datos!E208)),NOT(ISNUMBER(Datos!E207))),"",Datos!E208/Datos!E207-1)</f>
        <v/>
      </c>
      <c r="F208" s="38">
        <f>IF($A208="","",COUNT(B208:E208))</f>
        <v/>
      </c>
      <c r="G208" s="37">
        <f>IF($A208="","",IF(F208&gt;=MIN_BANCOS,AVERAGE(B208:E208),""))</f>
        <v/>
      </c>
      <c r="H208" s="37">
        <f>IF(OR($A208="",NOT(ISNUMBER(Datos!F208)),NOT(ISNUMBER(Datos!F207))),"",Datos!F208/Datos!F207-1)</f>
        <v/>
      </c>
      <c r="I208" s="39">
        <f>IF($A208="","",IF(ISNUMBER(Datos!G208),Datos!G208,I207))</f>
        <v/>
      </c>
      <c r="J208" s="40">
        <f>IF($A208="","",IF(ISNUMBER(I207),LN(1+I207/100/12),0))</f>
        <v/>
      </c>
      <c r="K208" s="40">
        <f>IF(ISNUMBER(G208),LN(1+G208)-J208,"")</f>
        <v/>
      </c>
      <c r="L208" s="40">
        <f>IF(ISNUMBER(H208),LN(1+H208)-J208,"")</f>
        <v/>
      </c>
      <c r="M208" s="38">
        <f>IF(ISNUMBER(K208),1,0)</f>
        <v/>
      </c>
      <c r="N208" s="40">
        <f>IF(M208=1,K208,0)</f>
        <v/>
      </c>
      <c r="O208" s="38">
        <f>IF(ISNUMBER(L208),1,0)</f>
        <v/>
      </c>
      <c r="P208" s="40">
        <f>IF(O208=1,L208,0)</f>
        <v/>
      </c>
      <c r="Q208" s="38">
        <f>M208*O208</f>
        <v/>
      </c>
      <c r="R208" s="38">
        <f>SUM(Q172:Q207)</f>
        <v/>
      </c>
      <c r="S208" s="41">
        <f>IF(OR($A208="",R208&lt;MIN_OBS_ROLL),"",(SUMPRODUCT(Q172:Q207,N172:N207,P172:P207)/R208-SUMPRODUCT(Q172:Q207,N172:N207)/R208*SUMPRODUCT(Q172:Q207,P172:P207)/R208)*R208/(R208-1))</f>
        <v/>
      </c>
      <c r="T208" s="38">
        <f>SUM(O172:O207)</f>
        <v/>
      </c>
      <c r="U208" s="41">
        <f>IF(OR($A208="",T208&lt;MIN_OBS_ROLL),"",SUMPRODUCT(O172:O207,(P172:P207-SUMPRODUCT(O172:O207,P172:P207)/T208)^2)/(T208-1))</f>
        <v/>
      </c>
      <c r="V208" s="40">
        <f>IF(OR(S208="",U208=""),"",S208/U208)</f>
        <v/>
      </c>
      <c r="W208" s="40">
        <f>IF(AND(ISNUMBER(K208),ISNUMBER(L208),ISNUMBER(V208)),K208-V208*L208,"")</f>
        <v/>
      </c>
      <c r="X208" s="40">
        <f>IF(OR($A208="",NOT(ISNUMBER(Datos!H208)),NOT(ISNUMBER(Datos!H207))),"",LN(Datos!H208)-LN(Datos!H207))</f>
        <v/>
      </c>
      <c r="Y208" s="38">
        <f>IF(ISNUMBER(W208),1,0)</f>
        <v/>
      </c>
      <c r="Z208" s="40">
        <f>IF(Y208=1,W208,0)</f>
        <v/>
      </c>
      <c r="AA208" s="38">
        <f>IF(ISNUMBER(X208),1,0)</f>
        <v/>
      </c>
      <c r="AB208" s="40">
        <f>IF(AA208=1,X208,0)</f>
        <v/>
      </c>
      <c r="AC208" s="38">
        <f>Y208*AA208</f>
        <v/>
      </c>
      <c r="AD208" s="38">
        <f>SUM(AC172:AC207)</f>
        <v/>
      </c>
      <c r="AE208" s="41">
        <f>IF(OR($A208="",AD208&lt;MIN_OBS_ROLL),"",(SUMPRODUCT(AC172:AC207,Z172:Z207,AB172:AB207)/AD208-SUMPRODUCT(AC172:AC207,Z172:Z207)/AD208*SUMPRODUCT(AC172:AC207,AB172:AB207)/AD208)*AD208/(AD208-1))</f>
        <v/>
      </c>
      <c r="AF208" s="38">
        <f>SUM(AA172:AA207)</f>
        <v/>
      </c>
      <c r="AG208" s="41">
        <f>IF(OR($A208="",AF208&lt;MIN_OBS_ROLL),"",SUMPRODUCT(AA172:AA207,(AB172:AB207-SUMPRODUCT(AA172:AA207,AB172:AB207)/AF208)^2)/(AF208-1))</f>
        <v/>
      </c>
      <c r="AH208" s="38">
        <f>SUM(Y172:Y207)</f>
        <v/>
      </c>
      <c r="AI208" s="40">
        <f>IF(OR($A208="",AH208&lt;MIN_OBS_ROLL),"",SUMPRODUCT(Y172:Y207,Z172:Z207)/AH208)</f>
        <v/>
      </c>
      <c r="AJ208" s="40">
        <f>IF(OR($A208="",AF208&lt;MIN_OBS_ROLL),"",SUMPRODUCT(AA172:AA207,AB172:AB207)/AF208)</f>
        <v/>
      </c>
      <c r="AK208" s="40">
        <f>IF(OR(AE208="",AG208=""),"",AE208/AG208)</f>
        <v/>
      </c>
      <c r="AL208" s="40">
        <f>IF(OR(AI208="",AK208="",AJ208=""),"",AI208-AK208*AJ208)</f>
        <v/>
      </c>
      <c r="AM208" s="40">
        <f>IF(AND(ISNUMBER(W208),ISNUMBER(X208),ISNUMBER(AK208),ISNUMBER(AL208)),W208-(AL208+AK208*X208),"")</f>
        <v/>
      </c>
      <c r="AN208" s="38">
        <f>IF(ISNUMBER(AM208),1,0)</f>
        <v/>
      </c>
      <c r="AO208" s="40">
        <f>IF(AN208=1,AM208,0)</f>
        <v/>
      </c>
      <c r="AP208" s="40">
        <f>IF(SUM(AN206:AN208)=3,SUM(AO206:AO208),"")</f>
        <v/>
      </c>
      <c r="AQ208" s="38">
        <f>IF(ISNUMBER(AP208),1,0)</f>
        <v/>
      </c>
      <c r="AR208" s="40">
        <f>IF(AQ208=1,AP208,0)</f>
        <v/>
      </c>
      <c r="AS208" s="38">
        <f>SUM(AQ$5:AQ208)</f>
        <v/>
      </c>
      <c r="AT208" s="40">
        <f>IF(AS208&gt;=MIN_OBS_Z,SUMPRODUCT(AQ$5:AQ208,AR$5:AR208)/AS208,"")</f>
        <v/>
      </c>
      <c r="AU208" s="40">
        <f>IF(AS208&gt;=MIN_OBS_Z,SQRT(SUMPRODUCT(AQ$5:AQ208,(AR$5:AR208-AT208)^2)/(AS208-1)),"")</f>
        <v/>
      </c>
      <c r="AV208" s="40">
        <f>IF(AND(AQ208=1,ISNUMBER(AT208)),MAX(-Z_CLIP,MIN(Z_CLIP,(AR208-AT208)/AU208)),"")</f>
        <v/>
      </c>
      <c r="AW208" s="40">
        <f>IF(ISNUMBER(AV208),-AV208,"")</f>
        <v/>
      </c>
      <c r="AX208" s="40">
        <f>IF(ISNUMBER(AW208),1+AMPLITUD*TANH(AW208),"")</f>
        <v/>
      </c>
      <c r="AY208" s="40">
        <f>IF($A208="","",IF(COUNT(AX206:AX208)&gt;0,AVERAGE(AX206:AX208),""))</f>
        <v/>
      </c>
      <c r="AZ208" s="40">
        <f>IF(ISNUMBER(AY208),AY208-1,"")</f>
        <v/>
      </c>
      <c r="BA208" s="40">
        <f>IF(AND(ISNUMBER(AZ207),ISNUMBER(W208)),AZ207*W_BANCOS*W208,"")</f>
        <v/>
      </c>
      <c r="BB208" s="40">
        <f>IF(AND(ISNUMBER(AZ207),ISNUMBER(AZ206)),ABS(AZ207-AZ206)*W_BANCOS*COSTO,0)</f>
        <v/>
      </c>
      <c r="BC208" s="40">
        <f>IF(ISNUMBER(BA208),BA208-BB208,"")</f>
        <v/>
      </c>
      <c r="BD208" s="42">
        <f>IF(ISNUMBER(BC208),IF(A208&lt;=FECHA_ERA,"A","B"),"")</f>
        <v/>
      </c>
      <c r="BE208" s="40">
        <f>IF(BD208="A",BC208,"")</f>
        <v/>
      </c>
      <c r="BF208" s="40">
        <f>IF(BD208="B",BC208,"")</f>
        <v/>
      </c>
      <c r="BG208" s="38">
        <f>IF(AND(ISNUMBER(BC208),ISNUMBER(A208)),IF(A208&gt;=INICIO_VIVO,1,0),0)</f>
        <v/>
      </c>
      <c r="BH208" s="40">
        <f>IF(BG208=1,BC208,"")</f>
        <v/>
      </c>
      <c r="BI208" s="38">
        <f>IF(ISNUMBER(AY208),ROW(),0)</f>
        <v/>
      </c>
      <c r="BJ208" s="43">
        <f>IF(ISNUMBER(BC208),SUM(BC$5:BC208)*10000,NA())</f>
        <v/>
      </c>
      <c r="BK208" s="43">
        <f>IF(BG208=1,SUM(BH$5:BH208)*10000,NA())</f>
        <v/>
      </c>
      <c r="BL208" s="44">
        <f>IF(ISNUMBER(AY208),AY208,NA())</f>
        <v/>
      </c>
    </row>
    <row r="209">
      <c r="A209" s="36">
        <f>IF(Datos!A209="","",Datos!A209)</f>
        <v/>
      </c>
      <c r="B209" s="37">
        <f>IF(OR($A209="",NOT(ISNUMBER(Datos!B209)),NOT(ISNUMBER(Datos!B208))),"",Datos!B209/Datos!B208-1)</f>
        <v/>
      </c>
      <c r="C209" s="37">
        <f>IF(OR($A209="",NOT(ISNUMBER(Datos!C209)),NOT(ISNUMBER(Datos!C208))),"",Datos!C209/Datos!C208-1)</f>
        <v/>
      </c>
      <c r="D209" s="37">
        <f>IF(OR($A209="",NOT(ISNUMBER(Datos!D209)),NOT(ISNUMBER(Datos!D208))),"",Datos!D209/Datos!D208-1)</f>
        <v/>
      </c>
      <c r="E209" s="37">
        <f>IF(OR($A209="",NOT(ISNUMBER(Datos!E209)),NOT(ISNUMBER(Datos!E208))),"",Datos!E209/Datos!E208-1)</f>
        <v/>
      </c>
      <c r="F209" s="38">
        <f>IF($A209="","",COUNT(B209:E209))</f>
        <v/>
      </c>
      <c r="G209" s="37">
        <f>IF($A209="","",IF(F209&gt;=MIN_BANCOS,AVERAGE(B209:E209),""))</f>
        <v/>
      </c>
      <c r="H209" s="37">
        <f>IF(OR($A209="",NOT(ISNUMBER(Datos!F209)),NOT(ISNUMBER(Datos!F208))),"",Datos!F209/Datos!F208-1)</f>
        <v/>
      </c>
      <c r="I209" s="39">
        <f>IF($A209="","",IF(ISNUMBER(Datos!G209),Datos!G209,I208))</f>
        <v/>
      </c>
      <c r="J209" s="40">
        <f>IF($A209="","",IF(ISNUMBER(I208),LN(1+I208/100/12),0))</f>
        <v/>
      </c>
      <c r="K209" s="40">
        <f>IF(ISNUMBER(G209),LN(1+G209)-J209,"")</f>
        <v/>
      </c>
      <c r="L209" s="40">
        <f>IF(ISNUMBER(H209),LN(1+H209)-J209,"")</f>
        <v/>
      </c>
      <c r="M209" s="38">
        <f>IF(ISNUMBER(K209),1,0)</f>
        <v/>
      </c>
      <c r="N209" s="40">
        <f>IF(M209=1,K209,0)</f>
        <v/>
      </c>
      <c r="O209" s="38">
        <f>IF(ISNUMBER(L209),1,0)</f>
        <v/>
      </c>
      <c r="P209" s="40">
        <f>IF(O209=1,L209,0)</f>
        <v/>
      </c>
      <c r="Q209" s="38">
        <f>M209*O209</f>
        <v/>
      </c>
      <c r="R209" s="38">
        <f>SUM(Q173:Q208)</f>
        <v/>
      </c>
      <c r="S209" s="41">
        <f>IF(OR($A209="",R209&lt;MIN_OBS_ROLL),"",(SUMPRODUCT(Q173:Q208,N173:N208,P173:P208)/R209-SUMPRODUCT(Q173:Q208,N173:N208)/R209*SUMPRODUCT(Q173:Q208,P173:P208)/R209)*R209/(R209-1))</f>
        <v/>
      </c>
      <c r="T209" s="38">
        <f>SUM(O173:O208)</f>
        <v/>
      </c>
      <c r="U209" s="41">
        <f>IF(OR($A209="",T209&lt;MIN_OBS_ROLL),"",SUMPRODUCT(O173:O208,(P173:P208-SUMPRODUCT(O173:O208,P173:P208)/T209)^2)/(T209-1))</f>
        <v/>
      </c>
      <c r="V209" s="40">
        <f>IF(OR(S209="",U209=""),"",S209/U209)</f>
        <v/>
      </c>
      <c r="W209" s="40">
        <f>IF(AND(ISNUMBER(K209),ISNUMBER(L209),ISNUMBER(V209)),K209-V209*L209,"")</f>
        <v/>
      </c>
      <c r="X209" s="40">
        <f>IF(OR($A209="",NOT(ISNUMBER(Datos!H209)),NOT(ISNUMBER(Datos!H208))),"",LN(Datos!H209)-LN(Datos!H208))</f>
        <v/>
      </c>
      <c r="Y209" s="38">
        <f>IF(ISNUMBER(W209),1,0)</f>
        <v/>
      </c>
      <c r="Z209" s="40">
        <f>IF(Y209=1,W209,0)</f>
        <v/>
      </c>
      <c r="AA209" s="38">
        <f>IF(ISNUMBER(X209),1,0)</f>
        <v/>
      </c>
      <c r="AB209" s="40">
        <f>IF(AA209=1,X209,0)</f>
        <v/>
      </c>
      <c r="AC209" s="38">
        <f>Y209*AA209</f>
        <v/>
      </c>
      <c r="AD209" s="38">
        <f>SUM(AC173:AC208)</f>
        <v/>
      </c>
      <c r="AE209" s="41">
        <f>IF(OR($A209="",AD209&lt;MIN_OBS_ROLL),"",(SUMPRODUCT(AC173:AC208,Z173:Z208,AB173:AB208)/AD209-SUMPRODUCT(AC173:AC208,Z173:Z208)/AD209*SUMPRODUCT(AC173:AC208,AB173:AB208)/AD209)*AD209/(AD209-1))</f>
        <v/>
      </c>
      <c r="AF209" s="38">
        <f>SUM(AA173:AA208)</f>
        <v/>
      </c>
      <c r="AG209" s="41">
        <f>IF(OR($A209="",AF209&lt;MIN_OBS_ROLL),"",SUMPRODUCT(AA173:AA208,(AB173:AB208-SUMPRODUCT(AA173:AA208,AB173:AB208)/AF209)^2)/(AF209-1))</f>
        <v/>
      </c>
      <c r="AH209" s="38">
        <f>SUM(Y173:Y208)</f>
        <v/>
      </c>
      <c r="AI209" s="40">
        <f>IF(OR($A209="",AH209&lt;MIN_OBS_ROLL),"",SUMPRODUCT(Y173:Y208,Z173:Z208)/AH209)</f>
        <v/>
      </c>
      <c r="AJ209" s="40">
        <f>IF(OR($A209="",AF209&lt;MIN_OBS_ROLL),"",SUMPRODUCT(AA173:AA208,AB173:AB208)/AF209)</f>
        <v/>
      </c>
      <c r="AK209" s="40">
        <f>IF(OR(AE209="",AG209=""),"",AE209/AG209)</f>
        <v/>
      </c>
      <c r="AL209" s="40">
        <f>IF(OR(AI209="",AK209="",AJ209=""),"",AI209-AK209*AJ209)</f>
        <v/>
      </c>
      <c r="AM209" s="40">
        <f>IF(AND(ISNUMBER(W209),ISNUMBER(X209),ISNUMBER(AK209),ISNUMBER(AL209)),W209-(AL209+AK209*X209),"")</f>
        <v/>
      </c>
      <c r="AN209" s="38">
        <f>IF(ISNUMBER(AM209),1,0)</f>
        <v/>
      </c>
      <c r="AO209" s="40">
        <f>IF(AN209=1,AM209,0)</f>
        <v/>
      </c>
      <c r="AP209" s="40">
        <f>IF(SUM(AN207:AN209)=3,SUM(AO207:AO209),"")</f>
        <v/>
      </c>
      <c r="AQ209" s="38">
        <f>IF(ISNUMBER(AP209),1,0)</f>
        <v/>
      </c>
      <c r="AR209" s="40">
        <f>IF(AQ209=1,AP209,0)</f>
        <v/>
      </c>
      <c r="AS209" s="38">
        <f>SUM(AQ$5:AQ209)</f>
        <v/>
      </c>
      <c r="AT209" s="40">
        <f>IF(AS209&gt;=MIN_OBS_Z,SUMPRODUCT(AQ$5:AQ209,AR$5:AR209)/AS209,"")</f>
        <v/>
      </c>
      <c r="AU209" s="40">
        <f>IF(AS209&gt;=MIN_OBS_Z,SQRT(SUMPRODUCT(AQ$5:AQ209,(AR$5:AR209-AT209)^2)/(AS209-1)),"")</f>
        <v/>
      </c>
      <c r="AV209" s="40">
        <f>IF(AND(AQ209=1,ISNUMBER(AT209)),MAX(-Z_CLIP,MIN(Z_CLIP,(AR209-AT209)/AU209)),"")</f>
        <v/>
      </c>
      <c r="AW209" s="40">
        <f>IF(ISNUMBER(AV209),-AV209,"")</f>
        <v/>
      </c>
      <c r="AX209" s="40">
        <f>IF(ISNUMBER(AW209),1+AMPLITUD*TANH(AW209),"")</f>
        <v/>
      </c>
      <c r="AY209" s="40">
        <f>IF($A209="","",IF(COUNT(AX207:AX209)&gt;0,AVERAGE(AX207:AX209),""))</f>
        <v/>
      </c>
      <c r="AZ209" s="40">
        <f>IF(ISNUMBER(AY209),AY209-1,"")</f>
        <v/>
      </c>
      <c r="BA209" s="40">
        <f>IF(AND(ISNUMBER(AZ208),ISNUMBER(W209)),AZ208*W_BANCOS*W209,"")</f>
        <v/>
      </c>
      <c r="BB209" s="40">
        <f>IF(AND(ISNUMBER(AZ208),ISNUMBER(AZ207)),ABS(AZ208-AZ207)*W_BANCOS*COSTO,0)</f>
        <v/>
      </c>
      <c r="BC209" s="40">
        <f>IF(ISNUMBER(BA209),BA209-BB209,"")</f>
        <v/>
      </c>
      <c r="BD209" s="42">
        <f>IF(ISNUMBER(BC209),IF(A209&lt;=FECHA_ERA,"A","B"),"")</f>
        <v/>
      </c>
      <c r="BE209" s="40">
        <f>IF(BD209="A",BC209,"")</f>
        <v/>
      </c>
      <c r="BF209" s="40">
        <f>IF(BD209="B",BC209,"")</f>
        <v/>
      </c>
      <c r="BG209" s="38">
        <f>IF(AND(ISNUMBER(BC209),ISNUMBER(A209)),IF(A209&gt;=INICIO_VIVO,1,0),0)</f>
        <v/>
      </c>
      <c r="BH209" s="40">
        <f>IF(BG209=1,BC209,"")</f>
        <v/>
      </c>
      <c r="BI209" s="38">
        <f>IF(ISNUMBER(AY209),ROW(),0)</f>
        <v/>
      </c>
      <c r="BJ209" s="43">
        <f>IF(ISNUMBER(BC209),SUM(BC$5:BC209)*10000,NA())</f>
        <v/>
      </c>
      <c r="BK209" s="43">
        <f>IF(BG209=1,SUM(BH$5:BH209)*10000,NA())</f>
        <v/>
      </c>
      <c r="BL209" s="44">
        <f>IF(ISNUMBER(AY209),AY209,NA())</f>
        <v/>
      </c>
    </row>
    <row r="210">
      <c r="A210" s="36">
        <f>IF(Datos!A210="","",Datos!A210)</f>
        <v/>
      </c>
      <c r="B210" s="37">
        <f>IF(OR($A210="",NOT(ISNUMBER(Datos!B210)),NOT(ISNUMBER(Datos!B209))),"",Datos!B210/Datos!B209-1)</f>
        <v/>
      </c>
      <c r="C210" s="37">
        <f>IF(OR($A210="",NOT(ISNUMBER(Datos!C210)),NOT(ISNUMBER(Datos!C209))),"",Datos!C210/Datos!C209-1)</f>
        <v/>
      </c>
      <c r="D210" s="37">
        <f>IF(OR($A210="",NOT(ISNUMBER(Datos!D210)),NOT(ISNUMBER(Datos!D209))),"",Datos!D210/Datos!D209-1)</f>
        <v/>
      </c>
      <c r="E210" s="37">
        <f>IF(OR($A210="",NOT(ISNUMBER(Datos!E210)),NOT(ISNUMBER(Datos!E209))),"",Datos!E210/Datos!E209-1)</f>
        <v/>
      </c>
      <c r="F210" s="38">
        <f>IF($A210="","",COUNT(B210:E210))</f>
        <v/>
      </c>
      <c r="G210" s="37">
        <f>IF($A210="","",IF(F210&gt;=MIN_BANCOS,AVERAGE(B210:E210),""))</f>
        <v/>
      </c>
      <c r="H210" s="37">
        <f>IF(OR($A210="",NOT(ISNUMBER(Datos!F210)),NOT(ISNUMBER(Datos!F209))),"",Datos!F210/Datos!F209-1)</f>
        <v/>
      </c>
      <c r="I210" s="39">
        <f>IF($A210="","",IF(ISNUMBER(Datos!G210),Datos!G210,I209))</f>
        <v/>
      </c>
      <c r="J210" s="40">
        <f>IF($A210="","",IF(ISNUMBER(I209),LN(1+I209/100/12),0))</f>
        <v/>
      </c>
      <c r="K210" s="40">
        <f>IF(ISNUMBER(G210),LN(1+G210)-J210,"")</f>
        <v/>
      </c>
      <c r="L210" s="40">
        <f>IF(ISNUMBER(H210),LN(1+H210)-J210,"")</f>
        <v/>
      </c>
      <c r="M210" s="38">
        <f>IF(ISNUMBER(K210),1,0)</f>
        <v/>
      </c>
      <c r="N210" s="40">
        <f>IF(M210=1,K210,0)</f>
        <v/>
      </c>
      <c r="O210" s="38">
        <f>IF(ISNUMBER(L210),1,0)</f>
        <v/>
      </c>
      <c r="P210" s="40">
        <f>IF(O210=1,L210,0)</f>
        <v/>
      </c>
      <c r="Q210" s="38">
        <f>M210*O210</f>
        <v/>
      </c>
      <c r="R210" s="38">
        <f>SUM(Q174:Q209)</f>
        <v/>
      </c>
      <c r="S210" s="41">
        <f>IF(OR($A210="",R210&lt;MIN_OBS_ROLL),"",(SUMPRODUCT(Q174:Q209,N174:N209,P174:P209)/R210-SUMPRODUCT(Q174:Q209,N174:N209)/R210*SUMPRODUCT(Q174:Q209,P174:P209)/R210)*R210/(R210-1))</f>
        <v/>
      </c>
      <c r="T210" s="38">
        <f>SUM(O174:O209)</f>
        <v/>
      </c>
      <c r="U210" s="41">
        <f>IF(OR($A210="",T210&lt;MIN_OBS_ROLL),"",SUMPRODUCT(O174:O209,(P174:P209-SUMPRODUCT(O174:O209,P174:P209)/T210)^2)/(T210-1))</f>
        <v/>
      </c>
      <c r="V210" s="40">
        <f>IF(OR(S210="",U210=""),"",S210/U210)</f>
        <v/>
      </c>
      <c r="W210" s="40">
        <f>IF(AND(ISNUMBER(K210),ISNUMBER(L210),ISNUMBER(V210)),K210-V210*L210,"")</f>
        <v/>
      </c>
      <c r="X210" s="40">
        <f>IF(OR($A210="",NOT(ISNUMBER(Datos!H210)),NOT(ISNUMBER(Datos!H209))),"",LN(Datos!H210)-LN(Datos!H209))</f>
        <v/>
      </c>
      <c r="Y210" s="38">
        <f>IF(ISNUMBER(W210),1,0)</f>
        <v/>
      </c>
      <c r="Z210" s="40">
        <f>IF(Y210=1,W210,0)</f>
        <v/>
      </c>
      <c r="AA210" s="38">
        <f>IF(ISNUMBER(X210),1,0)</f>
        <v/>
      </c>
      <c r="AB210" s="40">
        <f>IF(AA210=1,X210,0)</f>
        <v/>
      </c>
      <c r="AC210" s="38">
        <f>Y210*AA210</f>
        <v/>
      </c>
      <c r="AD210" s="38">
        <f>SUM(AC174:AC209)</f>
        <v/>
      </c>
      <c r="AE210" s="41">
        <f>IF(OR($A210="",AD210&lt;MIN_OBS_ROLL),"",(SUMPRODUCT(AC174:AC209,Z174:Z209,AB174:AB209)/AD210-SUMPRODUCT(AC174:AC209,Z174:Z209)/AD210*SUMPRODUCT(AC174:AC209,AB174:AB209)/AD210)*AD210/(AD210-1))</f>
        <v/>
      </c>
      <c r="AF210" s="38">
        <f>SUM(AA174:AA209)</f>
        <v/>
      </c>
      <c r="AG210" s="41">
        <f>IF(OR($A210="",AF210&lt;MIN_OBS_ROLL),"",SUMPRODUCT(AA174:AA209,(AB174:AB209-SUMPRODUCT(AA174:AA209,AB174:AB209)/AF210)^2)/(AF210-1))</f>
        <v/>
      </c>
      <c r="AH210" s="38">
        <f>SUM(Y174:Y209)</f>
        <v/>
      </c>
      <c r="AI210" s="40">
        <f>IF(OR($A210="",AH210&lt;MIN_OBS_ROLL),"",SUMPRODUCT(Y174:Y209,Z174:Z209)/AH210)</f>
        <v/>
      </c>
      <c r="AJ210" s="40">
        <f>IF(OR($A210="",AF210&lt;MIN_OBS_ROLL),"",SUMPRODUCT(AA174:AA209,AB174:AB209)/AF210)</f>
        <v/>
      </c>
      <c r="AK210" s="40">
        <f>IF(OR(AE210="",AG210=""),"",AE210/AG210)</f>
        <v/>
      </c>
      <c r="AL210" s="40">
        <f>IF(OR(AI210="",AK210="",AJ210=""),"",AI210-AK210*AJ210)</f>
        <v/>
      </c>
      <c r="AM210" s="40">
        <f>IF(AND(ISNUMBER(W210),ISNUMBER(X210),ISNUMBER(AK210),ISNUMBER(AL210)),W210-(AL210+AK210*X210),"")</f>
        <v/>
      </c>
      <c r="AN210" s="38">
        <f>IF(ISNUMBER(AM210),1,0)</f>
        <v/>
      </c>
      <c r="AO210" s="40">
        <f>IF(AN210=1,AM210,0)</f>
        <v/>
      </c>
      <c r="AP210" s="40">
        <f>IF(SUM(AN208:AN210)=3,SUM(AO208:AO210),"")</f>
        <v/>
      </c>
      <c r="AQ210" s="38">
        <f>IF(ISNUMBER(AP210),1,0)</f>
        <v/>
      </c>
      <c r="AR210" s="40">
        <f>IF(AQ210=1,AP210,0)</f>
        <v/>
      </c>
      <c r="AS210" s="38">
        <f>SUM(AQ$5:AQ210)</f>
        <v/>
      </c>
      <c r="AT210" s="40">
        <f>IF(AS210&gt;=MIN_OBS_Z,SUMPRODUCT(AQ$5:AQ210,AR$5:AR210)/AS210,"")</f>
        <v/>
      </c>
      <c r="AU210" s="40">
        <f>IF(AS210&gt;=MIN_OBS_Z,SQRT(SUMPRODUCT(AQ$5:AQ210,(AR$5:AR210-AT210)^2)/(AS210-1)),"")</f>
        <v/>
      </c>
      <c r="AV210" s="40">
        <f>IF(AND(AQ210=1,ISNUMBER(AT210)),MAX(-Z_CLIP,MIN(Z_CLIP,(AR210-AT210)/AU210)),"")</f>
        <v/>
      </c>
      <c r="AW210" s="40">
        <f>IF(ISNUMBER(AV210),-AV210,"")</f>
        <v/>
      </c>
      <c r="AX210" s="40">
        <f>IF(ISNUMBER(AW210),1+AMPLITUD*TANH(AW210),"")</f>
        <v/>
      </c>
      <c r="AY210" s="40">
        <f>IF($A210="","",IF(COUNT(AX208:AX210)&gt;0,AVERAGE(AX208:AX210),""))</f>
        <v/>
      </c>
      <c r="AZ210" s="40">
        <f>IF(ISNUMBER(AY210),AY210-1,"")</f>
        <v/>
      </c>
      <c r="BA210" s="40">
        <f>IF(AND(ISNUMBER(AZ209),ISNUMBER(W210)),AZ209*W_BANCOS*W210,"")</f>
        <v/>
      </c>
      <c r="BB210" s="40">
        <f>IF(AND(ISNUMBER(AZ209),ISNUMBER(AZ208)),ABS(AZ209-AZ208)*W_BANCOS*COSTO,0)</f>
        <v/>
      </c>
      <c r="BC210" s="40">
        <f>IF(ISNUMBER(BA210),BA210-BB210,"")</f>
        <v/>
      </c>
      <c r="BD210" s="42">
        <f>IF(ISNUMBER(BC210),IF(A210&lt;=FECHA_ERA,"A","B"),"")</f>
        <v/>
      </c>
      <c r="BE210" s="40">
        <f>IF(BD210="A",BC210,"")</f>
        <v/>
      </c>
      <c r="BF210" s="40">
        <f>IF(BD210="B",BC210,"")</f>
        <v/>
      </c>
      <c r="BG210" s="38">
        <f>IF(AND(ISNUMBER(BC210),ISNUMBER(A210)),IF(A210&gt;=INICIO_VIVO,1,0),0)</f>
        <v/>
      </c>
      <c r="BH210" s="40">
        <f>IF(BG210=1,BC210,"")</f>
        <v/>
      </c>
      <c r="BI210" s="38">
        <f>IF(ISNUMBER(AY210),ROW(),0)</f>
        <v/>
      </c>
      <c r="BJ210" s="43">
        <f>IF(ISNUMBER(BC210),SUM(BC$5:BC210)*10000,NA())</f>
        <v/>
      </c>
      <c r="BK210" s="43">
        <f>IF(BG210=1,SUM(BH$5:BH210)*10000,NA())</f>
        <v/>
      </c>
      <c r="BL210" s="44">
        <f>IF(ISNUMBER(AY210),AY210,NA())</f>
        <v/>
      </c>
    </row>
    <row r="211">
      <c r="A211" s="36">
        <f>IF(Datos!A211="","",Datos!A211)</f>
        <v/>
      </c>
      <c r="B211" s="37">
        <f>IF(OR($A211="",NOT(ISNUMBER(Datos!B211)),NOT(ISNUMBER(Datos!B210))),"",Datos!B211/Datos!B210-1)</f>
        <v/>
      </c>
      <c r="C211" s="37">
        <f>IF(OR($A211="",NOT(ISNUMBER(Datos!C211)),NOT(ISNUMBER(Datos!C210))),"",Datos!C211/Datos!C210-1)</f>
        <v/>
      </c>
      <c r="D211" s="37">
        <f>IF(OR($A211="",NOT(ISNUMBER(Datos!D211)),NOT(ISNUMBER(Datos!D210))),"",Datos!D211/Datos!D210-1)</f>
        <v/>
      </c>
      <c r="E211" s="37">
        <f>IF(OR($A211="",NOT(ISNUMBER(Datos!E211)),NOT(ISNUMBER(Datos!E210))),"",Datos!E211/Datos!E210-1)</f>
        <v/>
      </c>
      <c r="F211" s="38">
        <f>IF($A211="","",COUNT(B211:E211))</f>
        <v/>
      </c>
      <c r="G211" s="37">
        <f>IF($A211="","",IF(F211&gt;=MIN_BANCOS,AVERAGE(B211:E211),""))</f>
        <v/>
      </c>
      <c r="H211" s="37">
        <f>IF(OR($A211="",NOT(ISNUMBER(Datos!F211)),NOT(ISNUMBER(Datos!F210))),"",Datos!F211/Datos!F210-1)</f>
        <v/>
      </c>
      <c r="I211" s="39">
        <f>IF($A211="","",IF(ISNUMBER(Datos!G211),Datos!G211,I210))</f>
        <v/>
      </c>
      <c r="J211" s="40">
        <f>IF($A211="","",IF(ISNUMBER(I210),LN(1+I210/100/12),0))</f>
        <v/>
      </c>
      <c r="K211" s="40">
        <f>IF(ISNUMBER(G211),LN(1+G211)-J211,"")</f>
        <v/>
      </c>
      <c r="L211" s="40">
        <f>IF(ISNUMBER(H211),LN(1+H211)-J211,"")</f>
        <v/>
      </c>
      <c r="M211" s="38">
        <f>IF(ISNUMBER(K211),1,0)</f>
        <v/>
      </c>
      <c r="N211" s="40">
        <f>IF(M211=1,K211,0)</f>
        <v/>
      </c>
      <c r="O211" s="38">
        <f>IF(ISNUMBER(L211),1,0)</f>
        <v/>
      </c>
      <c r="P211" s="40">
        <f>IF(O211=1,L211,0)</f>
        <v/>
      </c>
      <c r="Q211" s="38">
        <f>M211*O211</f>
        <v/>
      </c>
      <c r="R211" s="38">
        <f>SUM(Q175:Q210)</f>
        <v/>
      </c>
      <c r="S211" s="41">
        <f>IF(OR($A211="",R211&lt;MIN_OBS_ROLL),"",(SUMPRODUCT(Q175:Q210,N175:N210,P175:P210)/R211-SUMPRODUCT(Q175:Q210,N175:N210)/R211*SUMPRODUCT(Q175:Q210,P175:P210)/R211)*R211/(R211-1))</f>
        <v/>
      </c>
      <c r="T211" s="38">
        <f>SUM(O175:O210)</f>
        <v/>
      </c>
      <c r="U211" s="41">
        <f>IF(OR($A211="",T211&lt;MIN_OBS_ROLL),"",SUMPRODUCT(O175:O210,(P175:P210-SUMPRODUCT(O175:O210,P175:P210)/T211)^2)/(T211-1))</f>
        <v/>
      </c>
      <c r="V211" s="40">
        <f>IF(OR(S211="",U211=""),"",S211/U211)</f>
        <v/>
      </c>
      <c r="W211" s="40">
        <f>IF(AND(ISNUMBER(K211),ISNUMBER(L211),ISNUMBER(V211)),K211-V211*L211,"")</f>
        <v/>
      </c>
      <c r="X211" s="40">
        <f>IF(OR($A211="",NOT(ISNUMBER(Datos!H211)),NOT(ISNUMBER(Datos!H210))),"",LN(Datos!H211)-LN(Datos!H210))</f>
        <v/>
      </c>
      <c r="Y211" s="38">
        <f>IF(ISNUMBER(W211),1,0)</f>
        <v/>
      </c>
      <c r="Z211" s="40">
        <f>IF(Y211=1,W211,0)</f>
        <v/>
      </c>
      <c r="AA211" s="38">
        <f>IF(ISNUMBER(X211),1,0)</f>
        <v/>
      </c>
      <c r="AB211" s="40">
        <f>IF(AA211=1,X211,0)</f>
        <v/>
      </c>
      <c r="AC211" s="38">
        <f>Y211*AA211</f>
        <v/>
      </c>
      <c r="AD211" s="38">
        <f>SUM(AC175:AC210)</f>
        <v/>
      </c>
      <c r="AE211" s="41">
        <f>IF(OR($A211="",AD211&lt;MIN_OBS_ROLL),"",(SUMPRODUCT(AC175:AC210,Z175:Z210,AB175:AB210)/AD211-SUMPRODUCT(AC175:AC210,Z175:Z210)/AD211*SUMPRODUCT(AC175:AC210,AB175:AB210)/AD211)*AD211/(AD211-1))</f>
        <v/>
      </c>
      <c r="AF211" s="38">
        <f>SUM(AA175:AA210)</f>
        <v/>
      </c>
      <c r="AG211" s="41">
        <f>IF(OR($A211="",AF211&lt;MIN_OBS_ROLL),"",SUMPRODUCT(AA175:AA210,(AB175:AB210-SUMPRODUCT(AA175:AA210,AB175:AB210)/AF211)^2)/(AF211-1))</f>
        <v/>
      </c>
      <c r="AH211" s="38">
        <f>SUM(Y175:Y210)</f>
        <v/>
      </c>
      <c r="AI211" s="40">
        <f>IF(OR($A211="",AH211&lt;MIN_OBS_ROLL),"",SUMPRODUCT(Y175:Y210,Z175:Z210)/AH211)</f>
        <v/>
      </c>
      <c r="AJ211" s="40">
        <f>IF(OR($A211="",AF211&lt;MIN_OBS_ROLL),"",SUMPRODUCT(AA175:AA210,AB175:AB210)/AF211)</f>
        <v/>
      </c>
      <c r="AK211" s="40">
        <f>IF(OR(AE211="",AG211=""),"",AE211/AG211)</f>
        <v/>
      </c>
      <c r="AL211" s="40">
        <f>IF(OR(AI211="",AK211="",AJ211=""),"",AI211-AK211*AJ211)</f>
        <v/>
      </c>
      <c r="AM211" s="40">
        <f>IF(AND(ISNUMBER(W211),ISNUMBER(X211),ISNUMBER(AK211),ISNUMBER(AL211)),W211-(AL211+AK211*X211),"")</f>
        <v/>
      </c>
      <c r="AN211" s="38">
        <f>IF(ISNUMBER(AM211),1,0)</f>
        <v/>
      </c>
      <c r="AO211" s="40">
        <f>IF(AN211=1,AM211,0)</f>
        <v/>
      </c>
      <c r="AP211" s="40">
        <f>IF(SUM(AN209:AN211)=3,SUM(AO209:AO211),"")</f>
        <v/>
      </c>
      <c r="AQ211" s="38">
        <f>IF(ISNUMBER(AP211),1,0)</f>
        <v/>
      </c>
      <c r="AR211" s="40">
        <f>IF(AQ211=1,AP211,0)</f>
        <v/>
      </c>
      <c r="AS211" s="38">
        <f>SUM(AQ$5:AQ211)</f>
        <v/>
      </c>
      <c r="AT211" s="40">
        <f>IF(AS211&gt;=MIN_OBS_Z,SUMPRODUCT(AQ$5:AQ211,AR$5:AR211)/AS211,"")</f>
        <v/>
      </c>
      <c r="AU211" s="40">
        <f>IF(AS211&gt;=MIN_OBS_Z,SQRT(SUMPRODUCT(AQ$5:AQ211,(AR$5:AR211-AT211)^2)/(AS211-1)),"")</f>
        <v/>
      </c>
      <c r="AV211" s="40">
        <f>IF(AND(AQ211=1,ISNUMBER(AT211)),MAX(-Z_CLIP,MIN(Z_CLIP,(AR211-AT211)/AU211)),"")</f>
        <v/>
      </c>
      <c r="AW211" s="40">
        <f>IF(ISNUMBER(AV211),-AV211,"")</f>
        <v/>
      </c>
      <c r="AX211" s="40">
        <f>IF(ISNUMBER(AW211),1+AMPLITUD*TANH(AW211),"")</f>
        <v/>
      </c>
      <c r="AY211" s="40">
        <f>IF($A211="","",IF(COUNT(AX209:AX211)&gt;0,AVERAGE(AX209:AX211),""))</f>
        <v/>
      </c>
      <c r="AZ211" s="40">
        <f>IF(ISNUMBER(AY211),AY211-1,"")</f>
        <v/>
      </c>
      <c r="BA211" s="40">
        <f>IF(AND(ISNUMBER(AZ210),ISNUMBER(W211)),AZ210*W_BANCOS*W211,"")</f>
        <v/>
      </c>
      <c r="BB211" s="40">
        <f>IF(AND(ISNUMBER(AZ210),ISNUMBER(AZ209)),ABS(AZ210-AZ209)*W_BANCOS*COSTO,0)</f>
        <v/>
      </c>
      <c r="BC211" s="40">
        <f>IF(ISNUMBER(BA211),BA211-BB211,"")</f>
        <v/>
      </c>
      <c r="BD211" s="42">
        <f>IF(ISNUMBER(BC211),IF(A211&lt;=FECHA_ERA,"A","B"),"")</f>
        <v/>
      </c>
      <c r="BE211" s="40">
        <f>IF(BD211="A",BC211,"")</f>
        <v/>
      </c>
      <c r="BF211" s="40">
        <f>IF(BD211="B",BC211,"")</f>
        <v/>
      </c>
      <c r="BG211" s="38">
        <f>IF(AND(ISNUMBER(BC211),ISNUMBER(A211)),IF(A211&gt;=INICIO_VIVO,1,0),0)</f>
        <v/>
      </c>
      <c r="BH211" s="40">
        <f>IF(BG211=1,BC211,"")</f>
        <v/>
      </c>
      <c r="BI211" s="38">
        <f>IF(ISNUMBER(AY211),ROW(),0)</f>
        <v/>
      </c>
      <c r="BJ211" s="43">
        <f>IF(ISNUMBER(BC211),SUM(BC$5:BC211)*10000,NA())</f>
        <v/>
      </c>
      <c r="BK211" s="43">
        <f>IF(BG211=1,SUM(BH$5:BH211)*10000,NA())</f>
        <v/>
      </c>
      <c r="BL211" s="44">
        <f>IF(ISNUMBER(AY211),AY211,NA())</f>
        <v/>
      </c>
    </row>
    <row r="212">
      <c r="A212" s="36">
        <f>IF(Datos!A212="","",Datos!A212)</f>
        <v/>
      </c>
      <c r="B212" s="37">
        <f>IF(OR($A212="",NOT(ISNUMBER(Datos!B212)),NOT(ISNUMBER(Datos!B211))),"",Datos!B212/Datos!B211-1)</f>
        <v/>
      </c>
      <c r="C212" s="37">
        <f>IF(OR($A212="",NOT(ISNUMBER(Datos!C212)),NOT(ISNUMBER(Datos!C211))),"",Datos!C212/Datos!C211-1)</f>
        <v/>
      </c>
      <c r="D212" s="37">
        <f>IF(OR($A212="",NOT(ISNUMBER(Datos!D212)),NOT(ISNUMBER(Datos!D211))),"",Datos!D212/Datos!D211-1)</f>
        <v/>
      </c>
      <c r="E212" s="37">
        <f>IF(OR($A212="",NOT(ISNUMBER(Datos!E212)),NOT(ISNUMBER(Datos!E211))),"",Datos!E212/Datos!E211-1)</f>
        <v/>
      </c>
      <c r="F212" s="38">
        <f>IF($A212="","",COUNT(B212:E212))</f>
        <v/>
      </c>
      <c r="G212" s="37">
        <f>IF($A212="","",IF(F212&gt;=MIN_BANCOS,AVERAGE(B212:E212),""))</f>
        <v/>
      </c>
      <c r="H212" s="37">
        <f>IF(OR($A212="",NOT(ISNUMBER(Datos!F212)),NOT(ISNUMBER(Datos!F211))),"",Datos!F212/Datos!F211-1)</f>
        <v/>
      </c>
      <c r="I212" s="39">
        <f>IF($A212="","",IF(ISNUMBER(Datos!G212),Datos!G212,I211))</f>
        <v/>
      </c>
      <c r="J212" s="40">
        <f>IF($A212="","",IF(ISNUMBER(I211),LN(1+I211/100/12),0))</f>
        <v/>
      </c>
      <c r="K212" s="40">
        <f>IF(ISNUMBER(G212),LN(1+G212)-J212,"")</f>
        <v/>
      </c>
      <c r="L212" s="40">
        <f>IF(ISNUMBER(H212),LN(1+H212)-J212,"")</f>
        <v/>
      </c>
      <c r="M212" s="38">
        <f>IF(ISNUMBER(K212),1,0)</f>
        <v/>
      </c>
      <c r="N212" s="40">
        <f>IF(M212=1,K212,0)</f>
        <v/>
      </c>
      <c r="O212" s="38">
        <f>IF(ISNUMBER(L212),1,0)</f>
        <v/>
      </c>
      <c r="P212" s="40">
        <f>IF(O212=1,L212,0)</f>
        <v/>
      </c>
      <c r="Q212" s="38">
        <f>M212*O212</f>
        <v/>
      </c>
      <c r="R212" s="38">
        <f>SUM(Q176:Q211)</f>
        <v/>
      </c>
      <c r="S212" s="41">
        <f>IF(OR($A212="",R212&lt;MIN_OBS_ROLL),"",(SUMPRODUCT(Q176:Q211,N176:N211,P176:P211)/R212-SUMPRODUCT(Q176:Q211,N176:N211)/R212*SUMPRODUCT(Q176:Q211,P176:P211)/R212)*R212/(R212-1))</f>
        <v/>
      </c>
      <c r="T212" s="38">
        <f>SUM(O176:O211)</f>
        <v/>
      </c>
      <c r="U212" s="41">
        <f>IF(OR($A212="",T212&lt;MIN_OBS_ROLL),"",SUMPRODUCT(O176:O211,(P176:P211-SUMPRODUCT(O176:O211,P176:P211)/T212)^2)/(T212-1))</f>
        <v/>
      </c>
      <c r="V212" s="40">
        <f>IF(OR(S212="",U212=""),"",S212/U212)</f>
        <v/>
      </c>
      <c r="W212" s="40">
        <f>IF(AND(ISNUMBER(K212),ISNUMBER(L212),ISNUMBER(V212)),K212-V212*L212,"")</f>
        <v/>
      </c>
      <c r="X212" s="40">
        <f>IF(OR($A212="",NOT(ISNUMBER(Datos!H212)),NOT(ISNUMBER(Datos!H211))),"",LN(Datos!H212)-LN(Datos!H211))</f>
        <v/>
      </c>
      <c r="Y212" s="38">
        <f>IF(ISNUMBER(W212),1,0)</f>
        <v/>
      </c>
      <c r="Z212" s="40">
        <f>IF(Y212=1,W212,0)</f>
        <v/>
      </c>
      <c r="AA212" s="38">
        <f>IF(ISNUMBER(X212),1,0)</f>
        <v/>
      </c>
      <c r="AB212" s="40">
        <f>IF(AA212=1,X212,0)</f>
        <v/>
      </c>
      <c r="AC212" s="38">
        <f>Y212*AA212</f>
        <v/>
      </c>
      <c r="AD212" s="38">
        <f>SUM(AC176:AC211)</f>
        <v/>
      </c>
      <c r="AE212" s="41">
        <f>IF(OR($A212="",AD212&lt;MIN_OBS_ROLL),"",(SUMPRODUCT(AC176:AC211,Z176:Z211,AB176:AB211)/AD212-SUMPRODUCT(AC176:AC211,Z176:Z211)/AD212*SUMPRODUCT(AC176:AC211,AB176:AB211)/AD212)*AD212/(AD212-1))</f>
        <v/>
      </c>
      <c r="AF212" s="38">
        <f>SUM(AA176:AA211)</f>
        <v/>
      </c>
      <c r="AG212" s="41">
        <f>IF(OR($A212="",AF212&lt;MIN_OBS_ROLL),"",SUMPRODUCT(AA176:AA211,(AB176:AB211-SUMPRODUCT(AA176:AA211,AB176:AB211)/AF212)^2)/(AF212-1))</f>
        <v/>
      </c>
      <c r="AH212" s="38">
        <f>SUM(Y176:Y211)</f>
        <v/>
      </c>
      <c r="AI212" s="40">
        <f>IF(OR($A212="",AH212&lt;MIN_OBS_ROLL),"",SUMPRODUCT(Y176:Y211,Z176:Z211)/AH212)</f>
        <v/>
      </c>
      <c r="AJ212" s="40">
        <f>IF(OR($A212="",AF212&lt;MIN_OBS_ROLL),"",SUMPRODUCT(AA176:AA211,AB176:AB211)/AF212)</f>
        <v/>
      </c>
      <c r="AK212" s="40">
        <f>IF(OR(AE212="",AG212=""),"",AE212/AG212)</f>
        <v/>
      </c>
      <c r="AL212" s="40">
        <f>IF(OR(AI212="",AK212="",AJ212=""),"",AI212-AK212*AJ212)</f>
        <v/>
      </c>
      <c r="AM212" s="40">
        <f>IF(AND(ISNUMBER(W212),ISNUMBER(X212),ISNUMBER(AK212),ISNUMBER(AL212)),W212-(AL212+AK212*X212),"")</f>
        <v/>
      </c>
      <c r="AN212" s="38">
        <f>IF(ISNUMBER(AM212),1,0)</f>
        <v/>
      </c>
      <c r="AO212" s="40">
        <f>IF(AN212=1,AM212,0)</f>
        <v/>
      </c>
      <c r="AP212" s="40">
        <f>IF(SUM(AN210:AN212)=3,SUM(AO210:AO212),"")</f>
        <v/>
      </c>
      <c r="AQ212" s="38">
        <f>IF(ISNUMBER(AP212),1,0)</f>
        <v/>
      </c>
      <c r="AR212" s="40">
        <f>IF(AQ212=1,AP212,0)</f>
        <v/>
      </c>
      <c r="AS212" s="38">
        <f>SUM(AQ$5:AQ212)</f>
        <v/>
      </c>
      <c r="AT212" s="40">
        <f>IF(AS212&gt;=MIN_OBS_Z,SUMPRODUCT(AQ$5:AQ212,AR$5:AR212)/AS212,"")</f>
        <v/>
      </c>
      <c r="AU212" s="40">
        <f>IF(AS212&gt;=MIN_OBS_Z,SQRT(SUMPRODUCT(AQ$5:AQ212,(AR$5:AR212-AT212)^2)/(AS212-1)),"")</f>
        <v/>
      </c>
      <c r="AV212" s="40">
        <f>IF(AND(AQ212=1,ISNUMBER(AT212)),MAX(-Z_CLIP,MIN(Z_CLIP,(AR212-AT212)/AU212)),"")</f>
        <v/>
      </c>
      <c r="AW212" s="40">
        <f>IF(ISNUMBER(AV212),-AV212,"")</f>
        <v/>
      </c>
      <c r="AX212" s="40">
        <f>IF(ISNUMBER(AW212),1+AMPLITUD*TANH(AW212),"")</f>
        <v/>
      </c>
      <c r="AY212" s="40">
        <f>IF($A212="","",IF(COUNT(AX210:AX212)&gt;0,AVERAGE(AX210:AX212),""))</f>
        <v/>
      </c>
      <c r="AZ212" s="40">
        <f>IF(ISNUMBER(AY212),AY212-1,"")</f>
        <v/>
      </c>
      <c r="BA212" s="40">
        <f>IF(AND(ISNUMBER(AZ211),ISNUMBER(W212)),AZ211*W_BANCOS*W212,"")</f>
        <v/>
      </c>
      <c r="BB212" s="40">
        <f>IF(AND(ISNUMBER(AZ211),ISNUMBER(AZ210)),ABS(AZ211-AZ210)*W_BANCOS*COSTO,0)</f>
        <v/>
      </c>
      <c r="BC212" s="40">
        <f>IF(ISNUMBER(BA212),BA212-BB212,"")</f>
        <v/>
      </c>
      <c r="BD212" s="42">
        <f>IF(ISNUMBER(BC212),IF(A212&lt;=FECHA_ERA,"A","B"),"")</f>
        <v/>
      </c>
      <c r="BE212" s="40">
        <f>IF(BD212="A",BC212,"")</f>
        <v/>
      </c>
      <c r="BF212" s="40">
        <f>IF(BD212="B",BC212,"")</f>
        <v/>
      </c>
      <c r="BG212" s="38">
        <f>IF(AND(ISNUMBER(BC212),ISNUMBER(A212)),IF(A212&gt;=INICIO_VIVO,1,0),0)</f>
        <v/>
      </c>
      <c r="BH212" s="40">
        <f>IF(BG212=1,BC212,"")</f>
        <v/>
      </c>
      <c r="BI212" s="38">
        <f>IF(ISNUMBER(AY212),ROW(),0)</f>
        <v/>
      </c>
      <c r="BJ212" s="43">
        <f>IF(ISNUMBER(BC212),SUM(BC$5:BC212)*10000,NA())</f>
        <v/>
      </c>
      <c r="BK212" s="43">
        <f>IF(BG212=1,SUM(BH$5:BH212)*10000,NA())</f>
        <v/>
      </c>
      <c r="BL212" s="44">
        <f>IF(ISNUMBER(AY212),AY212,NA())</f>
        <v/>
      </c>
    </row>
    <row r="213">
      <c r="A213" s="36">
        <f>IF(Datos!A213="","",Datos!A213)</f>
        <v/>
      </c>
      <c r="B213" s="37">
        <f>IF(OR($A213="",NOT(ISNUMBER(Datos!B213)),NOT(ISNUMBER(Datos!B212))),"",Datos!B213/Datos!B212-1)</f>
        <v/>
      </c>
      <c r="C213" s="37">
        <f>IF(OR($A213="",NOT(ISNUMBER(Datos!C213)),NOT(ISNUMBER(Datos!C212))),"",Datos!C213/Datos!C212-1)</f>
        <v/>
      </c>
      <c r="D213" s="37">
        <f>IF(OR($A213="",NOT(ISNUMBER(Datos!D213)),NOT(ISNUMBER(Datos!D212))),"",Datos!D213/Datos!D212-1)</f>
        <v/>
      </c>
      <c r="E213" s="37">
        <f>IF(OR($A213="",NOT(ISNUMBER(Datos!E213)),NOT(ISNUMBER(Datos!E212))),"",Datos!E213/Datos!E212-1)</f>
        <v/>
      </c>
      <c r="F213" s="38">
        <f>IF($A213="","",COUNT(B213:E213))</f>
        <v/>
      </c>
      <c r="G213" s="37">
        <f>IF($A213="","",IF(F213&gt;=MIN_BANCOS,AVERAGE(B213:E213),""))</f>
        <v/>
      </c>
      <c r="H213" s="37">
        <f>IF(OR($A213="",NOT(ISNUMBER(Datos!F213)),NOT(ISNUMBER(Datos!F212))),"",Datos!F213/Datos!F212-1)</f>
        <v/>
      </c>
      <c r="I213" s="39">
        <f>IF($A213="","",IF(ISNUMBER(Datos!G213),Datos!G213,I212))</f>
        <v/>
      </c>
      <c r="J213" s="40">
        <f>IF($A213="","",IF(ISNUMBER(I212),LN(1+I212/100/12),0))</f>
        <v/>
      </c>
      <c r="K213" s="40">
        <f>IF(ISNUMBER(G213),LN(1+G213)-J213,"")</f>
        <v/>
      </c>
      <c r="L213" s="40">
        <f>IF(ISNUMBER(H213),LN(1+H213)-J213,"")</f>
        <v/>
      </c>
      <c r="M213" s="38">
        <f>IF(ISNUMBER(K213),1,0)</f>
        <v/>
      </c>
      <c r="N213" s="40">
        <f>IF(M213=1,K213,0)</f>
        <v/>
      </c>
      <c r="O213" s="38">
        <f>IF(ISNUMBER(L213),1,0)</f>
        <v/>
      </c>
      <c r="P213" s="40">
        <f>IF(O213=1,L213,0)</f>
        <v/>
      </c>
      <c r="Q213" s="38">
        <f>M213*O213</f>
        <v/>
      </c>
      <c r="R213" s="38">
        <f>SUM(Q177:Q212)</f>
        <v/>
      </c>
      <c r="S213" s="41">
        <f>IF(OR($A213="",R213&lt;MIN_OBS_ROLL),"",(SUMPRODUCT(Q177:Q212,N177:N212,P177:P212)/R213-SUMPRODUCT(Q177:Q212,N177:N212)/R213*SUMPRODUCT(Q177:Q212,P177:P212)/R213)*R213/(R213-1))</f>
        <v/>
      </c>
      <c r="T213" s="38">
        <f>SUM(O177:O212)</f>
        <v/>
      </c>
      <c r="U213" s="41">
        <f>IF(OR($A213="",T213&lt;MIN_OBS_ROLL),"",SUMPRODUCT(O177:O212,(P177:P212-SUMPRODUCT(O177:O212,P177:P212)/T213)^2)/(T213-1))</f>
        <v/>
      </c>
      <c r="V213" s="40">
        <f>IF(OR(S213="",U213=""),"",S213/U213)</f>
        <v/>
      </c>
      <c r="W213" s="40">
        <f>IF(AND(ISNUMBER(K213),ISNUMBER(L213),ISNUMBER(V213)),K213-V213*L213,"")</f>
        <v/>
      </c>
      <c r="X213" s="40">
        <f>IF(OR($A213="",NOT(ISNUMBER(Datos!H213)),NOT(ISNUMBER(Datos!H212))),"",LN(Datos!H213)-LN(Datos!H212))</f>
        <v/>
      </c>
      <c r="Y213" s="38">
        <f>IF(ISNUMBER(W213),1,0)</f>
        <v/>
      </c>
      <c r="Z213" s="40">
        <f>IF(Y213=1,W213,0)</f>
        <v/>
      </c>
      <c r="AA213" s="38">
        <f>IF(ISNUMBER(X213),1,0)</f>
        <v/>
      </c>
      <c r="AB213" s="40">
        <f>IF(AA213=1,X213,0)</f>
        <v/>
      </c>
      <c r="AC213" s="38">
        <f>Y213*AA213</f>
        <v/>
      </c>
      <c r="AD213" s="38">
        <f>SUM(AC177:AC212)</f>
        <v/>
      </c>
      <c r="AE213" s="41">
        <f>IF(OR($A213="",AD213&lt;MIN_OBS_ROLL),"",(SUMPRODUCT(AC177:AC212,Z177:Z212,AB177:AB212)/AD213-SUMPRODUCT(AC177:AC212,Z177:Z212)/AD213*SUMPRODUCT(AC177:AC212,AB177:AB212)/AD213)*AD213/(AD213-1))</f>
        <v/>
      </c>
      <c r="AF213" s="38">
        <f>SUM(AA177:AA212)</f>
        <v/>
      </c>
      <c r="AG213" s="41">
        <f>IF(OR($A213="",AF213&lt;MIN_OBS_ROLL),"",SUMPRODUCT(AA177:AA212,(AB177:AB212-SUMPRODUCT(AA177:AA212,AB177:AB212)/AF213)^2)/(AF213-1))</f>
        <v/>
      </c>
      <c r="AH213" s="38">
        <f>SUM(Y177:Y212)</f>
        <v/>
      </c>
      <c r="AI213" s="40">
        <f>IF(OR($A213="",AH213&lt;MIN_OBS_ROLL),"",SUMPRODUCT(Y177:Y212,Z177:Z212)/AH213)</f>
        <v/>
      </c>
      <c r="AJ213" s="40">
        <f>IF(OR($A213="",AF213&lt;MIN_OBS_ROLL),"",SUMPRODUCT(AA177:AA212,AB177:AB212)/AF213)</f>
        <v/>
      </c>
      <c r="AK213" s="40">
        <f>IF(OR(AE213="",AG213=""),"",AE213/AG213)</f>
        <v/>
      </c>
      <c r="AL213" s="40">
        <f>IF(OR(AI213="",AK213="",AJ213=""),"",AI213-AK213*AJ213)</f>
        <v/>
      </c>
      <c r="AM213" s="40">
        <f>IF(AND(ISNUMBER(W213),ISNUMBER(X213),ISNUMBER(AK213),ISNUMBER(AL213)),W213-(AL213+AK213*X213),"")</f>
        <v/>
      </c>
      <c r="AN213" s="38">
        <f>IF(ISNUMBER(AM213),1,0)</f>
        <v/>
      </c>
      <c r="AO213" s="40">
        <f>IF(AN213=1,AM213,0)</f>
        <v/>
      </c>
      <c r="AP213" s="40">
        <f>IF(SUM(AN211:AN213)=3,SUM(AO211:AO213),"")</f>
        <v/>
      </c>
      <c r="AQ213" s="38">
        <f>IF(ISNUMBER(AP213),1,0)</f>
        <v/>
      </c>
      <c r="AR213" s="40">
        <f>IF(AQ213=1,AP213,0)</f>
        <v/>
      </c>
      <c r="AS213" s="38">
        <f>SUM(AQ$5:AQ213)</f>
        <v/>
      </c>
      <c r="AT213" s="40">
        <f>IF(AS213&gt;=MIN_OBS_Z,SUMPRODUCT(AQ$5:AQ213,AR$5:AR213)/AS213,"")</f>
        <v/>
      </c>
      <c r="AU213" s="40">
        <f>IF(AS213&gt;=MIN_OBS_Z,SQRT(SUMPRODUCT(AQ$5:AQ213,(AR$5:AR213-AT213)^2)/(AS213-1)),"")</f>
        <v/>
      </c>
      <c r="AV213" s="40">
        <f>IF(AND(AQ213=1,ISNUMBER(AT213)),MAX(-Z_CLIP,MIN(Z_CLIP,(AR213-AT213)/AU213)),"")</f>
        <v/>
      </c>
      <c r="AW213" s="40">
        <f>IF(ISNUMBER(AV213),-AV213,"")</f>
        <v/>
      </c>
      <c r="AX213" s="40">
        <f>IF(ISNUMBER(AW213),1+AMPLITUD*TANH(AW213),"")</f>
        <v/>
      </c>
      <c r="AY213" s="40">
        <f>IF($A213="","",IF(COUNT(AX211:AX213)&gt;0,AVERAGE(AX211:AX213),""))</f>
        <v/>
      </c>
      <c r="AZ213" s="40">
        <f>IF(ISNUMBER(AY213),AY213-1,"")</f>
        <v/>
      </c>
      <c r="BA213" s="40">
        <f>IF(AND(ISNUMBER(AZ212),ISNUMBER(W213)),AZ212*W_BANCOS*W213,"")</f>
        <v/>
      </c>
      <c r="BB213" s="40">
        <f>IF(AND(ISNUMBER(AZ212),ISNUMBER(AZ211)),ABS(AZ212-AZ211)*W_BANCOS*COSTO,0)</f>
        <v/>
      </c>
      <c r="BC213" s="40">
        <f>IF(ISNUMBER(BA213),BA213-BB213,"")</f>
        <v/>
      </c>
      <c r="BD213" s="42">
        <f>IF(ISNUMBER(BC213),IF(A213&lt;=FECHA_ERA,"A","B"),"")</f>
        <v/>
      </c>
      <c r="BE213" s="40">
        <f>IF(BD213="A",BC213,"")</f>
        <v/>
      </c>
      <c r="BF213" s="40">
        <f>IF(BD213="B",BC213,"")</f>
        <v/>
      </c>
      <c r="BG213" s="38">
        <f>IF(AND(ISNUMBER(BC213),ISNUMBER(A213)),IF(A213&gt;=INICIO_VIVO,1,0),0)</f>
        <v/>
      </c>
      <c r="BH213" s="40">
        <f>IF(BG213=1,BC213,"")</f>
        <v/>
      </c>
      <c r="BI213" s="38">
        <f>IF(ISNUMBER(AY213),ROW(),0)</f>
        <v/>
      </c>
      <c r="BJ213" s="43">
        <f>IF(ISNUMBER(BC213),SUM(BC$5:BC213)*10000,NA())</f>
        <v/>
      </c>
      <c r="BK213" s="43">
        <f>IF(BG213=1,SUM(BH$5:BH213)*10000,NA())</f>
        <v/>
      </c>
      <c r="BL213" s="44">
        <f>IF(ISNUMBER(AY213),AY213,NA())</f>
        <v/>
      </c>
    </row>
    <row r="214">
      <c r="A214" s="36">
        <f>IF(Datos!A214="","",Datos!A214)</f>
        <v/>
      </c>
      <c r="B214" s="37">
        <f>IF(OR($A214="",NOT(ISNUMBER(Datos!B214)),NOT(ISNUMBER(Datos!B213))),"",Datos!B214/Datos!B213-1)</f>
        <v/>
      </c>
      <c r="C214" s="37">
        <f>IF(OR($A214="",NOT(ISNUMBER(Datos!C214)),NOT(ISNUMBER(Datos!C213))),"",Datos!C214/Datos!C213-1)</f>
        <v/>
      </c>
      <c r="D214" s="37">
        <f>IF(OR($A214="",NOT(ISNUMBER(Datos!D214)),NOT(ISNUMBER(Datos!D213))),"",Datos!D214/Datos!D213-1)</f>
        <v/>
      </c>
      <c r="E214" s="37">
        <f>IF(OR($A214="",NOT(ISNUMBER(Datos!E214)),NOT(ISNUMBER(Datos!E213))),"",Datos!E214/Datos!E213-1)</f>
        <v/>
      </c>
      <c r="F214" s="38">
        <f>IF($A214="","",COUNT(B214:E214))</f>
        <v/>
      </c>
      <c r="G214" s="37">
        <f>IF($A214="","",IF(F214&gt;=MIN_BANCOS,AVERAGE(B214:E214),""))</f>
        <v/>
      </c>
      <c r="H214" s="37">
        <f>IF(OR($A214="",NOT(ISNUMBER(Datos!F214)),NOT(ISNUMBER(Datos!F213))),"",Datos!F214/Datos!F213-1)</f>
        <v/>
      </c>
      <c r="I214" s="39">
        <f>IF($A214="","",IF(ISNUMBER(Datos!G214),Datos!G214,I213))</f>
        <v/>
      </c>
      <c r="J214" s="40">
        <f>IF($A214="","",IF(ISNUMBER(I213),LN(1+I213/100/12),0))</f>
        <v/>
      </c>
      <c r="K214" s="40">
        <f>IF(ISNUMBER(G214),LN(1+G214)-J214,"")</f>
        <v/>
      </c>
      <c r="L214" s="40">
        <f>IF(ISNUMBER(H214),LN(1+H214)-J214,"")</f>
        <v/>
      </c>
      <c r="M214" s="38">
        <f>IF(ISNUMBER(K214),1,0)</f>
        <v/>
      </c>
      <c r="N214" s="40">
        <f>IF(M214=1,K214,0)</f>
        <v/>
      </c>
      <c r="O214" s="38">
        <f>IF(ISNUMBER(L214),1,0)</f>
        <v/>
      </c>
      <c r="P214" s="40">
        <f>IF(O214=1,L214,0)</f>
        <v/>
      </c>
      <c r="Q214" s="38">
        <f>M214*O214</f>
        <v/>
      </c>
      <c r="R214" s="38">
        <f>SUM(Q178:Q213)</f>
        <v/>
      </c>
      <c r="S214" s="41">
        <f>IF(OR($A214="",R214&lt;MIN_OBS_ROLL),"",(SUMPRODUCT(Q178:Q213,N178:N213,P178:P213)/R214-SUMPRODUCT(Q178:Q213,N178:N213)/R214*SUMPRODUCT(Q178:Q213,P178:P213)/R214)*R214/(R214-1))</f>
        <v/>
      </c>
      <c r="T214" s="38">
        <f>SUM(O178:O213)</f>
        <v/>
      </c>
      <c r="U214" s="41">
        <f>IF(OR($A214="",T214&lt;MIN_OBS_ROLL),"",SUMPRODUCT(O178:O213,(P178:P213-SUMPRODUCT(O178:O213,P178:P213)/T214)^2)/(T214-1))</f>
        <v/>
      </c>
      <c r="V214" s="40">
        <f>IF(OR(S214="",U214=""),"",S214/U214)</f>
        <v/>
      </c>
      <c r="W214" s="40">
        <f>IF(AND(ISNUMBER(K214),ISNUMBER(L214),ISNUMBER(V214)),K214-V214*L214,"")</f>
        <v/>
      </c>
      <c r="X214" s="40">
        <f>IF(OR($A214="",NOT(ISNUMBER(Datos!H214)),NOT(ISNUMBER(Datos!H213))),"",LN(Datos!H214)-LN(Datos!H213))</f>
        <v/>
      </c>
      <c r="Y214" s="38">
        <f>IF(ISNUMBER(W214),1,0)</f>
        <v/>
      </c>
      <c r="Z214" s="40">
        <f>IF(Y214=1,W214,0)</f>
        <v/>
      </c>
      <c r="AA214" s="38">
        <f>IF(ISNUMBER(X214),1,0)</f>
        <v/>
      </c>
      <c r="AB214" s="40">
        <f>IF(AA214=1,X214,0)</f>
        <v/>
      </c>
      <c r="AC214" s="38">
        <f>Y214*AA214</f>
        <v/>
      </c>
      <c r="AD214" s="38">
        <f>SUM(AC178:AC213)</f>
        <v/>
      </c>
      <c r="AE214" s="41">
        <f>IF(OR($A214="",AD214&lt;MIN_OBS_ROLL),"",(SUMPRODUCT(AC178:AC213,Z178:Z213,AB178:AB213)/AD214-SUMPRODUCT(AC178:AC213,Z178:Z213)/AD214*SUMPRODUCT(AC178:AC213,AB178:AB213)/AD214)*AD214/(AD214-1))</f>
        <v/>
      </c>
      <c r="AF214" s="38">
        <f>SUM(AA178:AA213)</f>
        <v/>
      </c>
      <c r="AG214" s="41">
        <f>IF(OR($A214="",AF214&lt;MIN_OBS_ROLL),"",SUMPRODUCT(AA178:AA213,(AB178:AB213-SUMPRODUCT(AA178:AA213,AB178:AB213)/AF214)^2)/(AF214-1))</f>
        <v/>
      </c>
      <c r="AH214" s="38">
        <f>SUM(Y178:Y213)</f>
        <v/>
      </c>
      <c r="AI214" s="40">
        <f>IF(OR($A214="",AH214&lt;MIN_OBS_ROLL),"",SUMPRODUCT(Y178:Y213,Z178:Z213)/AH214)</f>
        <v/>
      </c>
      <c r="AJ214" s="40">
        <f>IF(OR($A214="",AF214&lt;MIN_OBS_ROLL),"",SUMPRODUCT(AA178:AA213,AB178:AB213)/AF214)</f>
        <v/>
      </c>
      <c r="AK214" s="40">
        <f>IF(OR(AE214="",AG214=""),"",AE214/AG214)</f>
        <v/>
      </c>
      <c r="AL214" s="40">
        <f>IF(OR(AI214="",AK214="",AJ214=""),"",AI214-AK214*AJ214)</f>
        <v/>
      </c>
      <c r="AM214" s="40">
        <f>IF(AND(ISNUMBER(W214),ISNUMBER(X214),ISNUMBER(AK214),ISNUMBER(AL214)),W214-(AL214+AK214*X214),"")</f>
        <v/>
      </c>
      <c r="AN214" s="38">
        <f>IF(ISNUMBER(AM214),1,0)</f>
        <v/>
      </c>
      <c r="AO214" s="40">
        <f>IF(AN214=1,AM214,0)</f>
        <v/>
      </c>
      <c r="AP214" s="40">
        <f>IF(SUM(AN212:AN214)=3,SUM(AO212:AO214),"")</f>
        <v/>
      </c>
      <c r="AQ214" s="38">
        <f>IF(ISNUMBER(AP214),1,0)</f>
        <v/>
      </c>
      <c r="AR214" s="40">
        <f>IF(AQ214=1,AP214,0)</f>
        <v/>
      </c>
      <c r="AS214" s="38">
        <f>SUM(AQ$5:AQ214)</f>
        <v/>
      </c>
      <c r="AT214" s="40">
        <f>IF(AS214&gt;=MIN_OBS_Z,SUMPRODUCT(AQ$5:AQ214,AR$5:AR214)/AS214,"")</f>
        <v/>
      </c>
      <c r="AU214" s="40">
        <f>IF(AS214&gt;=MIN_OBS_Z,SQRT(SUMPRODUCT(AQ$5:AQ214,(AR$5:AR214-AT214)^2)/(AS214-1)),"")</f>
        <v/>
      </c>
      <c r="AV214" s="40">
        <f>IF(AND(AQ214=1,ISNUMBER(AT214)),MAX(-Z_CLIP,MIN(Z_CLIP,(AR214-AT214)/AU214)),"")</f>
        <v/>
      </c>
      <c r="AW214" s="40">
        <f>IF(ISNUMBER(AV214),-AV214,"")</f>
        <v/>
      </c>
      <c r="AX214" s="40">
        <f>IF(ISNUMBER(AW214),1+AMPLITUD*TANH(AW214),"")</f>
        <v/>
      </c>
      <c r="AY214" s="40">
        <f>IF($A214="","",IF(COUNT(AX212:AX214)&gt;0,AVERAGE(AX212:AX214),""))</f>
        <v/>
      </c>
      <c r="AZ214" s="40">
        <f>IF(ISNUMBER(AY214),AY214-1,"")</f>
        <v/>
      </c>
      <c r="BA214" s="40">
        <f>IF(AND(ISNUMBER(AZ213),ISNUMBER(W214)),AZ213*W_BANCOS*W214,"")</f>
        <v/>
      </c>
      <c r="BB214" s="40">
        <f>IF(AND(ISNUMBER(AZ213),ISNUMBER(AZ212)),ABS(AZ213-AZ212)*W_BANCOS*COSTO,0)</f>
        <v/>
      </c>
      <c r="BC214" s="40">
        <f>IF(ISNUMBER(BA214),BA214-BB214,"")</f>
        <v/>
      </c>
      <c r="BD214" s="42">
        <f>IF(ISNUMBER(BC214),IF(A214&lt;=FECHA_ERA,"A","B"),"")</f>
        <v/>
      </c>
      <c r="BE214" s="40">
        <f>IF(BD214="A",BC214,"")</f>
        <v/>
      </c>
      <c r="BF214" s="40">
        <f>IF(BD214="B",BC214,"")</f>
        <v/>
      </c>
      <c r="BG214" s="38">
        <f>IF(AND(ISNUMBER(BC214),ISNUMBER(A214)),IF(A214&gt;=INICIO_VIVO,1,0),0)</f>
        <v/>
      </c>
      <c r="BH214" s="40">
        <f>IF(BG214=1,BC214,"")</f>
        <v/>
      </c>
      <c r="BI214" s="38">
        <f>IF(ISNUMBER(AY214),ROW(),0)</f>
        <v/>
      </c>
      <c r="BJ214" s="43">
        <f>IF(ISNUMBER(BC214),SUM(BC$5:BC214)*10000,NA())</f>
        <v/>
      </c>
      <c r="BK214" s="43">
        <f>IF(BG214=1,SUM(BH$5:BH214)*10000,NA())</f>
        <v/>
      </c>
      <c r="BL214" s="44">
        <f>IF(ISNUMBER(AY214),AY214,NA())</f>
        <v/>
      </c>
    </row>
    <row r="215">
      <c r="A215" s="36">
        <f>IF(Datos!A215="","",Datos!A215)</f>
        <v/>
      </c>
      <c r="B215" s="37">
        <f>IF(OR($A215="",NOT(ISNUMBER(Datos!B215)),NOT(ISNUMBER(Datos!B214))),"",Datos!B215/Datos!B214-1)</f>
        <v/>
      </c>
      <c r="C215" s="37">
        <f>IF(OR($A215="",NOT(ISNUMBER(Datos!C215)),NOT(ISNUMBER(Datos!C214))),"",Datos!C215/Datos!C214-1)</f>
        <v/>
      </c>
      <c r="D215" s="37">
        <f>IF(OR($A215="",NOT(ISNUMBER(Datos!D215)),NOT(ISNUMBER(Datos!D214))),"",Datos!D215/Datos!D214-1)</f>
        <v/>
      </c>
      <c r="E215" s="37">
        <f>IF(OR($A215="",NOT(ISNUMBER(Datos!E215)),NOT(ISNUMBER(Datos!E214))),"",Datos!E215/Datos!E214-1)</f>
        <v/>
      </c>
      <c r="F215" s="38">
        <f>IF($A215="","",COUNT(B215:E215))</f>
        <v/>
      </c>
      <c r="G215" s="37">
        <f>IF($A215="","",IF(F215&gt;=MIN_BANCOS,AVERAGE(B215:E215),""))</f>
        <v/>
      </c>
      <c r="H215" s="37">
        <f>IF(OR($A215="",NOT(ISNUMBER(Datos!F215)),NOT(ISNUMBER(Datos!F214))),"",Datos!F215/Datos!F214-1)</f>
        <v/>
      </c>
      <c r="I215" s="39">
        <f>IF($A215="","",IF(ISNUMBER(Datos!G215),Datos!G215,I214))</f>
        <v/>
      </c>
      <c r="J215" s="40">
        <f>IF($A215="","",IF(ISNUMBER(I214),LN(1+I214/100/12),0))</f>
        <v/>
      </c>
      <c r="K215" s="40">
        <f>IF(ISNUMBER(G215),LN(1+G215)-J215,"")</f>
        <v/>
      </c>
      <c r="L215" s="40">
        <f>IF(ISNUMBER(H215),LN(1+H215)-J215,"")</f>
        <v/>
      </c>
      <c r="M215" s="38">
        <f>IF(ISNUMBER(K215),1,0)</f>
        <v/>
      </c>
      <c r="N215" s="40">
        <f>IF(M215=1,K215,0)</f>
        <v/>
      </c>
      <c r="O215" s="38">
        <f>IF(ISNUMBER(L215),1,0)</f>
        <v/>
      </c>
      <c r="P215" s="40">
        <f>IF(O215=1,L215,0)</f>
        <v/>
      </c>
      <c r="Q215" s="38">
        <f>M215*O215</f>
        <v/>
      </c>
      <c r="R215" s="38">
        <f>SUM(Q179:Q214)</f>
        <v/>
      </c>
      <c r="S215" s="41">
        <f>IF(OR($A215="",R215&lt;MIN_OBS_ROLL),"",(SUMPRODUCT(Q179:Q214,N179:N214,P179:P214)/R215-SUMPRODUCT(Q179:Q214,N179:N214)/R215*SUMPRODUCT(Q179:Q214,P179:P214)/R215)*R215/(R215-1))</f>
        <v/>
      </c>
      <c r="T215" s="38">
        <f>SUM(O179:O214)</f>
        <v/>
      </c>
      <c r="U215" s="41">
        <f>IF(OR($A215="",T215&lt;MIN_OBS_ROLL),"",SUMPRODUCT(O179:O214,(P179:P214-SUMPRODUCT(O179:O214,P179:P214)/T215)^2)/(T215-1))</f>
        <v/>
      </c>
      <c r="V215" s="40">
        <f>IF(OR(S215="",U215=""),"",S215/U215)</f>
        <v/>
      </c>
      <c r="W215" s="40">
        <f>IF(AND(ISNUMBER(K215),ISNUMBER(L215),ISNUMBER(V215)),K215-V215*L215,"")</f>
        <v/>
      </c>
      <c r="X215" s="40">
        <f>IF(OR($A215="",NOT(ISNUMBER(Datos!H215)),NOT(ISNUMBER(Datos!H214))),"",LN(Datos!H215)-LN(Datos!H214))</f>
        <v/>
      </c>
      <c r="Y215" s="38">
        <f>IF(ISNUMBER(W215),1,0)</f>
        <v/>
      </c>
      <c r="Z215" s="40">
        <f>IF(Y215=1,W215,0)</f>
        <v/>
      </c>
      <c r="AA215" s="38">
        <f>IF(ISNUMBER(X215),1,0)</f>
        <v/>
      </c>
      <c r="AB215" s="40">
        <f>IF(AA215=1,X215,0)</f>
        <v/>
      </c>
      <c r="AC215" s="38">
        <f>Y215*AA215</f>
        <v/>
      </c>
      <c r="AD215" s="38">
        <f>SUM(AC179:AC214)</f>
        <v/>
      </c>
      <c r="AE215" s="41">
        <f>IF(OR($A215="",AD215&lt;MIN_OBS_ROLL),"",(SUMPRODUCT(AC179:AC214,Z179:Z214,AB179:AB214)/AD215-SUMPRODUCT(AC179:AC214,Z179:Z214)/AD215*SUMPRODUCT(AC179:AC214,AB179:AB214)/AD215)*AD215/(AD215-1))</f>
        <v/>
      </c>
      <c r="AF215" s="38">
        <f>SUM(AA179:AA214)</f>
        <v/>
      </c>
      <c r="AG215" s="41">
        <f>IF(OR($A215="",AF215&lt;MIN_OBS_ROLL),"",SUMPRODUCT(AA179:AA214,(AB179:AB214-SUMPRODUCT(AA179:AA214,AB179:AB214)/AF215)^2)/(AF215-1))</f>
        <v/>
      </c>
      <c r="AH215" s="38">
        <f>SUM(Y179:Y214)</f>
        <v/>
      </c>
      <c r="AI215" s="40">
        <f>IF(OR($A215="",AH215&lt;MIN_OBS_ROLL),"",SUMPRODUCT(Y179:Y214,Z179:Z214)/AH215)</f>
        <v/>
      </c>
      <c r="AJ215" s="40">
        <f>IF(OR($A215="",AF215&lt;MIN_OBS_ROLL),"",SUMPRODUCT(AA179:AA214,AB179:AB214)/AF215)</f>
        <v/>
      </c>
      <c r="AK215" s="40">
        <f>IF(OR(AE215="",AG215=""),"",AE215/AG215)</f>
        <v/>
      </c>
      <c r="AL215" s="40">
        <f>IF(OR(AI215="",AK215="",AJ215=""),"",AI215-AK215*AJ215)</f>
        <v/>
      </c>
      <c r="AM215" s="40">
        <f>IF(AND(ISNUMBER(W215),ISNUMBER(X215),ISNUMBER(AK215),ISNUMBER(AL215)),W215-(AL215+AK215*X215),"")</f>
        <v/>
      </c>
      <c r="AN215" s="38">
        <f>IF(ISNUMBER(AM215),1,0)</f>
        <v/>
      </c>
      <c r="AO215" s="40">
        <f>IF(AN215=1,AM215,0)</f>
        <v/>
      </c>
      <c r="AP215" s="40">
        <f>IF(SUM(AN213:AN215)=3,SUM(AO213:AO215),"")</f>
        <v/>
      </c>
      <c r="AQ215" s="38">
        <f>IF(ISNUMBER(AP215),1,0)</f>
        <v/>
      </c>
      <c r="AR215" s="40">
        <f>IF(AQ215=1,AP215,0)</f>
        <v/>
      </c>
      <c r="AS215" s="38">
        <f>SUM(AQ$5:AQ215)</f>
        <v/>
      </c>
      <c r="AT215" s="40">
        <f>IF(AS215&gt;=MIN_OBS_Z,SUMPRODUCT(AQ$5:AQ215,AR$5:AR215)/AS215,"")</f>
        <v/>
      </c>
      <c r="AU215" s="40">
        <f>IF(AS215&gt;=MIN_OBS_Z,SQRT(SUMPRODUCT(AQ$5:AQ215,(AR$5:AR215-AT215)^2)/(AS215-1)),"")</f>
        <v/>
      </c>
      <c r="AV215" s="40">
        <f>IF(AND(AQ215=1,ISNUMBER(AT215)),MAX(-Z_CLIP,MIN(Z_CLIP,(AR215-AT215)/AU215)),"")</f>
        <v/>
      </c>
      <c r="AW215" s="40">
        <f>IF(ISNUMBER(AV215),-AV215,"")</f>
        <v/>
      </c>
      <c r="AX215" s="40">
        <f>IF(ISNUMBER(AW215),1+AMPLITUD*TANH(AW215),"")</f>
        <v/>
      </c>
      <c r="AY215" s="40">
        <f>IF($A215="","",IF(COUNT(AX213:AX215)&gt;0,AVERAGE(AX213:AX215),""))</f>
        <v/>
      </c>
      <c r="AZ215" s="40">
        <f>IF(ISNUMBER(AY215),AY215-1,"")</f>
        <v/>
      </c>
      <c r="BA215" s="40">
        <f>IF(AND(ISNUMBER(AZ214),ISNUMBER(W215)),AZ214*W_BANCOS*W215,"")</f>
        <v/>
      </c>
      <c r="BB215" s="40">
        <f>IF(AND(ISNUMBER(AZ214),ISNUMBER(AZ213)),ABS(AZ214-AZ213)*W_BANCOS*COSTO,0)</f>
        <v/>
      </c>
      <c r="BC215" s="40">
        <f>IF(ISNUMBER(BA215),BA215-BB215,"")</f>
        <v/>
      </c>
      <c r="BD215" s="42">
        <f>IF(ISNUMBER(BC215),IF(A215&lt;=FECHA_ERA,"A","B"),"")</f>
        <v/>
      </c>
      <c r="BE215" s="40">
        <f>IF(BD215="A",BC215,"")</f>
        <v/>
      </c>
      <c r="BF215" s="40">
        <f>IF(BD215="B",BC215,"")</f>
        <v/>
      </c>
      <c r="BG215" s="38">
        <f>IF(AND(ISNUMBER(BC215),ISNUMBER(A215)),IF(A215&gt;=INICIO_VIVO,1,0),0)</f>
        <v/>
      </c>
      <c r="BH215" s="40">
        <f>IF(BG215=1,BC215,"")</f>
        <v/>
      </c>
      <c r="BI215" s="38">
        <f>IF(ISNUMBER(AY215),ROW(),0)</f>
        <v/>
      </c>
      <c r="BJ215" s="43">
        <f>IF(ISNUMBER(BC215),SUM(BC$5:BC215)*10000,NA())</f>
        <v/>
      </c>
      <c r="BK215" s="43">
        <f>IF(BG215=1,SUM(BH$5:BH215)*10000,NA())</f>
        <v/>
      </c>
      <c r="BL215" s="44">
        <f>IF(ISNUMBER(AY215),AY215,NA())</f>
        <v/>
      </c>
    </row>
    <row r="216">
      <c r="A216" s="36">
        <f>IF(Datos!A216="","",Datos!A216)</f>
        <v/>
      </c>
      <c r="B216" s="37">
        <f>IF(OR($A216="",NOT(ISNUMBER(Datos!B216)),NOT(ISNUMBER(Datos!B215))),"",Datos!B216/Datos!B215-1)</f>
        <v/>
      </c>
      <c r="C216" s="37">
        <f>IF(OR($A216="",NOT(ISNUMBER(Datos!C216)),NOT(ISNUMBER(Datos!C215))),"",Datos!C216/Datos!C215-1)</f>
        <v/>
      </c>
      <c r="D216" s="37">
        <f>IF(OR($A216="",NOT(ISNUMBER(Datos!D216)),NOT(ISNUMBER(Datos!D215))),"",Datos!D216/Datos!D215-1)</f>
        <v/>
      </c>
      <c r="E216" s="37">
        <f>IF(OR($A216="",NOT(ISNUMBER(Datos!E216)),NOT(ISNUMBER(Datos!E215))),"",Datos!E216/Datos!E215-1)</f>
        <v/>
      </c>
      <c r="F216" s="38">
        <f>IF($A216="","",COUNT(B216:E216))</f>
        <v/>
      </c>
      <c r="G216" s="37">
        <f>IF($A216="","",IF(F216&gt;=MIN_BANCOS,AVERAGE(B216:E216),""))</f>
        <v/>
      </c>
      <c r="H216" s="37">
        <f>IF(OR($A216="",NOT(ISNUMBER(Datos!F216)),NOT(ISNUMBER(Datos!F215))),"",Datos!F216/Datos!F215-1)</f>
        <v/>
      </c>
      <c r="I216" s="39">
        <f>IF($A216="","",IF(ISNUMBER(Datos!G216),Datos!G216,I215))</f>
        <v/>
      </c>
      <c r="J216" s="40">
        <f>IF($A216="","",IF(ISNUMBER(I215),LN(1+I215/100/12),0))</f>
        <v/>
      </c>
      <c r="K216" s="40">
        <f>IF(ISNUMBER(G216),LN(1+G216)-J216,"")</f>
        <v/>
      </c>
      <c r="L216" s="40">
        <f>IF(ISNUMBER(H216),LN(1+H216)-J216,"")</f>
        <v/>
      </c>
      <c r="M216" s="38">
        <f>IF(ISNUMBER(K216),1,0)</f>
        <v/>
      </c>
      <c r="N216" s="40">
        <f>IF(M216=1,K216,0)</f>
        <v/>
      </c>
      <c r="O216" s="38">
        <f>IF(ISNUMBER(L216),1,0)</f>
        <v/>
      </c>
      <c r="P216" s="40">
        <f>IF(O216=1,L216,0)</f>
        <v/>
      </c>
      <c r="Q216" s="38">
        <f>M216*O216</f>
        <v/>
      </c>
      <c r="R216" s="38">
        <f>SUM(Q180:Q215)</f>
        <v/>
      </c>
      <c r="S216" s="41">
        <f>IF(OR($A216="",R216&lt;MIN_OBS_ROLL),"",(SUMPRODUCT(Q180:Q215,N180:N215,P180:P215)/R216-SUMPRODUCT(Q180:Q215,N180:N215)/R216*SUMPRODUCT(Q180:Q215,P180:P215)/R216)*R216/(R216-1))</f>
        <v/>
      </c>
      <c r="T216" s="38">
        <f>SUM(O180:O215)</f>
        <v/>
      </c>
      <c r="U216" s="41">
        <f>IF(OR($A216="",T216&lt;MIN_OBS_ROLL),"",SUMPRODUCT(O180:O215,(P180:P215-SUMPRODUCT(O180:O215,P180:P215)/T216)^2)/(T216-1))</f>
        <v/>
      </c>
      <c r="V216" s="40">
        <f>IF(OR(S216="",U216=""),"",S216/U216)</f>
        <v/>
      </c>
      <c r="W216" s="40">
        <f>IF(AND(ISNUMBER(K216),ISNUMBER(L216),ISNUMBER(V216)),K216-V216*L216,"")</f>
        <v/>
      </c>
      <c r="X216" s="40">
        <f>IF(OR($A216="",NOT(ISNUMBER(Datos!H216)),NOT(ISNUMBER(Datos!H215))),"",LN(Datos!H216)-LN(Datos!H215))</f>
        <v/>
      </c>
      <c r="Y216" s="38">
        <f>IF(ISNUMBER(W216),1,0)</f>
        <v/>
      </c>
      <c r="Z216" s="40">
        <f>IF(Y216=1,W216,0)</f>
        <v/>
      </c>
      <c r="AA216" s="38">
        <f>IF(ISNUMBER(X216),1,0)</f>
        <v/>
      </c>
      <c r="AB216" s="40">
        <f>IF(AA216=1,X216,0)</f>
        <v/>
      </c>
      <c r="AC216" s="38">
        <f>Y216*AA216</f>
        <v/>
      </c>
      <c r="AD216" s="38">
        <f>SUM(AC180:AC215)</f>
        <v/>
      </c>
      <c r="AE216" s="41">
        <f>IF(OR($A216="",AD216&lt;MIN_OBS_ROLL),"",(SUMPRODUCT(AC180:AC215,Z180:Z215,AB180:AB215)/AD216-SUMPRODUCT(AC180:AC215,Z180:Z215)/AD216*SUMPRODUCT(AC180:AC215,AB180:AB215)/AD216)*AD216/(AD216-1))</f>
        <v/>
      </c>
      <c r="AF216" s="38">
        <f>SUM(AA180:AA215)</f>
        <v/>
      </c>
      <c r="AG216" s="41">
        <f>IF(OR($A216="",AF216&lt;MIN_OBS_ROLL),"",SUMPRODUCT(AA180:AA215,(AB180:AB215-SUMPRODUCT(AA180:AA215,AB180:AB215)/AF216)^2)/(AF216-1))</f>
        <v/>
      </c>
      <c r="AH216" s="38">
        <f>SUM(Y180:Y215)</f>
        <v/>
      </c>
      <c r="AI216" s="40">
        <f>IF(OR($A216="",AH216&lt;MIN_OBS_ROLL),"",SUMPRODUCT(Y180:Y215,Z180:Z215)/AH216)</f>
        <v/>
      </c>
      <c r="AJ216" s="40">
        <f>IF(OR($A216="",AF216&lt;MIN_OBS_ROLL),"",SUMPRODUCT(AA180:AA215,AB180:AB215)/AF216)</f>
        <v/>
      </c>
      <c r="AK216" s="40">
        <f>IF(OR(AE216="",AG216=""),"",AE216/AG216)</f>
        <v/>
      </c>
      <c r="AL216" s="40">
        <f>IF(OR(AI216="",AK216="",AJ216=""),"",AI216-AK216*AJ216)</f>
        <v/>
      </c>
      <c r="AM216" s="40">
        <f>IF(AND(ISNUMBER(W216),ISNUMBER(X216),ISNUMBER(AK216),ISNUMBER(AL216)),W216-(AL216+AK216*X216),"")</f>
        <v/>
      </c>
      <c r="AN216" s="38">
        <f>IF(ISNUMBER(AM216),1,0)</f>
        <v/>
      </c>
      <c r="AO216" s="40">
        <f>IF(AN216=1,AM216,0)</f>
        <v/>
      </c>
      <c r="AP216" s="40">
        <f>IF(SUM(AN214:AN216)=3,SUM(AO214:AO216),"")</f>
        <v/>
      </c>
      <c r="AQ216" s="38">
        <f>IF(ISNUMBER(AP216),1,0)</f>
        <v/>
      </c>
      <c r="AR216" s="40">
        <f>IF(AQ216=1,AP216,0)</f>
        <v/>
      </c>
      <c r="AS216" s="38">
        <f>SUM(AQ$5:AQ216)</f>
        <v/>
      </c>
      <c r="AT216" s="40">
        <f>IF(AS216&gt;=MIN_OBS_Z,SUMPRODUCT(AQ$5:AQ216,AR$5:AR216)/AS216,"")</f>
        <v/>
      </c>
      <c r="AU216" s="40">
        <f>IF(AS216&gt;=MIN_OBS_Z,SQRT(SUMPRODUCT(AQ$5:AQ216,(AR$5:AR216-AT216)^2)/(AS216-1)),"")</f>
        <v/>
      </c>
      <c r="AV216" s="40">
        <f>IF(AND(AQ216=1,ISNUMBER(AT216)),MAX(-Z_CLIP,MIN(Z_CLIP,(AR216-AT216)/AU216)),"")</f>
        <v/>
      </c>
      <c r="AW216" s="40">
        <f>IF(ISNUMBER(AV216),-AV216,"")</f>
        <v/>
      </c>
      <c r="AX216" s="40">
        <f>IF(ISNUMBER(AW216),1+AMPLITUD*TANH(AW216),"")</f>
        <v/>
      </c>
      <c r="AY216" s="40">
        <f>IF($A216="","",IF(COUNT(AX214:AX216)&gt;0,AVERAGE(AX214:AX216),""))</f>
        <v/>
      </c>
      <c r="AZ216" s="40">
        <f>IF(ISNUMBER(AY216),AY216-1,"")</f>
        <v/>
      </c>
      <c r="BA216" s="40">
        <f>IF(AND(ISNUMBER(AZ215),ISNUMBER(W216)),AZ215*W_BANCOS*W216,"")</f>
        <v/>
      </c>
      <c r="BB216" s="40">
        <f>IF(AND(ISNUMBER(AZ215),ISNUMBER(AZ214)),ABS(AZ215-AZ214)*W_BANCOS*COSTO,0)</f>
        <v/>
      </c>
      <c r="BC216" s="40">
        <f>IF(ISNUMBER(BA216),BA216-BB216,"")</f>
        <v/>
      </c>
      <c r="BD216" s="42">
        <f>IF(ISNUMBER(BC216),IF(A216&lt;=FECHA_ERA,"A","B"),"")</f>
        <v/>
      </c>
      <c r="BE216" s="40">
        <f>IF(BD216="A",BC216,"")</f>
        <v/>
      </c>
      <c r="BF216" s="40">
        <f>IF(BD216="B",BC216,"")</f>
        <v/>
      </c>
      <c r="BG216" s="38">
        <f>IF(AND(ISNUMBER(BC216),ISNUMBER(A216)),IF(A216&gt;=INICIO_VIVO,1,0),0)</f>
        <v/>
      </c>
      <c r="BH216" s="40">
        <f>IF(BG216=1,BC216,"")</f>
        <v/>
      </c>
      <c r="BI216" s="38">
        <f>IF(ISNUMBER(AY216),ROW(),0)</f>
        <v/>
      </c>
      <c r="BJ216" s="43">
        <f>IF(ISNUMBER(BC216),SUM(BC$5:BC216)*10000,NA())</f>
        <v/>
      </c>
      <c r="BK216" s="43">
        <f>IF(BG216=1,SUM(BH$5:BH216)*10000,NA())</f>
        <v/>
      </c>
      <c r="BL216" s="44">
        <f>IF(ISNUMBER(AY216),AY216,NA())</f>
        <v/>
      </c>
    </row>
    <row r="217">
      <c r="A217" s="36">
        <f>IF(Datos!A217="","",Datos!A217)</f>
        <v/>
      </c>
      <c r="B217" s="37">
        <f>IF(OR($A217="",NOT(ISNUMBER(Datos!B217)),NOT(ISNUMBER(Datos!B216))),"",Datos!B217/Datos!B216-1)</f>
        <v/>
      </c>
      <c r="C217" s="37">
        <f>IF(OR($A217="",NOT(ISNUMBER(Datos!C217)),NOT(ISNUMBER(Datos!C216))),"",Datos!C217/Datos!C216-1)</f>
        <v/>
      </c>
      <c r="D217" s="37">
        <f>IF(OR($A217="",NOT(ISNUMBER(Datos!D217)),NOT(ISNUMBER(Datos!D216))),"",Datos!D217/Datos!D216-1)</f>
        <v/>
      </c>
      <c r="E217" s="37">
        <f>IF(OR($A217="",NOT(ISNUMBER(Datos!E217)),NOT(ISNUMBER(Datos!E216))),"",Datos!E217/Datos!E216-1)</f>
        <v/>
      </c>
      <c r="F217" s="38">
        <f>IF($A217="","",COUNT(B217:E217))</f>
        <v/>
      </c>
      <c r="G217" s="37">
        <f>IF($A217="","",IF(F217&gt;=MIN_BANCOS,AVERAGE(B217:E217),""))</f>
        <v/>
      </c>
      <c r="H217" s="37">
        <f>IF(OR($A217="",NOT(ISNUMBER(Datos!F217)),NOT(ISNUMBER(Datos!F216))),"",Datos!F217/Datos!F216-1)</f>
        <v/>
      </c>
      <c r="I217" s="39">
        <f>IF($A217="","",IF(ISNUMBER(Datos!G217),Datos!G217,I216))</f>
        <v/>
      </c>
      <c r="J217" s="40">
        <f>IF($A217="","",IF(ISNUMBER(I216),LN(1+I216/100/12),0))</f>
        <v/>
      </c>
      <c r="K217" s="40">
        <f>IF(ISNUMBER(G217),LN(1+G217)-J217,"")</f>
        <v/>
      </c>
      <c r="L217" s="40">
        <f>IF(ISNUMBER(H217),LN(1+H217)-J217,"")</f>
        <v/>
      </c>
      <c r="M217" s="38">
        <f>IF(ISNUMBER(K217),1,0)</f>
        <v/>
      </c>
      <c r="N217" s="40">
        <f>IF(M217=1,K217,0)</f>
        <v/>
      </c>
      <c r="O217" s="38">
        <f>IF(ISNUMBER(L217),1,0)</f>
        <v/>
      </c>
      <c r="P217" s="40">
        <f>IF(O217=1,L217,0)</f>
        <v/>
      </c>
      <c r="Q217" s="38">
        <f>M217*O217</f>
        <v/>
      </c>
      <c r="R217" s="38">
        <f>SUM(Q181:Q216)</f>
        <v/>
      </c>
      <c r="S217" s="41">
        <f>IF(OR($A217="",R217&lt;MIN_OBS_ROLL),"",(SUMPRODUCT(Q181:Q216,N181:N216,P181:P216)/R217-SUMPRODUCT(Q181:Q216,N181:N216)/R217*SUMPRODUCT(Q181:Q216,P181:P216)/R217)*R217/(R217-1))</f>
        <v/>
      </c>
      <c r="T217" s="38">
        <f>SUM(O181:O216)</f>
        <v/>
      </c>
      <c r="U217" s="41">
        <f>IF(OR($A217="",T217&lt;MIN_OBS_ROLL),"",SUMPRODUCT(O181:O216,(P181:P216-SUMPRODUCT(O181:O216,P181:P216)/T217)^2)/(T217-1))</f>
        <v/>
      </c>
      <c r="V217" s="40">
        <f>IF(OR(S217="",U217=""),"",S217/U217)</f>
        <v/>
      </c>
      <c r="W217" s="40">
        <f>IF(AND(ISNUMBER(K217),ISNUMBER(L217),ISNUMBER(V217)),K217-V217*L217,"")</f>
        <v/>
      </c>
      <c r="X217" s="40">
        <f>IF(OR($A217="",NOT(ISNUMBER(Datos!H217)),NOT(ISNUMBER(Datos!H216))),"",LN(Datos!H217)-LN(Datos!H216))</f>
        <v/>
      </c>
      <c r="Y217" s="38">
        <f>IF(ISNUMBER(W217),1,0)</f>
        <v/>
      </c>
      <c r="Z217" s="40">
        <f>IF(Y217=1,W217,0)</f>
        <v/>
      </c>
      <c r="AA217" s="38">
        <f>IF(ISNUMBER(X217),1,0)</f>
        <v/>
      </c>
      <c r="AB217" s="40">
        <f>IF(AA217=1,X217,0)</f>
        <v/>
      </c>
      <c r="AC217" s="38">
        <f>Y217*AA217</f>
        <v/>
      </c>
      <c r="AD217" s="38">
        <f>SUM(AC181:AC216)</f>
        <v/>
      </c>
      <c r="AE217" s="41">
        <f>IF(OR($A217="",AD217&lt;MIN_OBS_ROLL),"",(SUMPRODUCT(AC181:AC216,Z181:Z216,AB181:AB216)/AD217-SUMPRODUCT(AC181:AC216,Z181:Z216)/AD217*SUMPRODUCT(AC181:AC216,AB181:AB216)/AD217)*AD217/(AD217-1))</f>
        <v/>
      </c>
      <c r="AF217" s="38">
        <f>SUM(AA181:AA216)</f>
        <v/>
      </c>
      <c r="AG217" s="41">
        <f>IF(OR($A217="",AF217&lt;MIN_OBS_ROLL),"",SUMPRODUCT(AA181:AA216,(AB181:AB216-SUMPRODUCT(AA181:AA216,AB181:AB216)/AF217)^2)/(AF217-1))</f>
        <v/>
      </c>
      <c r="AH217" s="38">
        <f>SUM(Y181:Y216)</f>
        <v/>
      </c>
      <c r="AI217" s="40">
        <f>IF(OR($A217="",AH217&lt;MIN_OBS_ROLL),"",SUMPRODUCT(Y181:Y216,Z181:Z216)/AH217)</f>
        <v/>
      </c>
      <c r="AJ217" s="40">
        <f>IF(OR($A217="",AF217&lt;MIN_OBS_ROLL),"",SUMPRODUCT(AA181:AA216,AB181:AB216)/AF217)</f>
        <v/>
      </c>
      <c r="AK217" s="40">
        <f>IF(OR(AE217="",AG217=""),"",AE217/AG217)</f>
        <v/>
      </c>
      <c r="AL217" s="40">
        <f>IF(OR(AI217="",AK217="",AJ217=""),"",AI217-AK217*AJ217)</f>
        <v/>
      </c>
      <c r="AM217" s="40">
        <f>IF(AND(ISNUMBER(W217),ISNUMBER(X217),ISNUMBER(AK217),ISNUMBER(AL217)),W217-(AL217+AK217*X217),"")</f>
        <v/>
      </c>
      <c r="AN217" s="38">
        <f>IF(ISNUMBER(AM217),1,0)</f>
        <v/>
      </c>
      <c r="AO217" s="40">
        <f>IF(AN217=1,AM217,0)</f>
        <v/>
      </c>
      <c r="AP217" s="40">
        <f>IF(SUM(AN215:AN217)=3,SUM(AO215:AO217),"")</f>
        <v/>
      </c>
      <c r="AQ217" s="38">
        <f>IF(ISNUMBER(AP217),1,0)</f>
        <v/>
      </c>
      <c r="AR217" s="40">
        <f>IF(AQ217=1,AP217,0)</f>
        <v/>
      </c>
      <c r="AS217" s="38">
        <f>SUM(AQ$5:AQ217)</f>
        <v/>
      </c>
      <c r="AT217" s="40">
        <f>IF(AS217&gt;=MIN_OBS_Z,SUMPRODUCT(AQ$5:AQ217,AR$5:AR217)/AS217,"")</f>
        <v/>
      </c>
      <c r="AU217" s="40">
        <f>IF(AS217&gt;=MIN_OBS_Z,SQRT(SUMPRODUCT(AQ$5:AQ217,(AR$5:AR217-AT217)^2)/(AS217-1)),"")</f>
        <v/>
      </c>
      <c r="AV217" s="40">
        <f>IF(AND(AQ217=1,ISNUMBER(AT217)),MAX(-Z_CLIP,MIN(Z_CLIP,(AR217-AT217)/AU217)),"")</f>
        <v/>
      </c>
      <c r="AW217" s="40">
        <f>IF(ISNUMBER(AV217),-AV217,"")</f>
        <v/>
      </c>
      <c r="AX217" s="40">
        <f>IF(ISNUMBER(AW217),1+AMPLITUD*TANH(AW217),"")</f>
        <v/>
      </c>
      <c r="AY217" s="40">
        <f>IF($A217="","",IF(COUNT(AX215:AX217)&gt;0,AVERAGE(AX215:AX217),""))</f>
        <v/>
      </c>
      <c r="AZ217" s="40">
        <f>IF(ISNUMBER(AY217),AY217-1,"")</f>
        <v/>
      </c>
      <c r="BA217" s="40">
        <f>IF(AND(ISNUMBER(AZ216),ISNUMBER(W217)),AZ216*W_BANCOS*W217,"")</f>
        <v/>
      </c>
      <c r="BB217" s="40">
        <f>IF(AND(ISNUMBER(AZ216),ISNUMBER(AZ215)),ABS(AZ216-AZ215)*W_BANCOS*COSTO,0)</f>
        <v/>
      </c>
      <c r="BC217" s="40">
        <f>IF(ISNUMBER(BA217),BA217-BB217,"")</f>
        <v/>
      </c>
      <c r="BD217" s="42">
        <f>IF(ISNUMBER(BC217),IF(A217&lt;=FECHA_ERA,"A","B"),"")</f>
        <v/>
      </c>
      <c r="BE217" s="40">
        <f>IF(BD217="A",BC217,"")</f>
        <v/>
      </c>
      <c r="BF217" s="40">
        <f>IF(BD217="B",BC217,"")</f>
        <v/>
      </c>
      <c r="BG217" s="38">
        <f>IF(AND(ISNUMBER(BC217),ISNUMBER(A217)),IF(A217&gt;=INICIO_VIVO,1,0),0)</f>
        <v/>
      </c>
      <c r="BH217" s="40">
        <f>IF(BG217=1,BC217,"")</f>
        <v/>
      </c>
      <c r="BI217" s="38">
        <f>IF(ISNUMBER(AY217),ROW(),0)</f>
        <v/>
      </c>
      <c r="BJ217" s="43">
        <f>IF(ISNUMBER(BC217),SUM(BC$5:BC217)*10000,NA())</f>
        <v/>
      </c>
      <c r="BK217" s="43">
        <f>IF(BG217=1,SUM(BH$5:BH217)*10000,NA())</f>
        <v/>
      </c>
      <c r="BL217" s="44">
        <f>IF(ISNUMBER(AY217),AY217,NA())</f>
        <v/>
      </c>
    </row>
    <row r="218">
      <c r="A218" s="36">
        <f>IF(Datos!A218="","",Datos!A218)</f>
        <v/>
      </c>
      <c r="B218" s="37">
        <f>IF(OR($A218="",NOT(ISNUMBER(Datos!B218)),NOT(ISNUMBER(Datos!B217))),"",Datos!B218/Datos!B217-1)</f>
        <v/>
      </c>
      <c r="C218" s="37">
        <f>IF(OR($A218="",NOT(ISNUMBER(Datos!C218)),NOT(ISNUMBER(Datos!C217))),"",Datos!C218/Datos!C217-1)</f>
        <v/>
      </c>
      <c r="D218" s="37">
        <f>IF(OR($A218="",NOT(ISNUMBER(Datos!D218)),NOT(ISNUMBER(Datos!D217))),"",Datos!D218/Datos!D217-1)</f>
        <v/>
      </c>
      <c r="E218" s="37">
        <f>IF(OR($A218="",NOT(ISNUMBER(Datos!E218)),NOT(ISNUMBER(Datos!E217))),"",Datos!E218/Datos!E217-1)</f>
        <v/>
      </c>
      <c r="F218" s="38">
        <f>IF($A218="","",COUNT(B218:E218))</f>
        <v/>
      </c>
      <c r="G218" s="37">
        <f>IF($A218="","",IF(F218&gt;=MIN_BANCOS,AVERAGE(B218:E218),""))</f>
        <v/>
      </c>
      <c r="H218" s="37">
        <f>IF(OR($A218="",NOT(ISNUMBER(Datos!F218)),NOT(ISNUMBER(Datos!F217))),"",Datos!F218/Datos!F217-1)</f>
        <v/>
      </c>
      <c r="I218" s="39">
        <f>IF($A218="","",IF(ISNUMBER(Datos!G218),Datos!G218,I217))</f>
        <v/>
      </c>
      <c r="J218" s="40">
        <f>IF($A218="","",IF(ISNUMBER(I217),LN(1+I217/100/12),0))</f>
        <v/>
      </c>
      <c r="K218" s="40">
        <f>IF(ISNUMBER(G218),LN(1+G218)-J218,"")</f>
        <v/>
      </c>
      <c r="L218" s="40">
        <f>IF(ISNUMBER(H218),LN(1+H218)-J218,"")</f>
        <v/>
      </c>
      <c r="M218" s="38">
        <f>IF(ISNUMBER(K218),1,0)</f>
        <v/>
      </c>
      <c r="N218" s="40">
        <f>IF(M218=1,K218,0)</f>
        <v/>
      </c>
      <c r="O218" s="38">
        <f>IF(ISNUMBER(L218),1,0)</f>
        <v/>
      </c>
      <c r="P218" s="40">
        <f>IF(O218=1,L218,0)</f>
        <v/>
      </c>
      <c r="Q218" s="38">
        <f>M218*O218</f>
        <v/>
      </c>
      <c r="R218" s="38">
        <f>SUM(Q182:Q217)</f>
        <v/>
      </c>
      <c r="S218" s="41">
        <f>IF(OR($A218="",R218&lt;MIN_OBS_ROLL),"",(SUMPRODUCT(Q182:Q217,N182:N217,P182:P217)/R218-SUMPRODUCT(Q182:Q217,N182:N217)/R218*SUMPRODUCT(Q182:Q217,P182:P217)/R218)*R218/(R218-1))</f>
        <v/>
      </c>
      <c r="T218" s="38">
        <f>SUM(O182:O217)</f>
        <v/>
      </c>
      <c r="U218" s="41">
        <f>IF(OR($A218="",T218&lt;MIN_OBS_ROLL),"",SUMPRODUCT(O182:O217,(P182:P217-SUMPRODUCT(O182:O217,P182:P217)/T218)^2)/(T218-1))</f>
        <v/>
      </c>
      <c r="V218" s="40">
        <f>IF(OR(S218="",U218=""),"",S218/U218)</f>
        <v/>
      </c>
      <c r="W218" s="40">
        <f>IF(AND(ISNUMBER(K218),ISNUMBER(L218),ISNUMBER(V218)),K218-V218*L218,"")</f>
        <v/>
      </c>
      <c r="X218" s="40">
        <f>IF(OR($A218="",NOT(ISNUMBER(Datos!H218)),NOT(ISNUMBER(Datos!H217))),"",LN(Datos!H218)-LN(Datos!H217))</f>
        <v/>
      </c>
      <c r="Y218" s="38">
        <f>IF(ISNUMBER(W218),1,0)</f>
        <v/>
      </c>
      <c r="Z218" s="40">
        <f>IF(Y218=1,W218,0)</f>
        <v/>
      </c>
      <c r="AA218" s="38">
        <f>IF(ISNUMBER(X218),1,0)</f>
        <v/>
      </c>
      <c r="AB218" s="40">
        <f>IF(AA218=1,X218,0)</f>
        <v/>
      </c>
      <c r="AC218" s="38">
        <f>Y218*AA218</f>
        <v/>
      </c>
      <c r="AD218" s="38">
        <f>SUM(AC182:AC217)</f>
        <v/>
      </c>
      <c r="AE218" s="41">
        <f>IF(OR($A218="",AD218&lt;MIN_OBS_ROLL),"",(SUMPRODUCT(AC182:AC217,Z182:Z217,AB182:AB217)/AD218-SUMPRODUCT(AC182:AC217,Z182:Z217)/AD218*SUMPRODUCT(AC182:AC217,AB182:AB217)/AD218)*AD218/(AD218-1))</f>
        <v/>
      </c>
      <c r="AF218" s="38">
        <f>SUM(AA182:AA217)</f>
        <v/>
      </c>
      <c r="AG218" s="41">
        <f>IF(OR($A218="",AF218&lt;MIN_OBS_ROLL),"",SUMPRODUCT(AA182:AA217,(AB182:AB217-SUMPRODUCT(AA182:AA217,AB182:AB217)/AF218)^2)/(AF218-1))</f>
        <v/>
      </c>
      <c r="AH218" s="38">
        <f>SUM(Y182:Y217)</f>
        <v/>
      </c>
      <c r="AI218" s="40">
        <f>IF(OR($A218="",AH218&lt;MIN_OBS_ROLL),"",SUMPRODUCT(Y182:Y217,Z182:Z217)/AH218)</f>
        <v/>
      </c>
      <c r="AJ218" s="40">
        <f>IF(OR($A218="",AF218&lt;MIN_OBS_ROLL),"",SUMPRODUCT(AA182:AA217,AB182:AB217)/AF218)</f>
        <v/>
      </c>
      <c r="AK218" s="40">
        <f>IF(OR(AE218="",AG218=""),"",AE218/AG218)</f>
        <v/>
      </c>
      <c r="AL218" s="40">
        <f>IF(OR(AI218="",AK218="",AJ218=""),"",AI218-AK218*AJ218)</f>
        <v/>
      </c>
      <c r="AM218" s="40">
        <f>IF(AND(ISNUMBER(W218),ISNUMBER(X218),ISNUMBER(AK218),ISNUMBER(AL218)),W218-(AL218+AK218*X218),"")</f>
        <v/>
      </c>
      <c r="AN218" s="38">
        <f>IF(ISNUMBER(AM218),1,0)</f>
        <v/>
      </c>
      <c r="AO218" s="40">
        <f>IF(AN218=1,AM218,0)</f>
        <v/>
      </c>
      <c r="AP218" s="40">
        <f>IF(SUM(AN216:AN218)=3,SUM(AO216:AO218),"")</f>
        <v/>
      </c>
      <c r="AQ218" s="38">
        <f>IF(ISNUMBER(AP218),1,0)</f>
        <v/>
      </c>
      <c r="AR218" s="40">
        <f>IF(AQ218=1,AP218,0)</f>
        <v/>
      </c>
      <c r="AS218" s="38">
        <f>SUM(AQ$5:AQ218)</f>
        <v/>
      </c>
      <c r="AT218" s="40">
        <f>IF(AS218&gt;=MIN_OBS_Z,SUMPRODUCT(AQ$5:AQ218,AR$5:AR218)/AS218,"")</f>
        <v/>
      </c>
      <c r="AU218" s="40">
        <f>IF(AS218&gt;=MIN_OBS_Z,SQRT(SUMPRODUCT(AQ$5:AQ218,(AR$5:AR218-AT218)^2)/(AS218-1)),"")</f>
        <v/>
      </c>
      <c r="AV218" s="40">
        <f>IF(AND(AQ218=1,ISNUMBER(AT218)),MAX(-Z_CLIP,MIN(Z_CLIP,(AR218-AT218)/AU218)),"")</f>
        <v/>
      </c>
      <c r="AW218" s="40">
        <f>IF(ISNUMBER(AV218),-AV218,"")</f>
        <v/>
      </c>
      <c r="AX218" s="40">
        <f>IF(ISNUMBER(AW218),1+AMPLITUD*TANH(AW218),"")</f>
        <v/>
      </c>
      <c r="AY218" s="40">
        <f>IF($A218="","",IF(COUNT(AX216:AX218)&gt;0,AVERAGE(AX216:AX218),""))</f>
        <v/>
      </c>
      <c r="AZ218" s="40">
        <f>IF(ISNUMBER(AY218),AY218-1,"")</f>
        <v/>
      </c>
      <c r="BA218" s="40">
        <f>IF(AND(ISNUMBER(AZ217),ISNUMBER(W218)),AZ217*W_BANCOS*W218,"")</f>
        <v/>
      </c>
      <c r="BB218" s="40">
        <f>IF(AND(ISNUMBER(AZ217),ISNUMBER(AZ216)),ABS(AZ217-AZ216)*W_BANCOS*COSTO,0)</f>
        <v/>
      </c>
      <c r="BC218" s="40">
        <f>IF(ISNUMBER(BA218),BA218-BB218,"")</f>
        <v/>
      </c>
      <c r="BD218" s="42">
        <f>IF(ISNUMBER(BC218),IF(A218&lt;=FECHA_ERA,"A","B"),"")</f>
        <v/>
      </c>
      <c r="BE218" s="40">
        <f>IF(BD218="A",BC218,"")</f>
        <v/>
      </c>
      <c r="BF218" s="40">
        <f>IF(BD218="B",BC218,"")</f>
        <v/>
      </c>
      <c r="BG218" s="38">
        <f>IF(AND(ISNUMBER(BC218),ISNUMBER(A218)),IF(A218&gt;=INICIO_VIVO,1,0),0)</f>
        <v/>
      </c>
      <c r="BH218" s="40">
        <f>IF(BG218=1,BC218,"")</f>
        <v/>
      </c>
      <c r="BI218" s="38">
        <f>IF(ISNUMBER(AY218),ROW(),0)</f>
        <v/>
      </c>
      <c r="BJ218" s="43">
        <f>IF(ISNUMBER(BC218),SUM(BC$5:BC218)*10000,NA())</f>
        <v/>
      </c>
      <c r="BK218" s="43">
        <f>IF(BG218=1,SUM(BH$5:BH218)*10000,NA())</f>
        <v/>
      </c>
      <c r="BL218" s="44">
        <f>IF(ISNUMBER(AY218),AY218,NA())</f>
        <v/>
      </c>
    </row>
    <row r="219">
      <c r="A219" s="36">
        <f>IF(Datos!A219="","",Datos!A219)</f>
        <v/>
      </c>
      <c r="B219" s="37">
        <f>IF(OR($A219="",NOT(ISNUMBER(Datos!B219)),NOT(ISNUMBER(Datos!B218))),"",Datos!B219/Datos!B218-1)</f>
        <v/>
      </c>
      <c r="C219" s="37">
        <f>IF(OR($A219="",NOT(ISNUMBER(Datos!C219)),NOT(ISNUMBER(Datos!C218))),"",Datos!C219/Datos!C218-1)</f>
        <v/>
      </c>
      <c r="D219" s="37">
        <f>IF(OR($A219="",NOT(ISNUMBER(Datos!D219)),NOT(ISNUMBER(Datos!D218))),"",Datos!D219/Datos!D218-1)</f>
        <v/>
      </c>
      <c r="E219" s="37">
        <f>IF(OR($A219="",NOT(ISNUMBER(Datos!E219)),NOT(ISNUMBER(Datos!E218))),"",Datos!E219/Datos!E218-1)</f>
        <v/>
      </c>
      <c r="F219" s="38">
        <f>IF($A219="","",COUNT(B219:E219))</f>
        <v/>
      </c>
      <c r="G219" s="37">
        <f>IF($A219="","",IF(F219&gt;=MIN_BANCOS,AVERAGE(B219:E219),""))</f>
        <v/>
      </c>
      <c r="H219" s="37">
        <f>IF(OR($A219="",NOT(ISNUMBER(Datos!F219)),NOT(ISNUMBER(Datos!F218))),"",Datos!F219/Datos!F218-1)</f>
        <v/>
      </c>
      <c r="I219" s="39">
        <f>IF($A219="","",IF(ISNUMBER(Datos!G219),Datos!G219,I218))</f>
        <v/>
      </c>
      <c r="J219" s="40">
        <f>IF($A219="","",IF(ISNUMBER(I218),LN(1+I218/100/12),0))</f>
        <v/>
      </c>
      <c r="K219" s="40">
        <f>IF(ISNUMBER(G219),LN(1+G219)-J219,"")</f>
        <v/>
      </c>
      <c r="L219" s="40">
        <f>IF(ISNUMBER(H219),LN(1+H219)-J219,"")</f>
        <v/>
      </c>
      <c r="M219" s="38">
        <f>IF(ISNUMBER(K219),1,0)</f>
        <v/>
      </c>
      <c r="N219" s="40">
        <f>IF(M219=1,K219,0)</f>
        <v/>
      </c>
      <c r="O219" s="38">
        <f>IF(ISNUMBER(L219),1,0)</f>
        <v/>
      </c>
      <c r="P219" s="40">
        <f>IF(O219=1,L219,0)</f>
        <v/>
      </c>
      <c r="Q219" s="38">
        <f>M219*O219</f>
        <v/>
      </c>
      <c r="R219" s="38">
        <f>SUM(Q183:Q218)</f>
        <v/>
      </c>
      <c r="S219" s="41">
        <f>IF(OR($A219="",R219&lt;MIN_OBS_ROLL),"",(SUMPRODUCT(Q183:Q218,N183:N218,P183:P218)/R219-SUMPRODUCT(Q183:Q218,N183:N218)/R219*SUMPRODUCT(Q183:Q218,P183:P218)/R219)*R219/(R219-1))</f>
        <v/>
      </c>
      <c r="T219" s="38">
        <f>SUM(O183:O218)</f>
        <v/>
      </c>
      <c r="U219" s="41">
        <f>IF(OR($A219="",T219&lt;MIN_OBS_ROLL),"",SUMPRODUCT(O183:O218,(P183:P218-SUMPRODUCT(O183:O218,P183:P218)/T219)^2)/(T219-1))</f>
        <v/>
      </c>
      <c r="V219" s="40">
        <f>IF(OR(S219="",U219=""),"",S219/U219)</f>
        <v/>
      </c>
      <c r="W219" s="40">
        <f>IF(AND(ISNUMBER(K219),ISNUMBER(L219),ISNUMBER(V219)),K219-V219*L219,"")</f>
        <v/>
      </c>
      <c r="X219" s="40">
        <f>IF(OR($A219="",NOT(ISNUMBER(Datos!H219)),NOT(ISNUMBER(Datos!H218))),"",LN(Datos!H219)-LN(Datos!H218))</f>
        <v/>
      </c>
      <c r="Y219" s="38">
        <f>IF(ISNUMBER(W219),1,0)</f>
        <v/>
      </c>
      <c r="Z219" s="40">
        <f>IF(Y219=1,W219,0)</f>
        <v/>
      </c>
      <c r="AA219" s="38">
        <f>IF(ISNUMBER(X219),1,0)</f>
        <v/>
      </c>
      <c r="AB219" s="40">
        <f>IF(AA219=1,X219,0)</f>
        <v/>
      </c>
      <c r="AC219" s="38">
        <f>Y219*AA219</f>
        <v/>
      </c>
      <c r="AD219" s="38">
        <f>SUM(AC183:AC218)</f>
        <v/>
      </c>
      <c r="AE219" s="41">
        <f>IF(OR($A219="",AD219&lt;MIN_OBS_ROLL),"",(SUMPRODUCT(AC183:AC218,Z183:Z218,AB183:AB218)/AD219-SUMPRODUCT(AC183:AC218,Z183:Z218)/AD219*SUMPRODUCT(AC183:AC218,AB183:AB218)/AD219)*AD219/(AD219-1))</f>
        <v/>
      </c>
      <c r="AF219" s="38">
        <f>SUM(AA183:AA218)</f>
        <v/>
      </c>
      <c r="AG219" s="41">
        <f>IF(OR($A219="",AF219&lt;MIN_OBS_ROLL),"",SUMPRODUCT(AA183:AA218,(AB183:AB218-SUMPRODUCT(AA183:AA218,AB183:AB218)/AF219)^2)/(AF219-1))</f>
        <v/>
      </c>
      <c r="AH219" s="38">
        <f>SUM(Y183:Y218)</f>
        <v/>
      </c>
      <c r="AI219" s="40">
        <f>IF(OR($A219="",AH219&lt;MIN_OBS_ROLL),"",SUMPRODUCT(Y183:Y218,Z183:Z218)/AH219)</f>
        <v/>
      </c>
      <c r="AJ219" s="40">
        <f>IF(OR($A219="",AF219&lt;MIN_OBS_ROLL),"",SUMPRODUCT(AA183:AA218,AB183:AB218)/AF219)</f>
        <v/>
      </c>
      <c r="AK219" s="40">
        <f>IF(OR(AE219="",AG219=""),"",AE219/AG219)</f>
        <v/>
      </c>
      <c r="AL219" s="40">
        <f>IF(OR(AI219="",AK219="",AJ219=""),"",AI219-AK219*AJ219)</f>
        <v/>
      </c>
      <c r="AM219" s="40">
        <f>IF(AND(ISNUMBER(W219),ISNUMBER(X219),ISNUMBER(AK219),ISNUMBER(AL219)),W219-(AL219+AK219*X219),"")</f>
        <v/>
      </c>
      <c r="AN219" s="38">
        <f>IF(ISNUMBER(AM219),1,0)</f>
        <v/>
      </c>
      <c r="AO219" s="40">
        <f>IF(AN219=1,AM219,0)</f>
        <v/>
      </c>
      <c r="AP219" s="40">
        <f>IF(SUM(AN217:AN219)=3,SUM(AO217:AO219),"")</f>
        <v/>
      </c>
      <c r="AQ219" s="38">
        <f>IF(ISNUMBER(AP219),1,0)</f>
        <v/>
      </c>
      <c r="AR219" s="40">
        <f>IF(AQ219=1,AP219,0)</f>
        <v/>
      </c>
      <c r="AS219" s="38">
        <f>SUM(AQ$5:AQ219)</f>
        <v/>
      </c>
      <c r="AT219" s="40">
        <f>IF(AS219&gt;=MIN_OBS_Z,SUMPRODUCT(AQ$5:AQ219,AR$5:AR219)/AS219,"")</f>
        <v/>
      </c>
      <c r="AU219" s="40">
        <f>IF(AS219&gt;=MIN_OBS_Z,SQRT(SUMPRODUCT(AQ$5:AQ219,(AR$5:AR219-AT219)^2)/(AS219-1)),"")</f>
        <v/>
      </c>
      <c r="AV219" s="40">
        <f>IF(AND(AQ219=1,ISNUMBER(AT219)),MAX(-Z_CLIP,MIN(Z_CLIP,(AR219-AT219)/AU219)),"")</f>
        <v/>
      </c>
      <c r="AW219" s="40">
        <f>IF(ISNUMBER(AV219),-AV219,"")</f>
        <v/>
      </c>
      <c r="AX219" s="40">
        <f>IF(ISNUMBER(AW219),1+AMPLITUD*TANH(AW219),"")</f>
        <v/>
      </c>
      <c r="AY219" s="40">
        <f>IF($A219="","",IF(COUNT(AX217:AX219)&gt;0,AVERAGE(AX217:AX219),""))</f>
        <v/>
      </c>
      <c r="AZ219" s="40">
        <f>IF(ISNUMBER(AY219),AY219-1,"")</f>
        <v/>
      </c>
      <c r="BA219" s="40">
        <f>IF(AND(ISNUMBER(AZ218),ISNUMBER(W219)),AZ218*W_BANCOS*W219,"")</f>
        <v/>
      </c>
      <c r="BB219" s="40">
        <f>IF(AND(ISNUMBER(AZ218),ISNUMBER(AZ217)),ABS(AZ218-AZ217)*W_BANCOS*COSTO,0)</f>
        <v/>
      </c>
      <c r="BC219" s="40">
        <f>IF(ISNUMBER(BA219),BA219-BB219,"")</f>
        <v/>
      </c>
      <c r="BD219" s="42">
        <f>IF(ISNUMBER(BC219),IF(A219&lt;=FECHA_ERA,"A","B"),"")</f>
        <v/>
      </c>
      <c r="BE219" s="40">
        <f>IF(BD219="A",BC219,"")</f>
        <v/>
      </c>
      <c r="BF219" s="40">
        <f>IF(BD219="B",BC219,"")</f>
        <v/>
      </c>
      <c r="BG219" s="38">
        <f>IF(AND(ISNUMBER(BC219),ISNUMBER(A219)),IF(A219&gt;=INICIO_VIVO,1,0),0)</f>
        <v/>
      </c>
      <c r="BH219" s="40">
        <f>IF(BG219=1,BC219,"")</f>
        <v/>
      </c>
      <c r="BI219" s="38">
        <f>IF(ISNUMBER(AY219),ROW(),0)</f>
        <v/>
      </c>
      <c r="BJ219" s="43">
        <f>IF(ISNUMBER(BC219),SUM(BC$5:BC219)*10000,NA())</f>
        <v/>
      </c>
      <c r="BK219" s="43">
        <f>IF(BG219=1,SUM(BH$5:BH219)*10000,NA())</f>
        <v/>
      </c>
      <c r="BL219" s="44">
        <f>IF(ISNUMBER(AY219),AY219,NA())</f>
        <v/>
      </c>
    </row>
    <row r="220">
      <c r="A220" s="36">
        <f>IF(Datos!A220="","",Datos!A220)</f>
        <v/>
      </c>
      <c r="B220" s="37">
        <f>IF(OR($A220="",NOT(ISNUMBER(Datos!B220)),NOT(ISNUMBER(Datos!B219))),"",Datos!B220/Datos!B219-1)</f>
        <v/>
      </c>
      <c r="C220" s="37">
        <f>IF(OR($A220="",NOT(ISNUMBER(Datos!C220)),NOT(ISNUMBER(Datos!C219))),"",Datos!C220/Datos!C219-1)</f>
        <v/>
      </c>
      <c r="D220" s="37">
        <f>IF(OR($A220="",NOT(ISNUMBER(Datos!D220)),NOT(ISNUMBER(Datos!D219))),"",Datos!D220/Datos!D219-1)</f>
        <v/>
      </c>
      <c r="E220" s="37">
        <f>IF(OR($A220="",NOT(ISNUMBER(Datos!E220)),NOT(ISNUMBER(Datos!E219))),"",Datos!E220/Datos!E219-1)</f>
        <v/>
      </c>
      <c r="F220" s="38">
        <f>IF($A220="","",COUNT(B220:E220))</f>
        <v/>
      </c>
      <c r="G220" s="37">
        <f>IF($A220="","",IF(F220&gt;=MIN_BANCOS,AVERAGE(B220:E220),""))</f>
        <v/>
      </c>
      <c r="H220" s="37">
        <f>IF(OR($A220="",NOT(ISNUMBER(Datos!F220)),NOT(ISNUMBER(Datos!F219))),"",Datos!F220/Datos!F219-1)</f>
        <v/>
      </c>
      <c r="I220" s="39">
        <f>IF($A220="","",IF(ISNUMBER(Datos!G220),Datos!G220,I219))</f>
        <v/>
      </c>
      <c r="J220" s="40">
        <f>IF($A220="","",IF(ISNUMBER(I219),LN(1+I219/100/12),0))</f>
        <v/>
      </c>
      <c r="K220" s="40">
        <f>IF(ISNUMBER(G220),LN(1+G220)-J220,"")</f>
        <v/>
      </c>
      <c r="L220" s="40">
        <f>IF(ISNUMBER(H220),LN(1+H220)-J220,"")</f>
        <v/>
      </c>
      <c r="M220" s="38">
        <f>IF(ISNUMBER(K220),1,0)</f>
        <v/>
      </c>
      <c r="N220" s="40">
        <f>IF(M220=1,K220,0)</f>
        <v/>
      </c>
      <c r="O220" s="38">
        <f>IF(ISNUMBER(L220),1,0)</f>
        <v/>
      </c>
      <c r="P220" s="40">
        <f>IF(O220=1,L220,0)</f>
        <v/>
      </c>
      <c r="Q220" s="38">
        <f>M220*O220</f>
        <v/>
      </c>
      <c r="R220" s="38">
        <f>SUM(Q184:Q219)</f>
        <v/>
      </c>
      <c r="S220" s="41">
        <f>IF(OR($A220="",R220&lt;MIN_OBS_ROLL),"",(SUMPRODUCT(Q184:Q219,N184:N219,P184:P219)/R220-SUMPRODUCT(Q184:Q219,N184:N219)/R220*SUMPRODUCT(Q184:Q219,P184:P219)/R220)*R220/(R220-1))</f>
        <v/>
      </c>
      <c r="T220" s="38">
        <f>SUM(O184:O219)</f>
        <v/>
      </c>
      <c r="U220" s="41">
        <f>IF(OR($A220="",T220&lt;MIN_OBS_ROLL),"",SUMPRODUCT(O184:O219,(P184:P219-SUMPRODUCT(O184:O219,P184:P219)/T220)^2)/(T220-1))</f>
        <v/>
      </c>
      <c r="V220" s="40">
        <f>IF(OR(S220="",U220=""),"",S220/U220)</f>
        <v/>
      </c>
      <c r="W220" s="40">
        <f>IF(AND(ISNUMBER(K220),ISNUMBER(L220),ISNUMBER(V220)),K220-V220*L220,"")</f>
        <v/>
      </c>
      <c r="X220" s="40">
        <f>IF(OR($A220="",NOT(ISNUMBER(Datos!H220)),NOT(ISNUMBER(Datos!H219))),"",LN(Datos!H220)-LN(Datos!H219))</f>
        <v/>
      </c>
      <c r="Y220" s="38">
        <f>IF(ISNUMBER(W220),1,0)</f>
        <v/>
      </c>
      <c r="Z220" s="40">
        <f>IF(Y220=1,W220,0)</f>
        <v/>
      </c>
      <c r="AA220" s="38">
        <f>IF(ISNUMBER(X220),1,0)</f>
        <v/>
      </c>
      <c r="AB220" s="40">
        <f>IF(AA220=1,X220,0)</f>
        <v/>
      </c>
      <c r="AC220" s="38">
        <f>Y220*AA220</f>
        <v/>
      </c>
      <c r="AD220" s="38">
        <f>SUM(AC184:AC219)</f>
        <v/>
      </c>
      <c r="AE220" s="41">
        <f>IF(OR($A220="",AD220&lt;MIN_OBS_ROLL),"",(SUMPRODUCT(AC184:AC219,Z184:Z219,AB184:AB219)/AD220-SUMPRODUCT(AC184:AC219,Z184:Z219)/AD220*SUMPRODUCT(AC184:AC219,AB184:AB219)/AD220)*AD220/(AD220-1))</f>
        <v/>
      </c>
      <c r="AF220" s="38">
        <f>SUM(AA184:AA219)</f>
        <v/>
      </c>
      <c r="AG220" s="41">
        <f>IF(OR($A220="",AF220&lt;MIN_OBS_ROLL),"",SUMPRODUCT(AA184:AA219,(AB184:AB219-SUMPRODUCT(AA184:AA219,AB184:AB219)/AF220)^2)/(AF220-1))</f>
        <v/>
      </c>
      <c r="AH220" s="38">
        <f>SUM(Y184:Y219)</f>
        <v/>
      </c>
      <c r="AI220" s="40">
        <f>IF(OR($A220="",AH220&lt;MIN_OBS_ROLL),"",SUMPRODUCT(Y184:Y219,Z184:Z219)/AH220)</f>
        <v/>
      </c>
      <c r="AJ220" s="40">
        <f>IF(OR($A220="",AF220&lt;MIN_OBS_ROLL),"",SUMPRODUCT(AA184:AA219,AB184:AB219)/AF220)</f>
        <v/>
      </c>
      <c r="AK220" s="40">
        <f>IF(OR(AE220="",AG220=""),"",AE220/AG220)</f>
        <v/>
      </c>
      <c r="AL220" s="40">
        <f>IF(OR(AI220="",AK220="",AJ220=""),"",AI220-AK220*AJ220)</f>
        <v/>
      </c>
      <c r="AM220" s="40">
        <f>IF(AND(ISNUMBER(W220),ISNUMBER(X220),ISNUMBER(AK220),ISNUMBER(AL220)),W220-(AL220+AK220*X220),"")</f>
        <v/>
      </c>
      <c r="AN220" s="38">
        <f>IF(ISNUMBER(AM220),1,0)</f>
        <v/>
      </c>
      <c r="AO220" s="40">
        <f>IF(AN220=1,AM220,0)</f>
        <v/>
      </c>
      <c r="AP220" s="40">
        <f>IF(SUM(AN218:AN220)=3,SUM(AO218:AO220),"")</f>
        <v/>
      </c>
      <c r="AQ220" s="38">
        <f>IF(ISNUMBER(AP220),1,0)</f>
        <v/>
      </c>
      <c r="AR220" s="40">
        <f>IF(AQ220=1,AP220,0)</f>
        <v/>
      </c>
      <c r="AS220" s="38">
        <f>SUM(AQ$5:AQ220)</f>
        <v/>
      </c>
      <c r="AT220" s="40">
        <f>IF(AS220&gt;=MIN_OBS_Z,SUMPRODUCT(AQ$5:AQ220,AR$5:AR220)/AS220,"")</f>
        <v/>
      </c>
      <c r="AU220" s="40">
        <f>IF(AS220&gt;=MIN_OBS_Z,SQRT(SUMPRODUCT(AQ$5:AQ220,(AR$5:AR220-AT220)^2)/(AS220-1)),"")</f>
        <v/>
      </c>
      <c r="AV220" s="40">
        <f>IF(AND(AQ220=1,ISNUMBER(AT220)),MAX(-Z_CLIP,MIN(Z_CLIP,(AR220-AT220)/AU220)),"")</f>
        <v/>
      </c>
      <c r="AW220" s="40">
        <f>IF(ISNUMBER(AV220),-AV220,"")</f>
        <v/>
      </c>
      <c r="AX220" s="40">
        <f>IF(ISNUMBER(AW220),1+AMPLITUD*TANH(AW220),"")</f>
        <v/>
      </c>
      <c r="AY220" s="40">
        <f>IF($A220="","",IF(COUNT(AX218:AX220)&gt;0,AVERAGE(AX218:AX220),""))</f>
        <v/>
      </c>
      <c r="AZ220" s="40">
        <f>IF(ISNUMBER(AY220),AY220-1,"")</f>
        <v/>
      </c>
      <c r="BA220" s="40">
        <f>IF(AND(ISNUMBER(AZ219),ISNUMBER(W220)),AZ219*W_BANCOS*W220,"")</f>
        <v/>
      </c>
      <c r="BB220" s="40">
        <f>IF(AND(ISNUMBER(AZ219),ISNUMBER(AZ218)),ABS(AZ219-AZ218)*W_BANCOS*COSTO,0)</f>
        <v/>
      </c>
      <c r="BC220" s="40">
        <f>IF(ISNUMBER(BA220),BA220-BB220,"")</f>
        <v/>
      </c>
      <c r="BD220" s="42">
        <f>IF(ISNUMBER(BC220),IF(A220&lt;=FECHA_ERA,"A","B"),"")</f>
        <v/>
      </c>
      <c r="BE220" s="40">
        <f>IF(BD220="A",BC220,"")</f>
        <v/>
      </c>
      <c r="BF220" s="40">
        <f>IF(BD220="B",BC220,"")</f>
        <v/>
      </c>
      <c r="BG220" s="38">
        <f>IF(AND(ISNUMBER(BC220),ISNUMBER(A220)),IF(A220&gt;=INICIO_VIVO,1,0),0)</f>
        <v/>
      </c>
      <c r="BH220" s="40">
        <f>IF(BG220=1,BC220,"")</f>
        <v/>
      </c>
      <c r="BI220" s="38">
        <f>IF(ISNUMBER(AY220),ROW(),0)</f>
        <v/>
      </c>
      <c r="BJ220" s="43">
        <f>IF(ISNUMBER(BC220),SUM(BC$5:BC220)*10000,NA())</f>
        <v/>
      </c>
      <c r="BK220" s="43">
        <f>IF(BG220=1,SUM(BH$5:BH220)*10000,NA())</f>
        <v/>
      </c>
      <c r="BL220" s="44">
        <f>IF(ISNUMBER(AY220),AY220,NA())</f>
        <v/>
      </c>
    </row>
    <row r="221">
      <c r="A221" s="36">
        <f>IF(Datos!A221="","",Datos!A221)</f>
        <v/>
      </c>
      <c r="B221" s="37">
        <f>IF(OR($A221="",NOT(ISNUMBER(Datos!B221)),NOT(ISNUMBER(Datos!B220))),"",Datos!B221/Datos!B220-1)</f>
        <v/>
      </c>
      <c r="C221" s="37">
        <f>IF(OR($A221="",NOT(ISNUMBER(Datos!C221)),NOT(ISNUMBER(Datos!C220))),"",Datos!C221/Datos!C220-1)</f>
        <v/>
      </c>
      <c r="D221" s="37">
        <f>IF(OR($A221="",NOT(ISNUMBER(Datos!D221)),NOT(ISNUMBER(Datos!D220))),"",Datos!D221/Datos!D220-1)</f>
        <v/>
      </c>
      <c r="E221" s="37">
        <f>IF(OR($A221="",NOT(ISNUMBER(Datos!E221)),NOT(ISNUMBER(Datos!E220))),"",Datos!E221/Datos!E220-1)</f>
        <v/>
      </c>
      <c r="F221" s="38">
        <f>IF($A221="","",COUNT(B221:E221))</f>
        <v/>
      </c>
      <c r="G221" s="37">
        <f>IF($A221="","",IF(F221&gt;=MIN_BANCOS,AVERAGE(B221:E221),""))</f>
        <v/>
      </c>
      <c r="H221" s="37">
        <f>IF(OR($A221="",NOT(ISNUMBER(Datos!F221)),NOT(ISNUMBER(Datos!F220))),"",Datos!F221/Datos!F220-1)</f>
        <v/>
      </c>
      <c r="I221" s="39">
        <f>IF($A221="","",IF(ISNUMBER(Datos!G221),Datos!G221,I220))</f>
        <v/>
      </c>
      <c r="J221" s="40">
        <f>IF($A221="","",IF(ISNUMBER(I220),LN(1+I220/100/12),0))</f>
        <v/>
      </c>
      <c r="K221" s="40">
        <f>IF(ISNUMBER(G221),LN(1+G221)-J221,"")</f>
        <v/>
      </c>
      <c r="L221" s="40">
        <f>IF(ISNUMBER(H221),LN(1+H221)-J221,"")</f>
        <v/>
      </c>
      <c r="M221" s="38">
        <f>IF(ISNUMBER(K221),1,0)</f>
        <v/>
      </c>
      <c r="N221" s="40">
        <f>IF(M221=1,K221,0)</f>
        <v/>
      </c>
      <c r="O221" s="38">
        <f>IF(ISNUMBER(L221),1,0)</f>
        <v/>
      </c>
      <c r="P221" s="40">
        <f>IF(O221=1,L221,0)</f>
        <v/>
      </c>
      <c r="Q221" s="38">
        <f>M221*O221</f>
        <v/>
      </c>
      <c r="R221" s="38">
        <f>SUM(Q185:Q220)</f>
        <v/>
      </c>
      <c r="S221" s="41">
        <f>IF(OR($A221="",R221&lt;MIN_OBS_ROLL),"",(SUMPRODUCT(Q185:Q220,N185:N220,P185:P220)/R221-SUMPRODUCT(Q185:Q220,N185:N220)/R221*SUMPRODUCT(Q185:Q220,P185:P220)/R221)*R221/(R221-1))</f>
        <v/>
      </c>
      <c r="T221" s="38">
        <f>SUM(O185:O220)</f>
        <v/>
      </c>
      <c r="U221" s="41">
        <f>IF(OR($A221="",T221&lt;MIN_OBS_ROLL),"",SUMPRODUCT(O185:O220,(P185:P220-SUMPRODUCT(O185:O220,P185:P220)/T221)^2)/(T221-1))</f>
        <v/>
      </c>
      <c r="V221" s="40">
        <f>IF(OR(S221="",U221=""),"",S221/U221)</f>
        <v/>
      </c>
      <c r="W221" s="40">
        <f>IF(AND(ISNUMBER(K221),ISNUMBER(L221),ISNUMBER(V221)),K221-V221*L221,"")</f>
        <v/>
      </c>
      <c r="X221" s="40">
        <f>IF(OR($A221="",NOT(ISNUMBER(Datos!H221)),NOT(ISNUMBER(Datos!H220))),"",LN(Datos!H221)-LN(Datos!H220))</f>
        <v/>
      </c>
      <c r="Y221" s="38">
        <f>IF(ISNUMBER(W221),1,0)</f>
        <v/>
      </c>
      <c r="Z221" s="40">
        <f>IF(Y221=1,W221,0)</f>
        <v/>
      </c>
      <c r="AA221" s="38">
        <f>IF(ISNUMBER(X221),1,0)</f>
        <v/>
      </c>
      <c r="AB221" s="40">
        <f>IF(AA221=1,X221,0)</f>
        <v/>
      </c>
      <c r="AC221" s="38">
        <f>Y221*AA221</f>
        <v/>
      </c>
      <c r="AD221" s="38">
        <f>SUM(AC185:AC220)</f>
        <v/>
      </c>
      <c r="AE221" s="41">
        <f>IF(OR($A221="",AD221&lt;MIN_OBS_ROLL),"",(SUMPRODUCT(AC185:AC220,Z185:Z220,AB185:AB220)/AD221-SUMPRODUCT(AC185:AC220,Z185:Z220)/AD221*SUMPRODUCT(AC185:AC220,AB185:AB220)/AD221)*AD221/(AD221-1))</f>
        <v/>
      </c>
      <c r="AF221" s="38">
        <f>SUM(AA185:AA220)</f>
        <v/>
      </c>
      <c r="AG221" s="41">
        <f>IF(OR($A221="",AF221&lt;MIN_OBS_ROLL),"",SUMPRODUCT(AA185:AA220,(AB185:AB220-SUMPRODUCT(AA185:AA220,AB185:AB220)/AF221)^2)/(AF221-1))</f>
        <v/>
      </c>
      <c r="AH221" s="38">
        <f>SUM(Y185:Y220)</f>
        <v/>
      </c>
      <c r="AI221" s="40">
        <f>IF(OR($A221="",AH221&lt;MIN_OBS_ROLL),"",SUMPRODUCT(Y185:Y220,Z185:Z220)/AH221)</f>
        <v/>
      </c>
      <c r="AJ221" s="40">
        <f>IF(OR($A221="",AF221&lt;MIN_OBS_ROLL),"",SUMPRODUCT(AA185:AA220,AB185:AB220)/AF221)</f>
        <v/>
      </c>
      <c r="AK221" s="40">
        <f>IF(OR(AE221="",AG221=""),"",AE221/AG221)</f>
        <v/>
      </c>
      <c r="AL221" s="40">
        <f>IF(OR(AI221="",AK221="",AJ221=""),"",AI221-AK221*AJ221)</f>
        <v/>
      </c>
      <c r="AM221" s="40">
        <f>IF(AND(ISNUMBER(W221),ISNUMBER(X221),ISNUMBER(AK221),ISNUMBER(AL221)),W221-(AL221+AK221*X221),"")</f>
        <v/>
      </c>
      <c r="AN221" s="38">
        <f>IF(ISNUMBER(AM221),1,0)</f>
        <v/>
      </c>
      <c r="AO221" s="40">
        <f>IF(AN221=1,AM221,0)</f>
        <v/>
      </c>
      <c r="AP221" s="40">
        <f>IF(SUM(AN219:AN221)=3,SUM(AO219:AO221),"")</f>
        <v/>
      </c>
      <c r="AQ221" s="38">
        <f>IF(ISNUMBER(AP221),1,0)</f>
        <v/>
      </c>
      <c r="AR221" s="40">
        <f>IF(AQ221=1,AP221,0)</f>
        <v/>
      </c>
      <c r="AS221" s="38">
        <f>SUM(AQ$5:AQ221)</f>
        <v/>
      </c>
      <c r="AT221" s="40">
        <f>IF(AS221&gt;=MIN_OBS_Z,SUMPRODUCT(AQ$5:AQ221,AR$5:AR221)/AS221,"")</f>
        <v/>
      </c>
      <c r="AU221" s="40">
        <f>IF(AS221&gt;=MIN_OBS_Z,SQRT(SUMPRODUCT(AQ$5:AQ221,(AR$5:AR221-AT221)^2)/(AS221-1)),"")</f>
        <v/>
      </c>
      <c r="AV221" s="40">
        <f>IF(AND(AQ221=1,ISNUMBER(AT221)),MAX(-Z_CLIP,MIN(Z_CLIP,(AR221-AT221)/AU221)),"")</f>
        <v/>
      </c>
      <c r="AW221" s="40">
        <f>IF(ISNUMBER(AV221),-AV221,"")</f>
        <v/>
      </c>
      <c r="AX221" s="40">
        <f>IF(ISNUMBER(AW221),1+AMPLITUD*TANH(AW221),"")</f>
        <v/>
      </c>
      <c r="AY221" s="40">
        <f>IF($A221="","",IF(COUNT(AX219:AX221)&gt;0,AVERAGE(AX219:AX221),""))</f>
        <v/>
      </c>
      <c r="AZ221" s="40">
        <f>IF(ISNUMBER(AY221),AY221-1,"")</f>
        <v/>
      </c>
      <c r="BA221" s="40">
        <f>IF(AND(ISNUMBER(AZ220),ISNUMBER(W221)),AZ220*W_BANCOS*W221,"")</f>
        <v/>
      </c>
      <c r="BB221" s="40">
        <f>IF(AND(ISNUMBER(AZ220),ISNUMBER(AZ219)),ABS(AZ220-AZ219)*W_BANCOS*COSTO,0)</f>
        <v/>
      </c>
      <c r="BC221" s="40">
        <f>IF(ISNUMBER(BA221),BA221-BB221,"")</f>
        <v/>
      </c>
      <c r="BD221" s="42">
        <f>IF(ISNUMBER(BC221),IF(A221&lt;=FECHA_ERA,"A","B"),"")</f>
        <v/>
      </c>
      <c r="BE221" s="40">
        <f>IF(BD221="A",BC221,"")</f>
        <v/>
      </c>
      <c r="BF221" s="40">
        <f>IF(BD221="B",BC221,"")</f>
        <v/>
      </c>
      <c r="BG221" s="38">
        <f>IF(AND(ISNUMBER(BC221),ISNUMBER(A221)),IF(A221&gt;=INICIO_VIVO,1,0),0)</f>
        <v/>
      </c>
      <c r="BH221" s="40">
        <f>IF(BG221=1,BC221,"")</f>
        <v/>
      </c>
      <c r="BI221" s="38">
        <f>IF(ISNUMBER(AY221),ROW(),0)</f>
        <v/>
      </c>
      <c r="BJ221" s="43">
        <f>IF(ISNUMBER(BC221),SUM(BC$5:BC221)*10000,NA())</f>
        <v/>
      </c>
      <c r="BK221" s="43">
        <f>IF(BG221=1,SUM(BH$5:BH221)*10000,NA())</f>
        <v/>
      </c>
      <c r="BL221" s="44">
        <f>IF(ISNUMBER(AY221),AY221,NA())</f>
        <v/>
      </c>
    </row>
    <row r="222">
      <c r="A222" s="36">
        <f>IF(Datos!A222="","",Datos!A222)</f>
        <v/>
      </c>
      <c r="B222" s="37">
        <f>IF(OR($A222="",NOT(ISNUMBER(Datos!B222)),NOT(ISNUMBER(Datos!B221))),"",Datos!B222/Datos!B221-1)</f>
        <v/>
      </c>
      <c r="C222" s="37">
        <f>IF(OR($A222="",NOT(ISNUMBER(Datos!C222)),NOT(ISNUMBER(Datos!C221))),"",Datos!C222/Datos!C221-1)</f>
        <v/>
      </c>
      <c r="D222" s="37">
        <f>IF(OR($A222="",NOT(ISNUMBER(Datos!D222)),NOT(ISNUMBER(Datos!D221))),"",Datos!D222/Datos!D221-1)</f>
        <v/>
      </c>
      <c r="E222" s="37">
        <f>IF(OR($A222="",NOT(ISNUMBER(Datos!E222)),NOT(ISNUMBER(Datos!E221))),"",Datos!E222/Datos!E221-1)</f>
        <v/>
      </c>
      <c r="F222" s="38">
        <f>IF($A222="","",COUNT(B222:E222))</f>
        <v/>
      </c>
      <c r="G222" s="37">
        <f>IF($A222="","",IF(F222&gt;=MIN_BANCOS,AVERAGE(B222:E222),""))</f>
        <v/>
      </c>
      <c r="H222" s="37">
        <f>IF(OR($A222="",NOT(ISNUMBER(Datos!F222)),NOT(ISNUMBER(Datos!F221))),"",Datos!F222/Datos!F221-1)</f>
        <v/>
      </c>
      <c r="I222" s="39">
        <f>IF($A222="","",IF(ISNUMBER(Datos!G222),Datos!G222,I221))</f>
        <v/>
      </c>
      <c r="J222" s="40">
        <f>IF($A222="","",IF(ISNUMBER(I221),LN(1+I221/100/12),0))</f>
        <v/>
      </c>
      <c r="K222" s="40">
        <f>IF(ISNUMBER(G222),LN(1+G222)-J222,"")</f>
        <v/>
      </c>
      <c r="L222" s="40">
        <f>IF(ISNUMBER(H222),LN(1+H222)-J222,"")</f>
        <v/>
      </c>
      <c r="M222" s="38">
        <f>IF(ISNUMBER(K222),1,0)</f>
        <v/>
      </c>
      <c r="N222" s="40">
        <f>IF(M222=1,K222,0)</f>
        <v/>
      </c>
      <c r="O222" s="38">
        <f>IF(ISNUMBER(L222),1,0)</f>
        <v/>
      </c>
      <c r="P222" s="40">
        <f>IF(O222=1,L222,0)</f>
        <v/>
      </c>
      <c r="Q222" s="38">
        <f>M222*O222</f>
        <v/>
      </c>
      <c r="R222" s="38">
        <f>SUM(Q186:Q221)</f>
        <v/>
      </c>
      <c r="S222" s="41">
        <f>IF(OR($A222="",R222&lt;MIN_OBS_ROLL),"",(SUMPRODUCT(Q186:Q221,N186:N221,P186:P221)/R222-SUMPRODUCT(Q186:Q221,N186:N221)/R222*SUMPRODUCT(Q186:Q221,P186:P221)/R222)*R222/(R222-1))</f>
        <v/>
      </c>
      <c r="T222" s="38">
        <f>SUM(O186:O221)</f>
        <v/>
      </c>
      <c r="U222" s="41">
        <f>IF(OR($A222="",T222&lt;MIN_OBS_ROLL),"",SUMPRODUCT(O186:O221,(P186:P221-SUMPRODUCT(O186:O221,P186:P221)/T222)^2)/(T222-1))</f>
        <v/>
      </c>
      <c r="V222" s="40">
        <f>IF(OR(S222="",U222=""),"",S222/U222)</f>
        <v/>
      </c>
      <c r="W222" s="40">
        <f>IF(AND(ISNUMBER(K222),ISNUMBER(L222),ISNUMBER(V222)),K222-V222*L222,"")</f>
        <v/>
      </c>
      <c r="X222" s="40">
        <f>IF(OR($A222="",NOT(ISNUMBER(Datos!H222)),NOT(ISNUMBER(Datos!H221))),"",LN(Datos!H222)-LN(Datos!H221))</f>
        <v/>
      </c>
      <c r="Y222" s="38">
        <f>IF(ISNUMBER(W222),1,0)</f>
        <v/>
      </c>
      <c r="Z222" s="40">
        <f>IF(Y222=1,W222,0)</f>
        <v/>
      </c>
      <c r="AA222" s="38">
        <f>IF(ISNUMBER(X222),1,0)</f>
        <v/>
      </c>
      <c r="AB222" s="40">
        <f>IF(AA222=1,X222,0)</f>
        <v/>
      </c>
      <c r="AC222" s="38">
        <f>Y222*AA222</f>
        <v/>
      </c>
      <c r="AD222" s="38">
        <f>SUM(AC186:AC221)</f>
        <v/>
      </c>
      <c r="AE222" s="41">
        <f>IF(OR($A222="",AD222&lt;MIN_OBS_ROLL),"",(SUMPRODUCT(AC186:AC221,Z186:Z221,AB186:AB221)/AD222-SUMPRODUCT(AC186:AC221,Z186:Z221)/AD222*SUMPRODUCT(AC186:AC221,AB186:AB221)/AD222)*AD222/(AD222-1))</f>
        <v/>
      </c>
      <c r="AF222" s="38">
        <f>SUM(AA186:AA221)</f>
        <v/>
      </c>
      <c r="AG222" s="41">
        <f>IF(OR($A222="",AF222&lt;MIN_OBS_ROLL),"",SUMPRODUCT(AA186:AA221,(AB186:AB221-SUMPRODUCT(AA186:AA221,AB186:AB221)/AF222)^2)/(AF222-1))</f>
        <v/>
      </c>
      <c r="AH222" s="38">
        <f>SUM(Y186:Y221)</f>
        <v/>
      </c>
      <c r="AI222" s="40">
        <f>IF(OR($A222="",AH222&lt;MIN_OBS_ROLL),"",SUMPRODUCT(Y186:Y221,Z186:Z221)/AH222)</f>
        <v/>
      </c>
      <c r="AJ222" s="40">
        <f>IF(OR($A222="",AF222&lt;MIN_OBS_ROLL),"",SUMPRODUCT(AA186:AA221,AB186:AB221)/AF222)</f>
        <v/>
      </c>
      <c r="AK222" s="40">
        <f>IF(OR(AE222="",AG222=""),"",AE222/AG222)</f>
        <v/>
      </c>
      <c r="AL222" s="40">
        <f>IF(OR(AI222="",AK222="",AJ222=""),"",AI222-AK222*AJ222)</f>
        <v/>
      </c>
      <c r="AM222" s="40">
        <f>IF(AND(ISNUMBER(W222),ISNUMBER(X222),ISNUMBER(AK222),ISNUMBER(AL222)),W222-(AL222+AK222*X222),"")</f>
        <v/>
      </c>
      <c r="AN222" s="38">
        <f>IF(ISNUMBER(AM222),1,0)</f>
        <v/>
      </c>
      <c r="AO222" s="40">
        <f>IF(AN222=1,AM222,0)</f>
        <v/>
      </c>
      <c r="AP222" s="40">
        <f>IF(SUM(AN220:AN222)=3,SUM(AO220:AO222),"")</f>
        <v/>
      </c>
      <c r="AQ222" s="38">
        <f>IF(ISNUMBER(AP222),1,0)</f>
        <v/>
      </c>
      <c r="AR222" s="40">
        <f>IF(AQ222=1,AP222,0)</f>
        <v/>
      </c>
      <c r="AS222" s="38">
        <f>SUM(AQ$5:AQ222)</f>
        <v/>
      </c>
      <c r="AT222" s="40">
        <f>IF(AS222&gt;=MIN_OBS_Z,SUMPRODUCT(AQ$5:AQ222,AR$5:AR222)/AS222,"")</f>
        <v/>
      </c>
      <c r="AU222" s="40">
        <f>IF(AS222&gt;=MIN_OBS_Z,SQRT(SUMPRODUCT(AQ$5:AQ222,(AR$5:AR222-AT222)^2)/(AS222-1)),"")</f>
        <v/>
      </c>
      <c r="AV222" s="40">
        <f>IF(AND(AQ222=1,ISNUMBER(AT222)),MAX(-Z_CLIP,MIN(Z_CLIP,(AR222-AT222)/AU222)),"")</f>
        <v/>
      </c>
      <c r="AW222" s="40">
        <f>IF(ISNUMBER(AV222),-AV222,"")</f>
        <v/>
      </c>
      <c r="AX222" s="40">
        <f>IF(ISNUMBER(AW222),1+AMPLITUD*TANH(AW222),"")</f>
        <v/>
      </c>
      <c r="AY222" s="40">
        <f>IF($A222="","",IF(COUNT(AX220:AX222)&gt;0,AVERAGE(AX220:AX222),""))</f>
        <v/>
      </c>
      <c r="AZ222" s="40">
        <f>IF(ISNUMBER(AY222),AY222-1,"")</f>
        <v/>
      </c>
      <c r="BA222" s="40">
        <f>IF(AND(ISNUMBER(AZ221),ISNUMBER(W222)),AZ221*W_BANCOS*W222,"")</f>
        <v/>
      </c>
      <c r="BB222" s="40">
        <f>IF(AND(ISNUMBER(AZ221),ISNUMBER(AZ220)),ABS(AZ221-AZ220)*W_BANCOS*COSTO,0)</f>
        <v/>
      </c>
      <c r="BC222" s="40">
        <f>IF(ISNUMBER(BA222),BA222-BB222,"")</f>
        <v/>
      </c>
      <c r="BD222" s="42">
        <f>IF(ISNUMBER(BC222),IF(A222&lt;=FECHA_ERA,"A","B"),"")</f>
        <v/>
      </c>
      <c r="BE222" s="40">
        <f>IF(BD222="A",BC222,"")</f>
        <v/>
      </c>
      <c r="BF222" s="40">
        <f>IF(BD222="B",BC222,"")</f>
        <v/>
      </c>
      <c r="BG222" s="38">
        <f>IF(AND(ISNUMBER(BC222),ISNUMBER(A222)),IF(A222&gt;=INICIO_VIVO,1,0),0)</f>
        <v/>
      </c>
      <c r="BH222" s="40">
        <f>IF(BG222=1,BC222,"")</f>
        <v/>
      </c>
      <c r="BI222" s="38">
        <f>IF(ISNUMBER(AY222),ROW(),0)</f>
        <v/>
      </c>
      <c r="BJ222" s="43">
        <f>IF(ISNUMBER(BC222),SUM(BC$5:BC222)*10000,NA())</f>
        <v/>
      </c>
      <c r="BK222" s="43">
        <f>IF(BG222=1,SUM(BH$5:BH222)*10000,NA())</f>
        <v/>
      </c>
      <c r="BL222" s="44">
        <f>IF(ISNUMBER(AY222),AY222,NA())</f>
        <v/>
      </c>
    </row>
    <row r="223">
      <c r="A223" s="36">
        <f>IF(Datos!A223="","",Datos!A223)</f>
        <v/>
      </c>
      <c r="B223" s="37">
        <f>IF(OR($A223="",NOT(ISNUMBER(Datos!B223)),NOT(ISNUMBER(Datos!B222))),"",Datos!B223/Datos!B222-1)</f>
        <v/>
      </c>
      <c r="C223" s="37">
        <f>IF(OR($A223="",NOT(ISNUMBER(Datos!C223)),NOT(ISNUMBER(Datos!C222))),"",Datos!C223/Datos!C222-1)</f>
        <v/>
      </c>
      <c r="D223" s="37">
        <f>IF(OR($A223="",NOT(ISNUMBER(Datos!D223)),NOT(ISNUMBER(Datos!D222))),"",Datos!D223/Datos!D222-1)</f>
        <v/>
      </c>
      <c r="E223" s="37">
        <f>IF(OR($A223="",NOT(ISNUMBER(Datos!E223)),NOT(ISNUMBER(Datos!E222))),"",Datos!E223/Datos!E222-1)</f>
        <v/>
      </c>
      <c r="F223" s="38">
        <f>IF($A223="","",COUNT(B223:E223))</f>
        <v/>
      </c>
      <c r="G223" s="37">
        <f>IF($A223="","",IF(F223&gt;=MIN_BANCOS,AVERAGE(B223:E223),""))</f>
        <v/>
      </c>
      <c r="H223" s="37">
        <f>IF(OR($A223="",NOT(ISNUMBER(Datos!F223)),NOT(ISNUMBER(Datos!F222))),"",Datos!F223/Datos!F222-1)</f>
        <v/>
      </c>
      <c r="I223" s="39">
        <f>IF($A223="","",IF(ISNUMBER(Datos!G223),Datos!G223,I222))</f>
        <v/>
      </c>
      <c r="J223" s="40">
        <f>IF($A223="","",IF(ISNUMBER(I222),LN(1+I222/100/12),0))</f>
        <v/>
      </c>
      <c r="K223" s="40">
        <f>IF(ISNUMBER(G223),LN(1+G223)-J223,"")</f>
        <v/>
      </c>
      <c r="L223" s="40">
        <f>IF(ISNUMBER(H223),LN(1+H223)-J223,"")</f>
        <v/>
      </c>
      <c r="M223" s="38">
        <f>IF(ISNUMBER(K223),1,0)</f>
        <v/>
      </c>
      <c r="N223" s="40">
        <f>IF(M223=1,K223,0)</f>
        <v/>
      </c>
      <c r="O223" s="38">
        <f>IF(ISNUMBER(L223),1,0)</f>
        <v/>
      </c>
      <c r="P223" s="40">
        <f>IF(O223=1,L223,0)</f>
        <v/>
      </c>
      <c r="Q223" s="38">
        <f>M223*O223</f>
        <v/>
      </c>
      <c r="R223" s="38">
        <f>SUM(Q187:Q222)</f>
        <v/>
      </c>
      <c r="S223" s="41">
        <f>IF(OR($A223="",R223&lt;MIN_OBS_ROLL),"",(SUMPRODUCT(Q187:Q222,N187:N222,P187:P222)/R223-SUMPRODUCT(Q187:Q222,N187:N222)/R223*SUMPRODUCT(Q187:Q222,P187:P222)/R223)*R223/(R223-1))</f>
        <v/>
      </c>
      <c r="T223" s="38">
        <f>SUM(O187:O222)</f>
        <v/>
      </c>
      <c r="U223" s="41">
        <f>IF(OR($A223="",T223&lt;MIN_OBS_ROLL),"",SUMPRODUCT(O187:O222,(P187:P222-SUMPRODUCT(O187:O222,P187:P222)/T223)^2)/(T223-1))</f>
        <v/>
      </c>
      <c r="V223" s="40">
        <f>IF(OR(S223="",U223=""),"",S223/U223)</f>
        <v/>
      </c>
      <c r="W223" s="40">
        <f>IF(AND(ISNUMBER(K223),ISNUMBER(L223),ISNUMBER(V223)),K223-V223*L223,"")</f>
        <v/>
      </c>
      <c r="X223" s="40">
        <f>IF(OR($A223="",NOT(ISNUMBER(Datos!H223)),NOT(ISNUMBER(Datos!H222))),"",LN(Datos!H223)-LN(Datos!H222))</f>
        <v/>
      </c>
      <c r="Y223" s="38">
        <f>IF(ISNUMBER(W223),1,0)</f>
        <v/>
      </c>
      <c r="Z223" s="40">
        <f>IF(Y223=1,W223,0)</f>
        <v/>
      </c>
      <c r="AA223" s="38">
        <f>IF(ISNUMBER(X223),1,0)</f>
        <v/>
      </c>
      <c r="AB223" s="40">
        <f>IF(AA223=1,X223,0)</f>
        <v/>
      </c>
      <c r="AC223" s="38">
        <f>Y223*AA223</f>
        <v/>
      </c>
      <c r="AD223" s="38">
        <f>SUM(AC187:AC222)</f>
        <v/>
      </c>
      <c r="AE223" s="41">
        <f>IF(OR($A223="",AD223&lt;MIN_OBS_ROLL),"",(SUMPRODUCT(AC187:AC222,Z187:Z222,AB187:AB222)/AD223-SUMPRODUCT(AC187:AC222,Z187:Z222)/AD223*SUMPRODUCT(AC187:AC222,AB187:AB222)/AD223)*AD223/(AD223-1))</f>
        <v/>
      </c>
      <c r="AF223" s="38">
        <f>SUM(AA187:AA222)</f>
        <v/>
      </c>
      <c r="AG223" s="41">
        <f>IF(OR($A223="",AF223&lt;MIN_OBS_ROLL),"",SUMPRODUCT(AA187:AA222,(AB187:AB222-SUMPRODUCT(AA187:AA222,AB187:AB222)/AF223)^2)/(AF223-1))</f>
        <v/>
      </c>
      <c r="AH223" s="38">
        <f>SUM(Y187:Y222)</f>
        <v/>
      </c>
      <c r="AI223" s="40">
        <f>IF(OR($A223="",AH223&lt;MIN_OBS_ROLL),"",SUMPRODUCT(Y187:Y222,Z187:Z222)/AH223)</f>
        <v/>
      </c>
      <c r="AJ223" s="40">
        <f>IF(OR($A223="",AF223&lt;MIN_OBS_ROLL),"",SUMPRODUCT(AA187:AA222,AB187:AB222)/AF223)</f>
        <v/>
      </c>
      <c r="AK223" s="40">
        <f>IF(OR(AE223="",AG223=""),"",AE223/AG223)</f>
        <v/>
      </c>
      <c r="AL223" s="40">
        <f>IF(OR(AI223="",AK223="",AJ223=""),"",AI223-AK223*AJ223)</f>
        <v/>
      </c>
      <c r="AM223" s="40">
        <f>IF(AND(ISNUMBER(W223),ISNUMBER(X223),ISNUMBER(AK223),ISNUMBER(AL223)),W223-(AL223+AK223*X223),"")</f>
        <v/>
      </c>
      <c r="AN223" s="38">
        <f>IF(ISNUMBER(AM223),1,0)</f>
        <v/>
      </c>
      <c r="AO223" s="40">
        <f>IF(AN223=1,AM223,0)</f>
        <v/>
      </c>
      <c r="AP223" s="40">
        <f>IF(SUM(AN221:AN223)=3,SUM(AO221:AO223),"")</f>
        <v/>
      </c>
      <c r="AQ223" s="38">
        <f>IF(ISNUMBER(AP223),1,0)</f>
        <v/>
      </c>
      <c r="AR223" s="40">
        <f>IF(AQ223=1,AP223,0)</f>
        <v/>
      </c>
      <c r="AS223" s="38">
        <f>SUM(AQ$5:AQ223)</f>
        <v/>
      </c>
      <c r="AT223" s="40">
        <f>IF(AS223&gt;=MIN_OBS_Z,SUMPRODUCT(AQ$5:AQ223,AR$5:AR223)/AS223,"")</f>
        <v/>
      </c>
      <c r="AU223" s="40">
        <f>IF(AS223&gt;=MIN_OBS_Z,SQRT(SUMPRODUCT(AQ$5:AQ223,(AR$5:AR223-AT223)^2)/(AS223-1)),"")</f>
        <v/>
      </c>
      <c r="AV223" s="40">
        <f>IF(AND(AQ223=1,ISNUMBER(AT223)),MAX(-Z_CLIP,MIN(Z_CLIP,(AR223-AT223)/AU223)),"")</f>
        <v/>
      </c>
      <c r="AW223" s="40">
        <f>IF(ISNUMBER(AV223),-AV223,"")</f>
        <v/>
      </c>
      <c r="AX223" s="40">
        <f>IF(ISNUMBER(AW223),1+AMPLITUD*TANH(AW223),"")</f>
        <v/>
      </c>
      <c r="AY223" s="40">
        <f>IF($A223="","",IF(COUNT(AX221:AX223)&gt;0,AVERAGE(AX221:AX223),""))</f>
        <v/>
      </c>
      <c r="AZ223" s="40">
        <f>IF(ISNUMBER(AY223),AY223-1,"")</f>
        <v/>
      </c>
      <c r="BA223" s="40">
        <f>IF(AND(ISNUMBER(AZ222),ISNUMBER(W223)),AZ222*W_BANCOS*W223,"")</f>
        <v/>
      </c>
      <c r="BB223" s="40">
        <f>IF(AND(ISNUMBER(AZ222),ISNUMBER(AZ221)),ABS(AZ222-AZ221)*W_BANCOS*COSTO,0)</f>
        <v/>
      </c>
      <c r="BC223" s="40">
        <f>IF(ISNUMBER(BA223),BA223-BB223,"")</f>
        <v/>
      </c>
      <c r="BD223" s="42">
        <f>IF(ISNUMBER(BC223),IF(A223&lt;=FECHA_ERA,"A","B"),"")</f>
        <v/>
      </c>
      <c r="BE223" s="40">
        <f>IF(BD223="A",BC223,"")</f>
        <v/>
      </c>
      <c r="BF223" s="40">
        <f>IF(BD223="B",BC223,"")</f>
        <v/>
      </c>
      <c r="BG223" s="38">
        <f>IF(AND(ISNUMBER(BC223),ISNUMBER(A223)),IF(A223&gt;=INICIO_VIVO,1,0),0)</f>
        <v/>
      </c>
      <c r="BH223" s="40">
        <f>IF(BG223=1,BC223,"")</f>
        <v/>
      </c>
      <c r="BI223" s="38">
        <f>IF(ISNUMBER(AY223),ROW(),0)</f>
        <v/>
      </c>
      <c r="BJ223" s="43">
        <f>IF(ISNUMBER(BC223),SUM(BC$5:BC223)*10000,NA())</f>
        <v/>
      </c>
      <c r="BK223" s="43">
        <f>IF(BG223=1,SUM(BH$5:BH223)*10000,NA())</f>
        <v/>
      </c>
      <c r="BL223" s="44">
        <f>IF(ISNUMBER(AY223),AY223,NA())</f>
        <v/>
      </c>
    </row>
    <row r="224">
      <c r="A224" s="36">
        <f>IF(Datos!A224="","",Datos!A224)</f>
        <v/>
      </c>
      <c r="B224" s="37">
        <f>IF(OR($A224="",NOT(ISNUMBER(Datos!B224)),NOT(ISNUMBER(Datos!B223))),"",Datos!B224/Datos!B223-1)</f>
        <v/>
      </c>
      <c r="C224" s="37">
        <f>IF(OR($A224="",NOT(ISNUMBER(Datos!C224)),NOT(ISNUMBER(Datos!C223))),"",Datos!C224/Datos!C223-1)</f>
        <v/>
      </c>
      <c r="D224" s="37">
        <f>IF(OR($A224="",NOT(ISNUMBER(Datos!D224)),NOT(ISNUMBER(Datos!D223))),"",Datos!D224/Datos!D223-1)</f>
        <v/>
      </c>
      <c r="E224" s="37">
        <f>IF(OR($A224="",NOT(ISNUMBER(Datos!E224)),NOT(ISNUMBER(Datos!E223))),"",Datos!E224/Datos!E223-1)</f>
        <v/>
      </c>
      <c r="F224" s="38">
        <f>IF($A224="","",COUNT(B224:E224))</f>
        <v/>
      </c>
      <c r="G224" s="37">
        <f>IF($A224="","",IF(F224&gt;=MIN_BANCOS,AVERAGE(B224:E224),""))</f>
        <v/>
      </c>
      <c r="H224" s="37">
        <f>IF(OR($A224="",NOT(ISNUMBER(Datos!F224)),NOT(ISNUMBER(Datos!F223))),"",Datos!F224/Datos!F223-1)</f>
        <v/>
      </c>
      <c r="I224" s="39">
        <f>IF($A224="","",IF(ISNUMBER(Datos!G224),Datos!G224,I223))</f>
        <v/>
      </c>
      <c r="J224" s="40">
        <f>IF($A224="","",IF(ISNUMBER(I223),LN(1+I223/100/12),0))</f>
        <v/>
      </c>
      <c r="K224" s="40">
        <f>IF(ISNUMBER(G224),LN(1+G224)-J224,"")</f>
        <v/>
      </c>
      <c r="L224" s="40">
        <f>IF(ISNUMBER(H224),LN(1+H224)-J224,"")</f>
        <v/>
      </c>
      <c r="M224" s="38">
        <f>IF(ISNUMBER(K224),1,0)</f>
        <v/>
      </c>
      <c r="N224" s="40">
        <f>IF(M224=1,K224,0)</f>
        <v/>
      </c>
      <c r="O224" s="38">
        <f>IF(ISNUMBER(L224),1,0)</f>
        <v/>
      </c>
      <c r="P224" s="40">
        <f>IF(O224=1,L224,0)</f>
        <v/>
      </c>
      <c r="Q224" s="38">
        <f>M224*O224</f>
        <v/>
      </c>
      <c r="R224" s="38">
        <f>SUM(Q188:Q223)</f>
        <v/>
      </c>
      <c r="S224" s="41">
        <f>IF(OR($A224="",R224&lt;MIN_OBS_ROLL),"",(SUMPRODUCT(Q188:Q223,N188:N223,P188:P223)/R224-SUMPRODUCT(Q188:Q223,N188:N223)/R224*SUMPRODUCT(Q188:Q223,P188:P223)/R224)*R224/(R224-1))</f>
        <v/>
      </c>
      <c r="T224" s="38">
        <f>SUM(O188:O223)</f>
        <v/>
      </c>
      <c r="U224" s="41">
        <f>IF(OR($A224="",T224&lt;MIN_OBS_ROLL),"",SUMPRODUCT(O188:O223,(P188:P223-SUMPRODUCT(O188:O223,P188:P223)/T224)^2)/(T224-1))</f>
        <v/>
      </c>
      <c r="V224" s="40">
        <f>IF(OR(S224="",U224=""),"",S224/U224)</f>
        <v/>
      </c>
      <c r="W224" s="40">
        <f>IF(AND(ISNUMBER(K224),ISNUMBER(L224),ISNUMBER(V224)),K224-V224*L224,"")</f>
        <v/>
      </c>
      <c r="X224" s="40">
        <f>IF(OR($A224="",NOT(ISNUMBER(Datos!H224)),NOT(ISNUMBER(Datos!H223))),"",LN(Datos!H224)-LN(Datos!H223))</f>
        <v/>
      </c>
      <c r="Y224" s="38">
        <f>IF(ISNUMBER(W224),1,0)</f>
        <v/>
      </c>
      <c r="Z224" s="40">
        <f>IF(Y224=1,W224,0)</f>
        <v/>
      </c>
      <c r="AA224" s="38">
        <f>IF(ISNUMBER(X224),1,0)</f>
        <v/>
      </c>
      <c r="AB224" s="40">
        <f>IF(AA224=1,X224,0)</f>
        <v/>
      </c>
      <c r="AC224" s="38">
        <f>Y224*AA224</f>
        <v/>
      </c>
      <c r="AD224" s="38">
        <f>SUM(AC188:AC223)</f>
        <v/>
      </c>
      <c r="AE224" s="41">
        <f>IF(OR($A224="",AD224&lt;MIN_OBS_ROLL),"",(SUMPRODUCT(AC188:AC223,Z188:Z223,AB188:AB223)/AD224-SUMPRODUCT(AC188:AC223,Z188:Z223)/AD224*SUMPRODUCT(AC188:AC223,AB188:AB223)/AD224)*AD224/(AD224-1))</f>
        <v/>
      </c>
      <c r="AF224" s="38">
        <f>SUM(AA188:AA223)</f>
        <v/>
      </c>
      <c r="AG224" s="41">
        <f>IF(OR($A224="",AF224&lt;MIN_OBS_ROLL),"",SUMPRODUCT(AA188:AA223,(AB188:AB223-SUMPRODUCT(AA188:AA223,AB188:AB223)/AF224)^2)/(AF224-1))</f>
        <v/>
      </c>
      <c r="AH224" s="38">
        <f>SUM(Y188:Y223)</f>
        <v/>
      </c>
      <c r="AI224" s="40">
        <f>IF(OR($A224="",AH224&lt;MIN_OBS_ROLL),"",SUMPRODUCT(Y188:Y223,Z188:Z223)/AH224)</f>
        <v/>
      </c>
      <c r="AJ224" s="40">
        <f>IF(OR($A224="",AF224&lt;MIN_OBS_ROLL),"",SUMPRODUCT(AA188:AA223,AB188:AB223)/AF224)</f>
        <v/>
      </c>
      <c r="AK224" s="40">
        <f>IF(OR(AE224="",AG224=""),"",AE224/AG224)</f>
        <v/>
      </c>
      <c r="AL224" s="40">
        <f>IF(OR(AI224="",AK224="",AJ224=""),"",AI224-AK224*AJ224)</f>
        <v/>
      </c>
      <c r="AM224" s="40">
        <f>IF(AND(ISNUMBER(W224),ISNUMBER(X224),ISNUMBER(AK224),ISNUMBER(AL224)),W224-(AL224+AK224*X224),"")</f>
        <v/>
      </c>
      <c r="AN224" s="38">
        <f>IF(ISNUMBER(AM224),1,0)</f>
        <v/>
      </c>
      <c r="AO224" s="40">
        <f>IF(AN224=1,AM224,0)</f>
        <v/>
      </c>
      <c r="AP224" s="40">
        <f>IF(SUM(AN222:AN224)=3,SUM(AO222:AO224),"")</f>
        <v/>
      </c>
      <c r="AQ224" s="38">
        <f>IF(ISNUMBER(AP224),1,0)</f>
        <v/>
      </c>
      <c r="AR224" s="40">
        <f>IF(AQ224=1,AP224,0)</f>
        <v/>
      </c>
      <c r="AS224" s="38">
        <f>SUM(AQ$5:AQ224)</f>
        <v/>
      </c>
      <c r="AT224" s="40">
        <f>IF(AS224&gt;=MIN_OBS_Z,SUMPRODUCT(AQ$5:AQ224,AR$5:AR224)/AS224,"")</f>
        <v/>
      </c>
      <c r="AU224" s="40">
        <f>IF(AS224&gt;=MIN_OBS_Z,SQRT(SUMPRODUCT(AQ$5:AQ224,(AR$5:AR224-AT224)^2)/(AS224-1)),"")</f>
        <v/>
      </c>
      <c r="AV224" s="40">
        <f>IF(AND(AQ224=1,ISNUMBER(AT224)),MAX(-Z_CLIP,MIN(Z_CLIP,(AR224-AT224)/AU224)),"")</f>
        <v/>
      </c>
      <c r="AW224" s="40">
        <f>IF(ISNUMBER(AV224),-AV224,"")</f>
        <v/>
      </c>
      <c r="AX224" s="40">
        <f>IF(ISNUMBER(AW224),1+AMPLITUD*TANH(AW224),"")</f>
        <v/>
      </c>
      <c r="AY224" s="40">
        <f>IF($A224="","",IF(COUNT(AX222:AX224)&gt;0,AVERAGE(AX222:AX224),""))</f>
        <v/>
      </c>
      <c r="AZ224" s="40">
        <f>IF(ISNUMBER(AY224),AY224-1,"")</f>
        <v/>
      </c>
      <c r="BA224" s="40">
        <f>IF(AND(ISNUMBER(AZ223),ISNUMBER(W224)),AZ223*W_BANCOS*W224,"")</f>
        <v/>
      </c>
      <c r="BB224" s="40">
        <f>IF(AND(ISNUMBER(AZ223),ISNUMBER(AZ222)),ABS(AZ223-AZ222)*W_BANCOS*COSTO,0)</f>
        <v/>
      </c>
      <c r="BC224" s="40">
        <f>IF(ISNUMBER(BA224),BA224-BB224,"")</f>
        <v/>
      </c>
      <c r="BD224" s="42">
        <f>IF(ISNUMBER(BC224),IF(A224&lt;=FECHA_ERA,"A","B"),"")</f>
        <v/>
      </c>
      <c r="BE224" s="40">
        <f>IF(BD224="A",BC224,"")</f>
        <v/>
      </c>
      <c r="BF224" s="40">
        <f>IF(BD224="B",BC224,"")</f>
        <v/>
      </c>
      <c r="BG224" s="38">
        <f>IF(AND(ISNUMBER(BC224),ISNUMBER(A224)),IF(A224&gt;=INICIO_VIVO,1,0),0)</f>
        <v/>
      </c>
      <c r="BH224" s="40">
        <f>IF(BG224=1,BC224,"")</f>
        <v/>
      </c>
      <c r="BI224" s="38">
        <f>IF(ISNUMBER(AY224),ROW(),0)</f>
        <v/>
      </c>
      <c r="BJ224" s="43">
        <f>IF(ISNUMBER(BC224),SUM(BC$5:BC224)*10000,NA())</f>
        <v/>
      </c>
      <c r="BK224" s="43">
        <f>IF(BG224=1,SUM(BH$5:BH224)*10000,NA())</f>
        <v/>
      </c>
      <c r="BL224" s="44">
        <f>IF(ISNUMBER(AY224),AY224,NA())</f>
        <v/>
      </c>
    </row>
    <row r="225">
      <c r="A225" s="36">
        <f>IF(Datos!A225="","",Datos!A225)</f>
        <v/>
      </c>
      <c r="B225" s="37">
        <f>IF(OR($A225="",NOT(ISNUMBER(Datos!B225)),NOT(ISNUMBER(Datos!B224))),"",Datos!B225/Datos!B224-1)</f>
        <v/>
      </c>
      <c r="C225" s="37">
        <f>IF(OR($A225="",NOT(ISNUMBER(Datos!C225)),NOT(ISNUMBER(Datos!C224))),"",Datos!C225/Datos!C224-1)</f>
        <v/>
      </c>
      <c r="D225" s="37">
        <f>IF(OR($A225="",NOT(ISNUMBER(Datos!D225)),NOT(ISNUMBER(Datos!D224))),"",Datos!D225/Datos!D224-1)</f>
        <v/>
      </c>
      <c r="E225" s="37">
        <f>IF(OR($A225="",NOT(ISNUMBER(Datos!E225)),NOT(ISNUMBER(Datos!E224))),"",Datos!E225/Datos!E224-1)</f>
        <v/>
      </c>
      <c r="F225" s="38">
        <f>IF($A225="","",COUNT(B225:E225))</f>
        <v/>
      </c>
      <c r="G225" s="37">
        <f>IF($A225="","",IF(F225&gt;=MIN_BANCOS,AVERAGE(B225:E225),""))</f>
        <v/>
      </c>
      <c r="H225" s="37">
        <f>IF(OR($A225="",NOT(ISNUMBER(Datos!F225)),NOT(ISNUMBER(Datos!F224))),"",Datos!F225/Datos!F224-1)</f>
        <v/>
      </c>
      <c r="I225" s="39">
        <f>IF($A225="","",IF(ISNUMBER(Datos!G225),Datos!G225,I224))</f>
        <v/>
      </c>
      <c r="J225" s="40">
        <f>IF($A225="","",IF(ISNUMBER(I224),LN(1+I224/100/12),0))</f>
        <v/>
      </c>
      <c r="K225" s="40">
        <f>IF(ISNUMBER(G225),LN(1+G225)-J225,"")</f>
        <v/>
      </c>
      <c r="L225" s="40">
        <f>IF(ISNUMBER(H225),LN(1+H225)-J225,"")</f>
        <v/>
      </c>
      <c r="M225" s="38">
        <f>IF(ISNUMBER(K225),1,0)</f>
        <v/>
      </c>
      <c r="N225" s="40">
        <f>IF(M225=1,K225,0)</f>
        <v/>
      </c>
      <c r="O225" s="38">
        <f>IF(ISNUMBER(L225),1,0)</f>
        <v/>
      </c>
      <c r="P225" s="40">
        <f>IF(O225=1,L225,0)</f>
        <v/>
      </c>
      <c r="Q225" s="38">
        <f>M225*O225</f>
        <v/>
      </c>
      <c r="R225" s="38">
        <f>SUM(Q189:Q224)</f>
        <v/>
      </c>
      <c r="S225" s="41">
        <f>IF(OR($A225="",R225&lt;MIN_OBS_ROLL),"",(SUMPRODUCT(Q189:Q224,N189:N224,P189:P224)/R225-SUMPRODUCT(Q189:Q224,N189:N224)/R225*SUMPRODUCT(Q189:Q224,P189:P224)/R225)*R225/(R225-1))</f>
        <v/>
      </c>
      <c r="T225" s="38">
        <f>SUM(O189:O224)</f>
        <v/>
      </c>
      <c r="U225" s="41">
        <f>IF(OR($A225="",T225&lt;MIN_OBS_ROLL),"",SUMPRODUCT(O189:O224,(P189:P224-SUMPRODUCT(O189:O224,P189:P224)/T225)^2)/(T225-1))</f>
        <v/>
      </c>
      <c r="V225" s="40">
        <f>IF(OR(S225="",U225=""),"",S225/U225)</f>
        <v/>
      </c>
      <c r="W225" s="40">
        <f>IF(AND(ISNUMBER(K225),ISNUMBER(L225),ISNUMBER(V225)),K225-V225*L225,"")</f>
        <v/>
      </c>
      <c r="X225" s="40">
        <f>IF(OR($A225="",NOT(ISNUMBER(Datos!H225)),NOT(ISNUMBER(Datos!H224))),"",LN(Datos!H225)-LN(Datos!H224))</f>
        <v/>
      </c>
      <c r="Y225" s="38">
        <f>IF(ISNUMBER(W225),1,0)</f>
        <v/>
      </c>
      <c r="Z225" s="40">
        <f>IF(Y225=1,W225,0)</f>
        <v/>
      </c>
      <c r="AA225" s="38">
        <f>IF(ISNUMBER(X225),1,0)</f>
        <v/>
      </c>
      <c r="AB225" s="40">
        <f>IF(AA225=1,X225,0)</f>
        <v/>
      </c>
      <c r="AC225" s="38">
        <f>Y225*AA225</f>
        <v/>
      </c>
      <c r="AD225" s="38">
        <f>SUM(AC189:AC224)</f>
        <v/>
      </c>
      <c r="AE225" s="41">
        <f>IF(OR($A225="",AD225&lt;MIN_OBS_ROLL),"",(SUMPRODUCT(AC189:AC224,Z189:Z224,AB189:AB224)/AD225-SUMPRODUCT(AC189:AC224,Z189:Z224)/AD225*SUMPRODUCT(AC189:AC224,AB189:AB224)/AD225)*AD225/(AD225-1))</f>
        <v/>
      </c>
      <c r="AF225" s="38">
        <f>SUM(AA189:AA224)</f>
        <v/>
      </c>
      <c r="AG225" s="41">
        <f>IF(OR($A225="",AF225&lt;MIN_OBS_ROLL),"",SUMPRODUCT(AA189:AA224,(AB189:AB224-SUMPRODUCT(AA189:AA224,AB189:AB224)/AF225)^2)/(AF225-1))</f>
        <v/>
      </c>
      <c r="AH225" s="38">
        <f>SUM(Y189:Y224)</f>
        <v/>
      </c>
      <c r="AI225" s="40">
        <f>IF(OR($A225="",AH225&lt;MIN_OBS_ROLL),"",SUMPRODUCT(Y189:Y224,Z189:Z224)/AH225)</f>
        <v/>
      </c>
      <c r="AJ225" s="40">
        <f>IF(OR($A225="",AF225&lt;MIN_OBS_ROLL),"",SUMPRODUCT(AA189:AA224,AB189:AB224)/AF225)</f>
        <v/>
      </c>
      <c r="AK225" s="40">
        <f>IF(OR(AE225="",AG225=""),"",AE225/AG225)</f>
        <v/>
      </c>
      <c r="AL225" s="40">
        <f>IF(OR(AI225="",AK225="",AJ225=""),"",AI225-AK225*AJ225)</f>
        <v/>
      </c>
      <c r="AM225" s="40">
        <f>IF(AND(ISNUMBER(W225),ISNUMBER(X225),ISNUMBER(AK225),ISNUMBER(AL225)),W225-(AL225+AK225*X225),"")</f>
        <v/>
      </c>
      <c r="AN225" s="38">
        <f>IF(ISNUMBER(AM225),1,0)</f>
        <v/>
      </c>
      <c r="AO225" s="40">
        <f>IF(AN225=1,AM225,0)</f>
        <v/>
      </c>
      <c r="AP225" s="40">
        <f>IF(SUM(AN223:AN225)=3,SUM(AO223:AO225),"")</f>
        <v/>
      </c>
      <c r="AQ225" s="38">
        <f>IF(ISNUMBER(AP225),1,0)</f>
        <v/>
      </c>
      <c r="AR225" s="40">
        <f>IF(AQ225=1,AP225,0)</f>
        <v/>
      </c>
      <c r="AS225" s="38">
        <f>SUM(AQ$5:AQ225)</f>
        <v/>
      </c>
      <c r="AT225" s="40">
        <f>IF(AS225&gt;=MIN_OBS_Z,SUMPRODUCT(AQ$5:AQ225,AR$5:AR225)/AS225,"")</f>
        <v/>
      </c>
      <c r="AU225" s="40">
        <f>IF(AS225&gt;=MIN_OBS_Z,SQRT(SUMPRODUCT(AQ$5:AQ225,(AR$5:AR225-AT225)^2)/(AS225-1)),"")</f>
        <v/>
      </c>
      <c r="AV225" s="40">
        <f>IF(AND(AQ225=1,ISNUMBER(AT225)),MAX(-Z_CLIP,MIN(Z_CLIP,(AR225-AT225)/AU225)),"")</f>
        <v/>
      </c>
      <c r="AW225" s="40">
        <f>IF(ISNUMBER(AV225),-AV225,"")</f>
        <v/>
      </c>
      <c r="AX225" s="40">
        <f>IF(ISNUMBER(AW225),1+AMPLITUD*TANH(AW225),"")</f>
        <v/>
      </c>
      <c r="AY225" s="40">
        <f>IF($A225="","",IF(COUNT(AX223:AX225)&gt;0,AVERAGE(AX223:AX225),""))</f>
        <v/>
      </c>
      <c r="AZ225" s="40">
        <f>IF(ISNUMBER(AY225),AY225-1,"")</f>
        <v/>
      </c>
      <c r="BA225" s="40">
        <f>IF(AND(ISNUMBER(AZ224),ISNUMBER(W225)),AZ224*W_BANCOS*W225,"")</f>
        <v/>
      </c>
      <c r="BB225" s="40">
        <f>IF(AND(ISNUMBER(AZ224),ISNUMBER(AZ223)),ABS(AZ224-AZ223)*W_BANCOS*COSTO,0)</f>
        <v/>
      </c>
      <c r="BC225" s="40">
        <f>IF(ISNUMBER(BA225),BA225-BB225,"")</f>
        <v/>
      </c>
      <c r="BD225" s="42">
        <f>IF(ISNUMBER(BC225),IF(A225&lt;=FECHA_ERA,"A","B"),"")</f>
        <v/>
      </c>
      <c r="BE225" s="40">
        <f>IF(BD225="A",BC225,"")</f>
        <v/>
      </c>
      <c r="BF225" s="40">
        <f>IF(BD225="B",BC225,"")</f>
        <v/>
      </c>
      <c r="BG225" s="38">
        <f>IF(AND(ISNUMBER(BC225),ISNUMBER(A225)),IF(A225&gt;=INICIO_VIVO,1,0),0)</f>
        <v/>
      </c>
      <c r="BH225" s="40">
        <f>IF(BG225=1,BC225,"")</f>
        <v/>
      </c>
      <c r="BI225" s="38">
        <f>IF(ISNUMBER(AY225),ROW(),0)</f>
        <v/>
      </c>
      <c r="BJ225" s="43">
        <f>IF(ISNUMBER(BC225),SUM(BC$5:BC225)*10000,NA())</f>
        <v/>
      </c>
      <c r="BK225" s="43">
        <f>IF(BG225=1,SUM(BH$5:BH225)*10000,NA())</f>
        <v/>
      </c>
      <c r="BL225" s="44">
        <f>IF(ISNUMBER(AY225),AY225,NA())</f>
        <v/>
      </c>
    </row>
    <row r="226">
      <c r="A226" s="36">
        <f>IF(Datos!A226="","",Datos!A226)</f>
        <v/>
      </c>
      <c r="B226" s="37">
        <f>IF(OR($A226="",NOT(ISNUMBER(Datos!B226)),NOT(ISNUMBER(Datos!B225))),"",Datos!B226/Datos!B225-1)</f>
        <v/>
      </c>
      <c r="C226" s="37">
        <f>IF(OR($A226="",NOT(ISNUMBER(Datos!C226)),NOT(ISNUMBER(Datos!C225))),"",Datos!C226/Datos!C225-1)</f>
        <v/>
      </c>
      <c r="D226" s="37">
        <f>IF(OR($A226="",NOT(ISNUMBER(Datos!D226)),NOT(ISNUMBER(Datos!D225))),"",Datos!D226/Datos!D225-1)</f>
        <v/>
      </c>
      <c r="E226" s="37">
        <f>IF(OR($A226="",NOT(ISNUMBER(Datos!E226)),NOT(ISNUMBER(Datos!E225))),"",Datos!E226/Datos!E225-1)</f>
        <v/>
      </c>
      <c r="F226" s="38">
        <f>IF($A226="","",COUNT(B226:E226))</f>
        <v/>
      </c>
      <c r="G226" s="37">
        <f>IF($A226="","",IF(F226&gt;=MIN_BANCOS,AVERAGE(B226:E226),""))</f>
        <v/>
      </c>
      <c r="H226" s="37">
        <f>IF(OR($A226="",NOT(ISNUMBER(Datos!F226)),NOT(ISNUMBER(Datos!F225))),"",Datos!F226/Datos!F225-1)</f>
        <v/>
      </c>
      <c r="I226" s="39">
        <f>IF($A226="","",IF(ISNUMBER(Datos!G226),Datos!G226,I225))</f>
        <v/>
      </c>
      <c r="J226" s="40">
        <f>IF($A226="","",IF(ISNUMBER(I225),LN(1+I225/100/12),0))</f>
        <v/>
      </c>
      <c r="K226" s="40">
        <f>IF(ISNUMBER(G226),LN(1+G226)-J226,"")</f>
        <v/>
      </c>
      <c r="L226" s="40">
        <f>IF(ISNUMBER(H226),LN(1+H226)-J226,"")</f>
        <v/>
      </c>
      <c r="M226" s="38">
        <f>IF(ISNUMBER(K226),1,0)</f>
        <v/>
      </c>
      <c r="N226" s="40">
        <f>IF(M226=1,K226,0)</f>
        <v/>
      </c>
      <c r="O226" s="38">
        <f>IF(ISNUMBER(L226),1,0)</f>
        <v/>
      </c>
      <c r="P226" s="40">
        <f>IF(O226=1,L226,0)</f>
        <v/>
      </c>
      <c r="Q226" s="38">
        <f>M226*O226</f>
        <v/>
      </c>
      <c r="R226" s="38">
        <f>SUM(Q190:Q225)</f>
        <v/>
      </c>
      <c r="S226" s="41">
        <f>IF(OR($A226="",R226&lt;MIN_OBS_ROLL),"",(SUMPRODUCT(Q190:Q225,N190:N225,P190:P225)/R226-SUMPRODUCT(Q190:Q225,N190:N225)/R226*SUMPRODUCT(Q190:Q225,P190:P225)/R226)*R226/(R226-1))</f>
        <v/>
      </c>
      <c r="T226" s="38">
        <f>SUM(O190:O225)</f>
        <v/>
      </c>
      <c r="U226" s="41">
        <f>IF(OR($A226="",T226&lt;MIN_OBS_ROLL),"",SUMPRODUCT(O190:O225,(P190:P225-SUMPRODUCT(O190:O225,P190:P225)/T226)^2)/(T226-1))</f>
        <v/>
      </c>
      <c r="V226" s="40">
        <f>IF(OR(S226="",U226=""),"",S226/U226)</f>
        <v/>
      </c>
      <c r="W226" s="40">
        <f>IF(AND(ISNUMBER(K226),ISNUMBER(L226),ISNUMBER(V226)),K226-V226*L226,"")</f>
        <v/>
      </c>
      <c r="X226" s="40">
        <f>IF(OR($A226="",NOT(ISNUMBER(Datos!H226)),NOT(ISNUMBER(Datos!H225))),"",LN(Datos!H226)-LN(Datos!H225))</f>
        <v/>
      </c>
      <c r="Y226" s="38">
        <f>IF(ISNUMBER(W226),1,0)</f>
        <v/>
      </c>
      <c r="Z226" s="40">
        <f>IF(Y226=1,W226,0)</f>
        <v/>
      </c>
      <c r="AA226" s="38">
        <f>IF(ISNUMBER(X226),1,0)</f>
        <v/>
      </c>
      <c r="AB226" s="40">
        <f>IF(AA226=1,X226,0)</f>
        <v/>
      </c>
      <c r="AC226" s="38">
        <f>Y226*AA226</f>
        <v/>
      </c>
      <c r="AD226" s="38">
        <f>SUM(AC190:AC225)</f>
        <v/>
      </c>
      <c r="AE226" s="41">
        <f>IF(OR($A226="",AD226&lt;MIN_OBS_ROLL),"",(SUMPRODUCT(AC190:AC225,Z190:Z225,AB190:AB225)/AD226-SUMPRODUCT(AC190:AC225,Z190:Z225)/AD226*SUMPRODUCT(AC190:AC225,AB190:AB225)/AD226)*AD226/(AD226-1))</f>
        <v/>
      </c>
      <c r="AF226" s="38">
        <f>SUM(AA190:AA225)</f>
        <v/>
      </c>
      <c r="AG226" s="41">
        <f>IF(OR($A226="",AF226&lt;MIN_OBS_ROLL),"",SUMPRODUCT(AA190:AA225,(AB190:AB225-SUMPRODUCT(AA190:AA225,AB190:AB225)/AF226)^2)/(AF226-1))</f>
        <v/>
      </c>
      <c r="AH226" s="38">
        <f>SUM(Y190:Y225)</f>
        <v/>
      </c>
      <c r="AI226" s="40">
        <f>IF(OR($A226="",AH226&lt;MIN_OBS_ROLL),"",SUMPRODUCT(Y190:Y225,Z190:Z225)/AH226)</f>
        <v/>
      </c>
      <c r="AJ226" s="40">
        <f>IF(OR($A226="",AF226&lt;MIN_OBS_ROLL),"",SUMPRODUCT(AA190:AA225,AB190:AB225)/AF226)</f>
        <v/>
      </c>
      <c r="AK226" s="40">
        <f>IF(OR(AE226="",AG226=""),"",AE226/AG226)</f>
        <v/>
      </c>
      <c r="AL226" s="40">
        <f>IF(OR(AI226="",AK226="",AJ226=""),"",AI226-AK226*AJ226)</f>
        <v/>
      </c>
      <c r="AM226" s="40">
        <f>IF(AND(ISNUMBER(W226),ISNUMBER(X226),ISNUMBER(AK226),ISNUMBER(AL226)),W226-(AL226+AK226*X226),"")</f>
        <v/>
      </c>
      <c r="AN226" s="38">
        <f>IF(ISNUMBER(AM226),1,0)</f>
        <v/>
      </c>
      <c r="AO226" s="40">
        <f>IF(AN226=1,AM226,0)</f>
        <v/>
      </c>
      <c r="AP226" s="40">
        <f>IF(SUM(AN224:AN226)=3,SUM(AO224:AO226),"")</f>
        <v/>
      </c>
      <c r="AQ226" s="38">
        <f>IF(ISNUMBER(AP226),1,0)</f>
        <v/>
      </c>
      <c r="AR226" s="40">
        <f>IF(AQ226=1,AP226,0)</f>
        <v/>
      </c>
      <c r="AS226" s="38">
        <f>SUM(AQ$5:AQ226)</f>
        <v/>
      </c>
      <c r="AT226" s="40">
        <f>IF(AS226&gt;=MIN_OBS_Z,SUMPRODUCT(AQ$5:AQ226,AR$5:AR226)/AS226,"")</f>
        <v/>
      </c>
      <c r="AU226" s="40">
        <f>IF(AS226&gt;=MIN_OBS_Z,SQRT(SUMPRODUCT(AQ$5:AQ226,(AR$5:AR226-AT226)^2)/(AS226-1)),"")</f>
        <v/>
      </c>
      <c r="AV226" s="40">
        <f>IF(AND(AQ226=1,ISNUMBER(AT226)),MAX(-Z_CLIP,MIN(Z_CLIP,(AR226-AT226)/AU226)),"")</f>
        <v/>
      </c>
      <c r="AW226" s="40">
        <f>IF(ISNUMBER(AV226),-AV226,"")</f>
        <v/>
      </c>
      <c r="AX226" s="40">
        <f>IF(ISNUMBER(AW226),1+AMPLITUD*TANH(AW226),"")</f>
        <v/>
      </c>
      <c r="AY226" s="40">
        <f>IF($A226="","",IF(COUNT(AX224:AX226)&gt;0,AVERAGE(AX224:AX226),""))</f>
        <v/>
      </c>
      <c r="AZ226" s="40">
        <f>IF(ISNUMBER(AY226),AY226-1,"")</f>
        <v/>
      </c>
      <c r="BA226" s="40">
        <f>IF(AND(ISNUMBER(AZ225),ISNUMBER(W226)),AZ225*W_BANCOS*W226,"")</f>
        <v/>
      </c>
      <c r="BB226" s="40">
        <f>IF(AND(ISNUMBER(AZ225),ISNUMBER(AZ224)),ABS(AZ225-AZ224)*W_BANCOS*COSTO,0)</f>
        <v/>
      </c>
      <c r="BC226" s="40">
        <f>IF(ISNUMBER(BA226),BA226-BB226,"")</f>
        <v/>
      </c>
      <c r="BD226" s="42">
        <f>IF(ISNUMBER(BC226),IF(A226&lt;=FECHA_ERA,"A","B"),"")</f>
        <v/>
      </c>
      <c r="BE226" s="40">
        <f>IF(BD226="A",BC226,"")</f>
        <v/>
      </c>
      <c r="BF226" s="40">
        <f>IF(BD226="B",BC226,"")</f>
        <v/>
      </c>
      <c r="BG226" s="38">
        <f>IF(AND(ISNUMBER(BC226),ISNUMBER(A226)),IF(A226&gt;=INICIO_VIVO,1,0),0)</f>
        <v/>
      </c>
      <c r="BH226" s="40">
        <f>IF(BG226=1,BC226,"")</f>
        <v/>
      </c>
      <c r="BI226" s="38">
        <f>IF(ISNUMBER(AY226),ROW(),0)</f>
        <v/>
      </c>
      <c r="BJ226" s="43">
        <f>IF(ISNUMBER(BC226),SUM(BC$5:BC226)*10000,NA())</f>
        <v/>
      </c>
      <c r="BK226" s="43">
        <f>IF(BG226=1,SUM(BH$5:BH226)*10000,NA())</f>
        <v/>
      </c>
      <c r="BL226" s="44">
        <f>IF(ISNUMBER(AY226),AY226,NA())</f>
        <v/>
      </c>
    </row>
    <row r="227">
      <c r="A227" s="36">
        <f>IF(Datos!A227="","",Datos!A227)</f>
        <v/>
      </c>
      <c r="B227" s="37">
        <f>IF(OR($A227="",NOT(ISNUMBER(Datos!B227)),NOT(ISNUMBER(Datos!B226))),"",Datos!B227/Datos!B226-1)</f>
        <v/>
      </c>
      <c r="C227" s="37">
        <f>IF(OR($A227="",NOT(ISNUMBER(Datos!C227)),NOT(ISNUMBER(Datos!C226))),"",Datos!C227/Datos!C226-1)</f>
        <v/>
      </c>
      <c r="D227" s="37">
        <f>IF(OR($A227="",NOT(ISNUMBER(Datos!D227)),NOT(ISNUMBER(Datos!D226))),"",Datos!D227/Datos!D226-1)</f>
        <v/>
      </c>
      <c r="E227" s="37">
        <f>IF(OR($A227="",NOT(ISNUMBER(Datos!E227)),NOT(ISNUMBER(Datos!E226))),"",Datos!E227/Datos!E226-1)</f>
        <v/>
      </c>
      <c r="F227" s="38">
        <f>IF($A227="","",COUNT(B227:E227))</f>
        <v/>
      </c>
      <c r="G227" s="37">
        <f>IF($A227="","",IF(F227&gt;=MIN_BANCOS,AVERAGE(B227:E227),""))</f>
        <v/>
      </c>
      <c r="H227" s="37">
        <f>IF(OR($A227="",NOT(ISNUMBER(Datos!F227)),NOT(ISNUMBER(Datos!F226))),"",Datos!F227/Datos!F226-1)</f>
        <v/>
      </c>
      <c r="I227" s="39">
        <f>IF($A227="","",IF(ISNUMBER(Datos!G227),Datos!G227,I226))</f>
        <v/>
      </c>
      <c r="J227" s="40">
        <f>IF($A227="","",IF(ISNUMBER(I226),LN(1+I226/100/12),0))</f>
        <v/>
      </c>
      <c r="K227" s="40">
        <f>IF(ISNUMBER(G227),LN(1+G227)-J227,"")</f>
        <v/>
      </c>
      <c r="L227" s="40">
        <f>IF(ISNUMBER(H227),LN(1+H227)-J227,"")</f>
        <v/>
      </c>
      <c r="M227" s="38">
        <f>IF(ISNUMBER(K227),1,0)</f>
        <v/>
      </c>
      <c r="N227" s="40">
        <f>IF(M227=1,K227,0)</f>
        <v/>
      </c>
      <c r="O227" s="38">
        <f>IF(ISNUMBER(L227),1,0)</f>
        <v/>
      </c>
      <c r="P227" s="40">
        <f>IF(O227=1,L227,0)</f>
        <v/>
      </c>
      <c r="Q227" s="38">
        <f>M227*O227</f>
        <v/>
      </c>
      <c r="R227" s="38">
        <f>SUM(Q191:Q226)</f>
        <v/>
      </c>
      <c r="S227" s="41">
        <f>IF(OR($A227="",R227&lt;MIN_OBS_ROLL),"",(SUMPRODUCT(Q191:Q226,N191:N226,P191:P226)/R227-SUMPRODUCT(Q191:Q226,N191:N226)/R227*SUMPRODUCT(Q191:Q226,P191:P226)/R227)*R227/(R227-1))</f>
        <v/>
      </c>
      <c r="T227" s="38">
        <f>SUM(O191:O226)</f>
        <v/>
      </c>
      <c r="U227" s="41">
        <f>IF(OR($A227="",T227&lt;MIN_OBS_ROLL),"",SUMPRODUCT(O191:O226,(P191:P226-SUMPRODUCT(O191:O226,P191:P226)/T227)^2)/(T227-1))</f>
        <v/>
      </c>
      <c r="V227" s="40">
        <f>IF(OR(S227="",U227=""),"",S227/U227)</f>
        <v/>
      </c>
      <c r="W227" s="40">
        <f>IF(AND(ISNUMBER(K227),ISNUMBER(L227),ISNUMBER(V227)),K227-V227*L227,"")</f>
        <v/>
      </c>
      <c r="X227" s="40">
        <f>IF(OR($A227="",NOT(ISNUMBER(Datos!H227)),NOT(ISNUMBER(Datos!H226))),"",LN(Datos!H227)-LN(Datos!H226))</f>
        <v/>
      </c>
      <c r="Y227" s="38">
        <f>IF(ISNUMBER(W227),1,0)</f>
        <v/>
      </c>
      <c r="Z227" s="40">
        <f>IF(Y227=1,W227,0)</f>
        <v/>
      </c>
      <c r="AA227" s="38">
        <f>IF(ISNUMBER(X227),1,0)</f>
        <v/>
      </c>
      <c r="AB227" s="40">
        <f>IF(AA227=1,X227,0)</f>
        <v/>
      </c>
      <c r="AC227" s="38">
        <f>Y227*AA227</f>
        <v/>
      </c>
      <c r="AD227" s="38">
        <f>SUM(AC191:AC226)</f>
        <v/>
      </c>
      <c r="AE227" s="41">
        <f>IF(OR($A227="",AD227&lt;MIN_OBS_ROLL),"",(SUMPRODUCT(AC191:AC226,Z191:Z226,AB191:AB226)/AD227-SUMPRODUCT(AC191:AC226,Z191:Z226)/AD227*SUMPRODUCT(AC191:AC226,AB191:AB226)/AD227)*AD227/(AD227-1))</f>
        <v/>
      </c>
      <c r="AF227" s="38">
        <f>SUM(AA191:AA226)</f>
        <v/>
      </c>
      <c r="AG227" s="41">
        <f>IF(OR($A227="",AF227&lt;MIN_OBS_ROLL),"",SUMPRODUCT(AA191:AA226,(AB191:AB226-SUMPRODUCT(AA191:AA226,AB191:AB226)/AF227)^2)/(AF227-1))</f>
        <v/>
      </c>
      <c r="AH227" s="38">
        <f>SUM(Y191:Y226)</f>
        <v/>
      </c>
      <c r="AI227" s="40">
        <f>IF(OR($A227="",AH227&lt;MIN_OBS_ROLL),"",SUMPRODUCT(Y191:Y226,Z191:Z226)/AH227)</f>
        <v/>
      </c>
      <c r="AJ227" s="40">
        <f>IF(OR($A227="",AF227&lt;MIN_OBS_ROLL),"",SUMPRODUCT(AA191:AA226,AB191:AB226)/AF227)</f>
        <v/>
      </c>
      <c r="AK227" s="40">
        <f>IF(OR(AE227="",AG227=""),"",AE227/AG227)</f>
        <v/>
      </c>
      <c r="AL227" s="40">
        <f>IF(OR(AI227="",AK227="",AJ227=""),"",AI227-AK227*AJ227)</f>
        <v/>
      </c>
      <c r="AM227" s="40">
        <f>IF(AND(ISNUMBER(W227),ISNUMBER(X227),ISNUMBER(AK227),ISNUMBER(AL227)),W227-(AL227+AK227*X227),"")</f>
        <v/>
      </c>
      <c r="AN227" s="38">
        <f>IF(ISNUMBER(AM227),1,0)</f>
        <v/>
      </c>
      <c r="AO227" s="40">
        <f>IF(AN227=1,AM227,0)</f>
        <v/>
      </c>
      <c r="AP227" s="40">
        <f>IF(SUM(AN225:AN227)=3,SUM(AO225:AO227),"")</f>
        <v/>
      </c>
      <c r="AQ227" s="38">
        <f>IF(ISNUMBER(AP227),1,0)</f>
        <v/>
      </c>
      <c r="AR227" s="40">
        <f>IF(AQ227=1,AP227,0)</f>
        <v/>
      </c>
      <c r="AS227" s="38">
        <f>SUM(AQ$5:AQ227)</f>
        <v/>
      </c>
      <c r="AT227" s="40">
        <f>IF(AS227&gt;=MIN_OBS_Z,SUMPRODUCT(AQ$5:AQ227,AR$5:AR227)/AS227,"")</f>
        <v/>
      </c>
      <c r="AU227" s="40">
        <f>IF(AS227&gt;=MIN_OBS_Z,SQRT(SUMPRODUCT(AQ$5:AQ227,(AR$5:AR227-AT227)^2)/(AS227-1)),"")</f>
        <v/>
      </c>
      <c r="AV227" s="40">
        <f>IF(AND(AQ227=1,ISNUMBER(AT227)),MAX(-Z_CLIP,MIN(Z_CLIP,(AR227-AT227)/AU227)),"")</f>
        <v/>
      </c>
      <c r="AW227" s="40">
        <f>IF(ISNUMBER(AV227),-AV227,"")</f>
        <v/>
      </c>
      <c r="AX227" s="40">
        <f>IF(ISNUMBER(AW227),1+AMPLITUD*TANH(AW227),"")</f>
        <v/>
      </c>
      <c r="AY227" s="40">
        <f>IF($A227="","",IF(COUNT(AX225:AX227)&gt;0,AVERAGE(AX225:AX227),""))</f>
        <v/>
      </c>
      <c r="AZ227" s="40">
        <f>IF(ISNUMBER(AY227),AY227-1,"")</f>
        <v/>
      </c>
      <c r="BA227" s="40">
        <f>IF(AND(ISNUMBER(AZ226),ISNUMBER(W227)),AZ226*W_BANCOS*W227,"")</f>
        <v/>
      </c>
      <c r="BB227" s="40">
        <f>IF(AND(ISNUMBER(AZ226),ISNUMBER(AZ225)),ABS(AZ226-AZ225)*W_BANCOS*COSTO,0)</f>
        <v/>
      </c>
      <c r="BC227" s="40">
        <f>IF(ISNUMBER(BA227),BA227-BB227,"")</f>
        <v/>
      </c>
      <c r="BD227" s="42">
        <f>IF(ISNUMBER(BC227),IF(A227&lt;=FECHA_ERA,"A","B"),"")</f>
        <v/>
      </c>
      <c r="BE227" s="40">
        <f>IF(BD227="A",BC227,"")</f>
        <v/>
      </c>
      <c r="BF227" s="40">
        <f>IF(BD227="B",BC227,"")</f>
        <v/>
      </c>
      <c r="BG227" s="38">
        <f>IF(AND(ISNUMBER(BC227),ISNUMBER(A227)),IF(A227&gt;=INICIO_VIVO,1,0),0)</f>
        <v/>
      </c>
      <c r="BH227" s="40">
        <f>IF(BG227=1,BC227,"")</f>
        <v/>
      </c>
      <c r="BI227" s="38">
        <f>IF(ISNUMBER(AY227),ROW(),0)</f>
        <v/>
      </c>
      <c r="BJ227" s="43">
        <f>IF(ISNUMBER(BC227),SUM(BC$5:BC227)*10000,NA())</f>
        <v/>
      </c>
      <c r="BK227" s="43">
        <f>IF(BG227=1,SUM(BH$5:BH227)*10000,NA())</f>
        <v/>
      </c>
      <c r="BL227" s="44">
        <f>IF(ISNUMBER(AY227),AY227,NA())</f>
        <v/>
      </c>
    </row>
    <row r="228">
      <c r="A228" s="36">
        <f>IF(Datos!A228="","",Datos!A228)</f>
        <v/>
      </c>
      <c r="B228" s="37">
        <f>IF(OR($A228="",NOT(ISNUMBER(Datos!B228)),NOT(ISNUMBER(Datos!B227))),"",Datos!B228/Datos!B227-1)</f>
        <v/>
      </c>
      <c r="C228" s="37">
        <f>IF(OR($A228="",NOT(ISNUMBER(Datos!C228)),NOT(ISNUMBER(Datos!C227))),"",Datos!C228/Datos!C227-1)</f>
        <v/>
      </c>
      <c r="D228" s="37">
        <f>IF(OR($A228="",NOT(ISNUMBER(Datos!D228)),NOT(ISNUMBER(Datos!D227))),"",Datos!D228/Datos!D227-1)</f>
        <v/>
      </c>
      <c r="E228" s="37">
        <f>IF(OR($A228="",NOT(ISNUMBER(Datos!E228)),NOT(ISNUMBER(Datos!E227))),"",Datos!E228/Datos!E227-1)</f>
        <v/>
      </c>
      <c r="F228" s="38">
        <f>IF($A228="","",COUNT(B228:E228))</f>
        <v/>
      </c>
      <c r="G228" s="37">
        <f>IF($A228="","",IF(F228&gt;=MIN_BANCOS,AVERAGE(B228:E228),""))</f>
        <v/>
      </c>
      <c r="H228" s="37">
        <f>IF(OR($A228="",NOT(ISNUMBER(Datos!F228)),NOT(ISNUMBER(Datos!F227))),"",Datos!F228/Datos!F227-1)</f>
        <v/>
      </c>
      <c r="I228" s="39">
        <f>IF($A228="","",IF(ISNUMBER(Datos!G228),Datos!G228,I227))</f>
        <v/>
      </c>
      <c r="J228" s="40">
        <f>IF($A228="","",IF(ISNUMBER(I227),LN(1+I227/100/12),0))</f>
        <v/>
      </c>
      <c r="K228" s="40">
        <f>IF(ISNUMBER(G228),LN(1+G228)-J228,"")</f>
        <v/>
      </c>
      <c r="L228" s="40">
        <f>IF(ISNUMBER(H228),LN(1+H228)-J228,"")</f>
        <v/>
      </c>
      <c r="M228" s="38">
        <f>IF(ISNUMBER(K228),1,0)</f>
        <v/>
      </c>
      <c r="N228" s="40">
        <f>IF(M228=1,K228,0)</f>
        <v/>
      </c>
      <c r="O228" s="38">
        <f>IF(ISNUMBER(L228),1,0)</f>
        <v/>
      </c>
      <c r="P228" s="40">
        <f>IF(O228=1,L228,0)</f>
        <v/>
      </c>
      <c r="Q228" s="38">
        <f>M228*O228</f>
        <v/>
      </c>
      <c r="R228" s="38">
        <f>SUM(Q192:Q227)</f>
        <v/>
      </c>
      <c r="S228" s="41">
        <f>IF(OR($A228="",R228&lt;MIN_OBS_ROLL),"",(SUMPRODUCT(Q192:Q227,N192:N227,P192:P227)/R228-SUMPRODUCT(Q192:Q227,N192:N227)/R228*SUMPRODUCT(Q192:Q227,P192:P227)/R228)*R228/(R228-1))</f>
        <v/>
      </c>
      <c r="T228" s="38">
        <f>SUM(O192:O227)</f>
        <v/>
      </c>
      <c r="U228" s="41">
        <f>IF(OR($A228="",T228&lt;MIN_OBS_ROLL),"",SUMPRODUCT(O192:O227,(P192:P227-SUMPRODUCT(O192:O227,P192:P227)/T228)^2)/(T228-1))</f>
        <v/>
      </c>
      <c r="V228" s="40">
        <f>IF(OR(S228="",U228=""),"",S228/U228)</f>
        <v/>
      </c>
      <c r="W228" s="40">
        <f>IF(AND(ISNUMBER(K228),ISNUMBER(L228),ISNUMBER(V228)),K228-V228*L228,"")</f>
        <v/>
      </c>
      <c r="X228" s="40">
        <f>IF(OR($A228="",NOT(ISNUMBER(Datos!H228)),NOT(ISNUMBER(Datos!H227))),"",LN(Datos!H228)-LN(Datos!H227))</f>
        <v/>
      </c>
      <c r="Y228" s="38">
        <f>IF(ISNUMBER(W228),1,0)</f>
        <v/>
      </c>
      <c r="Z228" s="40">
        <f>IF(Y228=1,W228,0)</f>
        <v/>
      </c>
      <c r="AA228" s="38">
        <f>IF(ISNUMBER(X228),1,0)</f>
        <v/>
      </c>
      <c r="AB228" s="40">
        <f>IF(AA228=1,X228,0)</f>
        <v/>
      </c>
      <c r="AC228" s="38">
        <f>Y228*AA228</f>
        <v/>
      </c>
      <c r="AD228" s="38">
        <f>SUM(AC192:AC227)</f>
        <v/>
      </c>
      <c r="AE228" s="41">
        <f>IF(OR($A228="",AD228&lt;MIN_OBS_ROLL),"",(SUMPRODUCT(AC192:AC227,Z192:Z227,AB192:AB227)/AD228-SUMPRODUCT(AC192:AC227,Z192:Z227)/AD228*SUMPRODUCT(AC192:AC227,AB192:AB227)/AD228)*AD228/(AD228-1))</f>
        <v/>
      </c>
      <c r="AF228" s="38">
        <f>SUM(AA192:AA227)</f>
        <v/>
      </c>
      <c r="AG228" s="41">
        <f>IF(OR($A228="",AF228&lt;MIN_OBS_ROLL),"",SUMPRODUCT(AA192:AA227,(AB192:AB227-SUMPRODUCT(AA192:AA227,AB192:AB227)/AF228)^2)/(AF228-1))</f>
        <v/>
      </c>
      <c r="AH228" s="38">
        <f>SUM(Y192:Y227)</f>
        <v/>
      </c>
      <c r="AI228" s="40">
        <f>IF(OR($A228="",AH228&lt;MIN_OBS_ROLL),"",SUMPRODUCT(Y192:Y227,Z192:Z227)/AH228)</f>
        <v/>
      </c>
      <c r="AJ228" s="40">
        <f>IF(OR($A228="",AF228&lt;MIN_OBS_ROLL),"",SUMPRODUCT(AA192:AA227,AB192:AB227)/AF228)</f>
        <v/>
      </c>
      <c r="AK228" s="40">
        <f>IF(OR(AE228="",AG228=""),"",AE228/AG228)</f>
        <v/>
      </c>
      <c r="AL228" s="40">
        <f>IF(OR(AI228="",AK228="",AJ228=""),"",AI228-AK228*AJ228)</f>
        <v/>
      </c>
      <c r="AM228" s="40">
        <f>IF(AND(ISNUMBER(W228),ISNUMBER(X228),ISNUMBER(AK228),ISNUMBER(AL228)),W228-(AL228+AK228*X228),"")</f>
        <v/>
      </c>
      <c r="AN228" s="38">
        <f>IF(ISNUMBER(AM228),1,0)</f>
        <v/>
      </c>
      <c r="AO228" s="40">
        <f>IF(AN228=1,AM228,0)</f>
        <v/>
      </c>
      <c r="AP228" s="40">
        <f>IF(SUM(AN226:AN228)=3,SUM(AO226:AO228),"")</f>
        <v/>
      </c>
      <c r="AQ228" s="38">
        <f>IF(ISNUMBER(AP228),1,0)</f>
        <v/>
      </c>
      <c r="AR228" s="40">
        <f>IF(AQ228=1,AP228,0)</f>
        <v/>
      </c>
      <c r="AS228" s="38">
        <f>SUM(AQ$5:AQ228)</f>
        <v/>
      </c>
      <c r="AT228" s="40">
        <f>IF(AS228&gt;=MIN_OBS_Z,SUMPRODUCT(AQ$5:AQ228,AR$5:AR228)/AS228,"")</f>
        <v/>
      </c>
      <c r="AU228" s="40">
        <f>IF(AS228&gt;=MIN_OBS_Z,SQRT(SUMPRODUCT(AQ$5:AQ228,(AR$5:AR228-AT228)^2)/(AS228-1)),"")</f>
        <v/>
      </c>
      <c r="AV228" s="40">
        <f>IF(AND(AQ228=1,ISNUMBER(AT228)),MAX(-Z_CLIP,MIN(Z_CLIP,(AR228-AT228)/AU228)),"")</f>
        <v/>
      </c>
      <c r="AW228" s="40">
        <f>IF(ISNUMBER(AV228),-AV228,"")</f>
        <v/>
      </c>
      <c r="AX228" s="40">
        <f>IF(ISNUMBER(AW228),1+AMPLITUD*TANH(AW228),"")</f>
        <v/>
      </c>
      <c r="AY228" s="40">
        <f>IF($A228="","",IF(COUNT(AX226:AX228)&gt;0,AVERAGE(AX226:AX228),""))</f>
        <v/>
      </c>
      <c r="AZ228" s="40">
        <f>IF(ISNUMBER(AY228),AY228-1,"")</f>
        <v/>
      </c>
      <c r="BA228" s="40">
        <f>IF(AND(ISNUMBER(AZ227),ISNUMBER(W228)),AZ227*W_BANCOS*W228,"")</f>
        <v/>
      </c>
      <c r="BB228" s="40">
        <f>IF(AND(ISNUMBER(AZ227),ISNUMBER(AZ226)),ABS(AZ227-AZ226)*W_BANCOS*COSTO,0)</f>
        <v/>
      </c>
      <c r="BC228" s="40">
        <f>IF(ISNUMBER(BA228),BA228-BB228,"")</f>
        <v/>
      </c>
      <c r="BD228" s="42">
        <f>IF(ISNUMBER(BC228),IF(A228&lt;=FECHA_ERA,"A","B"),"")</f>
        <v/>
      </c>
      <c r="BE228" s="40">
        <f>IF(BD228="A",BC228,"")</f>
        <v/>
      </c>
      <c r="BF228" s="40">
        <f>IF(BD228="B",BC228,"")</f>
        <v/>
      </c>
      <c r="BG228" s="38">
        <f>IF(AND(ISNUMBER(BC228),ISNUMBER(A228)),IF(A228&gt;=INICIO_VIVO,1,0),0)</f>
        <v/>
      </c>
      <c r="BH228" s="40">
        <f>IF(BG228=1,BC228,"")</f>
        <v/>
      </c>
      <c r="BI228" s="38">
        <f>IF(ISNUMBER(AY228),ROW(),0)</f>
        <v/>
      </c>
      <c r="BJ228" s="43">
        <f>IF(ISNUMBER(BC228),SUM(BC$5:BC228)*10000,NA())</f>
        <v/>
      </c>
      <c r="BK228" s="43">
        <f>IF(BG228=1,SUM(BH$5:BH228)*10000,NA())</f>
        <v/>
      </c>
      <c r="BL228" s="44">
        <f>IF(ISNUMBER(AY228),AY228,NA())</f>
        <v/>
      </c>
    </row>
    <row r="229">
      <c r="A229" s="36">
        <f>IF(Datos!A229="","",Datos!A229)</f>
        <v/>
      </c>
      <c r="B229" s="37">
        <f>IF(OR($A229="",NOT(ISNUMBER(Datos!B229)),NOT(ISNUMBER(Datos!B228))),"",Datos!B229/Datos!B228-1)</f>
        <v/>
      </c>
      <c r="C229" s="37">
        <f>IF(OR($A229="",NOT(ISNUMBER(Datos!C229)),NOT(ISNUMBER(Datos!C228))),"",Datos!C229/Datos!C228-1)</f>
        <v/>
      </c>
      <c r="D229" s="37">
        <f>IF(OR($A229="",NOT(ISNUMBER(Datos!D229)),NOT(ISNUMBER(Datos!D228))),"",Datos!D229/Datos!D228-1)</f>
        <v/>
      </c>
      <c r="E229" s="37">
        <f>IF(OR($A229="",NOT(ISNUMBER(Datos!E229)),NOT(ISNUMBER(Datos!E228))),"",Datos!E229/Datos!E228-1)</f>
        <v/>
      </c>
      <c r="F229" s="38">
        <f>IF($A229="","",COUNT(B229:E229))</f>
        <v/>
      </c>
      <c r="G229" s="37">
        <f>IF($A229="","",IF(F229&gt;=MIN_BANCOS,AVERAGE(B229:E229),""))</f>
        <v/>
      </c>
      <c r="H229" s="37">
        <f>IF(OR($A229="",NOT(ISNUMBER(Datos!F229)),NOT(ISNUMBER(Datos!F228))),"",Datos!F229/Datos!F228-1)</f>
        <v/>
      </c>
      <c r="I229" s="39">
        <f>IF($A229="","",IF(ISNUMBER(Datos!G229),Datos!G229,I228))</f>
        <v/>
      </c>
      <c r="J229" s="40">
        <f>IF($A229="","",IF(ISNUMBER(I228),LN(1+I228/100/12),0))</f>
        <v/>
      </c>
      <c r="K229" s="40">
        <f>IF(ISNUMBER(G229),LN(1+G229)-J229,"")</f>
        <v/>
      </c>
      <c r="L229" s="40">
        <f>IF(ISNUMBER(H229),LN(1+H229)-J229,"")</f>
        <v/>
      </c>
      <c r="M229" s="38">
        <f>IF(ISNUMBER(K229),1,0)</f>
        <v/>
      </c>
      <c r="N229" s="40">
        <f>IF(M229=1,K229,0)</f>
        <v/>
      </c>
      <c r="O229" s="38">
        <f>IF(ISNUMBER(L229),1,0)</f>
        <v/>
      </c>
      <c r="P229" s="40">
        <f>IF(O229=1,L229,0)</f>
        <v/>
      </c>
      <c r="Q229" s="38">
        <f>M229*O229</f>
        <v/>
      </c>
      <c r="R229" s="38">
        <f>SUM(Q193:Q228)</f>
        <v/>
      </c>
      <c r="S229" s="41">
        <f>IF(OR($A229="",R229&lt;MIN_OBS_ROLL),"",(SUMPRODUCT(Q193:Q228,N193:N228,P193:P228)/R229-SUMPRODUCT(Q193:Q228,N193:N228)/R229*SUMPRODUCT(Q193:Q228,P193:P228)/R229)*R229/(R229-1))</f>
        <v/>
      </c>
      <c r="T229" s="38">
        <f>SUM(O193:O228)</f>
        <v/>
      </c>
      <c r="U229" s="41">
        <f>IF(OR($A229="",T229&lt;MIN_OBS_ROLL),"",SUMPRODUCT(O193:O228,(P193:P228-SUMPRODUCT(O193:O228,P193:P228)/T229)^2)/(T229-1))</f>
        <v/>
      </c>
      <c r="V229" s="40">
        <f>IF(OR(S229="",U229=""),"",S229/U229)</f>
        <v/>
      </c>
      <c r="W229" s="40">
        <f>IF(AND(ISNUMBER(K229),ISNUMBER(L229),ISNUMBER(V229)),K229-V229*L229,"")</f>
        <v/>
      </c>
      <c r="X229" s="40">
        <f>IF(OR($A229="",NOT(ISNUMBER(Datos!H229)),NOT(ISNUMBER(Datos!H228))),"",LN(Datos!H229)-LN(Datos!H228))</f>
        <v/>
      </c>
      <c r="Y229" s="38">
        <f>IF(ISNUMBER(W229),1,0)</f>
        <v/>
      </c>
      <c r="Z229" s="40">
        <f>IF(Y229=1,W229,0)</f>
        <v/>
      </c>
      <c r="AA229" s="38">
        <f>IF(ISNUMBER(X229),1,0)</f>
        <v/>
      </c>
      <c r="AB229" s="40">
        <f>IF(AA229=1,X229,0)</f>
        <v/>
      </c>
      <c r="AC229" s="38">
        <f>Y229*AA229</f>
        <v/>
      </c>
      <c r="AD229" s="38">
        <f>SUM(AC193:AC228)</f>
        <v/>
      </c>
      <c r="AE229" s="41">
        <f>IF(OR($A229="",AD229&lt;MIN_OBS_ROLL),"",(SUMPRODUCT(AC193:AC228,Z193:Z228,AB193:AB228)/AD229-SUMPRODUCT(AC193:AC228,Z193:Z228)/AD229*SUMPRODUCT(AC193:AC228,AB193:AB228)/AD229)*AD229/(AD229-1))</f>
        <v/>
      </c>
      <c r="AF229" s="38">
        <f>SUM(AA193:AA228)</f>
        <v/>
      </c>
      <c r="AG229" s="41">
        <f>IF(OR($A229="",AF229&lt;MIN_OBS_ROLL),"",SUMPRODUCT(AA193:AA228,(AB193:AB228-SUMPRODUCT(AA193:AA228,AB193:AB228)/AF229)^2)/(AF229-1))</f>
        <v/>
      </c>
      <c r="AH229" s="38">
        <f>SUM(Y193:Y228)</f>
        <v/>
      </c>
      <c r="AI229" s="40">
        <f>IF(OR($A229="",AH229&lt;MIN_OBS_ROLL),"",SUMPRODUCT(Y193:Y228,Z193:Z228)/AH229)</f>
        <v/>
      </c>
      <c r="AJ229" s="40">
        <f>IF(OR($A229="",AF229&lt;MIN_OBS_ROLL),"",SUMPRODUCT(AA193:AA228,AB193:AB228)/AF229)</f>
        <v/>
      </c>
      <c r="AK229" s="40">
        <f>IF(OR(AE229="",AG229=""),"",AE229/AG229)</f>
        <v/>
      </c>
      <c r="AL229" s="40">
        <f>IF(OR(AI229="",AK229="",AJ229=""),"",AI229-AK229*AJ229)</f>
        <v/>
      </c>
      <c r="AM229" s="40">
        <f>IF(AND(ISNUMBER(W229),ISNUMBER(X229),ISNUMBER(AK229),ISNUMBER(AL229)),W229-(AL229+AK229*X229),"")</f>
        <v/>
      </c>
      <c r="AN229" s="38">
        <f>IF(ISNUMBER(AM229),1,0)</f>
        <v/>
      </c>
      <c r="AO229" s="40">
        <f>IF(AN229=1,AM229,0)</f>
        <v/>
      </c>
      <c r="AP229" s="40">
        <f>IF(SUM(AN227:AN229)=3,SUM(AO227:AO229),"")</f>
        <v/>
      </c>
      <c r="AQ229" s="38">
        <f>IF(ISNUMBER(AP229),1,0)</f>
        <v/>
      </c>
      <c r="AR229" s="40">
        <f>IF(AQ229=1,AP229,0)</f>
        <v/>
      </c>
      <c r="AS229" s="38">
        <f>SUM(AQ$5:AQ229)</f>
        <v/>
      </c>
      <c r="AT229" s="40">
        <f>IF(AS229&gt;=MIN_OBS_Z,SUMPRODUCT(AQ$5:AQ229,AR$5:AR229)/AS229,"")</f>
        <v/>
      </c>
      <c r="AU229" s="40">
        <f>IF(AS229&gt;=MIN_OBS_Z,SQRT(SUMPRODUCT(AQ$5:AQ229,(AR$5:AR229-AT229)^2)/(AS229-1)),"")</f>
        <v/>
      </c>
      <c r="AV229" s="40">
        <f>IF(AND(AQ229=1,ISNUMBER(AT229)),MAX(-Z_CLIP,MIN(Z_CLIP,(AR229-AT229)/AU229)),"")</f>
        <v/>
      </c>
      <c r="AW229" s="40">
        <f>IF(ISNUMBER(AV229),-AV229,"")</f>
        <v/>
      </c>
      <c r="AX229" s="40">
        <f>IF(ISNUMBER(AW229),1+AMPLITUD*TANH(AW229),"")</f>
        <v/>
      </c>
      <c r="AY229" s="40">
        <f>IF($A229="","",IF(COUNT(AX227:AX229)&gt;0,AVERAGE(AX227:AX229),""))</f>
        <v/>
      </c>
      <c r="AZ229" s="40">
        <f>IF(ISNUMBER(AY229),AY229-1,"")</f>
        <v/>
      </c>
      <c r="BA229" s="40">
        <f>IF(AND(ISNUMBER(AZ228),ISNUMBER(W229)),AZ228*W_BANCOS*W229,"")</f>
        <v/>
      </c>
      <c r="BB229" s="40">
        <f>IF(AND(ISNUMBER(AZ228),ISNUMBER(AZ227)),ABS(AZ228-AZ227)*W_BANCOS*COSTO,0)</f>
        <v/>
      </c>
      <c r="BC229" s="40">
        <f>IF(ISNUMBER(BA229),BA229-BB229,"")</f>
        <v/>
      </c>
      <c r="BD229" s="42">
        <f>IF(ISNUMBER(BC229),IF(A229&lt;=FECHA_ERA,"A","B"),"")</f>
        <v/>
      </c>
      <c r="BE229" s="40">
        <f>IF(BD229="A",BC229,"")</f>
        <v/>
      </c>
      <c r="BF229" s="40">
        <f>IF(BD229="B",BC229,"")</f>
        <v/>
      </c>
      <c r="BG229" s="38">
        <f>IF(AND(ISNUMBER(BC229),ISNUMBER(A229)),IF(A229&gt;=INICIO_VIVO,1,0),0)</f>
        <v/>
      </c>
      <c r="BH229" s="40">
        <f>IF(BG229=1,BC229,"")</f>
        <v/>
      </c>
      <c r="BI229" s="38">
        <f>IF(ISNUMBER(AY229),ROW(),0)</f>
        <v/>
      </c>
      <c r="BJ229" s="43">
        <f>IF(ISNUMBER(BC229),SUM(BC$5:BC229)*10000,NA())</f>
        <v/>
      </c>
      <c r="BK229" s="43">
        <f>IF(BG229=1,SUM(BH$5:BH229)*10000,NA())</f>
        <v/>
      </c>
      <c r="BL229" s="44">
        <f>IF(ISNUMBER(AY229),AY229,NA())</f>
        <v/>
      </c>
    </row>
    <row r="230">
      <c r="A230" s="36">
        <f>IF(Datos!A230="","",Datos!A230)</f>
        <v/>
      </c>
      <c r="B230" s="37">
        <f>IF(OR($A230="",NOT(ISNUMBER(Datos!B230)),NOT(ISNUMBER(Datos!B229))),"",Datos!B230/Datos!B229-1)</f>
        <v/>
      </c>
      <c r="C230" s="37">
        <f>IF(OR($A230="",NOT(ISNUMBER(Datos!C230)),NOT(ISNUMBER(Datos!C229))),"",Datos!C230/Datos!C229-1)</f>
        <v/>
      </c>
      <c r="D230" s="37">
        <f>IF(OR($A230="",NOT(ISNUMBER(Datos!D230)),NOT(ISNUMBER(Datos!D229))),"",Datos!D230/Datos!D229-1)</f>
        <v/>
      </c>
      <c r="E230" s="37">
        <f>IF(OR($A230="",NOT(ISNUMBER(Datos!E230)),NOT(ISNUMBER(Datos!E229))),"",Datos!E230/Datos!E229-1)</f>
        <v/>
      </c>
      <c r="F230" s="38">
        <f>IF($A230="","",COUNT(B230:E230))</f>
        <v/>
      </c>
      <c r="G230" s="37">
        <f>IF($A230="","",IF(F230&gt;=MIN_BANCOS,AVERAGE(B230:E230),""))</f>
        <v/>
      </c>
      <c r="H230" s="37">
        <f>IF(OR($A230="",NOT(ISNUMBER(Datos!F230)),NOT(ISNUMBER(Datos!F229))),"",Datos!F230/Datos!F229-1)</f>
        <v/>
      </c>
      <c r="I230" s="39">
        <f>IF($A230="","",IF(ISNUMBER(Datos!G230),Datos!G230,I229))</f>
        <v/>
      </c>
      <c r="J230" s="40">
        <f>IF($A230="","",IF(ISNUMBER(I229),LN(1+I229/100/12),0))</f>
        <v/>
      </c>
      <c r="K230" s="40">
        <f>IF(ISNUMBER(G230),LN(1+G230)-J230,"")</f>
        <v/>
      </c>
      <c r="L230" s="40">
        <f>IF(ISNUMBER(H230),LN(1+H230)-J230,"")</f>
        <v/>
      </c>
      <c r="M230" s="38">
        <f>IF(ISNUMBER(K230),1,0)</f>
        <v/>
      </c>
      <c r="N230" s="40">
        <f>IF(M230=1,K230,0)</f>
        <v/>
      </c>
      <c r="O230" s="38">
        <f>IF(ISNUMBER(L230),1,0)</f>
        <v/>
      </c>
      <c r="P230" s="40">
        <f>IF(O230=1,L230,0)</f>
        <v/>
      </c>
      <c r="Q230" s="38">
        <f>M230*O230</f>
        <v/>
      </c>
      <c r="R230" s="38">
        <f>SUM(Q194:Q229)</f>
        <v/>
      </c>
      <c r="S230" s="41">
        <f>IF(OR($A230="",R230&lt;MIN_OBS_ROLL),"",(SUMPRODUCT(Q194:Q229,N194:N229,P194:P229)/R230-SUMPRODUCT(Q194:Q229,N194:N229)/R230*SUMPRODUCT(Q194:Q229,P194:P229)/R230)*R230/(R230-1))</f>
        <v/>
      </c>
      <c r="T230" s="38">
        <f>SUM(O194:O229)</f>
        <v/>
      </c>
      <c r="U230" s="41">
        <f>IF(OR($A230="",T230&lt;MIN_OBS_ROLL),"",SUMPRODUCT(O194:O229,(P194:P229-SUMPRODUCT(O194:O229,P194:P229)/T230)^2)/(T230-1))</f>
        <v/>
      </c>
      <c r="V230" s="40">
        <f>IF(OR(S230="",U230=""),"",S230/U230)</f>
        <v/>
      </c>
      <c r="W230" s="40">
        <f>IF(AND(ISNUMBER(K230),ISNUMBER(L230),ISNUMBER(V230)),K230-V230*L230,"")</f>
        <v/>
      </c>
      <c r="X230" s="40">
        <f>IF(OR($A230="",NOT(ISNUMBER(Datos!H230)),NOT(ISNUMBER(Datos!H229))),"",LN(Datos!H230)-LN(Datos!H229))</f>
        <v/>
      </c>
      <c r="Y230" s="38">
        <f>IF(ISNUMBER(W230),1,0)</f>
        <v/>
      </c>
      <c r="Z230" s="40">
        <f>IF(Y230=1,W230,0)</f>
        <v/>
      </c>
      <c r="AA230" s="38">
        <f>IF(ISNUMBER(X230),1,0)</f>
        <v/>
      </c>
      <c r="AB230" s="40">
        <f>IF(AA230=1,X230,0)</f>
        <v/>
      </c>
      <c r="AC230" s="38">
        <f>Y230*AA230</f>
        <v/>
      </c>
      <c r="AD230" s="38">
        <f>SUM(AC194:AC229)</f>
        <v/>
      </c>
      <c r="AE230" s="41">
        <f>IF(OR($A230="",AD230&lt;MIN_OBS_ROLL),"",(SUMPRODUCT(AC194:AC229,Z194:Z229,AB194:AB229)/AD230-SUMPRODUCT(AC194:AC229,Z194:Z229)/AD230*SUMPRODUCT(AC194:AC229,AB194:AB229)/AD230)*AD230/(AD230-1))</f>
        <v/>
      </c>
      <c r="AF230" s="38">
        <f>SUM(AA194:AA229)</f>
        <v/>
      </c>
      <c r="AG230" s="41">
        <f>IF(OR($A230="",AF230&lt;MIN_OBS_ROLL),"",SUMPRODUCT(AA194:AA229,(AB194:AB229-SUMPRODUCT(AA194:AA229,AB194:AB229)/AF230)^2)/(AF230-1))</f>
        <v/>
      </c>
      <c r="AH230" s="38">
        <f>SUM(Y194:Y229)</f>
        <v/>
      </c>
      <c r="AI230" s="40">
        <f>IF(OR($A230="",AH230&lt;MIN_OBS_ROLL),"",SUMPRODUCT(Y194:Y229,Z194:Z229)/AH230)</f>
        <v/>
      </c>
      <c r="AJ230" s="40">
        <f>IF(OR($A230="",AF230&lt;MIN_OBS_ROLL),"",SUMPRODUCT(AA194:AA229,AB194:AB229)/AF230)</f>
        <v/>
      </c>
      <c r="AK230" s="40">
        <f>IF(OR(AE230="",AG230=""),"",AE230/AG230)</f>
        <v/>
      </c>
      <c r="AL230" s="40">
        <f>IF(OR(AI230="",AK230="",AJ230=""),"",AI230-AK230*AJ230)</f>
        <v/>
      </c>
      <c r="AM230" s="40">
        <f>IF(AND(ISNUMBER(W230),ISNUMBER(X230),ISNUMBER(AK230),ISNUMBER(AL230)),W230-(AL230+AK230*X230),"")</f>
        <v/>
      </c>
      <c r="AN230" s="38">
        <f>IF(ISNUMBER(AM230),1,0)</f>
        <v/>
      </c>
      <c r="AO230" s="40">
        <f>IF(AN230=1,AM230,0)</f>
        <v/>
      </c>
      <c r="AP230" s="40">
        <f>IF(SUM(AN228:AN230)=3,SUM(AO228:AO230),"")</f>
        <v/>
      </c>
      <c r="AQ230" s="38">
        <f>IF(ISNUMBER(AP230),1,0)</f>
        <v/>
      </c>
      <c r="AR230" s="40">
        <f>IF(AQ230=1,AP230,0)</f>
        <v/>
      </c>
      <c r="AS230" s="38">
        <f>SUM(AQ$5:AQ230)</f>
        <v/>
      </c>
      <c r="AT230" s="40">
        <f>IF(AS230&gt;=MIN_OBS_Z,SUMPRODUCT(AQ$5:AQ230,AR$5:AR230)/AS230,"")</f>
        <v/>
      </c>
      <c r="AU230" s="40">
        <f>IF(AS230&gt;=MIN_OBS_Z,SQRT(SUMPRODUCT(AQ$5:AQ230,(AR$5:AR230-AT230)^2)/(AS230-1)),"")</f>
        <v/>
      </c>
      <c r="AV230" s="40">
        <f>IF(AND(AQ230=1,ISNUMBER(AT230)),MAX(-Z_CLIP,MIN(Z_CLIP,(AR230-AT230)/AU230)),"")</f>
        <v/>
      </c>
      <c r="AW230" s="40">
        <f>IF(ISNUMBER(AV230),-AV230,"")</f>
        <v/>
      </c>
      <c r="AX230" s="40">
        <f>IF(ISNUMBER(AW230),1+AMPLITUD*TANH(AW230),"")</f>
        <v/>
      </c>
      <c r="AY230" s="40">
        <f>IF($A230="","",IF(COUNT(AX228:AX230)&gt;0,AVERAGE(AX228:AX230),""))</f>
        <v/>
      </c>
      <c r="AZ230" s="40">
        <f>IF(ISNUMBER(AY230),AY230-1,"")</f>
        <v/>
      </c>
      <c r="BA230" s="40">
        <f>IF(AND(ISNUMBER(AZ229),ISNUMBER(W230)),AZ229*W_BANCOS*W230,"")</f>
        <v/>
      </c>
      <c r="BB230" s="40">
        <f>IF(AND(ISNUMBER(AZ229),ISNUMBER(AZ228)),ABS(AZ229-AZ228)*W_BANCOS*COSTO,0)</f>
        <v/>
      </c>
      <c r="BC230" s="40">
        <f>IF(ISNUMBER(BA230),BA230-BB230,"")</f>
        <v/>
      </c>
      <c r="BD230" s="42">
        <f>IF(ISNUMBER(BC230),IF(A230&lt;=FECHA_ERA,"A","B"),"")</f>
        <v/>
      </c>
      <c r="BE230" s="40">
        <f>IF(BD230="A",BC230,"")</f>
        <v/>
      </c>
      <c r="BF230" s="40">
        <f>IF(BD230="B",BC230,"")</f>
        <v/>
      </c>
      <c r="BG230" s="38">
        <f>IF(AND(ISNUMBER(BC230),ISNUMBER(A230)),IF(A230&gt;=INICIO_VIVO,1,0),0)</f>
        <v/>
      </c>
      <c r="BH230" s="40">
        <f>IF(BG230=1,BC230,"")</f>
        <v/>
      </c>
      <c r="BI230" s="38">
        <f>IF(ISNUMBER(AY230),ROW(),0)</f>
        <v/>
      </c>
      <c r="BJ230" s="43">
        <f>IF(ISNUMBER(BC230),SUM(BC$5:BC230)*10000,NA())</f>
        <v/>
      </c>
      <c r="BK230" s="43">
        <f>IF(BG230=1,SUM(BH$5:BH230)*10000,NA())</f>
        <v/>
      </c>
      <c r="BL230" s="44">
        <f>IF(ISNUMBER(AY230),AY230,NA())</f>
        <v/>
      </c>
    </row>
    <row r="231">
      <c r="A231" s="36">
        <f>IF(Datos!A231="","",Datos!A231)</f>
        <v/>
      </c>
      <c r="B231" s="37">
        <f>IF(OR($A231="",NOT(ISNUMBER(Datos!B231)),NOT(ISNUMBER(Datos!B230))),"",Datos!B231/Datos!B230-1)</f>
        <v/>
      </c>
      <c r="C231" s="37">
        <f>IF(OR($A231="",NOT(ISNUMBER(Datos!C231)),NOT(ISNUMBER(Datos!C230))),"",Datos!C231/Datos!C230-1)</f>
        <v/>
      </c>
      <c r="D231" s="37">
        <f>IF(OR($A231="",NOT(ISNUMBER(Datos!D231)),NOT(ISNUMBER(Datos!D230))),"",Datos!D231/Datos!D230-1)</f>
        <v/>
      </c>
      <c r="E231" s="37">
        <f>IF(OR($A231="",NOT(ISNUMBER(Datos!E231)),NOT(ISNUMBER(Datos!E230))),"",Datos!E231/Datos!E230-1)</f>
        <v/>
      </c>
      <c r="F231" s="38">
        <f>IF($A231="","",COUNT(B231:E231))</f>
        <v/>
      </c>
      <c r="G231" s="37">
        <f>IF($A231="","",IF(F231&gt;=MIN_BANCOS,AVERAGE(B231:E231),""))</f>
        <v/>
      </c>
      <c r="H231" s="37">
        <f>IF(OR($A231="",NOT(ISNUMBER(Datos!F231)),NOT(ISNUMBER(Datos!F230))),"",Datos!F231/Datos!F230-1)</f>
        <v/>
      </c>
      <c r="I231" s="39">
        <f>IF($A231="","",IF(ISNUMBER(Datos!G231),Datos!G231,I230))</f>
        <v/>
      </c>
      <c r="J231" s="40">
        <f>IF($A231="","",IF(ISNUMBER(I230),LN(1+I230/100/12),0))</f>
        <v/>
      </c>
      <c r="K231" s="40">
        <f>IF(ISNUMBER(G231),LN(1+G231)-J231,"")</f>
        <v/>
      </c>
      <c r="L231" s="40">
        <f>IF(ISNUMBER(H231),LN(1+H231)-J231,"")</f>
        <v/>
      </c>
      <c r="M231" s="38">
        <f>IF(ISNUMBER(K231),1,0)</f>
        <v/>
      </c>
      <c r="N231" s="40">
        <f>IF(M231=1,K231,0)</f>
        <v/>
      </c>
      <c r="O231" s="38">
        <f>IF(ISNUMBER(L231),1,0)</f>
        <v/>
      </c>
      <c r="P231" s="40">
        <f>IF(O231=1,L231,0)</f>
        <v/>
      </c>
      <c r="Q231" s="38">
        <f>M231*O231</f>
        <v/>
      </c>
      <c r="R231" s="38">
        <f>SUM(Q195:Q230)</f>
        <v/>
      </c>
      <c r="S231" s="41">
        <f>IF(OR($A231="",R231&lt;MIN_OBS_ROLL),"",(SUMPRODUCT(Q195:Q230,N195:N230,P195:P230)/R231-SUMPRODUCT(Q195:Q230,N195:N230)/R231*SUMPRODUCT(Q195:Q230,P195:P230)/R231)*R231/(R231-1))</f>
        <v/>
      </c>
      <c r="T231" s="38">
        <f>SUM(O195:O230)</f>
        <v/>
      </c>
      <c r="U231" s="41">
        <f>IF(OR($A231="",T231&lt;MIN_OBS_ROLL),"",SUMPRODUCT(O195:O230,(P195:P230-SUMPRODUCT(O195:O230,P195:P230)/T231)^2)/(T231-1))</f>
        <v/>
      </c>
      <c r="V231" s="40">
        <f>IF(OR(S231="",U231=""),"",S231/U231)</f>
        <v/>
      </c>
      <c r="W231" s="40">
        <f>IF(AND(ISNUMBER(K231),ISNUMBER(L231),ISNUMBER(V231)),K231-V231*L231,"")</f>
        <v/>
      </c>
      <c r="X231" s="40">
        <f>IF(OR($A231="",NOT(ISNUMBER(Datos!H231)),NOT(ISNUMBER(Datos!H230))),"",LN(Datos!H231)-LN(Datos!H230))</f>
        <v/>
      </c>
      <c r="Y231" s="38">
        <f>IF(ISNUMBER(W231),1,0)</f>
        <v/>
      </c>
      <c r="Z231" s="40">
        <f>IF(Y231=1,W231,0)</f>
        <v/>
      </c>
      <c r="AA231" s="38">
        <f>IF(ISNUMBER(X231),1,0)</f>
        <v/>
      </c>
      <c r="AB231" s="40">
        <f>IF(AA231=1,X231,0)</f>
        <v/>
      </c>
      <c r="AC231" s="38">
        <f>Y231*AA231</f>
        <v/>
      </c>
      <c r="AD231" s="38">
        <f>SUM(AC195:AC230)</f>
        <v/>
      </c>
      <c r="AE231" s="41">
        <f>IF(OR($A231="",AD231&lt;MIN_OBS_ROLL),"",(SUMPRODUCT(AC195:AC230,Z195:Z230,AB195:AB230)/AD231-SUMPRODUCT(AC195:AC230,Z195:Z230)/AD231*SUMPRODUCT(AC195:AC230,AB195:AB230)/AD231)*AD231/(AD231-1))</f>
        <v/>
      </c>
      <c r="AF231" s="38">
        <f>SUM(AA195:AA230)</f>
        <v/>
      </c>
      <c r="AG231" s="41">
        <f>IF(OR($A231="",AF231&lt;MIN_OBS_ROLL),"",SUMPRODUCT(AA195:AA230,(AB195:AB230-SUMPRODUCT(AA195:AA230,AB195:AB230)/AF231)^2)/(AF231-1))</f>
        <v/>
      </c>
      <c r="AH231" s="38">
        <f>SUM(Y195:Y230)</f>
        <v/>
      </c>
      <c r="AI231" s="40">
        <f>IF(OR($A231="",AH231&lt;MIN_OBS_ROLL),"",SUMPRODUCT(Y195:Y230,Z195:Z230)/AH231)</f>
        <v/>
      </c>
      <c r="AJ231" s="40">
        <f>IF(OR($A231="",AF231&lt;MIN_OBS_ROLL),"",SUMPRODUCT(AA195:AA230,AB195:AB230)/AF231)</f>
        <v/>
      </c>
      <c r="AK231" s="40">
        <f>IF(OR(AE231="",AG231=""),"",AE231/AG231)</f>
        <v/>
      </c>
      <c r="AL231" s="40">
        <f>IF(OR(AI231="",AK231="",AJ231=""),"",AI231-AK231*AJ231)</f>
        <v/>
      </c>
      <c r="AM231" s="40">
        <f>IF(AND(ISNUMBER(W231),ISNUMBER(X231),ISNUMBER(AK231),ISNUMBER(AL231)),W231-(AL231+AK231*X231),"")</f>
        <v/>
      </c>
      <c r="AN231" s="38">
        <f>IF(ISNUMBER(AM231),1,0)</f>
        <v/>
      </c>
      <c r="AO231" s="40">
        <f>IF(AN231=1,AM231,0)</f>
        <v/>
      </c>
      <c r="AP231" s="40">
        <f>IF(SUM(AN229:AN231)=3,SUM(AO229:AO231),"")</f>
        <v/>
      </c>
      <c r="AQ231" s="38">
        <f>IF(ISNUMBER(AP231),1,0)</f>
        <v/>
      </c>
      <c r="AR231" s="40">
        <f>IF(AQ231=1,AP231,0)</f>
        <v/>
      </c>
      <c r="AS231" s="38">
        <f>SUM(AQ$5:AQ231)</f>
        <v/>
      </c>
      <c r="AT231" s="40">
        <f>IF(AS231&gt;=MIN_OBS_Z,SUMPRODUCT(AQ$5:AQ231,AR$5:AR231)/AS231,"")</f>
        <v/>
      </c>
      <c r="AU231" s="40">
        <f>IF(AS231&gt;=MIN_OBS_Z,SQRT(SUMPRODUCT(AQ$5:AQ231,(AR$5:AR231-AT231)^2)/(AS231-1)),"")</f>
        <v/>
      </c>
      <c r="AV231" s="40">
        <f>IF(AND(AQ231=1,ISNUMBER(AT231)),MAX(-Z_CLIP,MIN(Z_CLIP,(AR231-AT231)/AU231)),"")</f>
        <v/>
      </c>
      <c r="AW231" s="40">
        <f>IF(ISNUMBER(AV231),-AV231,"")</f>
        <v/>
      </c>
      <c r="AX231" s="40">
        <f>IF(ISNUMBER(AW231),1+AMPLITUD*TANH(AW231),"")</f>
        <v/>
      </c>
      <c r="AY231" s="40">
        <f>IF($A231="","",IF(COUNT(AX229:AX231)&gt;0,AVERAGE(AX229:AX231),""))</f>
        <v/>
      </c>
      <c r="AZ231" s="40">
        <f>IF(ISNUMBER(AY231),AY231-1,"")</f>
        <v/>
      </c>
      <c r="BA231" s="40">
        <f>IF(AND(ISNUMBER(AZ230),ISNUMBER(W231)),AZ230*W_BANCOS*W231,"")</f>
        <v/>
      </c>
      <c r="BB231" s="40">
        <f>IF(AND(ISNUMBER(AZ230),ISNUMBER(AZ229)),ABS(AZ230-AZ229)*W_BANCOS*COSTO,0)</f>
        <v/>
      </c>
      <c r="BC231" s="40">
        <f>IF(ISNUMBER(BA231),BA231-BB231,"")</f>
        <v/>
      </c>
      <c r="BD231" s="42">
        <f>IF(ISNUMBER(BC231),IF(A231&lt;=FECHA_ERA,"A","B"),"")</f>
        <v/>
      </c>
      <c r="BE231" s="40">
        <f>IF(BD231="A",BC231,"")</f>
        <v/>
      </c>
      <c r="BF231" s="40">
        <f>IF(BD231="B",BC231,"")</f>
        <v/>
      </c>
      <c r="BG231" s="38">
        <f>IF(AND(ISNUMBER(BC231),ISNUMBER(A231)),IF(A231&gt;=INICIO_VIVO,1,0),0)</f>
        <v/>
      </c>
      <c r="BH231" s="40">
        <f>IF(BG231=1,BC231,"")</f>
        <v/>
      </c>
      <c r="BI231" s="38">
        <f>IF(ISNUMBER(AY231),ROW(),0)</f>
        <v/>
      </c>
      <c r="BJ231" s="43">
        <f>IF(ISNUMBER(BC231),SUM(BC$5:BC231)*10000,NA())</f>
        <v/>
      </c>
      <c r="BK231" s="43">
        <f>IF(BG231=1,SUM(BH$5:BH231)*10000,NA())</f>
        <v/>
      </c>
      <c r="BL231" s="44">
        <f>IF(ISNUMBER(AY231),AY231,NA())</f>
        <v/>
      </c>
    </row>
    <row r="232">
      <c r="A232" s="36">
        <f>IF(Datos!A232="","",Datos!A232)</f>
        <v/>
      </c>
      <c r="B232" s="37">
        <f>IF(OR($A232="",NOT(ISNUMBER(Datos!B232)),NOT(ISNUMBER(Datos!B231))),"",Datos!B232/Datos!B231-1)</f>
        <v/>
      </c>
      <c r="C232" s="37">
        <f>IF(OR($A232="",NOT(ISNUMBER(Datos!C232)),NOT(ISNUMBER(Datos!C231))),"",Datos!C232/Datos!C231-1)</f>
        <v/>
      </c>
      <c r="D232" s="37">
        <f>IF(OR($A232="",NOT(ISNUMBER(Datos!D232)),NOT(ISNUMBER(Datos!D231))),"",Datos!D232/Datos!D231-1)</f>
        <v/>
      </c>
      <c r="E232" s="37">
        <f>IF(OR($A232="",NOT(ISNUMBER(Datos!E232)),NOT(ISNUMBER(Datos!E231))),"",Datos!E232/Datos!E231-1)</f>
        <v/>
      </c>
      <c r="F232" s="38">
        <f>IF($A232="","",COUNT(B232:E232))</f>
        <v/>
      </c>
      <c r="G232" s="37">
        <f>IF($A232="","",IF(F232&gt;=MIN_BANCOS,AVERAGE(B232:E232),""))</f>
        <v/>
      </c>
      <c r="H232" s="37">
        <f>IF(OR($A232="",NOT(ISNUMBER(Datos!F232)),NOT(ISNUMBER(Datos!F231))),"",Datos!F232/Datos!F231-1)</f>
        <v/>
      </c>
      <c r="I232" s="39">
        <f>IF($A232="","",IF(ISNUMBER(Datos!G232),Datos!G232,I231))</f>
        <v/>
      </c>
      <c r="J232" s="40">
        <f>IF($A232="","",IF(ISNUMBER(I231),LN(1+I231/100/12),0))</f>
        <v/>
      </c>
      <c r="K232" s="40">
        <f>IF(ISNUMBER(G232),LN(1+G232)-J232,"")</f>
        <v/>
      </c>
      <c r="L232" s="40">
        <f>IF(ISNUMBER(H232),LN(1+H232)-J232,"")</f>
        <v/>
      </c>
      <c r="M232" s="38">
        <f>IF(ISNUMBER(K232),1,0)</f>
        <v/>
      </c>
      <c r="N232" s="40">
        <f>IF(M232=1,K232,0)</f>
        <v/>
      </c>
      <c r="O232" s="38">
        <f>IF(ISNUMBER(L232),1,0)</f>
        <v/>
      </c>
      <c r="P232" s="40">
        <f>IF(O232=1,L232,0)</f>
        <v/>
      </c>
      <c r="Q232" s="38">
        <f>M232*O232</f>
        <v/>
      </c>
      <c r="R232" s="38">
        <f>SUM(Q196:Q231)</f>
        <v/>
      </c>
      <c r="S232" s="41">
        <f>IF(OR($A232="",R232&lt;MIN_OBS_ROLL),"",(SUMPRODUCT(Q196:Q231,N196:N231,P196:P231)/R232-SUMPRODUCT(Q196:Q231,N196:N231)/R232*SUMPRODUCT(Q196:Q231,P196:P231)/R232)*R232/(R232-1))</f>
        <v/>
      </c>
      <c r="T232" s="38">
        <f>SUM(O196:O231)</f>
        <v/>
      </c>
      <c r="U232" s="41">
        <f>IF(OR($A232="",T232&lt;MIN_OBS_ROLL),"",SUMPRODUCT(O196:O231,(P196:P231-SUMPRODUCT(O196:O231,P196:P231)/T232)^2)/(T232-1))</f>
        <v/>
      </c>
      <c r="V232" s="40">
        <f>IF(OR(S232="",U232=""),"",S232/U232)</f>
        <v/>
      </c>
      <c r="W232" s="40">
        <f>IF(AND(ISNUMBER(K232),ISNUMBER(L232),ISNUMBER(V232)),K232-V232*L232,"")</f>
        <v/>
      </c>
      <c r="X232" s="40">
        <f>IF(OR($A232="",NOT(ISNUMBER(Datos!H232)),NOT(ISNUMBER(Datos!H231))),"",LN(Datos!H232)-LN(Datos!H231))</f>
        <v/>
      </c>
      <c r="Y232" s="38">
        <f>IF(ISNUMBER(W232),1,0)</f>
        <v/>
      </c>
      <c r="Z232" s="40">
        <f>IF(Y232=1,W232,0)</f>
        <v/>
      </c>
      <c r="AA232" s="38">
        <f>IF(ISNUMBER(X232),1,0)</f>
        <v/>
      </c>
      <c r="AB232" s="40">
        <f>IF(AA232=1,X232,0)</f>
        <v/>
      </c>
      <c r="AC232" s="38">
        <f>Y232*AA232</f>
        <v/>
      </c>
      <c r="AD232" s="38">
        <f>SUM(AC196:AC231)</f>
        <v/>
      </c>
      <c r="AE232" s="41">
        <f>IF(OR($A232="",AD232&lt;MIN_OBS_ROLL),"",(SUMPRODUCT(AC196:AC231,Z196:Z231,AB196:AB231)/AD232-SUMPRODUCT(AC196:AC231,Z196:Z231)/AD232*SUMPRODUCT(AC196:AC231,AB196:AB231)/AD232)*AD232/(AD232-1))</f>
        <v/>
      </c>
      <c r="AF232" s="38">
        <f>SUM(AA196:AA231)</f>
        <v/>
      </c>
      <c r="AG232" s="41">
        <f>IF(OR($A232="",AF232&lt;MIN_OBS_ROLL),"",SUMPRODUCT(AA196:AA231,(AB196:AB231-SUMPRODUCT(AA196:AA231,AB196:AB231)/AF232)^2)/(AF232-1))</f>
        <v/>
      </c>
      <c r="AH232" s="38">
        <f>SUM(Y196:Y231)</f>
        <v/>
      </c>
      <c r="AI232" s="40">
        <f>IF(OR($A232="",AH232&lt;MIN_OBS_ROLL),"",SUMPRODUCT(Y196:Y231,Z196:Z231)/AH232)</f>
        <v/>
      </c>
      <c r="AJ232" s="40">
        <f>IF(OR($A232="",AF232&lt;MIN_OBS_ROLL),"",SUMPRODUCT(AA196:AA231,AB196:AB231)/AF232)</f>
        <v/>
      </c>
      <c r="AK232" s="40">
        <f>IF(OR(AE232="",AG232=""),"",AE232/AG232)</f>
        <v/>
      </c>
      <c r="AL232" s="40">
        <f>IF(OR(AI232="",AK232="",AJ232=""),"",AI232-AK232*AJ232)</f>
        <v/>
      </c>
      <c r="AM232" s="40">
        <f>IF(AND(ISNUMBER(W232),ISNUMBER(X232),ISNUMBER(AK232),ISNUMBER(AL232)),W232-(AL232+AK232*X232),"")</f>
        <v/>
      </c>
      <c r="AN232" s="38">
        <f>IF(ISNUMBER(AM232),1,0)</f>
        <v/>
      </c>
      <c r="AO232" s="40">
        <f>IF(AN232=1,AM232,0)</f>
        <v/>
      </c>
      <c r="AP232" s="40">
        <f>IF(SUM(AN230:AN232)=3,SUM(AO230:AO232),"")</f>
        <v/>
      </c>
      <c r="AQ232" s="38">
        <f>IF(ISNUMBER(AP232),1,0)</f>
        <v/>
      </c>
      <c r="AR232" s="40">
        <f>IF(AQ232=1,AP232,0)</f>
        <v/>
      </c>
      <c r="AS232" s="38">
        <f>SUM(AQ$5:AQ232)</f>
        <v/>
      </c>
      <c r="AT232" s="40">
        <f>IF(AS232&gt;=MIN_OBS_Z,SUMPRODUCT(AQ$5:AQ232,AR$5:AR232)/AS232,"")</f>
        <v/>
      </c>
      <c r="AU232" s="40">
        <f>IF(AS232&gt;=MIN_OBS_Z,SQRT(SUMPRODUCT(AQ$5:AQ232,(AR$5:AR232-AT232)^2)/(AS232-1)),"")</f>
        <v/>
      </c>
      <c r="AV232" s="40">
        <f>IF(AND(AQ232=1,ISNUMBER(AT232)),MAX(-Z_CLIP,MIN(Z_CLIP,(AR232-AT232)/AU232)),"")</f>
        <v/>
      </c>
      <c r="AW232" s="40">
        <f>IF(ISNUMBER(AV232),-AV232,"")</f>
        <v/>
      </c>
      <c r="AX232" s="40">
        <f>IF(ISNUMBER(AW232),1+AMPLITUD*TANH(AW232),"")</f>
        <v/>
      </c>
      <c r="AY232" s="40">
        <f>IF($A232="","",IF(COUNT(AX230:AX232)&gt;0,AVERAGE(AX230:AX232),""))</f>
        <v/>
      </c>
      <c r="AZ232" s="40">
        <f>IF(ISNUMBER(AY232),AY232-1,"")</f>
        <v/>
      </c>
      <c r="BA232" s="40">
        <f>IF(AND(ISNUMBER(AZ231),ISNUMBER(W232)),AZ231*W_BANCOS*W232,"")</f>
        <v/>
      </c>
      <c r="BB232" s="40">
        <f>IF(AND(ISNUMBER(AZ231),ISNUMBER(AZ230)),ABS(AZ231-AZ230)*W_BANCOS*COSTO,0)</f>
        <v/>
      </c>
      <c r="BC232" s="40">
        <f>IF(ISNUMBER(BA232),BA232-BB232,"")</f>
        <v/>
      </c>
      <c r="BD232" s="42">
        <f>IF(ISNUMBER(BC232),IF(A232&lt;=FECHA_ERA,"A","B"),"")</f>
        <v/>
      </c>
      <c r="BE232" s="40">
        <f>IF(BD232="A",BC232,"")</f>
        <v/>
      </c>
      <c r="BF232" s="40">
        <f>IF(BD232="B",BC232,"")</f>
        <v/>
      </c>
      <c r="BG232" s="38">
        <f>IF(AND(ISNUMBER(BC232),ISNUMBER(A232)),IF(A232&gt;=INICIO_VIVO,1,0),0)</f>
        <v/>
      </c>
      <c r="BH232" s="40">
        <f>IF(BG232=1,BC232,"")</f>
        <v/>
      </c>
      <c r="BI232" s="38">
        <f>IF(ISNUMBER(AY232),ROW(),0)</f>
        <v/>
      </c>
      <c r="BJ232" s="43">
        <f>IF(ISNUMBER(BC232),SUM(BC$5:BC232)*10000,NA())</f>
        <v/>
      </c>
      <c r="BK232" s="43">
        <f>IF(BG232=1,SUM(BH$5:BH232)*10000,NA())</f>
        <v/>
      </c>
      <c r="BL232" s="44">
        <f>IF(ISNUMBER(AY232),AY232,NA())</f>
        <v/>
      </c>
    </row>
    <row r="233">
      <c r="A233" s="36">
        <f>IF(Datos!A233="","",Datos!A233)</f>
        <v/>
      </c>
      <c r="B233" s="37">
        <f>IF(OR($A233="",NOT(ISNUMBER(Datos!B233)),NOT(ISNUMBER(Datos!B232))),"",Datos!B233/Datos!B232-1)</f>
        <v/>
      </c>
      <c r="C233" s="37">
        <f>IF(OR($A233="",NOT(ISNUMBER(Datos!C233)),NOT(ISNUMBER(Datos!C232))),"",Datos!C233/Datos!C232-1)</f>
        <v/>
      </c>
      <c r="D233" s="37">
        <f>IF(OR($A233="",NOT(ISNUMBER(Datos!D233)),NOT(ISNUMBER(Datos!D232))),"",Datos!D233/Datos!D232-1)</f>
        <v/>
      </c>
      <c r="E233" s="37">
        <f>IF(OR($A233="",NOT(ISNUMBER(Datos!E233)),NOT(ISNUMBER(Datos!E232))),"",Datos!E233/Datos!E232-1)</f>
        <v/>
      </c>
      <c r="F233" s="38">
        <f>IF($A233="","",COUNT(B233:E233))</f>
        <v/>
      </c>
      <c r="G233" s="37">
        <f>IF($A233="","",IF(F233&gt;=MIN_BANCOS,AVERAGE(B233:E233),""))</f>
        <v/>
      </c>
      <c r="H233" s="37">
        <f>IF(OR($A233="",NOT(ISNUMBER(Datos!F233)),NOT(ISNUMBER(Datos!F232))),"",Datos!F233/Datos!F232-1)</f>
        <v/>
      </c>
      <c r="I233" s="39">
        <f>IF($A233="","",IF(ISNUMBER(Datos!G233),Datos!G233,I232))</f>
        <v/>
      </c>
      <c r="J233" s="40">
        <f>IF($A233="","",IF(ISNUMBER(I232),LN(1+I232/100/12),0))</f>
        <v/>
      </c>
      <c r="K233" s="40">
        <f>IF(ISNUMBER(G233),LN(1+G233)-J233,"")</f>
        <v/>
      </c>
      <c r="L233" s="40">
        <f>IF(ISNUMBER(H233),LN(1+H233)-J233,"")</f>
        <v/>
      </c>
      <c r="M233" s="38">
        <f>IF(ISNUMBER(K233),1,0)</f>
        <v/>
      </c>
      <c r="N233" s="40">
        <f>IF(M233=1,K233,0)</f>
        <v/>
      </c>
      <c r="O233" s="38">
        <f>IF(ISNUMBER(L233),1,0)</f>
        <v/>
      </c>
      <c r="P233" s="40">
        <f>IF(O233=1,L233,0)</f>
        <v/>
      </c>
      <c r="Q233" s="38">
        <f>M233*O233</f>
        <v/>
      </c>
      <c r="R233" s="38">
        <f>SUM(Q197:Q232)</f>
        <v/>
      </c>
      <c r="S233" s="41">
        <f>IF(OR($A233="",R233&lt;MIN_OBS_ROLL),"",(SUMPRODUCT(Q197:Q232,N197:N232,P197:P232)/R233-SUMPRODUCT(Q197:Q232,N197:N232)/R233*SUMPRODUCT(Q197:Q232,P197:P232)/R233)*R233/(R233-1))</f>
        <v/>
      </c>
      <c r="T233" s="38">
        <f>SUM(O197:O232)</f>
        <v/>
      </c>
      <c r="U233" s="41">
        <f>IF(OR($A233="",T233&lt;MIN_OBS_ROLL),"",SUMPRODUCT(O197:O232,(P197:P232-SUMPRODUCT(O197:O232,P197:P232)/T233)^2)/(T233-1))</f>
        <v/>
      </c>
      <c r="V233" s="40">
        <f>IF(OR(S233="",U233=""),"",S233/U233)</f>
        <v/>
      </c>
      <c r="W233" s="40">
        <f>IF(AND(ISNUMBER(K233),ISNUMBER(L233),ISNUMBER(V233)),K233-V233*L233,"")</f>
        <v/>
      </c>
      <c r="X233" s="40">
        <f>IF(OR($A233="",NOT(ISNUMBER(Datos!H233)),NOT(ISNUMBER(Datos!H232))),"",LN(Datos!H233)-LN(Datos!H232))</f>
        <v/>
      </c>
      <c r="Y233" s="38">
        <f>IF(ISNUMBER(W233),1,0)</f>
        <v/>
      </c>
      <c r="Z233" s="40">
        <f>IF(Y233=1,W233,0)</f>
        <v/>
      </c>
      <c r="AA233" s="38">
        <f>IF(ISNUMBER(X233),1,0)</f>
        <v/>
      </c>
      <c r="AB233" s="40">
        <f>IF(AA233=1,X233,0)</f>
        <v/>
      </c>
      <c r="AC233" s="38">
        <f>Y233*AA233</f>
        <v/>
      </c>
      <c r="AD233" s="38">
        <f>SUM(AC197:AC232)</f>
        <v/>
      </c>
      <c r="AE233" s="41">
        <f>IF(OR($A233="",AD233&lt;MIN_OBS_ROLL),"",(SUMPRODUCT(AC197:AC232,Z197:Z232,AB197:AB232)/AD233-SUMPRODUCT(AC197:AC232,Z197:Z232)/AD233*SUMPRODUCT(AC197:AC232,AB197:AB232)/AD233)*AD233/(AD233-1))</f>
        <v/>
      </c>
      <c r="AF233" s="38">
        <f>SUM(AA197:AA232)</f>
        <v/>
      </c>
      <c r="AG233" s="41">
        <f>IF(OR($A233="",AF233&lt;MIN_OBS_ROLL),"",SUMPRODUCT(AA197:AA232,(AB197:AB232-SUMPRODUCT(AA197:AA232,AB197:AB232)/AF233)^2)/(AF233-1))</f>
        <v/>
      </c>
      <c r="AH233" s="38">
        <f>SUM(Y197:Y232)</f>
        <v/>
      </c>
      <c r="AI233" s="40">
        <f>IF(OR($A233="",AH233&lt;MIN_OBS_ROLL),"",SUMPRODUCT(Y197:Y232,Z197:Z232)/AH233)</f>
        <v/>
      </c>
      <c r="AJ233" s="40">
        <f>IF(OR($A233="",AF233&lt;MIN_OBS_ROLL),"",SUMPRODUCT(AA197:AA232,AB197:AB232)/AF233)</f>
        <v/>
      </c>
      <c r="AK233" s="40">
        <f>IF(OR(AE233="",AG233=""),"",AE233/AG233)</f>
        <v/>
      </c>
      <c r="AL233" s="40">
        <f>IF(OR(AI233="",AK233="",AJ233=""),"",AI233-AK233*AJ233)</f>
        <v/>
      </c>
      <c r="AM233" s="40">
        <f>IF(AND(ISNUMBER(W233),ISNUMBER(X233),ISNUMBER(AK233),ISNUMBER(AL233)),W233-(AL233+AK233*X233),"")</f>
        <v/>
      </c>
      <c r="AN233" s="38">
        <f>IF(ISNUMBER(AM233),1,0)</f>
        <v/>
      </c>
      <c r="AO233" s="40">
        <f>IF(AN233=1,AM233,0)</f>
        <v/>
      </c>
      <c r="AP233" s="40">
        <f>IF(SUM(AN231:AN233)=3,SUM(AO231:AO233),"")</f>
        <v/>
      </c>
      <c r="AQ233" s="38">
        <f>IF(ISNUMBER(AP233),1,0)</f>
        <v/>
      </c>
      <c r="AR233" s="40">
        <f>IF(AQ233=1,AP233,0)</f>
        <v/>
      </c>
      <c r="AS233" s="38">
        <f>SUM(AQ$5:AQ233)</f>
        <v/>
      </c>
      <c r="AT233" s="40">
        <f>IF(AS233&gt;=MIN_OBS_Z,SUMPRODUCT(AQ$5:AQ233,AR$5:AR233)/AS233,"")</f>
        <v/>
      </c>
      <c r="AU233" s="40">
        <f>IF(AS233&gt;=MIN_OBS_Z,SQRT(SUMPRODUCT(AQ$5:AQ233,(AR$5:AR233-AT233)^2)/(AS233-1)),"")</f>
        <v/>
      </c>
      <c r="AV233" s="40">
        <f>IF(AND(AQ233=1,ISNUMBER(AT233)),MAX(-Z_CLIP,MIN(Z_CLIP,(AR233-AT233)/AU233)),"")</f>
        <v/>
      </c>
      <c r="AW233" s="40">
        <f>IF(ISNUMBER(AV233),-AV233,"")</f>
        <v/>
      </c>
      <c r="AX233" s="40">
        <f>IF(ISNUMBER(AW233),1+AMPLITUD*TANH(AW233),"")</f>
        <v/>
      </c>
      <c r="AY233" s="40">
        <f>IF($A233="","",IF(COUNT(AX231:AX233)&gt;0,AVERAGE(AX231:AX233),""))</f>
        <v/>
      </c>
      <c r="AZ233" s="40">
        <f>IF(ISNUMBER(AY233),AY233-1,"")</f>
        <v/>
      </c>
      <c r="BA233" s="40">
        <f>IF(AND(ISNUMBER(AZ232),ISNUMBER(W233)),AZ232*W_BANCOS*W233,"")</f>
        <v/>
      </c>
      <c r="BB233" s="40">
        <f>IF(AND(ISNUMBER(AZ232),ISNUMBER(AZ231)),ABS(AZ232-AZ231)*W_BANCOS*COSTO,0)</f>
        <v/>
      </c>
      <c r="BC233" s="40">
        <f>IF(ISNUMBER(BA233),BA233-BB233,"")</f>
        <v/>
      </c>
      <c r="BD233" s="42">
        <f>IF(ISNUMBER(BC233),IF(A233&lt;=FECHA_ERA,"A","B"),"")</f>
        <v/>
      </c>
      <c r="BE233" s="40">
        <f>IF(BD233="A",BC233,"")</f>
        <v/>
      </c>
      <c r="BF233" s="40">
        <f>IF(BD233="B",BC233,"")</f>
        <v/>
      </c>
      <c r="BG233" s="38">
        <f>IF(AND(ISNUMBER(BC233),ISNUMBER(A233)),IF(A233&gt;=INICIO_VIVO,1,0),0)</f>
        <v/>
      </c>
      <c r="BH233" s="40">
        <f>IF(BG233=1,BC233,"")</f>
        <v/>
      </c>
      <c r="BI233" s="38">
        <f>IF(ISNUMBER(AY233),ROW(),0)</f>
        <v/>
      </c>
      <c r="BJ233" s="43">
        <f>IF(ISNUMBER(BC233),SUM(BC$5:BC233)*10000,NA())</f>
        <v/>
      </c>
      <c r="BK233" s="43">
        <f>IF(BG233=1,SUM(BH$5:BH233)*10000,NA())</f>
        <v/>
      </c>
      <c r="BL233" s="44">
        <f>IF(ISNUMBER(AY233),AY233,NA())</f>
        <v/>
      </c>
    </row>
    <row r="234">
      <c r="A234" s="36">
        <f>IF(Datos!A234="","",Datos!A234)</f>
        <v/>
      </c>
      <c r="B234" s="37">
        <f>IF(OR($A234="",NOT(ISNUMBER(Datos!B234)),NOT(ISNUMBER(Datos!B233))),"",Datos!B234/Datos!B233-1)</f>
        <v/>
      </c>
      <c r="C234" s="37">
        <f>IF(OR($A234="",NOT(ISNUMBER(Datos!C234)),NOT(ISNUMBER(Datos!C233))),"",Datos!C234/Datos!C233-1)</f>
        <v/>
      </c>
      <c r="D234" s="37">
        <f>IF(OR($A234="",NOT(ISNUMBER(Datos!D234)),NOT(ISNUMBER(Datos!D233))),"",Datos!D234/Datos!D233-1)</f>
        <v/>
      </c>
      <c r="E234" s="37">
        <f>IF(OR($A234="",NOT(ISNUMBER(Datos!E234)),NOT(ISNUMBER(Datos!E233))),"",Datos!E234/Datos!E233-1)</f>
        <v/>
      </c>
      <c r="F234" s="38">
        <f>IF($A234="","",COUNT(B234:E234))</f>
        <v/>
      </c>
      <c r="G234" s="37">
        <f>IF($A234="","",IF(F234&gt;=MIN_BANCOS,AVERAGE(B234:E234),""))</f>
        <v/>
      </c>
      <c r="H234" s="37">
        <f>IF(OR($A234="",NOT(ISNUMBER(Datos!F234)),NOT(ISNUMBER(Datos!F233))),"",Datos!F234/Datos!F233-1)</f>
        <v/>
      </c>
      <c r="I234" s="39">
        <f>IF($A234="","",IF(ISNUMBER(Datos!G234),Datos!G234,I233))</f>
        <v/>
      </c>
      <c r="J234" s="40">
        <f>IF($A234="","",IF(ISNUMBER(I233),LN(1+I233/100/12),0))</f>
        <v/>
      </c>
      <c r="K234" s="40">
        <f>IF(ISNUMBER(G234),LN(1+G234)-J234,"")</f>
        <v/>
      </c>
      <c r="L234" s="40">
        <f>IF(ISNUMBER(H234),LN(1+H234)-J234,"")</f>
        <v/>
      </c>
      <c r="M234" s="38">
        <f>IF(ISNUMBER(K234),1,0)</f>
        <v/>
      </c>
      <c r="N234" s="40">
        <f>IF(M234=1,K234,0)</f>
        <v/>
      </c>
      <c r="O234" s="38">
        <f>IF(ISNUMBER(L234),1,0)</f>
        <v/>
      </c>
      <c r="P234" s="40">
        <f>IF(O234=1,L234,0)</f>
        <v/>
      </c>
      <c r="Q234" s="38">
        <f>M234*O234</f>
        <v/>
      </c>
      <c r="R234" s="38">
        <f>SUM(Q198:Q233)</f>
        <v/>
      </c>
      <c r="S234" s="41">
        <f>IF(OR($A234="",R234&lt;MIN_OBS_ROLL),"",(SUMPRODUCT(Q198:Q233,N198:N233,P198:P233)/R234-SUMPRODUCT(Q198:Q233,N198:N233)/R234*SUMPRODUCT(Q198:Q233,P198:P233)/R234)*R234/(R234-1))</f>
        <v/>
      </c>
      <c r="T234" s="38">
        <f>SUM(O198:O233)</f>
        <v/>
      </c>
      <c r="U234" s="41">
        <f>IF(OR($A234="",T234&lt;MIN_OBS_ROLL),"",SUMPRODUCT(O198:O233,(P198:P233-SUMPRODUCT(O198:O233,P198:P233)/T234)^2)/(T234-1))</f>
        <v/>
      </c>
      <c r="V234" s="40">
        <f>IF(OR(S234="",U234=""),"",S234/U234)</f>
        <v/>
      </c>
      <c r="W234" s="40">
        <f>IF(AND(ISNUMBER(K234),ISNUMBER(L234),ISNUMBER(V234)),K234-V234*L234,"")</f>
        <v/>
      </c>
      <c r="X234" s="40">
        <f>IF(OR($A234="",NOT(ISNUMBER(Datos!H234)),NOT(ISNUMBER(Datos!H233))),"",LN(Datos!H234)-LN(Datos!H233))</f>
        <v/>
      </c>
      <c r="Y234" s="38">
        <f>IF(ISNUMBER(W234),1,0)</f>
        <v/>
      </c>
      <c r="Z234" s="40">
        <f>IF(Y234=1,W234,0)</f>
        <v/>
      </c>
      <c r="AA234" s="38">
        <f>IF(ISNUMBER(X234),1,0)</f>
        <v/>
      </c>
      <c r="AB234" s="40">
        <f>IF(AA234=1,X234,0)</f>
        <v/>
      </c>
      <c r="AC234" s="38">
        <f>Y234*AA234</f>
        <v/>
      </c>
      <c r="AD234" s="38">
        <f>SUM(AC198:AC233)</f>
        <v/>
      </c>
      <c r="AE234" s="41">
        <f>IF(OR($A234="",AD234&lt;MIN_OBS_ROLL),"",(SUMPRODUCT(AC198:AC233,Z198:Z233,AB198:AB233)/AD234-SUMPRODUCT(AC198:AC233,Z198:Z233)/AD234*SUMPRODUCT(AC198:AC233,AB198:AB233)/AD234)*AD234/(AD234-1))</f>
        <v/>
      </c>
      <c r="AF234" s="38">
        <f>SUM(AA198:AA233)</f>
        <v/>
      </c>
      <c r="AG234" s="41">
        <f>IF(OR($A234="",AF234&lt;MIN_OBS_ROLL),"",SUMPRODUCT(AA198:AA233,(AB198:AB233-SUMPRODUCT(AA198:AA233,AB198:AB233)/AF234)^2)/(AF234-1))</f>
        <v/>
      </c>
      <c r="AH234" s="38">
        <f>SUM(Y198:Y233)</f>
        <v/>
      </c>
      <c r="AI234" s="40">
        <f>IF(OR($A234="",AH234&lt;MIN_OBS_ROLL),"",SUMPRODUCT(Y198:Y233,Z198:Z233)/AH234)</f>
        <v/>
      </c>
      <c r="AJ234" s="40">
        <f>IF(OR($A234="",AF234&lt;MIN_OBS_ROLL),"",SUMPRODUCT(AA198:AA233,AB198:AB233)/AF234)</f>
        <v/>
      </c>
      <c r="AK234" s="40">
        <f>IF(OR(AE234="",AG234=""),"",AE234/AG234)</f>
        <v/>
      </c>
      <c r="AL234" s="40">
        <f>IF(OR(AI234="",AK234="",AJ234=""),"",AI234-AK234*AJ234)</f>
        <v/>
      </c>
      <c r="AM234" s="40">
        <f>IF(AND(ISNUMBER(W234),ISNUMBER(X234),ISNUMBER(AK234),ISNUMBER(AL234)),W234-(AL234+AK234*X234),"")</f>
        <v/>
      </c>
      <c r="AN234" s="38">
        <f>IF(ISNUMBER(AM234),1,0)</f>
        <v/>
      </c>
      <c r="AO234" s="40">
        <f>IF(AN234=1,AM234,0)</f>
        <v/>
      </c>
      <c r="AP234" s="40">
        <f>IF(SUM(AN232:AN234)=3,SUM(AO232:AO234),"")</f>
        <v/>
      </c>
      <c r="AQ234" s="38">
        <f>IF(ISNUMBER(AP234),1,0)</f>
        <v/>
      </c>
      <c r="AR234" s="40">
        <f>IF(AQ234=1,AP234,0)</f>
        <v/>
      </c>
      <c r="AS234" s="38">
        <f>SUM(AQ$5:AQ234)</f>
        <v/>
      </c>
      <c r="AT234" s="40">
        <f>IF(AS234&gt;=MIN_OBS_Z,SUMPRODUCT(AQ$5:AQ234,AR$5:AR234)/AS234,"")</f>
        <v/>
      </c>
      <c r="AU234" s="40">
        <f>IF(AS234&gt;=MIN_OBS_Z,SQRT(SUMPRODUCT(AQ$5:AQ234,(AR$5:AR234-AT234)^2)/(AS234-1)),"")</f>
        <v/>
      </c>
      <c r="AV234" s="40">
        <f>IF(AND(AQ234=1,ISNUMBER(AT234)),MAX(-Z_CLIP,MIN(Z_CLIP,(AR234-AT234)/AU234)),"")</f>
        <v/>
      </c>
      <c r="AW234" s="40">
        <f>IF(ISNUMBER(AV234),-AV234,"")</f>
        <v/>
      </c>
      <c r="AX234" s="40">
        <f>IF(ISNUMBER(AW234),1+AMPLITUD*TANH(AW234),"")</f>
        <v/>
      </c>
      <c r="AY234" s="40">
        <f>IF($A234="","",IF(COUNT(AX232:AX234)&gt;0,AVERAGE(AX232:AX234),""))</f>
        <v/>
      </c>
      <c r="AZ234" s="40">
        <f>IF(ISNUMBER(AY234),AY234-1,"")</f>
        <v/>
      </c>
      <c r="BA234" s="40">
        <f>IF(AND(ISNUMBER(AZ233),ISNUMBER(W234)),AZ233*W_BANCOS*W234,"")</f>
        <v/>
      </c>
      <c r="BB234" s="40">
        <f>IF(AND(ISNUMBER(AZ233),ISNUMBER(AZ232)),ABS(AZ233-AZ232)*W_BANCOS*COSTO,0)</f>
        <v/>
      </c>
      <c r="BC234" s="40">
        <f>IF(ISNUMBER(BA234),BA234-BB234,"")</f>
        <v/>
      </c>
      <c r="BD234" s="42">
        <f>IF(ISNUMBER(BC234),IF(A234&lt;=FECHA_ERA,"A","B"),"")</f>
        <v/>
      </c>
      <c r="BE234" s="40">
        <f>IF(BD234="A",BC234,"")</f>
        <v/>
      </c>
      <c r="BF234" s="40">
        <f>IF(BD234="B",BC234,"")</f>
        <v/>
      </c>
      <c r="BG234" s="38">
        <f>IF(AND(ISNUMBER(BC234),ISNUMBER(A234)),IF(A234&gt;=INICIO_VIVO,1,0),0)</f>
        <v/>
      </c>
      <c r="BH234" s="40">
        <f>IF(BG234=1,BC234,"")</f>
        <v/>
      </c>
      <c r="BI234" s="38">
        <f>IF(ISNUMBER(AY234),ROW(),0)</f>
        <v/>
      </c>
      <c r="BJ234" s="43">
        <f>IF(ISNUMBER(BC234),SUM(BC$5:BC234)*10000,NA())</f>
        <v/>
      </c>
      <c r="BK234" s="43">
        <f>IF(BG234=1,SUM(BH$5:BH234)*10000,NA())</f>
        <v/>
      </c>
      <c r="BL234" s="44">
        <f>IF(ISNUMBER(AY234),AY234,NA())</f>
        <v/>
      </c>
    </row>
    <row r="235">
      <c r="A235" s="36">
        <f>IF(Datos!A235="","",Datos!A235)</f>
        <v/>
      </c>
      <c r="B235" s="37">
        <f>IF(OR($A235="",NOT(ISNUMBER(Datos!B235)),NOT(ISNUMBER(Datos!B234))),"",Datos!B235/Datos!B234-1)</f>
        <v/>
      </c>
      <c r="C235" s="37">
        <f>IF(OR($A235="",NOT(ISNUMBER(Datos!C235)),NOT(ISNUMBER(Datos!C234))),"",Datos!C235/Datos!C234-1)</f>
        <v/>
      </c>
      <c r="D235" s="37">
        <f>IF(OR($A235="",NOT(ISNUMBER(Datos!D235)),NOT(ISNUMBER(Datos!D234))),"",Datos!D235/Datos!D234-1)</f>
        <v/>
      </c>
      <c r="E235" s="37">
        <f>IF(OR($A235="",NOT(ISNUMBER(Datos!E235)),NOT(ISNUMBER(Datos!E234))),"",Datos!E235/Datos!E234-1)</f>
        <v/>
      </c>
      <c r="F235" s="38">
        <f>IF($A235="","",COUNT(B235:E235))</f>
        <v/>
      </c>
      <c r="G235" s="37">
        <f>IF($A235="","",IF(F235&gt;=MIN_BANCOS,AVERAGE(B235:E235),""))</f>
        <v/>
      </c>
      <c r="H235" s="37">
        <f>IF(OR($A235="",NOT(ISNUMBER(Datos!F235)),NOT(ISNUMBER(Datos!F234))),"",Datos!F235/Datos!F234-1)</f>
        <v/>
      </c>
      <c r="I235" s="39">
        <f>IF($A235="","",IF(ISNUMBER(Datos!G235),Datos!G235,I234))</f>
        <v/>
      </c>
      <c r="J235" s="40">
        <f>IF($A235="","",IF(ISNUMBER(I234),LN(1+I234/100/12),0))</f>
        <v/>
      </c>
      <c r="K235" s="40">
        <f>IF(ISNUMBER(G235),LN(1+G235)-J235,"")</f>
        <v/>
      </c>
      <c r="L235" s="40">
        <f>IF(ISNUMBER(H235),LN(1+H235)-J235,"")</f>
        <v/>
      </c>
      <c r="M235" s="38">
        <f>IF(ISNUMBER(K235),1,0)</f>
        <v/>
      </c>
      <c r="N235" s="40">
        <f>IF(M235=1,K235,0)</f>
        <v/>
      </c>
      <c r="O235" s="38">
        <f>IF(ISNUMBER(L235),1,0)</f>
        <v/>
      </c>
      <c r="P235" s="40">
        <f>IF(O235=1,L235,0)</f>
        <v/>
      </c>
      <c r="Q235" s="38">
        <f>M235*O235</f>
        <v/>
      </c>
      <c r="R235" s="38">
        <f>SUM(Q199:Q234)</f>
        <v/>
      </c>
      <c r="S235" s="41">
        <f>IF(OR($A235="",R235&lt;MIN_OBS_ROLL),"",(SUMPRODUCT(Q199:Q234,N199:N234,P199:P234)/R235-SUMPRODUCT(Q199:Q234,N199:N234)/R235*SUMPRODUCT(Q199:Q234,P199:P234)/R235)*R235/(R235-1))</f>
        <v/>
      </c>
      <c r="T235" s="38">
        <f>SUM(O199:O234)</f>
        <v/>
      </c>
      <c r="U235" s="41">
        <f>IF(OR($A235="",T235&lt;MIN_OBS_ROLL),"",SUMPRODUCT(O199:O234,(P199:P234-SUMPRODUCT(O199:O234,P199:P234)/T235)^2)/(T235-1))</f>
        <v/>
      </c>
      <c r="V235" s="40">
        <f>IF(OR(S235="",U235=""),"",S235/U235)</f>
        <v/>
      </c>
      <c r="W235" s="40">
        <f>IF(AND(ISNUMBER(K235),ISNUMBER(L235),ISNUMBER(V235)),K235-V235*L235,"")</f>
        <v/>
      </c>
      <c r="X235" s="40">
        <f>IF(OR($A235="",NOT(ISNUMBER(Datos!H235)),NOT(ISNUMBER(Datos!H234))),"",LN(Datos!H235)-LN(Datos!H234))</f>
        <v/>
      </c>
      <c r="Y235" s="38">
        <f>IF(ISNUMBER(W235),1,0)</f>
        <v/>
      </c>
      <c r="Z235" s="40">
        <f>IF(Y235=1,W235,0)</f>
        <v/>
      </c>
      <c r="AA235" s="38">
        <f>IF(ISNUMBER(X235),1,0)</f>
        <v/>
      </c>
      <c r="AB235" s="40">
        <f>IF(AA235=1,X235,0)</f>
        <v/>
      </c>
      <c r="AC235" s="38">
        <f>Y235*AA235</f>
        <v/>
      </c>
      <c r="AD235" s="38">
        <f>SUM(AC199:AC234)</f>
        <v/>
      </c>
      <c r="AE235" s="41">
        <f>IF(OR($A235="",AD235&lt;MIN_OBS_ROLL),"",(SUMPRODUCT(AC199:AC234,Z199:Z234,AB199:AB234)/AD235-SUMPRODUCT(AC199:AC234,Z199:Z234)/AD235*SUMPRODUCT(AC199:AC234,AB199:AB234)/AD235)*AD235/(AD235-1))</f>
        <v/>
      </c>
      <c r="AF235" s="38">
        <f>SUM(AA199:AA234)</f>
        <v/>
      </c>
      <c r="AG235" s="41">
        <f>IF(OR($A235="",AF235&lt;MIN_OBS_ROLL),"",SUMPRODUCT(AA199:AA234,(AB199:AB234-SUMPRODUCT(AA199:AA234,AB199:AB234)/AF235)^2)/(AF235-1))</f>
        <v/>
      </c>
      <c r="AH235" s="38">
        <f>SUM(Y199:Y234)</f>
        <v/>
      </c>
      <c r="AI235" s="40">
        <f>IF(OR($A235="",AH235&lt;MIN_OBS_ROLL),"",SUMPRODUCT(Y199:Y234,Z199:Z234)/AH235)</f>
        <v/>
      </c>
      <c r="AJ235" s="40">
        <f>IF(OR($A235="",AF235&lt;MIN_OBS_ROLL),"",SUMPRODUCT(AA199:AA234,AB199:AB234)/AF235)</f>
        <v/>
      </c>
      <c r="AK235" s="40">
        <f>IF(OR(AE235="",AG235=""),"",AE235/AG235)</f>
        <v/>
      </c>
      <c r="AL235" s="40">
        <f>IF(OR(AI235="",AK235="",AJ235=""),"",AI235-AK235*AJ235)</f>
        <v/>
      </c>
      <c r="AM235" s="40">
        <f>IF(AND(ISNUMBER(W235),ISNUMBER(X235),ISNUMBER(AK235),ISNUMBER(AL235)),W235-(AL235+AK235*X235),"")</f>
        <v/>
      </c>
      <c r="AN235" s="38">
        <f>IF(ISNUMBER(AM235),1,0)</f>
        <v/>
      </c>
      <c r="AO235" s="40">
        <f>IF(AN235=1,AM235,0)</f>
        <v/>
      </c>
      <c r="AP235" s="40">
        <f>IF(SUM(AN233:AN235)=3,SUM(AO233:AO235),"")</f>
        <v/>
      </c>
      <c r="AQ235" s="38">
        <f>IF(ISNUMBER(AP235),1,0)</f>
        <v/>
      </c>
      <c r="AR235" s="40">
        <f>IF(AQ235=1,AP235,0)</f>
        <v/>
      </c>
      <c r="AS235" s="38">
        <f>SUM(AQ$5:AQ235)</f>
        <v/>
      </c>
      <c r="AT235" s="40">
        <f>IF(AS235&gt;=MIN_OBS_Z,SUMPRODUCT(AQ$5:AQ235,AR$5:AR235)/AS235,"")</f>
        <v/>
      </c>
      <c r="AU235" s="40">
        <f>IF(AS235&gt;=MIN_OBS_Z,SQRT(SUMPRODUCT(AQ$5:AQ235,(AR$5:AR235-AT235)^2)/(AS235-1)),"")</f>
        <v/>
      </c>
      <c r="AV235" s="40">
        <f>IF(AND(AQ235=1,ISNUMBER(AT235)),MAX(-Z_CLIP,MIN(Z_CLIP,(AR235-AT235)/AU235)),"")</f>
        <v/>
      </c>
      <c r="AW235" s="40">
        <f>IF(ISNUMBER(AV235),-AV235,"")</f>
        <v/>
      </c>
      <c r="AX235" s="40">
        <f>IF(ISNUMBER(AW235),1+AMPLITUD*TANH(AW235),"")</f>
        <v/>
      </c>
      <c r="AY235" s="40">
        <f>IF($A235="","",IF(COUNT(AX233:AX235)&gt;0,AVERAGE(AX233:AX235),""))</f>
        <v/>
      </c>
      <c r="AZ235" s="40">
        <f>IF(ISNUMBER(AY235),AY235-1,"")</f>
        <v/>
      </c>
      <c r="BA235" s="40">
        <f>IF(AND(ISNUMBER(AZ234),ISNUMBER(W235)),AZ234*W_BANCOS*W235,"")</f>
        <v/>
      </c>
      <c r="BB235" s="40">
        <f>IF(AND(ISNUMBER(AZ234),ISNUMBER(AZ233)),ABS(AZ234-AZ233)*W_BANCOS*COSTO,0)</f>
        <v/>
      </c>
      <c r="BC235" s="40">
        <f>IF(ISNUMBER(BA235),BA235-BB235,"")</f>
        <v/>
      </c>
      <c r="BD235" s="42">
        <f>IF(ISNUMBER(BC235),IF(A235&lt;=FECHA_ERA,"A","B"),"")</f>
        <v/>
      </c>
      <c r="BE235" s="40">
        <f>IF(BD235="A",BC235,"")</f>
        <v/>
      </c>
      <c r="BF235" s="40">
        <f>IF(BD235="B",BC235,"")</f>
        <v/>
      </c>
      <c r="BG235" s="38">
        <f>IF(AND(ISNUMBER(BC235),ISNUMBER(A235)),IF(A235&gt;=INICIO_VIVO,1,0),0)</f>
        <v/>
      </c>
      <c r="BH235" s="40">
        <f>IF(BG235=1,BC235,"")</f>
        <v/>
      </c>
      <c r="BI235" s="38">
        <f>IF(ISNUMBER(AY235),ROW(),0)</f>
        <v/>
      </c>
      <c r="BJ235" s="43">
        <f>IF(ISNUMBER(BC235),SUM(BC$5:BC235)*10000,NA())</f>
        <v/>
      </c>
      <c r="BK235" s="43">
        <f>IF(BG235=1,SUM(BH$5:BH235)*10000,NA())</f>
        <v/>
      </c>
      <c r="BL235" s="44">
        <f>IF(ISNUMBER(AY235),AY235,NA())</f>
        <v/>
      </c>
    </row>
    <row r="236">
      <c r="A236" s="36">
        <f>IF(Datos!A236="","",Datos!A236)</f>
        <v/>
      </c>
      <c r="B236" s="37">
        <f>IF(OR($A236="",NOT(ISNUMBER(Datos!B236)),NOT(ISNUMBER(Datos!B235))),"",Datos!B236/Datos!B235-1)</f>
        <v/>
      </c>
      <c r="C236" s="37">
        <f>IF(OR($A236="",NOT(ISNUMBER(Datos!C236)),NOT(ISNUMBER(Datos!C235))),"",Datos!C236/Datos!C235-1)</f>
        <v/>
      </c>
      <c r="D236" s="37">
        <f>IF(OR($A236="",NOT(ISNUMBER(Datos!D236)),NOT(ISNUMBER(Datos!D235))),"",Datos!D236/Datos!D235-1)</f>
        <v/>
      </c>
      <c r="E236" s="37">
        <f>IF(OR($A236="",NOT(ISNUMBER(Datos!E236)),NOT(ISNUMBER(Datos!E235))),"",Datos!E236/Datos!E235-1)</f>
        <v/>
      </c>
      <c r="F236" s="38">
        <f>IF($A236="","",COUNT(B236:E236))</f>
        <v/>
      </c>
      <c r="G236" s="37">
        <f>IF($A236="","",IF(F236&gt;=MIN_BANCOS,AVERAGE(B236:E236),""))</f>
        <v/>
      </c>
      <c r="H236" s="37">
        <f>IF(OR($A236="",NOT(ISNUMBER(Datos!F236)),NOT(ISNUMBER(Datos!F235))),"",Datos!F236/Datos!F235-1)</f>
        <v/>
      </c>
      <c r="I236" s="39">
        <f>IF($A236="","",IF(ISNUMBER(Datos!G236),Datos!G236,I235))</f>
        <v/>
      </c>
      <c r="J236" s="40">
        <f>IF($A236="","",IF(ISNUMBER(I235),LN(1+I235/100/12),0))</f>
        <v/>
      </c>
      <c r="K236" s="40">
        <f>IF(ISNUMBER(G236),LN(1+G236)-J236,"")</f>
        <v/>
      </c>
      <c r="L236" s="40">
        <f>IF(ISNUMBER(H236),LN(1+H236)-J236,"")</f>
        <v/>
      </c>
      <c r="M236" s="38">
        <f>IF(ISNUMBER(K236),1,0)</f>
        <v/>
      </c>
      <c r="N236" s="40">
        <f>IF(M236=1,K236,0)</f>
        <v/>
      </c>
      <c r="O236" s="38">
        <f>IF(ISNUMBER(L236),1,0)</f>
        <v/>
      </c>
      <c r="P236" s="40">
        <f>IF(O236=1,L236,0)</f>
        <v/>
      </c>
      <c r="Q236" s="38">
        <f>M236*O236</f>
        <v/>
      </c>
      <c r="R236" s="38">
        <f>SUM(Q200:Q235)</f>
        <v/>
      </c>
      <c r="S236" s="41">
        <f>IF(OR($A236="",R236&lt;MIN_OBS_ROLL),"",(SUMPRODUCT(Q200:Q235,N200:N235,P200:P235)/R236-SUMPRODUCT(Q200:Q235,N200:N235)/R236*SUMPRODUCT(Q200:Q235,P200:P235)/R236)*R236/(R236-1))</f>
        <v/>
      </c>
      <c r="T236" s="38">
        <f>SUM(O200:O235)</f>
        <v/>
      </c>
      <c r="U236" s="41">
        <f>IF(OR($A236="",T236&lt;MIN_OBS_ROLL),"",SUMPRODUCT(O200:O235,(P200:P235-SUMPRODUCT(O200:O235,P200:P235)/T236)^2)/(T236-1))</f>
        <v/>
      </c>
      <c r="V236" s="40">
        <f>IF(OR(S236="",U236=""),"",S236/U236)</f>
        <v/>
      </c>
      <c r="W236" s="40">
        <f>IF(AND(ISNUMBER(K236),ISNUMBER(L236),ISNUMBER(V236)),K236-V236*L236,"")</f>
        <v/>
      </c>
      <c r="X236" s="40">
        <f>IF(OR($A236="",NOT(ISNUMBER(Datos!H236)),NOT(ISNUMBER(Datos!H235))),"",LN(Datos!H236)-LN(Datos!H235))</f>
        <v/>
      </c>
      <c r="Y236" s="38">
        <f>IF(ISNUMBER(W236),1,0)</f>
        <v/>
      </c>
      <c r="Z236" s="40">
        <f>IF(Y236=1,W236,0)</f>
        <v/>
      </c>
      <c r="AA236" s="38">
        <f>IF(ISNUMBER(X236),1,0)</f>
        <v/>
      </c>
      <c r="AB236" s="40">
        <f>IF(AA236=1,X236,0)</f>
        <v/>
      </c>
      <c r="AC236" s="38">
        <f>Y236*AA236</f>
        <v/>
      </c>
      <c r="AD236" s="38">
        <f>SUM(AC200:AC235)</f>
        <v/>
      </c>
      <c r="AE236" s="41">
        <f>IF(OR($A236="",AD236&lt;MIN_OBS_ROLL),"",(SUMPRODUCT(AC200:AC235,Z200:Z235,AB200:AB235)/AD236-SUMPRODUCT(AC200:AC235,Z200:Z235)/AD236*SUMPRODUCT(AC200:AC235,AB200:AB235)/AD236)*AD236/(AD236-1))</f>
        <v/>
      </c>
      <c r="AF236" s="38">
        <f>SUM(AA200:AA235)</f>
        <v/>
      </c>
      <c r="AG236" s="41">
        <f>IF(OR($A236="",AF236&lt;MIN_OBS_ROLL),"",SUMPRODUCT(AA200:AA235,(AB200:AB235-SUMPRODUCT(AA200:AA235,AB200:AB235)/AF236)^2)/(AF236-1))</f>
        <v/>
      </c>
      <c r="AH236" s="38">
        <f>SUM(Y200:Y235)</f>
        <v/>
      </c>
      <c r="AI236" s="40">
        <f>IF(OR($A236="",AH236&lt;MIN_OBS_ROLL),"",SUMPRODUCT(Y200:Y235,Z200:Z235)/AH236)</f>
        <v/>
      </c>
      <c r="AJ236" s="40">
        <f>IF(OR($A236="",AF236&lt;MIN_OBS_ROLL),"",SUMPRODUCT(AA200:AA235,AB200:AB235)/AF236)</f>
        <v/>
      </c>
      <c r="AK236" s="40">
        <f>IF(OR(AE236="",AG236=""),"",AE236/AG236)</f>
        <v/>
      </c>
      <c r="AL236" s="40">
        <f>IF(OR(AI236="",AK236="",AJ236=""),"",AI236-AK236*AJ236)</f>
        <v/>
      </c>
      <c r="AM236" s="40">
        <f>IF(AND(ISNUMBER(W236),ISNUMBER(X236),ISNUMBER(AK236),ISNUMBER(AL236)),W236-(AL236+AK236*X236),"")</f>
        <v/>
      </c>
      <c r="AN236" s="38">
        <f>IF(ISNUMBER(AM236),1,0)</f>
        <v/>
      </c>
      <c r="AO236" s="40">
        <f>IF(AN236=1,AM236,0)</f>
        <v/>
      </c>
      <c r="AP236" s="40">
        <f>IF(SUM(AN234:AN236)=3,SUM(AO234:AO236),"")</f>
        <v/>
      </c>
      <c r="AQ236" s="38">
        <f>IF(ISNUMBER(AP236),1,0)</f>
        <v/>
      </c>
      <c r="AR236" s="40">
        <f>IF(AQ236=1,AP236,0)</f>
        <v/>
      </c>
      <c r="AS236" s="38">
        <f>SUM(AQ$5:AQ236)</f>
        <v/>
      </c>
      <c r="AT236" s="40">
        <f>IF(AS236&gt;=MIN_OBS_Z,SUMPRODUCT(AQ$5:AQ236,AR$5:AR236)/AS236,"")</f>
        <v/>
      </c>
      <c r="AU236" s="40">
        <f>IF(AS236&gt;=MIN_OBS_Z,SQRT(SUMPRODUCT(AQ$5:AQ236,(AR$5:AR236-AT236)^2)/(AS236-1)),"")</f>
        <v/>
      </c>
      <c r="AV236" s="40">
        <f>IF(AND(AQ236=1,ISNUMBER(AT236)),MAX(-Z_CLIP,MIN(Z_CLIP,(AR236-AT236)/AU236)),"")</f>
        <v/>
      </c>
      <c r="AW236" s="40">
        <f>IF(ISNUMBER(AV236),-AV236,"")</f>
        <v/>
      </c>
      <c r="AX236" s="40">
        <f>IF(ISNUMBER(AW236),1+AMPLITUD*TANH(AW236),"")</f>
        <v/>
      </c>
      <c r="AY236" s="40">
        <f>IF($A236="","",IF(COUNT(AX234:AX236)&gt;0,AVERAGE(AX234:AX236),""))</f>
        <v/>
      </c>
      <c r="AZ236" s="40">
        <f>IF(ISNUMBER(AY236),AY236-1,"")</f>
        <v/>
      </c>
      <c r="BA236" s="40">
        <f>IF(AND(ISNUMBER(AZ235),ISNUMBER(W236)),AZ235*W_BANCOS*W236,"")</f>
        <v/>
      </c>
      <c r="BB236" s="40">
        <f>IF(AND(ISNUMBER(AZ235),ISNUMBER(AZ234)),ABS(AZ235-AZ234)*W_BANCOS*COSTO,0)</f>
        <v/>
      </c>
      <c r="BC236" s="40">
        <f>IF(ISNUMBER(BA236),BA236-BB236,"")</f>
        <v/>
      </c>
      <c r="BD236" s="42">
        <f>IF(ISNUMBER(BC236),IF(A236&lt;=FECHA_ERA,"A","B"),"")</f>
        <v/>
      </c>
      <c r="BE236" s="40">
        <f>IF(BD236="A",BC236,"")</f>
        <v/>
      </c>
      <c r="BF236" s="40">
        <f>IF(BD236="B",BC236,"")</f>
        <v/>
      </c>
      <c r="BG236" s="38">
        <f>IF(AND(ISNUMBER(BC236),ISNUMBER(A236)),IF(A236&gt;=INICIO_VIVO,1,0),0)</f>
        <v/>
      </c>
      <c r="BH236" s="40">
        <f>IF(BG236=1,BC236,"")</f>
        <v/>
      </c>
      <c r="BI236" s="38">
        <f>IF(ISNUMBER(AY236),ROW(),0)</f>
        <v/>
      </c>
      <c r="BJ236" s="43">
        <f>IF(ISNUMBER(BC236),SUM(BC$5:BC236)*10000,NA())</f>
        <v/>
      </c>
      <c r="BK236" s="43">
        <f>IF(BG236=1,SUM(BH$5:BH236)*10000,NA())</f>
        <v/>
      </c>
      <c r="BL236" s="44">
        <f>IF(ISNUMBER(AY236),AY236,NA())</f>
        <v/>
      </c>
    </row>
    <row r="237">
      <c r="A237" s="36">
        <f>IF(Datos!A237="","",Datos!A237)</f>
        <v/>
      </c>
      <c r="B237" s="37">
        <f>IF(OR($A237="",NOT(ISNUMBER(Datos!B237)),NOT(ISNUMBER(Datos!B236))),"",Datos!B237/Datos!B236-1)</f>
        <v/>
      </c>
      <c r="C237" s="37">
        <f>IF(OR($A237="",NOT(ISNUMBER(Datos!C237)),NOT(ISNUMBER(Datos!C236))),"",Datos!C237/Datos!C236-1)</f>
        <v/>
      </c>
      <c r="D237" s="37">
        <f>IF(OR($A237="",NOT(ISNUMBER(Datos!D237)),NOT(ISNUMBER(Datos!D236))),"",Datos!D237/Datos!D236-1)</f>
        <v/>
      </c>
      <c r="E237" s="37">
        <f>IF(OR($A237="",NOT(ISNUMBER(Datos!E237)),NOT(ISNUMBER(Datos!E236))),"",Datos!E237/Datos!E236-1)</f>
        <v/>
      </c>
      <c r="F237" s="38">
        <f>IF($A237="","",COUNT(B237:E237))</f>
        <v/>
      </c>
      <c r="G237" s="37">
        <f>IF($A237="","",IF(F237&gt;=MIN_BANCOS,AVERAGE(B237:E237),""))</f>
        <v/>
      </c>
      <c r="H237" s="37">
        <f>IF(OR($A237="",NOT(ISNUMBER(Datos!F237)),NOT(ISNUMBER(Datos!F236))),"",Datos!F237/Datos!F236-1)</f>
        <v/>
      </c>
      <c r="I237" s="39">
        <f>IF($A237="","",IF(ISNUMBER(Datos!G237),Datos!G237,I236))</f>
        <v/>
      </c>
      <c r="J237" s="40">
        <f>IF($A237="","",IF(ISNUMBER(I236),LN(1+I236/100/12),0))</f>
        <v/>
      </c>
      <c r="K237" s="40">
        <f>IF(ISNUMBER(G237),LN(1+G237)-J237,"")</f>
        <v/>
      </c>
      <c r="L237" s="40">
        <f>IF(ISNUMBER(H237),LN(1+H237)-J237,"")</f>
        <v/>
      </c>
      <c r="M237" s="38">
        <f>IF(ISNUMBER(K237),1,0)</f>
        <v/>
      </c>
      <c r="N237" s="40">
        <f>IF(M237=1,K237,0)</f>
        <v/>
      </c>
      <c r="O237" s="38">
        <f>IF(ISNUMBER(L237),1,0)</f>
        <v/>
      </c>
      <c r="P237" s="40">
        <f>IF(O237=1,L237,0)</f>
        <v/>
      </c>
      <c r="Q237" s="38">
        <f>M237*O237</f>
        <v/>
      </c>
      <c r="R237" s="38">
        <f>SUM(Q201:Q236)</f>
        <v/>
      </c>
      <c r="S237" s="41">
        <f>IF(OR($A237="",R237&lt;MIN_OBS_ROLL),"",(SUMPRODUCT(Q201:Q236,N201:N236,P201:P236)/R237-SUMPRODUCT(Q201:Q236,N201:N236)/R237*SUMPRODUCT(Q201:Q236,P201:P236)/R237)*R237/(R237-1))</f>
        <v/>
      </c>
      <c r="T237" s="38">
        <f>SUM(O201:O236)</f>
        <v/>
      </c>
      <c r="U237" s="41">
        <f>IF(OR($A237="",T237&lt;MIN_OBS_ROLL),"",SUMPRODUCT(O201:O236,(P201:P236-SUMPRODUCT(O201:O236,P201:P236)/T237)^2)/(T237-1))</f>
        <v/>
      </c>
      <c r="V237" s="40">
        <f>IF(OR(S237="",U237=""),"",S237/U237)</f>
        <v/>
      </c>
      <c r="W237" s="40">
        <f>IF(AND(ISNUMBER(K237),ISNUMBER(L237),ISNUMBER(V237)),K237-V237*L237,"")</f>
        <v/>
      </c>
      <c r="X237" s="40">
        <f>IF(OR($A237="",NOT(ISNUMBER(Datos!H237)),NOT(ISNUMBER(Datos!H236))),"",LN(Datos!H237)-LN(Datos!H236))</f>
        <v/>
      </c>
      <c r="Y237" s="38">
        <f>IF(ISNUMBER(W237),1,0)</f>
        <v/>
      </c>
      <c r="Z237" s="40">
        <f>IF(Y237=1,W237,0)</f>
        <v/>
      </c>
      <c r="AA237" s="38">
        <f>IF(ISNUMBER(X237),1,0)</f>
        <v/>
      </c>
      <c r="AB237" s="40">
        <f>IF(AA237=1,X237,0)</f>
        <v/>
      </c>
      <c r="AC237" s="38">
        <f>Y237*AA237</f>
        <v/>
      </c>
      <c r="AD237" s="38">
        <f>SUM(AC201:AC236)</f>
        <v/>
      </c>
      <c r="AE237" s="41">
        <f>IF(OR($A237="",AD237&lt;MIN_OBS_ROLL),"",(SUMPRODUCT(AC201:AC236,Z201:Z236,AB201:AB236)/AD237-SUMPRODUCT(AC201:AC236,Z201:Z236)/AD237*SUMPRODUCT(AC201:AC236,AB201:AB236)/AD237)*AD237/(AD237-1))</f>
        <v/>
      </c>
      <c r="AF237" s="38">
        <f>SUM(AA201:AA236)</f>
        <v/>
      </c>
      <c r="AG237" s="41">
        <f>IF(OR($A237="",AF237&lt;MIN_OBS_ROLL),"",SUMPRODUCT(AA201:AA236,(AB201:AB236-SUMPRODUCT(AA201:AA236,AB201:AB236)/AF237)^2)/(AF237-1))</f>
        <v/>
      </c>
      <c r="AH237" s="38">
        <f>SUM(Y201:Y236)</f>
        <v/>
      </c>
      <c r="AI237" s="40">
        <f>IF(OR($A237="",AH237&lt;MIN_OBS_ROLL),"",SUMPRODUCT(Y201:Y236,Z201:Z236)/AH237)</f>
        <v/>
      </c>
      <c r="AJ237" s="40">
        <f>IF(OR($A237="",AF237&lt;MIN_OBS_ROLL),"",SUMPRODUCT(AA201:AA236,AB201:AB236)/AF237)</f>
        <v/>
      </c>
      <c r="AK237" s="40">
        <f>IF(OR(AE237="",AG237=""),"",AE237/AG237)</f>
        <v/>
      </c>
      <c r="AL237" s="40">
        <f>IF(OR(AI237="",AK237="",AJ237=""),"",AI237-AK237*AJ237)</f>
        <v/>
      </c>
      <c r="AM237" s="40">
        <f>IF(AND(ISNUMBER(W237),ISNUMBER(X237),ISNUMBER(AK237),ISNUMBER(AL237)),W237-(AL237+AK237*X237),"")</f>
        <v/>
      </c>
      <c r="AN237" s="38">
        <f>IF(ISNUMBER(AM237),1,0)</f>
        <v/>
      </c>
      <c r="AO237" s="40">
        <f>IF(AN237=1,AM237,0)</f>
        <v/>
      </c>
      <c r="AP237" s="40">
        <f>IF(SUM(AN235:AN237)=3,SUM(AO235:AO237),"")</f>
        <v/>
      </c>
      <c r="AQ237" s="38">
        <f>IF(ISNUMBER(AP237),1,0)</f>
        <v/>
      </c>
      <c r="AR237" s="40">
        <f>IF(AQ237=1,AP237,0)</f>
        <v/>
      </c>
      <c r="AS237" s="38">
        <f>SUM(AQ$5:AQ237)</f>
        <v/>
      </c>
      <c r="AT237" s="40">
        <f>IF(AS237&gt;=MIN_OBS_Z,SUMPRODUCT(AQ$5:AQ237,AR$5:AR237)/AS237,"")</f>
        <v/>
      </c>
      <c r="AU237" s="40">
        <f>IF(AS237&gt;=MIN_OBS_Z,SQRT(SUMPRODUCT(AQ$5:AQ237,(AR$5:AR237-AT237)^2)/(AS237-1)),"")</f>
        <v/>
      </c>
      <c r="AV237" s="40">
        <f>IF(AND(AQ237=1,ISNUMBER(AT237)),MAX(-Z_CLIP,MIN(Z_CLIP,(AR237-AT237)/AU237)),"")</f>
        <v/>
      </c>
      <c r="AW237" s="40">
        <f>IF(ISNUMBER(AV237),-AV237,"")</f>
        <v/>
      </c>
      <c r="AX237" s="40">
        <f>IF(ISNUMBER(AW237),1+AMPLITUD*TANH(AW237),"")</f>
        <v/>
      </c>
      <c r="AY237" s="40">
        <f>IF($A237="","",IF(COUNT(AX235:AX237)&gt;0,AVERAGE(AX235:AX237),""))</f>
        <v/>
      </c>
      <c r="AZ237" s="40">
        <f>IF(ISNUMBER(AY237),AY237-1,"")</f>
        <v/>
      </c>
      <c r="BA237" s="40">
        <f>IF(AND(ISNUMBER(AZ236),ISNUMBER(W237)),AZ236*W_BANCOS*W237,"")</f>
        <v/>
      </c>
      <c r="BB237" s="40">
        <f>IF(AND(ISNUMBER(AZ236),ISNUMBER(AZ235)),ABS(AZ236-AZ235)*W_BANCOS*COSTO,0)</f>
        <v/>
      </c>
      <c r="BC237" s="40">
        <f>IF(ISNUMBER(BA237),BA237-BB237,"")</f>
        <v/>
      </c>
      <c r="BD237" s="42">
        <f>IF(ISNUMBER(BC237),IF(A237&lt;=FECHA_ERA,"A","B"),"")</f>
        <v/>
      </c>
      <c r="BE237" s="40">
        <f>IF(BD237="A",BC237,"")</f>
        <v/>
      </c>
      <c r="BF237" s="40">
        <f>IF(BD237="B",BC237,"")</f>
        <v/>
      </c>
      <c r="BG237" s="38">
        <f>IF(AND(ISNUMBER(BC237),ISNUMBER(A237)),IF(A237&gt;=INICIO_VIVO,1,0),0)</f>
        <v/>
      </c>
      <c r="BH237" s="40">
        <f>IF(BG237=1,BC237,"")</f>
        <v/>
      </c>
      <c r="BI237" s="38">
        <f>IF(ISNUMBER(AY237),ROW(),0)</f>
        <v/>
      </c>
      <c r="BJ237" s="43">
        <f>IF(ISNUMBER(BC237),SUM(BC$5:BC237)*10000,NA())</f>
        <v/>
      </c>
      <c r="BK237" s="43">
        <f>IF(BG237=1,SUM(BH$5:BH237)*10000,NA())</f>
        <v/>
      </c>
      <c r="BL237" s="44">
        <f>IF(ISNUMBER(AY237),AY237,NA())</f>
        <v/>
      </c>
    </row>
    <row r="238">
      <c r="A238" s="36">
        <f>IF(Datos!A238="","",Datos!A238)</f>
        <v/>
      </c>
      <c r="B238" s="37">
        <f>IF(OR($A238="",NOT(ISNUMBER(Datos!B238)),NOT(ISNUMBER(Datos!B237))),"",Datos!B238/Datos!B237-1)</f>
        <v/>
      </c>
      <c r="C238" s="37">
        <f>IF(OR($A238="",NOT(ISNUMBER(Datos!C238)),NOT(ISNUMBER(Datos!C237))),"",Datos!C238/Datos!C237-1)</f>
        <v/>
      </c>
      <c r="D238" s="37">
        <f>IF(OR($A238="",NOT(ISNUMBER(Datos!D238)),NOT(ISNUMBER(Datos!D237))),"",Datos!D238/Datos!D237-1)</f>
        <v/>
      </c>
      <c r="E238" s="37">
        <f>IF(OR($A238="",NOT(ISNUMBER(Datos!E238)),NOT(ISNUMBER(Datos!E237))),"",Datos!E238/Datos!E237-1)</f>
        <v/>
      </c>
      <c r="F238" s="38">
        <f>IF($A238="","",COUNT(B238:E238))</f>
        <v/>
      </c>
      <c r="G238" s="37">
        <f>IF($A238="","",IF(F238&gt;=MIN_BANCOS,AVERAGE(B238:E238),""))</f>
        <v/>
      </c>
      <c r="H238" s="37">
        <f>IF(OR($A238="",NOT(ISNUMBER(Datos!F238)),NOT(ISNUMBER(Datos!F237))),"",Datos!F238/Datos!F237-1)</f>
        <v/>
      </c>
      <c r="I238" s="39">
        <f>IF($A238="","",IF(ISNUMBER(Datos!G238),Datos!G238,I237))</f>
        <v/>
      </c>
      <c r="J238" s="40">
        <f>IF($A238="","",IF(ISNUMBER(I237),LN(1+I237/100/12),0))</f>
        <v/>
      </c>
      <c r="K238" s="40">
        <f>IF(ISNUMBER(G238),LN(1+G238)-J238,"")</f>
        <v/>
      </c>
      <c r="L238" s="40">
        <f>IF(ISNUMBER(H238),LN(1+H238)-J238,"")</f>
        <v/>
      </c>
      <c r="M238" s="38">
        <f>IF(ISNUMBER(K238),1,0)</f>
        <v/>
      </c>
      <c r="N238" s="40">
        <f>IF(M238=1,K238,0)</f>
        <v/>
      </c>
      <c r="O238" s="38">
        <f>IF(ISNUMBER(L238),1,0)</f>
        <v/>
      </c>
      <c r="P238" s="40">
        <f>IF(O238=1,L238,0)</f>
        <v/>
      </c>
      <c r="Q238" s="38">
        <f>M238*O238</f>
        <v/>
      </c>
      <c r="R238" s="38">
        <f>SUM(Q202:Q237)</f>
        <v/>
      </c>
      <c r="S238" s="41">
        <f>IF(OR($A238="",R238&lt;MIN_OBS_ROLL),"",(SUMPRODUCT(Q202:Q237,N202:N237,P202:P237)/R238-SUMPRODUCT(Q202:Q237,N202:N237)/R238*SUMPRODUCT(Q202:Q237,P202:P237)/R238)*R238/(R238-1))</f>
        <v/>
      </c>
      <c r="T238" s="38">
        <f>SUM(O202:O237)</f>
        <v/>
      </c>
      <c r="U238" s="41">
        <f>IF(OR($A238="",T238&lt;MIN_OBS_ROLL),"",SUMPRODUCT(O202:O237,(P202:P237-SUMPRODUCT(O202:O237,P202:P237)/T238)^2)/(T238-1))</f>
        <v/>
      </c>
      <c r="V238" s="40">
        <f>IF(OR(S238="",U238=""),"",S238/U238)</f>
        <v/>
      </c>
      <c r="W238" s="40">
        <f>IF(AND(ISNUMBER(K238),ISNUMBER(L238),ISNUMBER(V238)),K238-V238*L238,"")</f>
        <v/>
      </c>
      <c r="X238" s="40">
        <f>IF(OR($A238="",NOT(ISNUMBER(Datos!H238)),NOT(ISNUMBER(Datos!H237))),"",LN(Datos!H238)-LN(Datos!H237))</f>
        <v/>
      </c>
      <c r="Y238" s="38">
        <f>IF(ISNUMBER(W238),1,0)</f>
        <v/>
      </c>
      <c r="Z238" s="40">
        <f>IF(Y238=1,W238,0)</f>
        <v/>
      </c>
      <c r="AA238" s="38">
        <f>IF(ISNUMBER(X238),1,0)</f>
        <v/>
      </c>
      <c r="AB238" s="40">
        <f>IF(AA238=1,X238,0)</f>
        <v/>
      </c>
      <c r="AC238" s="38">
        <f>Y238*AA238</f>
        <v/>
      </c>
      <c r="AD238" s="38">
        <f>SUM(AC202:AC237)</f>
        <v/>
      </c>
      <c r="AE238" s="41">
        <f>IF(OR($A238="",AD238&lt;MIN_OBS_ROLL),"",(SUMPRODUCT(AC202:AC237,Z202:Z237,AB202:AB237)/AD238-SUMPRODUCT(AC202:AC237,Z202:Z237)/AD238*SUMPRODUCT(AC202:AC237,AB202:AB237)/AD238)*AD238/(AD238-1))</f>
        <v/>
      </c>
      <c r="AF238" s="38">
        <f>SUM(AA202:AA237)</f>
        <v/>
      </c>
      <c r="AG238" s="41">
        <f>IF(OR($A238="",AF238&lt;MIN_OBS_ROLL),"",SUMPRODUCT(AA202:AA237,(AB202:AB237-SUMPRODUCT(AA202:AA237,AB202:AB237)/AF238)^2)/(AF238-1))</f>
        <v/>
      </c>
      <c r="AH238" s="38">
        <f>SUM(Y202:Y237)</f>
        <v/>
      </c>
      <c r="AI238" s="40">
        <f>IF(OR($A238="",AH238&lt;MIN_OBS_ROLL),"",SUMPRODUCT(Y202:Y237,Z202:Z237)/AH238)</f>
        <v/>
      </c>
      <c r="AJ238" s="40">
        <f>IF(OR($A238="",AF238&lt;MIN_OBS_ROLL),"",SUMPRODUCT(AA202:AA237,AB202:AB237)/AF238)</f>
        <v/>
      </c>
      <c r="AK238" s="40">
        <f>IF(OR(AE238="",AG238=""),"",AE238/AG238)</f>
        <v/>
      </c>
      <c r="AL238" s="40">
        <f>IF(OR(AI238="",AK238="",AJ238=""),"",AI238-AK238*AJ238)</f>
        <v/>
      </c>
      <c r="AM238" s="40">
        <f>IF(AND(ISNUMBER(W238),ISNUMBER(X238),ISNUMBER(AK238),ISNUMBER(AL238)),W238-(AL238+AK238*X238),"")</f>
        <v/>
      </c>
      <c r="AN238" s="38">
        <f>IF(ISNUMBER(AM238),1,0)</f>
        <v/>
      </c>
      <c r="AO238" s="40">
        <f>IF(AN238=1,AM238,0)</f>
        <v/>
      </c>
      <c r="AP238" s="40">
        <f>IF(SUM(AN236:AN238)=3,SUM(AO236:AO238),"")</f>
        <v/>
      </c>
      <c r="AQ238" s="38">
        <f>IF(ISNUMBER(AP238),1,0)</f>
        <v/>
      </c>
      <c r="AR238" s="40">
        <f>IF(AQ238=1,AP238,0)</f>
        <v/>
      </c>
      <c r="AS238" s="38">
        <f>SUM(AQ$5:AQ238)</f>
        <v/>
      </c>
      <c r="AT238" s="40">
        <f>IF(AS238&gt;=MIN_OBS_Z,SUMPRODUCT(AQ$5:AQ238,AR$5:AR238)/AS238,"")</f>
        <v/>
      </c>
      <c r="AU238" s="40">
        <f>IF(AS238&gt;=MIN_OBS_Z,SQRT(SUMPRODUCT(AQ$5:AQ238,(AR$5:AR238-AT238)^2)/(AS238-1)),"")</f>
        <v/>
      </c>
      <c r="AV238" s="40">
        <f>IF(AND(AQ238=1,ISNUMBER(AT238)),MAX(-Z_CLIP,MIN(Z_CLIP,(AR238-AT238)/AU238)),"")</f>
        <v/>
      </c>
      <c r="AW238" s="40">
        <f>IF(ISNUMBER(AV238),-AV238,"")</f>
        <v/>
      </c>
      <c r="AX238" s="40">
        <f>IF(ISNUMBER(AW238),1+AMPLITUD*TANH(AW238),"")</f>
        <v/>
      </c>
      <c r="AY238" s="40">
        <f>IF($A238="","",IF(COUNT(AX236:AX238)&gt;0,AVERAGE(AX236:AX238),""))</f>
        <v/>
      </c>
      <c r="AZ238" s="40">
        <f>IF(ISNUMBER(AY238),AY238-1,"")</f>
        <v/>
      </c>
      <c r="BA238" s="40">
        <f>IF(AND(ISNUMBER(AZ237),ISNUMBER(W238)),AZ237*W_BANCOS*W238,"")</f>
        <v/>
      </c>
      <c r="BB238" s="40">
        <f>IF(AND(ISNUMBER(AZ237),ISNUMBER(AZ236)),ABS(AZ237-AZ236)*W_BANCOS*COSTO,0)</f>
        <v/>
      </c>
      <c r="BC238" s="40">
        <f>IF(ISNUMBER(BA238),BA238-BB238,"")</f>
        <v/>
      </c>
      <c r="BD238" s="42">
        <f>IF(ISNUMBER(BC238),IF(A238&lt;=FECHA_ERA,"A","B"),"")</f>
        <v/>
      </c>
      <c r="BE238" s="40">
        <f>IF(BD238="A",BC238,"")</f>
        <v/>
      </c>
      <c r="BF238" s="40">
        <f>IF(BD238="B",BC238,"")</f>
        <v/>
      </c>
      <c r="BG238" s="38">
        <f>IF(AND(ISNUMBER(BC238),ISNUMBER(A238)),IF(A238&gt;=INICIO_VIVO,1,0),0)</f>
        <v/>
      </c>
      <c r="BH238" s="40">
        <f>IF(BG238=1,BC238,"")</f>
        <v/>
      </c>
      <c r="BI238" s="38">
        <f>IF(ISNUMBER(AY238),ROW(),0)</f>
        <v/>
      </c>
      <c r="BJ238" s="43">
        <f>IF(ISNUMBER(BC238),SUM(BC$5:BC238)*10000,NA())</f>
        <v/>
      </c>
      <c r="BK238" s="43">
        <f>IF(BG238=1,SUM(BH$5:BH238)*10000,NA())</f>
        <v/>
      </c>
      <c r="BL238" s="44">
        <f>IF(ISNUMBER(AY238),AY238,NA())</f>
        <v/>
      </c>
    </row>
    <row r="239">
      <c r="A239" s="36">
        <f>IF(Datos!A239="","",Datos!A239)</f>
        <v/>
      </c>
      <c r="B239" s="37">
        <f>IF(OR($A239="",NOT(ISNUMBER(Datos!B239)),NOT(ISNUMBER(Datos!B238))),"",Datos!B239/Datos!B238-1)</f>
        <v/>
      </c>
      <c r="C239" s="37">
        <f>IF(OR($A239="",NOT(ISNUMBER(Datos!C239)),NOT(ISNUMBER(Datos!C238))),"",Datos!C239/Datos!C238-1)</f>
        <v/>
      </c>
      <c r="D239" s="37">
        <f>IF(OR($A239="",NOT(ISNUMBER(Datos!D239)),NOT(ISNUMBER(Datos!D238))),"",Datos!D239/Datos!D238-1)</f>
        <v/>
      </c>
      <c r="E239" s="37">
        <f>IF(OR($A239="",NOT(ISNUMBER(Datos!E239)),NOT(ISNUMBER(Datos!E238))),"",Datos!E239/Datos!E238-1)</f>
        <v/>
      </c>
      <c r="F239" s="38">
        <f>IF($A239="","",COUNT(B239:E239))</f>
        <v/>
      </c>
      <c r="G239" s="37">
        <f>IF($A239="","",IF(F239&gt;=MIN_BANCOS,AVERAGE(B239:E239),""))</f>
        <v/>
      </c>
      <c r="H239" s="37">
        <f>IF(OR($A239="",NOT(ISNUMBER(Datos!F239)),NOT(ISNUMBER(Datos!F238))),"",Datos!F239/Datos!F238-1)</f>
        <v/>
      </c>
      <c r="I239" s="39">
        <f>IF($A239="","",IF(ISNUMBER(Datos!G239),Datos!G239,I238))</f>
        <v/>
      </c>
      <c r="J239" s="40">
        <f>IF($A239="","",IF(ISNUMBER(I238),LN(1+I238/100/12),0))</f>
        <v/>
      </c>
      <c r="K239" s="40">
        <f>IF(ISNUMBER(G239),LN(1+G239)-J239,"")</f>
        <v/>
      </c>
      <c r="L239" s="40">
        <f>IF(ISNUMBER(H239),LN(1+H239)-J239,"")</f>
        <v/>
      </c>
      <c r="M239" s="38">
        <f>IF(ISNUMBER(K239),1,0)</f>
        <v/>
      </c>
      <c r="N239" s="40">
        <f>IF(M239=1,K239,0)</f>
        <v/>
      </c>
      <c r="O239" s="38">
        <f>IF(ISNUMBER(L239),1,0)</f>
        <v/>
      </c>
      <c r="P239" s="40">
        <f>IF(O239=1,L239,0)</f>
        <v/>
      </c>
      <c r="Q239" s="38">
        <f>M239*O239</f>
        <v/>
      </c>
      <c r="R239" s="38">
        <f>SUM(Q203:Q238)</f>
        <v/>
      </c>
      <c r="S239" s="41">
        <f>IF(OR($A239="",R239&lt;MIN_OBS_ROLL),"",(SUMPRODUCT(Q203:Q238,N203:N238,P203:P238)/R239-SUMPRODUCT(Q203:Q238,N203:N238)/R239*SUMPRODUCT(Q203:Q238,P203:P238)/R239)*R239/(R239-1))</f>
        <v/>
      </c>
      <c r="T239" s="38">
        <f>SUM(O203:O238)</f>
        <v/>
      </c>
      <c r="U239" s="41">
        <f>IF(OR($A239="",T239&lt;MIN_OBS_ROLL),"",SUMPRODUCT(O203:O238,(P203:P238-SUMPRODUCT(O203:O238,P203:P238)/T239)^2)/(T239-1))</f>
        <v/>
      </c>
      <c r="V239" s="40">
        <f>IF(OR(S239="",U239=""),"",S239/U239)</f>
        <v/>
      </c>
      <c r="W239" s="40">
        <f>IF(AND(ISNUMBER(K239),ISNUMBER(L239),ISNUMBER(V239)),K239-V239*L239,"")</f>
        <v/>
      </c>
      <c r="X239" s="40">
        <f>IF(OR($A239="",NOT(ISNUMBER(Datos!H239)),NOT(ISNUMBER(Datos!H238))),"",LN(Datos!H239)-LN(Datos!H238))</f>
        <v/>
      </c>
      <c r="Y239" s="38">
        <f>IF(ISNUMBER(W239),1,0)</f>
        <v/>
      </c>
      <c r="Z239" s="40">
        <f>IF(Y239=1,W239,0)</f>
        <v/>
      </c>
      <c r="AA239" s="38">
        <f>IF(ISNUMBER(X239),1,0)</f>
        <v/>
      </c>
      <c r="AB239" s="40">
        <f>IF(AA239=1,X239,0)</f>
        <v/>
      </c>
      <c r="AC239" s="38">
        <f>Y239*AA239</f>
        <v/>
      </c>
      <c r="AD239" s="38">
        <f>SUM(AC203:AC238)</f>
        <v/>
      </c>
      <c r="AE239" s="41">
        <f>IF(OR($A239="",AD239&lt;MIN_OBS_ROLL),"",(SUMPRODUCT(AC203:AC238,Z203:Z238,AB203:AB238)/AD239-SUMPRODUCT(AC203:AC238,Z203:Z238)/AD239*SUMPRODUCT(AC203:AC238,AB203:AB238)/AD239)*AD239/(AD239-1))</f>
        <v/>
      </c>
      <c r="AF239" s="38">
        <f>SUM(AA203:AA238)</f>
        <v/>
      </c>
      <c r="AG239" s="41">
        <f>IF(OR($A239="",AF239&lt;MIN_OBS_ROLL),"",SUMPRODUCT(AA203:AA238,(AB203:AB238-SUMPRODUCT(AA203:AA238,AB203:AB238)/AF239)^2)/(AF239-1))</f>
        <v/>
      </c>
      <c r="AH239" s="38">
        <f>SUM(Y203:Y238)</f>
        <v/>
      </c>
      <c r="AI239" s="40">
        <f>IF(OR($A239="",AH239&lt;MIN_OBS_ROLL),"",SUMPRODUCT(Y203:Y238,Z203:Z238)/AH239)</f>
        <v/>
      </c>
      <c r="AJ239" s="40">
        <f>IF(OR($A239="",AF239&lt;MIN_OBS_ROLL),"",SUMPRODUCT(AA203:AA238,AB203:AB238)/AF239)</f>
        <v/>
      </c>
      <c r="AK239" s="40">
        <f>IF(OR(AE239="",AG239=""),"",AE239/AG239)</f>
        <v/>
      </c>
      <c r="AL239" s="40">
        <f>IF(OR(AI239="",AK239="",AJ239=""),"",AI239-AK239*AJ239)</f>
        <v/>
      </c>
      <c r="AM239" s="40">
        <f>IF(AND(ISNUMBER(W239),ISNUMBER(X239),ISNUMBER(AK239),ISNUMBER(AL239)),W239-(AL239+AK239*X239),"")</f>
        <v/>
      </c>
      <c r="AN239" s="38">
        <f>IF(ISNUMBER(AM239),1,0)</f>
        <v/>
      </c>
      <c r="AO239" s="40">
        <f>IF(AN239=1,AM239,0)</f>
        <v/>
      </c>
      <c r="AP239" s="40">
        <f>IF(SUM(AN237:AN239)=3,SUM(AO237:AO239),"")</f>
        <v/>
      </c>
      <c r="AQ239" s="38">
        <f>IF(ISNUMBER(AP239),1,0)</f>
        <v/>
      </c>
      <c r="AR239" s="40">
        <f>IF(AQ239=1,AP239,0)</f>
        <v/>
      </c>
      <c r="AS239" s="38">
        <f>SUM(AQ$5:AQ239)</f>
        <v/>
      </c>
      <c r="AT239" s="40">
        <f>IF(AS239&gt;=MIN_OBS_Z,SUMPRODUCT(AQ$5:AQ239,AR$5:AR239)/AS239,"")</f>
        <v/>
      </c>
      <c r="AU239" s="40">
        <f>IF(AS239&gt;=MIN_OBS_Z,SQRT(SUMPRODUCT(AQ$5:AQ239,(AR$5:AR239-AT239)^2)/(AS239-1)),"")</f>
        <v/>
      </c>
      <c r="AV239" s="40">
        <f>IF(AND(AQ239=1,ISNUMBER(AT239)),MAX(-Z_CLIP,MIN(Z_CLIP,(AR239-AT239)/AU239)),"")</f>
        <v/>
      </c>
      <c r="AW239" s="40">
        <f>IF(ISNUMBER(AV239),-AV239,"")</f>
        <v/>
      </c>
      <c r="AX239" s="40">
        <f>IF(ISNUMBER(AW239),1+AMPLITUD*TANH(AW239),"")</f>
        <v/>
      </c>
      <c r="AY239" s="40">
        <f>IF($A239="","",IF(COUNT(AX237:AX239)&gt;0,AVERAGE(AX237:AX239),""))</f>
        <v/>
      </c>
      <c r="AZ239" s="40">
        <f>IF(ISNUMBER(AY239),AY239-1,"")</f>
        <v/>
      </c>
      <c r="BA239" s="40">
        <f>IF(AND(ISNUMBER(AZ238),ISNUMBER(W239)),AZ238*W_BANCOS*W239,"")</f>
        <v/>
      </c>
      <c r="BB239" s="40">
        <f>IF(AND(ISNUMBER(AZ238),ISNUMBER(AZ237)),ABS(AZ238-AZ237)*W_BANCOS*COSTO,0)</f>
        <v/>
      </c>
      <c r="BC239" s="40">
        <f>IF(ISNUMBER(BA239),BA239-BB239,"")</f>
        <v/>
      </c>
      <c r="BD239" s="42">
        <f>IF(ISNUMBER(BC239),IF(A239&lt;=FECHA_ERA,"A","B"),"")</f>
        <v/>
      </c>
      <c r="BE239" s="40">
        <f>IF(BD239="A",BC239,"")</f>
        <v/>
      </c>
      <c r="BF239" s="40">
        <f>IF(BD239="B",BC239,"")</f>
        <v/>
      </c>
      <c r="BG239" s="38">
        <f>IF(AND(ISNUMBER(BC239),ISNUMBER(A239)),IF(A239&gt;=INICIO_VIVO,1,0),0)</f>
        <v/>
      </c>
      <c r="BH239" s="40">
        <f>IF(BG239=1,BC239,"")</f>
        <v/>
      </c>
      <c r="BI239" s="38">
        <f>IF(ISNUMBER(AY239),ROW(),0)</f>
        <v/>
      </c>
      <c r="BJ239" s="43">
        <f>IF(ISNUMBER(BC239),SUM(BC$5:BC239)*10000,NA())</f>
        <v/>
      </c>
      <c r="BK239" s="43">
        <f>IF(BG239=1,SUM(BH$5:BH239)*10000,NA())</f>
        <v/>
      </c>
      <c r="BL239" s="44">
        <f>IF(ISNUMBER(AY239),AY239,NA())</f>
        <v/>
      </c>
    </row>
    <row r="240">
      <c r="A240" s="36">
        <f>IF(Datos!A240="","",Datos!A240)</f>
        <v/>
      </c>
      <c r="B240" s="37">
        <f>IF(OR($A240="",NOT(ISNUMBER(Datos!B240)),NOT(ISNUMBER(Datos!B239))),"",Datos!B240/Datos!B239-1)</f>
        <v/>
      </c>
      <c r="C240" s="37">
        <f>IF(OR($A240="",NOT(ISNUMBER(Datos!C240)),NOT(ISNUMBER(Datos!C239))),"",Datos!C240/Datos!C239-1)</f>
        <v/>
      </c>
      <c r="D240" s="37">
        <f>IF(OR($A240="",NOT(ISNUMBER(Datos!D240)),NOT(ISNUMBER(Datos!D239))),"",Datos!D240/Datos!D239-1)</f>
        <v/>
      </c>
      <c r="E240" s="37">
        <f>IF(OR($A240="",NOT(ISNUMBER(Datos!E240)),NOT(ISNUMBER(Datos!E239))),"",Datos!E240/Datos!E239-1)</f>
        <v/>
      </c>
      <c r="F240" s="38">
        <f>IF($A240="","",COUNT(B240:E240))</f>
        <v/>
      </c>
      <c r="G240" s="37">
        <f>IF($A240="","",IF(F240&gt;=MIN_BANCOS,AVERAGE(B240:E240),""))</f>
        <v/>
      </c>
      <c r="H240" s="37">
        <f>IF(OR($A240="",NOT(ISNUMBER(Datos!F240)),NOT(ISNUMBER(Datos!F239))),"",Datos!F240/Datos!F239-1)</f>
        <v/>
      </c>
      <c r="I240" s="39">
        <f>IF($A240="","",IF(ISNUMBER(Datos!G240),Datos!G240,I239))</f>
        <v/>
      </c>
      <c r="J240" s="40">
        <f>IF($A240="","",IF(ISNUMBER(I239),LN(1+I239/100/12),0))</f>
        <v/>
      </c>
      <c r="K240" s="40">
        <f>IF(ISNUMBER(G240),LN(1+G240)-J240,"")</f>
        <v/>
      </c>
      <c r="L240" s="40">
        <f>IF(ISNUMBER(H240),LN(1+H240)-J240,"")</f>
        <v/>
      </c>
      <c r="M240" s="38">
        <f>IF(ISNUMBER(K240),1,0)</f>
        <v/>
      </c>
      <c r="N240" s="40">
        <f>IF(M240=1,K240,0)</f>
        <v/>
      </c>
      <c r="O240" s="38">
        <f>IF(ISNUMBER(L240),1,0)</f>
        <v/>
      </c>
      <c r="P240" s="40">
        <f>IF(O240=1,L240,0)</f>
        <v/>
      </c>
      <c r="Q240" s="38">
        <f>M240*O240</f>
        <v/>
      </c>
      <c r="R240" s="38">
        <f>SUM(Q204:Q239)</f>
        <v/>
      </c>
      <c r="S240" s="41">
        <f>IF(OR($A240="",R240&lt;MIN_OBS_ROLL),"",(SUMPRODUCT(Q204:Q239,N204:N239,P204:P239)/R240-SUMPRODUCT(Q204:Q239,N204:N239)/R240*SUMPRODUCT(Q204:Q239,P204:P239)/R240)*R240/(R240-1))</f>
        <v/>
      </c>
      <c r="T240" s="38">
        <f>SUM(O204:O239)</f>
        <v/>
      </c>
      <c r="U240" s="41">
        <f>IF(OR($A240="",T240&lt;MIN_OBS_ROLL),"",SUMPRODUCT(O204:O239,(P204:P239-SUMPRODUCT(O204:O239,P204:P239)/T240)^2)/(T240-1))</f>
        <v/>
      </c>
      <c r="V240" s="40">
        <f>IF(OR(S240="",U240=""),"",S240/U240)</f>
        <v/>
      </c>
      <c r="W240" s="40">
        <f>IF(AND(ISNUMBER(K240),ISNUMBER(L240),ISNUMBER(V240)),K240-V240*L240,"")</f>
        <v/>
      </c>
      <c r="X240" s="40">
        <f>IF(OR($A240="",NOT(ISNUMBER(Datos!H240)),NOT(ISNUMBER(Datos!H239))),"",LN(Datos!H240)-LN(Datos!H239))</f>
        <v/>
      </c>
      <c r="Y240" s="38">
        <f>IF(ISNUMBER(W240),1,0)</f>
        <v/>
      </c>
      <c r="Z240" s="40">
        <f>IF(Y240=1,W240,0)</f>
        <v/>
      </c>
      <c r="AA240" s="38">
        <f>IF(ISNUMBER(X240),1,0)</f>
        <v/>
      </c>
      <c r="AB240" s="40">
        <f>IF(AA240=1,X240,0)</f>
        <v/>
      </c>
      <c r="AC240" s="38">
        <f>Y240*AA240</f>
        <v/>
      </c>
      <c r="AD240" s="38">
        <f>SUM(AC204:AC239)</f>
        <v/>
      </c>
      <c r="AE240" s="41">
        <f>IF(OR($A240="",AD240&lt;MIN_OBS_ROLL),"",(SUMPRODUCT(AC204:AC239,Z204:Z239,AB204:AB239)/AD240-SUMPRODUCT(AC204:AC239,Z204:Z239)/AD240*SUMPRODUCT(AC204:AC239,AB204:AB239)/AD240)*AD240/(AD240-1))</f>
        <v/>
      </c>
      <c r="AF240" s="38">
        <f>SUM(AA204:AA239)</f>
        <v/>
      </c>
      <c r="AG240" s="41">
        <f>IF(OR($A240="",AF240&lt;MIN_OBS_ROLL),"",SUMPRODUCT(AA204:AA239,(AB204:AB239-SUMPRODUCT(AA204:AA239,AB204:AB239)/AF240)^2)/(AF240-1))</f>
        <v/>
      </c>
      <c r="AH240" s="38">
        <f>SUM(Y204:Y239)</f>
        <v/>
      </c>
      <c r="AI240" s="40">
        <f>IF(OR($A240="",AH240&lt;MIN_OBS_ROLL),"",SUMPRODUCT(Y204:Y239,Z204:Z239)/AH240)</f>
        <v/>
      </c>
      <c r="AJ240" s="40">
        <f>IF(OR($A240="",AF240&lt;MIN_OBS_ROLL),"",SUMPRODUCT(AA204:AA239,AB204:AB239)/AF240)</f>
        <v/>
      </c>
      <c r="AK240" s="40">
        <f>IF(OR(AE240="",AG240=""),"",AE240/AG240)</f>
        <v/>
      </c>
      <c r="AL240" s="40">
        <f>IF(OR(AI240="",AK240="",AJ240=""),"",AI240-AK240*AJ240)</f>
        <v/>
      </c>
      <c r="AM240" s="40">
        <f>IF(AND(ISNUMBER(W240),ISNUMBER(X240),ISNUMBER(AK240),ISNUMBER(AL240)),W240-(AL240+AK240*X240),"")</f>
        <v/>
      </c>
      <c r="AN240" s="38">
        <f>IF(ISNUMBER(AM240),1,0)</f>
        <v/>
      </c>
      <c r="AO240" s="40">
        <f>IF(AN240=1,AM240,0)</f>
        <v/>
      </c>
      <c r="AP240" s="40">
        <f>IF(SUM(AN238:AN240)=3,SUM(AO238:AO240),"")</f>
        <v/>
      </c>
      <c r="AQ240" s="38">
        <f>IF(ISNUMBER(AP240),1,0)</f>
        <v/>
      </c>
      <c r="AR240" s="40">
        <f>IF(AQ240=1,AP240,0)</f>
        <v/>
      </c>
      <c r="AS240" s="38">
        <f>SUM(AQ$5:AQ240)</f>
        <v/>
      </c>
      <c r="AT240" s="40">
        <f>IF(AS240&gt;=MIN_OBS_Z,SUMPRODUCT(AQ$5:AQ240,AR$5:AR240)/AS240,"")</f>
        <v/>
      </c>
      <c r="AU240" s="40">
        <f>IF(AS240&gt;=MIN_OBS_Z,SQRT(SUMPRODUCT(AQ$5:AQ240,(AR$5:AR240-AT240)^2)/(AS240-1)),"")</f>
        <v/>
      </c>
      <c r="AV240" s="40">
        <f>IF(AND(AQ240=1,ISNUMBER(AT240)),MAX(-Z_CLIP,MIN(Z_CLIP,(AR240-AT240)/AU240)),"")</f>
        <v/>
      </c>
      <c r="AW240" s="40">
        <f>IF(ISNUMBER(AV240),-AV240,"")</f>
        <v/>
      </c>
      <c r="AX240" s="40">
        <f>IF(ISNUMBER(AW240),1+AMPLITUD*TANH(AW240),"")</f>
        <v/>
      </c>
      <c r="AY240" s="40">
        <f>IF($A240="","",IF(COUNT(AX238:AX240)&gt;0,AVERAGE(AX238:AX240),""))</f>
        <v/>
      </c>
      <c r="AZ240" s="40">
        <f>IF(ISNUMBER(AY240),AY240-1,"")</f>
        <v/>
      </c>
      <c r="BA240" s="40">
        <f>IF(AND(ISNUMBER(AZ239),ISNUMBER(W240)),AZ239*W_BANCOS*W240,"")</f>
        <v/>
      </c>
      <c r="BB240" s="40">
        <f>IF(AND(ISNUMBER(AZ239),ISNUMBER(AZ238)),ABS(AZ239-AZ238)*W_BANCOS*COSTO,0)</f>
        <v/>
      </c>
      <c r="BC240" s="40">
        <f>IF(ISNUMBER(BA240),BA240-BB240,"")</f>
        <v/>
      </c>
      <c r="BD240" s="42">
        <f>IF(ISNUMBER(BC240),IF(A240&lt;=FECHA_ERA,"A","B"),"")</f>
        <v/>
      </c>
      <c r="BE240" s="40">
        <f>IF(BD240="A",BC240,"")</f>
        <v/>
      </c>
      <c r="BF240" s="40">
        <f>IF(BD240="B",BC240,"")</f>
        <v/>
      </c>
      <c r="BG240" s="38">
        <f>IF(AND(ISNUMBER(BC240),ISNUMBER(A240)),IF(A240&gt;=INICIO_VIVO,1,0),0)</f>
        <v/>
      </c>
      <c r="BH240" s="40">
        <f>IF(BG240=1,BC240,"")</f>
        <v/>
      </c>
      <c r="BI240" s="38">
        <f>IF(ISNUMBER(AY240),ROW(),0)</f>
        <v/>
      </c>
      <c r="BJ240" s="43">
        <f>IF(ISNUMBER(BC240),SUM(BC$5:BC240)*10000,NA())</f>
        <v/>
      </c>
      <c r="BK240" s="43">
        <f>IF(BG240=1,SUM(BH$5:BH240)*10000,NA())</f>
        <v/>
      </c>
      <c r="BL240" s="44">
        <f>IF(ISNUMBER(AY240),AY240,NA())</f>
        <v/>
      </c>
    </row>
    <row r="241">
      <c r="A241" s="36">
        <f>IF(Datos!A241="","",Datos!A241)</f>
        <v/>
      </c>
      <c r="B241" s="37">
        <f>IF(OR($A241="",NOT(ISNUMBER(Datos!B241)),NOT(ISNUMBER(Datos!B240))),"",Datos!B241/Datos!B240-1)</f>
        <v/>
      </c>
      <c r="C241" s="37">
        <f>IF(OR($A241="",NOT(ISNUMBER(Datos!C241)),NOT(ISNUMBER(Datos!C240))),"",Datos!C241/Datos!C240-1)</f>
        <v/>
      </c>
      <c r="D241" s="37">
        <f>IF(OR($A241="",NOT(ISNUMBER(Datos!D241)),NOT(ISNUMBER(Datos!D240))),"",Datos!D241/Datos!D240-1)</f>
        <v/>
      </c>
      <c r="E241" s="37">
        <f>IF(OR($A241="",NOT(ISNUMBER(Datos!E241)),NOT(ISNUMBER(Datos!E240))),"",Datos!E241/Datos!E240-1)</f>
        <v/>
      </c>
      <c r="F241" s="38">
        <f>IF($A241="","",COUNT(B241:E241))</f>
        <v/>
      </c>
      <c r="G241" s="37">
        <f>IF($A241="","",IF(F241&gt;=MIN_BANCOS,AVERAGE(B241:E241),""))</f>
        <v/>
      </c>
      <c r="H241" s="37">
        <f>IF(OR($A241="",NOT(ISNUMBER(Datos!F241)),NOT(ISNUMBER(Datos!F240))),"",Datos!F241/Datos!F240-1)</f>
        <v/>
      </c>
      <c r="I241" s="39">
        <f>IF($A241="","",IF(ISNUMBER(Datos!G241),Datos!G241,I240))</f>
        <v/>
      </c>
      <c r="J241" s="40">
        <f>IF($A241="","",IF(ISNUMBER(I240),LN(1+I240/100/12),0))</f>
        <v/>
      </c>
      <c r="K241" s="40">
        <f>IF(ISNUMBER(G241),LN(1+G241)-J241,"")</f>
        <v/>
      </c>
      <c r="L241" s="40">
        <f>IF(ISNUMBER(H241),LN(1+H241)-J241,"")</f>
        <v/>
      </c>
      <c r="M241" s="38">
        <f>IF(ISNUMBER(K241),1,0)</f>
        <v/>
      </c>
      <c r="N241" s="40">
        <f>IF(M241=1,K241,0)</f>
        <v/>
      </c>
      <c r="O241" s="38">
        <f>IF(ISNUMBER(L241),1,0)</f>
        <v/>
      </c>
      <c r="P241" s="40">
        <f>IF(O241=1,L241,0)</f>
        <v/>
      </c>
      <c r="Q241" s="38">
        <f>M241*O241</f>
        <v/>
      </c>
      <c r="R241" s="38">
        <f>SUM(Q205:Q240)</f>
        <v/>
      </c>
      <c r="S241" s="41">
        <f>IF(OR($A241="",R241&lt;MIN_OBS_ROLL),"",(SUMPRODUCT(Q205:Q240,N205:N240,P205:P240)/R241-SUMPRODUCT(Q205:Q240,N205:N240)/R241*SUMPRODUCT(Q205:Q240,P205:P240)/R241)*R241/(R241-1))</f>
        <v/>
      </c>
      <c r="T241" s="38">
        <f>SUM(O205:O240)</f>
        <v/>
      </c>
      <c r="U241" s="41">
        <f>IF(OR($A241="",T241&lt;MIN_OBS_ROLL),"",SUMPRODUCT(O205:O240,(P205:P240-SUMPRODUCT(O205:O240,P205:P240)/T241)^2)/(T241-1))</f>
        <v/>
      </c>
      <c r="V241" s="40">
        <f>IF(OR(S241="",U241=""),"",S241/U241)</f>
        <v/>
      </c>
      <c r="W241" s="40">
        <f>IF(AND(ISNUMBER(K241),ISNUMBER(L241),ISNUMBER(V241)),K241-V241*L241,"")</f>
        <v/>
      </c>
      <c r="X241" s="40">
        <f>IF(OR($A241="",NOT(ISNUMBER(Datos!H241)),NOT(ISNUMBER(Datos!H240))),"",LN(Datos!H241)-LN(Datos!H240))</f>
        <v/>
      </c>
      <c r="Y241" s="38">
        <f>IF(ISNUMBER(W241),1,0)</f>
        <v/>
      </c>
      <c r="Z241" s="40">
        <f>IF(Y241=1,W241,0)</f>
        <v/>
      </c>
      <c r="AA241" s="38">
        <f>IF(ISNUMBER(X241),1,0)</f>
        <v/>
      </c>
      <c r="AB241" s="40">
        <f>IF(AA241=1,X241,0)</f>
        <v/>
      </c>
      <c r="AC241" s="38">
        <f>Y241*AA241</f>
        <v/>
      </c>
      <c r="AD241" s="38">
        <f>SUM(AC205:AC240)</f>
        <v/>
      </c>
      <c r="AE241" s="41">
        <f>IF(OR($A241="",AD241&lt;MIN_OBS_ROLL),"",(SUMPRODUCT(AC205:AC240,Z205:Z240,AB205:AB240)/AD241-SUMPRODUCT(AC205:AC240,Z205:Z240)/AD241*SUMPRODUCT(AC205:AC240,AB205:AB240)/AD241)*AD241/(AD241-1))</f>
        <v/>
      </c>
      <c r="AF241" s="38">
        <f>SUM(AA205:AA240)</f>
        <v/>
      </c>
      <c r="AG241" s="41">
        <f>IF(OR($A241="",AF241&lt;MIN_OBS_ROLL),"",SUMPRODUCT(AA205:AA240,(AB205:AB240-SUMPRODUCT(AA205:AA240,AB205:AB240)/AF241)^2)/(AF241-1))</f>
        <v/>
      </c>
      <c r="AH241" s="38">
        <f>SUM(Y205:Y240)</f>
        <v/>
      </c>
      <c r="AI241" s="40">
        <f>IF(OR($A241="",AH241&lt;MIN_OBS_ROLL),"",SUMPRODUCT(Y205:Y240,Z205:Z240)/AH241)</f>
        <v/>
      </c>
      <c r="AJ241" s="40">
        <f>IF(OR($A241="",AF241&lt;MIN_OBS_ROLL),"",SUMPRODUCT(AA205:AA240,AB205:AB240)/AF241)</f>
        <v/>
      </c>
      <c r="AK241" s="40">
        <f>IF(OR(AE241="",AG241=""),"",AE241/AG241)</f>
        <v/>
      </c>
      <c r="AL241" s="40">
        <f>IF(OR(AI241="",AK241="",AJ241=""),"",AI241-AK241*AJ241)</f>
        <v/>
      </c>
      <c r="AM241" s="40">
        <f>IF(AND(ISNUMBER(W241),ISNUMBER(X241),ISNUMBER(AK241),ISNUMBER(AL241)),W241-(AL241+AK241*X241),"")</f>
        <v/>
      </c>
      <c r="AN241" s="38">
        <f>IF(ISNUMBER(AM241),1,0)</f>
        <v/>
      </c>
      <c r="AO241" s="40">
        <f>IF(AN241=1,AM241,0)</f>
        <v/>
      </c>
      <c r="AP241" s="40">
        <f>IF(SUM(AN239:AN241)=3,SUM(AO239:AO241),"")</f>
        <v/>
      </c>
      <c r="AQ241" s="38">
        <f>IF(ISNUMBER(AP241),1,0)</f>
        <v/>
      </c>
      <c r="AR241" s="40">
        <f>IF(AQ241=1,AP241,0)</f>
        <v/>
      </c>
      <c r="AS241" s="38">
        <f>SUM(AQ$5:AQ241)</f>
        <v/>
      </c>
      <c r="AT241" s="40">
        <f>IF(AS241&gt;=MIN_OBS_Z,SUMPRODUCT(AQ$5:AQ241,AR$5:AR241)/AS241,"")</f>
        <v/>
      </c>
      <c r="AU241" s="40">
        <f>IF(AS241&gt;=MIN_OBS_Z,SQRT(SUMPRODUCT(AQ$5:AQ241,(AR$5:AR241-AT241)^2)/(AS241-1)),"")</f>
        <v/>
      </c>
      <c r="AV241" s="40">
        <f>IF(AND(AQ241=1,ISNUMBER(AT241)),MAX(-Z_CLIP,MIN(Z_CLIP,(AR241-AT241)/AU241)),"")</f>
        <v/>
      </c>
      <c r="AW241" s="40">
        <f>IF(ISNUMBER(AV241),-AV241,"")</f>
        <v/>
      </c>
      <c r="AX241" s="40">
        <f>IF(ISNUMBER(AW241),1+AMPLITUD*TANH(AW241),"")</f>
        <v/>
      </c>
      <c r="AY241" s="40">
        <f>IF($A241="","",IF(COUNT(AX239:AX241)&gt;0,AVERAGE(AX239:AX241),""))</f>
        <v/>
      </c>
      <c r="AZ241" s="40">
        <f>IF(ISNUMBER(AY241),AY241-1,"")</f>
        <v/>
      </c>
      <c r="BA241" s="40">
        <f>IF(AND(ISNUMBER(AZ240),ISNUMBER(W241)),AZ240*W_BANCOS*W241,"")</f>
        <v/>
      </c>
      <c r="BB241" s="40">
        <f>IF(AND(ISNUMBER(AZ240),ISNUMBER(AZ239)),ABS(AZ240-AZ239)*W_BANCOS*COSTO,0)</f>
        <v/>
      </c>
      <c r="BC241" s="40">
        <f>IF(ISNUMBER(BA241),BA241-BB241,"")</f>
        <v/>
      </c>
      <c r="BD241" s="42">
        <f>IF(ISNUMBER(BC241),IF(A241&lt;=FECHA_ERA,"A","B"),"")</f>
        <v/>
      </c>
      <c r="BE241" s="40">
        <f>IF(BD241="A",BC241,"")</f>
        <v/>
      </c>
      <c r="BF241" s="40">
        <f>IF(BD241="B",BC241,"")</f>
        <v/>
      </c>
      <c r="BG241" s="38">
        <f>IF(AND(ISNUMBER(BC241),ISNUMBER(A241)),IF(A241&gt;=INICIO_VIVO,1,0),0)</f>
        <v/>
      </c>
      <c r="BH241" s="40">
        <f>IF(BG241=1,BC241,"")</f>
        <v/>
      </c>
      <c r="BI241" s="38">
        <f>IF(ISNUMBER(AY241),ROW(),0)</f>
        <v/>
      </c>
      <c r="BJ241" s="43">
        <f>IF(ISNUMBER(BC241),SUM(BC$5:BC241)*10000,NA())</f>
        <v/>
      </c>
      <c r="BK241" s="43">
        <f>IF(BG241=1,SUM(BH$5:BH241)*10000,NA())</f>
        <v/>
      </c>
      <c r="BL241" s="44">
        <f>IF(ISNUMBER(AY241),AY241,NA())</f>
        <v/>
      </c>
    </row>
    <row r="242">
      <c r="A242" s="36">
        <f>IF(Datos!A242="","",Datos!A242)</f>
        <v/>
      </c>
      <c r="B242" s="37">
        <f>IF(OR($A242="",NOT(ISNUMBER(Datos!B242)),NOT(ISNUMBER(Datos!B241))),"",Datos!B242/Datos!B241-1)</f>
        <v/>
      </c>
      <c r="C242" s="37">
        <f>IF(OR($A242="",NOT(ISNUMBER(Datos!C242)),NOT(ISNUMBER(Datos!C241))),"",Datos!C242/Datos!C241-1)</f>
        <v/>
      </c>
      <c r="D242" s="37">
        <f>IF(OR($A242="",NOT(ISNUMBER(Datos!D242)),NOT(ISNUMBER(Datos!D241))),"",Datos!D242/Datos!D241-1)</f>
        <v/>
      </c>
      <c r="E242" s="37">
        <f>IF(OR($A242="",NOT(ISNUMBER(Datos!E242)),NOT(ISNUMBER(Datos!E241))),"",Datos!E242/Datos!E241-1)</f>
        <v/>
      </c>
      <c r="F242" s="38">
        <f>IF($A242="","",COUNT(B242:E242))</f>
        <v/>
      </c>
      <c r="G242" s="37">
        <f>IF($A242="","",IF(F242&gt;=MIN_BANCOS,AVERAGE(B242:E242),""))</f>
        <v/>
      </c>
      <c r="H242" s="37">
        <f>IF(OR($A242="",NOT(ISNUMBER(Datos!F242)),NOT(ISNUMBER(Datos!F241))),"",Datos!F242/Datos!F241-1)</f>
        <v/>
      </c>
      <c r="I242" s="39">
        <f>IF($A242="","",IF(ISNUMBER(Datos!G242),Datos!G242,I241))</f>
        <v/>
      </c>
      <c r="J242" s="40">
        <f>IF($A242="","",IF(ISNUMBER(I241),LN(1+I241/100/12),0))</f>
        <v/>
      </c>
      <c r="K242" s="40">
        <f>IF(ISNUMBER(G242),LN(1+G242)-J242,"")</f>
        <v/>
      </c>
      <c r="L242" s="40">
        <f>IF(ISNUMBER(H242),LN(1+H242)-J242,"")</f>
        <v/>
      </c>
      <c r="M242" s="38">
        <f>IF(ISNUMBER(K242),1,0)</f>
        <v/>
      </c>
      <c r="N242" s="40">
        <f>IF(M242=1,K242,0)</f>
        <v/>
      </c>
      <c r="O242" s="38">
        <f>IF(ISNUMBER(L242),1,0)</f>
        <v/>
      </c>
      <c r="P242" s="40">
        <f>IF(O242=1,L242,0)</f>
        <v/>
      </c>
      <c r="Q242" s="38">
        <f>M242*O242</f>
        <v/>
      </c>
      <c r="R242" s="38">
        <f>SUM(Q206:Q241)</f>
        <v/>
      </c>
      <c r="S242" s="41">
        <f>IF(OR($A242="",R242&lt;MIN_OBS_ROLL),"",(SUMPRODUCT(Q206:Q241,N206:N241,P206:P241)/R242-SUMPRODUCT(Q206:Q241,N206:N241)/R242*SUMPRODUCT(Q206:Q241,P206:P241)/R242)*R242/(R242-1))</f>
        <v/>
      </c>
      <c r="T242" s="38">
        <f>SUM(O206:O241)</f>
        <v/>
      </c>
      <c r="U242" s="41">
        <f>IF(OR($A242="",T242&lt;MIN_OBS_ROLL),"",SUMPRODUCT(O206:O241,(P206:P241-SUMPRODUCT(O206:O241,P206:P241)/T242)^2)/(T242-1))</f>
        <v/>
      </c>
      <c r="V242" s="40">
        <f>IF(OR(S242="",U242=""),"",S242/U242)</f>
        <v/>
      </c>
      <c r="W242" s="40">
        <f>IF(AND(ISNUMBER(K242),ISNUMBER(L242),ISNUMBER(V242)),K242-V242*L242,"")</f>
        <v/>
      </c>
      <c r="X242" s="40">
        <f>IF(OR($A242="",NOT(ISNUMBER(Datos!H242)),NOT(ISNUMBER(Datos!H241))),"",LN(Datos!H242)-LN(Datos!H241))</f>
        <v/>
      </c>
      <c r="Y242" s="38">
        <f>IF(ISNUMBER(W242),1,0)</f>
        <v/>
      </c>
      <c r="Z242" s="40">
        <f>IF(Y242=1,W242,0)</f>
        <v/>
      </c>
      <c r="AA242" s="38">
        <f>IF(ISNUMBER(X242),1,0)</f>
        <v/>
      </c>
      <c r="AB242" s="40">
        <f>IF(AA242=1,X242,0)</f>
        <v/>
      </c>
      <c r="AC242" s="38">
        <f>Y242*AA242</f>
        <v/>
      </c>
      <c r="AD242" s="38">
        <f>SUM(AC206:AC241)</f>
        <v/>
      </c>
      <c r="AE242" s="41">
        <f>IF(OR($A242="",AD242&lt;MIN_OBS_ROLL),"",(SUMPRODUCT(AC206:AC241,Z206:Z241,AB206:AB241)/AD242-SUMPRODUCT(AC206:AC241,Z206:Z241)/AD242*SUMPRODUCT(AC206:AC241,AB206:AB241)/AD242)*AD242/(AD242-1))</f>
        <v/>
      </c>
      <c r="AF242" s="38">
        <f>SUM(AA206:AA241)</f>
        <v/>
      </c>
      <c r="AG242" s="41">
        <f>IF(OR($A242="",AF242&lt;MIN_OBS_ROLL),"",SUMPRODUCT(AA206:AA241,(AB206:AB241-SUMPRODUCT(AA206:AA241,AB206:AB241)/AF242)^2)/(AF242-1))</f>
        <v/>
      </c>
      <c r="AH242" s="38">
        <f>SUM(Y206:Y241)</f>
        <v/>
      </c>
      <c r="AI242" s="40">
        <f>IF(OR($A242="",AH242&lt;MIN_OBS_ROLL),"",SUMPRODUCT(Y206:Y241,Z206:Z241)/AH242)</f>
        <v/>
      </c>
      <c r="AJ242" s="40">
        <f>IF(OR($A242="",AF242&lt;MIN_OBS_ROLL),"",SUMPRODUCT(AA206:AA241,AB206:AB241)/AF242)</f>
        <v/>
      </c>
      <c r="AK242" s="40">
        <f>IF(OR(AE242="",AG242=""),"",AE242/AG242)</f>
        <v/>
      </c>
      <c r="AL242" s="40">
        <f>IF(OR(AI242="",AK242="",AJ242=""),"",AI242-AK242*AJ242)</f>
        <v/>
      </c>
      <c r="AM242" s="40">
        <f>IF(AND(ISNUMBER(W242),ISNUMBER(X242),ISNUMBER(AK242),ISNUMBER(AL242)),W242-(AL242+AK242*X242),"")</f>
        <v/>
      </c>
      <c r="AN242" s="38">
        <f>IF(ISNUMBER(AM242),1,0)</f>
        <v/>
      </c>
      <c r="AO242" s="40">
        <f>IF(AN242=1,AM242,0)</f>
        <v/>
      </c>
      <c r="AP242" s="40">
        <f>IF(SUM(AN240:AN242)=3,SUM(AO240:AO242),"")</f>
        <v/>
      </c>
      <c r="AQ242" s="38">
        <f>IF(ISNUMBER(AP242),1,0)</f>
        <v/>
      </c>
      <c r="AR242" s="40">
        <f>IF(AQ242=1,AP242,0)</f>
        <v/>
      </c>
      <c r="AS242" s="38">
        <f>SUM(AQ$5:AQ242)</f>
        <v/>
      </c>
      <c r="AT242" s="40">
        <f>IF(AS242&gt;=MIN_OBS_Z,SUMPRODUCT(AQ$5:AQ242,AR$5:AR242)/AS242,"")</f>
        <v/>
      </c>
      <c r="AU242" s="40">
        <f>IF(AS242&gt;=MIN_OBS_Z,SQRT(SUMPRODUCT(AQ$5:AQ242,(AR$5:AR242-AT242)^2)/(AS242-1)),"")</f>
        <v/>
      </c>
      <c r="AV242" s="40">
        <f>IF(AND(AQ242=1,ISNUMBER(AT242)),MAX(-Z_CLIP,MIN(Z_CLIP,(AR242-AT242)/AU242)),"")</f>
        <v/>
      </c>
      <c r="AW242" s="40">
        <f>IF(ISNUMBER(AV242),-AV242,"")</f>
        <v/>
      </c>
      <c r="AX242" s="40">
        <f>IF(ISNUMBER(AW242),1+AMPLITUD*TANH(AW242),"")</f>
        <v/>
      </c>
      <c r="AY242" s="40">
        <f>IF($A242="","",IF(COUNT(AX240:AX242)&gt;0,AVERAGE(AX240:AX242),""))</f>
        <v/>
      </c>
      <c r="AZ242" s="40">
        <f>IF(ISNUMBER(AY242),AY242-1,"")</f>
        <v/>
      </c>
      <c r="BA242" s="40">
        <f>IF(AND(ISNUMBER(AZ241),ISNUMBER(W242)),AZ241*W_BANCOS*W242,"")</f>
        <v/>
      </c>
      <c r="BB242" s="40">
        <f>IF(AND(ISNUMBER(AZ241),ISNUMBER(AZ240)),ABS(AZ241-AZ240)*W_BANCOS*COSTO,0)</f>
        <v/>
      </c>
      <c r="BC242" s="40">
        <f>IF(ISNUMBER(BA242),BA242-BB242,"")</f>
        <v/>
      </c>
      <c r="BD242" s="42">
        <f>IF(ISNUMBER(BC242),IF(A242&lt;=FECHA_ERA,"A","B"),"")</f>
        <v/>
      </c>
      <c r="BE242" s="40">
        <f>IF(BD242="A",BC242,"")</f>
        <v/>
      </c>
      <c r="BF242" s="40">
        <f>IF(BD242="B",BC242,"")</f>
        <v/>
      </c>
      <c r="BG242" s="38">
        <f>IF(AND(ISNUMBER(BC242),ISNUMBER(A242)),IF(A242&gt;=INICIO_VIVO,1,0),0)</f>
        <v/>
      </c>
      <c r="BH242" s="40">
        <f>IF(BG242=1,BC242,"")</f>
        <v/>
      </c>
      <c r="BI242" s="38">
        <f>IF(ISNUMBER(AY242),ROW(),0)</f>
        <v/>
      </c>
      <c r="BJ242" s="43">
        <f>IF(ISNUMBER(BC242),SUM(BC$5:BC242)*10000,NA())</f>
        <v/>
      </c>
      <c r="BK242" s="43">
        <f>IF(BG242=1,SUM(BH$5:BH242)*10000,NA())</f>
        <v/>
      </c>
      <c r="BL242" s="44">
        <f>IF(ISNUMBER(AY242),AY242,NA())</f>
        <v/>
      </c>
    </row>
    <row r="243">
      <c r="A243" s="36">
        <f>IF(Datos!A243="","",Datos!A243)</f>
        <v/>
      </c>
      <c r="B243" s="37">
        <f>IF(OR($A243="",NOT(ISNUMBER(Datos!B243)),NOT(ISNUMBER(Datos!B242))),"",Datos!B243/Datos!B242-1)</f>
        <v/>
      </c>
      <c r="C243" s="37">
        <f>IF(OR($A243="",NOT(ISNUMBER(Datos!C243)),NOT(ISNUMBER(Datos!C242))),"",Datos!C243/Datos!C242-1)</f>
        <v/>
      </c>
      <c r="D243" s="37">
        <f>IF(OR($A243="",NOT(ISNUMBER(Datos!D243)),NOT(ISNUMBER(Datos!D242))),"",Datos!D243/Datos!D242-1)</f>
        <v/>
      </c>
      <c r="E243" s="37">
        <f>IF(OR($A243="",NOT(ISNUMBER(Datos!E243)),NOT(ISNUMBER(Datos!E242))),"",Datos!E243/Datos!E242-1)</f>
        <v/>
      </c>
      <c r="F243" s="38">
        <f>IF($A243="","",COUNT(B243:E243))</f>
        <v/>
      </c>
      <c r="G243" s="37">
        <f>IF($A243="","",IF(F243&gt;=MIN_BANCOS,AVERAGE(B243:E243),""))</f>
        <v/>
      </c>
      <c r="H243" s="37">
        <f>IF(OR($A243="",NOT(ISNUMBER(Datos!F243)),NOT(ISNUMBER(Datos!F242))),"",Datos!F243/Datos!F242-1)</f>
        <v/>
      </c>
      <c r="I243" s="39">
        <f>IF($A243="","",IF(ISNUMBER(Datos!G243),Datos!G243,I242))</f>
        <v/>
      </c>
      <c r="J243" s="40">
        <f>IF($A243="","",IF(ISNUMBER(I242),LN(1+I242/100/12),0))</f>
        <v/>
      </c>
      <c r="K243" s="40">
        <f>IF(ISNUMBER(G243),LN(1+G243)-J243,"")</f>
        <v/>
      </c>
      <c r="L243" s="40">
        <f>IF(ISNUMBER(H243),LN(1+H243)-J243,"")</f>
        <v/>
      </c>
      <c r="M243" s="38">
        <f>IF(ISNUMBER(K243),1,0)</f>
        <v/>
      </c>
      <c r="N243" s="40">
        <f>IF(M243=1,K243,0)</f>
        <v/>
      </c>
      <c r="O243" s="38">
        <f>IF(ISNUMBER(L243),1,0)</f>
        <v/>
      </c>
      <c r="P243" s="40">
        <f>IF(O243=1,L243,0)</f>
        <v/>
      </c>
      <c r="Q243" s="38">
        <f>M243*O243</f>
        <v/>
      </c>
      <c r="R243" s="38">
        <f>SUM(Q207:Q242)</f>
        <v/>
      </c>
      <c r="S243" s="41">
        <f>IF(OR($A243="",R243&lt;MIN_OBS_ROLL),"",(SUMPRODUCT(Q207:Q242,N207:N242,P207:P242)/R243-SUMPRODUCT(Q207:Q242,N207:N242)/R243*SUMPRODUCT(Q207:Q242,P207:P242)/R243)*R243/(R243-1))</f>
        <v/>
      </c>
      <c r="T243" s="38">
        <f>SUM(O207:O242)</f>
        <v/>
      </c>
      <c r="U243" s="41">
        <f>IF(OR($A243="",T243&lt;MIN_OBS_ROLL),"",SUMPRODUCT(O207:O242,(P207:P242-SUMPRODUCT(O207:O242,P207:P242)/T243)^2)/(T243-1))</f>
        <v/>
      </c>
      <c r="V243" s="40">
        <f>IF(OR(S243="",U243=""),"",S243/U243)</f>
        <v/>
      </c>
      <c r="W243" s="40">
        <f>IF(AND(ISNUMBER(K243),ISNUMBER(L243),ISNUMBER(V243)),K243-V243*L243,"")</f>
        <v/>
      </c>
      <c r="X243" s="40">
        <f>IF(OR($A243="",NOT(ISNUMBER(Datos!H243)),NOT(ISNUMBER(Datos!H242))),"",LN(Datos!H243)-LN(Datos!H242))</f>
        <v/>
      </c>
      <c r="Y243" s="38">
        <f>IF(ISNUMBER(W243),1,0)</f>
        <v/>
      </c>
      <c r="Z243" s="40">
        <f>IF(Y243=1,W243,0)</f>
        <v/>
      </c>
      <c r="AA243" s="38">
        <f>IF(ISNUMBER(X243),1,0)</f>
        <v/>
      </c>
      <c r="AB243" s="40">
        <f>IF(AA243=1,X243,0)</f>
        <v/>
      </c>
      <c r="AC243" s="38">
        <f>Y243*AA243</f>
        <v/>
      </c>
      <c r="AD243" s="38">
        <f>SUM(AC207:AC242)</f>
        <v/>
      </c>
      <c r="AE243" s="41">
        <f>IF(OR($A243="",AD243&lt;MIN_OBS_ROLL),"",(SUMPRODUCT(AC207:AC242,Z207:Z242,AB207:AB242)/AD243-SUMPRODUCT(AC207:AC242,Z207:Z242)/AD243*SUMPRODUCT(AC207:AC242,AB207:AB242)/AD243)*AD243/(AD243-1))</f>
        <v/>
      </c>
      <c r="AF243" s="38">
        <f>SUM(AA207:AA242)</f>
        <v/>
      </c>
      <c r="AG243" s="41">
        <f>IF(OR($A243="",AF243&lt;MIN_OBS_ROLL),"",SUMPRODUCT(AA207:AA242,(AB207:AB242-SUMPRODUCT(AA207:AA242,AB207:AB242)/AF243)^2)/(AF243-1))</f>
        <v/>
      </c>
      <c r="AH243" s="38">
        <f>SUM(Y207:Y242)</f>
        <v/>
      </c>
      <c r="AI243" s="40">
        <f>IF(OR($A243="",AH243&lt;MIN_OBS_ROLL),"",SUMPRODUCT(Y207:Y242,Z207:Z242)/AH243)</f>
        <v/>
      </c>
      <c r="AJ243" s="40">
        <f>IF(OR($A243="",AF243&lt;MIN_OBS_ROLL),"",SUMPRODUCT(AA207:AA242,AB207:AB242)/AF243)</f>
        <v/>
      </c>
      <c r="AK243" s="40">
        <f>IF(OR(AE243="",AG243=""),"",AE243/AG243)</f>
        <v/>
      </c>
      <c r="AL243" s="40">
        <f>IF(OR(AI243="",AK243="",AJ243=""),"",AI243-AK243*AJ243)</f>
        <v/>
      </c>
      <c r="AM243" s="40">
        <f>IF(AND(ISNUMBER(W243),ISNUMBER(X243),ISNUMBER(AK243),ISNUMBER(AL243)),W243-(AL243+AK243*X243),"")</f>
        <v/>
      </c>
      <c r="AN243" s="38">
        <f>IF(ISNUMBER(AM243),1,0)</f>
        <v/>
      </c>
      <c r="AO243" s="40">
        <f>IF(AN243=1,AM243,0)</f>
        <v/>
      </c>
      <c r="AP243" s="40">
        <f>IF(SUM(AN241:AN243)=3,SUM(AO241:AO243),"")</f>
        <v/>
      </c>
      <c r="AQ243" s="38">
        <f>IF(ISNUMBER(AP243),1,0)</f>
        <v/>
      </c>
      <c r="AR243" s="40">
        <f>IF(AQ243=1,AP243,0)</f>
        <v/>
      </c>
      <c r="AS243" s="38">
        <f>SUM(AQ$5:AQ243)</f>
        <v/>
      </c>
      <c r="AT243" s="40">
        <f>IF(AS243&gt;=MIN_OBS_Z,SUMPRODUCT(AQ$5:AQ243,AR$5:AR243)/AS243,"")</f>
        <v/>
      </c>
      <c r="AU243" s="40">
        <f>IF(AS243&gt;=MIN_OBS_Z,SQRT(SUMPRODUCT(AQ$5:AQ243,(AR$5:AR243-AT243)^2)/(AS243-1)),"")</f>
        <v/>
      </c>
      <c r="AV243" s="40">
        <f>IF(AND(AQ243=1,ISNUMBER(AT243)),MAX(-Z_CLIP,MIN(Z_CLIP,(AR243-AT243)/AU243)),"")</f>
        <v/>
      </c>
      <c r="AW243" s="40">
        <f>IF(ISNUMBER(AV243),-AV243,"")</f>
        <v/>
      </c>
      <c r="AX243" s="40">
        <f>IF(ISNUMBER(AW243),1+AMPLITUD*TANH(AW243),"")</f>
        <v/>
      </c>
      <c r="AY243" s="40">
        <f>IF($A243="","",IF(COUNT(AX241:AX243)&gt;0,AVERAGE(AX241:AX243),""))</f>
        <v/>
      </c>
      <c r="AZ243" s="40">
        <f>IF(ISNUMBER(AY243),AY243-1,"")</f>
        <v/>
      </c>
      <c r="BA243" s="40">
        <f>IF(AND(ISNUMBER(AZ242),ISNUMBER(W243)),AZ242*W_BANCOS*W243,"")</f>
        <v/>
      </c>
      <c r="BB243" s="40">
        <f>IF(AND(ISNUMBER(AZ242),ISNUMBER(AZ241)),ABS(AZ242-AZ241)*W_BANCOS*COSTO,0)</f>
        <v/>
      </c>
      <c r="BC243" s="40">
        <f>IF(ISNUMBER(BA243),BA243-BB243,"")</f>
        <v/>
      </c>
      <c r="BD243" s="42">
        <f>IF(ISNUMBER(BC243),IF(A243&lt;=FECHA_ERA,"A","B"),"")</f>
        <v/>
      </c>
      <c r="BE243" s="40">
        <f>IF(BD243="A",BC243,"")</f>
        <v/>
      </c>
      <c r="BF243" s="40">
        <f>IF(BD243="B",BC243,"")</f>
        <v/>
      </c>
      <c r="BG243" s="38">
        <f>IF(AND(ISNUMBER(BC243),ISNUMBER(A243)),IF(A243&gt;=INICIO_VIVO,1,0),0)</f>
        <v/>
      </c>
      <c r="BH243" s="40">
        <f>IF(BG243=1,BC243,"")</f>
        <v/>
      </c>
      <c r="BI243" s="38">
        <f>IF(ISNUMBER(AY243),ROW(),0)</f>
        <v/>
      </c>
      <c r="BJ243" s="43">
        <f>IF(ISNUMBER(BC243),SUM(BC$5:BC243)*10000,NA())</f>
        <v/>
      </c>
      <c r="BK243" s="43">
        <f>IF(BG243=1,SUM(BH$5:BH243)*10000,NA())</f>
        <v/>
      </c>
      <c r="BL243" s="44">
        <f>IF(ISNUMBER(AY243),AY243,NA())</f>
        <v/>
      </c>
    </row>
    <row r="244">
      <c r="A244" s="36">
        <f>IF(Datos!A244="","",Datos!A244)</f>
        <v/>
      </c>
      <c r="B244" s="37">
        <f>IF(OR($A244="",NOT(ISNUMBER(Datos!B244)),NOT(ISNUMBER(Datos!B243))),"",Datos!B244/Datos!B243-1)</f>
        <v/>
      </c>
      <c r="C244" s="37">
        <f>IF(OR($A244="",NOT(ISNUMBER(Datos!C244)),NOT(ISNUMBER(Datos!C243))),"",Datos!C244/Datos!C243-1)</f>
        <v/>
      </c>
      <c r="D244" s="37">
        <f>IF(OR($A244="",NOT(ISNUMBER(Datos!D244)),NOT(ISNUMBER(Datos!D243))),"",Datos!D244/Datos!D243-1)</f>
        <v/>
      </c>
      <c r="E244" s="37">
        <f>IF(OR($A244="",NOT(ISNUMBER(Datos!E244)),NOT(ISNUMBER(Datos!E243))),"",Datos!E244/Datos!E243-1)</f>
        <v/>
      </c>
      <c r="F244" s="38">
        <f>IF($A244="","",COUNT(B244:E244))</f>
        <v/>
      </c>
      <c r="G244" s="37">
        <f>IF($A244="","",IF(F244&gt;=MIN_BANCOS,AVERAGE(B244:E244),""))</f>
        <v/>
      </c>
      <c r="H244" s="37">
        <f>IF(OR($A244="",NOT(ISNUMBER(Datos!F244)),NOT(ISNUMBER(Datos!F243))),"",Datos!F244/Datos!F243-1)</f>
        <v/>
      </c>
      <c r="I244" s="39">
        <f>IF($A244="","",IF(ISNUMBER(Datos!G244),Datos!G244,I243))</f>
        <v/>
      </c>
      <c r="J244" s="40">
        <f>IF($A244="","",IF(ISNUMBER(I243),LN(1+I243/100/12),0))</f>
        <v/>
      </c>
      <c r="K244" s="40">
        <f>IF(ISNUMBER(G244),LN(1+G244)-J244,"")</f>
        <v/>
      </c>
      <c r="L244" s="40">
        <f>IF(ISNUMBER(H244),LN(1+H244)-J244,"")</f>
        <v/>
      </c>
      <c r="M244" s="38">
        <f>IF(ISNUMBER(K244),1,0)</f>
        <v/>
      </c>
      <c r="N244" s="40">
        <f>IF(M244=1,K244,0)</f>
        <v/>
      </c>
      <c r="O244" s="38">
        <f>IF(ISNUMBER(L244),1,0)</f>
        <v/>
      </c>
      <c r="P244" s="40">
        <f>IF(O244=1,L244,0)</f>
        <v/>
      </c>
      <c r="Q244" s="38">
        <f>M244*O244</f>
        <v/>
      </c>
      <c r="R244" s="38">
        <f>SUM(Q208:Q243)</f>
        <v/>
      </c>
      <c r="S244" s="41">
        <f>IF(OR($A244="",R244&lt;MIN_OBS_ROLL),"",(SUMPRODUCT(Q208:Q243,N208:N243,P208:P243)/R244-SUMPRODUCT(Q208:Q243,N208:N243)/R244*SUMPRODUCT(Q208:Q243,P208:P243)/R244)*R244/(R244-1))</f>
        <v/>
      </c>
      <c r="T244" s="38">
        <f>SUM(O208:O243)</f>
        <v/>
      </c>
      <c r="U244" s="41">
        <f>IF(OR($A244="",T244&lt;MIN_OBS_ROLL),"",SUMPRODUCT(O208:O243,(P208:P243-SUMPRODUCT(O208:O243,P208:P243)/T244)^2)/(T244-1))</f>
        <v/>
      </c>
      <c r="V244" s="40">
        <f>IF(OR(S244="",U244=""),"",S244/U244)</f>
        <v/>
      </c>
      <c r="W244" s="40">
        <f>IF(AND(ISNUMBER(K244),ISNUMBER(L244),ISNUMBER(V244)),K244-V244*L244,"")</f>
        <v/>
      </c>
      <c r="X244" s="40">
        <f>IF(OR($A244="",NOT(ISNUMBER(Datos!H244)),NOT(ISNUMBER(Datos!H243))),"",LN(Datos!H244)-LN(Datos!H243))</f>
        <v/>
      </c>
      <c r="Y244" s="38">
        <f>IF(ISNUMBER(W244),1,0)</f>
        <v/>
      </c>
      <c r="Z244" s="40">
        <f>IF(Y244=1,W244,0)</f>
        <v/>
      </c>
      <c r="AA244" s="38">
        <f>IF(ISNUMBER(X244),1,0)</f>
        <v/>
      </c>
      <c r="AB244" s="40">
        <f>IF(AA244=1,X244,0)</f>
        <v/>
      </c>
      <c r="AC244" s="38">
        <f>Y244*AA244</f>
        <v/>
      </c>
      <c r="AD244" s="38">
        <f>SUM(AC208:AC243)</f>
        <v/>
      </c>
      <c r="AE244" s="41">
        <f>IF(OR($A244="",AD244&lt;MIN_OBS_ROLL),"",(SUMPRODUCT(AC208:AC243,Z208:Z243,AB208:AB243)/AD244-SUMPRODUCT(AC208:AC243,Z208:Z243)/AD244*SUMPRODUCT(AC208:AC243,AB208:AB243)/AD244)*AD244/(AD244-1))</f>
        <v/>
      </c>
      <c r="AF244" s="38">
        <f>SUM(AA208:AA243)</f>
        <v/>
      </c>
      <c r="AG244" s="41">
        <f>IF(OR($A244="",AF244&lt;MIN_OBS_ROLL),"",SUMPRODUCT(AA208:AA243,(AB208:AB243-SUMPRODUCT(AA208:AA243,AB208:AB243)/AF244)^2)/(AF244-1))</f>
        <v/>
      </c>
      <c r="AH244" s="38">
        <f>SUM(Y208:Y243)</f>
        <v/>
      </c>
      <c r="AI244" s="40">
        <f>IF(OR($A244="",AH244&lt;MIN_OBS_ROLL),"",SUMPRODUCT(Y208:Y243,Z208:Z243)/AH244)</f>
        <v/>
      </c>
      <c r="AJ244" s="40">
        <f>IF(OR($A244="",AF244&lt;MIN_OBS_ROLL),"",SUMPRODUCT(AA208:AA243,AB208:AB243)/AF244)</f>
        <v/>
      </c>
      <c r="AK244" s="40">
        <f>IF(OR(AE244="",AG244=""),"",AE244/AG244)</f>
        <v/>
      </c>
      <c r="AL244" s="40">
        <f>IF(OR(AI244="",AK244="",AJ244=""),"",AI244-AK244*AJ244)</f>
        <v/>
      </c>
      <c r="AM244" s="40">
        <f>IF(AND(ISNUMBER(W244),ISNUMBER(X244),ISNUMBER(AK244),ISNUMBER(AL244)),W244-(AL244+AK244*X244),"")</f>
        <v/>
      </c>
      <c r="AN244" s="38">
        <f>IF(ISNUMBER(AM244),1,0)</f>
        <v/>
      </c>
      <c r="AO244" s="40">
        <f>IF(AN244=1,AM244,0)</f>
        <v/>
      </c>
      <c r="AP244" s="40">
        <f>IF(SUM(AN242:AN244)=3,SUM(AO242:AO244),"")</f>
        <v/>
      </c>
      <c r="AQ244" s="38">
        <f>IF(ISNUMBER(AP244),1,0)</f>
        <v/>
      </c>
      <c r="AR244" s="40">
        <f>IF(AQ244=1,AP244,0)</f>
        <v/>
      </c>
      <c r="AS244" s="38">
        <f>SUM(AQ$5:AQ244)</f>
        <v/>
      </c>
      <c r="AT244" s="40">
        <f>IF(AS244&gt;=MIN_OBS_Z,SUMPRODUCT(AQ$5:AQ244,AR$5:AR244)/AS244,"")</f>
        <v/>
      </c>
      <c r="AU244" s="40">
        <f>IF(AS244&gt;=MIN_OBS_Z,SQRT(SUMPRODUCT(AQ$5:AQ244,(AR$5:AR244-AT244)^2)/(AS244-1)),"")</f>
        <v/>
      </c>
      <c r="AV244" s="40">
        <f>IF(AND(AQ244=1,ISNUMBER(AT244)),MAX(-Z_CLIP,MIN(Z_CLIP,(AR244-AT244)/AU244)),"")</f>
        <v/>
      </c>
      <c r="AW244" s="40">
        <f>IF(ISNUMBER(AV244),-AV244,"")</f>
        <v/>
      </c>
      <c r="AX244" s="40">
        <f>IF(ISNUMBER(AW244),1+AMPLITUD*TANH(AW244),"")</f>
        <v/>
      </c>
      <c r="AY244" s="40">
        <f>IF($A244="","",IF(COUNT(AX242:AX244)&gt;0,AVERAGE(AX242:AX244),""))</f>
        <v/>
      </c>
      <c r="AZ244" s="40">
        <f>IF(ISNUMBER(AY244),AY244-1,"")</f>
        <v/>
      </c>
      <c r="BA244" s="40">
        <f>IF(AND(ISNUMBER(AZ243),ISNUMBER(W244)),AZ243*W_BANCOS*W244,"")</f>
        <v/>
      </c>
      <c r="BB244" s="40">
        <f>IF(AND(ISNUMBER(AZ243),ISNUMBER(AZ242)),ABS(AZ243-AZ242)*W_BANCOS*COSTO,0)</f>
        <v/>
      </c>
      <c r="BC244" s="40">
        <f>IF(ISNUMBER(BA244),BA244-BB244,"")</f>
        <v/>
      </c>
      <c r="BD244" s="42">
        <f>IF(ISNUMBER(BC244),IF(A244&lt;=FECHA_ERA,"A","B"),"")</f>
        <v/>
      </c>
      <c r="BE244" s="40">
        <f>IF(BD244="A",BC244,"")</f>
        <v/>
      </c>
      <c r="BF244" s="40">
        <f>IF(BD244="B",BC244,"")</f>
        <v/>
      </c>
      <c r="BG244" s="38">
        <f>IF(AND(ISNUMBER(BC244),ISNUMBER(A244)),IF(A244&gt;=INICIO_VIVO,1,0),0)</f>
        <v/>
      </c>
      <c r="BH244" s="40">
        <f>IF(BG244=1,BC244,"")</f>
        <v/>
      </c>
      <c r="BI244" s="38">
        <f>IF(ISNUMBER(AY244),ROW(),0)</f>
        <v/>
      </c>
      <c r="BJ244" s="43">
        <f>IF(ISNUMBER(BC244),SUM(BC$5:BC244)*10000,NA())</f>
        <v/>
      </c>
      <c r="BK244" s="43">
        <f>IF(BG244=1,SUM(BH$5:BH244)*10000,NA())</f>
        <v/>
      </c>
      <c r="BL244" s="44">
        <f>IF(ISNUMBER(AY244),AY244,NA())</f>
        <v/>
      </c>
    </row>
    <row r="245">
      <c r="A245" s="36">
        <f>IF(Datos!A245="","",Datos!A245)</f>
        <v/>
      </c>
      <c r="B245" s="37">
        <f>IF(OR($A245="",NOT(ISNUMBER(Datos!B245)),NOT(ISNUMBER(Datos!B244))),"",Datos!B245/Datos!B244-1)</f>
        <v/>
      </c>
      <c r="C245" s="37">
        <f>IF(OR($A245="",NOT(ISNUMBER(Datos!C245)),NOT(ISNUMBER(Datos!C244))),"",Datos!C245/Datos!C244-1)</f>
        <v/>
      </c>
      <c r="D245" s="37">
        <f>IF(OR($A245="",NOT(ISNUMBER(Datos!D245)),NOT(ISNUMBER(Datos!D244))),"",Datos!D245/Datos!D244-1)</f>
        <v/>
      </c>
      <c r="E245" s="37">
        <f>IF(OR($A245="",NOT(ISNUMBER(Datos!E245)),NOT(ISNUMBER(Datos!E244))),"",Datos!E245/Datos!E244-1)</f>
        <v/>
      </c>
      <c r="F245" s="38">
        <f>IF($A245="","",COUNT(B245:E245))</f>
        <v/>
      </c>
      <c r="G245" s="37">
        <f>IF($A245="","",IF(F245&gt;=MIN_BANCOS,AVERAGE(B245:E245),""))</f>
        <v/>
      </c>
      <c r="H245" s="37">
        <f>IF(OR($A245="",NOT(ISNUMBER(Datos!F245)),NOT(ISNUMBER(Datos!F244))),"",Datos!F245/Datos!F244-1)</f>
        <v/>
      </c>
      <c r="I245" s="39">
        <f>IF($A245="","",IF(ISNUMBER(Datos!G245),Datos!G245,I244))</f>
        <v/>
      </c>
      <c r="J245" s="40">
        <f>IF($A245="","",IF(ISNUMBER(I244),LN(1+I244/100/12),0))</f>
        <v/>
      </c>
      <c r="K245" s="40">
        <f>IF(ISNUMBER(G245),LN(1+G245)-J245,"")</f>
        <v/>
      </c>
      <c r="L245" s="40">
        <f>IF(ISNUMBER(H245),LN(1+H245)-J245,"")</f>
        <v/>
      </c>
      <c r="M245" s="38">
        <f>IF(ISNUMBER(K245),1,0)</f>
        <v/>
      </c>
      <c r="N245" s="40">
        <f>IF(M245=1,K245,0)</f>
        <v/>
      </c>
      <c r="O245" s="38">
        <f>IF(ISNUMBER(L245),1,0)</f>
        <v/>
      </c>
      <c r="P245" s="40">
        <f>IF(O245=1,L245,0)</f>
        <v/>
      </c>
      <c r="Q245" s="38">
        <f>M245*O245</f>
        <v/>
      </c>
      <c r="R245" s="38">
        <f>SUM(Q209:Q244)</f>
        <v/>
      </c>
      <c r="S245" s="41">
        <f>IF(OR($A245="",R245&lt;MIN_OBS_ROLL),"",(SUMPRODUCT(Q209:Q244,N209:N244,P209:P244)/R245-SUMPRODUCT(Q209:Q244,N209:N244)/R245*SUMPRODUCT(Q209:Q244,P209:P244)/R245)*R245/(R245-1))</f>
        <v/>
      </c>
      <c r="T245" s="38">
        <f>SUM(O209:O244)</f>
        <v/>
      </c>
      <c r="U245" s="41">
        <f>IF(OR($A245="",T245&lt;MIN_OBS_ROLL),"",SUMPRODUCT(O209:O244,(P209:P244-SUMPRODUCT(O209:O244,P209:P244)/T245)^2)/(T245-1))</f>
        <v/>
      </c>
      <c r="V245" s="40">
        <f>IF(OR(S245="",U245=""),"",S245/U245)</f>
        <v/>
      </c>
      <c r="W245" s="40">
        <f>IF(AND(ISNUMBER(K245),ISNUMBER(L245),ISNUMBER(V245)),K245-V245*L245,"")</f>
        <v/>
      </c>
      <c r="X245" s="40">
        <f>IF(OR($A245="",NOT(ISNUMBER(Datos!H245)),NOT(ISNUMBER(Datos!H244))),"",LN(Datos!H245)-LN(Datos!H244))</f>
        <v/>
      </c>
      <c r="Y245" s="38">
        <f>IF(ISNUMBER(W245),1,0)</f>
        <v/>
      </c>
      <c r="Z245" s="40">
        <f>IF(Y245=1,W245,0)</f>
        <v/>
      </c>
      <c r="AA245" s="38">
        <f>IF(ISNUMBER(X245),1,0)</f>
        <v/>
      </c>
      <c r="AB245" s="40">
        <f>IF(AA245=1,X245,0)</f>
        <v/>
      </c>
      <c r="AC245" s="38">
        <f>Y245*AA245</f>
        <v/>
      </c>
      <c r="AD245" s="38">
        <f>SUM(AC209:AC244)</f>
        <v/>
      </c>
      <c r="AE245" s="41">
        <f>IF(OR($A245="",AD245&lt;MIN_OBS_ROLL),"",(SUMPRODUCT(AC209:AC244,Z209:Z244,AB209:AB244)/AD245-SUMPRODUCT(AC209:AC244,Z209:Z244)/AD245*SUMPRODUCT(AC209:AC244,AB209:AB244)/AD245)*AD245/(AD245-1))</f>
        <v/>
      </c>
      <c r="AF245" s="38">
        <f>SUM(AA209:AA244)</f>
        <v/>
      </c>
      <c r="AG245" s="41">
        <f>IF(OR($A245="",AF245&lt;MIN_OBS_ROLL),"",SUMPRODUCT(AA209:AA244,(AB209:AB244-SUMPRODUCT(AA209:AA244,AB209:AB244)/AF245)^2)/(AF245-1))</f>
        <v/>
      </c>
      <c r="AH245" s="38">
        <f>SUM(Y209:Y244)</f>
        <v/>
      </c>
      <c r="AI245" s="40">
        <f>IF(OR($A245="",AH245&lt;MIN_OBS_ROLL),"",SUMPRODUCT(Y209:Y244,Z209:Z244)/AH245)</f>
        <v/>
      </c>
      <c r="AJ245" s="40">
        <f>IF(OR($A245="",AF245&lt;MIN_OBS_ROLL),"",SUMPRODUCT(AA209:AA244,AB209:AB244)/AF245)</f>
        <v/>
      </c>
      <c r="AK245" s="40">
        <f>IF(OR(AE245="",AG245=""),"",AE245/AG245)</f>
        <v/>
      </c>
      <c r="AL245" s="40">
        <f>IF(OR(AI245="",AK245="",AJ245=""),"",AI245-AK245*AJ245)</f>
        <v/>
      </c>
      <c r="AM245" s="40">
        <f>IF(AND(ISNUMBER(W245),ISNUMBER(X245),ISNUMBER(AK245),ISNUMBER(AL245)),W245-(AL245+AK245*X245),"")</f>
        <v/>
      </c>
      <c r="AN245" s="38">
        <f>IF(ISNUMBER(AM245),1,0)</f>
        <v/>
      </c>
      <c r="AO245" s="40">
        <f>IF(AN245=1,AM245,0)</f>
        <v/>
      </c>
      <c r="AP245" s="40">
        <f>IF(SUM(AN243:AN245)=3,SUM(AO243:AO245),"")</f>
        <v/>
      </c>
      <c r="AQ245" s="38">
        <f>IF(ISNUMBER(AP245),1,0)</f>
        <v/>
      </c>
      <c r="AR245" s="40">
        <f>IF(AQ245=1,AP245,0)</f>
        <v/>
      </c>
      <c r="AS245" s="38">
        <f>SUM(AQ$5:AQ245)</f>
        <v/>
      </c>
      <c r="AT245" s="40">
        <f>IF(AS245&gt;=MIN_OBS_Z,SUMPRODUCT(AQ$5:AQ245,AR$5:AR245)/AS245,"")</f>
        <v/>
      </c>
      <c r="AU245" s="40">
        <f>IF(AS245&gt;=MIN_OBS_Z,SQRT(SUMPRODUCT(AQ$5:AQ245,(AR$5:AR245-AT245)^2)/(AS245-1)),"")</f>
        <v/>
      </c>
      <c r="AV245" s="40">
        <f>IF(AND(AQ245=1,ISNUMBER(AT245)),MAX(-Z_CLIP,MIN(Z_CLIP,(AR245-AT245)/AU245)),"")</f>
        <v/>
      </c>
      <c r="AW245" s="40">
        <f>IF(ISNUMBER(AV245),-AV245,"")</f>
        <v/>
      </c>
      <c r="AX245" s="40">
        <f>IF(ISNUMBER(AW245),1+AMPLITUD*TANH(AW245),"")</f>
        <v/>
      </c>
      <c r="AY245" s="40">
        <f>IF($A245="","",IF(COUNT(AX243:AX245)&gt;0,AVERAGE(AX243:AX245),""))</f>
        <v/>
      </c>
      <c r="AZ245" s="40">
        <f>IF(ISNUMBER(AY245),AY245-1,"")</f>
        <v/>
      </c>
      <c r="BA245" s="40">
        <f>IF(AND(ISNUMBER(AZ244),ISNUMBER(W245)),AZ244*W_BANCOS*W245,"")</f>
        <v/>
      </c>
      <c r="BB245" s="40">
        <f>IF(AND(ISNUMBER(AZ244),ISNUMBER(AZ243)),ABS(AZ244-AZ243)*W_BANCOS*COSTO,0)</f>
        <v/>
      </c>
      <c r="BC245" s="40">
        <f>IF(ISNUMBER(BA245),BA245-BB245,"")</f>
        <v/>
      </c>
      <c r="BD245" s="42">
        <f>IF(ISNUMBER(BC245),IF(A245&lt;=FECHA_ERA,"A","B"),"")</f>
        <v/>
      </c>
      <c r="BE245" s="40">
        <f>IF(BD245="A",BC245,"")</f>
        <v/>
      </c>
      <c r="BF245" s="40">
        <f>IF(BD245="B",BC245,"")</f>
        <v/>
      </c>
      <c r="BG245" s="38">
        <f>IF(AND(ISNUMBER(BC245),ISNUMBER(A245)),IF(A245&gt;=INICIO_VIVO,1,0),0)</f>
        <v/>
      </c>
      <c r="BH245" s="40">
        <f>IF(BG245=1,BC245,"")</f>
        <v/>
      </c>
      <c r="BI245" s="38">
        <f>IF(ISNUMBER(AY245),ROW(),0)</f>
        <v/>
      </c>
      <c r="BJ245" s="43">
        <f>IF(ISNUMBER(BC245),SUM(BC$5:BC245)*10000,NA())</f>
        <v/>
      </c>
      <c r="BK245" s="43">
        <f>IF(BG245=1,SUM(BH$5:BH245)*10000,NA())</f>
        <v/>
      </c>
      <c r="BL245" s="44">
        <f>IF(ISNUMBER(AY245),AY245,NA())</f>
        <v/>
      </c>
    </row>
    <row r="246">
      <c r="A246" s="36">
        <f>IF(Datos!A246="","",Datos!A246)</f>
        <v/>
      </c>
      <c r="B246" s="37">
        <f>IF(OR($A246="",NOT(ISNUMBER(Datos!B246)),NOT(ISNUMBER(Datos!B245))),"",Datos!B246/Datos!B245-1)</f>
        <v/>
      </c>
      <c r="C246" s="37">
        <f>IF(OR($A246="",NOT(ISNUMBER(Datos!C246)),NOT(ISNUMBER(Datos!C245))),"",Datos!C246/Datos!C245-1)</f>
        <v/>
      </c>
      <c r="D246" s="37">
        <f>IF(OR($A246="",NOT(ISNUMBER(Datos!D246)),NOT(ISNUMBER(Datos!D245))),"",Datos!D246/Datos!D245-1)</f>
        <v/>
      </c>
      <c r="E246" s="37">
        <f>IF(OR($A246="",NOT(ISNUMBER(Datos!E246)),NOT(ISNUMBER(Datos!E245))),"",Datos!E246/Datos!E245-1)</f>
        <v/>
      </c>
      <c r="F246" s="38">
        <f>IF($A246="","",COUNT(B246:E246))</f>
        <v/>
      </c>
      <c r="G246" s="37">
        <f>IF($A246="","",IF(F246&gt;=MIN_BANCOS,AVERAGE(B246:E246),""))</f>
        <v/>
      </c>
      <c r="H246" s="37">
        <f>IF(OR($A246="",NOT(ISNUMBER(Datos!F246)),NOT(ISNUMBER(Datos!F245))),"",Datos!F246/Datos!F245-1)</f>
        <v/>
      </c>
      <c r="I246" s="39">
        <f>IF($A246="","",IF(ISNUMBER(Datos!G246),Datos!G246,I245))</f>
        <v/>
      </c>
      <c r="J246" s="40">
        <f>IF($A246="","",IF(ISNUMBER(I245),LN(1+I245/100/12),0))</f>
        <v/>
      </c>
      <c r="K246" s="40">
        <f>IF(ISNUMBER(G246),LN(1+G246)-J246,"")</f>
        <v/>
      </c>
      <c r="L246" s="40">
        <f>IF(ISNUMBER(H246),LN(1+H246)-J246,"")</f>
        <v/>
      </c>
      <c r="M246" s="38">
        <f>IF(ISNUMBER(K246),1,0)</f>
        <v/>
      </c>
      <c r="N246" s="40">
        <f>IF(M246=1,K246,0)</f>
        <v/>
      </c>
      <c r="O246" s="38">
        <f>IF(ISNUMBER(L246),1,0)</f>
        <v/>
      </c>
      <c r="P246" s="40">
        <f>IF(O246=1,L246,0)</f>
        <v/>
      </c>
      <c r="Q246" s="38">
        <f>M246*O246</f>
        <v/>
      </c>
      <c r="R246" s="38">
        <f>SUM(Q210:Q245)</f>
        <v/>
      </c>
      <c r="S246" s="41">
        <f>IF(OR($A246="",R246&lt;MIN_OBS_ROLL),"",(SUMPRODUCT(Q210:Q245,N210:N245,P210:P245)/R246-SUMPRODUCT(Q210:Q245,N210:N245)/R246*SUMPRODUCT(Q210:Q245,P210:P245)/R246)*R246/(R246-1))</f>
        <v/>
      </c>
      <c r="T246" s="38">
        <f>SUM(O210:O245)</f>
        <v/>
      </c>
      <c r="U246" s="41">
        <f>IF(OR($A246="",T246&lt;MIN_OBS_ROLL),"",SUMPRODUCT(O210:O245,(P210:P245-SUMPRODUCT(O210:O245,P210:P245)/T246)^2)/(T246-1))</f>
        <v/>
      </c>
      <c r="V246" s="40">
        <f>IF(OR(S246="",U246=""),"",S246/U246)</f>
        <v/>
      </c>
      <c r="W246" s="40">
        <f>IF(AND(ISNUMBER(K246),ISNUMBER(L246),ISNUMBER(V246)),K246-V246*L246,"")</f>
        <v/>
      </c>
      <c r="X246" s="40">
        <f>IF(OR($A246="",NOT(ISNUMBER(Datos!H246)),NOT(ISNUMBER(Datos!H245))),"",LN(Datos!H246)-LN(Datos!H245))</f>
        <v/>
      </c>
      <c r="Y246" s="38">
        <f>IF(ISNUMBER(W246),1,0)</f>
        <v/>
      </c>
      <c r="Z246" s="40">
        <f>IF(Y246=1,W246,0)</f>
        <v/>
      </c>
      <c r="AA246" s="38">
        <f>IF(ISNUMBER(X246),1,0)</f>
        <v/>
      </c>
      <c r="AB246" s="40">
        <f>IF(AA246=1,X246,0)</f>
        <v/>
      </c>
      <c r="AC246" s="38">
        <f>Y246*AA246</f>
        <v/>
      </c>
      <c r="AD246" s="38">
        <f>SUM(AC210:AC245)</f>
        <v/>
      </c>
      <c r="AE246" s="41">
        <f>IF(OR($A246="",AD246&lt;MIN_OBS_ROLL),"",(SUMPRODUCT(AC210:AC245,Z210:Z245,AB210:AB245)/AD246-SUMPRODUCT(AC210:AC245,Z210:Z245)/AD246*SUMPRODUCT(AC210:AC245,AB210:AB245)/AD246)*AD246/(AD246-1))</f>
        <v/>
      </c>
      <c r="AF246" s="38">
        <f>SUM(AA210:AA245)</f>
        <v/>
      </c>
      <c r="AG246" s="41">
        <f>IF(OR($A246="",AF246&lt;MIN_OBS_ROLL),"",SUMPRODUCT(AA210:AA245,(AB210:AB245-SUMPRODUCT(AA210:AA245,AB210:AB245)/AF246)^2)/(AF246-1))</f>
        <v/>
      </c>
      <c r="AH246" s="38">
        <f>SUM(Y210:Y245)</f>
        <v/>
      </c>
      <c r="AI246" s="40">
        <f>IF(OR($A246="",AH246&lt;MIN_OBS_ROLL),"",SUMPRODUCT(Y210:Y245,Z210:Z245)/AH246)</f>
        <v/>
      </c>
      <c r="AJ246" s="40">
        <f>IF(OR($A246="",AF246&lt;MIN_OBS_ROLL),"",SUMPRODUCT(AA210:AA245,AB210:AB245)/AF246)</f>
        <v/>
      </c>
      <c r="AK246" s="40">
        <f>IF(OR(AE246="",AG246=""),"",AE246/AG246)</f>
        <v/>
      </c>
      <c r="AL246" s="40">
        <f>IF(OR(AI246="",AK246="",AJ246=""),"",AI246-AK246*AJ246)</f>
        <v/>
      </c>
      <c r="AM246" s="40">
        <f>IF(AND(ISNUMBER(W246),ISNUMBER(X246),ISNUMBER(AK246),ISNUMBER(AL246)),W246-(AL246+AK246*X246),"")</f>
        <v/>
      </c>
      <c r="AN246" s="38">
        <f>IF(ISNUMBER(AM246),1,0)</f>
        <v/>
      </c>
      <c r="AO246" s="40">
        <f>IF(AN246=1,AM246,0)</f>
        <v/>
      </c>
      <c r="AP246" s="40">
        <f>IF(SUM(AN244:AN246)=3,SUM(AO244:AO246),"")</f>
        <v/>
      </c>
      <c r="AQ246" s="38">
        <f>IF(ISNUMBER(AP246),1,0)</f>
        <v/>
      </c>
      <c r="AR246" s="40">
        <f>IF(AQ246=1,AP246,0)</f>
        <v/>
      </c>
      <c r="AS246" s="38">
        <f>SUM(AQ$5:AQ246)</f>
        <v/>
      </c>
      <c r="AT246" s="40">
        <f>IF(AS246&gt;=MIN_OBS_Z,SUMPRODUCT(AQ$5:AQ246,AR$5:AR246)/AS246,"")</f>
        <v/>
      </c>
      <c r="AU246" s="40">
        <f>IF(AS246&gt;=MIN_OBS_Z,SQRT(SUMPRODUCT(AQ$5:AQ246,(AR$5:AR246-AT246)^2)/(AS246-1)),"")</f>
        <v/>
      </c>
      <c r="AV246" s="40">
        <f>IF(AND(AQ246=1,ISNUMBER(AT246)),MAX(-Z_CLIP,MIN(Z_CLIP,(AR246-AT246)/AU246)),"")</f>
        <v/>
      </c>
      <c r="AW246" s="40">
        <f>IF(ISNUMBER(AV246),-AV246,"")</f>
        <v/>
      </c>
      <c r="AX246" s="40">
        <f>IF(ISNUMBER(AW246),1+AMPLITUD*TANH(AW246),"")</f>
        <v/>
      </c>
      <c r="AY246" s="40">
        <f>IF($A246="","",IF(COUNT(AX244:AX246)&gt;0,AVERAGE(AX244:AX246),""))</f>
        <v/>
      </c>
      <c r="AZ246" s="40">
        <f>IF(ISNUMBER(AY246),AY246-1,"")</f>
        <v/>
      </c>
      <c r="BA246" s="40">
        <f>IF(AND(ISNUMBER(AZ245),ISNUMBER(W246)),AZ245*W_BANCOS*W246,"")</f>
        <v/>
      </c>
      <c r="BB246" s="40">
        <f>IF(AND(ISNUMBER(AZ245),ISNUMBER(AZ244)),ABS(AZ245-AZ244)*W_BANCOS*COSTO,0)</f>
        <v/>
      </c>
      <c r="BC246" s="40">
        <f>IF(ISNUMBER(BA246),BA246-BB246,"")</f>
        <v/>
      </c>
      <c r="BD246" s="42">
        <f>IF(ISNUMBER(BC246),IF(A246&lt;=FECHA_ERA,"A","B"),"")</f>
        <v/>
      </c>
      <c r="BE246" s="40">
        <f>IF(BD246="A",BC246,"")</f>
        <v/>
      </c>
      <c r="BF246" s="40">
        <f>IF(BD246="B",BC246,"")</f>
        <v/>
      </c>
      <c r="BG246" s="38">
        <f>IF(AND(ISNUMBER(BC246),ISNUMBER(A246)),IF(A246&gt;=INICIO_VIVO,1,0),0)</f>
        <v/>
      </c>
      <c r="BH246" s="40">
        <f>IF(BG246=1,BC246,"")</f>
        <v/>
      </c>
      <c r="BI246" s="38">
        <f>IF(ISNUMBER(AY246),ROW(),0)</f>
        <v/>
      </c>
      <c r="BJ246" s="43">
        <f>IF(ISNUMBER(BC246),SUM(BC$5:BC246)*10000,NA())</f>
        <v/>
      </c>
      <c r="BK246" s="43">
        <f>IF(BG246=1,SUM(BH$5:BH246)*10000,NA())</f>
        <v/>
      </c>
      <c r="BL246" s="44">
        <f>IF(ISNUMBER(AY246),AY246,NA())</f>
        <v/>
      </c>
    </row>
    <row r="247">
      <c r="A247" s="36">
        <f>IF(Datos!A247="","",Datos!A247)</f>
        <v/>
      </c>
      <c r="B247" s="37">
        <f>IF(OR($A247="",NOT(ISNUMBER(Datos!B247)),NOT(ISNUMBER(Datos!B246))),"",Datos!B247/Datos!B246-1)</f>
        <v/>
      </c>
      <c r="C247" s="37">
        <f>IF(OR($A247="",NOT(ISNUMBER(Datos!C247)),NOT(ISNUMBER(Datos!C246))),"",Datos!C247/Datos!C246-1)</f>
        <v/>
      </c>
      <c r="D247" s="37">
        <f>IF(OR($A247="",NOT(ISNUMBER(Datos!D247)),NOT(ISNUMBER(Datos!D246))),"",Datos!D247/Datos!D246-1)</f>
        <v/>
      </c>
      <c r="E247" s="37">
        <f>IF(OR($A247="",NOT(ISNUMBER(Datos!E247)),NOT(ISNUMBER(Datos!E246))),"",Datos!E247/Datos!E246-1)</f>
        <v/>
      </c>
      <c r="F247" s="38">
        <f>IF($A247="","",COUNT(B247:E247))</f>
        <v/>
      </c>
      <c r="G247" s="37">
        <f>IF($A247="","",IF(F247&gt;=MIN_BANCOS,AVERAGE(B247:E247),""))</f>
        <v/>
      </c>
      <c r="H247" s="37">
        <f>IF(OR($A247="",NOT(ISNUMBER(Datos!F247)),NOT(ISNUMBER(Datos!F246))),"",Datos!F247/Datos!F246-1)</f>
        <v/>
      </c>
      <c r="I247" s="39">
        <f>IF($A247="","",IF(ISNUMBER(Datos!G247),Datos!G247,I246))</f>
        <v/>
      </c>
      <c r="J247" s="40">
        <f>IF($A247="","",IF(ISNUMBER(I246),LN(1+I246/100/12),0))</f>
        <v/>
      </c>
      <c r="K247" s="40">
        <f>IF(ISNUMBER(G247),LN(1+G247)-J247,"")</f>
        <v/>
      </c>
      <c r="L247" s="40">
        <f>IF(ISNUMBER(H247),LN(1+H247)-J247,"")</f>
        <v/>
      </c>
      <c r="M247" s="38">
        <f>IF(ISNUMBER(K247),1,0)</f>
        <v/>
      </c>
      <c r="N247" s="40">
        <f>IF(M247=1,K247,0)</f>
        <v/>
      </c>
      <c r="O247" s="38">
        <f>IF(ISNUMBER(L247),1,0)</f>
        <v/>
      </c>
      <c r="P247" s="40">
        <f>IF(O247=1,L247,0)</f>
        <v/>
      </c>
      <c r="Q247" s="38">
        <f>M247*O247</f>
        <v/>
      </c>
      <c r="R247" s="38">
        <f>SUM(Q211:Q246)</f>
        <v/>
      </c>
      <c r="S247" s="41">
        <f>IF(OR($A247="",R247&lt;MIN_OBS_ROLL),"",(SUMPRODUCT(Q211:Q246,N211:N246,P211:P246)/R247-SUMPRODUCT(Q211:Q246,N211:N246)/R247*SUMPRODUCT(Q211:Q246,P211:P246)/R247)*R247/(R247-1))</f>
        <v/>
      </c>
      <c r="T247" s="38">
        <f>SUM(O211:O246)</f>
        <v/>
      </c>
      <c r="U247" s="41">
        <f>IF(OR($A247="",T247&lt;MIN_OBS_ROLL),"",SUMPRODUCT(O211:O246,(P211:P246-SUMPRODUCT(O211:O246,P211:P246)/T247)^2)/(T247-1))</f>
        <v/>
      </c>
      <c r="V247" s="40">
        <f>IF(OR(S247="",U247=""),"",S247/U247)</f>
        <v/>
      </c>
      <c r="W247" s="40">
        <f>IF(AND(ISNUMBER(K247),ISNUMBER(L247),ISNUMBER(V247)),K247-V247*L247,"")</f>
        <v/>
      </c>
      <c r="X247" s="40">
        <f>IF(OR($A247="",NOT(ISNUMBER(Datos!H247)),NOT(ISNUMBER(Datos!H246))),"",LN(Datos!H247)-LN(Datos!H246))</f>
        <v/>
      </c>
      <c r="Y247" s="38">
        <f>IF(ISNUMBER(W247),1,0)</f>
        <v/>
      </c>
      <c r="Z247" s="40">
        <f>IF(Y247=1,W247,0)</f>
        <v/>
      </c>
      <c r="AA247" s="38">
        <f>IF(ISNUMBER(X247),1,0)</f>
        <v/>
      </c>
      <c r="AB247" s="40">
        <f>IF(AA247=1,X247,0)</f>
        <v/>
      </c>
      <c r="AC247" s="38">
        <f>Y247*AA247</f>
        <v/>
      </c>
      <c r="AD247" s="38">
        <f>SUM(AC211:AC246)</f>
        <v/>
      </c>
      <c r="AE247" s="41">
        <f>IF(OR($A247="",AD247&lt;MIN_OBS_ROLL),"",(SUMPRODUCT(AC211:AC246,Z211:Z246,AB211:AB246)/AD247-SUMPRODUCT(AC211:AC246,Z211:Z246)/AD247*SUMPRODUCT(AC211:AC246,AB211:AB246)/AD247)*AD247/(AD247-1))</f>
        <v/>
      </c>
      <c r="AF247" s="38">
        <f>SUM(AA211:AA246)</f>
        <v/>
      </c>
      <c r="AG247" s="41">
        <f>IF(OR($A247="",AF247&lt;MIN_OBS_ROLL),"",SUMPRODUCT(AA211:AA246,(AB211:AB246-SUMPRODUCT(AA211:AA246,AB211:AB246)/AF247)^2)/(AF247-1))</f>
        <v/>
      </c>
      <c r="AH247" s="38">
        <f>SUM(Y211:Y246)</f>
        <v/>
      </c>
      <c r="AI247" s="40">
        <f>IF(OR($A247="",AH247&lt;MIN_OBS_ROLL),"",SUMPRODUCT(Y211:Y246,Z211:Z246)/AH247)</f>
        <v/>
      </c>
      <c r="AJ247" s="40">
        <f>IF(OR($A247="",AF247&lt;MIN_OBS_ROLL),"",SUMPRODUCT(AA211:AA246,AB211:AB246)/AF247)</f>
        <v/>
      </c>
      <c r="AK247" s="40">
        <f>IF(OR(AE247="",AG247=""),"",AE247/AG247)</f>
        <v/>
      </c>
      <c r="AL247" s="40">
        <f>IF(OR(AI247="",AK247="",AJ247=""),"",AI247-AK247*AJ247)</f>
        <v/>
      </c>
      <c r="AM247" s="40">
        <f>IF(AND(ISNUMBER(W247),ISNUMBER(X247),ISNUMBER(AK247),ISNUMBER(AL247)),W247-(AL247+AK247*X247),"")</f>
        <v/>
      </c>
      <c r="AN247" s="38">
        <f>IF(ISNUMBER(AM247),1,0)</f>
        <v/>
      </c>
      <c r="AO247" s="40">
        <f>IF(AN247=1,AM247,0)</f>
        <v/>
      </c>
      <c r="AP247" s="40">
        <f>IF(SUM(AN245:AN247)=3,SUM(AO245:AO247),"")</f>
        <v/>
      </c>
      <c r="AQ247" s="38">
        <f>IF(ISNUMBER(AP247),1,0)</f>
        <v/>
      </c>
      <c r="AR247" s="40">
        <f>IF(AQ247=1,AP247,0)</f>
        <v/>
      </c>
      <c r="AS247" s="38">
        <f>SUM(AQ$5:AQ247)</f>
        <v/>
      </c>
      <c r="AT247" s="40">
        <f>IF(AS247&gt;=MIN_OBS_Z,SUMPRODUCT(AQ$5:AQ247,AR$5:AR247)/AS247,"")</f>
        <v/>
      </c>
      <c r="AU247" s="40">
        <f>IF(AS247&gt;=MIN_OBS_Z,SQRT(SUMPRODUCT(AQ$5:AQ247,(AR$5:AR247-AT247)^2)/(AS247-1)),"")</f>
        <v/>
      </c>
      <c r="AV247" s="40">
        <f>IF(AND(AQ247=1,ISNUMBER(AT247)),MAX(-Z_CLIP,MIN(Z_CLIP,(AR247-AT247)/AU247)),"")</f>
        <v/>
      </c>
      <c r="AW247" s="40">
        <f>IF(ISNUMBER(AV247),-AV247,"")</f>
        <v/>
      </c>
      <c r="AX247" s="40">
        <f>IF(ISNUMBER(AW247),1+AMPLITUD*TANH(AW247),"")</f>
        <v/>
      </c>
      <c r="AY247" s="40">
        <f>IF($A247="","",IF(COUNT(AX245:AX247)&gt;0,AVERAGE(AX245:AX247),""))</f>
        <v/>
      </c>
      <c r="AZ247" s="40">
        <f>IF(ISNUMBER(AY247),AY247-1,"")</f>
        <v/>
      </c>
      <c r="BA247" s="40">
        <f>IF(AND(ISNUMBER(AZ246),ISNUMBER(W247)),AZ246*W_BANCOS*W247,"")</f>
        <v/>
      </c>
      <c r="BB247" s="40">
        <f>IF(AND(ISNUMBER(AZ246),ISNUMBER(AZ245)),ABS(AZ246-AZ245)*W_BANCOS*COSTO,0)</f>
        <v/>
      </c>
      <c r="BC247" s="40">
        <f>IF(ISNUMBER(BA247),BA247-BB247,"")</f>
        <v/>
      </c>
      <c r="BD247" s="42">
        <f>IF(ISNUMBER(BC247),IF(A247&lt;=FECHA_ERA,"A","B"),"")</f>
        <v/>
      </c>
      <c r="BE247" s="40">
        <f>IF(BD247="A",BC247,"")</f>
        <v/>
      </c>
      <c r="BF247" s="40">
        <f>IF(BD247="B",BC247,"")</f>
        <v/>
      </c>
      <c r="BG247" s="38">
        <f>IF(AND(ISNUMBER(BC247),ISNUMBER(A247)),IF(A247&gt;=INICIO_VIVO,1,0),0)</f>
        <v/>
      </c>
      <c r="BH247" s="40">
        <f>IF(BG247=1,BC247,"")</f>
        <v/>
      </c>
      <c r="BI247" s="38">
        <f>IF(ISNUMBER(AY247),ROW(),0)</f>
        <v/>
      </c>
      <c r="BJ247" s="43">
        <f>IF(ISNUMBER(BC247),SUM(BC$5:BC247)*10000,NA())</f>
        <v/>
      </c>
      <c r="BK247" s="43">
        <f>IF(BG247=1,SUM(BH$5:BH247)*10000,NA())</f>
        <v/>
      </c>
      <c r="BL247" s="44">
        <f>IF(ISNUMBER(AY247),AY247,NA())</f>
        <v/>
      </c>
    </row>
    <row r="248">
      <c r="A248" s="36">
        <f>IF(Datos!A248="","",Datos!A248)</f>
        <v/>
      </c>
      <c r="B248" s="37">
        <f>IF(OR($A248="",NOT(ISNUMBER(Datos!B248)),NOT(ISNUMBER(Datos!B247))),"",Datos!B248/Datos!B247-1)</f>
        <v/>
      </c>
      <c r="C248" s="37">
        <f>IF(OR($A248="",NOT(ISNUMBER(Datos!C248)),NOT(ISNUMBER(Datos!C247))),"",Datos!C248/Datos!C247-1)</f>
        <v/>
      </c>
      <c r="D248" s="37">
        <f>IF(OR($A248="",NOT(ISNUMBER(Datos!D248)),NOT(ISNUMBER(Datos!D247))),"",Datos!D248/Datos!D247-1)</f>
        <v/>
      </c>
      <c r="E248" s="37">
        <f>IF(OR($A248="",NOT(ISNUMBER(Datos!E248)),NOT(ISNUMBER(Datos!E247))),"",Datos!E248/Datos!E247-1)</f>
        <v/>
      </c>
      <c r="F248" s="38">
        <f>IF($A248="","",COUNT(B248:E248))</f>
        <v/>
      </c>
      <c r="G248" s="37">
        <f>IF($A248="","",IF(F248&gt;=MIN_BANCOS,AVERAGE(B248:E248),""))</f>
        <v/>
      </c>
      <c r="H248" s="37">
        <f>IF(OR($A248="",NOT(ISNUMBER(Datos!F248)),NOT(ISNUMBER(Datos!F247))),"",Datos!F248/Datos!F247-1)</f>
        <v/>
      </c>
      <c r="I248" s="39">
        <f>IF($A248="","",IF(ISNUMBER(Datos!G248),Datos!G248,I247))</f>
        <v/>
      </c>
      <c r="J248" s="40">
        <f>IF($A248="","",IF(ISNUMBER(I247),LN(1+I247/100/12),0))</f>
        <v/>
      </c>
      <c r="K248" s="40">
        <f>IF(ISNUMBER(G248),LN(1+G248)-J248,"")</f>
        <v/>
      </c>
      <c r="L248" s="40">
        <f>IF(ISNUMBER(H248),LN(1+H248)-J248,"")</f>
        <v/>
      </c>
      <c r="M248" s="38">
        <f>IF(ISNUMBER(K248),1,0)</f>
        <v/>
      </c>
      <c r="N248" s="40">
        <f>IF(M248=1,K248,0)</f>
        <v/>
      </c>
      <c r="O248" s="38">
        <f>IF(ISNUMBER(L248),1,0)</f>
        <v/>
      </c>
      <c r="P248" s="40">
        <f>IF(O248=1,L248,0)</f>
        <v/>
      </c>
      <c r="Q248" s="38">
        <f>M248*O248</f>
        <v/>
      </c>
      <c r="R248" s="38">
        <f>SUM(Q212:Q247)</f>
        <v/>
      </c>
      <c r="S248" s="41">
        <f>IF(OR($A248="",R248&lt;MIN_OBS_ROLL),"",(SUMPRODUCT(Q212:Q247,N212:N247,P212:P247)/R248-SUMPRODUCT(Q212:Q247,N212:N247)/R248*SUMPRODUCT(Q212:Q247,P212:P247)/R248)*R248/(R248-1))</f>
        <v/>
      </c>
      <c r="T248" s="38">
        <f>SUM(O212:O247)</f>
        <v/>
      </c>
      <c r="U248" s="41">
        <f>IF(OR($A248="",T248&lt;MIN_OBS_ROLL),"",SUMPRODUCT(O212:O247,(P212:P247-SUMPRODUCT(O212:O247,P212:P247)/T248)^2)/(T248-1))</f>
        <v/>
      </c>
      <c r="V248" s="40">
        <f>IF(OR(S248="",U248=""),"",S248/U248)</f>
        <v/>
      </c>
      <c r="W248" s="40">
        <f>IF(AND(ISNUMBER(K248),ISNUMBER(L248),ISNUMBER(V248)),K248-V248*L248,"")</f>
        <v/>
      </c>
      <c r="X248" s="40">
        <f>IF(OR($A248="",NOT(ISNUMBER(Datos!H248)),NOT(ISNUMBER(Datos!H247))),"",LN(Datos!H248)-LN(Datos!H247))</f>
        <v/>
      </c>
      <c r="Y248" s="38">
        <f>IF(ISNUMBER(W248),1,0)</f>
        <v/>
      </c>
      <c r="Z248" s="40">
        <f>IF(Y248=1,W248,0)</f>
        <v/>
      </c>
      <c r="AA248" s="38">
        <f>IF(ISNUMBER(X248),1,0)</f>
        <v/>
      </c>
      <c r="AB248" s="40">
        <f>IF(AA248=1,X248,0)</f>
        <v/>
      </c>
      <c r="AC248" s="38">
        <f>Y248*AA248</f>
        <v/>
      </c>
      <c r="AD248" s="38">
        <f>SUM(AC212:AC247)</f>
        <v/>
      </c>
      <c r="AE248" s="41">
        <f>IF(OR($A248="",AD248&lt;MIN_OBS_ROLL),"",(SUMPRODUCT(AC212:AC247,Z212:Z247,AB212:AB247)/AD248-SUMPRODUCT(AC212:AC247,Z212:Z247)/AD248*SUMPRODUCT(AC212:AC247,AB212:AB247)/AD248)*AD248/(AD248-1))</f>
        <v/>
      </c>
      <c r="AF248" s="38">
        <f>SUM(AA212:AA247)</f>
        <v/>
      </c>
      <c r="AG248" s="41">
        <f>IF(OR($A248="",AF248&lt;MIN_OBS_ROLL),"",SUMPRODUCT(AA212:AA247,(AB212:AB247-SUMPRODUCT(AA212:AA247,AB212:AB247)/AF248)^2)/(AF248-1))</f>
        <v/>
      </c>
      <c r="AH248" s="38">
        <f>SUM(Y212:Y247)</f>
        <v/>
      </c>
      <c r="AI248" s="40">
        <f>IF(OR($A248="",AH248&lt;MIN_OBS_ROLL),"",SUMPRODUCT(Y212:Y247,Z212:Z247)/AH248)</f>
        <v/>
      </c>
      <c r="AJ248" s="40">
        <f>IF(OR($A248="",AF248&lt;MIN_OBS_ROLL),"",SUMPRODUCT(AA212:AA247,AB212:AB247)/AF248)</f>
        <v/>
      </c>
      <c r="AK248" s="40">
        <f>IF(OR(AE248="",AG248=""),"",AE248/AG248)</f>
        <v/>
      </c>
      <c r="AL248" s="40">
        <f>IF(OR(AI248="",AK248="",AJ248=""),"",AI248-AK248*AJ248)</f>
        <v/>
      </c>
      <c r="AM248" s="40">
        <f>IF(AND(ISNUMBER(W248),ISNUMBER(X248),ISNUMBER(AK248),ISNUMBER(AL248)),W248-(AL248+AK248*X248),"")</f>
        <v/>
      </c>
      <c r="AN248" s="38">
        <f>IF(ISNUMBER(AM248),1,0)</f>
        <v/>
      </c>
      <c r="AO248" s="40">
        <f>IF(AN248=1,AM248,0)</f>
        <v/>
      </c>
      <c r="AP248" s="40">
        <f>IF(SUM(AN246:AN248)=3,SUM(AO246:AO248),"")</f>
        <v/>
      </c>
      <c r="AQ248" s="38">
        <f>IF(ISNUMBER(AP248),1,0)</f>
        <v/>
      </c>
      <c r="AR248" s="40">
        <f>IF(AQ248=1,AP248,0)</f>
        <v/>
      </c>
      <c r="AS248" s="38">
        <f>SUM(AQ$5:AQ248)</f>
        <v/>
      </c>
      <c r="AT248" s="40">
        <f>IF(AS248&gt;=MIN_OBS_Z,SUMPRODUCT(AQ$5:AQ248,AR$5:AR248)/AS248,"")</f>
        <v/>
      </c>
      <c r="AU248" s="40">
        <f>IF(AS248&gt;=MIN_OBS_Z,SQRT(SUMPRODUCT(AQ$5:AQ248,(AR$5:AR248-AT248)^2)/(AS248-1)),"")</f>
        <v/>
      </c>
      <c r="AV248" s="40">
        <f>IF(AND(AQ248=1,ISNUMBER(AT248)),MAX(-Z_CLIP,MIN(Z_CLIP,(AR248-AT248)/AU248)),"")</f>
        <v/>
      </c>
      <c r="AW248" s="40">
        <f>IF(ISNUMBER(AV248),-AV248,"")</f>
        <v/>
      </c>
      <c r="AX248" s="40">
        <f>IF(ISNUMBER(AW248),1+AMPLITUD*TANH(AW248),"")</f>
        <v/>
      </c>
      <c r="AY248" s="40">
        <f>IF($A248="","",IF(COUNT(AX246:AX248)&gt;0,AVERAGE(AX246:AX248),""))</f>
        <v/>
      </c>
      <c r="AZ248" s="40">
        <f>IF(ISNUMBER(AY248),AY248-1,"")</f>
        <v/>
      </c>
      <c r="BA248" s="40">
        <f>IF(AND(ISNUMBER(AZ247),ISNUMBER(W248)),AZ247*W_BANCOS*W248,"")</f>
        <v/>
      </c>
      <c r="BB248" s="40">
        <f>IF(AND(ISNUMBER(AZ247),ISNUMBER(AZ246)),ABS(AZ247-AZ246)*W_BANCOS*COSTO,0)</f>
        <v/>
      </c>
      <c r="BC248" s="40">
        <f>IF(ISNUMBER(BA248),BA248-BB248,"")</f>
        <v/>
      </c>
      <c r="BD248" s="42">
        <f>IF(ISNUMBER(BC248),IF(A248&lt;=FECHA_ERA,"A","B"),"")</f>
        <v/>
      </c>
      <c r="BE248" s="40">
        <f>IF(BD248="A",BC248,"")</f>
        <v/>
      </c>
      <c r="BF248" s="40">
        <f>IF(BD248="B",BC248,"")</f>
        <v/>
      </c>
      <c r="BG248" s="38">
        <f>IF(AND(ISNUMBER(BC248),ISNUMBER(A248)),IF(A248&gt;=INICIO_VIVO,1,0),0)</f>
        <v/>
      </c>
      <c r="BH248" s="40">
        <f>IF(BG248=1,BC248,"")</f>
        <v/>
      </c>
      <c r="BI248" s="38">
        <f>IF(ISNUMBER(AY248),ROW(),0)</f>
        <v/>
      </c>
      <c r="BJ248" s="43">
        <f>IF(ISNUMBER(BC248),SUM(BC$5:BC248)*10000,NA())</f>
        <v/>
      </c>
      <c r="BK248" s="43">
        <f>IF(BG248=1,SUM(BH$5:BH248)*10000,NA())</f>
        <v/>
      </c>
      <c r="BL248" s="44">
        <f>IF(ISNUMBER(AY248),AY248,NA())</f>
        <v/>
      </c>
    </row>
    <row r="249">
      <c r="A249" s="36">
        <f>IF(Datos!A249="","",Datos!A249)</f>
        <v/>
      </c>
      <c r="B249" s="37">
        <f>IF(OR($A249="",NOT(ISNUMBER(Datos!B249)),NOT(ISNUMBER(Datos!B248))),"",Datos!B249/Datos!B248-1)</f>
        <v/>
      </c>
      <c r="C249" s="37">
        <f>IF(OR($A249="",NOT(ISNUMBER(Datos!C249)),NOT(ISNUMBER(Datos!C248))),"",Datos!C249/Datos!C248-1)</f>
        <v/>
      </c>
      <c r="D249" s="37">
        <f>IF(OR($A249="",NOT(ISNUMBER(Datos!D249)),NOT(ISNUMBER(Datos!D248))),"",Datos!D249/Datos!D248-1)</f>
        <v/>
      </c>
      <c r="E249" s="37">
        <f>IF(OR($A249="",NOT(ISNUMBER(Datos!E249)),NOT(ISNUMBER(Datos!E248))),"",Datos!E249/Datos!E248-1)</f>
        <v/>
      </c>
      <c r="F249" s="38">
        <f>IF($A249="","",COUNT(B249:E249))</f>
        <v/>
      </c>
      <c r="G249" s="37">
        <f>IF($A249="","",IF(F249&gt;=MIN_BANCOS,AVERAGE(B249:E249),""))</f>
        <v/>
      </c>
      <c r="H249" s="37">
        <f>IF(OR($A249="",NOT(ISNUMBER(Datos!F249)),NOT(ISNUMBER(Datos!F248))),"",Datos!F249/Datos!F248-1)</f>
        <v/>
      </c>
      <c r="I249" s="39">
        <f>IF($A249="","",IF(ISNUMBER(Datos!G249),Datos!G249,I248))</f>
        <v/>
      </c>
      <c r="J249" s="40">
        <f>IF($A249="","",IF(ISNUMBER(I248),LN(1+I248/100/12),0))</f>
        <v/>
      </c>
      <c r="K249" s="40">
        <f>IF(ISNUMBER(G249),LN(1+G249)-J249,"")</f>
        <v/>
      </c>
      <c r="L249" s="40">
        <f>IF(ISNUMBER(H249),LN(1+H249)-J249,"")</f>
        <v/>
      </c>
      <c r="M249" s="38">
        <f>IF(ISNUMBER(K249),1,0)</f>
        <v/>
      </c>
      <c r="N249" s="40">
        <f>IF(M249=1,K249,0)</f>
        <v/>
      </c>
      <c r="O249" s="38">
        <f>IF(ISNUMBER(L249),1,0)</f>
        <v/>
      </c>
      <c r="P249" s="40">
        <f>IF(O249=1,L249,0)</f>
        <v/>
      </c>
      <c r="Q249" s="38">
        <f>M249*O249</f>
        <v/>
      </c>
      <c r="R249" s="38">
        <f>SUM(Q213:Q248)</f>
        <v/>
      </c>
      <c r="S249" s="41">
        <f>IF(OR($A249="",R249&lt;MIN_OBS_ROLL),"",(SUMPRODUCT(Q213:Q248,N213:N248,P213:P248)/R249-SUMPRODUCT(Q213:Q248,N213:N248)/R249*SUMPRODUCT(Q213:Q248,P213:P248)/R249)*R249/(R249-1))</f>
        <v/>
      </c>
      <c r="T249" s="38">
        <f>SUM(O213:O248)</f>
        <v/>
      </c>
      <c r="U249" s="41">
        <f>IF(OR($A249="",T249&lt;MIN_OBS_ROLL),"",SUMPRODUCT(O213:O248,(P213:P248-SUMPRODUCT(O213:O248,P213:P248)/T249)^2)/(T249-1))</f>
        <v/>
      </c>
      <c r="V249" s="40">
        <f>IF(OR(S249="",U249=""),"",S249/U249)</f>
        <v/>
      </c>
      <c r="W249" s="40">
        <f>IF(AND(ISNUMBER(K249),ISNUMBER(L249),ISNUMBER(V249)),K249-V249*L249,"")</f>
        <v/>
      </c>
      <c r="X249" s="40">
        <f>IF(OR($A249="",NOT(ISNUMBER(Datos!H249)),NOT(ISNUMBER(Datos!H248))),"",LN(Datos!H249)-LN(Datos!H248))</f>
        <v/>
      </c>
      <c r="Y249" s="38">
        <f>IF(ISNUMBER(W249),1,0)</f>
        <v/>
      </c>
      <c r="Z249" s="40">
        <f>IF(Y249=1,W249,0)</f>
        <v/>
      </c>
      <c r="AA249" s="38">
        <f>IF(ISNUMBER(X249),1,0)</f>
        <v/>
      </c>
      <c r="AB249" s="40">
        <f>IF(AA249=1,X249,0)</f>
        <v/>
      </c>
      <c r="AC249" s="38">
        <f>Y249*AA249</f>
        <v/>
      </c>
      <c r="AD249" s="38">
        <f>SUM(AC213:AC248)</f>
        <v/>
      </c>
      <c r="AE249" s="41">
        <f>IF(OR($A249="",AD249&lt;MIN_OBS_ROLL),"",(SUMPRODUCT(AC213:AC248,Z213:Z248,AB213:AB248)/AD249-SUMPRODUCT(AC213:AC248,Z213:Z248)/AD249*SUMPRODUCT(AC213:AC248,AB213:AB248)/AD249)*AD249/(AD249-1))</f>
        <v/>
      </c>
      <c r="AF249" s="38">
        <f>SUM(AA213:AA248)</f>
        <v/>
      </c>
      <c r="AG249" s="41">
        <f>IF(OR($A249="",AF249&lt;MIN_OBS_ROLL),"",SUMPRODUCT(AA213:AA248,(AB213:AB248-SUMPRODUCT(AA213:AA248,AB213:AB248)/AF249)^2)/(AF249-1))</f>
        <v/>
      </c>
      <c r="AH249" s="38">
        <f>SUM(Y213:Y248)</f>
        <v/>
      </c>
      <c r="AI249" s="40">
        <f>IF(OR($A249="",AH249&lt;MIN_OBS_ROLL),"",SUMPRODUCT(Y213:Y248,Z213:Z248)/AH249)</f>
        <v/>
      </c>
      <c r="AJ249" s="40">
        <f>IF(OR($A249="",AF249&lt;MIN_OBS_ROLL),"",SUMPRODUCT(AA213:AA248,AB213:AB248)/AF249)</f>
        <v/>
      </c>
      <c r="AK249" s="40">
        <f>IF(OR(AE249="",AG249=""),"",AE249/AG249)</f>
        <v/>
      </c>
      <c r="AL249" s="40">
        <f>IF(OR(AI249="",AK249="",AJ249=""),"",AI249-AK249*AJ249)</f>
        <v/>
      </c>
      <c r="AM249" s="40">
        <f>IF(AND(ISNUMBER(W249),ISNUMBER(X249),ISNUMBER(AK249),ISNUMBER(AL249)),W249-(AL249+AK249*X249),"")</f>
        <v/>
      </c>
      <c r="AN249" s="38">
        <f>IF(ISNUMBER(AM249),1,0)</f>
        <v/>
      </c>
      <c r="AO249" s="40">
        <f>IF(AN249=1,AM249,0)</f>
        <v/>
      </c>
      <c r="AP249" s="40">
        <f>IF(SUM(AN247:AN249)=3,SUM(AO247:AO249),"")</f>
        <v/>
      </c>
      <c r="AQ249" s="38">
        <f>IF(ISNUMBER(AP249),1,0)</f>
        <v/>
      </c>
      <c r="AR249" s="40">
        <f>IF(AQ249=1,AP249,0)</f>
        <v/>
      </c>
      <c r="AS249" s="38">
        <f>SUM(AQ$5:AQ249)</f>
        <v/>
      </c>
      <c r="AT249" s="40">
        <f>IF(AS249&gt;=MIN_OBS_Z,SUMPRODUCT(AQ$5:AQ249,AR$5:AR249)/AS249,"")</f>
        <v/>
      </c>
      <c r="AU249" s="40">
        <f>IF(AS249&gt;=MIN_OBS_Z,SQRT(SUMPRODUCT(AQ$5:AQ249,(AR$5:AR249-AT249)^2)/(AS249-1)),"")</f>
        <v/>
      </c>
      <c r="AV249" s="40">
        <f>IF(AND(AQ249=1,ISNUMBER(AT249)),MAX(-Z_CLIP,MIN(Z_CLIP,(AR249-AT249)/AU249)),"")</f>
        <v/>
      </c>
      <c r="AW249" s="40">
        <f>IF(ISNUMBER(AV249),-AV249,"")</f>
        <v/>
      </c>
      <c r="AX249" s="40">
        <f>IF(ISNUMBER(AW249),1+AMPLITUD*TANH(AW249),"")</f>
        <v/>
      </c>
      <c r="AY249" s="40">
        <f>IF($A249="","",IF(COUNT(AX247:AX249)&gt;0,AVERAGE(AX247:AX249),""))</f>
        <v/>
      </c>
      <c r="AZ249" s="40">
        <f>IF(ISNUMBER(AY249),AY249-1,"")</f>
        <v/>
      </c>
      <c r="BA249" s="40">
        <f>IF(AND(ISNUMBER(AZ248),ISNUMBER(W249)),AZ248*W_BANCOS*W249,"")</f>
        <v/>
      </c>
      <c r="BB249" s="40">
        <f>IF(AND(ISNUMBER(AZ248),ISNUMBER(AZ247)),ABS(AZ248-AZ247)*W_BANCOS*COSTO,0)</f>
        <v/>
      </c>
      <c r="BC249" s="40">
        <f>IF(ISNUMBER(BA249),BA249-BB249,"")</f>
        <v/>
      </c>
      <c r="BD249" s="42">
        <f>IF(ISNUMBER(BC249),IF(A249&lt;=FECHA_ERA,"A","B"),"")</f>
        <v/>
      </c>
      <c r="BE249" s="40">
        <f>IF(BD249="A",BC249,"")</f>
        <v/>
      </c>
      <c r="BF249" s="40">
        <f>IF(BD249="B",BC249,"")</f>
        <v/>
      </c>
      <c r="BG249" s="38">
        <f>IF(AND(ISNUMBER(BC249),ISNUMBER(A249)),IF(A249&gt;=INICIO_VIVO,1,0),0)</f>
        <v/>
      </c>
      <c r="BH249" s="40">
        <f>IF(BG249=1,BC249,"")</f>
        <v/>
      </c>
      <c r="BI249" s="38">
        <f>IF(ISNUMBER(AY249),ROW(),0)</f>
        <v/>
      </c>
      <c r="BJ249" s="43">
        <f>IF(ISNUMBER(BC249),SUM(BC$5:BC249)*10000,NA())</f>
        <v/>
      </c>
      <c r="BK249" s="43">
        <f>IF(BG249=1,SUM(BH$5:BH249)*10000,NA())</f>
        <v/>
      </c>
      <c r="BL249" s="44">
        <f>IF(ISNUMBER(AY249),AY249,NA())</f>
        <v/>
      </c>
    </row>
    <row r="250">
      <c r="A250" s="36">
        <f>IF(Datos!A250="","",Datos!A250)</f>
        <v/>
      </c>
      <c r="B250" s="37">
        <f>IF(OR($A250="",NOT(ISNUMBER(Datos!B250)),NOT(ISNUMBER(Datos!B249))),"",Datos!B250/Datos!B249-1)</f>
        <v/>
      </c>
      <c r="C250" s="37">
        <f>IF(OR($A250="",NOT(ISNUMBER(Datos!C250)),NOT(ISNUMBER(Datos!C249))),"",Datos!C250/Datos!C249-1)</f>
        <v/>
      </c>
      <c r="D250" s="37">
        <f>IF(OR($A250="",NOT(ISNUMBER(Datos!D250)),NOT(ISNUMBER(Datos!D249))),"",Datos!D250/Datos!D249-1)</f>
        <v/>
      </c>
      <c r="E250" s="37">
        <f>IF(OR($A250="",NOT(ISNUMBER(Datos!E250)),NOT(ISNUMBER(Datos!E249))),"",Datos!E250/Datos!E249-1)</f>
        <v/>
      </c>
      <c r="F250" s="38">
        <f>IF($A250="","",COUNT(B250:E250))</f>
        <v/>
      </c>
      <c r="G250" s="37">
        <f>IF($A250="","",IF(F250&gt;=MIN_BANCOS,AVERAGE(B250:E250),""))</f>
        <v/>
      </c>
      <c r="H250" s="37">
        <f>IF(OR($A250="",NOT(ISNUMBER(Datos!F250)),NOT(ISNUMBER(Datos!F249))),"",Datos!F250/Datos!F249-1)</f>
        <v/>
      </c>
      <c r="I250" s="39">
        <f>IF($A250="","",IF(ISNUMBER(Datos!G250),Datos!G250,I249))</f>
        <v/>
      </c>
      <c r="J250" s="40">
        <f>IF($A250="","",IF(ISNUMBER(I249),LN(1+I249/100/12),0))</f>
        <v/>
      </c>
      <c r="K250" s="40">
        <f>IF(ISNUMBER(G250),LN(1+G250)-J250,"")</f>
        <v/>
      </c>
      <c r="L250" s="40">
        <f>IF(ISNUMBER(H250),LN(1+H250)-J250,"")</f>
        <v/>
      </c>
      <c r="M250" s="38">
        <f>IF(ISNUMBER(K250),1,0)</f>
        <v/>
      </c>
      <c r="N250" s="40">
        <f>IF(M250=1,K250,0)</f>
        <v/>
      </c>
      <c r="O250" s="38">
        <f>IF(ISNUMBER(L250),1,0)</f>
        <v/>
      </c>
      <c r="P250" s="40">
        <f>IF(O250=1,L250,0)</f>
        <v/>
      </c>
      <c r="Q250" s="38">
        <f>M250*O250</f>
        <v/>
      </c>
      <c r="R250" s="38">
        <f>SUM(Q214:Q249)</f>
        <v/>
      </c>
      <c r="S250" s="41">
        <f>IF(OR($A250="",R250&lt;MIN_OBS_ROLL),"",(SUMPRODUCT(Q214:Q249,N214:N249,P214:P249)/R250-SUMPRODUCT(Q214:Q249,N214:N249)/R250*SUMPRODUCT(Q214:Q249,P214:P249)/R250)*R250/(R250-1))</f>
        <v/>
      </c>
      <c r="T250" s="38">
        <f>SUM(O214:O249)</f>
        <v/>
      </c>
      <c r="U250" s="41">
        <f>IF(OR($A250="",T250&lt;MIN_OBS_ROLL),"",SUMPRODUCT(O214:O249,(P214:P249-SUMPRODUCT(O214:O249,P214:P249)/T250)^2)/(T250-1))</f>
        <v/>
      </c>
      <c r="V250" s="40">
        <f>IF(OR(S250="",U250=""),"",S250/U250)</f>
        <v/>
      </c>
      <c r="W250" s="40">
        <f>IF(AND(ISNUMBER(K250),ISNUMBER(L250),ISNUMBER(V250)),K250-V250*L250,"")</f>
        <v/>
      </c>
      <c r="X250" s="40">
        <f>IF(OR($A250="",NOT(ISNUMBER(Datos!H250)),NOT(ISNUMBER(Datos!H249))),"",LN(Datos!H250)-LN(Datos!H249))</f>
        <v/>
      </c>
      <c r="Y250" s="38">
        <f>IF(ISNUMBER(W250),1,0)</f>
        <v/>
      </c>
      <c r="Z250" s="40">
        <f>IF(Y250=1,W250,0)</f>
        <v/>
      </c>
      <c r="AA250" s="38">
        <f>IF(ISNUMBER(X250),1,0)</f>
        <v/>
      </c>
      <c r="AB250" s="40">
        <f>IF(AA250=1,X250,0)</f>
        <v/>
      </c>
      <c r="AC250" s="38">
        <f>Y250*AA250</f>
        <v/>
      </c>
      <c r="AD250" s="38">
        <f>SUM(AC214:AC249)</f>
        <v/>
      </c>
      <c r="AE250" s="41">
        <f>IF(OR($A250="",AD250&lt;MIN_OBS_ROLL),"",(SUMPRODUCT(AC214:AC249,Z214:Z249,AB214:AB249)/AD250-SUMPRODUCT(AC214:AC249,Z214:Z249)/AD250*SUMPRODUCT(AC214:AC249,AB214:AB249)/AD250)*AD250/(AD250-1))</f>
        <v/>
      </c>
      <c r="AF250" s="38">
        <f>SUM(AA214:AA249)</f>
        <v/>
      </c>
      <c r="AG250" s="41">
        <f>IF(OR($A250="",AF250&lt;MIN_OBS_ROLL),"",SUMPRODUCT(AA214:AA249,(AB214:AB249-SUMPRODUCT(AA214:AA249,AB214:AB249)/AF250)^2)/(AF250-1))</f>
        <v/>
      </c>
      <c r="AH250" s="38">
        <f>SUM(Y214:Y249)</f>
        <v/>
      </c>
      <c r="AI250" s="40">
        <f>IF(OR($A250="",AH250&lt;MIN_OBS_ROLL),"",SUMPRODUCT(Y214:Y249,Z214:Z249)/AH250)</f>
        <v/>
      </c>
      <c r="AJ250" s="40">
        <f>IF(OR($A250="",AF250&lt;MIN_OBS_ROLL),"",SUMPRODUCT(AA214:AA249,AB214:AB249)/AF250)</f>
        <v/>
      </c>
      <c r="AK250" s="40">
        <f>IF(OR(AE250="",AG250=""),"",AE250/AG250)</f>
        <v/>
      </c>
      <c r="AL250" s="40">
        <f>IF(OR(AI250="",AK250="",AJ250=""),"",AI250-AK250*AJ250)</f>
        <v/>
      </c>
      <c r="AM250" s="40">
        <f>IF(AND(ISNUMBER(W250),ISNUMBER(X250),ISNUMBER(AK250),ISNUMBER(AL250)),W250-(AL250+AK250*X250),"")</f>
        <v/>
      </c>
      <c r="AN250" s="38">
        <f>IF(ISNUMBER(AM250),1,0)</f>
        <v/>
      </c>
      <c r="AO250" s="40">
        <f>IF(AN250=1,AM250,0)</f>
        <v/>
      </c>
      <c r="AP250" s="40">
        <f>IF(SUM(AN248:AN250)=3,SUM(AO248:AO250),"")</f>
        <v/>
      </c>
      <c r="AQ250" s="38">
        <f>IF(ISNUMBER(AP250),1,0)</f>
        <v/>
      </c>
      <c r="AR250" s="40">
        <f>IF(AQ250=1,AP250,0)</f>
        <v/>
      </c>
      <c r="AS250" s="38">
        <f>SUM(AQ$5:AQ250)</f>
        <v/>
      </c>
      <c r="AT250" s="40">
        <f>IF(AS250&gt;=MIN_OBS_Z,SUMPRODUCT(AQ$5:AQ250,AR$5:AR250)/AS250,"")</f>
        <v/>
      </c>
      <c r="AU250" s="40">
        <f>IF(AS250&gt;=MIN_OBS_Z,SQRT(SUMPRODUCT(AQ$5:AQ250,(AR$5:AR250-AT250)^2)/(AS250-1)),"")</f>
        <v/>
      </c>
      <c r="AV250" s="40">
        <f>IF(AND(AQ250=1,ISNUMBER(AT250)),MAX(-Z_CLIP,MIN(Z_CLIP,(AR250-AT250)/AU250)),"")</f>
        <v/>
      </c>
      <c r="AW250" s="40">
        <f>IF(ISNUMBER(AV250),-AV250,"")</f>
        <v/>
      </c>
      <c r="AX250" s="40">
        <f>IF(ISNUMBER(AW250),1+AMPLITUD*TANH(AW250),"")</f>
        <v/>
      </c>
      <c r="AY250" s="40">
        <f>IF($A250="","",IF(COUNT(AX248:AX250)&gt;0,AVERAGE(AX248:AX250),""))</f>
        <v/>
      </c>
      <c r="AZ250" s="40">
        <f>IF(ISNUMBER(AY250),AY250-1,"")</f>
        <v/>
      </c>
      <c r="BA250" s="40">
        <f>IF(AND(ISNUMBER(AZ249),ISNUMBER(W250)),AZ249*W_BANCOS*W250,"")</f>
        <v/>
      </c>
      <c r="BB250" s="40">
        <f>IF(AND(ISNUMBER(AZ249),ISNUMBER(AZ248)),ABS(AZ249-AZ248)*W_BANCOS*COSTO,0)</f>
        <v/>
      </c>
      <c r="BC250" s="40">
        <f>IF(ISNUMBER(BA250),BA250-BB250,"")</f>
        <v/>
      </c>
      <c r="BD250" s="42">
        <f>IF(ISNUMBER(BC250),IF(A250&lt;=FECHA_ERA,"A","B"),"")</f>
        <v/>
      </c>
      <c r="BE250" s="40">
        <f>IF(BD250="A",BC250,"")</f>
        <v/>
      </c>
      <c r="BF250" s="40">
        <f>IF(BD250="B",BC250,"")</f>
        <v/>
      </c>
      <c r="BG250" s="38">
        <f>IF(AND(ISNUMBER(BC250),ISNUMBER(A250)),IF(A250&gt;=INICIO_VIVO,1,0),0)</f>
        <v/>
      </c>
      <c r="BH250" s="40">
        <f>IF(BG250=1,BC250,"")</f>
        <v/>
      </c>
      <c r="BI250" s="38">
        <f>IF(ISNUMBER(AY250),ROW(),0)</f>
        <v/>
      </c>
      <c r="BJ250" s="43">
        <f>IF(ISNUMBER(BC250),SUM(BC$5:BC250)*10000,NA())</f>
        <v/>
      </c>
      <c r="BK250" s="43">
        <f>IF(BG250=1,SUM(BH$5:BH250)*10000,NA())</f>
        <v/>
      </c>
      <c r="BL250" s="44">
        <f>IF(ISNUMBER(AY250),AY250,NA())</f>
        <v/>
      </c>
    </row>
    <row r="251">
      <c r="A251" s="36">
        <f>IF(Datos!A251="","",Datos!A251)</f>
        <v/>
      </c>
      <c r="B251" s="37">
        <f>IF(OR($A251="",NOT(ISNUMBER(Datos!B251)),NOT(ISNUMBER(Datos!B250))),"",Datos!B251/Datos!B250-1)</f>
        <v/>
      </c>
      <c r="C251" s="37">
        <f>IF(OR($A251="",NOT(ISNUMBER(Datos!C251)),NOT(ISNUMBER(Datos!C250))),"",Datos!C251/Datos!C250-1)</f>
        <v/>
      </c>
      <c r="D251" s="37">
        <f>IF(OR($A251="",NOT(ISNUMBER(Datos!D251)),NOT(ISNUMBER(Datos!D250))),"",Datos!D251/Datos!D250-1)</f>
        <v/>
      </c>
      <c r="E251" s="37">
        <f>IF(OR($A251="",NOT(ISNUMBER(Datos!E251)),NOT(ISNUMBER(Datos!E250))),"",Datos!E251/Datos!E250-1)</f>
        <v/>
      </c>
      <c r="F251" s="38">
        <f>IF($A251="","",COUNT(B251:E251))</f>
        <v/>
      </c>
      <c r="G251" s="37">
        <f>IF($A251="","",IF(F251&gt;=MIN_BANCOS,AVERAGE(B251:E251),""))</f>
        <v/>
      </c>
      <c r="H251" s="37">
        <f>IF(OR($A251="",NOT(ISNUMBER(Datos!F251)),NOT(ISNUMBER(Datos!F250))),"",Datos!F251/Datos!F250-1)</f>
        <v/>
      </c>
      <c r="I251" s="39">
        <f>IF($A251="","",IF(ISNUMBER(Datos!G251),Datos!G251,I250))</f>
        <v/>
      </c>
      <c r="J251" s="40">
        <f>IF($A251="","",IF(ISNUMBER(I250),LN(1+I250/100/12),0))</f>
        <v/>
      </c>
      <c r="K251" s="40">
        <f>IF(ISNUMBER(G251),LN(1+G251)-J251,"")</f>
        <v/>
      </c>
      <c r="L251" s="40">
        <f>IF(ISNUMBER(H251),LN(1+H251)-J251,"")</f>
        <v/>
      </c>
      <c r="M251" s="38">
        <f>IF(ISNUMBER(K251),1,0)</f>
        <v/>
      </c>
      <c r="N251" s="40">
        <f>IF(M251=1,K251,0)</f>
        <v/>
      </c>
      <c r="O251" s="38">
        <f>IF(ISNUMBER(L251),1,0)</f>
        <v/>
      </c>
      <c r="P251" s="40">
        <f>IF(O251=1,L251,0)</f>
        <v/>
      </c>
      <c r="Q251" s="38">
        <f>M251*O251</f>
        <v/>
      </c>
      <c r="R251" s="38">
        <f>SUM(Q215:Q250)</f>
        <v/>
      </c>
      <c r="S251" s="41">
        <f>IF(OR($A251="",R251&lt;MIN_OBS_ROLL),"",(SUMPRODUCT(Q215:Q250,N215:N250,P215:P250)/R251-SUMPRODUCT(Q215:Q250,N215:N250)/R251*SUMPRODUCT(Q215:Q250,P215:P250)/R251)*R251/(R251-1))</f>
        <v/>
      </c>
      <c r="T251" s="38">
        <f>SUM(O215:O250)</f>
        <v/>
      </c>
      <c r="U251" s="41">
        <f>IF(OR($A251="",T251&lt;MIN_OBS_ROLL),"",SUMPRODUCT(O215:O250,(P215:P250-SUMPRODUCT(O215:O250,P215:P250)/T251)^2)/(T251-1))</f>
        <v/>
      </c>
      <c r="V251" s="40">
        <f>IF(OR(S251="",U251=""),"",S251/U251)</f>
        <v/>
      </c>
      <c r="W251" s="40">
        <f>IF(AND(ISNUMBER(K251),ISNUMBER(L251),ISNUMBER(V251)),K251-V251*L251,"")</f>
        <v/>
      </c>
      <c r="X251" s="40">
        <f>IF(OR($A251="",NOT(ISNUMBER(Datos!H251)),NOT(ISNUMBER(Datos!H250))),"",LN(Datos!H251)-LN(Datos!H250))</f>
        <v/>
      </c>
      <c r="Y251" s="38">
        <f>IF(ISNUMBER(W251),1,0)</f>
        <v/>
      </c>
      <c r="Z251" s="40">
        <f>IF(Y251=1,W251,0)</f>
        <v/>
      </c>
      <c r="AA251" s="38">
        <f>IF(ISNUMBER(X251),1,0)</f>
        <v/>
      </c>
      <c r="AB251" s="40">
        <f>IF(AA251=1,X251,0)</f>
        <v/>
      </c>
      <c r="AC251" s="38">
        <f>Y251*AA251</f>
        <v/>
      </c>
      <c r="AD251" s="38">
        <f>SUM(AC215:AC250)</f>
        <v/>
      </c>
      <c r="AE251" s="41">
        <f>IF(OR($A251="",AD251&lt;MIN_OBS_ROLL),"",(SUMPRODUCT(AC215:AC250,Z215:Z250,AB215:AB250)/AD251-SUMPRODUCT(AC215:AC250,Z215:Z250)/AD251*SUMPRODUCT(AC215:AC250,AB215:AB250)/AD251)*AD251/(AD251-1))</f>
        <v/>
      </c>
      <c r="AF251" s="38">
        <f>SUM(AA215:AA250)</f>
        <v/>
      </c>
      <c r="AG251" s="41">
        <f>IF(OR($A251="",AF251&lt;MIN_OBS_ROLL),"",SUMPRODUCT(AA215:AA250,(AB215:AB250-SUMPRODUCT(AA215:AA250,AB215:AB250)/AF251)^2)/(AF251-1))</f>
        <v/>
      </c>
      <c r="AH251" s="38">
        <f>SUM(Y215:Y250)</f>
        <v/>
      </c>
      <c r="AI251" s="40">
        <f>IF(OR($A251="",AH251&lt;MIN_OBS_ROLL),"",SUMPRODUCT(Y215:Y250,Z215:Z250)/AH251)</f>
        <v/>
      </c>
      <c r="AJ251" s="40">
        <f>IF(OR($A251="",AF251&lt;MIN_OBS_ROLL),"",SUMPRODUCT(AA215:AA250,AB215:AB250)/AF251)</f>
        <v/>
      </c>
      <c r="AK251" s="40">
        <f>IF(OR(AE251="",AG251=""),"",AE251/AG251)</f>
        <v/>
      </c>
      <c r="AL251" s="40">
        <f>IF(OR(AI251="",AK251="",AJ251=""),"",AI251-AK251*AJ251)</f>
        <v/>
      </c>
      <c r="AM251" s="40">
        <f>IF(AND(ISNUMBER(W251),ISNUMBER(X251),ISNUMBER(AK251),ISNUMBER(AL251)),W251-(AL251+AK251*X251),"")</f>
        <v/>
      </c>
      <c r="AN251" s="38">
        <f>IF(ISNUMBER(AM251),1,0)</f>
        <v/>
      </c>
      <c r="AO251" s="40">
        <f>IF(AN251=1,AM251,0)</f>
        <v/>
      </c>
      <c r="AP251" s="40">
        <f>IF(SUM(AN249:AN251)=3,SUM(AO249:AO251),"")</f>
        <v/>
      </c>
      <c r="AQ251" s="38">
        <f>IF(ISNUMBER(AP251),1,0)</f>
        <v/>
      </c>
      <c r="AR251" s="40">
        <f>IF(AQ251=1,AP251,0)</f>
        <v/>
      </c>
      <c r="AS251" s="38">
        <f>SUM(AQ$5:AQ251)</f>
        <v/>
      </c>
      <c r="AT251" s="40">
        <f>IF(AS251&gt;=MIN_OBS_Z,SUMPRODUCT(AQ$5:AQ251,AR$5:AR251)/AS251,"")</f>
        <v/>
      </c>
      <c r="AU251" s="40">
        <f>IF(AS251&gt;=MIN_OBS_Z,SQRT(SUMPRODUCT(AQ$5:AQ251,(AR$5:AR251-AT251)^2)/(AS251-1)),"")</f>
        <v/>
      </c>
      <c r="AV251" s="40">
        <f>IF(AND(AQ251=1,ISNUMBER(AT251)),MAX(-Z_CLIP,MIN(Z_CLIP,(AR251-AT251)/AU251)),"")</f>
        <v/>
      </c>
      <c r="AW251" s="40">
        <f>IF(ISNUMBER(AV251),-AV251,"")</f>
        <v/>
      </c>
      <c r="AX251" s="40">
        <f>IF(ISNUMBER(AW251),1+AMPLITUD*TANH(AW251),"")</f>
        <v/>
      </c>
      <c r="AY251" s="40">
        <f>IF($A251="","",IF(COUNT(AX249:AX251)&gt;0,AVERAGE(AX249:AX251),""))</f>
        <v/>
      </c>
      <c r="AZ251" s="40">
        <f>IF(ISNUMBER(AY251),AY251-1,"")</f>
        <v/>
      </c>
      <c r="BA251" s="40">
        <f>IF(AND(ISNUMBER(AZ250),ISNUMBER(W251)),AZ250*W_BANCOS*W251,"")</f>
        <v/>
      </c>
      <c r="BB251" s="40">
        <f>IF(AND(ISNUMBER(AZ250),ISNUMBER(AZ249)),ABS(AZ250-AZ249)*W_BANCOS*COSTO,0)</f>
        <v/>
      </c>
      <c r="BC251" s="40">
        <f>IF(ISNUMBER(BA251),BA251-BB251,"")</f>
        <v/>
      </c>
      <c r="BD251" s="42">
        <f>IF(ISNUMBER(BC251),IF(A251&lt;=FECHA_ERA,"A","B"),"")</f>
        <v/>
      </c>
      <c r="BE251" s="40">
        <f>IF(BD251="A",BC251,"")</f>
        <v/>
      </c>
      <c r="BF251" s="40">
        <f>IF(BD251="B",BC251,"")</f>
        <v/>
      </c>
      <c r="BG251" s="38">
        <f>IF(AND(ISNUMBER(BC251),ISNUMBER(A251)),IF(A251&gt;=INICIO_VIVO,1,0),0)</f>
        <v/>
      </c>
      <c r="BH251" s="40">
        <f>IF(BG251=1,BC251,"")</f>
        <v/>
      </c>
      <c r="BI251" s="38">
        <f>IF(ISNUMBER(AY251),ROW(),0)</f>
        <v/>
      </c>
      <c r="BJ251" s="43">
        <f>IF(ISNUMBER(BC251),SUM(BC$5:BC251)*10000,NA())</f>
        <v/>
      </c>
      <c r="BK251" s="43">
        <f>IF(BG251=1,SUM(BH$5:BH251)*10000,NA())</f>
        <v/>
      </c>
      <c r="BL251" s="44">
        <f>IF(ISNUMBER(AY251),AY251,NA())</f>
        <v/>
      </c>
    </row>
    <row r="252">
      <c r="A252" s="36">
        <f>IF(Datos!A252="","",Datos!A252)</f>
        <v/>
      </c>
      <c r="B252" s="37">
        <f>IF(OR($A252="",NOT(ISNUMBER(Datos!B252)),NOT(ISNUMBER(Datos!B251))),"",Datos!B252/Datos!B251-1)</f>
        <v/>
      </c>
      <c r="C252" s="37">
        <f>IF(OR($A252="",NOT(ISNUMBER(Datos!C252)),NOT(ISNUMBER(Datos!C251))),"",Datos!C252/Datos!C251-1)</f>
        <v/>
      </c>
      <c r="D252" s="37">
        <f>IF(OR($A252="",NOT(ISNUMBER(Datos!D252)),NOT(ISNUMBER(Datos!D251))),"",Datos!D252/Datos!D251-1)</f>
        <v/>
      </c>
      <c r="E252" s="37">
        <f>IF(OR($A252="",NOT(ISNUMBER(Datos!E252)),NOT(ISNUMBER(Datos!E251))),"",Datos!E252/Datos!E251-1)</f>
        <v/>
      </c>
      <c r="F252" s="38">
        <f>IF($A252="","",COUNT(B252:E252))</f>
        <v/>
      </c>
      <c r="G252" s="37">
        <f>IF($A252="","",IF(F252&gt;=MIN_BANCOS,AVERAGE(B252:E252),""))</f>
        <v/>
      </c>
      <c r="H252" s="37">
        <f>IF(OR($A252="",NOT(ISNUMBER(Datos!F252)),NOT(ISNUMBER(Datos!F251))),"",Datos!F252/Datos!F251-1)</f>
        <v/>
      </c>
      <c r="I252" s="39">
        <f>IF($A252="","",IF(ISNUMBER(Datos!G252),Datos!G252,I251))</f>
        <v/>
      </c>
      <c r="J252" s="40">
        <f>IF($A252="","",IF(ISNUMBER(I251),LN(1+I251/100/12),0))</f>
        <v/>
      </c>
      <c r="K252" s="40">
        <f>IF(ISNUMBER(G252),LN(1+G252)-J252,"")</f>
        <v/>
      </c>
      <c r="L252" s="40">
        <f>IF(ISNUMBER(H252),LN(1+H252)-J252,"")</f>
        <v/>
      </c>
      <c r="M252" s="38">
        <f>IF(ISNUMBER(K252),1,0)</f>
        <v/>
      </c>
      <c r="N252" s="40">
        <f>IF(M252=1,K252,0)</f>
        <v/>
      </c>
      <c r="O252" s="38">
        <f>IF(ISNUMBER(L252),1,0)</f>
        <v/>
      </c>
      <c r="P252" s="40">
        <f>IF(O252=1,L252,0)</f>
        <v/>
      </c>
      <c r="Q252" s="38">
        <f>M252*O252</f>
        <v/>
      </c>
      <c r="R252" s="38">
        <f>SUM(Q216:Q251)</f>
        <v/>
      </c>
      <c r="S252" s="41">
        <f>IF(OR($A252="",R252&lt;MIN_OBS_ROLL),"",(SUMPRODUCT(Q216:Q251,N216:N251,P216:P251)/R252-SUMPRODUCT(Q216:Q251,N216:N251)/R252*SUMPRODUCT(Q216:Q251,P216:P251)/R252)*R252/(R252-1))</f>
        <v/>
      </c>
      <c r="T252" s="38">
        <f>SUM(O216:O251)</f>
        <v/>
      </c>
      <c r="U252" s="41">
        <f>IF(OR($A252="",T252&lt;MIN_OBS_ROLL),"",SUMPRODUCT(O216:O251,(P216:P251-SUMPRODUCT(O216:O251,P216:P251)/T252)^2)/(T252-1))</f>
        <v/>
      </c>
      <c r="V252" s="40">
        <f>IF(OR(S252="",U252=""),"",S252/U252)</f>
        <v/>
      </c>
      <c r="W252" s="40">
        <f>IF(AND(ISNUMBER(K252),ISNUMBER(L252),ISNUMBER(V252)),K252-V252*L252,"")</f>
        <v/>
      </c>
      <c r="X252" s="40">
        <f>IF(OR($A252="",NOT(ISNUMBER(Datos!H252)),NOT(ISNUMBER(Datos!H251))),"",LN(Datos!H252)-LN(Datos!H251))</f>
        <v/>
      </c>
      <c r="Y252" s="38">
        <f>IF(ISNUMBER(W252),1,0)</f>
        <v/>
      </c>
      <c r="Z252" s="40">
        <f>IF(Y252=1,W252,0)</f>
        <v/>
      </c>
      <c r="AA252" s="38">
        <f>IF(ISNUMBER(X252),1,0)</f>
        <v/>
      </c>
      <c r="AB252" s="40">
        <f>IF(AA252=1,X252,0)</f>
        <v/>
      </c>
      <c r="AC252" s="38">
        <f>Y252*AA252</f>
        <v/>
      </c>
      <c r="AD252" s="38">
        <f>SUM(AC216:AC251)</f>
        <v/>
      </c>
      <c r="AE252" s="41">
        <f>IF(OR($A252="",AD252&lt;MIN_OBS_ROLL),"",(SUMPRODUCT(AC216:AC251,Z216:Z251,AB216:AB251)/AD252-SUMPRODUCT(AC216:AC251,Z216:Z251)/AD252*SUMPRODUCT(AC216:AC251,AB216:AB251)/AD252)*AD252/(AD252-1))</f>
        <v/>
      </c>
      <c r="AF252" s="38">
        <f>SUM(AA216:AA251)</f>
        <v/>
      </c>
      <c r="AG252" s="41">
        <f>IF(OR($A252="",AF252&lt;MIN_OBS_ROLL),"",SUMPRODUCT(AA216:AA251,(AB216:AB251-SUMPRODUCT(AA216:AA251,AB216:AB251)/AF252)^2)/(AF252-1))</f>
        <v/>
      </c>
      <c r="AH252" s="38">
        <f>SUM(Y216:Y251)</f>
        <v/>
      </c>
      <c r="AI252" s="40">
        <f>IF(OR($A252="",AH252&lt;MIN_OBS_ROLL),"",SUMPRODUCT(Y216:Y251,Z216:Z251)/AH252)</f>
        <v/>
      </c>
      <c r="AJ252" s="40">
        <f>IF(OR($A252="",AF252&lt;MIN_OBS_ROLL),"",SUMPRODUCT(AA216:AA251,AB216:AB251)/AF252)</f>
        <v/>
      </c>
      <c r="AK252" s="40">
        <f>IF(OR(AE252="",AG252=""),"",AE252/AG252)</f>
        <v/>
      </c>
      <c r="AL252" s="40">
        <f>IF(OR(AI252="",AK252="",AJ252=""),"",AI252-AK252*AJ252)</f>
        <v/>
      </c>
      <c r="AM252" s="40">
        <f>IF(AND(ISNUMBER(W252),ISNUMBER(X252),ISNUMBER(AK252),ISNUMBER(AL252)),W252-(AL252+AK252*X252),"")</f>
        <v/>
      </c>
      <c r="AN252" s="38">
        <f>IF(ISNUMBER(AM252),1,0)</f>
        <v/>
      </c>
      <c r="AO252" s="40">
        <f>IF(AN252=1,AM252,0)</f>
        <v/>
      </c>
      <c r="AP252" s="40">
        <f>IF(SUM(AN250:AN252)=3,SUM(AO250:AO252),"")</f>
        <v/>
      </c>
      <c r="AQ252" s="38">
        <f>IF(ISNUMBER(AP252),1,0)</f>
        <v/>
      </c>
      <c r="AR252" s="40">
        <f>IF(AQ252=1,AP252,0)</f>
        <v/>
      </c>
      <c r="AS252" s="38">
        <f>SUM(AQ$5:AQ252)</f>
        <v/>
      </c>
      <c r="AT252" s="40">
        <f>IF(AS252&gt;=MIN_OBS_Z,SUMPRODUCT(AQ$5:AQ252,AR$5:AR252)/AS252,"")</f>
        <v/>
      </c>
      <c r="AU252" s="40">
        <f>IF(AS252&gt;=MIN_OBS_Z,SQRT(SUMPRODUCT(AQ$5:AQ252,(AR$5:AR252-AT252)^2)/(AS252-1)),"")</f>
        <v/>
      </c>
      <c r="AV252" s="40">
        <f>IF(AND(AQ252=1,ISNUMBER(AT252)),MAX(-Z_CLIP,MIN(Z_CLIP,(AR252-AT252)/AU252)),"")</f>
        <v/>
      </c>
      <c r="AW252" s="40">
        <f>IF(ISNUMBER(AV252),-AV252,"")</f>
        <v/>
      </c>
      <c r="AX252" s="40">
        <f>IF(ISNUMBER(AW252),1+AMPLITUD*TANH(AW252),"")</f>
        <v/>
      </c>
      <c r="AY252" s="40">
        <f>IF($A252="","",IF(COUNT(AX250:AX252)&gt;0,AVERAGE(AX250:AX252),""))</f>
        <v/>
      </c>
      <c r="AZ252" s="40">
        <f>IF(ISNUMBER(AY252),AY252-1,"")</f>
        <v/>
      </c>
      <c r="BA252" s="40">
        <f>IF(AND(ISNUMBER(AZ251),ISNUMBER(W252)),AZ251*W_BANCOS*W252,"")</f>
        <v/>
      </c>
      <c r="BB252" s="40">
        <f>IF(AND(ISNUMBER(AZ251),ISNUMBER(AZ250)),ABS(AZ251-AZ250)*W_BANCOS*COSTO,0)</f>
        <v/>
      </c>
      <c r="BC252" s="40">
        <f>IF(ISNUMBER(BA252),BA252-BB252,"")</f>
        <v/>
      </c>
      <c r="BD252" s="42">
        <f>IF(ISNUMBER(BC252),IF(A252&lt;=FECHA_ERA,"A","B"),"")</f>
        <v/>
      </c>
      <c r="BE252" s="40">
        <f>IF(BD252="A",BC252,"")</f>
        <v/>
      </c>
      <c r="BF252" s="40">
        <f>IF(BD252="B",BC252,"")</f>
        <v/>
      </c>
      <c r="BG252" s="38">
        <f>IF(AND(ISNUMBER(BC252),ISNUMBER(A252)),IF(A252&gt;=INICIO_VIVO,1,0),0)</f>
        <v/>
      </c>
      <c r="BH252" s="40">
        <f>IF(BG252=1,BC252,"")</f>
        <v/>
      </c>
      <c r="BI252" s="38">
        <f>IF(ISNUMBER(AY252),ROW(),0)</f>
        <v/>
      </c>
      <c r="BJ252" s="43">
        <f>IF(ISNUMBER(BC252),SUM(BC$5:BC252)*10000,NA())</f>
        <v/>
      </c>
      <c r="BK252" s="43">
        <f>IF(BG252=1,SUM(BH$5:BH252)*10000,NA())</f>
        <v/>
      </c>
      <c r="BL252" s="44">
        <f>IF(ISNUMBER(AY252),AY252,NA())</f>
        <v/>
      </c>
    </row>
    <row r="253">
      <c r="A253" s="36">
        <f>IF(Datos!A253="","",Datos!A253)</f>
        <v/>
      </c>
      <c r="B253" s="37">
        <f>IF(OR($A253="",NOT(ISNUMBER(Datos!B253)),NOT(ISNUMBER(Datos!B252))),"",Datos!B253/Datos!B252-1)</f>
        <v/>
      </c>
      <c r="C253" s="37">
        <f>IF(OR($A253="",NOT(ISNUMBER(Datos!C253)),NOT(ISNUMBER(Datos!C252))),"",Datos!C253/Datos!C252-1)</f>
        <v/>
      </c>
      <c r="D253" s="37">
        <f>IF(OR($A253="",NOT(ISNUMBER(Datos!D253)),NOT(ISNUMBER(Datos!D252))),"",Datos!D253/Datos!D252-1)</f>
        <v/>
      </c>
      <c r="E253" s="37">
        <f>IF(OR($A253="",NOT(ISNUMBER(Datos!E253)),NOT(ISNUMBER(Datos!E252))),"",Datos!E253/Datos!E252-1)</f>
        <v/>
      </c>
      <c r="F253" s="38">
        <f>IF($A253="","",COUNT(B253:E253))</f>
        <v/>
      </c>
      <c r="G253" s="37">
        <f>IF($A253="","",IF(F253&gt;=MIN_BANCOS,AVERAGE(B253:E253),""))</f>
        <v/>
      </c>
      <c r="H253" s="37">
        <f>IF(OR($A253="",NOT(ISNUMBER(Datos!F253)),NOT(ISNUMBER(Datos!F252))),"",Datos!F253/Datos!F252-1)</f>
        <v/>
      </c>
      <c r="I253" s="39">
        <f>IF($A253="","",IF(ISNUMBER(Datos!G253),Datos!G253,I252))</f>
        <v/>
      </c>
      <c r="J253" s="40">
        <f>IF($A253="","",IF(ISNUMBER(I252),LN(1+I252/100/12),0))</f>
        <v/>
      </c>
      <c r="K253" s="40">
        <f>IF(ISNUMBER(G253),LN(1+G253)-J253,"")</f>
        <v/>
      </c>
      <c r="L253" s="40">
        <f>IF(ISNUMBER(H253),LN(1+H253)-J253,"")</f>
        <v/>
      </c>
      <c r="M253" s="38">
        <f>IF(ISNUMBER(K253),1,0)</f>
        <v/>
      </c>
      <c r="N253" s="40">
        <f>IF(M253=1,K253,0)</f>
        <v/>
      </c>
      <c r="O253" s="38">
        <f>IF(ISNUMBER(L253),1,0)</f>
        <v/>
      </c>
      <c r="P253" s="40">
        <f>IF(O253=1,L253,0)</f>
        <v/>
      </c>
      <c r="Q253" s="38">
        <f>M253*O253</f>
        <v/>
      </c>
      <c r="R253" s="38">
        <f>SUM(Q217:Q252)</f>
        <v/>
      </c>
      <c r="S253" s="41">
        <f>IF(OR($A253="",R253&lt;MIN_OBS_ROLL),"",(SUMPRODUCT(Q217:Q252,N217:N252,P217:P252)/R253-SUMPRODUCT(Q217:Q252,N217:N252)/R253*SUMPRODUCT(Q217:Q252,P217:P252)/R253)*R253/(R253-1))</f>
        <v/>
      </c>
      <c r="T253" s="38">
        <f>SUM(O217:O252)</f>
        <v/>
      </c>
      <c r="U253" s="41">
        <f>IF(OR($A253="",T253&lt;MIN_OBS_ROLL),"",SUMPRODUCT(O217:O252,(P217:P252-SUMPRODUCT(O217:O252,P217:P252)/T253)^2)/(T253-1))</f>
        <v/>
      </c>
      <c r="V253" s="40">
        <f>IF(OR(S253="",U253=""),"",S253/U253)</f>
        <v/>
      </c>
      <c r="W253" s="40">
        <f>IF(AND(ISNUMBER(K253),ISNUMBER(L253),ISNUMBER(V253)),K253-V253*L253,"")</f>
        <v/>
      </c>
      <c r="X253" s="40">
        <f>IF(OR($A253="",NOT(ISNUMBER(Datos!H253)),NOT(ISNUMBER(Datos!H252))),"",LN(Datos!H253)-LN(Datos!H252))</f>
        <v/>
      </c>
      <c r="Y253" s="38">
        <f>IF(ISNUMBER(W253),1,0)</f>
        <v/>
      </c>
      <c r="Z253" s="40">
        <f>IF(Y253=1,W253,0)</f>
        <v/>
      </c>
      <c r="AA253" s="38">
        <f>IF(ISNUMBER(X253),1,0)</f>
        <v/>
      </c>
      <c r="AB253" s="40">
        <f>IF(AA253=1,X253,0)</f>
        <v/>
      </c>
      <c r="AC253" s="38">
        <f>Y253*AA253</f>
        <v/>
      </c>
      <c r="AD253" s="38">
        <f>SUM(AC217:AC252)</f>
        <v/>
      </c>
      <c r="AE253" s="41">
        <f>IF(OR($A253="",AD253&lt;MIN_OBS_ROLL),"",(SUMPRODUCT(AC217:AC252,Z217:Z252,AB217:AB252)/AD253-SUMPRODUCT(AC217:AC252,Z217:Z252)/AD253*SUMPRODUCT(AC217:AC252,AB217:AB252)/AD253)*AD253/(AD253-1))</f>
        <v/>
      </c>
      <c r="AF253" s="38">
        <f>SUM(AA217:AA252)</f>
        <v/>
      </c>
      <c r="AG253" s="41">
        <f>IF(OR($A253="",AF253&lt;MIN_OBS_ROLL),"",SUMPRODUCT(AA217:AA252,(AB217:AB252-SUMPRODUCT(AA217:AA252,AB217:AB252)/AF253)^2)/(AF253-1))</f>
        <v/>
      </c>
      <c r="AH253" s="38">
        <f>SUM(Y217:Y252)</f>
        <v/>
      </c>
      <c r="AI253" s="40">
        <f>IF(OR($A253="",AH253&lt;MIN_OBS_ROLL),"",SUMPRODUCT(Y217:Y252,Z217:Z252)/AH253)</f>
        <v/>
      </c>
      <c r="AJ253" s="40">
        <f>IF(OR($A253="",AF253&lt;MIN_OBS_ROLL),"",SUMPRODUCT(AA217:AA252,AB217:AB252)/AF253)</f>
        <v/>
      </c>
      <c r="AK253" s="40">
        <f>IF(OR(AE253="",AG253=""),"",AE253/AG253)</f>
        <v/>
      </c>
      <c r="AL253" s="40">
        <f>IF(OR(AI253="",AK253="",AJ253=""),"",AI253-AK253*AJ253)</f>
        <v/>
      </c>
      <c r="AM253" s="40">
        <f>IF(AND(ISNUMBER(W253),ISNUMBER(X253),ISNUMBER(AK253),ISNUMBER(AL253)),W253-(AL253+AK253*X253),"")</f>
        <v/>
      </c>
      <c r="AN253" s="38">
        <f>IF(ISNUMBER(AM253),1,0)</f>
        <v/>
      </c>
      <c r="AO253" s="40">
        <f>IF(AN253=1,AM253,0)</f>
        <v/>
      </c>
      <c r="AP253" s="40">
        <f>IF(SUM(AN251:AN253)=3,SUM(AO251:AO253),"")</f>
        <v/>
      </c>
      <c r="AQ253" s="38">
        <f>IF(ISNUMBER(AP253),1,0)</f>
        <v/>
      </c>
      <c r="AR253" s="40">
        <f>IF(AQ253=1,AP253,0)</f>
        <v/>
      </c>
      <c r="AS253" s="38">
        <f>SUM(AQ$5:AQ253)</f>
        <v/>
      </c>
      <c r="AT253" s="40">
        <f>IF(AS253&gt;=MIN_OBS_Z,SUMPRODUCT(AQ$5:AQ253,AR$5:AR253)/AS253,"")</f>
        <v/>
      </c>
      <c r="AU253" s="40">
        <f>IF(AS253&gt;=MIN_OBS_Z,SQRT(SUMPRODUCT(AQ$5:AQ253,(AR$5:AR253-AT253)^2)/(AS253-1)),"")</f>
        <v/>
      </c>
      <c r="AV253" s="40">
        <f>IF(AND(AQ253=1,ISNUMBER(AT253)),MAX(-Z_CLIP,MIN(Z_CLIP,(AR253-AT253)/AU253)),"")</f>
        <v/>
      </c>
      <c r="AW253" s="40">
        <f>IF(ISNUMBER(AV253),-AV253,"")</f>
        <v/>
      </c>
      <c r="AX253" s="40">
        <f>IF(ISNUMBER(AW253),1+AMPLITUD*TANH(AW253),"")</f>
        <v/>
      </c>
      <c r="AY253" s="40">
        <f>IF($A253="","",IF(COUNT(AX251:AX253)&gt;0,AVERAGE(AX251:AX253),""))</f>
        <v/>
      </c>
      <c r="AZ253" s="40">
        <f>IF(ISNUMBER(AY253),AY253-1,"")</f>
        <v/>
      </c>
      <c r="BA253" s="40">
        <f>IF(AND(ISNUMBER(AZ252),ISNUMBER(W253)),AZ252*W_BANCOS*W253,"")</f>
        <v/>
      </c>
      <c r="BB253" s="40">
        <f>IF(AND(ISNUMBER(AZ252),ISNUMBER(AZ251)),ABS(AZ252-AZ251)*W_BANCOS*COSTO,0)</f>
        <v/>
      </c>
      <c r="BC253" s="40">
        <f>IF(ISNUMBER(BA253),BA253-BB253,"")</f>
        <v/>
      </c>
      <c r="BD253" s="42">
        <f>IF(ISNUMBER(BC253),IF(A253&lt;=FECHA_ERA,"A","B"),"")</f>
        <v/>
      </c>
      <c r="BE253" s="40">
        <f>IF(BD253="A",BC253,"")</f>
        <v/>
      </c>
      <c r="BF253" s="40">
        <f>IF(BD253="B",BC253,"")</f>
        <v/>
      </c>
      <c r="BG253" s="38">
        <f>IF(AND(ISNUMBER(BC253),ISNUMBER(A253)),IF(A253&gt;=INICIO_VIVO,1,0),0)</f>
        <v/>
      </c>
      <c r="BH253" s="40">
        <f>IF(BG253=1,BC253,"")</f>
        <v/>
      </c>
      <c r="BI253" s="38">
        <f>IF(ISNUMBER(AY253),ROW(),0)</f>
        <v/>
      </c>
      <c r="BJ253" s="43">
        <f>IF(ISNUMBER(BC253),SUM(BC$5:BC253)*10000,NA())</f>
        <v/>
      </c>
      <c r="BK253" s="43">
        <f>IF(BG253=1,SUM(BH$5:BH253)*10000,NA())</f>
        <v/>
      </c>
      <c r="BL253" s="44">
        <f>IF(ISNUMBER(AY253),AY253,NA())</f>
        <v/>
      </c>
    </row>
    <row r="254">
      <c r="A254" s="36">
        <f>IF(Datos!A254="","",Datos!A254)</f>
        <v/>
      </c>
      <c r="B254" s="37">
        <f>IF(OR($A254="",NOT(ISNUMBER(Datos!B254)),NOT(ISNUMBER(Datos!B253))),"",Datos!B254/Datos!B253-1)</f>
        <v/>
      </c>
      <c r="C254" s="37">
        <f>IF(OR($A254="",NOT(ISNUMBER(Datos!C254)),NOT(ISNUMBER(Datos!C253))),"",Datos!C254/Datos!C253-1)</f>
        <v/>
      </c>
      <c r="D254" s="37">
        <f>IF(OR($A254="",NOT(ISNUMBER(Datos!D254)),NOT(ISNUMBER(Datos!D253))),"",Datos!D254/Datos!D253-1)</f>
        <v/>
      </c>
      <c r="E254" s="37">
        <f>IF(OR($A254="",NOT(ISNUMBER(Datos!E254)),NOT(ISNUMBER(Datos!E253))),"",Datos!E254/Datos!E253-1)</f>
        <v/>
      </c>
      <c r="F254" s="38">
        <f>IF($A254="","",COUNT(B254:E254))</f>
        <v/>
      </c>
      <c r="G254" s="37">
        <f>IF($A254="","",IF(F254&gt;=MIN_BANCOS,AVERAGE(B254:E254),""))</f>
        <v/>
      </c>
      <c r="H254" s="37">
        <f>IF(OR($A254="",NOT(ISNUMBER(Datos!F254)),NOT(ISNUMBER(Datos!F253))),"",Datos!F254/Datos!F253-1)</f>
        <v/>
      </c>
      <c r="I254" s="39">
        <f>IF($A254="","",IF(ISNUMBER(Datos!G254),Datos!G254,I253))</f>
        <v/>
      </c>
      <c r="J254" s="40">
        <f>IF($A254="","",IF(ISNUMBER(I253),LN(1+I253/100/12),0))</f>
        <v/>
      </c>
      <c r="K254" s="40">
        <f>IF(ISNUMBER(G254),LN(1+G254)-J254,"")</f>
        <v/>
      </c>
      <c r="L254" s="40">
        <f>IF(ISNUMBER(H254),LN(1+H254)-J254,"")</f>
        <v/>
      </c>
      <c r="M254" s="38">
        <f>IF(ISNUMBER(K254),1,0)</f>
        <v/>
      </c>
      <c r="N254" s="40">
        <f>IF(M254=1,K254,0)</f>
        <v/>
      </c>
      <c r="O254" s="38">
        <f>IF(ISNUMBER(L254),1,0)</f>
        <v/>
      </c>
      <c r="P254" s="40">
        <f>IF(O254=1,L254,0)</f>
        <v/>
      </c>
      <c r="Q254" s="38">
        <f>M254*O254</f>
        <v/>
      </c>
      <c r="R254" s="38">
        <f>SUM(Q218:Q253)</f>
        <v/>
      </c>
      <c r="S254" s="41">
        <f>IF(OR($A254="",R254&lt;MIN_OBS_ROLL),"",(SUMPRODUCT(Q218:Q253,N218:N253,P218:P253)/R254-SUMPRODUCT(Q218:Q253,N218:N253)/R254*SUMPRODUCT(Q218:Q253,P218:P253)/R254)*R254/(R254-1))</f>
        <v/>
      </c>
      <c r="T254" s="38">
        <f>SUM(O218:O253)</f>
        <v/>
      </c>
      <c r="U254" s="41">
        <f>IF(OR($A254="",T254&lt;MIN_OBS_ROLL),"",SUMPRODUCT(O218:O253,(P218:P253-SUMPRODUCT(O218:O253,P218:P253)/T254)^2)/(T254-1))</f>
        <v/>
      </c>
      <c r="V254" s="40">
        <f>IF(OR(S254="",U254=""),"",S254/U254)</f>
        <v/>
      </c>
      <c r="W254" s="40">
        <f>IF(AND(ISNUMBER(K254),ISNUMBER(L254),ISNUMBER(V254)),K254-V254*L254,"")</f>
        <v/>
      </c>
      <c r="X254" s="40">
        <f>IF(OR($A254="",NOT(ISNUMBER(Datos!H254)),NOT(ISNUMBER(Datos!H253))),"",LN(Datos!H254)-LN(Datos!H253))</f>
        <v/>
      </c>
      <c r="Y254" s="38">
        <f>IF(ISNUMBER(W254),1,0)</f>
        <v/>
      </c>
      <c r="Z254" s="40">
        <f>IF(Y254=1,W254,0)</f>
        <v/>
      </c>
      <c r="AA254" s="38">
        <f>IF(ISNUMBER(X254),1,0)</f>
        <v/>
      </c>
      <c r="AB254" s="40">
        <f>IF(AA254=1,X254,0)</f>
        <v/>
      </c>
      <c r="AC254" s="38">
        <f>Y254*AA254</f>
        <v/>
      </c>
      <c r="AD254" s="38">
        <f>SUM(AC218:AC253)</f>
        <v/>
      </c>
      <c r="AE254" s="41">
        <f>IF(OR($A254="",AD254&lt;MIN_OBS_ROLL),"",(SUMPRODUCT(AC218:AC253,Z218:Z253,AB218:AB253)/AD254-SUMPRODUCT(AC218:AC253,Z218:Z253)/AD254*SUMPRODUCT(AC218:AC253,AB218:AB253)/AD254)*AD254/(AD254-1))</f>
        <v/>
      </c>
      <c r="AF254" s="38">
        <f>SUM(AA218:AA253)</f>
        <v/>
      </c>
      <c r="AG254" s="41">
        <f>IF(OR($A254="",AF254&lt;MIN_OBS_ROLL),"",SUMPRODUCT(AA218:AA253,(AB218:AB253-SUMPRODUCT(AA218:AA253,AB218:AB253)/AF254)^2)/(AF254-1))</f>
        <v/>
      </c>
      <c r="AH254" s="38">
        <f>SUM(Y218:Y253)</f>
        <v/>
      </c>
      <c r="AI254" s="40">
        <f>IF(OR($A254="",AH254&lt;MIN_OBS_ROLL),"",SUMPRODUCT(Y218:Y253,Z218:Z253)/AH254)</f>
        <v/>
      </c>
      <c r="AJ254" s="40">
        <f>IF(OR($A254="",AF254&lt;MIN_OBS_ROLL),"",SUMPRODUCT(AA218:AA253,AB218:AB253)/AF254)</f>
        <v/>
      </c>
      <c r="AK254" s="40">
        <f>IF(OR(AE254="",AG254=""),"",AE254/AG254)</f>
        <v/>
      </c>
      <c r="AL254" s="40">
        <f>IF(OR(AI254="",AK254="",AJ254=""),"",AI254-AK254*AJ254)</f>
        <v/>
      </c>
      <c r="AM254" s="40">
        <f>IF(AND(ISNUMBER(W254),ISNUMBER(X254),ISNUMBER(AK254),ISNUMBER(AL254)),W254-(AL254+AK254*X254),"")</f>
        <v/>
      </c>
      <c r="AN254" s="38">
        <f>IF(ISNUMBER(AM254),1,0)</f>
        <v/>
      </c>
      <c r="AO254" s="40">
        <f>IF(AN254=1,AM254,0)</f>
        <v/>
      </c>
      <c r="AP254" s="40">
        <f>IF(SUM(AN252:AN254)=3,SUM(AO252:AO254),"")</f>
        <v/>
      </c>
      <c r="AQ254" s="38">
        <f>IF(ISNUMBER(AP254),1,0)</f>
        <v/>
      </c>
      <c r="AR254" s="40">
        <f>IF(AQ254=1,AP254,0)</f>
        <v/>
      </c>
      <c r="AS254" s="38">
        <f>SUM(AQ$5:AQ254)</f>
        <v/>
      </c>
      <c r="AT254" s="40">
        <f>IF(AS254&gt;=MIN_OBS_Z,SUMPRODUCT(AQ$5:AQ254,AR$5:AR254)/AS254,"")</f>
        <v/>
      </c>
      <c r="AU254" s="40">
        <f>IF(AS254&gt;=MIN_OBS_Z,SQRT(SUMPRODUCT(AQ$5:AQ254,(AR$5:AR254-AT254)^2)/(AS254-1)),"")</f>
        <v/>
      </c>
      <c r="AV254" s="40">
        <f>IF(AND(AQ254=1,ISNUMBER(AT254)),MAX(-Z_CLIP,MIN(Z_CLIP,(AR254-AT254)/AU254)),"")</f>
        <v/>
      </c>
      <c r="AW254" s="40">
        <f>IF(ISNUMBER(AV254),-AV254,"")</f>
        <v/>
      </c>
      <c r="AX254" s="40">
        <f>IF(ISNUMBER(AW254),1+AMPLITUD*TANH(AW254),"")</f>
        <v/>
      </c>
      <c r="AY254" s="40">
        <f>IF($A254="","",IF(COUNT(AX252:AX254)&gt;0,AVERAGE(AX252:AX254),""))</f>
        <v/>
      </c>
      <c r="AZ254" s="40">
        <f>IF(ISNUMBER(AY254),AY254-1,"")</f>
        <v/>
      </c>
      <c r="BA254" s="40">
        <f>IF(AND(ISNUMBER(AZ253),ISNUMBER(W254)),AZ253*W_BANCOS*W254,"")</f>
        <v/>
      </c>
      <c r="BB254" s="40">
        <f>IF(AND(ISNUMBER(AZ253),ISNUMBER(AZ252)),ABS(AZ253-AZ252)*W_BANCOS*COSTO,0)</f>
        <v/>
      </c>
      <c r="BC254" s="40">
        <f>IF(ISNUMBER(BA254),BA254-BB254,"")</f>
        <v/>
      </c>
      <c r="BD254" s="42">
        <f>IF(ISNUMBER(BC254),IF(A254&lt;=FECHA_ERA,"A","B"),"")</f>
        <v/>
      </c>
      <c r="BE254" s="40">
        <f>IF(BD254="A",BC254,"")</f>
        <v/>
      </c>
      <c r="BF254" s="40">
        <f>IF(BD254="B",BC254,"")</f>
        <v/>
      </c>
      <c r="BG254" s="38">
        <f>IF(AND(ISNUMBER(BC254),ISNUMBER(A254)),IF(A254&gt;=INICIO_VIVO,1,0),0)</f>
        <v/>
      </c>
      <c r="BH254" s="40">
        <f>IF(BG254=1,BC254,"")</f>
        <v/>
      </c>
      <c r="BI254" s="38">
        <f>IF(ISNUMBER(AY254),ROW(),0)</f>
        <v/>
      </c>
      <c r="BJ254" s="43">
        <f>IF(ISNUMBER(BC254),SUM(BC$5:BC254)*10000,NA())</f>
        <v/>
      </c>
      <c r="BK254" s="43">
        <f>IF(BG254=1,SUM(BH$5:BH254)*10000,NA())</f>
        <v/>
      </c>
      <c r="BL254" s="44">
        <f>IF(ISNUMBER(AY254),AY254,NA())</f>
        <v/>
      </c>
    </row>
    <row r="255">
      <c r="A255" s="36">
        <f>IF(Datos!A255="","",Datos!A255)</f>
        <v/>
      </c>
      <c r="B255" s="37">
        <f>IF(OR($A255="",NOT(ISNUMBER(Datos!B255)),NOT(ISNUMBER(Datos!B254))),"",Datos!B255/Datos!B254-1)</f>
        <v/>
      </c>
      <c r="C255" s="37">
        <f>IF(OR($A255="",NOT(ISNUMBER(Datos!C255)),NOT(ISNUMBER(Datos!C254))),"",Datos!C255/Datos!C254-1)</f>
        <v/>
      </c>
      <c r="D255" s="37">
        <f>IF(OR($A255="",NOT(ISNUMBER(Datos!D255)),NOT(ISNUMBER(Datos!D254))),"",Datos!D255/Datos!D254-1)</f>
        <v/>
      </c>
      <c r="E255" s="37">
        <f>IF(OR($A255="",NOT(ISNUMBER(Datos!E255)),NOT(ISNUMBER(Datos!E254))),"",Datos!E255/Datos!E254-1)</f>
        <v/>
      </c>
      <c r="F255" s="38">
        <f>IF($A255="","",COUNT(B255:E255))</f>
        <v/>
      </c>
      <c r="G255" s="37">
        <f>IF($A255="","",IF(F255&gt;=MIN_BANCOS,AVERAGE(B255:E255),""))</f>
        <v/>
      </c>
      <c r="H255" s="37">
        <f>IF(OR($A255="",NOT(ISNUMBER(Datos!F255)),NOT(ISNUMBER(Datos!F254))),"",Datos!F255/Datos!F254-1)</f>
        <v/>
      </c>
      <c r="I255" s="39">
        <f>IF($A255="","",IF(ISNUMBER(Datos!G255),Datos!G255,I254))</f>
        <v/>
      </c>
      <c r="J255" s="40">
        <f>IF($A255="","",IF(ISNUMBER(I254),LN(1+I254/100/12),0))</f>
        <v/>
      </c>
      <c r="K255" s="40">
        <f>IF(ISNUMBER(G255),LN(1+G255)-J255,"")</f>
        <v/>
      </c>
      <c r="L255" s="40">
        <f>IF(ISNUMBER(H255),LN(1+H255)-J255,"")</f>
        <v/>
      </c>
      <c r="M255" s="38">
        <f>IF(ISNUMBER(K255),1,0)</f>
        <v/>
      </c>
      <c r="N255" s="40">
        <f>IF(M255=1,K255,0)</f>
        <v/>
      </c>
      <c r="O255" s="38">
        <f>IF(ISNUMBER(L255),1,0)</f>
        <v/>
      </c>
      <c r="P255" s="40">
        <f>IF(O255=1,L255,0)</f>
        <v/>
      </c>
      <c r="Q255" s="38">
        <f>M255*O255</f>
        <v/>
      </c>
      <c r="R255" s="38">
        <f>SUM(Q219:Q254)</f>
        <v/>
      </c>
      <c r="S255" s="41">
        <f>IF(OR($A255="",R255&lt;MIN_OBS_ROLL),"",(SUMPRODUCT(Q219:Q254,N219:N254,P219:P254)/R255-SUMPRODUCT(Q219:Q254,N219:N254)/R255*SUMPRODUCT(Q219:Q254,P219:P254)/R255)*R255/(R255-1))</f>
        <v/>
      </c>
      <c r="T255" s="38">
        <f>SUM(O219:O254)</f>
        <v/>
      </c>
      <c r="U255" s="41">
        <f>IF(OR($A255="",T255&lt;MIN_OBS_ROLL),"",SUMPRODUCT(O219:O254,(P219:P254-SUMPRODUCT(O219:O254,P219:P254)/T255)^2)/(T255-1))</f>
        <v/>
      </c>
      <c r="V255" s="40">
        <f>IF(OR(S255="",U255=""),"",S255/U255)</f>
        <v/>
      </c>
      <c r="W255" s="40">
        <f>IF(AND(ISNUMBER(K255),ISNUMBER(L255),ISNUMBER(V255)),K255-V255*L255,"")</f>
        <v/>
      </c>
      <c r="X255" s="40">
        <f>IF(OR($A255="",NOT(ISNUMBER(Datos!H255)),NOT(ISNUMBER(Datos!H254))),"",LN(Datos!H255)-LN(Datos!H254))</f>
        <v/>
      </c>
      <c r="Y255" s="38">
        <f>IF(ISNUMBER(W255),1,0)</f>
        <v/>
      </c>
      <c r="Z255" s="40">
        <f>IF(Y255=1,W255,0)</f>
        <v/>
      </c>
      <c r="AA255" s="38">
        <f>IF(ISNUMBER(X255),1,0)</f>
        <v/>
      </c>
      <c r="AB255" s="40">
        <f>IF(AA255=1,X255,0)</f>
        <v/>
      </c>
      <c r="AC255" s="38">
        <f>Y255*AA255</f>
        <v/>
      </c>
      <c r="AD255" s="38">
        <f>SUM(AC219:AC254)</f>
        <v/>
      </c>
      <c r="AE255" s="41">
        <f>IF(OR($A255="",AD255&lt;MIN_OBS_ROLL),"",(SUMPRODUCT(AC219:AC254,Z219:Z254,AB219:AB254)/AD255-SUMPRODUCT(AC219:AC254,Z219:Z254)/AD255*SUMPRODUCT(AC219:AC254,AB219:AB254)/AD255)*AD255/(AD255-1))</f>
        <v/>
      </c>
      <c r="AF255" s="38">
        <f>SUM(AA219:AA254)</f>
        <v/>
      </c>
      <c r="AG255" s="41">
        <f>IF(OR($A255="",AF255&lt;MIN_OBS_ROLL),"",SUMPRODUCT(AA219:AA254,(AB219:AB254-SUMPRODUCT(AA219:AA254,AB219:AB254)/AF255)^2)/(AF255-1))</f>
        <v/>
      </c>
      <c r="AH255" s="38">
        <f>SUM(Y219:Y254)</f>
        <v/>
      </c>
      <c r="AI255" s="40">
        <f>IF(OR($A255="",AH255&lt;MIN_OBS_ROLL),"",SUMPRODUCT(Y219:Y254,Z219:Z254)/AH255)</f>
        <v/>
      </c>
      <c r="AJ255" s="40">
        <f>IF(OR($A255="",AF255&lt;MIN_OBS_ROLL),"",SUMPRODUCT(AA219:AA254,AB219:AB254)/AF255)</f>
        <v/>
      </c>
      <c r="AK255" s="40">
        <f>IF(OR(AE255="",AG255=""),"",AE255/AG255)</f>
        <v/>
      </c>
      <c r="AL255" s="40">
        <f>IF(OR(AI255="",AK255="",AJ255=""),"",AI255-AK255*AJ255)</f>
        <v/>
      </c>
      <c r="AM255" s="40">
        <f>IF(AND(ISNUMBER(W255),ISNUMBER(X255),ISNUMBER(AK255),ISNUMBER(AL255)),W255-(AL255+AK255*X255),"")</f>
        <v/>
      </c>
      <c r="AN255" s="38">
        <f>IF(ISNUMBER(AM255),1,0)</f>
        <v/>
      </c>
      <c r="AO255" s="40">
        <f>IF(AN255=1,AM255,0)</f>
        <v/>
      </c>
      <c r="AP255" s="40">
        <f>IF(SUM(AN253:AN255)=3,SUM(AO253:AO255),"")</f>
        <v/>
      </c>
      <c r="AQ255" s="38">
        <f>IF(ISNUMBER(AP255),1,0)</f>
        <v/>
      </c>
      <c r="AR255" s="40">
        <f>IF(AQ255=1,AP255,0)</f>
        <v/>
      </c>
      <c r="AS255" s="38">
        <f>SUM(AQ$5:AQ255)</f>
        <v/>
      </c>
      <c r="AT255" s="40">
        <f>IF(AS255&gt;=MIN_OBS_Z,SUMPRODUCT(AQ$5:AQ255,AR$5:AR255)/AS255,"")</f>
        <v/>
      </c>
      <c r="AU255" s="40">
        <f>IF(AS255&gt;=MIN_OBS_Z,SQRT(SUMPRODUCT(AQ$5:AQ255,(AR$5:AR255-AT255)^2)/(AS255-1)),"")</f>
        <v/>
      </c>
      <c r="AV255" s="40">
        <f>IF(AND(AQ255=1,ISNUMBER(AT255)),MAX(-Z_CLIP,MIN(Z_CLIP,(AR255-AT255)/AU255)),"")</f>
        <v/>
      </c>
      <c r="AW255" s="40">
        <f>IF(ISNUMBER(AV255),-AV255,"")</f>
        <v/>
      </c>
      <c r="AX255" s="40">
        <f>IF(ISNUMBER(AW255),1+AMPLITUD*TANH(AW255),"")</f>
        <v/>
      </c>
      <c r="AY255" s="40">
        <f>IF($A255="","",IF(COUNT(AX253:AX255)&gt;0,AVERAGE(AX253:AX255),""))</f>
        <v/>
      </c>
      <c r="AZ255" s="40">
        <f>IF(ISNUMBER(AY255),AY255-1,"")</f>
        <v/>
      </c>
      <c r="BA255" s="40">
        <f>IF(AND(ISNUMBER(AZ254),ISNUMBER(W255)),AZ254*W_BANCOS*W255,"")</f>
        <v/>
      </c>
      <c r="BB255" s="40">
        <f>IF(AND(ISNUMBER(AZ254),ISNUMBER(AZ253)),ABS(AZ254-AZ253)*W_BANCOS*COSTO,0)</f>
        <v/>
      </c>
      <c r="BC255" s="40">
        <f>IF(ISNUMBER(BA255),BA255-BB255,"")</f>
        <v/>
      </c>
      <c r="BD255" s="42">
        <f>IF(ISNUMBER(BC255),IF(A255&lt;=FECHA_ERA,"A","B"),"")</f>
        <v/>
      </c>
      <c r="BE255" s="40">
        <f>IF(BD255="A",BC255,"")</f>
        <v/>
      </c>
      <c r="BF255" s="40">
        <f>IF(BD255="B",BC255,"")</f>
        <v/>
      </c>
      <c r="BG255" s="38">
        <f>IF(AND(ISNUMBER(BC255),ISNUMBER(A255)),IF(A255&gt;=INICIO_VIVO,1,0),0)</f>
        <v/>
      </c>
      <c r="BH255" s="40">
        <f>IF(BG255=1,BC255,"")</f>
        <v/>
      </c>
      <c r="BI255" s="38">
        <f>IF(ISNUMBER(AY255),ROW(),0)</f>
        <v/>
      </c>
      <c r="BJ255" s="43">
        <f>IF(ISNUMBER(BC255),SUM(BC$5:BC255)*10000,NA())</f>
        <v/>
      </c>
      <c r="BK255" s="43">
        <f>IF(BG255=1,SUM(BH$5:BH255)*10000,NA())</f>
        <v/>
      </c>
      <c r="BL255" s="44">
        <f>IF(ISNUMBER(AY255),AY255,NA())</f>
        <v/>
      </c>
    </row>
    <row r="256">
      <c r="A256" s="36">
        <f>IF(Datos!A256="","",Datos!A256)</f>
        <v/>
      </c>
      <c r="B256" s="37">
        <f>IF(OR($A256="",NOT(ISNUMBER(Datos!B256)),NOT(ISNUMBER(Datos!B255))),"",Datos!B256/Datos!B255-1)</f>
        <v/>
      </c>
      <c r="C256" s="37">
        <f>IF(OR($A256="",NOT(ISNUMBER(Datos!C256)),NOT(ISNUMBER(Datos!C255))),"",Datos!C256/Datos!C255-1)</f>
        <v/>
      </c>
      <c r="D256" s="37">
        <f>IF(OR($A256="",NOT(ISNUMBER(Datos!D256)),NOT(ISNUMBER(Datos!D255))),"",Datos!D256/Datos!D255-1)</f>
        <v/>
      </c>
      <c r="E256" s="37">
        <f>IF(OR($A256="",NOT(ISNUMBER(Datos!E256)),NOT(ISNUMBER(Datos!E255))),"",Datos!E256/Datos!E255-1)</f>
        <v/>
      </c>
      <c r="F256" s="38">
        <f>IF($A256="","",COUNT(B256:E256))</f>
        <v/>
      </c>
      <c r="G256" s="37">
        <f>IF($A256="","",IF(F256&gt;=MIN_BANCOS,AVERAGE(B256:E256),""))</f>
        <v/>
      </c>
      <c r="H256" s="37">
        <f>IF(OR($A256="",NOT(ISNUMBER(Datos!F256)),NOT(ISNUMBER(Datos!F255))),"",Datos!F256/Datos!F255-1)</f>
        <v/>
      </c>
      <c r="I256" s="39">
        <f>IF($A256="","",IF(ISNUMBER(Datos!G256),Datos!G256,I255))</f>
        <v/>
      </c>
      <c r="J256" s="40">
        <f>IF($A256="","",IF(ISNUMBER(I255),LN(1+I255/100/12),0))</f>
        <v/>
      </c>
      <c r="K256" s="40">
        <f>IF(ISNUMBER(G256),LN(1+G256)-J256,"")</f>
        <v/>
      </c>
      <c r="L256" s="40">
        <f>IF(ISNUMBER(H256),LN(1+H256)-J256,"")</f>
        <v/>
      </c>
      <c r="M256" s="38">
        <f>IF(ISNUMBER(K256),1,0)</f>
        <v/>
      </c>
      <c r="N256" s="40">
        <f>IF(M256=1,K256,0)</f>
        <v/>
      </c>
      <c r="O256" s="38">
        <f>IF(ISNUMBER(L256),1,0)</f>
        <v/>
      </c>
      <c r="P256" s="40">
        <f>IF(O256=1,L256,0)</f>
        <v/>
      </c>
      <c r="Q256" s="38">
        <f>M256*O256</f>
        <v/>
      </c>
      <c r="R256" s="38">
        <f>SUM(Q220:Q255)</f>
        <v/>
      </c>
      <c r="S256" s="41">
        <f>IF(OR($A256="",R256&lt;MIN_OBS_ROLL),"",(SUMPRODUCT(Q220:Q255,N220:N255,P220:P255)/R256-SUMPRODUCT(Q220:Q255,N220:N255)/R256*SUMPRODUCT(Q220:Q255,P220:P255)/R256)*R256/(R256-1))</f>
        <v/>
      </c>
      <c r="T256" s="38">
        <f>SUM(O220:O255)</f>
        <v/>
      </c>
      <c r="U256" s="41">
        <f>IF(OR($A256="",T256&lt;MIN_OBS_ROLL),"",SUMPRODUCT(O220:O255,(P220:P255-SUMPRODUCT(O220:O255,P220:P255)/T256)^2)/(T256-1))</f>
        <v/>
      </c>
      <c r="V256" s="40">
        <f>IF(OR(S256="",U256=""),"",S256/U256)</f>
        <v/>
      </c>
      <c r="W256" s="40">
        <f>IF(AND(ISNUMBER(K256),ISNUMBER(L256),ISNUMBER(V256)),K256-V256*L256,"")</f>
        <v/>
      </c>
      <c r="X256" s="40">
        <f>IF(OR($A256="",NOT(ISNUMBER(Datos!H256)),NOT(ISNUMBER(Datos!H255))),"",LN(Datos!H256)-LN(Datos!H255))</f>
        <v/>
      </c>
      <c r="Y256" s="38">
        <f>IF(ISNUMBER(W256),1,0)</f>
        <v/>
      </c>
      <c r="Z256" s="40">
        <f>IF(Y256=1,W256,0)</f>
        <v/>
      </c>
      <c r="AA256" s="38">
        <f>IF(ISNUMBER(X256),1,0)</f>
        <v/>
      </c>
      <c r="AB256" s="40">
        <f>IF(AA256=1,X256,0)</f>
        <v/>
      </c>
      <c r="AC256" s="38">
        <f>Y256*AA256</f>
        <v/>
      </c>
      <c r="AD256" s="38">
        <f>SUM(AC220:AC255)</f>
        <v/>
      </c>
      <c r="AE256" s="41">
        <f>IF(OR($A256="",AD256&lt;MIN_OBS_ROLL),"",(SUMPRODUCT(AC220:AC255,Z220:Z255,AB220:AB255)/AD256-SUMPRODUCT(AC220:AC255,Z220:Z255)/AD256*SUMPRODUCT(AC220:AC255,AB220:AB255)/AD256)*AD256/(AD256-1))</f>
        <v/>
      </c>
      <c r="AF256" s="38">
        <f>SUM(AA220:AA255)</f>
        <v/>
      </c>
      <c r="AG256" s="41">
        <f>IF(OR($A256="",AF256&lt;MIN_OBS_ROLL),"",SUMPRODUCT(AA220:AA255,(AB220:AB255-SUMPRODUCT(AA220:AA255,AB220:AB255)/AF256)^2)/(AF256-1))</f>
        <v/>
      </c>
      <c r="AH256" s="38">
        <f>SUM(Y220:Y255)</f>
        <v/>
      </c>
      <c r="AI256" s="40">
        <f>IF(OR($A256="",AH256&lt;MIN_OBS_ROLL),"",SUMPRODUCT(Y220:Y255,Z220:Z255)/AH256)</f>
        <v/>
      </c>
      <c r="AJ256" s="40">
        <f>IF(OR($A256="",AF256&lt;MIN_OBS_ROLL),"",SUMPRODUCT(AA220:AA255,AB220:AB255)/AF256)</f>
        <v/>
      </c>
      <c r="AK256" s="40">
        <f>IF(OR(AE256="",AG256=""),"",AE256/AG256)</f>
        <v/>
      </c>
      <c r="AL256" s="40">
        <f>IF(OR(AI256="",AK256="",AJ256=""),"",AI256-AK256*AJ256)</f>
        <v/>
      </c>
      <c r="AM256" s="40">
        <f>IF(AND(ISNUMBER(W256),ISNUMBER(X256),ISNUMBER(AK256),ISNUMBER(AL256)),W256-(AL256+AK256*X256),"")</f>
        <v/>
      </c>
      <c r="AN256" s="38">
        <f>IF(ISNUMBER(AM256),1,0)</f>
        <v/>
      </c>
      <c r="AO256" s="40">
        <f>IF(AN256=1,AM256,0)</f>
        <v/>
      </c>
      <c r="AP256" s="40">
        <f>IF(SUM(AN254:AN256)=3,SUM(AO254:AO256),"")</f>
        <v/>
      </c>
      <c r="AQ256" s="38">
        <f>IF(ISNUMBER(AP256),1,0)</f>
        <v/>
      </c>
      <c r="AR256" s="40">
        <f>IF(AQ256=1,AP256,0)</f>
        <v/>
      </c>
      <c r="AS256" s="38">
        <f>SUM(AQ$5:AQ256)</f>
        <v/>
      </c>
      <c r="AT256" s="40">
        <f>IF(AS256&gt;=MIN_OBS_Z,SUMPRODUCT(AQ$5:AQ256,AR$5:AR256)/AS256,"")</f>
        <v/>
      </c>
      <c r="AU256" s="40">
        <f>IF(AS256&gt;=MIN_OBS_Z,SQRT(SUMPRODUCT(AQ$5:AQ256,(AR$5:AR256-AT256)^2)/(AS256-1)),"")</f>
        <v/>
      </c>
      <c r="AV256" s="40">
        <f>IF(AND(AQ256=1,ISNUMBER(AT256)),MAX(-Z_CLIP,MIN(Z_CLIP,(AR256-AT256)/AU256)),"")</f>
        <v/>
      </c>
      <c r="AW256" s="40">
        <f>IF(ISNUMBER(AV256),-AV256,"")</f>
        <v/>
      </c>
      <c r="AX256" s="40">
        <f>IF(ISNUMBER(AW256),1+AMPLITUD*TANH(AW256),"")</f>
        <v/>
      </c>
      <c r="AY256" s="40">
        <f>IF($A256="","",IF(COUNT(AX254:AX256)&gt;0,AVERAGE(AX254:AX256),""))</f>
        <v/>
      </c>
      <c r="AZ256" s="40">
        <f>IF(ISNUMBER(AY256),AY256-1,"")</f>
        <v/>
      </c>
      <c r="BA256" s="40">
        <f>IF(AND(ISNUMBER(AZ255),ISNUMBER(W256)),AZ255*W_BANCOS*W256,"")</f>
        <v/>
      </c>
      <c r="BB256" s="40">
        <f>IF(AND(ISNUMBER(AZ255),ISNUMBER(AZ254)),ABS(AZ255-AZ254)*W_BANCOS*COSTO,0)</f>
        <v/>
      </c>
      <c r="BC256" s="40">
        <f>IF(ISNUMBER(BA256),BA256-BB256,"")</f>
        <v/>
      </c>
      <c r="BD256" s="42">
        <f>IF(ISNUMBER(BC256),IF(A256&lt;=FECHA_ERA,"A","B"),"")</f>
        <v/>
      </c>
      <c r="BE256" s="40">
        <f>IF(BD256="A",BC256,"")</f>
        <v/>
      </c>
      <c r="BF256" s="40">
        <f>IF(BD256="B",BC256,"")</f>
        <v/>
      </c>
      <c r="BG256" s="38">
        <f>IF(AND(ISNUMBER(BC256),ISNUMBER(A256)),IF(A256&gt;=INICIO_VIVO,1,0),0)</f>
        <v/>
      </c>
      <c r="BH256" s="40">
        <f>IF(BG256=1,BC256,"")</f>
        <v/>
      </c>
      <c r="BI256" s="38">
        <f>IF(ISNUMBER(AY256),ROW(),0)</f>
        <v/>
      </c>
      <c r="BJ256" s="43">
        <f>IF(ISNUMBER(BC256),SUM(BC$5:BC256)*10000,NA())</f>
        <v/>
      </c>
      <c r="BK256" s="43">
        <f>IF(BG256=1,SUM(BH$5:BH256)*10000,NA())</f>
        <v/>
      </c>
      <c r="BL256" s="44">
        <f>IF(ISNUMBER(AY256),AY256,NA())</f>
        <v/>
      </c>
    </row>
    <row r="257">
      <c r="A257" s="36">
        <f>IF(Datos!A257="","",Datos!A257)</f>
        <v/>
      </c>
      <c r="B257" s="37">
        <f>IF(OR($A257="",NOT(ISNUMBER(Datos!B257)),NOT(ISNUMBER(Datos!B256))),"",Datos!B257/Datos!B256-1)</f>
        <v/>
      </c>
      <c r="C257" s="37">
        <f>IF(OR($A257="",NOT(ISNUMBER(Datos!C257)),NOT(ISNUMBER(Datos!C256))),"",Datos!C257/Datos!C256-1)</f>
        <v/>
      </c>
      <c r="D257" s="37">
        <f>IF(OR($A257="",NOT(ISNUMBER(Datos!D257)),NOT(ISNUMBER(Datos!D256))),"",Datos!D257/Datos!D256-1)</f>
        <v/>
      </c>
      <c r="E257" s="37">
        <f>IF(OR($A257="",NOT(ISNUMBER(Datos!E257)),NOT(ISNUMBER(Datos!E256))),"",Datos!E257/Datos!E256-1)</f>
        <v/>
      </c>
      <c r="F257" s="38">
        <f>IF($A257="","",COUNT(B257:E257))</f>
        <v/>
      </c>
      <c r="G257" s="37">
        <f>IF($A257="","",IF(F257&gt;=MIN_BANCOS,AVERAGE(B257:E257),""))</f>
        <v/>
      </c>
      <c r="H257" s="37">
        <f>IF(OR($A257="",NOT(ISNUMBER(Datos!F257)),NOT(ISNUMBER(Datos!F256))),"",Datos!F257/Datos!F256-1)</f>
        <v/>
      </c>
      <c r="I257" s="39">
        <f>IF($A257="","",IF(ISNUMBER(Datos!G257),Datos!G257,I256))</f>
        <v/>
      </c>
      <c r="J257" s="40">
        <f>IF($A257="","",IF(ISNUMBER(I256),LN(1+I256/100/12),0))</f>
        <v/>
      </c>
      <c r="K257" s="40">
        <f>IF(ISNUMBER(G257),LN(1+G257)-J257,"")</f>
        <v/>
      </c>
      <c r="L257" s="40">
        <f>IF(ISNUMBER(H257),LN(1+H257)-J257,"")</f>
        <v/>
      </c>
      <c r="M257" s="38">
        <f>IF(ISNUMBER(K257),1,0)</f>
        <v/>
      </c>
      <c r="N257" s="40">
        <f>IF(M257=1,K257,0)</f>
        <v/>
      </c>
      <c r="O257" s="38">
        <f>IF(ISNUMBER(L257),1,0)</f>
        <v/>
      </c>
      <c r="P257" s="40">
        <f>IF(O257=1,L257,0)</f>
        <v/>
      </c>
      <c r="Q257" s="38">
        <f>M257*O257</f>
        <v/>
      </c>
      <c r="R257" s="38">
        <f>SUM(Q221:Q256)</f>
        <v/>
      </c>
      <c r="S257" s="41">
        <f>IF(OR($A257="",R257&lt;MIN_OBS_ROLL),"",(SUMPRODUCT(Q221:Q256,N221:N256,P221:P256)/R257-SUMPRODUCT(Q221:Q256,N221:N256)/R257*SUMPRODUCT(Q221:Q256,P221:P256)/R257)*R257/(R257-1))</f>
        <v/>
      </c>
      <c r="T257" s="38">
        <f>SUM(O221:O256)</f>
        <v/>
      </c>
      <c r="U257" s="41">
        <f>IF(OR($A257="",T257&lt;MIN_OBS_ROLL),"",SUMPRODUCT(O221:O256,(P221:P256-SUMPRODUCT(O221:O256,P221:P256)/T257)^2)/(T257-1))</f>
        <v/>
      </c>
      <c r="V257" s="40">
        <f>IF(OR(S257="",U257=""),"",S257/U257)</f>
        <v/>
      </c>
      <c r="W257" s="40">
        <f>IF(AND(ISNUMBER(K257),ISNUMBER(L257),ISNUMBER(V257)),K257-V257*L257,"")</f>
        <v/>
      </c>
      <c r="X257" s="40">
        <f>IF(OR($A257="",NOT(ISNUMBER(Datos!H257)),NOT(ISNUMBER(Datos!H256))),"",LN(Datos!H257)-LN(Datos!H256))</f>
        <v/>
      </c>
      <c r="Y257" s="38">
        <f>IF(ISNUMBER(W257),1,0)</f>
        <v/>
      </c>
      <c r="Z257" s="40">
        <f>IF(Y257=1,W257,0)</f>
        <v/>
      </c>
      <c r="AA257" s="38">
        <f>IF(ISNUMBER(X257),1,0)</f>
        <v/>
      </c>
      <c r="AB257" s="40">
        <f>IF(AA257=1,X257,0)</f>
        <v/>
      </c>
      <c r="AC257" s="38">
        <f>Y257*AA257</f>
        <v/>
      </c>
      <c r="AD257" s="38">
        <f>SUM(AC221:AC256)</f>
        <v/>
      </c>
      <c r="AE257" s="41">
        <f>IF(OR($A257="",AD257&lt;MIN_OBS_ROLL),"",(SUMPRODUCT(AC221:AC256,Z221:Z256,AB221:AB256)/AD257-SUMPRODUCT(AC221:AC256,Z221:Z256)/AD257*SUMPRODUCT(AC221:AC256,AB221:AB256)/AD257)*AD257/(AD257-1))</f>
        <v/>
      </c>
      <c r="AF257" s="38">
        <f>SUM(AA221:AA256)</f>
        <v/>
      </c>
      <c r="AG257" s="41">
        <f>IF(OR($A257="",AF257&lt;MIN_OBS_ROLL),"",SUMPRODUCT(AA221:AA256,(AB221:AB256-SUMPRODUCT(AA221:AA256,AB221:AB256)/AF257)^2)/(AF257-1))</f>
        <v/>
      </c>
      <c r="AH257" s="38">
        <f>SUM(Y221:Y256)</f>
        <v/>
      </c>
      <c r="AI257" s="40">
        <f>IF(OR($A257="",AH257&lt;MIN_OBS_ROLL),"",SUMPRODUCT(Y221:Y256,Z221:Z256)/AH257)</f>
        <v/>
      </c>
      <c r="AJ257" s="40">
        <f>IF(OR($A257="",AF257&lt;MIN_OBS_ROLL),"",SUMPRODUCT(AA221:AA256,AB221:AB256)/AF257)</f>
        <v/>
      </c>
      <c r="AK257" s="40">
        <f>IF(OR(AE257="",AG257=""),"",AE257/AG257)</f>
        <v/>
      </c>
      <c r="AL257" s="40">
        <f>IF(OR(AI257="",AK257="",AJ257=""),"",AI257-AK257*AJ257)</f>
        <v/>
      </c>
      <c r="AM257" s="40">
        <f>IF(AND(ISNUMBER(W257),ISNUMBER(X257),ISNUMBER(AK257),ISNUMBER(AL257)),W257-(AL257+AK257*X257),"")</f>
        <v/>
      </c>
      <c r="AN257" s="38">
        <f>IF(ISNUMBER(AM257),1,0)</f>
        <v/>
      </c>
      <c r="AO257" s="40">
        <f>IF(AN257=1,AM257,0)</f>
        <v/>
      </c>
      <c r="AP257" s="40">
        <f>IF(SUM(AN255:AN257)=3,SUM(AO255:AO257),"")</f>
        <v/>
      </c>
      <c r="AQ257" s="38">
        <f>IF(ISNUMBER(AP257),1,0)</f>
        <v/>
      </c>
      <c r="AR257" s="40">
        <f>IF(AQ257=1,AP257,0)</f>
        <v/>
      </c>
      <c r="AS257" s="38">
        <f>SUM(AQ$5:AQ257)</f>
        <v/>
      </c>
      <c r="AT257" s="40">
        <f>IF(AS257&gt;=MIN_OBS_Z,SUMPRODUCT(AQ$5:AQ257,AR$5:AR257)/AS257,"")</f>
        <v/>
      </c>
      <c r="AU257" s="40">
        <f>IF(AS257&gt;=MIN_OBS_Z,SQRT(SUMPRODUCT(AQ$5:AQ257,(AR$5:AR257-AT257)^2)/(AS257-1)),"")</f>
        <v/>
      </c>
      <c r="AV257" s="40">
        <f>IF(AND(AQ257=1,ISNUMBER(AT257)),MAX(-Z_CLIP,MIN(Z_CLIP,(AR257-AT257)/AU257)),"")</f>
        <v/>
      </c>
      <c r="AW257" s="40">
        <f>IF(ISNUMBER(AV257),-AV257,"")</f>
        <v/>
      </c>
      <c r="AX257" s="40">
        <f>IF(ISNUMBER(AW257),1+AMPLITUD*TANH(AW257),"")</f>
        <v/>
      </c>
      <c r="AY257" s="40">
        <f>IF($A257="","",IF(COUNT(AX255:AX257)&gt;0,AVERAGE(AX255:AX257),""))</f>
        <v/>
      </c>
      <c r="AZ257" s="40">
        <f>IF(ISNUMBER(AY257),AY257-1,"")</f>
        <v/>
      </c>
      <c r="BA257" s="40">
        <f>IF(AND(ISNUMBER(AZ256),ISNUMBER(W257)),AZ256*W_BANCOS*W257,"")</f>
        <v/>
      </c>
      <c r="BB257" s="40">
        <f>IF(AND(ISNUMBER(AZ256),ISNUMBER(AZ255)),ABS(AZ256-AZ255)*W_BANCOS*COSTO,0)</f>
        <v/>
      </c>
      <c r="BC257" s="40">
        <f>IF(ISNUMBER(BA257),BA257-BB257,"")</f>
        <v/>
      </c>
      <c r="BD257" s="42">
        <f>IF(ISNUMBER(BC257),IF(A257&lt;=FECHA_ERA,"A","B"),"")</f>
        <v/>
      </c>
      <c r="BE257" s="40">
        <f>IF(BD257="A",BC257,"")</f>
        <v/>
      </c>
      <c r="BF257" s="40">
        <f>IF(BD257="B",BC257,"")</f>
        <v/>
      </c>
      <c r="BG257" s="38">
        <f>IF(AND(ISNUMBER(BC257),ISNUMBER(A257)),IF(A257&gt;=INICIO_VIVO,1,0),0)</f>
        <v/>
      </c>
      <c r="BH257" s="40">
        <f>IF(BG257=1,BC257,"")</f>
        <v/>
      </c>
      <c r="BI257" s="38">
        <f>IF(ISNUMBER(AY257),ROW(),0)</f>
        <v/>
      </c>
      <c r="BJ257" s="43">
        <f>IF(ISNUMBER(BC257),SUM(BC$5:BC257)*10000,NA())</f>
        <v/>
      </c>
      <c r="BK257" s="43">
        <f>IF(BG257=1,SUM(BH$5:BH257)*10000,NA())</f>
        <v/>
      </c>
      <c r="BL257" s="44">
        <f>IF(ISNUMBER(AY257),AY257,NA())</f>
        <v/>
      </c>
    </row>
    <row r="258">
      <c r="A258" s="36">
        <f>IF(Datos!A258="","",Datos!A258)</f>
        <v/>
      </c>
      <c r="B258" s="37">
        <f>IF(OR($A258="",NOT(ISNUMBER(Datos!B258)),NOT(ISNUMBER(Datos!B257))),"",Datos!B258/Datos!B257-1)</f>
        <v/>
      </c>
      <c r="C258" s="37">
        <f>IF(OR($A258="",NOT(ISNUMBER(Datos!C258)),NOT(ISNUMBER(Datos!C257))),"",Datos!C258/Datos!C257-1)</f>
        <v/>
      </c>
      <c r="D258" s="37">
        <f>IF(OR($A258="",NOT(ISNUMBER(Datos!D258)),NOT(ISNUMBER(Datos!D257))),"",Datos!D258/Datos!D257-1)</f>
        <v/>
      </c>
      <c r="E258" s="37">
        <f>IF(OR($A258="",NOT(ISNUMBER(Datos!E258)),NOT(ISNUMBER(Datos!E257))),"",Datos!E258/Datos!E257-1)</f>
        <v/>
      </c>
      <c r="F258" s="38">
        <f>IF($A258="","",COUNT(B258:E258))</f>
        <v/>
      </c>
      <c r="G258" s="37">
        <f>IF($A258="","",IF(F258&gt;=MIN_BANCOS,AVERAGE(B258:E258),""))</f>
        <v/>
      </c>
      <c r="H258" s="37">
        <f>IF(OR($A258="",NOT(ISNUMBER(Datos!F258)),NOT(ISNUMBER(Datos!F257))),"",Datos!F258/Datos!F257-1)</f>
        <v/>
      </c>
      <c r="I258" s="39">
        <f>IF($A258="","",IF(ISNUMBER(Datos!G258),Datos!G258,I257))</f>
        <v/>
      </c>
      <c r="J258" s="40">
        <f>IF($A258="","",IF(ISNUMBER(I257),LN(1+I257/100/12),0))</f>
        <v/>
      </c>
      <c r="K258" s="40">
        <f>IF(ISNUMBER(G258),LN(1+G258)-J258,"")</f>
        <v/>
      </c>
      <c r="L258" s="40">
        <f>IF(ISNUMBER(H258),LN(1+H258)-J258,"")</f>
        <v/>
      </c>
      <c r="M258" s="38">
        <f>IF(ISNUMBER(K258),1,0)</f>
        <v/>
      </c>
      <c r="N258" s="40">
        <f>IF(M258=1,K258,0)</f>
        <v/>
      </c>
      <c r="O258" s="38">
        <f>IF(ISNUMBER(L258),1,0)</f>
        <v/>
      </c>
      <c r="P258" s="40">
        <f>IF(O258=1,L258,0)</f>
        <v/>
      </c>
      <c r="Q258" s="38">
        <f>M258*O258</f>
        <v/>
      </c>
      <c r="R258" s="38">
        <f>SUM(Q222:Q257)</f>
        <v/>
      </c>
      <c r="S258" s="41">
        <f>IF(OR($A258="",R258&lt;MIN_OBS_ROLL),"",(SUMPRODUCT(Q222:Q257,N222:N257,P222:P257)/R258-SUMPRODUCT(Q222:Q257,N222:N257)/R258*SUMPRODUCT(Q222:Q257,P222:P257)/R258)*R258/(R258-1))</f>
        <v/>
      </c>
      <c r="T258" s="38">
        <f>SUM(O222:O257)</f>
        <v/>
      </c>
      <c r="U258" s="41">
        <f>IF(OR($A258="",T258&lt;MIN_OBS_ROLL),"",SUMPRODUCT(O222:O257,(P222:P257-SUMPRODUCT(O222:O257,P222:P257)/T258)^2)/(T258-1))</f>
        <v/>
      </c>
      <c r="V258" s="40">
        <f>IF(OR(S258="",U258=""),"",S258/U258)</f>
        <v/>
      </c>
      <c r="W258" s="40">
        <f>IF(AND(ISNUMBER(K258),ISNUMBER(L258),ISNUMBER(V258)),K258-V258*L258,"")</f>
        <v/>
      </c>
      <c r="X258" s="40">
        <f>IF(OR($A258="",NOT(ISNUMBER(Datos!H258)),NOT(ISNUMBER(Datos!H257))),"",LN(Datos!H258)-LN(Datos!H257))</f>
        <v/>
      </c>
      <c r="Y258" s="38">
        <f>IF(ISNUMBER(W258),1,0)</f>
        <v/>
      </c>
      <c r="Z258" s="40">
        <f>IF(Y258=1,W258,0)</f>
        <v/>
      </c>
      <c r="AA258" s="38">
        <f>IF(ISNUMBER(X258),1,0)</f>
        <v/>
      </c>
      <c r="AB258" s="40">
        <f>IF(AA258=1,X258,0)</f>
        <v/>
      </c>
      <c r="AC258" s="38">
        <f>Y258*AA258</f>
        <v/>
      </c>
      <c r="AD258" s="38">
        <f>SUM(AC222:AC257)</f>
        <v/>
      </c>
      <c r="AE258" s="41">
        <f>IF(OR($A258="",AD258&lt;MIN_OBS_ROLL),"",(SUMPRODUCT(AC222:AC257,Z222:Z257,AB222:AB257)/AD258-SUMPRODUCT(AC222:AC257,Z222:Z257)/AD258*SUMPRODUCT(AC222:AC257,AB222:AB257)/AD258)*AD258/(AD258-1))</f>
        <v/>
      </c>
      <c r="AF258" s="38">
        <f>SUM(AA222:AA257)</f>
        <v/>
      </c>
      <c r="AG258" s="41">
        <f>IF(OR($A258="",AF258&lt;MIN_OBS_ROLL),"",SUMPRODUCT(AA222:AA257,(AB222:AB257-SUMPRODUCT(AA222:AA257,AB222:AB257)/AF258)^2)/(AF258-1))</f>
        <v/>
      </c>
      <c r="AH258" s="38">
        <f>SUM(Y222:Y257)</f>
        <v/>
      </c>
      <c r="AI258" s="40">
        <f>IF(OR($A258="",AH258&lt;MIN_OBS_ROLL),"",SUMPRODUCT(Y222:Y257,Z222:Z257)/AH258)</f>
        <v/>
      </c>
      <c r="AJ258" s="40">
        <f>IF(OR($A258="",AF258&lt;MIN_OBS_ROLL),"",SUMPRODUCT(AA222:AA257,AB222:AB257)/AF258)</f>
        <v/>
      </c>
      <c r="AK258" s="40">
        <f>IF(OR(AE258="",AG258=""),"",AE258/AG258)</f>
        <v/>
      </c>
      <c r="AL258" s="40">
        <f>IF(OR(AI258="",AK258="",AJ258=""),"",AI258-AK258*AJ258)</f>
        <v/>
      </c>
      <c r="AM258" s="40">
        <f>IF(AND(ISNUMBER(W258),ISNUMBER(X258),ISNUMBER(AK258),ISNUMBER(AL258)),W258-(AL258+AK258*X258),"")</f>
        <v/>
      </c>
      <c r="AN258" s="38">
        <f>IF(ISNUMBER(AM258),1,0)</f>
        <v/>
      </c>
      <c r="AO258" s="40">
        <f>IF(AN258=1,AM258,0)</f>
        <v/>
      </c>
      <c r="AP258" s="40">
        <f>IF(SUM(AN256:AN258)=3,SUM(AO256:AO258),"")</f>
        <v/>
      </c>
      <c r="AQ258" s="38">
        <f>IF(ISNUMBER(AP258),1,0)</f>
        <v/>
      </c>
      <c r="AR258" s="40">
        <f>IF(AQ258=1,AP258,0)</f>
        <v/>
      </c>
      <c r="AS258" s="38">
        <f>SUM(AQ$5:AQ258)</f>
        <v/>
      </c>
      <c r="AT258" s="40">
        <f>IF(AS258&gt;=MIN_OBS_Z,SUMPRODUCT(AQ$5:AQ258,AR$5:AR258)/AS258,"")</f>
        <v/>
      </c>
      <c r="AU258" s="40">
        <f>IF(AS258&gt;=MIN_OBS_Z,SQRT(SUMPRODUCT(AQ$5:AQ258,(AR$5:AR258-AT258)^2)/(AS258-1)),"")</f>
        <v/>
      </c>
      <c r="AV258" s="40">
        <f>IF(AND(AQ258=1,ISNUMBER(AT258)),MAX(-Z_CLIP,MIN(Z_CLIP,(AR258-AT258)/AU258)),"")</f>
        <v/>
      </c>
      <c r="AW258" s="40">
        <f>IF(ISNUMBER(AV258),-AV258,"")</f>
        <v/>
      </c>
      <c r="AX258" s="40">
        <f>IF(ISNUMBER(AW258),1+AMPLITUD*TANH(AW258),"")</f>
        <v/>
      </c>
      <c r="AY258" s="40">
        <f>IF($A258="","",IF(COUNT(AX256:AX258)&gt;0,AVERAGE(AX256:AX258),""))</f>
        <v/>
      </c>
      <c r="AZ258" s="40">
        <f>IF(ISNUMBER(AY258),AY258-1,"")</f>
        <v/>
      </c>
      <c r="BA258" s="40">
        <f>IF(AND(ISNUMBER(AZ257),ISNUMBER(W258)),AZ257*W_BANCOS*W258,"")</f>
        <v/>
      </c>
      <c r="BB258" s="40">
        <f>IF(AND(ISNUMBER(AZ257),ISNUMBER(AZ256)),ABS(AZ257-AZ256)*W_BANCOS*COSTO,0)</f>
        <v/>
      </c>
      <c r="BC258" s="40">
        <f>IF(ISNUMBER(BA258),BA258-BB258,"")</f>
        <v/>
      </c>
      <c r="BD258" s="42">
        <f>IF(ISNUMBER(BC258),IF(A258&lt;=FECHA_ERA,"A","B"),"")</f>
        <v/>
      </c>
      <c r="BE258" s="40">
        <f>IF(BD258="A",BC258,"")</f>
        <v/>
      </c>
      <c r="BF258" s="40">
        <f>IF(BD258="B",BC258,"")</f>
        <v/>
      </c>
      <c r="BG258" s="38">
        <f>IF(AND(ISNUMBER(BC258),ISNUMBER(A258)),IF(A258&gt;=INICIO_VIVO,1,0),0)</f>
        <v/>
      </c>
      <c r="BH258" s="40">
        <f>IF(BG258=1,BC258,"")</f>
        <v/>
      </c>
      <c r="BI258" s="38">
        <f>IF(ISNUMBER(AY258),ROW(),0)</f>
        <v/>
      </c>
      <c r="BJ258" s="43">
        <f>IF(ISNUMBER(BC258),SUM(BC$5:BC258)*10000,NA())</f>
        <v/>
      </c>
      <c r="BK258" s="43">
        <f>IF(BG258=1,SUM(BH$5:BH258)*10000,NA())</f>
        <v/>
      </c>
      <c r="BL258" s="44">
        <f>IF(ISNUMBER(AY258),AY258,NA())</f>
        <v/>
      </c>
    </row>
    <row r="259">
      <c r="A259" s="36">
        <f>IF(Datos!A259="","",Datos!A259)</f>
        <v/>
      </c>
      <c r="B259" s="37">
        <f>IF(OR($A259="",NOT(ISNUMBER(Datos!B259)),NOT(ISNUMBER(Datos!B258))),"",Datos!B259/Datos!B258-1)</f>
        <v/>
      </c>
      <c r="C259" s="37">
        <f>IF(OR($A259="",NOT(ISNUMBER(Datos!C259)),NOT(ISNUMBER(Datos!C258))),"",Datos!C259/Datos!C258-1)</f>
        <v/>
      </c>
      <c r="D259" s="37">
        <f>IF(OR($A259="",NOT(ISNUMBER(Datos!D259)),NOT(ISNUMBER(Datos!D258))),"",Datos!D259/Datos!D258-1)</f>
        <v/>
      </c>
      <c r="E259" s="37">
        <f>IF(OR($A259="",NOT(ISNUMBER(Datos!E259)),NOT(ISNUMBER(Datos!E258))),"",Datos!E259/Datos!E258-1)</f>
        <v/>
      </c>
      <c r="F259" s="38">
        <f>IF($A259="","",COUNT(B259:E259))</f>
        <v/>
      </c>
      <c r="G259" s="37">
        <f>IF($A259="","",IF(F259&gt;=MIN_BANCOS,AVERAGE(B259:E259),""))</f>
        <v/>
      </c>
      <c r="H259" s="37">
        <f>IF(OR($A259="",NOT(ISNUMBER(Datos!F259)),NOT(ISNUMBER(Datos!F258))),"",Datos!F259/Datos!F258-1)</f>
        <v/>
      </c>
      <c r="I259" s="39">
        <f>IF($A259="","",IF(ISNUMBER(Datos!G259),Datos!G259,I258))</f>
        <v/>
      </c>
      <c r="J259" s="40">
        <f>IF($A259="","",IF(ISNUMBER(I258),LN(1+I258/100/12),0))</f>
        <v/>
      </c>
      <c r="K259" s="40">
        <f>IF(ISNUMBER(G259),LN(1+G259)-J259,"")</f>
        <v/>
      </c>
      <c r="L259" s="40">
        <f>IF(ISNUMBER(H259),LN(1+H259)-J259,"")</f>
        <v/>
      </c>
      <c r="M259" s="38">
        <f>IF(ISNUMBER(K259),1,0)</f>
        <v/>
      </c>
      <c r="N259" s="40">
        <f>IF(M259=1,K259,0)</f>
        <v/>
      </c>
      <c r="O259" s="38">
        <f>IF(ISNUMBER(L259),1,0)</f>
        <v/>
      </c>
      <c r="P259" s="40">
        <f>IF(O259=1,L259,0)</f>
        <v/>
      </c>
      <c r="Q259" s="38">
        <f>M259*O259</f>
        <v/>
      </c>
      <c r="R259" s="38">
        <f>SUM(Q223:Q258)</f>
        <v/>
      </c>
      <c r="S259" s="41">
        <f>IF(OR($A259="",R259&lt;MIN_OBS_ROLL),"",(SUMPRODUCT(Q223:Q258,N223:N258,P223:P258)/R259-SUMPRODUCT(Q223:Q258,N223:N258)/R259*SUMPRODUCT(Q223:Q258,P223:P258)/R259)*R259/(R259-1))</f>
        <v/>
      </c>
      <c r="T259" s="38">
        <f>SUM(O223:O258)</f>
        <v/>
      </c>
      <c r="U259" s="41">
        <f>IF(OR($A259="",T259&lt;MIN_OBS_ROLL),"",SUMPRODUCT(O223:O258,(P223:P258-SUMPRODUCT(O223:O258,P223:P258)/T259)^2)/(T259-1))</f>
        <v/>
      </c>
      <c r="V259" s="40">
        <f>IF(OR(S259="",U259=""),"",S259/U259)</f>
        <v/>
      </c>
      <c r="W259" s="40">
        <f>IF(AND(ISNUMBER(K259),ISNUMBER(L259),ISNUMBER(V259)),K259-V259*L259,"")</f>
        <v/>
      </c>
      <c r="X259" s="40">
        <f>IF(OR($A259="",NOT(ISNUMBER(Datos!H259)),NOT(ISNUMBER(Datos!H258))),"",LN(Datos!H259)-LN(Datos!H258))</f>
        <v/>
      </c>
      <c r="Y259" s="38">
        <f>IF(ISNUMBER(W259),1,0)</f>
        <v/>
      </c>
      <c r="Z259" s="40">
        <f>IF(Y259=1,W259,0)</f>
        <v/>
      </c>
      <c r="AA259" s="38">
        <f>IF(ISNUMBER(X259),1,0)</f>
        <v/>
      </c>
      <c r="AB259" s="40">
        <f>IF(AA259=1,X259,0)</f>
        <v/>
      </c>
      <c r="AC259" s="38">
        <f>Y259*AA259</f>
        <v/>
      </c>
      <c r="AD259" s="38">
        <f>SUM(AC223:AC258)</f>
        <v/>
      </c>
      <c r="AE259" s="41">
        <f>IF(OR($A259="",AD259&lt;MIN_OBS_ROLL),"",(SUMPRODUCT(AC223:AC258,Z223:Z258,AB223:AB258)/AD259-SUMPRODUCT(AC223:AC258,Z223:Z258)/AD259*SUMPRODUCT(AC223:AC258,AB223:AB258)/AD259)*AD259/(AD259-1))</f>
        <v/>
      </c>
      <c r="AF259" s="38">
        <f>SUM(AA223:AA258)</f>
        <v/>
      </c>
      <c r="AG259" s="41">
        <f>IF(OR($A259="",AF259&lt;MIN_OBS_ROLL),"",SUMPRODUCT(AA223:AA258,(AB223:AB258-SUMPRODUCT(AA223:AA258,AB223:AB258)/AF259)^2)/(AF259-1))</f>
        <v/>
      </c>
      <c r="AH259" s="38">
        <f>SUM(Y223:Y258)</f>
        <v/>
      </c>
      <c r="AI259" s="40">
        <f>IF(OR($A259="",AH259&lt;MIN_OBS_ROLL),"",SUMPRODUCT(Y223:Y258,Z223:Z258)/AH259)</f>
        <v/>
      </c>
      <c r="AJ259" s="40">
        <f>IF(OR($A259="",AF259&lt;MIN_OBS_ROLL),"",SUMPRODUCT(AA223:AA258,AB223:AB258)/AF259)</f>
        <v/>
      </c>
      <c r="AK259" s="40">
        <f>IF(OR(AE259="",AG259=""),"",AE259/AG259)</f>
        <v/>
      </c>
      <c r="AL259" s="40">
        <f>IF(OR(AI259="",AK259="",AJ259=""),"",AI259-AK259*AJ259)</f>
        <v/>
      </c>
      <c r="AM259" s="40">
        <f>IF(AND(ISNUMBER(W259),ISNUMBER(X259),ISNUMBER(AK259),ISNUMBER(AL259)),W259-(AL259+AK259*X259),"")</f>
        <v/>
      </c>
      <c r="AN259" s="38">
        <f>IF(ISNUMBER(AM259),1,0)</f>
        <v/>
      </c>
      <c r="AO259" s="40">
        <f>IF(AN259=1,AM259,0)</f>
        <v/>
      </c>
      <c r="AP259" s="40">
        <f>IF(SUM(AN257:AN259)=3,SUM(AO257:AO259),"")</f>
        <v/>
      </c>
      <c r="AQ259" s="38">
        <f>IF(ISNUMBER(AP259),1,0)</f>
        <v/>
      </c>
      <c r="AR259" s="40">
        <f>IF(AQ259=1,AP259,0)</f>
        <v/>
      </c>
      <c r="AS259" s="38">
        <f>SUM(AQ$5:AQ259)</f>
        <v/>
      </c>
      <c r="AT259" s="40">
        <f>IF(AS259&gt;=MIN_OBS_Z,SUMPRODUCT(AQ$5:AQ259,AR$5:AR259)/AS259,"")</f>
        <v/>
      </c>
      <c r="AU259" s="40">
        <f>IF(AS259&gt;=MIN_OBS_Z,SQRT(SUMPRODUCT(AQ$5:AQ259,(AR$5:AR259-AT259)^2)/(AS259-1)),"")</f>
        <v/>
      </c>
      <c r="AV259" s="40">
        <f>IF(AND(AQ259=1,ISNUMBER(AT259)),MAX(-Z_CLIP,MIN(Z_CLIP,(AR259-AT259)/AU259)),"")</f>
        <v/>
      </c>
      <c r="AW259" s="40">
        <f>IF(ISNUMBER(AV259),-AV259,"")</f>
        <v/>
      </c>
      <c r="AX259" s="40">
        <f>IF(ISNUMBER(AW259),1+AMPLITUD*TANH(AW259),"")</f>
        <v/>
      </c>
      <c r="AY259" s="40">
        <f>IF($A259="","",IF(COUNT(AX257:AX259)&gt;0,AVERAGE(AX257:AX259),""))</f>
        <v/>
      </c>
      <c r="AZ259" s="40">
        <f>IF(ISNUMBER(AY259),AY259-1,"")</f>
        <v/>
      </c>
      <c r="BA259" s="40">
        <f>IF(AND(ISNUMBER(AZ258),ISNUMBER(W259)),AZ258*W_BANCOS*W259,"")</f>
        <v/>
      </c>
      <c r="BB259" s="40">
        <f>IF(AND(ISNUMBER(AZ258),ISNUMBER(AZ257)),ABS(AZ258-AZ257)*W_BANCOS*COSTO,0)</f>
        <v/>
      </c>
      <c r="BC259" s="40">
        <f>IF(ISNUMBER(BA259),BA259-BB259,"")</f>
        <v/>
      </c>
      <c r="BD259" s="42">
        <f>IF(ISNUMBER(BC259),IF(A259&lt;=FECHA_ERA,"A","B"),"")</f>
        <v/>
      </c>
      <c r="BE259" s="40">
        <f>IF(BD259="A",BC259,"")</f>
        <v/>
      </c>
      <c r="BF259" s="40">
        <f>IF(BD259="B",BC259,"")</f>
        <v/>
      </c>
      <c r="BG259" s="38">
        <f>IF(AND(ISNUMBER(BC259),ISNUMBER(A259)),IF(A259&gt;=INICIO_VIVO,1,0),0)</f>
        <v/>
      </c>
      <c r="BH259" s="40">
        <f>IF(BG259=1,BC259,"")</f>
        <v/>
      </c>
      <c r="BI259" s="38">
        <f>IF(ISNUMBER(AY259),ROW(),0)</f>
        <v/>
      </c>
      <c r="BJ259" s="43">
        <f>IF(ISNUMBER(BC259),SUM(BC$5:BC259)*10000,NA())</f>
        <v/>
      </c>
      <c r="BK259" s="43">
        <f>IF(BG259=1,SUM(BH$5:BH259)*10000,NA())</f>
        <v/>
      </c>
      <c r="BL259" s="44">
        <f>IF(ISNUMBER(AY259),AY259,NA())</f>
        <v/>
      </c>
    </row>
    <row r="260">
      <c r="A260" s="36">
        <f>IF(Datos!A260="","",Datos!A260)</f>
        <v/>
      </c>
      <c r="B260" s="37">
        <f>IF(OR($A260="",NOT(ISNUMBER(Datos!B260)),NOT(ISNUMBER(Datos!B259))),"",Datos!B260/Datos!B259-1)</f>
        <v/>
      </c>
      <c r="C260" s="37">
        <f>IF(OR($A260="",NOT(ISNUMBER(Datos!C260)),NOT(ISNUMBER(Datos!C259))),"",Datos!C260/Datos!C259-1)</f>
        <v/>
      </c>
      <c r="D260" s="37">
        <f>IF(OR($A260="",NOT(ISNUMBER(Datos!D260)),NOT(ISNUMBER(Datos!D259))),"",Datos!D260/Datos!D259-1)</f>
        <v/>
      </c>
      <c r="E260" s="37">
        <f>IF(OR($A260="",NOT(ISNUMBER(Datos!E260)),NOT(ISNUMBER(Datos!E259))),"",Datos!E260/Datos!E259-1)</f>
        <v/>
      </c>
      <c r="F260" s="38">
        <f>IF($A260="","",COUNT(B260:E260))</f>
        <v/>
      </c>
      <c r="G260" s="37">
        <f>IF($A260="","",IF(F260&gt;=MIN_BANCOS,AVERAGE(B260:E260),""))</f>
        <v/>
      </c>
      <c r="H260" s="37">
        <f>IF(OR($A260="",NOT(ISNUMBER(Datos!F260)),NOT(ISNUMBER(Datos!F259))),"",Datos!F260/Datos!F259-1)</f>
        <v/>
      </c>
      <c r="I260" s="39">
        <f>IF($A260="","",IF(ISNUMBER(Datos!G260),Datos!G260,I259))</f>
        <v/>
      </c>
      <c r="J260" s="40">
        <f>IF($A260="","",IF(ISNUMBER(I259),LN(1+I259/100/12),0))</f>
        <v/>
      </c>
      <c r="K260" s="40">
        <f>IF(ISNUMBER(G260),LN(1+G260)-J260,"")</f>
        <v/>
      </c>
      <c r="L260" s="40">
        <f>IF(ISNUMBER(H260),LN(1+H260)-J260,"")</f>
        <v/>
      </c>
      <c r="M260" s="38">
        <f>IF(ISNUMBER(K260),1,0)</f>
        <v/>
      </c>
      <c r="N260" s="40">
        <f>IF(M260=1,K260,0)</f>
        <v/>
      </c>
      <c r="O260" s="38">
        <f>IF(ISNUMBER(L260),1,0)</f>
        <v/>
      </c>
      <c r="P260" s="40">
        <f>IF(O260=1,L260,0)</f>
        <v/>
      </c>
      <c r="Q260" s="38">
        <f>M260*O260</f>
        <v/>
      </c>
      <c r="R260" s="38">
        <f>SUM(Q224:Q259)</f>
        <v/>
      </c>
      <c r="S260" s="41">
        <f>IF(OR($A260="",R260&lt;MIN_OBS_ROLL),"",(SUMPRODUCT(Q224:Q259,N224:N259,P224:P259)/R260-SUMPRODUCT(Q224:Q259,N224:N259)/R260*SUMPRODUCT(Q224:Q259,P224:P259)/R260)*R260/(R260-1))</f>
        <v/>
      </c>
      <c r="T260" s="38">
        <f>SUM(O224:O259)</f>
        <v/>
      </c>
      <c r="U260" s="41">
        <f>IF(OR($A260="",T260&lt;MIN_OBS_ROLL),"",SUMPRODUCT(O224:O259,(P224:P259-SUMPRODUCT(O224:O259,P224:P259)/T260)^2)/(T260-1))</f>
        <v/>
      </c>
      <c r="V260" s="40">
        <f>IF(OR(S260="",U260=""),"",S260/U260)</f>
        <v/>
      </c>
      <c r="W260" s="40">
        <f>IF(AND(ISNUMBER(K260),ISNUMBER(L260),ISNUMBER(V260)),K260-V260*L260,"")</f>
        <v/>
      </c>
      <c r="X260" s="40">
        <f>IF(OR($A260="",NOT(ISNUMBER(Datos!H260)),NOT(ISNUMBER(Datos!H259))),"",LN(Datos!H260)-LN(Datos!H259))</f>
        <v/>
      </c>
      <c r="Y260" s="38">
        <f>IF(ISNUMBER(W260),1,0)</f>
        <v/>
      </c>
      <c r="Z260" s="40">
        <f>IF(Y260=1,W260,0)</f>
        <v/>
      </c>
      <c r="AA260" s="38">
        <f>IF(ISNUMBER(X260),1,0)</f>
        <v/>
      </c>
      <c r="AB260" s="40">
        <f>IF(AA260=1,X260,0)</f>
        <v/>
      </c>
      <c r="AC260" s="38">
        <f>Y260*AA260</f>
        <v/>
      </c>
      <c r="AD260" s="38">
        <f>SUM(AC224:AC259)</f>
        <v/>
      </c>
      <c r="AE260" s="41">
        <f>IF(OR($A260="",AD260&lt;MIN_OBS_ROLL),"",(SUMPRODUCT(AC224:AC259,Z224:Z259,AB224:AB259)/AD260-SUMPRODUCT(AC224:AC259,Z224:Z259)/AD260*SUMPRODUCT(AC224:AC259,AB224:AB259)/AD260)*AD260/(AD260-1))</f>
        <v/>
      </c>
      <c r="AF260" s="38">
        <f>SUM(AA224:AA259)</f>
        <v/>
      </c>
      <c r="AG260" s="41">
        <f>IF(OR($A260="",AF260&lt;MIN_OBS_ROLL),"",SUMPRODUCT(AA224:AA259,(AB224:AB259-SUMPRODUCT(AA224:AA259,AB224:AB259)/AF260)^2)/(AF260-1))</f>
        <v/>
      </c>
      <c r="AH260" s="38">
        <f>SUM(Y224:Y259)</f>
        <v/>
      </c>
      <c r="AI260" s="40">
        <f>IF(OR($A260="",AH260&lt;MIN_OBS_ROLL),"",SUMPRODUCT(Y224:Y259,Z224:Z259)/AH260)</f>
        <v/>
      </c>
      <c r="AJ260" s="40">
        <f>IF(OR($A260="",AF260&lt;MIN_OBS_ROLL),"",SUMPRODUCT(AA224:AA259,AB224:AB259)/AF260)</f>
        <v/>
      </c>
      <c r="AK260" s="40">
        <f>IF(OR(AE260="",AG260=""),"",AE260/AG260)</f>
        <v/>
      </c>
      <c r="AL260" s="40">
        <f>IF(OR(AI260="",AK260="",AJ260=""),"",AI260-AK260*AJ260)</f>
        <v/>
      </c>
      <c r="AM260" s="40">
        <f>IF(AND(ISNUMBER(W260),ISNUMBER(X260),ISNUMBER(AK260),ISNUMBER(AL260)),W260-(AL260+AK260*X260),"")</f>
        <v/>
      </c>
      <c r="AN260" s="38">
        <f>IF(ISNUMBER(AM260),1,0)</f>
        <v/>
      </c>
      <c r="AO260" s="40">
        <f>IF(AN260=1,AM260,0)</f>
        <v/>
      </c>
      <c r="AP260" s="40">
        <f>IF(SUM(AN258:AN260)=3,SUM(AO258:AO260),"")</f>
        <v/>
      </c>
      <c r="AQ260" s="38">
        <f>IF(ISNUMBER(AP260),1,0)</f>
        <v/>
      </c>
      <c r="AR260" s="40">
        <f>IF(AQ260=1,AP260,0)</f>
        <v/>
      </c>
      <c r="AS260" s="38">
        <f>SUM(AQ$5:AQ260)</f>
        <v/>
      </c>
      <c r="AT260" s="40">
        <f>IF(AS260&gt;=MIN_OBS_Z,SUMPRODUCT(AQ$5:AQ260,AR$5:AR260)/AS260,"")</f>
        <v/>
      </c>
      <c r="AU260" s="40">
        <f>IF(AS260&gt;=MIN_OBS_Z,SQRT(SUMPRODUCT(AQ$5:AQ260,(AR$5:AR260-AT260)^2)/(AS260-1)),"")</f>
        <v/>
      </c>
      <c r="AV260" s="40">
        <f>IF(AND(AQ260=1,ISNUMBER(AT260)),MAX(-Z_CLIP,MIN(Z_CLIP,(AR260-AT260)/AU260)),"")</f>
        <v/>
      </c>
      <c r="AW260" s="40">
        <f>IF(ISNUMBER(AV260),-AV260,"")</f>
        <v/>
      </c>
      <c r="AX260" s="40">
        <f>IF(ISNUMBER(AW260),1+AMPLITUD*TANH(AW260),"")</f>
        <v/>
      </c>
      <c r="AY260" s="40">
        <f>IF($A260="","",IF(COUNT(AX258:AX260)&gt;0,AVERAGE(AX258:AX260),""))</f>
        <v/>
      </c>
      <c r="AZ260" s="40">
        <f>IF(ISNUMBER(AY260),AY260-1,"")</f>
        <v/>
      </c>
      <c r="BA260" s="40">
        <f>IF(AND(ISNUMBER(AZ259),ISNUMBER(W260)),AZ259*W_BANCOS*W260,"")</f>
        <v/>
      </c>
      <c r="BB260" s="40">
        <f>IF(AND(ISNUMBER(AZ259),ISNUMBER(AZ258)),ABS(AZ259-AZ258)*W_BANCOS*COSTO,0)</f>
        <v/>
      </c>
      <c r="BC260" s="40">
        <f>IF(ISNUMBER(BA260),BA260-BB260,"")</f>
        <v/>
      </c>
      <c r="BD260" s="42">
        <f>IF(ISNUMBER(BC260),IF(A260&lt;=FECHA_ERA,"A","B"),"")</f>
        <v/>
      </c>
      <c r="BE260" s="40">
        <f>IF(BD260="A",BC260,"")</f>
        <v/>
      </c>
      <c r="BF260" s="40">
        <f>IF(BD260="B",BC260,"")</f>
        <v/>
      </c>
      <c r="BG260" s="38">
        <f>IF(AND(ISNUMBER(BC260),ISNUMBER(A260)),IF(A260&gt;=INICIO_VIVO,1,0),0)</f>
        <v/>
      </c>
      <c r="BH260" s="40">
        <f>IF(BG260=1,BC260,"")</f>
        <v/>
      </c>
      <c r="BI260" s="38">
        <f>IF(ISNUMBER(AY260),ROW(),0)</f>
        <v/>
      </c>
      <c r="BJ260" s="43">
        <f>IF(ISNUMBER(BC260),SUM(BC$5:BC260)*10000,NA())</f>
        <v/>
      </c>
      <c r="BK260" s="43">
        <f>IF(BG260=1,SUM(BH$5:BH260)*10000,NA())</f>
        <v/>
      </c>
      <c r="BL260" s="44">
        <f>IF(ISNUMBER(AY260),AY260,NA())</f>
        <v/>
      </c>
    </row>
    <row r="261">
      <c r="A261" s="36">
        <f>IF(Datos!A261="","",Datos!A261)</f>
        <v/>
      </c>
      <c r="B261" s="37">
        <f>IF(OR($A261="",NOT(ISNUMBER(Datos!B261)),NOT(ISNUMBER(Datos!B260))),"",Datos!B261/Datos!B260-1)</f>
        <v/>
      </c>
      <c r="C261" s="37">
        <f>IF(OR($A261="",NOT(ISNUMBER(Datos!C261)),NOT(ISNUMBER(Datos!C260))),"",Datos!C261/Datos!C260-1)</f>
        <v/>
      </c>
      <c r="D261" s="37">
        <f>IF(OR($A261="",NOT(ISNUMBER(Datos!D261)),NOT(ISNUMBER(Datos!D260))),"",Datos!D261/Datos!D260-1)</f>
        <v/>
      </c>
      <c r="E261" s="37">
        <f>IF(OR($A261="",NOT(ISNUMBER(Datos!E261)),NOT(ISNUMBER(Datos!E260))),"",Datos!E261/Datos!E260-1)</f>
        <v/>
      </c>
      <c r="F261" s="38">
        <f>IF($A261="","",COUNT(B261:E261))</f>
        <v/>
      </c>
      <c r="G261" s="37">
        <f>IF($A261="","",IF(F261&gt;=MIN_BANCOS,AVERAGE(B261:E261),""))</f>
        <v/>
      </c>
      <c r="H261" s="37">
        <f>IF(OR($A261="",NOT(ISNUMBER(Datos!F261)),NOT(ISNUMBER(Datos!F260))),"",Datos!F261/Datos!F260-1)</f>
        <v/>
      </c>
      <c r="I261" s="39">
        <f>IF($A261="","",IF(ISNUMBER(Datos!G261),Datos!G261,I260))</f>
        <v/>
      </c>
      <c r="J261" s="40">
        <f>IF($A261="","",IF(ISNUMBER(I260),LN(1+I260/100/12),0))</f>
        <v/>
      </c>
      <c r="K261" s="40">
        <f>IF(ISNUMBER(G261),LN(1+G261)-J261,"")</f>
        <v/>
      </c>
      <c r="L261" s="40">
        <f>IF(ISNUMBER(H261),LN(1+H261)-J261,"")</f>
        <v/>
      </c>
      <c r="M261" s="38">
        <f>IF(ISNUMBER(K261),1,0)</f>
        <v/>
      </c>
      <c r="N261" s="40">
        <f>IF(M261=1,K261,0)</f>
        <v/>
      </c>
      <c r="O261" s="38">
        <f>IF(ISNUMBER(L261),1,0)</f>
        <v/>
      </c>
      <c r="P261" s="40">
        <f>IF(O261=1,L261,0)</f>
        <v/>
      </c>
      <c r="Q261" s="38">
        <f>M261*O261</f>
        <v/>
      </c>
      <c r="R261" s="38">
        <f>SUM(Q225:Q260)</f>
        <v/>
      </c>
      <c r="S261" s="41">
        <f>IF(OR($A261="",R261&lt;MIN_OBS_ROLL),"",(SUMPRODUCT(Q225:Q260,N225:N260,P225:P260)/R261-SUMPRODUCT(Q225:Q260,N225:N260)/R261*SUMPRODUCT(Q225:Q260,P225:P260)/R261)*R261/(R261-1))</f>
        <v/>
      </c>
      <c r="T261" s="38">
        <f>SUM(O225:O260)</f>
        <v/>
      </c>
      <c r="U261" s="41">
        <f>IF(OR($A261="",T261&lt;MIN_OBS_ROLL),"",SUMPRODUCT(O225:O260,(P225:P260-SUMPRODUCT(O225:O260,P225:P260)/T261)^2)/(T261-1))</f>
        <v/>
      </c>
      <c r="V261" s="40">
        <f>IF(OR(S261="",U261=""),"",S261/U261)</f>
        <v/>
      </c>
      <c r="W261" s="40">
        <f>IF(AND(ISNUMBER(K261),ISNUMBER(L261),ISNUMBER(V261)),K261-V261*L261,"")</f>
        <v/>
      </c>
      <c r="X261" s="40">
        <f>IF(OR($A261="",NOT(ISNUMBER(Datos!H261)),NOT(ISNUMBER(Datos!H260))),"",LN(Datos!H261)-LN(Datos!H260))</f>
        <v/>
      </c>
      <c r="Y261" s="38">
        <f>IF(ISNUMBER(W261),1,0)</f>
        <v/>
      </c>
      <c r="Z261" s="40">
        <f>IF(Y261=1,W261,0)</f>
        <v/>
      </c>
      <c r="AA261" s="38">
        <f>IF(ISNUMBER(X261),1,0)</f>
        <v/>
      </c>
      <c r="AB261" s="40">
        <f>IF(AA261=1,X261,0)</f>
        <v/>
      </c>
      <c r="AC261" s="38">
        <f>Y261*AA261</f>
        <v/>
      </c>
      <c r="AD261" s="38">
        <f>SUM(AC225:AC260)</f>
        <v/>
      </c>
      <c r="AE261" s="41">
        <f>IF(OR($A261="",AD261&lt;MIN_OBS_ROLL),"",(SUMPRODUCT(AC225:AC260,Z225:Z260,AB225:AB260)/AD261-SUMPRODUCT(AC225:AC260,Z225:Z260)/AD261*SUMPRODUCT(AC225:AC260,AB225:AB260)/AD261)*AD261/(AD261-1))</f>
        <v/>
      </c>
      <c r="AF261" s="38">
        <f>SUM(AA225:AA260)</f>
        <v/>
      </c>
      <c r="AG261" s="41">
        <f>IF(OR($A261="",AF261&lt;MIN_OBS_ROLL),"",SUMPRODUCT(AA225:AA260,(AB225:AB260-SUMPRODUCT(AA225:AA260,AB225:AB260)/AF261)^2)/(AF261-1))</f>
        <v/>
      </c>
      <c r="AH261" s="38">
        <f>SUM(Y225:Y260)</f>
        <v/>
      </c>
      <c r="AI261" s="40">
        <f>IF(OR($A261="",AH261&lt;MIN_OBS_ROLL),"",SUMPRODUCT(Y225:Y260,Z225:Z260)/AH261)</f>
        <v/>
      </c>
      <c r="AJ261" s="40">
        <f>IF(OR($A261="",AF261&lt;MIN_OBS_ROLL),"",SUMPRODUCT(AA225:AA260,AB225:AB260)/AF261)</f>
        <v/>
      </c>
      <c r="AK261" s="40">
        <f>IF(OR(AE261="",AG261=""),"",AE261/AG261)</f>
        <v/>
      </c>
      <c r="AL261" s="40">
        <f>IF(OR(AI261="",AK261="",AJ261=""),"",AI261-AK261*AJ261)</f>
        <v/>
      </c>
      <c r="AM261" s="40">
        <f>IF(AND(ISNUMBER(W261),ISNUMBER(X261),ISNUMBER(AK261),ISNUMBER(AL261)),W261-(AL261+AK261*X261),"")</f>
        <v/>
      </c>
      <c r="AN261" s="38">
        <f>IF(ISNUMBER(AM261),1,0)</f>
        <v/>
      </c>
      <c r="AO261" s="40">
        <f>IF(AN261=1,AM261,0)</f>
        <v/>
      </c>
      <c r="AP261" s="40">
        <f>IF(SUM(AN259:AN261)=3,SUM(AO259:AO261),"")</f>
        <v/>
      </c>
      <c r="AQ261" s="38">
        <f>IF(ISNUMBER(AP261),1,0)</f>
        <v/>
      </c>
      <c r="AR261" s="40">
        <f>IF(AQ261=1,AP261,0)</f>
        <v/>
      </c>
      <c r="AS261" s="38">
        <f>SUM(AQ$5:AQ261)</f>
        <v/>
      </c>
      <c r="AT261" s="40">
        <f>IF(AS261&gt;=MIN_OBS_Z,SUMPRODUCT(AQ$5:AQ261,AR$5:AR261)/AS261,"")</f>
        <v/>
      </c>
      <c r="AU261" s="40">
        <f>IF(AS261&gt;=MIN_OBS_Z,SQRT(SUMPRODUCT(AQ$5:AQ261,(AR$5:AR261-AT261)^2)/(AS261-1)),"")</f>
        <v/>
      </c>
      <c r="AV261" s="40">
        <f>IF(AND(AQ261=1,ISNUMBER(AT261)),MAX(-Z_CLIP,MIN(Z_CLIP,(AR261-AT261)/AU261)),"")</f>
        <v/>
      </c>
      <c r="AW261" s="40">
        <f>IF(ISNUMBER(AV261),-AV261,"")</f>
        <v/>
      </c>
      <c r="AX261" s="40">
        <f>IF(ISNUMBER(AW261),1+AMPLITUD*TANH(AW261),"")</f>
        <v/>
      </c>
      <c r="AY261" s="40">
        <f>IF($A261="","",IF(COUNT(AX259:AX261)&gt;0,AVERAGE(AX259:AX261),""))</f>
        <v/>
      </c>
      <c r="AZ261" s="40">
        <f>IF(ISNUMBER(AY261),AY261-1,"")</f>
        <v/>
      </c>
      <c r="BA261" s="40">
        <f>IF(AND(ISNUMBER(AZ260),ISNUMBER(W261)),AZ260*W_BANCOS*W261,"")</f>
        <v/>
      </c>
      <c r="BB261" s="40">
        <f>IF(AND(ISNUMBER(AZ260),ISNUMBER(AZ259)),ABS(AZ260-AZ259)*W_BANCOS*COSTO,0)</f>
        <v/>
      </c>
      <c r="BC261" s="40">
        <f>IF(ISNUMBER(BA261),BA261-BB261,"")</f>
        <v/>
      </c>
      <c r="BD261" s="42">
        <f>IF(ISNUMBER(BC261),IF(A261&lt;=FECHA_ERA,"A","B"),"")</f>
        <v/>
      </c>
      <c r="BE261" s="40">
        <f>IF(BD261="A",BC261,"")</f>
        <v/>
      </c>
      <c r="BF261" s="40">
        <f>IF(BD261="B",BC261,"")</f>
        <v/>
      </c>
      <c r="BG261" s="38">
        <f>IF(AND(ISNUMBER(BC261),ISNUMBER(A261)),IF(A261&gt;=INICIO_VIVO,1,0),0)</f>
        <v/>
      </c>
      <c r="BH261" s="40">
        <f>IF(BG261=1,BC261,"")</f>
        <v/>
      </c>
      <c r="BI261" s="38">
        <f>IF(ISNUMBER(AY261),ROW(),0)</f>
        <v/>
      </c>
      <c r="BJ261" s="43">
        <f>IF(ISNUMBER(BC261),SUM(BC$5:BC261)*10000,NA())</f>
        <v/>
      </c>
      <c r="BK261" s="43">
        <f>IF(BG261=1,SUM(BH$5:BH261)*10000,NA())</f>
        <v/>
      </c>
      <c r="BL261" s="44">
        <f>IF(ISNUMBER(AY261),AY261,NA())</f>
        <v/>
      </c>
    </row>
    <row r="262">
      <c r="A262" s="36">
        <f>IF(Datos!A262="","",Datos!A262)</f>
        <v/>
      </c>
      <c r="B262" s="37">
        <f>IF(OR($A262="",NOT(ISNUMBER(Datos!B262)),NOT(ISNUMBER(Datos!B261))),"",Datos!B262/Datos!B261-1)</f>
        <v/>
      </c>
      <c r="C262" s="37">
        <f>IF(OR($A262="",NOT(ISNUMBER(Datos!C262)),NOT(ISNUMBER(Datos!C261))),"",Datos!C262/Datos!C261-1)</f>
        <v/>
      </c>
      <c r="D262" s="37">
        <f>IF(OR($A262="",NOT(ISNUMBER(Datos!D262)),NOT(ISNUMBER(Datos!D261))),"",Datos!D262/Datos!D261-1)</f>
        <v/>
      </c>
      <c r="E262" s="37">
        <f>IF(OR($A262="",NOT(ISNUMBER(Datos!E262)),NOT(ISNUMBER(Datos!E261))),"",Datos!E262/Datos!E261-1)</f>
        <v/>
      </c>
      <c r="F262" s="38">
        <f>IF($A262="","",COUNT(B262:E262))</f>
        <v/>
      </c>
      <c r="G262" s="37">
        <f>IF($A262="","",IF(F262&gt;=MIN_BANCOS,AVERAGE(B262:E262),""))</f>
        <v/>
      </c>
      <c r="H262" s="37">
        <f>IF(OR($A262="",NOT(ISNUMBER(Datos!F262)),NOT(ISNUMBER(Datos!F261))),"",Datos!F262/Datos!F261-1)</f>
        <v/>
      </c>
      <c r="I262" s="39">
        <f>IF($A262="","",IF(ISNUMBER(Datos!G262),Datos!G262,I261))</f>
        <v/>
      </c>
      <c r="J262" s="40">
        <f>IF($A262="","",IF(ISNUMBER(I261),LN(1+I261/100/12),0))</f>
        <v/>
      </c>
      <c r="K262" s="40">
        <f>IF(ISNUMBER(G262),LN(1+G262)-J262,"")</f>
        <v/>
      </c>
      <c r="L262" s="40">
        <f>IF(ISNUMBER(H262),LN(1+H262)-J262,"")</f>
        <v/>
      </c>
      <c r="M262" s="38">
        <f>IF(ISNUMBER(K262),1,0)</f>
        <v/>
      </c>
      <c r="N262" s="40">
        <f>IF(M262=1,K262,0)</f>
        <v/>
      </c>
      <c r="O262" s="38">
        <f>IF(ISNUMBER(L262),1,0)</f>
        <v/>
      </c>
      <c r="P262" s="40">
        <f>IF(O262=1,L262,0)</f>
        <v/>
      </c>
      <c r="Q262" s="38">
        <f>M262*O262</f>
        <v/>
      </c>
      <c r="R262" s="38">
        <f>SUM(Q226:Q261)</f>
        <v/>
      </c>
      <c r="S262" s="41">
        <f>IF(OR($A262="",R262&lt;MIN_OBS_ROLL),"",(SUMPRODUCT(Q226:Q261,N226:N261,P226:P261)/R262-SUMPRODUCT(Q226:Q261,N226:N261)/R262*SUMPRODUCT(Q226:Q261,P226:P261)/R262)*R262/(R262-1))</f>
        <v/>
      </c>
      <c r="T262" s="38">
        <f>SUM(O226:O261)</f>
        <v/>
      </c>
      <c r="U262" s="41">
        <f>IF(OR($A262="",T262&lt;MIN_OBS_ROLL),"",SUMPRODUCT(O226:O261,(P226:P261-SUMPRODUCT(O226:O261,P226:P261)/T262)^2)/(T262-1))</f>
        <v/>
      </c>
      <c r="V262" s="40">
        <f>IF(OR(S262="",U262=""),"",S262/U262)</f>
        <v/>
      </c>
      <c r="W262" s="40">
        <f>IF(AND(ISNUMBER(K262),ISNUMBER(L262),ISNUMBER(V262)),K262-V262*L262,"")</f>
        <v/>
      </c>
      <c r="X262" s="40">
        <f>IF(OR($A262="",NOT(ISNUMBER(Datos!H262)),NOT(ISNUMBER(Datos!H261))),"",LN(Datos!H262)-LN(Datos!H261))</f>
        <v/>
      </c>
      <c r="Y262" s="38">
        <f>IF(ISNUMBER(W262),1,0)</f>
        <v/>
      </c>
      <c r="Z262" s="40">
        <f>IF(Y262=1,W262,0)</f>
        <v/>
      </c>
      <c r="AA262" s="38">
        <f>IF(ISNUMBER(X262),1,0)</f>
        <v/>
      </c>
      <c r="AB262" s="40">
        <f>IF(AA262=1,X262,0)</f>
        <v/>
      </c>
      <c r="AC262" s="38">
        <f>Y262*AA262</f>
        <v/>
      </c>
      <c r="AD262" s="38">
        <f>SUM(AC226:AC261)</f>
        <v/>
      </c>
      <c r="AE262" s="41">
        <f>IF(OR($A262="",AD262&lt;MIN_OBS_ROLL),"",(SUMPRODUCT(AC226:AC261,Z226:Z261,AB226:AB261)/AD262-SUMPRODUCT(AC226:AC261,Z226:Z261)/AD262*SUMPRODUCT(AC226:AC261,AB226:AB261)/AD262)*AD262/(AD262-1))</f>
        <v/>
      </c>
      <c r="AF262" s="38">
        <f>SUM(AA226:AA261)</f>
        <v/>
      </c>
      <c r="AG262" s="41">
        <f>IF(OR($A262="",AF262&lt;MIN_OBS_ROLL),"",SUMPRODUCT(AA226:AA261,(AB226:AB261-SUMPRODUCT(AA226:AA261,AB226:AB261)/AF262)^2)/(AF262-1))</f>
        <v/>
      </c>
      <c r="AH262" s="38">
        <f>SUM(Y226:Y261)</f>
        <v/>
      </c>
      <c r="AI262" s="40">
        <f>IF(OR($A262="",AH262&lt;MIN_OBS_ROLL),"",SUMPRODUCT(Y226:Y261,Z226:Z261)/AH262)</f>
        <v/>
      </c>
      <c r="AJ262" s="40">
        <f>IF(OR($A262="",AF262&lt;MIN_OBS_ROLL),"",SUMPRODUCT(AA226:AA261,AB226:AB261)/AF262)</f>
        <v/>
      </c>
      <c r="AK262" s="40">
        <f>IF(OR(AE262="",AG262=""),"",AE262/AG262)</f>
        <v/>
      </c>
      <c r="AL262" s="40">
        <f>IF(OR(AI262="",AK262="",AJ262=""),"",AI262-AK262*AJ262)</f>
        <v/>
      </c>
      <c r="AM262" s="40">
        <f>IF(AND(ISNUMBER(W262),ISNUMBER(X262),ISNUMBER(AK262),ISNUMBER(AL262)),W262-(AL262+AK262*X262),"")</f>
        <v/>
      </c>
      <c r="AN262" s="38">
        <f>IF(ISNUMBER(AM262),1,0)</f>
        <v/>
      </c>
      <c r="AO262" s="40">
        <f>IF(AN262=1,AM262,0)</f>
        <v/>
      </c>
      <c r="AP262" s="40">
        <f>IF(SUM(AN260:AN262)=3,SUM(AO260:AO262),"")</f>
        <v/>
      </c>
      <c r="AQ262" s="38">
        <f>IF(ISNUMBER(AP262),1,0)</f>
        <v/>
      </c>
      <c r="AR262" s="40">
        <f>IF(AQ262=1,AP262,0)</f>
        <v/>
      </c>
      <c r="AS262" s="38">
        <f>SUM(AQ$5:AQ262)</f>
        <v/>
      </c>
      <c r="AT262" s="40">
        <f>IF(AS262&gt;=MIN_OBS_Z,SUMPRODUCT(AQ$5:AQ262,AR$5:AR262)/AS262,"")</f>
        <v/>
      </c>
      <c r="AU262" s="40">
        <f>IF(AS262&gt;=MIN_OBS_Z,SQRT(SUMPRODUCT(AQ$5:AQ262,(AR$5:AR262-AT262)^2)/(AS262-1)),"")</f>
        <v/>
      </c>
      <c r="AV262" s="40">
        <f>IF(AND(AQ262=1,ISNUMBER(AT262)),MAX(-Z_CLIP,MIN(Z_CLIP,(AR262-AT262)/AU262)),"")</f>
        <v/>
      </c>
      <c r="AW262" s="40">
        <f>IF(ISNUMBER(AV262),-AV262,"")</f>
        <v/>
      </c>
      <c r="AX262" s="40">
        <f>IF(ISNUMBER(AW262),1+AMPLITUD*TANH(AW262),"")</f>
        <v/>
      </c>
      <c r="AY262" s="40">
        <f>IF($A262="","",IF(COUNT(AX260:AX262)&gt;0,AVERAGE(AX260:AX262),""))</f>
        <v/>
      </c>
      <c r="AZ262" s="40">
        <f>IF(ISNUMBER(AY262),AY262-1,"")</f>
        <v/>
      </c>
      <c r="BA262" s="40">
        <f>IF(AND(ISNUMBER(AZ261),ISNUMBER(W262)),AZ261*W_BANCOS*W262,"")</f>
        <v/>
      </c>
      <c r="BB262" s="40">
        <f>IF(AND(ISNUMBER(AZ261),ISNUMBER(AZ260)),ABS(AZ261-AZ260)*W_BANCOS*COSTO,0)</f>
        <v/>
      </c>
      <c r="BC262" s="40">
        <f>IF(ISNUMBER(BA262),BA262-BB262,"")</f>
        <v/>
      </c>
      <c r="BD262" s="42">
        <f>IF(ISNUMBER(BC262),IF(A262&lt;=FECHA_ERA,"A","B"),"")</f>
        <v/>
      </c>
      <c r="BE262" s="40">
        <f>IF(BD262="A",BC262,"")</f>
        <v/>
      </c>
      <c r="BF262" s="40">
        <f>IF(BD262="B",BC262,"")</f>
        <v/>
      </c>
      <c r="BG262" s="38">
        <f>IF(AND(ISNUMBER(BC262),ISNUMBER(A262)),IF(A262&gt;=INICIO_VIVO,1,0),0)</f>
        <v/>
      </c>
      <c r="BH262" s="40">
        <f>IF(BG262=1,BC262,"")</f>
        <v/>
      </c>
      <c r="BI262" s="38">
        <f>IF(ISNUMBER(AY262),ROW(),0)</f>
        <v/>
      </c>
      <c r="BJ262" s="43">
        <f>IF(ISNUMBER(BC262),SUM(BC$5:BC262)*10000,NA())</f>
        <v/>
      </c>
      <c r="BK262" s="43">
        <f>IF(BG262=1,SUM(BH$5:BH262)*10000,NA())</f>
        <v/>
      </c>
      <c r="BL262" s="44">
        <f>IF(ISNUMBER(AY262),AY262,NA())</f>
        <v/>
      </c>
    </row>
    <row r="263">
      <c r="A263" s="36">
        <f>IF(Datos!A263="","",Datos!A263)</f>
        <v/>
      </c>
      <c r="B263" s="37">
        <f>IF(OR($A263="",NOT(ISNUMBER(Datos!B263)),NOT(ISNUMBER(Datos!B262))),"",Datos!B263/Datos!B262-1)</f>
        <v/>
      </c>
      <c r="C263" s="37">
        <f>IF(OR($A263="",NOT(ISNUMBER(Datos!C263)),NOT(ISNUMBER(Datos!C262))),"",Datos!C263/Datos!C262-1)</f>
        <v/>
      </c>
      <c r="D263" s="37">
        <f>IF(OR($A263="",NOT(ISNUMBER(Datos!D263)),NOT(ISNUMBER(Datos!D262))),"",Datos!D263/Datos!D262-1)</f>
        <v/>
      </c>
      <c r="E263" s="37">
        <f>IF(OR($A263="",NOT(ISNUMBER(Datos!E263)),NOT(ISNUMBER(Datos!E262))),"",Datos!E263/Datos!E262-1)</f>
        <v/>
      </c>
      <c r="F263" s="38">
        <f>IF($A263="","",COUNT(B263:E263))</f>
        <v/>
      </c>
      <c r="G263" s="37">
        <f>IF($A263="","",IF(F263&gt;=MIN_BANCOS,AVERAGE(B263:E263),""))</f>
        <v/>
      </c>
      <c r="H263" s="37">
        <f>IF(OR($A263="",NOT(ISNUMBER(Datos!F263)),NOT(ISNUMBER(Datos!F262))),"",Datos!F263/Datos!F262-1)</f>
        <v/>
      </c>
      <c r="I263" s="39">
        <f>IF($A263="","",IF(ISNUMBER(Datos!G263),Datos!G263,I262))</f>
        <v/>
      </c>
      <c r="J263" s="40">
        <f>IF($A263="","",IF(ISNUMBER(I262),LN(1+I262/100/12),0))</f>
        <v/>
      </c>
      <c r="K263" s="40">
        <f>IF(ISNUMBER(G263),LN(1+G263)-J263,"")</f>
        <v/>
      </c>
      <c r="L263" s="40">
        <f>IF(ISNUMBER(H263),LN(1+H263)-J263,"")</f>
        <v/>
      </c>
      <c r="M263" s="38">
        <f>IF(ISNUMBER(K263),1,0)</f>
        <v/>
      </c>
      <c r="N263" s="40">
        <f>IF(M263=1,K263,0)</f>
        <v/>
      </c>
      <c r="O263" s="38">
        <f>IF(ISNUMBER(L263),1,0)</f>
        <v/>
      </c>
      <c r="P263" s="40">
        <f>IF(O263=1,L263,0)</f>
        <v/>
      </c>
      <c r="Q263" s="38">
        <f>M263*O263</f>
        <v/>
      </c>
      <c r="R263" s="38">
        <f>SUM(Q227:Q262)</f>
        <v/>
      </c>
      <c r="S263" s="41">
        <f>IF(OR($A263="",R263&lt;MIN_OBS_ROLL),"",(SUMPRODUCT(Q227:Q262,N227:N262,P227:P262)/R263-SUMPRODUCT(Q227:Q262,N227:N262)/R263*SUMPRODUCT(Q227:Q262,P227:P262)/R263)*R263/(R263-1))</f>
        <v/>
      </c>
      <c r="T263" s="38">
        <f>SUM(O227:O262)</f>
        <v/>
      </c>
      <c r="U263" s="41">
        <f>IF(OR($A263="",T263&lt;MIN_OBS_ROLL),"",SUMPRODUCT(O227:O262,(P227:P262-SUMPRODUCT(O227:O262,P227:P262)/T263)^2)/(T263-1))</f>
        <v/>
      </c>
      <c r="V263" s="40">
        <f>IF(OR(S263="",U263=""),"",S263/U263)</f>
        <v/>
      </c>
      <c r="W263" s="40">
        <f>IF(AND(ISNUMBER(K263),ISNUMBER(L263),ISNUMBER(V263)),K263-V263*L263,"")</f>
        <v/>
      </c>
      <c r="X263" s="40">
        <f>IF(OR($A263="",NOT(ISNUMBER(Datos!H263)),NOT(ISNUMBER(Datos!H262))),"",LN(Datos!H263)-LN(Datos!H262))</f>
        <v/>
      </c>
      <c r="Y263" s="38">
        <f>IF(ISNUMBER(W263),1,0)</f>
        <v/>
      </c>
      <c r="Z263" s="40">
        <f>IF(Y263=1,W263,0)</f>
        <v/>
      </c>
      <c r="AA263" s="38">
        <f>IF(ISNUMBER(X263),1,0)</f>
        <v/>
      </c>
      <c r="AB263" s="40">
        <f>IF(AA263=1,X263,0)</f>
        <v/>
      </c>
      <c r="AC263" s="38">
        <f>Y263*AA263</f>
        <v/>
      </c>
      <c r="AD263" s="38">
        <f>SUM(AC227:AC262)</f>
        <v/>
      </c>
      <c r="AE263" s="41">
        <f>IF(OR($A263="",AD263&lt;MIN_OBS_ROLL),"",(SUMPRODUCT(AC227:AC262,Z227:Z262,AB227:AB262)/AD263-SUMPRODUCT(AC227:AC262,Z227:Z262)/AD263*SUMPRODUCT(AC227:AC262,AB227:AB262)/AD263)*AD263/(AD263-1))</f>
        <v/>
      </c>
      <c r="AF263" s="38">
        <f>SUM(AA227:AA262)</f>
        <v/>
      </c>
      <c r="AG263" s="41">
        <f>IF(OR($A263="",AF263&lt;MIN_OBS_ROLL),"",SUMPRODUCT(AA227:AA262,(AB227:AB262-SUMPRODUCT(AA227:AA262,AB227:AB262)/AF263)^2)/(AF263-1))</f>
        <v/>
      </c>
      <c r="AH263" s="38">
        <f>SUM(Y227:Y262)</f>
        <v/>
      </c>
      <c r="AI263" s="40">
        <f>IF(OR($A263="",AH263&lt;MIN_OBS_ROLL),"",SUMPRODUCT(Y227:Y262,Z227:Z262)/AH263)</f>
        <v/>
      </c>
      <c r="AJ263" s="40">
        <f>IF(OR($A263="",AF263&lt;MIN_OBS_ROLL),"",SUMPRODUCT(AA227:AA262,AB227:AB262)/AF263)</f>
        <v/>
      </c>
      <c r="AK263" s="40">
        <f>IF(OR(AE263="",AG263=""),"",AE263/AG263)</f>
        <v/>
      </c>
      <c r="AL263" s="40">
        <f>IF(OR(AI263="",AK263="",AJ263=""),"",AI263-AK263*AJ263)</f>
        <v/>
      </c>
      <c r="AM263" s="40">
        <f>IF(AND(ISNUMBER(W263),ISNUMBER(X263),ISNUMBER(AK263),ISNUMBER(AL263)),W263-(AL263+AK263*X263),"")</f>
        <v/>
      </c>
      <c r="AN263" s="38">
        <f>IF(ISNUMBER(AM263),1,0)</f>
        <v/>
      </c>
      <c r="AO263" s="40">
        <f>IF(AN263=1,AM263,0)</f>
        <v/>
      </c>
      <c r="AP263" s="40">
        <f>IF(SUM(AN261:AN263)=3,SUM(AO261:AO263),"")</f>
        <v/>
      </c>
      <c r="AQ263" s="38">
        <f>IF(ISNUMBER(AP263),1,0)</f>
        <v/>
      </c>
      <c r="AR263" s="40">
        <f>IF(AQ263=1,AP263,0)</f>
        <v/>
      </c>
      <c r="AS263" s="38">
        <f>SUM(AQ$5:AQ263)</f>
        <v/>
      </c>
      <c r="AT263" s="40">
        <f>IF(AS263&gt;=MIN_OBS_Z,SUMPRODUCT(AQ$5:AQ263,AR$5:AR263)/AS263,"")</f>
        <v/>
      </c>
      <c r="AU263" s="40">
        <f>IF(AS263&gt;=MIN_OBS_Z,SQRT(SUMPRODUCT(AQ$5:AQ263,(AR$5:AR263-AT263)^2)/(AS263-1)),"")</f>
        <v/>
      </c>
      <c r="AV263" s="40">
        <f>IF(AND(AQ263=1,ISNUMBER(AT263)),MAX(-Z_CLIP,MIN(Z_CLIP,(AR263-AT263)/AU263)),"")</f>
        <v/>
      </c>
      <c r="AW263" s="40">
        <f>IF(ISNUMBER(AV263),-AV263,"")</f>
        <v/>
      </c>
      <c r="AX263" s="40">
        <f>IF(ISNUMBER(AW263),1+AMPLITUD*TANH(AW263),"")</f>
        <v/>
      </c>
      <c r="AY263" s="40">
        <f>IF($A263="","",IF(COUNT(AX261:AX263)&gt;0,AVERAGE(AX261:AX263),""))</f>
        <v/>
      </c>
      <c r="AZ263" s="40">
        <f>IF(ISNUMBER(AY263),AY263-1,"")</f>
        <v/>
      </c>
      <c r="BA263" s="40">
        <f>IF(AND(ISNUMBER(AZ262),ISNUMBER(W263)),AZ262*W_BANCOS*W263,"")</f>
        <v/>
      </c>
      <c r="BB263" s="40">
        <f>IF(AND(ISNUMBER(AZ262),ISNUMBER(AZ261)),ABS(AZ262-AZ261)*W_BANCOS*COSTO,0)</f>
        <v/>
      </c>
      <c r="BC263" s="40">
        <f>IF(ISNUMBER(BA263),BA263-BB263,"")</f>
        <v/>
      </c>
      <c r="BD263" s="42">
        <f>IF(ISNUMBER(BC263),IF(A263&lt;=FECHA_ERA,"A","B"),"")</f>
        <v/>
      </c>
      <c r="BE263" s="40">
        <f>IF(BD263="A",BC263,"")</f>
        <v/>
      </c>
      <c r="BF263" s="40">
        <f>IF(BD263="B",BC263,"")</f>
        <v/>
      </c>
      <c r="BG263" s="38">
        <f>IF(AND(ISNUMBER(BC263),ISNUMBER(A263)),IF(A263&gt;=INICIO_VIVO,1,0),0)</f>
        <v/>
      </c>
      <c r="BH263" s="40">
        <f>IF(BG263=1,BC263,"")</f>
        <v/>
      </c>
      <c r="BI263" s="38">
        <f>IF(ISNUMBER(AY263),ROW(),0)</f>
        <v/>
      </c>
      <c r="BJ263" s="43">
        <f>IF(ISNUMBER(BC263),SUM(BC$5:BC263)*10000,NA())</f>
        <v/>
      </c>
      <c r="BK263" s="43">
        <f>IF(BG263=1,SUM(BH$5:BH263)*10000,NA())</f>
        <v/>
      </c>
      <c r="BL263" s="44">
        <f>IF(ISNUMBER(AY263),AY263,NA())</f>
        <v/>
      </c>
    </row>
    <row r="264">
      <c r="A264" s="36">
        <f>IF(Datos!A264="","",Datos!A264)</f>
        <v/>
      </c>
      <c r="B264" s="37">
        <f>IF(OR($A264="",NOT(ISNUMBER(Datos!B264)),NOT(ISNUMBER(Datos!B263))),"",Datos!B264/Datos!B263-1)</f>
        <v/>
      </c>
      <c r="C264" s="37">
        <f>IF(OR($A264="",NOT(ISNUMBER(Datos!C264)),NOT(ISNUMBER(Datos!C263))),"",Datos!C264/Datos!C263-1)</f>
        <v/>
      </c>
      <c r="D264" s="37">
        <f>IF(OR($A264="",NOT(ISNUMBER(Datos!D264)),NOT(ISNUMBER(Datos!D263))),"",Datos!D264/Datos!D263-1)</f>
        <v/>
      </c>
      <c r="E264" s="37">
        <f>IF(OR($A264="",NOT(ISNUMBER(Datos!E264)),NOT(ISNUMBER(Datos!E263))),"",Datos!E264/Datos!E263-1)</f>
        <v/>
      </c>
      <c r="F264" s="38">
        <f>IF($A264="","",COUNT(B264:E264))</f>
        <v/>
      </c>
      <c r="G264" s="37">
        <f>IF($A264="","",IF(F264&gt;=MIN_BANCOS,AVERAGE(B264:E264),""))</f>
        <v/>
      </c>
      <c r="H264" s="37">
        <f>IF(OR($A264="",NOT(ISNUMBER(Datos!F264)),NOT(ISNUMBER(Datos!F263))),"",Datos!F264/Datos!F263-1)</f>
        <v/>
      </c>
      <c r="I264" s="39">
        <f>IF($A264="","",IF(ISNUMBER(Datos!G264),Datos!G264,I263))</f>
        <v/>
      </c>
      <c r="J264" s="40">
        <f>IF($A264="","",IF(ISNUMBER(I263),LN(1+I263/100/12),0))</f>
        <v/>
      </c>
      <c r="K264" s="40">
        <f>IF(ISNUMBER(G264),LN(1+G264)-J264,"")</f>
        <v/>
      </c>
      <c r="L264" s="40">
        <f>IF(ISNUMBER(H264),LN(1+H264)-J264,"")</f>
        <v/>
      </c>
      <c r="M264" s="38">
        <f>IF(ISNUMBER(K264),1,0)</f>
        <v/>
      </c>
      <c r="N264" s="40">
        <f>IF(M264=1,K264,0)</f>
        <v/>
      </c>
      <c r="O264" s="38">
        <f>IF(ISNUMBER(L264),1,0)</f>
        <v/>
      </c>
      <c r="P264" s="40">
        <f>IF(O264=1,L264,0)</f>
        <v/>
      </c>
      <c r="Q264" s="38">
        <f>M264*O264</f>
        <v/>
      </c>
      <c r="R264" s="38">
        <f>SUM(Q228:Q263)</f>
        <v/>
      </c>
      <c r="S264" s="41">
        <f>IF(OR($A264="",R264&lt;MIN_OBS_ROLL),"",(SUMPRODUCT(Q228:Q263,N228:N263,P228:P263)/R264-SUMPRODUCT(Q228:Q263,N228:N263)/R264*SUMPRODUCT(Q228:Q263,P228:P263)/R264)*R264/(R264-1))</f>
        <v/>
      </c>
      <c r="T264" s="38">
        <f>SUM(O228:O263)</f>
        <v/>
      </c>
      <c r="U264" s="41">
        <f>IF(OR($A264="",T264&lt;MIN_OBS_ROLL),"",SUMPRODUCT(O228:O263,(P228:P263-SUMPRODUCT(O228:O263,P228:P263)/T264)^2)/(T264-1))</f>
        <v/>
      </c>
      <c r="V264" s="40">
        <f>IF(OR(S264="",U264=""),"",S264/U264)</f>
        <v/>
      </c>
      <c r="W264" s="40">
        <f>IF(AND(ISNUMBER(K264),ISNUMBER(L264),ISNUMBER(V264)),K264-V264*L264,"")</f>
        <v/>
      </c>
      <c r="X264" s="40">
        <f>IF(OR($A264="",NOT(ISNUMBER(Datos!H264)),NOT(ISNUMBER(Datos!H263))),"",LN(Datos!H264)-LN(Datos!H263))</f>
        <v/>
      </c>
      <c r="Y264" s="38">
        <f>IF(ISNUMBER(W264),1,0)</f>
        <v/>
      </c>
      <c r="Z264" s="40">
        <f>IF(Y264=1,W264,0)</f>
        <v/>
      </c>
      <c r="AA264" s="38">
        <f>IF(ISNUMBER(X264),1,0)</f>
        <v/>
      </c>
      <c r="AB264" s="40">
        <f>IF(AA264=1,X264,0)</f>
        <v/>
      </c>
      <c r="AC264" s="38">
        <f>Y264*AA264</f>
        <v/>
      </c>
      <c r="AD264" s="38">
        <f>SUM(AC228:AC263)</f>
        <v/>
      </c>
      <c r="AE264" s="41">
        <f>IF(OR($A264="",AD264&lt;MIN_OBS_ROLL),"",(SUMPRODUCT(AC228:AC263,Z228:Z263,AB228:AB263)/AD264-SUMPRODUCT(AC228:AC263,Z228:Z263)/AD264*SUMPRODUCT(AC228:AC263,AB228:AB263)/AD264)*AD264/(AD264-1))</f>
        <v/>
      </c>
      <c r="AF264" s="38">
        <f>SUM(AA228:AA263)</f>
        <v/>
      </c>
      <c r="AG264" s="41">
        <f>IF(OR($A264="",AF264&lt;MIN_OBS_ROLL),"",SUMPRODUCT(AA228:AA263,(AB228:AB263-SUMPRODUCT(AA228:AA263,AB228:AB263)/AF264)^2)/(AF264-1))</f>
        <v/>
      </c>
      <c r="AH264" s="38">
        <f>SUM(Y228:Y263)</f>
        <v/>
      </c>
      <c r="AI264" s="40">
        <f>IF(OR($A264="",AH264&lt;MIN_OBS_ROLL),"",SUMPRODUCT(Y228:Y263,Z228:Z263)/AH264)</f>
        <v/>
      </c>
      <c r="AJ264" s="40">
        <f>IF(OR($A264="",AF264&lt;MIN_OBS_ROLL),"",SUMPRODUCT(AA228:AA263,AB228:AB263)/AF264)</f>
        <v/>
      </c>
      <c r="AK264" s="40">
        <f>IF(OR(AE264="",AG264=""),"",AE264/AG264)</f>
        <v/>
      </c>
      <c r="AL264" s="40">
        <f>IF(OR(AI264="",AK264="",AJ264=""),"",AI264-AK264*AJ264)</f>
        <v/>
      </c>
      <c r="AM264" s="40">
        <f>IF(AND(ISNUMBER(W264),ISNUMBER(X264),ISNUMBER(AK264),ISNUMBER(AL264)),W264-(AL264+AK264*X264),"")</f>
        <v/>
      </c>
      <c r="AN264" s="38">
        <f>IF(ISNUMBER(AM264),1,0)</f>
        <v/>
      </c>
      <c r="AO264" s="40">
        <f>IF(AN264=1,AM264,0)</f>
        <v/>
      </c>
      <c r="AP264" s="40">
        <f>IF(SUM(AN262:AN264)=3,SUM(AO262:AO264),"")</f>
        <v/>
      </c>
      <c r="AQ264" s="38">
        <f>IF(ISNUMBER(AP264),1,0)</f>
        <v/>
      </c>
      <c r="AR264" s="40">
        <f>IF(AQ264=1,AP264,0)</f>
        <v/>
      </c>
      <c r="AS264" s="38">
        <f>SUM(AQ$5:AQ264)</f>
        <v/>
      </c>
      <c r="AT264" s="40">
        <f>IF(AS264&gt;=MIN_OBS_Z,SUMPRODUCT(AQ$5:AQ264,AR$5:AR264)/AS264,"")</f>
        <v/>
      </c>
      <c r="AU264" s="40">
        <f>IF(AS264&gt;=MIN_OBS_Z,SQRT(SUMPRODUCT(AQ$5:AQ264,(AR$5:AR264-AT264)^2)/(AS264-1)),"")</f>
        <v/>
      </c>
      <c r="AV264" s="40">
        <f>IF(AND(AQ264=1,ISNUMBER(AT264)),MAX(-Z_CLIP,MIN(Z_CLIP,(AR264-AT264)/AU264)),"")</f>
        <v/>
      </c>
      <c r="AW264" s="40">
        <f>IF(ISNUMBER(AV264),-AV264,"")</f>
        <v/>
      </c>
      <c r="AX264" s="40">
        <f>IF(ISNUMBER(AW264),1+AMPLITUD*TANH(AW264),"")</f>
        <v/>
      </c>
      <c r="AY264" s="40">
        <f>IF($A264="","",IF(COUNT(AX262:AX264)&gt;0,AVERAGE(AX262:AX264),""))</f>
        <v/>
      </c>
      <c r="AZ264" s="40">
        <f>IF(ISNUMBER(AY264),AY264-1,"")</f>
        <v/>
      </c>
      <c r="BA264" s="40">
        <f>IF(AND(ISNUMBER(AZ263),ISNUMBER(W264)),AZ263*W_BANCOS*W264,"")</f>
        <v/>
      </c>
      <c r="BB264" s="40">
        <f>IF(AND(ISNUMBER(AZ263),ISNUMBER(AZ262)),ABS(AZ263-AZ262)*W_BANCOS*COSTO,0)</f>
        <v/>
      </c>
      <c r="BC264" s="40">
        <f>IF(ISNUMBER(BA264),BA264-BB264,"")</f>
        <v/>
      </c>
      <c r="BD264" s="42">
        <f>IF(ISNUMBER(BC264),IF(A264&lt;=FECHA_ERA,"A","B"),"")</f>
        <v/>
      </c>
      <c r="BE264" s="40">
        <f>IF(BD264="A",BC264,"")</f>
        <v/>
      </c>
      <c r="BF264" s="40">
        <f>IF(BD264="B",BC264,"")</f>
        <v/>
      </c>
      <c r="BG264" s="38">
        <f>IF(AND(ISNUMBER(BC264),ISNUMBER(A264)),IF(A264&gt;=INICIO_VIVO,1,0),0)</f>
        <v/>
      </c>
      <c r="BH264" s="40">
        <f>IF(BG264=1,BC264,"")</f>
        <v/>
      </c>
      <c r="BI264" s="38">
        <f>IF(ISNUMBER(AY264),ROW(),0)</f>
        <v/>
      </c>
      <c r="BJ264" s="43">
        <f>IF(ISNUMBER(BC264),SUM(BC$5:BC264)*10000,NA())</f>
        <v/>
      </c>
      <c r="BK264" s="43">
        <f>IF(BG264=1,SUM(BH$5:BH264)*10000,NA())</f>
        <v/>
      </c>
      <c r="BL264" s="44">
        <f>IF(ISNUMBER(AY264),AY264,NA())</f>
        <v/>
      </c>
    </row>
    <row r="265">
      <c r="A265" s="36">
        <f>IF(Datos!A265="","",Datos!A265)</f>
        <v/>
      </c>
      <c r="B265" s="37">
        <f>IF(OR($A265="",NOT(ISNUMBER(Datos!B265)),NOT(ISNUMBER(Datos!B264))),"",Datos!B265/Datos!B264-1)</f>
        <v/>
      </c>
      <c r="C265" s="37">
        <f>IF(OR($A265="",NOT(ISNUMBER(Datos!C265)),NOT(ISNUMBER(Datos!C264))),"",Datos!C265/Datos!C264-1)</f>
        <v/>
      </c>
      <c r="D265" s="37">
        <f>IF(OR($A265="",NOT(ISNUMBER(Datos!D265)),NOT(ISNUMBER(Datos!D264))),"",Datos!D265/Datos!D264-1)</f>
        <v/>
      </c>
      <c r="E265" s="37">
        <f>IF(OR($A265="",NOT(ISNUMBER(Datos!E265)),NOT(ISNUMBER(Datos!E264))),"",Datos!E265/Datos!E264-1)</f>
        <v/>
      </c>
      <c r="F265" s="38">
        <f>IF($A265="","",COUNT(B265:E265))</f>
        <v/>
      </c>
      <c r="G265" s="37">
        <f>IF($A265="","",IF(F265&gt;=MIN_BANCOS,AVERAGE(B265:E265),""))</f>
        <v/>
      </c>
      <c r="H265" s="37">
        <f>IF(OR($A265="",NOT(ISNUMBER(Datos!F265)),NOT(ISNUMBER(Datos!F264))),"",Datos!F265/Datos!F264-1)</f>
        <v/>
      </c>
      <c r="I265" s="39">
        <f>IF($A265="","",IF(ISNUMBER(Datos!G265),Datos!G265,I264))</f>
        <v/>
      </c>
      <c r="J265" s="40">
        <f>IF($A265="","",IF(ISNUMBER(I264),LN(1+I264/100/12),0))</f>
        <v/>
      </c>
      <c r="K265" s="40">
        <f>IF(ISNUMBER(G265),LN(1+G265)-J265,"")</f>
        <v/>
      </c>
      <c r="L265" s="40">
        <f>IF(ISNUMBER(H265),LN(1+H265)-J265,"")</f>
        <v/>
      </c>
      <c r="M265" s="38">
        <f>IF(ISNUMBER(K265),1,0)</f>
        <v/>
      </c>
      <c r="N265" s="40">
        <f>IF(M265=1,K265,0)</f>
        <v/>
      </c>
      <c r="O265" s="38">
        <f>IF(ISNUMBER(L265),1,0)</f>
        <v/>
      </c>
      <c r="P265" s="40">
        <f>IF(O265=1,L265,0)</f>
        <v/>
      </c>
      <c r="Q265" s="38">
        <f>M265*O265</f>
        <v/>
      </c>
      <c r="R265" s="38">
        <f>SUM(Q229:Q264)</f>
        <v/>
      </c>
      <c r="S265" s="41">
        <f>IF(OR($A265="",R265&lt;MIN_OBS_ROLL),"",(SUMPRODUCT(Q229:Q264,N229:N264,P229:P264)/R265-SUMPRODUCT(Q229:Q264,N229:N264)/R265*SUMPRODUCT(Q229:Q264,P229:P264)/R265)*R265/(R265-1))</f>
        <v/>
      </c>
      <c r="T265" s="38">
        <f>SUM(O229:O264)</f>
        <v/>
      </c>
      <c r="U265" s="41">
        <f>IF(OR($A265="",T265&lt;MIN_OBS_ROLL),"",SUMPRODUCT(O229:O264,(P229:P264-SUMPRODUCT(O229:O264,P229:P264)/T265)^2)/(T265-1))</f>
        <v/>
      </c>
      <c r="V265" s="40">
        <f>IF(OR(S265="",U265=""),"",S265/U265)</f>
        <v/>
      </c>
      <c r="W265" s="40">
        <f>IF(AND(ISNUMBER(K265),ISNUMBER(L265),ISNUMBER(V265)),K265-V265*L265,"")</f>
        <v/>
      </c>
      <c r="X265" s="40">
        <f>IF(OR($A265="",NOT(ISNUMBER(Datos!H265)),NOT(ISNUMBER(Datos!H264))),"",LN(Datos!H265)-LN(Datos!H264))</f>
        <v/>
      </c>
      <c r="Y265" s="38">
        <f>IF(ISNUMBER(W265),1,0)</f>
        <v/>
      </c>
      <c r="Z265" s="40">
        <f>IF(Y265=1,W265,0)</f>
        <v/>
      </c>
      <c r="AA265" s="38">
        <f>IF(ISNUMBER(X265),1,0)</f>
        <v/>
      </c>
      <c r="AB265" s="40">
        <f>IF(AA265=1,X265,0)</f>
        <v/>
      </c>
      <c r="AC265" s="38">
        <f>Y265*AA265</f>
        <v/>
      </c>
      <c r="AD265" s="38">
        <f>SUM(AC229:AC264)</f>
        <v/>
      </c>
      <c r="AE265" s="41">
        <f>IF(OR($A265="",AD265&lt;MIN_OBS_ROLL),"",(SUMPRODUCT(AC229:AC264,Z229:Z264,AB229:AB264)/AD265-SUMPRODUCT(AC229:AC264,Z229:Z264)/AD265*SUMPRODUCT(AC229:AC264,AB229:AB264)/AD265)*AD265/(AD265-1))</f>
        <v/>
      </c>
      <c r="AF265" s="38">
        <f>SUM(AA229:AA264)</f>
        <v/>
      </c>
      <c r="AG265" s="41">
        <f>IF(OR($A265="",AF265&lt;MIN_OBS_ROLL),"",SUMPRODUCT(AA229:AA264,(AB229:AB264-SUMPRODUCT(AA229:AA264,AB229:AB264)/AF265)^2)/(AF265-1))</f>
        <v/>
      </c>
      <c r="AH265" s="38">
        <f>SUM(Y229:Y264)</f>
        <v/>
      </c>
      <c r="AI265" s="40">
        <f>IF(OR($A265="",AH265&lt;MIN_OBS_ROLL),"",SUMPRODUCT(Y229:Y264,Z229:Z264)/AH265)</f>
        <v/>
      </c>
      <c r="AJ265" s="40">
        <f>IF(OR($A265="",AF265&lt;MIN_OBS_ROLL),"",SUMPRODUCT(AA229:AA264,AB229:AB264)/AF265)</f>
        <v/>
      </c>
      <c r="AK265" s="40">
        <f>IF(OR(AE265="",AG265=""),"",AE265/AG265)</f>
        <v/>
      </c>
      <c r="AL265" s="40">
        <f>IF(OR(AI265="",AK265="",AJ265=""),"",AI265-AK265*AJ265)</f>
        <v/>
      </c>
      <c r="AM265" s="40">
        <f>IF(AND(ISNUMBER(W265),ISNUMBER(X265),ISNUMBER(AK265),ISNUMBER(AL265)),W265-(AL265+AK265*X265),"")</f>
        <v/>
      </c>
      <c r="AN265" s="38">
        <f>IF(ISNUMBER(AM265),1,0)</f>
        <v/>
      </c>
      <c r="AO265" s="40">
        <f>IF(AN265=1,AM265,0)</f>
        <v/>
      </c>
      <c r="AP265" s="40">
        <f>IF(SUM(AN263:AN265)=3,SUM(AO263:AO265),"")</f>
        <v/>
      </c>
      <c r="AQ265" s="38">
        <f>IF(ISNUMBER(AP265),1,0)</f>
        <v/>
      </c>
      <c r="AR265" s="40">
        <f>IF(AQ265=1,AP265,0)</f>
        <v/>
      </c>
      <c r="AS265" s="38">
        <f>SUM(AQ$5:AQ265)</f>
        <v/>
      </c>
      <c r="AT265" s="40">
        <f>IF(AS265&gt;=MIN_OBS_Z,SUMPRODUCT(AQ$5:AQ265,AR$5:AR265)/AS265,"")</f>
        <v/>
      </c>
      <c r="AU265" s="40">
        <f>IF(AS265&gt;=MIN_OBS_Z,SQRT(SUMPRODUCT(AQ$5:AQ265,(AR$5:AR265-AT265)^2)/(AS265-1)),"")</f>
        <v/>
      </c>
      <c r="AV265" s="40">
        <f>IF(AND(AQ265=1,ISNUMBER(AT265)),MAX(-Z_CLIP,MIN(Z_CLIP,(AR265-AT265)/AU265)),"")</f>
        <v/>
      </c>
      <c r="AW265" s="40">
        <f>IF(ISNUMBER(AV265),-AV265,"")</f>
        <v/>
      </c>
      <c r="AX265" s="40">
        <f>IF(ISNUMBER(AW265),1+AMPLITUD*TANH(AW265),"")</f>
        <v/>
      </c>
      <c r="AY265" s="40">
        <f>IF($A265="","",IF(COUNT(AX263:AX265)&gt;0,AVERAGE(AX263:AX265),""))</f>
        <v/>
      </c>
      <c r="AZ265" s="40">
        <f>IF(ISNUMBER(AY265),AY265-1,"")</f>
        <v/>
      </c>
      <c r="BA265" s="40">
        <f>IF(AND(ISNUMBER(AZ264),ISNUMBER(W265)),AZ264*W_BANCOS*W265,"")</f>
        <v/>
      </c>
      <c r="BB265" s="40">
        <f>IF(AND(ISNUMBER(AZ264),ISNUMBER(AZ263)),ABS(AZ264-AZ263)*W_BANCOS*COSTO,0)</f>
        <v/>
      </c>
      <c r="BC265" s="40">
        <f>IF(ISNUMBER(BA265),BA265-BB265,"")</f>
        <v/>
      </c>
      <c r="BD265" s="42">
        <f>IF(ISNUMBER(BC265),IF(A265&lt;=FECHA_ERA,"A","B"),"")</f>
        <v/>
      </c>
      <c r="BE265" s="40">
        <f>IF(BD265="A",BC265,"")</f>
        <v/>
      </c>
      <c r="BF265" s="40">
        <f>IF(BD265="B",BC265,"")</f>
        <v/>
      </c>
      <c r="BG265" s="38">
        <f>IF(AND(ISNUMBER(BC265),ISNUMBER(A265)),IF(A265&gt;=INICIO_VIVO,1,0),0)</f>
        <v/>
      </c>
      <c r="BH265" s="40">
        <f>IF(BG265=1,BC265,"")</f>
        <v/>
      </c>
      <c r="BI265" s="38">
        <f>IF(ISNUMBER(AY265),ROW(),0)</f>
        <v/>
      </c>
      <c r="BJ265" s="43">
        <f>IF(ISNUMBER(BC265),SUM(BC$5:BC265)*10000,NA())</f>
        <v/>
      </c>
      <c r="BK265" s="43">
        <f>IF(BG265=1,SUM(BH$5:BH265)*10000,NA())</f>
        <v/>
      </c>
      <c r="BL265" s="44">
        <f>IF(ISNUMBER(AY265),AY265,NA())</f>
        <v/>
      </c>
    </row>
    <row r="266">
      <c r="A266" s="36">
        <f>IF(Datos!A266="","",Datos!A266)</f>
        <v/>
      </c>
      <c r="B266" s="37">
        <f>IF(OR($A266="",NOT(ISNUMBER(Datos!B266)),NOT(ISNUMBER(Datos!B265))),"",Datos!B266/Datos!B265-1)</f>
        <v/>
      </c>
      <c r="C266" s="37">
        <f>IF(OR($A266="",NOT(ISNUMBER(Datos!C266)),NOT(ISNUMBER(Datos!C265))),"",Datos!C266/Datos!C265-1)</f>
        <v/>
      </c>
      <c r="D266" s="37">
        <f>IF(OR($A266="",NOT(ISNUMBER(Datos!D266)),NOT(ISNUMBER(Datos!D265))),"",Datos!D266/Datos!D265-1)</f>
        <v/>
      </c>
      <c r="E266" s="37">
        <f>IF(OR($A266="",NOT(ISNUMBER(Datos!E266)),NOT(ISNUMBER(Datos!E265))),"",Datos!E266/Datos!E265-1)</f>
        <v/>
      </c>
      <c r="F266" s="38">
        <f>IF($A266="","",COUNT(B266:E266))</f>
        <v/>
      </c>
      <c r="G266" s="37">
        <f>IF($A266="","",IF(F266&gt;=MIN_BANCOS,AVERAGE(B266:E266),""))</f>
        <v/>
      </c>
      <c r="H266" s="37">
        <f>IF(OR($A266="",NOT(ISNUMBER(Datos!F266)),NOT(ISNUMBER(Datos!F265))),"",Datos!F266/Datos!F265-1)</f>
        <v/>
      </c>
      <c r="I266" s="39">
        <f>IF($A266="","",IF(ISNUMBER(Datos!G266),Datos!G266,I265))</f>
        <v/>
      </c>
      <c r="J266" s="40">
        <f>IF($A266="","",IF(ISNUMBER(I265),LN(1+I265/100/12),0))</f>
        <v/>
      </c>
      <c r="K266" s="40">
        <f>IF(ISNUMBER(G266),LN(1+G266)-J266,"")</f>
        <v/>
      </c>
      <c r="L266" s="40">
        <f>IF(ISNUMBER(H266),LN(1+H266)-J266,"")</f>
        <v/>
      </c>
      <c r="M266" s="38">
        <f>IF(ISNUMBER(K266),1,0)</f>
        <v/>
      </c>
      <c r="N266" s="40">
        <f>IF(M266=1,K266,0)</f>
        <v/>
      </c>
      <c r="O266" s="38">
        <f>IF(ISNUMBER(L266),1,0)</f>
        <v/>
      </c>
      <c r="P266" s="40">
        <f>IF(O266=1,L266,0)</f>
        <v/>
      </c>
      <c r="Q266" s="38">
        <f>M266*O266</f>
        <v/>
      </c>
      <c r="R266" s="38">
        <f>SUM(Q230:Q265)</f>
        <v/>
      </c>
      <c r="S266" s="41">
        <f>IF(OR($A266="",R266&lt;MIN_OBS_ROLL),"",(SUMPRODUCT(Q230:Q265,N230:N265,P230:P265)/R266-SUMPRODUCT(Q230:Q265,N230:N265)/R266*SUMPRODUCT(Q230:Q265,P230:P265)/R266)*R266/(R266-1))</f>
        <v/>
      </c>
      <c r="T266" s="38">
        <f>SUM(O230:O265)</f>
        <v/>
      </c>
      <c r="U266" s="41">
        <f>IF(OR($A266="",T266&lt;MIN_OBS_ROLL),"",SUMPRODUCT(O230:O265,(P230:P265-SUMPRODUCT(O230:O265,P230:P265)/T266)^2)/(T266-1))</f>
        <v/>
      </c>
      <c r="V266" s="40">
        <f>IF(OR(S266="",U266=""),"",S266/U266)</f>
        <v/>
      </c>
      <c r="W266" s="40">
        <f>IF(AND(ISNUMBER(K266),ISNUMBER(L266),ISNUMBER(V266)),K266-V266*L266,"")</f>
        <v/>
      </c>
      <c r="X266" s="40">
        <f>IF(OR($A266="",NOT(ISNUMBER(Datos!H266)),NOT(ISNUMBER(Datos!H265))),"",LN(Datos!H266)-LN(Datos!H265))</f>
        <v/>
      </c>
      <c r="Y266" s="38">
        <f>IF(ISNUMBER(W266),1,0)</f>
        <v/>
      </c>
      <c r="Z266" s="40">
        <f>IF(Y266=1,W266,0)</f>
        <v/>
      </c>
      <c r="AA266" s="38">
        <f>IF(ISNUMBER(X266),1,0)</f>
        <v/>
      </c>
      <c r="AB266" s="40">
        <f>IF(AA266=1,X266,0)</f>
        <v/>
      </c>
      <c r="AC266" s="38">
        <f>Y266*AA266</f>
        <v/>
      </c>
      <c r="AD266" s="38">
        <f>SUM(AC230:AC265)</f>
        <v/>
      </c>
      <c r="AE266" s="41">
        <f>IF(OR($A266="",AD266&lt;MIN_OBS_ROLL),"",(SUMPRODUCT(AC230:AC265,Z230:Z265,AB230:AB265)/AD266-SUMPRODUCT(AC230:AC265,Z230:Z265)/AD266*SUMPRODUCT(AC230:AC265,AB230:AB265)/AD266)*AD266/(AD266-1))</f>
        <v/>
      </c>
      <c r="AF266" s="38">
        <f>SUM(AA230:AA265)</f>
        <v/>
      </c>
      <c r="AG266" s="41">
        <f>IF(OR($A266="",AF266&lt;MIN_OBS_ROLL),"",SUMPRODUCT(AA230:AA265,(AB230:AB265-SUMPRODUCT(AA230:AA265,AB230:AB265)/AF266)^2)/(AF266-1))</f>
        <v/>
      </c>
      <c r="AH266" s="38">
        <f>SUM(Y230:Y265)</f>
        <v/>
      </c>
      <c r="AI266" s="40">
        <f>IF(OR($A266="",AH266&lt;MIN_OBS_ROLL),"",SUMPRODUCT(Y230:Y265,Z230:Z265)/AH266)</f>
        <v/>
      </c>
      <c r="AJ266" s="40">
        <f>IF(OR($A266="",AF266&lt;MIN_OBS_ROLL),"",SUMPRODUCT(AA230:AA265,AB230:AB265)/AF266)</f>
        <v/>
      </c>
      <c r="AK266" s="40">
        <f>IF(OR(AE266="",AG266=""),"",AE266/AG266)</f>
        <v/>
      </c>
      <c r="AL266" s="40">
        <f>IF(OR(AI266="",AK266="",AJ266=""),"",AI266-AK266*AJ266)</f>
        <v/>
      </c>
      <c r="AM266" s="40">
        <f>IF(AND(ISNUMBER(W266),ISNUMBER(X266),ISNUMBER(AK266),ISNUMBER(AL266)),W266-(AL266+AK266*X266),"")</f>
        <v/>
      </c>
      <c r="AN266" s="38">
        <f>IF(ISNUMBER(AM266),1,0)</f>
        <v/>
      </c>
      <c r="AO266" s="40">
        <f>IF(AN266=1,AM266,0)</f>
        <v/>
      </c>
      <c r="AP266" s="40">
        <f>IF(SUM(AN264:AN266)=3,SUM(AO264:AO266),"")</f>
        <v/>
      </c>
      <c r="AQ266" s="38">
        <f>IF(ISNUMBER(AP266),1,0)</f>
        <v/>
      </c>
      <c r="AR266" s="40">
        <f>IF(AQ266=1,AP266,0)</f>
        <v/>
      </c>
      <c r="AS266" s="38">
        <f>SUM(AQ$5:AQ266)</f>
        <v/>
      </c>
      <c r="AT266" s="40">
        <f>IF(AS266&gt;=MIN_OBS_Z,SUMPRODUCT(AQ$5:AQ266,AR$5:AR266)/AS266,"")</f>
        <v/>
      </c>
      <c r="AU266" s="40">
        <f>IF(AS266&gt;=MIN_OBS_Z,SQRT(SUMPRODUCT(AQ$5:AQ266,(AR$5:AR266-AT266)^2)/(AS266-1)),"")</f>
        <v/>
      </c>
      <c r="AV266" s="40">
        <f>IF(AND(AQ266=1,ISNUMBER(AT266)),MAX(-Z_CLIP,MIN(Z_CLIP,(AR266-AT266)/AU266)),"")</f>
        <v/>
      </c>
      <c r="AW266" s="40">
        <f>IF(ISNUMBER(AV266),-AV266,"")</f>
        <v/>
      </c>
      <c r="AX266" s="40">
        <f>IF(ISNUMBER(AW266),1+AMPLITUD*TANH(AW266),"")</f>
        <v/>
      </c>
      <c r="AY266" s="40">
        <f>IF($A266="","",IF(COUNT(AX264:AX266)&gt;0,AVERAGE(AX264:AX266),""))</f>
        <v/>
      </c>
      <c r="AZ266" s="40">
        <f>IF(ISNUMBER(AY266),AY266-1,"")</f>
        <v/>
      </c>
      <c r="BA266" s="40">
        <f>IF(AND(ISNUMBER(AZ265),ISNUMBER(W266)),AZ265*W_BANCOS*W266,"")</f>
        <v/>
      </c>
      <c r="BB266" s="40">
        <f>IF(AND(ISNUMBER(AZ265),ISNUMBER(AZ264)),ABS(AZ265-AZ264)*W_BANCOS*COSTO,0)</f>
        <v/>
      </c>
      <c r="BC266" s="40">
        <f>IF(ISNUMBER(BA266),BA266-BB266,"")</f>
        <v/>
      </c>
      <c r="BD266" s="42">
        <f>IF(ISNUMBER(BC266),IF(A266&lt;=FECHA_ERA,"A","B"),"")</f>
        <v/>
      </c>
      <c r="BE266" s="40">
        <f>IF(BD266="A",BC266,"")</f>
        <v/>
      </c>
      <c r="BF266" s="40">
        <f>IF(BD266="B",BC266,"")</f>
        <v/>
      </c>
      <c r="BG266" s="38">
        <f>IF(AND(ISNUMBER(BC266),ISNUMBER(A266)),IF(A266&gt;=INICIO_VIVO,1,0),0)</f>
        <v/>
      </c>
      <c r="BH266" s="40">
        <f>IF(BG266=1,BC266,"")</f>
        <v/>
      </c>
      <c r="BI266" s="38">
        <f>IF(ISNUMBER(AY266),ROW(),0)</f>
        <v/>
      </c>
      <c r="BJ266" s="43">
        <f>IF(ISNUMBER(BC266),SUM(BC$5:BC266)*10000,NA())</f>
        <v/>
      </c>
      <c r="BK266" s="43">
        <f>IF(BG266=1,SUM(BH$5:BH266)*10000,NA())</f>
        <v/>
      </c>
      <c r="BL266" s="44">
        <f>IF(ISNUMBER(AY266),AY266,NA())</f>
        <v/>
      </c>
    </row>
    <row r="267">
      <c r="A267" s="36">
        <f>IF(Datos!A267="","",Datos!A267)</f>
        <v/>
      </c>
      <c r="B267" s="37">
        <f>IF(OR($A267="",NOT(ISNUMBER(Datos!B267)),NOT(ISNUMBER(Datos!B266))),"",Datos!B267/Datos!B266-1)</f>
        <v/>
      </c>
      <c r="C267" s="37">
        <f>IF(OR($A267="",NOT(ISNUMBER(Datos!C267)),NOT(ISNUMBER(Datos!C266))),"",Datos!C267/Datos!C266-1)</f>
        <v/>
      </c>
      <c r="D267" s="37">
        <f>IF(OR($A267="",NOT(ISNUMBER(Datos!D267)),NOT(ISNUMBER(Datos!D266))),"",Datos!D267/Datos!D266-1)</f>
        <v/>
      </c>
      <c r="E267" s="37">
        <f>IF(OR($A267="",NOT(ISNUMBER(Datos!E267)),NOT(ISNUMBER(Datos!E266))),"",Datos!E267/Datos!E266-1)</f>
        <v/>
      </c>
      <c r="F267" s="38">
        <f>IF($A267="","",COUNT(B267:E267))</f>
        <v/>
      </c>
      <c r="G267" s="37">
        <f>IF($A267="","",IF(F267&gt;=MIN_BANCOS,AVERAGE(B267:E267),""))</f>
        <v/>
      </c>
      <c r="H267" s="37">
        <f>IF(OR($A267="",NOT(ISNUMBER(Datos!F267)),NOT(ISNUMBER(Datos!F266))),"",Datos!F267/Datos!F266-1)</f>
        <v/>
      </c>
      <c r="I267" s="39">
        <f>IF($A267="","",IF(ISNUMBER(Datos!G267),Datos!G267,I266))</f>
        <v/>
      </c>
      <c r="J267" s="40">
        <f>IF($A267="","",IF(ISNUMBER(I266),LN(1+I266/100/12),0))</f>
        <v/>
      </c>
      <c r="K267" s="40">
        <f>IF(ISNUMBER(G267),LN(1+G267)-J267,"")</f>
        <v/>
      </c>
      <c r="L267" s="40">
        <f>IF(ISNUMBER(H267),LN(1+H267)-J267,"")</f>
        <v/>
      </c>
      <c r="M267" s="38">
        <f>IF(ISNUMBER(K267),1,0)</f>
        <v/>
      </c>
      <c r="N267" s="40">
        <f>IF(M267=1,K267,0)</f>
        <v/>
      </c>
      <c r="O267" s="38">
        <f>IF(ISNUMBER(L267),1,0)</f>
        <v/>
      </c>
      <c r="P267" s="40">
        <f>IF(O267=1,L267,0)</f>
        <v/>
      </c>
      <c r="Q267" s="38">
        <f>M267*O267</f>
        <v/>
      </c>
      <c r="R267" s="38">
        <f>SUM(Q231:Q266)</f>
        <v/>
      </c>
      <c r="S267" s="41">
        <f>IF(OR($A267="",R267&lt;MIN_OBS_ROLL),"",(SUMPRODUCT(Q231:Q266,N231:N266,P231:P266)/R267-SUMPRODUCT(Q231:Q266,N231:N266)/R267*SUMPRODUCT(Q231:Q266,P231:P266)/R267)*R267/(R267-1))</f>
        <v/>
      </c>
      <c r="T267" s="38">
        <f>SUM(O231:O266)</f>
        <v/>
      </c>
      <c r="U267" s="41">
        <f>IF(OR($A267="",T267&lt;MIN_OBS_ROLL),"",SUMPRODUCT(O231:O266,(P231:P266-SUMPRODUCT(O231:O266,P231:P266)/T267)^2)/(T267-1))</f>
        <v/>
      </c>
      <c r="V267" s="40">
        <f>IF(OR(S267="",U267=""),"",S267/U267)</f>
        <v/>
      </c>
      <c r="W267" s="40">
        <f>IF(AND(ISNUMBER(K267),ISNUMBER(L267),ISNUMBER(V267)),K267-V267*L267,"")</f>
        <v/>
      </c>
      <c r="X267" s="40">
        <f>IF(OR($A267="",NOT(ISNUMBER(Datos!H267)),NOT(ISNUMBER(Datos!H266))),"",LN(Datos!H267)-LN(Datos!H266))</f>
        <v/>
      </c>
      <c r="Y267" s="38">
        <f>IF(ISNUMBER(W267),1,0)</f>
        <v/>
      </c>
      <c r="Z267" s="40">
        <f>IF(Y267=1,W267,0)</f>
        <v/>
      </c>
      <c r="AA267" s="38">
        <f>IF(ISNUMBER(X267),1,0)</f>
        <v/>
      </c>
      <c r="AB267" s="40">
        <f>IF(AA267=1,X267,0)</f>
        <v/>
      </c>
      <c r="AC267" s="38">
        <f>Y267*AA267</f>
        <v/>
      </c>
      <c r="AD267" s="38">
        <f>SUM(AC231:AC266)</f>
        <v/>
      </c>
      <c r="AE267" s="41">
        <f>IF(OR($A267="",AD267&lt;MIN_OBS_ROLL),"",(SUMPRODUCT(AC231:AC266,Z231:Z266,AB231:AB266)/AD267-SUMPRODUCT(AC231:AC266,Z231:Z266)/AD267*SUMPRODUCT(AC231:AC266,AB231:AB266)/AD267)*AD267/(AD267-1))</f>
        <v/>
      </c>
      <c r="AF267" s="38">
        <f>SUM(AA231:AA266)</f>
        <v/>
      </c>
      <c r="AG267" s="41">
        <f>IF(OR($A267="",AF267&lt;MIN_OBS_ROLL),"",SUMPRODUCT(AA231:AA266,(AB231:AB266-SUMPRODUCT(AA231:AA266,AB231:AB266)/AF267)^2)/(AF267-1))</f>
        <v/>
      </c>
      <c r="AH267" s="38">
        <f>SUM(Y231:Y266)</f>
        <v/>
      </c>
      <c r="AI267" s="40">
        <f>IF(OR($A267="",AH267&lt;MIN_OBS_ROLL),"",SUMPRODUCT(Y231:Y266,Z231:Z266)/AH267)</f>
        <v/>
      </c>
      <c r="AJ267" s="40">
        <f>IF(OR($A267="",AF267&lt;MIN_OBS_ROLL),"",SUMPRODUCT(AA231:AA266,AB231:AB266)/AF267)</f>
        <v/>
      </c>
      <c r="AK267" s="40">
        <f>IF(OR(AE267="",AG267=""),"",AE267/AG267)</f>
        <v/>
      </c>
      <c r="AL267" s="40">
        <f>IF(OR(AI267="",AK267="",AJ267=""),"",AI267-AK267*AJ267)</f>
        <v/>
      </c>
      <c r="AM267" s="40">
        <f>IF(AND(ISNUMBER(W267),ISNUMBER(X267),ISNUMBER(AK267),ISNUMBER(AL267)),W267-(AL267+AK267*X267),"")</f>
        <v/>
      </c>
      <c r="AN267" s="38">
        <f>IF(ISNUMBER(AM267),1,0)</f>
        <v/>
      </c>
      <c r="AO267" s="40">
        <f>IF(AN267=1,AM267,0)</f>
        <v/>
      </c>
      <c r="AP267" s="40">
        <f>IF(SUM(AN265:AN267)=3,SUM(AO265:AO267),"")</f>
        <v/>
      </c>
      <c r="AQ267" s="38">
        <f>IF(ISNUMBER(AP267),1,0)</f>
        <v/>
      </c>
      <c r="AR267" s="40">
        <f>IF(AQ267=1,AP267,0)</f>
        <v/>
      </c>
      <c r="AS267" s="38">
        <f>SUM(AQ$5:AQ267)</f>
        <v/>
      </c>
      <c r="AT267" s="40">
        <f>IF(AS267&gt;=MIN_OBS_Z,SUMPRODUCT(AQ$5:AQ267,AR$5:AR267)/AS267,"")</f>
        <v/>
      </c>
      <c r="AU267" s="40">
        <f>IF(AS267&gt;=MIN_OBS_Z,SQRT(SUMPRODUCT(AQ$5:AQ267,(AR$5:AR267-AT267)^2)/(AS267-1)),"")</f>
        <v/>
      </c>
      <c r="AV267" s="40">
        <f>IF(AND(AQ267=1,ISNUMBER(AT267)),MAX(-Z_CLIP,MIN(Z_CLIP,(AR267-AT267)/AU267)),"")</f>
        <v/>
      </c>
      <c r="AW267" s="40">
        <f>IF(ISNUMBER(AV267),-AV267,"")</f>
        <v/>
      </c>
      <c r="AX267" s="40">
        <f>IF(ISNUMBER(AW267),1+AMPLITUD*TANH(AW267),"")</f>
        <v/>
      </c>
      <c r="AY267" s="40">
        <f>IF($A267="","",IF(COUNT(AX265:AX267)&gt;0,AVERAGE(AX265:AX267),""))</f>
        <v/>
      </c>
      <c r="AZ267" s="40">
        <f>IF(ISNUMBER(AY267),AY267-1,"")</f>
        <v/>
      </c>
      <c r="BA267" s="40">
        <f>IF(AND(ISNUMBER(AZ266),ISNUMBER(W267)),AZ266*W_BANCOS*W267,"")</f>
        <v/>
      </c>
      <c r="BB267" s="40">
        <f>IF(AND(ISNUMBER(AZ266),ISNUMBER(AZ265)),ABS(AZ266-AZ265)*W_BANCOS*COSTO,0)</f>
        <v/>
      </c>
      <c r="BC267" s="40">
        <f>IF(ISNUMBER(BA267),BA267-BB267,"")</f>
        <v/>
      </c>
      <c r="BD267" s="42">
        <f>IF(ISNUMBER(BC267),IF(A267&lt;=FECHA_ERA,"A","B"),"")</f>
        <v/>
      </c>
      <c r="BE267" s="40">
        <f>IF(BD267="A",BC267,"")</f>
        <v/>
      </c>
      <c r="BF267" s="40">
        <f>IF(BD267="B",BC267,"")</f>
        <v/>
      </c>
      <c r="BG267" s="38">
        <f>IF(AND(ISNUMBER(BC267),ISNUMBER(A267)),IF(A267&gt;=INICIO_VIVO,1,0),0)</f>
        <v/>
      </c>
      <c r="BH267" s="40">
        <f>IF(BG267=1,BC267,"")</f>
        <v/>
      </c>
      <c r="BI267" s="38">
        <f>IF(ISNUMBER(AY267),ROW(),0)</f>
        <v/>
      </c>
      <c r="BJ267" s="43">
        <f>IF(ISNUMBER(BC267),SUM(BC$5:BC267)*10000,NA())</f>
        <v/>
      </c>
      <c r="BK267" s="43">
        <f>IF(BG267=1,SUM(BH$5:BH267)*10000,NA())</f>
        <v/>
      </c>
      <c r="BL267" s="44">
        <f>IF(ISNUMBER(AY267),AY267,NA())</f>
        <v/>
      </c>
    </row>
    <row r="268">
      <c r="A268" s="36">
        <f>IF(Datos!A268="","",Datos!A268)</f>
        <v/>
      </c>
      <c r="B268" s="37">
        <f>IF(OR($A268="",NOT(ISNUMBER(Datos!B268)),NOT(ISNUMBER(Datos!B267))),"",Datos!B268/Datos!B267-1)</f>
        <v/>
      </c>
      <c r="C268" s="37">
        <f>IF(OR($A268="",NOT(ISNUMBER(Datos!C268)),NOT(ISNUMBER(Datos!C267))),"",Datos!C268/Datos!C267-1)</f>
        <v/>
      </c>
      <c r="D268" s="37">
        <f>IF(OR($A268="",NOT(ISNUMBER(Datos!D268)),NOT(ISNUMBER(Datos!D267))),"",Datos!D268/Datos!D267-1)</f>
        <v/>
      </c>
      <c r="E268" s="37">
        <f>IF(OR($A268="",NOT(ISNUMBER(Datos!E268)),NOT(ISNUMBER(Datos!E267))),"",Datos!E268/Datos!E267-1)</f>
        <v/>
      </c>
      <c r="F268" s="38">
        <f>IF($A268="","",COUNT(B268:E268))</f>
        <v/>
      </c>
      <c r="G268" s="37">
        <f>IF($A268="","",IF(F268&gt;=MIN_BANCOS,AVERAGE(B268:E268),""))</f>
        <v/>
      </c>
      <c r="H268" s="37">
        <f>IF(OR($A268="",NOT(ISNUMBER(Datos!F268)),NOT(ISNUMBER(Datos!F267))),"",Datos!F268/Datos!F267-1)</f>
        <v/>
      </c>
      <c r="I268" s="39">
        <f>IF($A268="","",IF(ISNUMBER(Datos!G268),Datos!G268,I267))</f>
        <v/>
      </c>
      <c r="J268" s="40">
        <f>IF($A268="","",IF(ISNUMBER(I267),LN(1+I267/100/12),0))</f>
        <v/>
      </c>
      <c r="K268" s="40">
        <f>IF(ISNUMBER(G268),LN(1+G268)-J268,"")</f>
        <v/>
      </c>
      <c r="L268" s="40">
        <f>IF(ISNUMBER(H268),LN(1+H268)-J268,"")</f>
        <v/>
      </c>
      <c r="M268" s="38">
        <f>IF(ISNUMBER(K268),1,0)</f>
        <v/>
      </c>
      <c r="N268" s="40">
        <f>IF(M268=1,K268,0)</f>
        <v/>
      </c>
      <c r="O268" s="38">
        <f>IF(ISNUMBER(L268),1,0)</f>
        <v/>
      </c>
      <c r="P268" s="40">
        <f>IF(O268=1,L268,0)</f>
        <v/>
      </c>
      <c r="Q268" s="38">
        <f>M268*O268</f>
        <v/>
      </c>
      <c r="R268" s="38">
        <f>SUM(Q232:Q267)</f>
        <v/>
      </c>
      <c r="S268" s="41">
        <f>IF(OR($A268="",R268&lt;MIN_OBS_ROLL),"",(SUMPRODUCT(Q232:Q267,N232:N267,P232:P267)/R268-SUMPRODUCT(Q232:Q267,N232:N267)/R268*SUMPRODUCT(Q232:Q267,P232:P267)/R268)*R268/(R268-1))</f>
        <v/>
      </c>
      <c r="T268" s="38">
        <f>SUM(O232:O267)</f>
        <v/>
      </c>
      <c r="U268" s="41">
        <f>IF(OR($A268="",T268&lt;MIN_OBS_ROLL),"",SUMPRODUCT(O232:O267,(P232:P267-SUMPRODUCT(O232:O267,P232:P267)/T268)^2)/(T268-1))</f>
        <v/>
      </c>
      <c r="V268" s="40">
        <f>IF(OR(S268="",U268=""),"",S268/U268)</f>
        <v/>
      </c>
      <c r="W268" s="40">
        <f>IF(AND(ISNUMBER(K268),ISNUMBER(L268),ISNUMBER(V268)),K268-V268*L268,"")</f>
        <v/>
      </c>
      <c r="X268" s="40">
        <f>IF(OR($A268="",NOT(ISNUMBER(Datos!H268)),NOT(ISNUMBER(Datos!H267))),"",LN(Datos!H268)-LN(Datos!H267))</f>
        <v/>
      </c>
      <c r="Y268" s="38">
        <f>IF(ISNUMBER(W268),1,0)</f>
        <v/>
      </c>
      <c r="Z268" s="40">
        <f>IF(Y268=1,W268,0)</f>
        <v/>
      </c>
      <c r="AA268" s="38">
        <f>IF(ISNUMBER(X268),1,0)</f>
        <v/>
      </c>
      <c r="AB268" s="40">
        <f>IF(AA268=1,X268,0)</f>
        <v/>
      </c>
      <c r="AC268" s="38">
        <f>Y268*AA268</f>
        <v/>
      </c>
      <c r="AD268" s="38">
        <f>SUM(AC232:AC267)</f>
        <v/>
      </c>
      <c r="AE268" s="41">
        <f>IF(OR($A268="",AD268&lt;MIN_OBS_ROLL),"",(SUMPRODUCT(AC232:AC267,Z232:Z267,AB232:AB267)/AD268-SUMPRODUCT(AC232:AC267,Z232:Z267)/AD268*SUMPRODUCT(AC232:AC267,AB232:AB267)/AD268)*AD268/(AD268-1))</f>
        <v/>
      </c>
      <c r="AF268" s="38">
        <f>SUM(AA232:AA267)</f>
        <v/>
      </c>
      <c r="AG268" s="41">
        <f>IF(OR($A268="",AF268&lt;MIN_OBS_ROLL),"",SUMPRODUCT(AA232:AA267,(AB232:AB267-SUMPRODUCT(AA232:AA267,AB232:AB267)/AF268)^2)/(AF268-1))</f>
        <v/>
      </c>
      <c r="AH268" s="38">
        <f>SUM(Y232:Y267)</f>
        <v/>
      </c>
      <c r="AI268" s="40">
        <f>IF(OR($A268="",AH268&lt;MIN_OBS_ROLL),"",SUMPRODUCT(Y232:Y267,Z232:Z267)/AH268)</f>
        <v/>
      </c>
      <c r="AJ268" s="40">
        <f>IF(OR($A268="",AF268&lt;MIN_OBS_ROLL),"",SUMPRODUCT(AA232:AA267,AB232:AB267)/AF268)</f>
        <v/>
      </c>
      <c r="AK268" s="40">
        <f>IF(OR(AE268="",AG268=""),"",AE268/AG268)</f>
        <v/>
      </c>
      <c r="AL268" s="40">
        <f>IF(OR(AI268="",AK268="",AJ268=""),"",AI268-AK268*AJ268)</f>
        <v/>
      </c>
      <c r="AM268" s="40">
        <f>IF(AND(ISNUMBER(W268),ISNUMBER(X268),ISNUMBER(AK268),ISNUMBER(AL268)),W268-(AL268+AK268*X268),"")</f>
        <v/>
      </c>
      <c r="AN268" s="38">
        <f>IF(ISNUMBER(AM268),1,0)</f>
        <v/>
      </c>
      <c r="AO268" s="40">
        <f>IF(AN268=1,AM268,0)</f>
        <v/>
      </c>
      <c r="AP268" s="40">
        <f>IF(SUM(AN266:AN268)=3,SUM(AO266:AO268),"")</f>
        <v/>
      </c>
      <c r="AQ268" s="38">
        <f>IF(ISNUMBER(AP268),1,0)</f>
        <v/>
      </c>
      <c r="AR268" s="40">
        <f>IF(AQ268=1,AP268,0)</f>
        <v/>
      </c>
      <c r="AS268" s="38">
        <f>SUM(AQ$5:AQ268)</f>
        <v/>
      </c>
      <c r="AT268" s="40">
        <f>IF(AS268&gt;=MIN_OBS_Z,SUMPRODUCT(AQ$5:AQ268,AR$5:AR268)/AS268,"")</f>
        <v/>
      </c>
      <c r="AU268" s="40">
        <f>IF(AS268&gt;=MIN_OBS_Z,SQRT(SUMPRODUCT(AQ$5:AQ268,(AR$5:AR268-AT268)^2)/(AS268-1)),"")</f>
        <v/>
      </c>
      <c r="AV268" s="40">
        <f>IF(AND(AQ268=1,ISNUMBER(AT268)),MAX(-Z_CLIP,MIN(Z_CLIP,(AR268-AT268)/AU268)),"")</f>
        <v/>
      </c>
      <c r="AW268" s="40">
        <f>IF(ISNUMBER(AV268),-AV268,"")</f>
        <v/>
      </c>
      <c r="AX268" s="40">
        <f>IF(ISNUMBER(AW268),1+AMPLITUD*TANH(AW268),"")</f>
        <v/>
      </c>
      <c r="AY268" s="40">
        <f>IF($A268="","",IF(COUNT(AX266:AX268)&gt;0,AVERAGE(AX266:AX268),""))</f>
        <v/>
      </c>
      <c r="AZ268" s="40">
        <f>IF(ISNUMBER(AY268),AY268-1,"")</f>
        <v/>
      </c>
      <c r="BA268" s="40">
        <f>IF(AND(ISNUMBER(AZ267),ISNUMBER(W268)),AZ267*W_BANCOS*W268,"")</f>
        <v/>
      </c>
      <c r="BB268" s="40">
        <f>IF(AND(ISNUMBER(AZ267),ISNUMBER(AZ266)),ABS(AZ267-AZ266)*W_BANCOS*COSTO,0)</f>
        <v/>
      </c>
      <c r="BC268" s="40">
        <f>IF(ISNUMBER(BA268),BA268-BB268,"")</f>
        <v/>
      </c>
      <c r="BD268" s="42">
        <f>IF(ISNUMBER(BC268),IF(A268&lt;=FECHA_ERA,"A","B"),"")</f>
        <v/>
      </c>
      <c r="BE268" s="40">
        <f>IF(BD268="A",BC268,"")</f>
        <v/>
      </c>
      <c r="BF268" s="40">
        <f>IF(BD268="B",BC268,"")</f>
        <v/>
      </c>
      <c r="BG268" s="38">
        <f>IF(AND(ISNUMBER(BC268),ISNUMBER(A268)),IF(A268&gt;=INICIO_VIVO,1,0),0)</f>
        <v/>
      </c>
      <c r="BH268" s="40">
        <f>IF(BG268=1,BC268,"")</f>
        <v/>
      </c>
      <c r="BI268" s="38">
        <f>IF(ISNUMBER(AY268),ROW(),0)</f>
        <v/>
      </c>
      <c r="BJ268" s="43">
        <f>IF(ISNUMBER(BC268),SUM(BC$5:BC268)*10000,NA())</f>
        <v/>
      </c>
      <c r="BK268" s="43">
        <f>IF(BG268=1,SUM(BH$5:BH268)*10000,NA())</f>
        <v/>
      </c>
      <c r="BL268" s="44">
        <f>IF(ISNUMBER(AY268),AY268,NA())</f>
        <v/>
      </c>
    </row>
    <row r="269">
      <c r="A269" s="36">
        <f>IF(Datos!A269="","",Datos!A269)</f>
        <v/>
      </c>
      <c r="B269" s="37">
        <f>IF(OR($A269="",NOT(ISNUMBER(Datos!B269)),NOT(ISNUMBER(Datos!B268))),"",Datos!B269/Datos!B268-1)</f>
        <v/>
      </c>
      <c r="C269" s="37">
        <f>IF(OR($A269="",NOT(ISNUMBER(Datos!C269)),NOT(ISNUMBER(Datos!C268))),"",Datos!C269/Datos!C268-1)</f>
        <v/>
      </c>
      <c r="D269" s="37">
        <f>IF(OR($A269="",NOT(ISNUMBER(Datos!D269)),NOT(ISNUMBER(Datos!D268))),"",Datos!D269/Datos!D268-1)</f>
        <v/>
      </c>
      <c r="E269" s="37">
        <f>IF(OR($A269="",NOT(ISNUMBER(Datos!E269)),NOT(ISNUMBER(Datos!E268))),"",Datos!E269/Datos!E268-1)</f>
        <v/>
      </c>
      <c r="F269" s="38">
        <f>IF($A269="","",COUNT(B269:E269))</f>
        <v/>
      </c>
      <c r="G269" s="37">
        <f>IF($A269="","",IF(F269&gt;=MIN_BANCOS,AVERAGE(B269:E269),""))</f>
        <v/>
      </c>
      <c r="H269" s="37">
        <f>IF(OR($A269="",NOT(ISNUMBER(Datos!F269)),NOT(ISNUMBER(Datos!F268))),"",Datos!F269/Datos!F268-1)</f>
        <v/>
      </c>
      <c r="I269" s="39">
        <f>IF($A269="","",IF(ISNUMBER(Datos!G269),Datos!G269,I268))</f>
        <v/>
      </c>
      <c r="J269" s="40">
        <f>IF($A269="","",IF(ISNUMBER(I268),LN(1+I268/100/12),0))</f>
        <v/>
      </c>
      <c r="K269" s="40">
        <f>IF(ISNUMBER(G269),LN(1+G269)-J269,"")</f>
        <v/>
      </c>
      <c r="L269" s="40">
        <f>IF(ISNUMBER(H269),LN(1+H269)-J269,"")</f>
        <v/>
      </c>
      <c r="M269" s="38">
        <f>IF(ISNUMBER(K269),1,0)</f>
        <v/>
      </c>
      <c r="N269" s="40">
        <f>IF(M269=1,K269,0)</f>
        <v/>
      </c>
      <c r="O269" s="38">
        <f>IF(ISNUMBER(L269),1,0)</f>
        <v/>
      </c>
      <c r="P269" s="40">
        <f>IF(O269=1,L269,0)</f>
        <v/>
      </c>
      <c r="Q269" s="38">
        <f>M269*O269</f>
        <v/>
      </c>
      <c r="R269" s="38">
        <f>SUM(Q233:Q268)</f>
        <v/>
      </c>
      <c r="S269" s="41">
        <f>IF(OR($A269="",R269&lt;MIN_OBS_ROLL),"",(SUMPRODUCT(Q233:Q268,N233:N268,P233:P268)/R269-SUMPRODUCT(Q233:Q268,N233:N268)/R269*SUMPRODUCT(Q233:Q268,P233:P268)/R269)*R269/(R269-1))</f>
        <v/>
      </c>
      <c r="T269" s="38">
        <f>SUM(O233:O268)</f>
        <v/>
      </c>
      <c r="U269" s="41">
        <f>IF(OR($A269="",T269&lt;MIN_OBS_ROLL),"",SUMPRODUCT(O233:O268,(P233:P268-SUMPRODUCT(O233:O268,P233:P268)/T269)^2)/(T269-1))</f>
        <v/>
      </c>
      <c r="V269" s="40">
        <f>IF(OR(S269="",U269=""),"",S269/U269)</f>
        <v/>
      </c>
      <c r="W269" s="40">
        <f>IF(AND(ISNUMBER(K269),ISNUMBER(L269),ISNUMBER(V269)),K269-V269*L269,"")</f>
        <v/>
      </c>
      <c r="X269" s="40">
        <f>IF(OR($A269="",NOT(ISNUMBER(Datos!H269)),NOT(ISNUMBER(Datos!H268))),"",LN(Datos!H269)-LN(Datos!H268))</f>
        <v/>
      </c>
      <c r="Y269" s="38">
        <f>IF(ISNUMBER(W269),1,0)</f>
        <v/>
      </c>
      <c r="Z269" s="40">
        <f>IF(Y269=1,W269,0)</f>
        <v/>
      </c>
      <c r="AA269" s="38">
        <f>IF(ISNUMBER(X269),1,0)</f>
        <v/>
      </c>
      <c r="AB269" s="40">
        <f>IF(AA269=1,X269,0)</f>
        <v/>
      </c>
      <c r="AC269" s="38">
        <f>Y269*AA269</f>
        <v/>
      </c>
      <c r="AD269" s="38">
        <f>SUM(AC233:AC268)</f>
        <v/>
      </c>
      <c r="AE269" s="41">
        <f>IF(OR($A269="",AD269&lt;MIN_OBS_ROLL),"",(SUMPRODUCT(AC233:AC268,Z233:Z268,AB233:AB268)/AD269-SUMPRODUCT(AC233:AC268,Z233:Z268)/AD269*SUMPRODUCT(AC233:AC268,AB233:AB268)/AD269)*AD269/(AD269-1))</f>
        <v/>
      </c>
      <c r="AF269" s="38">
        <f>SUM(AA233:AA268)</f>
        <v/>
      </c>
      <c r="AG269" s="41">
        <f>IF(OR($A269="",AF269&lt;MIN_OBS_ROLL),"",SUMPRODUCT(AA233:AA268,(AB233:AB268-SUMPRODUCT(AA233:AA268,AB233:AB268)/AF269)^2)/(AF269-1))</f>
        <v/>
      </c>
      <c r="AH269" s="38">
        <f>SUM(Y233:Y268)</f>
        <v/>
      </c>
      <c r="AI269" s="40">
        <f>IF(OR($A269="",AH269&lt;MIN_OBS_ROLL),"",SUMPRODUCT(Y233:Y268,Z233:Z268)/AH269)</f>
        <v/>
      </c>
      <c r="AJ269" s="40">
        <f>IF(OR($A269="",AF269&lt;MIN_OBS_ROLL),"",SUMPRODUCT(AA233:AA268,AB233:AB268)/AF269)</f>
        <v/>
      </c>
      <c r="AK269" s="40">
        <f>IF(OR(AE269="",AG269=""),"",AE269/AG269)</f>
        <v/>
      </c>
      <c r="AL269" s="40">
        <f>IF(OR(AI269="",AK269="",AJ269=""),"",AI269-AK269*AJ269)</f>
        <v/>
      </c>
      <c r="AM269" s="40">
        <f>IF(AND(ISNUMBER(W269),ISNUMBER(X269),ISNUMBER(AK269),ISNUMBER(AL269)),W269-(AL269+AK269*X269),"")</f>
        <v/>
      </c>
      <c r="AN269" s="38">
        <f>IF(ISNUMBER(AM269),1,0)</f>
        <v/>
      </c>
      <c r="AO269" s="40">
        <f>IF(AN269=1,AM269,0)</f>
        <v/>
      </c>
      <c r="AP269" s="40">
        <f>IF(SUM(AN267:AN269)=3,SUM(AO267:AO269),"")</f>
        <v/>
      </c>
      <c r="AQ269" s="38">
        <f>IF(ISNUMBER(AP269),1,0)</f>
        <v/>
      </c>
      <c r="AR269" s="40">
        <f>IF(AQ269=1,AP269,0)</f>
        <v/>
      </c>
      <c r="AS269" s="38">
        <f>SUM(AQ$5:AQ269)</f>
        <v/>
      </c>
      <c r="AT269" s="40">
        <f>IF(AS269&gt;=MIN_OBS_Z,SUMPRODUCT(AQ$5:AQ269,AR$5:AR269)/AS269,"")</f>
        <v/>
      </c>
      <c r="AU269" s="40">
        <f>IF(AS269&gt;=MIN_OBS_Z,SQRT(SUMPRODUCT(AQ$5:AQ269,(AR$5:AR269-AT269)^2)/(AS269-1)),"")</f>
        <v/>
      </c>
      <c r="AV269" s="40">
        <f>IF(AND(AQ269=1,ISNUMBER(AT269)),MAX(-Z_CLIP,MIN(Z_CLIP,(AR269-AT269)/AU269)),"")</f>
        <v/>
      </c>
      <c r="AW269" s="40">
        <f>IF(ISNUMBER(AV269),-AV269,"")</f>
        <v/>
      </c>
      <c r="AX269" s="40">
        <f>IF(ISNUMBER(AW269),1+AMPLITUD*TANH(AW269),"")</f>
        <v/>
      </c>
      <c r="AY269" s="40">
        <f>IF($A269="","",IF(COUNT(AX267:AX269)&gt;0,AVERAGE(AX267:AX269),""))</f>
        <v/>
      </c>
      <c r="AZ269" s="40">
        <f>IF(ISNUMBER(AY269),AY269-1,"")</f>
        <v/>
      </c>
      <c r="BA269" s="40">
        <f>IF(AND(ISNUMBER(AZ268),ISNUMBER(W269)),AZ268*W_BANCOS*W269,"")</f>
        <v/>
      </c>
      <c r="BB269" s="40">
        <f>IF(AND(ISNUMBER(AZ268),ISNUMBER(AZ267)),ABS(AZ268-AZ267)*W_BANCOS*COSTO,0)</f>
        <v/>
      </c>
      <c r="BC269" s="40">
        <f>IF(ISNUMBER(BA269),BA269-BB269,"")</f>
        <v/>
      </c>
      <c r="BD269" s="42">
        <f>IF(ISNUMBER(BC269),IF(A269&lt;=FECHA_ERA,"A","B"),"")</f>
        <v/>
      </c>
      <c r="BE269" s="40">
        <f>IF(BD269="A",BC269,"")</f>
        <v/>
      </c>
      <c r="BF269" s="40">
        <f>IF(BD269="B",BC269,"")</f>
        <v/>
      </c>
      <c r="BG269" s="38">
        <f>IF(AND(ISNUMBER(BC269),ISNUMBER(A269)),IF(A269&gt;=INICIO_VIVO,1,0),0)</f>
        <v/>
      </c>
      <c r="BH269" s="40">
        <f>IF(BG269=1,BC269,"")</f>
        <v/>
      </c>
      <c r="BI269" s="38">
        <f>IF(ISNUMBER(AY269),ROW(),0)</f>
        <v/>
      </c>
      <c r="BJ269" s="43">
        <f>IF(ISNUMBER(BC269),SUM(BC$5:BC269)*10000,NA())</f>
        <v/>
      </c>
      <c r="BK269" s="43">
        <f>IF(BG269=1,SUM(BH$5:BH269)*10000,NA())</f>
        <v/>
      </c>
      <c r="BL269" s="44">
        <f>IF(ISNUMBER(AY269),AY269,NA())</f>
        <v/>
      </c>
    </row>
    <row r="270">
      <c r="A270" s="36">
        <f>IF(Datos!A270="","",Datos!A270)</f>
        <v/>
      </c>
      <c r="B270" s="37">
        <f>IF(OR($A270="",NOT(ISNUMBER(Datos!B270)),NOT(ISNUMBER(Datos!B269))),"",Datos!B270/Datos!B269-1)</f>
        <v/>
      </c>
      <c r="C270" s="37">
        <f>IF(OR($A270="",NOT(ISNUMBER(Datos!C270)),NOT(ISNUMBER(Datos!C269))),"",Datos!C270/Datos!C269-1)</f>
        <v/>
      </c>
      <c r="D270" s="37">
        <f>IF(OR($A270="",NOT(ISNUMBER(Datos!D270)),NOT(ISNUMBER(Datos!D269))),"",Datos!D270/Datos!D269-1)</f>
        <v/>
      </c>
      <c r="E270" s="37">
        <f>IF(OR($A270="",NOT(ISNUMBER(Datos!E270)),NOT(ISNUMBER(Datos!E269))),"",Datos!E270/Datos!E269-1)</f>
        <v/>
      </c>
      <c r="F270" s="38">
        <f>IF($A270="","",COUNT(B270:E270))</f>
        <v/>
      </c>
      <c r="G270" s="37">
        <f>IF($A270="","",IF(F270&gt;=MIN_BANCOS,AVERAGE(B270:E270),""))</f>
        <v/>
      </c>
      <c r="H270" s="37">
        <f>IF(OR($A270="",NOT(ISNUMBER(Datos!F270)),NOT(ISNUMBER(Datos!F269))),"",Datos!F270/Datos!F269-1)</f>
        <v/>
      </c>
      <c r="I270" s="39">
        <f>IF($A270="","",IF(ISNUMBER(Datos!G270),Datos!G270,I269))</f>
        <v/>
      </c>
      <c r="J270" s="40">
        <f>IF($A270="","",IF(ISNUMBER(I269),LN(1+I269/100/12),0))</f>
        <v/>
      </c>
      <c r="K270" s="40">
        <f>IF(ISNUMBER(G270),LN(1+G270)-J270,"")</f>
        <v/>
      </c>
      <c r="L270" s="40">
        <f>IF(ISNUMBER(H270),LN(1+H270)-J270,"")</f>
        <v/>
      </c>
      <c r="M270" s="38">
        <f>IF(ISNUMBER(K270),1,0)</f>
        <v/>
      </c>
      <c r="N270" s="40">
        <f>IF(M270=1,K270,0)</f>
        <v/>
      </c>
      <c r="O270" s="38">
        <f>IF(ISNUMBER(L270),1,0)</f>
        <v/>
      </c>
      <c r="P270" s="40">
        <f>IF(O270=1,L270,0)</f>
        <v/>
      </c>
      <c r="Q270" s="38">
        <f>M270*O270</f>
        <v/>
      </c>
      <c r="R270" s="38">
        <f>SUM(Q234:Q269)</f>
        <v/>
      </c>
      <c r="S270" s="41">
        <f>IF(OR($A270="",R270&lt;MIN_OBS_ROLL),"",(SUMPRODUCT(Q234:Q269,N234:N269,P234:P269)/R270-SUMPRODUCT(Q234:Q269,N234:N269)/R270*SUMPRODUCT(Q234:Q269,P234:P269)/R270)*R270/(R270-1))</f>
        <v/>
      </c>
      <c r="T270" s="38">
        <f>SUM(O234:O269)</f>
        <v/>
      </c>
      <c r="U270" s="41">
        <f>IF(OR($A270="",T270&lt;MIN_OBS_ROLL),"",SUMPRODUCT(O234:O269,(P234:P269-SUMPRODUCT(O234:O269,P234:P269)/T270)^2)/(T270-1))</f>
        <v/>
      </c>
      <c r="V270" s="40">
        <f>IF(OR(S270="",U270=""),"",S270/U270)</f>
        <v/>
      </c>
      <c r="W270" s="40">
        <f>IF(AND(ISNUMBER(K270),ISNUMBER(L270),ISNUMBER(V270)),K270-V270*L270,"")</f>
        <v/>
      </c>
      <c r="X270" s="40">
        <f>IF(OR($A270="",NOT(ISNUMBER(Datos!H270)),NOT(ISNUMBER(Datos!H269))),"",LN(Datos!H270)-LN(Datos!H269))</f>
        <v/>
      </c>
      <c r="Y270" s="38">
        <f>IF(ISNUMBER(W270),1,0)</f>
        <v/>
      </c>
      <c r="Z270" s="40">
        <f>IF(Y270=1,W270,0)</f>
        <v/>
      </c>
      <c r="AA270" s="38">
        <f>IF(ISNUMBER(X270),1,0)</f>
        <v/>
      </c>
      <c r="AB270" s="40">
        <f>IF(AA270=1,X270,0)</f>
        <v/>
      </c>
      <c r="AC270" s="38">
        <f>Y270*AA270</f>
        <v/>
      </c>
      <c r="AD270" s="38">
        <f>SUM(AC234:AC269)</f>
        <v/>
      </c>
      <c r="AE270" s="41">
        <f>IF(OR($A270="",AD270&lt;MIN_OBS_ROLL),"",(SUMPRODUCT(AC234:AC269,Z234:Z269,AB234:AB269)/AD270-SUMPRODUCT(AC234:AC269,Z234:Z269)/AD270*SUMPRODUCT(AC234:AC269,AB234:AB269)/AD270)*AD270/(AD270-1))</f>
        <v/>
      </c>
      <c r="AF270" s="38">
        <f>SUM(AA234:AA269)</f>
        <v/>
      </c>
      <c r="AG270" s="41">
        <f>IF(OR($A270="",AF270&lt;MIN_OBS_ROLL),"",SUMPRODUCT(AA234:AA269,(AB234:AB269-SUMPRODUCT(AA234:AA269,AB234:AB269)/AF270)^2)/(AF270-1))</f>
        <v/>
      </c>
      <c r="AH270" s="38">
        <f>SUM(Y234:Y269)</f>
        <v/>
      </c>
      <c r="AI270" s="40">
        <f>IF(OR($A270="",AH270&lt;MIN_OBS_ROLL),"",SUMPRODUCT(Y234:Y269,Z234:Z269)/AH270)</f>
        <v/>
      </c>
      <c r="AJ270" s="40">
        <f>IF(OR($A270="",AF270&lt;MIN_OBS_ROLL),"",SUMPRODUCT(AA234:AA269,AB234:AB269)/AF270)</f>
        <v/>
      </c>
      <c r="AK270" s="40">
        <f>IF(OR(AE270="",AG270=""),"",AE270/AG270)</f>
        <v/>
      </c>
      <c r="AL270" s="40">
        <f>IF(OR(AI270="",AK270="",AJ270=""),"",AI270-AK270*AJ270)</f>
        <v/>
      </c>
      <c r="AM270" s="40">
        <f>IF(AND(ISNUMBER(W270),ISNUMBER(X270),ISNUMBER(AK270),ISNUMBER(AL270)),W270-(AL270+AK270*X270),"")</f>
        <v/>
      </c>
      <c r="AN270" s="38">
        <f>IF(ISNUMBER(AM270),1,0)</f>
        <v/>
      </c>
      <c r="AO270" s="40">
        <f>IF(AN270=1,AM270,0)</f>
        <v/>
      </c>
      <c r="AP270" s="40">
        <f>IF(SUM(AN268:AN270)=3,SUM(AO268:AO270),"")</f>
        <v/>
      </c>
      <c r="AQ270" s="38">
        <f>IF(ISNUMBER(AP270),1,0)</f>
        <v/>
      </c>
      <c r="AR270" s="40">
        <f>IF(AQ270=1,AP270,0)</f>
        <v/>
      </c>
      <c r="AS270" s="38">
        <f>SUM(AQ$5:AQ270)</f>
        <v/>
      </c>
      <c r="AT270" s="40">
        <f>IF(AS270&gt;=MIN_OBS_Z,SUMPRODUCT(AQ$5:AQ270,AR$5:AR270)/AS270,"")</f>
        <v/>
      </c>
      <c r="AU270" s="40">
        <f>IF(AS270&gt;=MIN_OBS_Z,SQRT(SUMPRODUCT(AQ$5:AQ270,(AR$5:AR270-AT270)^2)/(AS270-1)),"")</f>
        <v/>
      </c>
      <c r="AV270" s="40">
        <f>IF(AND(AQ270=1,ISNUMBER(AT270)),MAX(-Z_CLIP,MIN(Z_CLIP,(AR270-AT270)/AU270)),"")</f>
        <v/>
      </c>
      <c r="AW270" s="40">
        <f>IF(ISNUMBER(AV270),-AV270,"")</f>
        <v/>
      </c>
      <c r="AX270" s="40">
        <f>IF(ISNUMBER(AW270),1+AMPLITUD*TANH(AW270),"")</f>
        <v/>
      </c>
      <c r="AY270" s="40">
        <f>IF($A270="","",IF(COUNT(AX268:AX270)&gt;0,AVERAGE(AX268:AX270),""))</f>
        <v/>
      </c>
      <c r="AZ270" s="40">
        <f>IF(ISNUMBER(AY270),AY270-1,"")</f>
        <v/>
      </c>
      <c r="BA270" s="40">
        <f>IF(AND(ISNUMBER(AZ269),ISNUMBER(W270)),AZ269*W_BANCOS*W270,"")</f>
        <v/>
      </c>
      <c r="BB270" s="40">
        <f>IF(AND(ISNUMBER(AZ269),ISNUMBER(AZ268)),ABS(AZ269-AZ268)*W_BANCOS*COSTO,0)</f>
        <v/>
      </c>
      <c r="BC270" s="40">
        <f>IF(ISNUMBER(BA270),BA270-BB270,"")</f>
        <v/>
      </c>
      <c r="BD270" s="42">
        <f>IF(ISNUMBER(BC270),IF(A270&lt;=FECHA_ERA,"A","B"),"")</f>
        <v/>
      </c>
      <c r="BE270" s="40">
        <f>IF(BD270="A",BC270,"")</f>
        <v/>
      </c>
      <c r="BF270" s="40">
        <f>IF(BD270="B",BC270,"")</f>
        <v/>
      </c>
      <c r="BG270" s="38">
        <f>IF(AND(ISNUMBER(BC270),ISNUMBER(A270)),IF(A270&gt;=INICIO_VIVO,1,0),0)</f>
        <v/>
      </c>
      <c r="BH270" s="40">
        <f>IF(BG270=1,BC270,"")</f>
        <v/>
      </c>
      <c r="BI270" s="38">
        <f>IF(ISNUMBER(AY270),ROW(),0)</f>
        <v/>
      </c>
      <c r="BJ270" s="43">
        <f>IF(ISNUMBER(BC270),SUM(BC$5:BC270)*10000,NA())</f>
        <v/>
      </c>
      <c r="BK270" s="43">
        <f>IF(BG270=1,SUM(BH$5:BH270)*10000,NA())</f>
        <v/>
      </c>
      <c r="BL270" s="44">
        <f>IF(ISNUMBER(AY270),AY270,NA())</f>
        <v/>
      </c>
    </row>
    <row r="271">
      <c r="A271" s="36">
        <f>IF(Datos!A271="","",Datos!A271)</f>
        <v/>
      </c>
      <c r="B271" s="37">
        <f>IF(OR($A271="",NOT(ISNUMBER(Datos!B271)),NOT(ISNUMBER(Datos!B270))),"",Datos!B271/Datos!B270-1)</f>
        <v/>
      </c>
      <c r="C271" s="37">
        <f>IF(OR($A271="",NOT(ISNUMBER(Datos!C271)),NOT(ISNUMBER(Datos!C270))),"",Datos!C271/Datos!C270-1)</f>
        <v/>
      </c>
      <c r="D271" s="37">
        <f>IF(OR($A271="",NOT(ISNUMBER(Datos!D271)),NOT(ISNUMBER(Datos!D270))),"",Datos!D271/Datos!D270-1)</f>
        <v/>
      </c>
      <c r="E271" s="37">
        <f>IF(OR($A271="",NOT(ISNUMBER(Datos!E271)),NOT(ISNUMBER(Datos!E270))),"",Datos!E271/Datos!E270-1)</f>
        <v/>
      </c>
      <c r="F271" s="38">
        <f>IF($A271="","",COUNT(B271:E271))</f>
        <v/>
      </c>
      <c r="G271" s="37">
        <f>IF($A271="","",IF(F271&gt;=MIN_BANCOS,AVERAGE(B271:E271),""))</f>
        <v/>
      </c>
      <c r="H271" s="37">
        <f>IF(OR($A271="",NOT(ISNUMBER(Datos!F271)),NOT(ISNUMBER(Datos!F270))),"",Datos!F271/Datos!F270-1)</f>
        <v/>
      </c>
      <c r="I271" s="39">
        <f>IF($A271="","",IF(ISNUMBER(Datos!G271),Datos!G271,I270))</f>
        <v/>
      </c>
      <c r="J271" s="40">
        <f>IF($A271="","",IF(ISNUMBER(I270),LN(1+I270/100/12),0))</f>
        <v/>
      </c>
      <c r="K271" s="40">
        <f>IF(ISNUMBER(G271),LN(1+G271)-J271,"")</f>
        <v/>
      </c>
      <c r="L271" s="40">
        <f>IF(ISNUMBER(H271),LN(1+H271)-J271,"")</f>
        <v/>
      </c>
      <c r="M271" s="38">
        <f>IF(ISNUMBER(K271),1,0)</f>
        <v/>
      </c>
      <c r="N271" s="40">
        <f>IF(M271=1,K271,0)</f>
        <v/>
      </c>
      <c r="O271" s="38">
        <f>IF(ISNUMBER(L271),1,0)</f>
        <v/>
      </c>
      <c r="P271" s="40">
        <f>IF(O271=1,L271,0)</f>
        <v/>
      </c>
      <c r="Q271" s="38">
        <f>M271*O271</f>
        <v/>
      </c>
      <c r="R271" s="38">
        <f>SUM(Q235:Q270)</f>
        <v/>
      </c>
      <c r="S271" s="41">
        <f>IF(OR($A271="",R271&lt;MIN_OBS_ROLL),"",(SUMPRODUCT(Q235:Q270,N235:N270,P235:P270)/R271-SUMPRODUCT(Q235:Q270,N235:N270)/R271*SUMPRODUCT(Q235:Q270,P235:P270)/R271)*R271/(R271-1))</f>
        <v/>
      </c>
      <c r="T271" s="38">
        <f>SUM(O235:O270)</f>
        <v/>
      </c>
      <c r="U271" s="41">
        <f>IF(OR($A271="",T271&lt;MIN_OBS_ROLL),"",SUMPRODUCT(O235:O270,(P235:P270-SUMPRODUCT(O235:O270,P235:P270)/T271)^2)/(T271-1))</f>
        <v/>
      </c>
      <c r="V271" s="40">
        <f>IF(OR(S271="",U271=""),"",S271/U271)</f>
        <v/>
      </c>
      <c r="W271" s="40">
        <f>IF(AND(ISNUMBER(K271),ISNUMBER(L271),ISNUMBER(V271)),K271-V271*L271,"")</f>
        <v/>
      </c>
      <c r="X271" s="40">
        <f>IF(OR($A271="",NOT(ISNUMBER(Datos!H271)),NOT(ISNUMBER(Datos!H270))),"",LN(Datos!H271)-LN(Datos!H270))</f>
        <v/>
      </c>
      <c r="Y271" s="38">
        <f>IF(ISNUMBER(W271),1,0)</f>
        <v/>
      </c>
      <c r="Z271" s="40">
        <f>IF(Y271=1,W271,0)</f>
        <v/>
      </c>
      <c r="AA271" s="38">
        <f>IF(ISNUMBER(X271),1,0)</f>
        <v/>
      </c>
      <c r="AB271" s="40">
        <f>IF(AA271=1,X271,0)</f>
        <v/>
      </c>
      <c r="AC271" s="38">
        <f>Y271*AA271</f>
        <v/>
      </c>
      <c r="AD271" s="38">
        <f>SUM(AC235:AC270)</f>
        <v/>
      </c>
      <c r="AE271" s="41">
        <f>IF(OR($A271="",AD271&lt;MIN_OBS_ROLL),"",(SUMPRODUCT(AC235:AC270,Z235:Z270,AB235:AB270)/AD271-SUMPRODUCT(AC235:AC270,Z235:Z270)/AD271*SUMPRODUCT(AC235:AC270,AB235:AB270)/AD271)*AD271/(AD271-1))</f>
        <v/>
      </c>
      <c r="AF271" s="38">
        <f>SUM(AA235:AA270)</f>
        <v/>
      </c>
      <c r="AG271" s="41">
        <f>IF(OR($A271="",AF271&lt;MIN_OBS_ROLL),"",SUMPRODUCT(AA235:AA270,(AB235:AB270-SUMPRODUCT(AA235:AA270,AB235:AB270)/AF271)^2)/(AF271-1))</f>
        <v/>
      </c>
      <c r="AH271" s="38">
        <f>SUM(Y235:Y270)</f>
        <v/>
      </c>
      <c r="AI271" s="40">
        <f>IF(OR($A271="",AH271&lt;MIN_OBS_ROLL),"",SUMPRODUCT(Y235:Y270,Z235:Z270)/AH271)</f>
        <v/>
      </c>
      <c r="AJ271" s="40">
        <f>IF(OR($A271="",AF271&lt;MIN_OBS_ROLL),"",SUMPRODUCT(AA235:AA270,AB235:AB270)/AF271)</f>
        <v/>
      </c>
      <c r="AK271" s="40">
        <f>IF(OR(AE271="",AG271=""),"",AE271/AG271)</f>
        <v/>
      </c>
      <c r="AL271" s="40">
        <f>IF(OR(AI271="",AK271="",AJ271=""),"",AI271-AK271*AJ271)</f>
        <v/>
      </c>
      <c r="AM271" s="40">
        <f>IF(AND(ISNUMBER(W271),ISNUMBER(X271),ISNUMBER(AK271),ISNUMBER(AL271)),W271-(AL271+AK271*X271),"")</f>
        <v/>
      </c>
      <c r="AN271" s="38">
        <f>IF(ISNUMBER(AM271),1,0)</f>
        <v/>
      </c>
      <c r="AO271" s="40">
        <f>IF(AN271=1,AM271,0)</f>
        <v/>
      </c>
      <c r="AP271" s="40">
        <f>IF(SUM(AN269:AN271)=3,SUM(AO269:AO271),"")</f>
        <v/>
      </c>
      <c r="AQ271" s="38">
        <f>IF(ISNUMBER(AP271),1,0)</f>
        <v/>
      </c>
      <c r="AR271" s="40">
        <f>IF(AQ271=1,AP271,0)</f>
        <v/>
      </c>
      <c r="AS271" s="38">
        <f>SUM(AQ$5:AQ271)</f>
        <v/>
      </c>
      <c r="AT271" s="40">
        <f>IF(AS271&gt;=MIN_OBS_Z,SUMPRODUCT(AQ$5:AQ271,AR$5:AR271)/AS271,"")</f>
        <v/>
      </c>
      <c r="AU271" s="40">
        <f>IF(AS271&gt;=MIN_OBS_Z,SQRT(SUMPRODUCT(AQ$5:AQ271,(AR$5:AR271-AT271)^2)/(AS271-1)),"")</f>
        <v/>
      </c>
      <c r="AV271" s="40">
        <f>IF(AND(AQ271=1,ISNUMBER(AT271)),MAX(-Z_CLIP,MIN(Z_CLIP,(AR271-AT271)/AU271)),"")</f>
        <v/>
      </c>
      <c r="AW271" s="40">
        <f>IF(ISNUMBER(AV271),-AV271,"")</f>
        <v/>
      </c>
      <c r="AX271" s="40">
        <f>IF(ISNUMBER(AW271),1+AMPLITUD*TANH(AW271),"")</f>
        <v/>
      </c>
      <c r="AY271" s="40">
        <f>IF($A271="","",IF(COUNT(AX269:AX271)&gt;0,AVERAGE(AX269:AX271),""))</f>
        <v/>
      </c>
      <c r="AZ271" s="40">
        <f>IF(ISNUMBER(AY271),AY271-1,"")</f>
        <v/>
      </c>
      <c r="BA271" s="40">
        <f>IF(AND(ISNUMBER(AZ270),ISNUMBER(W271)),AZ270*W_BANCOS*W271,"")</f>
        <v/>
      </c>
      <c r="BB271" s="40">
        <f>IF(AND(ISNUMBER(AZ270),ISNUMBER(AZ269)),ABS(AZ270-AZ269)*W_BANCOS*COSTO,0)</f>
        <v/>
      </c>
      <c r="BC271" s="40">
        <f>IF(ISNUMBER(BA271),BA271-BB271,"")</f>
        <v/>
      </c>
      <c r="BD271" s="42">
        <f>IF(ISNUMBER(BC271),IF(A271&lt;=FECHA_ERA,"A","B"),"")</f>
        <v/>
      </c>
      <c r="BE271" s="40">
        <f>IF(BD271="A",BC271,"")</f>
        <v/>
      </c>
      <c r="BF271" s="40">
        <f>IF(BD271="B",BC271,"")</f>
        <v/>
      </c>
      <c r="BG271" s="38">
        <f>IF(AND(ISNUMBER(BC271),ISNUMBER(A271)),IF(A271&gt;=INICIO_VIVO,1,0),0)</f>
        <v/>
      </c>
      <c r="BH271" s="40">
        <f>IF(BG271=1,BC271,"")</f>
        <v/>
      </c>
      <c r="BI271" s="38">
        <f>IF(ISNUMBER(AY271),ROW(),0)</f>
        <v/>
      </c>
      <c r="BJ271" s="43">
        <f>IF(ISNUMBER(BC271),SUM(BC$5:BC271)*10000,NA())</f>
        <v/>
      </c>
      <c r="BK271" s="43">
        <f>IF(BG271=1,SUM(BH$5:BH271)*10000,NA())</f>
        <v/>
      </c>
      <c r="BL271" s="44">
        <f>IF(ISNUMBER(AY271),AY271,NA())</f>
        <v/>
      </c>
    </row>
    <row r="272">
      <c r="A272" s="36">
        <f>IF(Datos!A272="","",Datos!A272)</f>
        <v/>
      </c>
      <c r="B272" s="37">
        <f>IF(OR($A272="",NOT(ISNUMBER(Datos!B272)),NOT(ISNUMBER(Datos!B271))),"",Datos!B272/Datos!B271-1)</f>
        <v/>
      </c>
      <c r="C272" s="37">
        <f>IF(OR($A272="",NOT(ISNUMBER(Datos!C272)),NOT(ISNUMBER(Datos!C271))),"",Datos!C272/Datos!C271-1)</f>
        <v/>
      </c>
      <c r="D272" s="37">
        <f>IF(OR($A272="",NOT(ISNUMBER(Datos!D272)),NOT(ISNUMBER(Datos!D271))),"",Datos!D272/Datos!D271-1)</f>
        <v/>
      </c>
      <c r="E272" s="37">
        <f>IF(OR($A272="",NOT(ISNUMBER(Datos!E272)),NOT(ISNUMBER(Datos!E271))),"",Datos!E272/Datos!E271-1)</f>
        <v/>
      </c>
      <c r="F272" s="38">
        <f>IF($A272="","",COUNT(B272:E272))</f>
        <v/>
      </c>
      <c r="G272" s="37">
        <f>IF($A272="","",IF(F272&gt;=MIN_BANCOS,AVERAGE(B272:E272),""))</f>
        <v/>
      </c>
      <c r="H272" s="37">
        <f>IF(OR($A272="",NOT(ISNUMBER(Datos!F272)),NOT(ISNUMBER(Datos!F271))),"",Datos!F272/Datos!F271-1)</f>
        <v/>
      </c>
      <c r="I272" s="39">
        <f>IF($A272="","",IF(ISNUMBER(Datos!G272),Datos!G272,I271))</f>
        <v/>
      </c>
      <c r="J272" s="40">
        <f>IF($A272="","",IF(ISNUMBER(I271),LN(1+I271/100/12),0))</f>
        <v/>
      </c>
      <c r="K272" s="40">
        <f>IF(ISNUMBER(G272),LN(1+G272)-J272,"")</f>
        <v/>
      </c>
      <c r="L272" s="40">
        <f>IF(ISNUMBER(H272),LN(1+H272)-J272,"")</f>
        <v/>
      </c>
      <c r="M272" s="38">
        <f>IF(ISNUMBER(K272),1,0)</f>
        <v/>
      </c>
      <c r="N272" s="40">
        <f>IF(M272=1,K272,0)</f>
        <v/>
      </c>
      <c r="O272" s="38">
        <f>IF(ISNUMBER(L272),1,0)</f>
        <v/>
      </c>
      <c r="P272" s="40">
        <f>IF(O272=1,L272,0)</f>
        <v/>
      </c>
      <c r="Q272" s="38">
        <f>M272*O272</f>
        <v/>
      </c>
      <c r="R272" s="38">
        <f>SUM(Q236:Q271)</f>
        <v/>
      </c>
      <c r="S272" s="41">
        <f>IF(OR($A272="",R272&lt;MIN_OBS_ROLL),"",(SUMPRODUCT(Q236:Q271,N236:N271,P236:P271)/R272-SUMPRODUCT(Q236:Q271,N236:N271)/R272*SUMPRODUCT(Q236:Q271,P236:P271)/R272)*R272/(R272-1))</f>
        <v/>
      </c>
      <c r="T272" s="38">
        <f>SUM(O236:O271)</f>
        <v/>
      </c>
      <c r="U272" s="41">
        <f>IF(OR($A272="",T272&lt;MIN_OBS_ROLL),"",SUMPRODUCT(O236:O271,(P236:P271-SUMPRODUCT(O236:O271,P236:P271)/T272)^2)/(T272-1))</f>
        <v/>
      </c>
      <c r="V272" s="40">
        <f>IF(OR(S272="",U272=""),"",S272/U272)</f>
        <v/>
      </c>
      <c r="W272" s="40">
        <f>IF(AND(ISNUMBER(K272),ISNUMBER(L272),ISNUMBER(V272)),K272-V272*L272,"")</f>
        <v/>
      </c>
      <c r="X272" s="40">
        <f>IF(OR($A272="",NOT(ISNUMBER(Datos!H272)),NOT(ISNUMBER(Datos!H271))),"",LN(Datos!H272)-LN(Datos!H271))</f>
        <v/>
      </c>
      <c r="Y272" s="38">
        <f>IF(ISNUMBER(W272),1,0)</f>
        <v/>
      </c>
      <c r="Z272" s="40">
        <f>IF(Y272=1,W272,0)</f>
        <v/>
      </c>
      <c r="AA272" s="38">
        <f>IF(ISNUMBER(X272),1,0)</f>
        <v/>
      </c>
      <c r="AB272" s="40">
        <f>IF(AA272=1,X272,0)</f>
        <v/>
      </c>
      <c r="AC272" s="38">
        <f>Y272*AA272</f>
        <v/>
      </c>
      <c r="AD272" s="38">
        <f>SUM(AC236:AC271)</f>
        <v/>
      </c>
      <c r="AE272" s="41">
        <f>IF(OR($A272="",AD272&lt;MIN_OBS_ROLL),"",(SUMPRODUCT(AC236:AC271,Z236:Z271,AB236:AB271)/AD272-SUMPRODUCT(AC236:AC271,Z236:Z271)/AD272*SUMPRODUCT(AC236:AC271,AB236:AB271)/AD272)*AD272/(AD272-1))</f>
        <v/>
      </c>
      <c r="AF272" s="38">
        <f>SUM(AA236:AA271)</f>
        <v/>
      </c>
      <c r="AG272" s="41">
        <f>IF(OR($A272="",AF272&lt;MIN_OBS_ROLL),"",SUMPRODUCT(AA236:AA271,(AB236:AB271-SUMPRODUCT(AA236:AA271,AB236:AB271)/AF272)^2)/(AF272-1))</f>
        <v/>
      </c>
      <c r="AH272" s="38">
        <f>SUM(Y236:Y271)</f>
        <v/>
      </c>
      <c r="AI272" s="40">
        <f>IF(OR($A272="",AH272&lt;MIN_OBS_ROLL),"",SUMPRODUCT(Y236:Y271,Z236:Z271)/AH272)</f>
        <v/>
      </c>
      <c r="AJ272" s="40">
        <f>IF(OR($A272="",AF272&lt;MIN_OBS_ROLL),"",SUMPRODUCT(AA236:AA271,AB236:AB271)/AF272)</f>
        <v/>
      </c>
      <c r="AK272" s="40">
        <f>IF(OR(AE272="",AG272=""),"",AE272/AG272)</f>
        <v/>
      </c>
      <c r="AL272" s="40">
        <f>IF(OR(AI272="",AK272="",AJ272=""),"",AI272-AK272*AJ272)</f>
        <v/>
      </c>
      <c r="AM272" s="40">
        <f>IF(AND(ISNUMBER(W272),ISNUMBER(X272),ISNUMBER(AK272),ISNUMBER(AL272)),W272-(AL272+AK272*X272),"")</f>
        <v/>
      </c>
      <c r="AN272" s="38">
        <f>IF(ISNUMBER(AM272),1,0)</f>
        <v/>
      </c>
      <c r="AO272" s="40">
        <f>IF(AN272=1,AM272,0)</f>
        <v/>
      </c>
      <c r="AP272" s="40">
        <f>IF(SUM(AN270:AN272)=3,SUM(AO270:AO272),"")</f>
        <v/>
      </c>
      <c r="AQ272" s="38">
        <f>IF(ISNUMBER(AP272),1,0)</f>
        <v/>
      </c>
      <c r="AR272" s="40">
        <f>IF(AQ272=1,AP272,0)</f>
        <v/>
      </c>
      <c r="AS272" s="38">
        <f>SUM(AQ$5:AQ272)</f>
        <v/>
      </c>
      <c r="AT272" s="40">
        <f>IF(AS272&gt;=MIN_OBS_Z,SUMPRODUCT(AQ$5:AQ272,AR$5:AR272)/AS272,"")</f>
        <v/>
      </c>
      <c r="AU272" s="40">
        <f>IF(AS272&gt;=MIN_OBS_Z,SQRT(SUMPRODUCT(AQ$5:AQ272,(AR$5:AR272-AT272)^2)/(AS272-1)),"")</f>
        <v/>
      </c>
      <c r="AV272" s="40">
        <f>IF(AND(AQ272=1,ISNUMBER(AT272)),MAX(-Z_CLIP,MIN(Z_CLIP,(AR272-AT272)/AU272)),"")</f>
        <v/>
      </c>
      <c r="AW272" s="40">
        <f>IF(ISNUMBER(AV272),-AV272,"")</f>
        <v/>
      </c>
      <c r="AX272" s="40">
        <f>IF(ISNUMBER(AW272),1+AMPLITUD*TANH(AW272),"")</f>
        <v/>
      </c>
      <c r="AY272" s="40">
        <f>IF($A272="","",IF(COUNT(AX270:AX272)&gt;0,AVERAGE(AX270:AX272),""))</f>
        <v/>
      </c>
      <c r="AZ272" s="40">
        <f>IF(ISNUMBER(AY272),AY272-1,"")</f>
        <v/>
      </c>
      <c r="BA272" s="40">
        <f>IF(AND(ISNUMBER(AZ271),ISNUMBER(W272)),AZ271*W_BANCOS*W272,"")</f>
        <v/>
      </c>
      <c r="BB272" s="40">
        <f>IF(AND(ISNUMBER(AZ271),ISNUMBER(AZ270)),ABS(AZ271-AZ270)*W_BANCOS*COSTO,0)</f>
        <v/>
      </c>
      <c r="BC272" s="40">
        <f>IF(ISNUMBER(BA272),BA272-BB272,"")</f>
        <v/>
      </c>
      <c r="BD272" s="42">
        <f>IF(ISNUMBER(BC272),IF(A272&lt;=FECHA_ERA,"A","B"),"")</f>
        <v/>
      </c>
      <c r="BE272" s="40">
        <f>IF(BD272="A",BC272,"")</f>
        <v/>
      </c>
      <c r="BF272" s="40">
        <f>IF(BD272="B",BC272,"")</f>
        <v/>
      </c>
      <c r="BG272" s="38">
        <f>IF(AND(ISNUMBER(BC272),ISNUMBER(A272)),IF(A272&gt;=INICIO_VIVO,1,0),0)</f>
        <v/>
      </c>
      <c r="BH272" s="40">
        <f>IF(BG272=1,BC272,"")</f>
        <v/>
      </c>
      <c r="BI272" s="38">
        <f>IF(ISNUMBER(AY272),ROW(),0)</f>
        <v/>
      </c>
      <c r="BJ272" s="43">
        <f>IF(ISNUMBER(BC272),SUM(BC$5:BC272)*10000,NA())</f>
        <v/>
      </c>
      <c r="BK272" s="43">
        <f>IF(BG272=1,SUM(BH$5:BH272)*10000,NA())</f>
        <v/>
      </c>
      <c r="BL272" s="44">
        <f>IF(ISNUMBER(AY272),AY272,NA())</f>
        <v/>
      </c>
    </row>
    <row r="273">
      <c r="A273" s="36">
        <f>IF(Datos!A273="","",Datos!A273)</f>
        <v/>
      </c>
      <c r="B273" s="37">
        <f>IF(OR($A273="",NOT(ISNUMBER(Datos!B273)),NOT(ISNUMBER(Datos!B272))),"",Datos!B273/Datos!B272-1)</f>
        <v/>
      </c>
      <c r="C273" s="37">
        <f>IF(OR($A273="",NOT(ISNUMBER(Datos!C273)),NOT(ISNUMBER(Datos!C272))),"",Datos!C273/Datos!C272-1)</f>
        <v/>
      </c>
      <c r="D273" s="37">
        <f>IF(OR($A273="",NOT(ISNUMBER(Datos!D273)),NOT(ISNUMBER(Datos!D272))),"",Datos!D273/Datos!D272-1)</f>
        <v/>
      </c>
      <c r="E273" s="37">
        <f>IF(OR($A273="",NOT(ISNUMBER(Datos!E273)),NOT(ISNUMBER(Datos!E272))),"",Datos!E273/Datos!E272-1)</f>
        <v/>
      </c>
      <c r="F273" s="38">
        <f>IF($A273="","",COUNT(B273:E273))</f>
        <v/>
      </c>
      <c r="G273" s="37">
        <f>IF($A273="","",IF(F273&gt;=MIN_BANCOS,AVERAGE(B273:E273),""))</f>
        <v/>
      </c>
      <c r="H273" s="37">
        <f>IF(OR($A273="",NOT(ISNUMBER(Datos!F273)),NOT(ISNUMBER(Datos!F272))),"",Datos!F273/Datos!F272-1)</f>
        <v/>
      </c>
      <c r="I273" s="39">
        <f>IF($A273="","",IF(ISNUMBER(Datos!G273),Datos!G273,I272))</f>
        <v/>
      </c>
      <c r="J273" s="40">
        <f>IF($A273="","",IF(ISNUMBER(I272),LN(1+I272/100/12),0))</f>
        <v/>
      </c>
      <c r="K273" s="40">
        <f>IF(ISNUMBER(G273),LN(1+G273)-J273,"")</f>
        <v/>
      </c>
      <c r="L273" s="40">
        <f>IF(ISNUMBER(H273),LN(1+H273)-J273,"")</f>
        <v/>
      </c>
      <c r="M273" s="38">
        <f>IF(ISNUMBER(K273),1,0)</f>
        <v/>
      </c>
      <c r="N273" s="40">
        <f>IF(M273=1,K273,0)</f>
        <v/>
      </c>
      <c r="O273" s="38">
        <f>IF(ISNUMBER(L273),1,0)</f>
        <v/>
      </c>
      <c r="P273" s="40">
        <f>IF(O273=1,L273,0)</f>
        <v/>
      </c>
      <c r="Q273" s="38">
        <f>M273*O273</f>
        <v/>
      </c>
      <c r="R273" s="38">
        <f>SUM(Q237:Q272)</f>
        <v/>
      </c>
      <c r="S273" s="41">
        <f>IF(OR($A273="",R273&lt;MIN_OBS_ROLL),"",(SUMPRODUCT(Q237:Q272,N237:N272,P237:P272)/R273-SUMPRODUCT(Q237:Q272,N237:N272)/R273*SUMPRODUCT(Q237:Q272,P237:P272)/R273)*R273/(R273-1))</f>
        <v/>
      </c>
      <c r="T273" s="38">
        <f>SUM(O237:O272)</f>
        <v/>
      </c>
      <c r="U273" s="41">
        <f>IF(OR($A273="",T273&lt;MIN_OBS_ROLL),"",SUMPRODUCT(O237:O272,(P237:P272-SUMPRODUCT(O237:O272,P237:P272)/T273)^2)/(T273-1))</f>
        <v/>
      </c>
      <c r="V273" s="40">
        <f>IF(OR(S273="",U273=""),"",S273/U273)</f>
        <v/>
      </c>
      <c r="W273" s="40">
        <f>IF(AND(ISNUMBER(K273),ISNUMBER(L273),ISNUMBER(V273)),K273-V273*L273,"")</f>
        <v/>
      </c>
      <c r="X273" s="40">
        <f>IF(OR($A273="",NOT(ISNUMBER(Datos!H273)),NOT(ISNUMBER(Datos!H272))),"",LN(Datos!H273)-LN(Datos!H272))</f>
        <v/>
      </c>
      <c r="Y273" s="38">
        <f>IF(ISNUMBER(W273),1,0)</f>
        <v/>
      </c>
      <c r="Z273" s="40">
        <f>IF(Y273=1,W273,0)</f>
        <v/>
      </c>
      <c r="AA273" s="38">
        <f>IF(ISNUMBER(X273),1,0)</f>
        <v/>
      </c>
      <c r="AB273" s="40">
        <f>IF(AA273=1,X273,0)</f>
        <v/>
      </c>
      <c r="AC273" s="38">
        <f>Y273*AA273</f>
        <v/>
      </c>
      <c r="AD273" s="38">
        <f>SUM(AC237:AC272)</f>
        <v/>
      </c>
      <c r="AE273" s="41">
        <f>IF(OR($A273="",AD273&lt;MIN_OBS_ROLL),"",(SUMPRODUCT(AC237:AC272,Z237:Z272,AB237:AB272)/AD273-SUMPRODUCT(AC237:AC272,Z237:Z272)/AD273*SUMPRODUCT(AC237:AC272,AB237:AB272)/AD273)*AD273/(AD273-1))</f>
        <v/>
      </c>
      <c r="AF273" s="38">
        <f>SUM(AA237:AA272)</f>
        <v/>
      </c>
      <c r="AG273" s="41">
        <f>IF(OR($A273="",AF273&lt;MIN_OBS_ROLL),"",SUMPRODUCT(AA237:AA272,(AB237:AB272-SUMPRODUCT(AA237:AA272,AB237:AB272)/AF273)^2)/(AF273-1))</f>
        <v/>
      </c>
      <c r="AH273" s="38">
        <f>SUM(Y237:Y272)</f>
        <v/>
      </c>
      <c r="AI273" s="40">
        <f>IF(OR($A273="",AH273&lt;MIN_OBS_ROLL),"",SUMPRODUCT(Y237:Y272,Z237:Z272)/AH273)</f>
        <v/>
      </c>
      <c r="AJ273" s="40">
        <f>IF(OR($A273="",AF273&lt;MIN_OBS_ROLL),"",SUMPRODUCT(AA237:AA272,AB237:AB272)/AF273)</f>
        <v/>
      </c>
      <c r="AK273" s="40">
        <f>IF(OR(AE273="",AG273=""),"",AE273/AG273)</f>
        <v/>
      </c>
      <c r="AL273" s="40">
        <f>IF(OR(AI273="",AK273="",AJ273=""),"",AI273-AK273*AJ273)</f>
        <v/>
      </c>
      <c r="AM273" s="40">
        <f>IF(AND(ISNUMBER(W273),ISNUMBER(X273),ISNUMBER(AK273),ISNUMBER(AL273)),W273-(AL273+AK273*X273),"")</f>
        <v/>
      </c>
      <c r="AN273" s="38">
        <f>IF(ISNUMBER(AM273),1,0)</f>
        <v/>
      </c>
      <c r="AO273" s="40">
        <f>IF(AN273=1,AM273,0)</f>
        <v/>
      </c>
      <c r="AP273" s="40">
        <f>IF(SUM(AN271:AN273)=3,SUM(AO271:AO273),"")</f>
        <v/>
      </c>
      <c r="AQ273" s="38">
        <f>IF(ISNUMBER(AP273),1,0)</f>
        <v/>
      </c>
      <c r="AR273" s="40">
        <f>IF(AQ273=1,AP273,0)</f>
        <v/>
      </c>
      <c r="AS273" s="38">
        <f>SUM(AQ$5:AQ273)</f>
        <v/>
      </c>
      <c r="AT273" s="40">
        <f>IF(AS273&gt;=MIN_OBS_Z,SUMPRODUCT(AQ$5:AQ273,AR$5:AR273)/AS273,"")</f>
        <v/>
      </c>
      <c r="AU273" s="40">
        <f>IF(AS273&gt;=MIN_OBS_Z,SQRT(SUMPRODUCT(AQ$5:AQ273,(AR$5:AR273-AT273)^2)/(AS273-1)),"")</f>
        <v/>
      </c>
      <c r="AV273" s="40">
        <f>IF(AND(AQ273=1,ISNUMBER(AT273)),MAX(-Z_CLIP,MIN(Z_CLIP,(AR273-AT273)/AU273)),"")</f>
        <v/>
      </c>
      <c r="AW273" s="40">
        <f>IF(ISNUMBER(AV273),-AV273,"")</f>
        <v/>
      </c>
      <c r="AX273" s="40">
        <f>IF(ISNUMBER(AW273),1+AMPLITUD*TANH(AW273),"")</f>
        <v/>
      </c>
      <c r="AY273" s="40">
        <f>IF($A273="","",IF(COUNT(AX271:AX273)&gt;0,AVERAGE(AX271:AX273),""))</f>
        <v/>
      </c>
      <c r="AZ273" s="40">
        <f>IF(ISNUMBER(AY273),AY273-1,"")</f>
        <v/>
      </c>
      <c r="BA273" s="40">
        <f>IF(AND(ISNUMBER(AZ272),ISNUMBER(W273)),AZ272*W_BANCOS*W273,"")</f>
        <v/>
      </c>
      <c r="BB273" s="40">
        <f>IF(AND(ISNUMBER(AZ272),ISNUMBER(AZ271)),ABS(AZ272-AZ271)*W_BANCOS*COSTO,0)</f>
        <v/>
      </c>
      <c r="BC273" s="40">
        <f>IF(ISNUMBER(BA273),BA273-BB273,"")</f>
        <v/>
      </c>
      <c r="BD273" s="42">
        <f>IF(ISNUMBER(BC273),IF(A273&lt;=FECHA_ERA,"A","B"),"")</f>
        <v/>
      </c>
      <c r="BE273" s="40">
        <f>IF(BD273="A",BC273,"")</f>
        <v/>
      </c>
      <c r="BF273" s="40">
        <f>IF(BD273="B",BC273,"")</f>
        <v/>
      </c>
      <c r="BG273" s="38">
        <f>IF(AND(ISNUMBER(BC273),ISNUMBER(A273)),IF(A273&gt;=INICIO_VIVO,1,0),0)</f>
        <v/>
      </c>
      <c r="BH273" s="40">
        <f>IF(BG273=1,BC273,"")</f>
        <v/>
      </c>
      <c r="BI273" s="38">
        <f>IF(ISNUMBER(AY273),ROW(),0)</f>
        <v/>
      </c>
      <c r="BJ273" s="43">
        <f>IF(ISNUMBER(BC273),SUM(BC$5:BC273)*10000,NA())</f>
        <v/>
      </c>
      <c r="BK273" s="43">
        <f>IF(BG273=1,SUM(BH$5:BH273)*10000,NA())</f>
        <v/>
      </c>
      <c r="BL273" s="44">
        <f>IF(ISNUMBER(AY273),AY273,NA())</f>
        <v/>
      </c>
    </row>
    <row r="274">
      <c r="A274" s="36">
        <f>IF(Datos!A274="","",Datos!A274)</f>
        <v/>
      </c>
      <c r="B274" s="37">
        <f>IF(OR($A274="",NOT(ISNUMBER(Datos!B274)),NOT(ISNUMBER(Datos!B273))),"",Datos!B274/Datos!B273-1)</f>
        <v/>
      </c>
      <c r="C274" s="37">
        <f>IF(OR($A274="",NOT(ISNUMBER(Datos!C274)),NOT(ISNUMBER(Datos!C273))),"",Datos!C274/Datos!C273-1)</f>
        <v/>
      </c>
      <c r="D274" s="37">
        <f>IF(OR($A274="",NOT(ISNUMBER(Datos!D274)),NOT(ISNUMBER(Datos!D273))),"",Datos!D274/Datos!D273-1)</f>
        <v/>
      </c>
      <c r="E274" s="37">
        <f>IF(OR($A274="",NOT(ISNUMBER(Datos!E274)),NOT(ISNUMBER(Datos!E273))),"",Datos!E274/Datos!E273-1)</f>
        <v/>
      </c>
      <c r="F274" s="38">
        <f>IF($A274="","",COUNT(B274:E274))</f>
        <v/>
      </c>
      <c r="G274" s="37">
        <f>IF($A274="","",IF(F274&gt;=MIN_BANCOS,AVERAGE(B274:E274),""))</f>
        <v/>
      </c>
      <c r="H274" s="37">
        <f>IF(OR($A274="",NOT(ISNUMBER(Datos!F274)),NOT(ISNUMBER(Datos!F273))),"",Datos!F274/Datos!F273-1)</f>
        <v/>
      </c>
      <c r="I274" s="39">
        <f>IF($A274="","",IF(ISNUMBER(Datos!G274),Datos!G274,I273))</f>
        <v/>
      </c>
      <c r="J274" s="40">
        <f>IF($A274="","",IF(ISNUMBER(I273),LN(1+I273/100/12),0))</f>
        <v/>
      </c>
      <c r="K274" s="40">
        <f>IF(ISNUMBER(G274),LN(1+G274)-J274,"")</f>
        <v/>
      </c>
      <c r="L274" s="40">
        <f>IF(ISNUMBER(H274),LN(1+H274)-J274,"")</f>
        <v/>
      </c>
      <c r="M274" s="38">
        <f>IF(ISNUMBER(K274),1,0)</f>
        <v/>
      </c>
      <c r="N274" s="40">
        <f>IF(M274=1,K274,0)</f>
        <v/>
      </c>
      <c r="O274" s="38">
        <f>IF(ISNUMBER(L274),1,0)</f>
        <v/>
      </c>
      <c r="P274" s="40">
        <f>IF(O274=1,L274,0)</f>
        <v/>
      </c>
      <c r="Q274" s="38">
        <f>M274*O274</f>
        <v/>
      </c>
      <c r="R274" s="38">
        <f>SUM(Q238:Q273)</f>
        <v/>
      </c>
      <c r="S274" s="41">
        <f>IF(OR($A274="",R274&lt;MIN_OBS_ROLL),"",(SUMPRODUCT(Q238:Q273,N238:N273,P238:P273)/R274-SUMPRODUCT(Q238:Q273,N238:N273)/R274*SUMPRODUCT(Q238:Q273,P238:P273)/R274)*R274/(R274-1))</f>
        <v/>
      </c>
      <c r="T274" s="38">
        <f>SUM(O238:O273)</f>
        <v/>
      </c>
      <c r="U274" s="41">
        <f>IF(OR($A274="",T274&lt;MIN_OBS_ROLL),"",SUMPRODUCT(O238:O273,(P238:P273-SUMPRODUCT(O238:O273,P238:P273)/T274)^2)/(T274-1))</f>
        <v/>
      </c>
      <c r="V274" s="40">
        <f>IF(OR(S274="",U274=""),"",S274/U274)</f>
        <v/>
      </c>
      <c r="W274" s="40">
        <f>IF(AND(ISNUMBER(K274),ISNUMBER(L274),ISNUMBER(V274)),K274-V274*L274,"")</f>
        <v/>
      </c>
      <c r="X274" s="40">
        <f>IF(OR($A274="",NOT(ISNUMBER(Datos!H274)),NOT(ISNUMBER(Datos!H273))),"",LN(Datos!H274)-LN(Datos!H273))</f>
        <v/>
      </c>
      <c r="Y274" s="38">
        <f>IF(ISNUMBER(W274),1,0)</f>
        <v/>
      </c>
      <c r="Z274" s="40">
        <f>IF(Y274=1,W274,0)</f>
        <v/>
      </c>
      <c r="AA274" s="38">
        <f>IF(ISNUMBER(X274),1,0)</f>
        <v/>
      </c>
      <c r="AB274" s="40">
        <f>IF(AA274=1,X274,0)</f>
        <v/>
      </c>
      <c r="AC274" s="38">
        <f>Y274*AA274</f>
        <v/>
      </c>
      <c r="AD274" s="38">
        <f>SUM(AC238:AC273)</f>
        <v/>
      </c>
      <c r="AE274" s="41">
        <f>IF(OR($A274="",AD274&lt;MIN_OBS_ROLL),"",(SUMPRODUCT(AC238:AC273,Z238:Z273,AB238:AB273)/AD274-SUMPRODUCT(AC238:AC273,Z238:Z273)/AD274*SUMPRODUCT(AC238:AC273,AB238:AB273)/AD274)*AD274/(AD274-1))</f>
        <v/>
      </c>
      <c r="AF274" s="38">
        <f>SUM(AA238:AA273)</f>
        <v/>
      </c>
      <c r="AG274" s="41">
        <f>IF(OR($A274="",AF274&lt;MIN_OBS_ROLL),"",SUMPRODUCT(AA238:AA273,(AB238:AB273-SUMPRODUCT(AA238:AA273,AB238:AB273)/AF274)^2)/(AF274-1))</f>
        <v/>
      </c>
      <c r="AH274" s="38">
        <f>SUM(Y238:Y273)</f>
        <v/>
      </c>
      <c r="AI274" s="40">
        <f>IF(OR($A274="",AH274&lt;MIN_OBS_ROLL),"",SUMPRODUCT(Y238:Y273,Z238:Z273)/AH274)</f>
        <v/>
      </c>
      <c r="AJ274" s="40">
        <f>IF(OR($A274="",AF274&lt;MIN_OBS_ROLL),"",SUMPRODUCT(AA238:AA273,AB238:AB273)/AF274)</f>
        <v/>
      </c>
      <c r="AK274" s="40">
        <f>IF(OR(AE274="",AG274=""),"",AE274/AG274)</f>
        <v/>
      </c>
      <c r="AL274" s="40">
        <f>IF(OR(AI274="",AK274="",AJ274=""),"",AI274-AK274*AJ274)</f>
        <v/>
      </c>
      <c r="AM274" s="40">
        <f>IF(AND(ISNUMBER(W274),ISNUMBER(X274),ISNUMBER(AK274),ISNUMBER(AL274)),W274-(AL274+AK274*X274),"")</f>
        <v/>
      </c>
      <c r="AN274" s="38">
        <f>IF(ISNUMBER(AM274),1,0)</f>
        <v/>
      </c>
      <c r="AO274" s="40">
        <f>IF(AN274=1,AM274,0)</f>
        <v/>
      </c>
      <c r="AP274" s="40">
        <f>IF(SUM(AN272:AN274)=3,SUM(AO272:AO274),"")</f>
        <v/>
      </c>
      <c r="AQ274" s="38">
        <f>IF(ISNUMBER(AP274),1,0)</f>
        <v/>
      </c>
      <c r="AR274" s="40">
        <f>IF(AQ274=1,AP274,0)</f>
        <v/>
      </c>
      <c r="AS274" s="38">
        <f>SUM(AQ$5:AQ274)</f>
        <v/>
      </c>
      <c r="AT274" s="40">
        <f>IF(AS274&gt;=MIN_OBS_Z,SUMPRODUCT(AQ$5:AQ274,AR$5:AR274)/AS274,"")</f>
        <v/>
      </c>
      <c r="AU274" s="40">
        <f>IF(AS274&gt;=MIN_OBS_Z,SQRT(SUMPRODUCT(AQ$5:AQ274,(AR$5:AR274-AT274)^2)/(AS274-1)),"")</f>
        <v/>
      </c>
      <c r="AV274" s="40">
        <f>IF(AND(AQ274=1,ISNUMBER(AT274)),MAX(-Z_CLIP,MIN(Z_CLIP,(AR274-AT274)/AU274)),"")</f>
        <v/>
      </c>
      <c r="AW274" s="40">
        <f>IF(ISNUMBER(AV274),-AV274,"")</f>
        <v/>
      </c>
      <c r="AX274" s="40">
        <f>IF(ISNUMBER(AW274),1+AMPLITUD*TANH(AW274),"")</f>
        <v/>
      </c>
      <c r="AY274" s="40">
        <f>IF($A274="","",IF(COUNT(AX272:AX274)&gt;0,AVERAGE(AX272:AX274),""))</f>
        <v/>
      </c>
      <c r="AZ274" s="40">
        <f>IF(ISNUMBER(AY274),AY274-1,"")</f>
        <v/>
      </c>
      <c r="BA274" s="40">
        <f>IF(AND(ISNUMBER(AZ273),ISNUMBER(W274)),AZ273*W_BANCOS*W274,"")</f>
        <v/>
      </c>
      <c r="BB274" s="40">
        <f>IF(AND(ISNUMBER(AZ273),ISNUMBER(AZ272)),ABS(AZ273-AZ272)*W_BANCOS*COSTO,0)</f>
        <v/>
      </c>
      <c r="BC274" s="40">
        <f>IF(ISNUMBER(BA274),BA274-BB274,"")</f>
        <v/>
      </c>
      <c r="BD274" s="42">
        <f>IF(ISNUMBER(BC274),IF(A274&lt;=FECHA_ERA,"A","B"),"")</f>
        <v/>
      </c>
      <c r="BE274" s="40">
        <f>IF(BD274="A",BC274,"")</f>
        <v/>
      </c>
      <c r="BF274" s="40">
        <f>IF(BD274="B",BC274,"")</f>
        <v/>
      </c>
      <c r="BG274" s="38">
        <f>IF(AND(ISNUMBER(BC274),ISNUMBER(A274)),IF(A274&gt;=INICIO_VIVO,1,0),0)</f>
        <v/>
      </c>
      <c r="BH274" s="40">
        <f>IF(BG274=1,BC274,"")</f>
        <v/>
      </c>
      <c r="BI274" s="38">
        <f>IF(ISNUMBER(AY274),ROW(),0)</f>
        <v/>
      </c>
      <c r="BJ274" s="43">
        <f>IF(ISNUMBER(BC274),SUM(BC$5:BC274)*10000,NA())</f>
        <v/>
      </c>
      <c r="BK274" s="43">
        <f>IF(BG274=1,SUM(BH$5:BH274)*10000,NA())</f>
        <v/>
      </c>
      <c r="BL274" s="44">
        <f>IF(ISNUMBER(AY274),AY274,NA())</f>
        <v/>
      </c>
    </row>
    <row r="275">
      <c r="A275" s="36">
        <f>IF(Datos!A275="","",Datos!A275)</f>
        <v/>
      </c>
      <c r="B275" s="37">
        <f>IF(OR($A275="",NOT(ISNUMBER(Datos!B275)),NOT(ISNUMBER(Datos!B274))),"",Datos!B275/Datos!B274-1)</f>
        <v/>
      </c>
      <c r="C275" s="37">
        <f>IF(OR($A275="",NOT(ISNUMBER(Datos!C275)),NOT(ISNUMBER(Datos!C274))),"",Datos!C275/Datos!C274-1)</f>
        <v/>
      </c>
      <c r="D275" s="37">
        <f>IF(OR($A275="",NOT(ISNUMBER(Datos!D275)),NOT(ISNUMBER(Datos!D274))),"",Datos!D275/Datos!D274-1)</f>
        <v/>
      </c>
      <c r="E275" s="37">
        <f>IF(OR($A275="",NOT(ISNUMBER(Datos!E275)),NOT(ISNUMBER(Datos!E274))),"",Datos!E275/Datos!E274-1)</f>
        <v/>
      </c>
      <c r="F275" s="38">
        <f>IF($A275="","",COUNT(B275:E275))</f>
        <v/>
      </c>
      <c r="G275" s="37">
        <f>IF($A275="","",IF(F275&gt;=MIN_BANCOS,AVERAGE(B275:E275),""))</f>
        <v/>
      </c>
      <c r="H275" s="37">
        <f>IF(OR($A275="",NOT(ISNUMBER(Datos!F275)),NOT(ISNUMBER(Datos!F274))),"",Datos!F275/Datos!F274-1)</f>
        <v/>
      </c>
      <c r="I275" s="39">
        <f>IF($A275="","",IF(ISNUMBER(Datos!G275),Datos!G275,I274))</f>
        <v/>
      </c>
      <c r="J275" s="40">
        <f>IF($A275="","",IF(ISNUMBER(I274),LN(1+I274/100/12),0))</f>
        <v/>
      </c>
      <c r="K275" s="40">
        <f>IF(ISNUMBER(G275),LN(1+G275)-J275,"")</f>
        <v/>
      </c>
      <c r="L275" s="40">
        <f>IF(ISNUMBER(H275),LN(1+H275)-J275,"")</f>
        <v/>
      </c>
      <c r="M275" s="38">
        <f>IF(ISNUMBER(K275),1,0)</f>
        <v/>
      </c>
      <c r="N275" s="40">
        <f>IF(M275=1,K275,0)</f>
        <v/>
      </c>
      <c r="O275" s="38">
        <f>IF(ISNUMBER(L275),1,0)</f>
        <v/>
      </c>
      <c r="P275" s="40">
        <f>IF(O275=1,L275,0)</f>
        <v/>
      </c>
      <c r="Q275" s="38">
        <f>M275*O275</f>
        <v/>
      </c>
      <c r="R275" s="38">
        <f>SUM(Q239:Q274)</f>
        <v/>
      </c>
      <c r="S275" s="41">
        <f>IF(OR($A275="",R275&lt;MIN_OBS_ROLL),"",(SUMPRODUCT(Q239:Q274,N239:N274,P239:P274)/R275-SUMPRODUCT(Q239:Q274,N239:N274)/R275*SUMPRODUCT(Q239:Q274,P239:P274)/R275)*R275/(R275-1))</f>
        <v/>
      </c>
      <c r="T275" s="38">
        <f>SUM(O239:O274)</f>
        <v/>
      </c>
      <c r="U275" s="41">
        <f>IF(OR($A275="",T275&lt;MIN_OBS_ROLL),"",SUMPRODUCT(O239:O274,(P239:P274-SUMPRODUCT(O239:O274,P239:P274)/T275)^2)/(T275-1))</f>
        <v/>
      </c>
      <c r="V275" s="40">
        <f>IF(OR(S275="",U275=""),"",S275/U275)</f>
        <v/>
      </c>
      <c r="W275" s="40">
        <f>IF(AND(ISNUMBER(K275),ISNUMBER(L275),ISNUMBER(V275)),K275-V275*L275,"")</f>
        <v/>
      </c>
      <c r="X275" s="40">
        <f>IF(OR($A275="",NOT(ISNUMBER(Datos!H275)),NOT(ISNUMBER(Datos!H274))),"",LN(Datos!H275)-LN(Datos!H274))</f>
        <v/>
      </c>
      <c r="Y275" s="38">
        <f>IF(ISNUMBER(W275),1,0)</f>
        <v/>
      </c>
      <c r="Z275" s="40">
        <f>IF(Y275=1,W275,0)</f>
        <v/>
      </c>
      <c r="AA275" s="38">
        <f>IF(ISNUMBER(X275),1,0)</f>
        <v/>
      </c>
      <c r="AB275" s="40">
        <f>IF(AA275=1,X275,0)</f>
        <v/>
      </c>
      <c r="AC275" s="38">
        <f>Y275*AA275</f>
        <v/>
      </c>
      <c r="AD275" s="38">
        <f>SUM(AC239:AC274)</f>
        <v/>
      </c>
      <c r="AE275" s="41">
        <f>IF(OR($A275="",AD275&lt;MIN_OBS_ROLL),"",(SUMPRODUCT(AC239:AC274,Z239:Z274,AB239:AB274)/AD275-SUMPRODUCT(AC239:AC274,Z239:Z274)/AD275*SUMPRODUCT(AC239:AC274,AB239:AB274)/AD275)*AD275/(AD275-1))</f>
        <v/>
      </c>
      <c r="AF275" s="38">
        <f>SUM(AA239:AA274)</f>
        <v/>
      </c>
      <c r="AG275" s="41">
        <f>IF(OR($A275="",AF275&lt;MIN_OBS_ROLL),"",SUMPRODUCT(AA239:AA274,(AB239:AB274-SUMPRODUCT(AA239:AA274,AB239:AB274)/AF275)^2)/(AF275-1))</f>
        <v/>
      </c>
      <c r="AH275" s="38">
        <f>SUM(Y239:Y274)</f>
        <v/>
      </c>
      <c r="AI275" s="40">
        <f>IF(OR($A275="",AH275&lt;MIN_OBS_ROLL),"",SUMPRODUCT(Y239:Y274,Z239:Z274)/AH275)</f>
        <v/>
      </c>
      <c r="AJ275" s="40">
        <f>IF(OR($A275="",AF275&lt;MIN_OBS_ROLL),"",SUMPRODUCT(AA239:AA274,AB239:AB274)/AF275)</f>
        <v/>
      </c>
      <c r="AK275" s="40">
        <f>IF(OR(AE275="",AG275=""),"",AE275/AG275)</f>
        <v/>
      </c>
      <c r="AL275" s="40">
        <f>IF(OR(AI275="",AK275="",AJ275=""),"",AI275-AK275*AJ275)</f>
        <v/>
      </c>
      <c r="AM275" s="40">
        <f>IF(AND(ISNUMBER(W275),ISNUMBER(X275),ISNUMBER(AK275),ISNUMBER(AL275)),W275-(AL275+AK275*X275),"")</f>
        <v/>
      </c>
      <c r="AN275" s="38">
        <f>IF(ISNUMBER(AM275),1,0)</f>
        <v/>
      </c>
      <c r="AO275" s="40">
        <f>IF(AN275=1,AM275,0)</f>
        <v/>
      </c>
      <c r="AP275" s="40">
        <f>IF(SUM(AN273:AN275)=3,SUM(AO273:AO275),"")</f>
        <v/>
      </c>
      <c r="AQ275" s="38">
        <f>IF(ISNUMBER(AP275),1,0)</f>
        <v/>
      </c>
      <c r="AR275" s="40">
        <f>IF(AQ275=1,AP275,0)</f>
        <v/>
      </c>
      <c r="AS275" s="38">
        <f>SUM(AQ$5:AQ275)</f>
        <v/>
      </c>
      <c r="AT275" s="40">
        <f>IF(AS275&gt;=MIN_OBS_Z,SUMPRODUCT(AQ$5:AQ275,AR$5:AR275)/AS275,"")</f>
        <v/>
      </c>
      <c r="AU275" s="40">
        <f>IF(AS275&gt;=MIN_OBS_Z,SQRT(SUMPRODUCT(AQ$5:AQ275,(AR$5:AR275-AT275)^2)/(AS275-1)),"")</f>
        <v/>
      </c>
      <c r="AV275" s="40">
        <f>IF(AND(AQ275=1,ISNUMBER(AT275)),MAX(-Z_CLIP,MIN(Z_CLIP,(AR275-AT275)/AU275)),"")</f>
        <v/>
      </c>
      <c r="AW275" s="40">
        <f>IF(ISNUMBER(AV275),-AV275,"")</f>
        <v/>
      </c>
      <c r="AX275" s="40">
        <f>IF(ISNUMBER(AW275),1+AMPLITUD*TANH(AW275),"")</f>
        <v/>
      </c>
      <c r="AY275" s="40">
        <f>IF($A275="","",IF(COUNT(AX273:AX275)&gt;0,AVERAGE(AX273:AX275),""))</f>
        <v/>
      </c>
      <c r="AZ275" s="40">
        <f>IF(ISNUMBER(AY275),AY275-1,"")</f>
        <v/>
      </c>
      <c r="BA275" s="40">
        <f>IF(AND(ISNUMBER(AZ274),ISNUMBER(W275)),AZ274*W_BANCOS*W275,"")</f>
        <v/>
      </c>
      <c r="BB275" s="40">
        <f>IF(AND(ISNUMBER(AZ274),ISNUMBER(AZ273)),ABS(AZ274-AZ273)*W_BANCOS*COSTO,0)</f>
        <v/>
      </c>
      <c r="BC275" s="40">
        <f>IF(ISNUMBER(BA275),BA275-BB275,"")</f>
        <v/>
      </c>
      <c r="BD275" s="42">
        <f>IF(ISNUMBER(BC275),IF(A275&lt;=FECHA_ERA,"A","B"),"")</f>
        <v/>
      </c>
      <c r="BE275" s="40">
        <f>IF(BD275="A",BC275,"")</f>
        <v/>
      </c>
      <c r="BF275" s="40">
        <f>IF(BD275="B",BC275,"")</f>
        <v/>
      </c>
      <c r="BG275" s="38">
        <f>IF(AND(ISNUMBER(BC275),ISNUMBER(A275)),IF(A275&gt;=INICIO_VIVO,1,0),0)</f>
        <v/>
      </c>
      <c r="BH275" s="40">
        <f>IF(BG275=1,BC275,"")</f>
        <v/>
      </c>
      <c r="BI275" s="38">
        <f>IF(ISNUMBER(AY275),ROW(),0)</f>
        <v/>
      </c>
      <c r="BJ275" s="43">
        <f>IF(ISNUMBER(BC275),SUM(BC$5:BC275)*10000,NA())</f>
        <v/>
      </c>
      <c r="BK275" s="43">
        <f>IF(BG275=1,SUM(BH$5:BH275)*10000,NA())</f>
        <v/>
      </c>
      <c r="BL275" s="44">
        <f>IF(ISNUMBER(AY275),AY275,NA())</f>
        <v/>
      </c>
    </row>
    <row r="276">
      <c r="A276" s="36">
        <f>IF(Datos!A276="","",Datos!A276)</f>
        <v/>
      </c>
      <c r="B276" s="37">
        <f>IF(OR($A276="",NOT(ISNUMBER(Datos!B276)),NOT(ISNUMBER(Datos!B275))),"",Datos!B276/Datos!B275-1)</f>
        <v/>
      </c>
      <c r="C276" s="37">
        <f>IF(OR($A276="",NOT(ISNUMBER(Datos!C276)),NOT(ISNUMBER(Datos!C275))),"",Datos!C276/Datos!C275-1)</f>
        <v/>
      </c>
      <c r="D276" s="37">
        <f>IF(OR($A276="",NOT(ISNUMBER(Datos!D276)),NOT(ISNUMBER(Datos!D275))),"",Datos!D276/Datos!D275-1)</f>
        <v/>
      </c>
      <c r="E276" s="37">
        <f>IF(OR($A276="",NOT(ISNUMBER(Datos!E276)),NOT(ISNUMBER(Datos!E275))),"",Datos!E276/Datos!E275-1)</f>
        <v/>
      </c>
      <c r="F276" s="38">
        <f>IF($A276="","",COUNT(B276:E276))</f>
        <v/>
      </c>
      <c r="G276" s="37">
        <f>IF($A276="","",IF(F276&gt;=MIN_BANCOS,AVERAGE(B276:E276),""))</f>
        <v/>
      </c>
      <c r="H276" s="37">
        <f>IF(OR($A276="",NOT(ISNUMBER(Datos!F276)),NOT(ISNUMBER(Datos!F275))),"",Datos!F276/Datos!F275-1)</f>
        <v/>
      </c>
      <c r="I276" s="39">
        <f>IF($A276="","",IF(ISNUMBER(Datos!G276),Datos!G276,I275))</f>
        <v/>
      </c>
      <c r="J276" s="40">
        <f>IF($A276="","",IF(ISNUMBER(I275),LN(1+I275/100/12),0))</f>
        <v/>
      </c>
      <c r="K276" s="40">
        <f>IF(ISNUMBER(G276),LN(1+G276)-J276,"")</f>
        <v/>
      </c>
      <c r="L276" s="40">
        <f>IF(ISNUMBER(H276),LN(1+H276)-J276,"")</f>
        <v/>
      </c>
      <c r="M276" s="38">
        <f>IF(ISNUMBER(K276),1,0)</f>
        <v/>
      </c>
      <c r="N276" s="40">
        <f>IF(M276=1,K276,0)</f>
        <v/>
      </c>
      <c r="O276" s="38">
        <f>IF(ISNUMBER(L276),1,0)</f>
        <v/>
      </c>
      <c r="P276" s="40">
        <f>IF(O276=1,L276,0)</f>
        <v/>
      </c>
      <c r="Q276" s="38">
        <f>M276*O276</f>
        <v/>
      </c>
      <c r="R276" s="38">
        <f>SUM(Q240:Q275)</f>
        <v/>
      </c>
      <c r="S276" s="41">
        <f>IF(OR($A276="",R276&lt;MIN_OBS_ROLL),"",(SUMPRODUCT(Q240:Q275,N240:N275,P240:P275)/R276-SUMPRODUCT(Q240:Q275,N240:N275)/R276*SUMPRODUCT(Q240:Q275,P240:P275)/R276)*R276/(R276-1))</f>
        <v/>
      </c>
      <c r="T276" s="38">
        <f>SUM(O240:O275)</f>
        <v/>
      </c>
      <c r="U276" s="41">
        <f>IF(OR($A276="",T276&lt;MIN_OBS_ROLL),"",SUMPRODUCT(O240:O275,(P240:P275-SUMPRODUCT(O240:O275,P240:P275)/T276)^2)/(T276-1))</f>
        <v/>
      </c>
      <c r="V276" s="40">
        <f>IF(OR(S276="",U276=""),"",S276/U276)</f>
        <v/>
      </c>
      <c r="W276" s="40">
        <f>IF(AND(ISNUMBER(K276),ISNUMBER(L276),ISNUMBER(V276)),K276-V276*L276,"")</f>
        <v/>
      </c>
      <c r="X276" s="40">
        <f>IF(OR($A276="",NOT(ISNUMBER(Datos!H276)),NOT(ISNUMBER(Datos!H275))),"",LN(Datos!H276)-LN(Datos!H275))</f>
        <v/>
      </c>
      <c r="Y276" s="38">
        <f>IF(ISNUMBER(W276),1,0)</f>
        <v/>
      </c>
      <c r="Z276" s="40">
        <f>IF(Y276=1,W276,0)</f>
        <v/>
      </c>
      <c r="AA276" s="38">
        <f>IF(ISNUMBER(X276),1,0)</f>
        <v/>
      </c>
      <c r="AB276" s="40">
        <f>IF(AA276=1,X276,0)</f>
        <v/>
      </c>
      <c r="AC276" s="38">
        <f>Y276*AA276</f>
        <v/>
      </c>
      <c r="AD276" s="38">
        <f>SUM(AC240:AC275)</f>
        <v/>
      </c>
      <c r="AE276" s="41">
        <f>IF(OR($A276="",AD276&lt;MIN_OBS_ROLL),"",(SUMPRODUCT(AC240:AC275,Z240:Z275,AB240:AB275)/AD276-SUMPRODUCT(AC240:AC275,Z240:Z275)/AD276*SUMPRODUCT(AC240:AC275,AB240:AB275)/AD276)*AD276/(AD276-1))</f>
        <v/>
      </c>
      <c r="AF276" s="38">
        <f>SUM(AA240:AA275)</f>
        <v/>
      </c>
      <c r="AG276" s="41">
        <f>IF(OR($A276="",AF276&lt;MIN_OBS_ROLL),"",SUMPRODUCT(AA240:AA275,(AB240:AB275-SUMPRODUCT(AA240:AA275,AB240:AB275)/AF276)^2)/(AF276-1))</f>
        <v/>
      </c>
      <c r="AH276" s="38">
        <f>SUM(Y240:Y275)</f>
        <v/>
      </c>
      <c r="AI276" s="40">
        <f>IF(OR($A276="",AH276&lt;MIN_OBS_ROLL),"",SUMPRODUCT(Y240:Y275,Z240:Z275)/AH276)</f>
        <v/>
      </c>
      <c r="AJ276" s="40">
        <f>IF(OR($A276="",AF276&lt;MIN_OBS_ROLL),"",SUMPRODUCT(AA240:AA275,AB240:AB275)/AF276)</f>
        <v/>
      </c>
      <c r="AK276" s="40">
        <f>IF(OR(AE276="",AG276=""),"",AE276/AG276)</f>
        <v/>
      </c>
      <c r="AL276" s="40">
        <f>IF(OR(AI276="",AK276="",AJ276=""),"",AI276-AK276*AJ276)</f>
        <v/>
      </c>
      <c r="AM276" s="40">
        <f>IF(AND(ISNUMBER(W276),ISNUMBER(X276),ISNUMBER(AK276),ISNUMBER(AL276)),W276-(AL276+AK276*X276),"")</f>
        <v/>
      </c>
      <c r="AN276" s="38">
        <f>IF(ISNUMBER(AM276),1,0)</f>
        <v/>
      </c>
      <c r="AO276" s="40">
        <f>IF(AN276=1,AM276,0)</f>
        <v/>
      </c>
      <c r="AP276" s="40">
        <f>IF(SUM(AN274:AN276)=3,SUM(AO274:AO276),"")</f>
        <v/>
      </c>
      <c r="AQ276" s="38">
        <f>IF(ISNUMBER(AP276),1,0)</f>
        <v/>
      </c>
      <c r="AR276" s="40">
        <f>IF(AQ276=1,AP276,0)</f>
        <v/>
      </c>
      <c r="AS276" s="38">
        <f>SUM(AQ$5:AQ276)</f>
        <v/>
      </c>
      <c r="AT276" s="40">
        <f>IF(AS276&gt;=MIN_OBS_Z,SUMPRODUCT(AQ$5:AQ276,AR$5:AR276)/AS276,"")</f>
        <v/>
      </c>
      <c r="AU276" s="40">
        <f>IF(AS276&gt;=MIN_OBS_Z,SQRT(SUMPRODUCT(AQ$5:AQ276,(AR$5:AR276-AT276)^2)/(AS276-1)),"")</f>
        <v/>
      </c>
      <c r="AV276" s="40">
        <f>IF(AND(AQ276=1,ISNUMBER(AT276)),MAX(-Z_CLIP,MIN(Z_CLIP,(AR276-AT276)/AU276)),"")</f>
        <v/>
      </c>
      <c r="AW276" s="40">
        <f>IF(ISNUMBER(AV276),-AV276,"")</f>
        <v/>
      </c>
      <c r="AX276" s="40">
        <f>IF(ISNUMBER(AW276),1+AMPLITUD*TANH(AW276),"")</f>
        <v/>
      </c>
      <c r="AY276" s="40">
        <f>IF($A276="","",IF(COUNT(AX274:AX276)&gt;0,AVERAGE(AX274:AX276),""))</f>
        <v/>
      </c>
      <c r="AZ276" s="40">
        <f>IF(ISNUMBER(AY276),AY276-1,"")</f>
        <v/>
      </c>
      <c r="BA276" s="40">
        <f>IF(AND(ISNUMBER(AZ275),ISNUMBER(W276)),AZ275*W_BANCOS*W276,"")</f>
        <v/>
      </c>
      <c r="BB276" s="40">
        <f>IF(AND(ISNUMBER(AZ275),ISNUMBER(AZ274)),ABS(AZ275-AZ274)*W_BANCOS*COSTO,0)</f>
        <v/>
      </c>
      <c r="BC276" s="40">
        <f>IF(ISNUMBER(BA276),BA276-BB276,"")</f>
        <v/>
      </c>
      <c r="BD276" s="42">
        <f>IF(ISNUMBER(BC276),IF(A276&lt;=FECHA_ERA,"A","B"),"")</f>
        <v/>
      </c>
      <c r="BE276" s="40">
        <f>IF(BD276="A",BC276,"")</f>
        <v/>
      </c>
      <c r="BF276" s="40">
        <f>IF(BD276="B",BC276,"")</f>
        <v/>
      </c>
      <c r="BG276" s="38">
        <f>IF(AND(ISNUMBER(BC276),ISNUMBER(A276)),IF(A276&gt;=INICIO_VIVO,1,0),0)</f>
        <v/>
      </c>
      <c r="BH276" s="40">
        <f>IF(BG276=1,BC276,"")</f>
        <v/>
      </c>
      <c r="BI276" s="38">
        <f>IF(ISNUMBER(AY276),ROW(),0)</f>
        <v/>
      </c>
      <c r="BJ276" s="43">
        <f>IF(ISNUMBER(BC276),SUM(BC$5:BC276)*10000,NA())</f>
        <v/>
      </c>
      <c r="BK276" s="43">
        <f>IF(BG276=1,SUM(BH$5:BH276)*10000,NA())</f>
        <v/>
      </c>
      <c r="BL276" s="44">
        <f>IF(ISNUMBER(AY276),AY276,NA())</f>
        <v/>
      </c>
    </row>
    <row r="277">
      <c r="A277" s="36">
        <f>IF(Datos!A277="","",Datos!A277)</f>
        <v/>
      </c>
      <c r="B277" s="37">
        <f>IF(OR($A277="",NOT(ISNUMBER(Datos!B277)),NOT(ISNUMBER(Datos!B276))),"",Datos!B277/Datos!B276-1)</f>
        <v/>
      </c>
      <c r="C277" s="37">
        <f>IF(OR($A277="",NOT(ISNUMBER(Datos!C277)),NOT(ISNUMBER(Datos!C276))),"",Datos!C277/Datos!C276-1)</f>
        <v/>
      </c>
      <c r="D277" s="37">
        <f>IF(OR($A277="",NOT(ISNUMBER(Datos!D277)),NOT(ISNUMBER(Datos!D276))),"",Datos!D277/Datos!D276-1)</f>
        <v/>
      </c>
      <c r="E277" s="37">
        <f>IF(OR($A277="",NOT(ISNUMBER(Datos!E277)),NOT(ISNUMBER(Datos!E276))),"",Datos!E277/Datos!E276-1)</f>
        <v/>
      </c>
      <c r="F277" s="38">
        <f>IF($A277="","",COUNT(B277:E277))</f>
        <v/>
      </c>
      <c r="G277" s="37">
        <f>IF($A277="","",IF(F277&gt;=MIN_BANCOS,AVERAGE(B277:E277),""))</f>
        <v/>
      </c>
      <c r="H277" s="37">
        <f>IF(OR($A277="",NOT(ISNUMBER(Datos!F277)),NOT(ISNUMBER(Datos!F276))),"",Datos!F277/Datos!F276-1)</f>
        <v/>
      </c>
      <c r="I277" s="39">
        <f>IF($A277="","",IF(ISNUMBER(Datos!G277),Datos!G277,I276))</f>
        <v/>
      </c>
      <c r="J277" s="40">
        <f>IF($A277="","",IF(ISNUMBER(I276),LN(1+I276/100/12),0))</f>
        <v/>
      </c>
      <c r="K277" s="40">
        <f>IF(ISNUMBER(G277),LN(1+G277)-J277,"")</f>
        <v/>
      </c>
      <c r="L277" s="40">
        <f>IF(ISNUMBER(H277),LN(1+H277)-J277,"")</f>
        <v/>
      </c>
      <c r="M277" s="38">
        <f>IF(ISNUMBER(K277),1,0)</f>
        <v/>
      </c>
      <c r="N277" s="40">
        <f>IF(M277=1,K277,0)</f>
        <v/>
      </c>
      <c r="O277" s="38">
        <f>IF(ISNUMBER(L277),1,0)</f>
        <v/>
      </c>
      <c r="P277" s="40">
        <f>IF(O277=1,L277,0)</f>
        <v/>
      </c>
      <c r="Q277" s="38">
        <f>M277*O277</f>
        <v/>
      </c>
      <c r="R277" s="38">
        <f>SUM(Q241:Q276)</f>
        <v/>
      </c>
      <c r="S277" s="41">
        <f>IF(OR($A277="",R277&lt;MIN_OBS_ROLL),"",(SUMPRODUCT(Q241:Q276,N241:N276,P241:P276)/R277-SUMPRODUCT(Q241:Q276,N241:N276)/R277*SUMPRODUCT(Q241:Q276,P241:P276)/R277)*R277/(R277-1))</f>
        <v/>
      </c>
      <c r="T277" s="38">
        <f>SUM(O241:O276)</f>
        <v/>
      </c>
      <c r="U277" s="41">
        <f>IF(OR($A277="",T277&lt;MIN_OBS_ROLL),"",SUMPRODUCT(O241:O276,(P241:P276-SUMPRODUCT(O241:O276,P241:P276)/T277)^2)/(T277-1))</f>
        <v/>
      </c>
      <c r="V277" s="40">
        <f>IF(OR(S277="",U277=""),"",S277/U277)</f>
        <v/>
      </c>
      <c r="W277" s="40">
        <f>IF(AND(ISNUMBER(K277),ISNUMBER(L277),ISNUMBER(V277)),K277-V277*L277,"")</f>
        <v/>
      </c>
      <c r="X277" s="40">
        <f>IF(OR($A277="",NOT(ISNUMBER(Datos!H277)),NOT(ISNUMBER(Datos!H276))),"",LN(Datos!H277)-LN(Datos!H276))</f>
        <v/>
      </c>
      <c r="Y277" s="38">
        <f>IF(ISNUMBER(W277),1,0)</f>
        <v/>
      </c>
      <c r="Z277" s="40">
        <f>IF(Y277=1,W277,0)</f>
        <v/>
      </c>
      <c r="AA277" s="38">
        <f>IF(ISNUMBER(X277),1,0)</f>
        <v/>
      </c>
      <c r="AB277" s="40">
        <f>IF(AA277=1,X277,0)</f>
        <v/>
      </c>
      <c r="AC277" s="38">
        <f>Y277*AA277</f>
        <v/>
      </c>
      <c r="AD277" s="38">
        <f>SUM(AC241:AC276)</f>
        <v/>
      </c>
      <c r="AE277" s="41">
        <f>IF(OR($A277="",AD277&lt;MIN_OBS_ROLL),"",(SUMPRODUCT(AC241:AC276,Z241:Z276,AB241:AB276)/AD277-SUMPRODUCT(AC241:AC276,Z241:Z276)/AD277*SUMPRODUCT(AC241:AC276,AB241:AB276)/AD277)*AD277/(AD277-1))</f>
        <v/>
      </c>
      <c r="AF277" s="38">
        <f>SUM(AA241:AA276)</f>
        <v/>
      </c>
      <c r="AG277" s="41">
        <f>IF(OR($A277="",AF277&lt;MIN_OBS_ROLL),"",SUMPRODUCT(AA241:AA276,(AB241:AB276-SUMPRODUCT(AA241:AA276,AB241:AB276)/AF277)^2)/(AF277-1))</f>
        <v/>
      </c>
      <c r="AH277" s="38">
        <f>SUM(Y241:Y276)</f>
        <v/>
      </c>
      <c r="AI277" s="40">
        <f>IF(OR($A277="",AH277&lt;MIN_OBS_ROLL),"",SUMPRODUCT(Y241:Y276,Z241:Z276)/AH277)</f>
        <v/>
      </c>
      <c r="AJ277" s="40">
        <f>IF(OR($A277="",AF277&lt;MIN_OBS_ROLL),"",SUMPRODUCT(AA241:AA276,AB241:AB276)/AF277)</f>
        <v/>
      </c>
      <c r="AK277" s="40">
        <f>IF(OR(AE277="",AG277=""),"",AE277/AG277)</f>
        <v/>
      </c>
      <c r="AL277" s="40">
        <f>IF(OR(AI277="",AK277="",AJ277=""),"",AI277-AK277*AJ277)</f>
        <v/>
      </c>
      <c r="AM277" s="40">
        <f>IF(AND(ISNUMBER(W277),ISNUMBER(X277),ISNUMBER(AK277),ISNUMBER(AL277)),W277-(AL277+AK277*X277),"")</f>
        <v/>
      </c>
      <c r="AN277" s="38">
        <f>IF(ISNUMBER(AM277),1,0)</f>
        <v/>
      </c>
      <c r="AO277" s="40">
        <f>IF(AN277=1,AM277,0)</f>
        <v/>
      </c>
      <c r="AP277" s="40">
        <f>IF(SUM(AN275:AN277)=3,SUM(AO275:AO277),"")</f>
        <v/>
      </c>
      <c r="AQ277" s="38">
        <f>IF(ISNUMBER(AP277),1,0)</f>
        <v/>
      </c>
      <c r="AR277" s="40">
        <f>IF(AQ277=1,AP277,0)</f>
        <v/>
      </c>
      <c r="AS277" s="38">
        <f>SUM(AQ$5:AQ277)</f>
        <v/>
      </c>
      <c r="AT277" s="40">
        <f>IF(AS277&gt;=MIN_OBS_Z,SUMPRODUCT(AQ$5:AQ277,AR$5:AR277)/AS277,"")</f>
        <v/>
      </c>
      <c r="AU277" s="40">
        <f>IF(AS277&gt;=MIN_OBS_Z,SQRT(SUMPRODUCT(AQ$5:AQ277,(AR$5:AR277-AT277)^2)/(AS277-1)),"")</f>
        <v/>
      </c>
      <c r="AV277" s="40">
        <f>IF(AND(AQ277=1,ISNUMBER(AT277)),MAX(-Z_CLIP,MIN(Z_CLIP,(AR277-AT277)/AU277)),"")</f>
        <v/>
      </c>
      <c r="AW277" s="40">
        <f>IF(ISNUMBER(AV277),-AV277,"")</f>
        <v/>
      </c>
      <c r="AX277" s="40">
        <f>IF(ISNUMBER(AW277),1+AMPLITUD*TANH(AW277),"")</f>
        <v/>
      </c>
      <c r="AY277" s="40">
        <f>IF($A277="","",IF(COUNT(AX275:AX277)&gt;0,AVERAGE(AX275:AX277),""))</f>
        <v/>
      </c>
      <c r="AZ277" s="40">
        <f>IF(ISNUMBER(AY277),AY277-1,"")</f>
        <v/>
      </c>
      <c r="BA277" s="40">
        <f>IF(AND(ISNUMBER(AZ276),ISNUMBER(W277)),AZ276*W_BANCOS*W277,"")</f>
        <v/>
      </c>
      <c r="BB277" s="40">
        <f>IF(AND(ISNUMBER(AZ276),ISNUMBER(AZ275)),ABS(AZ276-AZ275)*W_BANCOS*COSTO,0)</f>
        <v/>
      </c>
      <c r="BC277" s="40">
        <f>IF(ISNUMBER(BA277),BA277-BB277,"")</f>
        <v/>
      </c>
      <c r="BD277" s="42">
        <f>IF(ISNUMBER(BC277),IF(A277&lt;=FECHA_ERA,"A","B"),"")</f>
        <v/>
      </c>
      <c r="BE277" s="40">
        <f>IF(BD277="A",BC277,"")</f>
        <v/>
      </c>
      <c r="BF277" s="40">
        <f>IF(BD277="B",BC277,"")</f>
        <v/>
      </c>
      <c r="BG277" s="38">
        <f>IF(AND(ISNUMBER(BC277),ISNUMBER(A277)),IF(A277&gt;=INICIO_VIVO,1,0),0)</f>
        <v/>
      </c>
      <c r="BH277" s="40">
        <f>IF(BG277=1,BC277,"")</f>
        <v/>
      </c>
      <c r="BI277" s="38">
        <f>IF(ISNUMBER(AY277),ROW(),0)</f>
        <v/>
      </c>
      <c r="BJ277" s="43">
        <f>IF(ISNUMBER(BC277),SUM(BC$5:BC277)*10000,NA())</f>
        <v/>
      </c>
      <c r="BK277" s="43">
        <f>IF(BG277=1,SUM(BH$5:BH277)*10000,NA())</f>
        <v/>
      </c>
      <c r="BL277" s="44">
        <f>IF(ISNUMBER(AY277),AY277,NA())</f>
        <v/>
      </c>
    </row>
    <row r="278">
      <c r="A278" s="36">
        <f>IF(Datos!A278="","",Datos!A278)</f>
        <v/>
      </c>
      <c r="B278" s="37">
        <f>IF(OR($A278="",NOT(ISNUMBER(Datos!B278)),NOT(ISNUMBER(Datos!B277))),"",Datos!B278/Datos!B277-1)</f>
        <v/>
      </c>
      <c r="C278" s="37">
        <f>IF(OR($A278="",NOT(ISNUMBER(Datos!C278)),NOT(ISNUMBER(Datos!C277))),"",Datos!C278/Datos!C277-1)</f>
        <v/>
      </c>
      <c r="D278" s="37">
        <f>IF(OR($A278="",NOT(ISNUMBER(Datos!D278)),NOT(ISNUMBER(Datos!D277))),"",Datos!D278/Datos!D277-1)</f>
        <v/>
      </c>
      <c r="E278" s="37">
        <f>IF(OR($A278="",NOT(ISNUMBER(Datos!E278)),NOT(ISNUMBER(Datos!E277))),"",Datos!E278/Datos!E277-1)</f>
        <v/>
      </c>
      <c r="F278" s="38">
        <f>IF($A278="","",COUNT(B278:E278))</f>
        <v/>
      </c>
      <c r="G278" s="37">
        <f>IF($A278="","",IF(F278&gt;=MIN_BANCOS,AVERAGE(B278:E278),""))</f>
        <v/>
      </c>
      <c r="H278" s="37">
        <f>IF(OR($A278="",NOT(ISNUMBER(Datos!F278)),NOT(ISNUMBER(Datos!F277))),"",Datos!F278/Datos!F277-1)</f>
        <v/>
      </c>
      <c r="I278" s="39">
        <f>IF($A278="","",IF(ISNUMBER(Datos!G278),Datos!G278,I277))</f>
        <v/>
      </c>
      <c r="J278" s="40">
        <f>IF($A278="","",IF(ISNUMBER(I277),LN(1+I277/100/12),0))</f>
        <v/>
      </c>
      <c r="K278" s="40">
        <f>IF(ISNUMBER(G278),LN(1+G278)-J278,"")</f>
        <v/>
      </c>
      <c r="L278" s="40">
        <f>IF(ISNUMBER(H278),LN(1+H278)-J278,"")</f>
        <v/>
      </c>
      <c r="M278" s="38">
        <f>IF(ISNUMBER(K278),1,0)</f>
        <v/>
      </c>
      <c r="N278" s="40">
        <f>IF(M278=1,K278,0)</f>
        <v/>
      </c>
      <c r="O278" s="38">
        <f>IF(ISNUMBER(L278),1,0)</f>
        <v/>
      </c>
      <c r="P278" s="40">
        <f>IF(O278=1,L278,0)</f>
        <v/>
      </c>
      <c r="Q278" s="38">
        <f>M278*O278</f>
        <v/>
      </c>
      <c r="R278" s="38">
        <f>SUM(Q242:Q277)</f>
        <v/>
      </c>
      <c r="S278" s="41">
        <f>IF(OR($A278="",R278&lt;MIN_OBS_ROLL),"",(SUMPRODUCT(Q242:Q277,N242:N277,P242:P277)/R278-SUMPRODUCT(Q242:Q277,N242:N277)/R278*SUMPRODUCT(Q242:Q277,P242:P277)/R278)*R278/(R278-1))</f>
        <v/>
      </c>
      <c r="T278" s="38">
        <f>SUM(O242:O277)</f>
        <v/>
      </c>
      <c r="U278" s="41">
        <f>IF(OR($A278="",T278&lt;MIN_OBS_ROLL),"",SUMPRODUCT(O242:O277,(P242:P277-SUMPRODUCT(O242:O277,P242:P277)/T278)^2)/(T278-1))</f>
        <v/>
      </c>
      <c r="V278" s="40">
        <f>IF(OR(S278="",U278=""),"",S278/U278)</f>
        <v/>
      </c>
      <c r="W278" s="40">
        <f>IF(AND(ISNUMBER(K278),ISNUMBER(L278),ISNUMBER(V278)),K278-V278*L278,"")</f>
        <v/>
      </c>
      <c r="X278" s="40">
        <f>IF(OR($A278="",NOT(ISNUMBER(Datos!H278)),NOT(ISNUMBER(Datos!H277))),"",LN(Datos!H278)-LN(Datos!H277))</f>
        <v/>
      </c>
      <c r="Y278" s="38">
        <f>IF(ISNUMBER(W278),1,0)</f>
        <v/>
      </c>
      <c r="Z278" s="40">
        <f>IF(Y278=1,W278,0)</f>
        <v/>
      </c>
      <c r="AA278" s="38">
        <f>IF(ISNUMBER(X278),1,0)</f>
        <v/>
      </c>
      <c r="AB278" s="40">
        <f>IF(AA278=1,X278,0)</f>
        <v/>
      </c>
      <c r="AC278" s="38">
        <f>Y278*AA278</f>
        <v/>
      </c>
      <c r="AD278" s="38">
        <f>SUM(AC242:AC277)</f>
        <v/>
      </c>
      <c r="AE278" s="41">
        <f>IF(OR($A278="",AD278&lt;MIN_OBS_ROLL),"",(SUMPRODUCT(AC242:AC277,Z242:Z277,AB242:AB277)/AD278-SUMPRODUCT(AC242:AC277,Z242:Z277)/AD278*SUMPRODUCT(AC242:AC277,AB242:AB277)/AD278)*AD278/(AD278-1))</f>
        <v/>
      </c>
      <c r="AF278" s="38">
        <f>SUM(AA242:AA277)</f>
        <v/>
      </c>
      <c r="AG278" s="41">
        <f>IF(OR($A278="",AF278&lt;MIN_OBS_ROLL),"",SUMPRODUCT(AA242:AA277,(AB242:AB277-SUMPRODUCT(AA242:AA277,AB242:AB277)/AF278)^2)/(AF278-1))</f>
        <v/>
      </c>
      <c r="AH278" s="38">
        <f>SUM(Y242:Y277)</f>
        <v/>
      </c>
      <c r="AI278" s="40">
        <f>IF(OR($A278="",AH278&lt;MIN_OBS_ROLL),"",SUMPRODUCT(Y242:Y277,Z242:Z277)/AH278)</f>
        <v/>
      </c>
      <c r="AJ278" s="40">
        <f>IF(OR($A278="",AF278&lt;MIN_OBS_ROLL),"",SUMPRODUCT(AA242:AA277,AB242:AB277)/AF278)</f>
        <v/>
      </c>
      <c r="AK278" s="40">
        <f>IF(OR(AE278="",AG278=""),"",AE278/AG278)</f>
        <v/>
      </c>
      <c r="AL278" s="40">
        <f>IF(OR(AI278="",AK278="",AJ278=""),"",AI278-AK278*AJ278)</f>
        <v/>
      </c>
      <c r="AM278" s="40">
        <f>IF(AND(ISNUMBER(W278),ISNUMBER(X278),ISNUMBER(AK278),ISNUMBER(AL278)),W278-(AL278+AK278*X278),"")</f>
        <v/>
      </c>
      <c r="AN278" s="38">
        <f>IF(ISNUMBER(AM278),1,0)</f>
        <v/>
      </c>
      <c r="AO278" s="40">
        <f>IF(AN278=1,AM278,0)</f>
        <v/>
      </c>
      <c r="AP278" s="40">
        <f>IF(SUM(AN276:AN278)=3,SUM(AO276:AO278),"")</f>
        <v/>
      </c>
      <c r="AQ278" s="38">
        <f>IF(ISNUMBER(AP278),1,0)</f>
        <v/>
      </c>
      <c r="AR278" s="40">
        <f>IF(AQ278=1,AP278,0)</f>
        <v/>
      </c>
      <c r="AS278" s="38">
        <f>SUM(AQ$5:AQ278)</f>
        <v/>
      </c>
      <c r="AT278" s="40">
        <f>IF(AS278&gt;=MIN_OBS_Z,SUMPRODUCT(AQ$5:AQ278,AR$5:AR278)/AS278,"")</f>
        <v/>
      </c>
      <c r="AU278" s="40">
        <f>IF(AS278&gt;=MIN_OBS_Z,SQRT(SUMPRODUCT(AQ$5:AQ278,(AR$5:AR278-AT278)^2)/(AS278-1)),"")</f>
        <v/>
      </c>
      <c r="AV278" s="40">
        <f>IF(AND(AQ278=1,ISNUMBER(AT278)),MAX(-Z_CLIP,MIN(Z_CLIP,(AR278-AT278)/AU278)),"")</f>
        <v/>
      </c>
      <c r="AW278" s="40">
        <f>IF(ISNUMBER(AV278),-AV278,"")</f>
        <v/>
      </c>
      <c r="AX278" s="40">
        <f>IF(ISNUMBER(AW278),1+AMPLITUD*TANH(AW278),"")</f>
        <v/>
      </c>
      <c r="AY278" s="40">
        <f>IF($A278="","",IF(COUNT(AX276:AX278)&gt;0,AVERAGE(AX276:AX278),""))</f>
        <v/>
      </c>
      <c r="AZ278" s="40">
        <f>IF(ISNUMBER(AY278),AY278-1,"")</f>
        <v/>
      </c>
      <c r="BA278" s="40">
        <f>IF(AND(ISNUMBER(AZ277),ISNUMBER(W278)),AZ277*W_BANCOS*W278,"")</f>
        <v/>
      </c>
      <c r="BB278" s="40">
        <f>IF(AND(ISNUMBER(AZ277),ISNUMBER(AZ276)),ABS(AZ277-AZ276)*W_BANCOS*COSTO,0)</f>
        <v/>
      </c>
      <c r="BC278" s="40">
        <f>IF(ISNUMBER(BA278),BA278-BB278,"")</f>
        <v/>
      </c>
      <c r="BD278" s="42">
        <f>IF(ISNUMBER(BC278),IF(A278&lt;=FECHA_ERA,"A","B"),"")</f>
        <v/>
      </c>
      <c r="BE278" s="40">
        <f>IF(BD278="A",BC278,"")</f>
        <v/>
      </c>
      <c r="BF278" s="40">
        <f>IF(BD278="B",BC278,"")</f>
        <v/>
      </c>
      <c r="BG278" s="38">
        <f>IF(AND(ISNUMBER(BC278),ISNUMBER(A278)),IF(A278&gt;=INICIO_VIVO,1,0),0)</f>
        <v/>
      </c>
      <c r="BH278" s="40">
        <f>IF(BG278=1,BC278,"")</f>
        <v/>
      </c>
      <c r="BI278" s="38">
        <f>IF(ISNUMBER(AY278),ROW(),0)</f>
        <v/>
      </c>
      <c r="BJ278" s="43">
        <f>IF(ISNUMBER(BC278),SUM(BC$5:BC278)*10000,NA())</f>
        <v/>
      </c>
      <c r="BK278" s="43">
        <f>IF(BG278=1,SUM(BH$5:BH278)*10000,NA())</f>
        <v/>
      </c>
      <c r="BL278" s="44">
        <f>IF(ISNUMBER(AY278),AY278,NA())</f>
        <v/>
      </c>
    </row>
    <row r="279">
      <c r="A279" s="36">
        <f>IF(Datos!A279="","",Datos!A279)</f>
        <v/>
      </c>
      <c r="B279" s="37">
        <f>IF(OR($A279="",NOT(ISNUMBER(Datos!B279)),NOT(ISNUMBER(Datos!B278))),"",Datos!B279/Datos!B278-1)</f>
        <v/>
      </c>
      <c r="C279" s="37">
        <f>IF(OR($A279="",NOT(ISNUMBER(Datos!C279)),NOT(ISNUMBER(Datos!C278))),"",Datos!C279/Datos!C278-1)</f>
        <v/>
      </c>
      <c r="D279" s="37">
        <f>IF(OR($A279="",NOT(ISNUMBER(Datos!D279)),NOT(ISNUMBER(Datos!D278))),"",Datos!D279/Datos!D278-1)</f>
        <v/>
      </c>
      <c r="E279" s="37">
        <f>IF(OR($A279="",NOT(ISNUMBER(Datos!E279)),NOT(ISNUMBER(Datos!E278))),"",Datos!E279/Datos!E278-1)</f>
        <v/>
      </c>
      <c r="F279" s="38">
        <f>IF($A279="","",COUNT(B279:E279))</f>
        <v/>
      </c>
      <c r="G279" s="37">
        <f>IF($A279="","",IF(F279&gt;=MIN_BANCOS,AVERAGE(B279:E279),""))</f>
        <v/>
      </c>
      <c r="H279" s="37">
        <f>IF(OR($A279="",NOT(ISNUMBER(Datos!F279)),NOT(ISNUMBER(Datos!F278))),"",Datos!F279/Datos!F278-1)</f>
        <v/>
      </c>
      <c r="I279" s="39">
        <f>IF($A279="","",IF(ISNUMBER(Datos!G279),Datos!G279,I278))</f>
        <v/>
      </c>
      <c r="J279" s="40">
        <f>IF($A279="","",IF(ISNUMBER(I278),LN(1+I278/100/12),0))</f>
        <v/>
      </c>
      <c r="K279" s="40">
        <f>IF(ISNUMBER(G279),LN(1+G279)-J279,"")</f>
        <v/>
      </c>
      <c r="L279" s="40">
        <f>IF(ISNUMBER(H279),LN(1+H279)-J279,"")</f>
        <v/>
      </c>
      <c r="M279" s="38">
        <f>IF(ISNUMBER(K279),1,0)</f>
        <v/>
      </c>
      <c r="N279" s="40">
        <f>IF(M279=1,K279,0)</f>
        <v/>
      </c>
      <c r="O279" s="38">
        <f>IF(ISNUMBER(L279),1,0)</f>
        <v/>
      </c>
      <c r="P279" s="40">
        <f>IF(O279=1,L279,0)</f>
        <v/>
      </c>
      <c r="Q279" s="38">
        <f>M279*O279</f>
        <v/>
      </c>
      <c r="R279" s="38">
        <f>SUM(Q243:Q278)</f>
        <v/>
      </c>
      <c r="S279" s="41">
        <f>IF(OR($A279="",R279&lt;MIN_OBS_ROLL),"",(SUMPRODUCT(Q243:Q278,N243:N278,P243:P278)/R279-SUMPRODUCT(Q243:Q278,N243:N278)/R279*SUMPRODUCT(Q243:Q278,P243:P278)/R279)*R279/(R279-1))</f>
        <v/>
      </c>
      <c r="T279" s="38">
        <f>SUM(O243:O278)</f>
        <v/>
      </c>
      <c r="U279" s="41">
        <f>IF(OR($A279="",T279&lt;MIN_OBS_ROLL),"",SUMPRODUCT(O243:O278,(P243:P278-SUMPRODUCT(O243:O278,P243:P278)/T279)^2)/(T279-1))</f>
        <v/>
      </c>
      <c r="V279" s="40">
        <f>IF(OR(S279="",U279=""),"",S279/U279)</f>
        <v/>
      </c>
      <c r="W279" s="40">
        <f>IF(AND(ISNUMBER(K279),ISNUMBER(L279),ISNUMBER(V279)),K279-V279*L279,"")</f>
        <v/>
      </c>
      <c r="X279" s="40">
        <f>IF(OR($A279="",NOT(ISNUMBER(Datos!H279)),NOT(ISNUMBER(Datos!H278))),"",LN(Datos!H279)-LN(Datos!H278))</f>
        <v/>
      </c>
      <c r="Y279" s="38">
        <f>IF(ISNUMBER(W279),1,0)</f>
        <v/>
      </c>
      <c r="Z279" s="40">
        <f>IF(Y279=1,W279,0)</f>
        <v/>
      </c>
      <c r="AA279" s="38">
        <f>IF(ISNUMBER(X279),1,0)</f>
        <v/>
      </c>
      <c r="AB279" s="40">
        <f>IF(AA279=1,X279,0)</f>
        <v/>
      </c>
      <c r="AC279" s="38">
        <f>Y279*AA279</f>
        <v/>
      </c>
      <c r="AD279" s="38">
        <f>SUM(AC243:AC278)</f>
        <v/>
      </c>
      <c r="AE279" s="41">
        <f>IF(OR($A279="",AD279&lt;MIN_OBS_ROLL),"",(SUMPRODUCT(AC243:AC278,Z243:Z278,AB243:AB278)/AD279-SUMPRODUCT(AC243:AC278,Z243:Z278)/AD279*SUMPRODUCT(AC243:AC278,AB243:AB278)/AD279)*AD279/(AD279-1))</f>
        <v/>
      </c>
      <c r="AF279" s="38">
        <f>SUM(AA243:AA278)</f>
        <v/>
      </c>
      <c r="AG279" s="41">
        <f>IF(OR($A279="",AF279&lt;MIN_OBS_ROLL),"",SUMPRODUCT(AA243:AA278,(AB243:AB278-SUMPRODUCT(AA243:AA278,AB243:AB278)/AF279)^2)/(AF279-1))</f>
        <v/>
      </c>
      <c r="AH279" s="38">
        <f>SUM(Y243:Y278)</f>
        <v/>
      </c>
      <c r="AI279" s="40">
        <f>IF(OR($A279="",AH279&lt;MIN_OBS_ROLL),"",SUMPRODUCT(Y243:Y278,Z243:Z278)/AH279)</f>
        <v/>
      </c>
      <c r="AJ279" s="40">
        <f>IF(OR($A279="",AF279&lt;MIN_OBS_ROLL),"",SUMPRODUCT(AA243:AA278,AB243:AB278)/AF279)</f>
        <v/>
      </c>
      <c r="AK279" s="40">
        <f>IF(OR(AE279="",AG279=""),"",AE279/AG279)</f>
        <v/>
      </c>
      <c r="AL279" s="40">
        <f>IF(OR(AI279="",AK279="",AJ279=""),"",AI279-AK279*AJ279)</f>
        <v/>
      </c>
      <c r="AM279" s="40">
        <f>IF(AND(ISNUMBER(W279),ISNUMBER(X279),ISNUMBER(AK279),ISNUMBER(AL279)),W279-(AL279+AK279*X279),"")</f>
        <v/>
      </c>
      <c r="AN279" s="38">
        <f>IF(ISNUMBER(AM279),1,0)</f>
        <v/>
      </c>
      <c r="AO279" s="40">
        <f>IF(AN279=1,AM279,0)</f>
        <v/>
      </c>
      <c r="AP279" s="40">
        <f>IF(SUM(AN277:AN279)=3,SUM(AO277:AO279),"")</f>
        <v/>
      </c>
      <c r="AQ279" s="38">
        <f>IF(ISNUMBER(AP279),1,0)</f>
        <v/>
      </c>
      <c r="AR279" s="40">
        <f>IF(AQ279=1,AP279,0)</f>
        <v/>
      </c>
      <c r="AS279" s="38">
        <f>SUM(AQ$5:AQ279)</f>
        <v/>
      </c>
      <c r="AT279" s="40">
        <f>IF(AS279&gt;=MIN_OBS_Z,SUMPRODUCT(AQ$5:AQ279,AR$5:AR279)/AS279,"")</f>
        <v/>
      </c>
      <c r="AU279" s="40">
        <f>IF(AS279&gt;=MIN_OBS_Z,SQRT(SUMPRODUCT(AQ$5:AQ279,(AR$5:AR279-AT279)^2)/(AS279-1)),"")</f>
        <v/>
      </c>
      <c r="AV279" s="40">
        <f>IF(AND(AQ279=1,ISNUMBER(AT279)),MAX(-Z_CLIP,MIN(Z_CLIP,(AR279-AT279)/AU279)),"")</f>
        <v/>
      </c>
      <c r="AW279" s="40">
        <f>IF(ISNUMBER(AV279),-AV279,"")</f>
        <v/>
      </c>
      <c r="AX279" s="40">
        <f>IF(ISNUMBER(AW279),1+AMPLITUD*TANH(AW279),"")</f>
        <v/>
      </c>
      <c r="AY279" s="40">
        <f>IF($A279="","",IF(COUNT(AX277:AX279)&gt;0,AVERAGE(AX277:AX279),""))</f>
        <v/>
      </c>
      <c r="AZ279" s="40">
        <f>IF(ISNUMBER(AY279),AY279-1,"")</f>
        <v/>
      </c>
      <c r="BA279" s="40">
        <f>IF(AND(ISNUMBER(AZ278),ISNUMBER(W279)),AZ278*W_BANCOS*W279,"")</f>
        <v/>
      </c>
      <c r="BB279" s="40">
        <f>IF(AND(ISNUMBER(AZ278),ISNUMBER(AZ277)),ABS(AZ278-AZ277)*W_BANCOS*COSTO,0)</f>
        <v/>
      </c>
      <c r="BC279" s="40">
        <f>IF(ISNUMBER(BA279),BA279-BB279,"")</f>
        <v/>
      </c>
      <c r="BD279" s="42">
        <f>IF(ISNUMBER(BC279),IF(A279&lt;=FECHA_ERA,"A","B"),"")</f>
        <v/>
      </c>
      <c r="BE279" s="40">
        <f>IF(BD279="A",BC279,"")</f>
        <v/>
      </c>
      <c r="BF279" s="40">
        <f>IF(BD279="B",BC279,"")</f>
        <v/>
      </c>
      <c r="BG279" s="38">
        <f>IF(AND(ISNUMBER(BC279),ISNUMBER(A279)),IF(A279&gt;=INICIO_VIVO,1,0),0)</f>
        <v/>
      </c>
      <c r="BH279" s="40">
        <f>IF(BG279=1,BC279,"")</f>
        <v/>
      </c>
      <c r="BI279" s="38">
        <f>IF(ISNUMBER(AY279),ROW(),0)</f>
        <v/>
      </c>
      <c r="BJ279" s="43">
        <f>IF(ISNUMBER(BC279),SUM(BC$5:BC279)*10000,NA())</f>
        <v/>
      </c>
      <c r="BK279" s="43">
        <f>IF(BG279=1,SUM(BH$5:BH279)*10000,NA())</f>
        <v/>
      </c>
      <c r="BL279" s="44">
        <f>IF(ISNUMBER(AY279),AY279,NA())</f>
        <v/>
      </c>
    </row>
    <row r="280">
      <c r="A280" s="36">
        <f>IF(Datos!A280="","",Datos!A280)</f>
        <v/>
      </c>
      <c r="B280" s="37">
        <f>IF(OR($A280="",NOT(ISNUMBER(Datos!B280)),NOT(ISNUMBER(Datos!B279))),"",Datos!B280/Datos!B279-1)</f>
        <v/>
      </c>
      <c r="C280" s="37">
        <f>IF(OR($A280="",NOT(ISNUMBER(Datos!C280)),NOT(ISNUMBER(Datos!C279))),"",Datos!C280/Datos!C279-1)</f>
        <v/>
      </c>
      <c r="D280" s="37">
        <f>IF(OR($A280="",NOT(ISNUMBER(Datos!D280)),NOT(ISNUMBER(Datos!D279))),"",Datos!D280/Datos!D279-1)</f>
        <v/>
      </c>
      <c r="E280" s="37">
        <f>IF(OR($A280="",NOT(ISNUMBER(Datos!E280)),NOT(ISNUMBER(Datos!E279))),"",Datos!E280/Datos!E279-1)</f>
        <v/>
      </c>
      <c r="F280" s="38">
        <f>IF($A280="","",COUNT(B280:E280))</f>
        <v/>
      </c>
      <c r="G280" s="37">
        <f>IF($A280="","",IF(F280&gt;=MIN_BANCOS,AVERAGE(B280:E280),""))</f>
        <v/>
      </c>
      <c r="H280" s="37">
        <f>IF(OR($A280="",NOT(ISNUMBER(Datos!F280)),NOT(ISNUMBER(Datos!F279))),"",Datos!F280/Datos!F279-1)</f>
        <v/>
      </c>
      <c r="I280" s="39">
        <f>IF($A280="","",IF(ISNUMBER(Datos!G280),Datos!G280,I279))</f>
        <v/>
      </c>
      <c r="J280" s="40">
        <f>IF($A280="","",IF(ISNUMBER(I279),LN(1+I279/100/12),0))</f>
        <v/>
      </c>
      <c r="K280" s="40">
        <f>IF(ISNUMBER(G280),LN(1+G280)-J280,"")</f>
        <v/>
      </c>
      <c r="L280" s="40">
        <f>IF(ISNUMBER(H280),LN(1+H280)-J280,"")</f>
        <v/>
      </c>
      <c r="M280" s="38">
        <f>IF(ISNUMBER(K280),1,0)</f>
        <v/>
      </c>
      <c r="N280" s="40">
        <f>IF(M280=1,K280,0)</f>
        <v/>
      </c>
      <c r="O280" s="38">
        <f>IF(ISNUMBER(L280),1,0)</f>
        <v/>
      </c>
      <c r="P280" s="40">
        <f>IF(O280=1,L280,0)</f>
        <v/>
      </c>
      <c r="Q280" s="38">
        <f>M280*O280</f>
        <v/>
      </c>
      <c r="R280" s="38">
        <f>SUM(Q244:Q279)</f>
        <v/>
      </c>
      <c r="S280" s="41">
        <f>IF(OR($A280="",R280&lt;MIN_OBS_ROLL),"",(SUMPRODUCT(Q244:Q279,N244:N279,P244:P279)/R280-SUMPRODUCT(Q244:Q279,N244:N279)/R280*SUMPRODUCT(Q244:Q279,P244:P279)/R280)*R280/(R280-1))</f>
        <v/>
      </c>
      <c r="T280" s="38">
        <f>SUM(O244:O279)</f>
        <v/>
      </c>
      <c r="U280" s="41">
        <f>IF(OR($A280="",T280&lt;MIN_OBS_ROLL),"",SUMPRODUCT(O244:O279,(P244:P279-SUMPRODUCT(O244:O279,P244:P279)/T280)^2)/(T280-1))</f>
        <v/>
      </c>
      <c r="V280" s="40">
        <f>IF(OR(S280="",U280=""),"",S280/U280)</f>
        <v/>
      </c>
      <c r="W280" s="40">
        <f>IF(AND(ISNUMBER(K280),ISNUMBER(L280),ISNUMBER(V280)),K280-V280*L280,"")</f>
        <v/>
      </c>
      <c r="X280" s="40">
        <f>IF(OR($A280="",NOT(ISNUMBER(Datos!H280)),NOT(ISNUMBER(Datos!H279))),"",LN(Datos!H280)-LN(Datos!H279))</f>
        <v/>
      </c>
      <c r="Y280" s="38">
        <f>IF(ISNUMBER(W280),1,0)</f>
        <v/>
      </c>
      <c r="Z280" s="40">
        <f>IF(Y280=1,W280,0)</f>
        <v/>
      </c>
      <c r="AA280" s="38">
        <f>IF(ISNUMBER(X280),1,0)</f>
        <v/>
      </c>
      <c r="AB280" s="40">
        <f>IF(AA280=1,X280,0)</f>
        <v/>
      </c>
      <c r="AC280" s="38">
        <f>Y280*AA280</f>
        <v/>
      </c>
      <c r="AD280" s="38">
        <f>SUM(AC244:AC279)</f>
        <v/>
      </c>
      <c r="AE280" s="41">
        <f>IF(OR($A280="",AD280&lt;MIN_OBS_ROLL),"",(SUMPRODUCT(AC244:AC279,Z244:Z279,AB244:AB279)/AD280-SUMPRODUCT(AC244:AC279,Z244:Z279)/AD280*SUMPRODUCT(AC244:AC279,AB244:AB279)/AD280)*AD280/(AD280-1))</f>
        <v/>
      </c>
      <c r="AF280" s="38">
        <f>SUM(AA244:AA279)</f>
        <v/>
      </c>
      <c r="AG280" s="41">
        <f>IF(OR($A280="",AF280&lt;MIN_OBS_ROLL),"",SUMPRODUCT(AA244:AA279,(AB244:AB279-SUMPRODUCT(AA244:AA279,AB244:AB279)/AF280)^2)/(AF280-1))</f>
        <v/>
      </c>
      <c r="AH280" s="38">
        <f>SUM(Y244:Y279)</f>
        <v/>
      </c>
      <c r="AI280" s="40">
        <f>IF(OR($A280="",AH280&lt;MIN_OBS_ROLL),"",SUMPRODUCT(Y244:Y279,Z244:Z279)/AH280)</f>
        <v/>
      </c>
      <c r="AJ280" s="40">
        <f>IF(OR($A280="",AF280&lt;MIN_OBS_ROLL),"",SUMPRODUCT(AA244:AA279,AB244:AB279)/AF280)</f>
        <v/>
      </c>
      <c r="AK280" s="40">
        <f>IF(OR(AE280="",AG280=""),"",AE280/AG280)</f>
        <v/>
      </c>
      <c r="AL280" s="40">
        <f>IF(OR(AI280="",AK280="",AJ280=""),"",AI280-AK280*AJ280)</f>
        <v/>
      </c>
      <c r="AM280" s="40">
        <f>IF(AND(ISNUMBER(W280),ISNUMBER(X280),ISNUMBER(AK280),ISNUMBER(AL280)),W280-(AL280+AK280*X280),"")</f>
        <v/>
      </c>
      <c r="AN280" s="38">
        <f>IF(ISNUMBER(AM280),1,0)</f>
        <v/>
      </c>
      <c r="AO280" s="40">
        <f>IF(AN280=1,AM280,0)</f>
        <v/>
      </c>
      <c r="AP280" s="40">
        <f>IF(SUM(AN278:AN280)=3,SUM(AO278:AO280),"")</f>
        <v/>
      </c>
      <c r="AQ280" s="38">
        <f>IF(ISNUMBER(AP280),1,0)</f>
        <v/>
      </c>
      <c r="AR280" s="40">
        <f>IF(AQ280=1,AP280,0)</f>
        <v/>
      </c>
      <c r="AS280" s="38">
        <f>SUM(AQ$5:AQ280)</f>
        <v/>
      </c>
      <c r="AT280" s="40">
        <f>IF(AS280&gt;=MIN_OBS_Z,SUMPRODUCT(AQ$5:AQ280,AR$5:AR280)/AS280,"")</f>
        <v/>
      </c>
      <c r="AU280" s="40">
        <f>IF(AS280&gt;=MIN_OBS_Z,SQRT(SUMPRODUCT(AQ$5:AQ280,(AR$5:AR280-AT280)^2)/(AS280-1)),"")</f>
        <v/>
      </c>
      <c r="AV280" s="40">
        <f>IF(AND(AQ280=1,ISNUMBER(AT280)),MAX(-Z_CLIP,MIN(Z_CLIP,(AR280-AT280)/AU280)),"")</f>
        <v/>
      </c>
      <c r="AW280" s="40">
        <f>IF(ISNUMBER(AV280),-AV280,"")</f>
        <v/>
      </c>
      <c r="AX280" s="40">
        <f>IF(ISNUMBER(AW280),1+AMPLITUD*TANH(AW280),"")</f>
        <v/>
      </c>
      <c r="AY280" s="40">
        <f>IF($A280="","",IF(COUNT(AX278:AX280)&gt;0,AVERAGE(AX278:AX280),""))</f>
        <v/>
      </c>
      <c r="AZ280" s="40">
        <f>IF(ISNUMBER(AY280),AY280-1,"")</f>
        <v/>
      </c>
      <c r="BA280" s="40">
        <f>IF(AND(ISNUMBER(AZ279),ISNUMBER(W280)),AZ279*W_BANCOS*W280,"")</f>
        <v/>
      </c>
      <c r="BB280" s="40">
        <f>IF(AND(ISNUMBER(AZ279),ISNUMBER(AZ278)),ABS(AZ279-AZ278)*W_BANCOS*COSTO,0)</f>
        <v/>
      </c>
      <c r="BC280" s="40">
        <f>IF(ISNUMBER(BA280),BA280-BB280,"")</f>
        <v/>
      </c>
      <c r="BD280" s="42">
        <f>IF(ISNUMBER(BC280),IF(A280&lt;=FECHA_ERA,"A","B"),"")</f>
        <v/>
      </c>
      <c r="BE280" s="40">
        <f>IF(BD280="A",BC280,"")</f>
        <v/>
      </c>
      <c r="BF280" s="40">
        <f>IF(BD280="B",BC280,"")</f>
        <v/>
      </c>
      <c r="BG280" s="38">
        <f>IF(AND(ISNUMBER(BC280),ISNUMBER(A280)),IF(A280&gt;=INICIO_VIVO,1,0),0)</f>
        <v/>
      </c>
      <c r="BH280" s="40">
        <f>IF(BG280=1,BC280,"")</f>
        <v/>
      </c>
      <c r="BI280" s="38">
        <f>IF(ISNUMBER(AY280),ROW(),0)</f>
        <v/>
      </c>
      <c r="BJ280" s="43">
        <f>IF(ISNUMBER(BC280),SUM(BC$5:BC280)*10000,NA())</f>
        <v/>
      </c>
      <c r="BK280" s="43">
        <f>IF(BG280=1,SUM(BH$5:BH280)*10000,NA())</f>
        <v/>
      </c>
      <c r="BL280" s="44">
        <f>IF(ISNUMBER(AY280),AY280,NA())</f>
        <v/>
      </c>
    </row>
    <row r="281">
      <c r="A281" s="36">
        <f>IF(Datos!A281="","",Datos!A281)</f>
        <v/>
      </c>
      <c r="B281" s="37">
        <f>IF(OR($A281="",NOT(ISNUMBER(Datos!B281)),NOT(ISNUMBER(Datos!B280))),"",Datos!B281/Datos!B280-1)</f>
        <v/>
      </c>
      <c r="C281" s="37">
        <f>IF(OR($A281="",NOT(ISNUMBER(Datos!C281)),NOT(ISNUMBER(Datos!C280))),"",Datos!C281/Datos!C280-1)</f>
        <v/>
      </c>
      <c r="D281" s="37">
        <f>IF(OR($A281="",NOT(ISNUMBER(Datos!D281)),NOT(ISNUMBER(Datos!D280))),"",Datos!D281/Datos!D280-1)</f>
        <v/>
      </c>
      <c r="E281" s="37">
        <f>IF(OR($A281="",NOT(ISNUMBER(Datos!E281)),NOT(ISNUMBER(Datos!E280))),"",Datos!E281/Datos!E280-1)</f>
        <v/>
      </c>
      <c r="F281" s="38">
        <f>IF($A281="","",COUNT(B281:E281))</f>
        <v/>
      </c>
      <c r="G281" s="37">
        <f>IF($A281="","",IF(F281&gt;=MIN_BANCOS,AVERAGE(B281:E281),""))</f>
        <v/>
      </c>
      <c r="H281" s="37">
        <f>IF(OR($A281="",NOT(ISNUMBER(Datos!F281)),NOT(ISNUMBER(Datos!F280))),"",Datos!F281/Datos!F280-1)</f>
        <v/>
      </c>
      <c r="I281" s="39">
        <f>IF($A281="","",IF(ISNUMBER(Datos!G281),Datos!G281,I280))</f>
        <v/>
      </c>
      <c r="J281" s="40">
        <f>IF($A281="","",IF(ISNUMBER(I280),LN(1+I280/100/12),0))</f>
        <v/>
      </c>
      <c r="K281" s="40">
        <f>IF(ISNUMBER(G281),LN(1+G281)-J281,"")</f>
        <v/>
      </c>
      <c r="L281" s="40">
        <f>IF(ISNUMBER(H281),LN(1+H281)-J281,"")</f>
        <v/>
      </c>
      <c r="M281" s="38">
        <f>IF(ISNUMBER(K281),1,0)</f>
        <v/>
      </c>
      <c r="N281" s="40">
        <f>IF(M281=1,K281,0)</f>
        <v/>
      </c>
      <c r="O281" s="38">
        <f>IF(ISNUMBER(L281),1,0)</f>
        <v/>
      </c>
      <c r="P281" s="40">
        <f>IF(O281=1,L281,0)</f>
        <v/>
      </c>
      <c r="Q281" s="38">
        <f>M281*O281</f>
        <v/>
      </c>
      <c r="R281" s="38">
        <f>SUM(Q245:Q280)</f>
        <v/>
      </c>
      <c r="S281" s="41">
        <f>IF(OR($A281="",R281&lt;MIN_OBS_ROLL),"",(SUMPRODUCT(Q245:Q280,N245:N280,P245:P280)/R281-SUMPRODUCT(Q245:Q280,N245:N280)/R281*SUMPRODUCT(Q245:Q280,P245:P280)/R281)*R281/(R281-1))</f>
        <v/>
      </c>
      <c r="T281" s="38">
        <f>SUM(O245:O280)</f>
        <v/>
      </c>
      <c r="U281" s="41">
        <f>IF(OR($A281="",T281&lt;MIN_OBS_ROLL),"",SUMPRODUCT(O245:O280,(P245:P280-SUMPRODUCT(O245:O280,P245:P280)/T281)^2)/(T281-1))</f>
        <v/>
      </c>
      <c r="V281" s="40">
        <f>IF(OR(S281="",U281=""),"",S281/U281)</f>
        <v/>
      </c>
      <c r="W281" s="40">
        <f>IF(AND(ISNUMBER(K281),ISNUMBER(L281),ISNUMBER(V281)),K281-V281*L281,"")</f>
        <v/>
      </c>
      <c r="X281" s="40">
        <f>IF(OR($A281="",NOT(ISNUMBER(Datos!H281)),NOT(ISNUMBER(Datos!H280))),"",LN(Datos!H281)-LN(Datos!H280))</f>
        <v/>
      </c>
      <c r="Y281" s="38">
        <f>IF(ISNUMBER(W281),1,0)</f>
        <v/>
      </c>
      <c r="Z281" s="40">
        <f>IF(Y281=1,W281,0)</f>
        <v/>
      </c>
      <c r="AA281" s="38">
        <f>IF(ISNUMBER(X281),1,0)</f>
        <v/>
      </c>
      <c r="AB281" s="40">
        <f>IF(AA281=1,X281,0)</f>
        <v/>
      </c>
      <c r="AC281" s="38">
        <f>Y281*AA281</f>
        <v/>
      </c>
      <c r="AD281" s="38">
        <f>SUM(AC245:AC280)</f>
        <v/>
      </c>
      <c r="AE281" s="41">
        <f>IF(OR($A281="",AD281&lt;MIN_OBS_ROLL),"",(SUMPRODUCT(AC245:AC280,Z245:Z280,AB245:AB280)/AD281-SUMPRODUCT(AC245:AC280,Z245:Z280)/AD281*SUMPRODUCT(AC245:AC280,AB245:AB280)/AD281)*AD281/(AD281-1))</f>
        <v/>
      </c>
      <c r="AF281" s="38">
        <f>SUM(AA245:AA280)</f>
        <v/>
      </c>
      <c r="AG281" s="41">
        <f>IF(OR($A281="",AF281&lt;MIN_OBS_ROLL),"",SUMPRODUCT(AA245:AA280,(AB245:AB280-SUMPRODUCT(AA245:AA280,AB245:AB280)/AF281)^2)/(AF281-1))</f>
        <v/>
      </c>
      <c r="AH281" s="38">
        <f>SUM(Y245:Y280)</f>
        <v/>
      </c>
      <c r="AI281" s="40">
        <f>IF(OR($A281="",AH281&lt;MIN_OBS_ROLL),"",SUMPRODUCT(Y245:Y280,Z245:Z280)/AH281)</f>
        <v/>
      </c>
      <c r="AJ281" s="40">
        <f>IF(OR($A281="",AF281&lt;MIN_OBS_ROLL),"",SUMPRODUCT(AA245:AA280,AB245:AB280)/AF281)</f>
        <v/>
      </c>
      <c r="AK281" s="40">
        <f>IF(OR(AE281="",AG281=""),"",AE281/AG281)</f>
        <v/>
      </c>
      <c r="AL281" s="40">
        <f>IF(OR(AI281="",AK281="",AJ281=""),"",AI281-AK281*AJ281)</f>
        <v/>
      </c>
      <c r="AM281" s="40">
        <f>IF(AND(ISNUMBER(W281),ISNUMBER(X281),ISNUMBER(AK281),ISNUMBER(AL281)),W281-(AL281+AK281*X281),"")</f>
        <v/>
      </c>
      <c r="AN281" s="38">
        <f>IF(ISNUMBER(AM281),1,0)</f>
        <v/>
      </c>
      <c r="AO281" s="40">
        <f>IF(AN281=1,AM281,0)</f>
        <v/>
      </c>
      <c r="AP281" s="40">
        <f>IF(SUM(AN279:AN281)=3,SUM(AO279:AO281),"")</f>
        <v/>
      </c>
      <c r="AQ281" s="38">
        <f>IF(ISNUMBER(AP281),1,0)</f>
        <v/>
      </c>
      <c r="AR281" s="40">
        <f>IF(AQ281=1,AP281,0)</f>
        <v/>
      </c>
      <c r="AS281" s="38">
        <f>SUM(AQ$5:AQ281)</f>
        <v/>
      </c>
      <c r="AT281" s="40">
        <f>IF(AS281&gt;=MIN_OBS_Z,SUMPRODUCT(AQ$5:AQ281,AR$5:AR281)/AS281,"")</f>
        <v/>
      </c>
      <c r="AU281" s="40">
        <f>IF(AS281&gt;=MIN_OBS_Z,SQRT(SUMPRODUCT(AQ$5:AQ281,(AR$5:AR281-AT281)^2)/(AS281-1)),"")</f>
        <v/>
      </c>
      <c r="AV281" s="40">
        <f>IF(AND(AQ281=1,ISNUMBER(AT281)),MAX(-Z_CLIP,MIN(Z_CLIP,(AR281-AT281)/AU281)),"")</f>
        <v/>
      </c>
      <c r="AW281" s="40">
        <f>IF(ISNUMBER(AV281),-AV281,"")</f>
        <v/>
      </c>
      <c r="AX281" s="40">
        <f>IF(ISNUMBER(AW281),1+AMPLITUD*TANH(AW281),"")</f>
        <v/>
      </c>
      <c r="AY281" s="40">
        <f>IF($A281="","",IF(COUNT(AX279:AX281)&gt;0,AVERAGE(AX279:AX281),""))</f>
        <v/>
      </c>
      <c r="AZ281" s="40">
        <f>IF(ISNUMBER(AY281),AY281-1,"")</f>
        <v/>
      </c>
      <c r="BA281" s="40">
        <f>IF(AND(ISNUMBER(AZ280),ISNUMBER(W281)),AZ280*W_BANCOS*W281,"")</f>
        <v/>
      </c>
      <c r="BB281" s="40">
        <f>IF(AND(ISNUMBER(AZ280),ISNUMBER(AZ279)),ABS(AZ280-AZ279)*W_BANCOS*COSTO,0)</f>
        <v/>
      </c>
      <c r="BC281" s="40">
        <f>IF(ISNUMBER(BA281),BA281-BB281,"")</f>
        <v/>
      </c>
      <c r="BD281" s="42">
        <f>IF(ISNUMBER(BC281),IF(A281&lt;=FECHA_ERA,"A","B"),"")</f>
        <v/>
      </c>
      <c r="BE281" s="40">
        <f>IF(BD281="A",BC281,"")</f>
        <v/>
      </c>
      <c r="BF281" s="40">
        <f>IF(BD281="B",BC281,"")</f>
        <v/>
      </c>
      <c r="BG281" s="38">
        <f>IF(AND(ISNUMBER(BC281),ISNUMBER(A281)),IF(A281&gt;=INICIO_VIVO,1,0),0)</f>
        <v/>
      </c>
      <c r="BH281" s="40">
        <f>IF(BG281=1,BC281,"")</f>
        <v/>
      </c>
      <c r="BI281" s="38">
        <f>IF(ISNUMBER(AY281),ROW(),0)</f>
        <v/>
      </c>
      <c r="BJ281" s="43">
        <f>IF(ISNUMBER(BC281),SUM(BC$5:BC281)*10000,NA())</f>
        <v/>
      </c>
      <c r="BK281" s="43">
        <f>IF(BG281=1,SUM(BH$5:BH281)*10000,NA())</f>
        <v/>
      </c>
      <c r="BL281" s="44">
        <f>IF(ISNUMBER(AY281),AY281,NA())</f>
        <v/>
      </c>
    </row>
    <row r="282">
      <c r="A282" s="36">
        <f>IF(Datos!A282="","",Datos!A282)</f>
        <v/>
      </c>
      <c r="B282" s="37">
        <f>IF(OR($A282="",NOT(ISNUMBER(Datos!B282)),NOT(ISNUMBER(Datos!B281))),"",Datos!B282/Datos!B281-1)</f>
        <v/>
      </c>
      <c r="C282" s="37">
        <f>IF(OR($A282="",NOT(ISNUMBER(Datos!C282)),NOT(ISNUMBER(Datos!C281))),"",Datos!C282/Datos!C281-1)</f>
        <v/>
      </c>
      <c r="D282" s="37">
        <f>IF(OR($A282="",NOT(ISNUMBER(Datos!D282)),NOT(ISNUMBER(Datos!D281))),"",Datos!D282/Datos!D281-1)</f>
        <v/>
      </c>
      <c r="E282" s="37">
        <f>IF(OR($A282="",NOT(ISNUMBER(Datos!E282)),NOT(ISNUMBER(Datos!E281))),"",Datos!E282/Datos!E281-1)</f>
        <v/>
      </c>
      <c r="F282" s="38">
        <f>IF($A282="","",COUNT(B282:E282))</f>
        <v/>
      </c>
      <c r="G282" s="37">
        <f>IF($A282="","",IF(F282&gt;=MIN_BANCOS,AVERAGE(B282:E282),""))</f>
        <v/>
      </c>
      <c r="H282" s="37">
        <f>IF(OR($A282="",NOT(ISNUMBER(Datos!F282)),NOT(ISNUMBER(Datos!F281))),"",Datos!F282/Datos!F281-1)</f>
        <v/>
      </c>
      <c r="I282" s="39">
        <f>IF($A282="","",IF(ISNUMBER(Datos!G282),Datos!G282,I281))</f>
        <v/>
      </c>
      <c r="J282" s="40">
        <f>IF($A282="","",IF(ISNUMBER(I281),LN(1+I281/100/12),0))</f>
        <v/>
      </c>
      <c r="K282" s="40">
        <f>IF(ISNUMBER(G282),LN(1+G282)-J282,"")</f>
        <v/>
      </c>
      <c r="L282" s="40">
        <f>IF(ISNUMBER(H282),LN(1+H282)-J282,"")</f>
        <v/>
      </c>
      <c r="M282" s="38">
        <f>IF(ISNUMBER(K282),1,0)</f>
        <v/>
      </c>
      <c r="N282" s="40">
        <f>IF(M282=1,K282,0)</f>
        <v/>
      </c>
      <c r="O282" s="38">
        <f>IF(ISNUMBER(L282),1,0)</f>
        <v/>
      </c>
      <c r="P282" s="40">
        <f>IF(O282=1,L282,0)</f>
        <v/>
      </c>
      <c r="Q282" s="38">
        <f>M282*O282</f>
        <v/>
      </c>
      <c r="R282" s="38">
        <f>SUM(Q246:Q281)</f>
        <v/>
      </c>
      <c r="S282" s="41">
        <f>IF(OR($A282="",R282&lt;MIN_OBS_ROLL),"",(SUMPRODUCT(Q246:Q281,N246:N281,P246:P281)/R282-SUMPRODUCT(Q246:Q281,N246:N281)/R282*SUMPRODUCT(Q246:Q281,P246:P281)/R282)*R282/(R282-1))</f>
        <v/>
      </c>
      <c r="T282" s="38">
        <f>SUM(O246:O281)</f>
        <v/>
      </c>
      <c r="U282" s="41">
        <f>IF(OR($A282="",T282&lt;MIN_OBS_ROLL),"",SUMPRODUCT(O246:O281,(P246:P281-SUMPRODUCT(O246:O281,P246:P281)/T282)^2)/(T282-1))</f>
        <v/>
      </c>
      <c r="V282" s="40">
        <f>IF(OR(S282="",U282=""),"",S282/U282)</f>
        <v/>
      </c>
      <c r="W282" s="40">
        <f>IF(AND(ISNUMBER(K282),ISNUMBER(L282),ISNUMBER(V282)),K282-V282*L282,"")</f>
        <v/>
      </c>
      <c r="X282" s="40">
        <f>IF(OR($A282="",NOT(ISNUMBER(Datos!H282)),NOT(ISNUMBER(Datos!H281))),"",LN(Datos!H282)-LN(Datos!H281))</f>
        <v/>
      </c>
      <c r="Y282" s="38">
        <f>IF(ISNUMBER(W282),1,0)</f>
        <v/>
      </c>
      <c r="Z282" s="40">
        <f>IF(Y282=1,W282,0)</f>
        <v/>
      </c>
      <c r="AA282" s="38">
        <f>IF(ISNUMBER(X282),1,0)</f>
        <v/>
      </c>
      <c r="AB282" s="40">
        <f>IF(AA282=1,X282,0)</f>
        <v/>
      </c>
      <c r="AC282" s="38">
        <f>Y282*AA282</f>
        <v/>
      </c>
      <c r="AD282" s="38">
        <f>SUM(AC246:AC281)</f>
        <v/>
      </c>
      <c r="AE282" s="41">
        <f>IF(OR($A282="",AD282&lt;MIN_OBS_ROLL),"",(SUMPRODUCT(AC246:AC281,Z246:Z281,AB246:AB281)/AD282-SUMPRODUCT(AC246:AC281,Z246:Z281)/AD282*SUMPRODUCT(AC246:AC281,AB246:AB281)/AD282)*AD282/(AD282-1))</f>
        <v/>
      </c>
      <c r="AF282" s="38">
        <f>SUM(AA246:AA281)</f>
        <v/>
      </c>
      <c r="AG282" s="41">
        <f>IF(OR($A282="",AF282&lt;MIN_OBS_ROLL),"",SUMPRODUCT(AA246:AA281,(AB246:AB281-SUMPRODUCT(AA246:AA281,AB246:AB281)/AF282)^2)/(AF282-1))</f>
        <v/>
      </c>
      <c r="AH282" s="38">
        <f>SUM(Y246:Y281)</f>
        <v/>
      </c>
      <c r="AI282" s="40">
        <f>IF(OR($A282="",AH282&lt;MIN_OBS_ROLL),"",SUMPRODUCT(Y246:Y281,Z246:Z281)/AH282)</f>
        <v/>
      </c>
      <c r="AJ282" s="40">
        <f>IF(OR($A282="",AF282&lt;MIN_OBS_ROLL),"",SUMPRODUCT(AA246:AA281,AB246:AB281)/AF282)</f>
        <v/>
      </c>
      <c r="AK282" s="40">
        <f>IF(OR(AE282="",AG282=""),"",AE282/AG282)</f>
        <v/>
      </c>
      <c r="AL282" s="40">
        <f>IF(OR(AI282="",AK282="",AJ282=""),"",AI282-AK282*AJ282)</f>
        <v/>
      </c>
      <c r="AM282" s="40">
        <f>IF(AND(ISNUMBER(W282),ISNUMBER(X282),ISNUMBER(AK282),ISNUMBER(AL282)),W282-(AL282+AK282*X282),"")</f>
        <v/>
      </c>
      <c r="AN282" s="38">
        <f>IF(ISNUMBER(AM282),1,0)</f>
        <v/>
      </c>
      <c r="AO282" s="40">
        <f>IF(AN282=1,AM282,0)</f>
        <v/>
      </c>
      <c r="AP282" s="40">
        <f>IF(SUM(AN280:AN282)=3,SUM(AO280:AO282),"")</f>
        <v/>
      </c>
      <c r="AQ282" s="38">
        <f>IF(ISNUMBER(AP282),1,0)</f>
        <v/>
      </c>
      <c r="AR282" s="40">
        <f>IF(AQ282=1,AP282,0)</f>
        <v/>
      </c>
      <c r="AS282" s="38">
        <f>SUM(AQ$5:AQ282)</f>
        <v/>
      </c>
      <c r="AT282" s="40">
        <f>IF(AS282&gt;=MIN_OBS_Z,SUMPRODUCT(AQ$5:AQ282,AR$5:AR282)/AS282,"")</f>
        <v/>
      </c>
      <c r="AU282" s="40">
        <f>IF(AS282&gt;=MIN_OBS_Z,SQRT(SUMPRODUCT(AQ$5:AQ282,(AR$5:AR282-AT282)^2)/(AS282-1)),"")</f>
        <v/>
      </c>
      <c r="AV282" s="40">
        <f>IF(AND(AQ282=1,ISNUMBER(AT282)),MAX(-Z_CLIP,MIN(Z_CLIP,(AR282-AT282)/AU282)),"")</f>
        <v/>
      </c>
      <c r="AW282" s="40">
        <f>IF(ISNUMBER(AV282),-AV282,"")</f>
        <v/>
      </c>
      <c r="AX282" s="40">
        <f>IF(ISNUMBER(AW282),1+AMPLITUD*TANH(AW282),"")</f>
        <v/>
      </c>
      <c r="AY282" s="40">
        <f>IF($A282="","",IF(COUNT(AX280:AX282)&gt;0,AVERAGE(AX280:AX282),""))</f>
        <v/>
      </c>
      <c r="AZ282" s="40">
        <f>IF(ISNUMBER(AY282),AY282-1,"")</f>
        <v/>
      </c>
      <c r="BA282" s="40">
        <f>IF(AND(ISNUMBER(AZ281),ISNUMBER(W282)),AZ281*W_BANCOS*W282,"")</f>
        <v/>
      </c>
      <c r="BB282" s="40">
        <f>IF(AND(ISNUMBER(AZ281),ISNUMBER(AZ280)),ABS(AZ281-AZ280)*W_BANCOS*COSTO,0)</f>
        <v/>
      </c>
      <c r="BC282" s="40">
        <f>IF(ISNUMBER(BA282),BA282-BB282,"")</f>
        <v/>
      </c>
      <c r="BD282" s="42">
        <f>IF(ISNUMBER(BC282),IF(A282&lt;=FECHA_ERA,"A","B"),"")</f>
        <v/>
      </c>
      <c r="BE282" s="40">
        <f>IF(BD282="A",BC282,"")</f>
        <v/>
      </c>
      <c r="BF282" s="40">
        <f>IF(BD282="B",BC282,"")</f>
        <v/>
      </c>
      <c r="BG282" s="38">
        <f>IF(AND(ISNUMBER(BC282),ISNUMBER(A282)),IF(A282&gt;=INICIO_VIVO,1,0),0)</f>
        <v/>
      </c>
      <c r="BH282" s="40">
        <f>IF(BG282=1,BC282,"")</f>
        <v/>
      </c>
      <c r="BI282" s="38">
        <f>IF(ISNUMBER(AY282),ROW(),0)</f>
        <v/>
      </c>
      <c r="BJ282" s="43">
        <f>IF(ISNUMBER(BC282),SUM(BC$5:BC282)*10000,NA())</f>
        <v/>
      </c>
      <c r="BK282" s="43">
        <f>IF(BG282=1,SUM(BH$5:BH282)*10000,NA())</f>
        <v/>
      </c>
      <c r="BL282" s="44">
        <f>IF(ISNUMBER(AY282),AY282,NA())</f>
        <v/>
      </c>
    </row>
    <row r="283">
      <c r="A283" s="36">
        <f>IF(Datos!A283="","",Datos!A283)</f>
        <v/>
      </c>
      <c r="B283" s="37">
        <f>IF(OR($A283="",NOT(ISNUMBER(Datos!B283)),NOT(ISNUMBER(Datos!B282))),"",Datos!B283/Datos!B282-1)</f>
        <v/>
      </c>
      <c r="C283" s="37">
        <f>IF(OR($A283="",NOT(ISNUMBER(Datos!C283)),NOT(ISNUMBER(Datos!C282))),"",Datos!C283/Datos!C282-1)</f>
        <v/>
      </c>
      <c r="D283" s="37">
        <f>IF(OR($A283="",NOT(ISNUMBER(Datos!D283)),NOT(ISNUMBER(Datos!D282))),"",Datos!D283/Datos!D282-1)</f>
        <v/>
      </c>
      <c r="E283" s="37">
        <f>IF(OR($A283="",NOT(ISNUMBER(Datos!E283)),NOT(ISNUMBER(Datos!E282))),"",Datos!E283/Datos!E282-1)</f>
        <v/>
      </c>
      <c r="F283" s="38">
        <f>IF($A283="","",COUNT(B283:E283))</f>
        <v/>
      </c>
      <c r="G283" s="37">
        <f>IF($A283="","",IF(F283&gt;=MIN_BANCOS,AVERAGE(B283:E283),""))</f>
        <v/>
      </c>
      <c r="H283" s="37">
        <f>IF(OR($A283="",NOT(ISNUMBER(Datos!F283)),NOT(ISNUMBER(Datos!F282))),"",Datos!F283/Datos!F282-1)</f>
        <v/>
      </c>
      <c r="I283" s="39">
        <f>IF($A283="","",IF(ISNUMBER(Datos!G283),Datos!G283,I282))</f>
        <v/>
      </c>
      <c r="J283" s="40">
        <f>IF($A283="","",IF(ISNUMBER(I282),LN(1+I282/100/12),0))</f>
        <v/>
      </c>
      <c r="K283" s="40">
        <f>IF(ISNUMBER(G283),LN(1+G283)-J283,"")</f>
        <v/>
      </c>
      <c r="L283" s="40">
        <f>IF(ISNUMBER(H283),LN(1+H283)-J283,"")</f>
        <v/>
      </c>
      <c r="M283" s="38">
        <f>IF(ISNUMBER(K283),1,0)</f>
        <v/>
      </c>
      <c r="N283" s="40">
        <f>IF(M283=1,K283,0)</f>
        <v/>
      </c>
      <c r="O283" s="38">
        <f>IF(ISNUMBER(L283),1,0)</f>
        <v/>
      </c>
      <c r="P283" s="40">
        <f>IF(O283=1,L283,0)</f>
        <v/>
      </c>
      <c r="Q283" s="38">
        <f>M283*O283</f>
        <v/>
      </c>
      <c r="R283" s="38">
        <f>SUM(Q247:Q282)</f>
        <v/>
      </c>
      <c r="S283" s="41">
        <f>IF(OR($A283="",R283&lt;MIN_OBS_ROLL),"",(SUMPRODUCT(Q247:Q282,N247:N282,P247:P282)/R283-SUMPRODUCT(Q247:Q282,N247:N282)/R283*SUMPRODUCT(Q247:Q282,P247:P282)/R283)*R283/(R283-1))</f>
        <v/>
      </c>
      <c r="T283" s="38">
        <f>SUM(O247:O282)</f>
        <v/>
      </c>
      <c r="U283" s="41">
        <f>IF(OR($A283="",T283&lt;MIN_OBS_ROLL),"",SUMPRODUCT(O247:O282,(P247:P282-SUMPRODUCT(O247:O282,P247:P282)/T283)^2)/(T283-1))</f>
        <v/>
      </c>
      <c r="V283" s="40">
        <f>IF(OR(S283="",U283=""),"",S283/U283)</f>
        <v/>
      </c>
      <c r="W283" s="40">
        <f>IF(AND(ISNUMBER(K283),ISNUMBER(L283),ISNUMBER(V283)),K283-V283*L283,"")</f>
        <v/>
      </c>
      <c r="X283" s="40">
        <f>IF(OR($A283="",NOT(ISNUMBER(Datos!H283)),NOT(ISNUMBER(Datos!H282))),"",LN(Datos!H283)-LN(Datos!H282))</f>
        <v/>
      </c>
      <c r="Y283" s="38">
        <f>IF(ISNUMBER(W283),1,0)</f>
        <v/>
      </c>
      <c r="Z283" s="40">
        <f>IF(Y283=1,W283,0)</f>
        <v/>
      </c>
      <c r="AA283" s="38">
        <f>IF(ISNUMBER(X283),1,0)</f>
        <v/>
      </c>
      <c r="AB283" s="40">
        <f>IF(AA283=1,X283,0)</f>
        <v/>
      </c>
      <c r="AC283" s="38">
        <f>Y283*AA283</f>
        <v/>
      </c>
      <c r="AD283" s="38">
        <f>SUM(AC247:AC282)</f>
        <v/>
      </c>
      <c r="AE283" s="41">
        <f>IF(OR($A283="",AD283&lt;MIN_OBS_ROLL),"",(SUMPRODUCT(AC247:AC282,Z247:Z282,AB247:AB282)/AD283-SUMPRODUCT(AC247:AC282,Z247:Z282)/AD283*SUMPRODUCT(AC247:AC282,AB247:AB282)/AD283)*AD283/(AD283-1))</f>
        <v/>
      </c>
      <c r="AF283" s="38">
        <f>SUM(AA247:AA282)</f>
        <v/>
      </c>
      <c r="AG283" s="41">
        <f>IF(OR($A283="",AF283&lt;MIN_OBS_ROLL),"",SUMPRODUCT(AA247:AA282,(AB247:AB282-SUMPRODUCT(AA247:AA282,AB247:AB282)/AF283)^2)/(AF283-1))</f>
        <v/>
      </c>
      <c r="AH283" s="38">
        <f>SUM(Y247:Y282)</f>
        <v/>
      </c>
      <c r="AI283" s="40">
        <f>IF(OR($A283="",AH283&lt;MIN_OBS_ROLL),"",SUMPRODUCT(Y247:Y282,Z247:Z282)/AH283)</f>
        <v/>
      </c>
      <c r="AJ283" s="40">
        <f>IF(OR($A283="",AF283&lt;MIN_OBS_ROLL),"",SUMPRODUCT(AA247:AA282,AB247:AB282)/AF283)</f>
        <v/>
      </c>
      <c r="AK283" s="40">
        <f>IF(OR(AE283="",AG283=""),"",AE283/AG283)</f>
        <v/>
      </c>
      <c r="AL283" s="40">
        <f>IF(OR(AI283="",AK283="",AJ283=""),"",AI283-AK283*AJ283)</f>
        <v/>
      </c>
      <c r="AM283" s="40">
        <f>IF(AND(ISNUMBER(W283),ISNUMBER(X283),ISNUMBER(AK283),ISNUMBER(AL283)),W283-(AL283+AK283*X283),"")</f>
        <v/>
      </c>
      <c r="AN283" s="38">
        <f>IF(ISNUMBER(AM283),1,0)</f>
        <v/>
      </c>
      <c r="AO283" s="40">
        <f>IF(AN283=1,AM283,0)</f>
        <v/>
      </c>
      <c r="AP283" s="40">
        <f>IF(SUM(AN281:AN283)=3,SUM(AO281:AO283),"")</f>
        <v/>
      </c>
      <c r="AQ283" s="38">
        <f>IF(ISNUMBER(AP283),1,0)</f>
        <v/>
      </c>
      <c r="AR283" s="40">
        <f>IF(AQ283=1,AP283,0)</f>
        <v/>
      </c>
      <c r="AS283" s="38">
        <f>SUM(AQ$5:AQ283)</f>
        <v/>
      </c>
      <c r="AT283" s="40">
        <f>IF(AS283&gt;=MIN_OBS_Z,SUMPRODUCT(AQ$5:AQ283,AR$5:AR283)/AS283,"")</f>
        <v/>
      </c>
      <c r="AU283" s="40">
        <f>IF(AS283&gt;=MIN_OBS_Z,SQRT(SUMPRODUCT(AQ$5:AQ283,(AR$5:AR283-AT283)^2)/(AS283-1)),"")</f>
        <v/>
      </c>
      <c r="AV283" s="40">
        <f>IF(AND(AQ283=1,ISNUMBER(AT283)),MAX(-Z_CLIP,MIN(Z_CLIP,(AR283-AT283)/AU283)),"")</f>
        <v/>
      </c>
      <c r="AW283" s="40">
        <f>IF(ISNUMBER(AV283),-AV283,"")</f>
        <v/>
      </c>
      <c r="AX283" s="40">
        <f>IF(ISNUMBER(AW283),1+AMPLITUD*TANH(AW283),"")</f>
        <v/>
      </c>
      <c r="AY283" s="40">
        <f>IF($A283="","",IF(COUNT(AX281:AX283)&gt;0,AVERAGE(AX281:AX283),""))</f>
        <v/>
      </c>
      <c r="AZ283" s="40">
        <f>IF(ISNUMBER(AY283),AY283-1,"")</f>
        <v/>
      </c>
      <c r="BA283" s="40">
        <f>IF(AND(ISNUMBER(AZ282),ISNUMBER(W283)),AZ282*W_BANCOS*W283,"")</f>
        <v/>
      </c>
      <c r="BB283" s="40">
        <f>IF(AND(ISNUMBER(AZ282),ISNUMBER(AZ281)),ABS(AZ282-AZ281)*W_BANCOS*COSTO,0)</f>
        <v/>
      </c>
      <c r="BC283" s="40">
        <f>IF(ISNUMBER(BA283),BA283-BB283,"")</f>
        <v/>
      </c>
      <c r="BD283" s="42">
        <f>IF(ISNUMBER(BC283),IF(A283&lt;=FECHA_ERA,"A","B"),"")</f>
        <v/>
      </c>
      <c r="BE283" s="40">
        <f>IF(BD283="A",BC283,"")</f>
        <v/>
      </c>
      <c r="BF283" s="40">
        <f>IF(BD283="B",BC283,"")</f>
        <v/>
      </c>
      <c r="BG283" s="38">
        <f>IF(AND(ISNUMBER(BC283),ISNUMBER(A283)),IF(A283&gt;=INICIO_VIVO,1,0),0)</f>
        <v/>
      </c>
      <c r="BH283" s="40">
        <f>IF(BG283=1,BC283,"")</f>
        <v/>
      </c>
      <c r="BI283" s="38">
        <f>IF(ISNUMBER(AY283),ROW(),0)</f>
        <v/>
      </c>
      <c r="BJ283" s="43">
        <f>IF(ISNUMBER(BC283),SUM(BC$5:BC283)*10000,NA())</f>
        <v/>
      </c>
      <c r="BK283" s="43">
        <f>IF(BG283=1,SUM(BH$5:BH283)*10000,NA())</f>
        <v/>
      </c>
      <c r="BL283" s="44">
        <f>IF(ISNUMBER(AY283),AY283,NA())</f>
        <v/>
      </c>
    </row>
    <row r="284">
      <c r="A284" s="36">
        <f>IF(Datos!A284="","",Datos!A284)</f>
        <v/>
      </c>
      <c r="B284" s="37">
        <f>IF(OR($A284="",NOT(ISNUMBER(Datos!B284)),NOT(ISNUMBER(Datos!B283))),"",Datos!B284/Datos!B283-1)</f>
        <v/>
      </c>
      <c r="C284" s="37">
        <f>IF(OR($A284="",NOT(ISNUMBER(Datos!C284)),NOT(ISNUMBER(Datos!C283))),"",Datos!C284/Datos!C283-1)</f>
        <v/>
      </c>
      <c r="D284" s="37">
        <f>IF(OR($A284="",NOT(ISNUMBER(Datos!D284)),NOT(ISNUMBER(Datos!D283))),"",Datos!D284/Datos!D283-1)</f>
        <v/>
      </c>
      <c r="E284" s="37">
        <f>IF(OR($A284="",NOT(ISNUMBER(Datos!E284)),NOT(ISNUMBER(Datos!E283))),"",Datos!E284/Datos!E283-1)</f>
        <v/>
      </c>
      <c r="F284" s="38">
        <f>IF($A284="","",COUNT(B284:E284))</f>
        <v/>
      </c>
      <c r="G284" s="37">
        <f>IF($A284="","",IF(F284&gt;=MIN_BANCOS,AVERAGE(B284:E284),""))</f>
        <v/>
      </c>
      <c r="H284" s="37">
        <f>IF(OR($A284="",NOT(ISNUMBER(Datos!F284)),NOT(ISNUMBER(Datos!F283))),"",Datos!F284/Datos!F283-1)</f>
        <v/>
      </c>
      <c r="I284" s="39">
        <f>IF($A284="","",IF(ISNUMBER(Datos!G284),Datos!G284,I283))</f>
        <v/>
      </c>
      <c r="J284" s="40">
        <f>IF($A284="","",IF(ISNUMBER(I283),LN(1+I283/100/12),0))</f>
        <v/>
      </c>
      <c r="K284" s="40">
        <f>IF(ISNUMBER(G284),LN(1+G284)-J284,"")</f>
        <v/>
      </c>
      <c r="L284" s="40">
        <f>IF(ISNUMBER(H284),LN(1+H284)-J284,"")</f>
        <v/>
      </c>
      <c r="M284" s="38">
        <f>IF(ISNUMBER(K284),1,0)</f>
        <v/>
      </c>
      <c r="N284" s="40">
        <f>IF(M284=1,K284,0)</f>
        <v/>
      </c>
      <c r="O284" s="38">
        <f>IF(ISNUMBER(L284),1,0)</f>
        <v/>
      </c>
      <c r="P284" s="40">
        <f>IF(O284=1,L284,0)</f>
        <v/>
      </c>
      <c r="Q284" s="38">
        <f>M284*O284</f>
        <v/>
      </c>
      <c r="R284" s="38">
        <f>SUM(Q248:Q283)</f>
        <v/>
      </c>
      <c r="S284" s="41">
        <f>IF(OR($A284="",R284&lt;MIN_OBS_ROLL),"",(SUMPRODUCT(Q248:Q283,N248:N283,P248:P283)/R284-SUMPRODUCT(Q248:Q283,N248:N283)/R284*SUMPRODUCT(Q248:Q283,P248:P283)/R284)*R284/(R284-1))</f>
        <v/>
      </c>
      <c r="T284" s="38">
        <f>SUM(O248:O283)</f>
        <v/>
      </c>
      <c r="U284" s="41">
        <f>IF(OR($A284="",T284&lt;MIN_OBS_ROLL),"",SUMPRODUCT(O248:O283,(P248:P283-SUMPRODUCT(O248:O283,P248:P283)/T284)^2)/(T284-1))</f>
        <v/>
      </c>
      <c r="V284" s="40">
        <f>IF(OR(S284="",U284=""),"",S284/U284)</f>
        <v/>
      </c>
      <c r="W284" s="40">
        <f>IF(AND(ISNUMBER(K284),ISNUMBER(L284),ISNUMBER(V284)),K284-V284*L284,"")</f>
        <v/>
      </c>
      <c r="X284" s="40">
        <f>IF(OR($A284="",NOT(ISNUMBER(Datos!H284)),NOT(ISNUMBER(Datos!H283))),"",LN(Datos!H284)-LN(Datos!H283))</f>
        <v/>
      </c>
      <c r="Y284" s="38">
        <f>IF(ISNUMBER(W284),1,0)</f>
        <v/>
      </c>
      <c r="Z284" s="40">
        <f>IF(Y284=1,W284,0)</f>
        <v/>
      </c>
      <c r="AA284" s="38">
        <f>IF(ISNUMBER(X284),1,0)</f>
        <v/>
      </c>
      <c r="AB284" s="40">
        <f>IF(AA284=1,X284,0)</f>
        <v/>
      </c>
      <c r="AC284" s="38">
        <f>Y284*AA284</f>
        <v/>
      </c>
      <c r="AD284" s="38">
        <f>SUM(AC248:AC283)</f>
        <v/>
      </c>
      <c r="AE284" s="41">
        <f>IF(OR($A284="",AD284&lt;MIN_OBS_ROLL),"",(SUMPRODUCT(AC248:AC283,Z248:Z283,AB248:AB283)/AD284-SUMPRODUCT(AC248:AC283,Z248:Z283)/AD284*SUMPRODUCT(AC248:AC283,AB248:AB283)/AD284)*AD284/(AD284-1))</f>
        <v/>
      </c>
      <c r="AF284" s="38">
        <f>SUM(AA248:AA283)</f>
        <v/>
      </c>
      <c r="AG284" s="41">
        <f>IF(OR($A284="",AF284&lt;MIN_OBS_ROLL),"",SUMPRODUCT(AA248:AA283,(AB248:AB283-SUMPRODUCT(AA248:AA283,AB248:AB283)/AF284)^2)/(AF284-1))</f>
        <v/>
      </c>
      <c r="AH284" s="38">
        <f>SUM(Y248:Y283)</f>
        <v/>
      </c>
      <c r="AI284" s="40">
        <f>IF(OR($A284="",AH284&lt;MIN_OBS_ROLL),"",SUMPRODUCT(Y248:Y283,Z248:Z283)/AH284)</f>
        <v/>
      </c>
      <c r="AJ284" s="40">
        <f>IF(OR($A284="",AF284&lt;MIN_OBS_ROLL),"",SUMPRODUCT(AA248:AA283,AB248:AB283)/AF284)</f>
        <v/>
      </c>
      <c r="AK284" s="40">
        <f>IF(OR(AE284="",AG284=""),"",AE284/AG284)</f>
        <v/>
      </c>
      <c r="AL284" s="40">
        <f>IF(OR(AI284="",AK284="",AJ284=""),"",AI284-AK284*AJ284)</f>
        <v/>
      </c>
      <c r="AM284" s="40">
        <f>IF(AND(ISNUMBER(W284),ISNUMBER(X284),ISNUMBER(AK284),ISNUMBER(AL284)),W284-(AL284+AK284*X284),"")</f>
        <v/>
      </c>
      <c r="AN284" s="38">
        <f>IF(ISNUMBER(AM284),1,0)</f>
        <v/>
      </c>
      <c r="AO284" s="40">
        <f>IF(AN284=1,AM284,0)</f>
        <v/>
      </c>
      <c r="AP284" s="40">
        <f>IF(SUM(AN282:AN284)=3,SUM(AO282:AO284),"")</f>
        <v/>
      </c>
      <c r="AQ284" s="38">
        <f>IF(ISNUMBER(AP284),1,0)</f>
        <v/>
      </c>
      <c r="AR284" s="40">
        <f>IF(AQ284=1,AP284,0)</f>
        <v/>
      </c>
      <c r="AS284" s="38">
        <f>SUM(AQ$5:AQ284)</f>
        <v/>
      </c>
      <c r="AT284" s="40">
        <f>IF(AS284&gt;=MIN_OBS_Z,SUMPRODUCT(AQ$5:AQ284,AR$5:AR284)/AS284,"")</f>
        <v/>
      </c>
      <c r="AU284" s="40">
        <f>IF(AS284&gt;=MIN_OBS_Z,SQRT(SUMPRODUCT(AQ$5:AQ284,(AR$5:AR284-AT284)^2)/(AS284-1)),"")</f>
        <v/>
      </c>
      <c r="AV284" s="40">
        <f>IF(AND(AQ284=1,ISNUMBER(AT284)),MAX(-Z_CLIP,MIN(Z_CLIP,(AR284-AT284)/AU284)),"")</f>
        <v/>
      </c>
      <c r="AW284" s="40">
        <f>IF(ISNUMBER(AV284),-AV284,"")</f>
        <v/>
      </c>
      <c r="AX284" s="40">
        <f>IF(ISNUMBER(AW284),1+AMPLITUD*TANH(AW284),"")</f>
        <v/>
      </c>
      <c r="AY284" s="40">
        <f>IF($A284="","",IF(COUNT(AX282:AX284)&gt;0,AVERAGE(AX282:AX284),""))</f>
        <v/>
      </c>
      <c r="AZ284" s="40">
        <f>IF(ISNUMBER(AY284),AY284-1,"")</f>
        <v/>
      </c>
      <c r="BA284" s="40">
        <f>IF(AND(ISNUMBER(AZ283),ISNUMBER(W284)),AZ283*W_BANCOS*W284,"")</f>
        <v/>
      </c>
      <c r="BB284" s="40">
        <f>IF(AND(ISNUMBER(AZ283),ISNUMBER(AZ282)),ABS(AZ283-AZ282)*W_BANCOS*COSTO,0)</f>
        <v/>
      </c>
      <c r="BC284" s="40">
        <f>IF(ISNUMBER(BA284),BA284-BB284,"")</f>
        <v/>
      </c>
      <c r="BD284" s="42">
        <f>IF(ISNUMBER(BC284),IF(A284&lt;=FECHA_ERA,"A","B"),"")</f>
        <v/>
      </c>
      <c r="BE284" s="40">
        <f>IF(BD284="A",BC284,"")</f>
        <v/>
      </c>
      <c r="BF284" s="40">
        <f>IF(BD284="B",BC284,"")</f>
        <v/>
      </c>
      <c r="BG284" s="38">
        <f>IF(AND(ISNUMBER(BC284),ISNUMBER(A284)),IF(A284&gt;=INICIO_VIVO,1,0),0)</f>
        <v/>
      </c>
      <c r="BH284" s="40">
        <f>IF(BG284=1,BC284,"")</f>
        <v/>
      </c>
      <c r="BI284" s="38">
        <f>IF(ISNUMBER(AY284),ROW(),0)</f>
        <v/>
      </c>
      <c r="BJ284" s="43">
        <f>IF(ISNUMBER(BC284),SUM(BC$5:BC284)*10000,NA())</f>
        <v/>
      </c>
      <c r="BK284" s="43">
        <f>IF(BG284=1,SUM(BH$5:BH284)*10000,NA())</f>
        <v/>
      </c>
      <c r="BL284" s="44">
        <f>IF(ISNUMBER(AY284),AY284,NA())</f>
        <v/>
      </c>
    </row>
    <row r="285">
      <c r="A285" s="36">
        <f>IF(Datos!A285="","",Datos!A285)</f>
        <v/>
      </c>
      <c r="B285" s="37">
        <f>IF(OR($A285="",NOT(ISNUMBER(Datos!B285)),NOT(ISNUMBER(Datos!B284))),"",Datos!B285/Datos!B284-1)</f>
        <v/>
      </c>
      <c r="C285" s="37">
        <f>IF(OR($A285="",NOT(ISNUMBER(Datos!C285)),NOT(ISNUMBER(Datos!C284))),"",Datos!C285/Datos!C284-1)</f>
        <v/>
      </c>
      <c r="D285" s="37">
        <f>IF(OR($A285="",NOT(ISNUMBER(Datos!D285)),NOT(ISNUMBER(Datos!D284))),"",Datos!D285/Datos!D284-1)</f>
        <v/>
      </c>
      <c r="E285" s="37">
        <f>IF(OR($A285="",NOT(ISNUMBER(Datos!E285)),NOT(ISNUMBER(Datos!E284))),"",Datos!E285/Datos!E284-1)</f>
        <v/>
      </c>
      <c r="F285" s="38">
        <f>IF($A285="","",COUNT(B285:E285))</f>
        <v/>
      </c>
      <c r="G285" s="37">
        <f>IF($A285="","",IF(F285&gt;=MIN_BANCOS,AVERAGE(B285:E285),""))</f>
        <v/>
      </c>
      <c r="H285" s="37">
        <f>IF(OR($A285="",NOT(ISNUMBER(Datos!F285)),NOT(ISNUMBER(Datos!F284))),"",Datos!F285/Datos!F284-1)</f>
        <v/>
      </c>
      <c r="I285" s="39">
        <f>IF($A285="","",IF(ISNUMBER(Datos!G285),Datos!G285,I284))</f>
        <v/>
      </c>
      <c r="J285" s="40">
        <f>IF($A285="","",IF(ISNUMBER(I284),LN(1+I284/100/12),0))</f>
        <v/>
      </c>
      <c r="K285" s="40">
        <f>IF(ISNUMBER(G285),LN(1+G285)-J285,"")</f>
        <v/>
      </c>
      <c r="L285" s="40">
        <f>IF(ISNUMBER(H285),LN(1+H285)-J285,"")</f>
        <v/>
      </c>
      <c r="M285" s="38">
        <f>IF(ISNUMBER(K285),1,0)</f>
        <v/>
      </c>
      <c r="N285" s="40">
        <f>IF(M285=1,K285,0)</f>
        <v/>
      </c>
      <c r="O285" s="38">
        <f>IF(ISNUMBER(L285),1,0)</f>
        <v/>
      </c>
      <c r="P285" s="40">
        <f>IF(O285=1,L285,0)</f>
        <v/>
      </c>
      <c r="Q285" s="38">
        <f>M285*O285</f>
        <v/>
      </c>
      <c r="R285" s="38">
        <f>SUM(Q249:Q284)</f>
        <v/>
      </c>
      <c r="S285" s="41">
        <f>IF(OR($A285="",R285&lt;MIN_OBS_ROLL),"",(SUMPRODUCT(Q249:Q284,N249:N284,P249:P284)/R285-SUMPRODUCT(Q249:Q284,N249:N284)/R285*SUMPRODUCT(Q249:Q284,P249:P284)/R285)*R285/(R285-1))</f>
        <v/>
      </c>
      <c r="T285" s="38">
        <f>SUM(O249:O284)</f>
        <v/>
      </c>
      <c r="U285" s="41">
        <f>IF(OR($A285="",T285&lt;MIN_OBS_ROLL),"",SUMPRODUCT(O249:O284,(P249:P284-SUMPRODUCT(O249:O284,P249:P284)/T285)^2)/(T285-1))</f>
        <v/>
      </c>
      <c r="V285" s="40">
        <f>IF(OR(S285="",U285=""),"",S285/U285)</f>
        <v/>
      </c>
      <c r="W285" s="40">
        <f>IF(AND(ISNUMBER(K285),ISNUMBER(L285),ISNUMBER(V285)),K285-V285*L285,"")</f>
        <v/>
      </c>
      <c r="X285" s="40">
        <f>IF(OR($A285="",NOT(ISNUMBER(Datos!H285)),NOT(ISNUMBER(Datos!H284))),"",LN(Datos!H285)-LN(Datos!H284))</f>
        <v/>
      </c>
      <c r="Y285" s="38">
        <f>IF(ISNUMBER(W285),1,0)</f>
        <v/>
      </c>
      <c r="Z285" s="40">
        <f>IF(Y285=1,W285,0)</f>
        <v/>
      </c>
      <c r="AA285" s="38">
        <f>IF(ISNUMBER(X285),1,0)</f>
        <v/>
      </c>
      <c r="AB285" s="40">
        <f>IF(AA285=1,X285,0)</f>
        <v/>
      </c>
      <c r="AC285" s="38">
        <f>Y285*AA285</f>
        <v/>
      </c>
      <c r="AD285" s="38">
        <f>SUM(AC249:AC284)</f>
        <v/>
      </c>
      <c r="AE285" s="41">
        <f>IF(OR($A285="",AD285&lt;MIN_OBS_ROLL),"",(SUMPRODUCT(AC249:AC284,Z249:Z284,AB249:AB284)/AD285-SUMPRODUCT(AC249:AC284,Z249:Z284)/AD285*SUMPRODUCT(AC249:AC284,AB249:AB284)/AD285)*AD285/(AD285-1))</f>
        <v/>
      </c>
      <c r="AF285" s="38">
        <f>SUM(AA249:AA284)</f>
        <v/>
      </c>
      <c r="AG285" s="41">
        <f>IF(OR($A285="",AF285&lt;MIN_OBS_ROLL),"",SUMPRODUCT(AA249:AA284,(AB249:AB284-SUMPRODUCT(AA249:AA284,AB249:AB284)/AF285)^2)/(AF285-1))</f>
        <v/>
      </c>
      <c r="AH285" s="38">
        <f>SUM(Y249:Y284)</f>
        <v/>
      </c>
      <c r="AI285" s="40">
        <f>IF(OR($A285="",AH285&lt;MIN_OBS_ROLL),"",SUMPRODUCT(Y249:Y284,Z249:Z284)/AH285)</f>
        <v/>
      </c>
      <c r="AJ285" s="40">
        <f>IF(OR($A285="",AF285&lt;MIN_OBS_ROLL),"",SUMPRODUCT(AA249:AA284,AB249:AB284)/AF285)</f>
        <v/>
      </c>
      <c r="AK285" s="40">
        <f>IF(OR(AE285="",AG285=""),"",AE285/AG285)</f>
        <v/>
      </c>
      <c r="AL285" s="40">
        <f>IF(OR(AI285="",AK285="",AJ285=""),"",AI285-AK285*AJ285)</f>
        <v/>
      </c>
      <c r="AM285" s="40">
        <f>IF(AND(ISNUMBER(W285),ISNUMBER(X285),ISNUMBER(AK285),ISNUMBER(AL285)),W285-(AL285+AK285*X285),"")</f>
        <v/>
      </c>
      <c r="AN285" s="38">
        <f>IF(ISNUMBER(AM285),1,0)</f>
        <v/>
      </c>
      <c r="AO285" s="40">
        <f>IF(AN285=1,AM285,0)</f>
        <v/>
      </c>
      <c r="AP285" s="40">
        <f>IF(SUM(AN283:AN285)=3,SUM(AO283:AO285),"")</f>
        <v/>
      </c>
      <c r="AQ285" s="38">
        <f>IF(ISNUMBER(AP285),1,0)</f>
        <v/>
      </c>
      <c r="AR285" s="40">
        <f>IF(AQ285=1,AP285,0)</f>
        <v/>
      </c>
      <c r="AS285" s="38">
        <f>SUM(AQ$5:AQ285)</f>
        <v/>
      </c>
      <c r="AT285" s="40">
        <f>IF(AS285&gt;=MIN_OBS_Z,SUMPRODUCT(AQ$5:AQ285,AR$5:AR285)/AS285,"")</f>
        <v/>
      </c>
      <c r="AU285" s="40">
        <f>IF(AS285&gt;=MIN_OBS_Z,SQRT(SUMPRODUCT(AQ$5:AQ285,(AR$5:AR285-AT285)^2)/(AS285-1)),"")</f>
        <v/>
      </c>
      <c r="AV285" s="40">
        <f>IF(AND(AQ285=1,ISNUMBER(AT285)),MAX(-Z_CLIP,MIN(Z_CLIP,(AR285-AT285)/AU285)),"")</f>
        <v/>
      </c>
      <c r="AW285" s="40">
        <f>IF(ISNUMBER(AV285),-AV285,"")</f>
        <v/>
      </c>
      <c r="AX285" s="40">
        <f>IF(ISNUMBER(AW285),1+AMPLITUD*TANH(AW285),"")</f>
        <v/>
      </c>
      <c r="AY285" s="40">
        <f>IF($A285="","",IF(COUNT(AX283:AX285)&gt;0,AVERAGE(AX283:AX285),""))</f>
        <v/>
      </c>
      <c r="AZ285" s="40">
        <f>IF(ISNUMBER(AY285),AY285-1,"")</f>
        <v/>
      </c>
      <c r="BA285" s="40">
        <f>IF(AND(ISNUMBER(AZ284),ISNUMBER(W285)),AZ284*W_BANCOS*W285,"")</f>
        <v/>
      </c>
      <c r="BB285" s="40">
        <f>IF(AND(ISNUMBER(AZ284),ISNUMBER(AZ283)),ABS(AZ284-AZ283)*W_BANCOS*COSTO,0)</f>
        <v/>
      </c>
      <c r="BC285" s="40">
        <f>IF(ISNUMBER(BA285),BA285-BB285,"")</f>
        <v/>
      </c>
      <c r="BD285" s="42">
        <f>IF(ISNUMBER(BC285),IF(A285&lt;=FECHA_ERA,"A","B"),"")</f>
        <v/>
      </c>
      <c r="BE285" s="40">
        <f>IF(BD285="A",BC285,"")</f>
        <v/>
      </c>
      <c r="BF285" s="40">
        <f>IF(BD285="B",BC285,"")</f>
        <v/>
      </c>
      <c r="BG285" s="38">
        <f>IF(AND(ISNUMBER(BC285),ISNUMBER(A285)),IF(A285&gt;=INICIO_VIVO,1,0),0)</f>
        <v/>
      </c>
      <c r="BH285" s="40">
        <f>IF(BG285=1,BC285,"")</f>
        <v/>
      </c>
      <c r="BI285" s="38">
        <f>IF(ISNUMBER(AY285),ROW(),0)</f>
        <v/>
      </c>
      <c r="BJ285" s="43">
        <f>IF(ISNUMBER(BC285),SUM(BC$5:BC285)*10000,NA())</f>
        <v/>
      </c>
      <c r="BK285" s="43">
        <f>IF(BG285=1,SUM(BH$5:BH285)*10000,NA())</f>
        <v/>
      </c>
      <c r="BL285" s="44">
        <f>IF(ISNUMBER(AY285),AY285,NA())</f>
        <v/>
      </c>
    </row>
    <row r="286">
      <c r="A286" s="36">
        <f>IF(Datos!A286="","",Datos!A286)</f>
        <v/>
      </c>
      <c r="B286" s="37">
        <f>IF(OR($A286="",NOT(ISNUMBER(Datos!B286)),NOT(ISNUMBER(Datos!B285))),"",Datos!B286/Datos!B285-1)</f>
        <v/>
      </c>
      <c r="C286" s="37">
        <f>IF(OR($A286="",NOT(ISNUMBER(Datos!C286)),NOT(ISNUMBER(Datos!C285))),"",Datos!C286/Datos!C285-1)</f>
        <v/>
      </c>
      <c r="D286" s="37">
        <f>IF(OR($A286="",NOT(ISNUMBER(Datos!D286)),NOT(ISNUMBER(Datos!D285))),"",Datos!D286/Datos!D285-1)</f>
        <v/>
      </c>
      <c r="E286" s="37">
        <f>IF(OR($A286="",NOT(ISNUMBER(Datos!E286)),NOT(ISNUMBER(Datos!E285))),"",Datos!E286/Datos!E285-1)</f>
        <v/>
      </c>
      <c r="F286" s="38">
        <f>IF($A286="","",COUNT(B286:E286))</f>
        <v/>
      </c>
      <c r="G286" s="37">
        <f>IF($A286="","",IF(F286&gt;=MIN_BANCOS,AVERAGE(B286:E286),""))</f>
        <v/>
      </c>
      <c r="H286" s="37">
        <f>IF(OR($A286="",NOT(ISNUMBER(Datos!F286)),NOT(ISNUMBER(Datos!F285))),"",Datos!F286/Datos!F285-1)</f>
        <v/>
      </c>
      <c r="I286" s="39">
        <f>IF($A286="","",IF(ISNUMBER(Datos!G286),Datos!G286,I285))</f>
        <v/>
      </c>
      <c r="J286" s="40">
        <f>IF($A286="","",IF(ISNUMBER(I285),LN(1+I285/100/12),0))</f>
        <v/>
      </c>
      <c r="K286" s="40">
        <f>IF(ISNUMBER(G286),LN(1+G286)-J286,"")</f>
        <v/>
      </c>
      <c r="L286" s="40">
        <f>IF(ISNUMBER(H286),LN(1+H286)-J286,"")</f>
        <v/>
      </c>
      <c r="M286" s="38">
        <f>IF(ISNUMBER(K286),1,0)</f>
        <v/>
      </c>
      <c r="N286" s="40">
        <f>IF(M286=1,K286,0)</f>
        <v/>
      </c>
      <c r="O286" s="38">
        <f>IF(ISNUMBER(L286),1,0)</f>
        <v/>
      </c>
      <c r="P286" s="40">
        <f>IF(O286=1,L286,0)</f>
        <v/>
      </c>
      <c r="Q286" s="38">
        <f>M286*O286</f>
        <v/>
      </c>
      <c r="R286" s="38">
        <f>SUM(Q250:Q285)</f>
        <v/>
      </c>
      <c r="S286" s="41">
        <f>IF(OR($A286="",R286&lt;MIN_OBS_ROLL),"",(SUMPRODUCT(Q250:Q285,N250:N285,P250:P285)/R286-SUMPRODUCT(Q250:Q285,N250:N285)/R286*SUMPRODUCT(Q250:Q285,P250:P285)/R286)*R286/(R286-1))</f>
        <v/>
      </c>
      <c r="T286" s="38">
        <f>SUM(O250:O285)</f>
        <v/>
      </c>
      <c r="U286" s="41">
        <f>IF(OR($A286="",T286&lt;MIN_OBS_ROLL),"",SUMPRODUCT(O250:O285,(P250:P285-SUMPRODUCT(O250:O285,P250:P285)/T286)^2)/(T286-1))</f>
        <v/>
      </c>
      <c r="V286" s="40">
        <f>IF(OR(S286="",U286=""),"",S286/U286)</f>
        <v/>
      </c>
      <c r="W286" s="40">
        <f>IF(AND(ISNUMBER(K286),ISNUMBER(L286),ISNUMBER(V286)),K286-V286*L286,"")</f>
        <v/>
      </c>
      <c r="X286" s="40">
        <f>IF(OR($A286="",NOT(ISNUMBER(Datos!H286)),NOT(ISNUMBER(Datos!H285))),"",LN(Datos!H286)-LN(Datos!H285))</f>
        <v/>
      </c>
      <c r="Y286" s="38">
        <f>IF(ISNUMBER(W286),1,0)</f>
        <v/>
      </c>
      <c r="Z286" s="40">
        <f>IF(Y286=1,W286,0)</f>
        <v/>
      </c>
      <c r="AA286" s="38">
        <f>IF(ISNUMBER(X286),1,0)</f>
        <v/>
      </c>
      <c r="AB286" s="40">
        <f>IF(AA286=1,X286,0)</f>
        <v/>
      </c>
      <c r="AC286" s="38">
        <f>Y286*AA286</f>
        <v/>
      </c>
      <c r="AD286" s="38">
        <f>SUM(AC250:AC285)</f>
        <v/>
      </c>
      <c r="AE286" s="41">
        <f>IF(OR($A286="",AD286&lt;MIN_OBS_ROLL),"",(SUMPRODUCT(AC250:AC285,Z250:Z285,AB250:AB285)/AD286-SUMPRODUCT(AC250:AC285,Z250:Z285)/AD286*SUMPRODUCT(AC250:AC285,AB250:AB285)/AD286)*AD286/(AD286-1))</f>
        <v/>
      </c>
      <c r="AF286" s="38">
        <f>SUM(AA250:AA285)</f>
        <v/>
      </c>
      <c r="AG286" s="41">
        <f>IF(OR($A286="",AF286&lt;MIN_OBS_ROLL),"",SUMPRODUCT(AA250:AA285,(AB250:AB285-SUMPRODUCT(AA250:AA285,AB250:AB285)/AF286)^2)/(AF286-1))</f>
        <v/>
      </c>
      <c r="AH286" s="38">
        <f>SUM(Y250:Y285)</f>
        <v/>
      </c>
      <c r="AI286" s="40">
        <f>IF(OR($A286="",AH286&lt;MIN_OBS_ROLL),"",SUMPRODUCT(Y250:Y285,Z250:Z285)/AH286)</f>
        <v/>
      </c>
      <c r="AJ286" s="40">
        <f>IF(OR($A286="",AF286&lt;MIN_OBS_ROLL),"",SUMPRODUCT(AA250:AA285,AB250:AB285)/AF286)</f>
        <v/>
      </c>
      <c r="AK286" s="40">
        <f>IF(OR(AE286="",AG286=""),"",AE286/AG286)</f>
        <v/>
      </c>
      <c r="AL286" s="40">
        <f>IF(OR(AI286="",AK286="",AJ286=""),"",AI286-AK286*AJ286)</f>
        <v/>
      </c>
      <c r="AM286" s="40">
        <f>IF(AND(ISNUMBER(W286),ISNUMBER(X286),ISNUMBER(AK286),ISNUMBER(AL286)),W286-(AL286+AK286*X286),"")</f>
        <v/>
      </c>
      <c r="AN286" s="38">
        <f>IF(ISNUMBER(AM286),1,0)</f>
        <v/>
      </c>
      <c r="AO286" s="40">
        <f>IF(AN286=1,AM286,0)</f>
        <v/>
      </c>
      <c r="AP286" s="40">
        <f>IF(SUM(AN284:AN286)=3,SUM(AO284:AO286),"")</f>
        <v/>
      </c>
      <c r="AQ286" s="38">
        <f>IF(ISNUMBER(AP286),1,0)</f>
        <v/>
      </c>
      <c r="AR286" s="40">
        <f>IF(AQ286=1,AP286,0)</f>
        <v/>
      </c>
      <c r="AS286" s="38">
        <f>SUM(AQ$5:AQ286)</f>
        <v/>
      </c>
      <c r="AT286" s="40">
        <f>IF(AS286&gt;=MIN_OBS_Z,SUMPRODUCT(AQ$5:AQ286,AR$5:AR286)/AS286,"")</f>
        <v/>
      </c>
      <c r="AU286" s="40">
        <f>IF(AS286&gt;=MIN_OBS_Z,SQRT(SUMPRODUCT(AQ$5:AQ286,(AR$5:AR286-AT286)^2)/(AS286-1)),"")</f>
        <v/>
      </c>
      <c r="AV286" s="40">
        <f>IF(AND(AQ286=1,ISNUMBER(AT286)),MAX(-Z_CLIP,MIN(Z_CLIP,(AR286-AT286)/AU286)),"")</f>
        <v/>
      </c>
      <c r="AW286" s="40">
        <f>IF(ISNUMBER(AV286),-AV286,"")</f>
        <v/>
      </c>
      <c r="AX286" s="40">
        <f>IF(ISNUMBER(AW286),1+AMPLITUD*TANH(AW286),"")</f>
        <v/>
      </c>
      <c r="AY286" s="40">
        <f>IF($A286="","",IF(COUNT(AX284:AX286)&gt;0,AVERAGE(AX284:AX286),""))</f>
        <v/>
      </c>
      <c r="AZ286" s="40">
        <f>IF(ISNUMBER(AY286),AY286-1,"")</f>
        <v/>
      </c>
      <c r="BA286" s="40">
        <f>IF(AND(ISNUMBER(AZ285),ISNUMBER(W286)),AZ285*W_BANCOS*W286,"")</f>
        <v/>
      </c>
      <c r="BB286" s="40">
        <f>IF(AND(ISNUMBER(AZ285),ISNUMBER(AZ284)),ABS(AZ285-AZ284)*W_BANCOS*COSTO,0)</f>
        <v/>
      </c>
      <c r="BC286" s="40">
        <f>IF(ISNUMBER(BA286),BA286-BB286,"")</f>
        <v/>
      </c>
      <c r="BD286" s="42">
        <f>IF(ISNUMBER(BC286),IF(A286&lt;=FECHA_ERA,"A","B"),"")</f>
        <v/>
      </c>
      <c r="BE286" s="40">
        <f>IF(BD286="A",BC286,"")</f>
        <v/>
      </c>
      <c r="BF286" s="40">
        <f>IF(BD286="B",BC286,"")</f>
        <v/>
      </c>
      <c r="BG286" s="38">
        <f>IF(AND(ISNUMBER(BC286),ISNUMBER(A286)),IF(A286&gt;=INICIO_VIVO,1,0),0)</f>
        <v/>
      </c>
      <c r="BH286" s="40">
        <f>IF(BG286=1,BC286,"")</f>
        <v/>
      </c>
      <c r="BI286" s="38">
        <f>IF(ISNUMBER(AY286),ROW(),0)</f>
        <v/>
      </c>
      <c r="BJ286" s="43">
        <f>IF(ISNUMBER(BC286),SUM(BC$5:BC286)*10000,NA())</f>
        <v/>
      </c>
      <c r="BK286" s="43">
        <f>IF(BG286=1,SUM(BH$5:BH286)*10000,NA())</f>
        <v/>
      </c>
      <c r="BL286" s="44">
        <f>IF(ISNUMBER(AY286),AY286,NA())</f>
        <v/>
      </c>
    </row>
    <row r="287">
      <c r="A287" s="36">
        <f>IF(Datos!A287="","",Datos!A287)</f>
        <v/>
      </c>
      <c r="B287" s="37">
        <f>IF(OR($A287="",NOT(ISNUMBER(Datos!B287)),NOT(ISNUMBER(Datos!B286))),"",Datos!B287/Datos!B286-1)</f>
        <v/>
      </c>
      <c r="C287" s="37">
        <f>IF(OR($A287="",NOT(ISNUMBER(Datos!C287)),NOT(ISNUMBER(Datos!C286))),"",Datos!C287/Datos!C286-1)</f>
        <v/>
      </c>
      <c r="D287" s="37">
        <f>IF(OR($A287="",NOT(ISNUMBER(Datos!D287)),NOT(ISNUMBER(Datos!D286))),"",Datos!D287/Datos!D286-1)</f>
        <v/>
      </c>
      <c r="E287" s="37">
        <f>IF(OR($A287="",NOT(ISNUMBER(Datos!E287)),NOT(ISNUMBER(Datos!E286))),"",Datos!E287/Datos!E286-1)</f>
        <v/>
      </c>
      <c r="F287" s="38">
        <f>IF($A287="","",COUNT(B287:E287))</f>
        <v/>
      </c>
      <c r="G287" s="37">
        <f>IF($A287="","",IF(F287&gt;=MIN_BANCOS,AVERAGE(B287:E287),""))</f>
        <v/>
      </c>
      <c r="H287" s="37">
        <f>IF(OR($A287="",NOT(ISNUMBER(Datos!F287)),NOT(ISNUMBER(Datos!F286))),"",Datos!F287/Datos!F286-1)</f>
        <v/>
      </c>
      <c r="I287" s="39">
        <f>IF($A287="","",IF(ISNUMBER(Datos!G287),Datos!G287,I286))</f>
        <v/>
      </c>
      <c r="J287" s="40">
        <f>IF($A287="","",IF(ISNUMBER(I286),LN(1+I286/100/12),0))</f>
        <v/>
      </c>
      <c r="K287" s="40">
        <f>IF(ISNUMBER(G287),LN(1+G287)-J287,"")</f>
        <v/>
      </c>
      <c r="L287" s="40">
        <f>IF(ISNUMBER(H287),LN(1+H287)-J287,"")</f>
        <v/>
      </c>
      <c r="M287" s="38">
        <f>IF(ISNUMBER(K287),1,0)</f>
        <v/>
      </c>
      <c r="N287" s="40">
        <f>IF(M287=1,K287,0)</f>
        <v/>
      </c>
      <c r="O287" s="38">
        <f>IF(ISNUMBER(L287),1,0)</f>
        <v/>
      </c>
      <c r="P287" s="40">
        <f>IF(O287=1,L287,0)</f>
        <v/>
      </c>
      <c r="Q287" s="38">
        <f>M287*O287</f>
        <v/>
      </c>
      <c r="R287" s="38">
        <f>SUM(Q251:Q286)</f>
        <v/>
      </c>
      <c r="S287" s="41">
        <f>IF(OR($A287="",R287&lt;MIN_OBS_ROLL),"",(SUMPRODUCT(Q251:Q286,N251:N286,P251:P286)/R287-SUMPRODUCT(Q251:Q286,N251:N286)/R287*SUMPRODUCT(Q251:Q286,P251:P286)/R287)*R287/(R287-1))</f>
        <v/>
      </c>
      <c r="T287" s="38">
        <f>SUM(O251:O286)</f>
        <v/>
      </c>
      <c r="U287" s="41">
        <f>IF(OR($A287="",T287&lt;MIN_OBS_ROLL),"",SUMPRODUCT(O251:O286,(P251:P286-SUMPRODUCT(O251:O286,P251:P286)/T287)^2)/(T287-1))</f>
        <v/>
      </c>
      <c r="V287" s="40">
        <f>IF(OR(S287="",U287=""),"",S287/U287)</f>
        <v/>
      </c>
      <c r="W287" s="40">
        <f>IF(AND(ISNUMBER(K287),ISNUMBER(L287),ISNUMBER(V287)),K287-V287*L287,"")</f>
        <v/>
      </c>
      <c r="X287" s="40">
        <f>IF(OR($A287="",NOT(ISNUMBER(Datos!H287)),NOT(ISNUMBER(Datos!H286))),"",LN(Datos!H287)-LN(Datos!H286))</f>
        <v/>
      </c>
      <c r="Y287" s="38">
        <f>IF(ISNUMBER(W287),1,0)</f>
        <v/>
      </c>
      <c r="Z287" s="40">
        <f>IF(Y287=1,W287,0)</f>
        <v/>
      </c>
      <c r="AA287" s="38">
        <f>IF(ISNUMBER(X287),1,0)</f>
        <v/>
      </c>
      <c r="AB287" s="40">
        <f>IF(AA287=1,X287,0)</f>
        <v/>
      </c>
      <c r="AC287" s="38">
        <f>Y287*AA287</f>
        <v/>
      </c>
      <c r="AD287" s="38">
        <f>SUM(AC251:AC286)</f>
        <v/>
      </c>
      <c r="AE287" s="41">
        <f>IF(OR($A287="",AD287&lt;MIN_OBS_ROLL),"",(SUMPRODUCT(AC251:AC286,Z251:Z286,AB251:AB286)/AD287-SUMPRODUCT(AC251:AC286,Z251:Z286)/AD287*SUMPRODUCT(AC251:AC286,AB251:AB286)/AD287)*AD287/(AD287-1))</f>
        <v/>
      </c>
      <c r="AF287" s="38">
        <f>SUM(AA251:AA286)</f>
        <v/>
      </c>
      <c r="AG287" s="41">
        <f>IF(OR($A287="",AF287&lt;MIN_OBS_ROLL),"",SUMPRODUCT(AA251:AA286,(AB251:AB286-SUMPRODUCT(AA251:AA286,AB251:AB286)/AF287)^2)/(AF287-1))</f>
        <v/>
      </c>
      <c r="AH287" s="38">
        <f>SUM(Y251:Y286)</f>
        <v/>
      </c>
      <c r="AI287" s="40">
        <f>IF(OR($A287="",AH287&lt;MIN_OBS_ROLL),"",SUMPRODUCT(Y251:Y286,Z251:Z286)/AH287)</f>
        <v/>
      </c>
      <c r="AJ287" s="40">
        <f>IF(OR($A287="",AF287&lt;MIN_OBS_ROLL),"",SUMPRODUCT(AA251:AA286,AB251:AB286)/AF287)</f>
        <v/>
      </c>
      <c r="AK287" s="40">
        <f>IF(OR(AE287="",AG287=""),"",AE287/AG287)</f>
        <v/>
      </c>
      <c r="AL287" s="40">
        <f>IF(OR(AI287="",AK287="",AJ287=""),"",AI287-AK287*AJ287)</f>
        <v/>
      </c>
      <c r="AM287" s="40">
        <f>IF(AND(ISNUMBER(W287),ISNUMBER(X287),ISNUMBER(AK287),ISNUMBER(AL287)),W287-(AL287+AK287*X287),"")</f>
        <v/>
      </c>
      <c r="AN287" s="38">
        <f>IF(ISNUMBER(AM287),1,0)</f>
        <v/>
      </c>
      <c r="AO287" s="40">
        <f>IF(AN287=1,AM287,0)</f>
        <v/>
      </c>
      <c r="AP287" s="40">
        <f>IF(SUM(AN285:AN287)=3,SUM(AO285:AO287),"")</f>
        <v/>
      </c>
      <c r="AQ287" s="38">
        <f>IF(ISNUMBER(AP287),1,0)</f>
        <v/>
      </c>
      <c r="AR287" s="40">
        <f>IF(AQ287=1,AP287,0)</f>
        <v/>
      </c>
      <c r="AS287" s="38">
        <f>SUM(AQ$5:AQ287)</f>
        <v/>
      </c>
      <c r="AT287" s="40">
        <f>IF(AS287&gt;=MIN_OBS_Z,SUMPRODUCT(AQ$5:AQ287,AR$5:AR287)/AS287,"")</f>
        <v/>
      </c>
      <c r="AU287" s="40">
        <f>IF(AS287&gt;=MIN_OBS_Z,SQRT(SUMPRODUCT(AQ$5:AQ287,(AR$5:AR287-AT287)^2)/(AS287-1)),"")</f>
        <v/>
      </c>
      <c r="AV287" s="40">
        <f>IF(AND(AQ287=1,ISNUMBER(AT287)),MAX(-Z_CLIP,MIN(Z_CLIP,(AR287-AT287)/AU287)),"")</f>
        <v/>
      </c>
      <c r="AW287" s="40">
        <f>IF(ISNUMBER(AV287),-AV287,"")</f>
        <v/>
      </c>
      <c r="AX287" s="40">
        <f>IF(ISNUMBER(AW287),1+AMPLITUD*TANH(AW287),"")</f>
        <v/>
      </c>
      <c r="AY287" s="40">
        <f>IF($A287="","",IF(COUNT(AX285:AX287)&gt;0,AVERAGE(AX285:AX287),""))</f>
        <v/>
      </c>
      <c r="AZ287" s="40">
        <f>IF(ISNUMBER(AY287),AY287-1,"")</f>
        <v/>
      </c>
      <c r="BA287" s="40">
        <f>IF(AND(ISNUMBER(AZ286),ISNUMBER(W287)),AZ286*W_BANCOS*W287,"")</f>
        <v/>
      </c>
      <c r="BB287" s="40">
        <f>IF(AND(ISNUMBER(AZ286),ISNUMBER(AZ285)),ABS(AZ286-AZ285)*W_BANCOS*COSTO,0)</f>
        <v/>
      </c>
      <c r="BC287" s="40">
        <f>IF(ISNUMBER(BA287),BA287-BB287,"")</f>
        <v/>
      </c>
      <c r="BD287" s="42">
        <f>IF(ISNUMBER(BC287),IF(A287&lt;=FECHA_ERA,"A","B"),"")</f>
        <v/>
      </c>
      <c r="BE287" s="40">
        <f>IF(BD287="A",BC287,"")</f>
        <v/>
      </c>
      <c r="BF287" s="40">
        <f>IF(BD287="B",BC287,"")</f>
        <v/>
      </c>
      <c r="BG287" s="38">
        <f>IF(AND(ISNUMBER(BC287),ISNUMBER(A287)),IF(A287&gt;=INICIO_VIVO,1,0),0)</f>
        <v/>
      </c>
      <c r="BH287" s="40">
        <f>IF(BG287=1,BC287,"")</f>
        <v/>
      </c>
      <c r="BI287" s="38">
        <f>IF(ISNUMBER(AY287),ROW(),0)</f>
        <v/>
      </c>
      <c r="BJ287" s="43">
        <f>IF(ISNUMBER(BC287),SUM(BC$5:BC287)*10000,NA())</f>
        <v/>
      </c>
      <c r="BK287" s="43">
        <f>IF(BG287=1,SUM(BH$5:BH287)*10000,NA())</f>
        <v/>
      </c>
      <c r="BL287" s="44">
        <f>IF(ISNUMBER(AY287),AY287,NA())</f>
        <v/>
      </c>
    </row>
    <row r="288">
      <c r="A288" s="36">
        <f>IF(Datos!A288="","",Datos!A288)</f>
        <v/>
      </c>
      <c r="B288" s="37">
        <f>IF(OR($A288="",NOT(ISNUMBER(Datos!B288)),NOT(ISNUMBER(Datos!B287))),"",Datos!B288/Datos!B287-1)</f>
        <v/>
      </c>
      <c r="C288" s="37">
        <f>IF(OR($A288="",NOT(ISNUMBER(Datos!C288)),NOT(ISNUMBER(Datos!C287))),"",Datos!C288/Datos!C287-1)</f>
        <v/>
      </c>
      <c r="D288" s="37">
        <f>IF(OR($A288="",NOT(ISNUMBER(Datos!D288)),NOT(ISNUMBER(Datos!D287))),"",Datos!D288/Datos!D287-1)</f>
        <v/>
      </c>
      <c r="E288" s="37">
        <f>IF(OR($A288="",NOT(ISNUMBER(Datos!E288)),NOT(ISNUMBER(Datos!E287))),"",Datos!E288/Datos!E287-1)</f>
        <v/>
      </c>
      <c r="F288" s="38">
        <f>IF($A288="","",COUNT(B288:E288))</f>
        <v/>
      </c>
      <c r="G288" s="37">
        <f>IF($A288="","",IF(F288&gt;=MIN_BANCOS,AVERAGE(B288:E288),""))</f>
        <v/>
      </c>
      <c r="H288" s="37">
        <f>IF(OR($A288="",NOT(ISNUMBER(Datos!F288)),NOT(ISNUMBER(Datos!F287))),"",Datos!F288/Datos!F287-1)</f>
        <v/>
      </c>
      <c r="I288" s="39">
        <f>IF($A288="","",IF(ISNUMBER(Datos!G288),Datos!G288,I287))</f>
        <v/>
      </c>
      <c r="J288" s="40">
        <f>IF($A288="","",IF(ISNUMBER(I287),LN(1+I287/100/12),0))</f>
        <v/>
      </c>
      <c r="K288" s="40">
        <f>IF(ISNUMBER(G288),LN(1+G288)-J288,"")</f>
        <v/>
      </c>
      <c r="L288" s="40">
        <f>IF(ISNUMBER(H288),LN(1+H288)-J288,"")</f>
        <v/>
      </c>
      <c r="M288" s="38">
        <f>IF(ISNUMBER(K288),1,0)</f>
        <v/>
      </c>
      <c r="N288" s="40">
        <f>IF(M288=1,K288,0)</f>
        <v/>
      </c>
      <c r="O288" s="38">
        <f>IF(ISNUMBER(L288),1,0)</f>
        <v/>
      </c>
      <c r="P288" s="40">
        <f>IF(O288=1,L288,0)</f>
        <v/>
      </c>
      <c r="Q288" s="38">
        <f>M288*O288</f>
        <v/>
      </c>
      <c r="R288" s="38">
        <f>SUM(Q252:Q287)</f>
        <v/>
      </c>
      <c r="S288" s="41">
        <f>IF(OR($A288="",R288&lt;MIN_OBS_ROLL),"",(SUMPRODUCT(Q252:Q287,N252:N287,P252:P287)/R288-SUMPRODUCT(Q252:Q287,N252:N287)/R288*SUMPRODUCT(Q252:Q287,P252:P287)/R288)*R288/(R288-1))</f>
        <v/>
      </c>
      <c r="T288" s="38">
        <f>SUM(O252:O287)</f>
        <v/>
      </c>
      <c r="U288" s="41">
        <f>IF(OR($A288="",T288&lt;MIN_OBS_ROLL),"",SUMPRODUCT(O252:O287,(P252:P287-SUMPRODUCT(O252:O287,P252:P287)/T288)^2)/(T288-1))</f>
        <v/>
      </c>
      <c r="V288" s="40">
        <f>IF(OR(S288="",U288=""),"",S288/U288)</f>
        <v/>
      </c>
      <c r="W288" s="40">
        <f>IF(AND(ISNUMBER(K288),ISNUMBER(L288),ISNUMBER(V288)),K288-V288*L288,"")</f>
        <v/>
      </c>
      <c r="X288" s="40">
        <f>IF(OR($A288="",NOT(ISNUMBER(Datos!H288)),NOT(ISNUMBER(Datos!H287))),"",LN(Datos!H288)-LN(Datos!H287))</f>
        <v/>
      </c>
      <c r="Y288" s="38">
        <f>IF(ISNUMBER(W288),1,0)</f>
        <v/>
      </c>
      <c r="Z288" s="40">
        <f>IF(Y288=1,W288,0)</f>
        <v/>
      </c>
      <c r="AA288" s="38">
        <f>IF(ISNUMBER(X288),1,0)</f>
        <v/>
      </c>
      <c r="AB288" s="40">
        <f>IF(AA288=1,X288,0)</f>
        <v/>
      </c>
      <c r="AC288" s="38">
        <f>Y288*AA288</f>
        <v/>
      </c>
      <c r="AD288" s="38">
        <f>SUM(AC252:AC287)</f>
        <v/>
      </c>
      <c r="AE288" s="41">
        <f>IF(OR($A288="",AD288&lt;MIN_OBS_ROLL),"",(SUMPRODUCT(AC252:AC287,Z252:Z287,AB252:AB287)/AD288-SUMPRODUCT(AC252:AC287,Z252:Z287)/AD288*SUMPRODUCT(AC252:AC287,AB252:AB287)/AD288)*AD288/(AD288-1))</f>
        <v/>
      </c>
      <c r="AF288" s="38">
        <f>SUM(AA252:AA287)</f>
        <v/>
      </c>
      <c r="AG288" s="41">
        <f>IF(OR($A288="",AF288&lt;MIN_OBS_ROLL),"",SUMPRODUCT(AA252:AA287,(AB252:AB287-SUMPRODUCT(AA252:AA287,AB252:AB287)/AF288)^2)/(AF288-1))</f>
        <v/>
      </c>
      <c r="AH288" s="38">
        <f>SUM(Y252:Y287)</f>
        <v/>
      </c>
      <c r="AI288" s="40">
        <f>IF(OR($A288="",AH288&lt;MIN_OBS_ROLL),"",SUMPRODUCT(Y252:Y287,Z252:Z287)/AH288)</f>
        <v/>
      </c>
      <c r="AJ288" s="40">
        <f>IF(OR($A288="",AF288&lt;MIN_OBS_ROLL),"",SUMPRODUCT(AA252:AA287,AB252:AB287)/AF288)</f>
        <v/>
      </c>
      <c r="AK288" s="40">
        <f>IF(OR(AE288="",AG288=""),"",AE288/AG288)</f>
        <v/>
      </c>
      <c r="AL288" s="40">
        <f>IF(OR(AI288="",AK288="",AJ288=""),"",AI288-AK288*AJ288)</f>
        <v/>
      </c>
      <c r="AM288" s="40">
        <f>IF(AND(ISNUMBER(W288),ISNUMBER(X288),ISNUMBER(AK288),ISNUMBER(AL288)),W288-(AL288+AK288*X288),"")</f>
        <v/>
      </c>
      <c r="AN288" s="38">
        <f>IF(ISNUMBER(AM288),1,0)</f>
        <v/>
      </c>
      <c r="AO288" s="40">
        <f>IF(AN288=1,AM288,0)</f>
        <v/>
      </c>
      <c r="AP288" s="40">
        <f>IF(SUM(AN286:AN288)=3,SUM(AO286:AO288),"")</f>
        <v/>
      </c>
      <c r="AQ288" s="38">
        <f>IF(ISNUMBER(AP288),1,0)</f>
        <v/>
      </c>
      <c r="AR288" s="40">
        <f>IF(AQ288=1,AP288,0)</f>
        <v/>
      </c>
      <c r="AS288" s="38">
        <f>SUM(AQ$5:AQ288)</f>
        <v/>
      </c>
      <c r="AT288" s="40">
        <f>IF(AS288&gt;=MIN_OBS_Z,SUMPRODUCT(AQ$5:AQ288,AR$5:AR288)/AS288,"")</f>
        <v/>
      </c>
      <c r="AU288" s="40">
        <f>IF(AS288&gt;=MIN_OBS_Z,SQRT(SUMPRODUCT(AQ$5:AQ288,(AR$5:AR288-AT288)^2)/(AS288-1)),"")</f>
        <v/>
      </c>
      <c r="AV288" s="40">
        <f>IF(AND(AQ288=1,ISNUMBER(AT288)),MAX(-Z_CLIP,MIN(Z_CLIP,(AR288-AT288)/AU288)),"")</f>
        <v/>
      </c>
      <c r="AW288" s="40">
        <f>IF(ISNUMBER(AV288),-AV288,"")</f>
        <v/>
      </c>
      <c r="AX288" s="40">
        <f>IF(ISNUMBER(AW288),1+AMPLITUD*TANH(AW288),"")</f>
        <v/>
      </c>
      <c r="AY288" s="40">
        <f>IF($A288="","",IF(COUNT(AX286:AX288)&gt;0,AVERAGE(AX286:AX288),""))</f>
        <v/>
      </c>
      <c r="AZ288" s="40">
        <f>IF(ISNUMBER(AY288),AY288-1,"")</f>
        <v/>
      </c>
      <c r="BA288" s="40">
        <f>IF(AND(ISNUMBER(AZ287),ISNUMBER(W288)),AZ287*W_BANCOS*W288,"")</f>
        <v/>
      </c>
      <c r="BB288" s="40">
        <f>IF(AND(ISNUMBER(AZ287),ISNUMBER(AZ286)),ABS(AZ287-AZ286)*W_BANCOS*COSTO,0)</f>
        <v/>
      </c>
      <c r="BC288" s="40">
        <f>IF(ISNUMBER(BA288),BA288-BB288,"")</f>
        <v/>
      </c>
      <c r="BD288" s="42">
        <f>IF(ISNUMBER(BC288),IF(A288&lt;=FECHA_ERA,"A","B"),"")</f>
        <v/>
      </c>
      <c r="BE288" s="40">
        <f>IF(BD288="A",BC288,"")</f>
        <v/>
      </c>
      <c r="BF288" s="40">
        <f>IF(BD288="B",BC288,"")</f>
        <v/>
      </c>
      <c r="BG288" s="38">
        <f>IF(AND(ISNUMBER(BC288),ISNUMBER(A288)),IF(A288&gt;=INICIO_VIVO,1,0),0)</f>
        <v/>
      </c>
      <c r="BH288" s="40">
        <f>IF(BG288=1,BC288,"")</f>
        <v/>
      </c>
      <c r="BI288" s="38">
        <f>IF(ISNUMBER(AY288),ROW(),0)</f>
        <v/>
      </c>
      <c r="BJ288" s="43">
        <f>IF(ISNUMBER(BC288),SUM(BC$5:BC288)*10000,NA())</f>
        <v/>
      </c>
      <c r="BK288" s="43">
        <f>IF(BG288=1,SUM(BH$5:BH288)*10000,NA())</f>
        <v/>
      </c>
      <c r="BL288" s="44">
        <f>IF(ISNUMBER(AY288),AY288,NA())</f>
        <v/>
      </c>
    </row>
    <row r="289">
      <c r="A289" s="36">
        <f>IF(Datos!A289="","",Datos!A289)</f>
        <v/>
      </c>
      <c r="B289" s="37">
        <f>IF(OR($A289="",NOT(ISNUMBER(Datos!B289)),NOT(ISNUMBER(Datos!B288))),"",Datos!B289/Datos!B288-1)</f>
        <v/>
      </c>
      <c r="C289" s="37">
        <f>IF(OR($A289="",NOT(ISNUMBER(Datos!C289)),NOT(ISNUMBER(Datos!C288))),"",Datos!C289/Datos!C288-1)</f>
        <v/>
      </c>
      <c r="D289" s="37">
        <f>IF(OR($A289="",NOT(ISNUMBER(Datos!D289)),NOT(ISNUMBER(Datos!D288))),"",Datos!D289/Datos!D288-1)</f>
        <v/>
      </c>
      <c r="E289" s="37">
        <f>IF(OR($A289="",NOT(ISNUMBER(Datos!E289)),NOT(ISNUMBER(Datos!E288))),"",Datos!E289/Datos!E288-1)</f>
        <v/>
      </c>
      <c r="F289" s="38">
        <f>IF($A289="","",COUNT(B289:E289))</f>
        <v/>
      </c>
      <c r="G289" s="37">
        <f>IF($A289="","",IF(F289&gt;=MIN_BANCOS,AVERAGE(B289:E289),""))</f>
        <v/>
      </c>
      <c r="H289" s="37">
        <f>IF(OR($A289="",NOT(ISNUMBER(Datos!F289)),NOT(ISNUMBER(Datos!F288))),"",Datos!F289/Datos!F288-1)</f>
        <v/>
      </c>
      <c r="I289" s="39">
        <f>IF($A289="","",IF(ISNUMBER(Datos!G289),Datos!G289,I288))</f>
        <v/>
      </c>
      <c r="J289" s="40">
        <f>IF($A289="","",IF(ISNUMBER(I288),LN(1+I288/100/12),0))</f>
        <v/>
      </c>
      <c r="K289" s="40">
        <f>IF(ISNUMBER(G289),LN(1+G289)-J289,"")</f>
        <v/>
      </c>
      <c r="L289" s="40">
        <f>IF(ISNUMBER(H289),LN(1+H289)-J289,"")</f>
        <v/>
      </c>
      <c r="M289" s="38">
        <f>IF(ISNUMBER(K289),1,0)</f>
        <v/>
      </c>
      <c r="N289" s="40">
        <f>IF(M289=1,K289,0)</f>
        <v/>
      </c>
      <c r="O289" s="38">
        <f>IF(ISNUMBER(L289),1,0)</f>
        <v/>
      </c>
      <c r="P289" s="40">
        <f>IF(O289=1,L289,0)</f>
        <v/>
      </c>
      <c r="Q289" s="38">
        <f>M289*O289</f>
        <v/>
      </c>
      <c r="R289" s="38">
        <f>SUM(Q253:Q288)</f>
        <v/>
      </c>
      <c r="S289" s="41">
        <f>IF(OR($A289="",R289&lt;MIN_OBS_ROLL),"",(SUMPRODUCT(Q253:Q288,N253:N288,P253:P288)/R289-SUMPRODUCT(Q253:Q288,N253:N288)/R289*SUMPRODUCT(Q253:Q288,P253:P288)/R289)*R289/(R289-1))</f>
        <v/>
      </c>
      <c r="T289" s="38">
        <f>SUM(O253:O288)</f>
        <v/>
      </c>
      <c r="U289" s="41">
        <f>IF(OR($A289="",T289&lt;MIN_OBS_ROLL),"",SUMPRODUCT(O253:O288,(P253:P288-SUMPRODUCT(O253:O288,P253:P288)/T289)^2)/(T289-1))</f>
        <v/>
      </c>
      <c r="V289" s="40">
        <f>IF(OR(S289="",U289=""),"",S289/U289)</f>
        <v/>
      </c>
      <c r="W289" s="40">
        <f>IF(AND(ISNUMBER(K289),ISNUMBER(L289),ISNUMBER(V289)),K289-V289*L289,"")</f>
        <v/>
      </c>
      <c r="X289" s="40">
        <f>IF(OR($A289="",NOT(ISNUMBER(Datos!H289)),NOT(ISNUMBER(Datos!H288))),"",LN(Datos!H289)-LN(Datos!H288))</f>
        <v/>
      </c>
      <c r="Y289" s="38">
        <f>IF(ISNUMBER(W289),1,0)</f>
        <v/>
      </c>
      <c r="Z289" s="40">
        <f>IF(Y289=1,W289,0)</f>
        <v/>
      </c>
      <c r="AA289" s="38">
        <f>IF(ISNUMBER(X289),1,0)</f>
        <v/>
      </c>
      <c r="AB289" s="40">
        <f>IF(AA289=1,X289,0)</f>
        <v/>
      </c>
      <c r="AC289" s="38">
        <f>Y289*AA289</f>
        <v/>
      </c>
      <c r="AD289" s="38">
        <f>SUM(AC253:AC288)</f>
        <v/>
      </c>
      <c r="AE289" s="41">
        <f>IF(OR($A289="",AD289&lt;MIN_OBS_ROLL),"",(SUMPRODUCT(AC253:AC288,Z253:Z288,AB253:AB288)/AD289-SUMPRODUCT(AC253:AC288,Z253:Z288)/AD289*SUMPRODUCT(AC253:AC288,AB253:AB288)/AD289)*AD289/(AD289-1))</f>
        <v/>
      </c>
      <c r="AF289" s="38">
        <f>SUM(AA253:AA288)</f>
        <v/>
      </c>
      <c r="AG289" s="41">
        <f>IF(OR($A289="",AF289&lt;MIN_OBS_ROLL),"",SUMPRODUCT(AA253:AA288,(AB253:AB288-SUMPRODUCT(AA253:AA288,AB253:AB288)/AF289)^2)/(AF289-1))</f>
        <v/>
      </c>
      <c r="AH289" s="38">
        <f>SUM(Y253:Y288)</f>
        <v/>
      </c>
      <c r="AI289" s="40">
        <f>IF(OR($A289="",AH289&lt;MIN_OBS_ROLL),"",SUMPRODUCT(Y253:Y288,Z253:Z288)/AH289)</f>
        <v/>
      </c>
      <c r="AJ289" s="40">
        <f>IF(OR($A289="",AF289&lt;MIN_OBS_ROLL),"",SUMPRODUCT(AA253:AA288,AB253:AB288)/AF289)</f>
        <v/>
      </c>
      <c r="AK289" s="40">
        <f>IF(OR(AE289="",AG289=""),"",AE289/AG289)</f>
        <v/>
      </c>
      <c r="AL289" s="40">
        <f>IF(OR(AI289="",AK289="",AJ289=""),"",AI289-AK289*AJ289)</f>
        <v/>
      </c>
      <c r="AM289" s="40">
        <f>IF(AND(ISNUMBER(W289),ISNUMBER(X289),ISNUMBER(AK289),ISNUMBER(AL289)),W289-(AL289+AK289*X289),"")</f>
        <v/>
      </c>
      <c r="AN289" s="38">
        <f>IF(ISNUMBER(AM289),1,0)</f>
        <v/>
      </c>
      <c r="AO289" s="40">
        <f>IF(AN289=1,AM289,0)</f>
        <v/>
      </c>
      <c r="AP289" s="40">
        <f>IF(SUM(AN287:AN289)=3,SUM(AO287:AO289),"")</f>
        <v/>
      </c>
      <c r="AQ289" s="38">
        <f>IF(ISNUMBER(AP289),1,0)</f>
        <v/>
      </c>
      <c r="AR289" s="40">
        <f>IF(AQ289=1,AP289,0)</f>
        <v/>
      </c>
      <c r="AS289" s="38">
        <f>SUM(AQ$5:AQ289)</f>
        <v/>
      </c>
      <c r="AT289" s="40">
        <f>IF(AS289&gt;=MIN_OBS_Z,SUMPRODUCT(AQ$5:AQ289,AR$5:AR289)/AS289,"")</f>
        <v/>
      </c>
      <c r="AU289" s="40">
        <f>IF(AS289&gt;=MIN_OBS_Z,SQRT(SUMPRODUCT(AQ$5:AQ289,(AR$5:AR289-AT289)^2)/(AS289-1)),"")</f>
        <v/>
      </c>
      <c r="AV289" s="40">
        <f>IF(AND(AQ289=1,ISNUMBER(AT289)),MAX(-Z_CLIP,MIN(Z_CLIP,(AR289-AT289)/AU289)),"")</f>
        <v/>
      </c>
      <c r="AW289" s="40">
        <f>IF(ISNUMBER(AV289),-AV289,"")</f>
        <v/>
      </c>
      <c r="AX289" s="40">
        <f>IF(ISNUMBER(AW289),1+AMPLITUD*TANH(AW289),"")</f>
        <v/>
      </c>
      <c r="AY289" s="40">
        <f>IF($A289="","",IF(COUNT(AX287:AX289)&gt;0,AVERAGE(AX287:AX289),""))</f>
        <v/>
      </c>
      <c r="AZ289" s="40">
        <f>IF(ISNUMBER(AY289),AY289-1,"")</f>
        <v/>
      </c>
      <c r="BA289" s="40">
        <f>IF(AND(ISNUMBER(AZ288),ISNUMBER(W289)),AZ288*W_BANCOS*W289,"")</f>
        <v/>
      </c>
      <c r="BB289" s="40">
        <f>IF(AND(ISNUMBER(AZ288),ISNUMBER(AZ287)),ABS(AZ288-AZ287)*W_BANCOS*COSTO,0)</f>
        <v/>
      </c>
      <c r="BC289" s="40">
        <f>IF(ISNUMBER(BA289),BA289-BB289,"")</f>
        <v/>
      </c>
      <c r="BD289" s="42">
        <f>IF(ISNUMBER(BC289),IF(A289&lt;=FECHA_ERA,"A","B"),"")</f>
        <v/>
      </c>
      <c r="BE289" s="40">
        <f>IF(BD289="A",BC289,"")</f>
        <v/>
      </c>
      <c r="BF289" s="40">
        <f>IF(BD289="B",BC289,"")</f>
        <v/>
      </c>
      <c r="BG289" s="38">
        <f>IF(AND(ISNUMBER(BC289),ISNUMBER(A289)),IF(A289&gt;=INICIO_VIVO,1,0),0)</f>
        <v/>
      </c>
      <c r="BH289" s="40">
        <f>IF(BG289=1,BC289,"")</f>
        <v/>
      </c>
      <c r="BI289" s="38">
        <f>IF(ISNUMBER(AY289),ROW(),0)</f>
        <v/>
      </c>
      <c r="BJ289" s="43">
        <f>IF(ISNUMBER(BC289),SUM(BC$5:BC289)*10000,NA())</f>
        <v/>
      </c>
      <c r="BK289" s="43">
        <f>IF(BG289=1,SUM(BH$5:BH289)*10000,NA())</f>
        <v/>
      </c>
      <c r="BL289" s="44">
        <f>IF(ISNUMBER(AY289),AY289,NA())</f>
        <v/>
      </c>
    </row>
    <row r="290">
      <c r="A290" s="36">
        <f>IF(Datos!A290="","",Datos!A290)</f>
        <v/>
      </c>
      <c r="B290" s="37">
        <f>IF(OR($A290="",NOT(ISNUMBER(Datos!B290)),NOT(ISNUMBER(Datos!B289))),"",Datos!B290/Datos!B289-1)</f>
        <v/>
      </c>
      <c r="C290" s="37">
        <f>IF(OR($A290="",NOT(ISNUMBER(Datos!C290)),NOT(ISNUMBER(Datos!C289))),"",Datos!C290/Datos!C289-1)</f>
        <v/>
      </c>
      <c r="D290" s="37">
        <f>IF(OR($A290="",NOT(ISNUMBER(Datos!D290)),NOT(ISNUMBER(Datos!D289))),"",Datos!D290/Datos!D289-1)</f>
        <v/>
      </c>
      <c r="E290" s="37">
        <f>IF(OR($A290="",NOT(ISNUMBER(Datos!E290)),NOT(ISNUMBER(Datos!E289))),"",Datos!E290/Datos!E289-1)</f>
        <v/>
      </c>
      <c r="F290" s="38">
        <f>IF($A290="","",COUNT(B290:E290))</f>
        <v/>
      </c>
      <c r="G290" s="37">
        <f>IF($A290="","",IF(F290&gt;=MIN_BANCOS,AVERAGE(B290:E290),""))</f>
        <v/>
      </c>
      <c r="H290" s="37">
        <f>IF(OR($A290="",NOT(ISNUMBER(Datos!F290)),NOT(ISNUMBER(Datos!F289))),"",Datos!F290/Datos!F289-1)</f>
        <v/>
      </c>
      <c r="I290" s="39">
        <f>IF($A290="","",IF(ISNUMBER(Datos!G290),Datos!G290,I289))</f>
        <v/>
      </c>
      <c r="J290" s="40">
        <f>IF($A290="","",IF(ISNUMBER(I289),LN(1+I289/100/12),0))</f>
        <v/>
      </c>
      <c r="K290" s="40">
        <f>IF(ISNUMBER(G290),LN(1+G290)-J290,"")</f>
        <v/>
      </c>
      <c r="L290" s="40">
        <f>IF(ISNUMBER(H290),LN(1+H290)-J290,"")</f>
        <v/>
      </c>
      <c r="M290" s="38">
        <f>IF(ISNUMBER(K290),1,0)</f>
        <v/>
      </c>
      <c r="N290" s="40">
        <f>IF(M290=1,K290,0)</f>
        <v/>
      </c>
      <c r="O290" s="38">
        <f>IF(ISNUMBER(L290),1,0)</f>
        <v/>
      </c>
      <c r="P290" s="40">
        <f>IF(O290=1,L290,0)</f>
        <v/>
      </c>
      <c r="Q290" s="38">
        <f>M290*O290</f>
        <v/>
      </c>
      <c r="R290" s="38">
        <f>SUM(Q254:Q289)</f>
        <v/>
      </c>
      <c r="S290" s="41">
        <f>IF(OR($A290="",R290&lt;MIN_OBS_ROLL),"",(SUMPRODUCT(Q254:Q289,N254:N289,P254:P289)/R290-SUMPRODUCT(Q254:Q289,N254:N289)/R290*SUMPRODUCT(Q254:Q289,P254:P289)/R290)*R290/(R290-1))</f>
        <v/>
      </c>
      <c r="T290" s="38">
        <f>SUM(O254:O289)</f>
        <v/>
      </c>
      <c r="U290" s="41">
        <f>IF(OR($A290="",T290&lt;MIN_OBS_ROLL),"",SUMPRODUCT(O254:O289,(P254:P289-SUMPRODUCT(O254:O289,P254:P289)/T290)^2)/(T290-1))</f>
        <v/>
      </c>
      <c r="V290" s="40">
        <f>IF(OR(S290="",U290=""),"",S290/U290)</f>
        <v/>
      </c>
      <c r="W290" s="40">
        <f>IF(AND(ISNUMBER(K290),ISNUMBER(L290),ISNUMBER(V290)),K290-V290*L290,"")</f>
        <v/>
      </c>
      <c r="X290" s="40">
        <f>IF(OR($A290="",NOT(ISNUMBER(Datos!H290)),NOT(ISNUMBER(Datos!H289))),"",LN(Datos!H290)-LN(Datos!H289))</f>
        <v/>
      </c>
      <c r="Y290" s="38">
        <f>IF(ISNUMBER(W290),1,0)</f>
        <v/>
      </c>
      <c r="Z290" s="40">
        <f>IF(Y290=1,W290,0)</f>
        <v/>
      </c>
      <c r="AA290" s="38">
        <f>IF(ISNUMBER(X290),1,0)</f>
        <v/>
      </c>
      <c r="AB290" s="40">
        <f>IF(AA290=1,X290,0)</f>
        <v/>
      </c>
      <c r="AC290" s="38">
        <f>Y290*AA290</f>
        <v/>
      </c>
      <c r="AD290" s="38">
        <f>SUM(AC254:AC289)</f>
        <v/>
      </c>
      <c r="AE290" s="41">
        <f>IF(OR($A290="",AD290&lt;MIN_OBS_ROLL),"",(SUMPRODUCT(AC254:AC289,Z254:Z289,AB254:AB289)/AD290-SUMPRODUCT(AC254:AC289,Z254:Z289)/AD290*SUMPRODUCT(AC254:AC289,AB254:AB289)/AD290)*AD290/(AD290-1))</f>
        <v/>
      </c>
      <c r="AF290" s="38">
        <f>SUM(AA254:AA289)</f>
        <v/>
      </c>
      <c r="AG290" s="41">
        <f>IF(OR($A290="",AF290&lt;MIN_OBS_ROLL),"",SUMPRODUCT(AA254:AA289,(AB254:AB289-SUMPRODUCT(AA254:AA289,AB254:AB289)/AF290)^2)/(AF290-1))</f>
        <v/>
      </c>
      <c r="AH290" s="38">
        <f>SUM(Y254:Y289)</f>
        <v/>
      </c>
      <c r="AI290" s="40">
        <f>IF(OR($A290="",AH290&lt;MIN_OBS_ROLL),"",SUMPRODUCT(Y254:Y289,Z254:Z289)/AH290)</f>
        <v/>
      </c>
      <c r="AJ290" s="40">
        <f>IF(OR($A290="",AF290&lt;MIN_OBS_ROLL),"",SUMPRODUCT(AA254:AA289,AB254:AB289)/AF290)</f>
        <v/>
      </c>
      <c r="AK290" s="40">
        <f>IF(OR(AE290="",AG290=""),"",AE290/AG290)</f>
        <v/>
      </c>
      <c r="AL290" s="40">
        <f>IF(OR(AI290="",AK290="",AJ290=""),"",AI290-AK290*AJ290)</f>
        <v/>
      </c>
      <c r="AM290" s="40">
        <f>IF(AND(ISNUMBER(W290),ISNUMBER(X290),ISNUMBER(AK290),ISNUMBER(AL290)),W290-(AL290+AK290*X290),"")</f>
        <v/>
      </c>
      <c r="AN290" s="38">
        <f>IF(ISNUMBER(AM290),1,0)</f>
        <v/>
      </c>
      <c r="AO290" s="40">
        <f>IF(AN290=1,AM290,0)</f>
        <v/>
      </c>
      <c r="AP290" s="40">
        <f>IF(SUM(AN288:AN290)=3,SUM(AO288:AO290),"")</f>
        <v/>
      </c>
      <c r="AQ290" s="38">
        <f>IF(ISNUMBER(AP290),1,0)</f>
        <v/>
      </c>
      <c r="AR290" s="40">
        <f>IF(AQ290=1,AP290,0)</f>
        <v/>
      </c>
      <c r="AS290" s="38">
        <f>SUM(AQ$5:AQ290)</f>
        <v/>
      </c>
      <c r="AT290" s="40">
        <f>IF(AS290&gt;=MIN_OBS_Z,SUMPRODUCT(AQ$5:AQ290,AR$5:AR290)/AS290,"")</f>
        <v/>
      </c>
      <c r="AU290" s="40">
        <f>IF(AS290&gt;=MIN_OBS_Z,SQRT(SUMPRODUCT(AQ$5:AQ290,(AR$5:AR290-AT290)^2)/(AS290-1)),"")</f>
        <v/>
      </c>
      <c r="AV290" s="40">
        <f>IF(AND(AQ290=1,ISNUMBER(AT290)),MAX(-Z_CLIP,MIN(Z_CLIP,(AR290-AT290)/AU290)),"")</f>
        <v/>
      </c>
      <c r="AW290" s="40">
        <f>IF(ISNUMBER(AV290),-AV290,"")</f>
        <v/>
      </c>
      <c r="AX290" s="40">
        <f>IF(ISNUMBER(AW290),1+AMPLITUD*TANH(AW290),"")</f>
        <v/>
      </c>
      <c r="AY290" s="40">
        <f>IF($A290="","",IF(COUNT(AX288:AX290)&gt;0,AVERAGE(AX288:AX290),""))</f>
        <v/>
      </c>
      <c r="AZ290" s="40">
        <f>IF(ISNUMBER(AY290),AY290-1,"")</f>
        <v/>
      </c>
      <c r="BA290" s="40">
        <f>IF(AND(ISNUMBER(AZ289),ISNUMBER(W290)),AZ289*W_BANCOS*W290,"")</f>
        <v/>
      </c>
      <c r="BB290" s="40">
        <f>IF(AND(ISNUMBER(AZ289),ISNUMBER(AZ288)),ABS(AZ289-AZ288)*W_BANCOS*COSTO,0)</f>
        <v/>
      </c>
      <c r="BC290" s="40">
        <f>IF(ISNUMBER(BA290),BA290-BB290,"")</f>
        <v/>
      </c>
      <c r="BD290" s="42">
        <f>IF(ISNUMBER(BC290),IF(A290&lt;=FECHA_ERA,"A","B"),"")</f>
        <v/>
      </c>
      <c r="BE290" s="40">
        <f>IF(BD290="A",BC290,"")</f>
        <v/>
      </c>
      <c r="BF290" s="40">
        <f>IF(BD290="B",BC290,"")</f>
        <v/>
      </c>
      <c r="BG290" s="38">
        <f>IF(AND(ISNUMBER(BC290),ISNUMBER(A290)),IF(A290&gt;=INICIO_VIVO,1,0),0)</f>
        <v/>
      </c>
      <c r="BH290" s="40">
        <f>IF(BG290=1,BC290,"")</f>
        <v/>
      </c>
      <c r="BI290" s="38">
        <f>IF(ISNUMBER(AY290),ROW(),0)</f>
        <v/>
      </c>
      <c r="BJ290" s="43">
        <f>IF(ISNUMBER(BC290),SUM(BC$5:BC290)*10000,NA())</f>
        <v/>
      </c>
      <c r="BK290" s="43">
        <f>IF(BG290=1,SUM(BH$5:BH290)*10000,NA())</f>
        <v/>
      </c>
      <c r="BL290" s="44">
        <f>IF(ISNUMBER(AY290),AY290,NA())</f>
        <v/>
      </c>
    </row>
    <row r="291">
      <c r="A291" s="36">
        <f>IF(Datos!A291="","",Datos!A291)</f>
        <v/>
      </c>
      <c r="B291" s="37">
        <f>IF(OR($A291="",NOT(ISNUMBER(Datos!B291)),NOT(ISNUMBER(Datos!B290))),"",Datos!B291/Datos!B290-1)</f>
        <v/>
      </c>
      <c r="C291" s="37">
        <f>IF(OR($A291="",NOT(ISNUMBER(Datos!C291)),NOT(ISNUMBER(Datos!C290))),"",Datos!C291/Datos!C290-1)</f>
        <v/>
      </c>
      <c r="D291" s="37">
        <f>IF(OR($A291="",NOT(ISNUMBER(Datos!D291)),NOT(ISNUMBER(Datos!D290))),"",Datos!D291/Datos!D290-1)</f>
        <v/>
      </c>
      <c r="E291" s="37">
        <f>IF(OR($A291="",NOT(ISNUMBER(Datos!E291)),NOT(ISNUMBER(Datos!E290))),"",Datos!E291/Datos!E290-1)</f>
        <v/>
      </c>
      <c r="F291" s="38">
        <f>IF($A291="","",COUNT(B291:E291))</f>
        <v/>
      </c>
      <c r="G291" s="37">
        <f>IF($A291="","",IF(F291&gt;=MIN_BANCOS,AVERAGE(B291:E291),""))</f>
        <v/>
      </c>
      <c r="H291" s="37">
        <f>IF(OR($A291="",NOT(ISNUMBER(Datos!F291)),NOT(ISNUMBER(Datos!F290))),"",Datos!F291/Datos!F290-1)</f>
        <v/>
      </c>
      <c r="I291" s="39">
        <f>IF($A291="","",IF(ISNUMBER(Datos!G291),Datos!G291,I290))</f>
        <v/>
      </c>
      <c r="J291" s="40">
        <f>IF($A291="","",IF(ISNUMBER(I290),LN(1+I290/100/12),0))</f>
        <v/>
      </c>
      <c r="K291" s="40">
        <f>IF(ISNUMBER(G291),LN(1+G291)-J291,"")</f>
        <v/>
      </c>
      <c r="L291" s="40">
        <f>IF(ISNUMBER(H291),LN(1+H291)-J291,"")</f>
        <v/>
      </c>
      <c r="M291" s="38">
        <f>IF(ISNUMBER(K291),1,0)</f>
        <v/>
      </c>
      <c r="N291" s="40">
        <f>IF(M291=1,K291,0)</f>
        <v/>
      </c>
      <c r="O291" s="38">
        <f>IF(ISNUMBER(L291),1,0)</f>
        <v/>
      </c>
      <c r="P291" s="40">
        <f>IF(O291=1,L291,0)</f>
        <v/>
      </c>
      <c r="Q291" s="38">
        <f>M291*O291</f>
        <v/>
      </c>
      <c r="R291" s="38">
        <f>SUM(Q255:Q290)</f>
        <v/>
      </c>
      <c r="S291" s="41">
        <f>IF(OR($A291="",R291&lt;MIN_OBS_ROLL),"",(SUMPRODUCT(Q255:Q290,N255:N290,P255:P290)/R291-SUMPRODUCT(Q255:Q290,N255:N290)/R291*SUMPRODUCT(Q255:Q290,P255:P290)/R291)*R291/(R291-1))</f>
        <v/>
      </c>
      <c r="T291" s="38">
        <f>SUM(O255:O290)</f>
        <v/>
      </c>
      <c r="U291" s="41">
        <f>IF(OR($A291="",T291&lt;MIN_OBS_ROLL),"",SUMPRODUCT(O255:O290,(P255:P290-SUMPRODUCT(O255:O290,P255:P290)/T291)^2)/(T291-1))</f>
        <v/>
      </c>
      <c r="V291" s="40">
        <f>IF(OR(S291="",U291=""),"",S291/U291)</f>
        <v/>
      </c>
      <c r="W291" s="40">
        <f>IF(AND(ISNUMBER(K291),ISNUMBER(L291),ISNUMBER(V291)),K291-V291*L291,"")</f>
        <v/>
      </c>
      <c r="X291" s="40">
        <f>IF(OR($A291="",NOT(ISNUMBER(Datos!H291)),NOT(ISNUMBER(Datos!H290))),"",LN(Datos!H291)-LN(Datos!H290))</f>
        <v/>
      </c>
      <c r="Y291" s="38">
        <f>IF(ISNUMBER(W291),1,0)</f>
        <v/>
      </c>
      <c r="Z291" s="40">
        <f>IF(Y291=1,W291,0)</f>
        <v/>
      </c>
      <c r="AA291" s="38">
        <f>IF(ISNUMBER(X291),1,0)</f>
        <v/>
      </c>
      <c r="AB291" s="40">
        <f>IF(AA291=1,X291,0)</f>
        <v/>
      </c>
      <c r="AC291" s="38">
        <f>Y291*AA291</f>
        <v/>
      </c>
      <c r="AD291" s="38">
        <f>SUM(AC255:AC290)</f>
        <v/>
      </c>
      <c r="AE291" s="41">
        <f>IF(OR($A291="",AD291&lt;MIN_OBS_ROLL),"",(SUMPRODUCT(AC255:AC290,Z255:Z290,AB255:AB290)/AD291-SUMPRODUCT(AC255:AC290,Z255:Z290)/AD291*SUMPRODUCT(AC255:AC290,AB255:AB290)/AD291)*AD291/(AD291-1))</f>
        <v/>
      </c>
      <c r="AF291" s="38">
        <f>SUM(AA255:AA290)</f>
        <v/>
      </c>
      <c r="AG291" s="41">
        <f>IF(OR($A291="",AF291&lt;MIN_OBS_ROLL),"",SUMPRODUCT(AA255:AA290,(AB255:AB290-SUMPRODUCT(AA255:AA290,AB255:AB290)/AF291)^2)/(AF291-1))</f>
        <v/>
      </c>
      <c r="AH291" s="38">
        <f>SUM(Y255:Y290)</f>
        <v/>
      </c>
      <c r="AI291" s="40">
        <f>IF(OR($A291="",AH291&lt;MIN_OBS_ROLL),"",SUMPRODUCT(Y255:Y290,Z255:Z290)/AH291)</f>
        <v/>
      </c>
      <c r="AJ291" s="40">
        <f>IF(OR($A291="",AF291&lt;MIN_OBS_ROLL),"",SUMPRODUCT(AA255:AA290,AB255:AB290)/AF291)</f>
        <v/>
      </c>
      <c r="AK291" s="40">
        <f>IF(OR(AE291="",AG291=""),"",AE291/AG291)</f>
        <v/>
      </c>
      <c r="AL291" s="40">
        <f>IF(OR(AI291="",AK291="",AJ291=""),"",AI291-AK291*AJ291)</f>
        <v/>
      </c>
      <c r="AM291" s="40">
        <f>IF(AND(ISNUMBER(W291),ISNUMBER(X291),ISNUMBER(AK291),ISNUMBER(AL291)),W291-(AL291+AK291*X291),"")</f>
        <v/>
      </c>
      <c r="AN291" s="38">
        <f>IF(ISNUMBER(AM291),1,0)</f>
        <v/>
      </c>
      <c r="AO291" s="40">
        <f>IF(AN291=1,AM291,0)</f>
        <v/>
      </c>
      <c r="AP291" s="40">
        <f>IF(SUM(AN289:AN291)=3,SUM(AO289:AO291),"")</f>
        <v/>
      </c>
      <c r="AQ291" s="38">
        <f>IF(ISNUMBER(AP291),1,0)</f>
        <v/>
      </c>
      <c r="AR291" s="40">
        <f>IF(AQ291=1,AP291,0)</f>
        <v/>
      </c>
      <c r="AS291" s="38">
        <f>SUM(AQ$5:AQ291)</f>
        <v/>
      </c>
      <c r="AT291" s="40">
        <f>IF(AS291&gt;=MIN_OBS_Z,SUMPRODUCT(AQ$5:AQ291,AR$5:AR291)/AS291,"")</f>
        <v/>
      </c>
      <c r="AU291" s="40">
        <f>IF(AS291&gt;=MIN_OBS_Z,SQRT(SUMPRODUCT(AQ$5:AQ291,(AR$5:AR291-AT291)^2)/(AS291-1)),"")</f>
        <v/>
      </c>
      <c r="AV291" s="40">
        <f>IF(AND(AQ291=1,ISNUMBER(AT291)),MAX(-Z_CLIP,MIN(Z_CLIP,(AR291-AT291)/AU291)),"")</f>
        <v/>
      </c>
      <c r="AW291" s="40">
        <f>IF(ISNUMBER(AV291),-AV291,"")</f>
        <v/>
      </c>
      <c r="AX291" s="40">
        <f>IF(ISNUMBER(AW291),1+AMPLITUD*TANH(AW291),"")</f>
        <v/>
      </c>
      <c r="AY291" s="40">
        <f>IF($A291="","",IF(COUNT(AX289:AX291)&gt;0,AVERAGE(AX289:AX291),""))</f>
        <v/>
      </c>
      <c r="AZ291" s="40">
        <f>IF(ISNUMBER(AY291),AY291-1,"")</f>
        <v/>
      </c>
      <c r="BA291" s="40">
        <f>IF(AND(ISNUMBER(AZ290),ISNUMBER(W291)),AZ290*W_BANCOS*W291,"")</f>
        <v/>
      </c>
      <c r="BB291" s="40">
        <f>IF(AND(ISNUMBER(AZ290),ISNUMBER(AZ289)),ABS(AZ290-AZ289)*W_BANCOS*COSTO,0)</f>
        <v/>
      </c>
      <c r="BC291" s="40">
        <f>IF(ISNUMBER(BA291),BA291-BB291,"")</f>
        <v/>
      </c>
      <c r="BD291" s="42">
        <f>IF(ISNUMBER(BC291),IF(A291&lt;=FECHA_ERA,"A","B"),"")</f>
        <v/>
      </c>
      <c r="BE291" s="40">
        <f>IF(BD291="A",BC291,"")</f>
        <v/>
      </c>
      <c r="BF291" s="40">
        <f>IF(BD291="B",BC291,"")</f>
        <v/>
      </c>
      <c r="BG291" s="38">
        <f>IF(AND(ISNUMBER(BC291),ISNUMBER(A291)),IF(A291&gt;=INICIO_VIVO,1,0),0)</f>
        <v/>
      </c>
      <c r="BH291" s="40">
        <f>IF(BG291=1,BC291,"")</f>
        <v/>
      </c>
      <c r="BI291" s="38">
        <f>IF(ISNUMBER(AY291),ROW(),0)</f>
        <v/>
      </c>
      <c r="BJ291" s="43">
        <f>IF(ISNUMBER(BC291),SUM(BC$5:BC291)*10000,NA())</f>
        <v/>
      </c>
      <c r="BK291" s="43">
        <f>IF(BG291=1,SUM(BH$5:BH291)*10000,NA())</f>
        <v/>
      </c>
      <c r="BL291" s="44">
        <f>IF(ISNUMBER(AY291),AY291,NA())</f>
        <v/>
      </c>
    </row>
    <row r="292">
      <c r="A292" s="36">
        <f>IF(Datos!A292="","",Datos!A292)</f>
        <v/>
      </c>
      <c r="B292" s="37">
        <f>IF(OR($A292="",NOT(ISNUMBER(Datos!B292)),NOT(ISNUMBER(Datos!B291))),"",Datos!B292/Datos!B291-1)</f>
        <v/>
      </c>
      <c r="C292" s="37">
        <f>IF(OR($A292="",NOT(ISNUMBER(Datos!C292)),NOT(ISNUMBER(Datos!C291))),"",Datos!C292/Datos!C291-1)</f>
        <v/>
      </c>
      <c r="D292" s="37">
        <f>IF(OR($A292="",NOT(ISNUMBER(Datos!D292)),NOT(ISNUMBER(Datos!D291))),"",Datos!D292/Datos!D291-1)</f>
        <v/>
      </c>
      <c r="E292" s="37">
        <f>IF(OR($A292="",NOT(ISNUMBER(Datos!E292)),NOT(ISNUMBER(Datos!E291))),"",Datos!E292/Datos!E291-1)</f>
        <v/>
      </c>
      <c r="F292" s="38">
        <f>IF($A292="","",COUNT(B292:E292))</f>
        <v/>
      </c>
      <c r="G292" s="37">
        <f>IF($A292="","",IF(F292&gt;=MIN_BANCOS,AVERAGE(B292:E292),""))</f>
        <v/>
      </c>
      <c r="H292" s="37">
        <f>IF(OR($A292="",NOT(ISNUMBER(Datos!F292)),NOT(ISNUMBER(Datos!F291))),"",Datos!F292/Datos!F291-1)</f>
        <v/>
      </c>
      <c r="I292" s="39">
        <f>IF($A292="","",IF(ISNUMBER(Datos!G292),Datos!G292,I291))</f>
        <v/>
      </c>
      <c r="J292" s="40">
        <f>IF($A292="","",IF(ISNUMBER(I291),LN(1+I291/100/12),0))</f>
        <v/>
      </c>
      <c r="K292" s="40">
        <f>IF(ISNUMBER(G292),LN(1+G292)-J292,"")</f>
        <v/>
      </c>
      <c r="L292" s="40">
        <f>IF(ISNUMBER(H292),LN(1+H292)-J292,"")</f>
        <v/>
      </c>
      <c r="M292" s="38">
        <f>IF(ISNUMBER(K292),1,0)</f>
        <v/>
      </c>
      <c r="N292" s="40">
        <f>IF(M292=1,K292,0)</f>
        <v/>
      </c>
      <c r="O292" s="38">
        <f>IF(ISNUMBER(L292),1,0)</f>
        <v/>
      </c>
      <c r="P292" s="40">
        <f>IF(O292=1,L292,0)</f>
        <v/>
      </c>
      <c r="Q292" s="38">
        <f>M292*O292</f>
        <v/>
      </c>
      <c r="R292" s="38">
        <f>SUM(Q256:Q291)</f>
        <v/>
      </c>
      <c r="S292" s="41">
        <f>IF(OR($A292="",R292&lt;MIN_OBS_ROLL),"",(SUMPRODUCT(Q256:Q291,N256:N291,P256:P291)/R292-SUMPRODUCT(Q256:Q291,N256:N291)/R292*SUMPRODUCT(Q256:Q291,P256:P291)/R292)*R292/(R292-1))</f>
        <v/>
      </c>
      <c r="T292" s="38">
        <f>SUM(O256:O291)</f>
        <v/>
      </c>
      <c r="U292" s="41">
        <f>IF(OR($A292="",T292&lt;MIN_OBS_ROLL),"",SUMPRODUCT(O256:O291,(P256:P291-SUMPRODUCT(O256:O291,P256:P291)/T292)^2)/(T292-1))</f>
        <v/>
      </c>
      <c r="V292" s="40">
        <f>IF(OR(S292="",U292=""),"",S292/U292)</f>
        <v/>
      </c>
      <c r="W292" s="40">
        <f>IF(AND(ISNUMBER(K292),ISNUMBER(L292),ISNUMBER(V292)),K292-V292*L292,"")</f>
        <v/>
      </c>
      <c r="X292" s="40">
        <f>IF(OR($A292="",NOT(ISNUMBER(Datos!H292)),NOT(ISNUMBER(Datos!H291))),"",LN(Datos!H292)-LN(Datos!H291))</f>
        <v/>
      </c>
      <c r="Y292" s="38">
        <f>IF(ISNUMBER(W292),1,0)</f>
        <v/>
      </c>
      <c r="Z292" s="40">
        <f>IF(Y292=1,W292,0)</f>
        <v/>
      </c>
      <c r="AA292" s="38">
        <f>IF(ISNUMBER(X292),1,0)</f>
        <v/>
      </c>
      <c r="AB292" s="40">
        <f>IF(AA292=1,X292,0)</f>
        <v/>
      </c>
      <c r="AC292" s="38">
        <f>Y292*AA292</f>
        <v/>
      </c>
      <c r="AD292" s="38">
        <f>SUM(AC256:AC291)</f>
        <v/>
      </c>
      <c r="AE292" s="41">
        <f>IF(OR($A292="",AD292&lt;MIN_OBS_ROLL),"",(SUMPRODUCT(AC256:AC291,Z256:Z291,AB256:AB291)/AD292-SUMPRODUCT(AC256:AC291,Z256:Z291)/AD292*SUMPRODUCT(AC256:AC291,AB256:AB291)/AD292)*AD292/(AD292-1))</f>
        <v/>
      </c>
      <c r="AF292" s="38">
        <f>SUM(AA256:AA291)</f>
        <v/>
      </c>
      <c r="AG292" s="41">
        <f>IF(OR($A292="",AF292&lt;MIN_OBS_ROLL),"",SUMPRODUCT(AA256:AA291,(AB256:AB291-SUMPRODUCT(AA256:AA291,AB256:AB291)/AF292)^2)/(AF292-1))</f>
        <v/>
      </c>
      <c r="AH292" s="38">
        <f>SUM(Y256:Y291)</f>
        <v/>
      </c>
      <c r="AI292" s="40">
        <f>IF(OR($A292="",AH292&lt;MIN_OBS_ROLL),"",SUMPRODUCT(Y256:Y291,Z256:Z291)/AH292)</f>
        <v/>
      </c>
      <c r="AJ292" s="40">
        <f>IF(OR($A292="",AF292&lt;MIN_OBS_ROLL),"",SUMPRODUCT(AA256:AA291,AB256:AB291)/AF292)</f>
        <v/>
      </c>
      <c r="AK292" s="40">
        <f>IF(OR(AE292="",AG292=""),"",AE292/AG292)</f>
        <v/>
      </c>
      <c r="AL292" s="40">
        <f>IF(OR(AI292="",AK292="",AJ292=""),"",AI292-AK292*AJ292)</f>
        <v/>
      </c>
      <c r="AM292" s="40">
        <f>IF(AND(ISNUMBER(W292),ISNUMBER(X292),ISNUMBER(AK292),ISNUMBER(AL292)),W292-(AL292+AK292*X292),"")</f>
        <v/>
      </c>
      <c r="AN292" s="38">
        <f>IF(ISNUMBER(AM292),1,0)</f>
        <v/>
      </c>
      <c r="AO292" s="40">
        <f>IF(AN292=1,AM292,0)</f>
        <v/>
      </c>
      <c r="AP292" s="40">
        <f>IF(SUM(AN290:AN292)=3,SUM(AO290:AO292),"")</f>
        <v/>
      </c>
      <c r="AQ292" s="38">
        <f>IF(ISNUMBER(AP292),1,0)</f>
        <v/>
      </c>
      <c r="AR292" s="40">
        <f>IF(AQ292=1,AP292,0)</f>
        <v/>
      </c>
      <c r="AS292" s="38">
        <f>SUM(AQ$5:AQ292)</f>
        <v/>
      </c>
      <c r="AT292" s="40">
        <f>IF(AS292&gt;=MIN_OBS_Z,SUMPRODUCT(AQ$5:AQ292,AR$5:AR292)/AS292,"")</f>
        <v/>
      </c>
      <c r="AU292" s="40">
        <f>IF(AS292&gt;=MIN_OBS_Z,SQRT(SUMPRODUCT(AQ$5:AQ292,(AR$5:AR292-AT292)^2)/(AS292-1)),"")</f>
        <v/>
      </c>
      <c r="AV292" s="40">
        <f>IF(AND(AQ292=1,ISNUMBER(AT292)),MAX(-Z_CLIP,MIN(Z_CLIP,(AR292-AT292)/AU292)),"")</f>
        <v/>
      </c>
      <c r="AW292" s="40">
        <f>IF(ISNUMBER(AV292),-AV292,"")</f>
        <v/>
      </c>
      <c r="AX292" s="40">
        <f>IF(ISNUMBER(AW292),1+AMPLITUD*TANH(AW292),"")</f>
        <v/>
      </c>
      <c r="AY292" s="40">
        <f>IF($A292="","",IF(COUNT(AX290:AX292)&gt;0,AVERAGE(AX290:AX292),""))</f>
        <v/>
      </c>
      <c r="AZ292" s="40">
        <f>IF(ISNUMBER(AY292),AY292-1,"")</f>
        <v/>
      </c>
      <c r="BA292" s="40">
        <f>IF(AND(ISNUMBER(AZ291),ISNUMBER(W292)),AZ291*W_BANCOS*W292,"")</f>
        <v/>
      </c>
      <c r="BB292" s="40">
        <f>IF(AND(ISNUMBER(AZ291),ISNUMBER(AZ290)),ABS(AZ291-AZ290)*W_BANCOS*COSTO,0)</f>
        <v/>
      </c>
      <c r="BC292" s="40">
        <f>IF(ISNUMBER(BA292),BA292-BB292,"")</f>
        <v/>
      </c>
      <c r="BD292" s="42">
        <f>IF(ISNUMBER(BC292),IF(A292&lt;=FECHA_ERA,"A","B"),"")</f>
        <v/>
      </c>
      <c r="BE292" s="40">
        <f>IF(BD292="A",BC292,"")</f>
        <v/>
      </c>
      <c r="BF292" s="40">
        <f>IF(BD292="B",BC292,"")</f>
        <v/>
      </c>
      <c r="BG292" s="38">
        <f>IF(AND(ISNUMBER(BC292),ISNUMBER(A292)),IF(A292&gt;=INICIO_VIVO,1,0),0)</f>
        <v/>
      </c>
      <c r="BH292" s="40">
        <f>IF(BG292=1,BC292,"")</f>
        <v/>
      </c>
      <c r="BI292" s="38">
        <f>IF(ISNUMBER(AY292),ROW(),0)</f>
        <v/>
      </c>
      <c r="BJ292" s="43">
        <f>IF(ISNUMBER(BC292),SUM(BC$5:BC292)*10000,NA())</f>
        <v/>
      </c>
      <c r="BK292" s="43">
        <f>IF(BG292=1,SUM(BH$5:BH292)*10000,NA())</f>
        <v/>
      </c>
      <c r="BL292" s="44">
        <f>IF(ISNUMBER(AY292),AY292,NA())</f>
        <v/>
      </c>
    </row>
    <row r="293">
      <c r="A293" s="36">
        <f>IF(Datos!A293="","",Datos!A293)</f>
        <v/>
      </c>
      <c r="B293" s="37">
        <f>IF(OR($A293="",NOT(ISNUMBER(Datos!B293)),NOT(ISNUMBER(Datos!B292))),"",Datos!B293/Datos!B292-1)</f>
        <v/>
      </c>
      <c r="C293" s="37">
        <f>IF(OR($A293="",NOT(ISNUMBER(Datos!C293)),NOT(ISNUMBER(Datos!C292))),"",Datos!C293/Datos!C292-1)</f>
        <v/>
      </c>
      <c r="D293" s="37">
        <f>IF(OR($A293="",NOT(ISNUMBER(Datos!D293)),NOT(ISNUMBER(Datos!D292))),"",Datos!D293/Datos!D292-1)</f>
        <v/>
      </c>
      <c r="E293" s="37">
        <f>IF(OR($A293="",NOT(ISNUMBER(Datos!E293)),NOT(ISNUMBER(Datos!E292))),"",Datos!E293/Datos!E292-1)</f>
        <v/>
      </c>
      <c r="F293" s="38">
        <f>IF($A293="","",COUNT(B293:E293))</f>
        <v/>
      </c>
      <c r="G293" s="37">
        <f>IF($A293="","",IF(F293&gt;=MIN_BANCOS,AVERAGE(B293:E293),""))</f>
        <v/>
      </c>
      <c r="H293" s="37">
        <f>IF(OR($A293="",NOT(ISNUMBER(Datos!F293)),NOT(ISNUMBER(Datos!F292))),"",Datos!F293/Datos!F292-1)</f>
        <v/>
      </c>
      <c r="I293" s="39">
        <f>IF($A293="","",IF(ISNUMBER(Datos!G293),Datos!G293,I292))</f>
        <v/>
      </c>
      <c r="J293" s="40">
        <f>IF($A293="","",IF(ISNUMBER(I292),LN(1+I292/100/12),0))</f>
        <v/>
      </c>
      <c r="K293" s="40">
        <f>IF(ISNUMBER(G293),LN(1+G293)-J293,"")</f>
        <v/>
      </c>
      <c r="L293" s="40">
        <f>IF(ISNUMBER(H293),LN(1+H293)-J293,"")</f>
        <v/>
      </c>
      <c r="M293" s="38">
        <f>IF(ISNUMBER(K293),1,0)</f>
        <v/>
      </c>
      <c r="N293" s="40">
        <f>IF(M293=1,K293,0)</f>
        <v/>
      </c>
      <c r="O293" s="38">
        <f>IF(ISNUMBER(L293),1,0)</f>
        <v/>
      </c>
      <c r="P293" s="40">
        <f>IF(O293=1,L293,0)</f>
        <v/>
      </c>
      <c r="Q293" s="38">
        <f>M293*O293</f>
        <v/>
      </c>
      <c r="R293" s="38">
        <f>SUM(Q257:Q292)</f>
        <v/>
      </c>
      <c r="S293" s="41">
        <f>IF(OR($A293="",R293&lt;MIN_OBS_ROLL),"",(SUMPRODUCT(Q257:Q292,N257:N292,P257:P292)/R293-SUMPRODUCT(Q257:Q292,N257:N292)/R293*SUMPRODUCT(Q257:Q292,P257:P292)/R293)*R293/(R293-1))</f>
        <v/>
      </c>
      <c r="T293" s="38">
        <f>SUM(O257:O292)</f>
        <v/>
      </c>
      <c r="U293" s="41">
        <f>IF(OR($A293="",T293&lt;MIN_OBS_ROLL),"",SUMPRODUCT(O257:O292,(P257:P292-SUMPRODUCT(O257:O292,P257:P292)/T293)^2)/(T293-1))</f>
        <v/>
      </c>
      <c r="V293" s="40">
        <f>IF(OR(S293="",U293=""),"",S293/U293)</f>
        <v/>
      </c>
      <c r="W293" s="40">
        <f>IF(AND(ISNUMBER(K293),ISNUMBER(L293),ISNUMBER(V293)),K293-V293*L293,"")</f>
        <v/>
      </c>
      <c r="X293" s="40">
        <f>IF(OR($A293="",NOT(ISNUMBER(Datos!H293)),NOT(ISNUMBER(Datos!H292))),"",LN(Datos!H293)-LN(Datos!H292))</f>
        <v/>
      </c>
      <c r="Y293" s="38">
        <f>IF(ISNUMBER(W293),1,0)</f>
        <v/>
      </c>
      <c r="Z293" s="40">
        <f>IF(Y293=1,W293,0)</f>
        <v/>
      </c>
      <c r="AA293" s="38">
        <f>IF(ISNUMBER(X293),1,0)</f>
        <v/>
      </c>
      <c r="AB293" s="40">
        <f>IF(AA293=1,X293,0)</f>
        <v/>
      </c>
      <c r="AC293" s="38">
        <f>Y293*AA293</f>
        <v/>
      </c>
      <c r="AD293" s="38">
        <f>SUM(AC257:AC292)</f>
        <v/>
      </c>
      <c r="AE293" s="41">
        <f>IF(OR($A293="",AD293&lt;MIN_OBS_ROLL),"",(SUMPRODUCT(AC257:AC292,Z257:Z292,AB257:AB292)/AD293-SUMPRODUCT(AC257:AC292,Z257:Z292)/AD293*SUMPRODUCT(AC257:AC292,AB257:AB292)/AD293)*AD293/(AD293-1))</f>
        <v/>
      </c>
      <c r="AF293" s="38">
        <f>SUM(AA257:AA292)</f>
        <v/>
      </c>
      <c r="AG293" s="41">
        <f>IF(OR($A293="",AF293&lt;MIN_OBS_ROLL),"",SUMPRODUCT(AA257:AA292,(AB257:AB292-SUMPRODUCT(AA257:AA292,AB257:AB292)/AF293)^2)/(AF293-1))</f>
        <v/>
      </c>
      <c r="AH293" s="38">
        <f>SUM(Y257:Y292)</f>
        <v/>
      </c>
      <c r="AI293" s="40">
        <f>IF(OR($A293="",AH293&lt;MIN_OBS_ROLL),"",SUMPRODUCT(Y257:Y292,Z257:Z292)/AH293)</f>
        <v/>
      </c>
      <c r="AJ293" s="40">
        <f>IF(OR($A293="",AF293&lt;MIN_OBS_ROLL),"",SUMPRODUCT(AA257:AA292,AB257:AB292)/AF293)</f>
        <v/>
      </c>
      <c r="AK293" s="40">
        <f>IF(OR(AE293="",AG293=""),"",AE293/AG293)</f>
        <v/>
      </c>
      <c r="AL293" s="40">
        <f>IF(OR(AI293="",AK293="",AJ293=""),"",AI293-AK293*AJ293)</f>
        <v/>
      </c>
      <c r="AM293" s="40">
        <f>IF(AND(ISNUMBER(W293),ISNUMBER(X293),ISNUMBER(AK293),ISNUMBER(AL293)),W293-(AL293+AK293*X293),"")</f>
        <v/>
      </c>
      <c r="AN293" s="38">
        <f>IF(ISNUMBER(AM293),1,0)</f>
        <v/>
      </c>
      <c r="AO293" s="40">
        <f>IF(AN293=1,AM293,0)</f>
        <v/>
      </c>
      <c r="AP293" s="40">
        <f>IF(SUM(AN291:AN293)=3,SUM(AO291:AO293),"")</f>
        <v/>
      </c>
      <c r="AQ293" s="38">
        <f>IF(ISNUMBER(AP293),1,0)</f>
        <v/>
      </c>
      <c r="AR293" s="40">
        <f>IF(AQ293=1,AP293,0)</f>
        <v/>
      </c>
      <c r="AS293" s="38">
        <f>SUM(AQ$5:AQ293)</f>
        <v/>
      </c>
      <c r="AT293" s="40">
        <f>IF(AS293&gt;=MIN_OBS_Z,SUMPRODUCT(AQ$5:AQ293,AR$5:AR293)/AS293,"")</f>
        <v/>
      </c>
      <c r="AU293" s="40">
        <f>IF(AS293&gt;=MIN_OBS_Z,SQRT(SUMPRODUCT(AQ$5:AQ293,(AR$5:AR293-AT293)^2)/(AS293-1)),"")</f>
        <v/>
      </c>
      <c r="AV293" s="40">
        <f>IF(AND(AQ293=1,ISNUMBER(AT293)),MAX(-Z_CLIP,MIN(Z_CLIP,(AR293-AT293)/AU293)),"")</f>
        <v/>
      </c>
      <c r="AW293" s="40">
        <f>IF(ISNUMBER(AV293),-AV293,"")</f>
        <v/>
      </c>
      <c r="AX293" s="40">
        <f>IF(ISNUMBER(AW293),1+AMPLITUD*TANH(AW293),"")</f>
        <v/>
      </c>
      <c r="AY293" s="40">
        <f>IF($A293="","",IF(COUNT(AX291:AX293)&gt;0,AVERAGE(AX291:AX293),""))</f>
        <v/>
      </c>
      <c r="AZ293" s="40">
        <f>IF(ISNUMBER(AY293),AY293-1,"")</f>
        <v/>
      </c>
      <c r="BA293" s="40">
        <f>IF(AND(ISNUMBER(AZ292),ISNUMBER(W293)),AZ292*W_BANCOS*W293,"")</f>
        <v/>
      </c>
      <c r="BB293" s="40">
        <f>IF(AND(ISNUMBER(AZ292),ISNUMBER(AZ291)),ABS(AZ292-AZ291)*W_BANCOS*COSTO,0)</f>
        <v/>
      </c>
      <c r="BC293" s="40">
        <f>IF(ISNUMBER(BA293),BA293-BB293,"")</f>
        <v/>
      </c>
      <c r="BD293" s="42">
        <f>IF(ISNUMBER(BC293),IF(A293&lt;=FECHA_ERA,"A","B"),"")</f>
        <v/>
      </c>
      <c r="BE293" s="40">
        <f>IF(BD293="A",BC293,"")</f>
        <v/>
      </c>
      <c r="BF293" s="40">
        <f>IF(BD293="B",BC293,"")</f>
        <v/>
      </c>
      <c r="BG293" s="38">
        <f>IF(AND(ISNUMBER(BC293),ISNUMBER(A293)),IF(A293&gt;=INICIO_VIVO,1,0),0)</f>
        <v/>
      </c>
      <c r="BH293" s="40">
        <f>IF(BG293=1,BC293,"")</f>
        <v/>
      </c>
      <c r="BI293" s="38">
        <f>IF(ISNUMBER(AY293),ROW(),0)</f>
        <v/>
      </c>
      <c r="BJ293" s="43">
        <f>IF(ISNUMBER(BC293),SUM(BC$5:BC293)*10000,NA())</f>
        <v/>
      </c>
      <c r="BK293" s="43">
        <f>IF(BG293=1,SUM(BH$5:BH293)*10000,NA())</f>
        <v/>
      </c>
      <c r="BL293" s="44">
        <f>IF(ISNUMBER(AY293),AY293,NA())</f>
        <v/>
      </c>
    </row>
    <row r="294">
      <c r="A294" s="36">
        <f>IF(Datos!A294="","",Datos!A294)</f>
        <v/>
      </c>
      <c r="B294" s="37">
        <f>IF(OR($A294="",NOT(ISNUMBER(Datos!B294)),NOT(ISNUMBER(Datos!B293))),"",Datos!B294/Datos!B293-1)</f>
        <v/>
      </c>
      <c r="C294" s="37">
        <f>IF(OR($A294="",NOT(ISNUMBER(Datos!C294)),NOT(ISNUMBER(Datos!C293))),"",Datos!C294/Datos!C293-1)</f>
        <v/>
      </c>
      <c r="D294" s="37">
        <f>IF(OR($A294="",NOT(ISNUMBER(Datos!D294)),NOT(ISNUMBER(Datos!D293))),"",Datos!D294/Datos!D293-1)</f>
        <v/>
      </c>
      <c r="E294" s="37">
        <f>IF(OR($A294="",NOT(ISNUMBER(Datos!E294)),NOT(ISNUMBER(Datos!E293))),"",Datos!E294/Datos!E293-1)</f>
        <v/>
      </c>
      <c r="F294" s="38">
        <f>IF($A294="","",COUNT(B294:E294))</f>
        <v/>
      </c>
      <c r="G294" s="37">
        <f>IF($A294="","",IF(F294&gt;=MIN_BANCOS,AVERAGE(B294:E294),""))</f>
        <v/>
      </c>
      <c r="H294" s="37">
        <f>IF(OR($A294="",NOT(ISNUMBER(Datos!F294)),NOT(ISNUMBER(Datos!F293))),"",Datos!F294/Datos!F293-1)</f>
        <v/>
      </c>
      <c r="I294" s="39">
        <f>IF($A294="","",IF(ISNUMBER(Datos!G294),Datos!G294,I293))</f>
        <v/>
      </c>
      <c r="J294" s="40">
        <f>IF($A294="","",IF(ISNUMBER(I293),LN(1+I293/100/12),0))</f>
        <v/>
      </c>
      <c r="K294" s="40">
        <f>IF(ISNUMBER(G294),LN(1+G294)-J294,"")</f>
        <v/>
      </c>
      <c r="L294" s="40">
        <f>IF(ISNUMBER(H294),LN(1+H294)-J294,"")</f>
        <v/>
      </c>
      <c r="M294" s="38">
        <f>IF(ISNUMBER(K294),1,0)</f>
        <v/>
      </c>
      <c r="N294" s="40">
        <f>IF(M294=1,K294,0)</f>
        <v/>
      </c>
      <c r="O294" s="38">
        <f>IF(ISNUMBER(L294),1,0)</f>
        <v/>
      </c>
      <c r="P294" s="40">
        <f>IF(O294=1,L294,0)</f>
        <v/>
      </c>
      <c r="Q294" s="38">
        <f>M294*O294</f>
        <v/>
      </c>
      <c r="R294" s="38">
        <f>SUM(Q258:Q293)</f>
        <v/>
      </c>
      <c r="S294" s="41">
        <f>IF(OR($A294="",R294&lt;MIN_OBS_ROLL),"",(SUMPRODUCT(Q258:Q293,N258:N293,P258:P293)/R294-SUMPRODUCT(Q258:Q293,N258:N293)/R294*SUMPRODUCT(Q258:Q293,P258:P293)/R294)*R294/(R294-1))</f>
        <v/>
      </c>
      <c r="T294" s="38">
        <f>SUM(O258:O293)</f>
        <v/>
      </c>
      <c r="U294" s="41">
        <f>IF(OR($A294="",T294&lt;MIN_OBS_ROLL),"",SUMPRODUCT(O258:O293,(P258:P293-SUMPRODUCT(O258:O293,P258:P293)/T294)^2)/(T294-1))</f>
        <v/>
      </c>
      <c r="V294" s="40">
        <f>IF(OR(S294="",U294=""),"",S294/U294)</f>
        <v/>
      </c>
      <c r="W294" s="40">
        <f>IF(AND(ISNUMBER(K294),ISNUMBER(L294),ISNUMBER(V294)),K294-V294*L294,"")</f>
        <v/>
      </c>
      <c r="X294" s="40">
        <f>IF(OR($A294="",NOT(ISNUMBER(Datos!H294)),NOT(ISNUMBER(Datos!H293))),"",LN(Datos!H294)-LN(Datos!H293))</f>
        <v/>
      </c>
      <c r="Y294" s="38">
        <f>IF(ISNUMBER(W294),1,0)</f>
        <v/>
      </c>
      <c r="Z294" s="40">
        <f>IF(Y294=1,W294,0)</f>
        <v/>
      </c>
      <c r="AA294" s="38">
        <f>IF(ISNUMBER(X294),1,0)</f>
        <v/>
      </c>
      <c r="AB294" s="40">
        <f>IF(AA294=1,X294,0)</f>
        <v/>
      </c>
      <c r="AC294" s="38">
        <f>Y294*AA294</f>
        <v/>
      </c>
      <c r="AD294" s="38">
        <f>SUM(AC258:AC293)</f>
        <v/>
      </c>
      <c r="AE294" s="41">
        <f>IF(OR($A294="",AD294&lt;MIN_OBS_ROLL),"",(SUMPRODUCT(AC258:AC293,Z258:Z293,AB258:AB293)/AD294-SUMPRODUCT(AC258:AC293,Z258:Z293)/AD294*SUMPRODUCT(AC258:AC293,AB258:AB293)/AD294)*AD294/(AD294-1))</f>
        <v/>
      </c>
      <c r="AF294" s="38">
        <f>SUM(AA258:AA293)</f>
        <v/>
      </c>
      <c r="AG294" s="41">
        <f>IF(OR($A294="",AF294&lt;MIN_OBS_ROLL),"",SUMPRODUCT(AA258:AA293,(AB258:AB293-SUMPRODUCT(AA258:AA293,AB258:AB293)/AF294)^2)/(AF294-1))</f>
        <v/>
      </c>
      <c r="AH294" s="38">
        <f>SUM(Y258:Y293)</f>
        <v/>
      </c>
      <c r="AI294" s="40">
        <f>IF(OR($A294="",AH294&lt;MIN_OBS_ROLL),"",SUMPRODUCT(Y258:Y293,Z258:Z293)/AH294)</f>
        <v/>
      </c>
      <c r="AJ294" s="40">
        <f>IF(OR($A294="",AF294&lt;MIN_OBS_ROLL),"",SUMPRODUCT(AA258:AA293,AB258:AB293)/AF294)</f>
        <v/>
      </c>
      <c r="AK294" s="40">
        <f>IF(OR(AE294="",AG294=""),"",AE294/AG294)</f>
        <v/>
      </c>
      <c r="AL294" s="40">
        <f>IF(OR(AI294="",AK294="",AJ294=""),"",AI294-AK294*AJ294)</f>
        <v/>
      </c>
      <c r="AM294" s="40">
        <f>IF(AND(ISNUMBER(W294),ISNUMBER(X294),ISNUMBER(AK294),ISNUMBER(AL294)),W294-(AL294+AK294*X294),"")</f>
        <v/>
      </c>
      <c r="AN294" s="38">
        <f>IF(ISNUMBER(AM294),1,0)</f>
        <v/>
      </c>
      <c r="AO294" s="40">
        <f>IF(AN294=1,AM294,0)</f>
        <v/>
      </c>
      <c r="AP294" s="40">
        <f>IF(SUM(AN292:AN294)=3,SUM(AO292:AO294),"")</f>
        <v/>
      </c>
      <c r="AQ294" s="38">
        <f>IF(ISNUMBER(AP294),1,0)</f>
        <v/>
      </c>
      <c r="AR294" s="40">
        <f>IF(AQ294=1,AP294,0)</f>
        <v/>
      </c>
      <c r="AS294" s="38">
        <f>SUM(AQ$5:AQ294)</f>
        <v/>
      </c>
      <c r="AT294" s="40">
        <f>IF(AS294&gt;=MIN_OBS_Z,SUMPRODUCT(AQ$5:AQ294,AR$5:AR294)/AS294,"")</f>
        <v/>
      </c>
      <c r="AU294" s="40">
        <f>IF(AS294&gt;=MIN_OBS_Z,SQRT(SUMPRODUCT(AQ$5:AQ294,(AR$5:AR294-AT294)^2)/(AS294-1)),"")</f>
        <v/>
      </c>
      <c r="AV294" s="40">
        <f>IF(AND(AQ294=1,ISNUMBER(AT294)),MAX(-Z_CLIP,MIN(Z_CLIP,(AR294-AT294)/AU294)),"")</f>
        <v/>
      </c>
      <c r="AW294" s="40">
        <f>IF(ISNUMBER(AV294),-AV294,"")</f>
        <v/>
      </c>
      <c r="AX294" s="40">
        <f>IF(ISNUMBER(AW294),1+AMPLITUD*TANH(AW294),"")</f>
        <v/>
      </c>
      <c r="AY294" s="40">
        <f>IF($A294="","",IF(COUNT(AX292:AX294)&gt;0,AVERAGE(AX292:AX294),""))</f>
        <v/>
      </c>
      <c r="AZ294" s="40">
        <f>IF(ISNUMBER(AY294),AY294-1,"")</f>
        <v/>
      </c>
      <c r="BA294" s="40">
        <f>IF(AND(ISNUMBER(AZ293),ISNUMBER(W294)),AZ293*W_BANCOS*W294,"")</f>
        <v/>
      </c>
      <c r="BB294" s="40">
        <f>IF(AND(ISNUMBER(AZ293),ISNUMBER(AZ292)),ABS(AZ293-AZ292)*W_BANCOS*COSTO,0)</f>
        <v/>
      </c>
      <c r="BC294" s="40">
        <f>IF(ISNUMBER(BA294),BA294-BB294,"")</f>
        <v/>
      </c>
      <c r="BD294" s="42">
        <f>IF(ISNUMBER(BC294),IF(A294&lt;=FECHA_ERA,"A","B"),"")</f>
        <v/>
      </c>
      <c r="BE294" s="40">
        <f>IF(BD294="A",BC294,"")</f>
        <v/>
      </c>
      <c r="BF294" s="40">
        <f>IF(BD294="B",BC294,"")</f>
        <v/>
      </c>
      <c r="BG294" s="38">
        <f>IF(AND(ISNUMBER(BC294),ISNUMBER(A294)),IF(A294&gt;=INICIO_VIVO,1,0),0)</f>
        <v/>
      </c>
      <c r="BH294" s="40">
        <f>IF(BG294=1,BC294,"")</f>
        <v/>
      </c>
      <c r="BI294" s="38">
        <f>IF(ISNUMBER(AY294),ROW(),0)</f>
        <v/>
      </c>
      <c r="BJ294" s="43">
        <f>IF(ISNUMBER(BC294),SUM(BC$5:BC294)*10000,NA())</f>
        <v/>
      </c>
      <c r="BK294" s="43">
        <f>IF(BG294=1,SUM(BH$5:BH294)*10000,NA())</f>
        <v/>
      </c>
      <c r="BL294" s="44">
        <f>IF(ISNUMBER(AY294),AY294,NA())</f>
        <v/>
      </c>
    </row>
    <row r="295">
      <c r="A295" s="36">
        <f>IF(Datos!A295="","",Datos!A295)</f>
        <v/>
      </c>
      <c r="B295" s="37">
        <f>IF(OR($A295="",NOT(ISNUMBER(Datos!B295)),NOT(ISNUMBER(Datos!B294))),"",Datos!B295/Datos!B294-1)</f>
        <v/>
      </c>
      <c r="C295" s="37">
        <f>IF(OR($A295="",NOT(ISNUMBER(Datos!C295)),NOT(ISNUMBER(Datos!C294))),"",Datos!C295/Datos!C294-1)</f>
        <v/>
      </c>
      <c r="D295" s="37">
        <f>IF(OR($A295="",NOT(ISNUMBER(Datos!D295)),NOT(ISNUMBER(Datos!D294))),"",Datos!D295/Datos!D294-1)</f>
        <v/>
      </c>
      <c r="E295" s="37">
        <f>IF(OR($A295="",NOT(ISNUMBER(Datos!E295)),NOT(ISNUMBER(Datos!E294))),"",Datos!E295/Datos!E294-1)</f>
        <v/>
      </c>
      <c r="F295" s="38">
        <f>IF($A295="","",COUNT(B295:E295))</f>
        <v/>
      </c>
      <c r="G295" s="37">
        <f>IF($A295="","",IF(F295&gt;=MIN_BANCOS,AVERAGE(B295:E295),""))</f>
        <v/>
      </c>
      <c r="H295" s="37">
        <f>IF(OR($A295="",NOT(ISNUMBER(Datos!F295)),NOT(ISNUMBER(Datos!F294))),"",Datos!F295/Datos!F294-1)</f>
        <v/>
      </c>
      <c r="I295" s="39">
        <f>IF($A295="","",IF(ISNUMBER(Datos!G295),Datos!G295,I294))</f>
        <v/>
      </c>
      <c r="J295" s="40">
        <f>IF($A295="","",IF(ISNUMBER(I294),LN(1+I294/100/12),0))</f>
        <v/>
      </c>
      <c r="K295" s="40">
        <f>IF(ISNUMBER(G295),LN(1+G295)-J295,"")</f>
        <v/>
      </c>
      <c r="L295" s="40">
        <f>IF(ISNUMBER(H295),LN(1+H295)-J295,"")</f>
        <v/>
      </c>
      <c r="M295" s="38">
        <f>IF(ISNUMBER(K295),1,0)</f>
        <v/>
      </c>
      <c r="N295" s="40">
        <f>IF(M295=1,K295,0)</f>
        <v/>
      </c>
      <c r="O295" s="38">
        <f>IF(ISNUMBER(L295),1,0)</f>
        <v/>
      </c>
      <c r="P295" s="40">
        <f>IF(O295=1,L295,0)</f>
        <v/>
      </c>
      <c r="Q295" s="38">
        <f>M295*O295</f>
        <v/>
      </c>
      <c r="R295" s="38">
        <f>SUM(Q259:Q294)</f>
        <v/>
      </c>
      <c r="S295" s="41">
        <f>IF(OR($A295="",R295&lt;MIN_OBS_ROLL),"",(SUMPRODUCT(Q259:Q294,N259:N294,P259:P294)/R295-SUMPRODUCT(Q259:Q294,N259:N294)/R295*SUMPRODUCT(Q259:Q294,P259:P294)/R295)*R295/(R295-1))</f>
        <v/>
      </c>
      <c r="T295" s="38">
        <f>SUM(O259:O294)</f>
        <v/>
      </c>
      <c r="U295" s="41">
        <f>IF(OR($A295="",T295&lt;MIN_OBS_ROLL),"",SUMPRODUCT(O259:O294,(P259:P294-SUMPRODUCT(O259:O294,P259:P294)/T295)^2)/(T295-1))</f>
        <v/>
      </c>
      <c r="V295" s="40">
        <f>IF(OR(S295="",U295=""),"",S295/U295)</f>
        <v/>
      </c>
      <c r="W295" s="40">
        <f>IF(AND(ISNUMBER(K295),ISNUMBER(L295),ISNUMBER(V295)),K295-V295*L295,"")</f>
        <v/>
      </c>
      <c r="X295" s="40">
        <f>IF(OR($A295="",NOT(ISNUMBER(Datos!H295)),NOT(ISNUMBER(Datos!H294))),"",LN(Datos!H295)-LN(Datos!H294))</f>
        <v/>
      </c>
      <c r="Y295" s="38">
        <f>IF(ISNUMBER(W295),1,0)</f>
        <v/>
      </c>
      <c r="Z295" s="40">
        <f>IF(Y295=1,W295,0)</f>
        <v/>
      </c>
      <c r="AA295" s="38">
        <f>IF(ISNUMBER(X295),1,0)</f>
        <v/>
      </c>
      <c r="AB295" s="40">
        <f>IF(AA295=1,X295,0)</f>
        <v/>
      </c>
      <c r="AC295" s="38">
        <f>Y295*AA295</f>
        <v/>
      </c>
      <c r="AD295" s="38">
        <f>SUM(AC259:AC294)</f>
        <v/>
      </c>
      <c r="AE295" s="41">
        <f>IF(OR($A295="",AD295&lt;MIN_OBS_ROLL),"",(SUMPRODUCT(AC259:AC294,Z259:Z294,AB259:AB294)/AD295-SUMPRODUCT(AC259:AC294,Z259:Z294)/AD295*SUMPRODUCT(AC259:AC294,AB259:AB294)/AD295)*AD295/(AD295-1))</f>
        <v/>
      </c>
      <c r="AF295" s="38">
        <f>SUM(AA259:AA294)</f>
        <v/>
      </c>
      <c r="AG295" s="41">
        <f>IF(OR($A295="",AF295&lt;MIN_OBS_ROLL),"",SUMPRODUCT(AA259:AA294,(AB259:AB294-SUMPRODUCT(AA259:AA294,AB259:AB294)/AF295)^2)/(AF295-1))</f>
        <v/>
      </c>
      <c r="AH295" s="38">
        <f>SUM(Y259:Y294)</f>
        <v/>
      </c>
      <c r="AI295" s="40">
        <f>IF(OR($A295="",AH295&lt;MIN_OBS_ROLL),"",SUMPRODUCT(Y259:Y294,Z259:Z294)/AH295)</f>
        <v/>
      </c>
      <c r="AJ295" s="40">
        <f>IF(OR($A295="",AF295&lt;MIN_OBS_ROLL),"",SUMPRODUCT(AA259:AA294,AB259:AB294)/AF295)</f>
        <v/>
      </c>
      <c r="AK295" s="40">
        <f>IF(OR(AE295="",AG295=""),"",AE295/AG295)</f>
        <v/>
      </c>
      <c r="AL295" s="40">
        <f>IF(OR(AI295="",AK295="",AJ295=""),"",AI295-AK295*AJ295)</f>
        <v/>
      </c>
      <c r="AM295" s="40">
        <f>IF(AND(ISNUMBER(W295),ISNUMBER(X295),ISNUMBER(AK295),ISNUMBER(AL295)),W295-(AL295+AK295*X295),"")</f>
        <v/>
      </c>
      <c r="AN295" s="38">
        <f>IF(ISNUMBER(AM295),1,0)</f>
        <v/>
      </c>
      <c r="AO295" s="40">
        <f>IF(AN295=1,AM295,0)</f>
        <v/>
      </c>
      <c r="AP295" s="40">
        <f>IF(SUM(AN293:AN295)=3,SUM(AO293:AO295),"")</f>
        <v/>
      </c>
      <c r="AQ295" s="38">
        <f>IF(ISNUMBER(AP295),1,0)</f>
        <v/>
      </c>
      <c r="AR295" s="40">
        <f>IF(AQ295=1,AP295,0)</f>
        <v/>
      </c>
      <c r="AS295" s="38">
        <f>SUM(AQ$5:AQ295)</f>
        <v/>
      </c>
      <c r="AT295" s="40">
        <f>IF(AS295&gt;=MIN_OBS_Z,SUMPRODUCT(AQ$5:AQ295,AR$5:AR295)/AS295,"")</f>
        <v/>
      </c>
      <c r="AU295" s="40">
        <f>IF(AS295&gt;=MIN_OBS_Z,SQRT(SUMPRODUCT(AQ$5:AQ295,(AR$5:AR295-AT295)^2)/(AS295-1)),"")</f>
        <v/>
      </c>
      <c r="AV295" s="40">
        <f>IF(AND(AQ295=1,ISNUMBER(AT295)),MAX(-Z_CLIP,MIN(Z_CLIP,(AR295-AT295)/AU295)),"")</f>
        <v/>
      </c>
      <c r="AW295" s="40">
        <f>IF(ISNUMBER(AV295),-AV295,"")</f>
        <v/>
      </c>
      <c r="AX295" s="40">
        <f>IF(ISNUMBER(AW295),1+AMPLITUD*TANH(AW295),"")</f>
        <v/>
      </c>
      <c r="AY295" s="40">
        <f>IF($A295="","",IF(COUNT(AX293:AX295)&gt;0,AVERAGE(AX293:AX295),""))</f>
        <v/>
      </c>
      <c r="AZ295" s="40">
        <f>IF(ISNUMBER(AY295),AY295-1,"")</f>
        <v/>
      </c>
      <c r="BA295" s="40">
        <f>IF(AND(ISNUMBER(AZ294),ISNUMBER(W295)),AZ294*W_BANCOS*W295,"")</f>
        <v/>
      </c>
      <c r="BB295" s="40">
        <f>IF(AND(ISNUMBER(AZ294),ISNUMBER(AZ293)),ABS(AZ294-AZ293)*W_BANCOS*COSTO,0)</f>
        <v/>
      </c>
      <c r="BC295" s="40">
        <f>IF(ISNUMBER(BA295),BA295-BB295,"")</f>
        <v/>
      </c>
      <c r="BD295" s="42">
        <f>IF(ISNUMBER(BC295),IF(A295&lt;=FECHA_ERA,"A","B"),"")</f>
        <v/>
      </c>
      <c r="BE295" s="40">
        <f>IF(BD295="A",BC295,"")</f>
        <v/>
      </c>
      <c r="BF295" s="40">
        <f>IF(BD295="B",BC295,"")</f>
        <v/>
      </c>
      <c r="BG295" s="38">
        <f>IF(AND(ISNUMBER(BC295),ISNUMBER(A295)),IF(A295&gt;=INICIO_VIVO,1,0),0)</f>
        <v/>
      </c>
      <c r="BH295" s="40">
        <f>IF(BG295=1,BC295,"")</f>
        <v/>
      </c>
      <c r="BI295" s="38">
        <f>IF(ISNUMBER(AY295),ROW(),0)</f>
        <v/>
      </c>
      <c r="BJ295" s="43">
        <f>IF(ISNUMBER(BC295),SUM(BC$5:BC295)*10000,NA())</f>
        <v/>
      </c>
      <c r="BK295" s="43">
        <f>IF(BG295=1,SUM(BH$5:BH295)*10000,NA())</f>
        <v/>
      </c>
      <c r="BL295" s="44">
        <f>IF(ISNUMBER(AY295),AY295,NA())</f>
        <v/>
      </c>
    </row>
    <row r="296">
      <c r="A296" s="36">
        <f>IF(Datos!A296="","",Datos!A296)</f>
        <v/>
      </c>
      <c r="B296" s="37">
        <f>IF(OR($A296="",NOT(ISNUMBER(Datos!B296)),NOT(ISNUMBER(Datos!B295))),"",Datos!B296/Datos!B295-1)</f>
        <v/>
      </c>
      <c r="C296" s="37">
        <f>IF(OR($A296="",NOT(ISNUMBER(Datos!C296)),NOT(ISNUMBER(Datos!C295))),"",Datos!C296/Datos!C295-1)</f>
        <v/>
      </c>
      <c r="D296" s="37">
        <f>IF(OR($A296="",NOT(ISNUMBER(Datos!D296)),NOT(ISNUMBER(Datos!D295))),"",Datos!D296/Datos!D295-1)</f>
        <v/>
      </c>
      <c r="E296" s="37">
        <f>IF(OR($A296="",NOT(ISNUMBER(Datos!E296)),NOT(ISNUMBER(Datos!E295))),"",Datos!E296/Datos!E295-1)</f>
        <v/>
      </c>
      <c r="F296" s="38">
        <f>IF($A296="","",COUNT(B296:E296))</f>
        <v/>
      </c>
      <c r="G296" s="37">
        <f>IF($A296="","",IF(F296&gt;=MIN_BANCOS,AVERAGE(B296:E296),""))</f>
        <v/>
      </c>
      <c r="H296" s="37">
        <f>IF(OR($A296="",NOT(ISNUMBER(Datos!F296)),NOT(ISNUMBER(Datos!F295))),"",Datos!F296/Datos!F295-1)</f>
        <v/>
      </c>
      <c r="I296" s="39">
        <f>IF($A296="","",IF(ISNUMBER(Datos!G296),Datos!G296,I295))</f>
        <v/>
      </c>
      <c r="J296" s="40">
        <f>IF($A296="","",IF(ISNUMBER(I295),LN(1+I295/100/12),0))</f>
        <v/>
      </c>
      <c r="K296" s="40">
        <f>IF(ISNUMBER(G296),LN(1+G296)-J296,"")</f>
        <v/>
      </c>
      <c r="L296" s="40">
        <f>IF(ISNUMBER(H296),LN(1+H296)-J296,"")</f>
        <v/>
      </c>
      <c r="M296" s="38">
        <f>IF(ISNUMBER(K296),1,0)</f>
        <v/>
      </c>
      <c r="N296" s="40">
        <f>IF(M296=1,K296,0)</f>
        <v/>
      </c>
      <c r="O296" s="38">
        <f>IF(ISNUMBER(L296),1,0)</f>
        <v/>
      </c>
      <c r="P296" s="40">
        <f>IF(O296=1,L296,0)</f>
        <v/>
      </c>
      <c r="Q296" s="38">
        <f>M296*O296</f>
        <v/>
      </c>
      <c r="R296" s="38">
        <f>SUM(Q260:Q295)</f>
        <v/>
      </c>
      <c r="S296" s="41">
        <f>IF(OR($A296="",R296&lt;MIN_OBS_ROLL),"",(SUMPRODUCT(Q260:Q295,N260:N295,P260:P295)/R296-SUMPRODUCT(Q260:Q295,N260:N295)/R296*SUMPRODUCT(Q260:Q295,P260:P295)/R296)*R296/(R296-1))</f>
        <v/>
      </c>
      <c r="T296" s="38">
        <f>SUM(O260:O295)</f>
        <v/>
      </c>
      <c r="U296" s="41">
        <f>IF(OR($A296="",T296&lt;MIN_OBS_ROLL),"",SUMPRODUCT(O260:O295,(P260:P295-SUMPRODUCT(O260:O295,P260:P295)/T296)^2)/(T296-1))</f>
        <v/>
      </c>
      <c r="V296" s="40">
        <f>IF(OR(S296="",U296=""),"",S296/U296)</f>
        <v/>
      </c>
      <c r="W296" s="40">
        <f>IF(AND(ISNUMBER(K296),ISNUMBER(L296),ISNUMBER(V296)),K296-V296*L296,"")</f>
        <v/>
      </c>
      <c r="X296" s="40">
        <f>IF(OR($A296="",NOT(ISNUMBER(Datos!H296)),NOT(ISNUMBER(Datos!H295))),"",LN(Datos!H296)-LN(Datos!H295))</f>
        <v/>
      </c>
      <c r="Y296" s="38">
        <f>IF(ISNUMBER(W296),1,0)</f>
        <v/>
      </c>
      <c r="Z296" s="40">
        <f>IF(Y296=1,W296,0)</f>
        <v/>
      </c>
      <c r="AA296" s="38">
        <f>IF(ISNUMBER(X296),1,0)</f>
        <v/>
      </c>
      <c r="AB296" s="40">
        <f>IF(AA296=1,X296,0)</f>
        <v/>
      </c>
      <c r="AC296" s="38">
        <f>Y296*AA296</f>
        <v/>
      </c>
      <c r="AD296" s="38">
        <f>SUM(AC260:AC295)</f>
        <v/>
      </c>
      <c r="AE296" s="41">
        <f>IF(OR($A296="",AD296&lt;MIN_OBS_ROLL),"",(SUMPRODUCT(AC260:AC295,Z260:Z295,AB260:AB295)/AD296-SUMPRODUCT(AC260:AC295,Z260:Z295)/AD296*SUMPRODUCT(AC260:AC295,AB260:AB295)/AD296)*AD296/(AD296-1))</f>
        <v/>
      </c>
      <c r="AF296" s="38">
        <f>SUM(AA260:AA295)</f>
        <v/>
      </c>
      <c r="AG296" s="41">
        <f>IF(OR($A296="",AF296&lt;MIN_OBS_ROLL),"",SUMPRODUCT(AA260:AA295,(AB260:AB295-SUMPRODUCT(AA260:AA295,AB260:AB295)/AF296)^2)/(AF296-1))</f>
        <v/>
      </c>
      <c r="AH296" s="38">
        <f>SUM(Y260:Y295)</f>
        <v/>
      </c>
      <c r="AI296" s="40">
        <f>IF(OR($A296="",AH296&lt;MIN_OBS_ROLL),"",SUMPRODUCT(Y260:Y295,Z260:Z295)/AH296)</f>
        <v/>
      </c>
      <c r="AJ296" s="40">
        <f>IF(OR($A296="",AF296&lt;MIN_OBS_ROLL),"",SUMPRODUCT(AA260:AA295,AB260:AB295)/AF296)</f>
        <v/>
      </c>
      <c r="AK296" s="40">
        <f>IF(OR(AE296="",AG296=""),"",AE296/AG296)</f>
        <v/>
      </c>
      <c r="AL296" s="40">
        <f>IF(OR(AI296="",AK296="",AJ296=""),"",AI296-AK296*AJ296)</f>
        <v/>
      </c>
      <c r="AM296" s="40">
        <f>IF(AND(ISNUMBER(W296),ISNUMBER(X296),ISNUMBER(AK296),ISNUMBER(AL296)),W296-(AL296+AK296*X296),"")</f>
        <v/>
      </c>
      <c r="AN296" s="38">
        <f>IF(ISNUMBER(AM296),1,0)</f>
        <v/>
      </c>
      <c r="AO296" s="40">
        <f>IF(AN296=1,AM296,0)</f>
        <v/>
      </c>
      <c r="AP296" s="40">
        <f>IF(SUM(AN294:AN296)=3,SUM(AO294:AO296),"")</f>
        <v/>
      </c>
      <c r="AQ296" s="38">
        <f>IF(ISNUMBER(AP296),1,0)</f>
        <v/>
      </c>
      <c r="AR296" s="40">
        <f>IF(AQ296=1,AP296,0)</f>
        <v/>
      </c>
      <c r="AS296" s="38">
        <f>SUM(AQ$5:AQ296)</f>
        <v/>
      </c>
      <c r="AT296" s="40">
        <f>IF(AS296&gt;=MIN_OBS_Z,SUMPRODUCT(AQ$5:AQ296,AR$5:AR296)/AS296,"")</f>
        <v/>
      </c>
      <c r="AU296" s="40">
        <f>IF(AS296&gt;=MIN_OBS_Z,SQRT(SUMPRODUCT(AQ$5:AQ296,(AR$5:AR296-AT296)^2)/(AS296-1)),"")</f>
        <v/>
      </c>
      <c r="AV296" s="40">
        <f>IF(AND(AQ296=1,ISNUMBER(AT296)),MAX(-Z_CLIP,MIN(Z_CLIP,(AR296-AT296)/AU296)),"")</f>
        <v/>
      </c>
      <c r="AW296" s="40">
        <f>IF(ISNUMBER(AV296),-AV296,"")</f>
        <v/>
      </c>
      <c r="AX296" s="40">
        <f>IF(ISNUMBER(AW296),1+AMPLITUD*TANH(AW296),"")</f>
        <v/>
      </c>
      <c r="AY296" s="40">
        <f>IF($A296="","",IF(COUNT(AX294:AX296)&gt;0,AVERAGE(AX294:AX296),""))</f>
        <v/>
      </c>
      <c r="AZ296" s="40">
        <f>IF(ISNUMBER(AY296),AY296-1,"")</f>
        <v/>
      </c>
      <c r="BA296" s="40">
        <f>IF(AND(ISNUMBER(AZ295),ISNUMBER(W296)),AZ295*W_BANCOS*W296,"")</f>
        <v/>
      </c>
      <c r="BB296" s="40">
        <f>IF(AND(ISNUMBER(AZ295),ISNUMBER(AZ294)),ABS(AZ295-AZ294)*W_BANCOS*COSTO,0)</f>
        <v/>
      </c>
      <c r="BC296" s="40">
        <f>IF(ISNUMBER(BA296),BA296-BB296,"")</f>
        <v/>
      </c>
      <c r="BD296" s="42">
        <f>IF(ISNUMBER(BC296),IF(A296&lt;=FECHA_ERA,"A","B"),"")</f>
        <v/>
      </c>
      <c r="BE296" s="40">
        <f>IF(BD296="A",BC296,"")</f>
        <v/>
      </c>
      <c r="BF296" s="40">
        <f>IF(BD296="B",BC296,"")</f>
        <v/>
      </c>
      <c r="BG296" s="38">
        <f>IF(AND(ISNUMBER(BC296),ISNUMBER(A296)),IF(A296&gt;=INICIO_VIVO,1,0),0)</f>
        <v/>
      </c>
      <c r="BH296" s="40">
        <f>IF(BG296=1,BC296,"")</f>
        <v/>
      </c>
      <c r="BI296" s="38">
        <f>IF(ISNUMBER(AY296),ROW(),0)</f>
        <v/>
      </c>
      <c r="BJ296" s="43">
        <f>IF(ISNUMBER(BC296),SUM(BC$5:BC296)*10000,NA())</f>
        <v/>
      </c>
      <c r="BK296" s="43">
        <f>IF(BG296=1,SUM(BH$5:BH296)*10000,NA())</f>
        <v/>
      </c>
      <c r="BL296" s="44">
        <f>IF(ISNUMBER(AY296),AY296,NA())</f>
        <v/>
      </c>
    </row>
    <row r="297">
      <c r="A297" s="36">
        <f>IF(Datos!A297="","",Datos!A297)</f>
        <v/>
      </c>
      <c r="B297" s="37">
        <f>IF(OR($A297="",NOT(ISNUMBER(Datos!B297)),NOT(ISNUMBER(Datos!B296))),"",Datos!B297/Datos!B296-1)</f>
        <v/>
      </c>
      <c r="C297" s="37">
        <f>IF(OR($A297="",NOT(ISNUMBER(Datos!C297)),NOT(ISNUMBER(Datos!C296))),"",Datos!C297/Datos!C296-1)</f>
        <v/>
      </c>
      <c r="D297" s="37">
        <f>IF(OR($A297="",NOT(ISNUMBER(Datos!D297)),NOT(ISNUMBER(Datos!D296))),"",Datos!D297/Datos!D296-1)</f>
        <v/>
      </c>
      <c r="E297" s="37">
        <f>IF(OR($A297="",NOT(ISNUMBER(Datos!E297)),NOT(ISNUMBER(Datos!E296))),"",Datos!E297/Datos!E296-1)</f>
        <v/>
      </c>
      <c r="F297" s="38">
        <f>IF($A297="","",COUNT(B297:E297))</f>
        <v/>
      </c>
      <c r="G297" s="37">
        <f>IF($A297="","",IF(F297&gt;=MIN_BANCOS,AVERAGE(B297:E297),""))</f>
        <v/>
      </c>
      <c r="H297" s="37">
        <f>IF(OR($A297="",NOT(ISNUMBER(Datos!F297)),NOT(ISNUMBER(Datos!F296))),"",Datos!F297/Datos!F296-1)</f>
        <v/>
      </c>
      <c r="I297" s="39">
        <f>IF($A297="","",IF(ISNUMBER(Datos!G297),Datos!G297,I296))</f>
        <v/>
      </c>
      <c r="J297" s="40">
        <f>IF($A297="","",IF(ISNUMBER(I296),LN(1+I296/100/12),0))</f>
        <v/>
      </c>
      <c r="K297" s="40">
        <f>IF(ISNUMBER(G297),LN(1+G297)-J297,"")</f>
        <v/>
      </c>
      <c r="L297" s="40">
        <f>IF(ISNUMBER(H297),LN(1+H297)-J297,"")</f>
        <v/>
      </c>
      <c r="M297" s="38">
        <f>IF(ISNUMBER(K297),1,0)</f>
        <v/>
      </c>
      <c r="N297" s="40">
        <f>IF(M297=1,K297,0)</f>
        <v/>
      </c>
      <c r="O297" s="38">
        <f>IF(ISNUMBER(L297),1,0)</f>
        <v/>
      </c>
      <c r="P297" s="40">
        <f>IF(O297=1,L297,0)</f>
        <v/>
      </c>
      <c r="Q297" s="38">
        <f>M297*O297</f>
        <v/>
      </c>
      <c r="R297" s="38">
        <f>SUM(Q261:Q296)</f>
        <v/>
      </c>
      <c r="S297" s="41">
        <f>IF(OR($A297="",R297&lt;MIN_OBS_ROLL),"",(SUMPRODUCT(Q261:Q296,N261:N296,P261:P296)/R297-SUMPRODUCT(Q261:Q296,N261:N296)/R297*SUMPRODUCT(Q261:Q296,P261:P296)/R297)*R297/(R297-1))</f>
        <v/>
      </c>
      <c r="T297" s="38">
        <f>SUM(O261:O296)</f>
        <v/>
      </c>
      <c r="U297" s="41">
        <f>IF(OR($A297="",T297&lt;MIN_OBS_ROLL),"",SUMPRODUCT(O261:O296,(P261:P296-SUMPRODUCT(O261:O296,P261:P296)/T297)^2)/(T297-1))</f>
        <v/>
      </c>
      <c r="V297" s="40">
        <f>IF(OR(S297="",U297=""),"",S297/U297)</f>
        <v/>
      </c>
      <c r="W297" s="40">
        <f>IF(AND(ISNUMBER(K297),ISNUMBER(L297),ISNUMBER(V297)),K297-V297*L297,"")</f>
        <v/>
      </c>
      <c r="X297" s="40">
        <f>IF(OR($A297="",NOT(ISNUMBER(Datos!H297)),NOT(ISNUMBER(Datos!H296))),"",LN(Datos!H297)-LN(Datos!H296))</f>
        <v/>
      </c>
      <c r="Y297" s="38">
        <f>IF(ISNUMBER(W297),1,0)</f>
        <v/>
      </c>
      <c r="Z297" s="40">
        <f>IF(Y297=1,W297,0)</f>
        <v/>
      </c>
      <c r="AA297" s="38">
        <f>IF(ISNUMBER(X297),1,0)</f>
        <v/>
      </c>
      <c r="AB297" s="40">
        <f>IF(AA297=1,X297,0)</f>
        <v/>
      </c>
      <c r="AC297" s="38">
        <f>Y297*AA297</f>
        <v/>
      </c>
      <c r="AD297" s="38">
        <f>SUM(AC261:AC296)</f>
        <v/>
      </c>
      <c r="AE297" s="41">
        <f>IF(OR($A297="",AD297&lt;MIN_OBS_ROLL),"",(SUMPRODUCT(AC261:AC296,Z261:Z296,AB261:AB296)/AD297-SUMPRODUCT(AC261:AC296,Z261:Z296)/AD297*SUMPRODUCT(AC261:AC296,AB261:AB296)/AD297)*AD297/(AD297-1))</f>
        <v/>
      </c>
      <c r="AF297" s="38">
        <f>SUM(AA261:AA296)</f>
        <v/>
      </c>
      <c r="AG297" s="41">
        <f>IF(OR($A297="",AF297&lt;MIN_OBS_ROLL),"",SUMPRODUCT(AA261:AA296,(AB261:AB296-SUMPRODUCT(AA261:AA296,AB261:AB296)/AF297)^2)/(AF297-1))</f>
        <v/>
      </c>
      <c r="AH297" s="38">
        <f>SUM(Y261:Y296)</f>
        <v/>
      </c>
      <c r="AI297" s="40">
        <f>IF(OR($A297="",AH297&lt;MIN_OBS_ROLL),"",SUMPRODUCT(Y261:Y296,Z261:Z296)/AH297)</f>
        <v/>
      </c>
      <c r="AJ297" s="40">
        <f>IF(OR($A297="",AF297&lt;MIN_OBS_ROLL),"",SUMPRODUCT(AA261:AA296,AB261:AB296)/AF297)</f>
        <v/>
      </c>
      <c r="AK297" s="40">
        <f>IF(OR(AE297="",AG297=""),"",AE297/AG297)</f>
        <v/>
      </c>
      <c r="AL297" s="40">
        <f>IF(OR(AI297="",AK297="",AJ297=""),"",AI297-AK297*AJ297)</f>
        <v/>
      </c>
      <c r="AM297" s="40">
        <f>IF(AND(ISNUMBER(W297),ISNUMBER(X297),ISNUMBER(AK297),ISNUMBER(AL297)),W297-(AL297+AK297*X297),"")</f>
        <v/>
      </c>
      <c r="AN297" s="38">
        <f>IF(ISNUMBER(AM297),1,0)</f>
        <v/>
      </c>
      <c r="AO297" s="40">
        <f>IF(AN297=1,AM297,0)</f>
        <v/>
      </c>
      <c r="AP297" s="40">
        <f>IF(SUM(AN295:AN297)=3,SUM(AO295:AO297),"")</f>
        <v/>
      </c>
      <c r="AQ297" s="38">
        <f>IF(ISNUMBER(AP297),1,0)</f>
        <v/>
      </c>
      <c r="AR297" s="40">
        <f>IF(AQ297=1,AP297,0)</f>
        <v/>
      </c>
      <c r="AS297" s="38">
        <f>SUM(AQ$5:AQ297)</f>
        <v/>
      </c>
      <c r="AT297" s="40">
        <f>IF(AS297&gt;=MIN_OBS_Z,SUMPRODUCT(AQ$5:AQ297,AR$5:AR297)/AS297,"")</f>
        <v/>
      </c>
      <c r="AU297" s="40">
        <f>IF(AS297&gt;=MIN_OBS_Z,SQRT(SUMPRODUCT(AQ$5:AQ297,(AR$5:AR297-AT297)^2)/(AS297-1)),"")</f>
        <v/>
      </c>
      <c r="AV297" s="40">
        <f>IF(AND(AQ297=1,ISNUMBER(AT297)),MAX(-Z_CLIP,MIN(Z_CLIP,(AR297-AT297)/AU297)),"")</f>
        <v/>
      </c>
      <c r="AW297" s="40">
        <f>IF(ISNUMBER(AV297),-AV297,"")</f>
        <v/>
      </c>
      <c r="AX297" s="40">
        <f>IF(ISNUMBER(AW297),1+AMPLITUD*TANH(AW297),"")</f>
        <v/>
      </c>
      <c r="AY297" s="40">
        <f>IF($A297="","",IF(COUNT(AX295:AX297)&gt;0,AVERAGE(AX295:AX297),""))</f>
        <v/>
      </c>
      <c r="AZ297" s="40">
        <f>IF(ISNUMBER(AY297),AY297-1,"")</f>
        <v/>
      </c>
      <c r="BA297" s="40">
        <f>IF(AND(ISNUMBER(AZ296),ISNUMBER(W297)),AZ296*W_BANCOS*W297,"")</f>
        <v/>
      </c>
      <c r="BB297" s="40">
        <f>IF(AND(ISNUMBER(AZ296),ISNUMBER(AZ295)),ABS(AZ296-AZ295)*W_BANCOS*COSTO,0)</f>
        <v/>
      </c>
      <c r="BC297" s="40">
        <f>IF(ISNUMBER(BA297),BA297-BB297,"")</f>
        <v/>
      </c>
      <c r="BD297" s="42">
        <f>IF(ISNUMBER(BC297),IF(A297&lt;=FECHA_ERA,"A","B"),"")</f>
        <v/>
      </c>
      <c r="BE297" s="40">
        <f>IF(BD297="A",BC297,"")</f>
        <v/>
      </c>
      <c r="BF297" s="40">
        <f>IF(BD297="B",BC297,"")</f>
        <v/>
      </c>
      <c r="BG297" s="38">
        <f>IF(AND(ISNUMBER(BC297),ISNUMBER(A297)),IF(A297&gt;=INICIO_VIVO,1,0),0)</f>
        <v/>
      </c>
      <c r="BH297" s="40">
        <f>IF(BG297=1,BC297,"")</f>
        <v/>
      </c>
      <c r="BI297" s="38">
        <f>IF(ISNUMBER(AY297),ROW(),0)</f>
        <v/>
      </c>
      <c r="BJ297" s="43">
        <f>IF(ISNUMBER(BC297),SUM(BC$5:BC297)*10000,NA())</f>
        <v/>
      </c>
      <c r="BK297" s="43">
        <f>IF(BG297=1,SUM(BH$5:BH297)*10000,NA())</f>
        <v/>
      </c>
      <c r="BL297" s="44">
        <f>IF(ISNUMBER(AY297),AY297,NA())</f>
        <v/>
      </c>
    </row>
    <row r="298">
      <c r="A298" s="36">
        <f>IF(Datos!A298="","",Datos!A298)</f>
        <v/>
      </c>
      <c r="B298" s="37">
        <f>IF(OR($A298="",NOT(ISNUMBER(Datos!B298)),NOT(ISNUMBER(Datos!B297))),"",Datos!B298/Datos!B297-1)</f>
        <v/>
      </c>
      <c r="C298" s="37">
        <f>IF(OR($A298="",NOT(ISNUMBER(Datos!C298)),NOT(ISNUMBER(Datos!C297))),"",Datos!C298/Datos!C297-1)</f>
        <v/>
      </c>
      <c r="D298" s="37">
        <f>IF(OR($A298="",NOT(ISNUMBER(Datos!D298)),NOT(ISNUMBER(Datos!D297))),"",Datos!D298/Datos!D297-1)</f>
        <v/>
      </c>
      <c r="E298" s="37">
        <f>IF(OR($A298="",NOT(ISNUMBER(Datos!E298)),NOT(ISNUMBER(Datos!E297))),"",Datos!E298/Datos!E297-1)</f>
        <v/>
      </c>
      <c r="F298" s="38">
        <f>IF($A298="","",COUNT(B298:E298))</f>
        <v/>
      </c>
      <c r="G298" s="37">
        <f>IF($A298="","",IF(F298&gt;=MIN_BANCOS,AVERAGE(B298:E298),""))</f>
        <v/>
      </c>
      <c r="H298" s="37">
        <f>IF(OR($A298="",NOT(ISNUMBER(Datos!F298)),NOT(ISNUMBER(Datos!F297))),"",Datos!F298/Datos!F297-1)</f>
        <v/>
      </c>
      <c r="I298" s="39">
        <f>IF($A298="","",IF(ISNUMBER(Datos!G298),Datos!G298,I297))</f>
        <v/>
      </c>
      <c r="J298" s="40">
        <f>IF($A298="","",IF(ISNUMBER(I297),LN(1+I297/100/12),0))</f>
        <v/>
      </c>
      <c r="K298" s="40">
        <f>IF(ISNUMBER(G298),LN(1+G298)-J298,"")</f>
        <v/>
      </c>
      <c r="L298" s="40">
        <f>IF(ISNUMBER(H298),LN(1+H298)-J298,"")</f>
        <v/>
      </c>
      <c r="M298" s="38">
        <f>IF(ISNUMBER(K298),1,0)</f>
        <v/>
      </c>
      <c r="N298" s="40">
        <f>IF(M298=1,K298,0)</f>
        <v/>
      </c>
      <c r="O298" s="38">
        <f>IF(ISNUMBER(L298),1,0)</f>
        <v/>
      </c>
      <c r="P298" s="40">
        <f>IF(O298=1,L298,0)</f>
        <v/>
      </c>
      <c r="Q298" s="38">
        <f>M298*O298</f>
        <v/>
      </c>
      <c r="R298" s="38">
        <f>SUM(Q262:Q297)</f>
        <v/>
      </c>
      <c r="S298" s="41">
        <f>IF(OR($A298="",R298&lt;MIN_OBS_ROLL),"",(SUMPRODUCT(Q262:Q297,N262:N297,P262:P297)/R298-SUMPRODUCT(Q262:Q297,N262:N297)/R298*SUMPRODUCT(Q262:Q297,P262:P297)/R298)*R298/(R298-1))</f>
        <v/>
      </c>
      <c r="T298" s="38">
        <f>SUM(O262:O297)</f>
        <v/>
      </c>
      <c r="U298" s="41">
        <f>IF(OR($A298="",T298&lt;MIN_OBS_ROLL),"",SUMPRODUCT(O262:O297,(P262:P297-SUMPRODUCT(O262:O297,P262:P297)/T298)^2)/(T298-1))</f>
        <v/>
      </c>
      <c r="V298" s="40">
        <f>IF(OR(S298="",U298=""),"",S298/U298)</f>
        <v/>
      </c>
      <c r="W298" s="40">
        <f>IF(AND(ISNUMBER(K298),ISNUMBER(L298),ISNUMBER(V298)),K298-V298*L298,"")</f>
        <v/>
      </c>
      <c r="X298" s="40">
        <f>IF(OR($A298="",NOT(ISNUMBER(Datos!H298)),NOT(ISNUMBER(Datos!H297))),"",LN(Datos!H298)-LN(Datos!H297))</f>
        <v/>
      </c>
      <c r="Y298" s="38">
        <f>IF(ISNUMBER(W298),1,0)</f>
        <v/>
      </c>
      <c r="Z298" s="40">
        <f>IF(Y298=1,W298,0)</f>
        <v/>
      </c>
      <c r="AA298" s="38">
        <f>IF(ISNUMBER(X298),1,0)</f>
        <v/>
      </c>
      <c r="AB298" s="40">
        <f>IF(AA298=1,X298,0)</f>
        <v/>
      </c>
      <c r="AC298" s="38">
        <f>Y298*AA298</f>
        <v/>
      </c>
      <c r="AD298" s="38">
        <f>SUM(AC262:AC297)</f>
        <v/>
      </c>
      <c r="AE298" s="41">
        <f>IF(OR($A298="",AD298&lt;MIN_OBS_ROLL),"",(SUMPRODUCT(AC262:AC297,Z262:Z297,AB262:AB297)/AD298-SUMPRODUCT(AC262:AC297,Z262:Z297)/AD298*SUMPRODUCT(AC262:AC297,AB262:AB297)/AD298)*AD298/(AD298-1))</f>
        <v/>
      </c>
      <c r="AF298" s="38">
        <f>SUM(AA262:AA297)</f>
        <v/>
      </c>
      <c r="AG298" s="41">
        <f>IF(OR($A298="",AF298&lt;MIN_OBS_ROLL),"",SUMPRODUCT(AA262:AA297,(AB262:AB297-SUMPRODUCT(AA262:AA297,AB262:AB297)/AF298)^2)/(AF298-1))</f>
        <v/>
      </c>
      <c r="AH298" s="38">
        <f>SUM(Y262:Y297)</f>
        <v/>
      </c>
      <c r="AI298" s="40">
        <f>IF(OR($A298="",AH298&lt;MIN_OBS_ROLL),"",SUMPRODUCT(Y262:Y297,Z262:Z297)/AH298)</f>
        <v/>
      </c>
      <c r="AJ298" s="40">
        <f>IF(OR($A298="",AF298&lt;MIN_OBS_ROLL),"",SUMPRODUCT(AA262:AA297,AB262:AB297)/AF298)</f>
        <v/>
      </c>
      <c r="AK298" s="40">
        <f>IF(OR(AE298="",AG298=""),"",AE298/AG298)</f>
        <v/>
      </c>
      <c r="AL298" s="40">
        <f>IF(OR(AI298="",AK298="",AJ298=""),"",AI298-AK298*AJ298)</f>
        <v/>
      </c>
      <c r="AM298" s="40">
        <f>IF(AND(ISNUMBER(W298),ISNUMBER(X298),ISNUMBER(AK298),ISNUMBER(AL298)),W298-(AL298+AK298*X298),"")</f>
        <v/>
      </c>
      <c r="AN298" s="38">
        <f>IF(ISNUMBER(AM298),1,0)</f>
        <v/>
      </c>
      <c r="AO298" s="40">
        <f>IF(AN298=1,AM298,0)</f>
        <v/>
      </c>
      <c r="AP298" s="40">
        <f>IF(SUM(AN296:AN298)=3,SUM(AO296:AO298),"")</f>
        <v/>
      </c>
      <c r="AQ298" s="38">
        <f>IF(ISNUMBER(AP298),1,0)</f>
        <v/>
      </c>
      <c r="AR298" s="40">
        <f>IF(AQ298=1,AP298,0)</f>
        <v/>
      </c>
      <c r="AS298" s="38">
        <f>SUM(AQ$5:AQ298)</f>
        <v/>
      </c>
      <c r="AT298" s="40">
        <f>IF(AS298&gt;=MIN_OBS_Z,SUMPRODUCT(AQ$5:AQ298,AR$5:AR298)/AS298,"")</f>
        <v/>
      </c>
      <c r="AU298" s="40">
        <f>IF(AS298&gt;=MIN_OBS_Z,SQRT(SUMPRODUCT(AQ$5:AQ298,(AR$5:AR298-AT298)^2)/(AS298-1)),"")</f>
        <v/>
      </c>
      <c r="AV298" s="40">
        <f>IF(AND(AQ298=1,ISNUMBER(AT298)),MAX(-Z_CLIP,MIN(Z_CLIP,(AR298-AT298)/AU298)),"")</f>
        <v/>
      </c>
      <c r="AW298" s="40">
        <f>IF(ISNUMBER(AV298),-AV298,"")</f>
        <v/>
      </c>
      <c r="AX298" s="40">
        <f>IF(ISNUMBER(AW298),1+AMPLITUD*TANH(AW298),"")</f>
        <v/>
      </c>
      <c r="AY298" s="40">
        <f>IF($A298="","",IF(COUNT(AX296:AX298)&gt;0,AVERAGE(AX296:AX298),""))</f>
        <v/>
      </c>
      <c r="AZ298" s="40">
        <f>IF(ISNUMBER(AY298),AY298-1,"")</f>
        <v/>
      </c>
      <c r="BA298" s="40">
        <f>IF(AND(ISNUMBER(AZ297),ISNUMBER(W298)),AZ297*W_BANCOS*W298,"")</f>
        <v/>
      </c>
      <c r="BB298" s="40">
        <f>IF(AND(ISNUMBER(AZ297),ISNUMBER(AZ296)),ABS(AZ297-AZ296)*W_BANCOS*COSTO,0)</f>
        <v/>
      </c>
      <c r="BC298" s="40">
        <f>IF(ISNUMBER(BA298),BA298-BB298,"")</f>
        <v/>
      </c>
      <c r="BD298" s="42">
        <f>IF(ISNUMBER(BC298),IF(A298&lt;=FECHA_ERA,"A","B"),"")</f>
        <v/>
      </c>
      <c r="BE298" s="40">
        <f>IF(BD298="A",BC298,"")</f>
        <v/>
      </c>
      <c r="BF298" s="40">
        <f>IF(BD298="B",BC298,"")</f>
        <v/>
      </c>
      <c r="BG298" s="38">
        <f>IF(AND(ISNUMBER(BC298),ISNUMBER(A298)),IF(A298&gt;=INICIO_VIVO,1,0),0)</f>
        <v/>
      </c>
      <c r="BH298" s="40">
        <f>IF(BG298=1,BC298,"")</f>
        <v/>
      </c>
      <c r="BI298" s="38">
        <f>IF(ISNUMBER(AY298),ROW(),0)</f>
        <v/>
      </c>
      <c r="BJ298" s="43">
        <f>IF(ISNUMBER(BC298),SUM(BC$5:BC298)*10000,NA())</f>
        <v/>
      </c>
      <c r="BK298" s="43">
        <f>IF(BG298=1,SUM(BH$5:BH298)*10000,NA())</f>
        <v/>
      </c>
      <c r="BL298" s="44">
        <f>IF(ISNUMBER(AY298),AY298,NA())</f>
        <v/>
      </c>
    </row>
    <row r="299">
      <c r="A299" s="36">
        <f>IF(Datos!A299="","",Datos!A299)</f>
        <v/>
      </c>
      <c r="B299" s="37">
        <f>IF(OR($A299="",NOT(ISNUMBER(Datos!B299)),NOT(ISNUMBER(Datos!B298))),"",Datos!B299/Datos!B298-1)</f>
        <v/>
      </c>
      <c r="C299" s="37">
        <f>IF(OR($A299="",NOT(ISNUMBER(Datos!C299)),NOT(ISNUMBER(Datos!C298))),"",Datos!C299/Datos!C298-1)</f>
        <v/>
      </c>
      <c r="D299" s="37">
        <f>IF(OR($A299="",NOT(ISNUMBER(Datos!D299)),NOT(ISNUMBER(Datos!D298))),"",Datos!D299/Datos!D298-1)</f>
        <v/>
      </c>
      <c r="E299" s="37">
        <f>IF(OR($A299="",NOT(ISNUMBER(Datos!E299)),NOT(ISNUMBER(Datos!E298))),"",Datos!E299/Datos!E298-1)</f>
        <v/>
      </c>
      <c r="F299" s="38">
        <f>IF($A299="","",COUNT(B299:E299))</f>
        <v/>
      </c>
      <c r="G299" s="37">
        <f>IF($A299="","",IF(F299&gt;=MIN_BANCOS,AVERAGE(B299:E299),""))</f>
        <v/>
      </c>
      <c r="H299" s="37">
        <f>IF(OR($A299="",NOT(ISNUMBER(Datos!F299)),NOT(ISNUMBER(Datos!F298))),"",Datos!F299/Datos!F298-1)</f>
        <v/>
      </c>
      <c r="I299" s="39">
        <f>IF($A299="","",IF(ISNUMBER(Datos!G299),Datos!G299,I298))</f>
        <v/>
      </c>
      <c r="J299" s="40">
        <f>IF($A299="","",IF(ISNUMBER(I298),LN(1+I298/100/12),0))</f>
        <v/>
      </c>
      <c r="K299" s="40">
        <f>IF(ISNUMBER(G299),LN(1+G299)-J299,"")</f>
        <v/>
      </c>
      <c r="L299" s="40">
        <f>IF(ISNUMBER(H299),LN(1+H299)-J299,"")</f>
        <v/>
      </c>
      <c r="M299" s="38">
        <f>IF(ISNUMBER(K299),1,0)</f>
        <v/>
      </c>
      <c r="N299" s="40">
        <f>IF(M299=1,K299,0)</f>
        <v/>
      </c>
      <c r="O299" s="38">
        <f>IF(ISNUMBER(L299),1,0)</f>
        <v/>
      </c>
      <c r="P299" s="40">
        <f>IF(O299=1,L299,0)</f>
        <v/>
      </c>
      <c r="Q299" s="38">
        <f>M299*O299</f>
        <v/>
      </c>
      <c r="R299" s="38">
        <f>SUM(Q263:Q298)</f>
        <v/>
      </c>
      <c r="S299" s="41">
        <f>IF(OR($A299="",R299&lt;MIN_OBS_ROLL),"",(SUMPRODUCT(Q263:Q298,N263:N298,P263:P298)/R299-SUMPRODUCT(Q263:Q298,N263:N298)/R299*SUMPRODUCT(Q263:Q298,P263:P298)/R299)*R299/(R299-1))</f>
        <v/>
      </c>
      <c r="T299" s="38">
        <f>SUM(O263:O298)</f>
        <v/>
      </c>
      <c r="U299" s="41">
        <f>IF(OR($A299="",T299&lt;MIN_OBS_ROLL),"",SUMPRODUCT(O263:O298,(P263:P298-SUMPRODUCT(O263:O298,P263:P298)/T299)^2)/(T299-1))</f>
        <v/>
      </c>
      <c r="V299" s="40">
        <f>IF(OR(S299="",U299=""),"",S299/U299)</f>
        <v/>
      </c>
      <c r="W299" s="40">
        <f>IF(AND(ISNUMBER(K299),ISNUMBER(L299),ISNUMBER(V299)),K299-V299*L299,"")</f>
        <v/>
      </c>
      <c r="X299" s="40">
        <f>IF(OR($A299="",NOT(ISNUMBER(Datos!H299)),NOT(ISNUMBER(Datos!H298))),"",LN(Datos!H299)-LN(Datos!H298))</f>
        <v/>
      </c>
      <c r="Y299" s="38">
        <f>IF(ISNUMBER(W299),1,0)</f>
        <v/>
      </c>
      <c r="Z299" s="40">
        <f>IF(Y299=1,W299,0)</f>
        <v/>
      </c>
      <c r="AA299" s="38">
        <f>IF(ISNUMBER(X299),1,0)</f>
        <v/>
      </c>
      <c r="AB299" s="40">
        <f>IF(AA299=1,X299,0)</f>
        <v/>
      </c>
      <c r="AC299" s="38">
        <f>Y299*AA299</f>
        <v/>
      </c>
      <c r="AD299" s="38">
        <f>SUM(AC263:AC298)</f>
        <v/>
      </c>
      <c r="AE299" s="41">
        <f>IF(OR($A299="",AD299&lt;MIN_OBS_ROLL),"",(SUMPRODUCT(AC263:AC298,Z263:Z298,AB263:AB298)/AD299-SUMPRODUCT(AC263:AC298,Z263:Z298)/AD299*SUMPRODUCT(AC263:AC298,AB263:AB298)/AD299)*AD299/(AD299-1))</f>
        <v/>
      </c>
      <c r="AF299" s="38">
        <f>SUM(AA263:AA298)</f>
        <v/>
      </c>
      <c r="AG299" s="41">
        <f>IF(OR($A299="",AF299&lt;MIN_OBS_ROLL),"",SUMPRODUCT(AA263:AA298,(AB263:AB298-SUMPRODUCT(AA263:AA298,AB263:AB298)/AF299)^2)/(AF299-1))</f>
        <v/>
      </c>
      <c r="AH299" s="38">
        <f>SUM(Y263:Y298)</f>
        <v/>
      </c>
      <c r="AI299" s="40">
        <f>IF(OR($A299="",AH299&lt;MIN_OBS_ROLL),"",SUMPRODUCT(Y263:Y298,Z263:Z298)/AH299)</f>
        <v/>
      </c>
      <c r="AJ299" s="40">
        <f>IF(OR($A299="",AF299&lt;MIN_OBS_ROLL),"",SUMPRODUCT(AA263:AA298,AB263:AB298)/AF299)</f>
        <v/>
      </c>
      <c r="AK299" s="40">
        <f>IF(OR(AE299="",AG299=""),"",AE299/AG299)</f>
        <v/>
      </c>
      <c r="AL299" s="40">
        <f>IF(OR(AI299="",AK299="",AJ299=""),"",AI299-AK299*AJ299)</f>
        <v/>
      </c>
      <c r="AM299" s="40">
        <f>IF(AND(ISNUMBER(W299),ISNUMBER(X299),ISNUMBER(AK299),ISNUMBER(AL299)),W299-(AL299+AK299*X299),"")</f>
        <v/>
      </c>
      <c r="AN299" s="38">
        <f>IF(ISNUMBER(AM299),1,0)</f>
        <v/>
      </c>
      <c r="AO299" s="40">
        <f>IF(AN299=1,AM299,0)</f>
        <v/>
      </c>
      <c r="AP299" s="40">
        <f>IF(SUM(AN297:AN299)=3,SUM(AO297:AO299),"")</f>
        <v/>
      </c>
      <c r="AQ299" s="38">
        <f>IF(ISNUMBER(AP299),1,0)</f>
        <v/>
      </c>
      <c r="AR299" s="40">
        <f>IF(AQ299=1,AP299,0)</f>
        <v/>
      </c>
      <c r="AS299" s="38">
        <f>SUM(AQ$5:AQ299)</f>
        <v/>
      </c>
      <c r="AT299" s="40">
        <f>IF(AS299&gt;=MIN_OBS_Z,SUMPRODUCT(AQ$5:AQ299,AR$5:AR299)/AS299,"")</f>
        <v/>
      </c>
      <c r="AU299" s="40">
        <f>IF(AS299&gt;=MIN_OBS_Z,SQRT(SUMPRODUCT(AQ$5:AQ299,(AR$5:AR299-AT299)^2)/(AS299-1)),"")</f>
        <v/>
      </c>
      <c r="AV299" s="40">
        <f>IF(AND(AQ299=1,ISNUMBER(AT299)),MAX(-Z_CLIP,MIN(Z_CLIP,(AR299-AT299)/AU299)),"")</f>
        <v/>
      </c>
      <c r="AW299" s="40">
        <f>IF(ISNUMBER(AV299),-AV299,"")</f>
        <v/>
      </c>
      <c r="AX299" s="40">
        <f>IF(ISNUMBER(AW299),1+AMPLITUD*TANH(AW299),"")</f>
        <v/>
      </c>
      <c r="AY299" s="40">
        <f>IF($A299="","",IF(COUNT(AX297:AX299)&gt;0,AVERAGE(AX297:AX299),""))</f>
        <v/>
      </c>
      <c r="AZ299" s="40">
        <f>IF(ISNUMBER(AY299),AY299-1,"")</f>
        <v/>
      </c>
      <c r="BA299" s="40">
        <f>IF(AND(ISNUMBER(AZ298),ISNUMBER(W299)),AZ298*W_BANCOS*W299,"")</f>
        <v/>
      </c>
      <c r="BB299" s="40">
        <f>IF(AND(ISNUMBER(AZ298),ISNUMBER(AZ297)),ABS(AZ298-AZ297)*W_BANCOS*COSTO,0)</f>
        <v/>
      </c>
      <c r="BC299" s="40">
        <f>IF(ISNUMBER(BA299),BA299-BB299,"")</f>
        <v/>
      </c>
      <c r="BD299" s="42">
        <f>IF(ISNUMBER(BC299),IF(A299&lt;=FECHA_ERA,"A","B"),"")</f>
        <v/>
      </c>
      <c r="BE299" s="40">
        <f>IF(BD299="A",BC299,"")</f>
        <v/>
      </c>
      <c r="BF299" s="40">
        <f>IF(BD299="B",BC299,"")</f>
        <v/>
      </c>
      <c r="BG299" s="38">
        <f>IF(AND(ISNUMBER(BC299),ISNUMBER(A299)),IF(A299&gt;=INICIO_VIVO,1,0),0)</f>
        <v/>
      </c>
      <c r="BH299" s="40">
        <f>IF(BG299=1,BC299,"")</f>
        <v/>
      </c>
      <c r="BI299" s="38">
        <f>IF(ISNUMBER(AY299),ROW(),0)</f>
        <v/>
      </c>
      <c r="BJ299" s="43">
        <f>IF(ISNUMBER(BC299),SUM(BC$5:BC299)*10000,NA())</f>
        <v/>
      </c>
      <c r="BK299" s="43">
        <f>IF(BG299=1,SUM(BH$5:BH299)*10000,NA())</f>
        <v/>
      </c>
      <c r="BL299" s="44">
        <f>IF(ISNUMBER(AY299),AY299,NA())</f>
        <v/>
      </c>
    </row>
    <row r="300">
      <c r="A300" s="36">
        <f>IF(Datos!A300="","",Datos!A300)</f>
        <v/>
      </c>
      <c r="B300" s="37">
        <f>IF(OR($A300="",NOT(ISNUMBER(Datos!B300)),NOT(ISNUMBER(Datos!B299))),"",Datos!B300/Datos!B299-1)</f>
        <v/>
      </c>
      <c r="C300" s="37">
        <f>IF(OR($A300="",NOT(ISNUMBER(Datos!C300)),NOT(ISNUMBER(Datos!C299))),"",Datos!C300/Datos!C299-1)</f>
        <v/>
      </c>
      <c r="D300" s="37">
        <f>IF(OR($A300="",NOT(ISNUMBER(Datos!D300)),NOT(ISNUMBER(Datos!D299))),"",Datos!D300/Datos!D299-1)</f>
        <v/>
      </c>
      <c r="E300" s="37">
        <f>IF(OR($A300="",NOT(ISNUMBER(Datos!E300)),NOT(ISNUMBER(Datos!E299))),"",Datos!E300/Datos!E299-1)</f>
        <v/>
      </c>
      <c r="F300" s="38">
        <f>IF($A300="","",COUNT(B300:E300))</f>
        <v/>
      </c>
      <c r="G300" s="37">
        <f>IF($A300="","",IF(F300&gt;=MIN_BANCOS,AVERAGE(B300:E300),""))</f>
        <v/>
      </c>
      <c r="H300" s="37">
        <f>IF(OR($A300="",NOT(ISNUMBER(Datos!F300)),NOT(ISNUMBER(Datos!F299))),"",Datos!F300/Datos!F299-1)</f>
        <v/>
      </c>
      <c r="I300" s="39">
        <f>IF($A300="","",IF(ISNUMBER(Datos!G300),Datos!G300,I299))</f>
        <v/>
      </c>
      <c r="J300" s="40">
        <f>IF($A300="","",IF(ISNUMBER(I299),LN(1+I299/100/12),0))</f>
        <v/>
      </c>
      <c r="K300" s="40">
        <f>IF(ISNUMBER(G300),LN(1+G300)-J300,"")</f>
        <v/>
      </c>
      <c r="L300" s="40">
        <f>IF(ISNUMBER(H300),LN(1+H300)-J300,"")</f>
        <v/>
      </c>
      <c r="M300" s="38">
        <f>IF(ISNUMBER(K300),1,0)</f>
        <v/>
      </c>
      <c r="N300" s="40">
        <f>IF(M300=1,K300,0)</f>
        <v/>
      </c>
      <c r="O300" s="38">
        <f>IF(ISNUMBER(L300),1,0)</f>
        <v/>
      </c>
      <c r="P300" s="40">
        <f>IF(O300=1,L300,0)</f>
        <v/>
      </c>
      <c r="Q300" s="38">
        <f>M300*O300</f>
        <v/>
      </c>
      <c r="R300" s="38">
        <f>SUM(Q264:Q299)</f>
        <v/>
      </c>
      <c r="S300" s="41">
        <f>IF(OR($A300="",R300&lt;MIN_OBS_ROLL),"",(SUMPRODUCT(Q264:Q299,N264:N299,P264:P299)/R300-SUMPRODUCT(Q264:Q299,N264:N299)/R300*SUMPRODUCT(Q264:Q299,P264:P299)/R300)*R300/(R300-1))</f>
        <v/>
      </c>
      <c r="T300" s="38">
        <f>SUM(O264:O299)</f>
        <v/>
      </c>
      <c r="U300" s="41">
        <f>IF(OR($A300="",T300&lt;MIN_OBS_ROLL),"",SUMPRODUCT(O264:O299,(P264:P299-SUMPRODUCT(O264:O299,P264:P299)/T300)^2)/(T300-1))</f>
        <v/>
      </c>
      <c r="V300" s="40">
        <f>IF(OR(S300="",U300=""),"",S300/U300)</f>
        <v/>
      </c>
      <c r="W300" s="40">
        <f>IF(AND(ISNUMBER(K300),ISNUMBER(L300),ISNUMBER(V300)),K300-V300*L300,"")</f>
        <v/>
      </c>
      <c r="X300" s="40">
        <f>IF(OR($A300="",NOT(ISNUMBER(Datos!H300)),NOT(ISNUMBER(Datos!H299))),"",LN(Datos!H300)-LN(Datos!H299))</f>
        <v/>
      </c>
      <c r="Y300" s="38">
        <f>IF(ISNUMBER(W300),1,0)</f>
        <v/>
      </c>
      <c r="Z300" s="40">
        <f>IF(Y300=1,W300,0)</f>
        <v/>
      </c>
      <c r="AA300" s="38">
        <f>IF(ISNUMBER(X300),1,0)</f>
        <v/>
      </c>
      <c r="AB300" s="40">
        <f>IF(AA300=1,X300,0)</f>
        <v/>
      </c>
      <c r="AC300" s="38">
        <f>Y300*AA300</f>
        <v/>
      </c>
      <c r="AD300" s="38">
        <f>SUM(AC264:AC299)</f>
        <v/>
      </c>
      <c r="AE300" s="41">
        <f>IF(OR($A300="",AD300&lt;MIN_OBS_ROLL),"",(SUMPRODUCT(AC264:AC299,Z264:Z299,AB264:AB299)/AD300-SUMPRODUCT(AC264:AC299,Z264:Z299)/AD300*SUMPRODUCT(AC264:AC299,AB264:AB299)/AD300)*AD300/(AD300-1))</f>
        <v/>
      </c>
      <c r="AF300" s="38">
        <f>SUM(AA264:AA299)</f>
        <v/>
      </c>
      <c r="AG300" s="41">
        <f>IF(OR($A300="",AF300&lt;MIN_OBS_ROLL),"",SUMPRODUCT(AA264:AA299,(AB264:AB299-SUMPRODUCT(AA264:AA299,AB264:AB299)/AF300)^2)/(AF300-1))</f>
        <v/>
      </c>
      <c r="AH300" s="38">
        <f>SUM(Y264:Y299)</f>
        <v/>
      </c>
      <c r="AI300" s="40">
        <f>IF(OR($A300="",AH300&lt;MIN_OBS_ROLL),"",SUMPRODUCT(Y264:Y299,Z264:Z299)/AH300)</f>
        <v/>
      </c>
      <c r="AJ300" s="40">
        <f>IF(OR($A300="",AF300&lt;MIN_OBS_ROLL),"",SUMPRODUCT(AA264:AA299,AB264:AB299)/AF300)</f>
        <v/>
      </c>
      <c r="AK300" s="40">
        <f>IF(OR(AE300="",AG300=""),"",AE300/AG300)</f>
        <v/>
      </c>
      <c r="AL300" s="40">
        <f>IF(OR(AI300="",AK300="",AJ300=""),"",AI300-AK300*AJ300)</f>
        <v/>
      </c>
      <c r="AM300" s="40">
        <f>IF(AND(ISNUMBER(W300),ISNUMBER(X300),ISNUMBER(AK300),ISNUMBER(AL300)),W300-(AL300+AK300*X300),"")</f>
        <v/>
      </c>
      <c r="AN300" s="38">
        <f>IF(ISNUMBER(AM300),1,0)</f>
        <v/>
      </c>
      <c r="AO300" s="40">
        <f>IF(AN300=1,AM300,0)</f>
        <v/>
      </c>
      <c r="AP300" s="40">
        <f>IF(SUM(AN298:AN300)=3,SUM(AO298:AO300),"")</f>
        <v/>
      </c>
      <c r="AQ300" s="38">
        <f>IF(ISNUMBER(AP300),1,0)</f>
        <v/>
      </c>
      <c r="AR300" s="40">
        <f>IF(AQ300=1,AP300,0)</f>
        <v/>
      </c>
      <c r="AS300" s="38">
        <f>SUM(AQ$5:AQ300)</f>
        <v/>
      </c>
      <c r="AT300" s="40">
        <f>IF(AS300&gt;=MIN_OBS_Z,SUMPRODUCT(AQ$5:AQ300,AR$5:AR300)/AS300,"")</f>
        <v/>
      </c>
      <c r="AU300" s="40">
        <f>IF(AS300&gt;=MIN_OBS_Z,SQRT(SUMPRODUCT(AQ$5:AQ300,(AR$5:AR300-AT300)^2)/(AS300-1)),"")</f>
        <v/>
      </c>
      <c r="AV300" s="40">
        <f>IF(AND(AQ300=1,ISNUMBER(AT300)),MAX(-Z_CLIP,MIN(Z_CLIP,(AR300-AT300)/AU300)),"")</f>
        <v/>
      </c>
      <c r="AW300" s="40">
        <f>IF(ISNUMBER(AV300),-AV300,"")</f>
        <v/>
      </c>
      <c r="AX300" s="40">
        <f>IF(ISNUMBER(AW300),1+AMPLITUD*TANH(AW300),"")</f>
        <v/>
      </c>
      <c r="AY300" s="40">
        <f>IF($A300="","",IF(COUNT(AX298:AX300)&gt;0,AVERAGE(AX298:AX300),""))</f>
        <v/>
      </c>
      <c r="AZ300" s="40">
        <f>IF(ISNUMBER(AY300),AY300-1,"")</f>
        <v/>
      </c>
      <c r="BA300" s="40">
        <f>IF(AND(ISNUMBER(AZ299),ISNUMBER(W300)),AZ299*W_BANCOS*W300,"")</f>
        <v/>
      </c>
      <c r="BB300" s="40">
        <f>IF(AND(ISNUMBER(AZ299),ISNUMBER(AZ298)),ABS(AZ299-AZ298)*W_BANCOS*COSTO,0)</f>
        <v/>
      </c>
      <c r="BC300" s="40">
        <f>IF(ISNUMBER(BA300),BA300-BB300,"")</f>
        <v/>
      </c>
      <c r="BD300" s="42">
        <f>IF(ISNUMBER(BC300),IF(A300&lt;=FECHA_ERA,"A","B"),"")</f>
        <v/>
      </c>
      <c r="BE300" s="40">
        <f>IF(BD300="A",BC300,"")</f>
        <v/>
      </c>
      <c r="BF300" s="40">
        <f>IF(BD300="B",BC300,"")</f>
        <v/>
      </c>
      <c r="BG300" s="38">
        <f>IF(AND(ISNUMBER(BC300),ISNUMBER(A300)),IF(A300&gt;=INICIO_VIVO,1,0),0)</f>
        <v/>
      </c>
      <c r="BH300" s="40">
        <f>IF(BG300=1,BC300,"")</f>
        <v/>
      </c>
      <c r="BI300" s="38">
        <f>IF(ISNUMBER(AY300),ROW(),0)</f>
        <v/>
      </c>
      <c r="BJ300" s="43">
        <f>IF(ISNUMBER(BC300),SUM(BC$5:BC300)*10000,NA())</f>
        <v/>
      </c>
      <c r="BK300" s="43">
        <f>IF(BG300=1,SUM(BH$5:BH300)*10000,NA())</f>
        <v/>
      </c>
      <c r="BL300" s="44">
        <f>IF(ISNUMBER(AY300),AY300,NA())</f>
        <v/>
      </c>
    </row>
    <row r="301">
      <c r="A301" s="36">
        <f>IF(Datos!A301="","",Datos!A301)</f>
        <v/>
      </c>
      <c r="B301" s="37">
        <f>IF(OR($A301="",NOT(ISNUMBER(Datos!B301)),NOT(ISNUMBER(Datos!B300))),"",Datos!B301/Datos!B300-1)</f>
        <v/>
      </c>
      <c r="C301" s="37">
        <f>IF(OR($A301="",NOT(ISNUMBER(Datos!C301)),NOT(ISNUMBER(Datos!C300))),"",Datos!C301/Datos!C300-1)</f>
        <v/>
      </c>
      <c r="D301" s="37">
        <f>IF(OR($A301="",NOT(ISNUMBER(Datos!D301)),NOT(ISNUMBER(Datos!D300))),"",Datos!D301/Datos!D300-1)</f>
        <v/>
      </c>
      <c r="E301" s="37">
        <f>IF(OR($A301="",NOT(ISNUMBER(Datos!E301)),NOT(ISNUMBER(Datos!E300))),"",Datos!E301/Datos!E300-1)</f>
        <v/>
      </c>
      <c r="F301" s="38">
        <f>IF($A301="","",COUNT(B301:E301))</f>
        <v/>
      </c>
      <c r="G301" s="37">
        <f>IF($A301="","",IF(F301&gt;=MIN_BANCOS,AVERAGE(B301:E301),""))</f>
        <v/>
      </c>
      <c r="H301" s="37">
        <f>IF(OR($A301="",NOT(ISNUMBER(Datos!F301)),NOT(ISNUMBER(Datos!F300))),"",Datos!F301/Datos!F300-1)</f>
        <v/>
      </c>
      <c r="I301" s="39">
        <f>IF($A301="","",IF(ISNUMBER(Datos!G301),Datos!G301,I300))</f>
        <v/>
      </c>
      <c r="J301" s="40">
        <f>IF($A301="","",IF(ISNUMBER(I300),LN(1+I300/100/12),0))</f>
        <v/>
      </c>
      <c r="K301" s="40">
        <f>IF(ISNUMBER(G301),LN(1+G301)-J301,"")</f>
        <v/>
      </c>
      <c r="L301" s="40">
        <f>IF(ISNUMBER(H301),LN(1+H301)-J301,"")</f>
        <v/>
      </c>
      <c r="M301" s="38">
        <f>IF(ISNUMBER(K301),1,0)</f>
        <v/>
      </c>
      <c r="N301" s="40">
        <f>IF(M301=1,K301,0)</f>
        <v/>
      </c>
      <c r="O301" s="38">
        <f>IF(ISNUMBER(L301),1,0)</f>
        <v/>
      </c>
      <c r="P301" s="40">
        <f>IF(O301=1,L301,0)</f>
        <v/>
      </c>
      <c r="Q301" s="38">
        <f>M301*O301</f>
        <v/>
      </c>
      <c r="R301" s="38">
        <f>SUM(Q265:Q300)</f>
        <v/>
      </c>
      <c r="S301" s="41">
        <f>IF(OR($A301="",R301&lt;MIN_OBS_ROLL),"",(SUMPRODUCT(Q265:Q300,N265:N300,P265:P300)/R301-SUMPRODUCT(Q265:Q300,N265:N300)/R301*SUMPRODUCT(Q265:Q300,P265:P300)/R301)*R301/(R301-1))</f>
        <v/>
      </c>
      <c r="T301" s="38">
        <f>SUM(O265:O300)</f>
        <v/>
      </c>
      <c r="U301" s="41">
        <f>IF(OR($A301="",T301&lt;MIN_OBS_ROLL),"",SUMPRODUCT(O265:O300,(P265:P300-SUMPRODUCT(O265:O300,P265:P300)/T301)^2)/(T301-1))</f>
        <v/>
      </c>
      <c r="V301" s="40">
        <f>IF(OR(S301="",U301=""),"",S301/U301)</f>
        <v/>
      </c>
      <c r="W301" s="40">
        <f>IF(AND(ISNUMBER(K301),ISNUMBER(L301),ISNUMBER(V301)),K301-V301*L301,"")</f>
        <v/>
      </c>
      <c r="X301" s="40">
        <f>IF(OR($A301="",NOT(ISNUMBER(Datos!H301)),NOT(ISNUMBER(Datos!H300))),"",LN(Datos!H301)-LN(Datos!H300))</f>
        <v/>
      </c>
      <c r="Y301" s="38">
        <f>IF(ISNUMBER(W301),1,0)</f>
        <v/>
      </c>
      <c r="Z301" s="40">
        <f>IF(Y301=1,W301,0)</f>
        <v/>
      </c>
      <c r="AA301" s="38">
        <f>IF(ISNUMBER(X301),1,0)</f>
        <v/>
      </c>
      <c r="AB301" s="40">
        <f>IF(AA301=1,X301,0)</f>
        <v/>
      </c>
      <c r="AC301" s="38">
        <f>Y301*AA301</f>
        <v/>
      </c>
      <c r="AD301" s="38">
        <f>SUM(AC265:AC300)</f>
        <v/>
      </c>
      <c r="AE301" s="41">
        <f>IF(OR($A301="",AD301&lt;MIN_OBS_ROLL),"",(SUMPRODUCT(AC265:AC300,Z265:Z300,AB265:AB300)/AD301-SUMPRODUCT(AC265:AC300,Z265:Z300)/AD301*SUMPRODUCT(AC265:AC300,AB265:AB300)/AD301)*AD301/(AD301-1))</f>
        <v/>
      </c>
      <c r="AF301" s="38">
        <f>SUM(AA265:AA300)</f>
        <v/>
      </c>
      <c r="AG301" s="41">
        <f>IF(OR($A301="",AF301&lt;MIN_OBS_ROLL),"",SUMPRODUCT(AA265:AA300,(AB265:AB300-SUMPRODUCT(AA265:AA300,AB265:AB300)/AF301)^2)/(AF301-1))</f>
        <v/>
      </c>
      <c r="AH301" s="38">
        <f>SUM(Y265:Y300)</f>
        <v/>
      </c>
      <c r="AI301" s="40">
        <f>IF(OR($A301="",AH301&lt;MIN_OBS_ROLL),"",SUMPRODUCT(Y265:Y300,Z265:Z300)/AH301)</f>
        <v/>
      </c>
      <c r="AJ301" s="40">
        <f>IF(OR($A301="",AF301&lt;MIN_OBS_ROLL),"",SUMPRODUCT(AA265:AA300,AB265:AB300)/AF301)</f>
        <v/>
      </c>
      <c r="AK301" s="40">
        <f>IF(OR(AE301="",AG301=""),"",AE301/AG301)</f>
        <v/>
      </c>
      <c r="AL301" s="40">
        <f>IF(OR(AI301="",AK301="",AJ301=""),"",AI301-AK301*AJ301)</f>
        <v/>
      </c>
      <c r="AM301" s="40">
        <f>IF(AND(ISNUMBER(W301),ISNUMBER(X301),ISNUMBER(AK301),ISNUMBER(AL301)),W301-(AL301+AK301*X301),"")</f>
        <v/>
      </c>
      <c r="AN301" s="38">
        <f>IF(ISNUMBER(AM301),1,0)</f>
        <v/>
      </c>
      <c r="AO301" s="40">
        <f>IF(AN301=1,AM301,0)</f>
        <v/>
      </c>
      <c r="AP301" s="40">
        <f>IF(SUM(AN299:AN301)=3,SUM(AO299:AO301),"")</f>
        <v/>
      </c>
      <c r="AQ301" s="38">
        <f>IF(ISNUMBER(AP301),1,0)</f>
        <v/>
      </c>
      <c r="AR301" s="40">
        <f>IF(AQ301=1,AP301,0)</f>
        <v/>
      </c>
      <c r="AS301" s="38">
        <f>SUM(AQ$5:AQ301)</f>
        <v/>
      </c>
      <c r="AT301" s="40">
        <f>IF(AS301&gt;=MIN_OBS_Z,SUMPRODUCT(AQ$5:AQ301,AR$5:AR301)/AS301,"")</f>
        <v/>
      </c>
      <c r="AU301" s="40">
        <f>IF(AS301&gt;=MIN_OBS_Z,SQRT(SUMPRODUCT(AQ$5:AQ301,(AR$5:AR301-AT301)^2)/(AS301-1)),"")</f>
        <v/>
      </c>
      <c r="AV301" s="40">
        <f>IF(AND(AQ301=1,ISNUMBER(AT301)),MAX(-Z_CLIP,MIN(Z_CLIP,(AR301-AT301)/AU301)),"")</f>
        <v/>
      </c>
      <c r="AW301" s="40">
        <f>IF(ISNUMBER(AV301),-AV301,"")</f>
        <v/>
      </c>
      <c r="AX301" s="40">
        <f>IF(ISNUMBER(AW301),1+AMPLITUD*TANH(AW301),"")</f>
        <v/>
      </c>
      <c r="AY301" s="40">
        <f>IF($A301="","",IF(COUNT(AX299:AX301)&gt;0,AVERAGE(AX299:AX301),""))</f>
        <v/>
      </c>
      <c r="AZ301" s="40">
        <f>IF(ISNUMBER(AY301),AY301-1,"")</f>
        <v/>
      </c>
      <c r="BA301" s="40">
        <f>IF(AND(ISNUMBER(AZ300),ISNUMBER(W301)),AZ300*W_BANCOS*W301,"")</f>
        <v/>
      </c>
      <c r="BB301" s="40">
        <f>IF(AND(ISNUMBER(AZ300),ISNUMBER(AZ299)),ABS(AZ300-AZ299)*W_BANCOS*COSTO,0)</f>
        <v/>
      </c>
      <c r="BC301" s="40">
        <f>IF(ISNUMBER(BA301),BA301-BB301,"")</f>
        <v/>
      </c>
      <c r="BD301" s="42">
        <f>IF(ISNUMBER(BC301),IF(A301&lt;=FECHA_ERA,"A","B"),"")</f>
        <v/>
      </c>
      <c r="BE301" s="40">
        <f>IF(BD301="A",BC301,"")</f>
        <v/>
      </c>
      <c r="BF301" s="40">
        <f>IF(BD301="B",BC301,"")</f>
        <v/>
      </c>
      <c r="BG301" s="38">
        <f>IF(AND(ISNUMBER(BC301),ISNUMBER(A301)),IF(A301&gt;=INICIO_VIVO,1,0),0)</f>
        <v/>
      </c>
      <c r="BH301" s="40">
        <f>IF(BG301=1,BC301,"")</f>
        <v/>
      </c>
      <c r="BI301" s="38">
        <f>IF(ISNUMBER(AY301),ROW(),0)</f>
        <v/>
      </c>
      <c r="BJ301" s="43">
        <f>IF(ISNUMBER(BC301),SUM(BC$5:BC301)*10000,NA())</f>
        <v/>
      </c>
      <c r="BK301" s="43">
        <f>IF(BG301=1,SUM(BH$5:BH301)*10000,NA())</f>
        <v/>
      </c>
      <c r="BL301" s="44">
        <f>IF(ISNUMBER(AY301),AY301,NA())</f>
        <v/>
      </c>
    </row>
    <row r="302">
      <c r="A302" s="36">
        <f>IF(Datos!A302="","",Datos!A302)</f>
        <v/>
      </c>
      <c r="B302" s="37">
        <f>IF(OR($A302="",NOT(ISNUMBER(Datos!B302)),NOT(ISNUMBER(Datos!B301))),"",Datos!B302/Datos!B301-1)</f>
        <v/>
      </c>
      <c r="C302" s="37">
        <f>IF(OR($A302="",NOT(ISNUMBER(Datos!C302)),NOT(ISNUMBER(Datos!C301))),"",Datos!C302/Datos!C301-1)</f>
        <v/>
      </c>
      <c r="D302" s="37">
        <f>IF(OR($A302="",NOT(ISNUMBER(Datos!D302)),NOT(ISNUMBER(Datos!D301))),"",Datos!D302/Datos!D301-1)</f>
        <v/>
      </c>
      <c r="E302" s="37">
        <f>IF(OR($A302="",NOT(ISNUMBER(Datos!E302)),NOT(ISNUMBER(Datos!E301))),"",Datos!E302/Datos!E301-1)</f>
        <v/>
      </c>
      <c r="F302" s="38">
        <f>IF($A302="","",COUNT(B302:E302))</f>
        <v/>
      </c>
      <c r="G302" s="37">
        <f>IF($A302="","",IF(F302&gt;=MIN_BANCOS,AVERAGE(B302:E302),""))</f>
        <v/>
      </c>
      <c r="H302" s="37">
        <f>IF(OR($A302="",NOT(ISNUMBER(Datos!F302)),NOT(ISNUMBER(Datos!F301))),"",Datos!F302/Datos!F301-1)</f>
        <v/>
      </c>
      <c r="I302" s="39">
        <f>IF($A302="","",IF(ISNUMBER(Datos!G302),Datos!G302,I301))</f>
        <v/>
      </c>
      <c r="J302" s="40">
        <f>IF($A302="","",IF(ISNUMBER(I301),LN(1+I301/100/12),0))</f>
        <v/>
      </c>
      <c r="K302" s="40">
        <f>IF(ISNUMBER(G302),LN(1+G302)-J302,"")</f>
        <v/>
      </c>
      <c r="L302" s="40">
        <f>IF(ISNUMBER(H302),LN(1+H302)-J302,"")</f>
        <v/>
      </c>
      <c r="M302" s="38">
        <f>IF(ISNUMBER(K302),1,0)</f>
        <v/>
      </c>
      <c r="N302" s="40">
        <f>IF(M302=1,K302,0)</f>
        <v/>
      </c>
      <c r="O302" s="38">
        <f>IF(ISNUMBER(L302),1,0)</f>
        <v/>
      </c>
      <c r="P302" s="40">
        <f>IF(O302=1,L302,0)</f>
        <v/>
      </c>
      <c r="Q302" s="38">
        <f>M302*O302</f>
        <v/>
      </c>
      <c r="R302" s="38">
        <f>SUM(Q266:Q301)</f>
        <v/>
      </c>
      <c r="S302" s="41">
        <f>IF(OR($A302="",R302&lt;MIN_OBS_ROLL),"",(SUMPRODUCT(Q266:Q301,N266:N301,P266:P301)/R302-SUMPRODUCT(Q266:Q301,N266:N301)/R302*SUMPRODUCT(Q266:Q301,P266:P301)/R302)*R302/(R302-1))</f>
        <v/>
      </c>
      <c r="T302" s="38">
        <f>SUM(O266:O301)</f>
        <v/>
      </c>
      <c r="U302" s="41">
        <f>IF(OR($A302="",T302&lt;MIN_OBS_ROLL),"",SUMPRODUCT(O266:O301,(P266:P301-SUMPRODUCT(O266:O301,P266:P301)/T302)^2)/(T302-1))</f>
        <v/>
      </c>
      <c r="V302" s="40">
        <f>IF(OR(S302="",U302=""),"",S302/U302)</f>
        <v/>
      </c>
      <c r="W302" s="40">
        <f>IF(AND(ISNUMBER(K302),ISNUMBER(L302),ISNUMBER(V302)),K302-V302*L302,"")</f>
        <v/>
      </c>
      <c r="X302" s="40">
        <f>IF(OR($A302="",NOT(ISNUMBER(Datos!H302)),NOT(ISNUMBER(Datos!H301))),"",LN(Datos!H302)-LN(Datos!H301))</f>
        <v/>
      </c>
      <c r="Y302" s="38">
        <f>IF(ISNUMBER(W302),1,0)</f>
        <v/>
      </c>
      <c r="Z302" s="40">
        <f>IF(Y302=1,W302,0)</f>
        <v/>
      </c>
      <c r="AA302" s="38">
        <f>IF(ISNUMBER(X302),1,0)</f>
        <v/>
      </c>
      <c r="AB302" s="40">
        <f>IF(AA302=1,X302,0)</f>
        <v/>
      </c>
      <c r="AC302" s="38">
        <f>Y302*AA302</f>
        <v/>
      </c>
      <c r="AD302" s="38">
        <f>SUM(AC266:AC301)</f>
        <v/>
      </c>
      <c r="AE302" s="41">
        <f>IF(OR($A302="",AD302&lt;MIN_OBS_ROLL),"",(SUMPRODUCT(AC266:AC301,Z266:Z301,AB266:AB301)/AD302-SUMPRODUCT(AC266:AC301,Z266:Z301)/AD302*SUMPRODUCT(AC266:AC301,AB266:AB301)/AD302)*AD302/(AD302-1))</f>
        <v/>
      </c>
      <c r="AF302" s="38">
        <f>SUM(AA266:AA301)</f>
        <v/>
      </c>
      <c r="AG302" s="41">
        <f>IF(OR($A302="",AF302&lt;MIN_OBS_ROLL),"",SUMPRODUCT(AA266:AA301,(AB266:AB301-SUMPRODUCT(AA266:AA301,AB266:AB301)/AF302)^2)/(AF302-1))</f>
        <v/>
      </c>
      <c r="AH302" s="38">
        <f>SUM(Y266:Y301)</f>
        <v/>
      </c>
      <c r="AI302" s="40">
        <f>IF(OR($A302="",AH302&lt;MIN_OBS_ROLL),"",SUMPRODUCT(Y266:Y301,Z266:Z301)/AH302)</f>
        <v/>
      </c>
      <c r="AJ302" s="40">
        <f>IF(OR($A302="",AF302&lt;MIN_OBS_ROLL),"",SUMPRODUCT(AA266:AA301,AB266:AB301)/AF302)</f>
        <v/>
      </c>
      <c r="AK302" s="40">
        <f>IF(OR(AE302="",AG302=""),"",AE302/AG302)</f>
        <v/>
      </c>
      <c r="AL302" s="40">
        <f>IF(OR(AI302="",AK302="",AJ302=""),"",AI302-AK302*AJ302)</f>
        <v/>
      </c>
      <c r="AM302" s="40">
        <f>IF(AND(ISNUMBER(W302),ISNUMBER(X302),ISNUMBER(AK302),ISNUMBER(AL302)),W302-(AL302+AK302*X302),"")</f>
        <v/>
      </c>
      <c r="AN302" s="38">
        <f>IF(ISNUMBER(AM302),1,0)</f>
        <v/>
      </c>
      <c r="AO302" s="40">
        <f>IF(AN302=1,AM302,0)</f>
        <v/>
      </c>
      <c r="AP302" s="40">
        <f>IF(SUM(AN300:AN302)=3,SUM(AO300:AO302),"")</f>
        <v/>
      </c>
      <c r="AQ302" s="38">
        <f>IF(ISNUMBER(AP302),1,0)</f>
        <v/>
      </c>
      <c r="AR302" s="40">
        <f>IF(AQ302=1,AP302,0)</f>
        <v/>
      </c>
      <c r="AS302" s="38">
        <f>SUM(AQ$5:AQ302)</f>
        <v/>
      </c>
      <c r="AT302" s="40">
        <f>IF(AS302&gt;=MIN_OBS_Z,SUMPRODUCT(AQ$5:AQ302,AR$5:AR302)/AS302,"")</f>
        <v/>
      </c>
      <c r="AU302" s="40">
        <f>IF(AS302&gt;=MIN_OBS_Z,SQRT(SUMPRODUCT(AQ$5:AQ302,(AR$5:AR302-AT302)^2)/(AS302-1)),"")</f>
        <v/>
      </c>
      <c r="AV302" s="40">
        <f>IF(AND(AQ302=1,ISNUMBER(AT302)),MAX(-Z_CLIP,MIN(Z_CLIP,(AR302-AT302)/AU302)),"")</f>
        <v/>
      </c>
      <c r="AW302" s="40">
        <f>IF(ISNUMBER(AV302),-AV302,"")</f>
        <v/>
      </c>
      <c r="AX302" s="40">
        <f>IF(ISNUMBER(AW302),1+AMPLITUD*TANH(AW302),"")</f>
        <v/>
      </c>
      <c r="AY302" s="40">
        <f>IF($A302="","",IF(COUNT(AX300:AX302)&gt;0,AVERAGE(AX300:AX302),""))</f>
        <v/>
      </c>
      <c r="AZ302" s="40">
        <f>IF(ISNUMBER(AY302),AY302-1,"")</f>
        <v/>
      </c>
      <c r="BA302" s="40">
        <f>IF(AND(ISNUMBER(AZ301),ISNUMBER(W302)),AZ301*W_BANCOS*W302,"")</f>
        <v/>
      </c>
      <c r="BB302" s="40">
        <f>IF(AND(ISNUMBER(AZ301),ISNUMBER(AZ300)),ABS(AZ301-AZ300)*W_BANCOS*COSTO,0)</f>
        <v/>
      </c>
      <c r="BC302" s="40">
        <f>IF(ISNUMBER(BA302),BA302-BB302,"")</f>
        <v/>
      </c>
      <c r="BD302" s="42">
        <f>IF(ISNUMBER(BC302),IF(A302&lt;=FECHA_ERA,"A","B"),"")</f>
        <v/>
      </c>
      <c r="BE302" s="40">
        <f>IF(BD302="A",BC302,"")</f>
        <v/>
      </c>
      <c r="BF302" s="40">
        <f>IF(BD302="B",BC302,"")</f>
        <v/>
      </c>
      <c r="BG302" s="38">
        <f>IF(AND(ISNUMBER(BC302),ISNUMBER(A302)),IF(A302&gt;=INICIO_VIVO,1,0),0)</f>
        <v/>
      </c>
      <c r="BH302" s="40">
        <f>IF(BG302=1,BC302,"")</f>
        <v/>
      </c>
      <c r="BI302" s="38">
        <f>IF(ISNUMBER(AY302),ROW(),0)</f>
        <v/>
      </c>
      <c r="BJ302" s="43">
        <f>IF(ISNUMBER(BC302),SUM(BC$5:BC302)*10000,NA())</f>
        <v/>
      </c>
      <c r="BK302" s="43">
        <f>IF(BG302=1,SUM(BH$5:BH302)*10000,NA())</f>
        <v/>
      </c>
      <c r="BL302" s="44">
        <f>IF(ISNUMBER(AY302),AY302,NA())</f>
        <v/>
      </c>
    </row>
    <row r="303">
      <c r="A303" s="36">
        <f>IF(Datos!A303="","",Datos!A303)</f>
        <v/>
      </c>
      <c r="B303" s="37">
        <f>IF(OR($A303="",NOT(ISNUMBER(Datos!B303)),NOT(ISNUMBER(Datos!B302))),"",Datos!B303/Datos!B302-1)</f>
        <v/>
      </c>
      <c r="C303" s="37">
        <f>IF(OR($A303="",NOT(ISNUMBER(Datos!C303)),NOT(ISNUMBER(Datos!C302))),"",Datos!C303/Datos!C302-1)</f>
        <v/>
      </c>
      <c r="D303" s="37">
        <f>IF(OR($A303="",NOT(ISNUMBER(Datos!D303)),NOT(ISNUMBER(Datos!D302))),"",Datos!D303/Datos!D302-1)</f>
        <v/>
      </c>
      <c r="E303" s="37">
        <f>IF(OR($A303="",NOT(ISNUMBER(Datos!E303)),NOT(ISNUMBER(Datos!E302))),"",Datos!E303/Datos!E302-1)</f>
        <v/>
      </c>
      <c r="F303" s="38">
        <f>IF($A303="","",COUNT(B303:E303))</f>
        <v/>
      </c>
      <c r="G303" s="37">
        <f>IF($A303="","",IF(F303&gt;=MIN_BANCOS,AVERAGE(B303:E303),""))</f>
        <v/>
      </c>
      <c r="H303" s="37">
        <f>IF(OR($A303="",NOT(ISNUMBER(Datos!F303)),NOT(ISNUMBER(Datos!F302))),"",Datos!F303/Datos!F302-1)</f>
        <v/>
      </c>
      <c r="I303" s="39">
        <f>IF($A303="","",IF(ISNUMBER(Datos!G303),Datos!G303,I302))</f>
        <v/>
      </c>
      <c r="J303" s="40">
        <f>IF($A303="","",IF(ISNUMBER(I302),LN(1+I302/100/12),0))</f>
        <v/>
      </c>
      <c r="K303" s="40">
        <f>IF(ISNUMBER(G303),LN(1+G303)-J303,"")</f>
        <v/>
      </c>
      <c r="L303" s="40">
        <f>IF(ISNUMBER(H303),LN(1+H303)-J303,"")</f>
        <v/>
      </c>
      <c r="M303" s="38">
        <f>IF(ISNUMBER(K303),1,0)</f>
        <v/>
      </c>
      <c r="N303" s="40">
        <f>IF(M303=1,K303,0)</f>
        <v/>
      </c>
      <c r="O303" s="38">
        <f>IF(ISNUMBER(L303),1,0)</f>
        <v/>
      </c>
      <c r="P303" s="40">
        <f>IF(O303=1,L303,0)</f>
        <v/>
      </c>
      <c r="Q303" s="38">
        <f>M303*O303</f>
        <v/>
      </c>
      <c r="R303" s="38">
        <f>SUM(Q267:Q302)</f>
        <v/>
      </c>
      <c r="S303" s="41">
        <f>IF(OR($A303="",R303&lt;MIN_OBS_ROLL),"",(SUMPRODUCT(Q267:Q302,N267:N302,P267:P302)/R303-SUMPRODUCT(Q267:Q302,N267:N302)/R303*SUMPRODUCT(Q267:Q302,P267:P302)/R303)*R303/(R303-1))</f>
        <v/>
      </c>
      <c r="T303" s="38">
        <f>SUM(O267:O302)</f>
        <v/>
      </c>
      <c r="U303" s="41">
        <f>IF(OR($A303="",T303&lt;MIN_OBS_ROLL),"",SUMPRODUCT(O267:O302,(P267:P302-SUMPRODUCT(O267:O302,P267:P302)/T303)^2)/(T303-1))</f>
        <v/>
      </c>
      <c r="V303" s="40">
        <f>IF(OR(S303="",U303=""),"",S303/U303)</f>
        <v/>
      </c>
      <c r="W303" s="40">
        <f>IF(AND(ISNUMBER(K303),ISNUMBER(L303),ISNUMBER(V303)),K303-V303*L303,"")</f>
        <v/>
      </c>
      <c r="X303" s="40">
        <f>IF(OR($A303="",NOT(ISNUMBER(Datos!H303)),NOT(ISNUMBER(Datos!H302))),"",LN(Datos!H303)-LN(Datos!H302))</f>
        <v/>
      </c>
      <c r="Y303" s="38">
        <f>IF(ISNUMBER(W303),1,0)</f>
        <v/>
      </c>
      <c r="Z303" s="40">
        <f>IF(Y303=1,W303,0)</f>
        <v/>
      </c>
      <c r="AA303" s="38">
        <f>IF(ISNUMBER(X303),1,0)</f>
        <v/>
      </c>
      <c r="AB303" s="40">
        <f>IF(AA303=1,X303,0)</f>
        <v/>
      </c>
      <c r="AC303" s="38">
        <f>Y303*AA303</f>
        <v/>
      </c>
      <c r="AD303" s="38">
        <f>SUM(AC267:AC302)</f>
        <v/>
      </c>
      <c r="AE303" s="41">
        <f>IF(OR($A303="",AD303&lt;MIN_OBS_ROLL),"",(SUMPRODUCT(AC267:AC302,Z267:Z302,AB267:AB302)/AD303-SUMPRODUCT(AC267:AC302,Z267:Z302)/AD303*SUMPRODUCT(AC267:AC302,AB267:AB302)/AD303)*AD303/(AD303-1))</f>
        <v/>
      </c>
      <c r="AF303" s="38">
        <f>SUM(AA267:AA302)</f>
        <v/>
      </c>
      <c r="AG303" s="41">
        <f>IF(OR($A303="",AF303&lt;MIN_OBS_ROLL),"",SUMPRODUCT(AA267:AA302,(AB267:AB302-SUMPRODUCT(AA267:AA302,AB267:AB302)/AF303)^2)/(AF303-1))</f>
        <v/>
      </c>
      <c r="AH303" s="38">
        <f>SUM(Y267:Y302)</f>
        <v/>
      </c>
      <c r="AI303" s="40">
        <f>IF(OR($A303="",AH303&lt;MIN_OBS_ROLL),"",SUMPRODUCT(Y267:Y302,Z267:Z302)/AH303)</f>
        <v/>
      </c>
      <c r="AJ303" s="40">
        <f>IF(OR($A303="",AF303&lt;MIN_OBS_ROLL),"",SUMPRODUCT(AA267:AA302,AB267:AB302)/AF303)</f>
        <v/>
      </c>
      <c r="AK303" s="40">
        <f>IF(OR(AE303="",AG303=""),"",AE303/AG303)</f>
        <v/>
      </c>
      <c r="AL303" s="40">
        <f>IF(OR(AI303="",AK303="",AJ303=""),"",AI303-AK303*AJ303)</f>
        <v/>
      </c>
      <c r="AM303" s="40">
        <f>IF(AND(ISNUMBER(W303),ISNUMBER(X303),ISNUMBER(AK303),ISNUMBER(AL303)),W303-(AL303+AK303*X303),"")</f>
        <v/>
      </c>
      <c r="AN303" s="38">
        <f>IF(ISNUMBER(AM303),1,0)</f>
        <v/>
      </c>
      <c r="AO303" s="40">
        <f>IF(AN303=1,AM303,0)</f>
        <v/>
      </c>
      <c r="AP303" s="40">
        <f>IF(SUM(AN301:AN303)=3,SUM(AO301:AO303),"")</f>
        <v/>
      </c>
      <c r="AQ303" s="38">
        <f>IF(ISNUMBER(AP303),1,0)</f>
        <v/>
      </c>
      <c r="AR303" s="40">
        <f>IF(AQ303=1,AP303,0)</f>
        <v/>
      </c>
      <c r="AS303" s="38">
        <f>SUM(AQ$5:AQ303)</f>
        <v/>
      </c>
      <c r="AT303" s="40">
        <f>IF(AS303&gt;=MIN_OBS_Z,SUMPRODUCT(AQ$5:AQ303,AR$5:AR303)/AS303,"")</f>
        <v/>
      </c>
      <c r="AU303" s="40">
        <f>IF(AS303&gt;=MIN_OBS_Z,SQRT(SUMPRODUCT(AQ$5:AQ303,(AR$5:AR303-AT303)^2)/(AS303-1)),"")</f>
        <v/>
      </c>
      <c r="AV303" s="40">
        <f>IF(AND(AQ303=1,ISNUMBER(AT303)),MAX(-Z_CLIP,MIN(Z_CLIP,(AR303-AT303)/AU303)),"")</f>
        <v/>
      </c>
      <c r="AW303" s="40">
        <f>IF(ISNUMBER(AV303),-AV303,"")</f>
        <v/>
      </c>
      <c r="AX303" s="40">
        <f>IF(ISNUMBER(AW303),1+AMPLITUD*TANH(AW303),"")</f>
        <v/>
      </c>
      <c r="AY303" s="40">
        <f>IF($A303="","",IF(COUNT(AX301:AX303)&gt;0,AVERAGE(AX301:AX303),""))</f>
        <v/>
      </c>
      <c r="AZ303" s="40">
        <f>IF(ISNUMBER(AY303),AY303-1,"")</f>
        <v/>
      </c>
      <c r="BA303" s="40">
        <f>IF(AND(ISNUMBER(AZ302),ISNUMBER(W303)),AZ302*W_BANCOS*W303,"")</f>
        <v/>
      </c>
      <c r="BB303" s="40">
        <f>IF(AND(ISNUMBER(AZ302),ISNUMBER(AZ301)),ABS(AZ302-AZ301)*W_BANCOS*COSTO,0)</f>
        <v/>
      </c>
      <c r="BC303" s="40">
        <f>IF(ISNUMBER(BA303),BA303-BB303,"")</f>
        <v/>
      </c>
      <c r="BD303" s="42">
        <f>IF(ISNUMBER(BC303),IF(A303&lt;=FECHA_ERA,"A","B"),"")</f>
        <v/>
      </c>
      <c r="BE303" s="40">
        <f>IF(BD303="A",BC303,"")</f>
        <v/>
      </c>
      <c r="BF303" s="40">
        <f>IF(BD303="B",BC303,"")</f>
        <v/>
      </c>
      <c r="BG303" s="38">
        <f>IF(AND(ISNUMBER(BC303),ISNUMBER(A303)),IF(A303&gt;=INICIO_VIVO,1,0),0)</f>
        <v/>
      </c>
      <c r="BH303" s="40">
        <f>IF(BG303=1,BC303,"")</f>
        <v/>
      </c>
      <c r="BI303" s="38">
        <f>IF(ISNUMBER(AY303),ROW(),0)</f>
        <v/>
      </c>
      <c r="BJ303" s="43">
        <f>IF(ISNUMBER(BC303),SUM(BC$5:BC303)*10000,NA())</f>
        <v/>
      </c>
      <c r="BK303" s="43">
        <f>IF(BG303=1,SUM(BH$5:BH303)*10000,NA())</f>
        <v/>
      </c>
      <c r="BL303" s="44">
        <f>IF(ISNUMBER(AY303),AY303,NA())</f>
        <v/>
      </c>
    </row>
    <row r="304">
      <c r="A304" s="36">
        <f>IF(Datos!A304="","",Datos!A304)</f>
        <v/>
      </c>
      <c r="B304" s="37">
        <f>IF(OR($A304="",NOT(ISNUMBER(Datos!B304)),NOT(ISNUMBER(Datos!B303))),"",Datos!B304/Datos!B303-1)</f>
        <v/>
      </c>
      <c r="C304" s="37">
        <f>IF(OR($A304="",NOT(ISNUMBER(Datos!C304)),NOT(ISNUMBER(Datos!C303))),"",Datos!C304/Datos!C303-1)</f>
        <v/>
      </c>
      <c r="D304" s="37">
        <f>IF(OR($A304="",NOT(ISNUMBER(Datos!D304)),NOT(ISNUMBER(Datos!D303))),"",Datos!D304/Datos!D303-1)</f>
        <v/>
      </c>
      <c r="E304" s="37">
        <f>IF(OR($A304="",NOT(ISNUMBER(Datos!E304)),NOT(ISNUMBER(Datos!E303))),"",Datos!E304/Datos!E303-1)</f>
        <v/>
      </c>
      <c r="F304" s="38">
        <f>IF($A304="","",COUNT(B304:E304))</f>
        <v/>
      </c>
      <c r="G304" s="37">
        <f>IF($A304="","",IF(F304&gt;=MIN_BANCOS,AVERAGE(B304:E304),""))</f>
        <v/>
      </c>
      <c r="H304" s="37">
        <f>IF(OR($A304="",NOT(ISNUMBER(Datos!F304)),NOT(ISNUMBER(Datos!F303))),"",Datos!F304/Datos!F303-1)</f>
        <v/>
      </c>
      <c r="I304" s="39">
        <f>IF($A304="","",IF(ISNUMBER(Datos!G304),Datos!G304,I303))</f>
        <v/>
      </c>
      <c r="J304" s="40">
        <f>IF($A304="","",IF(ISNUMBER(I303),LN(1+I303/100/12),0))</f>
        <v/>
      </c>
      <c r="K304" s="40">
        <f>IF(ISNUMBER(G304),LN(1+G304)-J304,"")</f>
        <v/>
      </c>
      <c r="L304" s="40">
        <f>IF(ISNUMBER(H304),LN(1+H304)-J304,"")</f>
        <v/>
      </c>
      <c r="M304" s="38">
        <f>IF(ISNUMBER(K304),1,0)</f>
        <v/>
      </c>
      <c r="N304" s="40">
        <f>IF(M304=1,K304,0)</f>
        <v/>
      </c>
      <c r="O304" s="38">
        <f>IF(ISNUMBER(L304),1,0)</f>
        <v/>
      </c>
      <c r="P304" s="40">
        <f>IF(O304=1,L304,0)</f>
        <v/>
      </c>
      <c r="Q304" s="38">
        <f>M304*O304</f>
        <v/>
      </c>
      <c r="R304" s="38">
        <f>SUM(Q268:Q303)</f>
        <v/>
      </c>
      <c r="S304" s="41">
        <f>IF(OR($A304="",R304&lt;MIN_OBS_ROLL),"",(SUMPRODUCT(Q268:Q303,N268:N303,P268:P303)/R304-SUMPRODUCT(Q268:Q303,N268:N303)/R304*SUMPRODUCT(Q268:Q303,P268:P303)/R304)*R304/(R304-1))</f>
        <v/>
      </c>
      <c r="T304" s="38">
        <f>SUM(O268:O303)</f>
        <v/>
      </c>
      <c r="U304" s="41">
        <f>IF(OR($A304="",T304&lt;MIN_OBS_ROLL),"",SUMPRODUCT(O268:O303,(P268:P303-SUMPRODUCT(O268:O303,P268:P303)/T304)^2)/(T304-1))</f>
        <v/>
      </c>
      <c r="V304" s="40">
        <f>IF(OR(S304="",U304=""),"",S304/U304)</f>
        <v/>
      </c>
      <c r="W304" s="40">
        <f>IF(AND(ISNUMBER(K304),ISNUMBER(L304),ISNUMBER(V304)),K304-V304*L304,"")</f>
        <v/>
      </c>
      <c r="X304" s="40">
        <f>IF(OR($A304="",NOT(ISNUMBER(Datos!H304)),NOT(ISNUMBER(Datos!H303))),"",LN(Datos!H304)-LN(Datos!H303))</f>
        <v/>
      </c>
      <c r="Y304" s="38">
        <f>IF(ISNUMBER(W304),1,0)</f>
        <v/>
      </c>
      <c r="Z304" s="40">
        <f>IF(Y304=1,W304,0)</f>
        <v/>
      </c>
      <c r="AA304" s="38">
        <f>IF(ISNUMBER(X304),1,0)</f>
        <v/>
      </c>
      <c r="AB304" s="40">
        <f>IF(AA304=1,X304,0)</f>
        <v/>
      </c>
      <c r="AC304" s="38">
        <f>Y304*AA304</f>
        <v/>
      </c>
      <c r="AD304" s="38">
        <f>SUM(AC268:AC303)</f>
        <v/>
      </c>
      <c r="AE304" s="41">
        <f>IF(OR($A304="",AD304&lt;MIN_OBS_ROLL),"",(SUMPRODUCT(AC268:AC303,Z268:Z303,AB268:AB303)/AD304-SUMPRODUCT(AC268:AC303,Z268:Z303)/AD304*SUMPRODUCT(AC268:AC303,AB268:AB303)/AD304)*AD304/(AD304-1))</f>
        <v/>
      </c>
      <c r="AF304" s="38">
        <f>SUM(AA268:AA303)</f>
        <v/>
      </c>
      <c r="AG304" s="41">
        <f>IF(OR($A304="",AF304&lt;MIN_OBS_ROLL),"",SUMPRODUCT(AA268:AA303,(AB268:AB303-SUMPRODUCT(AA268:AA303,AB268:AB303)/AF304)^2)/(AF304-1))</f>
        <v/>
      </c>
      <c r="AH304" s="38">
        <f>SUM(Y268:Y303)</f>
        <v/>
      </c>
      <c r="AI304" s="40">
        <f>IF(OR($A304="",AH304&lt;MIN_OBS_ROLL),"",SUMPRODUCT(Y268:Y303,Z268:Z303)/AH304)</f>
        <v/>
      </c>
      <c r="AJ304" s="40">
        <f>IF(OR($A304="",AF304&lt;MIN_OBS_ROLL),"",SUMPRODUCT(AA268:AA303,AB268:AB303)/AF304)</f>
        <v/>
      </c>
      <c r="AK304" s="40">
        <f>IF(OR(AE304="",AG304=""),"",AE304/AG304)</f>
        <v/>
      </c>
      <c r="AL304" s="40">
        <f>IF(OR(AI304="",AK304="",AJ304=""),"",AI304-AK304*AJ304)</f>
        <v/>
      </c>
      <c r="AM304" s="40">
        <f>IF(AND(ISNUMBER(W304),ISNUMBER(X304),ISNUMBER(AK304),ISNUMBER(AL304)),W304-(AL304+AK304*X304),"")</f>
        <v/>
      </c>
      <c r="AN304" s="38">
        <f>IF(ISNUMBER(AM304),1,0)</f>
        <v/>
      </c>
      <c r="AO304" s="40">
        <f>IF(AN304=1,AM304,0)</f>
        <v/>
      </c>
      <c r="AP304" s="40">
        <f>IF(SUM(AN302:AN304)=3,SUM(AO302:AO304),"")</f>
        <v/>
      </c>
      <c r="AQ304" s="38">
        <f>IF(ISNUMBER(AP304),1,0)</f>
        <v/>
      </c>
      <c r="AR304" s="40">
        <f>IF(AQ304=1,AP304,0)</f>
        <v/>
      </c>
      <c r="AS304" s="38">
        <f>SUM(AQ$5:AQ304)</f>
        <v/>
      </c>
      <c r="AT304" s="40">
        <f>IF(AS304&gt;=MIN_OBS_Z,SUMPRODUCT(AQ$5:AQ304,AR$5:AR304)/AS304,"")</f>
        <v/>
      </c>
      <c r="AU304" s="40">
        <f>IF(AS304&gt;=MIN_OBS_Z,SQRT(SUMPRODUCT(AQ$5:AQ304,(AR$5:AR304-AT304)^2)/(AS304-1)),"")</f>
        <v/>
      </c>
      <c r="AV304" s="40">
        <f>IF(AND(AQ304=1,ISNUMBER(AT304)),MAX(-Z_CLIP,MIN(Z_CLIP,(AR304-AT304)/AU304)),"")</f>
        <v/>
      </c>
      <c r="AW304" s="40">
        <f>IF(ISNUMBER(AV304),-AV304,"")</f>
        <v/>
      </c>
      <c r="AX304" s="40">
        <f>IF(ISNUMBER(AW304),1+AMPLITUD*TANH(AW304),"")</f>
        <v/>
      </c>
      <c r="AY304" s="40">
        <f>IF($A304="","",IF(COUNT(AX302:AX304)&gt;0,AVERAGE(AX302:AX304),""))</f>
        <v/>
      </c>
      <c r="AZ304" s="40">
        <f>IF(ISNUMBER(AY304),AY304-1,"")</f>
        <v/>
      </c>
      <c r="BA304" s="40">
        <f>IF(AND(ISNUMBER(AZ303),ISNUMBER(W304)),AZ303*W_BANCOS*W304,"")</f>
        <v/>
      </c>
      <c r="BB304" s="40">
        <f>IF(AND(ISNUMBER(AZ303),ISNUMBER(AZ302)),ABS(AZ303-AZ302)*W_BANCOS*COSTO,0)</f>
        <v/>
      </c>
      <c r="BC304" s="40">
        <f>IF(ISNUMBER(BA304),BA304-BB304,"")</f>
        <v/>
      </c>
      <c r="BD304" s="42">
        <f>IF(ISNUMBER(BC304),IF(A304&lt;=FECHA_ERA,"A","B"),"")</f>
        <v/>
      </c>
      <c r="BE304" s="40">
        <f>IF(BD304="A",BC304,"")</f>
        <v/>
      </c>
      <c r="BF304" s="40">
        <f>IF(BD304="B",BC304,"")</f>
        <v/>
      </c>
      <c r="BG304" s="38">
        <f>IF(AND(ISNUMBER(BC304),ISNUMBER(A304)),IF(A304&gt;=INICIO_VIVO,1,0),0)</f>
        <v/>
      </c>
      <c r="BH304" s="40">
        <f>IF(BG304=1,BC304,"")</f>
        <v/>
      </c>
      <c r="BI304" s="38">
        <f>IF(ISNUMBER(AY304),ROW(),0)</f>
        <v/>
      </c>
      <c r="BJ304" s="43">
        <f>IF(ISNUMBER(BC304),SUM(BC$5:BC304)*10000,NA())</f>
        <v/>
      </c>
      <c r="BK304" s="43">
        <f>IF(BG304=1,SUM(BH$5:BH304)*10000,NA())</f>
        <v/>
      </c>
      <c r="BL304" s="44">
        <f>IF(ISNUMBER(AY304),AY304,NA())</f>
        <v/>
      </c>
    </row>
    <row r="305">
      <c r="A305" s="36">
        <f>IF(Datos!A305="","",Datos!A305)</f>
        <v/>
      </c>
      <c r="B305" s="37">
        <f>IF(OR($A305="",NOT(ISNUMBER(Datos!B305)),NOT(ISNUMBER(Datos!B304))),"",Datos!B305/Datos!B304-1)</f>
        <v/>
      </c>
      <c r="C305" s="37">
        <f>IF(OR($A305="",NOT(ISNUMBER(Datos!C305)),NOT(ISNUMBER(Datos!C304))),"",Datos!C305/Datos!C304-1)</f>
        <v/>
      </c>
      <c r="D305" s="37">
        <f>IF(OR($A305="",NOT(ISNUMBER(Datos!D305)),NOT(ISNUMBER(Datos!D304))),"",Datos!D305/Datos!D304-1)</f>
        <v/>
      </c>
      <c r="E305" s="37">
        <f>IF(OR($A305="",NOT(ISNUMBER(Datos!E305)),NOT(ISNUMBER(Datos!E304))),"",Datos!E305/Datos!E304-1)</f>
        <v/>
      </c>
      <c r="F305" s="38">
        <f>IF($A305="","",COUNT(B305:E305))</f>
        <v/>
      </c>
      <c r="G305" s="37">
        <f>IF($A305="","",IF(F305&gt;=MIN_BANCOS,AVERAGE(B305:E305),""))</f>
        <v/>
      </c>
      <c r="H305" s="37">
        <f>IF(OR($A305="",NOT(ISNUMBER(Datos!F305)),NOT(ISNUMBER(Datos!F304))),"",Datos!F305/Datos!F304-1)</f>
        <v/>
      </c>
      <c r="I305" s="39">
        <f>IF($A305="","",IF(ISNUMBER(Datos!G305),Datos!G305,I304))</f>
        <v/>
      </c>
      <c r="J305" s="40">
        <f>IF($A305="","",IF(ISNUMBER(I304),LN(1+I304/100/12),0))</f>
        <v/>
      </c>
      <c r="K305" s="40">
        <f>IF(ISNUMBER(G305),LN(1+G305)-J305,"")</f>
        <v/>
      </c>
      <c r="L305" s="40">
        <f>IF(ISNUMBER(H305),LN(1+H305)-J305,"")</f>
        <v/>
      </c>
      <c r="M305" s="38">
        <f>IF(ISNUMBER(K305),1,0)</f>
        <v/>
      </c>
      <c r="N305" s="40">
        <f>IF(M305=1,K305,0)</f>
        <v/>
      </c>
      <c r="O305" s="38">
        <f>IF(ISNUMBER(L305),1,0)</f>
        <v/>
      </c>
      <c r="P305" s="40">
        <f>IF(O305=1,L305,0)</f>
        <v/>
      </c>
      <c r="Q305" s="38">
        <f>M305*O305</f>
        <v/>
      </c>
      <c r="R305" s="38">
        <f>SUM(Q269:Q304)</f>
        <v/>
      </c>
      <c r="S305" s="41">
        <f>IF(OR($A305="",R305&lt;MIN_OBS_ROLL),"",(SUMPRODUCT(Q269:Q304,N269:N304,P269:P304)/R305-SUMPRODUCT(Q269:Q304,N269:N304)/R305*SUMPRODUCT(Q269:Q304,P269:P304)/R305)*R305/(R305-1))</f>
        <v/>
      </c>
      <c r="T305" s="38">
        <f>SUM(O269:O304)</f>
        <v/>
      </c>
      <c r="U305" s="41">
        <f>IF(OR($A305="",T305&lt;MIN_OBS_ROLL),"",SUMPRODUCT(O269:O304,(P269:P304-SUMPRODUCT(O269:O304,P269:P304)/T305)^2)/(T305-1))</f>
        <v/>
      </c>
      <c r="V305" s="40">
        <f>IF(OR(S305="",U305=""),"",S305/U305)</f>
        <v/>
      </c>
      <c r="W305" s="40">
        <f>IF(AND(ISNUMBER(K305),ISNUMBER(L305),ISNUMBER(V305)),K305-V305*L305,"")</f>
        <v/>
      </c>
      <c r="X305" s="40">
        <f>IF(OR($A305="",NOT(ISNUMBER(Datos!H305)),NOT(ISNUMBER(Datos!H304))),"",LN(Datos!H305)-LN(Datos!H304))</f>
        <v/>
      </c>
      <c r="Y305" s="38">
        <f>IF(ISNUMBER(W305),1,0)</f>
        <v/>
      </c>
      <c r="Z305" s="40">
        <f>IF(Y305=1,W305,0)</f>
        <v/>
      </c>
      <c r="AA305" s="38">
        <f>IF(ISNUMBER(X305),1,0)</f>
        <v/>
      </c>
      <c r="AB305" s="40">
        <f>IF(AA305=1,X305,0)</f>
        <v/>
      </c>
      <c r="AC305" s="38">
        <f>Y305*AA305</f>
        <v/>
      </c>
      <c r="AD305" s="38">
        <f>SUM(AC269:AC304)</f>
        <v/>
      </c>
      <c r="AE305" s="41">
        <f>IF(OR($A305="",AD305&lt;MIN_OBS_ROLL),"",(SUMPRODUCT(AC269:AC304,Z269:Z304,AB269:AB304)/AD305-SUMPRODUCT(AC269:AC304,Z269:Z304)/AD305*SUMPRODUCT(AC269:AC304,AB269:AB304)/AD305)*AD305/(AD305-1))</f>
        <v/>
      </c>
      <c r="AF305" s="38">
        <f>SUM(AA269:AA304)</f>
        <v/>
      </c>
      <c r="AG305" s="41">
        <f>IF(OR($A305="",AF305&lt;MIN_OBS_ROLL),"",SUMPRODUCT(AA269:AA304,(AB269:AB304-SUMPRODUCT(AA269:AA304,AB269:AB304)/AF305)^2)/(AF305-1))</f>
        <v/>
      </c>
      <c r="AH305" s="38">
        <f>SUM(Y269:Y304)</f>
        <v/>
      </c>
      <c r="AI305" s="40">
        <f>IF(OR($A305="",AH305&lt;MIN_OBS_ROLL),"",SUMPRODUCT(Y269:Y304,Z269:Z304)/AH305)</f>
        <v/>
      </c>
      <c r="AJ305" s="40">
        <f>IF(OR($A305="",AF305&lt;MIN_OBS_ROLL),"",SUMPRODUCT(AA269:AA304,AB269:AB304)/AF305)</f>
        <v/>
      </c>
      <c r="AK305" s="40">
        <f>IF(OR(AE305="",AG305=""),"",AE305/AG305)</f>
        <v/>
      </c>
      <c r="AL305" s="40">
        <f>IF(OR(AI305="",AK305="",AJ305=""),"",AI305-AK305*AJ305)</f>
        <v/>
      </c>
      <c r="AM305" s="40">
        <f>IF(AND(ISNUMBER(W305),ISNUMBER(X305),ISNUMBER(AK305),ISNUMBER(AL305)),W305-(AL305+AK305*X305),"")</f>
        <v/>
      </c>
      <c r="AN305" s="38">
        <f>IF(ISNUMBER(AM305),1,0)</f>
        <v/>
      </c>
      <c r="AO305" s="40">
        <f>IF(AN305=1,AM305,0)</f>
        <v/>
      </c>
      <c r="AP305" s="40">
        <f>IF(SUM(AN303:AN305)=3,SUM(AO303:AO305),"")</f>
        <v/>
      </c>
      <c r="AQ305" s="38">
        <f>IF(ISNUMBER(AP305),1,0)</f>
        <v/>
      </c>
      <c r="AR305" s="40">
        <f>IF(AQ305=1,AP305,0)</f>
        <v/>
      </c>
      <c r="AS305" s="38">
        <f>SUM(AQ$5:AQ305)</f>
        <v/>
      </c>
      <c r="AT305" s="40">
        <f>IF(AS305&gt;=MIN_OBS_Z,SUMPRODUCT(AQ$5:AQ305,AR$5:AR305)/AS305,"")</f>
        <v/>
      </c>
      <c r="AU305" s="40">
        <f>IF(AS305&gt;=MIN_OBS_Z,SQRT(SUMPRODUCT(AQ$5:AQ305,(AR$5:AR305-AT305)^2)/(AS305-1)),"")</f>
        <v/>
      </c>
      <c r="AV305" s="40">
        <f>IF(AND(AQ305=1,ISNUMBER(AT305)),MAX(-Z_CLIP,MIN(Z_CLIP,(AR305-AT305)/AU305)),"")</f>
        <v/>
      </c>
      <c r="AW305" s="40">
        <f>IF(ISNUMBER(AV305),-AV305,"")</f>
        <v/>
      </c>
      <c r="AX305" s="40">
        <f>IF(ISNUMBER(AW305),1+AMPLITUD*TANH(AW305),"")</f>
        <v/>
      </c>
      <c r="AY305" s="40">
        <f>IF($A305="","",IF(COUNT(AX303:AX305)&gt;0,AVERAGE(AX303:AX305),""))</f>
        <v/>
      </c>
      <c r="AZ305" s="40">
        <f>IF(ISNUMBER(AY305),AY305-1,"")</f>
        <v/>
      </c>
      <c r="BA305" s="40">
        <f>IF(AND(ISNUMBER(AZ304),ISNUMBER(W305)),AZ304*W_BANCOS*W305,"")</f>
        <v/>
      </c>
      <c r="BB305" s="40">
        <f>IF(AND(ISNUMBER(AZ304),ISNUMBER(AZ303)),ABS(AZ304-AZ303)*W_BANCOS*COSTO,0)</f>
        <v/>
      </c>
      <c r="BC305" s="40">
        <f>IF(ISNUMBER(BA305),BA305-BB305,"")</f>
        <v/>
      </c>
      <c r="BD305" s="42">
        <f>IF(ISNUMBER(BC305),IF(A305&lt;=FECHA_ERA,"A","B"),"")</f>
        <v/>
      </c>
      <c r="BE305" s="40">
        <f>IF(BD305="A",BC305,"")</f>
        <v/>
      </c>
      <c r="BF305" s="40">
        <f>IF(BD305="B",BC305,"")</f>
        <v/>
      </c>
      <c r="BG305" s="38">
        <f>IF(AND(ISNUMBER(BC305),ISNUMBER(A305)),IF(A305&gt;=INICIO_VIVO,1,0),0)</f>
        <v/>
      </c>
      <c r="BH305" s="40">
        <f>IF(BG305=1,BC305,"")</f>
        <v/>
      </c>
      <c r="BI305" s="38">
        <f>IF(ISNUMBER(AY305),ROW(),0)</f>
        <v/>
      </c>
      <c r="BJ305" s="43">
        <f>IF(ISNUMBER(BC305),SUM(BC$5:BC305)*10000,NA())</f>
        <v/>
      </c>
      <c r="BK305" s="43">
        <f>IF(BG305=1,SUM(BH$5:BH305)*10000,NA())</f>
        <v/>
      </c>
      <c r="BL305" s="44">
        <f>IF(ISNUMBER(AY305),AY305,NA())</f>
        <v/>
      </c>
    </row>
    <row r="306">
      <c r="A306" s="36">
        <f>IF(Datos!A306="","",Datos!A306)</f>
        <v/>
      </c>
      <c r="B306" s="37">
        <f>IF(OR($A306="",NOT(ISNUMBER(Datos!B306)),NOT(ISNUMBER(Datos!B305))),"",Datos!B306/Datos!B305-1)</f>
        <v/>
      </c>
      <c r="C306" s="37">
        <f>IF(OR($A306="",NOT(ISNUMBER(Datos!C306)),NOT(ISNUMBER(Datos!C305))),"",Datos!C306/Datos!C305-1)</f>
        <v/>
      </c>
      <c r="D306" s="37">
        <f>IF(OR($A306="",NOT(ISNUMBER(Datos!D306)),NOT(ISNUMBER(Datos!D305))),"",Datos!D306/Datos!D305-1)</f>
        <v/>
      </c>
      <c r="E306" s="37">
        <f>IF(OR($A306="",NOT(ISNUMBER(Datos!E306)),NOT(ISNUMBER(Datos!E305))),"",Datos!E306/Datos!E305-1)</f>
        <v/>
      </c>
      <c r="F306" s="38">
        <f>IF($A306="","",COUNT(B306:E306))</f>
        <v/>
      </c>
      <c r="G306" s="37">
        <f>IF($A306="","",IF(F306&gt;=MIN_BANCOS,AVERAGE(B306:E306),""))</f>
        <v/>
      </c>
      <c r="H306" s="37">
        <f>IF(OR($A306="",NOT(ISNUMBER(Datos!F306)),NOT(ISNUMBER(Datos!F305))),"",Datos!F306/Datos!F305-1)</f>
        <v/>
      </c>
      <c r="I306" s="39">
        <f>IF($A306="","",IF(ISNUMBER(Datos!G306),Datos!G306,I305))</f>
        <v/>
      </c>
      <c r="J306" s="40">
        <f>IF($A306="","",IF(ISNUMBER(I305),LN(1+I305/100/12),0))</f>
        <v/>
      </c>
      <c r="K306" s="40">
        <f>IF(ISNUMBER(G306),LN(1+G306)-J306,"")</f>
        <v/>
      </c>
      <c r="L306" s="40">
        <f>IF(ISNUMBER(H306),LN(1+H306)-J306,"")</f>
        <v/>
      </c>
      <c r="M306" s="38">
        <f>IF(ISNUMBER(K306),1,0)</f>
        <v/>
      </c>
      <c r="N306" s="40">
        <f>IF(M306=1,K306,0)</f>
        <v/>
      </c>
      <c r="O306" s="38">
        <f>IF(ISNUMBER(L306),1,0)</f>
        <v/>
      </c>
      <c r="P306" s="40">
        <f>IF(O306=1,L306,0)</f>
        <v/>
      </c>
      <c r="Q306" s="38">
        <f>M306*O306</f>
        <v/>
      </c>
      <c r="R306" s="38">
        <f>SUM(Q270:Q305)</f>
        <v/>
      </c>
      <c r="S306" s="41">
        <f>IF(OR($A306="",R306&lt;MIN_OBS_ROLL),"",(SUMPRODUCT(Q270:Q305,N270:N305,P270:P305)/R306-SUMPRODUCT(Q270:Q305,N270:N305)/R306*SUMPRODUCT(Q270:Q305,P270:P305)/R306)*R306/(R306-1))</f>
        <v/>
      </c>
      <c r="T306" s="38">
        <f>SUM(O270:O305)</f>
        <v/>
      </c>
      <c r="U306" s="41">
        <f>IF(OR($A306="",T306&lt;MIN_OBS_ROLL),"",SUMPRODUCT(O270:O305,(P270:P305-SUMPRODUCT(O270:O305,P270:P305)/T306)^2)/(T306-1))</f>
        <v/>
      </c>
      <c r="V306" s="40">
        <f>IF(OR(S306="",U306=""),"",S306/U306)</f>
        <v/>
      </c>
      <c r="W306" s="40">
        <f>IF(AND(ISNUMBER(K306),ISNUMBER(L306),ISNUMBER(V306)),K306-V306*L306,"")</f>
        <v/>
      </c>
      <c r="X306" s="40">
        <f>IF(OR($A306="",NOT(ISNUMBER(Datos!H306)),NOT(ISNUMBER(Datos!H305))),"",LN(Datos!H306)-LN(Datos!H305))</f>
        <v/>
      </c>
      <c r="Y306" s="38">
        <f>IF(ISNUMBER(W306),1,0)</f>
        <v/>
      </c>
      <c r="Z306" s="40">
        <f>IF(Y306=1,W306,0)</f>
        <v/>
      </c>
      <c r="AA306" s="38">
        <f>IF(ISNUMBER(X306),1,0)</f>
        <v/>
      </c>
      <c r="AB306" s="40">
        <f>IF(AA306=1,X306,0)</f>
        <v/>
      </c>
      <c r="AC306" s="38">
        <f>Y306*AA306</f>
        <v/>
      </c>
      <c r="AD306" s="38">
        <f>SUM(AC270:AC305)</f>
        <v/>
      </c>
      <c r="AE306" s="41">
        <f>IF(OR($A306="",AD306&lt;MIN_OBS_ROLL),"",(SUMPRODUCT(AC270:AC305,Z270:Z305,AB270:AB305)/AD306-SUMPRODUCT(AC270:AC305,Z270:Z305)/AD306*SUMPRODUCT(AC270:AC305,AB270:AB305)/AD306)*AD306/(AD306-1))</f>
        <v/>
      </c>
      <c r="AF306" s="38">
        <f>SUM(AA270:AA305)</f>
        <v/>
      </c>
      <c r="AG306" s="41">
        <f>IF(OR($A306="",AF306&lt;MIN_OBS_ROLL),"",SUMPRODUCT(AA270:AA305,(AB270:AB305-SUMPRODUCT(AA270:AA305,AB270:AB305)/AF306)^2)/(AF306-1))</f>
        <v/>
      </c>
      <c r="AH306" s="38">
        <f>SUM(Y270:Y305)</f>
        <v/>
      </c>
      <c r="AI306" s="40">
        <f>IF(OR($A306="",AH306&lt;MIN_OBS_ROLL),"",SUMPRODUCT(Y270:Y305,Z270:Z305)/AH306)</f>
        <v/>
      </c>
      <c r="AJ306" s="40">
        <f>IF(OR($A306="",AF306&lt;MIN_OBS_ROLL),"",SUMPRODUCT(AA270:AA305,AB270:AB305)/AF306)</f>
        <v/>
      </c>
      <c r="AK306" s="40">
        <f>IF(OR(AE306="",AG306=""),"",AE306/AG306)</f>
        <v/>
      </c>
      <c r="AL306" s="40">
        <f>IF(OR(AI306="",AK306="",AJ306=""),"",AI306-AK306*AJ306)</f>
        <v/>
      </c>
      <c r="AM306" s="40">
        <f>IF(AND(ISNUMBER(W306),ISNUMBER(X306),ISNUMBER(AK306),ISNUMBER(AL306)),W306-(AL306+AK306*X306),"")</f>
        <v/>
      </c>
      <c r="AN306" s="38">
        <f>IF(ISNUMBER(AM306),1,0)</f>
        <v/>
      </c>
      <c r="AO306" s="40">
        <f>IF(AN306=1,AM306,0)</f>
        <v/>
      </c>
      <c r="AP306" s="40">
        <f>IF(SUM(AN304:AN306)=3,SUM(AO304:AO306),"")</f>
        <v/>
      </c>
      <c r="AQ306" s="38">
        <f>IF(ISNUMBER(AP306),1,0)</f>
        <v/>
      </c>
      <c r="AR306" s="40">
        <f>IF(AQ306=1,AP306,0)</f>
        <v/>
      </c>
      <c r="AS306" s="38">
        <f>SUM(AQ$5:AQ306)</f>
        <v/>
      </c>
      <c r="AT306" s="40">
        <f>IF(AS306&gt;=MIN_OBS_Z,SUMPRODUCT(AQ$5:AQ306,AR$5:AR306)/AS306,"")</f>
        <v/>
      </c>
      <c r="AU306" s="40">
        <f>IF(AS306&gt;=MIN_OBS_Z,SQRT(SUMPRODUCT(AQ$5:AQ306,(AR$5:AR306-AT306)^2)/(AS306-1)),"")</f>
        <v/>
      </c>
      <c r="AV306" s="40">
        <f>IF(AND(AQ306=1,ISNUMBER(AT306)),MAX(-Z_CLIP,MIN(Z_CLIP,(AR306-AT306)/AU306)),"")</f>
        <v/>
      </c>
      <c r="AW306" s="40">
        <f>IF(ISNUMBER(AV306),-AV306,"")</f>
        <v/>
      </c>
      <c r="AX306" s="40">
        <f>IF(ISNUMBER(AW306),1+AMPLITUD*TANH(AW306),"")</f>
        <v/>
      </c>
      <c r="AY306" s="40">
        <f>IF($A306="","",IF(COUNT(AX304:AX306)&gt;0,AVERAGE(AX304:AX306),""))</f>
        <v/>
      </c>
      <c r="AZ306" s="40">
        <f>IF(ISNUMBER(AY306),AY306-1,"")</f>
        <v/>
      </c>
      <c r="BA306" s="40">
        <f>IF(AND(ISNUMBER(AZ305),ISNUMBER(W306)),AZ305*W_BANCOS*W306,"")</f>
        <v/>
      </c>
      <c r="BB306" s="40">
        <f>IF(AND(ISNUMBER(AZ305),ISNUMBER(AZ304)),ABS(AZ305-AZ304)*W_BANCOS*COSTO,0)</f>
        <v/>
      </c>
      <c r="BC306" s="40">
        <f>IF(ISNUMBER(BA306),BA306-BB306,"")</f>
        <v/>
      </c>
      <c r="BD306" s="42">
        <f>IF(ISNUMBER(BC306),IF(A306&lt;=FECHA_ERA,"A","B"),"")</f>
        <v/>
      </c>
      <c r="BE306" s="40">
        <f>IF(BD306="A",BC306,"")</f>
        <v/>
      </c>
      <c r="BF306" s="40">
        <f>IF(BD306="B",BC306,"")</f>
        <v/>
      </c>
      <c r="BG306" s="38">
        <f>IF(AND(ISNUMBER(BC306),ISNUMBER(A306)),IF(A306&gt;=INICIO_VIVO,1,0),0)</f>
        <v/>
      </c>
      <c r="BH306" s="40">
        <f>IF(BG306=1,BC306,"")</f>
        <v/>
      </c>
      <c r="BI306" s="38">
        <f>IF(ISNUMBER(AY306),ROW(),0)</f>
        <v/>
      </c>
      <c r="BJ306" s="43">
        <f>IF(ISNUMBER(BC306),SUM(BC$5:BC306)*10000,NA())</f>
        <v/>
      </c>
      <c r="BK306" s="43">
        <f>IF(BG306=1,SUM(BH$5:BH306)*10000,NA())</f>
        <v/>
      </c>
      <c r="BL306" s="44">
        <f>IF(ISNUMBER(AY306),AY306,NA())</f>
        <v/>
      </c>
    </row>
    <row r="307">
      <c r="A307" s="36">
        <f>IF(Datos!A307="","",Datos!A307)</f>
        <v/>
      </c>
      <c r="B307" s="37">
        <f>IF(OR($A307="",NOT(ISNUMBER(Datos!B307)),NOT(ISNUMBER(Datos!B306))),"",Datos!B307/Datos!B306-1)</f>
        <v/>
      </c>
      <c r="C307" s="37">
        <f>IF(OR($A307="",NOT(ISNUMBER(Datos!C307)),NOT(ISNUMBER(Datos!C306))),"",Datos!C307/Datos!C306-1)</f>
        <v/>
      </c>
      <c r="D307" s="37">
        <f>IF(OR($A307="",NOT(ISNUMBER(Datos!D307)),NOT(ISNUMBER(Datos!D306))),"",Datos!D307/Datos!D306-1)</f>
        <v/>
      </c>
      <c r="E307" s="37">
        <f>IF(OR($A307="",NOT(ISNUMBER(Datos!E307)),NOT(ISNUMBER(Datos!E306))),"",Datos!E307/Datos!E306-1)</f>
        <v/>
      </c>
      <c r="F307" s="38">
        <f>IF($A307="","",COUNT(B307:E307))</f>
        <v/>
      </c>
      <c r="G307" s="37">
        <f>IF($A307="","",IF(F307&gt;=MIN_BANCOS,AVERAGE(B307:E307),""))</f>
        <v/>
      </c>
      <c r="H307" s="37">
        <f>IF(OR($A307="",NOT(ISNUMBER(Datos!F307)),NOT(ISNUMBER(Datos!F306))),"",Datos!F307/Datos!F306-1)</f>
        <v/>
      </c>
      <c r="I307" s="39">
        <f>IF($A307="","",IF(ISNUMBER(Datos!G307),Datos!G307,I306))</f>
        <v/>
      </c>
      <c r="J307" s="40">
        <f>IF($A307="","",IF(ISNUMBER(I306),LN(1+I306/100/12),0))</f>
        <v/>
      </c>
      <c r="K307" s="40">
        <f>IF(ISNUMBER(G307),LN(1+G307)-J307,"")</f>
        <v/>
      </c>
      <c r="L307" s="40">
        <f>IF(ISNUMBER(H307),LN(1+H307)-J307,"")</f>
        <v/>
      </c>
      <c r="M307" s="38">
        <f>IF(ISNUMBER(K307),1,0)</f>
        <v/>
      </c>
      <c r="N307" s="40">
        <f>IF(M307=1,K307,0)</f>
        <v/>
      </c>
      <c r="O307" s="38">
        <f>IF(ISNUMBER(L307),1,0)</f>
        <v/>
      </c>
      <c r="P307" s="40">
        <f>IF(O307=1,L307,0)</f>
        <v/>
      </c>
      <c r="Q307" s="38">
        <f>M307*O307</f>
        <v/>
      </c>
      <c r="R307" s="38">
        <f>SUM(Q271:Q306)</f>
        <v/>
      </c>
      <c r="S307" s="41">
        <f>IF(OR($A307="",R307&lt;MIN_OBS_ROLL),"",(SUMPRODUCT(Q271:Q306,N271:N306,P271:P306)/R307-SUMPRODUCT(Q271:Q306,N271:N306)/R307*SUMPRODUCT(Q271:Q306,P271:P306)/R307)*R307/(R307-1))</f>
        <v/>
      </c>
      <c r="T307" s="38">
        <f>SUM(O271:O306)</f>
        <v/>
      </c>
      <c r="U307" s="41">
        <f>IF(OR($A307="",T307&lt;MIN_OBS_ROLL),"",SUMPRODUCT(O271:O306,(P271:P306-SUMPRODUCT(O271:O306,P271:P306)/T307)^2)/(T307-1))</f>
        <v/>
      </c>
      <c r="V307" s="40">
        <f>IF(OR(S307="",U307=""),"",S307/U307)</f>
        <v/>
      </c>
      <c r="W307" s="40">
        <f>IF(AND(ISNUMBER(K307),ISNUMBER(L307),ISNUMBER(V307)),K307-V307*L307,"")</f>
        <v/>
      </c>
      <c r="X307" s="40">
        <f>IF(OR($A307="",NOT(ISNUMBER(Datos!H307)),NOT(ISNUMBER(Datos!H306))),"",LN(Datos!H307)-LN(Datos!H306))</f>
        <v/>
      </c>
      <c r="Y307" s="38">
        <f>IF(ISNUMBER(W307),1,0)</f>
        <v/>
      </c>
      <c r="Z307" s="40">
        <f>IF(Y307=1,W307,0)</f>
        <v/>
      </c>
      <c r="AA307" s="38">
        <f>IF(ISNUMBER(X307),1,0)</f>
        <v/>
      </c>
      <c r="AB307" s="40">
        <f>IF(AA307=1,X307,0)</f>
        <v/>
      </c>
      <c r="AC307" s="38">
        <f>Y307*AA307</f>
        <v/>
      </c>
      <c r="AD307" s="38">
        <f>SUM(AC271:AC306)</f>
        <v/>
      </c>
      <c r="AE307" s="41">
        <f>IF(OR($A307="",AD307&lt;MIN_OBS_ROLL),"",(SUMPRODUCT(AC271:AC306,Z271:Z306,AB271:AB306)/AD307-SUMPRODUCT(AC271:AC306,Z271:Z306)/AD307*SUMPRODUCT(AC271:AC306,AB271:AB306)/AD307)*AD307/(AD307-1))</f>
        <v/>
      </c>
      <c r="AF307" s="38">
        <f>SUM(AA271:AA306)</f>
        <v/>
      </c>
      <c r="AG307" s="41">
        <f>IF(OR($A307="",AF307&lt;MIN_OBS_ROLL),"",SUMPRODUCT(AA271:AA306,(AB271:AB306-SUMPRODUCT(AA271:AA306,AB271:AB306)/AF307)^2)/(AF307-1))</f>
        <v/>
      </c>
      <c r="AH307" s="38">
        <f>SUM(Y271:Y306)</f>
        <v/>
      </c>
      <c r="AI307" s="40">
        <f>IF(OR($A307="",AH307&lt;MIN_OBS_ROLL),"",SUMPRODUCT(Y271:Y306,Z271:Z306)/AH307)</f>
        <v/>
      </c>
      <c r="AJ307" s="40">
        <f>IF(OR($A307="",AF307&lt;MIN_OBS_ROLL),"",SUMPRODUCT(AA271:AA306,AB271:AB306)/AF307)</f>
        <v/>
      </c>
      <c r="AK307" s="40">
        <f>IF(OR(AE307="",AG307=""),"",AE307/AG307)</f>
        <v/>
      </c>
      <c r="AL307" s="40">
        <f>IF(OR(AI307="",AK307="",AJ307=""),"",AI307-AK307*AJ307)</f>
        <v/>
      </c>
      <c r="AM307" s="40">
        <f>IF(AND(ISNUMBER(W307),ISNUMBER(X307),ISNUMBER(AK307),ISNUMBER(AL307)),W307-(AL307+AK307*X307),"")</f>
        <v/>
      </c>
      <c r="AN307" s="38">
        <f>IF(ISNUMBER(AM307),1,0)</f>
        <v/>
      </c>
      <c r="AO307" s="40">
        <f>IF(AN307=1,AM307,0)</f>
        <v/>
      </c>
      <c r="AP307" s="40">
        <f>IF(SUM(AN305:AN307)=3,SUM(AO305:AO307),"")</f>
        <v/>
      </c>
      <c r="AQ307" s="38">
        <f>IF(ISNUMBER(AP307),1,0)</f>
        <v/>
      </c>
      <c r="AR307" s="40">
        <f>IF(AQ307=1,AP307,0)</f>
        <v/>
      </c>
      <c r="AS307" s="38">
        <f>SUM(AQ$5:AQ307)</f>
        <v/>
      </c>
      <c r="AT307" s="40">
        <f>IF(AS307&gt;=MIN_OBS_Z,SUMPRODUCT(AQ$5:AQ307,AR$5:AR307)/AS307,"")</f>
        <v/>
      </c>
      <c r="AU307" s="40">
        <f>IF(AS307&gt;=MIN_OBS_Z,SQRT(SUMPRODUCT(AQ$5:AQ307,(AR$5:AR307-AT307)^2)/(AS307-1)),"")</f>
        <v/>
      </c>
      <c r="AV307" s="40">
        <f>IF(AND(AQ307=1,ISNUMBER(AT307)),MAX(-Z_CLIP,MIN(Z_CLIP,(AR307-AT307)/AU307)),"")</f>
        <v/>
      </c>
      <c r="AW307" s="40">
        <f>IF(ISNUMBER(AV307),-AV307,"")</f>
        <v/>
      </c>
      <c r="AX307" s="40">
        <f>IF(ISNUMBER(AW307),1+AMPLITUD*TANH(AW307),"")</f>
        <v/>
      </c>
      <c r="AY307" s="40">
        <f>IF($A307="","",IF(COUNT(AX305:AX307)&gt;0,AVERAGE(AX305:AX307),""))</f>
        <v/>
      </c>
      <c r="AZ307" s="40">
        <f>IF(ISNUMBER(AY307),AY307-1,"")</f>
        <v/>
      </c>
      <c r="BA307" s="40">
        <f>IF(AND(ISNUMBER(AZ306),ISNUMBER(W307)),AZ306*W_BANCOS*W307,"")</f>
        <v/>
      </c>
      <c r="BB307" s="40">
        <f>IF(AND(ISNUMBER(AZ306),ISNUMBER(AZ305)),ABS(AZ306-AZ305)*W_BANCOS*COSTO,0)</f>
        <v/>
      </c>
      <c r="BC307" s="40">
        <f>IF(ISNUMBER(BA307),BA307-BB307,"")</f>
        <v/>
      </c>
      <c r="BD307" s="42">
        <f>IF(ISNUMBER(BC307),IF(A307&lt;=FECHA_ERA,"A","B"),"")</f>
        <v/>
      </c>
      <c r="BE307" s="40">
        <f>IF(BD307="A",BC307,"")</f>
        <v/>
      </c>
      <c r="BF307" s="40">
        <f>IF(BD307="B",BC307,"")</f>
        <v/>
      </c>
      <c r="BG307" s="38">
        <f>IF(AND(ISNUMBER(BC307),ISNUMBER(A307)),IF(A307&gt;=INICIO_VIVO,1,0),0)</f>
        <v/>
      </c>
      <c r="BH307" s="40">
        <f>IF(BG307=1,BC307,"")</f>
        <v/>
      </c>
      <c r="BI307" s="38">
        <f>IF(ISNUMBER(AY307),ROW(),0)</f>
        <v/>
      </c>
      <c r="BJ307" s="43">
        <f>IF(ISNUMBER(BC307),SUM(BC$5:BC307)*10000,NA())</f>
        <v/>
      </c>
      <c r="BK307" s="43">
        <f>IF(BG307=1,SUM(BH$5:BH307)*10000,NA())</f>
        <v/>
      </c>
      <c r="BL307" s="44">
        <f>IF(ISNUMBER(AY307),AY307,NA())</f>
        <v/>
      </c>
    </row>
    <row r="308">
      <c r="A308" s="36">
        <f>IF(Datos!A308="","",Datos!A308)</f>
        <v/>
      </c>
      <c r="B308" s="37">
        <f>IF(OR($A308="",NOT(ISNUMBER(Datos!B308)),NOT(ISNUMBER(Datos!B307))),"",Datos!B308/Datos!B307-1)</f>
        <v/>
      </c>
      <c r="C308" s="37">
        <f>IF(OR($A308="",NOT(ISNUMBER(Datos!C308)),NOT(ISNUMBER(Datos!C307))),"",Datos!C308/Datos!C307-1)</f>
        <v/>
      </c>
      <c r="D308" s="37">
        <f>IF(OR($A308="",NOT(ISNUMBER(Datos!D308)),NOT(ISNUMBER(Datos!D307))),"",Datos!D308/Datos!D307-1)</f>
        <v/>
      </c>
      <c r="E308" s="37">
        <f>IF(OR($A308="",NOT(ISNUMBER(Datos!E308)),NOT(ISNUMBER(Datos!E307))),"",Datos!E308/Datos!E307-1)</f>
        <v/>
      </c>
      <c r="F308" s="38">
        <f>IF($A308="","",COUNT(B308:E308))</f>
        <v/>
      </c>
      <c r="G308" s="37">
        <f>IF($A308="","",IF(F308&gt;=MIN_BANCOS,AVERAGE(B308:E308),""))</f>
        <v/>
      </c>
      <c r="H308" s="37">
        <f>IF(OR($A308="",NOT(ISNUMBER(Datos!F308)),NOT(ISNUMBER(Datos!F307))),"",Datos!F308/Datos!F307-1)</f>
        <v/>
      </c>
      <c r="I308" s="39">
        <f>IF($A308="","",IF(ISNUMBER(Datos!G308),Datos!G308,I307))</f>
        <v/>
      </c>
      <c r="J308" s="40">
        <f>IF($A308="","",IF(ISNUMBER(I307),LN(1+I307/100/12),0))</f>
        <v/>
      </c>
      <c r="K308" s="40">
        <f>IF(ISNUMBER(G308),LN(1+G308)-J308,"")</f>
        <v/>
      </c>
      <c r="L308" s="40">
        <f>IF(ISNUMBER(H308),LN(1+H308)-J308,"")</f>
        <v/>
      </c>
      <c r="M308" s="38">
        <f>IF(ISNUMBER(K308),1,0)</f>
        <v/>
      </c>
      <c r="N308" s="40">
        <f>IF(M308=1,K308,0)</f>
        <v/>
      </c>
      <c r="O308" s="38">
        <f>IF(ISNUMBER(L308),1,0)</f>
        <v/>
      </c>
      <c r="P308" s="40">
        <f>IF(O308=1,L308,0)</f>
        <v/>
      </c>
      <c r="Q308" s="38">
        <f>M308*O308</f>
        <v/>
      </c>
      <c r="R308" s="38">
        <f>SUM(Q272:Q307)</f>
        <v/>
      </c>
      <c r="S308" s="41">
        <f>IF(OR($A308="",R308&lt;MIN_OBS_ROLL),"",(SUMPRODUCT(Q272:Q307,N272:N307,P272:P307)/R308-SUMPRODUCT(Q272:Q307,N272:N307)/R308*SUMPRODUCT(Q272:Q307,P272:P307)/R308)*R308/(R308-1))</f>
        <v/>
      </c>
      <c r="T308" s="38">
        <f>SUM(O272:O307)</f>
        <v/>
      </c>
      <c r="U308" s="41">
        <f>IF(OR($A308="",T308&lt;MIN_OBS_ROLL),"",SUMPRODUCT(O272:O307,(P272:P307-SUMPRODUCT(O272:O307,P272:P307)/T308)^2)/(T308-1))</f>
        <v/>
      </c>
      <c r="V308" s="40">
        <f>IF(OR(S308="",U308=""),"",S308/U308)</f>
        <v/>
      </c>
      <c r="W308" s="40">
        <f>IF(AND(ISNUMBER(K308),ISNUMBER(L308),ISNUMBER(V308)),K308-V308*L308,"")</f>
        <v/>
      </c>
      <c r="X308" s="40">
        <f>IF(OR($A308="",NOT(ISNUMBER(Datos!H308)),NOT(ISNUMBER(Datos!H307))),"",LN(Datos!H308)-LN(Datos!H307))</f>
        <v/>
      </c>
      <c r="Y308" s="38">
        <f>IF(ISNUMBER(W308),1,0)</f>
        <v/>
      </c>
      <c r="Z308" s="40">
        <f>IF(Y308=1,W308,0)</f>
        <v/>
      </c>
      <c r="AA308" s="38">
        <f>IF(ISNUMBER(X308),1,0)</f>
        <v/>
      </c>
      <c r="AB308" s="40">
        <f>IF(AA308=1,X308,0)</f>
        <v/>
      </c>
      <c r="AC308" s="38">
        <f>Y308*AA308</f>
        <v/>
      </c>
      <c r="AD308" s="38">
        <f>SUM(AC272:AC307)</f>
        <v/>
      </c>
      <c r="AE308" s="41">
        <f>IF(OR($A308="",AD308&lt;MIN_OBS_ROLL),"",(SUMPRODUCT(AC272:AC307,Z272:Z307,AB272:AB307)/AD308-SUMPRODUCT(AC272:AC307,Z272:Z307)/AD308*SUMPRODUCT(AC272:AC307,AB272:AB307)/AD308)*AD308/(AD308-1))</f>
        <v/>
      </c>
      <c r="AF308" s="38">
        <f>SUM(AA272:AA307)</f>
        <v/>
      </c>
      <c r="AG308" s="41">
        <f>IF(OR($A308="",AF308&lt;MIN_OBS_ROLL),"",SUMPRODUCT(AA272:AA307,(AB272:AB307-SUMPRODUCT(AA272:AA307,AB272:AB307)/AF308)^2)/(AF308-1))</f>
        <v/>
      </c>
      <c r="AH308" s="38">
        <f>SUM(Y272:Y307)</f>
        <v/>
      </c>
      <c r="AI308" s="40">
        <f>IF(OR($A308="",AH308&lt;MIN_OBS_ROLL),"",SUMPRODUCT(Y272:Y307,Z272:Z307)/AH308)</f>
        <v/>
      </c>
      <c r="AJ308" s="40">
        <f>IF(OR($A308="",AF308&lt;MIN_OBS_ROLL),"",SUMPRODUCT(AA272:AA307,AB272:AB307)/AF308)</f>
        <v/>
      </c>
      <c r="AK308" s="40">
        <f>IF(OR(AE308="",AG308=""),"",AE308/AG308)</f>
        <v/>
      </c>
      <c r="AL308" s="40">
        <f>IF(OR(AI308="",AK308="",AJ308=""),"",AI308-AK308*AJ308)</f>
        <v/>
      </c>
      <c r="AM308" s="40">
        <f>IF(AND(ISNUMBER(W308),ISNUMBER(X308),ISNUMBER(AK308),ISNUMBER(AL308)),W308-(AL308+AK308*X308),"")</f>
        <v/>
      </c>
      <c r="AN308" s="38">
        <f>IF(ISNUMBER(AM308),1,0)</f>
        <v/>
      </c>
      <c r="AO308" s="40">
        <f>IF(AN308=1,AM308,0)</f>
        <v/>
      </c>
      <c r="AP308" s="40">
        <f>IF(SUM(AN306:AN308)=3,SUM(AO306:AO308),"")</f>
        <v/>
      </c>
      <c r="AQ308" s="38">
        <f>IF(ISNUMBER(AP308),1,0)</f>
        <v/>
      </c>
      <c r="AR308" s="40">
        <f>IF(AQ308=1,AP308,0)</f>
        <v/>
      </c>
      <c r="AS308" s="38">
        <f>SUM(AQ$5:AQ308)</f>
        <v/>
      </c>
      <c r="AT308" s="40">
        <f>IF(AS308&gt;=MIN_OBS_Z,SUMPRODUCT(AQ$5:AQ308,AR$5:AR308)/AS308,"")</f>
        <v/>
      </c>
      <c r="AU308" s="40">
        <f>IF(AS308&gt;=MIN_OBS_Z,SQRT(SUMPRODUCT(AQ$5:AQ308,(AR$5:AR308-AT308)^2)/(AS308-1)),"")</f>
        <v/>
      </c>
      <c r="AV308" s="40">
        <f>IF(AND(AQ308=1,ISNUMBER(AT308)),MAX(-Z_CLIP,MIN(Z_CLIP,(AR308-AT308)/AU308)),"")</f>
        <v/>
      </c>
      <c r="AW308" s="40">
        <f>IF(ISNUMBER(AV308),-AV308,"")</f>
        <v/>
      </c>
      <c r="AX308" s="40">
        <f>IF(ISNUMBER(AW308),1+AMPLITUD*TANH(AW308),"")</f>
        <v/>
      </c>
      <c r="AY308" s="40">
        <f>IF($A308="","",IF(COUNT(AX306:AX308)&gt;0,AVERAGE(AX306:AX308),""))</f>
        <v/>
      </c>
      <c r="AZ308" s="40">
        <f>IF(ISNUMBER(AY308),AY308-1,"")</f>
        <v/>
      </c>
      <c r="BA308" s="40">
        <f>IF(AND(ISNUMBER(AZ307),ISNUMBER(W308)),AZ307*W_BANCOS*W308,"")</f>
        <v/>
      </c>
      <c r="BB308" s="40">
        <f>IF(AND(ISNUMBER(AZ307),ISNUMBER(AZ306)),ABS(AZ307-AZ306)*W_BANCOS*COSTO,0)</f>
        <v/>
      </c>
      <c r="BC308" s="40">
        <f>IF(ISNUMBER(BA308),BA308-BB308,"")</f>
        <v/>
      </c>
      <c r="BD308" s="42">
        <f>IF(ISNUMBER(BC308),IF(A308&lt;=FECHA_ERA,"A","B"),"")</f>
        <v/>
      </c>
      <c r="BE308" s="40">
        <f>IF(BD308="A",BC308,"")</f>
        <v/>
      </c>
      <c r="BF308" s="40">
        <f>IF(BD308="B",BC308,"")</f>
        <v/>
      </c>
      <c r="BG308" s="38">
        <f>IF(AND(ISNUMBER(BC308),ISNUMBER(A308)),IF(A308&gt;=INICIO_VIVO,1,0),0)</f>
        <v/>
      </c>
      <c r="BH308" s="40">
        <f>IF(BG308=1,BC308,"")</f>
        <v/>
      </c>
      <c r="BI308" s="38">
        <f>IF(ISNUMBER(AY308),ROW(),0)</f>
        <v/>
      </c>
      <c r="BJ308" s="43">
        <f>IF(ISNUMBER(BC308),SUM(BC$5:BC308)*10000,NA())</f>
        <v/>
      </c>
      <c r="BK308" s="43">
        <f>IF(BG308=1,SUM(BH$5:BH308)*10000,NA())</f>
        <v/>
      </c>
      <c r="BL308" s="44">
        <f>IF(ISNUMBER(AY308),AY308,NA())</f>
        <v/>
      </c>
    </row>
    <row r="309">
      <c r="A309" s="36">
        <f>IF(Datos!A309="","",Datos!A309)</f>
        <v/>
      </c>
      <c r="B309" s="37">
        <f>IF(OR($A309="",NOT(ISNUMBER(Datos!B309)),NOT(ISNUMBER(Datos!B308))),"",Datos!B309/Datos!B308-1)</f>
        <v/>
      </c>
      <c r="C309" s="37">
        <f>IF(OR($A309="",NOT(ISNUMBER(Datos!C309)),NOT(ISNUMBER(Datos!C308))),"",Datos!C309/Datos!C308-1)</f>
        <v/>
      </c>
      <c r="D309" s="37">
        <f>IF(OR($A309="",NOT(ISNUMBER(Datos!D309)),NOT(ISNUMBER(Datos!D308))),"",Datos!D309/Datos!D308-1)</f>
        <v/>
      </c>
      <c r="E309" s="37">
        <f>IF(OR($A309="",NOT(ISNUMBER(Datos!E309)),NOT(ISNUMBER(Datos!E308))),"",Datos!E309/Datos!E308-1)</f>
        <v/>
      </c>
      <c r="F309" s="38">
        <f>IF($A309="","",COUNT(B309:E309))</f>
        <v/>
      </c>
      <c r="G309" s="37">
        <f>IF($A309="","",IF(F309&gt;=MIN_BANCOS,AVERAGE(B309:E309),""))</f>
        <v/>
      </c>
      <c r="H309" s="37">
        <f>IF(OR($A309="",NOT(ISNUMBER(Datos!F309)),NOT(ISNUMBER(Datos!F308))),"",Datos!F309/Datos!F308-1)</f>
        <v/>
      </c>
      <c r="I309" s="39">
        <f>IF($A309="","",IF(ISNUMBER(Datos!G309),Datos!G309,I308))</f>
        <v/>
      </c>
      <c r="J309" s="40">
        <f>IF($A309="","",IF(ISNUMBER(I308),LN(1+I308/100/12),0))</f>
        <v/>
      </c>
      <c r="K309" s="40">
        <f>IF(ISNUMBER(G309),LN(1+G309)-J309,"")</f>
        <v/>
      </c>
      <c r="L309" s="40">
        <f>IF(ISNUMBER(H309),LN(1+H309)-J309,"")</f>
        <v/>
      </c>
      <c r="M309" s="38">
        <f>IF(ISNUMBER(K309),1,0)</f>
        <v/>
      </c>
      <c r="N309" s="40">
        <f>IF(M309=1,K309,0)</f>
        <v/>
      </c>
      <c r="O309" s="38">
        <f>IF(ISNUMBER(L309),1,0)</f>
        <v/>
      </c>
      <c r="P309" s="40">
        <f>IF(O309=1,L309,0)</f>
        <v/>
      </c>
      <c r="Q309" s="38">
        <f>M309*O309</f>
        <v/>
      </c>
      <c r="R309" s="38">
        <f>SUM(Q273:Q308)</f>
        <v/>
      </c>
      <c r="S309" s="41">
        <f>IF(OR($A309="",R309&lt;MIN_OBS_ROLL),"",(SUMPRODUCT(Q273:Q308,N273:N308,P273:P308)/R309-SUMPRODUCT(Q273:Q308,N273:N308)/R309*SUMPRODUCT(Q273:Q308,P273:P308)/R309)*R309/(R309-1))</f>
        <v/>
      </c>
      <c r="T309" s="38">
        <f>SUM(O273:O308)</f>
        <v/>
      </c>
      <c r="U309" s="41">
        <f>IF(OR($A309="",T309&lt;MIN_OBS_ROLL),"",SUMPRODUCT(O273:O308,(P273:P308-SUMPRODUCT(O273:O308,P273:P308)/T309)^2)/(T309-1))</f>
        <v/>
      </c>
      <c r="V309" s="40">
        <f>IF(OR(S309="",U309=""),"",S309/U309)</f>
        <v/>
      </c>
      <c r="W309" s="40">
        <f>IF(AND(ISNUMBER(K309),ISNUMBER(L309),ISNUMBER(V309)),K309-V309*L309,"")</f>
        <v/>
      </c>
      <c r="X309" s="40">
        <f>IF(OR($A309="",NOT(ISNUMBER(Datos!H309)),NOT(ISNUMBER(Datos!H308))),"",LN(Datos!H309)-LN(Datos!H308))</f>
        <v/>
      </c>
      <c r="Y309" s="38">
        <f>IF(ISNUMBER(W309),1,0)</f>
        <v/>
      </c>
      <c r="Z309" s="40">
        <f>IF(Y309=1,W309,0)</f>
        <v/>
      </c>
      <c r="AA309" s="38">
        <f>IF(ISNUMBER(X309),1,0)</f>
        <v/>
      </c>
      <c r="AB309" s="40">
        <f>IF(AA309=1,X309,0)</f>
        <v/>
      </c>
      <c r="AC309" s="38">
        <f>Y309*AA309</f>
        <v/>
      </c>
      <c r="AD309" s="38">
        <f>SUM(AC273:AC308)</f>
        <v/>
      </c>
      <c r="AE309" s="41">
        <f>IF(OR($A309="",AD309&lt;MIN_OBS_ROLL),"",(SUMPRODUCT(AC273:AC308,Z273:Z308,AB273:AB308)/AD309-SUMPRODUCT(AC273:AC308,Z273:Z308)/AD309*SUMPRODUCT(AC273:AC308,AB273:AB308)/AD309)*AD309/(AD309-1))</f>
        <v/>
      </c>
      <c r="AF309" s="38">
        <f>SUM(AA273:AA308)</f>
        <v/>
      </c>
      <c r="AG309" s="41">
        <f>IF(OR($A309="",AF309&lt;MIN_OBS_ROLL),"",SUMPRODUCT(AA273:AA308,(AB273:AB308-SUMPRODUCT(AA273:AA308,AB273:AB308)/AF309)^2)/(AF309-1))</f>
        <v/>
      </c>
      <c r="AH309" s="38">
        <f>SUM(Y273:Y308)</f>
        <v/>
      </c>
      <c r="AI309" s="40">
        <f>IF(OR($A309="",AH309&lt;MIN_OBS_ROLL),"",SUMPRODUCT(Y273:Y308,Z273:Z308)/AH309)</f>
        <v/>
      </c>
      <c r="AJ309" s="40">
        <f>IF(OR($A309="",AF309&lt;MIN_OBS_ROLL),"",SUMPRODUCT(AA273:AA308,AB273:AB308)/AF309)</f>
        <v/>
      </c>
      <c r="AK309" s="40">
        <f>IF(OR(AE309="",AG309=""),"",AE309/AG309)</f>
        <v/>
      </c>
      <c r="AL309" s="40">
        <f>IF(OR(AI309="",AK309="",AJ309=""),"",AI309-AK309*AJ309)</f>
        <v/>
      </c>
      <c r="AM309" s="40">
        <f>IF(AND(ISNUMBER(W309),ISNUMBER(X309),ISNUMBER(AK309),ISNUMBER(AL309)),W309-(AL309+AK309*X309),"")</f>
        <v/>
      </c>
      <c r="AN309" s="38">
        <f>IF(ISNUMBER(AM309),1,0)</f>
        <v/>
      </c>
      <c r="AO309" s="40">
        <f>IF(AN309=1,AM309,0)</f>
        <v/>
      </c>
      <c r="AP309" s="40">
        <f>IF(SUM(AN307:AN309)=3,SUM(AO307:AO309),"")</f>
        <v/>
      </c>
      <c r="AQ309" s="38">
        <f>IF(ISNUMBER(AP309),1,0)</f>
        <v/>
      </c>
      <c r="AR309" s="40">
        <f>IF(AQ309=1,AP309,0)</f>
        <v/>
      </c>
      <c r="AS309" s="38">
        <f>SUM(AQ$5:AQ309)</f>
        <v/>
      </c>
      <c r="AT309" s="40">
        <f>IF(AS309&gt;=MIN_OBS_Z,SUMPRODUCT(AQ$5:AQ309,AR$5:AR309)/AS309,"")</f>
        <v/>
      </c>
      <c r="AU309" s="40">
        <f>IF(AS309&gt;=MIN_OBS_Z,SQRT(SUMPRODUCT(AQ$5:AQ309,(AR$5:AR309-AT309)^2)/(AS309-1)),"")</f>
        <v/>
      </c>
      <c r="AV309" s="40">
        <f>IF(AND(AQ309=1,ISNUMBER(AT309)),MAX(-Z_CLIP,MIN(Z_CLIP,(AR309-AT309)/AU309)),"")</f>
        <v/>
      </c>
      <c r="AW309" s="40">
        <f>IF(ISNUMBER(AV309),-AV309,"")</f>
        <v/>
      </c>
      <c r="AX309" s="40">
        <f>IF(ISNUMBER(AW309),1+AMPLITUD*TANH(AW309),"")</f>
        <v/>
      </c>
      <c r="AY309" s="40">
        <f>IF($A309="","",IF(COUNT(AX307:AX309)&gt;0,AVERAGE(AX307:AX309),""))</f>
        <v/>
      </c>
      <c r="AZ309" s="40">
        <f>IF(ISNUMBER(AY309),AY309-1,"")</f>
        <v/>
      </c>
      <c r="BA309" s="40">
        <f>IF(AND(ISNUMBER(AZ308),ISNUMBER(W309)),AZ308*W_BANCOS*W309,"")</f>
        <v/>
      </c>
      <c r="BB309" s="40">
        <f>IF(AND(ISNUMBER(AZ308),ISNUMBER(AZ307)),ABS(AZ308-AZ307)*W_BANCOS*COSTO,0)</f>
        <v/>
      </c>
      <c r="BC309" s="40">
        <f>IF(ISNUMBER(BA309),BA309-BB309,"")</f>
        <v/>
      </c>
      <c r="BD309" s="42">
        <f>IF(ISNUMBER(BC309),IF(A309&lt;=FECHA_ERA,"A","B"),"")</f>
        <v/>
      </c>
      <c r="BE309" s="40">
        <f>IF(BD309="A",BC309,"")</f>
        <v/>
      </c>
      <c r="BF309" s="40">
        <f>IF(BD309="B",BC309,"")</f>
        <v/>
      </c>
      <c r="BG309" s="38">
        <f>IF(AND(ISNUMBER(BC309),ISNUMBER(A309)),IF(A309&gt;=INICIO_VIVO,1,0),0)</f>
        <v/>
      </c>
      <c r="BH309" s="40">
        <f>IF(BG309=1,BC309,"")</f>
        <v/>
      </c>
      <c r="BI309" s="38">
        <f>IF(ISNUMBER(AY309),ROW(),0)</f>
        <v/>
      </c>
      <c r="BJ309" s="43">
        <f>IF(ISNUMBER(BC309),SUM(BC$5:BC309)*10000,NA())</f>
        <v/>
      </c>
      <c r="BK309" s="43">
        <f>IF(BG309=1,SUM(BH$5:BH309)*10000,NA())</f>
        <v/>
      </c>
      <c r="BL309" s="44">
        <f>IF(ISNUMBER(AY309),AY309,NA())</f>
        <v/>
      </c>
    </row>
    <row r="310">
      <c r="A310" s="36">
        <f>IF(Datos!A310="","",Datos!A310)</f>
        <v/>
      </c>
      <c r="B310" s="37">
        <f>IF(OR($A310="",NOT(ISNUMBER(Datos!B310)),NOT(ISNUMBER(Datos!B309))),"",Datos!B310/Datos!B309-1)</f>
        <v/>
      </c>
      <c r="C310" s="37">
        <f>IF(OR($A310="",NOT(ISNUMBER(Datos!C310)),NOT(ISNUMBER(Datos!C309))),"",Datos!C310/Datos!C309-1)</f>
        <v/>
      </c>
      <c r="D310" s="37">
        <f>IF(OR($A310="",NOT(ISNUMBER(Datos!D310)),NOT(ISNUMBER(Datos!D309))),"",Datos!D310/Datos!D309-1)</f>
        <v/>
      </c>
      <c r="E310" s="37">
        <f>IF(OR($A310="",NOT(ISNUMBER(Datos!E310)),NOT(ISNUMBER(Datos!E309))),"",Datos!E310/Datos!E309-1)</f>
        <v/>
      </c>
      <c r="F310" s="38">
        <f>IF($A310="","",COUNT(B310:E310))</f>
        <v/>
      </c>
      <c r="G310" s="37">
        <f>IF($A310="","",IF(F310&gt;=MIN_BANCOS,AVERAGE(B310:E310),""))</f>
        <v/>
      </c>
      <c r="H310" s="37">
        <f>IF(OR($A310="",NOT(ISNUMBER(Datos!F310)),NOT(ISNUMBER(Datos!F309))),"",Datos!F310/Datos!F309-1)</f>
        <v/>
      </c>
      <c r="I310" s="39">
        <f>IF($A310="","",IF(ISNUMBER(Datos!G310),Datos!G310,I309))</f>
        <v/>
      </c>
      <c r="J310" s="40">
        <f>IF($A310="","",IF(ISNUMBER(I309),LN(1+I309/100/12),0))</f>
        <v/>
      </c>
      <c r="K310" s="40">
        <f>IF(ISNUMBER(G310),LN(1+G310)-J310,"")</f>
        <v/>
      </c>
      <c r="L310" s="40">
        <f>IF(ISNUMBER(H310),LN(1+H310)-J310,"")</f>
        <v/>
      </c>
      <c r="M310" s="38">
        <f>IF(ISNUMBER(K310),1,0)</f>
        <v/>
      </c>
      <c r="N310" s="40">
        <f>IF(M310=1,K310,0)</f>
        <v/>
      </c>
      <c r="O310" s="38">
        <f>IF(ISNUMBER(L310),1,0)</f>
        <v/>
      </c>
      <c r="P310" s="40">
        <f>IF(O310=1,L310,0)</f>
        <v/>
      </c>
      <c r="Q310" s="38">
        <f>M310*O310</f>
        <v/>
      </c>
      <c r="R310" s="38">
        <f>SUM(Q274:Q309)</f>
        <v/>
      </c>
      <c r="S310" s="41">
        <f>IF(OR($A310="",R310&lt;MIN_OBS_ROLL),"",(SUMPRODUCT(Q274:Q309,N274:N309,P274:P309)/R310-SUMPRODUCT(Q274:Q309,N274:N309)/R310*SUMPRODUCT(Q274:Q309,P274:P309)/R310)*R310/(R310-1))</f>
        <v/>
      </c>
      <c r="T310" s="38">
        <f>SUM(O274:O309)</f>
        <v/>
      </c>
      <c r="U310" s="41">
        <f>IF(OR($A310="",T310&lt;MIN_OBS_ROLL),"",SUMPRODUCT(O274:O309,(P274:P309-SUMPRODUCT(O274:O309,P274:P309)/T310)^2)/(T310-1))</f>
        <v/>
      </c>
      <c r="V310" s="40">
        <f>IF(OR(S310="",U310=""),"",S310/U310)</f>
        <v/>
      </c>
      <c r="W310" s="40">
        <f>IF(AND(ISNUMBER(K310),ISNUMBER(L310),ISNUMBER(V310)),K310-V310*L310,"")</f>
        <v/>
      </c>
      <c r="X310" s="40">
        <f>IF(OR($A310="",NOT(ISNUMBER(Datos!H310)),NOT(ISNUMBER(Datos!H309))),"",LN(Datos!H310)-LN(Datos!H309))</f>
        <v/>
      </c>
      <c r="Y310" s="38">
        <f>IF(ISNUMBER(W310),1,0)</f>
        <v/>
      </c>
      <c r="Z310" s="40">
        <f>IF(Y310=1,W310,0)</f>
        <v/>
      </c>
      <c r="AA310" s="38">
        <f>IF(ISNUMBER(X310),1,0)</f>
        <v/>
      </c>
      <c r="AB310" s="40">
        <f>IF(AA310=1,X310,0)</f>
        <v/>
      </c>
      <c r="AC310" s="38">
        <f>Y310*AA310</f>
        <v/>
      </c>
      <c r="AD310" s="38">
        <f>SUM(AC274:AC309)</f>
        <v/>
      </c>
      <c r="AE310" s="41">
        <f>IF(OR($A310="",AD310&lt;MIN_OBS_ROLL),"",(SUMPRODUCT(AC274:AC309,Z274:Z309,AB274:AB309)/AD310-SUMPRODUCT(AC274:AC309,Z274:Z309)/AD310*SUMPRODUCT(AC274:AC309,AB274:AB309)/AD310)*AD310/(AD310-1))</f>
        <v/>
      </c>
      <c r="AF310" s="38">
        <f>SUM(AA274:AA309)</f>
        <v/>
      </c>
      <c r="AG310" s="41">
        <f>IF(OR($A310="",AF310&lt;MIN_OBS_ROLL),"",SUMPRODUCT(AA274:AA309,(AB274:AB309-SUMPRODUCT(AA274:AA309,AB274:AB309)/AF310)^2)/(AF310-1))</f>
        <v/>
      </c>
      <c r="AH310" s="38">
        <f>SUM(Y274:Y309)</f>
        <v/>
      </c>
      <c r="AI310" s="40">
        <f>IF(OR($A310="",AH310&lt;MIN_OBS_ROLL),"",SUMPRODUCT(Y274:Y309,Z274:Z309)/AH310)</f>
        <v/>
      </c>
      <c r="AJ310" s="40">
        <f>IF(OR($A310="",AF310&lt;MIN_OBS_ROLL),"",SUMPRODUCT(AA274:AA309,AB274:AB309)/AF310)</f>
        <v/>
      </c>
      <c r="AK310" s="40">
        <f>IF(OR(AE310="",AG310=""),"",AE310/AG310)</f>
        <v/>
      </c>
      <c r="AL310" s="40">
        <f>IF(OR(AI310="",AK310="",AJ310=""),"",AI310-AK310*AJ310)</f>
        <v/>
      </c>
      <c r="AM310" s="40">
        <f>IF(AND(ISNUMBER(W310),ISNUMBER(X310),ISNUMBER(AK310),ISNUMBER(AL310)),W310-(AL310+AK310*X310),"")</f>
        <v/>
      </c>
      <c r="AN310" s="38">
        <f>IF(ISNUMBER(AM310),1,0)</f>
        <v/>
      </c>
      <c r="AO310" s="40">
        <f>IF(AN310=1,AM310,0)</f>
        <v/>
      </c>
      <c r="AP310" s="40">
        <f>IF(SUM(AN308:AN310)=3,SUM(AO308:AO310),"")</f>
        <v/>
      </c>
      <c r="AQ310" s="38">
        <f>IF(ISNUMBER(AP310),1,0)</f>
        <v/>
      </c>
      <c r="AR310" s="40">
        <f>IF(AQ310=1,AP310,0)</f>
        <v/>
      </c>
      <c r="AS310" s="38">
        <f>SUM(AQ$5:AQ310)</f>
        <v/>
      </c>
      <c r="AT310" s="40">
        <f>IF(AS310&gt;=MIN_OBS_Z,SUMPRODUCT(AQ$5:AQ310,AR$5:AR310)/AS310,"")</f>
        <v/>
      </c>
      <c r="AU310" s="40">
        <f>IF(AS310&gt;=MIN_OBS_Z,SQRT(SUMPRODUCT(AQ$5:AQ310,(AR$5:AR310-AT310)^2)/(AS310-1)),"")</f>
        <v/>
      </c>
      <c r="AV310" s="40">
        <f>IF(AND(AQ310=1,ISNUMBER(AT310)),MAX(-Z_CLIP,MIN(Z_CLIP,(AR310-AT310)/AU310)),"")</f>
        <v/>
      </c>
      <c r="AW310" s="40">
        <f>IF(ISNUMBER(AV310),-AV310,"")</f>
        <v/>
      </c>
      <c r="AX310" s="40">
        <f>IF(ISNUMBER(AW310),1+AMPLITUD*TANH(AW310),"")</f>
        <v/>
      </c>
      <c r="AY310" s="40">
        <f>IF($A310="","",IF(COUNT(AX308:AX310)&gt;0,AVERAGE(AX308:AX310),""))</f>
        <v/>
      </c>
      <c r="AZ310" s="40">
        <f>IF(ISNUMBER(AY310),AY310-1,"")</f>
        <v/>
      </c>
      <c r="BA310" s="40">
        <f>IF(AND(ISNUMBER(AZ309),ISNUMBER(W310)),AZ309*W_BANCOS*W310,"")</f>
        <v/>
      </c>
      <c r="BB310" s="40">
        <f>IF(AND(ISNUMBER(AZ309),ISNUMBER(AZ308)),ABS(AZ309-AZ308)*W_BANCOS*COSTO,0)</f>
        <v/>
      </c>
      <c r="BC310" s="40">
        <f>IF(ISNUMBER(BA310),BA310-BB310,"")</f>
        <v/>
      </c>
      <c r="BD310" s="42">
        <f>IF(ISNUMBER(BC310),IF(A310&lt;=FECHA_ERA,"A","B"),"")</f>
        <v/>
      </c>
      <c r="BE310" s="40">
        <f>IF(BD310="A",BC310,"")</f>
        <v/>
      </c>
      <c r="BF310" s="40">
        <f>IF(BD310="B",BC310,"")</f>
        <v/>
      </c>
      <c r="BG310" s="38">
        <f>IF(AND(ISNUMBER(BC310),ISNUMBER(A310)),IF(A310&gt;=INICIO_VIVO,1,0),0)</f>
        <v/>
      </c>
      <c r="BH310" s="40">
        <f>IF(BG310=1,BC310,"")</f>
        <v/>
      </c>
      <c r="BI310" s="38">
        <f>IF(ISNUMBER(AY310),ROW(),0)</f>
        <v/>
      </c>
      <c r="BJ310" s="43">
        <f>IF(ISNUMBER(BC310),SUM(BC$5:BC310)*10000,NA())</f>
        <v/>
      </c>
      <c r="BK310" s="43">
        <f>IF(BG310=1,SUM(BH$5:BH310)*10000,NA())</f>
        <v/>
      </c>
      <c r="BL310" s="44">
        <f>IF(ISNUMBER(AY310),AY310,NA())</f>
        <v/>
      </c>
    </row>
    <row r="311">
      <c r="A311" s="36">
        <f>IF(Datos!A311="","",Datos!A311)</f>
        <v/>
      </c>
      <c r="B311" s="37">
        <f>IF(OR($A311="",NOT(ISNUMBER(Datos!B311)),NOT(ISNUMBER(Datos!B310))),"",Datos!B311/Datos!B310-1)</f>
        <v/>
      </c>
      <c r="C311" s="37">
        <f>IF(OR($A311="",NOT(ISNUMBER(Datos!C311)),NOT(ISNUMBER(Datos!C310))),"",Datos!C311/Datos!C310-1)</f>
        <v/>
      </c>
      <c r="D311" s="37">
        <f>IF(OR($A311="",NOT(ISNUMBER(Datos!D311)),NOT(ISNUMBER(Datos!D310))),"",Datos!D311/Datos!D310-1)</f>
        <v/>
      </c>
      <c r="E311" s="37">
        <f>IF(OR($A311="",NOT(ISNUMBER(Datos!E311)),NOT(ISNUMBER(Datos!E310))),"",Datos!E311/Datos!E310-1)</f>
        <v/>
      </c>
      <c r="F311" s="38">
        <f>IF($A311="","",COUNT(B311:E311))</f>
        <v/>
      </c>
      <c r="G311" s="37">
        <f>IF($A311="","",IF(F311&gt;=MIN_BANCOS,AVERAGE(B311:E311),""))</f>
        <v/>
      </c>
      <c r="H311" s="37">
        <f>IF(OR($A311="",NOT(ISNUMBER(Datos!F311)),NOT(ISNUMBER(Datos!F310))),"",Datos!F311/Datos!F310-1)</f>
        <v/>
      </c>
      <c r="I311" s="39">
        <f>IF($A311="","",IF(ISNUMBER(Datos!G311),Datos!G311,I310))</f>
        <v/>
      </c>
      <c r="J311" s="40">
        <f>IF($A311="","",IF(ISNUMBER(I310),LN(1+I310/100/12),0))</f>
        <v/>
      </c>
      <c r="K311" s="40">
        <f>IF(ISNUMBER(G311),LN(1+G311)-J311,"")</f>
        <v/>
      </c>
      <c r="L311" s="40">
        <f>IF(ISNUMBER(H311),LN(1+H311)-J311,"")</f>
        <v/>
      </c>
      <c r="M311" s="38">
        <f>IF(ISNUMBER(K311),1,0)</f>
        <v/>
      </c>
      <c r="N311" s="40">
        <f>IF(M311=1,K311,0)</f>
        <v/>
      </c>
      <c r="O311" s="38">
        <f>IF(ISNUMBER(L311),1,0)</f>
        <v/>
      </c>
      <c r="P311" s="40">
        <f>IF(O311=1,L311,0)</f>
        <v/>
      </c>
      <c r="Q311" s="38">
        <f>M311*O311</f>
        <v/>
      </c>
      <c r="R311" s="38">
        <f>SUM(Q275:Q310)</f>
        <v/>
      </c>
      <c r="S311" s="41">
        <f>IF(OR($A311="",R311&lt;MIN_OBS_ROLL),"",(SUMPRODUCT(Q275:Q310,N275:N310,P275:P310)/R311-SUMPRODUCT(Q275:Q310,N275:N310)/R311*SUMPRODUCT(Q275:Q310,P275:P310)/R311)*R311/(R311-1))</f>
        <v/>
      </c>
      <c r="T311" s="38">
        <f>SUM(O275:O310)</f>
        <v/>
      </c>
      <c r="U311" s="41">
        <f>IF(OR($A311="",T311&lt;MIN_OBS_ROLL),"",SUMPRODUCT(O275:O310,(P275:P310-SUMPRODUCT(O275:O310,P275:P310)/T311)^2)/(T311-1))</f>
        <v/>
      </c>
      <c r="V311" s="40">
        <f>IF(OR(S311="",U311=""),"",S311/U311)</f>
        <v/>
      </c>
      <c r="W311" s="40">
        <f>IF(AND(ISNUMBER(K311),ISNUMBER(L311),ISNUMBER(V311)),K311-V311*L311,"")</f>
        <v/>
      </c>
      <c r="X311" s="40">
        <f>IF(OR($A311="",NOT(ISNUMBER(Datos!H311)),NOT(ISNUMBER(Datos!H310))),"",LN(Datos!H311)-LN(Datos!H310))</f>
        <v/>
      </c>
      <c r="Y311" s="38">
        <f>IF(ISNUMBER(W311),1,0)</f>
        <v/>
      </c>
      <c r="Z311" s="40">
        <f>IF(Y311=1,W311,0)</f>
        <v/>
      </c>
      <c r="AA311" s="38">
        <f>IF(ISNUMBER(X311),1,0)</f>
        <v/>
      </c>
      <c r="AB311" s="40">
        <f>IF(AA311=1,X311,0)</f>
        <v/>
      </c>
      <c r="AC311" s="38">
        <f>Y311*AA311</f>
        <v/>
      </c>
      <c r="AD311" s="38">
        <f>SUM(AC275:AC310)</f>
        <v/>
      </c>
      <c r="AE311" s="41">
        <f>IF(OR($A311="",AD311&lt;MIN_OBS_ROLL),"",(SUMPRODUCT(AC275:AC310,Z275:Z310,AB275:AB310)/AD311-SUMPRODUCT(AC275:AC310,Z275:Z310)/AD311*SUMPRODUCT(AC275:AC310,AB275:AB310)/AD311)*AD311/(AD311-1))</f>
        <v/>
      </c>
      <c r="AF311" s="38">
        <f>SUM(AA275:AA310)</f>
        <v/>
      </c>
      <c r="AG311" s="41">
        <f>IF(OR($A311="",AF311&lt;MIN_OBS_ROLL),"",SUMPRODUCT(AA275:AA310,(AB275:AB310-SUMPRODUCT(AA275:AA310,AB275:AB310)/AF311)^2)/(AF311-1))</f>
        <v/>
      </c>
      <c r="AH311" s="38">
        <f>SUM(Y275:Y310)</f>
        <v/>
      </c>
      <c r="AI311" s="40">
        <f>IF(OR($A311="",AH311&lt;MIN_OBS_ROLL),"",SUMPRODUCT(Y275:Y310,Z275:Z310)/AH311)</f>
        <v/>
      </c>
      <c r="AJ311" s="40">
        <f>IF(OR($A311="",AF311&lt;MIN_OBS_ROLL),"",SUMPRODUCT(AA275:AA310,AB275:AB310)/AF311)</f>
        <v/>
      </c>
      <c r="AK311" s="40">
        <f>IF(OR(AE311="",AG311=""),"",AE311/AG311)</f>
        <v/>
      </c>
      <c r="AL311" s="40">
        <f>IF(OR(AI311="",AK311="",AJ311=""),"",AI311-AK311*AJ311)</f>
        <v/>
      </c>
      <c r="AM311" s="40">
        <f>IF(AND(ISNUMBER(W311),ISNUMBER(X311),ISNUMBER(AK311),ISNUMBER(AL311)),W311-(AL311+AK311*X311),"")</f>
        <v/>
      </c>
      <c r="AN311" s="38">
        <f>IF(ISNUMBER(AM311),1,0)</f>
        <v/>
      </c>
      <c r="AO311" s="40">
        <f>IF(AN311=1,AM311,0)</f>
        <v/>
      </c>
      <c r="AP311" s="40">
        <f>IF(SUM(AN309:AN311)=3,SUM(AO309:AO311),"")</f>
        <v/>
      </c>
      <c r="AQ311" s="38">
        <f>IF(ISNUMBER(AP311),1,0)</f>
        <v/>
      </c>
      <c r="AR311" s="40">
        <f>IF(AQ311=1,AP311,0)</f>
        <v/>
      </c>
      <c r="AS311" s="38">
        <f>SUM(AQ$5:AQ311)</f>
        <v/>
      </c>
      <c r="AT311" s="40">
        <f>IF(AS311&gt;=MIN_OBS_Z,SUMPRODUCT(AQ$5:AQ311,AR$5:AR311)/AS311,"")</f>
        <v/>
      </c>
      <c r="AU311" s="40">
        <f>IF(AS311&gt;=MIN_OBS_Z,SQRT(SUMPRODUCT(AQ$5:AQ311,(AR$5:AR311-AT311)^2)/(AS311-1)),"")</f>
        <v/>
      </c>
      <c r="AV311" s="40">
        <f>IF(AND(AQ311=1,ISNUMBER(AT311)),MAX(-Z_CLIP,MIN(Z_CLIP,(AR311-AT311)/AU311)),"")</f>
        <v/>
      </c>
      <c r="AW311" s="40">
        <f>IF(ISNUMBER(AV311),-AV311,"")</f>
        <v/>
      </c>
      <c r="AX311" s="40">
        <f>IF(ISNUMBER(AW311),1+AMPLITUD*TANH(AW311),"")</f>
        <v/>
      </c>
      <c r="AY311" s="40">
        <f>IF($A311="","",IF(COUNT(AX309:AX311)&gt;0,AVERAGE(AX309:AX311),""))</f>
        <v/>
      </c>
      <c r="AZ311" s="40">
        <f>IF(ISNUMBER(AY311),AY311-1,"")</f>
        <v/>
      </c>
      <c r="BA311" s="40">
        <f>IF(AND(ISNUMBER(AZ310),ISNUMBER(W311)),AZ310*W_BANCOS*W311,"")</f>
        <v/>
      </c>
      <c r="BB311" s="40">
        <f>IF(AND(ISNUMBER(AZ310),ISNUMBER(AZ309)),ABS(AZ310-AZ309)*W_BANCOS*COSTO,0)</f>
        <v/>
      </c>
      <c r="BC311" s="40">
        <f>IF(ISNUMBER(BA311),BA311-BB311,"")</f>
        <v/>
      </c>
      <c r="BD311" s="42">
        <f>IF(ISNUMBER(BC311),IF(A311&lt;=FECHA_ERA,"A","B"),"")</f>
        <v/>
      </c>
      <c r="BE311" s="40">
        <f>IF(BD311="A",BC311,"")</f>
        <v/>
      </c>
      <c r="BF311" s="40">
        <f>IF(BD311="B",BC311,"")</f>
        <v/>
      </c>
      <c r="BG311" s="38">
        <f>IF(AND(ISNUMBER(BC311),ISNUMBER(A311)),IF(A311&gt;=INICIO_VIVO,1,0),0)</f>
        <v/>
      </c>
      <c r="BH311" s="40">
        <f>IF(BG311=1,BC311,"")</f>
        <v/>
      </c>
      <c r="BI311" s="38">
        <f>IF(ISNUMBER(AY311),ROW(),0)</f>
        <v/>
      </c>
      <c r="BJ311" s="43">
        <f>IF(ISNUMBER(BC311),SUM(BC$5:BC311)*10000,NA())</f>
        <v/>
      </c>
      <c r="BK311" s="43">
        <f>IF(BG311=1,SUM(BH$5:BH311)*10000,NA())</f>
        <v/>
      </c>
      <c r="BL311" s="44">
        <f>IF(ISNUMBER(AY311),AY311,NA())</f>
        <v/>
      </c>
    </row>
    <row r="312">
      <c r="A312" s="36">
        <f>IF(Datos!A312="","",Datos!A312)</f>
        <v/>
      </c>
      <c r="B312" s="37">
        <f>IF(OR($A312="",NOT(ISNUMBER(Datos!B312)),NOT(ISNUMBER(Datos!B311))),"",Datos!B312/Datos!B311-1)</f>
        <v/>
      </c>
      <c r="C312" s="37">
        <f>IF(OR($A312="",NOT(ISNUMBER(Datos!C312)),NOT(ISNUMBER(Datos!C311))),"",Datos!C312/Datos!C311-1)</f>
        <v/>
      </c>
      <c r="D312" s="37">
        <f>IF(OR($A312="",NOT(ISNUMBER(Datos!D312)),NOT(ISNUMBER(Datos!D311))),"",Datos!D312/Datos!D311-1)</f>
        <v/>
      </c>
      <c r="E312" s="37">
        <f>IF(OR($A312="",NOT(ISNUMBER(Datos!E312)),NOT(ISNUMBER(Datos!E311))),"",Datos!E312/Datos!E311-1)</f>
        <v/>
      </c>
      <c r="F312" s="38">
        <f>IF($A312="","",COUNT(B312:E312))</f>
        <v/>
      </c>
      <c r="G312" s="37">
        <f>IF($A312="","",IF(F312&gt;=MIN_BANCOS,AVERAGE(B312:E312),""))</f>
        <v/>
      </c>
      <c r="H312" s="37">
        <f>IF(OR($A312="",NOT(ISNUMBER(Datos!F312)),NOT(ISNUMBER(Datos!F311))),"",Datos!F312/Datos!F311-1)</f>
        <v/>
      </c>
      <c r="I312" s="39">
        <f>IF($A312="","",IF(ISNUMBER(Datos!G312),Datos!G312,I311))</f>
        <v/>
      </c>
      <c r="J312" s="40">
        <f>IF($A312="","",IF(ISNUMBER(I311),LN(1+I311/100/12),0))</f>
        <v/>
      </c>
      <c r="K312" s="40">
        <f>IF(ISNUMBER(G312),LN(1+G312)-J312,"")</f>
        <v/>
      </c>
      <c r="L312" s="40">
        <f>IF(ISNUMBER(H312),LN(1+H312)-J312,"")</f>
        <v/>
      </c>
      <c r="M312" s="38">
        <f>IF(ISNUMBER(K312),1,0)</f>
        <v/>
      </c>
      <c r="N312" s="40">
        <f>IF(M312=1,K312,0)</f>
        <v/>
      </c>
      <c r="O312" s="38">
        <f>IF(ISNUMBER(L312),1,0)</f>
        <v/>
      </c>
      <c r="P312" s="40">
        <f>IF(O312=1,L312,0)</f>
        <v/>
      </c>
      <c r="Q312" s="38">
        <f>M312*O312</f>
        <v/>
      </c>
      <c r="R312" s="38">
        <f>SUM(Q276:Q311)</f>
        <v/>
      </c>
      <c r="S312" s="41">
        <f>IF(OR($A312="",R312&lt;MIN_OBS_ROLL),"",(SUMPRODUCT(Q276:Q311,N276:N311,P276:P311)/R312-SUMPRODUCT(Q276:Q311,N276:N311)/R312*SUMPRODUCT(Q276:Q311,P276:P311)/R312)*R312/(R312-1))</f>
        <v/>
      </c>
      <c r="T312" s="38">
        <f>SUM(O276:O311)</f>
        <v/>
      </c>
      <c r="U312" s="41">
        <f>IF(OR($A312="",T312&lt;MIN_OBS_ROLL),"",SUMPRODUCT(O276:O311,(P276:P311-SUMPRODUCT(O276:O311,P276:P311)/T312)^2)/(T312-1))</f>
        <v/>
      </c>
      <c r="V312" s="40">
        <f>IF(OR(S312="",U312=""),"",S312/U312)</f>
        <v/>
      </c>
      <c r="W312" s="40">
        <f>IF(AND(ISNUMBER(K312),ISNUMBER(L312),ISNUMBER(V312)),K312-V312*L312,"")</f>
        <v/>
      </c>
      <c r="X312" s="40">
        <f>IF(OR($A312="",NOT(ISNUMBER(Datos!H312)),NOT(ISNUMBER(Datos!H311))),"",LN(Datos!H312)-LN(Datos!H311))</f>
        <v/>
      </c>
      <c r="Y312" s="38">
        <f>IF(ISNUMBER(W312),1,0)</f>
        <v/>
      </c>
      <c r="Z312" s="40">
        <f>IF(Y312=1,W312,0)</f>
        <v/>
      </c>
      <c r="AA312" s="38">
        <f>IF(ISNUMBER(X312),1,0)</f>
        <v/>
      </c>
      <c r="AB312" s="40">
        <f>IF(AA312=1,X312,0)</f>
        <v/>
      </c>
      <c r="AC312" s="38">
        <f>Y312*AA312</f>
        <v/>
      </c>
      <c r="AD312" s="38">
        <f>SUM(AC276:AC311)</f>
        <v/>
      </c>
      <c r="AE312" s="41">
        <f>IF(OR($A312="",AD312&lt;MIN_OBS_ROLL),"",(SUMPRODUCT(AC276:AC311,Z276:Z311,AB276:AB311)/AD312-SUMPRODUCT(AC276:AC311,Z276:Z311)/AD312*SUMPRODUCT(AC276:AC311,AB276:AB311)/AD312)*AD312/(AD312-1))</f>
        <v/>
      </c>
      <c r="AF312" s="38">
        <f>SUM(AA276:AA311)</f>
        <v/>
      </c>
      <c r="AG312" s="41">
        <f>IF(OR($A312="",AF312&lt;MIN_OBS_ROLL),"",SUMPRODUCT(AA276:AA311,(AB276:AB311-SUMPRODUCT(AA276:AA311,AB276:AB311)/AF312)^2)/(AF312-1))</f>
        <v/>
      </c>
      <c r="AH312" s="38">
        <f>SUM(Y276:Y311)</f>
        <v/>
      </c>
      <c r="AI312" s="40">
        <f>IF(OR($A312="",AH312&lt;MIN_OBS_ROLL),"",SUMPRODUCT(Y276:Y311,Z276:Z311)/AH312)</f>
        <v/>
      </c>
      <c r="AJ312" s="40">
        <f>IF(OR($A312="",AF312&lt;MIN_OBS_ROLL),"",SUMPRODUCT(AA276:AA311,AB276:AB311)/AF312)</f>
        <v/>
      </c>
      <c r="AK312" s="40">
        <f>IF(OR(AE312="",AG312=""),"",AE312/AG312)</f>
        <v/>
      </c>
      <c r="AL312" s="40">
        <f>IF(OR(AI312="",AK312="",AJ312=""),"",AI312-AK312*AJ312)</f>
        <v/>
      </c>
      <c r="AM312" s="40">
        <f>IF(AND(ISNUMBER(W312),ISNUMBER(X312),ISNUMBER(AK312),ISNUMBER(AL312)),W312-(AL312+AK312*X312),"")</f>
        <v/>
      </c>
      <c r="AN312" s="38">
        <f>IF(ISNUMBER(AM312),1,0)</f>
        <v/>
      </c>
      <c r="AO312" s="40">
        <f>IF(AN312=1,AM312,0)</f>
        <v/>
      </c>
      <c r="AP312" s="40">
        <f>IF(SUM(AN310:AN312)=3,SUM(AO310:AO312),"")</f>
        <v/>
      </c>
      <c r="AQ312" s="38">
        <f>IF(ISNUMBER(AP312),1,0)</f>
        <v/>
      </c>
      <c r="AR312" s="40">
        <f>IF(AQ312=1,AP312,0)</f>
        <v/>
      </c>
      <c r="AS312" s="38">
        <f>SUM(AQ$5:AQ312)</f>
        <v/>
      </c>
      <c r="AT312" s="40">
        <f>IF(AS312&gt;=MIN_OBS_Z,SUMPRODUCT(AQ$5:AQ312,AR$5:AR312)/AS312,"")</f>
        <v/>
      </c>
      <c r="AU312" s="40">
        <f>IF(AS312&gt;=MIN_OBS_Z,SQRT(SUMPRODUCT(AQ$5:AQ312,(AR$5:AR312-AT312)^2)/(AS312-1)),"")</f>
        <v/>
      </c>
      <c r="AV312" s="40">
        <f>IF(AND(AQ312=1,ISNUMBER(AT312)),MAX(-Z_CLIP,MIN(Z_CLIP,(AR312-AT312)/AU312)),"")</f>
        <v/>
      </c>
      <c r="AW312" s="40">
        <f>IF(ISNUMBER(AV312),-AV312,"")</f>
        <v/>
      </c>
      <c r="AX312" s="40">
        <f>IF(ISNUMBER(AW312),1+AMPLITUD*TANH(AW312),"")</f>
        <v/>
      </c>
      <c r="AY312" s="40">
        <f>IF($A312="","",IF(COUNT(AX310:AX312)&gt;0,AVERAGE(AX310:AX312),""))</f>
        <v/>
      </c>
      <c r="AZ312" s="40">
        <f>IF(ISNUMBER(AY312),AY312-1,"")</f>
        <v/>
      </c>
      <c r="BA312" s="40">
        <f>IF(AND(ISNUMBER(AZ311),ISNUMBER(W312)),AZ311*W_BANCOS*W312,"")</f>
        <v/>
      </c>
      <c r="BB312" s="40">
        <f>IF(AND(ISNUMBER(AZ311),ISNUMBER(AZ310)),ABS(AZ311-AZ310)*W_BANCOS*COSTO,0)</f>
        <v/>
      </c>
      <c r="BC312" s="40">
        <f>IF(ISNUMBER(BA312),BA312-BB312,"")</f>
        <v/>
      </c>
      <c r="BD312" s="42">
        <f>IF(ISNUMBER(BC312),IF(A312&lt;=FECHA_ERA,"A","B"),"")</f>
        <v/>
      </c>
      <c r="BE312" s="40">
        <f>IF(BD312="A",BC312,"")</f>
        <v/>
      </c>
      <c r="BF312" s="40">
        <f>IF(BD312="B",BC312,"")</f>
        <v/>
      </c>
      <c r="BG312" s="38">
        <f>IF(AND(ISNUMBER(BC312),ISNUMBER(A312)),IF(A312&gt;=INICIO_VIVO,1,0),0)</f>
        <v/>
      </c>
      <c r="BH312" s="40">
        <f>IF(BG312=1,BC312,"")</f>
        <v/>
      </c>
      <c r="BI312" s="38">
        <f>IF(ISNUMBER(AY312),ROW(),0)</f>
        <v/>
      </c>
      <c r="BJ312" s="43">
        <f>IF(ISNUMBER(BC312),SUM(BC$5:BC312)*10000,NA())</f>
        <v/>
      </c>
      <c r="BK312" s="43">
        <f>IF(BG312=1,SUM(BH$5:BH312)*10000,NA())</f>
        <v/>
      </c>
      <c r="BL312" s="44">
        <f>IF(ISNUMBER(AY312),AY312,NA())</f>
        <v/>
      </c>
    </row>
    <row r="313">
      <c r="A313" s="36">
        <f>IF(Datos!A313="","",Datos!A313)</f>
        <v/>
      </c>
      <c r="B313" s="37">
        <f>IF(OR($A313="",NOT(ISNUMBER(Datos!B313)),NOT(ISNUMBER(Datos!B312))),"",Datos!B313/Datos!B312-1)</f>
        <v/>
      </c>
      <c r="C313" s="37">
        <f>IF(OR($A313="",NOT(ISNUMBER(Datos!C313)),NOT(ISNUMBER(Datos!C312))),"",Datos!C313/Datos!C312-1)</f>
        <v/>
      </c>
      <c r="D313" s="37">
        <f>IF(OR($A313="",NOT(ISNUMBER(Datos!D313)),NOT(ISNUMBER(Datos!D312))),"",Datos!D313/Datos!D312-1)</f>
        <v/>
      </c>
      <c r="E313" s="37">
        <f>IF(OR($A313="",NOT(ISNUMBER(Datos!E313)),NOT(ISNUMBER(Datos!E312))),"",Datos!E313/Datos!E312-1)</f>
        <v/>
      </c>
      <c r="F313" s="38">
        <f>IF($A313="","",COUNT(B313:E313))</f>
        <v/>
      </c>
      <c r="G313" s="37">
        <f>IF($A313="","",IF(F313&gt;=MIN_BANCOS,AVERAGE(B313:E313),""))</f>
        <v/>
      </c>
      <c r="H313" s="37">
        <f>IF(OR($A313="",NOT(ISNUMBER(Datos!F313)),NOT(ISNUMBER(Datos!F312))),"",Datos!F313/Datos!F312-1)</f>
        <v/>
      </c>
      <c r="I313" s="39">
        <f>IF($A313="","",IF(ISNUMBER(Datos!G313),Datos!G313,I312))</f>
        <v/>
      </c>
      <c r="J313" s="40">
        <f>IF($A313="","",IF(ISNUMBER(I312),LN(1+I312/100/12),0))</f>
        <v/>
      </c>
      <c r="K313" s="40">
        <f>IF(ISNUMBER(G313),LN(1+G313)-J313,"")</f>
        <v/>
      </c>
      <c r="L313" s="40">
        <f>IF(ISNUMBER(H313),LN(1+H313)-J313,"")</f>
        <v/>
      </c>
      <c r="M313" s="38">
        <f>IF(ISNUMBER(K313),1,0)</f>
        <v/>
      </c>
      <c r="N313" s="40">
        <f>IF(M313=1,K313,0)</f>
        <v/>
      </c>
      <c r="O313" s="38">
        <f>IF(ISNUMBER(L313),1,0)</f>
        <v/>
      </c>
      <c r="P313" s="40">
        <f>IF(O313=1,L313,0)</f>
        <v/>
      </c>
      <c r="Q313" s="38">
        <f>M313*O313</f>
        <v/>
      </c>
      <c r="R313" s="38">
        <f>SUM(Q277:Q312)</f>
        <v/>
      </c>
      <c r="S313" s="41">
        <f>IF(OR($A313="",R313&lt;MIN_OBS_ROLL),"",(SUMPRODUCT(Q277:Q312,N277:N312,P277:P312)/R313-SUMPRODUCT(Q277:Q312,N277:N312)/R313*SUMPRODUCT(Q277:Q312,P277:P312)/R313)*R313/(R313-1))</f>
        <v/>
      </c>
      <c r="T313" s="38">
        <f>SUM(O277:O312)</f>
        <v/>
      </c>
      <c r="U313" s="41">
        <f>IF(OR($A313="",T313&lt;MIN_OBS_ROLL),"",SUMPRODUCT(O277:O312,(P277:P312-SUMPRODUCT(O277:O312,P277:P312)/T313)^2)/(T313-1))</f>
        <v/>
      </c>
      <c r="V313" s="40">
        <f>IF(OR(S313="",U313=""),"",S313/U313)</f>
        <v/>
      </c>
      <c r="W313" s="40">
        <f>IF(AND(ISNUMBER(K313),ISNUMBER(L313),ISNUMBER(V313)),K313-V313*L313,"")</f>
        <v/>
      </c>
      <c r="X313" s="40">
        <f>IF(OR($A313="",NOT(ISNUMBER(Datos!H313)),NOT(ISNUMBER(Datos!H312))),"",LN(Datos!H313)-LN(Datos!H312))</f>
        <v/>
      </c>
      <c r="Y313" s="38">
        <f>IF(ISNUMBER(W313),1,0)</f>
        <v/>
      </c>
      <c r="Z313" s="40">
        <f>IF(Y313=1,W313,0)</f>
        <v/>
      </c>
      <c r="AA313" s="38">
        <f>IF(ISNUMBER(X313),1,0)</f>
        <v/>
      </c>
      <c r="AB313" s="40">
        <f>IF(AA313=1,X313,0)</f>
        <v/>
      </c>
      <c r="AC313" s="38">
        <f>Y313*AA313</f>
        <v/>
      </c>
      <c r="AD313" s="38">
        <f>SUM(AC277:AC312)</f>
        <v/>
      </c>
      <c r="AE313" s="41">
        <f>IF(OR($A313="",AD313&lt;MIN_OBS_ROLL),"",(SUMPRODUCT(AC277:AC312,Z277:Z312,AB277:AB312)/AD313-SUMPRODUCT(AC277:AC312,Z277:Z312)/AD313*SUMPRODUCT(AC277:AC312,AB277:AB312)/AD313)*AD313/(AD313-1))</f>
        <v/>
      </c>
      <c r="AF313" s="38">
        <f>SUM(AA277:AA312)</f>
        <v/>
      </c>
      <c r="AG313" s="41">
        <f>IF(OR($A313="",AF313&lt;MIN_OBS_ROLL),"",SUMPRODUCT(AA277:AA312,(AB277:AB312-SUMPRODUCT(AA277:AA312,AB277:AB312)/AF313)^2)/(AF313-1))</f>
        <v/>
      </c>
      <c r="AH313" s="38">
        <f>SUM(Y277:Y312)</f>
        <v/>
      </c>
      <c r="AI313" s="40">
        <f>IF(OR($A313="",AH313&lt;MIN_OBS_ROLL),"",SUMPRODUCT(Y277:Y312,Z277:Z312)/AH313)</f>
        <v/>
      </c>
      <c r="AJ313" s="40">
        <f>IF(OR($A313="",AF313&lt;MIN_OBS_ROLL),"",SUMPRODUCT(AA277:AA312,AB277:AB312)/AF313)</f>
        <v/>
      </c>
      <c r="AK313" s="40">
        <f>IF(OR(AE313="",AG313=""),"",AE313/AG313)</f>
        <v/>
      </c>
      <c r="AL313" s="40">
        <f>IF(OR(AI313="",AK313="",AJ313=""),"",AI313-AK313*AJ313)</f>
        <v/>
      </c>
      <c r="AM313" s="40">
        <f>IF(AND(ISNUMBER(W313),ISNUMBER(X313),ISNUMBER(AK313),ISNUMBER(AL313)),W313-(AL313+AK313*X313),"")</f>
        <v/>
      </c>
      <c r="AN313" s="38">
        <f>IF(ISNUMBER(AM313),1,0)</f>
        <v/>
      </c>
      <c r="AO313" s="40">
        <f>IF(AN313=1,AM313,0)</f>
        <v/>
      </c>
      <c r="AP313" s="40">
        <f>IF(SUM(AN311:AN313)=3,SUM(AO311:AO313),"")</f>
        <v/>
      </c>
      <c r="AQ313" s="38">
        <f>IF(ISNUMBER(AP313),1,0)</f>
        <v/>
      </c>
      <c r="AR313" s="40">
        <f>IF(AQ313=1,AP313,0)</f>
        <v/>
      </c>
      <c r="AS313" s="38">
        <f>SUM(AQ$5:AQ313)</f>
        <v/>
      </c>
      <c r="AT313" s="40">
        <f>IF(AS313&gt;=MIN_OBS_Z,SUMPRODUCT(AQ$5:AQ313,AR$5:AR313)/AS313,"")</f>
        <v/>
      </c>
      <c r="AU313" s="40">
        <f>IF(AS313&gt;=MIN_OBS_Z,SQRT(SUMPRODUCT(AQ$5:AQ313,(AR$5:AR313-AT313)^2)/(AS313-1)),"")</f>
        <v/>
      </c>
      <c r="AV313" s="40">
        <f>IF(AND(AQ313=1,ISNUMBER(AT313)),MAX(-Z_CLIP,MIN(Z_CLIP,(AR313-AT313)/AU313)),"")</f>
        <v/>
      </c>
      <c r="AW313" s="40">
        <f>IF(ISNUMBER(AV313),-AV313,"")</f>
        <v/>
      </c>
      <c r="AX313" s="40">
        <f>IF(ISNUMBER(AW313),1+AMPLITUD*TANH(AW313),"")</f>
        <v/>
      </c>
      <c r="AY313" s="40">
        <f>IF($A313="","",IF(COUNT(AX311:AX313)&gt;0,AVERAGE(AX311:AX313),""))</f>
        <v/>
      </c>
      <c r="AZ313" s="40">
        <f>IF(ISNUMBER(AY313),AY313-1,"")</f>
        <v/>
      </c>
      <c r="BA313" s="40">
        <f>IF(AND(ISNUMBER(AZ312),ISNUMBER(W313)),AZ312*W_BANCOS*W313,"")</f>
        <v/>
      </c>
      <c r="BB313" s="40">
        <f>IF(AND(ISNUMBER(AZ312),ISNUMBER(AZ311)),ABS(AZ312-AZ311)*W_BANCOS*COSTO,0)</f>
        <v/>
      </c>
      <c r="BC313" s="40">
        <f>IF(ISNUMBER(BA313),BA313-BB313,"")</f>
        <v/>
      </c>
      <c r="BD313" s="42">
        <f>IF(ISNUMBER(BC313),IF(A313&lt;=FECHA_ERA,"A","B"),"")</f>
        <v/>
      </c>
      <c r="BE313" s="40">
        <f>IF(BD313="A",BC313,"")</f>
        <v/>
      </c>
      <c r="BF313" s="40">
        <f>IF(BD313="B",BC313,"")</f>
        <v/>
      </c>
      <c r="BG313" s="38">
        <f>IF(AND(ISNUMBER(BC313),ISNUMBER(A313)),IF(A313&gt;=INICIO_VIVO,1,0),0)</f>
        <v/>
      </c>
      <c r="BH313" s="40">
        <f>IF(BG313=1,BC313,"")</f>
        <v/>
      </c>
      <c r="BI313" s="38">
        <f>IF(ISNUMBER(AY313),ROW(),0)</f>
        <v/>
      </c>
      <c r="BJ313" s="43">
        <f>IF(ISNUMBER(BC313),SUM(BC$5:BC313)*10000,NA())</f>
        <v/>
      </c>
      <c r="BK313" s="43">
        <f>IF(BG313=1,SUM(BH$5:BH313)*10000,NA())</f>
        <v/>
      </c>
      <c r="BL313" s="44">
        <f>IF(ISNUMBER(AY313),AY313,NA())</f>
        <v/>
      </c>
    </row>
    <row r="314">
      <c r="A314" s="36">
        <f>IF(Datos!A314="","",Datos!A314)</f>
        <v/>
      </c>
      <c r="B314" s="37">
        <f>IF(OR($A314="",NOT(ISNUMBER(Datos!B314)),NOT(ISNUMBER(Datos!B313))),"",Datos!B314/Datos!B313-1)</f>
        <v/>
      </c>
      <c r="C314" s="37">
        <f>IF(OR($A314="",NOT(ISNUMBER(Datos!C314)),NOT(ISNUMBER(Datos!C313))),"",Datos!C314/Datos!C313-1)</f>
        <v/>
      </c>
      <c r="D314" s="37">
        <f>IF(OR($A314="",NOT(ISNUMBER(Datos!D314)),NOT(ISNUMBER(Datos!D313))),"",Datos!D314/Datos!D313-1)</f>
        <v/>
      </c>
      <c r="E314" s="37">
        <f>IF(OR($A314="",NOT(ISNUMBER(Datos!E314)),NOT(ISNUMBER(Datos!E313))),"",Datos!E314/Datos!E313-1)</f>
        <v/>
      </c>
      <c r="F314" s="38">
        <f>IF($A314="","",COUNT(B314:E314))</f>
        <v/>
      </c>
      <c r="G314" s="37">
        <f>IF($A314="","",IF(F314&gt;=MIN_BANCOS,AVERAGE(B314:E314),""))</f>
        <v/>
      </c>
      <c r="H314" s="37">
        <f>IF(OR($A314="",NOT(ISNUMBER(Datos!F314)),NOT(ISNUMBER(Datos!F313))),"",Datos!F314/Datos!F313-1)</f>
        <v/>
      </c>
      <c r="I314" s="39">
        <f>IF($A314="","",IF(ISNUMBER(Datos!G314),Datos!G314,I313))</f>
        <v/>
      </c>
      <c r="J314" s="40">
        <f>IF($A314="","",IF(ISNUMBER(I313),LN(1+I313/100/12),0))</f>
        <v/>
      </c>
      <c r="K314" s="40">
        <f>IF(ISNUMBER(G314),LN(1+G314)-J314,"")</f>
        <v/>
      </c>
      <c r="L314" s="40">
        <f>IF(ISNUMBER(H314),LN(1+H314)-J314,"")</f>
        <v/>
      </c>
      <c r="M314" s="38">
        <f>IF(ISNUMBER(K314),1,0)</f>
        <v/>
      </c>
      <c r="N314" s="40">
        <f>IF(M314=1,K314,0)</f>
        <v/>
      </c>
      <c r="O314" s="38">
        <f>IF(ISNUMBER(L314),1,0)</f>
        <v/>
      </c>
      <c r="P314" s="40">
        <f>IF(O314=1,L314,0)</f>
        <v/>
      </c>
      <c r="Q314" s="38">
        <f>M314*O314</f>
        <v/>
      </c>
      <c r="R314" s="38">
        <f>SUM(Q278:Q313)</f>
        <v/>
      </c>
      <c r="S314" s="41">
        <f>IF(OR($A314="",R314&lt;MIN_OBS_ROLL),"",(SUMPRODUCT(Q278:Q313,N278:N313,P278:P313)/R314-SUMPRODUCT(Q278:Q313,N278:N313)/R314*SUMPRODUCT(Q278:Q313,P278:P313)/R314)*R314/(R314-1))</f>
        <v/>
      </c>
      <c r="T314" s="38">
        <f>SUM(O278:O313)</f>
        <v/>
      </c>
      <c r="U314" s="41">
        <f>IF(OR($A314="",T314&lt;MIN_OBS_ROLL),"",SUMPRODUCT(O278:O313,(P278:P313-SUMPRODUCT(O278:O313,P278:P313)/T314)^2)/(T314-1))</f>
        <v/>
      </c>
      <c r="V314" s="40">
        <f>IF(OR(S314="",U314=""),"",S314/U314)</f>
        <v/>
      </c>
      <c r="W314" s="40">
        <f>IF(AND(ISNUMBER(K314),ISNUMBER(L314),ISNUMBER(V314)),K314-V314*L314,"")</f>
        <v/>
      </c>
      <c r="X314" s="40">
        <f>IF(OR($A314="",NOT(ISNUMBER(Datos!H314)),NOT(ISNUMBER(Datos!H313))),"",LN(Datos!H314)-LN(Datos!H313))</f>
        <v/>
      </c>
      <c r="Y314" s="38">
        <f>IF(ISNUMBER(W314),1,0)</f>
        <v/>
      </c>
      <c r="Z314" s="40">
        <f>IF(Y314=1,W314,0)</f>
        <v/>
      </c>
      <c r="AA314" s="38">
        <f>IF(ISNUMBER(X314),1,0)</f>
        <v/>
      </c>
      <c r="AB314" s="40">
        <f>IF(AA314=1,X314,0)</f>
        <v/>
      </c>
      <c r="AC314" s="38">
        <f>Y314*AA314</f>
        <v/>
      </c>
      <c r="AD314" s="38">
        <f>SUM(AC278:AC313)</f>
        <v/>
      </c>
      <c r="AE314" s="41">
        <f>IF(OR($A314="",AD314&lt;MIN_OBS_ROLL),"",(SUMPRODUCT(AC278:AC313,Z278:Z313,AB278:AB313)/AD314-SUMPRODUCT(AC278:AC313,Z278:Z313)/AD314*SUMPRODUCT(AC278:AC313,AB278:AB313)/AD314)*AD314/(AD314-1))</f>
        <v/>
      </c>
      <c r="AF314" s="38">
        <f>SUM(AA278:AA313)</f>
        <v/>
      </c>
      <c r="AG314" s="41">
        <f>IF(OR($A314="",AF314&lt;MIN_OBS_ROLL),"",SUMPRODUCT(AA278:AA313,(AB278:AB313-SUMPRODUCT(AA278:AA313,AB278:AB313)/AF314)^2)/(AF314-1))</f>
        <v/>
      </c>
      <c r="AH314" s="38">
        <f>SUM(Y278:Y313)</f>
        <v/>
      </c>
      <c r="AI314" s="40">
        <f>IF(OR($A314="",AH314&lt;MIN_OBS_ROLL),"",SUMPRODUCT(Y278:Y313,Z278:Z313)/AH314)</f>
        <v/>
      </c>
      <c r="AJ314" s="40">
        <f>IF(OR($A314="",AF314&lt;MIN_OBS_ROLL),"",SUMPRODUCT(AA278:AA313,AB278:AB313)/AF314)</f>
        <v/>
      </c>
      <c r="AK314" s="40">
        <f>IF(OR(AE314="",AG314=""),"",AE314/AG314)</f>
        <v/>
      </c>
      <c r="AL314" s="40">
        <f>IF(OR(AI314="",AK314="",AJ314=""),"",AI314-AK314*AJ314)</f>
        <v/>
      </c>
      <c r="AM314" s="40">
        <f>IF(AND(ISNUMBER(W314),ISNUMBER(X314),ISNUMBER(AK314),ISNUMBER(AL314)),W314-(AL314+AK314*X314),"")</f>
        <v/>
      </c>
      <c r="AN314" s="38">
        <f>IF(ISNUMBER(AM314),1,0)</f>
        <v/>
      </c>
      <c r="AO314" s="40">
        <f>IF(AN314=1,AM314,0)</f>
        <v/>
      </c>
      <c r="AP314" s="40">
        <f>IF(SUM(AN312:AN314)=3,SUM(AO312:AO314),"")</f>
        <v/>
      </c>
      <c r="AQ314" s="38">
        <f>IF(ISNUMBER(AP314),1,0)</f>
        <v/>
      </c>
      <c r="AR314" s="40">
        <f>IF(AQ314=1,AP314,0)</f>
        <v/>
      </c>
      <c r="AS314" s="38">
        <f>SUM(AQ$5:AQ314)</f>
        <v/>
      </c>
      <c r="AT314" s="40">
        <f>IF(AS314&gt;=MIN_OBS_Z,SUMPRODUCT(AQ$5:AQ314,AR$5:AR314)/AS314,"")</f>
        <v/>
      </c>
      <c r="AU314" s="40">
        <f>IF(AS314&gt;=MIN_OBS_Z,SQRT(SUMPRODUCT(AQ$5:AQ314,(AR$5:AR314-AT314)^2)/(AS314-1)),"")</f>
        <v/>
      </c>
      <c r="AV314" s="40">
        <f>IF(AND(AQ314=1,ISNUMBER(AT314)),MAX(-Z_CLIP,MIN(Z_CLIP,(AR314-AT314)/AU314)),"")</f>
        <v/>
      </c>
      <c r="AW314" s="40">
        <f>IF(ISNUMBER(AV314),-AV314,"")</f>
        <v/>
      </c>
      <c r="AX314" s="40">
        <f>IF(ISNUMBER(AW314),1+AMPLITUD*TANH(AW314),"")</f>
        <v/>
      </c>
      <c r="AY314" s="40">
        <f>IF($A314="","",IF(COUNT(AX312:AX314)&gt;0,AVERAGE(AX312:AX314),""))</f>
        <v/>
      </c>
      <c r="AZ314" s="40">
        <f>IF(ISNUMBER(AY314),AY314-1,"")</f>
        <v/>
      </c>
      <c r="BA314" s="40">
        <f>IF(AND(ISNUMBER(AZ313),ISNUMBER(W314)),AZ313*W_BANCOS*W314,"")</f>
        <v/>
      </c>
      <c r="BB314" s="40">
        <f>IF(AND(ISNUMBER(AZ313),ISNUMBER(AZ312)),ABS(AZ313-AZ312)*W_BANCOS*COSTO,0)</f>
        <v/>
      </c>
      <c r="BC314" s="40">
        <f>IF(ISNUMBER(BA314),BA314-BB314,"")</f>
        <v/>
      </c>
      <c r="BD314" s="42">
        <f>IF(ISNUMBER(BC314),IF(A314&lt;=FECHA_ERA,"A","B"),"")</f>
        <v/>
      </c>
      <c r="BE314" s="40">
        <f>IF(BD314="A",BC314,"")</f>
        <v/>
      </c>
      <c r="BF314" s="40">
        <f>IF(BD314="B",BC314,"")</f>
        <v/>
      </c>
      <c r="BG314" s="38">
        <f>IF(AND(ISNUMBER(BC314),ISNUMBER(A314)),IF(A314&gt;=INICIO_VIVO,1,0),0)</f>
        <v/>
      </c>
      <c r="BH314" s="40">
        <f>IF(BG314=1,BC314,"")</f>
        <v/>
      </c>
      <c r="BI314" s="38">
        <f>IF(ISNUMBER(AY314),ROW(),0)</f>
        <v/>
      </c>
      <c r="BJ314" s="43">
        <f>IF(ISNUMBER(BC314),SUM(BC$5:BC314)*10000,NA())</f>
        <v/>
      </c>
      <c r="BK314" s="43">
        <f>IF(BG314=1,SUM(BH$5:BH314)*10000,NA())</f>
        <v/>
      </c>
      <c r="BL314" s="44">
        <f>IF(ISNUMBER(AY314),AY314,NA())</f>
        <v/>
      </c>
    </row>
    <row r="315">
      <c r="A315" s="36">
        <f>IF(Datos!A315="","",Datos!A315)</f>
        <v/>
      </c>
      <c r="B315" s="37">
        <f>IF(OR($A315="",NOT(ISNUMBER(Datos!B315)),NOT(ISNUMBER(Datos!B314))),"",Datos!B315/Datos!B314-1)</f>
        <v/>
      </c>
      <c r="C315" s="37">
        <f>IF(OR($A315="",NOT(ISNUMBER(Datos!C315)),NOT(ISNUMBER(Datos!C314))),"",Datos!C315/Datos!C314-1)</f>
        <v/>
      </c>
      <c r="D315" s="37">
        <f>IF(OR($A315="",NOT(ISNUMBER(Datos!D315)),NOT(ISNUMBER(Datos!D314))),"",Datos!D315/Datos!D314-1)</f>
        <v/>
      </c>
      <c r="E315" s="37">
        <f>IF(OR($A315="",NOT(ISNUMBER(Datos!E315)),NOT(ISNUMBER(Datos!E314))),"",Datos!E315/Datos!E314-1)</f>
        <v/>
      </c>
      <c r="F315" s="38">
        <f>IF($A315="","",COUNT(B315:E315))</f>
        <v/>
      </c>
      <c r="G315" s="37">
        <f>IF($A315="","",IF(F315&gt;=MIN_BANCOS,AVERAGE(B315:E315),""))</f>
        <v/>
      </c>
      <c r="H315" s="37">
        <f>IF(OR($A315="",NOT(ISNUMBER(Datos!F315)),NOT(ISNUMBER(Datos!F314))),"",Datos!F315/Datos!F314-1)</f>
        <v/>
      </c>
      <c r="I315" s="39">
        <f>IF($A315="","",IF(ISNUMBER(Datos!G315),Datos!G315,I314))</f>
        <v/>
      </c>
      <c r="J315" s="40">
        <f>IF($A315="","",IF(ISNUMBER(I314),LN(1+I314/100/12),0))</f>
        <v/>
      </c>
      <c r="K315" s="40">
        <f>IF(ISNUMBER(G315),LN(1+G315)-J315,"")</f>
        <v/>
      </c>
      <c r="L315" s="40">
        <f>IF(ISNUMBER(H315),LN(1+H315)-J315,"")</f>
        <v/>
      </c>
      <c r="M315" s="38">
        <f>IF(ISNUMBER(K315),1,0)</f>
        <v/>
      </c>
      <c r="N315" s="40">
        <f>IF(M315=1,K315,0)</f>
        <v/>
      </c>
      <c r="O315" s="38">
        <f>IF(ISNUMBER(L315),1,0)</f>
        <v/>
      </c>
      <c r="P315" s="40">
        <f>IF(O315=1,L315,0)</f>
        <v/>
      </c>
      <c r="Q315" s="38">
        <f>M315*O315</f>
        <v/>
      </c>
      <c r="R315" s="38">
        <f>SUM(Q279:Q314)</f>
        <v/>
      </c>
      <c r="S315" s="41">
        <f>IF(OR($A315="",R315&lt;MIN_OBS_ROLL),"",(SUMPRODUCT(Q279:Q314,N279:N314,P279:P314)/R315-SUMPRODUCT(Q279:Q314,N279:N314)/R315*SUMPRODUCT(Q279:Q314,P279:P314)/R315)*R315/(R315-1))</f>
        <v/>
      </c>
      <c r="T315" s="38">
        <f>SUM(O279:O314)</f>
        <v/>
      </c>
      <c r="U315" s="41">
        <f>IF(OR($A315="",T315&lt;MIN_OBS_ROLL),"",SUMPRODUCT(O279:O314,(P279:P314-SUMPRODUCT(O279:O314,P279:P314)/T315)^2)/(T315-1))</f>
        <v/>
      </c>
      <c r="V315" s="40">
        <f>IF(OR(S315="",U315=""),"",S315/U315)</f>
        <v/>
      </c>
      <c r="W315" s="40">
        <f>IF(AND(ISNUMBER(K315),ISNUMBER(L315),ISNUMBER(V315)),K315-V315*L315,"")</f>
        <v/>
      </c>
      <c r="X315" s="40">
        <f>IF(OR($A315="",NOT(ISNUMBER(Datos!H315)),NOT(ISNUMBER(Datos!H314))),"",LN(Datos!H315)-LN(Datos!H314))</f>
        <v/>
      </c>
      <c r="Y315" s="38">
        <f>IF(ISNUMBER(W315),1,0)</f>
        <v/>
      </c>
      <c r="Z315" s="40">
        <f>IF(Y315=1,W315,0)</f>
        <v/>
      </c>
      <c r="AA315" s="38">
        <f>IF(ISNUMBER(X315),1,0)</f>
        <v/>
      </c>
      <c r="AB315" s="40">
        <f>IF(AA315=1,X315,0)</f>
        <v/>
      </c>
      <c r="AC315" s="38">
        <f>Y315*AA315</f>
        <v/>
      </c>
      <c r="AD315" s="38">
        <f>SUM(AC279:AC314)</f>
        <v/>
      </c>
      <c r="AE315" s="41">
        <f>IF(OR($A315="",AD315&lt;MIN_OBS_ROLL),"",(SUMPRODUCT(AC279:AC314,Z279:Z314,AB279:AB314)/AD315-SUMPRODUCT(AC279:AC314,Z279:Z314)/AD315*SUMPRODUCT(AC279:AC314,AB279:AB314)/AD315)*AD315/(AD315-1))</f>
        <v/>
      </c>
      <c r="AF315" s="38">
        <f>SUM(AA279:AA314)</f>
        <v/>
      </c>
      <c r="AG315" s="41">
        <f>IF(OR($A315="",AF315&lt;MIN_OBS_ROLL),"",SUMPRODUCT(AA279:AA314,(AB279:AB314-SUMPRODUCT(AA279:AA314,AB279:AB314)/AF315)^2)/(AF315-1))</f>
        <v/>
      </c>
      <c r="AH315" s="38">
        <f>SUM(Y279:Y314)</f>
        <v/>
      </c>
      <c r="AI315" s="40">
        <f>IF(OR($A315="",AH315&lt;MIN_OBS_ROLL),"",SUMPRODUCT(Y279:Y314,Z279:Z314)/AH315)</f>
        <v/>
      </c>
      <c r="AJ315" s="40">
        <f>IF(OR($A315="",AF315&lt;MIN_OBS_ROLL),"",SUMPRODUCT(AA279:AA314,AB279:AB314)/AF315)</f>
        <v/>
      </c>
      <c r="AK315" s="40">
        <f>IF(OR(AE315="",AG315=""),"",AE315/AG315)</f>
        <v/>
      </c>
      <c r="AL315" s="40">
        <f>IF(OR(AI315="",AK315="",AJ315=""),"",AI315-AK315*AJ315)</f>
        <v/>
      </c>
      <c r="AM315" s="40">
        <f>IF(AND(ISNUMBER(W315),ISNUMBER(X315),ISNUMBER(AK315),ISNUMBER(AL315)),W315-(AL315+AK315*X315),"")</f>
        <v/>
      </c>
      <c r="AN315" s="38">
        <f>IF(ISNUMBER(AM315),1,0)</f>
        <v/>
      </c>
      <c r="AO315" s="40">
        <f>IF(AN315=1,AM315,0)</f>
        <v/>
      </c>
      <c r="AP315" s="40">
        <f>IF(SUM(AN313:AN315)=3,SUM(AO313:AO315),"")</f>
        <v/>
      </c>
      <c r="AQ315" s="38">
        <f>IF(ISNUMBER(AP315),1,0)</f>
        <v/>
      </c>
      <c r="AR315" s="40">
        <f>IF(AQ315=1,AP315,0)</f>
        <v/>
      </c>
      <c r="AS315" s="38">
        <f>SUM(AQ$5:AQ315)</f>
        <v/>
      </c>
      <c r="AT315" s="40">
        <f>IF(AS315&gt;=MIN_OBS_Z,SUMPRODUCT(AQ$5:AQ315,AR$5:AR315)/AS315,"")</f>
        <v/>
      </c>
      <c r="AU315" s="40">
        <f>IF(AS315&gt;=MIN_OBS_Z,SQRT(SUMPRODUCT(AQ$5:AQ315,(AR$5:AR315-AT315)^2)/(AS315-1)),"")</f>
        <v/>
      </c>
      <c r="AV315" s="40">
        <f>IF(AND(AQ315=1,ISNUMBER(AT315)),MAX(-Z_CLIP,MIN(Z_CLIP,(AR315-AT315)/AU315)),"")</f>
        <v/>
      </c>
      <c r="AW315" s="40">
        <f>IF(ISNUMBER(AV315),-AV315,"")</f>
        <v/>
      </c>
      <c r="AX315" s="40">
        <f>IF(ISNUMBER(AW315),1+AMPLITUD*TANH(AW315),"")</f>
        <v/>
      </c>
      <c r="AY315" s="40">
        <f>IF($A315="","",IF(COUNT(AX313:AX315)&gt;0,AVERAGE(AX313:AX315),""))</f>
        <v/>
      </c>
      <c r="AZ315" s="40">
        <f>IF(ISNUMBER(AY315),AY315-1,"")</f>
        <v/>
      </c>
      <c r="BA315" s="40">
        <f>IF(AND(ISNUMBER(AZ314),ISNUMBER(W315)),AZ314*W_BANCOS*W315,"")</f>
        <v/>
      </c>
      <c r="BB315" s="40">
        <f>IF(AND(ISNUMBER(AZ314),ISNUMBER(AZ313)),ABS(AZ314-AZ313)*W_BANCOS*COSTO,0)</f>
        <v/>
      </c>
      <c r="BC315" s="40">
        <f>IF(ISNUMBER(BA315),BA315-BB315,"")</f>
        <v/>
      </c>
      <c r="BD315" s="42">
        <f>IF(ISNUMBER(BC315),IF(A315&lt;=FECHA_ERA,"A","B"),"")</f>
        <v/>
      </c>
      <c r="BE315" s="40">
        <f>IF(BD315="A",BC315,"")</f>
        <v/>
      </c>
      <c r="BF315" s="40">
        <f>IF(BD315="B",BC315,"")</f>
        <v/>
      </c>
      <c r="BG315" s="38">
        <f>IF(AND(ISNUMBER(BC315),ISNUMBER(A315)),IF(A315&gt;=INICIO_VIVO,1,0),0)</f>
        <v/>
      </c>
      <c r="BH315" s="40">
        <f>IF(BG315=1,BC315,"")</f>
        <v/>
      </c>
      <c r="BI315" s="38">
        <f>IF(ISNUMBER(AY315),ROW(),0)</f>
        <v/>
      </c>
      <c r="BJ315" s="43">
        <f>IF(ISNUMBER(BC315),SUM(BC$5:BC315)*10000,NA())</f>
        <v/>
      </c>
      <c r="BK315" s="43">
        <f>IF(BG315=1,SUM(BH$5:BH315)*10000,NA())</f>
        <v/>
      </c>
      <c r="BL315" s="44">
        <f>IF(ISNUMBER(AY315),AY315,NA())</f>
        <v/>
      </c>
    </row>
    <row r="316">
      <c r="A316" s="36">
        <f>IF(Datos!A316="","",Datos!A316)</f>
        <v/>
      </c>
      <c r="B316" s="37">
        <f>IF(OR($A316="",NOT(ISNUMBER(Datos!B316)),NOT(ISNUMBER(Datos!B315))),"",Datos!B316/Datos!B315-1)</f>
        <v/>
      </c>
      <c r="C316" s="37">
        <f>IF(OR($A316="",NOT(ISNUMBER(Datos!C316)),NOT(ISNUMBER(Datos!C315))),"",Datos!C316/Datos!C315-1)</f>
        <v/>
      </c>
      <c r="D316" s="37">
        <f>IF(OR($A316="",NOT(ISNUMBER(Datos!D316)),NOT(ISNUMBER(Datos!D315))),"",Datos!D316/Datos!D315-1)</f>
        <v/>
      </c>
      <c r="E316" s="37">
        <f>IF(OR($A316="",NOT(ISNUMBER(Datos!E316)),NOT(ISNUMBER(Datos!E315))),"",Datos!E316/Datos!E315-1)</f>
        <v/>
      </c>
      <c r="F316" s="38">
        <f>IF($A316="","",COUNT(B316:E316))</f>
        <v/>
      </c>
      <c r="G316" s="37">
        <f>IF($A316="","",IF(F316&gt;=MIN_BANCOS,AVERAGE(B316:E316),""))</f>
        <v/>
      </c>
      <c r="H316" s="37">
        <f>IF(OR($A316="",NOT(ISNUMBER(Datos!F316)),NOT(ISNUMBER(Datos!F315))),"",Datos!F316/Datos!F315-1)</f>
        <v/>
      </c>
      <c r="I316" s="39">
        <f>IF($A316="","",IF(ISNUMBER(Datos!G316),Datos!G316,I315))</f>
        <v/>
      </c>
      <c r="J316" s="40">
        <f>IF($A316="","",IF(ISNUMBER(I315),LN(1+I315/100/12),0))</f>
        <v/>
      </c>
      <c r="K316" s="40">
        <f>IF(ISNUMBER(G316),LN(1+G316)-J316,"")</f>
        <v/>
      </c>
      <c r="L316" s="40">
        <f>IF(ISNUMBER(H316),LN(1+H316)-J316,"")</f>
        <v/>
      </c>
      <c r="M316" s="38">
        <f>IF(ISNUMBER(K316),1,0)</f>
        <v/>
      </c>
      <c r="N316" s="40">
        <f>IF(M316=1,K316,0)</f>
        <v/>
      </c>
      <c r="O316" s="38">
        <f>IF(ISNUMBER(L316),1,0)</f>
        <v/>
      </c>
      <c r="P316" s="40">
        <f>IF(O316=1,L316,0)</f>
        <v/>
      </c>
      <c r="Q316" s="38">
        <f>M316*O316</f>
        <v/>
      </c>
      <c r="R316" s="38">
        <f>SUM(Q280:Q315)</f>
        <v/>
      </c>
      <c r="S316" s="41">
        <f>IF(OR($A316="",R316&lt;MIN_OBS_ROLL),"",(SUMPRODUCT(Q280:Q315,N280:N315,P280:P315)/R316-SUMPRODUCT(Q280:Q315,N280:N315)/R316*SUMPRODUCT(Q280:Q315,P280:P315)/R316)*R316/(R316-1))</f>
        <v/>
      </c>
      <c r="T316" s="38">
        <f>SUM(O280:O315)</f>
        <v/>
      </c>
      <c r="U316" s="41">
        <f>IF(OR($A316="",T316&lt;MIN_OBS_ROLL),"",SUMPRODUCT(O280:O315,(P280:P315-SUMPRODUCT(O280:O315,P280:P315)/T316)^2)/(T316-1))</f>
        <v/>
      </c>
      <c r="V316" s="40">
        <f>IF(OR(S316="",U316=""),"",S316/U316)</f>
        <v/>
      </c>
      <c r="W316" s="40">
        <f>IF(AND(ISNUMBER(K316),ISNUMBER(L316),ISNUMBER(V316)),K316-V316*L316,"")</f>
        <v/>
      </c>
      <c r="X316" s="40">
        <f>IF(OR($A316="",NOT(ISNUMBER(Datos!H316)),NOT(ISNUMBER(Datos!H315))),"",LN(Datos!H316)-LN(Datos!H315))</f>
        <v/>
      </c>
      <c r="Y316" s="38">
        <f>IF(ISNUMBER(W316),1,0)</f>
        <v/>
      </c>
      <c r="Z316" s="40">
        <f>IF(Y316=1,W316,0)</f>
        <v/>
      </c>
      <c r="AA316" s="38">
        <f>IF(ISNUMBER(X316),1,0)</f>
        <v/>
      </c>
      <c r="AB316" s="40">
        <f>IF(AA316=1,X316,0)</f>
        <v/>
      </c>
      <c r="AC316" s="38">
        <f>Y316*AA316</f>
        <v/>
      </c>
      <c r="AD316" s="38">
        <f>SUM(AC280:AC315)</f>
        <v/>
      </c>
      <c r="AE316" s="41">
        <f>IF(OR($A316="",AD316&lt;MIN_OBS_ROLL),"",(SUMPRODUCT(AC280:AC315,Z280:Z315,AB280:AB315)/AD316-SUMPRODUCT(AC280:AC315,Z280:Z315)/AD316*SUMPRODUCT(AC280:AC315,AB280:AB315)/AD316)*AD316/(AD316-1))</f>
        <v/>
      </c>
      <c r="AF316" s="38">
        <f>SUM(AA280:AA315)</f>
        <v/>
      </c>
      <c r="AG316" s="41">
        <f>IF(OR($A316="",AF316&lt;MIN_OBS_ROLL),"",SUMPRODUCT(AA280:AA315,(AB280:AB315-SUMPRODUCT(AA280:AA315,AB280:AB315)/AF316)^2)/(AF316-1))</f>
        <v/>
      </c>
      <c r="AH316" s="38">
        <f>SUM(Y280:Y315)</f>
        <v/>
      </c>
      <c r="AI316" s="40">
        <f>IF(OR($A316="",AH316&lt;MIN_OBS_ROLL),"",SUMPRODUCT(Y280:Y315,Z280:Z315)/AH316)</f>
        <v/>
      </c>
      <c r="AJ316" s="40">
        <f>IF(OR($A316="",AF316&lt;MIN_OBS_ROLL),"",SUMPRODUCT(AA280:AA315,AB280:AB315)/AF316)</f>
        <v/>
      </c>
      <c r="AK316" s="40">
        <f>IF(OR(AE316="",AG316=""),"",AE316/AG316)</f>
        <v/>
      </c>
      <c r="AL316" s="40">
        <f>IF(OR(AI316="",AK316="",AJ316=""),"",AI316-AK316*AJ316)</f>
        <v/>
      </c>
      <c r="AM316" s="40">
        <f>IF(AND(ISNUMBER(W316),ISNUMBER(X316),ISNUMBER(AK316),ISNUMBER(AL316)),W316-(AL316+AK316*X316),"")</f>
        <v/>
      </c>
      <c r="AN316" s="38">
        <f>IF(ISNUMBER(AM316),1,0)</f>
        <v/>
      </c>
      <c r="AO316" s="40">
        <f>IF(AN316=1,AM316,0)</f>
        <v/>
      </c>
      <c r="AP316" s="40">
        <f>IF(SUM(AN314:AN316)=3,SUM(AO314:AO316),"")</f>
        <v/>
      </c>
      <c r="AQ316" s="38">
        <f>IF(ISNUMBER(AP316),1,0)</f>
        <v/>
      </c>
      <c r="AR316" s="40">
        <f>IF(AQ316=1,AP316,0)</f>
        <v/>
      </c>
      <c r="AS316" s="38">
        <f>SUM(AQ$5:AQ316)</f>
        <v/>
      </c>
      <c r="AT316" s="40">
        <f>IF(AS316&gt;=MIN_OBS_Z,SUMPRODUCT(AQ$5:AQ316,AR$5:AR316)/AS316,"")</f>
        <v/>
      </c>
      <c r="AU316" s="40">
        <f>IF(AS316&gt;=MIN_OBS_Z,SQRT(SUMPRODUCT(AQ$5:AQ316,(AR$5:AR316-AT316)^2)/(AS316-1)),"")</f>
        <v/>
      </c>
      <c r="AV316" s="40">
        <f>IF(AND(AQ316=1,ISNUMBER(AT316)),MAX(-Z_CLIP,MIN(Z_CLIP,(AR316-AT316)/AU316)),"")</f>
        <v/>
      </c>
      <c r="AW316" s="40">
        <f>IF(ISNUMBER(AV316),-AV316,"")</f>
        <v/>
      </c>
      <c r="AX316" s="40">
        <f>IF(ISNUMBER(AW316),1+AMPLITUD*TANH(AW316),"")</f>
        <v/>
      </c>
      <c r="AY316" s="40">
        <f>IF($A316="","",IF(COUNT(AX314:AX316)&gt;0,AVERAGE(AX314:AX316),""))</f>
        <v/>
      </c>
      <c r="AZ316" s="40">
        <f>IF(ISNUMBER(AY316),AY316-1,"")</f>
        <v/>
      </c>
      <c r="BA316" s="40">
        <f>IF(AND(ISNUMBER(AZ315),ISNUMBER(W316)),AZ315*W_BANCOS*W316,"")</f>
        <v/>
      </c>
      <c r="BB316" s="40">
        <f>IF(AND(ISNUMBER(AZ315),ISNUMBER(AZ314)),ABS(AZ315-AZ314)*W_BANCOS*COSTO,0)</f>
        <v/>
      </c>
      <c r="BC316" s="40">
        <f>IF(ISNUMBER(BA316),BA316-BB316,"")</f>
        <v/>
      </c>
      <c r="BD316" s="42">
        <f>IF(ISNUMBER(BC316),IF(A316&lt;=FECHA_ERA,"A","B"),"")</f>
        <v/>
      </c>
      <c r="BE316" s="40">
        <f>IF(BD316="A",BC316,"")</f>
        <v/>
      </c>
      <c r="BF316" s="40">
        <f>IF(BD316="B",BC316,"")</f>
        <v/>
      </c>
      <c r="BG316" s="38">
        <f>IF(AND(ISNUMBER(BC316),ISNUMBER(A316)),IF(A316&gt;=INICIO_VIVO,1,0),0)</f>
        <v/>
      </c>
      <c r="BH316" s="40">
        <f>IF(BG316=1,BC316,"")</f>
        <v/>
      </c>
      <c r="BI316" s="38">
        <f>IF(ISNUMBER(AY316),ROW(),0)</f>
        <v/>
      </c>
      <c r="BJ316" s="43">
        <f>IF(ISNUMBER(BC316),SUM(BC$5:BC316)*10000,NA())</f>
        <v/>
      </c>
      <c r="BK316" s="43">
        <f>IF(BG316=1,SUM(BH$5:BH316)*10000,NA())</f>
        <v/>
      </c>
      <c r="BL316" s="44">
        <f>IF(ISNUMBER(AY316),AY316,NA())</f>
        <v/>
      </c>
    </row>
    <row r="317">
      <c r="A317" s="36">
        <f>IF(Datos!A317="","",Datos!A317)</f>
        <v/>
      </c>
      <c r="B317" s="37">
        <f>IF(OR($A317="",NOT(ISNUMBER(Datos!B317)),NOT(ISNUMBER(Datos!B316))),"",Datos!B317/Datos!B316-1)</f>
        <v/>
      </c>
      <c r="C317" s="37">
        <f>IF(OR($A317="",NOT(ISNUMBER(Datos!C317)),NOT(ISNUMBER(Datos!C316))),"",Datos!C317/Datos!C316-1)</f>
        <v/>
      </c>
      <c r="D317" s="37">
        <f>IF(OR($A317="",NOT(ISNUMBER(Datos!D317)),NOT(ISNUMBER(Datos!D316))),"",Datos!D317/Datos!D316-1)</f>
        <v/>
      </c>
      <c r="E317" s="37">
        <f>IF(OR($A317="",NOT(ISNUMBER(Datos!E317)),NOT(ISNUMBER(Datos!E316))),"",Datos!E317/Datos!E316-1)</f>
        <v/>
      </c>
      <c r="F317" s="38">
        <f>IF($A317="","",COUNT(B317:E317))</f>
        <v/>
      </c>
      <c r="G317" s="37">
        <f>IF($A317="","",IF(F317&gt;=MIN_BANCOS,AVERAGE(B317:E317),""))</f>
        <v/>
      </c>
      <c r="H317" s="37">
        <f>IF(OR($A317="",NOT(ISNUMBER(Datos!F317)),NOT(ISNUMBER(Datos!F316))),"",Datos!F317/Datos!F316-1)</f>
        <v/>
      </c>
      <c r="I317" s="39">
        <f>IF($A317="","",IF(ISNUMBER(Datos!G317),Datos!G317,I316))</f>
        <v/>
      </c>
      <c r="J317" s="40">
        <f>IF($A317="","",IF(ISNUMBER(I316),LN(1+I316/100/12),0))</f>
        <v/>
      </c>
      <c r="K317" s="40">
        <f>IF(ISNUMBER(G317),LN(1+G317)-J317,"")</f>
        <v/>
      </c>
      <c r="L317" s="40">
        <f>IF(ISNUMBER(H317),LN(1+H317)-J317,"")</f>
        <v/>
      </c>
      <c r="M317" s="38">
        <f>IF(ISNUMBER(K317),1,0)</f>
        <v/>
      </c>
      <c r="N317" s="40">
        <f>IF(M317=1,K317,0)</f>
        <v/>
      </c>
      <c r="O317" s="38">
        <f>IF(ISNUMBER(L317),1,0)</f>
        <v/>
      </c>
      <c r="P317" s="40">
        <f>IF(O317=1,L317,0)</f>
        <v/>
      </c>
      <c r="Q317" s="38">
        <f>M317*O317</f>
        <v/>
      </c>
      <c r="R317" s="38">
        <f>SUM(Q281:Q316)</f>
        <v/>
      </c>
      <c r="S317" s="41">
        <f>IF(OR($A317="",R317&lt;MIN_OBS_ROLL),"",(SUMPRODUCT(Q281:Q316,N281:N316,P281:P316)/R317-SUMPRODUCT(Q281:Q316,N281:N316)/R317*SUMPRODUCT(Q281:Q316,P281:P316)/R317)*R317/(R317-1))</f>
        <v/>
      </c>
      <c r="T317" s="38">
        <f>SUM(O281:O316)</f>
        <v/>
      </c>
      <c r="U317" s="41">
        <f>IF(OR($A317="",T317&lt;MIN_OBS_ROLL),"",SUMPRODUCT(O281:O316,(P281:P316-SUMPRODUCT(O281:O316,P281:P316)/T317)^2)/(T317-1))</f>
        <v/>
      </c>
      <c r="V317" s="40">
        <f>IF(OR(S317="",U317=""),"",S317/U317)</f>
        <v/>
      </c>
      <c r="W317" s="40">
        <f>IF(AND(ISNUMBER(K317),ISNUMBER(L317),ISNUMBER(V317)),K317-V317*L317,"")</f>
        <v/>
      </c>
      <c r="X317" s="40">
        <f>IF(OR($A317="",NOT(ISNUMBER(Datos!H317)),NOT(ISNUMBER(Datos!H316))),"",LN(Datos!H317)-LN(Datos!H316))</f>
        <v/>
      </c>
      <c r="Y317" s="38">
        <f>IF(ISNUMBER(W317),1,0)</f>
        <v/>
      </c>
      <c r="Z317" s="40">
        <f>IF(Y317=1,W317,0)</f>
        <v/>
      </c>
      <c r="AA317" s="38">
        <f>IF(ISNUMBER(X317),1,0)</f>
        <v/>
      </c>
      <c r="AB317" s="40">
        <f>IF(AA317=1,X317,0)</f>
        <v/>
      </c>
      <c r="AC317" s="38">
        <f>Y317*AA317</f>
        <v/>
      </c>
      <c r="AD317" s="38">
        <f>SUM(AC281:AC316)</f>
        <v/>
      </c>
      <c r="AE317" s="41">
        <f>IF(OR($A317="",AD317&lt;MIN_OBS_ROLL),"",(SUMPRODUCT(AC281:AC316,Z281:Z316,AB281:AB316)/AD317-SUMPRODUCT(AC281:AC316,Z281:Z316)/AD317*SUMPRODUCT(AC281:AC316,AB281:AB316)/AD317)*AD317/(AD317-1))</f>
        <v/>
      </c>
      <c r="AF317" s="38">
        <f>SUM(AA281:AA316)</f>
        <v/>
      </c>
      <c r="AG317" s="41">
        <f>IF(OR($A317="",AF317&lt;MIN_OBS_ROLL),"",SUMPRODUCT(AA281:AA316,(AB281:AB316-SUMPRODUCT(AA281:AA316,AB281:AB316)/AF317)^2)/(AF317-1))</f>
        <v/>
      </c>
      <c r="AH317" s="38">
        <f>SUM(Y281:Y316)</f>
        <v/>
      </c>
      <c r="AI317" s="40">
        <f>IF(OR($A317="",AH317&lt;MIN_OBS_ROLL),"",SUMPRODUCT(Y281:Y316,Z281:Z316)/AH317)</f>
        <v/>
      </c>
      <c r="AJ317" s="40">
        <f>IF(OR($A317="",AF317&lt;MIN_OBS_ROLL),"",SUMPRODUCT(AA281:AA316,AB281:AB316)/AF317)</f>
        <v/>
      </c>
      <c r="AK317" s="40">
        <f>IF(OR(AE317="",AG317=""),"",AE317/AG317)</f>
        <v/>
      </c>
      <c r="AL317" s="40">
        <f>IF(OR(AI317="",AK317="",AJ317=""),"",AI317-AK317*AJ317)</f>
        <v/>
      </c>
      <c r="AM317" s="40">
        <f>IF(AND(ISNUMBER(W317),ISNUMBER(X317),ISNUMBER(AK317),ISNUMBER(AL317)),W317-(AL317+AK317*X317),"")</f>
        <v/>
      </c>
      <c r="AN317" s="38">
        <f>IF(ISNUMBER(AM317),1,0)</f>
        <v/>
      </c>
      <c r="AO317" s="40">
        <f>IF(AN317=1,AM317,0)</f>
        <v/>
      </c>
      <c r="AP317" s="40">
        <f>IF(SUM(AN315:AN317)=3,SUM(AO315:AO317),"")</f>
        <v/>
      </c>
      <c r="AQ317" s="38">
        <f>IF(ISNUMBER(AP317),1,0)</f>
        <v/>
      </c>
      <c r="AR317" s="40">
        <f>IF(AQ317=1,AP317,0)</f>
        <v/>
      </c>
      <c r="AS317" s="38">
        <f>SUM(AQ$5:AQ317)</f>
        <v/>
      </c>
      <c r="AT317" s="40">
        <f>IF(AS317&gt;=MIN_OBS_Z,SUMPRODUCT(AQ$5:AQ317,AR$5:AR317)/AS317,"")</f>
        <v/>
      </c>
      <c r="AU317" s="40">
        <f>IF(AS317&gt;=MIN_OBS_Z,SQRT(SUMPRODUCT(AQ$5:AQ317,(AR$5:AR317-AT317)^2)/(AS317-1)),"")</f>
        <v/>
      </c>
      <c r="AV317" s="40">
        <f>IF(AND(AQ317=1,ISNUMBER(AT317)),MAX(-Z_CLIP,MIN(Z_CLIP,(AR317-AT317)/AU317)),"")</f>
        <v/>
      </c>
      <c r="AW317" s="40">
        <f>IF(ISNUMBER(AV317),-AV317,"")</f>
        <v/>
      </c>
      <c r="AX317" s="40">
        <f>IF(ISNUMBER(AW317),1+AMPLITUD*TANH(AW317),"")</f>
        <v/>
      </c>
      <c r="AY317" s="40">
        <f>IF($A317="","",IF(COUNT(AX315:AX317)&gt;0,AVERAGE(AX315:AX317),""))</f>
        <v/>
      </c>
      <c r="AZ317" s="40">
        <f>IF(ISNUMBER(AY317),AY317-1,"")</f>
        <v/>
      </c>
      <c r="BA317" s="40">
        <f>IF(AND(ISNUMBER(AZ316),ISNUMBER(W317)),AZ316*W_BANCOS*W317,"")</f>
        <v/>
      </c>
      <c r="BB317" s="40">
        <f>IF(AND(ISNUMBER(AZ316),ISNUMBER(AZ315)),ABS(AZ316-AZ315)*W_BANCOS*COSTO,0)</f>
        <v/>
      </c>
      <c r="BC317" s="40">
        <f>IF(ISNUMBER(BA317),BA317-BB317,"")</f>
        <v/>
      </c>
      <c r="BD317" s="42">
        <f>IF(ISNUMBER(BC317),IF(A317&lt;=FECHA_ERA,"A","B"),"")</f>
        <v/>
      </c>
      <c r="BE317" s="40">
        <f>IF(BD317="A",BC317,"")</f>
        <v/>
      </c>
      <c r="BF317" s="40">
        <f>IF(BD317="B",BC317,"")</f>
        <v/>
      </c>
      <c r="BG317" s="38">
        <f>IF(AND(ISNUMBER(BC317),ISNUMBER(A317)),IF(A317&gt;=INICIO_VIVO,1,0),0)</f>
        <v/>
      </c>
      <c r="BH317" s="40">
        <f>IF(BG317=1,BC317,"")</f>
        <v/>
      </c>
      <c r="BI317" s="38">
        <f>IF(ISNUMBER(AY317),ROW(),0)</f>
        <v/>
      </c>
      <c r="BJ317" s="43">
        <f>IF(ISNUMBER(BC317),SUM(BC$5:BC317)*10000,NA())</f>
        <v/>
      </c>
      <c r="BK317" s="43">
        <f>IF(BG317=1,SUM(BH$5:BH317)*10000,NA())</f>
        <v/>
      </c>
      <c r="BL317" s="44">
        <f>IF(ISNUMBER(AY317),AY317,NA())</f>
        <v/>
      </c>
    </row>
    <row r="318">
      <c r="A318" s="36">
        <f>IF(Datos!A318="","",Datos!A318)</f>
        <v/>
      </c>
      <c r="B318" s="37">
        <f>IF(OR($A318="",NOT(ISNUMBER(Datos!B318)),NOT(ISNUMBER(Datos!B317))),"",Datos!B318/Datos!B317-1)</f>
        <v/>
      </c>
      <c r="C318" s="37">
        <f>IF(OR($A318="",NOT(ISNUMBER(Datos!C318)),NOT(ISNUMBER(Datos!C317))),"",Datos!C318/Datos!C317-1)</f>
        <v/>
      </c>
      <c r="D318" s="37">
        <f>IF(OR($A318="",NOT(ISNUMBER(Datos!D318)),NOT(ISNUMBER(Datos!D317))),"",Datos!D318/Datos!D317-1)</f>
        <v/>
      </c>
      <c r="E318" s="37">
        <f>IF(OR($A318="",NOT(ISNUMBER(Datos!E318)),NOT(ISNUMBER(Datos!E317))),"",Datos!E318/Datos!E317-1)</f>
        <v/>
      </c>
      <c r="F318" s="38">
        <f>IF($A318="","",COUNT(B318:E318))</f>
        <v/>
      </c>
      <c r="G318" s="37">
        <f>IF($A318="","",IF(F318&gt;=MIN_BANCOS,AVERAGE(B318:E318),""))</f>
        <v/>
      </c>
      <c r="H318" s="37">
        <f>IF(OR($A318="",NOT(ISNUMBER(Datos!F318)),NOT(ISNUMBER(Datos!F317))),"",Datos!F318/Datos!F317-1)</f>
        <v/>
      </c>
      <c r="I318" s="39">
        <f>IF($A318="","",IF(ISNUMBER(Datos!G318),Datos!G318,I317))</f>
        <v/>
      </c>
      <c r="J318" s="40">
        <f>IF($A318="","",IF(ISNUMBER(I317),LN(1+I317/100/12),0))</f>
        <v/>
      </c>
      <c r="K318" s="40">
        <f>IF(ISNUMBER(G318),LN(1+G318)-J318,"")</f>
        <v/>
      </c>
      <c r="L318" s="40">
        <f>IF(ISNUMBER(H318),LN(1+H318)-J318,"")</f>
        <v/>
      </c>
      <c r="M318" s="38">
        <f>IF(ISNUMBER(K318),1,0)</f>
        <v/>
      </c>
      <c r="N318" s="40">
        <f>IF(M318=1,K318,0)</f>
        <v/>
      </c>
      <c r="O318" s="38">
        <f>IF(ISNUMBER(L318),1,0)</f>
        <v/>
      </c>
      <c r="P318" s="40">
        <f>IF(O318=1,L318,0)</f>
        <v/>
      </c>
      <c r="Q318" s="38">
        <f>M318*O318</f>
        <v/>
      </c>
      <c r="R318" s="38">
        <f>SUM(Q282:Q317)</f>
        <v/>
      </c>
      <c r="S318" s="41">
        <f>IF(OR($A318="",R318&lt;MIN_OBS_ROLL),"",(SUMPRODUCT(Q282:Q317,N282:N317,P282:P317)/R318-SUMPRODUCT(Q282:Q317,N282:N317)/R318*SUMPRODUCT(Q282:Q317,P282:P317)/R318)*R318/(R318-1))</f>
        <v/>
      </c>
      <c r="T318" s="38">
        <f>SUM(O282:O317)</f>
        <v/>
      </c>
      <c r="U318" s="41">
        <f>IF(OR($A318="",T318&lt;MIN_OBS_ROLL),"",SUMPRODUCT(O282:O317,(P282:P317-SUMPRODUCT(O282:O317,P282:P317)/T318)^2)/(T318-1))</f>
        <v/>
      </c>
      <c r="V318" s="40">
        <f>IF(OR(S318="",U318=""),"",S318/U318)</f>
        <v/>
      </c>
      <c r="W318" s="40">
        <f>IF(AND(ISNUMBER(K318),ISNUMBER(L318),ISNUMBER(V318)),K318-V318*L318,"")</f>
        <v/>
      </c>
      <c r="X318" s="40">
        <f>IF(OR($A318="",NOT(ISNUMBER(Datos!H318)),NOT(ISNUMBER(Datos!H317))),"",LN(Datos!H318)-LN(Datos!H317))</f>
        <v/>
      </c>
      <c r="Y318" s="38">
        <f>IF(ISNUMBER(W318),1,0)</f>
        <v/>
      </c>
      <c r="Z318" s="40">
        <f>IF(Y318=1,W318,0)</f>
        <v/>
      </c>
      <c r="AA318" s="38">
        <f>IF(ISNUMBER(X318),1,0)</f>
        <v/>
      </c>
      <c r="AB318" s="40">
        <f>IF(AA318=1,X318,0)</f>
        <v/>
      </c>
      <c r="AC318" s="38">
        <f>Y318*AA318</f>
        <v/>
      </c>
      <c r="AD318" s="38">
        <f>SUM(AC282:AC317)</f>
        <v/>
      </c>
      <c r="AE318" s="41">
        <f>IF(OR($A318="",AD318&lt;MIN_OBS_ROLL),"",(SUMPRODUCT(AC282:AC317,Z282:Z317,AB282:AB317)/AD318-SUMPRODUCT(AC282:AC317,Z282:Z317)/AD318*SUMPRODUCT(AC282:AC317,AB282:AB317)/AD318)*AD318/(AD318-1))</f>
        <v/>
      </c>
      <c r="AF318" s="38">
        <f>SUM(AA282:AA317)</f>
        <v/>
      </c>
      <c r="AG318" s="41">
        <f>IF(OR($A318="",AF318&lt;MIN_OBS_ROLL),"",SUMPRODUCT(AA282:AA317,(AB282:AB317-SUMPRODUCT(AA282:AA317,AB282:AB317)/AF318)^2)/(AF318-1))</f>
        <v/>
      </c>
      <c r="AH318" s="38">
        <f>SUM(Y282:Y317)</f>
        <v/>
      </c>
      <c r="AI318" s="40">
        <f>IF(OR($A318="",AH318&lt;MIN_OBS_ROLL),"",SUMPRODUCT(Y282:Y317,Z282:Z317)/AH318)</f>
        <v/>
      </c>
      <c r="AJ318" s="40">
        <f>IF(OR($A318="",AF318&lt;MIN_OBS_ROLL),"",SUMPRODUCT(AA282:AA317,AB282:AB317)/AF318)</f>
        <v/>
      </c>
      <c r="AK318" s="40">
        <f>IF(OR(AE318="",AG318=""),"",AE318/AG318)</f>
        <v/>
      </c>
      <c r="AL318" s="40">
        <f>IF(OR(AI318="",AK318="",AJ318=""),"",AI318-AK318*AJ318)</f>
        <v/>
      </c>
      <c r="AM318" s="40">
        <f>IF(AND(ISNUMBER(W318),ISNUMBER(X318),ISNUMBER(AK318),ISNUMBER(AL318)),W318-(AL318+AK318*X318),"")</f>
        <v/>
      </c>
      <c r="AN318" s="38">
        <f>IF(ISNUMBER(AM318),1,0)</f>
        <v/>
      </c>
      <c r="AO318" s="40">
        <f>IF(AN318=1,AM318,0)</f>
        <v/>
      </c>
      <c r="AP318" s="40">
        <f>IF(SUM(AN316:AN318)=3,SUM(AO316:AO318),"")</f>
        <v/>
      </c>
      <c r="AQ318" s="38">
        <f>IF(ISNUMBER(AP318),1,0)</f>
        <v/>
      </c>
      <c r="AR318" s="40">
        <f>IF(AQ318=1,AP318,0)</f>
        <v/>
      </c>
      <c r="AS318" s="38">
        <f>SUM(AQ$5:AQ318)</f>
        <v/>
      </c>
      <c r="AT318" s="40">
        <f>IF(AS318&gt;=MIN_OBS_Z,SUMPRODUCT(AQ$5:AQ318,AR$5:AR318)/AS318,"")</f>
        <v/>
      </c>
      <c r="AU318" s="40">
        <f>IF(AS318&gt;=MIN_OBS_Z,SQRT(SUMPRODUCT(AQ$5:AQ318,(AR$5:AR318-AT318)^2)/(AS318-1)),"")</f>
        <v/>
      </c>
      <c r="AV318" s="40">
        <f>IF(AND(AQ318=1,ISNUMBER(AT318)),MAX(-Z_CLIP,MIN(Z_CLIP,(AR318-AT318)/AU318)),"")</f>
        <v/>
      </c>
      <c r="AW318" s="40">
        <f>IF(ISNUMBER(AV318),-AV318,"")</f>
        <v/>
      </c>
      <c r="AX318" s="40">
        <f>IF(ISNUMBER(AW318),1+AMPLITUD*TANH(AW318),"")</f>
        <v/>
      </c>
      <c r="AY318" s="40">
        <f>IF($A318="","",IF(COUNT(AX316:AX318)&gt;0,AVERAGE(AX316:AX318),""))</f>
        <v/>
      </c>
      <c r="AZ318" s="40">
        <f>IF(ISNUMBER(AY318),AY318-1,"")</f>
        <v/>
      </c>
      <c r="BA318" s="40">
        <f>IF(AND(ISNUMBER(AZ317),ISNUMBER(W318)),AZ317*W_BANCOS*W318,"")</f>
        <v/>
      </c>
      <c r="BB318" s="40">
        <f>IF(AND(ISNUMBER(AZ317),ISNUMBER(AZ316)),ABS(AZ317-AZ316)*W_BANCOS*COSTO,0)</f>
        <v/>
      </c>
      <c r="BC318" s="40">
        <f>IF(ISNUMBER(BA318),BA318-BB318,"")</f>
        <v/>
      </c>
      <c r="BD318" s="42">
        <f>IF(ISNUMBER(BC318),IF(A318&lt;=FECHA_ERA,"A","B"),"")</f>
        <v/>
      </c>
      <c r="BE318" s="40">
        <f>IF(BD318="A",BC318,"")</f>
        <v/>
      </c>
      <c r="BF318" s="40">
        <f>IF(BD318="B",BC318,"")</f>
        <v/>
      </c>
      <c r="BG318" s="38">
        <f>IF(AND(ISNUMBER(BC318),ISNUMBER(A318)),IF(A318&gt;=INICIO_VIVO,1,0),0)</f>
        <v/>
      </c>
      <c r="BH318" s="40">
        <f>IF(BG318=1,BC318,"")</f>
        <v/>
      </c>
      <c r="BI318" s="38">
        <f>IF(ISNUMBER(AY318),ROW(),0)</f>
        <v/>
      </c>
      <c r="BJ318" s="43">
        <f>IF(ISNUMBER(BC318),SUM(BC$5:BC318)*10000,NA())</f>
        <v/>
      </c>
      <c r="BK318" s="43">
        <f>IF(BG318=1,SUM(BH$5:BH318)*10000,NA())</f>
        <v/>
      </c>
      <c r="BL318" s="44">
        <f>IF(ISNUMBER(AY318),AY318,NA())</f>
        <v/>
      </c>
    </row>
    <row r="319">
      <c r="A319" s="36">
        <f>IF(Datos!A319="","",Datos!A319)</f>
        <v/>
      </c>
      <c r="B319" s="37">
        <f>IF(OR($A319="",NOT(ISNUMBER(Datos!B319)),NOT(ISNUMBER(Datos!B318))),"",Datos!B319/Datos!B318-1)</f>
        <v/>
      </c>
      <c r="C319" s="37">
        <f>IF(OR($A319="",NOT(ISNUMBER(Datos!C319)),NOT(ISNUMBER(Datos!C318))),"",Datos!C319/Datos!C318-1)</f>
        <v/>
      </c>
      <c r="D319" s="37">
        <f>IF(OR($A319="",NOT(ISNUMBER(Datos!D319)),NOT(ISNUMBER(Datos!D318))),"",Datos!D319/Datos!D318-1)</f>
        <v/>
      </c>
      <c r="E319" s="37">
        <f>IF(OR($A319="",NOT(ISNUMBER(Datos!E319)),NOT(ISNUMBER(Datos!E318))),"",Datos!E319/Datos!E318-1)</f>
        <v/>
      </c>
      <c r="F319" s="38">
        <f>IF($A319="","",COUNT(B319:E319))</f>
        <v/>
      </c>
      <c r="G319" s="37">
        <f>IF($A319="","",IF(F319&gt;=MIN_BANCOS,AVERAGE(B319:E319),""))</f>
        <v/>
      </c>
      <c r="H319" s="37">
        <f>IF(OR($A319="",NOT(ISNUMBER(Datos!F319)),NOT(ISNUMBER(Datos!F318))),"",Datos!F319/Datos!F318-1)</f>
        <v/>
      </c>
      <c r="I319" s="39">
        <f>IF($A319="","",IF(ISNUMBER(Datos!G319),Datos!G319,I318))</f>
        <v/>
      </c>
      <c r="J319" s="40">
        <f>IF($A319="","",IF(ISNUMBER(I318),LN(1+I318/100/12),0))</f>
        <v/>
      </c>
      <c r="K319" s="40">
        <f>IF(ISNUMBER(G319),LN(1+G319)-J319,"")</f>
        <v/>
      </c>
      <c r="L319" s="40">
        <f>IF(ISNUMBER(H319),LN(1+H319)-J319,"")</f>
        <v/>
      </c>
      <c r="M319" s="38">
        <f>IF(ISNUMBER(K319),1,0)</f>
        <v/>
      </c>
      <c r="N319" s="40">
        <f>IF(M319=1,K319,0)</f>
        <v/>
      </c>
      <c r="O319" s="38">
        <f>IF(ISNUMBER(L319),1,0)</f>
        <v/>
      </c>
      <c r="P319" s="40">
        <f>IF(O319=1,L319,0)</f>
        <v/>
      </c>
      <c r="Q319" s="38">
        <f>M319*O319</f>
        <v/>
      </c>
      <c r="R319" s="38">
        <f>SUM(Q283:Q318)</f>
        <v/>
      </c>
      <c r="S319" s="41">
        <f>IF(OR($A319="",R319&lt;MIN_OBS_ROLL),"",(SUMPRODUCT(Q283:Q318,N283:N318,P283:P318)/R319-SUMPRODUCT(Q283:Q318,N283:N318)/R319*SUMPRODUCT(Q283:Q318,P283:P318)/R319)*R319/(R319-1))</f>
        <v/>
      </c>
      <c r="T319" s="38">
        <f>SUM(O283:O318)</f>
        <v/>
      </c>
      <c r="U319" s="41">
        <f>IF(OR($A319="",T319&lt;MIN_OBS_ROLL),"",SUMPRODUCT(O283:O318,(P283:P318-SUMPRODUCT(O283:O318,P283:P318)/T319)^2)/(T319-1))</f>
        <v/>
      </c>
      <c r="V319" s="40">
        <f>IF(OR(S319="",U319=""),"",S319/U319)</f>
        <v/>
      </c>
      <c r="W319" s="40">
        <f>IF(AND(ISNUMBER(K319),ISNUMBER(L319),ISNUMBER(V319)),K319-V319*L319,"")</f>
        <v/>
      </c>
      <c r="X319" s="40">
        <f>IF(OR($A319="",NOT(ISNUMBER(Datos!H319)),NOT(ISNUMBER(Datos!H318))),"",LN(Datos!H319)-LN(Datos!H318))</f>
        <v/>
      </c>
      <c r="Y319" s="38">
        <f>IF(ISNUMBER(W319),1,0)</f>
        <v/>
      </c>
      <c r="Z319" s="40">
        <f>IF(Y319=1,W319,0)</f>
        <v/>
      </c>
      <c r="AA319" s="38">
        <f>IF(ISNUMBER(X319),1,0)</f>
        <v/>
      </c>
      <c r="AB319" s="40">
        <f>IF(AA319=1,X319,0)</f>
        <v/>
      </c>
      <c r="AC319" s="38">
        <f>Y319*AA319</f>
        <v/>
      </c>
      <c r="AD319" s="38">
        <f>SUM(AC283:AC318)</f>
        <v/>
      </c>
      <c r="AE319" s="41">
        <f>IF(OR($A319="",AD319&lt;MIN_OBS_ROLL),"",(SUMPRODUCT(AC283:AC318,Z283:Z318,AB283:AB318)/AD319-SUMPRODUCT(AC283:AC318,Z283:Z318)/AD319*SUMPRODUCT(AC283:AC318,AB283:AB318)/AD319)*AD319/(AD319-1))</f>
        <v/>
      </c>
      <c r="AF319" s="38">
        <f>SUM(AA283:AA318)</f>
        <v/>
      </c>
      <c r="AG319" s="41">
        <f>IF(OR($A319="",AF319&lt;MIN_OBS_ROLL),"",SUMPRODUCT(AA283:AA318,(AB283:AB318-SUMPRODUCT(AA283:AA318,AB283:AB318)/AF319)^2)/(AF319-1))</f>
        <v/>
      </c>
      <c r="AH319" s="38">
        <f>SUM(Y283:Y318)</f>
        <v/>
      </c>
      <c r="AI319" s="40">
        <f>IF(OR($A319="",AH319&lt;MIN_OBS_ROLL),"",SUMPRODUCT(Y283:Y318,Z283:Z318)/AH319)</f>
        <v/>
      </c>
      <c r="AJ319" s="40">
        <f>IF(OR($A319="",AF319&lt;MIN_OBS_ROLL),"",SUMPRODUCT(AA283:AA318,AB283:AB318)/AF319)</f>
        <v/>
      </c>
      <c r="AK319" s="40">
        <f>IF(OR(AE319="",AG319=""),"",AE319/AG319)</f>
        <v/>
      </c>
      <c r="AL319" s="40">
        <f>IF(OR(AI319="",AK319="",AJ319=""),"",AI319-AK319*AJ319)</f>
        <v/>
      </c>
      <c r="AM319" s="40">
        <f>IF(AND(ISNUMBER(W319),ISNUMBER(X319),ISNUMBER(AK319),ISNUMBER(AL319)),W319-(AL319+AK319*X319),"")</f>
        <v/>
      </c>
      <c r="AN319" s="38">
        <f>IF(ISNUMBER(AM319),1,0)</f>
        <v/>
      </c>
      <c r="AO319" s="40">
        <f>IF(AN319=1,AM319,0)</f>
        <v/>
      </c>
      <c r="AP319" s="40">
        <f>IF(SUM(AN317:AN319)=3,SUM(AO317:AO319),"")</f>
        <v/>
      </c>
      <c r="AQ319" s="38">
        <f>IF(ISNUMBER(AP319),1,0)</f>
        <v/>
      </c>
      <c r="AR319" s="40">
        <f>IF(AQ319=1,AP319,0)</f>
        <v/>
      </c>
      <c r="AS319" s="38">
        <f>SUM(AQ$5:AQ319)</f>
        <v/>
      </c>
      <c r="AT319" s="40">
        <f>IF(AS319&gt;=MIN_OBS_Z,SUMPRODUCT(AQ$5:AQ319,AR$5:AR319)/AS319,"")</f>
        <v/>
      </c>
      <c r="AU319" s="40">
        <f>IF(AS319&gt;=MIN_OBS_Z,SQRT(SUMPRODUCT(AQ$5:AQ319,(AR$5:AR319-AT319)^2)/(AS319-1)),"")</f>
        <v/>
      </c>
      <c r="AV319" s="40">
        <f>IF(AND(AQ319=1,ISNUMBER(AT319)),MAX(-Z_CLIP,MIN(Z_CLIP,(AR319-AT319)/AU319)),"")</f>
        <v/>
      </c>
      <c r="AW319" s="40">
        <f>IF(ISNUMBER(AV319),-AV319,"")</f>
        <v/>
      </c>
      <c r="AX319" s="40">
        <f>IF(ISNUMBER(AW319),1+AMPLITUD*TANH(AW319),"")</f>
        <v/>
      </c>
      <c r="AY319" s="40">
        <f>IF($A319="","",IF(COUNT(AX317:AX319)&gt;0,AVERAGE(AX317:AX319),""))</f>
        <v/>
      </c>
      <c r="AZ319" s="40">
        <f>IF(ISNUMBER(AY319),AY319-1,"")</f>
        <v/>
      </c>
      <c r="BA319" s="40">
        <f>IF(AND(ISNUMBER(AZ318),ISNUMBER(W319)),AZ318*W_BANCOS*W319,"")</f>
        <v/>
      </c>
      <c r="BB319" s="40">
        <f>IF(AND(ISNUMBER(AZ318),ISNUMBER(AZ317)),ABS(AZ318-AZ317)*W_BANCOS*COSTO,0)</f>
        <v/>
      </c>
      <c r="BC319" s="40">
        <f>IF(ISNUMBER(BA319),BA319-BB319,"")</f>
        <v/>
      </c>
      <c r="BD319" s="42">
        <f>IF(ISNUMBER(BC319),IF(A319&lt;=FECHA_ERA,"A","B"),"")</f>
        <v/>
      </c>
      <c r="BE319" s="40">
        <f>IF(BD319="A",BC319,"")</f>
        <v/>
      </c>
      <c r="BF319" s="40">
        <f>IF(BD319="B",BC319,"")</f>
        <v/>
      </c>
      <c r="BG319" s="38">
        <f>IF(AND(ISNUMBER(BC319),ISNUMBER(A319)),IF(A319&gt;=INICIO_VIVO,1,0),0)</f>
        <v/>
      </c>
      <c r="BH319" s="40">
        <f>IF(BG319=1,BC319,"")</f>
        <v/>
      </c>
      <c r="BI319" s="38">
        <f>IF(ISNUMBER(AY319),ROW(),0)</f>
        <v/>
      </c>
      <c r="BJ319" s="43">
        <f>IF(ISNUMBER(BC319),SUM(BC$5:BC319)*10000,NA())</f>
        <v/>
      </c>
      <c r="BK319" s="43">
        <f>IF(BG319=1,SUM(BH$5:BH319)*10000,NA())</f>
        <v/>
      </c>
      <c r="BL319" s="44">
        <f>IF(ISNUMBER(AY319),AY319,NA())</f>
        <v/>
      </c>
    </row>
    <row r="320">
      <c r="A320" s="36">
        <f>IF(Datos!A320="","",Datos!A320)</f>
        <v/>
      </c>
      <c r="B320" s="37">
        <f>IF(OR($A320="",NOT(ISNUMBER(Datos!B320)),NOT(ISNUMBER(Datos!B319))),"",Datos!B320/Datos!B319-1)</f>
        <v/>
      </c>
      <c r="C320" s="37">
        <f>IF(OR($A320="",NOT(ISNUMBER(Datos!C320)),NOT(ISNUMBER(Datos!C319))),"",Datos!C320/Datos!C319-1)</f>
        <v/>
      </c>
      <c r="D320" s="37">
        <f>IF(OR($A320="",NOT(ISNUMBER(Datos!D320)),NOT(ISNUMBER(Datos!D319))),"",Datos!D320/Datos!D319-1)</f>
        <v/>
      </c>
      <c r="E320" s="37">
        <f>IF(OR($A320="",NOT(ISNUMBER(Datos!E320)),NOT(ISNUMBER(Datos!E319))),"",Datos!E320/Datos!E319-1)</f>
        <v/>
      </c>
      <c r="F320" s="38">
        <f>IF($A320="","",COUNT(B320:E320))</f>
        <v/>
      </c>
      <c r="G320" s="37">
        <f>IF($A320="","",IF(F320&gt;=MIN_BANCOS,AVERAGE(B320:E320),""))</f>
        <v/>
      </c>
      <c r="H320" s="37">
        <f>IF(OR($A320="",NOT(ISNUMBER(Datos!F320)),NOT(ISNUMBER(Datos!F319))),"",Datos!F320/Datos!F319-1)</f>
        <v/>
      </c>
      <c r="I320" s="39">
        <f>IF($A320="","",IF(ISNUMBER(Datos!G320),Datos!G320,I319))</f>
        <v/>
      </c>
      <c r="J320" s="40">
        <f>IF($A320="","",IF(ISNUMBER(I319),LN(1+I319/100/12),0))</f>
        <v/>
      </c>
      <c r="K320" s="40">
        <f>IF(ISNUMBER(G320),LN(1+G320)-J320,"")</f>
        <v/>
      </c>
      <c r="L320" s="40">
        <f>IF(ISNUMBER(H320),LN(1+H320)-J320,"")</f>
        <v/>
      </c>
      <c r="M320" s="38">
        <f>IF(ISNUMBER(K320),1,0)</f>
        <v/>
      </c>
      <c r="N320" s="40">
        <f>IF(M320=1,K320,0)</f>
        <v/>
      </c>
      <c r="O320" s="38">
        <f>IF(ISNUMBER(L320),1,0)</f>
        <v/>
      </c>
      <c r="P320" s="40">
        <f>IF(O320=1,L320,0)</f>
        <v/>
      </c>
      <c r="Q320" s="38">
        <f>M320*O320</f>
        <v/>
      </c>
      <c r="R320" s="38">
        <f>SUM(Q284:Q319)</f>
        <v/>
      </c>
      <c r="S320" s="41">
        <f>IF(OR($A320="",R320&lt;MIN_OBS_ROLL),"",(SUMPRODUCT(Q284:Q319,N284:N319,P284:P319)/R320-SUMPRODUCT(Q284:Q319,N284:N319)/R320*SUMPRODUCT(Q284:Q319,P284:P319)/R320)*R320/(R320-1))</f>
        <v/>
      </c>
      <c r="T320" s="38">
        <f>SUM(O284:O319)</f>
        <v/>
      </c>
      <c r="U320" s="41">
        <f>IF(OR($A320="",T320&lt;MIN_OBS_ROLL),"",SUMPRODUCT(O284:O319,(P284:P319-SUMPRODUCT(O284:O319,P284:P319)/T320)^2)/(T320-1))</f>
        <v/>
      </c>
      <c r="V320" s="40">
        <f>IF(OR(S320="",U320=""),"",S320/U320)</f>
        <v/>
      </c>
      <c r="W320" s="40">
        <f>IF(AND(ISNUMBER(K320),ISNUMBER(L320),ISNUMBER(V320)),K320-V320*L320,"")</f>
        <v/>
      </c>
      <c r="X320" s="40">
        <f>IF(OR($A320="",NOT(ISNUMBER(Datos!H320)),NOT(ISNUMBER(Datos!H319))),"",LN(Datos!H320)-LN(Datos!H319))</f>
        <v/>
      </c>
      <c r="Y320" s="38">
        <f>IF(ISNUMBER(W320),1,0)</f>
        <v/>
      </c>
      <c r="Z320" s="40">
        <f>IF(Y320=1,W320,0)</f>
        <v/>
      </c>
      <c r="AA320" s="38">
        <f>IF(ISNUMBER(X320),1,0)</f>
        <v/>
      </c>
      <c r="AB320" s="40">
        <f>IF(AA320=1,X320,0)</f>
        <v/>
      </c>
      <c r="AC320" s="38">
        <f>Y320*AA320</f>
        <v/>
      </c>
      <c r="AD320" s="38">
        <f>SUM(AC284:AC319)</f>
        <v/>
      </c>
      <c r="AE320" s="41">
        <f>IF(OR($A320="",AD320&lt;MIN_OBS_ROLL),"",(SUMPRODUCT(AC284:AC319,Z284:Z319,AB284:AB319)/AD320-SUMPRODUCT(AC284:AC319,Z284:Z319)/AD320*SUMPRODUCT(AC284:AC319,AB284:AB319)/AD320)*AD320/(AD320-1))</f>
        <v/>
      </c>
      <c r="AF320" s="38">
        <f>SUM(AA284:AA319)</f>
        <v/>
      </c>
      <c r="AG320" s="41">
        <f>IF(OR($A320="",AF320&lt;MIN_OBS_ROLL),"",SUMPRODUCT(AA284:AA319,(AB284:AB319-SUMPRODUCT(AA284:AA319,AB284:AB319)/AF320)^2)/(AF320-1))</f>
        <v/>
      </c>
      <c r="AH320" s="38">
        <f>SUM(Y284:Y319)</f>
        <v/>
      </c>
      <c r="AI320" s="40">
        <f>IF(OR($A320="",AH320&lt;MIN_OBS_ROLL),"",SUMPRODUCT(Y284:Y319,Z284:Z319)/AH320)</f>
        <v/>
      </c>
      <c r="AJ320" s="40">
        <f>IF(OR($A320="",AF320&lt;MIN_OBS_ROLL),"",SUMPRODUCT(AA284:AA319,AB284:AB319)/AF320)</f>
        <v/>
      </c>
      <c r="AK320" s="40">
        <f>IF(OR(AE320="",AG320=""),"",AE320/AG320)</f>
        <v/>
      </c>
      <c r="AL320" s="40">
        <f>IF(OR(AI320="",AK320="",AJ320=""),"",AI320-AK320*AJ320)</f>
        <v/>
      </c>
      <c r="AM320" s="40">
        <f>IF(AND(ISNUMBER(W320),ISNUMBER(X320),ISNUMBER(AK320),ISNUMBER(AL320)),W320-(AL320+AK320*X320),"")</f>
        <v/>
      </c>
      <c r="AN320" s="38">
        <f>IF(ISNUMBER(AM320),1,0)</f>
        <v/>
      </c>
      <c r="AO320" s="40">
        <f>IF(AN320=1,AM320,0)</f>
        <v/>
      </c>
      <c r="AP320" s="40">
        <f>IF(SUM(AN318:AN320)=3,SUM(AO318:AO320),"")</f>
        <v/>
      </c>
      <c r="AQ320" s="38">
        <f>IF(ISNUMBER(AP320),1,0)</f>
        <v/>
      </c>
      <c r="AR320" s="40">
        <f>IF(AQ320=1,AP320,0)</f>
        <v/>
      </c>
      <c r="AS320" s="38">
        <f>SUM(AQ$5:AQ320)</f>
        <v/>
      </c>
      <c r="AT320" s="40">
        <f>IF(AS320&gt;=MIN_OBS_Z,SUMPRODUCT(AQ$5:AQ320,AR$5:AR320)/AS320,"")</f>
        <v/>
      </c>
      <c r="AU320" s="40">
        <f>IF(AS320&gt;=MIN_OBS_Z,SQRT(SUMPRODUCT(AQ$5:AQ320,(AR$5:AR320-AT320)^2)/(AS320-1)),"")</f>
        <v/>
      </c>
      <c r="AV320" s="40">
        <f>IF(AND(AQ320=1,ISNUMBER(AT320)),MAX(-Z_CLIP,MIN(Z_CLIP,(AR320-AT320)/AU320)),"")</f>
        <v/>
      </c>
      <c r="AW320" s="40">
        <f>IF(ISNUMBER(AV320),-AV320,"")</f>
        <v/>
      </c>
      <c r="AX320" s="40">
        <f>IF(ISNUMBER(AW320),1+AMPLITUD*TANH(AW320),"")</f>
        <v/>
      </c>
      <c r="AY320" s="40">
        <f>IF($A320="","",IF(COUNT(AX318:AX320)&gt;0,AVERAGE(AX318:AX320),""))</f>
        <v/>
      </c>
      <c r="AZ320" s="40">
        <f>IF(ISNUMBER(AY320),AY320-1,"")</f>
        <v/>
      </c>
      <c r="BA320" s="40">
        <f>IF(AND(ISNUMBER(AZ319),ISNUMBER(W320)),AZ319*W_BANCOS*W320,"")</f>
        <v/>
      </c>
      <c r="BB320" s="40">
        <f>IF(AND(ISNUMBER(AZ319),ISNUMBER(AZ318)),ABS(AZ319-AZ318)*W_BANCOS*COSTO,0)</f>
        <v/>
      </c>
      <c r="BC320" s="40">
        <f>IF(ISNUMBER(BA320),BA320-BB320,"")</f>
        <v/>
      </c>
      <c r="BD320" s="42">
        <f>IF(ISNUMBER(BC320),IF(A320&lt;=FECHA_ERA,"A","B"),"")</f>
        <v/>
      </c>
      <c r="BE320" s="40">
        <f>IF(BD320="A",BC320,"")</f>
        <v/>
      </c>
      <c r="BF320" s="40">
        <f>IF(BD320="B",BC320,"")</f>
        <v/>
      </c>
      <c r="BG320" s="38">
        <f>IF(AND(ISNUMBER(BC320),ISNUMBER(A320)),IF(A320&gt;=INICIO_VIVO,1,0),0)</f>
        <v/>
      </c>
      <c r="BH320" s="40">
        <f>IF(BG320=1,BC320,"")</f>
        <v/>
      </c>
      <c r="BI320" s="38">
        <f>IF(ISNUMBER(AY320),ROW(),0)</f>
        <v/>
      </c>
      <c r="BJ320" s="43">
        <f>IF(ISNUMBER(BC320),SUM(BC$5:BC320)*10000,NA())</f>
        <v/>
      </c>
      <c r="BK320" s="43">
        <f>IF(BG320=1,SUM(BH$5:BH320)*10000,NA())</f>
        <v/>
      </c>
      <c r="BL320" s="44">
        <f>IF(ISNUMBER(AY320),AY320,NA())</f>
        <v/>
      </c>
    </row>
    <row r="321">
      <c r="A321" s="36">
        <f>IF(Datos!A321="","",Datos!A321)</f>
        <v/>
      </c>
      <c r="B321" s="37">
        <f>IF(OR($A321="",NOT(ISNUMBER(Datos!B321)),NOT(ISNUMBER(Datos!B320))),"",Datos!B321/Datos!B320-1)</f>
        <v/>
      </c>
      <c r="C321" s="37">
        <f>IF(OR($A321="",NOT(ISNUMBER(Datos!C321)),NOT(ISNUMBER(Datos!C320))),"",Datos!C321/Datos!C320-1)</f>
        <v/>
      </c>
      <c r="D321" s="37">
        <f>IF(OR($A321="",NOT(ISNUMBER(Datos!D321)),NOT(ISNUMBER(Datos!D320))),"",Datos!D321/Datos!D320-1)</f>
        <v/>
      </c>
      <c r="E321" s="37">
        <f>IF(OR($A321="",NOT(ISNUMBER(Datos!E321)),NOT(ISNUMBER(Datos!E320))),"",Datos!E321/Datos!E320-1)</f>
        <v/>
      </c>
      <c r="F321" s="38">
        <f>IF($A321="","",COUNT(B321:E321))</f>
        <v/>
      </c>
      <c r="G321" s="37">
        <f>IF($A321="","",IF(F321&gt;=MIN_BANCOS,AVERAGE(B321:E321),""))</f>
        <v/>
      </c>
      <c r="H321" s="37">
        <f>IF(OR($A321="",NOT(ISNUMBER(Datos!F321)),NOT(ISNUMBER(Datos!F320))),"",Datos!F321/Datos!F320-1)</f>
        <v/>
      </c>
      <c r="I321" s="39">
        <f>IF($A321="","",IF(ISNUMBER(Datos!G321),Datos!G321,I320))</f>
        <v/>
      </c>
      <c r="J321" s="40">
        <f>IF($A321="","",IF(ISNUMBER(I320),LN(1+I320/100/12),0))</f>
        <v/>
      </c>
      <c r="K321" s="40">
        <f>IF(ISNUMBER(G321),LN(1+G321)-J321,"")</f>
        <v/>
      </c>
      <c r="L321" s="40">
        <f>IF(ISNUMBER(H321),LN(1+H321)-J321,"")</f>
        <v/>
      </c>
      <c r="M321" s="38">
        <f>IF(ISNUMBER(K321),1,0)</f>
        <v/>
      </c>
      <c r="N321" s="40">
        <f>IF(M321=1,K321,0)</f>
        <v/>
      </c>
      <c r="O321" s="38">
        <f>IF(ISNUMBER(L321),1,0)</f>
        <v/>
      </c>
      <c r="P321" s="40">
        <f>IF(O321=1,L321,0)</f>
        <v/>
      </c>
      <c r="Q321" s="38">
        <f>M321*O321</f>
        <v/>
      </c>
      <c r="R321" s="38">
        <f>SUM(Q285:Q320)</f>
        <v/>
      </c>
      <c r="S321" s="41">
        <f>IF(OR($A321="",R321&lt;MIN_OBS_ROLL),"",(SUMPRODUCT(Q285:Q320,N285:N320,P285:P320)/R321-SUMPRODUCT(Q285:Q320,N285:N320)/R321*SUMPRODUCT(Q285:Q320,P285:P320)/R321)*R321/(R321-1))</f>
        <v/>
      </c>
      <c r="T321" s="38">
        <f>SUM(O285:O320)</f>
        <v/>
      </c>
      <c r="U321" s="41">
        <f>IF(OR($A321="",T321&lt;MIN_OBS_ROLL),"",SUMPRODUCT(O285:O320,(P285:P320-SUMPRODUCT(O285:O320,P285:P320)/T321)^2)/(T321-1))</f>
        <v/>
      </c>
      <c r="V321" s="40">
        <f>IF(OR(S321="",U321=""),"",S321/U321)</f>
        <v/>
      </c>
      <c r="W321" s="40">
        <f>IF(AND(ISNUMBER(K321),ISNUMBER(L321),ISNUMBER(V321)),K321-V321*L321,"")</f>
        <v/>
      </c>
      <c r="X321" s="40">
        <f>IF(OR($A321="",NOT(ISNUMBER(Datos!H321)),NOT(ISNUMBER(Datos!H320))),"",LN(Datos!H321)-LN(Datos!H320))</f>
        <v/>
      </c>
      <c r="Y321" s="38">
        <f>IF(ISNUMBER(W321),1,0)</f>
        <v/>
      </c>
      <c r="Z321" s="40">
        <f>IF(Y321=1,W321,0)</f>
        <v/>
      </c>
      <c r="AA321" s="38">
        <f>IF(ISNUMBER(X321),1,0)</f>
        <v/>
      </c>
      <c r="AB321" s="40">
        <f>IF(AA321=1,X321,0)</f>
        <v/>
      </c>
      <c r="AC321" s="38">
        <f>Y321*AA321</f>
        <v/>
      </c>
      <c r="AD321" s="38">
        <f>SUM(AC285:AC320)</f>
        <v/>
      </c>
      <c r="AE321" s="41">
        <f>IF(OR($A321="",AD321&lt;MIN_OBS_ROLL),"",(SUMPRODUCT(AC285:AC320,Z285:Z320,AB285:AB320)/AD321-SUMPRODUCT(AC285:AC320,Z285:Z320)/AD321*SUMPRODUCT(AC285:AC320,AB285:AB320)/AD321)*AD321/(AD321-1))</f>
        <v/>
      </c>
      <c r="AF321" s="38">
        <f>SUM(AA285:AA320)</f>
        <v/>
      </c>
      <c r="AG321" s="41">
        <f>IF(OR($A321="",AF321&lt;MIN_OBS_ROLL),"",SUMPRODUCT(AA285:AA320,(AB285:AB320-SUMPRODUCT(AA285:AA320,AB285:AB320)/AF321)^2)/(AF321-1))</f>
        <v/>
      </c>
      <c r="AH321" s="38">
        <f>SUM(Y285:Y320)</f>
        <v/>
      </c>
      <c r="AI321" s="40">
        <f>IF(OR($A321="",AH321&lt;MIN_OBS_ROLL),"",SUMPRODUCT(Y285:Y320,Z285:Z320)/AH321)</f>
        <v/>
      </c>
      <c r="AJ321" s="40">
        <f>IF(OR($A321="",AF321&lt;MIN_OBS_ROLL),"",SUMPRODUCT(AA285:AA320,AB285:AB320)/AF321)</f>
        <v/>
      </c>
      <c r="AK321" s="40">
        <f>IF(OR(AE321="",AG321=""),"",AE321/AG321)</f>
        <v/>
      </c>
      <c r="AL321" s="40">
        <f>IF(OR(AI321="",AK321="",AJ321=""),"",AI321-AK321*AJ321)</f>
        <v/>
      </c>
      <c r="AM321" s="40">
        <f>IF(AND(ISNUMBER(W321),ISNUMBER(X321),ISNUMBER(AK321),ISNUMBER(AL321)),W321-(AL321+AK321*X321),"")</f>
        <v/>
      </c>
      <c r="AN321" s="38">
        <f>IF(ISNUMBER(AM321),1,0)</f>
        <v/>
      </c>
      <c r="AO321" s="40">
        <f>IF(AN321=1,AM321,0)</f>
        <v/>
      </c>
      <c r="AP321" s="40">
        <f>IF(SUM(AN319:AN321)=3,SUM(AO319:AO321),"")</f>
        <v/>
      </c>
      <c r="AQ321" s="38">
        <f>IF(ISNUMBER(AP321),1,0)</f>
        <v/>
      </c>
      <c r="AR321" s="40">
        <f>IF(AQ321=1,AP321,0)</f>
        <v/>
      </c>
      <c r="AS321" s="38">
        <f>SUM(AQ$5:AQ321)</f>
        <v/>
      </c>
      <c r="AT321" s="40">
        <f>IF(AS321&gt;=MIN_OBS_Z,SUMPRODUCT(AQ$5:AQ321,AR$5:AR321)/AS321,"")</f>
        <v/>
      </c>
      <c r="AU321" s="40">
        <f>IF(AS321&gt;=MIN_OBS_Z,SQRT(SUMPRODUCT(AQ$5:AQ321,(AR$5:AR321-AT321)^2)/(AS321-1)),"")</f>
        <v/>
      </c>
      <c r="AV321" s="40">
        <f>IF(AND(AQ321=1,ISNUMBER(AT321)),MAX(-Z_CLIP,MIN(Z_CLIP,(AR321-AT321)/AU321)),"")</f>
        <v/>
      </c>
      <c r="AW321" s="40">
        <f>IF(ISNUMBER(AV321),-AV321,"")</f>
        <v/>
      </c>
      <c r="AX321" s="40">
        <f>IF(ISNUMBER(AW321),1+AMPLITUD*TANH(AW321),"")</f>
        <v/>
      </c>
      <c r="AY321" s="40">
        <f>IF($A321="","",IF(COUNT(AX319:AX321)&gt;0,AVERAGE(AX319:AX321),""))</f>
        <v/>
      </c>
      <c r="AZ321" s="40">
        <f>IF(ISNUMBER(AY321),AY321-1,"")</f>
        <v/>
      </c>
      <c r="BA321" s="40">
        <f>IF(AND(ISNUMBER(AZ320),ISNUMBER(W321)),AZ320*W_BANCOS*W321,"")</f>
        <v/>
      </c>
      <c r="BB321" s="40">
        <f>IF(AND(ISNUMBER(AZ320),ISNUMBER(AZ319)),ABS(AZ320-AZ319)*W_BANCOS*COSTO,0)</f>
        <v/>
      </c>
      <c r="BC321" s="40">
        <f>IF(ISNUMBER(BA321),BA321-BB321,"")</f>
        <v/>
      </c>
      <c r="BD321" s="42">
        <f>IF(ISNUMBER(BC321),IF(A321&lt;=FECHA_ERA,"A","B"),"")</f>
        <v/>
      </c>
      <c r="BE321" s="40">
        <f>IF(BD321="A",BC321,"")</f>
        <v/>
      </c>
      <c r="BF321" s="40">
        <f>IF(BD321="B",BC321,"")</f>
        <v/>
      </c>
      <c r="BG321" s="38">
        <f>IF(AND(ISNUMBER(BC321),ISNUMBER(A321)),IF(A321&gt;=INICIO_VIVO,1,0),0)</f>
        <v/>
      </c>
      <c r="BH321" s="40">
        <f>IF(BG321=1,BC321,"")</f>
        <v/>
      </c>
      <c r="BI321" s="38">
        <f>IF(ISNUMBER(AY321),ROW(),0)</f>
        <v/>
      </c>
      <c r="BJ321" s="43">
        <f>IF(ISNUMBER(BC321),SUM(BC$5:BC321)*10000,NA())</f>
        <v/>
      </c>
      <c r="BK321" s="43">
        <f>IF(BG321=1,SUM(BH$5:BH321)*10000,NA())</f>
        <v/>
      </c>
      <c r="BL321" s="44">
        <f>IF(ISNUMBER(AY321),AY321,NA())</f>
        <v/>
      </c>
    </row>
    <row r="322">
      <c r="A322" s="36">
        <f>IF(Datos!A322="","",Datos!A322)</f>
        <v/>
      </c>
      <c r="B322" s="37">
        <f>IF(OR($A322="",NOT(ISNUMBER(Datos!B322)),NOT(ISNUMBER(Datos!B321))),"",Datos!B322/Datos!B321-1)</f>
        <v/>
      </c>
      <c r="C322" s="37">
        <f>IF(OR($A322="",NOT(ISNUMBER(Datos!C322)),NOT(ISNUMBER(Datos!C321))),"",Datos!C322/Datos!C321-1)</f>
        <v/>
      </c>
      <c r="D322" s="37">
        <f>IF(OR($A322="",NOT(ISNUMBER(Datos!D322)),NOT(ISNUMBER(Datos!D321))),"",Datos!D322/Datos!D321-1)</f>
        <v/>
      </c>
      <c r="E322" s="37">
        <f>IF(OR($A322="",NOT(ISNUMBER(Datos!E322)),NOT(ISNUMBER(Datos!E321))),"",Datos!E322/Datos!E321-1)</f>
        <v/>
      </c>
      <c r="F322" s="38">
        <f>IF($A322="","",COUNT(B322:E322))</f>
        <v/>
      </c>
      <c r="G322" s="37">
        <f>IF($A322="","",IF(F322&gt;=MIN_BANCOS,AVERAGE(B322:E322),""))</f>
        <v/>
      </c>
      <c r="H322" s="37">
        <f>IF(OR($A322="",NOT(ISNUMBER(Datos!F322)),NOT(ISNUMBER(Datos!F321))),"",Datos!F322/Datos!F321-1)</f>
        <v/>
      </c>
      <c r="I322" s="39">
        <f>IF($A322="","",IF(ISNUMBER(Datos!G322),Datos!G322,I321))</f>
        <v/>
      </c>
      <c r="J322" s="40">
        <f>IF($A322="","",IF(ISNUMBER(I321),LN(1+I321/100/12),0))</f>
        <v/>
      </c>
      <c r="K322" s="40">
        <f>IF(ISNUMBER(G322),LN(1+G322)-J322,"")</f>
        <v/>
      </c>
      <c r="L322" s="40">
        <f>IF(ISNUMBER(H322),LN(1+H322)-J322,"")</f>
        <v/>
      </c>
      <c r="M322" s="38">
        <f>IF(ISNUMBER(K322),1,0)</f>
        <v/>
      </c>
      <c r="N322" s="40">
        <f>IF(M322=1,K322,0)</f>
        <v/>
      </c>
      <c r="O322" s="38">
        <f>IF(ISNUMBER(L322),1,0)</f>
        <v/>
      </c>
      <c r="P322" s="40">
        <f>IF(O322=1,L322,0)</f>
        <v/>
      </c>
      <c r="Q322" s="38">
        <f>M322*O322</f>
        <v/>
      </c>
      <c r="R322" s="38">
        <f>SUM(Q286:Q321)</f>
        <v/>
      </c>
      <c r="S322" s="41">
        <f>IF(OR($A322="",R322&lt;MIN_OBS_ROLL),"",(SUMPRODUCT(Q286:Q321,N286:N321,P286:P321)/R322-SUMPRODUCT(Q286:Q321,N286:N321)/R322*SUMPRODUCT(Q286:Q321,P286:P321)/R322)*R322/(R322-1))</f>
        <v/>
      </c>
      <c r="T322" s="38">
        <f>SUM(O286:O321)</f>
        <v/>
      </c>
      <c r="U322" s="41">
        <f>IF(OR($A322="",T322&lt;MIN_OBS_ROLL),"",SUMPRODUCT(O286:O321,(P286:P321-SUMPRODUCT(O286:O321,P286:P321)/T322)^2)/(T322-1))</f>
        <v/>
      </c>
      <c r="V322" s="40">
        <f>IF(OR(S322="",U322=""),"",S322/U322)</f>
        <v/>
      </c>
      <c r="W322" s="40">
        <f>IF(AND(ISNUMBER(K322),ISNUMBER(L322),ISNUMBER(V322)),K322-V322*L322,"")</f>
        <v/>
      </c>
      <c r="X322" s="40">
        <f>IF(OR($A322="",NOT(ISNUMBER(Datos!H322)),NOT(ISNUMBER(Datos!H321))),"",LN(Datos!H322)-LN(Datos!H321))</f>
        <v/>
      </c>
      <c r="Y322" s="38">
        <f>IF(ISNUMBER(W322),1,0)</f>
        <v/>
      </c>
      <c r="Z322" s="40">
        <f>IF(Y322=1,W322,0)</f>
        <v/>
      </c>
      <c r="AA322" s="38">
        <f>IF(ISNUMBER(X322),1,0)</f>
        <v/>
      </c>
      <c r="AB322" s="40">
        <f>IF(AA322=1,X322,0)</f>
        <v/>
      </c>
      <c r="AC322" s="38">
        <f>Y322*AA322</f>
        <v/>
      </c>
      <c r="AD322" s="38">
        <f>SUM(AC286:AC321)</f>
        <v/>
      </c>
      <c r="AE322" s="41">
        <f>IF(OR($A322="",AD322&lt;MIN_OBS_ROLL),"",(SUMPRODUCT(AC286:AC321,Z286:Z321,AB286:AB321)/AD322-SUMPRODUCT(AC286:AC321,Z286:Z321)/AD322*SUMPRODUCT(AC286:AC321,AB286:AB321)/AD322)*AD322/(AD322-1))</f>
        <v/>
      </c>
      <c r="AF322" s="38">
        <f>SUM(AA286:AA321)</f>
        <v/>
      </c>
      <c r="AG322" s="41">
        <f>IF(OR($A322="",AF322&lt;MIN_OBS_ROLL),"",SUMPRODUCT(AA286:AA321,(AB286:AB321-SUMPRODUCT(AA286:AA321,AB286:AB321)/AF322)^2)/(AF322-1))</f>
        <v/>
      </c>
      <c r="AH322" s="38">
        <f>SUM(Y286:Y321)</f>
        <v/>
      </c>
      <c r="AI322" s="40">
        <f>IF(OR($A322="",AH322&lt;MIN_OBS_ROLL),"",SUMPRODUCT(Y286:Y321,Z286:Z321)/AH322)</f>
        <v/>
      </c>
      <c r="AJ322" s="40">
        <f>IF(OR($A322="",AF322&lt;MIN_OBS_ROLL),"",SUMPRODUCT(AA286:AA321,AB286:AB321)/AF322)</f>
        <v/>
      </c>
      <c r="AK322" s="40">
        <f>IF(OR(AE322="",AG322=""),"",AE322/AG322)</f>
        <v/>
      </c>
      <c r="AL322" s="40">
        <f>IF(OR(AI322="",AK322="",AJ322=""),"",AI322-AK322*AJ322)</f>
        <v/>
      </c>
      <c r="AM322" s="40">
        <f>IF(AND(ISNUMBER(W322),ISNUMBER(X322),ISNUMBER(AK322),ISNUMBER(AL322)),W322-(AL322+AK322*X322),"")</f>
        <v/>
      </c>
      <c r="AN322" s="38">
        <f>IF(ISNUMBER(AM322),1,0)</f>
        <v/>
      </c>
      <c r="AO322" s="40">
        <f>IF(AN322=1,AM322,0)</f>
        <v/>
      </c>
      <c r="AP322" s="40">
        <f>IF(SUM(AN320:AN322)=3,SUM(AO320:AO322),"")</f>
        <v/>
      </c>
      <c r="AQ322" s="38">
        <f>IF(ISNUMBER(AP322),1,0)</f>
        <v/>
      </c>
      <c r="AR322" s="40">
        <f>IF(AQ322=1,AP322,0)</f>
        <v/>
      </c>
      <c r="AS322" s="38">
        <f>SUM(AQ$5:AQ322)</f>
        <v/>
      </c>
      <c r="AT322" s="40">
        <f>IF(AS322&gt;=MIN_OBS_Z,SUMPRODUCT(AQ$5:AQ322,AR$5:AR322)/AS322,"")</f>
        <v/>
      </c>
      <c r="AU322" s="40">
        <f>IF(AS322&gt;=MIN_OBS_Z,SQRT(SUMPRODUCT(AQ$5:AQ322,(AR$5:AR322-AT322)^2)/(AS322-1)),"")</f>
        <v/>
      </c>
      <c r="AV322" s="40">
        <f>IF(AND(AQ322=1,ISNUMBER(AT322)),MAX(-Z_CLIP,MIN(Z_CLIP,(AR322-AT322)/AU322)),"")</f>
        <v/>
      </c>
      <c r="AW322" s="40">
        <f>IF(ISNUMBER(AV322),-AV322,"")</f>
        <v/>
      </c>
      <c r="AX322" s="40">
        <f>IF(ISNUMBER(AW322),1+AMPLITUD*TANH(AW322),"")</f>
        <v/>
      </c>
      <c r="AY322" s="40">
        <f>IF($A322="","",IF(COUNT(AX320:AX322)&gt;0,AVERAGE(AX320:AX322),""))</f>
        <v/>
      </c>
      <c r="AZ322" s="40">
        <f>IF(ISNUMBER(AY322),AY322-1,"")</f>
        <v/>
      </c>
      <c r="BA322" s="40">
        <f>IF(AND(ISNUMBER(AZ321),ISNUMBER(W322)),AZ321*W_BANCOS*W322,"")</f>
        <v/>
      </c>
      <c r="BB322" s="40">
        <f>IF(AND(ISNUMBER(AZ321),ISNUMBER(AZ320)),ABS(AZ321-AZ320)*W_BANCOS*COSTO,0)</f>
        <v/>
      </c>
      <c r="BC322" s="40">
        <f>IF(ISNUMBER(BA322),BA322-BB322,"")</f>
        <v/>
      </c>
      <c r="BD322" s="42">
        <f>IF(ISNUMBER(BC322),IF(A322&lt;=FECHA_ERA,"A","B"),"")</f>
        <v/>
      </c>
      <c r="BE322" s="40">
        <f>IF(BD322="A",BC322,"")</f>
        <v/>
      </c>
      <c r="BF322" s="40">
        <f>IF(BD322="B",BC322,"")</f>
        <v/>
      </c>
      <c r="BG322" s="38">
        <f>IF(AND(ISNUMBER(BC322),ISNUMBER(A322)),IF(A322&gt;=INICIO_VIVO,1,0),0)</f>
        <v/>
      </c>
      <c r="BH322" s="40">
        <f>IF(BG322=1,BC322,"")</f>
        <v/>
      </c>
      <c r="BI322" s="38">
        <f>IF(ISNUMBER(AY322),ROW(),0)</f>
        <v/>
      </c>
      <c r="BJ322" s="43">
        <f>IF(ISNUMBER(BC322),SUM(BC$5:BC322)*10000,NA())</f>
        <v/>
      </c>
      <c r="BK322" s="43">
        <f>IF(BG322=1,SUM(BH$5:BH322)*10000,NA())</f>
        <v/>
      </c>
      <c r="BL322" s="44">
        <f>IF(ISNUMBER(AY322),AY322,NA())</f>
        <v/>
      </c>
    </row>
    <row r="323">
      <c r="A323" s="36">
        <f>IF(Datos!A323="","",Datos!A323)</f>
        <v/>
      </c>
      <c r="B323" s="37">
        <f>IF(OR($A323="",NOT(ISNUMBER(Datos!B323)),NOT(ISNUMBER(Datos!B322))),"",Datos!B323/Datos!B322-1)</f>
        <v/>
      </c>
      <c r="C323" s="37">
        <f>IF(OR($A323="",NOT(ISNUMBER(Datos!C323)),NOT(ISNUMBER(Datos!C322))),"",Datos!C323/Datos!C322-1)</f>
        <v/>
      </c>
      <c r="D323" s="37">
        <f>IF(OR($A323="",NOT(ISNUMBER(Datos!D323)),NOT(ISNUMBER(Datos!D322))),"",Datos!D323/Datos!D322-1)</f>
        <v/>
      </c>
      <c r="E323" s="37">
        <f>IF(OR($A323="",NOT(ISNUMBER(Datos!E323)),NOT(ISNUMBER(Datos!E322))),"",Datos!E323/Datos!E322-1)</f>
        <v/>
      </c>
      <c r="F323" s="38">
        <f>IF($A323="","",COUNT(B323:E323))</f>
        <v/>
      </c>
      <c r="G323" s="37">
        <f>IF($A323="","",IF(F323&gt;=MIN_BANCOS,AVERAGE(B323:E323),""))</f>
        <v/>
      </c>
      <c r="H323" s="37">
        <f>IF(OR($A323="",NOT(ISNUMBER(Datos!F323)),NOT(ISNUMBER(Datos!F322))),"",Datos!F323/Datos!F322-1)</f>
        <v/>
      </c>
      <c r="I323" s="39">
        <f>IF($A323="","",IF(ISNUMBER(Datos!G323),Datos!G323,I322))</f>
        <v/>
      </c>
      <c r="J323" s="40">
        <f>IF($A323="","",IF(ISNUMBER(I322),LN(1+I322/100/12),0))</f>
        <v/>
      </c>
      <c r="K323" s="40">
        <f>IF(ISNUMBER(G323),LN(1+G323)-J323,"")</f>
        <v/>
      </c>
      <c r="L323" s="40">
        <f>IF(ISNUMBER(H323),LN(1+H323)-J323,"")</f>
        <v/>
      </c>
      <c r="M323" s="38">
        <f>IF(ISNUMBER(K323),1,0)</f>
        <v/>
      </c>
      <c r="N323" s="40">
        <f>IF(M323=1,K323,0)</f>
        <v/>
      </c>
      <c r="O323" s="38">
        <f>IF(ISNUMBER(L323),1,0)</f>
        <v/>
      </c>
      <c r="P323" s="40">
        <f>IF(O323=1,L323,0)</f>
        <v/>
      </c>
      <c r="Q323" s="38">
        <f>M323*O323</f>
        <v/>
      </c>
      <c r="R323" s="38">
        <f>SUM(Q287:Q322)</f>
        <v/>
      </c>
      <c r="S323" s="41">
        <f>IF(OR($A323="",R323&lt;MIN_OBS_ROLL),"",(SUMPRODUCT(Q287:Q322,N287:N322,P287:P322)/R323-SUMPRODUCT(Q287:Q322,N287:N322)/R323*SUMPRODUCT(Q287:Q322,P287:P322)/R323)*R323/(R323-1))</f>
        <v/>
      </c>
      <c r="T323" s="38">
        <f>SUM(O287:O322)</f>
        <v/>
      </c>
      <c r="U323" s="41">
        <f>IF(OR($A323="",T323&lt;MIN_OBS_ROLL),"",SUMPRODUCT(O287:O322,(P287:P322-SUMPRODUCT(O287:O322,P287:P322)/T323)^2)/(T323-1))</f>
        <v/>
      </c>
      <c r="V323" s="40">
        <f>IF(OR(S323="",U323=""),"",S323/U323)</f>
        <v/>
      </c>
      <c r="W323" s="40">
        <f>IF(AND(ISNUMBER(K323),ISNUMBER(L323),ISNUMBER(V323)),K323-V323*L323,"")</f>
        <v/>
      </c>
      <c r="X323" s="40">
        <f>IF(OR($A323="",NOT(ISNUMBER(Datos!H323)),NOT(ISNUMBER(Datos!H322))),"",LN(Datos!H323)-LN(Datos!H322))</f>
        <v/>
      </c>
      <c r="Y323" s="38">
        <f>IF(ISNUMBER(W323),1,0)</f>
        <v/>
      </c>
      <c r="Z323" s="40">
        <f>IF(Y323=1,W323,0)</f>
        <v/>
      </c>
      <c r="AA323" s="38">
        <f>IF(ISNUMBER(X323),1,0)</f>
        <v/>
      </c>
      <c r="AB323" s="40">
        <f>IF(AA323=1,X323,0)</f>
        <v/>
      </c>
      <c r="AC323" s="38">
        <f>Y323*AA323</f>
        <v/>
      </c>
      <c r="AD323" s="38">
        <f>SUM(AC287:AC322)</f>
        <v/>
      </c>
      <c r="AE323" s="41">
        <f>IF(OR($A323="",AD323&lt;MIN_OBS_ROLL),"",(SUMPRODUCT(AC287:AC322,Z287:Z322,AB287:AB322)/AD323-SUMPRODUCT(AC287:AC322,Z287:Z322)/AD323*SUMPRODUCT(AC287:AC322,AB287:AB322)/AD323)*AD323/(AD323-1))</f>
        <v/>
      </c>
      <c r="AF323" s="38">
        <f>SUM(AA287:AA322)</f>
        <v/>
      </c>
      <c r="AG323" s="41">
        <f>IF(OR($A323="",AF323&lt;MIN_OBS_ROLL),"",SUMPRODUCT(AA287:AA322,(AB287:AB322-SUMPRODUCT(AA287:AA322,AB287:AB322)/AF323)^2)/(AF323-1))</f>
        <v/>
      </c>
      <c r="AH323" s="38">
        <f>SUM(Y287:Y322)</f>
        <v/>
      </c>
      <c r="AI323" s="40">
        <f>IF(OR($A323="",AH323&lt;MIN_OBS_ROLL),"",SUMPRODUCT(Y287:Y322,Z287:Z322)/AH323)</f>
        <v/>
      </c>
      <c r="AJ323" s="40">
        <f>IF(OR($A323="",AF323&lt;MIN_OBS_ROLL),"",SUMPRODUCT(AA287:AA322,AB287:AB322)/AF323)</f>
        <v/>
      </c>
      <c r="AK323" s="40">
        <f>IF(OR(AE323="",AG323=""),"",AE323/AG323)</f>
        <v/>
      </c>
      <c r="AL323" s="40">
        <f>IF(OR(AI323="",AK323="",AJ323=""),"",AI323-AK323*AJ323)</f>
        <v/>
      </c>
      <c r="AM323" s="40">
        <f>IF(AND(ISNUMBER(W323),ISNUMBER(X323),ISNUMBER(AK323),ISNUMBER(AL323)),W323-(AL323+AK323*X323),"")</f>
        <v/>
      </c>
      <c r="AN323" s="38">
        <f>IF(ISNUMBER(AM323),1,0)</f>
        <v/>
      </c>
      <c r="AO323" s="40">
        <f>IF(AN323=1,AM323,0)</f>
        <v/>
      </c>
      <c r="AP323" s="40">
        <f>IF(SUM(AN321:AN323)=3,SUM(AO321:AO323),"")</f>
        <v/>
      </c>
      <c r="AQ323" s="38">
        <f>IF(ISNUMBER(AP323),1,0)</f>
        <v/>
      </c>
      <c r="AR323" s="40">
        <f>IF(AQ323=1,AP323,0)</f>
        <v/>
      </c>
      <c r="AS323" s="38">
        <f>SUM(AQ$5:AQ323)</f>
        <v/>
      </c>
      <c r="AT323" s="40">
        <f>IF(AS323&gt;=MIN_OBS_Z,SUMPRODUCT(AQ$5:AQ323,AR$5:AR323)/AS323,"")</f>
        <v/>
      </c>
      <c r="AU323" s="40">
        <f>IF(AS323&gt;=MIN_OBS_Z,SQRT(SUMPRODUCT(AQ$5:AQ323,(AR$5:AR323-AT323)^2)/(AS323-1)),"")</f>
        <v/>
      </c>
      <c r="AV323" s="40">
        <f>IF(AND(AQ323=1,ISNUMBER(AT323)),MAX(-Z_CLIP,MIN(Z_CLIP,(AR323-AT323)/AU323)),"")</f>
        <v/>
      </c>
      <c r="AW323" s="40">
        <f>IF(ISNUMBER(AV323),-AV323,"")</f>
        <v/>
      </c>
      <c r="AX323" s="40">
        <f>IF(ISNUMBER(AW323),1+AMPLITUD*TANH(AW323),"")</f>
        <v/>
      </c>
      <c r="AY323" s="40">
        <f>IF($A323="","",IF(COUNT(AX321:AX323)&gt;0,AVERAGE(AX321:AX323),""))</f>
        <v/>
      </c>
      <c r="AZ323" s="40">
        <f>IF(ISNUMBER(AY323),AY323-1,"")</f>
        <v/>
      </c>
      <c r="BA323" s="40">
        <f>IF(AND(ISNUMBER(AZ322),ISNUMBER(W323)),AZ322*W_BANCOS*W323,"")</f>
        <v/>
      </c>
      <c r="BB323" s="40">
        <f>IF(AND(ISNUMBER(AZ322),ISNUMBER(AZ321)),ABS(AZ322-AZ321)*W_BANCOS*COSTO,0)</f>
        <v/>
      </c>
      <c r="BC323" s="40">
        <f>IF(ISNUMBER(BA323),BA323-BB323,"")</f>
        <v/>
      </c>
      <c r="BD323" s="42">
        <f>IF(ISNUMBER(BC323),IF(A323&lt;=FECHA_ERA,"A","B"),"")</f>
        <v/>
      </c>
      <c r="BE323" s="40">
        <f>IF(BD323="A",BC323,"")</f>
        <v/>
      </c>
      <c r="BF323" s="40">
        <f>IF(BD323="B",BC323,"")</f>
        <v/>
      </c>
      <c r="BG323" s="38">
        <f>IF(AND(ISNUMBER(BC323),ISNUMBER(A323)),IF(A323&gt;=INICIO_VIVO,1,0),0)</f>
        <v/>
      </c>
      <c r="BH323" s="40">
        <f>IF(BG323=1,BC323,"")</f>
        <v/>
      </c>
      <c r="BI323" s="38">
        <f>IF(ISNUMBER(AY323),ROW(),0)</f>
        <v/>
      </c>
      <c r="BJ323" s="43">
        <f>IF(ISNUMBER(BC323),SUM(BC$5:BC323)*10000,NA())</f>
        <v/>
      </c>
      <c r="BK323" s="43">
        <f>IF(BG323=1,SUM(BH$5:BH323)*10000,NA())</f>
        <v/>
      </c>
      <c r="BL323" s="44">
        <f>IF(ISNUMBER(AY323),AY323,NA())</f>
        <v/>
      </c>
    </row>
    <row r="324">
      <c r="A324" s="36">
        <f>IF(Datos!A324="","",Datos!A324)</f>
        <v/>
      </c>
      <c r="B324" s="37">
        <f>IF(OR($A324="",NOT(ISNUMBER(Datos!B324)),NOT(ISNUMBER(Datos!B323))),"",Datos!B324/Datos!B323-1)</f>
        <v/>
      </c>
      <c r="C324" s="37">
        <f>IF(OR($A324="",NOT(ISNUMBER(Datos!C324)),NOT(ISNUMBER(Datos!C323))),"",Datos!C324/Datos!C323-1)</f>
        <v/>
      </c>
      <c r="D324" s="37">
        <f>IF(OR($A324="",NOT(ISNUMBER(Datos!D324)),NOT(ISNUMBER(Datos!D323))),"",Datos!D324/Datos!D323-1)</f>
        <v/>
      </c>
      <c r="E324" s="37">
        <f>IF(OR($A324="",NOT(ISNUMBER(Datos!E324)),NOT(ISNUMBER(Datos!E323))),"",Datos!E324/Datos!E323-1)</f>
        <v/>
      </c>
      <c r="F324" s="38">
        <f>IF($A324="","",COUNT(B324:E324))</f>
        <v/>
      </c>
      <c r="G324" s="37">
        <f>IF($A324="","",IF(F324&gt;=MIN_BANCOS,AVERAGE(B324:E324),""))</f>
        <v/>
      </c>
      <c r="H324" s="37">
        <f>IF(OR($A324="",NOT(ISNUMBER(Datos!F324)),NOT(ISNUMBER(Datos!F323))),"",Datos!F324/Datos!F323-1)</f>
        <v/>
      </c>
      <c r="I324" s="39">
        <f>IF($A324="","",IF(ISNUMBER(Datos!G324),Datos!G324,I323))</f>
        <v/>
      </c>
      <c r="J324" s="40">
        <f>IF($A324="","",IF(ISNUMBER(I323),LN(1+I323/100/12),0))</f>
        <v/>
      </c>
      <c r="K324" s="40">
        <f>IF(ISNUMBER(G324),LN(1+G324)-J324,"")</f>
        <v/>
      </c>
      <c r="L324" s="40">
        <f>IF(ISNUMBER(H324),LN(1+H324)-J324,"")</f>
        <v/>
      </c>
      <c r="M324" s="38">
        <f>IF(ISNUMBER(K324),1,0)</f>
        <v/>
      </c>
      <c r="N324" s="40">
        <f>IF(M324=1,K324,0)</f>
        <v/>
      </c>
      <c r="O324" s="38">
        <f>IF(ISNUMBER(L324),1,0)</f>
        <v/>
      </c>
      <c r="P324" s="40">
        <f>IF(O324=1,L324,0)</f>
        <v/>
      </c>
      <c r="Q324" s="38">
        <f>M324*O324</f>
        <v/>
      </c>
      <c r="R324" s="38">
        <f>SUM(Q288:Q323)</f>
        <v/>
      </c>
      <c r="S324" s="41">
        <f>IF(OR($A324="",R324&lt;MIN_OBS_ROLL),"",(SUMPRODUCT(Q288:Q323,N288:N323,P288:P323)/R324-SUMPRODUCT(Q288:Q323,N288:N323)/R324*SUMPRODUCT(Q288:Q323,P288:P323)/R324)*R324/(R324-1))</f>
        <v/>
      </c>
      <c r="T324" s="38">
        <f>SUM(O288:O323)</f>
        <v/>
      </c>
      <c r="U324" s="41">
        <f>IF(OR($A324="",T324&lt;MIN_OBS_ROLL),"",SUMPRODUCT(O288:O323,(P288:P323-SUMPRODUCT(O288:O323,P288:P323)/T324)^2)/(T324-1))</f>
        <v/>
      </c>
      <c r="V324" s="40">
        <f>IF(OR(S324="",U324=""),"",S324/U324)</f>
        <v/>
      </c>
      <c r="W324" s="40">
        <f>IF(AND(ISNUMBER(K324),ISNUMBER(L324),ISNUMBER(V324)),K324-V324*L324,"")</f>
        <v/>
      </c>
      <c r="X324" s="40">
        <f>IF(OR($A324="",NOT(ISNUMBER(Datos!H324)),NOT(ISNUMBER(Datos!H323))),"",LN(Datos!H324)-LN(Datos!H323))</f>
        <v/>
      </c>
      <c r="Y324" s="38">
        <f>IF(ISNUMBER(W324),1,0)</f>
        <v/>
      </c>
      <c r="Z324" s="40">
        <f>IF(Y324=1,W324,0)</f>
        <v/>
      </c>
      <c r="AA324" s="38">
        <f>IF(ISNUMBER(X324),1,0)</f>
        <v/>
      </c>
      <c r="AB324" s="40">
        <f>IF(AA324=1,X324,0)</f>
        <v/>
      </c>
      <c r="AC324" s="38">
        <f>Y324*AA324</f>
        <v/>
      </c>
      <c r="AD324" s="38">
        <f>SUM(AC288:AC323)</f>
        <v/>
      </c>
      <c r="AE324" s="41">
        <f>IF(OR($A324="",AD324&lt;MIN_OBS_ROLL),"",(SUMPRODUCT(AC288:AC323,Z288:Z323,AB288:AB323)/AD324-SUMPRODUCT(AC288:AC323,Z288:Z323)/AD324*SUMPRODUCT(AC288:AC323,AB288:AB323)/AD324)*AD324/(AD324-1))</f>
        <v/>
      </c>
      <c r="AF324" s="38">
        <f>SUM(AA288:AA323)</f>
        <v/>
      </c>
      <c r="AG324" s="41">
        <f>IF(OR($A324="",AF324&lt;MIN_OBS_ROLL),"",SUMPRODUCT(AA288:AA323,(AB288:AB323-SUMPRODUCT(AA288:AA323,AB288:AB323)/AF324)^2)/(AF324-1))</f>
        <v/>
      </c>
      <c r="AH324" s="38">
        <f>SUM(Y288:Y323)</f>
        <v/>
      </c>
      <c r="AI324" s="40">
        <f>IF(OR($A324="",AH324&lt;MIN_OBS_ROLL),"",SUMPRODUCT(Y288:Y323,Z288:Z323)/AH324)</f>
        <v/>
      </c>
      <c r="AJ324" s="40">
        <f>IF(OR($A324="",AF324&lt;MIN_OBS_ROLL),"",SUMPRODUCT(AA288:AA323,AB288:AB323)/AF324)</f>
        <v/>
      </c>
      <c r="AK324" s="40">
        <f>IF(OR(AE324="",AG324=""),"",AE324/AG324)</f>
        <v/>
      </c>
      <c r="AL324" s="40">
        <f>IF(OR(AI324="",AK324="",AJ324=""),"",AI324-AK324*AJ324)</f>
        <v/>
      </c>
      <c r="AM324" s="40">
        <f>IF(AND(ISNUMBER(W324),ISNUMBER(X324),ISNUMBER(AK324),ISNUMBER(AL324)),W324-(AL324+AK324*X324),"")</f>
        <v/>
      </c>
      <c r="AN324" s="38">
        <f>IF(ISNUMBER(AM324),1,0)</f>
        <v/>
      </c>
      <c r="AO324" s="40">
        <f>IF(AN324=1,AM324,0)</f>
        <v/>
      </c>
      <c r="AP324" s="40">
        <f>IF(SUM(AN322:AN324)=3,SUM(AO322:AO324),"")</f>
        <v/>
      </c>
      <c r="AQ324" s="38">
        <f>IF(ISNUMBER(AP324),1,0)</f>
        <v/>
      </c>
      <c r="AR324" s="40">
        <f>IF(AQ324=1,AP324,0)</f>
        <v/>
      </c>
      <c r="AS324" s="38">
        <f>SUM(AQ$5:AQ324)</f>
        <v/>
      </c>
      <c r="AT324" s="40">
        <f>IF(AS324&gt;=MIN_OBS_Z,SUMPRODUCT(AQ$5:AQ324,AR$5:AR324)/AS324,"")</f>
        <v/>
      </c>
      <c r="AU324" s="40">
        <f>IF(AS324&gt;=MIN_OBS_Z,SQRT(SUMPRODUCT(AQ$5:AQ324,(AR$5:AR324-AT324)^2)/(AS324-1)),"")</f>
        <v/>
      </c>
      <c r="AV324" s="40">
        <f>IF(AND(AQ324=1,ISNUMBER(AT324)),MAX(-Z_CLIP,MIN(Z_CLIP,(AR324-AT324)/AU324)),"")</f>
        <v/>
      </c>
      <c r="AW324" s="40">
        <f>IF(ISNUMBER(AV324),-AV324,"")</f>
        <v/>
      </c>
      <c r="AX324" s="40">
        <f>IF(ISNUMBER(AW324),1+AMPLITUD*TANH(AW324),"")</f>
        <v/>
      </c>
      <c r="AY324" s="40">
        <f>IF($A324="","",IF(COUNT(AX322:AX324)&gt;0,AVERAGE(AX322:AX324),""))</f>
        <v/>
      </c>
      <c r="AZ324" s="40">
        <f>IF(ISNUMBER(AY324),AY324-1,"")</f>
        <v/>
      </c>
      <c r="BA324" s="40">
        <f>IF(AND(ISNUMBER(AZ323),ISNUMBER(W324)),AZ323*W_BANCOS*W324,"")</f>
        <v/>
      </c>
      <c r="BB324" s="40">
        <f>IF(AND(ISNUMBER(AZ323),ISNUMBER(AZ322)),ABS(AZ323-AZ322)*W_BANCOS*COSTO,0)</f>
        <v/>
      </c>
      <c r="BC324" s="40">
        <f>IF(ISNUMBER(BA324),BA324-BB324,"")</f>
        <v/>
      </c>
      <c r="BD324" s="42">
        <f>IF(ISNUMBER(BC324),IF(A324&lt;=FECHA_ERA,"A","B"),"")</f>
        <v/>
      </c>
      <c r="BE324" s="40">
        <f>IF(BD324="A",BC324,"")</f>
        <v/>
      </c>
      <c r="BF324" s="40">
        <f>IF(BD324="B",BC324,"")</f>
        <v/>
      </c>
      <c r="BG324" s="38">
        <f>IF(AND(ISNUMBER(BC324),ISNUMBER(A324)),IF(A324&gt;=INICIO_VIVO,1,0),0)</f>
        <v/>
      </c>
      <c r="BH324" s="40">
        <f>IF(BG324=1,BC324,"")</f>
        <v/>
      </c>
      <c r="BI324" s="38">
        <f>IF(ISNUMBER(AY324),ROW(),0)</f>
        <v/>
      </c>
      <c r="BJ324" s="43">
        <f>IF(ISNUMBER(BC324),SUM(BC$5:BC324)*10000,NA())</f>
        <v/>
      </c>
      <c r="BK324" s="43">
        <f>IF(BG324=1,SUM(BH$5:BH324)*10000,NA())</f>
        <v/>
      </c>
      <c r="BL324" s="44">
        <f>IF(ISNUMBER(AY324),AY324,NA())</f>
        <v/>
      </c>
    </row>
    <row r="325">
      <c r="A325" s="36">
        <f>IF(Datos!A325="","",Datos!A325)</f>
        <v/>
      </c>
      <c r="B325" s="37">
        <f>IF(OR($A325="",NOT(ISNUMBER(Datos!B325)),NOT(ISNUMBER(Datos!B324))),"",Datos!B325/Datos!B324-1)</f>
        <v/>
      </c>
      <c r="C325" s="37">
        <f>IF(OR($A325="",NOT(ISNUMBER(Datos!C325)),NOT(ISNUMBER(Datos!C324))),"",Datos!C325/Datos!C324-1)</f>
        <v/>
      </c>
      <c r="D325" s="37">
        <f>IF(OR($A325="",NOT(ISNUMBER(Datos!D325)),NOT(ISNUMBER(Datos!D324))),"",Datos!D325/Datos!D324-1)</f>
        <v/>
      </c>
      <c r="E325" s="37">
        <f>IF(OR($A325="",NOT(ISNUMBER(Datos!E325)),NOT(ISNUMBER(Datos!E324))),"",Datos!E325/Datos!E324-1)</f>
        <v/>
      </c>
      <c r="F325" s="38">
        <f>IF($A325="","",COUNT(B325:E325))</f>
        <v/>
      </c>
      <c r="G325" s="37">
        <f>IF($A325="","",IF(F325&gt;=MIN_BANCOS,AVERAGE(B325:E325),""))</f>
        <v/>
      </c>
      <c r="H325" s="37">
        <f>IF(OR($A325="",NOT(ISNUMBER(Datos!F325)),NOT(ISNUMBER(Datos!F324))),"",Datos!F325/Datos!F324-1)</f>
        <v/>
      </c>
      <c r="I325" s="39">
        <f>IF($A325="","",IF(ISNUMBER(Datos!G325),Datos!G325,I324))</f>
        <v/>
      </c>
      <c r="J325" s="40">
        <f>IF($A325="","",IF(ISNUMBER(I324),LN(1+I324/100/12),0))</f>
        <v/>
      </c>
      <c r="K325" s="40">
        <f>IF(ISNUMBER(G325),LN(1+G325)-J325,"")</f>
        <v/>
      </c>
      <c r="L325" s="40">
        <f>IF(ISNUMBER(H325),LN(1+H325)-J325,"")</f>
        <v/>
      </c>
      <c r="M325" s="38">
        <f>IF(ISNUMBER(K325),1,0)</f>
        <v/>
      </c>
      <c r="N325" s="40">
        <f>IF(M325=1,K325,0)</f>
        <v/>
      </c>
      <c r="O325" s="38">
        <f>IF(ISNUMBER(L325),1,0)</f>
        <v/>
      </c>
      <c r="P325" s="40">
        <f>IF(O325=1,L325,0)</f>
        <v/>
      </c>
      <c r="Q325" s="38">
        <f>M325*O325</f>
        <v/>
      </c>
      <c r="R325" s="38">
        <f>SUM(Q289:Q324)</f>
        <v/>
      </c>
      <c r="S325" s="41">
        <f>IF(OR($A325="",R325&lt;MIN_OBS_ROLL),"",(SUMPRODUCT(Q289:Q324,N289:N324,P289:P324)/R325-SUMPRODUCT(Q289:Q324,N289:N324)/R325*SUMPRODUCT(Q289:Q324,P289:P324)/R325)*R325/(R325-1))</f>
        <v/>
      </c>
      <c r="T325" s="38">
        <f>SUM(O289:O324)</f>
        <v/>
      </c>
      <c r="U325" s="41">
        <f>IF(OR($A325="",T325&lt;MIN_OBS_ROLL),"",SUMPRODUCT(O289:O324,(P289:P324-SUMPRODUCT(O289:O324,P289:P324)/T325)^2)/(T325-1))</f>
        <v/>
      </c>
      <c r="V325" s="40">
        <f>IF(OR(S325="",U325=""),"",S325/U325)</f>
        <v/>
      </c>
      <c r="W325" s="40">
        <f>IF(AND(ISNUMBER(K325),ISNUMBER(L325),ISNUMBER(V325)),K325-V325*L325,"")</f>
        <v/>
      </c>
      <c r="X325" s="40">
        <f>IF(OR($A325="",NOT(ISNUMBER(Datos!H325)),NOT(ISNUMBER(Datos!H324))),"",LN(Datos!H325)-LN(Datos!H324))</f>
        <v/>
      </c>
      <c r="Y325" s="38">
        <f>IF(ISNUMBER(W325),1,0)</f>
        <v/>
      </c>
      <c r="Z325" s="40">
        <f>IF(Y325=1,W325,0)</f>
        <v/>
      </c>
      <c r="AA325" s="38">
        <f>IF(ISNUMBER(X325),1,0)</f>
        <v/>
      </c>
      <c r="AB325" s="40">
        <f>IF(AA325=1,X325,0)</f>
        <v/>
      </c>
      <c r="AC325" s="38">
        <f>Y325*AA325</f>
        <v/>
      </c>
      <c r="AD325" s="38">
        <f>SUM(AC289:AC324)</f>
        <v/>
      </c>
      <c r="AE325" s="41">
        <f>IF(OR($A325="",AD325&lt;MIN_OBS_ROLL),"",(SUMPRODUCT(AC289:AC324,Z289:Z324,AB289:AB324)/AD325-SUMPRODUCT(AC289:AC324,Z289:Z324)/AD325*SUMPRODUCT(AC289:AC324,AB289:AB324)/AD325)*AD325/(AD325-1))</f>
        <v/>
      </c>
      <c r="AF325" s="38">
        <f>SUM(AA289:AA324)</f>
        <v/>
      </c>
      <c r="AG325" s="41">
        <f>IF(OR($A325="",AF325&lt;MIN_OBS_ROLL),"",SUMPRODUCT(AA289:AA324,(AB289:AB324-SUMPRODUCT(AA289:AA324,AB289:AB324)/AF325)^2)/(AF325-1))</f>
        <v/>
      </c>
      <c r="AH325" s="38">
        <f>SUM(Y289:Y324)</f>
        <v/>
      </c>
      <c r="AI325" s="40">
        <f>IF(OR($A325="",AH325&lt;MIN_OBS_ROLL),"",SUMPRODUCT(Y289:Y324,Z289:Z324)/AH325)</f>
        <v/>
      </c>
      <c r="AJ325" s="40">
        <f>IF(OR($A325="",AF325&lt;MIN_OBS_ROLL),"",SUMPRODUCT(AA289:AA324,AB289:AB324)/AF325)</f>
        <v/>
      </c>
      <c r="AK325" s="40">
        <f>IF(OR(AE325="",AG325=""),"",AE325/AG325)</f>
        <v/>
      </c>
      <c r="AL325" s="40">
        <f>IF(OR(AI325="",AK325="",AJ325=""),"",AI325-AK325*AJ325)</f>
        <v/>
      </c>
      <c r="AM325" s="40">
        <f>IF(AND(ISNUMBER(W325),ISNUMBER(X325),ISNUMBER(AK325),ISNUMBER(AL325)),W325-(AL325+AK325*X325),"")</f>
        <v/>
      </c>
      <c r="AN325" s="38">
        <f>IF(ISNUMBER(AM325),1,0)</f>
        <v/>
      </c>
      <c r="AO325" s="40">
        <f>IF(AN325=1,AM325,0)</f>
        <v/>
      </c>
      <c r="AP325" s="40">
        <f>IF(SUM(AN323:AN325)=3,SUM(AO323:AO325),"")</f>
        <v/>
      </c>
      <c r="AQ325" s="38">
        <f>IF(ISNUMBER(AP325),1,0)</f>
        <v/>
      </c>
      <c r="AR325" s="40">
        <f>IF(AQ325=1,AP325,0)</f>
        <v/>
      </c>
      <c r="AS325" s="38">
        <f>SUM(AQ$5:AQ325)</f>
        <v/>
      </c>
      <c r="AT325" s="40">
        <f>IF(AS325&gt;=MIN_OBS_Z,SUMPRODUCT(AQ$5:AQ325,AR$5:AR325)/AS325,"")</f>
        <v/>
      </c>
      <c r="AU325" s="40">
        <f>IF(AS325&gt;=MIN_OBS_Z,SQRT(SUMPRODUCT(AQ$5:AQ325,(AR$5:AR325-AT325)^2)/(AS325-1)),"")</f>
        <v/>
      </c>
      <c r="AV325" s="40">
        <f>IF(AND(AQ325=1,ISNUMBER(AT325)),MAX(-Z_CLIP,MIN(Z_CLIP,(AR325-AT325)/AU325)),"")</f>
        <v/>
      </c>
      <c r="AW325" s="40">
        <f>IF(ISNUMBER(AV325),-AV325,"")</f>
        <v/>
      </c>
      <c r="AX325" s="40">
        <f>IF(ISNUMBER(AW325),1+AMPLITUD*TANH(AW325),"")</f>
        <v/>
      </c>
      <c r="AY325" s="40">
        <f>IF($A325="","",IF(COUNT(AX323:AX325)&gt;0,AVERAGE(AX323:AX325),""))</f>
        <v/>
      </c>
      <c r="AZ325" s="40">
        <f>IF(ISNUMBER(AY325),AY325-1,"")</f>
        <v/>
      </c>
      <c r="BA325" s="40">
        <f>IF(AND(ISNUMBER(AZ324),ISNUMBER(W325)),AZ324*W_BANCOS*W325,"")</f>
        <v/>
      </c>
      <c r="BB325" s="40">
        <f>IF(AND(ISNUMBER(AZ324),ISNUMBER(AZ323)),ABS(AZ324-AZ323)*W_BANCOS*COSTO,0)</f>
        <v/>
      </c>
      <c r="BC325" s="40">
        <f>IF(ISNUMBER(BA325),BA325-BB325,"")</f>
        <v/>
      </c>
      <c r="BD325" s="42">
        <f>IF(ISNUMBER(BC325),IF(A325&lt;=FECHA_ERA,"A","B"),"")</f>
        <v/>
      </c>
      <c r="BE325" s="40">
        <f>IF(BD325="A",BC325,"")</f>
        <v/>
      </c>
      <c r="BF325" s="40">
        <f>IF(BD325="B",BC325,"")</f>
        <v/>
      </c>
      <c r="BG325" s="38">
        <f>IF(AND(ISNUMBER(BC325),ISNUMBER(A325)),IF(A325&gt;=INICIO_VIVO,1,0),0)</f>
        <v/>
      </c>
      <c r="BH325" s="40">
        <f>IF(BG325=1,BC325,"")</f>
        <v/>
      </c>
      <c r="BI325" s="38">
        <f>IF(ISNUMBER(AY325),ROW(),0)</f>
        <v/>
      </c>
      <c r="BJ325" s="43">
        <f>IF(ISNUMBER(BC325),SUM(BC$5:BC325)*10000,NA())</f>
        <v/>
      </c>
      <c r="BK325" s="43">
        <f>IF(BG325=1,SUM(BH$5:BH325)*10000,NA())</f>
        <v/>
      </c>
      <c r="BL325" s="44">
        <f>IF(ISNUMBER(AY325),AY325,NA())</f>
        <v/>
      </c>
    </row>
    <row r="326">
      <c r="A326" s="36">
        <f>IF(Datos!A326="","",Datos!A326)</f>
        <v/>
      </c>
      <c r="B326" s="37">
        <f>IF(OR($A326="",NOT(ISNUMBER(Datos!B326)),NOT(ISNUMBER(Datos!B325))),"",Datos!B326/Datos!B325-1)</f>
        <v/>
      </c>
      <c r="C326" s="37">
        <f>IF(OR($A326="",NOT(ISNUMBER(Datos!C326)),NOT(ISNUMBER(Datos!C325))),"",Datos!C326/Datos!C325-1)</f>
        <v/>
      </c>
      <c r="D326" s="37">
        <f>IF(OR($A326="",NOT(ISNUMBER(Datos!D326)),NOT(ISNUMBER(Datos!D325))),"",Datos!D326/Datos!D325-1)</f>
        <v/>
      </c>
      <c r="E326" s="37">
        <f>IF(OR($A326="",NOT(ISNUMBER(Datos!E326)),NOT(ISNUMBER(Datos!E325))),"",Datos!E326/Datos!E325-1)</f>
        <v/>
      </c>
      <c r="F326" s="38">
        <f>IF($A326="","",COUNT(B326:E326))</f>
        <v/>
      </c>
      <c r="G326" s="37">
        <f>IF($A326="","",IF(F326&gt;=MIN_BANCOS,AVERAGE(B326:E326),""))</f>
        <v/>
      </c>
      <c r="H326" s="37">
        <f>IF(OR($A326="",NOT(ISNUMBER(Datos!F326)),NOT(ISNUMBER(Datos!F325))),"",Datos!F326/Datos!F325-1)</f>
        <v/>
      </c>
      <c r="I326" s="39">
        <f>IF($A326="","",IF(ISNUMBER(Datos!G326),Datos!G326,I325))</f>
        <v/>
      </c>
      <c r="J326" s="40">
        <f>IF($A326="","",IF(ISNUMBER(I325),LN(1+I325/100/12),0))</f>
        <v/>
      </c>
      <c r="K326" s="40">
        <f>IF(ISNUMBER(G326),LN(1+G326)-J326,"")</f>
        <v/>
      </c>
      <c r="L326" s="40">
        <f>IF(ISNUMBER(H326),LN(1+H326)-J326,"")</f>
        <v/>
      </c>
      <c r="M326" s="38">
        <f>IF(ISNUMBER(K326),1,0)</f>
        <v/>
      </c>
      <c r="N326" s="40">
        <f>IF(M326=1,K326,0)</f>
        <v/>
      </c>
      <c r="O326" s="38">
        <f>IF(ISNUMBER(L326),1,0)</f>
        <v/>
      </c>
      <c r="P326" s="40">
        <f>IF(O326=1,L326,0)</f>
        <v/>
      </c>
      <c r="Q326" s="38">
        <f>M326*O326</f>
        <v/>
      </c>
      <c r="R326" s="38">
        <f>SUM(Q290:Q325)</f>
        <v/>
      </c>
      <c r="S326" s="41">
        <f>IF(OR($A326="",R326&lt;MIN_OBS_ROLL),"",(SUMPRODUCT(Q290:Q325,N290:N325,P290:P325)/R326-SUMPRODUCT(Q290:Q325,N290:N325)/R326*SUMPRODUCT(Q290:Q325,P290:P325)/R326)*R326/(R326-1))</f>
        <v/>
      </c>
      <c r="T326" s="38">
        <f>SUM(O290:O325)</f>
        <v/>
      </c>
      <c r="U326" s="41">
        <f>IF(OR($A326="",T326&lt;MIN_OBS_ROLL),"",SUMPRODUCT(O290:O325,(P290:P325-SUMPRODUCT(O290:O325,P290:P325)/T326)^2)/(T326-1))</f>
        <v/>
      </c>
      <c r="V326" s="40">
        <f>IF(OR(S326="",U326=""),"",S326/U326)</f>
        <v/>
      </c>
      <c r="W326" s="40">
        <f>IF(AND(ISNUMBER(K326),ISNUMBER(L326),ISNUMBER(V326)),K326-V326*L326,"")</f>
        <v/>
      </c>
      <c r="X326" s="40">
        <f>IF(OR($A326="",NOT(ISNUMBER(Datos!H326)),NOT(ISNUMBER(Datos!H325))),"",LN(Datos!H326)-LN(Datos!H325))</f>
        <v/>
      </c>
      <c r="Y326" s="38">
        <f>IF(ISNUMBER(W326),1,0)</f>
        <v/>
      </c>
      <c r="Z326" s="40">
        <f>IF(Y326=1,W326,0)</f>
        <v/>
      </c>
      <c r="AA326" s="38">
        <f>IF(ISNUMBER(X326),1,0)</f>
        <v/>
      </c>
      <c r="AB326" s="40">
        <f>IF(AA326=1,X326,0)</f>
        <v/>
      </c>
      <c r="AC326" s="38">
        <f>Y326*AA326</f>
        <v/>
      </c>
      <c r="AD326" s="38">
        <f>SUM(AC290:AC325)</f>
        <v/>
      </c>
      <c r="AE326" s="41">
        <f>IF(OR($A326="",AD326&lt;MIN_OBS_ROLL),"",(SUMPRODUCT(AC290:AC325,Z290:Z325,AB290:AB325)/AD326-SUMPRODUCT(AC290:AC325,Z290:Z325)/AD326*SUMPRODUCT(AC290:AC325,AB290:AB325)/AD326)*AD326/(AD326-1))</f>
        <v/>
      </c>
      <c r="AF326" s="38">
        <f>SUM(AA290:AA325)</f>
        <v/>
      </c>
      <c r="AG326" s="41">
        <f>IF(OR($A326="",AF326&lt;MIN_OBS_ROLL),"",SUMPRODUCT(AA290:AA325,(AB290:AB325-SUMPRODUCT(AA290:AA325,AB290:AB325)/AF326)^2)/(AF326-1))</f>
        <v/>
      </c>
      <c r="AH326" s="38">
        <f>SUM(Y290:Y325)</f>
        <v/>
      </c>
      <c r="AI326" s="40">
        <f>IF(OR($A326="",AH326&lt;MIN_OBS_ROLL),"",SUMPRODUCT(Y290:Y325,Z290:Z325)/AH326)</f>
        <v/>
      </c>
      <c r="AJ326" s="40">
        <f>IF(OR($A326="",AF326&lt;MIN_OBS_ROLL),"",SUMPRODUCT(AA290:AA325,AB290:AB325)/AF326)</f>
        <v/>
      </c>
      <c r="AK326" s="40">
        <f>IF(OR(AE326="",AG326=""),"",AE326/AG326)</f>
        <v/>
      </c>
      <c r="AL326" s="40">
        <f>IF(OR(AI326="",AK326="",AJ326=""),"",AI326-AK326*AJ326)</f>
        <v/>
      </c>
      <c r="AM326" s="40">
        <f>IF(AND(ISNUMBER(W326),ISNUMBER(X326),ISNUMBER(AK326),ISNUMBER(AL326)),W326-(AL326+AK326*X326),"")</f>
        <v/>
      </c>
      <c r="AN326" s="38">
        <f>IF(ISNUMBER(AM326),1,0)</f>
        <v/>
      </c>
      <c r="AO326" s="40">
        <f>IF(AN326=1,AM326,0)</f>
        <v/>
      </c>
      <c r="AP326" s="40">
        <f>IF(SUM(AN324:AN326)=3,SUM(AO324:AO326),"")</f>
        <v/>
      </c>
      <c r="AQ326" s="38">
        <f>IF(ISNUMBER(AP326),1,0)</f>
        <v/>
      </c>
      <c r="AR326" s="40">
        <f>IF(AQ326=1,AP326,0)</f>
        <v/>
      </c>
      <c r="AS326" s="38">
        <f>SUM(AQ$5:AQ326)</f>
        <v/>
      </c>
      <c r="AT326" s="40">
        <f>IF(AS326&gt;=MIN_OBS_Z,SUMPRODUCT(AQ$5:AQ326,AR$5:AR326)/AS326,"")</f>
        <v/>
      </c>
      <c r="AU326" s="40">
        <f>IF(AS326&gt;=MIN_OBS_Z,SQRT(SUMPRODUCT(AQ$5:AQ326,(AR$5:AR326-AT326)^2)/(AS326-1)),"")</f>
        <v/>
      </c>
      <c r="AV326" s="40">
        <f>IF(AND(AQ326=1,ISNUMBER(AT326)),MAX(-Z_CLIP,MIN(Z_CLIP,(AR326-AT326)/AU326)),"")</f>
        <v/>
      </c>
      <c r="AW326" s="40">
        <f>IF(ISNUMBER(AV326),-AV326,"")</f>
        <v/>
      </c>
      <c r="AX326" s="40">
        <f>IF(ISNUMBER(AW326),1+AMPLITUD*TANH(AW326),"")</f>
        <v/>
      </c>
      <c r="AY326" s="40">
        <f>IF($A326="","",IF(COUNT(AX324:AX326)&gt;0,AVERAGE(AX324:AX326),""))</f>
        <v/>
      </c>
      <c r="AZ326" s="40">
        <f>IF(ISNUMBER(AY326),AY326-1,"")</f>
        <v/>
      </c>
      <c r="BA326" s="40">
        <f>IF(AND(ISNUMBER(AZ325),ISNUMBER(W326)),AZ325*W_BANCOS*W326,"")</f>
        <v/>
      </c>
      <c r="BB326" s="40">
        <f>IF(AND(ISNUMBER(AZ325),ISNUMBER(AZ324)),ABS(AZ325-AZ324)*W_BANCOS*COSTO,0)</f>
        <v/>
      </c>
      <c r="BC326" s="40">
        <f>IF(ISNUMBER(BA326),BA326-BB326,"")</f>
        <v/>
      </c>
      <c r="BD326" s="42">
        <f>IF(ISNUMBER(BC326),IF(A326&lt;=FECHA_ERA,"A","B"),"")</f>
        <v/>
      </c>
      <c r="BE326" s="40">
        <f>IF(BD326="A",BC326,"")</f>
        <v/>
      </c>
      <c r="BF326" s="40">
        <f>IF(BD326="B",BC326,"")</f>
        <v/>
      </c>
      <c r="BG326" s="38">
        <f>IF(AND(ISNUMBER(BC326),ISNUMBER(A326)),IF(A326&gt;=INICIO_VIVO,1,0),0)</f>
        <v/>
      </c>
      <c r="BH326" s="40">
        <f>IF(BG326=1,BC326,"")</f>
        <v/>
      </c>
      <c r="BI326" s="38">
        <f>IF(ISNUMBER(AY326),ROW(),0)</f>
        <v/>
      </c>
      <c r="BJ326" s="43">
        <f>IF(ISNUMBER(BC326),SUM(BC$5:BC326)*10000,NA())</f>
        <v/>
      </c>
      <c r="BK326" s="43">
        <f>IF(BG326=1,SUM(BH$5:BH326)*10000,NA())</f>
        <v/>
      </c>
      <c r="BL326" s="44">
        <f>IF(ISNUMBER(AY326),AY326,NA())</f>
        <v/>
      </c>
    </row>
    <row r="327">
      <c r="A327" s="36">
        <f>IF(Datos!A327="","",Datos!A327)</f>
        <v/>
      </c>
      <c r="B327" s="37">
        <f>IF(OR($A327="",NOT(ISNUMBER(Datos!B327)),NOT(ISNUMBER(Datos!B326))),"",Datos!B327/Datos!B326-1)</f>
        <v/>
      </c>
      <c r="C327" s="37">
        <f>IF(OR($A327="",NOT(ISNUMBER(Datos!C327)),NOT(ISNUMBER(Datos!C326))),"",Datos!C327/Datos!C326-1)</f>
        <v/>
      </c>
      <c r="D327" s="37">
        <f>IF(OR($A327="",NOT(ISNUMBER(Datos!D327)),NOT(ISNUMBER(Datos!D326))),"",Datos!D327/Datos!D326-1)</f>
        <v/>
      </c>
      <c r="E327" s="37">
        <f>IF(OR($A327="",NOT(ISNUMBER(Datos!E327)),NOT(ISNUMBER(Datos!E326))),"",Datos!E327/Datos!E326-1)</f>
        <v/>
      </c>
      <c r="F327" s="38">
        <f>IF($A327="","",COUNT(B327:E327))</f>
        <v/>
      </c>
      <c r="G327" s="37">
        <f>IF($A327="","",IF(F327&gt;=MIN_BANCOS,AVERAGE(B327:E327),""))</f>
        <v/>
      </c>
      <c r="H327" s="37">
        <f>IF(OR($A327="",NOT(ISNUMBER(Datos!F327)),NOT(ISNUMBER(Datos!F326))),"",Datos!F327/Datos!F326-1)</f>
        <v/>
      </c>
      <c r="I327" s="39">
        <f>IF($A327="","",IF(ISNUMBER(Datos!G327),Datos!G327,I326))</f>
        <v/>
      </c>
      <c r="J327" s="40">
        <f>IF($A327="","",IF(ISNUMBER(I326),LN(1+I326/100/12),0))</f>
        <v/>
      </c>
      <c r="K327" s="40">
        <f>IF(ISNUMBER(G327),LN(1+G327)-J327,"")</f>
        <v/>
      </c>
      <c r="L327" s="40">
        <f>IF(ISNUMBER(H327),LN(1+H327)-J327,"")</f>
        <v/>
      </c>
      <c r="M327" s="38">
        <f>IF(ISNUMBER(K327),1,0)</f>
        <v/>
      </c>
      <c r="N327" s="40">
        <f>IF(M327=1,K327,0)</f>
        <v/>
      </c>
      <c r="O327" s="38">
        <f>IF(ISNUMBER(L327),1,0)</f>
        <v/>
      </c>
      <c r="P327" s="40">
        <f>IF(O327=1,L327,0)</f>
        <v/>
      </c>
      <c r="Q327" s="38">
        <f>M327*O327</f>
        <v/>
      </c>
      <c r="R327" s="38">
        <f>SUM(Q291:Q326)</f>
        <v/>
      </c>
      <c r="S327" s="41">
        <f>IF(OR($A327="",R327&lt;MIN_OBS_ROLL),"",(SUMPRODUCT(Q291:Q326,N291:N326,P291:P326)/R327-SUMPRODUCT(Q291:Q326,N291:N326)/R327*SUMPRODUCT(Q291:Q326,P291:P326)/R327)*R327/(R327-1))</f>
        <v/>
      </c>
      <c r="T327" s="38">
        <f>SUM(O291:O326)</f>
        <v/>
      </c>
      <c r="U327" s="41">
        <f>IF(OR($A327="",T327&lt;MIN_OBS_ROLL),"",SUMPRODUCT(O291:O326,(P291:P326-SUMPRODUCT(O291:O326,P291:P326)/T327)^2)/(T327-1))</f>
        <v/>
      </c>
      <c r="V327" s="40">
        <f>IF(OR(S327="",U327=""),"",S327/U327)</f>
        <v/>
      </c>
      <c r="W327" s="40">
        <f>IF(AND(ISNUMBER(K327),ISNUMBER(L327),ISNUMBER(V327)),K327-V327*L327,"")</f>
        <v/>
      </c>
      <c r="X327" s="40">
        <f>IF(OR($A327="",NOT(ISNUMBER(Datos!H327)),NOT(ISNUMBER(Datos!H326))),"",LN(Datos!H327)-LN(Datos!H326))</f>
        <v/>
      </c>
      <c r="Y327" s="38">
        <f>IF(ISNUMBER(W327),1,0)</f>
        <v/>
      </c>
      <c r="Z327" s="40">
        <f>IF(Y327=1,W327,0)</f>
        <v/>
      </c>
      <c r="AA327" s="38">
        <f>IF(ISNUMBER(X327),1,0)</f>
        <v/>
      </c>
      <c r="AB327" s="40">
        <f>IF(AA327=1,X327,0)</f>
        <v/>
      </c>
      <c r="AC327" s="38">
        <f>Y327*AA327</f>
        <v/>
      </c>
      <c r="AD327" s="38">
        <f>SUM(AC291:AC326)</f>
        <v/>
      </c>
      <c r="AE327" s="41">
        <f>IF(OR($A327="",AD327&lt;MIN_OBS_ROLL),"",(SUMPRODUCT(AC291:AC326,Z291:Z326,AB291:AB326)/AD327-SUMPRODUCT(AC291:AC326,Z291:Z326)/AD327*SUMPRODUCT(AC291:AC326,AB291:AB326)/AD327)*AD327/(AD327-1))</f>
        <v/>
      </c>
      <c r="AF327" s="38">
        <f>SUM(AA291:AA326)</f>
        <v/>
      </c>
      <c r="AG327" s="41">
        <f>IF(OR($A327="",AF327&lt;MIN_OBS_ROLL),"",SUMPRODUCT(AA291:AA326,(AB291:AB326-SUMPRODUCT(AA291:AA326,AB291:AB326)/AF327)^2)/(AF327-1))</f>
        <v/>
      </c>
      <c r="AH327" s="38">
        <f>SUM(Y291:Y326)</f>
        <v/>
      </c>
      <c r="AI327" s="40">
        <f>IF(OR($A327="",AH327&lt;MIN_OBS_ROLL),"",SUMPRODUCT(Y291:Y326,Z291:Z326)/AH327)</f>
        <v/>
      </c>
      <c r="AJ327" s="40">
        <f>IF(OR($A327="",AF327&lt;MIN_OBS_ROLL),"",SUMPRODUCT(AA291:AA326,AB291:AB326)/AF327)</f>
        <v/>
      </c>
      <c r="AK327" s="40">
        <f>IF(OR(AE327="",AG327=""),"",AE327/AG327)</f>
        <v/>
      </c>
      <c r="AL327" s="40">
        <f>IF(OR(AI327="",AK327="",AJ327=""),"",AI327-AK327*AJ327)</f>
        <v/>
      </c>
      <c r="AM327" s="40">
        <f>IF(AND(ISNUMBER(W327),ISNUMBER(X327),ISNUMBER(AK327),ISNUMBER(AL327)),W327-(AL327+AK327*X327),"")</f>
        <v/>
      </c>
      <c r="AN327" s="38">
        <f>IF(ISNUMBER(AM327),1,0)</f>
        <v/>
      </c>
      <c r="AO327" s="40">
        <f>IF(AN327=1,AM327,0)</f>
        <v/>
      </c>
      <c r="AP327" s="40">
        <f>IF(SUM(AN325:AN327)=3,SUM(AO325:AO327),"")</f>
        <v/>
      </c>
      <c r="AQ327" s="38">
        <f>IF(ISNUMBER(AP327),1,0)</f>
        <v/>
      </c>
      <c r="AR327" s="40">
        <f>IF(AQ327=1,AP327,0)</f>
        <v/>
      </c>
      <c r="AS327" s="38">
        <f>SUM(AQ$5:AQ327)</f>
        <v/>
      </c>
      <c r="AT327" s="40">
        <f>IF(AS327&gt;=MIN_OBS_Z,SUMPRODUCT(AQ$5:AQ327,AR$5:AR327)/AS327,"")</f>
        <v/>
      </c>
      <c r="AU327" s="40">
        <f>IF(AS327&gt;=MIN_OBS_Z,SQRT(SUMPRODUCT(AQ$5:AQ327,(AR$5:AR327-AT327)^2)/(AS327-1)),"")</f>
        <v/>
      </c>
      <c r="AV327" s="40">
        <f>IF(AND(AQ327=1,ISNUMBER(AT327)),MAX(-Z_CLIP,MIN(Z_CLIP,(AR327-AT327)/AU327)),"")</f>
        <v/>
      </c>
      <c r="AW327" s="40">
        <f>IF(ISNUMBER(AV327),-AV327,"")</f>
        <v/>
      </c>
      <c r="AX327" s="40">
        <f>IF(ISNUMBER(AW327),1+AMPLITUD*TANH(AW327),"")</f>
        <v/>
      </c>
      <c r="AY327" s="40">
        <f>IF($A327="","",IF(COUNT(AX325:AX327)&gt;0,AVERAGE(AX325:AX327),""))</f>
        <v/>
      </c>
      <c r="AZ327" s="40">
        <f>IF(ISNUMBER(AY327),AY327-1,"")</f>
        <v/>
      </c>
      <c r="BA327" s="40">
        <f>IF(AND(ISNUMBER(AZ326),ISNUMBER(W327)),AZ326*W_BANCOS*W327,"")</f>
        <v/>
      </c>
      <c r="BB327" s="40">
        <f>IF(AND(ISNUMBER(AZ326),ISNUMBER(AZ325)),ABS(AZ326-AZ325)*W_BANCOS*COSTO,0)</f>
        <v/>
      </c>
      <c r="BC327" s="40">
        <f>IF(ISNUMBER(BA327),BA327-BB327,"")</f>
        <v/>
      </c>
      <c r="BD327" s="42">
        <f>IF(ISNUMBER(BC327),IF(A327&lt;=FECHA_ERA,"A","B"),"")</f>
        <v/>
      </c>
      <c r="BE327" s="40">
        <f>IF(BD327="A",BC327,"")</f>
        <v/>
      </c>
      <c r="BF327" s="40">
        <f>IF(BD327="B",BC327,"")</f>
        <v/>
      </c>
      <c r="BG327" s="38">
        <f>IF(AND(ISNUMBER(BC327),ISNUMBER(A327)),IF(A327&gt;=INICIO_VIVO,1,0),0)</f>
        <v/>
      </c>
      <c r="BH327" s="40">
        <f>IF(BG327=1,BC327,"")</f>
        <v/>
      </c>
      <c r="BI327" s="38">
        <f>IF(ISNUMBER(AY327),ROW(),0)</f>
        <v/>
      </c>
      <c r="BJ327" s="43">
        <f>IF(ISNUMBER(BC327),SUM(BC$5:BC327)*10000,NA())</f>
        <v/>
      </c>
      <c r="BK327" s="43">
        <f>IF(BG327=1,SUM(BH$5:BH327)*10000,NA())</f>
        <v/>
      </c>
      <c r="BL327" s="44">
        <f>IF(ISNUMBER(AY327),AY327,NA())</f>
        <v/>
      </c>
    </row>
    <row r="328">
      <c r="A328" s="36">
        <f>IF(Datos!A328="","",Datos!A328)</f>
        <v/>
      </c>
      <c r="B328" s="37">
        <f>IF(OR($A328="",NOT(ISNUMBER(Datos!B328)),NOT(ISNUMBER(Datos!B327))),"",Datos!B328/Datos!B327-1)</f>
        <v/>
      </c>
      <c r="C328" s="37">
        <f>IF(OR($A328="",NOT(ISNUMBER(Datos!C328)),NOT(ISNUMBER(Datos!C327))),"",Datos!C328/Datos!C327-1)</f>
        <v/>
      </c>
      <c r="D328" s="37">
        <f>IF(OR($A328="",NOT(ISNUMBER(Datos!D328)),NOT(ISNUMBER(Datos!D327))),"",Datos!D328/Datos!D327-1)</f>
        <v/>
      </c>
      <c r="E328" s="37">
        <f>IF(OR($A328="",NOT(ISNUMBER(Datos!E328)),NOT(ISNUMBER(Datos!E327))),"",Datos!E328/Datos!E327-1)</f>
        <v/>
      </c>
      <c r="F328" s="38">
        <f>IF($A328="","",COUNT(B328:E328))</f>
        <v/>
      </c>
      <c r="G328" s="37">
        <f>IF($A328="","",IF(F328&gt;=MIN_BANCOS,AVERAGE(B328:E328),""))</f>
        <v/>
      </c>
      <c r="H328" s="37">
        <f>IF(OR($A328="",NOT(ISNUMBER(Datos!F328)),NOT(ISNUMBER(Datos!F327))),"",Datos!F328/Datos!F327-1)</f>
        <v/>
      </c>
      <c r="I328" s="39">
        <f>IF($A328="","",IF(ISNUMBER(Datos!G328),Datos!G328,I327))</f>
        <v/>
      </c>
      <c r="J328" s="40">
        <f>IF($A328="","",IF(ISNUMBER(I327),LN(1+I327/100/12),0))</f>
        <v/>
      </c>
      <c r="K328" s="40">
        <f>IF(ISNUMBER(G328),LN(1+G328)-J328,"")</f>
        <v/>
      </c>
      <c r="L328" s="40">
        <f>IF(ISNUMBER(H328),LN(1+H328)-J328,"")</f>
        <v/>
      </c>
      <c r="M328" s="38">
        <f>IF(ISNUMBER(K328),1,0)</f>
        <v/>
      </c>
      <c r="N328" s="40">
        <f>IF(M328=1,K328,0)</f>
        <v/>
      </c>
      <c r="O328" s="38">
        <f>IF(ISNUMBER(L328),1,0)</f>
        <v/>
      </c>
      <c r="P328" s="40">
        <f>IF(O328=1,L328,0)</f>
        <v/>
      </c>
      <c r="Q328" s="38">
        <f>M328*O328</f>
        <v/>
      </c>
      <c r="R328" s="38">
        <f>SUM(Q292:Q327)</f>
        <v/>
      </c>
      <c r="S328" s="41">
        <f>IF(OR($A328="",R328&lt;MIN_OBS_ROLL),"",(SUMPRODUCT(Q292:Q327,N292:N327,P292:P327)/R328-SUMPRODUCT(Q292:Q327,N292:N327)/R328*SUMPRODUCT(Q292:Q327,P292:P327)/R328)*R328/(R328-1))</f>
        <v/>
      </c>
      <c r="T328" s="38">
        <f>SUM(O292:O327)</f>
        <v/>
      </c>
      <c r="U328" s="41">
        <f>IF(OR($A328="",T328&lt;MIN_OBS_ROLL),"",SUMPRODUCT(O292:O327,(P292:P327-SUMPRODUCT(O292:O327,P292:P327)/T328)^2)/(T328-1))</f>
        <v/>
      </c>
      <c r="V328" s="40">
        <f>IF(OR(S328="",U328=""),"",S328/U328)</f>
        <v/>
      </c>
      <c r="W328" s="40">
        <f>IF(AND(ISNUMBER(K328),ISNUMBER(L328),ISNUMBER(V328)),K328-V328*L328,"")</f>
        <v/>
      </c>
      <c r="X328" s="40">
        <f>IF(OR($A328="",NOT(ISNUMBER(Datos!H328)),NOT(ISNUMBER(Datos!H327))),"",LN(Datos!H328)-LN(Datos!H327))</f>
        <v/>
      </c>
      <c r="Y328" s="38">
        <f>IF(ISNUMBER(W328),1,0)</f>
        <v/>
      </c>
      <c r="Z328" s="40">
        <f>IF(Y328=1,W328,0)</f>
        <v/>
      </c>
      <c r="AA328" s="38">
        <f>IF(ISNUMBER(X328),1,0)</f>
        <v/>
      </c>
      <c r="AB328" s="40">
        <f>IF(AA328=1,X328,0)</f>
        <v/>
      </c>
      <c r="AC328" s="38">
        <f>Y328*AA328</f>
        <v/>
      </c>
      <c r="AD328" s="38">
        <f>SUM(AC292:AC327)</f>
        <v/>
      </c>
      <c r="AE328" s="41">
        <f>IF(OR($A328="",AD328&lt;MIN_OBS_ROLL),"",(SUMPRODUCT(AC292:AC327,Z292:Z327,AB292:AB327)/AD328-SUMPRODUCT(AC292:AC327,Z292:Z327)/AD328*SUMPRODUCT(AC292:AC327,AB292:AB327)/AD328)*AD328/(AD328-1))</f>
        <v/>
      </c>
      <c r="AF328" s="38">
        <f>SUM(AA292:AA327)</f>
        <v/>
      </c>
      <c r="AG328" s="41">
        <f>IF(OR($A328="",AF328&lt;MIN_OBS_ROLL),"",SUMPRODUCT(AA292:AA327,(AB292:AB327-SUMPRODUCT(AA292:AA327,AB292:AB327)/AF328)^2)/(AF328-1))</f>
        <v/>
      </c>
      <c r="AH328" s="38">
        <f>SUM(Y292:Y327)</f>
        <v/>
      </c>
      <c r="AI328" s="40">
        <f>IF(OR($A328="",AH328&lt;MIN_OBS_ROLL),"",SUMPRODUCT(Y292:Y327,Z292:Z327)/AH328)</f>
        <v/>
      </c>
      <c r="AJ328" s="40">
        <f>IF(OR($A328="",AF328&lt;MIN_OBS_ROLL),"",SUMPRODUCT(AA292:AA327,AB292:AB327)/AF328)</f>
        <v/>
      </c>
      <c r="AK328" s="40">
        <f>IF(OR(AE328="",AG328=""),"",AE328/AG328)</f>
        <v/>
      </c>
      <c r="AL328" s="40">
        <f>IF(OR(AI328="",AK328="",AJ328=""),"",AI328-AK328*AJ328)</f>
        <v/>
      </c>
      <c r="AM328" s="40">
        <f>IF(AND(ISNUMBER(W328),ISNUMBER(X328),ISNUMBER(AK328),ISNUMBER(AL328)),W328-(AL328+AK328*X328),"")</f>
        <v/>
      </c>
      <c r="AN328" s="38">
        <f>IF(ISNUMBER(AM328),1,0)</f>
        <v/>
      </c>
      <c r="AO328" s="40">
        <f>IF(AN328=1,AM328,0)</f>
        <v/>
      </c>
      <c r="AP328" s="40">
        <f>IF(SUM(AN326:AN328)=3,SUM(AO326:AO328),"")</f>
        <v/>
      </c>
      <c r="AQ328" s="38">
        <f>IF(ISNUMBER(AP328),1,0)</f>
        <v/>
      </c>
      <c r="AR328" s="40">
        <f>IF(AQ328=1,AP328,0)</f>
        <v/>
      </c>
      <c r="AS328" s="38">
        <f>SUM(AQ$5:AQ328)</f>
        <v/>
      </c>
      <c r="AT328" s="40">
        <f>IF(AS328&gt;=MIN_OBS_Z,SUMPRODUCT(AQ$5:AQ328,AR$5:AR328)/AS328,"")</f>
        <v/>
      </c>
      <c r="AU328" s="40">
        <f>IF(AS328&gt;=MIN_OBS_Z,SQRT(SUMPRODUCT(AQ$5:AQ328,(AR$5:AR328-AT328)^2)/(AS328-1)),"")</f>
        <v/>
      </c>
      <c r="AV328" s="40">
        <f>IF(AND(AQ328=1,ISNUMBER(AT328)),MAX(-Z_CLIP,MIN(Z_CLIP,(AR328-AT328)/AU328)),"")</f>
        <v/>
      </c>
      <c r="AW328" s="40">
        <f>IF(ISNUMBER(AV328),-AV328,"")</f>
        <v/>
      </c>
      <c r="AX328" s="40">
        <f>IF(ISNUMBER(AW328),1+AMPLITUD*TANH(AW328),"")</f>
        <v/>
      </c>
      <c r="AY328" s="40">
        <f>IF($A328="","",IF(COUNT(AX326:AX328)&gt;0,AVERAGE(AX326:AX328),""))</f>
        <v/>
      </c>
      <c r="AZ328" s="40">
        <f>IF(ISNUMBER(AY328),AY328-1,"")</f>
        <v/>
      </c>
      <c r="BA328" s="40">
        <f>IF(AND(ISNUMBER(AZ327),ISNUMBER(W328)),AZ327*W_BANCOS*W328,"")</f>
        <v/>
      </c>
      <c r="BB328" s="40">
        <f>IF(AND(ISNUMBER(AZ327),ISNUMBER(AZ326)),ABS(AZ327-AZ326)*W_BANCOS*COSTO,0)</f>
        <v/>
      </c>
      <c r="BC328" s="40">
        <f>IF(ISNUMBER(BA328),BA328-BB328,"")</f>
        <v/>
      </c>
      <c r="BD328" s="42">
        <f>IF(ISNUMBER(BC328),IF(A328&lt;=FECHA_ERA,"A","B"),"")</f>
        <v/>
      </c>
      <c r="BE328" s="40">
        <f>IF(BD328="A",BC328,"")</f>
        <v/>
      </c>
      <c r="BF328" s="40">
        <f>IF(BD328="B",BC328,"")</f>
        <v/>
      </c>
      <c r="BG328" s="38">
        <f>IF(AND(ISNUMBER(BC328),ISNUMBER(A328)),IF(A328&gt;=INICIO_VIVO,1,0),0)</f>
        <v/>
      </c>
      <c r="BH328" s="40">
        <f>IF(BG328=1,BC328,"")</f>
        <v/>
      </c>
      <c r="BI328" s="38">
        <f>IF(ISNUMBER(AY328),ROW(),0)</f>
        <v/>
      </c>
      <c r="BJ328" s="43">
        <f>IF(ISNUMBER(BC328),SUM(BC$5:BC328)*10000,NA())</f>
        <v/>
      </c>
      <c r="BK328" s="43">
        <f>IF(BG328=1,SUM(BH$5:BH328)*10000,NA())</f>
        <v/>
      </c>
      <c r="BL328" s="44">
        <f>IF(ISNUMBER(AY328),AY328,NA())</f>
        <v/>
      </c>
    </row>
    <row r="329">
      <c r="A329" s="36">
        <f>IF(Datos!A329="","",Datos!A329)</f>
        <v/>
      </c>
      <c r="B329" s="37">
        <f>IF(OR($A329="",NOT(ISNUMBER(Datos!B329)),NOT(ISNUMBER(Datos!B328))),"",Datos!B329/Datos!B328-1)</f>
        <v/>
      </c>
      <c r="C329" s="37">
        <f>IF(OR($A329="",NOT(ISNUMBER(Datos!C329)),NOT(ISNUMBER(Datos!C328))),"",Datos!C329/Datos!C328-1)</f>
        <v/>
      </c>
      <c r="D329" s="37">
        <f>IF(OR($A329="",NOT(ISNUMBER(Datos!D329)),NOT(ISNUMBER(Datos!D328))),"",Datos!D329/Datos!D328-1)</f>
        <v/>
      </c>
      <c r="E329" s="37">
        <f>IF(OR($A329="",NOT(ISNUMBER(Datos!E329)),NOT(ISNUMBER(Datos!E328))),"",Datos!E329/Datos!E328-1)</f>
        <v/>
      </c>
      <c r="F329" s="38">
        <f>IF($A329="","",COUNT(B329:E329))</f>
        <v/>
      </c>
      <c r="G329" s="37">
        <f>IF($A329="","",IF(F329&gt;=MIN_BANCOS,AVERAGE(B329:E329),""))</f>
        <v/>
      </c>
      <c r="H329" s="37">
        <f>IF(OR($A329="",NOT(ISNUMBER(Datos!F329)),NOT(ISNUMBER(Datos!F328))),"",Datos!F329/Datos!F328-1)</f>
        <v/>
      </c>
      <c r="I329" s="39">
        <f>IF($A329="","",IF(ISNUMBER(Datos!G329),Datos!G329,I328))</f>
        <v/>
      </c>
      <c r="J329" s="40">
        <f>IF($A329="","",IF(ISNUMBER(I328),LN(1+I328/100/12),0))</f>
        <v/>
      </c>
      <c r="K329" s="40">
        <f>IF(ISNUMBER(G329),LN(1+G329)-J329,"")</f>
        <v/>
      </c>
      <c r="L329" s="40">
        <f>IF(ISNUMBER(H329),LN(1+H329)-J329,"")</f>
        <v/>
      </c>
      <c r="M329" s="38">
        <f>IF(ISNUMBER(K329),1,0)</f>
        <v/>
      </c>
      <c r="N329" s="40">
        <f>IF(M329=1,K329,0)</f>
        <v/>
      </c>
      <c r="O329" s="38">
        <f>IF(ISNUMBER(L329),1,0)</f>
        <v/>
      </c>
      <c r="P329" s="40">
        <f>IF(O329=1,L329,0)</f>
        <v/>
      </c>
      <c r="Q329" s="38">
        <f>M329*O329</f>
        <v/>
      </c>
      <c r="R329" s="38">
        <f>SUM(Q293:Q328)</f>
        <v/>
      </c>
      <c r="S329" s="41">
        <f>IF(OR($A329="",R329&lt;MIN_OBS_ROLL),"",(SUMPRODUCT(Q293:Q328,N293:N328,P293:P328)/R329-SUMPRODUCT(Q293:Q328,N293:N328)/R329*SUMPRODUCT(Q293:Q328,P293:P328)/R329)*R329/(R329-1))</f>
        <v/>
      </c>
      <c r="T329" s="38">
        <f>SUM(O293:O328)</f>
        <v/>
      </c>
      <c r="U329" s="41">
        <f>IF(OR($A329="",T329&lt;MIN_OBS_ROLL),"",SUMPRODUCT(O293:O328,(P293:P328-SUMPRODUCT(O293:O328,P293:P328)/T329)^2)/(T329-1))</f>
        <v/>
      </c>
      <c r="V329" s="40">
        <f>IF(OR(S329="",U329=""),"",S329/U329)</f>
        <v/>
      </c>
      <c r="W329" s="40">
        <f>IF(AND(ISNUMBER(K329),ISNUMBER(L329),ISNUMBER(V329)),K329-V329*L329,"")</f>
        <v/>
      </c>
      <c r="X329" s="40">
        <f>IF(OR($A329="",NOT(ISNUMBER(Datos!H329)),NOT(ISNUMBER(Datos!H328))),"",LN(Datos!H329)-LN(Datos!H328))</f>
        <v/>
      </c>
      <c r="Y329" s="38">
        <f>IF(ISNUMBER(W329),1,0)</f>
        <v/>
      </c>
      <c r="Z329" s="40">
        <f>IF(Y329=1,W329,0)</f>
        <v/>
      </c>
      <c r="AA329" s="38">
        <f>IF(ISNUMBER(X329),1,0)</f>
        <v/>
      </c>
      <c r="AB329" s="40">
        <f>IF(AA329=1,X329,0)</f>
        <v/>
      </c>
      <c r="AC329" s="38">
        <f>Y329*AA329</f>
        <v/>
      </c>
      <c r="AD329" s="38">
        <f>SUM(AC293:AC328)</f>
        <v/>
      </c>
      <c r="AE329" s="41">
        <f>IF(OR($A329="",AD329&lt;MIN_OBS_ROLL),"",(SUMPRODUCT(AC293:AC328,Z293:Z328,AB293:AB328)/AD329-SUMPRODUCT(AC293:AC328,Z293:Z328)/AD329*SUMPRODUCT(AC293:AC328,AB293:AB328)/AD329)*AD329/(AD329-1))</f>
        <v/>
      </c>
      <c r="AF329" s="38">
        <f>SUM(AA293:AA328)</f>
        <v/>
      </c>
      <c r="AG329" s="41">
        <f>IF(OR($A329="",AF329&lt;MIN_OBS_ROLL),"",SUMPRODUCT(AA293:AA328,(AB293:AB328-SUMPRODUCT(AA293:AA328,AB293:AB328)/AF329)^2)/(AF329-1))</f>
        <v/>
      </c>
      <c r="AH329" s="38">
        <f>SUM(Y293:Y328)</f>
        <v/>
      </c>
      <c r="AI329" s="40">
        <f>IF(OR($A329="",AH329&lt;MIN_OBS_ROLL),"",SUMPRODUCT(Y293:Y328,Z293:Z328)/AH329)</f>
        <v/>
      </c>
      <c r="AJ329" s="40">
        <f>IF(OR($A329="",AF329&lt;MIN_OBS_ROLL),"",SUMPRODUCT(AA293:AA328,AB293:AB328)/AF329)</f>
        <v/>
      </c>
      <c r="AK329" s="40">
        <f>IF(OR(AE329="",AG329=""),"",AE329/AG329)</f>
        <v/>
      </c>
      <c r="AL329" s="40">
        <f>IF(OR(AI329="",AK329="",AJ329=""),"",AI329-AK329*AJ329)</f>
        <v/>
      </c>
      <c r="AM329" s="40">
        <f>IF(AND(ISNUMBER(W329),ISNUMBER(X329),ISNUMBER(AK329),ISNUMBER(AL329)),W329-(AL329+AK329*X329),"")</f>
        <v/>
      </c>
      <c r="AN329" s="38">
        <f>IF(ISNUMBER(AM329),1,0)</f>
        <v/>
      </c>
      <c r="AO329" s="40">
        <f>IF(AN329=1,AM329,0)</f>
        <v/>
      </c>
      <c r="AP329" s="40">
        <f>IF(SUM(AN327:AN329)=3,SUM(AO327:AO329),"")</f>
        <v/>
      </c>
      <c r="AQ329" s="38">
        <f>IF(ISNUMBER(AP329),1,0)</f>
        <v/>
      </c>
      <c r="AR329" s="40">
        <f>IF(AQ329=1,AP329,0)</f>
        <v/>
      </c>
      <c r="AS329" s="38">
        <f>SUM(AQ$5:AQ329)</f>
        <v/>
      </c>
      <c r="AT329" s="40">
        <f>IF(AS329&gt;=MIN_OBS_Z,SUMPRODUCT(AQ$5:AQ329,AR$5:AR329)/AS329,"")</f>
        <v/>
      </c>
      <c r="AU329" s="40">
        <f>IF(AS329&gt;=MIN_OBS_Z,SQRT(SUMPRODUCT(AQ$5:AQ329,(AR$5:AR329-AT329)^2)/(AS329-1)),"")</f>
        <v/>
      </c>
      <c r="AV329" s="40">
        <f>IF(AND(AQ329=1,ISNUMBER(AT329)),MAX(-Z_CLIP,MIN(Z_CLIP,(AR329-AT329)/AU329)),"")</f>
        <v/>
      </c>
      <c r="AW329" s="40">
        <f>IF(ISNUMBER(AV329),-AV329,"")</f>
        <v/>
      </c>
      <c r="AX329" s="40">
        <f>IF(ISNUMBER(AW329),1+AMPLITUD*TANH(AW329),"")</f>
        <v/>
      </c>
      <c r="AY329" s="40">
        <f>IF($A329="","",IF(COUNT(AX327:AX329)&gt;0,AVERAGE(AX327:AX329),""))</f>
        <v/>
      </c>
      <c r="AZ329" s="40">
        <f>IF(ISNUMBER(AY329),AY329-1,"")</f>
        <v/>
      </c>
      <c r="BA329" s="40">
        <f>IF(AND(ISNUMBER(AZ328),ISNUMBER(W329)),AZ328*W_BANCOS*W329,"")</f>
        <v/>
      </c>
      <c r="BB329" s="40">
        <f>IF(AND(ISNUMBER(AZ328),ISNUMBER(AZ327)),ABS(AZ328-AZ327)*W_BANCOS*COSTO,0)</f>
        <v/>
      </c>
      <c r="BC329" s="40">
        <f>IF(ISNUMBER(BA329),BA329-BB329,"")</f>
        <v/>
      </c>
      <c r="BD329" s="42">
        <f>IF(ISNUMBER(BC329),IF(A329&lt;=FECHA_ERA,"A","B"),"")</f>
        <v/>
      </c>
      <c r="BE329" s="40">
        <f>IF(BD329="A",BC329,"")</f>
        <v/>
      </c>
      <c r="BF329" s="40">
        <f>IF(BD329="B",BC329,"")</f>
        <v/>
      </c>
      <c r="BG329" s="38">
        <f>IF(AND(ISNUMBER(BC329),ISNUMBER(A329)),IF(A329&gt;=INICIO_VIVO,1,0),0)</f>
        <v/>
      </c>
      <c r="BH329" s="40">
        <f>IF(BG329=1,BC329,"")</f>
        <v/>
      </c>
      <c r="BI329" s="38">
        <f>IF(ISNUMBER(AY329),ROW(),0)</f>
        <v/>
      </c>
      <c r="BJ329" s="43">
        <f>IF(ISNUMBER(BC329),SUM(BC$5:BC329)*10000,NA())</f>
        <v/>
      </c>
      <c r="BK329" s="43">
        <f>IF(BG329=1,SUM(BH$5:BH329)*10000,NA())</f>
        <v/>
      </c>
      <c r="BL329" s="44">
        <f>IF(ISNUMBER(AY329),AY329,NA())</f>
        <v/>
      </c>
    </row>
    <row r="330">
      <c r="A330" s="36">
        <f>IF(Datos!A330="","",Datos!A330)</f>
        <v/>
      </c>
      <c r="B330" s="37">
        <f>IF(OR($A330="",NOT(ISNUMBER(Datos!B330)),NOT(ISNUMBER(Datos!B329))),"",Datos!B330/Datos!B329-1)</f>
        <v/>
      </c>
      <c r="C330" s="37">
        <f>IF(OR($A330="",NOT(ISNUMBER(Datos!C330)),NOT(ISNUMBER(Datos!C329))),"",Datos!C330/Datos!C329-1)</f>
        <v/>
      </c>
      <c r="D330" s="37">
        <f>IF(OR($A330="",NOT(ISNUMBER(Datos!D330)),NOT(ISNUMBER(Datos!D329))),"",Datos!D330/Datos!D329-1)</f>
        <v/>
      </c>
      <c r="E330" s="37">
        <f>IF(OR($A330="",NOT(ISNUMBER(Datos!E330)),NOT(ISNUMBER(Datos!E329))),"",Datos!E330/Datos!E329-1)</f>
        <v/>
      </c>
      <c r="F330" s="38">
        <f>IF($A330="","",COUNT(B330:E330))</f>
        <v/>
      </c>
      <c r="G330" s="37">
        <f>IF($A330="","",IF(F330&gt;=MIN_BANCOS,AVERAGE(B330:E330),""))</f>
        <v/>
      </c>
      <c r="H330" s="37">
        <f>IF(OR($A330="",NOT(ISNUMBER(Datos!F330)),NOT(ISNUMBER(Datos!F329))),"",Datos!F330/Datos!F329-1)</f>
        <v/>
      </c>
      <c r="I330" s="39">
        <f>IF($A330="","",IF(ISNUMBER(Datos!G330),Datos!G330,I329))</f>
        <v/>
      </c>
      <c r="J330" s="40">
        <f>IF($A330="","",IF(ISNUMBER(I329),LN(1+I329/100/12),0))</f>
        <v/>
      </c>
      <c r="K330" s="40">
        <f>IF(ISNUMBER(G330),LN(1+G330)-J330,"")</f>
        <v/>
      </c>
      <c r="L330" s="40">
        <f>IF(ISNUMBER(H330),LN(1+H330)-J330,"")</f>
        <v/>
      </c>
      <c r="M330" s="38">
        <f>IF(ISNUMBER(K330),1,0)</f>
        <v/>
      </c>
      <c r="N330" s="40">
        <f>IF(M330=1,K330,0)</f>
        <v/>
      </c>
      <c r="O330" s="38">
        <f>IF(ISNUMBER(L330),1,0)</f>
        <v/>
      </c>
      <c r="P330" s="40">
        <f>IF(O330=1,L330,0)</f>
        <v/>
      </c>
      <c r="Q330" s="38">
        <f>M330*O330</f>
        <v/>
      </c>
      <c r="R330" s="38">
        <f>SUM(Q294:Q329)</f>
        <v/>
      </c>
      <c r="S330" s="41">
        <f>IF(OR($A330="",R330&lt;MIN_OBS_ROLL),"",(SUMPRODUCT(Q294:Q329,N294:N329,P294:P329)/R330-SUMPRODUCT(Q294:Q329,N294:N329)/R330*SUMPRODUCT(Q294:Q329,P294:P329)/R330)*R330/(R330-1))</f>
        <v/>
      </c>
      <c r="T330" s="38">
        <f>SUM(O294:O329)</f>
        <v/>
      </c>
      <c r="U330" s="41">
        <f>IF(OR($A330="",T330&lt;MIN_OBS_ROLL),"",SUMPRODUCT(O294:O329,(P294:P329-SUMPRODUCT(O294:O329,P294:P329)/T330)^2)/(T330-1))</f>
        <v/>
      </c>
      <c r="V330" s="40">
        <f>IF(OR(S330="",U330=""),"",S330/U330)</f>
        <v/>
      </c>
      <c r="W330" s="40">
        <f>IF(AND(ISNUMBER(K330),ISNUMBER(L330),ISNUMBER(V330)),K330-V330*L330,"")</f>
        <v/>
      </c>
      <c r="X330" s="40">
        <f>IF(OR($A330="",NOT(ISNUMBER(Datos!H330)),NOT(ISNUMBER(Datos!H329))),"",LN(Datos!H330)-LN(Datos!H329))</f>
        <v/>
      </c>
      <c r="Y330" s="38">
        <f>IF(ISNUMBER(W330),1,0)</f>
        <v/>
      </c>
      <c r="Z330" s="40">
        <f>IF(Y330=1,W330,0)</f>
        <v/>
      </c>
      <c r="AA330" s="38">
        <f>IF(ISNUMBER(X330),1,0)</f>
        <v/>
      </c>
      <c r="AB330" s="40">
        <f>IF(AA330=1,X330,0)</f>
        <v/>
      </c>
      <c r="AC330" s="38">
        <f>Y330*AA330</f>
        <v/>
      </c>
      <c r="AD330" s="38">
        <f>SUM(AC294:AC329)</f>
        <v/>
      </c>
      <c r="AE330" s="41">
        <f>IF(OR($A330="",AD330&lt;MIN_OBS_ROLL),"",(SUMPRODUCT(AC294:AC329,Z294:Z329,AB294:AB329)/AD330-SUMPRODUCT(AC294:AC329,Z294:Z329)/AD330*SUMPRODUCT(AC294:AC329,AB294:AB329)/AD330)*AD330/(AD330-1))</f>
        <v/>
      </c>
      <c r="AF330" s="38">
        <f>SUM(AA294:AA329)</f>
        <v/>
      </c>
      <c r="AG330" s="41">
        <f>IF(OR($A330="",AF330&lt;MIN_OBS_ROLL),"",SUMPRODUCT(AA294:AA329,(AB294:AB329-SUMPRODUCT(AA294:AA329,AB294:AB329)/AF330)^2)/(AF330-1))</f>
        <v/>
      </c>
      <c r="AH330" s="38">
        <f>SUM(Y294:Y329)</f>
        <v/>
      </c>
      <c r="AI330" s="40">
        <f>IF(OR($A330="",AH330&lt;MIN_OBS_ROLL),"",SUMPRODUCT(Y294:Y329,Z294:Z329)/AH330)</f>
        <v/>
      </c>
      <c r="AJ330" s="40">
        <f>IF(OR($A330="",AF330&lt;MIN_OBS_ROLL),"",SUMPRODUCT(AA294:AA329,AB294:AB329)/AF330)</f>
        <v/>
      </c>
      <c r="AK330" s="40">
        <f>IF(OR(AE330="",AG330=""),"",AE330/AG330)</f>
        <v/>
      </c>
      <c r="AL330" s="40">
        <f>IF(OR(AI330="",AK330="",AJ330=""),"",AI330-AK330*AJ330)</f>
        <v/>
      </c>
      <c r="AM330" s="40">
        <f>IF(AND(ISNUMBER(W330),ISNUMBER(X330),ISNUMBER(AK330),ISNUMBER(AL330)),W330-(AL330+AK330*X330),"")</f>
        <v/>
      </c>
      <c r="AN330" s="38">
        <f>IF(ISNUMBER(AM330),1,0)</f>
        <v/>
      </c>
      <c r="AO330" s="40">
        <f>IF(AN330=1,AM330,0)</f>
        <v/>
      </c>
      <c r="AP330" s="40">
        <f>IF(SUM(AN328:AN330)=3,SUM(AO328:AO330),"")</f>
        <v/>
      </c>
      <c r="AQ330" s="38">
        <f>IF(ISNUMBER(AP330),1,0)</f>
        <v/>
      </c>
      <c r="AR330" s="40">
        <f>IF(AQ330=1,AP330,0)</f>
        <v/>
      </c>
      <c r="AS330" s="38">
        <f>SUM(AQ$5:AQ330)</f>
        <v/>
      </c>
      <c r="AT330" s="40">
        <f>IF(AS330&gt;=MIN_OBS_Z,SUMPRODUCT(AQ$5:AQ330,AR$5:AR330)/AS330,"")</f>
        <v/>
      </c>
      <c r="AU330" s="40">
        <f>IF(AS330&gt;=MIN_OBS_Z,SQRT(SUMPRODUCT(AQ$5:AQ330,(AR$5:AR330-AT330)^2)/(AS330-1)),"")</f>
        <v/>
      </c>
      <c r="AV330" s="40">
        <f>IF(AND(AQ330=1,ISNUMBER(AT330)),MAX(-Z_CLIP,MIN(Z_CLIP,(AR330-AT330)/AU330)),"")</f>
        <v/>
      </c>
      <c r="AW330" s="40">
        <f>IF(ISNUMBER(AV330),-AV330,"")</f>
        <v/>
      </c>
      <c r="AX330" s="40">
        <f>IF(ISNUMBER(AW330),1+AMPLITUD*TANH(AW330),"")</f>
        <v/>
      </c>
      <c r="AY330" s="40">
        <f>IF($A330="","",IF(COUNT(AX328:AX330)&gt;0,AVERAGE(AX328:AX330),""))</f>
        <v/>
      </c>
      <c r="AZ330" s="40">
        <f>IF(ISNUMBER(AY330),AY330-1,"")</f>
        <v/>
      </c>
      <c r="BA330" s="40">
        <f>IF(AND(ISNUMBER(AZ329),ISNUMBER(W330)),AZ329*W_BANCOS*W330,"")</f>
        <v/>
      </c>
      <c r="BB330" s="40">
        <f>IF(AND(ISNUMBER(AZ329),ISNUMBER(AZ328)),ABS(AZ329-AZ328)*W_BANCOS*COSTO,0)</f>
        <v/>
      </c>
      <c r="BC330" s="40">
        <f>IF(ISNUMBER(BA330),BA330-BB330,"")</f>
        <v/>
      </c>
      <c r="BD330" s="42">
        <f>IF(ISNUMBER(BC330),IF(A330&lt;=FECHA_ERA,"A","B"),"")</f>
        <v/>
      </c>
      <c r="BE330" s="40">
        <f>IF(BD330="A",BC330,"")</f>
        <v/>
      </c>
      <c r="BF330" s="40">
        <f>IF(BD330="B",BC330,"")</f>
        <v/>
      </c>
      <c r="BG330" s="38">
        <f>IF(AND(ISNUMBER(BC330),ISNUMBER(A330)),IF(A330&gt;=INICIO_VIVO,1,0),0)</f>
        <v/>
      </c>
      <c r="BH330" s="40">
        <f>IF(BG330=1,BC330,"")</f>
        <v/>
      </c>
      <c r="BI330" s="38">
        <f>IF(ISNUMBER(AY330),ROW(),0)</f>
        <v/>
      </c>
      <c r="BJ330" s="43">
        <f>IF(ISNUMBER(BC330),SUM(BC$5:BC330)*10000,NA())</f>
        <v/>
      </c>
      <c r="BK330" s="43">
        <f>IF(BG330=1,SUM(BH$5:BH330)*10000,NA())</f>
        <v/>
      </c>
      <c r="BL330" s="44">
        <f>IF(ISNUMBER(AY330),AY330,NA())</f>
        <v/>
      </c>
    </row>
    <row r="331">
      <c r="A331" s="36">
        <f>IF(Datos!A331="","",Datos!A331)</f>
        <v/>
      </c>
      <c r="B331" s="37">
        <f>IF(OR($A331="",NOT(ISNUMBER(Datos!B331)),NOT(ISNUMBER(Datos!B330))),"",Datos!B331/Datos!B330-1)</f>
        <v/>
      </c>
      <c r="C331" s="37">
        <f>IF(OR($A331="",NOT(ISNUMBER(Datos!C331)),NOT(ISNUMBER(Datos!C330))),"",Datos!C331/Datos!C330-1)</f>
        <v/>
      </c>
      <c r="D331" s="37">
        <f>IF(OR($A331="",NOT(ISNUMBER(Datos!D331)),NOT(ISNUMBER(Datos!D330))),"",Datos!D331/Datos!D330-1)</f>
        <v/>
      </c>
      <c r="E331" s="37">
        <f>IF(OR($A331="",NOT(ISNUMBER(Datos!E331)),NOT(ISNUMBER(Datos!E330))),"",Datos!E331/Datos!E330-1)</f>
        <v/>
      </c>
      <c r="F331" s="38">
        <f>IF($A331="","",COUNT(B331:E331))</f>
        <v/>
      </c>
      <c r="G331" s="37">
        <f>IF($A331="","",IF(F331&gt;=MIN_BANCOS,AVERAGE(B331:E331),""))</f>
        <v/>
      </c>
      <c r="H331" s="37">
        <f>IF(OR($A331="",NOT(ISNUMBER(Datos!F331)),NOT(ISNUMBER(Datos!F330))),"",Datos!F331/Datos!F330-1)</f>
        <v/>
      </c>
      <c r="I331" s="39">
        <f>IF($A331="","",IF(ISNUMBER(Datos!G331),Datos!G331,I330))</f>
        <v/>
      </c>
      <c r="J331" s="40">
        <f>IF($A331="","",IF(ISNUMBER(I330),LN(1+I330/100/12),0))</f>
        <v/>
      </c>
      <c r="K331" s="40">
        <f>IF(ISNUMBER(G331),LN(1+G331)-J331,"")</f>
        <v/>
      </c>
      <c r="L331" s="40">
        <f>IF(ISNUMBER(H331),LN(1+H331)-J331,"")</f>
        <v/>
      </c>
      <c r="M331" s="38">
        <f>IF(ISNUMBER(K331),1,0)</f>
        <v/>
      </c>
      <c r="N331" s="40">
        <f>IF(M331=1,K331,0)</f>
        <v/>
      </c>
      <c r="O331" s="38">
        <f>IF(ISNUMBER(L331),1,0)</f>
        <v/>
      </c>
      <c r="P331" s="40">
        <f>IF(O331=1,L331,0)</f>
        <v/>
      </c>
      <c r="Q331" s="38">
        <f>M331*O331</f>
        <v/>
      </c>
      <c r="R331" s="38">
        <f>SUM(Q295:Q330)</f>
        <v/>
      </c>
      <c r="S331" s="41">
        <f>IF(OR($A331="",R331&lt;MIN_OBS_ROLL),"",(SUMPRODUCT(Q295:Q330,N295:N330,P295:P330)/R331-SUMPRODUCT(Q295:Q330,N295:N330)/R331*SUMPRODUCT(Q295:Q330,P295:P330)/R331)*R331/(R331-1))</f>
        <v/>
      </c>
      <c r="T331" s="38">
        <f>SUM(O295:O330)</f>
        <v/>
      </c>
      <c r="U331" s="41">
        <f>IF(OR($A331="",T331&lt;MIN_OBS_ROLL),"",SUMPRODUCT(O295:O330,(P295:P330-SUMPRODUCT(O295:O330,P295:P330)/T331)^2)/(T331-1))</f>
        <v/>
      </c>
      <c r="V331" s="40">
        <f>IF(OR(S331="",U331=""),"",S331/U331)</f>
        <v/>
      </c>
      <c r="W331" s="40">
        <f>IF(AND(ISNUMBER(K331),ISNUMBER(L331),ISNUMBER(V331)),K331-V331*L331,"")</f>
        <v/>
      </c>
      <c r="X331" s="40">
        <f>IF(OR($A331="",NOT(ISNUMBER(Datos!H331)),NOT(ISNUMBER(Datos!H330))),"",LN(Datos!H331)-LN(Datos!H330))</f>
        <v/>
      </c>
      <c r="Y331" s="38">
        <f>IF(ISNUMBER(W331),1,0)</f>
        <v/>
      </c>
      <c r="Z331" s="40">
        <f>IF(Y331=1,W331,0)</f>
        <v/>
      </c>
      <c r="AA331" s="38">
        <f>IF(ISNUMBER(X331),1,0)</f>
        <v/>
      </c>
      <c r="AB331" s="40">
        <f>IF(AA331=1,X331,0)</f>
        <v/>
      </c>
      <c r="AC331" s="38">
        <f>Y331*AA331</f>
        <v/>
      </c>
      <c r="AD331" s="38">
        <f>SUM(AC295:AC330)</f>
        <v/>
      </c>
      <c r="AE331" s="41">
        <f>IF(OR($A331="",AD331&lt;MIN_OBS_ROLL),"",(SUMPRODUCT(AC295:AC330,Z295:Z330,AB295:AB330)/AD331-SUMPRODUCT(AC295:AC330,Z295:Z330)/AD331*SUMPRODUCT(AC295:AC330,AB295:AB330)/AD331)*AD331/(AD331-1))</f>
        <v/>
      </c>
      <c r="AF331" s="38">
        <f>SUM(AA295:AA330)</f>
        <v/>
      </c>
      <c r="AG331" s="41">
        <f>IF(OR($A331="",AF331&lt;MIN_OBS_ROLL),"",SUMPRODUCT(AA295:AA330,(AB295:AB330-SUMPRODUCT(AA295:AA330,AB295:AB330)/AF331)^2)/(AF331-1))</f>
        <v/>
      </c>
      <c r="AH331" s="38">
        <f>SUM(Y295:Y330)</f>
        <v/>
      </c>
      <c r="AI331" s="40">
        <f>IF(OR($A331="",AH331&lt;MIN_OBS_ROLL),"",SUMPRODUCT(Y295:Y330,Z295:Z330)/AH331)</f>
        <v/>
      </c>
      <c r="AJ331" s="40">
        <f>IF(OR($A331="",AF331&lt;MIN_OBS_ROLL),"",SUMPRODUCT(AA295:AA330,AB295:AB330)/AF331)</f>
        <v/>
      </c>
      <c r="AK331" s="40">
        <f>IF(OR(AE331="",AG331=""),"",AE331/AG331)</f>
        <v/>
      </c>
      <c r="AL331" s="40">
        <f>IF(OR(AI331="",AK331="",AJ331=""),"",AI331-AK331*AJ331)</f>
        <v/>
      </c>
      <c r="AM331" s="40">
        <f>IF(AND(ISNUMBER(W331),ISNUMBER(X331),ISNUMBER(AK331),ISNUMBER(AL331)),W331-(AL331+AK331*X331),"")</f>
        <v/>
      </c>
      <c r="AN331" s="38">
        <f>IF(ISNUMBER(AM331),1,0)</f>
        <v/>
      </c>
      <c r="AO331" s="40">
        <f>IF(AN331=1,AM331,0)</f>
        <v/>
      </c>
      <c r="AP331" s="40">
        <f>IF(SUM(AN329:AN331)=3,SUM(AO329:AO331),"")</f>
        <v/>
      </c>
      <c r="AQ331" s="38">
        <f>IF(ISNUMBER(AP331),1,0)</f>
        <v/>
      </c>
      <c r="AR331" s="40">
        <f>IF(AQ331=1,AP331,0)</f>
        <v/>
      </c>
      <c r="AS331" s="38">
        <f>SUM(AQ$5:AQ331)</f>
        <v/>
      </c>
      <c r="AT331" s="40">
        <f>IF(AS331&gt;=MIN_OBS_Z,SUMPRODUCT(AQ$5:AQ331,AR$5:AR331)/AS331,"")</f>
        <v/>
      </c>
      <c r="AU331" s="40">
        <f>IF(AS331&gt;=MIN_OBS_Z,SQRT(SUMPRODUCT(AQ$5:AQ331,(AR$5:AR331-AT331)^2)/(AS331-1)),"")</f>
        <v/>
      </c>
      <c r="AV331" s="40">
        <f>IF(AND(AQ331=1,ISNUMBER(AT331)),MAX(-Z_CLIP,MIN(Z_CLIP,(AR331-AT331)/AU331)),"")</f>
        <v/>
      </c>
      <c r="AW331" s="40">
        <f>IF(ISNUMBER(AV331),-AV331,"")</f>
        <v/>
      </c>
      <c r="AX331" s="40">
        <f>IF(ISNUMBER(AW331),1+AMPLITUD*TANH(AW331),"")</f>
        <v/>
      </c>
      <c r="AY331" s="40">
        <f>IF($A331="","",IF(COUNT(AX329:AX331)&gt;0,AVERAGE(AX329:AX331),""))</f>
        <v/>
      </c>
      <c r="AZ331" s="40">
        <f>IF(ISNUMBER(AY331),AY331-1,"")</f>
        <v/>
      </c>
      <c r="BA331" s="40">
        <f>IF(AND(ISNUMBER(AZ330),ISNUMBER(W331)),AZ330*W_BANCOS*W331,"")</f>
        <v/>
      </c>
      <c r="BB331" s="40">
        <f>IF(AND(ISNUMBER(AZ330),ISNUMBER(AZ329)),ABS(AZ330-AZ329)*W_BANCOS*COSTO,0)</f>
        <v/>
      </c>
      <c r="BC331" s="40">
        <f>IF(ISNUMBER(BA331),BA331-BB331,"")</f>
        <v/>
      </c>
      <c r="BD331" s="42">
        <f>IF(ISNUMBER(BC331),IF(A331&lt;=FECHA_ERA,"A","B"),"")</f>
        <v/>
      </c>
      <c r="BE331" s="40">
        <f>IF(BD331="A",BC331,"")</f>
        <v/>
      </c>
      <c r="BF331" s="40">
        <f>IF(BD331="B",BC331,"")</f>
        <v/>
      </c>
      <c r="BG331" s="38">
        <f>IF(AND(ISNUMBER(BC331),ISNUMBER(A331)),IF(A331&gt;=INICIO_VIVO,1,0),0)</f>
        <v/>
      </c>
      <c r="BH331" s="40">
        <f>IF(BG331=1,BC331,"")</f>
        <v/>
      </c>
      <c r="BI331" s="38">
        <f>IF(ISNUMBER(AY331),ROW(),0)</f>
        <v/>
      </c>
      <c r="BJ331" s="43">
        <f>IF(ISNUMBER(BC331),SUM(BC$5:BC331)*10000,NA())</f>
        <v/>
      </c>
      <c r="BK331" s="43">
        <f>IF(BG331=1,SUM(BH$5:BH331)*10000,NA())</f>
        <v/>
      </c>
      <c r="BL331" s="44">
        <f>IF(ISNUMBER(AY331),AY331,NA())</f>
        <v/>
      </c>
    </row>
    <row r="332">
      <c r="A332" s="36">
        <f>IF(Datos!A332="","",Datos!A332)</f>
        <v/>
      </c>
      <c r="B332" s="37">
        <f>IF(OR($A332="",NOT(ISNUMBER(Datos!B332)),NOT(ISNUMBER(Datos!B331))),"",Datos!B332/Datos!B331-1)</f>
        <v/>
      </c>
      <c r="C332" s="37">
        <f>IF(OR($A332="",NOT(ISNUMBER(Datos!C332)),NOT(ISNUMBER(Datos!C331))),"",Datos!C332/Datos!C331-1)</f>
        <v/>
      </c>
      <c r="D332" s="37">
        <f>IF(OR($A332="",NOT(ISNUMBER(Datos!D332)),NOT(ISNUMBER(Datos!D331))),"",Datos!D332/Datos!D331-1)</f>
        <v/>
      </c>
      <c r="E332" s="37">
        <f>IF(OR($A332="",NOT(ISNUMBER(Datos!E332)),NOT(ISNUMBER(Datos!E331))),"",Datos!E332/Datos!E331-1)</f>
        <v/>
      </c>
      <c r="F332" s="38">
        <f>IF($A332="","",COUNT(B332:E332))</f>
        <v/>
      </c>
      <c r="G332" s="37">
        <f>IF($A332="","",IF(F332&gt;=MIN_BANCOS,AVERAGE(B332:E332),""))</f>
        <v/>
      </c>
      <c r="H332" s="37">
        <f>IF(OR($A332="",NOT(ISNUMBER(Datos!F332)),NOT(ISNUMBER(Datos!F331))),"",Datos!F332/Datos!F331-1)</f>
        <v/>
      </c>
      <c r="I332" s="39">
        <f>IF($A332="","",IF(ISNUMBER(Datos!G332),Datos!G332,I331))</f>
        <v/>
      </c>
      <c r="J332" s="40">
        <f>IF($A332="","",IF(ISNUMBER(I331),LN(1+I331/100/12),0))</f>
        <v/>
      </c>
      <c r="K332" s="40">
        <f>IF(ISNUMBER(G332),LN(1+G332)-J332,"")</f>
        <v/>
      </c>
      <c r="L332" s="40">
        <f>IF(ISNUMBER(H332),LN(1+H332)-J332,"")</f>
        <v/>
      </c>
      <c r="M332" s="38">
        <f>IF(ISNUMBER(K332),1,0)</f>
        <v/>
      </c>
      <c r="N332" s="40">
        <f>IF(M332=1,K332,0)</f>
        <v/>
      </c>
      <c r="O332" s="38">
        <f>IF(ISNUMBER(L332),1,0)</f>
        <v/>
      </c>
      <c r="P332" s="40">
        <f>IF(O332=1,L332,0)</f>
        <v/>
      </c>
      <c r="Q332" s="38">
        <f>M332*O332</f>
        <v/>
      </c>
      <c r="R332" s="38">
        <f>SUM(Q296:Q331)</f>
        <v/>
      </c>
      <c r="S332" s="41">
        <f>IF(OR($A332="",R332&lt;MIN_OBS_ROLL),"",(SUMPRODUCT(Q296:Q331,N296:N331,P296:P331)/R332-SUMPRODUCT(Q296:Q331,N296:N331)/R332*SUMPRODUCT(Q296:Q331,P296:P331)/R332)*R332/(R332-1))</f>
        <v/>
      </c>
      <c r="T332" s="38">
        <f>SUM(O296:O331)</f>
        <v/>
      </c>
      <c r="U332" s="41">
        <f>IF(OR($A332="",T332&lt;MIN_OBS_ROLL),"",SUMPRODUCT(O296:O331,(P296:P331-SUMPRODUCT(O296:O331,P296:P331)/T332)^2)/(T332-1))</f>
        <v/>
      </c>
      <c r="V332" s="40">
        <f>IF(OR(S332="",U332=""),"",S332/U332)</f>
        <v/>
      </c>
      <c r="W332" s="40">
        <f>IF(AND(ISNUMBER(K332),ISNUMBER(L332),ISNUMBER(V332)),K332-V332*L332,"")</f>
        <v/>
      </c>
      <c r="X332" s="40">
        <f>IF(OR($A332="",NOT(ISNUMBER(Datos!H332)),NOT(ISNUMBER(Datos!H331))),"",LN(Datos!H332)-LN(Datos!H331))</f>
        <v/>
      </c>
      <c r="Y332" s="38">
        <f>IF(ISNUMBER(W332),1,0)</f>
        <v/>
      </c>
      <c r="Z332" s="40">
        <f>IF(Y332=1,W332,0)</f>
        <v/>
      </c>
      <c r="AA332" s="38">
        <f>IF(ISNUMBER(X332),1,0)</f>
        <v/>
      </c>
      <c r="AB332" s="40">
        <f>IF(AA332=1,X332,0)</f>
        <v/>
      </c>
      <c r="AC332" s="38">
        <f>Y332*AA332</f>
        <v/>
      </c>
      <c r="AD332" s="38">
        <f>SUM(AC296:AC331)</f>
        <v/>
      </c>
      <c r="AE332" s="41">
        <f>IF(OR($A332="",AD332&lt;MIN_OBS_ROLL),"",(SUMPRODUCT(AC296:AC331,Z296:Z331,AB296:AB331)/AD332-SUMPRODUCT(AC296:AC331,Z296:Z331)/AD332*SUMPRODUCT(AC296:AC331,AB296:AB331)/AD332)*AD332/(AD332-1))</f>
        <v/>
      </c>
      <c r="AF332" s="38">
        <f>SUM(AA296:AA331)</f>
        <v/>
      </c>
      <c r="AG332" s="41">
        <f>IF(OR($A332="",AF332&lt;MIN_OBS_ROLL),"",SUMPRODUCT(AA296:AA331,(AB296:AB331-SUMPRODUCT(AA296:AA331,AB296:AB331)/AF332)^2)/(AF332-1))</f>
        <v/>
      </c>
      <c r="AH332" s="38">
        <f>SUM(Y296:Y331)</f>
        <v/>
      </c>
      <c r="AI332" s="40">
        <f>IF(OR($A332="",AH332&lt;MIN_OBS_ROLL),"",SUMPRODUCT(Y296:Y331,Z296:Z331)/AH332)</f>
        <v/>
      </c>
      <c r="AJ332" s="40">
        <f>IF(OR($A332="",AF332&lt;MIN_OBS_ROLL),"",SUMPRODUCT(AA296:AA331,AB296:AB331)/AF332)</f>
        <v/>
      </c>
      <c r="AK332" s="40">
        <f>IF(OR(AE332="",AG332=""),"",AE332/AG332)</f>
        <v/>
      </c>
      <c r="AL332" s="40">
        <f>IF(OR(AI332="",AK332="",AJ332=""),"",AI332-AK332*AJ332)</f>
        <v/>
      </c>
      <c r="AM332" s="40">
        <f>IF(AND(ISNUMBER(W332),ISNUMBER(X332),ISNUMBER(AK332),ISNUMBER(AL332)),W332-(AL332+AK332*X332),"")</f>
        <v/>
      </c>
      <c r="AN332" s="38">
        <f>IF(ISNUMBER(AM332),1,0)</f>
        <v/>
      </c>
      <c r="AO332" s="40">
        <f>IF(AN332=1,AM332,0)</f>
        <v/>
      </c>
      <c r="AP332" s="40">
        <f>IF(SUM(AN330:AN332)=3,SUM(AO330:AO332),"")</f>
        <v/>
      </c>
      <c r="AQ332" s="38">
        <f>IF(ISNUMBER(AP332),1,0)</f>
        <v/>
      </c>
      <c r="AR332" s="40">
        <f>IF(AQ332=1,AP332,0)</f>
        <v/>
      </c>
      <c r="AS332" s="38">
        <f>SUM(AQ$5:AQ332)</f>
        <v/>
      </c>
      <c r="AT332" s="40">
        <f>IF(AS332&gt;=MIN_OBS_Z,SUMPRODUCT(AQ$5:AQ332,AR$5:AR332)/AS332,"")</f>
        <v/>
      </c>
      <c r="AU332" s="40">
        <f>IF(AS332&gt;=MIN_OBS_Z,SQRT(SUMPRODUCT(AQ$5:AQ332,(AR$5:AR332-AT332)^2)/(AS332-1)),"")</f>
        <v/>
      </c>
      <c r="AV332" s="40">
        <f>IF(AND(AQ332=1,ISNUMBER(AT332)),MAX(-Z_CLIP,MIN(Z_CLIP,(AR332-AT332)/AU332)),"")</f>
        <v/>
      </c>
      <c r="AW332" s="40">
        <f>IF(ISNUMBER(AV332),-AV332,"")</f>
        <v/>
      </c>
      <c r="AX332" s="40">
        <f>IF(ISNUMBER(AW332),1+AMPLITUD*TANH(AW332),"")</f>
        <v/>
      </c>
      <c r="AY332" s="40">
        <f>IF($A332="","",IF(COUNT(AX330:AX332)&gt;0,AVERAGE(AX330:AX332),""))</f>
        <v/>
      </c>
      <c r="AZ332" s="40">
        <f>IF(ISNUMBER(AY332),AY332-1,"")</f>
        <v/>
      </c>
      <c r="BA332" s="40">
        <f>IF(AND(ISNUMBER(AZ331),ISNUMBER(W332)),AZ331*W_BANCOS*W332,"")</f>
        <v/>
      </c>
      <c r="BB332" s="40">
        <f>IF(AND(ISNUMBER(AZ331),ISNUMBER(AZ330)),ABS(AZ331-AZ330)*W_BANCOS*COSTO,0)</f>
        <v/>
      </c>
      <c r="BC332" s="40">
        <f>IF(ISNUMBER(BA332),BA332-BB332,"")</f>
        <v/>
      </c>
      <c r="BD332" s="42">
        <f>IF(ISNUMBER(BC332),IF(A332&lt;=FECHA_ERA,"A","B"),"")</f>
        <v/>
      </c>
      <c r="BE332" s="40">
        <f>IF(BD332="A",BC332,"")</f>
        <v/>
      </c>
      <c r="BF332" s="40">
        <f>IF(BD332="B",BC332,"")</f>
        <v/>
      </c>
      <c r="BG332" s="38">
        <f>IF(AND(ISNUMBER(BC332),ISNUMBER(A332)),IF(A332&gt;=INICIO_VIVO,1,0),0)</f>
        <v/>
      </c>
      <c r="BH332" s="40">
        <f>IF(BG332=1,BC332,"")</f>
        <v/>
      </c>
      <c r="BI332" s="38">
        <f>IF(ISNUMBER(AY332),ROW(),0)</f>
        <v/>
      </c>
      <c r="BJ332" s="43">
        <f>IF(ISNUMBER(BC332),SUM(BC$5:BC332)*10000,NA())</f>
        <v/>
      </c>
      <c r="BK332" s="43">
        <f>IF(BG332=1,SUM(BH$5:BH332)*10000,NA())</f>
        <v/>
      </c>
      <c r="BL332" s="44">
        <f>IF(ISNUMBER(AY332),AY332,NA())</f>
        <v/>
      </c>
    </row>
    <row r="333">
      <c r="A333" s="36">
        <f>IF(Datos!A333="","",Datos!A333)</f>
        <v/>
      </c>
      <c r="B333" s="37">
        <f>IF(OR($A333="",NOT(ISNUMBER(Datos!B333)),NOT(ISNUMBER(Datos!B332))),"",Datos!B333/Datos!B332-1)</f>
        <v/>
      </c>
      <c r="C333" s="37">
        <f>IF(OR($A333="",NOT(ISNUMBER(Datos!C333)),NOT(ISNUMBER(Datos!C332))),"",Datos!C333/Datos!C332-1)</f>
        <v/>
      </c>
      <c r="D333" s="37">
        <f>IF(OR($A333="",NOT(ISNUMBER(Datos!D333)),NOT(ISNUMBER(Datos!D332))),"",Datos!D333/Datos!D332-1)</f>
        <v/>
      </c>
      <c r="E333" s="37">
        <f>IF(OR($A333="",NOT(ISNUMBER(Datos!E333)),NOT(ISNUMBER(Datos!E332))),"",Datos!E333/Datos!E332-1)</f>
        <v/>
      </c>
      <c r="F333" s="38">
        <f>IF($A333="","",COUNT(B333:E333))</f>
        <v/>
      </c>
      <c r="G333" s="37">
        <f>IF($A333="","",IF(F333&gt;=MIN_BANCOS,AVERAGE(B333:E333),""))</f>
        <v/>
      </c>
      <c r="H333" s="37">
        <f>IF(OR($A333="",NOT(ISNUMBER(Datos!F333)),NOT(ISNUMBER(Datos!F332))),"",Datos!F333/Datos!F332-1)</f>
        <v/>
      </c>
      <c r="I333" s="39">
        <f>IF($A333="","",IF(ISNUMBER(Datos!G333),Datos!G333,I332))</f>
        <v/>
      </c>
      <c r="J333" s="40">
        <f>IF($A333="","",IF(ISNUMBER(I332),LN(1+I332/100/12),0))</f>
        <v/>
      </c>
      <c r="K333" s="40">
        <f>IF(ISNUMBER(G333),LN(1+G333)-J333,"")</f>
        <v/>
      </c>
      <c r="L333" s="40">
        <f>IF(ISNUMBER(H333),LN(1+H333)-J333,"")</f>
        <v/>
      </c>
      <c r="M333" s="38">
        <f>IF(ISNUMBER(K333),1,0)</f>
        <v/>
      </c>
      <c r="N333" s="40">
        <f>IF(M333=1,K333,0)</f>
        <v/>
      </c>
      <c r="O333" s="38">
        <f>IF(ISNUMBER(L333),1,0)</f>
        <v/>
      </c>
      <c r="P333" s="40">
        <f>IF(O333=1,L333,0)</f>
        <v/>
      </c>
      <c r="Q333" s="38">
        <f>M333*O333</f>
        <v/>
      </c>
      <c r="R333" s="38">
        <f>SUM(Q297:Q332)</f>
        <v/>
      </c>
      <c r="S333" s="41">
        <f>IF(OR($A333="",R333&lt;MIN_OBS_ROLL),"",(SUMPRODUCT(Q297:Q332,N297:N332,P297:P332)/R333-SUMPRODUCT(Q297:Q332,N297:N332)/R333*SUMPRODUCT(Q297:Q332,P297:P332)/R333)*R333/(R333-1))</f>
        <v/>
      </c>
      <c r="T333" s="38">
        <f>SUM(O297:O332)</f>
        <v/>
      </c>
      <c r="U333" s="41">
        <f>IF(OR($A333="",T333&lt;MIN_OBS_ROLL),"",SUMPRODUCT(O297:O332,(P297:P332-SUMPRODUCT(O297:O332,P297:P332)/T333)^2)/(T333-1))</f>
        <v/>
      </c>
      <c r="V333" s="40">
        <f>IF(OR(S333="",U333=""),"",S333/U333)</f>
        <v/>
      </c>
      <c r="W333" s="40">
        <f>IF(AND(ISNUMBER(K333),ISNUMBER(L333),ISNUMBER(V333)),K333-V333*L333,"")</f>
        <v/>
      </c>
      <c r="X333" s="40">
        <f>IF(OR($A333="",NOT(ISNUMBER(Datos!H333)),NOT(ISNUMBER(Datos!H332))),"",LN(Datos!H333)-LN(Datos!H332))</f>
        <v/>
      </c>
      <c r="Y333" s="38">
        <f>IF(ISNUMBER(W333),1,0)</f>
        <v/>
      </c>
      <c r="Z333" s="40">
        <f>IF(Y333=1,W333,0)</f>
        <v/>
      </c>
      <c r="AA333" s="38">
        <f>IF(ISNUMBER(X333),1,0)</f>
        <v/>
      </c>
      <c r="AB333" s="40">
        <f>IF(AA333=1,X333,0)</f>
        <v/>
      </c>
      <c r="AC333" s="38">
        <f>Y333*AA333</f>
        <v/>
      </c>
      <c r="AD333" s="38">
        <f>SUM(AC297:AC332)</f>
        <v/>
      </c>
      <c r="AE333" s="41">
        <f>IF(OR($A333="",AD333&lt;MIN_OBS_ROLL),"",(SUMPRODUCT(AC297:AC332,Z297:Z332,AB297:AB332)/AD333-SUMPRODUCT(AC297:AC332,Z297:Z332)/AD333*SUMPRODUCT(AC297:AC332,AB297:AB332)/AD333)*AD333/(AD333-1))</f>
        <v/>
      </c>
      <c r="AF333" s="38">
        <f>SUM(AA297:AA332)</f>
        <v/>
      </c>
      <c r="AG333" s="41">
        <f>IF(OR($A333="",AF333&lt;MIN_OBS_ROLL),"",SUMPRODUCT(AA297:AA332,(AB297:AB332-SUMPRODUCT(AA297:AA332,AB297:AB332)/AF333)^2)/(AF333-1))</f>
        <v/>
      </c>
      <c r="AH333" s="38">
        <f>SUM(Y297:Y332)</f>
        <v/>
      </c>
      <c r="AI333" s="40">
        <f>IF(OR($A333="",AH333&lt;MIN_OBS_ROLL),"",SUMPRODUCT(Y297:Y332,Z297:Z332)/AH333)</f>
        <v/>
      </c>
      <c r="AJ333" s="40">
        <f>IF(OR($A333="",AF333&lt;MIN_OBS_ROLL),"",SUMPRODUCT(AA297:AA332,AB297:AB332)/AF333)</f>
        <v/>
      </c>
      <c r="AK333" s="40">
        <f>IF(OR(AE333="",AG333=""),"",AE333/AG333)</f>
        <v/>
      </c>
      <c r="AL333" s="40">
        <f>IF(OR(AI333="",AK333="",AJ333=""),"",AI333-AK333*AJ333)</f>
        <v/>
      </c>
      <c r="AM333" s="40">
        <f>IF(AND(ISNUMBER(W333),ISNUMBER(X333),ISNUMBER(AK333),ISNUMBER(AL333)),W333-(AL333+AK333*X333),"")</f>
        <v/>
      </c>
      <c r="AN333" s="38">
        <f>IF(ISNUMBER(AM333),1,0)</f>
        <v/>
      </c>
      <c r="AO333" s="40">
        <f>IF(AN333=1,AM333,0)</f>
        <v/>
      </c>
      <c r="AP333" s="40">
        <f>IF(SUM(AN331:AN333)=3,SUM(AO331:AO333),"")</f>
        <v/>
      </c>
      <c r="AQ333" s="38">
        <f>IF(ISNUMBER(AP333),1,0)</f>
        <v/>
      </c>
      <c r="AR333" s="40">
        <f>IF(AQ333=1,AP333,0)</f>
        <v/>
      </c>
      <c r="AS333" s="38">
        <f>SUM(AQ$5:AQ333)</f>
        <v/>
      </c>
      <c r="AT333" s="40">
        <f>IF(AS333&gt;=MIN_OBS_Z,SUMPRODUCT(AQ$5:AQ333,AR$5:AR333)/AS333,"")</f>
        <v/>
      </c>
      <c r="AU333" s="40">
        <f>IF(AS333&gt;=MIN_OBS_Z,SQRT(SUMPRODUCT(AQ$5:AQ333,(AR$5:AR333-AT333)^2)/(AS333-1)),"")</f>
        <v/>
      </c>
      <c r="AV333" s="40">
        <f>IF(AND(AQ333=1,ISNUMBER(AT333)),MAX(-Z_CLIP,MIN(Z_CLIP,(AR333-AT333)/AU333)),"")</f>
        <v/>
      </c>
      <c r="AW333" s="40">
        <f>IF(ISNUMBER(AV333),-AV333,"")</f>
        <v/>
      </c>
      <c r="AX333" s="40">
        <f>IF(ISNUMBER(AW333),1+AMPLITUD*TANH(AW333),"")</f>
        <v/>
      </c>
      <c r="AY333" s="40">
        <f>IF($A333="","",IF(COUNT(AX331:AX333)&gt;0,AVERAGE(AX331:AX333),""))</f>
        <v/>
      </c>
      <c r="AZ333" s="40">
        <f>IF(ISNUMBER(AY333),AY333-1,"")</f>
        <v/>
      </c>
      <c r="BA333" s="40">
        <f>IF(AND(ISNUMBER(AZ332),ISNUMBER(W333)),AZ332*W_BANCOS*W333,"")</f>
        <v/>
      </c>
      <c r="BB333" s="40">
        <f>IF(AND(ISNUMBER(AZ332),ISNUMBER(AZ331)),ABS(AZ332-AZ331)*W_BANCOS*COSTO,0)</f>
        <v/>
      </c>
      <c r="BC333" s="40">
        <f>IF(ISNUMBER(BA333),BA333-BB333,"")</f>
        <v/>
      </c>
      <c r="BD333" s="42">
        <f>IF(ISNUMBER(BC333),IF(A333&lt;=FECHA_ERA,"A","B"),"")</f>
        <v/>
      </c>
      <c r="BE333" s="40">
        <f>IF(BD333="A",BC333,"")</f>
        <v/>
      </c>
      <c r="BF333" s="40">
        <f>IF(BD333="B",BC333,"")</f>
        <v/>
      </c>
      <c r="BG333" s="38">
        <f>IF(AND(ISNUMBER(BC333),ISNUMBER(A333)),IF(A333&gt;=INICIO_VIVO,1,0),0)</f>
        <v/>
      </c>
      <c r="BH333" s="40">
        <f>IF(BG333=1,BC333,"")</f>
        <v/>
      </c>
      <c r="BI333" s="38">
        <f>IF(ISNUMBER(AY333),ROW(),0)</f>
        <v/>
      </c>
      <c r="BJ333" s="43">
        <f>IF(ISNUMBER(BC333),SUM(BC$5:BC333)*10000,NA())</f>
        <v/>
      </c>
      <c r="BK333" s="43">
        <f>IF(BG333=1,SUM(BH$5:BH333)*10000,NA())</f>
        <v/>
      </c>
      <c r="BL333" s="44">
        <f>IF(ISNUMBER(AY333),AY333,NA())</f>
        <v/>
      </c>
    </row>
    <row r="334">
      <c r="A334" s="36">
        <f>IF(Datos!A334="","",Datos!A334)</f>
        <v/>
      </c>
      <c r="B334" s="37">
        <f>IF(OR($A334="",NOT(ISNUMBER(Datos!B334)),NOT(ISNUMBER(Datos!B333))),"",Datos!B334/Datos!B333-1)</f>
        <v/>
      </c>
      <c r="C334" s="37">
        <f>IF(OR($A334="",NOT(ISNUMBER(Datos!C334)),NOT(ISNUMBER(Datos!C333))),"",Datos!C334/Datos!C333-1)</f>
        <v/>
      </c>
      <c r="D334" s="37">
        <f>IF(OR($A334="",NOT(ISNUMBER(Datos!D334)),NOT(ISNUMBER(Datos!D333))),"",Datos!D334/Datos!D333-1)</f>
        <v/>
      </c>
      <c r="E334" s="37">
        <f>IF(OR($A334="",NOT(ISNUMBER(Datos!E334)),NOT(ISNUMBER(Datos!E333))),"",Datos!E334/Datos!E333-1)</f>
        <v/>
      </c>
      <c r="F334" s="38">
        <f>IF($A334="","",COUNT(B334:E334))</f>
        <v/>
      </c>
      <c r="G334" s="37">
        <f>IF($A334="","",IF(F334&gt;=MIN_BANCOS,AVERAGE(B334:E334),""))</f>
        <v/>
      </c>
      <c r="H334" s="37">
        <f>IF(OR($A334="",NOT(ISNUMBER(Datos!F334)),NOT(ISNUMBER(Datos!F333))),"",Datos!F334/Datos!F333-1)</f>
        <v/>
      </c>
      <c r="I334" s="39">
        <f>IF($A334="","",IF(ISNUMBER(Datos!G334),Datos!G334,I333))</f>
        <v/>
      </c>
      <c r="J334" s="40">
        <f>IF($A334="","",IF(ISNUMBER(I333),LN(1+I333/100/12),0))</f>
        <v/>
      </c>
      <c r="K334" s="40">
        <f>IF(ISNUMBER(G334),LN(1+G334)-J334,"")</f>
        <v/>
      </c>
      <c r="L334" s="40">
        <f>IF(ISNUMBER(H334),LN(1+H334)-J334,"")</f>
        <v/>
      </c>
      <c r="M334" s="38">
        <f>IF(ISNUMBER(K334),1,0)</f>
        <v/>
      </c>
      <c r="N334" s="40">
        <f>IF(M334=1,K334,0)</f>
        <v/>
      </c>
      <c r="O334" s="38">
        <f>IF(ISNUMBER(L334),1,0)</f>
        <v/>
      </c>
      <c r="P334" s="40">
        <f>IF(O334=1,L334,0)</f>
        <v/>
      </c>
      <c r="Q334" s="38">
        <f>M334*O334</f>
        <v/>
      </c>
      <c r="R334" s="38">
        <f>SUM(Q298:Q333)</f>
        <v/>
      </c>
      <c r="S334" s="41">
        <f>IF(OR($A334="",R334&lt;MIN_OBS_ROLL),"",(SUMPRODUCT(Q298:Q333,N298:N333,P298:P333)/R334-SUMPRODUCT(Q298:Q333,N298:N333)/R334*SUMPRODUCT(Q298:Q333,P298:P333)/R334)*R334/(R334-1))</f>
        <v/>
      </c>
      <c r="T334" s="38">
        <f>SUM(O298:O333)</f>
        <v/>
      </c>
      <c r="U334" s="41">
        <f>IF(OR($A334="",T334&lt;MIN_OBS_ROLL),"",SUMPRODUCT(O298:O333,(P298:P333-SUMPRODUCT(O298:O333,P298:P333)/T334)^2)/(T334-1))</f>
        <v/>
      </c>
      <c r="V334" s="40">
        <f>IF(OR(S334="",U334=""),"",S334/U334)</f>
        <v/>
      </c>
      <c r="W334" s="40">
        <f>IF(AND(ISNUMBER(K334),ISNUMBER(L334),ISNUMBER(V334)),K334-V334*L334,"")</f>
        <v/>
      </c>
      <c r="X334" s="40">
        <f>IF(OR($A334="",NOT(ISNUMBER(Datos!H334)),NOT(ISNUMBER(Datos!H333))),"",LN(Datos!H334)-LN(Datos!H333))</f>
        <v/>
      </c>
      <c r="Y334" s="38">
        <f>IF(ISNUMBER(W334),1,0)</f>
        <v/>
      </c>
      <c r="Z334" s="40">
        <f>IF(Y334=1,W334,0)</f>
        <v/>
      </c>
      <c r="AA334" s="38">
        <f>IF(ISNUMBER(X334),1,0)</f>
        <v/>
      </c>
      <c r="AB334" s="40">
        <f>IF(AA334=1,X334,0)</f>
        <v/>
      </c>
      <c r="AC334" s="38">
        <f>Y334*AA334</f>
        <v/>
      </c>
      <c r="AD334" s="38">
        <f>SUM(AC298:AC333)</f>
        <v/>
      </c>
      <c r="AE334" s="41">
        <f>IF(OR($A334="",AD334&lt;MIN_OBS_ROLL),"",(SUMPRODUCT(AC298:AC333,Z298:Z333,AB298:AB333)/AD334-SUMPRODUCT(AC298:AC333,Z298:Z333)/AD334*SUMPRODUCT(AC298:AC333,AB298:AB333)/AD334)*AD334/(AD334-1))</f>
        <v/>
      </c>
      <c r="AF334" s="38">
        <f>SUM(AA298:AA333)</f>
        <v/>
      </c>
      <c r="AG334" s="41">
        <f>IF(OR($A334="",AF334&lt;MIN_OBS_ROLL),"",SUMPRODUCT(AA298:AA333,(AB298:AB333-SUMPRODUCT(AA298:AA333,AB298:AB333)/AF334)^2)/(AF334-1))</f>
        <v/>
      </c>
      <c r="AH334" s="38">
        <f>SUM(Y298:Y333)</f>
        <v/>
      </c>
      <c r="AI334" s="40">
        <f>IF(OR($A334="",AH334&lt;MIN_OBS_ROLL),"",SUMPRODUCT(Y298:Y333,Z298:Z333)/AH334)</f>
        <v/>
      </c>
      <c r="AJ334" s="40">
        <f>IF(OR($A334="",AF334&lt;MIN_OBS_ROLL),"",SUMPRODUCT(AA298:AA333,AB298:AB333)/AF334)</f>
        <v/>
      </c>
      <c r="AK334" s="40">
        <f>IF(OR(AE334="",AG334=""),"",AE334/AG334)</f>
        <v/>
      </c>
      <c r="AL334" s="40">
        <f>IF(OR(AI334="",AK334="",AJ334=""),"",AI334-AK334*AJ334)</f>
        <v/>
      </c>
      <c r="AM334" s="40">
        <f>IF(AND(ISNUMBER(W334),ISNUMBER(X334),ISNUMBER(AK334),ISNUMBER(AL334)),W334-(AL334+AK334*X334),"")</f>
        <v/>
      </c>
      <c r="AN334" s="38">
        <f>IF(ISNUMBER(AM334),1,0)</f>
        <v/>
      </c>
      <c r="AO334" s="40">
        <f>IF(AN334=1,AM334,0)</f>
        <v/>
      </c>
      <c r="AP334" s="40">
        <f>IF(SUM(AN332:AN334)=3,SUM(AO332:AO334),"")</f>
        <v/>
      </c>
      <c r="AQ334" s="38">
        <f>IF(ISNUMBER(AP334),1,0)</f>
        <v/>
      </c>
      <c r="AR334" s="40">
        <f>IF(AQ334=1,AP334,0)</f>
        <v/>
      </c>
      <c r="AS334" s="38">
        <f>SUM(AQ$5:AQ334)</f>
        <v/>
      </c>
      <c r="AT334" s="40">
        <f>IF(AS334&gt;=MIN_OBS_Z,SUMPRODUCT(AQ$5:AQ334,AR$5:AR334)/AS334,"")</f>
        <v/>
      </c>
      <c r="AU334" s="40">
        <f>IF(AS334&gt;=MIN_OBS_Z,SQRT(SUMPRODUCT(AQ$5:AQ334,(AR$5:AR334-AT334)^2)/(AS334-1)),"")</f>
        <v/>
      </c>
      <c r="AV334" s="40">
        <f>IF(AND(AQ334=1,ISNUMBER(AT334)),MAX(-Z_CLIP,MIN(Z_CLIP,(AR334-AT334)/AU334)),"")</f>
        <v/>
      </c>
      <c r="AW334" s="40">
        <f>IF(ISNUMBER(AV334),-AV334,"")</f>
        <v/>
      </c>
      <c r="AX334" s="40">
        <f>IF(ISNUMBER(AW334),1+AMPLITUD*TANH(AW334),"")</f>
        <v/>
      </c>
      <c r="AY334" s="40">
        <f>IF($A334="","",IF(COUNT(AX332:AX334)&gt;0,AVERAGE(AX332:AX334),""))</f>
        <v/>
      </c>
      <c r="AZ334" s="40">
        <f>IF(ISNUMBER(AY334),AY334-1,"")</f>
        <v/>
      </c>
      <c r="BA334" s="40">
        <f>IF(AND(ISNUMBER(AZ333),ISNUMBER(W334)),AZ333*W_BANCOS*W334,"")</f>
        <v/>
      </c>
      <c r="BB334" s="40">
        <f>IF(AND(ISNUMBER(AZ333),ISNUMBER(AZ332)),ABS(AZ333-AZ332)*W_BANCOS*COSTO,0)</f>
        <v/>
      </c>
      <c r="BC334" s="40">
        <f>IF(ISNUMBER(BA334),BA334-BB334,"")</f>
        <v/>
      </c>
      <c r="BD334" s="42">
        <f>IF(ISNUMBER(BC334),IF(A334&lt;=FECHA_ERA,"A","B"),"")</f>
        <v/>
      </c>
      <c r="BE334" s="40">
        <f>IF(BD334="A",BC334,"")</f>
        <v/>
      </c>
      <c r="BF334" s="40">
        <f>IF(BD334="B",BC334,"")</f>
        <v/>
      </c>
      <c r="BG334" s="38">
        <f>IF(AND(ISNUMBER(BC334),ISNUMBER(A334)),IF(A334&gt;=INICIO_VIVO,1,0),0)</f>
        <v/>
      </c>
      <c r="BH334" s="40">
        <f>IF(BG334=1,BC334,"")</f>
        <v/>
      </c>
      <c r="BI334" s="38">
        <f>IF(ISNUMBER(AY334),ROW(),0)</f>
        <v/>
      </c>
      <c r="BJ334" s="43">
        <f>IF(ISNUMBER(BC334),SUM(BC$5:BC334)*10000,NA())</f>
        <v/>
      </c>
      <c r="BK334" s="43">
        <f>IF(BG334=1,SUM(BH$5:BH334)*10000,NA())</f>
        <v/>
      </c>
      <c r="BL334" s="44">
        <f>IF(ISNUMBER(AY334),AY334,NA())</f>
        <v/>
      </c>
    </row>
    <row r="335">
      <c r="A335" s="36">
        <f>IF(Datos!A335="","",Datos!A335)</f>
        <v/>
      </c>
      <c r="B335" s="37">
        <f>IF(OR($A335="",NOT(ISNUMBER(Datos!B335)),NOT(ISNUMBER(Datos!B334))),"",Datos!B335/Datos!B334-1)</f>
        <v/>
      </c>
      <c r="C335" s="37">
        <f>IF(OR($A335="",NOT(ISNUMBER(Datos!C335)),NOT(ISNUMBER(Datos!C334))),"",Datos!C335/Datos!C334-1)</f>
        <v/>
      </c>
      <c r="D335" s="37">
        <f>IF(OR($A335="",NOT(ISNUMBER(Datos!D335)),NOT(ISNUMBER(Datos!D334))),"",Datos!D335/Datos!D334-1)</f>
        <v/>
      </c>
      <c r="E335" s="37">
        <f>IF(OR($A335="",NOT(ISNUMBER(Datos!E335)),NOT(ISNUMBER(Datos!E334))),"",Datos!E335/Datos!E334-1)</f>
        <v/>
      </c>
      <c r="F335" s="38">
        <f>IF($A335="","",COUNT(B335:E335))</f>
        <v/>
      </c>
      <c r="G335" s="37">
        <f>IF($A335="","",IF(F335&gt;=MIN_BANCOS,AVERAGE(B335:E335),""))</f>
        <v/>
      </c>
      <c r="H335" s="37">
        <f>IF(OR($A335="",NOT(ISNUMBER(Datos!F335)),NOT(ISNUMBER(Datos!F334))),"",Datos!F335/Datos!F334-1)</f>
        <v/>
      </c>
      <c r="I335" s="39">
        <f>IF($A335="","",IF(ISNUMBER(Datos!G335),Datos!G335,I334))</f>
        <v/>
      </c>
      <c r="J335" s="40">
        <f>IF($A335="","",IF(ISNUMBER(I334),LN(1+I334/100/12),0))</f>
        <v/>
      </c>
      <c r="K335" s="40">
        <f>IF(ISNUMBER(G335),LN(1+G335)-J335,"")</f>
        <v/>
      </c>
      <c r="L335" s="40">
        <f>IF(ISNUMBER(H335),LN(1+H335)-J335,"")</f>
        <v/>
      </c>
      <c r="M335" s="38">
        <f>IF(ISNUMBER(K335),1,0)</f>
        <v/>
      </c>
      <c r="N335" s="40">
        <f>IF(M335=1,K335,0)</f>
        <v/>
      </c>
      <c r="O335" s="38">
        <f>IF(ISNUMBER(L335),1,0)</f>
        <v/>
      </c>
      <c r="P335" s="40">
        <f>IF(O335=1,L335,0)</f>
        <v/>
      </c>
      <c r="Q335" s="38">
        <f>M335*O335</f>
        <v/>
      </c>
      <c r="R335" s="38">
        <f>SUM(Q299:Q334)</f>
        <v/>
      </c>
      <c r="S335" s="41">
        <f>IF(OR($A335="",R335&lt;MIN_OBS_ROLL),"",(SUMPRODUCT(Q299:Q334,N299:N334,P299:P334)/R335-SUMPRODUCT(Q299:Q334,N299:N334)/R335*SUMPRODUCT(Q299:Q334,P299:P334)/R335)*R335/(R335-1))</f>
        <v/>
      </c>
      <c r="T335" s="38">
        <f>SUM(O299:O334)</f>
        <v/>
      </c>
      <c r="U335" s="41">
        <f>IF(OR($A335="",T335&lt;MIN_OBS_ROLL),"",SUMPRODUCT(O299:O334,(P299:P334-SUMPRODUCT(O299:O334,P299:P334)/T335)^2)/(T335-1))</f>
        <v/>
      </c>
      <c r="V335" s="40">
        <f>IF(OR(S335="",U335=""),"",S335/U335)</f>
        <v/>
      </c>
      <c r="W335" s="40">
        <f>IF(AND(ISNUMBER(K335),ISNUMBER(L335),ISNUMBER(V335)),K335-V335*L335,"")</f>
        <v/>
      </c>
      <c r="X335" s="40">
        <f>IF(OR($A335="",NOT(ISNUMBER(Datos!H335)),NOT(ISNUMBER(Datos!H334))),"",LN(Datos!H335)-LN(Datos!H334))</f>
        <v/>
      </c>
      <c r="Y335" s="38">
        <f>IF(ISNUMBER(W335),1,0)</f>
        <v/>
      </c>
      <c r="Z335" s="40">
        <f>IF(Y335=1,W335,0)</f>
        <v/>
      </c>
      <c r="AA335" s="38">
        <f>IF(ISNUMBER(X335),1,0)</f>
        <v/>
      </c>
      <c r="AB335" s="40">
        <f>IF(AA335=1,X335,0)</f>
        <v/>
      </c>
      <c r="AC335" s="38">
        <f>Y335*AA335</f>
        <v/>
      </c>
      <c r="AD335" s="38">
        <f>SUM(AC299:AC334)</f>
        <v/>
      </c>
      <c r="AE335" s="41">
        <f>IF(OR($A335="",AD335&lt;MIN_OBS_ROLL),"",(SUMPRODUCT(AC299:AC334,Z299:Z334,AB299:AB334)/AD335-SUMPRODUCT(AC299:AC334,Z299:Z334)/AD335*SUMPRODUCT(AC299:AC334,AB299:AB334)/AD335)*AD335/(AD335-1))</f>
        <v/>
      </c>
      <c r="AF335" s="38">
        <f>SUM(AA299:AA334)</f>
        <v/>
      </c>
      <c r="AG335" s="41">
        <f>IF(OR($A335="",AF335&lt;MIN_OBS_ROLL),"",SUMPRODUCT(AA299:AA334,(AB299:AB334-SUMPRODUCT(AA299:AA334,AB299:AB334)/AF335)^2)/(AF335-1))</f>
        <v/>
      </c>
      <c r="AH335" s="38">
        <f>SUM(Y299:Y334)</f>
        <v/>
      </c>
      <c r="AI335" s="40">
        <f>IF(OR($A335="",AH335&lt;MIN_OBS_ROLL),"",SUMPRODUCT(Y299:Y334,Z299:Z334)/AH335)</f>
        <v/>
      </c>
      <c r="AJ335" s="40">
        <f>IF(OR($A335="",AF335&lt;MIN_OBS_ROLL),"",SUMPRODUCT(AA299:AA334,AB299:AB334)/AF335)</f>
        <v/>
      </c>
      <c r="AK335" s="40">
        <f>IF(OR(AE335="",AG335=""),"",AE335/AG335)</f>
        <v/>
      </c>
      <c r="AL335" s="40">
        <f>IF(OR(AI335="",AK335="",AJ335=""),"",AI335-AK335*AJ335)</f>
        <v/>
      </c>
      <c r="AM335" s="40">
        <f>IF(AND(ISNUMBER(W335),ISNUMBER(X335),ISNUMBER(AK335),ISNUMBER(AL335)),W335-(AL335+AK335*X335),"")</f>
        <v/>
      </c>
      <c r="AN335" s="38">
        <f>IF(ISNUMBER(AM335),1,0)</f>
        <v/>
      </c>
      <c r="AO335" s="40">
        <f>IF(AN335=1,AM335,0)</f>
        <v/>
      </c>
      <c r="AP335" s="40">
        <f>IF(SUM(AN333:AN335)=3,SUM(AO333:AO335),"")</f>
        <v/>
      </c>
      <c r="AQ335" s="38">
        <f>IF(ISNUMBER(AP335),1,0)</f>
        <v/>
      </c>
      <c r="AR335" s="40">
        <f>IF(AQ335=1,AP335,0)</f>
        <v/>
      </c>
      <c r="AS335" s="38">
        <f>SUM(AQ$5:AQ335)</f>
        <v/>
      </c>
      <c r="AT335" s="40">
        <f>IF(AS335&gt;=MIN_OBS_Z,SUMPRODUCT(AQ$5:AQ335,AR$5:AR335)/AS335,"")</f>
        <v/>
      </c>
      <c r="AU335" s="40">
        <f>IF(AS335&gt;=MIN_OBS_Z,SQRT(SUMPRODUCT(AQ$5:AQ335,(AR$5:AR335-AT335)^2)/(AS335-1)),"")</f>
        <v/>
      </c>
      <c r="AV335" s="40">
        <f>IF(AND(AQ335=1,ISNUMBER(AT335)),MAX(-Z_CLIP,MIN(Z_CLIP,(AR335-AT335)/AU335)),"")</f>
        <v/>
      </c>
      <c r="AW335" s="40">
        <f>IF(ISNUMBER(AV335),-AV335,"")</f>
        <v/>
      </c>
      <c r="AX335" s="40">
        <f>IF(ISNUMBER(AW335),1+AMPLITUD*TANH(AW335),"")</f>
        <v/>
      </c>
      <c r="AY335" s="40">
        <f>IF($A335="","",IF(COUNT(AX333:AX335)&gt;0,AVERAGE(AX333:AX335),""))</f>
        <v/>
      </c>
      <c r="AZ335" s="40">
        <f>IF(ISNUMBER(AY335),AY335-1,"")</f>
        <v/>
      </c>
      <c r="BA335" s="40">
        <f>IF(AND(ISNUMBER(AZ334),ISNUMBER(W335)),AZ334*W_BANCOS*W335,"")</f>
        <v/>
      </c>
      <c r="BB335" s="40">
        <f>IF(AND(ISNUMBER(AZ334),ISNUMBER(AZ333)),ABS(AZ334-AZ333)*W_BANCOS*COSTO,0)</f>
        <v/>
      </c>
      <c r="BC335" s="40">
        <f>IF(ISNUMBER(BA335),BA335-BB335,"")</f>
        <v/>
      </c>
      <c r="BD335" s="42">
        <f>IF(ISNUMBER(BC335),IF(A335&lt;=FECHA_ERA,"A","B"),"")</f>
        <v/>
      </c>
      <c r="BE335" s="40">
        <f>IF(BD335="A",BC335,"")</f>
        <v/>
      </c>
      <c r="BF335" s="40">
        <f>IF(BD335="B",BC335,"")</f>
        <v/>
      </c>
      <c r="BG335" s="38">
        <f>IF(AND(ISNUMBER(BC335),ISNUMBER(A335)),IF(A335&gt;=INICIO_VIVO,1,0),0)</f>
        <v/>
      </c>
      <c r="BH335" s="40">
        <f>IF(BG335=1,BC335,"")</f>
        <v/>
      </c>
      <c r="BI335" s="38">
        <f>IF(ISNUMBER(AY335),ROW(),0)</f>
        <v/>
      </c>
      <c r="BJ335" s="43">
        <f>IF(ISNUMBER(BC335),SUM(BC$5:BC335)*10000,NA())</f>
        <v/>
      </c>
      <c r="BK335" s="43">
        <f>IF(BG335=1,SUM(BH$5:BH335)*10000,NA())</f>
        <v/>
      </c>
      <c r="BL335" s="44">
        <f>IF(ISNUMBER(AY335),AY335,NA())</f>
        <v/>
      </c>
    </row>
    <row r="336">
      <c r="A336" s="36">
        <f>IF(Datos!A336="","",Datos!A336)</f>
        <v/>
      </c>
      <c r="B336" s="37">
        <f>IF(OR($A336="",NOT(ISNUMBER(Datos!B336)),NOT(ISNUMBER(Datos!B335))),"",Datos!B336/Datos!B335-1)</f>
        <v/>
      </c>
      <c r="C336" s="37">
        <f>IF(OR($A336="",NOT(ISNUMBER(Datos!C336)),NOT(ISNUMBER(Datos!C335))),"",Datos!C336/Datos!C335-1)</f>
        <v/>
      </c>
      <c r="D336" s="37">
        <f>IF(OR($A336="",NOT(ISNUMBER(Datos!D336)),NOT(ISNUMBER(Datos!D335))),"",Datos!D336/Datos!D335-1)</f>
        <v/>
      </c>
      <c r="E336" s="37">
        <f>IF(OR($A336="",NOT(ISNUMBER(Datos!E336)),NOT(ISNUMBER(Datos!E335))),"",Datos!E336/Datos!E335-1)</f>
        <v/>
      </c>
      <c r="F336" s="38">
        <f>IF($A336="","",COUNT(B336:E336))</f>
        <v/>
      </c>
      <c r="G336" s="37">
        <f>IF($A336="","",IF(F336&gt;=MIN_BANCOS,AVERAGE(B336:E336),""))</f>
        <v/>
      </c>
      <c r="H336" s="37">
        <f>IF(OR($A336="",NOT(ISNUMBER(Datos!F336)),NOT(ISNUMBER(Datos!F335))),"",Datos!F336/Datos!F335-1)</f>
        <v/>
      </c>
      <c r="I336" s="39">
        <f>IF($A336="","",IF(ISNUMBER(Datos!G336),Datos!G336,I335))</f>
        <v/>
      </c>
      <c r="J336" s="40">
        <f>IF($A336="","",IF(ISNUMBER(I335),LN(1+I335/100/12),0))</f>
        <v/>
      </c>
      <c r="K336" s="40">
        <f>IF(ISNUMBER(G336),LN(1+G336)-J336,"")</f>
        <v/>
      </c>
      <c r="L336" s="40">
        <f>IF(ISNUMBER(H336),LN(1+H336)-J336,"")</f>
        <v/>
      </c>
      <c r="M336" s="38">
        <f>IF(ISNUMBER(K336),1,0)</f>
        <v/>
      </c>
      <c r="N336" s="40">
        <f>IF(M336=1,K336,0)</f>
        <v/>
      </c>
      <c r="O336" s="38">
        <f>IF(ISNUMBER(L336),1,0)</f>
        <v/>
      </c>
      <c r="P336" s="40">
        <f>IF(O336=1,L336,0)</f>
        <v/>
      </c>
      <c r="Q336" s="38">
        <f>M336*O336</f>
        <v/>
      </c>
      <c r="R336" s="38">
        <f>SUM(Q300:Q335)</f>
        <v/>
      </c>
      <c r="S336" s="41">
        <f>IF(OR($A336="",R336&lt;MIN_OBS_ROLL),"",(SUMPRODUCT(Q300:Q335,N300:N335,P300:P335)/R336-SUMPRODUCT(Q300:Q335,N300:N335)/R336*SUMPRODUCT(Q300:Q335,P300:P335)/R336)*R336/(R336-1))</f>
        <v/>
      </c>
      <c r="T336" s="38">
        <f>SUM(O300:O335)</f>
        <v/>
      </c>
      <c r="U336" s="41">
        <f>IF(OR($A336="",T336&lt;MIN_OBS_ROLL),"",SUMPRODUCT(O300:O335,(P300:P335-SUMPRODUCT(O300:O335,P300:P335)/T336)^2)/(T336-1))</f>
        <v/>
      </c>
      <c r="V336" s="40">
        <f>IF(OR(S336="",U336=""),"",S336/U336)</f>
        <v/>
      </c>
      <c r="W336" s="40">
        <f>IF(AND(ISNUMBER(K336),ISNUMBER(L336),ISNUMBER(V336)),K336-V336*L336,"")</f>
        <v/>
      </c>
      <c r="X336" s="40">
        <f>IF(OR($A336="",NOT(ISNUMBER(Datos!H336)),NOT(ISNUMBER(Datos!H335))),"",LN(Datos!H336)-LN(Datos!H335))</f>
        <v/>
      </c>
      <c r="Y336" s="38">
        <f>IF(ISNUMBER(W336),1,0)</f>
        <v/>
      </c>
      <c r="Z336" s="40">
        <f>IF(Y336=1,W336,0)</f>
        <v/>
      </c>
      <c r="AA336" s="38">
        <f>IF(ISNUMBER(X336),1,0)</f>
        <v/>
      </c>
      <c r="AB336" s="40">
        <f>IF(AA336=1,X336,0)</f>
        <v/>
      </c>
      <c r="AC336" s="38">
        <f>Y336*AA336</f>
        <v/>
      </c>
      <c r="AD336" s="38">
        <f>SUM(AC300:AC335)</f>
        <v/>
      </c>
      <c r="AE336" s="41">
        <f>IF(OR($A336="",AD336&lt;MIN_OBS_ROLL),"",(SUMPRODUCT(AC300:AC335,Z300:Z335,AB300:AB335)/AD336-SUMPRODUCT(AC300:AC335,Z300:Z335)/AD336*SUMPRODUCT(AC300:AC335,AB300:AB335)/AD336)*AD336/(AD336-1))</f>
        <v/>
      </c>
      <c r="AF336" s="38">
        <f>SUM(AA300:AA335)</f>
        <v/>
      </c>
      <c r="AG336" s="41">
        <f>IF(OR($A336="",AF336&lt;MIN_OBS_ROLL),"",SUMPRODUCT(AA300:AA335,(AB300:AB335-SUMPRODUCT(AA300:AA335,AB300:AB335)/AF336)^2)/(AF336-1))</f>
        <v/>
      </c>
      <c r="AH336" s="38">
        <f>SUM(Y300:Y335)</f>
        <v/>
      </c>
      <c r="AI336" s="40">
        <f>IF(OR($A336="",AH336&lt;MIN_OBS_ROLL),"",SUMPRODUCT(Y300:Y335,Z300:Z335)/AH336)</f>
        <v/>
      </c>
      <c r="AJ336" s="40">
        <f>IF(OR($A336="",AF336&lt;MIN_OBS_ROLL),"",SUMPRODUCT(AA300:AA335,AB300:AB335)/AF336)</f>
        <v/>
      </c>
      <c r="AK336" s="40">
        <f>IF(OR(AE336="",AG336=""),"",AE336/AG336)</f>
        <v/>
      </c>
      <c r="AL336" s="40">
        <f>IF(OR(AI336="",AK336="",AJ336=""),"",AI336-AK336*AJ336)</f>
        <v/>
      </c>
      <c r="AM336" s="40">
        <f>IF(AND(ISNUMBER(W336),ISNUMBER(X336),ISNUMBER(AK336),ISNUMBER(AL336)),W336-(AL336+AK336*X336),"")</f>
        <v/>
      </c>
      <c r="AN336" s="38">
        <f>IF(ISNUMBER(AM336),1,0)</f>
        <v/>
      </c>
      <c r="AO336" s="40">
        <f>IF(AN336=1,AM336,0)</f>
        <v/>
      </c>
      <c r="AP336" s="40">
        <f>IF(SUM(AN334:AN336)=3,SUM(AO334:AO336),"")</f>
        <v/>
      </c>
      <c r="AQ336" s="38">
        <f>IF(ISNUMBER(AP336),1,0)</f>
        <v/>
      </c>
      <c r="AR336" s="40">
        <f>IF(AQ336=1,AP336,0)</f>
        <v/>
      </c>
      <c r="AS336" s="38">
        <f>SUM(AQ$5:AQ336)</f>
        <v/>
      </c>
      <c r="AT336" s="40">
        <f>IF(AS336&gt;=MIN_OBS_Z,SUMPRODUCT(AQ$5:AQ336,AR$5:AR336)/AS336,"")</f>
        <v/>
      </c>
      <c r="AU336" s="40">
        <f>IF(AS336&gt;=MIN_OBS_Z,SQRT(SUMPRODUCT(AQ$5:AQ336,(AR$5:AR336-AT336)^2)/(AS336-1)),"")</f>
        <v/>
      </c>
      <c r="AV336" s="40">
        <f>IF(AND(AQ336=1,ISNUMBER(AT336)),MAX(-Z_CLIP,MIN(Z_CLIP,(AR336-AT336)/AU336)),"")</f>
        <v/>
      </c>
      <c r="AW336" s="40">
        <f>IF(ISNUMBER(AV336),-AV336,"")</f>
        <v/>
      </c>
      <c r="AX336" s="40">
        <f>IF(ISNUMBER(AW336),1+AMPLITUD*TANH(AW336),"")</f>
        <v/>
      </c>
      <c r="AY336" s="40">
        <f>IF($A336="","",IF(COUNT(AX334:AX336)&gt;0,AVERAGE(AX334:AX336),""))</f>
        <v/>
      </c>
      <c r="AZ336" s="40">
        <f>IF(ISNUMBER(AY336),AY336-1,"")</f>
        <v/>
      </c>
      <c r="BA336" s="40">
        <f>IF(AND(ISNUMBER(AZ335),ISNUMBER(W336)),AZ335*W_BANCOS*W336,"")</f>
        <v/>
      </c>
      <c r="BB336" s="40">
        <f>IF(AND(ISNUMBER(AZ335),ISNUMBER(AZ334)),ABS(AZ335-AZ334)*W_BANCOS*COSTO,0)</f>
        <v/>
      </c>
      <c r="BC336" s="40">
        <f>IF(ISNUMBER(BA336),BA336-BB336,"")</f>
        <v/>
      </c>
      <c r="BD336" s="42">
        <f>IF(ISNUMBER(BC336),IF(A336&lt;=FECHA_ERA,"A","B"),"")</f>
        <v/>
      </c>
      <c r="BE336" s="40">
        <f>IF(BD336="A",BC336,"")</f>
        <v/>
      </c>
      <c r="BF336" s="40">
        <f>IF(BD336="B",BC336,"")</f>
        <v/>
      </c>
      <c r="BG336" s="38">
        <f>IF(AND(ISNUMBER(BC336),ISNUMBER(A336)),IF(A336&gt;=INICIO_VIVO,1,0),0)</f>
        <v/>
      </c>
      <c r="BH336" s="40">
        <f>IF(BG336=1,BC336,"")</f>
        <v/>
      </c>
      <c r="BI336" s="38">
        <f>IF(ISNUMBER(AY336),ROW(),0)</f>
        <v/>
      </c>
      <c r="BJ336" s="43">
        <f>IF(ISNUMBER(BC336),SUM(BC$5:BC336)*10000,NA())</f>
        <v/>
      </c>
      <c r="BK336" s="43">
        <f>IF(BG336=1,SUM(BH$5:BH336)*10000,NA())</f>
        <v/>
      </c>
      <c r="BL336" s="44">
        <f>IF(ISNUMBER(AY336),AY336,NA())</f>
        <v/>
      </c>
    </row>
    <row r="337">
      <c r="A337" s="36">
        <f>IF(Datos!A337="","",Datos!A337)</f>
        <v/>
      </c>
      <c r="B337" s="37">
        <f>IF(OR($A337="",NOT(ISNUMBER(Datos!B337)),NOT(ISNUMBER(Datos!B336))),"",Datos!B337/Datos!B336-1)</f>
        <v/>
      </c>
      <c r="C337" s="37">
        <f>IF(OR($A337="",NOT(ISNUMBER(Datos!C337)),NOT(ISNUMBER(Datos!C336))),"",Datos!C337/Datos!C336-1)</f>
        <v/>
      </c>
      <c r="D337" s="37">
        <f>IF(OR($A337="",NOT(ISNUMBER(Datos!D337)),NOT(ISNUMBER(Datos!D336))),"",Datos!D337/Datos!D336-1)</f>
        <v/>
      </c>
      <c r="E337" s="37">
        <f>IF(OR($A337="",NOT(ISNUMBER(Datos!E337)),NOT(ISNUMBER(Datos!E336))),"",Datos!E337/Datos!E336-1)</f>
        <v/>
      </c>
      <c r="F337" s="38">
        <f>IF($A337="","",COUNT(B337:E337))</f>
        <v/>
      </c>
      <c r="G337" s="37">
        <f>IF($A337="","",IF(F337&gt;=MIN_BANCOS,AVERAGE(B337:E337),""))</f>
        <v/>
      </c>
      <c r="H337" s="37">
        <f>IF(OR($A337="",NOT(ISNUMBER(Datos!F337)),NOT(ISNUMBER(Datos!F336))),"",Datos!F337/Datos!F336-1)</f>
        <v/>
      </c>
      <c r="I337" s="39">
        <f>IF($A337="","",IF(ISNUMBER(Datos!G337),Datos!G337,I336))</f>
        <v/>
      </c>
      <c r="J337" s="40">
        <f>IF($A337="","",IF(ISNUMBER(I336),LN(1+I336/100/12),0))</f>
        <v/>
      </c>
      <c r="K337" s="40">
        <f>IF(ISNUMBER(G337),LN(1+G337)-J337,"")</f>
        <v/>
      </c>
      <c r="L337" s="40">
        <f>IF(ISNUMBER(H337),LN(1+H337)-J337,"")</f>
        <v/>
      </c>
      <c r="M337" s="38">
        <f>IF(ISNUMBER(K337),1,0)</f>
        <v/>
      </c>
      <c r="N337" s="40">
        <f>IF(M337=1,K337,0)</f>
        <v/>
      </c>
      <c r="O337" s="38">
        <f>IF(ISNUMBER(L337),1,0)</f>
        <v/>
      </c>
      <c r="P337" s="40">
        <f>IF(O337=1,L337,0)</f>
        <v/>
      </c>
      <c r="Q337" s="38">
        <f>M337*O337</f>
        <v/>
      </c>
      <c r="R337" s="38">
        <f>SUM(Q301:Q336)</f>
        <v/>
      </c>
      <c r="S337" s="41">
        <f>IF(OR($A337="",R337&lt;MIN_OBS_ROLL),"",(SUMPRODUCT(Q301:Q336,N301:N336,P301:P336)/R337-SUMPRODUCT(Q301:Q336,N301:N336)/R337*SUMPRODUCT(Q301:Q336,P301:P336)/R337)*R337/(R337-1))</f>
        <v/>
      </c>
      <c r="T337" s="38">
        <f>SUM(O301:O336)</f>
        <v/>
      </c>
      <c r="U337" s="41">
        <f>IF(OR($A337="",T337&lt;MIN_OBS_ROLL),"",SUMPRODUCT(O301:O336,(P301:P336-SUMPRODUCT(O301:O336,P301:P336)/T337)^2)/(T337-1))</f>
        <v/>
      </c>
      <c r="V337" s="40">
        <f>IF(OR(S337="",U337=""),"",S337/U337)</f>
        <v/>
      </c>
      <c r="W337" s="40">
        <f>IF(AND(ISNUMBER(K337),ISNUMBER(L337),ISNUMBER(V337)),K337-V337*L337,"")</f>
        <v/>
      </c>
      <c r="X337" s="40">
        <f>IF(OR($A337="",NOT(ISNUMBER(Datos!H337)),NOT(ISNUMBER(Datos!H336))),"",LN(Datos!H337)-LN(Datos!H336))</f>
        <v/>
      </c>
      <c r="Y337" s="38">
        <f>IF(ISNUMBER(W337),1,0)</f>
        <v/>
      </c>
      <c r="Z337" s="40">
        <f>IF(Y337=1,W337,0)</f>
        <v/>
      </c>
      <c r="AA337" s="38">
        <f>IF(ISNUMBER(X337),1,0)</f>
        <v/>
      </c>
      <c r="AB337" s="40">
        <f>IF(AA337=1,X337,0)</f>
        <v/>
      </c>
      <c r="AC337" s="38">
        <f>Y337*AA337</f>
        <v/>
      </c>
      <c r="AD337" s="38">
        <f>SUM(AC301:AC336)</f>
        <v/>
      </c>
      <c r="AE337" s="41">
        <f>IF(OR($A337="",AD337&lt;MIN_OBS_ROLL),"",(SUMPRODUCT(AC301:AC336,Z301:Z336,AB301:AB336)/AD337-SUMPRODUCT(AC301:AC336,Z301:Z336)/AD337*SUMPRODUCT(AC301:AC336,AB301:AB336)/AD337)*AD337/(AD337-1))</f>
        <v/>
      </c>
      <c r="AF337" s="38">
        <f>SUM(AA301:AA336)</f>
        <v/>
      </c>
      <c r="AG337" s="41">
        <f>IF(OR($A337="",AF337&lt;MIN_OBS_ROLL),"",SUMPRODUCT(AA301:AA336,(AB301:AB336-SUMPRODUCT(AA301:AA336,AB301:AB336)/AF337)^2)/(AF337-1))</f>
        <v/>
      </c>
      <c r="AH337" s="38">
        <f>SUM(Y301:Y336)</f>
        <v/>
      </c>
      <c r="AI337" s="40">
        <f>IF(OR($A337="",AH337&lt;MIN_OBS_ROLL),"",SUMPRODUCT(Y301:Y336,Z301:Z336)/AH337)</f>
        <v/>
      </c>
      <c r="AJ337" s="40">
        <f>IF(OR($A337="",AF337&lt;MIN_OBS_ROLL),"",SUMPRODUCT(AA301:AA336,AB301:AB336)/AF337)</f>
        <v/>
      </c>
      <c r="AK337" s="40">
        <f>IF(OR(AE337="",AG337=""),"",AE337/AG337)</f>
        <v/>
      </c>
      <c r="AL337" s="40">
        <f>IF(OR(AI337="",AK337="",AJ337=""),"",AI337-AK337*AJ337)</f>
        <v/>
      </c>
      <c r="AM337" s="40">
        <f>IF(AND(ISNUMBER(W337),ISNUMBER(X337),ISNUMBER(AK337),ISNUMBER(AL337)),W337-(AL337+AK337*X337),"")</f>
        <v/>
      </c>
      <c r="AN337" s="38">
        <f>IF(ISNUMBER(AM337),1,0)</f>
        <v/>
      </c>
      <c r="AO337" s="40">
        <f>IF(AN337=1,AM337,0)</f>
        <v/>
      </c>
      <c r="AP337" s="40">
        <f>IF(SUM(AN335:AN337)=3,SUM(AO335:AO337),"")</f>
        <v/>
      </c>
      <c r="AQ337" s="38">
        <f>IF(ISNUMBER(AP337),1,0)</f>
        <v/>
      </c>
      <c r="AR337" s="40">
        <f>IF(AQ337=1,AP337,0)</f>
        <v/>
      </c>
      <c r="AS337" s="38">
        <f>SUM(AQ$5:AQ337)</f>
        <v/>
      </c>
      <c r="AT337" s="40">
        <f>IF(AS337&gt;=MIN_OBS_Z,SUMPRODUCT(AQ$5:AQ337,AR$5:AR337)/AS337,"")</f>
        <v/>
      </c>
      <c r="AU337" s="40">
        <f>IF(AS337&gt;=MIN_OBS_Z,SQRT(SUMPRODUCT(AQ$5:AQ337,(AR$5:AR337-AT337)^2)/(AS337-1)),"")</f>
        <v/>
      </c>
      <c r="AV337" s="40">
        <f>IF(AND(AQ337=1,ISNUMBER(AT337)),MAX(-Z_CLIP,MIN(Z_CLIP,(AR337-AT337)/AU337)),"")</f>
        <v/>
      </c>
      <c r="AW337" s="40">
        <f>IF(ISNUMBER(AV337),-AV337,"")</f>
        <v/>
      </c>
      <c r="AX337" s="40">
        <f>IF(ISNUMBER(AW337),1+AMPLITUD*TANH(AW337),"")</f>
        <v/>
      </c>
      <c r="AY337" s="40">
        <f>IF($A337="","",IF(COUNT(AX335:AX337)&gt;0,AVERAGE(AX335:AX337),""))</f>
        <v/>
      </c>
      <c r="AZ337" s="40">
        <f>IF(ISNUMBER(AY337),AY337-1,"")</f>
        <v/>
      </c>
      <c r="BA337" s="40">
        <f>IF(AND(ISNUMBER(AZ336),ISNUMBER(W337)),AZ336*W_BANCOS*W337,"")</f>
        <v/>
      </c>
      <c r="BB337" s="40">
        <f>IF(AND(ISNUMBER(AZ336),ISNUMBER(AZ335)),ABS(AZ336-AZ335)*W_BANCOS*COSTO,0)</f>
        <v/>
      </c>
      <c r="BC337" s="40">
        <f>IF(ISNUMBER(BA337),BA337-BB337,"")</f>
        <v/>
      </c>
      <c r="BD337" s="42">
        <f>IF(ISNUMBER(BC337),IF(A337&lt;=FECHA_ERA,"A","B"),"")</f>
        <v/>
      </c>
      <c r="BE337" s="40">
        <f>IF(BD337="A",BC337,"")</f>
        <v/>
      </c>
      <c r="BF337" s="40">
        <f>IF(BD337="B",BC337,"")</f>
        <v/>
      </c>
      <c r="BG337" s="38">
        <f>IF(AND(ISNUMBER(BC337),ISNUMBER(A337)),IF(A337&gt;=INICIO_VIVO,1,0),0)</f>
        <v/>
      </c>
      <c r="BH337" s="40">
        <f>IF(BG337=1,BC337,"")</f>
        <v/>
      </c>
      <c r="BI337" s="38">
        <f>IF(ISNUMBER(AY337),ROW(),0)</f>
        <v/>
      </c>
      <c r="BJ337" s="43">
        <f>IF(ISNUMBER(BC337),SUM(BC$5:BC337)*10000,NA())</f>
        <v/>
      </c>
      <c r="BK337" s="43">
        <f>IF(BG337=1,SUM(BH$5:BH337)*10000,NA())</f>
        <v/>
      </c>
      <c r="BL337" s="44">
        <f>IF(ISNUMBER(AY337),AY337,NA())</f>
        <v/>
      </c>
    </row>
    <row r="338">
      <c r="A338" s="36">
        <f>IF(Datos!A338="","",Datos!A338)</f>
        <v/>
      </c>
      <c r="B338" s="37">
        <f>IF(OR($A338="",NOT(ISNUMBER(Datos!B338)),NOT(ISNUMBER(Datos!B337))),"",Datos!B338/Datos!B337-1)</f>
        <v/>
      </c>
      <c r="C338" s="37">
        <f>IF(OR($A338="",NOT(ISNUMBER(Datos!C338)),NOT(ISNUMBER(Datos!C337))),"",Datos!C338/Datos!C337-1)</f>
        <v/>
      </c>
      <c r="D338" s="37">
        <f>IF(OR($A338="",NOT(ISNUMBER(Datos!D338)),NOT(ISNUMBER(Datos!D337))),"",Datos!D338/Datos!D337-1)</f>
        <v/>
      </c>
      <c r="E338" s="37">
        <f>IF(OR($A338="",NOT(ISNUMBER(Datos!E338)),NOT(ISNUMBER(Datos!E337))),"",Datos!E338/Datos!E337-1)</f>
        <v/>
      </c>
      <c r="F338" s="38">
        <f>IF($A338="","",COUNT(B338:E338))</f>
        <v/>
      </c>
      <c r="G338" s="37">
        <f>IF($A338="","",IF(F338&gt;=MIN_BANCOS,AVERAGE(B338:E338),""))</f>
        <v/>
      </c>
      <c r="H338" s="37">
        <f>IF(OR($A338="",NOT(ISNUMBER(Datos!F338)),NOT(ISNUMBER(Datos!F337))),"",Datos!F338/Datos!F337-1)</f>
        <v/>
      </c>
      <c r="I338" s="39">
        <f>IF($A338="","",IF(ISNUMBER(Datos!G338),Datos!G338,I337))</f>
        <v/>
      </c>
      <c r="J338" s="40">
        <f>IF($A338="","",IF(ISNUMBER(I337),LN(1+I337/100/12),0))</f>
        <v/>
      </c>
      <c r="K338" s="40">
        <f>IF(ISNUMBER(G338),LN(1+G338)-J338,"")</f>
        <v/>
      </c>
      <c r="L338" s="40">
        <f>IF(ISNUMBER(H338),LN(1+H338)-J338,"")</f>
        <v/>
      </c>
      <c r="M338" s="38">
        <f>IF(ISNUMBER(K338),1,0)</f>
        <v/>
      </c>
      <c r="N338" s="40">
        <f>IF(M338=1,K338,0)</f>
        <v/>
      </c>
      <c r="O338" s="38">
        <f>IF(ISNUMBER(L338),1,0)</f>
        <v/>
      </c>
      <c r="P338" s="40">
        <f>IF(O338=1,L338,0)</f>
        <v/>
      </c>
      <c r="Q338" s="38">
        <f>M338*O338</f>
        <v/>
      </c>
      <c r="R338" s="38">
        <f>SUM(Q302:Q337)</f>
        <v/>
      </c>
      <c r="S338" s="41">
        <f>IF(OR($A338="",R338&lt;MIN_OBS_ROLL),"",(SUMPRODUCT(Q302:Q337,N302:N337,P302:P337)/R338-SUMPRODUCT(Q302:Q337,N302:N337)/R338*SUMPRODUCT(Q302:Q337,P302:P337)/R338)*R338/(R338-1))</f>
        <v/>
      </c>
      <c r="T338" s="38">
        <f>SUM(O302:O337)</f>
        <v/>
      </c>
      <c r="U338" s="41">
        <f>IF(OR($A338="",T338&lt;MIN_OBS_ROLL),"",SUMPRODUCT(O302:O337,(P302:P337-SUMPRODUCT(O302:O337,P302:P337)/T338)^2)/(T338-1))</f>
        <v/>
      </c>
      <c r="V338" s="40">
        <f>IF(OR(S338="",U338=""),"",S338/U338)</f>
        <v/>
      </c>
      <c r="W338" s="40">
        <f>IF(AND(ISNUMBER(K338),ISNUMBER(L338),ISNUMBER(V338)),K338-V338*L338,"")</f>
        <v/>
      </c>
      <c r="X338" s="40">
        <f>IF(OR($A338="",NOT(ISNUMBER(Datos!H338)),NOT(ISNUMBER(Datos!H337))),"",LN(Datos!H338)-LN(Datos!H337))</f>
        <v/>
      </c>
      <c r="Y338" s="38">
        <f>IF(ISNUMBER(W338),1,0)</f>
        <v/>
      </c>
      <c r="Z338" s="40">
        <f>IF(Y338=1,W338,0)</f>
        <v/>
      </c>
      <c r="AA338" s="38">
        <f>IF(ISNUMBER(X338),1,0)</f>
        <v/>
      </c>
      <c r="AB338" s="40">
        <f>IF(AA338=1,X338,0)</f>
        <v/>
      </c>
      <c r="AC338" s="38">
        <f>Y338*AA338</f>
        <v/>
      </c>
      <c r="AD338" s="38">
        <f>SUM(AC302:AC337)</f>
        <v/>
      </c>
      <c r="AE338" s="41">
        <f>IF(OR($A338="",AD338&lt;MIN_OBS_ROLL),"",(SUMPRODUCT(AC302:AC337,Z302:Z337,AB302:AB337)/AD338-SUMPRODUCT(AC302:AC337,Z302:Z337)/AD338*SUMPRODUCT(AC302:AC337,AB302:AB337)/AD338)*AD338/(AD338-1))</f>
        <v/>
      </c>
      <c r="AF338" s="38">
        <f>SUM(AA302:AA337)</f>
        <v/>
      </c>
      <c r="AG338" s="41">
        <f>IF(OR($A338="",AF338&lt;MIN_OBS_ROLL),"",SUMPRODUCT(AA302:AA337,(AB302:AB337-SUMPRODUCT(AA302:AA337,AB302:AB337)/AF338)^2)/(AF338-1))</f>
        <v/>
      </c>
      <c r="AH338" s="38">
        <f>SUM(Y302:Y337)</f>
        <v/>
      </c>
      <c r="AI338" s="40">
        <f>IF(OR($A338="",AH338&lt;MIN_OBS_ROLL),"",SUMPRODUCT(Y302:Y337,Z302:Z337)/AH338)</f>
        <v/>
      </c>
      <c r="AJ338" s="40">
        <f>IF(OR($A338="",AF338&lt;MIN_OBS_ROLL),"",SUMPRODUCT(AA302:AA337,AB302:AB337)/AF338)</f>
        <v/>
      </c>
      <c r="AK338" s="40">
        <f>IF(OR(AE338="",AG338=""),"",AE338/AG338)</f>
        <v/>
      </c>
      <c r="AL338" s="40">
        <f>IF(OR(AI338="",AK338="",AJ338=""),"",AI338-AK338*AJ338)</f>
        <v/>
      </c>
      <c r="AM338" s="40">
        <f>IF(AND(ISNUMBER(W338),ISNUMBER(X338),ISNUMBER(AK338),ISNUMBER(AL338)),W338-(AL338+AK338*X338),"")</f>
        <v/>
      </c>
      <c r="AN338" s="38">
        <f>IF(ISNUMBER(AM338),1,0)</f>
        <v/>
      </c>
      <c r="AO338" s="40">
        <f>IF(AN338=1,AM338,0)</f>
        <v/>
      </c>
      <c r="AP338" s="40">
        <f>IF(SUM(AN336:AN338)=3,SUM(AO336:AO338),"")</f>
        <v/>
      </c>
      <c r="AQ338" s="38">
        <f>IF(ISNUMBER(AP338),1,0)</f>
        <v/>
      </c>
      <c r="AR338" s="40">
        <f>IF(AQ338=1,AP338,0)</f>
        <v/>
      </c>
      <c r="AS338" s="38">
        <f>SUM(AQ$5:AQ338)</f>
        <v/>
      </c>
      <c r="AT338" s="40">
        <f>IF(AS338&gt;=MIN_OBS_Z,SUMPRODUCT(AQ$5:AQ338,AR$5:AR338)/AS338,"")</f>
        <v/>
      </c>
      <c r="AU338" s="40">
        <f>IF(AS338&gt;=MIN_OBS_Z,SQRT(SUMPRODUCT(AQ$5:AQ338,(AR$5:AR338-AT338)^2)/(AS338-1)),"")</f>
        <v/>
      </c>
      <c r="AV338" s="40">
        <f>IF(AND(AQ338=1,ISNUMBER(AT338)),MAX(-Z_CLIP,MIN(Z_CLIP,(AR338-AT338)/AU338)),"")</f>
        <v/>
      </c>
      <c r="AW338" s="40">
        <f>IF(ISNUMBER(AV338),-AV338,"")</f>
        <v/>
      </c>
      <c r="AX338" s="40">
        <f>IF(ISNUMBER(AW338),1+AMPLITUD*TANH(AW338),"")</f>
        <v/>
      </c>
      <c r="AY338" s="40">
        <f>IF($A338="","",IF(COUNT(AX336:AX338)&gt;0,AVERAGE(AX336:AX338),""))</f>
        <v/>
      </c>
      <c r="AZ338" s="40">
        <f>IF(ISNUMBER(AY338),AY338-1,"")</f>
        <v/>
      </c>
      <c r="BA338" s="40">
        <f>IF(AND(ISNUMBER(AZ337),ISNUMBER(W338)),AZ337*W_BANCOS*W338,"")</f>
        <v/>
      </c>
      <c r="BB338" s="40">
        <f>IF(AND(ISNUMBER(AZ337),ISNUMBER(AZ336)),ABS(AZ337-AZ336)*W_BANCOS*COSTO,0)</f>
        <v/>
      </c>
      <c r="BC338" s="40">
        <f>IF(ISNUMBER(BA338),BA338-BB338,"")</f>
        <v/>
      </c>
      <c r="BD338" s="42">
        <f>IF(ISNUMBER(BC338),IF(A338&lt;=FECHA_ERA,"A","B"),"")</f>
        <v/>
      </c>
      <c r="BE338" s="40">
        <f>IF(BD338="A",BC338,"")</f>
        <v/>
      </c>
      <c r="BF338" s="40">
        <f>IF(BD338="B",BC338,"")</f>
        <v/>
      </c>
      <c r="BG338" s="38">
        <f>IF(AND(ISNUMBER(BC338),ISNUMBER(A338)),IF(A338&gt;=INICIO_VIVO,1,0),0)</f>
        <v/>
      </c>
      <c r="BH338" s="40">
        <f>IF(BG338=1,BC338,"")</f>
        <v/>
      </c>
      <c r="BI338" s="38">
        <f>IF(ISNUMBER(AY338),ROW(),0)</f>
        <v/>
      </c>
      <c r="BJ338" s="43">
        <f>IF(ISNUMBER(BC338),SUM(BC$5:BC338)*10000,NA())</f>
        <v/>
      </c>
      <c r="BK338" s="43">
        <f>IF(BG338=1,SUM(BH$5:BH338)*10000,NA())</f>
        <v/>
      </c>
      <c r="BL338" s="44">
        <f>IF(ISNUMBER(AY338),AY338,NA())</f>
        <v/>
      </c>
    </row>
    <row r="339">
      <c r="A339" s="36">
        <f>IF(Datos!A339="","",Datos!A339)</f>
        <v/>
      </c>
      <c r="B339" s="37">
        <f>IF(OR($A339="",NOT(ISNUMBER(Datos!B339)),NOT(ISNUMBER(Datos!B338))),"",Datos!B339/Datos!B338-1)</f>
        <v/>
      </c>
      <c r="C339" s="37">
        <f>IF(OR($A339="",NOT(ISNUMBER(Datos!C339)),NOT(ISNUMBER(Datos!C338))),"",Datos!C339/Datos!C338-1)</f>
        <v/>
      </c>
      <c r="D339" s="37">
        <f>IF(OR($A339="",NOT(ISNUMBER(Datos!D339)),NOT(ISNUMBER(Datos!D338))),"",Datos!D339/Datos!D338-1)</f>
        <v/>
      </c>
      <c r="E339" s="37">
        <f>IF(OR($A339="",NOT(ISNUMBER(Datos!E339)),NOT(ISNUMBER(Datos!E338))),"",Datos!E339/Datos!E338-1)</f>
        <v/>
      </c>
      <c r="F339" s="38">
        <f>IF($A339="","",COUNT(B339:E339))</f>
        <v/>
      </c>
      <c r="G339" s="37">
        <f>IF($A339="","",IF(F339&gt;=MIN_BANCOS,AVERAGE(B339:E339),""))</f>
        <v/>
      </c>
      <c r="H339" s="37">
        <f>IF(OR($A339="",NOT(ISNUMBER(Datos!F339)),NOT(ISNUMBER(Datos!F338))),"",Datos!F339/Datos!F338-1)</f>
        <v/>
      </c>
      <c r="I339" s="39">
        <f>IF($A339="","",IF(ISNUMBER(Datos!G339),Datos!G339,I338))</f>
        <v/>
      </c>
      <c r="J339" s="40">
        <f>IF($A339="","",IF(ISNUMBER(I338),LN(1+I338/100/12),0))</f>
        <v/>
      </c>
      <c r="K339" s="40">
        <f>IF(ISNUMBER(G339),LN(1+G339)-J339,"")</f>
        <v/>
      </c>
      <c r="L339" s="40">
        <f>IF(ISNUMBER(H339),LN(1+H339)-J339,"")</f>
        <v/>
      </c>
      <c r="M339" s="38">
        <f>IF(ISNUMBER(K339),1,0)</f>
        <v/>
      </c>
      <c r="N339" s="40">
        <f>IF(M339=1,K339,0)</f>
        <v/>
      </c>
      <c r="O339" s="38">
        <f>IF(ISNUMBER(L339),1,0)</f>
        <v/>
      </c>
      <c r="P339" s="40">
        <f>IF(O339=1,L339,0)</f>
        <v/>
      </c>
      <c r="Q339" s="38">
        <f>M339*O339</f>
        <v/>
      </c>
      <c r="R339" s="38">
        <f>SUM(Q303:Q338)</f>
        <v/>
      </c>
      <c r="S339" s="41">
        <f>IF(OR($A339="",R339&lt;MIN_OBS_ROLL),"",(SUMPRODUCT(Q303:Q338,N303:N338,P303:P338)/R339-SUMPRODUCT(Q303:Q338,N303:N338)/R339*SUMPRODUCT(Q303:Q338,P303:P338)/R339)*R339/(R339-1))</f>
        <v/>
      </c>
      <c r="T339" s="38">
        <f>SUM(O303:O338)</f>
        <v/>
      </c>
      <c r="U339" s="41">
        <f>IF(OR($A339="",T339&lt;MIN_OBS_ROLL),"",SUMPRODUCT(O303:O338,(P303:P338-SUMPRODUCT(O303:O338,P303:P338)/T339)^2)/(T339-1))</f>
        <v/>
      </c>
      <c r="V339" s="40">
        <f>IF(OR(S339="",U339=""),"",S339/U339)</f>
        <v/>
      </c>
      <c r="W339" s="40">
        <f>IF(AND(ISNUMBER(K339),ISNUMBER(L339),ISNUMBER(V339)),K339-V339*L339,"")</f>
        <v/>
      </c>
      <c r="X339" s="40">
        <f>IF(OR($A339="",NOT(ISNUMBER(Datos!H339)),NOT(ISNUMBER(Datos!H338))),"",LN(Datos!H339)-LN(Datos!H338))</f>
        <v/>
      </c>
      <c r="Y339" s="38">
        <f>IF(ISNUMBER(W339),1,0)</f>
        <v/>
      </c>
      <c r="Z339" s="40">
        <f>IF(Y339=1,W339,0)</f>
        <v/>
      </c>
      <c r="AA339" s="38">
        <f>IF(ISNUMBER(X339),1,0)</f>
        <v/>
      </c>
      <c r="AB339" s="40">
        <f>IF(AA339=1,X339,0)</f>
        <v/>
      </c>
      <c r="AC339" s="38">
        <f>Y339*AA339</f>
        <v/>
      </c>
      <c r="AD339" s="38">
        <f>SUM(AC303:AC338)</f>
        <v/>
      </c>
      <c r="AE339" s="41">
        <f>IF(OR($A339="",AD339&lt;MIN_OBS_ROLL),"",(SUMPRODUCT(AC303:AC338,Z303:Z338,AB303:AB338)/AD339-SUMPRODUCT(AC303:AC338,Z303:Z338)/AD339*SUMPRODUCT(AC303:AC338,AB303:AB338)/AD339)*AD339/(AD339-1))</f>
        <v/>
      </c>
      <c r="AF339" s="38">
        <f>SUM(AA303:AA338)</f>
        <v/>
      </c>
      <c r="AG339" s="41">
        <f>IF(OR($A339="",AF339&lt;MIN_OBS_ROLL),"",SUMPRODUCT(AA303:AA338,(AB303:AB338-SUMPRODUCT(AA303:AA338,AB303:AB338)/AF339)^2)/(AF339-1))</f>
        <v/>
      </c>
      <c r="AH339" s="38">
        <f>SUM(Y303:Y338)</f>
        <v/>
      </c>
      <c r="AI339" s="40">
        <f>IF(OR($A339="",AH339&lt;MIN_OBS_ROLL),"",SUMPRODUCT(Y303:Y338,Z303:Z338)/AH339)</f>
        <v/>
      </c>
      <c r="AJ339" s="40">
        <f>IF(OR($A339="",AF339&lt;MIN_OBS_ROLL),"",SUMPRODUCT(AA303:AA338,AB303:AB338)/AF339)</f>
        <v/>
      </c>
      <c r="AK339" s="40">
        <f>IF(OR(AE339="",AG339=""),"",AE339/AG339)</f>
        <v/>
      </c>
      <c r="AL339" s="40">
        <f>IF(OR(AI339="",AK339="",AJ339=""),"",AI339-AK339*AJ339)</f>
        <v/>
      </c>
      <c r="AM339" s="40">
        <f>IF(AND(ISNUMBER(W339),ISNUMBER(X339),ISNUMBER(AK339),ISNUMBER(AL339)),W339-(AL339+AK339*X339),"")</f>
        <v/>
      </c>
      <c r="AN339" s="38">
        <f>IF(ISNUMBER(AM339),1,0)</f>
        <v/>
      </c>
      <c r="AO339" s="40">
        <f>IF(AN339=1,AM339,0)</f>
        <v/>
      </c>
      <c r="AP339" s="40">
        <f>IF(SUM(AN337:AN339)=3,SUM(AO337:AO339),"")</f>
        <v/>
      </c>
      <c r="AQ339" s="38">
        <f>IF(ISNUMBER(AP339),1,0)</f>
        <v/>
      </c>
      <c r="AR339" s="40">
        <f>IF(AQ339=1,AP339,0)</f>
        <v/>
      </c>
      <c r="AS339" s="38">
        <f>SUM(AQ$5:AQ339)</f>
        <v/>
      </c>
      <c r="AT339" s="40">
        <f>IF(AS339&gt;=MIN_OBS_Z,SUMPRODUCT(AQ$5:AQ339,AR$5:AR339)/AS339,"")</f>
        <v/>
      </c>
      <c r="AU339" s="40">
        <f>IF(AS339&gt;=MIN_OBS_Z,SQRT(SUMPRODUCT(AQ$5:AQ339,(AR$5:AR339-AT339)^2)/(AS339-1)),"")</f>
        <v/>
      </c>
      <c r="AV339" s="40">
        <f>IF(AND(AQ339=1,ISNUMBER(AT339)),MAX(-Z_CLIP,MIN(Z_CLIP,(AR339-AT339)/AU339)),"")</f>
        <v/>
      </c>
      <c r="AW339" s="40">
        <f>IF(ISNUMBER(AV339),-AV339,"")</f>
        <v/>
      </c>
      <c r="AX339" s="40">
        <f>IF(ISNUMBER(AW339),1+AMPLITUD*TANH(AW339),"")</f>
        <v/>
      </c>
      <c r="AY339" s="40">
        <f>IF($A339="","",IF(COUNT(AX337:AX339)&gt;0,AVERAGE(AX337:AX339),""))</f>
        <v/>
      </c>
      <c r="AZ339" s="40">
        <f>IF(ISNUMBER(AY339),AY339-1,"")</f>
        <v/>
      </c>
      <c r="BA339" s="40">
        <f>IF(AND(ISNUMBER(AZ338),ISNUMBER(W339)),AZ338*W_BANCOS*W339,"")</f>
        <v/>
      </c>
      <c r="BB339" s="40">
        <f>IF(AND(ISNUMBER(AZ338),ISNUMBER(AZ337)),ABS(AZ338-AZ337)*W_BANCOS*COSTO,0)</f>
        <v/>
      </c>
      <c r="BC339" s="40">
        <f>IF(ISNUMBER(BA339),BA339-BB339,"")</f>
        <v/>
      </c>
      <c r="BD339" s="42">
        <f>IF(ISNUMBER(BC339),IF(A339&lt;=FECHA_ERA,"A","B"),"")</f>
        <v/>
      </c>
      <c r="BE339" s="40">
        <f>IF(BD339="A",BC339,"")</f>
        <v/>
      </c>
      <c r="BF339" s="40">
        <f>IF(BD339="B",BC339,"")</f>
        <v/>
      </c>
      <c r="BG339" s="38">
        <f>IF(AND(ISNUMBER(BC339),ISNUMBER(A339)),IF(A339&gt;=INICIO_VIVO,1,0),0)</f>
        <v/>
      </c>
      <c r="BH339" s="40">
        <f>IF(BG339=1,BC339,"")</f>
        <v/>
      </c>
      <c r="BI339" s="38">
        <f>IF(ISNUMBER(AY339),ROW(),0)</f>
        <v/>
      </c>
      <c r="BJ339" s="43">
        <f>IF(ISNUMBER(BC339),SUM(BC$5:BC339)*10000,NA())</f>
        <v/>
      </c>
      <c r="BK339" s="43">
        <f>IF(BG339=1,SUM(BH$5:BH339)*10000,NA())</f>
        <v/>
      </c>
      <c r="BL339" s="44">
        <f>IF(ISNUMBER(AY339),AY339,NA())</f>
        <v/>
      </c>
    </row>
    <row r="340">
      <c r="A340" s="36">
        <f>IF(Datos!A340="","",Datos!A340)</f>
        <v/>
      </c>
      <c r="B340" s="37">
        <f>IF(OR($A340="",NOT(ISNUMBER(Datos!B340)),NOT(ISNUMBER(Datos!B339))),"",Datos!B340/Datos!B339-1)</f>
        <v/>
      </c>
      <c r="C340" s="37">
        <f>IF(OR($A340="",NOT(ISNUMBER(Datos!C340)),NOT(ISNUMBER(Datos!C339))),"",Datos!C340/Datos!C339-1)</f>
        <v/>
      </c>
      <c r="D340" s="37">
        <f>IF(OR($A340="",NOT(ISNUMBER(Datos!D340)),NOT(ISNUMBER(Datos!D339))),"",Datos!D340/Datos!D339-1)</f>
        <v/>
      </c>
      <c r="E340" s="37">
        <f>IF(OR($A340="",NOT(ISNUMBER(Datos!E340)),NOT(ISNUMBER(Datos!E339))),"",Datos!E340/Datos!E339-1)</f>
        <v/>
      </c>
      <c r="F340" s="38">
        <f>IF($A340="","",COUNT(B340:E340))</f>
        <v/>
      </c>
      <c r="G340" s="37">
        <f>IF($A340="","",IF(F340&gt;=MIN_BANCOS,AVERAGE(B340:E340),""))</f>
        <v/>
      </c>
      <c r="H340" s="37">
        <f>IF(OR($A340="",NOT(ISNUMBER(Datos!F340)),NOT(ISNUMBER(Datos!F339))),"",Datos!F340/Datos!F339-1)</f>
        <v/>
      </c>
      <c r="I340" s="39">
        <f>IF($A340="","",IF(ISNUMBER(Datos!G340),Datos!G340,I339))</f>
        <v/>
      </c>
      <c r="J340" s="40">
        <f>IF($A340="","",IF(ISNUMBER(I339),LN(1+I339/100/12),0))</f>
        <v/>
      </c>
      <c r="K340" s="40">
        <f>IF(ISNUMBER(G340),LN(1+G340)-J340,"")</f>
        <v/>
      </c>
      <c r="L340" s="40">
        <f>IF(ISNUMBER(H340),LN(1+H340)-J340,"")</f>
        <v/>
      </c>
      <c r="M340" s="38">
        <f>IF(ISNUMBER(K340),1,0)</f>
        <v/>
      </c>
      <c r="N340" s="40">
        <f>IF(M340=1,K340,0)</f>
        <v/>
      </c>
      <c r="O340" s="38">
        <f>IF(ISNUMBER(L340),1,0)</f>
        <v/>
      </c>
      <c r="P340" s="40">
        <f>IF(O340=1,L340,0)</f>
        <v/>
      </c>
      <c r="Q340" s="38">
        <f>M340*O340</f>
        <v/>
      </c>
      <c r="R340" s="38">
        <f>SUM(Q304:Q339)</f>
        <v/>
      </c>
      <c r="S340" s="41">
        <f>IF(OR($A340="",R340&lt;MIN_OBS_ROLL),"",(SUMPRODUCT(Q304:Q339,N304:N339,P304:P339)/R340-SUMPRODUCT(Q304:Q339,N304:N339)/R340*SUMPRODUCT(Q304:Q339,P304:P339)/R340)*R340/(R340-1))</f>
        <v/>
      </c>
      <c r="T340" s="38">
        <f>SUM(O304:O339)</f>
        <v/>
      </c>
      <c r="U340" s="41">
        <f>IF(OR($A340="",T340&lt;MIN_OBS_ROLL),"",SUMPRODUCT(O304:O339,(P304:P339-SUMPRODUCT(O304:O339,P304:P339)/T340)^2)/(T340-1))</f>
        <v/>
      </c>
      <c r="V340" s="40">
        <f>IF(OR(S340="",U340=""),"",S340/U340)</f>
        <v/>
      </c>
      <c r="W340" s="40">
        <f>IF(AND(ISNUMBER(K340),ISNUMBER(L340),ISNUMBER(V340)),K340-V340*L340,"")</f>
        <v/>
      </c>
      <c r="X340" s="40">
        <f>IF(OR($A340="",NOT(ISNUMBER(Datos!H340)),NOT(ISNUMBER(Datos!H339))),"",LN(Datos!H340)-LN(Datos!H339))</f>
        <v/>
      </c>
      <c r="Y340" s="38">
        <f>IF(ISNUMBER(W340),1,0)</f>
        <v/>
      </c>
      <c r="Z340" s="40">
        <f>IF(Y340=1,W340,0)</f>
        <v/>
      </c>
      <c r="AA340" s="38">
        <f>IF(ISNUMBER(X340),1,0)</f>
        <v/>
      </c>
      <c r="AB340" s="40">
        <f>IF(AA340=1,X340,0)</f>
        <v/>
      </c>
      <c r="AC340" s="38">
        <f>Y340*AA340</f>
        <v/>
      </c>
      <c r="AD340" s="38">
        <f>SUM(AC304:AC339)</f>
        <v/>
      </c>
      <c r="AE340" s="41">
        <f>IF(OR($A340="",AD340&lt;MIN_OBS_ROLL),"",(SUMPRODUCT(AC304:AC339,Z304:Z339,AB304:AB339)/AD340-SUMPRODUCT(AC304:AC339,Z304:Z339)/AD340*SUMPRODUCT(AC304:AC339,AB304:AB339)/AD340)*AD340/(AD340-1))</f>
        <v/>
      </c>
      <c r="AF340" s="38">
        <f>SUM(AA304:AA339)</f>
        <v/>
      </c>
      <c r="AG340" s="41">
        <f>IF(OR($A340="",AF340&lt;MIN_OBS_ROLL),"",SUMPRODUCT(AA304:AA339,(AB304:AB339-SUMPRODUCT(AA304:AA339,AB304:AB339)/AF340)^2)/(AF340-1))</f>
        <v/>
      </c>
      <c r="AH340" s="38">
        <f>SUM(Y304:Y339)</f>
        <v/>
      </c>
      <c r="AI340" s="40">
        <f>IF(OR($A340="",AH340&lt;MIN_OBS_ROLL),"",SUMPRODUCT(Y304:Y339,Z304:Z339)/AH340)</f>
        <v/>
      </c>
      <c r="AJ340" s="40">
        <f>IF(OR($A340="",AF340&lt;MIN_OBS_ROLL),"",SUMPRODUCT(AA304:AA339,AB304:AB339)/AF340)</f>
        <v/>
      </c>
      <c r="AK340" s="40">
        <f>IF(OR(AE340="",AG340=""),"",AE340/AG340)</f>
        <v/>
      </c>
      <c r="AL340" s="40">
        <f>IF(OR(AI340="",AK340="",AJ340=""),"",AI340-AK340*AJ340)</f>
        <v/>
      </c>
      <c r="AM340" s="40">
        <f>IF(AND(ISNUMBER(W340),ISNUMBER(X340),ISNUMBER(AK340),ISNUMBER(AL340)),W340-(AL340+AK340*X340),"")</f>
        <v/>
      </c>
      <c r="AN340" s="38">
        <f>IF(ISNUMBER(AM340),1,0)</f>
        <v/>
      </c>
      <c r="AO340" s="40">
        <f>IF(AN340=1,AM340,0)</f>
        <v/>
      </c>
      <c r="AP340" s="40">
        <f>IF(SUM(AN338:AN340)=3,SUM(AO338:AO340),"")</f>
        <v/>
      </c>
      <c r="AQ340" s="38">
        <f>IF(ISNUMBER(AP340),1,0)</f>
        <v/>
      </c>
      <c r="AR340" s="40">
        <f>IF(AQ340=1,AP340,0)</f>
        <v/>
      </c>
      <c r="AS340" s="38">
        <f>SUM(AQ$5:AQ340)</f>
        <v/>
      </c>
      <c r="AT340" s="40">
        <f>IF(AS340&gt;=MIN_OBS_Z,SUMPRODUCT(AQ$5:AQ340,AR$5:AR340)/AS340,"")</f>
        <v/>
      </c>
      <c r="AU340" s="40">
        <f>IF(AS340&gt;=MIN_OBS_Z,SQRT(SUMPRODUCT(AQ$5:AQ340,(AR$5:AR340-AT340)^2)/(AS340-1)),"")</f>
        <v/>
      </c>
      <c r="AV340" s="40">
        <f>IF(AND(AQ340=1,ISNUMBER(AT340)),MAX(-Z_CLIP,MIN(Z_CLIP,(AR340-AT340)/AU340)),"")</f>
        <v/>
      </c>
      <c r="AW340" s="40">
        <f>IF(ISNUMBER(AV340),-AV340,"")</f>
        <v/>
      </c>
      <c r="AX340" s="40">
        <f>IF(ISNUMBER(AW340),1+AMPLITUD*TANH(AW340),"")</f>
        <v/>
      </c>
      <c r="AY340" s="40">
        <f>IF($A340="","",IF(COUNT(AX338:AX340)&gt;0,AVERAGE(AX338:AX340),""))</f>
        <v/>
      </c>
      <c r="AZ340" s="40">
        <f>IF(ISNUMBER(AY340),AY340-1,"")</f>
        <v/>
      </c>
      <c r="BA340" s="40">
        <f>IF(AND(ISNUMBER(AZ339),ISNUMBER(W340)),AZ339*W_BANCOS*W340,"")</f>
        <v/>
      </c>
      <c r="BB340" s="40">
        <f>IF(AND(ISNUMBER(AZ339),ISNUMBER(AZ338)),ABS(AZ339-AZ338)*W_BANCOS*COSTO,0)</f>
        <v/>
      </c>
      <c r="BC340" s="40">
        <f>IF(ISNUMBER(BA340),BA340-BB340,"")</f>
        <v/>
      </c>
      <c r="BD340" s="42">
        <f>IF(ISNUMBER(BC340),IF(A340&lt;=FECHA_ERA,"A","B"),"")</f>
        <v/>
      </c>
      <c r="BE340" s="40">
        <f>IF(BD340="A",BC340,"")</f>
        <v/>
      </c>
      <c r="BF340" s="40">
        <f>IF(BD340="B",BC340,"")</f>
        <v/>
      </c>
      <c r="BG340" s="38">
        <f>IF(AND(ISNUMBER(BC340),ISNUMBER(A340)),IF(A340&gt;=INICIO_VIVO,1,0),0)</f>
        <v/>
      </c>
      <c r="BH340" s="40">
        <f>IF(BG340=1,BC340,"")</f>
        <v/>
      </c>
      <c r="BI340" s="38">
        <f>IF(ISNUMBER(AY340),ROW(),0)</f>
        <v/>
      </c>
      <c r="BJ340" s="43">
        <f>IF(ISNUMBER(BC340),SUM(BC$5:BC340)*10000,NA())</f>
        <v/>
      </c>
      <c r="BK340" s="43">
        <f>IF(BG340=1,SUM(BH$5:BH340)*10000,NA())</f>
        <v/>
      </c>
      <c r="BL340" s="44">
        <f>IF(ISNUMBER(AY340),AY340,NA())</f>
        <v/>
      </c>
    </row>
    <row r="341">
      <c r="A341" s="36">
        <f>IF(Datos!A341="","",Datos!A341)</f>
        <v/>
      </c>
      <c r="B341" s="37">
        <f>IF(OR($A341="",NOT(ISNUMBER(Datos!B341)),NOT(ISNUMBER(Datos!B340))),"",Datos!B341/Datos!B340-1)</f>
        <v/>
      </c>
      <c r="C341" s="37">
        <f>IF(OR($A341="",NOT(ISNUMBER(Datos!C341)),NOT(ISNUMBER(Datos!C340))),"",Datos!C341/Datos!C340-1)</f>
        <v/>
      </c>
      <c r="D341" s="37">
        <f>IF(OR($A341="",NOT(ISNUMBER(Datos!D341)),NOT(ISNUMBER(Datos!D340))),"",Datos!D341/Datos!D340-1)</f>
        <v/>
      </c>
      <c r="E341" s="37">
        <f>IF(OR($A341="",NOT(ISNUMBER(Datos!E341)),NOT(ISNUMBER(Datos!E340))),"",Datos!E341/Datos!E340-1)</f>
        <v/>
      </c>
      <c r="F341" s="38">
        <f>IF($A341="","",COUNT(B341:E341))</f>
        <v/>
      </c>
      <c r="G341" s="37">
        <f>IF($A341="","",IF(F341&gt;=MIN_BANCOS,AVERAGE(B341:E341),""))</f>
        <v/>
      </c>
      <c r="H341" s="37">
        <f>IF(OR($A341="",NOT(ISNUMBER(Datos!F341)),NOT(ISNUMBER(Datos!F340))),"",Datos!F341/Datos!F340-1)</f>
        <v/>
      </c>
      <c r="I341" s="39">
        <f>IF($A341="","",IF(ISNUMBER(Datos!G341),Datos!G341,I340))</f>
        <v/>
      </c>
      <c r="J341" s="40">
        <f>IF($A341="","",IF(ISNUMBER(I340),LN(1+I340/100/12),0))</f>
        <v/>
      </c>
      <c r="K341" s="40">
        <f>IF(ISNUMBER(G341),LN(1+G341)-J341,"")</f>
        <v/>
      </c>
      <c r="L341" s="40">
        <f>IF(ISNUMBER(H341),LN(1+H341)-J341,"")</f>
        <v/>
      </c>
      <c r="M341" s="38">
        <f>IF(ISNUMBER(K341),1,0)</f>
        <v/>
      </c>
      <c r="N341" s="40">
        <f>IF(M341=1,K341,0)</f>
        <v/>
      </c>
      <c r="O341" s="38">
        <f>IF(ISNUMBER(L341),1,0)</f>
        <v/>
      </c>
      <c r="P341" s="40">
        <f>IF(O341=1,L341,0)</f>
        <v/>
      </c>
      <c r="Q341" s="38">
        <f>M341*O341</f>
        <v/>
      </c>
      <c r="R341" s="38">
        <f>SUM(Q305:Q340)</f>
        <v/>
      </c>
      <c r="S341" s="41">
        <f>IF(OR($A341="",R341&lt;MIN_OBS_ROLL),"",(SUMPRODUCT(Q305:Q340,N305:N340,P305:P340)/R341-SUMPRODUCT(Q305:Q340,N305:N340)/R341*SUMPRODUCT(Q305:Q340,P305:P340)/R341)*R341/(R341-1))</f>
        <v/>
      </c>
      <c r="T341" s="38">
        <f>SUM(O305:O340)</f>
        <v/>
      </c>
      <c r="U341" s="41">
        <f>IF(OR($A341="",T341&lt;MIN_OBS_ROLL),"",SUMPRODUCT(O305:O340,(P305:P340-SUMPRODUCT(O305:O340,P305:P340)/T341)^2)/(T341-1))</f>
        <v/>
      </c>
      <c r="V341" s="40">
        <f>IF(OR(S341="",U341=""),"",S341/U341)</f>
        <v/>
      </c>
      <c r="W341" s="40">
        <f>IF(AND(ISNUMBER(K341),ISNUMBER(L341),ISNUMBER(V341)),K341-V341*L341,"")</f>
        <v/>
      </c>
      <c r="X341" s="40">
        <f>IF(OR($A341="",NOT(ISNUMBER(Datos!H341)),NOT(ISNUMBER(Datos!H340))),"",LN(Datos!H341)-LN(Datos!H340))</f>
        <v/>
      </c>
      <c r="Y341" s="38">
        <f>IF(ISNUMBER(W341),1,0)</f>
        <v/>
      </c>
      <c r="Z341" s="40">
        <f>IF(Y341=1,W341,0)</f>
        <v/>
      </c>
      <c r="AA341" s="38">
        <f>IF(ISNUMBER(X341),1,0)</f>
        <v/>
      </c>
      <c r="AB341" s="40">
        <f>IF(AA341=1,X341,0)</f>
        <v/>
      </c>
      <c r="AC341" s="38">
        <f>Y341*AA341</f>
        <v/>
      </c>
      <c r="AD341" s="38">
        <f>SUM(AC305:AC340)</f>
        <v/>
      </c>
      <c r="AE341" s="41">
        <f>IF(OR($A341="",AD341&lt;MIN_OBS_ROLL),"",(SUMPRODUCT(AC305:AC340,Z305:Z340,AB305:AB340)/AD341-SUMPRODUCT(AC305:AC340,Z305:Z340)/AD341*SUMPRODUCT(AC305:AC340,AB305:AB340)/AD341)*AD341/(AD341-1))</f>
        <v/>
      </c>
      <c r="AF341" s="38">
        <f>SUM(AA305:AA340)</f>
        <v/>
      </c>
      <c r="AG341" s="41">
        <f>IF(OR($A341="",AF341&lt;MIN_OBS_ROLL),"",SUMPRODUCT(AA305:AA340,(AB305:AB340-SUMPRODUCT(AA305:AA340,AB305:AB340)/AF341)^2)/(AF341-1))</f>
        <v/>
      </c>
      <c r="AH341" s="38">
        <f>SUM(Y305:Y340)</f>
        <v/>
      </c>
      <c r="AI341" s="40">
        <f>IF(OR($A341="",AH341&lt;MIN_OBS_ROLL),"",SUMPRODUCT(Y305:Y340,Z305:Z340)/AH341)</f>
        <v/>
      </c>
      <c r="AJ341" s="40">
        <f>IF(OR($A341="",AF341&lt;MIN_OBS_ROLL),"",SUMPRODUCT(AA305:AA340,AB305:AB340)/AF341)</f>
        <v/>
      </c>
      <c r="AK341" s="40">
        <f>IF(OR(AE341="",AG341=""),"",AE341/AG341)</f>
        <v/>
      </c>
      <c r="AL341" s="40">
        <f>IF(OR(AI341="",AK341="",AJ341=""),"",AI341-AK341*AJ341)</f>
        <v/>
      </c>
      <c r="AM341" s="40">
        <f>IF(AND(ISNUMBER(W341),ISNUMBER(X341),ISNUMBER(AK341),ISNUMBER(AL341)),W341-(AL341+AK341*X341),"")</f>
        <v/>
      </c>
      <c r="AN341" s="38">
        <f>IF(ISNUMBER(AM341),1,0)</f>
        <v/>
      </c>
      <c r="AO341" s="40">
        <f>IF(AN341=1,AM341,0)</f>
        <v/>
      </c>
      <c r="AP341" s="40">
        <f>IF(SUM(AN339:AN341)=3,SUM(AO339:AO341),"")</f>
        <v/>
      </c>
      <c r="AQ341" s="38">
        <f>IF(ISNUMBER(AP341),1,0)</f>
        <v/>
      </c>
      <c r="AR341" s="40">
        <f>IF(AQ341=1,AP341,0)</f>
        <v/>
      </c>
      <c r="AS341" s="38">
        <f>SUM(AQ$5:AQ341)</f>
        <v/>
      </c>
      <c r="AT341" s="40">
        <f>IF(AS341&gt;=MIN_OBS_Z,SUMPRODUCT(AQ$5:AQ341,AR$5:AR341)/AS341,"")</f>
        <v/>
      </c>
      <c r="AU341" s="40">
        <f>IF(AS341&gt;=MIN_OBS_Z,SQRT(SUMPRODUCT(AQ$5:AQ341,(AR$5:AR341-AT341)^2)/(AS341-1)),"")</f>
        <v/>
      </c>
      <c r="AV341" s="40">
        <f>IF(AND(AQ341=1,ISNUMBER(AT341)),MAX(-Z_CLIP,MIN(Z_CLIP,(AR341-AT341)/AU341)),"")</f>
        <v/>
      </c>
      <c r="AW341" s="40">
        <f>IF(ISNUMBER(AV341),-AV341,"")</f>
        <v/>
      </c>
      <c r="AX341" s="40">
        <f>IF(ISNUMBER(AW341),1+AMPLITUD*TANH(AW341),"")</f>
        <v/>
      </c>
      <c r="AY341" s="40">
        <f>IF($A341="","",IF(COUNT(AX339:AX341)&gt;0,AVERAGE(AX339:AX341),""))</f>
        <v/>
      </c>
      <c r="AZ341" s="40">
        <f>IF(ISNUMBER(AY341),AY341-1,"")</f>
        <v/>
      </c>
      <c r="BA341" s="40">
        <f>IF(AND(ISNUMBER(AZ340),ISNUMBER(W341)),AZ340*W_BANCOS*W341,"")</f>
        <v/>
      </c>
      <c r="BB341" s="40">
        <f>IF(AND(ISNUMBER(AZ340),ISNUMBER(AZ339)),ABS(AZ340-AZ339)*W_BANCOS*COSTO,0)</f>
        <v/>
      </c>
      <c r="BC341" s="40">
        <f>IF(ISNUMBER(BA341),BA341-BB341,"")</f>
        <v/>
      </c>
      <c r="BD341" s="42">
        <f>IF(ISNUMBER(BC341),IF(A341&lt;=FECHA_ERA,"A","B"),"")</f>
        <v/>
      </c>
      <c r="BE341" s="40">
        <f>IF(BD341="A",BC341,"")</f>
        <v/>
      </c>
      <c r="BF341" s="40">
        <f>IF(BD341="B",BC341,"")</f>
        <v/>
      </c>
      <c r="BG341" s="38">
        <f>IF(AND(ISNUMBER(BC341),ISNUMBER(A341)),IF(A341&gt;=INICIO_VIVO,1,0),0)</f>
        <v/>
      </c>
      <c r="BH341" s="40">
        <f>IF(BG341=1,BC341,"")</f>
        <v/>
      </c>
      <c r="BI341" s="38">
        <f>IF(ISNUMBER(AY341),ROW(),0)</f>
        <v/>
      </c>
      <c r="BJ341" s="43">
        <f>IF(ISNUMBER(BC341),SUM(BC$5:BC341)*10000,NA())</f>
        <v/>
      </c>
      <c r="BK341" s="43">
        <f>IF(BG341=1,SUM(BH$5:BH341)*10000,NA())</f>
        <v/>
      </c>
      <c r="BL341" s="44">
        <f>IF(ISNUMBER(AY341),AY341,NA())</f>
        <v/>
      </c>
    </row>
    <row r="342">
      <c r="A342" s="36">
        <f>IF(Datos!A342="","",Datos!A342)</f>
        <v/>
      </c>
      <c r="B342" s="37">
        <f>IF(OR($A342="",NOT(ISNUMBER(Datos!B342)),NOT(ISNUMBER(Datos!B341))),"",Datos!B342/Datos!B341-1)</f>
        <v/>
      </c>
      <c r="C342" s="37">
        <f>IF(OR($A342="",NOT(ISNUMBER(Datos!C342)),NOT(ISNUMBER(Datos!C341))),"",Datos!C342/Datos!C341-1)</f>
        <v/>
      </c>
      <c r="D342" s="37">
        <f>IF(OR($A342="",NOT(ISNUMBER(Datos!D342)),NOT(ISNUMBER(Datos!D341))),"",Datos!D342/Datos!D341-1)</f>
        <v/>
      </c>
      <c r="E342" s="37">
        <f>IF(OR($A342="",NOT(ISNUMBER(Datos!E342)),NOT(ISNUMBER(Datos!E341))),"",Datos!E342/Datos!E341-1)</f>
        <v/>
      </c>
      <c r="F342" s="38">
        <f>IF($A342="","",COUNT(B342:E342))</f>
        <v/>
      </c>
      <c r="G342" s="37">
        <f>IF($A342="","",IF(F342&gt;=MIN_BANCOS,AVERAGE(B342:E342),""))</f>
        <v/>
      </c>
      <c r="H342" s="37">
        <f>IF(OR($A342="",NOT(ISNUMBER(Datos!F342)),NOT(ISNUMBER(Datos!F341))),"",Datos!F342/Datos!F341-1)</f>
        <v/>
      </c>
      <c r="I342" s="39">
        <f>IF($A342="","",IF(ISNUMBER(Datos!G342),Datos!G342,I341))</f>
        <v/>
      </c>
      <c r="J342" s="40">
        <f>IF($A342="","",IF(ISNUMBER(I341),LN(1+I341/100/12),0))</f>
        <v/>
      </c>
      <c r="K342" s="40">
        <f>IF(ISNUMBER(G342),LN(1+G342)-J342,"")</f>
        <v/>
      </c>
      <c r="L342" s="40">
        <f>IF(ISNUMBER(H342),LN(1+H342)-J342,"")</f>
        <v/>
      </c>
      <c r="M342" s="38">
        <f>IF(ISNUMBER(K342),1,0)</f>
        <v/>
      </c>
      <c r="N342" s="40">
        <f>IF(M342=1,K342,0)</f>
        <v/>
      </c>
      <c r="O342" s="38">
        <f>IF(ISNUMBER(L342),1,0)</f>
        <v/>
      </c>
      <c r="P342" s="40">
        <f>IF(O342=1,L342,0)</f>
        <v/>
      </c>
      <c r="Q342" s="38">
        <f>M342*O342</f>
        <v/>
      </c>
      <c r="R342" s="38">
        <f>SUM(Q306:Q341)</f>
        <v/>
      </c>
      <c r="S342" s="41">
        <f>IF(OR($A342="",R342&lt;MIN_OBS_ROLL),"",(SUMPRODUCT(Q306:Q341,N306:N341,P306:P341)/R342-SUMPRODUCT(Q306:Q341,N306:N341)/R342*SUMPRODUCT(Q306:Q341,P306:P341)/R342)*R342/(R342-1))</f>
        <v/>
      </c>
      <c r="T342" s="38">
        <f>SUM(O306:O341)</f>
        <v/>
      </c>
      <c r="U342" s="41">
        <f>IF(OR($A342="",T342&lt;MIN_OBS_ROLL),"",SUMPRODUCT(O306:O341,(P306:P341-SUMPRODUCT(O306:O341,P306:P341)/T342)^2)/(T342-1))</f>
        <v/>
      </c>
      <c r="V342" s="40">
        <f>IF(OR(S342="",U342=""),"",S342/U342)</f>
        <v/>
      </c>
      <c r="W342" s="40">
        <f>IF(AND(ISNUMBER(K342),ISNUMBER(L342),ISNUMBER(V342)),K342-V342*L342,"")</f>
        <v/>
      </c>
      <c r="X342" s="40">
        <f>IF(OR($A342="",NOT(ISNUMBER(Datos!H342)),NOT(ISNUMBER(Datos!H341))),"",LN(Datos!H342)-LN(Datos!H341))</f>
        <v/>
      </c>
      <c r="Y342" s="38">
        <f>IF(ISNUMBER(W342),1,0)</f>
        <v/>
      </c>
      <c r="Z342" s="40">
        <f>IF(Y342=1,W342,0)</f>
        <v/>
      </c>
      <c r="AA342" s="38">
        <f>IF(ISNUMBER(X342),1,0)</f>
        <v/>
      </c>
      <c r="AB342" s="40">
        <f>IF(AA342=1,X342,0)</f>
        <v/>
      </c>
      <c r="AC342" s="38">
        <f>Y342*AA342</f>
        <v/>
      </c>
      <c r="AD342" s="38">
        <f>SUM(AC306:AC341)</f>
        <v/>
      </c>
      <c r="AE342" s="41">
        <f>IF(OR($A342="",AD342&lt;MIN_OBS_ROLL),"",(SUMPRODUCT(AC306:AC341,Z306:Z341,AB306:AB341)/AD342-SUMPRODUCT(AC306:AC341,Z306:Z341)/AD342*SUMPRODUCT(AC306:AC341,AB306:AB341)/AD342)*AD342/(AD342-1))</f>
        <v/>
      </c>
      <c r="AF342" s="38">
        <f>SUM(AA306:AA341)</f>
        <v/>
      </c>
      <c r="AG342" s="41">
        <f>IF(OR($A342="",AF342&lt;MIN_OBS_ROLL),"",SUMPRODUCT(AA306:AA341,(AB306:AB341-SUMPRODUCT(AA306:AA341,AB306:AB341)/AF342)^2)/(AF342-1))</f>
        <v/>
      </c>
      <c r="AH342" s="38">
        <f>SUM(Y306:Y341)</f>
        <v/>
      </c>
      <c r="AI342" s="40">
        <f>IF(OR($A342="",AH342&lt;MIN_OBS_ROLL),"",SUMPRODUCT(Y306:Y341,Z306:Z341)/AH342)</f>
        <v/>
      </c>
      <c r="AJ342" s="40">
        <f>IF(OR($A342="",AF342&lt;MIN_OBS_ROLL),"",SUMPRODUCT(AA306:AA341,AB306:AB341)/AF342)</f>
        <v/>
      </c>
      <c r="AK342" s="40">
        <f>IF(OR(AE342="",AG342=""),"",AE342/AG342)</f>
        <v/>
      </c>
      <c r="AL342" s="40">
        <f>IF(OR(AI342="",AK342="",AJ342=""),"",AI342-AK342*AJ342)</f>
        <v/>
      </c>
      <c r="AM342" s="40">
        <f>IF(AND(ISNUMBER(W342),ISNUMBER(X342),ISNUMBER(AK342),ISNUMBER(AL342)),W342-(AL342+AK342*X342),"")</f>
        <v/>
      </c>
      <c r="AN342" s="38">
        <f>IF(ISNUMBER(AM342),1,0)</f>
        <v/>
      </c>
      <c r="AO342" s="40">
        <f>IF(AN342=1,AM342,0)</f>
        <v/>
      </c>
      <c r="AP342" s="40">
        <f>IF(SUM(AN340:AN342)=3,SUM(AO340:AO342),"")</f>
        <v/>
      </c>
      <c r="AQ342" s="38">
        <f>IF(ISNUMBER(AP342),1,0)</f>
        <v/>
      </c>
      <c r="AR342" s="40">
        <f>IF(AQ342=1,AP342,0)</f>
        <v/>
      </c>
      <c r="AS342" s="38">
        <f>SUM(AQ$5:AQ342)</f>
        <v/>
      </c>
      <c r="AT342" s="40">
        <f>IF(AS342&gt;=MIN_OBS_Z,SUMPRODUCT(AQ$5:AQ342,AR$5:AR342)/AS342,"")</f>
        <v/>
      </c>
      <c r="AU342" s="40">
        <f>IF(AS342&gt;=MIN_OBS_Z,SQRT(SUMPRODUCT(AQ$5:AQ342,(AR$5:AR342-AT342)^2)/(AS342-1)),"")</f>
        <v/>
      </c>
      <c r="AV342" s="40">
        <f>IF(AND(AQ342=1,ISNUMBER(AT342)),MAX(-Z_CLIP,MIN(Z_CLIP,(AR342-AT342)/AU342)),"")</f>
        <v/>
      </c>
      <c r="AW342" s="40">
        <f>IF(ISNUMBER(AV342),-AV342,"")</f>
        <v/>
      </c>
      <c r="AX342" s="40">
        <f>IF(ISNUMBER(AW342),1+AMPLITUD*TANH(AW342),"")</f>
        <v/>
      </c>
      <c r="AY342" s="40">
        <f>IF($A342="","",IF(COUNT(AX340:AX342)&gt;0,AVERAGE(AX340:AX342),""))</f>
        <v/>
      </c>
      <c r="AZ342" s="40">
        <f>IF(ISNUMBER(AY342),AY342-1,"")</f>
        <v/>
      </c>
      <c r="BA342" s="40">
        <f>IF(AND(ISNUMBER(AZ341),ISNUMBER(W342)),AZ341*W_BANCOS*W342,"")</f>
        <v/>
      </c>
      <c r="BB342" s="40">
        <f>IF(AND(ISNUMBER(AZ341),ISNUMBER(AZ340)),ABS(AZ341-AZ340)*W_BANCOS*COSTO,0)</f>
        <v/>
      </c>
      <c r="BC342" s="40">
        <f>IF(ISNUMBER(BA342),BA342-BB342,"")</f>
        <v/>
      </c>
      <c r="BD342" s="42">
        <f>IF(ISNUMBER(BC342),IF(A342&lt;=FECHA_ERA,"A","B"),"")</f>
        <v/>
      </c>
      <c r="BE342" s="40">
        <f>IF(BD342="A",BC342,"")</f>
        <v/>
      </c>
      <c r="BF342" s="40">
        <f>IF(BD342="B",BC342,"")</f>
        <v/>
      </c>
      <c r="BG342" s="38">
        <f>IF(AND(ISNUMBER(BC342),ISNUMBER(A342)),IF(A342&gt;=INICIO_VIVO,1,0),0)</f>
        <v/>
      </c>
      <c r="BH342" s="40">
        <f>IF(BG342=1,BC342,"")</f>
        <v/>
      </c>
      <c r="BI342" s="38">
        <f>IF(ISNUMBER(AY342),ROW(),0)</f>
        <v/>
      </c>
      <c r="BJ342" s="43">
        <f>IF(ISNUMBER(BC342),SUM(BC$5:BC342)*10000,NA())</f>
        <v/>
      </c>
      <c r="BK342" s="43">
        <f>IF(BG342=1,SUM(BH$5:BH342)*10000,NA())</f>
        <v/>
      </c>
      <c r="BL342" s="44">
        <f>IF(ISNUMBER(AY342),AY342,NA())</f>
        <v/>
      </c>
    </row>
    <row r="343">
      <c r="A343" s="36">
        <f>IF(Datos!A343="","",Datos!A343)</f>
        <v/>
      </c>
      <c r="B343" s="37">
        <f>IF(OR($A343="",NOT(ISNUMBER(Datos!B343)),NOT(ISNUMBER(Datos!B342))),"",Datos!B343/Datos!B342-1)</f>
        <v/>
      </c>
      <c r="C343" s="37">
        <f>IF(OR($A343="",NOT(ISNUMBER(Datos!C343)),NOT(ISNUMBER(Datos!C342))),"",Datos!C343/Datos!C342-1)</f>
        <v/>
      </c>
      <c r="D343" s="37">
        <f>IF(OR($A343="",NOT(ISNUMBER(Datos!D343)),NOT(ISNUMBER(Datos!D342))),"",Datos!D343/Datos!D342-1)</f>
        <v/>
      </c>
      <c r="E343" s="37">
        <f>IF(OR($A343="",NOT(ISNUMBER(Datos!E343)),NOT(ISNUMBER(Datos!E342))),"",Datos!E343/Datos!E342-1)</f>
        <v/>
      </c>
      <c r="F343" s="38">
        <f>IF($A343="","",COUNT(B343:E343))</f>
        <v/>
      </c>
      <c r="G343" s="37">
        <f>IF($A343="","",IF(F343&gt;=MIN_BANCOS,AVERAGE(B343:E343),""))</f>
        <v/>
      </c>
      <c r="H343" s="37">
        <f>IF(OR($A343="",NOT(ISNUMBER(Datos!F343)),NOT(ISNUMBER(Datos!F342))),"",Datos!F343/Datos!F342-1)</f>
        <v/>
      </c>
      <c r="I343" s="39">
        <f>IF($A343="","",IF(ISNUMBER(Datos!G343),Datos!G343,I342))</f>
        <v/>
      </c>
      <c r="J343" s="40">
        <f>IF($A343="","",IF(ISNUMBER(I342),LN(1+I342/100/12),0))</f>
        <v/>
      </c>
      <c r="K343" s="40">
        <f>IF(ISNUMBER(G343),LN(1+G343)-J343,"")</f>
        <v/>
      </c>
      <c r="L343" s="40">
        <f>IF(ISNUMBER(H343),LN(1+H343)-J343,"")</f>
        <v/>
      </c>
      <c r="M343" s="38">
        <f>IF(ISNUMBER(K343),1,0)</f>
        <v/>
      </c>
      <c r="N343" s="40">
        <f>IF(M343=1,K343,0)</f>
        <v/>
      </c>
      <c r="O343" s="38">
        <f>IF(ISNUMBER(L343),1,0)</f>
        <v/>
      </c>
      <c r="P343" s="40">
        <f>IF(O343=1,L343,0)</f>
        <v/>
      </c>
      <c r="Q343" s="38">
        <f>M343*O343</f>
        <v/>
      </c>
      <c r="R343" s="38">
        <f>SUM(Q307:Q342)</f>
        <v/>
      </c>
      <c r="S343" s="41">
        <f>IF(OR($A343="",R343&lt;MIN_OBS_ROLL),"",(SUMPRODUCT(Q307:Q342,N307:N342,P307:P342)/R343-SUMPRODUCT(Q307:Q342,N307:N342)/R343*SUMPRODUCT(Q307:Q342,P307:P342)/R343)*R343/(R343-1))</f>
        <v/>
      </c>
      <c r="T343" s="38">
        <f>SUM(O307:O342)</f>
        <v/>
      </c>
      <c r="U343" s="41">
        <f>IF(OR($A343="",T343&lt;MIN_OBS_ROLL),"",SUMPRODUCT(O307:O342,(P307:P342-SUMPRODUCT(O307:O342,P307:P342)/T343)^2)/(T343-1))</f>
        <v/>
      </c>
      <c r="V343" s="40">
        <f>IF(OR(S343="",U343=""),"",S343/U343)</f>
        <v/>
      </c>
      <c r="W343" s="40">
        <f>IF(AND(ISNUMBER(K343),ISNUMBER(L343),ISNUMBER(V343)),K343-V343*L343,"")</f>
        <v/>
      </c>
      <c r="X343" s="40">
        <f>IF(OR($A343="",NOT(ISNUMBER(Datos!H343)),NOT(ISNUMBER(Datos!H342))),"",LN(Datos!H343)-LN(Datos!H342))</f>
        <v/>
      </c>
      <c r="Y343" s="38">
        <f>IF(ISNUMBER(W343),1,0)</f>
        <v/>
      </c>
      <c r="Z343" s="40">
        <f>IF(Y343=1,W343,0)</f>
        <v/>
      </c>
      <c r="AA343" s="38">
        <f>IF(ISNUMBER(X343),1,0)</f>
        <v/>
      </c>
      <c r="AB343" s="40">
        <f>IF(AA343=1,X343,0)</f>
        <v/>
      </c>
      <c r="AC343" s="38">
        <f>Y343*AA343</f>
        <v/>
      </c>
      <c r="AD343" s="38">
        <f>SUM(AC307:AC342)</f>
        <v/>
      </c>
      <c r="AE343" s="41">
        <f>IF(OR($A343="",AD343&lt;MIN_OBS_ROLL),"",(SUMPRODUCT(AC307:AC342,Z307:Z342,AB307:AB342)/AD343-SUMPRODUCT(AC307:AC342,Z307:Z342)/AD343*SUMPRODUCT(AC307:AC342,AB307:AB342)/AD343)*AD343/(AD343-1))</f>
        <v/>
      </c>
      <c r="AF343" s="38">
        <f>SUM(AA307:AA342)</f>
        <v/>
      </c>
      <c r="AG343" s="41">
        <f>IF(OR($A343="",AF343&lt;MIN_OBS_ROLL),"",SUMPRODUCT(AA307:AA342,(AB307:AB342-SUMPRODUCT(AA307:AA342,AB307:AB342)/AF343)^2)/(AF343-1))</f>
        <v/>
      </c>
      <c r="AH343" s="38">
        <f>SUM(Y307:Y342)</f>
        <v/>
      </c>
      <c r="AI343" s="40">
        <f>IF(OR($A343="",AH343&lt;MIN_OBS_ROLL),"",SUMPRODUCT(Y307:Y342,Z307:Z342)/AH343)</f>
        <v/>
      </c>
      <c r="AJ343" s="40">
        <f>IF(OR($A343="",AF343&lt;MIN_OBS_ROLL),"",SUMPRODUCT(AA307:AA342,AB307:AB342)/AF343)</f>
        <v/>
      </c>
      <c r="AK343" s="40">
        <f>IF(OR(AE343="",AG343=""),"",AE343/AG343)</f>
        <v/>
      </c>
      <c r="AL343" s="40">
        <f>IF(OR(AI343="",AK343="",AJ343=""),"",AI343-AK343*AJ343)</f>
        <v/>
      </c>
      <c r="AM343" s="40">
        <f>IF(AND(ISNUMBER(W343),ISNUMBER(X343),ISNUMBER(AK343),ISNUMBER(AL343)),W343-(AL343+AK343*X343),"")</f>
        <v/>
      </c>
      <c r="AN343" s="38">
        <f>IF(ISNUMBER(AM343),1,0)</f>
        <v/>
      </c>
      <c r="AO343" s="40">
        <f>IF(AN343=1,AM343,0)</f>
        <v/>
      </c>
      <c r="AP343" s="40">
        <f>IF(SUM(AN341:AN343)=3,SUM(AO341:AO343),"")</f>
        <v/>
      </c>
      <c r="AQ343" s="38">
        <f>IF(ISNUMBER(AP343),1,0)</f>
        <v/>
      </c>
      <c r="AR343" s="40">
        <f>IF(AQ343=1,AP343,0)</f>
        <v/>
      </c>
      <c r="AS343" s="38">
        <f>SUM(AQ$5:AQ343)</f>
        <v/>
      </c>
      <c r="AT343" s="40">
        <f>IF(AS343&gt;=MIN_OBS_Z,SUMPRODUCT(AQ$5:AQ343,AR$5:AR343)/AS343,"")</f>
        <v/>
      </c>
      <c r="AU343" s="40">
        <f>IF(AS343&gt;=MIN_OBS_Z,SQRT(SUMPRODUCT(AQ$5:AQ343,(AR$5:AR343-AT343)^2)/(AS343-1)),"")</f>
        <v/>
      </c>
      <c r="AV343" s="40">
        <f>IF(AND(AQ343=1,ISNUMBER(AT343)),MAX(-Z_CLIP,MIN(Z_CLIP,(AR343-AT343)/AU343)),"")</f>
        <v/>
      </c>
      <c r="AW343" s="40">
        <f>IF(ISNUMBER(AV343),-AV343,"")</f>
        <v/>
      </c>
      <c r="AX343" s="40">
        <f>IF(ISNUMBER(AW343),1+AMPLITUD*TANH(AW343),"")</f>
        <v/>
      </c>
      <c r="AY343" s="40">
        <f>IF($A343="","",IF(COUNT(AX341:AX343)&gt;0,AVERAGE(AX341:AX343),""))</f>
        <v/>
      </c>
      <c r="AZ343" s="40">
        <f>IF(ISNUMBER(AY343),AY343-1,"")</f>
        <v/>
      </c>
      <c r="BA343" s="40">
        <f>IF(AND(ISNUMBER(AZ342),ISNUMBER(W343)),AZ342*W_BANCOS*W343,"")</f>
        <v/>
      </c>
      <c r="BB343" s="40">
        <f>IF(AND(ISNUMBER(AZ342),ISNUMBER(AZ341)),ABS(AZ342-AZ341)*W_BANCOS*COSTO,0)</f>
        <v/>
      </c>
      <c r="BC343" s="40">
        <f>IF(ISNUMBER(BA343),BA343-BB343,"")</f>
        <v/>
      </c>
      <c r="BD343" s="42">
        <f>IF(ISNUMBER(BC343),IF(A343&lt;=FECHA_ERA,"A","B"),"")</f>
        <v/>
      </c>
      <c r="BE343" s="40">
        <f>IF(BD343="A",BC343,"")</f>
        <v/>
      </c>
      <c r="BF343" s="40">
        <f>IF(BD343="B",BC343,"")</f>
        <v/>
      </c>
      <c r="BG343" s="38">
        <f>IF(AND(ISNUMBER(BC343),ISNUMBER(A343)),IF(A343&gt;=INICIO_VIVO,1,0),0)</f>
        <v/>
      </c>
      <c r="BH343" s="40">
        <f>IF(BG343=1,BC343,"")</f>
        <v/>
      </c>
      <c r="BI343" s="38">
        <f>IF(ISNUMBER(AY343),ROW(),0)</f>
        <v/>
      </c>
      <c r="BJ343" s="43">
        <f>IF(ISNUMBER(BC343),SUM(BC$5:BC343)*10000,NA())</f>
        <v/>
      </c>
      <c r="BK343" s="43">
        <f>IF(BG343=1,SUM(BH$5:BH343)*10000,NA())</f>
        <v/>
      </c>
      <c r="BL343" s="44">
        <f>IF(ISNUMBER(AY343),AY343,NA())</f>
        <v/>
      </c>
    </row>
    <row r="344">
      <c r="A344" s="36">
        <f>IF(Datos!A344="","",Datos!A344)</f>
        <v/>
      </c>
      <c r="B344" s="37">
        <f>IF(OR($A344="",NOT(ISNUMBER(Datos!B344)),NOT(ISNUMBER(Datos!B343))),"",Datos!B344/Datos!B343-1)</f>
        <v/>
      </c>
      <c r="C344" s="37">
        <f>IF(OR($A344="",NOT(ISNUMBER(Datos!C344)),NOT(ISNUMBER(Datos!C343))),"",Datos!C344/Datos!C343-1)</f>
        <v/>
      </c>
      <c r="D344" s="37">
        <f>IF(OR($A344="",NOT(ISNUMBER(Datos!D344)),NOT(ISNUMBER(Datos!D343))),"",Datos!D344/Datos!D343-1)</f>
        <v/>
      </c>
      <c r="E344" s="37">
        <f>IF(OR($A344="",NOT(ISNUMBER(Datos!E344)),NOT(ISNUMBER(Datos!E343))),"",Datos!E344/Datos!E343-1)</f>
        <v/>
      </c>
      <c r="F344" s="38">
        <f>IF($A344="","",COUNT(B344:E344))</f>
        <v/>
      </c>
      <c r="G344" s="37">
        <f>IF($A344="","",IF(F344&gt;=MIN_BANCOS,AVERAGE(B344:E344),""))</f>
        <v/>
      </c>
      <c r="H344" s="37">
        <f>IF(OR($A344="",NOT(ISNUMBER(Datos!F344)),NOT(ISNUMBER(Datos!F343))),"",Datos!F344/Datos!F343-1)</f>
        <v/>
      </c>
      <c r="I344" s="39">
        <f>IF($A344="","",IF(ISNUMBER(Datos!G344),Datos!G344,I343))</f>
        <v/>
      </c>
      <c r="J344" s="40">
        <f>IF($A344="","",IF(ISNUMBER(I343),LN(1+I343/100/12),0))</f>
        <v/>
      </c>
      <c r="K344" s="40">
        <f>IF(ISNUMBER(G344),LN(1+G344)-J344,"")</f>
        <v/>
      </c>
      <c r="L344" s="40">
        <f>IF(ISNUMBER(H344),LN(1+H344)-J344,"")</f>
        <v/>
      </c>
      <c r="M344" s="38">
        <f>IF(ISNUMBER(K344),1,0)</f>
        <v/>
      </c>
      <c r="N344" s="40">
        <f>IF(M344=1,K344,0)</f>
        <v/>
      </c>
      <c r="O344" s="38">
        <f>IF(ISNUMBER(L344),1,0)</f>
        <v/>
      </c>
      <c r="P344" s="40">
        <f>IF(O344=1,L344,0)</f>
        <v/>
      </c>
      <c r="Q344" s="38">
        <f>M344*O344</f>
        <v/>
      </c>
      <c r="R344" s="38">
        <f>SUM(Q308:Q343)</f>
        <v/>
      </c>
      <c r="S344" s="41">
        <f>IF(OR($A344="",R344&lt;MIN_OBS_ROLL),"",(SUMPRODUCT(Q308:Q343,N308:N343,P308:P343)/R344-SUMPRODUCT(Q308:Q343,N308:N343)/R344*SUMPRODUCT(Q308:Q343,P308:P343)/R344)*R344/(R344-1))</f>
        <v/>
      </c>
      <c r="T344" s="38">
        <f>SUM(O308:O343)</f>
        <v/>
      </c>
      <c r="U344" s="41">
        <f>IF(OR($A344="",T344&lt;MIN_OBS_ROLL),"",SUMPRODUCT(O308:O343,(P308:P343-SUMPRODUCT(O308:O343,P308:P343)/T344)^2)/(T344-1))</f>
        <v/>
      </c>
      <c r="V344" s="40">
        <f>IF(OR(S344="",U344=""),"",S344/U344)</f>
        <v/>
      </c>
      <c r="W344" s="40">
        <f>IF(AND(ISNUMBER(K344),ISNUMBER(L344),ISNUMBER(V344)),K344-V344*L344,"")</f>
        <v/>
      </c>
      <c r="X344" s="40">
        <f>IF(OR($A344="",NOT(ISNUMBER(Datos!H344)),NOT(ISNUMBER(Datos!H343))),"",LN(Datos!H344)-LN(Datos!H343))</f>
        <v/>
      </c>
      <c r="Y344" s="38">
        <f>IF(ISNUMBER(W344),1,0)</f>
        <v/>
      </c>
      <c r="Z344" s="40">
        <f>IF(Y344=1,W344,0)</f>
        <v/>
      </c>
      <c r="AA344" s="38">
        <f>IF(ISNUMBER(X344),1,0)</f>
        <v/>
      </c>
      <c r="AB344" s="40">
        <f>IF(AA344=1,X344,0)</f>
        <v/>
      </c>
      <c r="AC344" s="38">
        <f>Y344*AA344</f>
        <v/>
      </c>
      <c r="AD344" s="38">
        <f>SUM(AC308:AC343)</f>
        <v/>
      </c>
      <c r="AE344" s="41">
        <f>IF(OR($A344="",AD344&lt;MIN_OBS_ROLL),"",(SUMPRODUCT(AC308:AC343,Z308:Z343,AB308:AB343)/AD344-SUMPRODUCT(AC308:AC343,Z308:Z343)/AD344*SUMPRODUCT(AC308:AC343,AB308:AB343)/AD344)*AD344/(AD344-1))</f>
        <v/>
      </c>
      <c r="AF344" s="38">
        <f>SUM(AA308:AA343)</f>
        <v/>
      </c>
      <c r="AG344" s="41">
        <f>IF(OR($A344="",AF344&lt;MIN_OBS_ROLL),"",SUMPRODUCT(AA308:AA343,(AB308:AB343-SUMPRODUCT(AA308:AA343,AB308:AB343)/AF344)^2)/(AF344-1))</f>
        <v/>
      </c>
      <c r="AH344" s="38">
        <f>SUM(Y308:Y343)</f>
        <v/>
      </c>
      <c r="AI344" s="40">
        <f>IF(OR($A344="",AH344&lt;MIN_OBS_ROLL),"",SUMPRODUCT(Y308:Y343,Z308:Z343)/AH344)</f>
        <v/>
      </c>
      <c r="AJ344" s="40">
        <f>IF(OR($A344="",AF344&lt;MIN_OBS_ROLL),"",SUMPRODUCT(AA308:AA343,AB308:AB343)/AF344)</f>
        <v/>
      </c>
      <c r="AK344" s="40">
        <f>IF(OR(AE344="",AG344=""),"",AE344/AG344)</f>
        <v/>
      </c>
      <c r="AL344" s="40">
        <f>IF(OR(AI344="",AK344="",AJ344=""),"",AI344-AK344*AJ344)</f>
        <v/>
      </c>
      <c r="AM344" s="40">
        <f>IF(AND(ISNUMBER(W344),ISNUMBER(X344),ISNUMBER(AK344),ISNUMBER(AL344)),W344-(AL344+AK344*X344),"")</f>
        <v/>
      </c>
      <c r="AN344" s="38">
        <f>IF(ISNUMBER(AM344),1,0)</f>
        <v/>
      </c>
      <c r="AO344" s="40">
        <f>IF(AN344=1,AM344,0)</f>
        <v/>
      </c>
      <c r="AP344" s="40">
        <f>IF(SUM(AN342:AN344)=3,SUM(AO342:AO344),"")</f>
        <v/>
      </c>
      <c r="AQ344" s="38">
        <f>IF(ISNUMBER(AP344),1,0)</f>
        <v/>
      </c>
      <c r="AR344" s="40">
        <f>IF(AQ344=1,AP344,0)</f>
        <v/>
      </c>
      <c r="AS344" s="38">
        <f>SUM(AQ$5:AQ344)</f>
        <v/>
      </c>
      <c r="AT344" s="40">
        <f>IF(AS344&gt;=MIN_OBS_Z,SUMPRODUCT(AQ$5:AQ344,AR$5:AR344)/AS344,"")</f>
        <v/>
      </c>
      <c r="AU344" s="40">
        <f>IF(AS344&gt;=MIN_OBS_Z,SQRT(SUMPRODUCT(AQ$5:AQ344,(AR$5:AR344-AT344)^2)/(AS344-1)),"")</f>
        <v/>
      </c>
      <c r="AV344" s="40">
        <f>IF(AND(AQ344=1,ISNUMBER(AT344)),MAX(-Z_CLIP,MIN(Z_CLIP,(AR344-AT344)/AU344)),"")</f>
        <v/>
      </c>
      <c r="AW344" s="40">
        <f>IF(ISNUMBER(AV344),-AV344,"")</f>
        <v/>
      </c>
      <c r="AX344" s="40">
        <f>IF(ISNUMBER(AW344),1+AMPLITUD*TANH(AW344),"")</f>
        <v/>
      </c>
      <c r="AY344" s="40">
        <f>IF($A344="","",IF(COUNT(AX342:AX344)&gt;0,AVERAGE(AX342:AX344),""))</f>
        <v/>
      </c>
      <c r="AZ344" s="40">
        <f>IF(ISNUMBER(AY344),AY344-1,"")</f>
        <v/>
      </c>
      <c r="BA344" s="40">
        <f>IF(AND(ISNUMBER(AZ343),ISNUMBER(W344)),AZ343*W_BANCOS*W344,"")</f>
        <v/>
      </c>
      <c r="BB344" s="40">
        <f>IF(AND(ISNUMBER(AZ343),ISNUMBER(AZ342)),ABS(AZ343-AZ342)*W_BANCOS*COSTO,0)</f>
        <v/>
      </c>
      <c r="BC344" s="40">
        <f>IF(ISNUMBER(BA344),BA344-BB344,"")</f>
        <v/>
      </c>
      <c r="BD344" s="42">
        <f>IF(ISNUMBER(BC344),IF(A344&lt;=FECHA_ERA,"A","B"),"")</f>
        <v/>
      </c>
      <c r="BE344" s="40">
        <f>IF(BD344="A",BC344,"")</f>
        <v/>
      </c>
      <c r="BF344" s="40">
        <f>IF(BD344="B",BC344,"")</f>
        <v/>
      </c>
      <c r="BG344" s="38">
        <f>IF(AND(ISNUMBER(BC344),ISNUMBER(A344)),IF(A344&gt;=INICIO_VIVO,1,0),0)</f>
        <v/>
      </c>
      <c r="BH344" s="40">
        <f>IF(BG344=1,BC344,"")</f>
        <v/>
      </c>
      <c r="BI344" s="38">
        <f>IF(ISNUMBER(AY344),ROW(),0)</f>
        <v/>
      </c>
      <c r="BJ344" s="43">
        <f>IF(ISNUMBER(BC344),SUM(BC$5:BC344)*10000,NA())</f>
        <v/>
      </c>
      <c r="BK344" s="43">
        <f>IF(BG344=1,SUM(BH$5:BH344)*10000,NA())</f>
        <v/>
      </c>
      <c r="BL344" s="44">
        <f>IF(ISNUMBER(AY344),AY344,NA())</f>
        <v/>
      </c>
    </row>
    <row r="345">
      <c r="A345" s="36">
        <f>IF(Datos!A345="","",Datos!A345)</f>
        <v/>
      </c>
      <c r="B345" s="37">
        <f>IF(OR($A345="",NOT(ISNUMBER(Datos!B345)),NOT(ISNUMBER(Datos!B344))),"",Datos!B345/Datos!B344-1)</f>
        <v/>
      </c>
      <c r="C345" s="37">
        <f>IF(OR($A345="",NOT(ISNUMBER(Datos!C345)),NOT(ISNUMBER(Datos!C344))),"",Datos!C345/Datos!C344-1)</f>
        <v/>
      </c>
      <c r="D345" s="37">
        <f>IF(OR($A345="",NOT(ISNUMBER(Datos!D345)),NOT(ISNUMBER(Datos!D344))),"",Datos!D345/Datos!D344-1)</f>
        <v/>
      </c>
      <c r="E345" s="37">
        <f>IF(OR($A345="",NOT(ISNUMBER(Datos!E345)),NOT(ISNUMBER(Datos!E344))),"",Datos!E345/Datos!E344-1)</f>
        <v/>
      </c>
      <c r="F345" s="38">
        <f>IF($A345="","",COUNT(B345:E345))</f>
        <v/>
      </c>
      <c r="G345" s="37">
        <f>IF($A345="","",IF(F345&gt;=MIN_BANCOS,AVERAGE(B345:E345),""))</f>
        <v/>
      </c>
      <c r="H345" s="37">
        <f>IF(OR($A345="",NOT(ISNUMBER(Datos!F345)),NOT(ISNUMBER(Datos!F344))),"",Datos!F345/Datos!F344-1)</f>
        <v/>
      </c>
      <c r="I345" s="39">
        <f>IF($A345="","",IF(ISNUMBER(Datos!G345),Datos!G345,I344))</f>
        <v/>
      </c>
      <c r="J345" s="40">
        <f>IF($A345="","",IF(ISNUMBER(I344),LN(1+I344/100/12),0))</f>
        <v/>
      </c>
      <c r="K345" s="40">
        <f>IF(ISNUMBER(G345),LN(1+G345)-J345,"")</f>
        <v/>
      </c>
      <c r="L345" s="40">
        <f>IF(ISNUMBER(H345),LN(1+H345)-J345,"")</f>
        <v/>
      </c>
      <c r="M345" s="38">
        <f>IF(ISNUMBER(K345),1,0)</f>
        <v/>
      </c>
      <c r="N345" s="40">
        <f>IF(M345=1,K345,0)</f>
        <v/>
      </c>
      <c r="O345" s="38">
        <f>IF(ISNUMBER(L345),1,0)</f>
        <v/>
      </c>
      <c r="P345" s="40">
        <f>IF(O345=1,L345,0)</f>
        <v/>
      </c>
      <c r="Q345" s="38">
        <f>M345*O345</f>
        <v/>
      </c>
      <c r="R345" s="38">
        <f>SUM(Q309:Q344)</f>
        <v/>
      </c>
      <c r="S345" s="41">
        <f>IF(OR($A345="",R345&lt;MIN_OBS_ROLL),"",(SUMPRODUCT(Q309:Q344,N309:N344,P309:P344)/R345-SUMPRODUCT(Q309:Q344,N309:N344)/R345*SUMPRODUCT(Q309:Q344,P309:P344)/R345)*R345/(R345-1))</f>
        <v/>
      </c>
      <c r="T345" s="38">
        <f>SUM(O309:O344)</f>
        <v/>
      </c>
      <c r="U345" s="41">
        <f>IF(OR($A345="",T345&lt;MIN_OBS_ROLL),"",SUMPRODUCT(O309:O344,(P309:P344-SUMPRODUCT(O309:O344,P309:P344)/T345)^2)/(T345-1))</f>
        <v/>
      </c>
      <c r="V345" s="40">
        <f>IF(OR(S345="",U345=""),"",S345/U345)</f>
        <v/>
      </c>
      <c r="W345" s="40">
        <f>IF(AND(ISNUMBER(K345),ISNUMBER(L345),ISNUMBER(V345)),K345-V345*L345,"")</f>
        <v/>
      </c>
      <c r="X345" s="40">
        <f>IF(OR($A345="",NOT(ISNUMBER(Datos!H345)),NOT(ISNUMBER(Datos!H344))),"",LN(Datos!H345)-LN(Datos!H344))</f>
        <v/>
      </c>
      <c r="Y345" s="38">
        <f>IF(ISNUMBER(W345),1,0)</f>
        <v/>
      </c>
      <c r="Z345" s="40">
        <f>IF(Y345=1,W345,0)</f>
        <v/>
      </c>
      <c r="AA345" s="38">
        <f>IF(ISNUMBER(X345),1,0)</f>
        <v/>
      </c>
      <c r="AB345" s="40">
        <f>IF(AA345=1,X345,0)</f>
        <v/>
      </c>
      <c r="AC345" s="38">
        <f>Y345*AA345</f>
        <v/>
      </c>
      <c r="AD345" s="38">
        <f>SUM(AC309:AC344)</f>
        <v/>
      </c>
      <c r="AE345" s="41">
        <f>IF(OR($A345="",AD345&lt;MIN_OBS_ROLL),"",(SUMPRODUCT(AC309:AC344,Z309:Z344,AB309:AB344)/AD345-SUMPRODUCT(AC309:AC344,Z309:Z344)/AD345*SUMPRODUCT(AC309:AC344,AB309:AB344)/AD345)*AD345/(AD345-1))</f>
        <v/>
      </c>
      <c r="AF345" s="38">
        <f>SUM(AA309:AA344)</f>
        <v/>
      </c>
      <c r="AG345" s="41">
        <f>IF(OR($A345="",AF345&lt;MIN_OBS_ROLL),"",SUMPRODUCT(AA309:AA344,(AB309:AB344-SUMPRODUCT(AA309:AA344,AB309:AB344)/AF345)^2)/(AF345-1))</f>
        <v/>
      </c>
      <c r="AH345" s="38">
        <f>SUM(Y309:Y344)</f>
        <v/>
      </c>
      <c r="AI345" s="40">
        <f>IF(OR($A345="",AH345&lt;MIN_OBS_ROLL),"",SUMPRODUCT(Y309:Y344,Z309:Z344)/AH345)</f>
        <v/>
      </c>
      <c r="AJ345" s="40">
        <f>IF(OR($A345="",AF345&lt;MIN_OBS_ROLL),"",SUMPRODUCT(AA309:AA344,AB309:AB344)/AF345)</f>
        <v/>
      </c>
      <c r="AK345" s="40">
        <f>IF(OR(AE345="",AG345=""),"",AE345/AG345)</f>
        <v/>
      </c>
      <c r="AL345" s="40">
        <f>IF(OR(AI345="",AK345="",AJ345=""),"",AI345-AK345*AJ345)</f>
        <v/>
      </c>
      <c r="AM345" s="40">
        <f>IF(AND(ISNUMBER(W345),ISNUMBER(X345),ISNUMBER(AK345),ISNUMBER(AL345)),W345-(AL345+AK345*X345),"")</f>
        <v/>
      </c>
      <c r="AN345" s="38">
        <f>IF(ISNUMBER(AM345),1,0)</f>
        <v/>
      </c>
      <c r="AO345" s="40">
        <f>IF(AN345=1,AM345,0)</f>
        <v/>
      </c>
      <c r="AP345" s="40">
        <f>IF(SUM(AN343:AN345)=3,SUM(AO343:AO345),"")</f>
        <v/>
      </c>
      <c r="AQ345" s="38">
        <f>IF(ISNUMBER(AP345),1,0)</f>
        <v/>
      </c>
      <c r="AR345" s="40">
        <f>IF(AQ345=1,AP345,0)</f>
        <v/>
      </c>
      <c r="AS345" s="38">
        <f>SUM(AQ$5:AQ345)</f>
        <v/>
      </c>
      <c r="AT345" s="40">
        <f>IF(AS345&gt;=MIN_OBS_Z,SUMPRODUCT(AQ$5:AQ345,AR$5:AR345)/AS345,"")</f>
        <v/>
      </c>
      <c r="AU345" s="40">
        <f>IF(AS345&gt;=MIN_OBS_Z,SQRT(SUMPRODUCT(AQ$5:AQ345,(AR$5:AR345-AT345)^2)/(AS345-1)),"")</f>
        <v/>
      </c>
      <c r="AV345" s="40">
        <f>IF(AND(AQ345=1,ISNUMBER(AT345)),MAX(-Z_CLIP,MIN(Z_CLIP,(AR345-AT345)/AU345)),"")</f>
        <v/>
      </c>
      <c r="AW345" s="40">
        <f>IF(ISNUMBER(AV345),-AV345,"")</f>
        <v/>
      </c>
      <c r="AX345" s="40">
        <f>IF(ISNUMBER(AW345),1+AMPLITUD*TANH(AW345),"")</f>
        <v/>
      </c>
      <c r="AY345" s="40">
        <f>IF($A345="","",IF(COUNT(AX343:AX345)&gt;0,AVERAGE(AX343:AX345),""))</f>
        <v/>
      </c>
      <c r="AZ345" s="40">
        <f>IF(ISNUMBER(AY345),AY345-1,"")</f>
        <v/>
      </c>
      <c r="BA345" s="40">
        <f>IF(AND(ISNUMBER(AZ344),ISNUMBER(W345)),AZ344*W_BANCOS*W345,"")</f>
        <v/>
      </c>
      <c r="BB345" s="40">
        <f>IF(AND(ISNUMBER(AZ344),ISNUMBER(AZ343)),ABS(AZ344-AZ343)*W_BANCOS*COSTO,0)</f>
        <v/>
      </c>
      <c r="BC345" s="40">
        <f>IF(ISNUMBER(BA345),BA345-BB345,"")</f>
        <v/>
      </c>
      <c r="BD345" s="42">
        <f>IF(ISNUMBER(BC345),IF(A345&lt;=FECHA_ERA,"A","B"),"")</f>
        <v/>
      </c>
      <c r="BE345" s="40">
        <f>IF(BD345="A",BC345,"")</f>
        <v/>
      </c>
      <c r="BF345" s="40">
        <f>IF(BD345="B",BC345,"")</f>
        <v/>
      </c>
      <c r="BG345" s="38">
        <f>IF(AND(ISNUMBER(BC345),ISNUMBER(A345)),IF(A345&gt;=INICIO_VIVO,1,0),0)</f>
        <v/>
      </c>
      <c r="BH345" s="40">
        <f>IF(BG345=1,BC345,"")</f>
        <v/>
      </c>
      <c r="BI345" s="38">
        <f>IF(ISNUMBER(AY345),ROW(),0)</f>
        <v/>
      </c>
      <c r="BJ345" s="43">
        <f>IF(ISNUMBER(BC345),SUM(BC$5:BC345)*10000,NA())</f>
        <v/>
      </c>
      <c r="BK345" s="43">
        <f>IF(BG345=1,SUM(BH$5:BH345)*10000,NA())</f>
        <v/>
      </c>
      <c r="BL345" s="44">
        <f>IF(ISNUMBER(AY345),AY345,NA())</f>
        <v/>
      </c>
    </row>
    <row r="346">
      <c r="A346" s="36">
        <f>IF(Datos!A346="","",Datos!A346)</f>
        <v/>
      </c>
      <c r="B346" s="37">
        <f>IF(OR($A346="",NOT(ISNUMBER(Datos!B346)),NOT(ISNUMBER(Datos!B345))),"",Datos!B346/Datos!B345-1)</f>
        <v/>
      </c>
      <c r="C346" s="37">
        <f>IF(OR($A346="",NOT(ISNUMBER(Datos!C346)),NOT(ISNUMBER(Datos!C345))),"",Datos!C346/Datos!C345-1)</f>
        <v/>
      </c>
      <c r="D346" s="37">
        <f>IF(OR($A346="",NOT(ISNUMBER(Datos!D346)),NOT(ISNUMBER(Datos!D345))),"",Datos!D346/Datos!D345-1)</f>
        <v/>
      </c>
      <c r="E346" s="37">
        <f>IF(OR($A346="",NOT(ISNUMBER(Datos!E346)),NOT(ISNUMBER(Datos!E345))),"",Datos!E346/Datos!E345-1)</f>
        <v/>
      </c>
      <c r="F346" s="38">
        <f>IF($A346="","",COUNT(B346:E346))</f>
        <v/>
      </c>
      <c r="G346" s="37">
        <f>IF($A346="","",IF(F346&gt;=MIN_BANCOS,AVERAGE(B346:E346),""))</f>
        <v/>
      </c>
      <c r="H346" s="37">
        <f>IF(OR($A346="",NOT(ISNUMBER(Datos!F346)),NOT(ISNUMBER(Datos!F345))),"",Datos!F346/Datos!F345-1)</f>
        <v/>
      </c>
      <c r="I346" s="39">
        <f>IF($A346="","",IF(ISNUMBER(Datos!G346),Datos!G346,I345))</f>
        <v/>
      </c>
      <c r="J346" s="40">
        <f>IF($A346="","",IF(ISNUMBER(I345),LN(1+I345/100/12),0))</f>
        <v/>
      </c>
      <c r="K346" s="40">
        <f>IF(ISNUMBER(G346),LN(1+G346)-J346,"")</f>
        <v/>
      </c>
      <c r="L346" s="40">
        <f>IF(ISNUMBER(H346),LN(1+H346)-J346,"")</f>
        <v/>
      </c>
      <c r="M346" s="38">
        <f>IF(ISNUMBER(K346),1,0)</f>
        <v/>
      </c>
      <c r="N346" s="40">
        <f>IF(M346=1,K346,0)</f>
        <v/>
      </c>
      <c r="O346" s="38">
        <f>IF(ISNUMBER(L346),1,0)</f>
        <v/>
      </c>
      <c r="P346" s="40">
        <f>IF(O346=1,L346,0)</f>
        <v/>
      </c>
      <c r="Q346" s="38">
        <f>M346*O346</f>
        <v/>
      </c>
      <c r="R346" s="38">
        <f>SUM(Q310:Q345)</f>
        <v/>
      </c>
      <c r="S346" s="41">
        <f>IF(OR($A346="",R346&lt;MIN_OBS_ROLL),"",(SUMPRODUCT(Q310:Q345,N310:N345,P310:P345)/R346-SUMPRODUCT(Q310:Q345,N310:N345)/R346*SUMPRODUCT(Q310:Q345,P310:P345)/R346)*R346/(R346-1))</f>
        <v/>
      </c>
      <c r="T346" s="38">
        <f>SUM(O310:O345)</f>
        <v/>
      </c>
      <c r="U346" s="41">
        <f>IF(OR($A346="",T346&lt;MIN_OBS_ROLL),"",SUMPRODUCT(O310:O345,(P310:P345-SUMPRODUCT(O310:O345,P310:P345)/T346)^2)/(T346-1))</f>
        <v/>
      </c>
      <c r="V346" s="40">
        <f>IF(OR(S346="",U346=""),"",S346/U346)</f>
        <v/>
      </c>
      <c r="W346" s="40">
        <f>IF(AND(ISNUMBER(K346),ISNUMBER(L346),ISNUMBER(V346)),K346-V346*L346,"")</f>
        <v/>
      </c>
      <c r="X346" s="40">
        <f>IF(OR($A346="",NOT(ISNUMBER(Datos!H346)),NOT(ISNUMBER(Datos!H345))),"",LN(Datos!H346)-LN(Datos!H345))</f>
        <v/>
      </c>
      <c r="Y346" s="38">
        <f>IF(ISNUMBER(W346),1,0)</f>
        <v/>
      </c>
      <c r="Z346" s="40">
        <f>IF(Y346=1,W346,0)</f>
        <v/>
      </c>
      <c r="AA346" s="38">
        <f>IF(ISNUMBER(X346),1,0)</f>
        <v/>
      </c>
      <c r="AB346" s="40">
        <f>IF(AA346=1,X346,0)</f>
        <v/>
      </c>
      <c r="AC346" s="38">
        <f>Y346*AA346</f>
        <v/>
      </c>
      <c r="AD346" s="38">
        <f>SUM(AC310:AC345)</f>
        <v/>
      </c>
      <c r="AE346" s="41">
        <f>IF(OR($A346="",AD346&lt;MIN_OBS_ROLL),"",(SUMPRODUCT(AC310:AC345,Z310:Z345,AB310:AB345)/AD346-SUMPRODUCT(AC310:AC345,Z310:Z345)/AD346*SUMPRODUCT(AC310:AC345,AB310:AB345)/AD346)*AD346/(AD346-1))</f>
        <v/>
      </c>
      <c r="AF346" s="38">
        <f>SUM(AA310:AA345)</f>
        <v/>
      </c>
      <c r="AG346" s="41">
        <f>IF(OR($A346="",AF346&lt;MIN_OBS_ROLL),"",SUMPRODUCT(AA310:AA345,(AB310:AB345-SUMPRODUCT(AA310:AA345,AB310:AB345)/AF346)^2)/(AF346-1))</f>
        <v/>
      </c>
      <c r="AH346" s="38">
        <f>SUM(Y310:Y345)</f>
        <v/>
      </c>
      <c r="AI346" s="40">
        <f>IF(OR($A346="",AH346&lt;MIN_OBS_ROLL),"",SUMPRODUCT(Y310:Y345,Z310:Z345)/AH346)</f>
        <v/>
      </c>
      <c r="AJ346" s="40">
        <f>IF(OR($A346="",AF346&lt;MIN_OBS_ROLL),"",SUMPRODUCT(AA310:AA345,AB310:AB345)/AF346)</f>
        <v/>
      </c>
      <c r="AK346" s="40">
        <f>IF(OR(AE346="",AG346=""),"",AE346/AG346)</f>
        <v/>
      </c>
      <c r="AL346" s="40">
        <f>IF(OR(AI346="",AK346="",AJ346=""),"",AI346-AK346*AJ346)</f>
        <v/>
      </c>
      <c r="AM346" s="40">
        <f>IF(AND(ISNUMBER(W346),ISNUMBER(X346),ISNUMBER(AK346),ISNUMBER(AL346)),W346-(AL346+AK346*X346),"")</f>
        <v/>
      </c>
      <c r="AN346" s="38">
        <f>IF(ISNUMBER(AM346),1,0)</f>
        <v/>
      </c>
      <c r="AO346" s="40">
        <f>IF(AN346=1,AM346,0)</f>
        <v/>
      </c>
      <c r="AP346" s="40">
        <f>IF(SUM(AN344:AN346)=3,SUM(AO344:AO346),"")</f>
        <v/>
      </c>
      <c r="AQ346" s="38">
        <f>IF(ISNUMBER(AP346),1,0)</f>
        <v/>
      </c>
      <c r="AR346" s="40">
        <f>IF(AQ346=1,AP346,0)</f>
        <v/>
      </c>
      <c r="AS346" s="38">
        <f>SUM(AQ$5:AQ346)</f>
        <v/>
      </c>
      <c r="AT346" s="40">
        <f>IF(AS346&gt;=MIN_OBS_Z,SUMPRODUCT(AQ$5:AQ346,AR$5:AR346)/AS346,"")</f>
        <v/>
      </c>
      <c r="AU346" s="40">
        <f>IF(AS346&gt;=MIN_OBS_Z,SQRT(SUMPRODUCT(AQ$5:AQ346,(AR$5:AR346-AT346)^2)/(AS346-1)),"")</f>
        <v/>
      </c>
      <c r="AV346" s="40">
        <f>IF(AND(AQ346=1,ISNUMBER(AT346)),MAX(-Z_CLIP,MIN(Z_CLIP,(AR346-AT346)/AU346)),"")</f>
        <v/>
      </c>
      <c r="AW346" s="40">
        <f>IF(ISNUMBER(AV346),-AV346,"")</f>
        <v/>
      </c>
      <c r="AX346" s="40">
        <f>IF(ISNUMBER(AW346),1+AMPLITUD*TANH(AW346),"")</f>
        <v/>
      </c>
      <c r="AY346" s="40">
        <f>IF($A346="","",IF(COUNT(AX344:AX346)&gt;0,AVERAGE(AX344:AX346),""))</f>
        <v/>
      </c>
      <c r="AZ346" s="40">
        <f>IF(ISNUMBER(AY346),AY346-1,"")</f>
        <v/>
      </c>
      <c r="BA346" s="40">
        <f>IF(AND(ISNUMBER(AZ345),ISNUMBER(W346)),AZ345*W_BANCOS*W346,"")</f>
        <v/>
      </c>
      <c r="BB346" s="40">
        <f>IF(AND(ISNUMBER(AZ345),ISNUMBER(AZ344)),ABS(AZ345-AZ344)*W_BANCOS*COSTO,0)</f>
        <v/>
      </c>
      <c r="BC346" s="40">
        <f>IF(ISNUMBER(BA346),BA346-BB346,"")</f>
        <v/>
      </c>
      <c r="BD346" s="42">
        <f>IF(ISNUMBER(BC346),IF(A346&lt;=FECHA_ERA,"A","B"),"")</f>
        <v/>
      </c>
      <c r="BE346" s="40">
        <f>IF(BD346="A",BC346,"")</f>
        <v/>
      </c>
      <c r="BF346" s="40">
        <f>IF(BD346="B",BC346,"")</f>
        <v/>
      </c>
      <c r="BG346" s="38">
        <f>IF(AND(ISNUMBER(BC346),ISNUMBER(A346)),IF(A346&gt;=INICIO_VIVO,1,0),0)</f>
        <v/>
      </c>
      <c r="BH346" s="40">
        <f>IF(BG346=1,BC346,"")</f>
        <v/>
      </c>
      <c r="BI346" s="38">
        <f>IF(ISNUMBER(AY346),ROW(),0)</f>
        <v/>
      </c>
      <c r="BJ346" s="43">
        <f>IF(ISNUMBER(BC346),SUM(BC$5:BC346)*10000,NA())</f>
        <v/>
      </c>
      <c r="BK346" s="43">
        <f>IF(BG346=1,SUM(BH$5:BH346)*10000,NA())</f>
        <v/>
      </c>
      <c r="BL346" s="44">
        <f>IF(ISNUMBER(AY346),AY346,NA())</f>
        <v/>
      </c>
    </row>
    <row r="347">
      <c r="A347" s="36">
        <f>IF(Datos!A347="","",Datos!A347)</f>
        <v/>
      </c>
      <c r="B347" s="37">
        <f>IF(OR($A347="",NOT(ISNUMBER(Datos!B347)),NOT(ISNUMBER(Datos!B346))),"",Datos!B347/Datos!B346-1)</f>
        <v/>
      </c>
      <c r="C347" s="37">
        <f>IF(OR($A347="",NOT(ISNUMBER(Datos!C347)),NOT(ISNUMBER(Datos!C346))),"",Datos!C347/Datos!C346-1)</f>
        <v/>
      </c>
      <c r="D347" s="37">
        <f>IF(OR($A347="",NOT(ISNUMBER(Datos!D347)),NOT(ISNUMBER(Datos!D346))),"",Datos!D347/Datos!D346-1)</f>
        <v/>
      </c>
      <c r="E347" s="37">
        <f>IF(OR($A347="",NOT(ISNUMBER(Datos!E347)),NOT(ISNUMBER(Datos!E346))),"",Datos!E347/Datos!E346-1)</f>
        <v/>
      </c>
      <c r="F347" s="38">
        <f>IF($A347="","",COUNT(B347:E347))</f>
        <v/>
      </c>
      <c r="G347" s="37">
        <f>IF($A347="","",IF(F347&gt;=MIN_BANCOS,AVERAGE(B347:E347),""))</f>
        <v/>
      </c>
      <c r="H347" s="37">
        <f>IF(OR($A347="",NOT(ISNUMBER(Datos!F347)),NOT(ISNUMBER(Datos!F346))),"",Datos!F347/Datos!F346-1)</f>
        <v/>
      </c>
      <c r="I347" s="39">
        <f>IF($A347="","",IF(ISNUMBER(Datos!G347),Datos!G347,I346))</f>
        <v/>
      </c>
      <c r="J347" s="40">
        <f>IF($A347="","",IF(ISNUMBER(I346),LN(1+I346/100/12),0))</f>
        <v/>
      </c>
      <c r="K347" s="40">
        <f>IF(ISNUMBER(G347),LN(1+G347)-J347,"")</f>
        <v/>
      </c>
      <c r="L347" s="40">
        <f>IF(ISNUMBER(H347),LN(1+H347)-J347,"")</f>
        <v/>
      </c>
      <c r="M347" s="38">
        <f>IF(ISNUMBER(K347),1,0)</f>
        <v/>
      </c>
      <c r="N347" s="40">
        <f>IF(M347=1,K347,0)</f>
        <v/>
      </c>
      <c r="O347" s="38">
        <f>IF(ISNUMBER(L347),1,0)</f>
        <v/>
      </c>
      <c r="P347" s="40">
        <f>IF(O347=1,L347,0)</f>
        <v/>
      </c>
      <c r="Q347" s="38">
        <f>M347*O347</f>
        <v/>
      </c>
      <c r="R347" s="38">
        <f>SUM(Q311:Q346)</f>
        <v/>
      </c>
      <c r="S347" s="41">
        <f>IF(OR($A347="",R347&lt;MIN_OBS_ROLL),"",(SUMPRODUCT(Q311:Q346,N311:N346,P311:P346)/R347-SUMPRODUCT(Q311:Q346,N311:N346)/R347*SUMPRODUCT(Q311:Q346,P311:P346)/R347)*R347/(R347-1))</f>
        <v/>
      </c>
      <c r="T347" s="38">
        <f>SUM(O311:O346)</f>
        <v/>
      </c>
      <c r="U347" s="41">
        <f>IF(OR($A347="",T347&lt;MIN_OBS_ROLL),"",SUMPRODUCT(O311:O346,(P311:P346-SUMPRODUCT(O311:O346,P311:P346)/T347)^2)/(T347-1))</f>
        <v/>
      </c>
      <c r="V347" s="40">
        <f>IF(OR(S347="",U347=""),"",S347/U347)</f>
        <v/>
      </c>
      <c r="W347" s="40">
        <f>IF(AND(ISNUMBER(K347),ISNUMBER(L347),ISNUMBER(V347)),K347-V347*L347,"")</f>
        <v/>
      </c>
      <c r="X347" s="40">
        <f>IF(OR($A347="",NOT(ISNUMBER(Datos!H347)),NOT(ISNUMBER(Datos!H346))),"",LN(Datos!H347)-LN(Datos!H346))</f>
        <v/>
      </c>
      <c r="Y347" s="38">
        <f>IF(ISNUMBER(W347),1,0)</f>
        <v/>
      </c>
      <c r="Z347" s="40">
        <f>IF(Y347=1,W347,0)</f>
        <v/>
      </c>
      <c r="AA347" s="38">
        <f>IF(ISNUMBER(X347),1,0)</f>
        <v/>
      </c>
      <c r="AB347" s="40">
        <f>IF(AA347=1,X347,0)</f>
        <v/>
      </c>
      <c r="AC347" s="38">
        <f>Y347*AA347</f>
        <v/>
      </c>
      <c r="AD347" s="38">
        <f>SUM(AC311:AC346)</f>
        <v/>
      </c>
      <c r="AE347" s="41">
        <f>IF(OR($A347="",AD347&lt;MIN_OBS_ROLL),"",(SUMPRODUCT(AC311:AC346,Z311:Z346,AB311:AB346)/AD347-SUMPRODUCT(AC311:AC346,Z311:Z346)/AD347*SUMPRODUCT(AC311:AC346,AB311:AB346)/AD347)*AD347/(AD347-1))</f>
        <v/>
      </c>
      <c r="AF347" s="38">
        <f>SUM(AA311:AA346)</f>
        <v/>
      </c>
      <c r="AG347" s="41">
        <f>IF(OR($A347="",AF347&lt;MIN_OBS_ROLL),"",SUMPRODUCT(AA311:AA346,(AB311:AB346-SUMPRODUCT(AA311:AA346,AB311:AB346)/AF347)^2)/(AF347-1))</f>
        <v/>
      </c>
      <c r="AH347" s="38">
        <f>SUM(Y311:Y346)</f>
        <v/>
      </c>
      <c r="AI347" s="40">
        <f>IF(OR($A347="",AH347&lt;MIN_OBS_ROLL),"",SUMPRODUCT(Y311:Y346,Z311:Z346)/AH347)</f>
        <v/>
      </c>
      <c r="AJ347" s="40">
        <f>IF(OR($A347="",AF347&lt;MIN_OBS_ROLL),"",SUMPRODUCT(AA311:AA346,AB311:AB346)/AF347)</f>
        <v/>
      </c>
      <c r="AK347" s="40">
        <f>IF(OR(AE347="",AG347=""),"",AE347/AG347)</f>
        <v/>
      </c>
      <c r="AL347" s="40">
        <f>IF(OR(AI347="",AK347="",AJ347=""),"",AI347-AK347*AJ347)</f>
        <v/>
      </c>
      <c r="AM347" s="40">
        <f>IF(AND(ISNUMBER(W347),ISNUMBER(X347),ISNUMBER(AK347),ISNUMBER(AL347)),W347-(AL347+AK347*X347),"")</f>
        <v/>
      </c>
      <c r="AN347" s="38">
        <f>IF(ISNUMBER(AM347),1,0)</f>
        <v/>
      </c>
      <c r="AO347" s="40">
        <f>IF(AN347=1,AM347,0)</f>
        <v/>
      </c>
      <c r="AP347" s="40">
        <f>IF(SUM(AN345:AN347)=3,SUM(AO345:AO347),"")</f>
        <v/>
      </c>
      <c r="AQ347" s="38">
        <f>IF(ISNUMBER(AP347),1,0)</f>
        <v/>
      </c>
      <c r="AR347" s="40">
        <f>IF(AQ347=1,AP347,0)</f>
        <v/>
      </c>
      <c r="AS347" s="38">
        <f>SUM(AQ$5:AQ347)</f>
        <v/>
      </c>
      <c r="AT347" s="40">
        <f>IF(AS347&gt;=MIN_OBS_Z,SUMPRODUCT(AQ$5:AQ347,AR$5:AR347)/AS347,"")</f>
        <v/>
      </c>
      <c r="AU347" s="40">
        <f>IF(AS347&gt;=MIN_OBS_Z,SQRT(SUMPRODUCT(AQ$5:AQ347,(AR$5:AR347-AT347)^2)/(AS347-1)),"")</f>
        <v/>
      </c>
      <c r="AV347" s="40">
        <f>IF(AND(AQ347=1,ISNUMBER(AT347)),MAX(-Z_CLIP,MIN(Z_CLIP,(AR347-AT347)/AU347)),"")</f>
        <v/>
      </c>
      <c r="AW347" s="40">
        <f>IF(ISNUMBER(AV347),-AV347,"")</f>
        <v/>
      </c>
      <c r="AX347" s="40">
        <f>IF(ISNUMBER(AW347),1+AMPLITUD*TANH(AW347),"")</f>
        <v/>
      </c>
      <c r="AY347" s="40">
        <f>IF($A347="","",IF(COUNT(AX345:AX347)&gt;0,AVERAGE(AX345:AX347),""))</f>
        <v/>
      </c>
      <c r="AZ347" s="40">
        <f>IF(ISNUMBER(AY347),AY347-1,"")</f>
        <v/>
      </c>
      <c r="BA347" s="40">
        <f>IF(AND(ISNUMBER(AZ346),ISNUMBER(W347)),AZ346*W_BANCOS*W347,"")</f>
        <v/>
      </c>
      <c r="BB347" s="40">
        <f>IF(AND(ISNUMBER(AZ346),ISNUMBER(AZ345)),ABS(AZ346-AZ345)*W_BANCOS*COSTO,0)</f>
        <v/>
      </c>
      <c r="BC347" s="40">
        <f>IF(ISNUMBER(BA347),BA347-BB347,"")</f>
        <v/>
      </c>
      <c r="BD347" s="42">
        <f>IF(ISNUMBER(BC347),IF(A347&lt;=FECHA_ERA,"A","B"),"")</f>
        <v/>
      </c>
      <c r="BE347" s="40">
        <f>IF(BD347="A",BC347,"")</f>
        <v/>
      </c>
      <c r="BF347" s="40">
        <f>IF(BD347="B",BC347,"")</f>
        <v/>
      </c>
      <c r="BG347" s="38">
        <f>IF(AND(ISNUMBER(BC347),ISNUMBER(A347)),IF(A347&gt;=INICIO_VIVO,1,0),0)</f>
        <v/>
      </c>
      <c r="BH347" s="40">
        <f>IF(BG347=1,BC347,"")</f>
        <v/>
      </c>
      <c r="BI347" s="38">
        <f>IF(ISNUMBER(AY347),ROW(),0)</f>
        <v/>
      </c>
      <c r="BJ347" s="43">
        <f>IF(ISNUMBER(BC347),SUM(BC$5:BC347)*10000,NA())</f>
        <v/>
      </c>
      <c r="BK347" s="43">
        <f>IF(BG347=1,SUM(BH$5:BH347)*10000,NA())</f>
        <v/>
      </c>
      <c r="BL347" s="44">
        <f>IF(ISNUMBER(AY347),AY347,NA())</f>
        <v/>
      </c>
    </row>
    <row r="348">
      <c r="A348" s="36">
        <f>IF(Datos!A348="","",Datos!A348)</f>
        <v/>
      </c>
      <c r="B348" s="37">
        <f>IF(OR($A348="",NOT(ISNUMBER(Datos!B348)),NOT(ISNUMBER(Datos!B347))),"",Datos!B348/Datos!B347-1)</f>
        <v/>
      </c>
      <c r="C348" s="37">
        <f>IF(OR($A348="",NOT(ISNUMBER(Datos!C348)),NOT(ISNUMBER(Datos!C347))),"",Datos!C348/Datos!C347-1)</f>
        <v/>
      </c>
      <c r="D348" s="37">
        <f>IF(OR($A348="",NOT(ISNUMBER(Datos!D348)),NOT(ISNUMBER(Datos!D347))),"",Datos!D348/Datos!D347-1)</f>
        <v/>
      </c>
      <c r="E348" s="37">
        <f>IF(OR($A348="",NOT(ISNUMBER(Datos!E348)),NOT(ISNUMBER(Datos!E347))),"",Datos!E348/Datos!E347-1)</f>
        <v/>
      </c>
      <c r="F348" s="38">
        <f>IF($A348="","",COUNT(B348:E348))</f>
        <v/>
      </c>
      <c r="G348" s="37">
        <f>IF($A348="","",IF(F348&gt;=MIN_BANCOS,AVERAGE(B348:E348),""))</f>
        <v/>
      </c>
      <c r="H348" s="37">
        <f>IF(OR($A348="",NOT(ISNUMBER(Datos!F348)),NOT(ISNUMBER(Datos!F347))),"",Datos!F348/Datos!F347-1)</f>
        <v/>
      </c>
      <c r="I348" s="39">
        <f>IF($A348="","",IF(ISNUMBER(Datos!G348),Datos!G348,I347))</f>
        <v/>
      </c>
      <c r="J348" s="40">
        <f>IF($A348="","",IF(ISNUMBER(I347),LN(1+I347/100/12),0))</f>
        <v/>
      </c>
      <c r="K348" s="40">
        <f>IF(ISNUMBER(G348),LN(1+G348)-J348,"")</f>
        <v/>
      </c>
      <c r="L348" s="40">
        <f>IF(ISNUMBER(H348),LN(1+H348)-J348,"")</f>
        <v/>
      </c>
      <c r="M348" s="38">
        <f>IF(ISNUMBER(K348),1,0)</f>
        <v/>
      </c>
      <c r="N348" s="40">
        <f>IF(M348=1,K348,0)</f>
        <v/>
      </c>
      <c r="O348" s="38">
        <f>IF(ISNUMBER(L348),1,0)</f>
        <v/>
      </c>
      <c r="P348" s="40">
        <f>IF(O348=1,L348,0)</f>
        <v/>
      </c>
      <c r="Q348" s="38">
        <f>M348*O348</f>
        <v/>
      </c>
      <c r="R348" s="38">
        <f>SUM(Q312:Q347)</f>
        <v/>
      </c>
      <c r="S348" s="41">
        <f>IF(OR($A348="",R348&lt;MIN_OBS_ROLL),"",(SUMPRODUCT(Q312:Q347,N312:N347,P312:P347)/R348-SUMPRODUCT(Q312:Q347,N312:N347)/R348*SUMPRODUCT(Q312:Q347,P312:P347)/R348)*R348/(R348-1))</f>
        <v/>
      </c>
      <c r="T348" s="38">
        <f>SUM(O312:O347)</f>
        <v/>
      </c>
      <c r="U348" s="41">
        <f>IF(OR($A348="",T348&lt;MIN_OBS_ROLL),"",SUMPRODUCT(O312:O347,(P312:P347-SUMPRODUCT(O312:O347,P312:P347)/T348)^2)/(T348-1))</f>
        <v/>
      </c>
      <c r="V348" s="40">
        <f>IF(OR(S348="",U348=""),"",S348/U348)</f>
        <v/>
      </c>
      <c r="W348" s="40">
        <f>IF(AND(ISNUMBER(K348),ISNUMBER(L348),ISNUMBER(V348)),K348-V348*L348,"")</f>
        <v/>
      </c>
      <c r="X348" s="40">
        <f>IF(OR($A348="",NOT(ISNUMBER(Datos!H348)),NOT(ISNUMBER(Datos!H347))),"",LN(Datos!H348)-LN(Datos!H347))</f>
        <v/>
      </c>
      <c r="Y348" s="38">
        <f>IF(ISNUMBER(W348),1,0)</f>
        <v/>
      </c>
      <c r="Z348" s="40">
        <f>IF(Y348=1,W348,0)</f>
        <v/>
      </c>
      <c r="AA348" s="38">
        <f>IF(ISNUMBER(X348),1,0)</f>
        <v/>
      </c>
      <c r="AB348" s="40">
        <f>IF(AA348=1,X348,0)</f>
        <v/>
      </c>
      <c r="AC348" s="38">
        <f>Y348*AA348</f>
        <v/>
      </c>
      <c r="AD348" s="38">
        <f>SUM(AC312:AC347)</f>
        <v/>
      </c>
      <c r="AE348" s="41">
        <f>IF(OR($A348="",AD348&lt;MIN_OBS_ROLL),"",(SUMPRODUCT(AC312:AC347,Z312:Z347,AB312:AB347)/AD348-SUMPRODUCT(AC312:AC347,Z312:Z347)/AD348*SUMPRODUCT(AC312:AC347,AB312:AB347)/AD348)*AD348/(AD348-1))</f>
        <v/>
      </c>
      <c r="AF348" s="38">
        <f>SUM(AA312:AA347)</f>
        <v/>
      </c>
      <c r="AG348" s="41">
        <f>IF(OR($A348="",AF348&lt;MIN_OBS_ROLL),"",SUMPRODUCT(AA312:AA347,(AB312:AB347-SUMPRODUCT(AA312:AA347,AB312:AB347)/AF348)^2)/(AF348-1))</f>
        <v/>
      </c>
      <c r="AH348" s="38">
        <f>SUM(Y312:Y347)</f>
        <v/>
      </c>
      <c r="AI348" s="40">
        <f>IF(OR($A348="",AH348&lt;MIN_OBS_ROLL),"",SUMPRODUCT(Y312:Y347,Z312:Z347)/AH348)</f>
        <v/>
      </c>
      <c r="AJ348" s="40">
        <f>IF(OR($A348="",AF348&lt;MIN_OBS_ROLL),"",SUMPRODUCT(AA312:AA347,AB312:AB347)/AF348)</f>
        <v/>
      </c>
      <c r="AK348" s="40">
        <f>IF(OR(AE348="",AG348=""),"",AE348/AG348)</f>
        <v/>
      </c>
      <c r="AL348" s="40">
        <f>IF(OR(AI348="",AK348="",AJ348=""),"",AI348-AK348*AJ348)</f>
        <v/>
      </c>
      <c r="AM348" s="40">
        <f>IF(AND(ISNUMBER(W348),ISNUMBER(X348),ISNUMBER(AK348),ISNUMBER(AL348)),W348-(AL348+AK348*X348),"")</f>
        <v/>
      </c>
      <c r="AN348" s="38">
        <f>IF(ISNUMBER(AM348),1,0)</f>
        <v/>
      </c>
      <c r="AO348" s="40">
        <f>IF(AN348=1,AM348,0)</f>
        <v/>
      </c>
      <c r="AP348" s="40">
        <f>IF(SUM(AN346:AN348)=3,SUM(AO346:AO348),"")</f>
        <v/>
      </c>
      <c r="AQ348" s="38">
        <f>IF(ISNUMBER(AP348),1,0)</f>
        <v/>
      </c>
      <c r="AR348" s="40">
        <f>IF(AQ348=1,AP348,0)</f>
        <v/>
      </c>
      <c r="AS348" s="38">
        <f>SUM(AQ$5:AQ348)</f>
        <v/>
      </c>
      <c r="AT348" s="40">
        <f>IF(AS348&gt;=MIN_OBS_Z,SUMPRODUCT(AQ$5:AQ348,AR$5:AR348)/AS348,"")</f>
        <v/>
      </c>
      <c r="AU348" s="40">
        <f>IF(AS348&gt;=MIN_OBS_Z,SQRT(SUMPRODUCT(AQ$5:AQ348,(AR$5:AR348-AT348)^2)/(AS348-1)),"")</f>
        <v/>
      </c>
      <c r="AV348" s="40">
        <f>IF(AND(AQ348=1,ISNUMBER(AT348)),MAX(-Z_CLIP,MIN(Z_CLIP,(AR348-AT348)/AU348)),"")</f>
        <v/>
      </c>
      <c r="AW348" s="40">
        <f>IF(ISNUMBER(AV348),-AV348,"")</f>
        <v/>
      </c>
      <c r="AX348" s="40">
        <f>IF(ISNUMBER(AW348),1+AMPLITUD*TANH(AW348),"")</f>
        <v/>
      </c>
      <c r="AY348" s="40">
        <f>IF($A348="","",IF(COUNT(AX346:AX348)&gt;0,AVERAGE(AX346:AX348),""))</f>
        <v/>
      </c>
      <c r="AZ348" s="40">
        <f>IF(ISNUMBER(AY348),AY348-1,"")</f>
        <v/>
      </c>
      <c r="BA348" s="40">
        <f>IF(AND(ISNUMBER(AZ347),ISNUMBER(W348)),AZ347*W_BANCOS*W348,"")</f>
        <v/>
      </c>
      <c r="BB348" s="40">
        <f>IF(AND(ISNUMBER(AZ347),ISNUMBER(AZ346)),ABS(AZ347-AZ346)*W_BANCOS*COSTO,0)</f>
        <v/>
      </c>
      <c r="BC348" s="40">
        <f>IF(ISNUMBER(BA348),BA348-BB348,"")</f>
        <v/>
      </c>
      <c r="BD348" s="42">
        <f>IF(ISNUMBER(BC348),IF(A348&lt;=FECHA_ERA,"A","B"),"")</f>
        <v/>
      </c>
      <c r="BE348" s="40">
        <f>IF(BD348="A",BC348,"")</f>
        <v/>
      </c>
      <c r="BF348" s="40">
        <f>IF(BD348="B",BC348,"")</f>
        <v/>
      </c>
      <c r="BG348" s="38">
        <f>IF(AND(ISNUMBER(BC348),ISNUMBER(A348)),IF(A348&gt;=INICIO_VIVO,1,0),0)</f>
        <v/>
      </c>
      <c r="BH348" s="40">
        <f>IF(BG348=1,BC348,"")</f>
        <v/>
      </c>
      <c r="BI348" s="38">
        <f>IF(ISNUMBER(AY348),ROW(),0)</f>
        <v/>
      </c>
      <c r="BJ348" s="43">
        <f>IF(ISNUMBER(BC348),SUM(BC$5:BC348)*10000,NA())</f>
        <v/>
      </c>
      <c r="BK348" s="43">
        <f>IF(BG348=1,SUM(BH$5:BH348)*10000,NA())</f>
        <v/>
      </c>
      <c r="BL348" s="44">
        <f>IF(ISNUMBER(AY348),AY348,NA())</f>
        <v/>
      </c>
    </row>
    <row r="349">
      <c r="A349" s="36">
        <f>IF(Datos!A349="","",Datos!A349)</f>
        <v/>
      </c>
      <c r="B349" s="37">
        <f>IF(OR($A349="",NOT(ISNUMBER(Datos!B349)),NOT(ISNUMBER(Datos!B348))),"",Datos!B349/Datos!B348-1)</f>
        <v/>
      </c>
      <c r="C349" s="37">
        <f>IF(OR($A349="",NOT(ISNUMBER(Datos!C349)),NOT(ISNUMBER(Datos!C348))),"",Datos!C349/Datos!C348-1)</f>
        <v/>
      </c>
      <c r="D349" s="37">
        <f>IF(OR($A349="",NOT(ISNUMBER(Datos!D349)),NOT(ISNUMBER(Datos!D348))),"",Datos!D349/Datos!D348-1)</f>
        <v/>
      </c>
      <c r="E349" s="37">
        <f>IF(OR($A349="",NOT(ISNUMBER(Datos!E349)),NOT(ISNUMBER(Datos!E348))),"",Datos!E349/Datos!E348-1)</f>
        <v/>
      </c>
      <c r="F349" s="38">
        <f>IF($A349="","",COUNT(B349:E349))</f>
        <v/>
      </c>
      <c r="G349" s="37">
        <f>IF($A349="","",IF(F349&gt;=MIN_BANCOS,AVERAGE(B349:E349),""))</f>
        <v/>
      </c>
      <c r="H349" s="37">
        <f>IF(OR($A349="",NOT(ISNUMBER(Datos!F349)),NOT(ISNUMBER(Datos!F348))),"",Datos!F349/Datos!F348-1)</f>
        <v/>
      </c>
      <c r="I349" s="39">
        <f>IF($A349="","",IF(ISNUMBER(Datos!G349),Datos!G349,I348))</f>
        <v/>
      </c>
      <c r="J349" s="40">
        <f>IF($A349="","",IF(ISNUMBER(I348),LN(1+I348/100/12),0))</f>
        <v/>
      </c>
      <c r="K349" s="40">
        <f>IF(ISNUMBER(G349),LN(1+G349)-J349,"")</f>
        <v/>
      </c>
      <c r="L349" s="40">
        <f>IF(ISNUMBER(H349),LN(1+H349)-J349,"")</f>
        <v/>
      </c>
      <c r="M349" s="38">
        <f>IF(ISNUMBER(K349),1,0)</f>
        <v/>
      </c>
      <c r="N349" s="40">
        <f>IF(M349=1,K349,0)</f>
        <v/>
      </c>
      <c r="O349" s="38">
        <f>IF(ISNUMBER(L349),1,0)</f>
        <v/>
      </c>
      <c r="P349" s="40">
        <f>IF(O349=1,L349,0)</f>
        <v/>
      </c>
      <c r="Q349" s="38">
        <f>M349*O349</f>
        <v/>
      </c>
      <c r="R349" s="38">
        <f>SUM(Q313:Q348)</f>
        <v/>
      </c>
      <c r="S349" s="41">
        <f>IF(OR($A349="",R349&lt;MIN_OBS_ROLL),"",(SUMPRODUCT(Q313:Q348,N313:N348,P313:P348)/R349-SUMPRODUCT(Q313:Q348,N313:N348)/R349*SUMPRODUCT(Q313:Q348,P313:P348)/R349)*R349/(R349-1))</f>
        <v/>
      </c>
      <c r="T349" s="38">
        <f>SUM(O313:O348)</f>
        <v/>
      </c>
      <c r="U349" s="41">
        <f>IF(OR($A349="",T349&lt;MIN_OBS_ROLL),"",SUMPRODUCT(O313:O348,(P313:P348-SUMPRODUCT(O313:O348,P313:P348)/T349)^2)/(T349-1))</f>
        <v/>
      </c>
      <c r="V349" s="40">
        <f>IF(OR(S349="",U349=""),"",S349/U349)</f>
        <v/>
      </c>
      <c r="W349" s="40">
        <f>IF(AND(ISNUMBER(K349),ISNUMBER(L349),ISNUMBER(V349)),K349-V349*L349,"")</f>
        <v/>
      </c>
      <c r="X349" s="40">
        <f>IF(OR($A349="",NOT(ISNUMBER(Datos!H349)),NOT(ISNUMBER(Datos!H348))),"",LN(Datos!H349)-LN(Datos!H348))</f>
        <v/>
      </c>
      <c r="Y349" s="38">
        <f>IF(ISNUMBER(W349),1,0)</f>
        <v/>
      </c>
      <c r="Z349" s="40">
        <f>IF(Y349=1,W349,0)</f>
        <v/>
      </c>
      <c r="AA349" s="38">
        <f>IF(ISNUMBER(X349),1,0)</f>
        <v/>
      </c>
      <c r="AB349" s="40">
        <f>IF(AA349=1,X349,0)</f>
        <v/>
      </c>
      <c r="AC349" s="38">
        <f>Y349*AA349</f>
        <v/>
      </c>
      <c r="AD349" s="38">
        <f>SUM(AC313:AC348)</f>
        <v/>
      </c>
      <c r="AE349" s="41">
        <f>IF(OR($A349="",AD349&lt;MIN_OBS_ROLL),"",(SUMPRODUCT(AC313:AC348,Z313:Z348,AB313:AB348)/AD349-SUMPRODUCT(AC313:AC348,Z313:Z348)/AD349*SUMPRODUCT(AC313:AC348,AB313:AB348)/AD349)*AD349/(AD349-1))</f>
        <v/>
      </c>
      <c r="AF349" s="38">
        <f>SUM(AA313:AA348)</f>
        <v/>
      </c>
      <c r="AG349" s="41">
        <f>IF(OR($A349="",AF349&lt;MIN_OBS_ROLL),"",SUMPRODUCT(AA313:AA348,(AB313:AB348-SUMPRODUCT(AA313:AA348,AB313:AB348)/AF349)^2)/(AF349-1))</f>
        <v/>
      </c>
      <c r="AH349" s="38">
        <f>SUM(Y313:Y348)</f>
        <v/>
      </c>
      <c r="AI349" s="40">
        <f>IF(OR($A349="",AH349&lt;MIN_OBS_ROLL),"",SUMPRODUCT(Y313:Y348,Z313:Z348)/AH349)</f>
        <v/>
      </c>
      <c r="AJ349" s="40">
        <f>IF(OR($A349="",AF349&lt;MIN_OBS_ROLL),"",SUMPRODUCT(AA313:AA348,AB313:AB348)/AF349)</f>
        <v/>
      </c>
      <c r="AK349" s="40">
        <f>IF(OR(AE349="",AG349=""),"",AE349/AG349)</f>
        <v/>
      </c>
      <c r="AL349" s="40">
        <f>IF(OR(AI349="",AK349="",AJ349=""),"",AI349-AK349*AJ349)</f>
        <v/>
      </c>
      <c r="AM349" s="40">
        <f>IF(AND(ISNUMBER(W349),ISNUMBER(X349),ISNUMBER(AK349),ISNUMBER(AL349)),W349-(AL349+AK349*X349),"")</f>
        <v/>
      </c>
      <c r="AN349" s="38">
        <f>IF(ISNUMBER(AM349),1,0)</f>
        <v/>
      </c>
      <c r="AO349" s="40">
        <f>IF(AN349=1,AM349,0)</f>
        <v/>
      </c>
      <c r="AP349" s="40">
        <f>IF(SUM(AN347:AN349)=3,SUM(AO347:AO349),"")</f>
        <v/>
      </c>
      <c r="AQ349" s="38">
        <f>IF(ISNUMBER(AP349),1,0)</f>
        <v/>
      </c>
      <c r="AR349" s="40">
        <f>IF(AQ349=1,AP349,0)</f>
        <v/>
      </c>
      <c r="AS349" s="38">
        <f>SUM(AQ$5:AQ349)</f>
        <v/>
      </c>
      <c r="AT349" s="40">
        <f>IF(AS349&gt;=MIN_OBS_Z,SUMPRODUCT(AQ$5:AQ349,AR$5:AR349)/AS349,"")</f>
        <v/>
      </c>
      <c r="AU349" s="40">
        <f>IF(AS349&gt;=MIN_OBS_Z,SQRT(SUMPRODUCT(AQ$5:AQ349,(AR$5:AR349-AT349)^2)/(AS349-1)),"")</f>
        <v/>
      </c>
      <c r="AV349" s="40">
        <f>IF(AND(AQ349=1,ISNUMBER(AT349)),MAX(-Z_CLIP,MIN(Z_CLIP,(AR349-AT349)/AU349)),"")</f>
        <v/>
      </c>
      <c r="AW349" s="40">
        <f>IF(ISNUMBER(AV349),-AV349,"")</f>
        <v/>
      </c>
      <c r="AX349" s="40">
        <f>IF(ISNUMBER(AW349),1+AMPLITUD*TANH(AW349),"")</f>
        <v/>
      </c>
      <c r="AY349" s="40">
        <f>IF($A349="","",IF(COUNT(AX347:AX349)&gt;0,AVERAGE(AX347:AX349),""))</f>
        <v/>
      </c>
      <c r="AZ349" s="40">
        <f>IF(ISNUMBER(AY349),AY349-1,"")</f>
        <v/>
      </c>
      <c r="BA349" s="40">
        <f>IF(AND(ISNUMBER(AZ348),ISNUMBER(W349)),AZ348*W_BANCOS*W349,"")</f>
        <v/>
      </c>
      <c r="BB349" s="40">
        <f>IF(AND(ISNUMBER(AZ348),ISNUMBER(AZ347)),ABS(AZ348-AZ347)*W_BANCOS*COSTO,0)</f>
        <v/>
      </c>
      <c r="BC349" s="40">
        <f>IF(ISNUMBER(BA349),BA349-BB349,"")</f>
        <v/>
      </c>
      <c r="BD349" s="42">
        <f>IF(ISNUMBER(BC349),IF(A349&lt;=FECHA_ERA,"A","B"),"")</f>
        <v/>
      </c>
      <c r="BE349" s="40">
        <f>IF(BD349="A",BC349,"")</f>
        <v/>
      </c>
      <c r="BF349" s="40">
        <f>IF(BD349="B",BC349,"")</f>
        <v/>
      </c>
      <c r="BG349" s="38">
        <f>IF(AND(ISNUMBER(BC349),ISNUMBER(A349)),IF(A349&gt;=INICIO_VIVO,1,0),0)</f>
        <v/>
      </c>
      <c r="BH349" s="40">
        <f>IF(BG349=1,BC349,"")</f>
        <v/>
      </c>
      <c r="BI349" s="38">
        <f>IF(ISNUMBER(AY349),ROW(),0)</f>
        <v/>
      </c>
      <c r="BJ349" s="43">
        <f>IF(ISNUMBER(BC349),SUM(BC$5:BC349)*10000,NA())</f>
        <v/>
      </c>
      <c r="BK349" s="43">
        <f>IF(BG349=1,SUM(BH$5:BH349)*10000,NA())</f>
        <v/>
      </c>
      <c r="BL349" s="44">
        <f>IF(ISNUMBER(AY349),AY349,NA())</f>
        <v/>
      </c>
    </row>
    <row r="350">
      <c r="A350" s="36">
        <f>IF(Datos!A350="","",Datos!A350)</f>
        <v/>
      </c>
      <c r="B350" s="37">
        <f>IF(OR($A350="",NOT(ISNUMBER(Datos!B350)),NOT(ISNUMBER(Datos!B349))),"",Datos!B350/Datos!B349-1)</f>
        <v/>
      </c>
      <c r="C350" s="37">
        <f>IF(OR($A350="",NOT(ISNUMBER(Datos!C350)),NOT(ISNUMBER(Datos!C349))),"",Datos!C350/Datos!C349-1)</f>
        <v/>
      </c>
      <c r="D350" s="37">
        <f>IF(OR($A350="",NOT(ISNUMBER(Datos!D350)),NOT(ISNUMBER(Datos!D349))),"",Datos!D350/Datos!D349-1)</f>
        <v/>
      </c>
      <c r="E350" s="37">
        <f>IF(OR($A350="",NOT(ISNUMBER(Datos!E350)),NOT(ISNUMBER(Datos!E349))),"",Datos!E350/Datos!E349-1)</f>
        <v/>
      </c>
      <c r="F350" s="38">
        <f>IF($A350="","",COUNT(B350:E350))</f>
        <v/>
      </c>
      <c r="G350" s="37">
        <f>IF($A350="","",IF(F350&gt;=MIN_BANCOS,AVERAGE(B350:E350),""))</f>
        <v/>
      </c>
      <c r="H350" s="37">
        <f>IF(OR($A350="",NOT(ISNUMBER(Datos!F350)),NOT(ISNUMBER(Datos!F349))),"",Datos!F350/Datos!F349-1)</f>
        <v/>
      </c>
      <c r="I350" s="39">
        <f>IF($A350="","",IF(ISNUMBER(Datos!G350),Datos!G350,I349))</f>
        <v/>
      </c>
      <c r="J350" s="40">
        <f>IF($A350="","",IF(ISNUMBER(I349),LN(1+I349/100/12),0))</f>
        <v/>
      </c>
      <c r="K350" s="40">
        <f>IF(ISNUMBER(G350),LN(1+G350)-J350,"")</f>
        <v/>
      </c>
      <c r="L350" s="40">
        <f>IF(ISNUMBER(H350),LN(1+H350)-J350,"")</f>
        <v/>
      </c>
      <c r="M350" s="38">
        <f>IF(ISNUMBER(K350),1,0)</f>
        <v/>
      </c>
      <c r="N350" s="40">
        <f>IF(M350=1,K350,0)</f>
        <v/>
      </c>
      <c r="O350" s="38">
        <f>IF(ISNUMBER(L350),1,0)</f>
        <v/>
      </c>
      <c r="P350" s="40">
        <f>IF(O350=1,L350,0)</f>
        <v/>
      </c>
      <c r="Q350" s="38">
        <f>M350*O350</f>
        <v/>
      </c>
      <c r="R350" s="38">
        <f>SUM(Q314:Q349)</f>
        <v/>
      </c>
      <c r="S350" s="41">
        <f>IF(OR($A350="",R350&lt;MIN_OBS_ROLL),"",(SUMPRODUCT(Q314:Q349,N314:N349,P314:P349)/R350-SUMPRODUCT(Q314:Q349,N314:N349)/R350*SUMPRODUCT(Q314:Q349,P314:P349)/R350)*R350/(R350-1))</f>
        <v/>
      </c>
      <c r="T350" s="38">
        <f>SUM(O314:O349)</f>
        <v/>
      </c>
      <c r="U350" s="41">
        <f>IF(OR($A350="",T350&lt;MIN_OBS_ROLL),"",SUMPRODUCT(O314:O349,(P314:P349-SUMPRODUCT(O314:O349,P314:P349)/T350)^2)/(T350-1))</f>
        <v/>
      </c>
      <c r="V350" s="40">
        <f>IF(OR(S350="",U350=""),"",S350/U350)</f>
        <v/>
      </c>
      <c r="W350" s="40">
        <f>IF(AND(ISNUMBER(K350),ISNUMBER(L350),ISNUMBER(V350)),K350-V350*L350,"")</f>
        <v/>
      </c>
      <c r="X350" s="40">
        <f>IF(OR($A350="",NOT(ISNUMBER(Datos!H350)),NOT(ISNUMBER(Datos!H349))),"",LN(Datos!H350)-LN(Datos!H349))</f>
        <v/>
      </c>
      <c r="Y350" s="38">
        <f>IF(ISNUMBER(W350),1,0)</f>
        <v/>
      </c>
      <c r="Z350" s="40">
        <f>IF(Y350=1,W350,0)</f>
        <v/>
      </c>
      <c r="AA350" s="38">
        <f>IF(ISNUMBER(X350),1,0)</f>
        <v/>
      </c>
      <c r="AB350" s="40">
        <f>IF(AA350=1,X350,0)</f>
        <v/>
      </c>
      <c r="AC350" s="38">
        <f>Y350*AA350</f>
        <v/>
      </c>
      <c r="AD350" s="38">
        <f>SUM(AC314:AC349)</f>
        <v/>
      </c>
      <c r="AE350" s="41">
        <f>IF(OR($A350="",AD350&lt;MIN_OBS_ROLL),"",(SUMPRODUCT(AC314:AC349,Z314:Z349,AB314:AB349)/AD350-SUMPRODUCT(AC314:AC349,Z314:Z349)/AD350*SUMPRODUCT(AC314:AC349,AB314:AB349)/AD350)*AD350/(AD350-1))</f>
        <v/>
      </c>
      <c r="AF350" s="38">
        <f>SUM(AA314:AA349)</f>
        <v/>
      </c>
      <c r="AG350" s="41">
        <f>IF(OR($A350="",AF350&lt;MIN_OBS_ROLL),"",SUMPRODUCT(AA314:AA349,(AB314:AB349-SUMPRODUCT(AA314:AA349,AB314:AB349)/AF350)^2)/(AF350-1))</f>
        <v/>
      </c>
      <c r="AH350" s="38">
        <f>SUM(Y314:Y349)</f>
        <v/>
      </c>
      <c r="AI350" s="40">
        <f>IF(OR($A350="",AH350&lt;MIN_OBS_ROLL),"",SUMPRODUCT(Y314:Y349,Z314:Z349)/AH350)</f>
        <v/>
      </c>
      <c r="AJ350" s="40">
        <f>IF(OR($A350="",AF350&lt;MIN_OBS_ROLL),"",SUMPRODUCT(AA314:AA349,AB314:AB349)/AF350)</f>
        <v/>
      </c>
      <c r="AK350" s="40">
        <f>IF(OR(AE350="",AG350=""),"",AE350/AG350)</f>
        <v/>
      </c>
      <c r="AL350" s="40">
        <f>IF(OR(AI350="",AK350="",AJ350=""),"",AI350-AK350*AJ350)</f>
        <v/>
      </c>
      <c r="AM350" s="40">
        <f>IF(AND(ISNUMBER(W350),ISNUMBER(X350),ISNUMBER(AK350),ISNUMBER(AL350)),W350-(AL350+AK350*X350),"")</f>
        <v/>
      </c>
      <c r="AN350" s="38">
        <f>IF(ISNUMBER(AM350),1,0)</f>
        <v/>
      </c>
      <c r="AO350" s="40">
        <f>IF(AN350=1,AM350,0)</f>
        <v/>
      </c>
      <c r="AP350" s="40">
        <f>IF(SUM(AN348:AN350)=3,SUM(AO348:AO350),"")</f>
        <v/>
      </c>
      <c r="AQ350" s="38">
        <f>IF(ISNUMBER(AP350),1,0)</f>
        <v/>
      </c>
      <c r="AR350" s="40">
        <f>IF(AQ350=1,AP350,0)</f>
        <v/>
      </c>
      <c r="AS350" s="38">
        <f>SUM(AQ$5:AQ350)</f>
        <v/>
      </c>
      <c r="AT350" s="40">
        <f>IF(AS350&gt;=MIN_OBS_Z,SUMPRODUCT(AQ$5:AQ350,AR$5:AR350)/AS350,"")</f>
        <v/>
      </c>
      <c r="AU350" s="40">
        <f>IF(AS350&gt;=MIN_OBS_Z,SQRT(SUMPRODUCT(AQ$5:AQ350,(AR$5:AR350-AT350)^2)/(AS350-1)),"")</f>
        <v/>
      </c>
      <c r="AV350" s="40">
        <f>IF(AND(AQ350=1,ISNUMBER(AT350)),MAX(-Z_CLIP,MIN(Z_CLIP,(AR350-AT350)/AU350)),"")</f>
        <v/>
      </c>
      <c r="AW350" s="40">
        <f>IF(ISNUMBER(AV350),-AV350,"")</f>
        <v/>
      </c>
      <c r="AX350" s="40">
        <f>IF(ISNUMBER(AW350),1+AMPLITUD*TANH(AW350),"")</f>
        <v/>
      </c>
      <c r="AY350" s="40">
        <f>IF($A350="","",IF(COUNT(AX348:AX350)&gt;0,AVERAGE(AX348:AX350),""))</f>
        <v/>
      </c>
      <c r="AZ350" s="40">
        <f>IF(ISNUMBER(AY350),AY350-1,"")</f>
        <v/>
      </c>
      <c r="BA350" s="40">
        <f>IF(AND(ISNUMBER(AZ349),ISNUMBER(W350)),AZ349*W_BANCOS*W350,"")</f>
        <v/>
      </c>
      <c r="BB350" s="40">
        <f>IF(AND(ISNUMBER(AZ349),ISNUMBER(AZ348)),ABS(AZ349-AZ348)*W_BANCOS*COSTO,0)</f>
        <v/>
      </c>
      <c r="BC350" s="40">
        <f>IF(ISNUMBER(BA350),BA350-BB350,"")</f>
        <v/>
      </c>
      <c r="BD350" s="42">
        <f>IF(ISNUMBER(BC350),IF(A350&lt;=FECHA_ERA,"A","B"),"")</f>
        <v/>
      </c>
      <c r="BE350" s="40">
        <f>IF(BD350="A",BC350,"")</f>
        <v/>
      </c>
      <c r="BF350" s="40">
        <f>IF(BD350="B",BC350,"")</f>
        <v/>
      </c>
      <c r="BG350" s="38">
        <f>IF(AND(ISNUMBER(BC350),ISNUMBER(A350)),IF(A350&gt;=INICIO_VIVO,1,0),0)</f>
        <v/>
      </c>
      <c r="BH350" s="40">
        <f>IF(BG350=1,BC350,"")</f>
        <v/>
      </c>
      <c r="BI350" s="38">
        <f>IF(ISNUMBER(AY350),ROW(),0)</f>
        <v/>
      </c>
      <c r="BJ350" s="43">
        <f>IF(ISNUMBER(BC350),SUM(BC$5:BC350)*10000,NA())</f>
        <v/>
      </c>
      <c r="BK350" s="43">
        <f>IF(BG350=1,SUM(BH$5:BH350)*10000,NA())</f>
        <v/>
      </c>
      <c r="BL350" s="44">
        <f>IF(ISNUMBER(AY350),AY350,NA())</f>
        <v/>
      </c>
    </row>
    <row r="351">
      <c r="A351" s="36">
        <f>IF(Datos!A351="","",Datos!A351)</f>
        <v/>
      </c>
      <c r="B351" s="37">
        <f>IF(OR($A351="",NOT(ISNUMBER(Datos!B351)),NOT(ISNUMBER(Datos!B350))),"",Datos!B351/Datos!B350-1)</f>
        <v/>
      </c>
      <c r="C351" s="37">
        <f>IF(OR($A351="",NOT(ISNUMBER(Datos!C351)),NOT(ISNUMBER(Datos!C350))),"",Datos!C351/Datos!C350-1)</f>
        <v/>
      </c>
      <c r="D351" s="37">
        <f>IF(OR($A351="",NOT(ISNUMBER(Datos!D351)),NOT(ISNUMBER(Datos!D350))),"",Datos!D351/Datos!D350-1)</f>
        <v/>
      </c>
      <c r="E351" s="37">
        <f>IF(OR($A351="",NOT(ISNUMBER(Datos!E351)),NOT(ISNUMBER(Datos!E350))),"",Datos!E351/Datos!E350-1)</f>
        <v/>
      </c>
      <c r="F351" s="38">
        <f>IF($A351="","",COUNT(B351:E351))</f>
        <v/>
      </c>
      <c r="G351" s="37">
        <f>IF($A351="","",IF(F351&gt;=MIN_BANCOS,AVERAGE(B351:E351),""))</f>
        <v/>
      </c>
      <c r="H351" s="37">
        <f>IF(OR($A351="",NOT(ISNUMBER(Datos!F351)),NOT(ISNUMBER(Datos!F350))),"",Datos!F351/Datos!F350-1)</f>
        <v/>
      </c>
      <c r="I351" s="39">
        <f>IF($A351="","",IF(ISNUMBER(Datos!G351),Datos!G351,I350))</f>
        <v/>
      </c>
      <c r="J351" s="40">
        <f>IF($A351="","",IF(ISNUMBER(I350),LN(1+I350/100/12),0))</f>
        <v/>
      </c>
      <c r="K351" s="40">
        <f>IF(ISNUMBER(G351),LN(1+G351)-J351,"")</f>
        <v/>
      </c>
      <c r="L351" s="40">
        <f>IF(ISNUMBER(H351),LN(1+H351)-J351,"")</f>
        <v/>
      </c>
      <c r="M351" s="38">
        <f>IF(ISNUMBER(K351),1,0)</f>
        <v/>
      </c>
      <c r="N351" s="40">
        <f>IF(M351=1,K351,0)</f>
        <v/>
      </c>
      <c r="O351" s="38">
        <f>IF(ISNUMBER(L351),1,0)</f>
        <v/>
      </c>
      <c r="P351" s="40">
        <f>IF(O351=1,L351,0)</f>
        <v/>
      </c>
      <c r="Q351" s="38">
        <f>M351*O351</f>
        <v/>
      </c>
      <c r="R351" s="38">
        <f>SUM(Q315:Q350)</f>
        <v/>
      </c>
      <c r="S351" s="41">
        <f>IF(OR($A351="",R351&lt;MIN_OBS_ROLL),"",(SUMPRODUCT(Q315:Q350,N315:N350,P315:P350)/R351-SUMPRODUCT(Q315:Q350,N315:N350)/R351*SUMPRODUCT(Q315:Q350,P315:P350)/R351)*R351/(R351-1))</f>
        <v/>
      </c>
      <c r="T351" s="38">
        <f>SUM(O315:O350)</f>
        <v/>
      </c>
      <c r="U351" s="41">
        <f>IF(OR($A351="",T351&lt;MIN_OBS_ROLL),"",SUMPRODUCT(O315:O350,(P315:P350-SUMPRODUCT(O315:O350,P315:P350)/T351)^2)/(T351-1))</f>
        <v/>
      </c>
      <c r="V351" s="40">
        <f>IF(OR(S351="",U351=""),"",S351/U351)</f>
        <v/>
      </c>
      <c r="W351" s="40">
        <f>IF(AND(ISNUMBER(K351),ISNUMBER(L351),ISNUMBER(V351)),K351-V351*L351,"")</f>
        <v/>
      </c>
      <c r="X351" s="40">
        <f>IF(OR($A351="",NOT(ISNUMBER(Datos!H351)),NOT(ISNUMBER(Datos!H350))),"",LN(Datos!H351)-LN(Datos!H350))</f>
        <v/>
      </c>
      <c r="Y351" s="38">
        <f>IF(ISNUMBER(W351),1,0)</f>
        <v/>
      </c>
      <c r="Z351" s="40">
        <f>IF(Y351=1,W351,0)</f>
        <v/>
      </c>
      <c r="AA351" s="38">
        <f>IF(ISNUMBER(X351),1,0)</f>
        <v/>
      </c>
      <c r="AB351" s="40">
        <f>IF(AA351=1,X351,0)</f>
        <v/>
      </c>
      <c r="AC351" s="38">
        <f>Y351*AA351</f>
        <v/>
      </c>
      <c r="AD351" s="38">
        <f>SUM(AC315:AC350)</f>
        <v/>
      </c>
      <c r="AE351" s="41">
        <f>IF(OR($A351="",AD351&lt;MIN_OBS_ROLL),"",(SUMPRODUCT(AC315:AC350,Z315:Z350,AB315:AB350)/AD351-SUMPRODUCT(AC315:AC350,Z315:Z350)/AD351*SUMPRODUCT(AC315:AC350,AB315:AB350)/AD351)*AD351/(AD351-1))</f>
        <v/>
      </c>
      <c r="AF351" s="38">
        <f>SUM(AA315:AA350)</f>
        <v/>
      </c>
      <c r="AG351" s="41">
        <f>IF(OR($A351="",AF351&lt;MIN_OBS_ROLL),"",SUMPRODUCT(AA315:AA350,(AB315:AB350-SUMPRODUCT(AA315:AA350,AB315:AB350)/AF351)^2)/(AF351-1))</f>
        <v/>
      </c>
      <c r="AH351" s="38">
        <f>SUM(Y315:Y350)</f>
        <v/>
      </c>
      <c r="AI351" s="40">
        <f>IF(OR($A351="",AH351&lt;MIN_OBS_ROLL),"",SUMPRODUCT(Y315:Y350,Z315:Z350)/AH351)</f>
        <v/>
      </c>
      <c r="AJ351" s="40">
        <f>IF(OR($A351="",AF351&lt;MIN_OBS_ROLL),"",SUMPRODUCT(AA315:AA350,AB315:AB350)/AF351)</f>
        <v/>
      </c>
      <c r="AK351" s="40">
        <f>IF(OR(AE351="",AG351=""),"",AE351/AG351)</f>
        <v/>
      </c>
      <c r="AL351" s="40">
        <f>IF(OR(AI351="",AK351="",AJ351=""),"",AI351-AK351*AJ351)</f>
        <v/>
      </c>
      <c r="AM351" s="40">
        <f>IF(AND(ISNUMBER(W351),ISNUMBER(X351),ISNUMBER(AK351),ISNUMBER(AL351)),W351-(AL351+AK351*X351),"")</f>
        <v/>
      </c>
      <c r="AN351" s="38">
        <f>IF(ISNUMBER(AM351),1,0)</f>
        <v/>
      </c>
      <c r="AO351" s="40">
        <f>IF(AN351=1,AM351,0)</f>
        <v/>
      </c>
      <c r="AP351" s="40">
        <f>IF(SUM(AN349:AN351)=3,SUM(AO349:AO351),"")</f>
        <v/>
      </c>
      <c r="AQ351" s="38">
        <f>IF(ISNUMBER(AP351),1,0)</f>
        <v/>
      </c>
      <c r="AR351" s="40">
        <f>IF(AQ351=1,AP351,0)</f>
        <v/>
      </c>
      <c r="AS351" s="38">
        <f>SUM(AQ$5:AQ351)</f>
        <v/>
      </c>
      <c r="AT351" s="40">
        <f>IF(AS351&gt;=MIN_OBS_Z,SUMPRODUCT(AQ$5:AQ351,AR$5:AR351)/AS351,"")</f>
        <v/>
      </c>
      <c r="AU351" s="40">
        <f>IF(AS351&gt;=MIN_OBS_Z,SQRT(SUMPRODUCT(AQ$5:AQ351,(AR$5:AR351-AT351)^2)/(AS351-1)),"")</f>
        <v/>
      </c>
      <c r="AV351" s="40">
        <f>IF(AND(AQ351=1,ISNUMBER(AT351)),MAX(-Z_CLIP,MIN(Z_CLIP,(AR351-AT351)/AU351)),"")</f>
        <v/>
      </c>
      <c r="AW351" s="40">
        <f>IF(ISNUMBER(AV351),-AV351,"")</f>
        <v/>
      </c>
      <c r="AX351" s="40">
        <f>IF(ISNUMBER(AW351),1+AMPLITUD*TANH(AW351),"")</f>
        <v/>
      </c>
      <c r="AY351" s="40">
        <f>IF($A351="","",IF(COUNT(AX349:AX351)&gt;0,AVERAGE(AX349:AX351),""))</f>
        <v/>
      </c>
      <c r="AZ351" s="40">
        <f>IF(ISNUMBER(AY351),AY351-1,"")</f>
        <v/>
      </c>
      <c r="BA351" s="40">
        <f>IF(AND(ISNUMBER(AZ350),ISNUMBER(W351)),AZ350*W_BANCOS*W351,"")</f>
        <v/>
      </c>
      <c r="BB351" s="40">
        <f>IF(AND(ISNUMBER(AZ350),ISNUMBER(AZ349)),ABS(AZ350-AZ349)*W_BANCOS*COSTO,0)</f>
        <v/>
      </c>
      <c r="BC351" s="40">
        <f>IF(ISNUMBER(BA351),BA351-BB351,"")</f>
        <v/>
      </c>
      <c r="BD351" s="42">
        <f>IF(ISNUMBER(BC351),IF(A351&lt;=FECHA_ERA,"A","B"),"")</f>
        <v/>
      </c>
      <c r="BE351" s="40">
        <f>IF(BD351="A",BC351,"")</f>
        <v/>
      </c>
      <c r="BF351" s="40">
        <f>IF(BD351="B",BC351,"")</f>
        <v/>
      </c>
      <c r="BG351" s="38">
        <f>IF(AND(ISNUMBER(BC351),ISNUMBER(A351)),IF(A351&gt;=INICIO_VIVO,1,0),0)</f>
        <v/>
      </c>
      <c r="BH351" s="40">
        <f>IF(BG351=1,BC351,"")</f>
        <v/>
      </c>
      <c r="BI351" s="38">
        <f>IF(ISNUMBER(AY351),ROW(),0)</f>
        <v/>
      </c>
      <c r="BJ351" s="43">
        <f>IF(ISNUMBER(BC351),SUM(BC$5:BC351)*10000,NA())</f>
        <v/>
      </c>
      <c r="BK351" s="43">
        <f>IF(BG351=1,SUM(BH$5:BH351)*10000,NA())</f>
        <v/>
      </c>
      <c r="BL351" s="44">
        <f>IF(ISNUMBER(AY351),AY351,NA())</f>
        <v/>
      </c>
    </row>
    <row r="352">
      <c r="A352" s="36">
        <f>IF(Datos!A352="","",Datos!A352)</f>
        <v/>
      </c>
      <c r="B352" s="37">
        <f>IF(OR($A352="",NOT(ISNUMBER(Datos!B352)),NOT(ISNUMBER(Datos!B351))),"",Datos!B352/Datos!B351-1)</f>
        <v/>
      </c>
      <c r="C352" s="37">
        <f>IF(OR($A352="",NOT(ISNUMBER(Datos!C352)),NOT(ISNUMBER(Datos!C351))),"",Datos!C352/Datos!C351-1)</f>
        <v/>
      </c>
      <c r="D352" s="37">
        <f>IF(OR($A352="",NOT(ISNUMBER(Datos!D352)),NOT(ISNUMBER(Datos!D351))),"",Datos!D352/Datos!D351-1)</f>
        <v/>
      </c>
      <c r="E352" s="37">
        <f>IF(OR($A352="",NOT(ISNUMBER(Datos!E352)),NOT(ISNUMBER(Datos!E351))),"",Datos!E352/Datos!E351-1)</f>
        <v/>
      </c>
      <c r="F352" s="38">
        <f>IF($A352="","",COUNT(B352:E352))</f>
        <v/>
      </c>
      <c r="G352" s="37">
        <f>IF($A352="","",IF(F352&gt;=MIN_BANCOS,AVERAGE(B352:E352),""))</f>
        <v/>
      </c>
      <c r="H352" s="37">
        <f>IF(OR($A352="",NOT(ISNUMBER(Datos!F352)),NOT(ISNUMBER(Datos!F351))),"",Datos!F352/Datos!F351-1)</f>
        <v/>
      </c>
      <c r="I352" s="39">
        <f>IF($A352="","",IF(ISNUMBER(Datos!G352),Datos!G352,I351))</f>
        <v/>
      </c>
      <c r="J352" s="40">
        <f>IF($A352="","",IF(ISNUMBER(I351),LN(1+I351/100/12),0))</f>
        <v/>
      </c>
      <c r="K352" s="40">
        <f>IF(ISNUMBER(G352),LN(1+G352)-J352,"")</f>
        <v/>
      </c>
      <c r="L352" s="40">
        <f>IF(ISNUMBER(H352),LN(1+H352)-J352,"")</f>
        <v/>
      </c>
      <c r="M352" s="38">
        <f>IF(ISNUMBER(K352),1,0)</f>
        <v/>
      </c>
      <c r="N352" s="40">
        <f>IF(M352=1,K352,0)</f>
        <v/>
      </c>
      <c r="O352" s="38">
        <f>IF(ISNUMBER(L352),1,0)</f>
        <v/>
      </c>
      <c r="P352" s="40">
        <f>IF(O352=1,L352,0)</f>
        <v/>
      </c>
      <c r="Q352" s="38">
        <f>M352*O352</f>
        <v/>
      </c>
      <c r="R352" s="38">
        <f>SUM(Q316:Q351)</f>
        <v/>
      </c>
      <c r="S352" s="41">
        <f>IF(OR($A352="",R352&lt;MIN_OBS_ROLL),"",(SUMPRODUCT(Q316:Q351,N316:N351,P316:P351)/R352-SUMPRODUCT(Q316:Q351,N316:N351)/R352*SUMPRODUCT(Q316:Q351,P316:P351)/R352)*R352/(R352-1))</f>
        <v/>
      </c>
      <c r="T352" s="38">
        <f>SUM(O316:O351)</f>
        <v/>
      </c>
      <c r="U352" s="41">
        <f>IF(OR($A352="",T352&lt;MIN_OBS_ROLL),"",SUMPRODUCT(O316:O351,(P316:P351-SUMPRODUCT(O316:O351,P316:P351)/T352)^2)/(T352-1))</f>
        <v/>
      </c>
      <c r="V352" s="40">
        <f>IF(OR(S352="",U352=""),"",S352/U352)</f>
        <v/>
      </c>
      <c r="W352" s="40">
        <f>IF(AND(ISNUMBER(K352),ISNUMBER(L352),ISNUMBER(V352)),K352-V352*L352,"")</f>
        <v/>
      </c>
      <c r="X352" s="40">
        <f>IF(OR($A352="",NOT(ISNUMBER(Datos!H352)),NOT(ISNUMBER(Datos!H351))),"",LN(Datos!H352)-LN(Datos!H351))</f>
        <v/>
      </c>
      <c r="Y352" s="38">
        <f>IF(ISNUMBER(W352),1,0)</f>
        <v/>
      </c>
      <c r="Z352" s="40">
        <f>IF(Y352=1,W352,0)</f>
        <v/>
      </c>
      <c r="AA352" s="38">
        <f>IF(ISNUMBER(X352),1,0)</f>
        <v/>
      </c>
      <c r="AB352" s="40">
        <f>IF(AA352=1,X352,0)</f>
        <v/>
      </c>
      <c r="AC352" s="38">
        <f>Y352*AA352</f>
        <v/>
      </c>
      <c r="AD352" s="38">
        <f>SUM(AC316:AC351)</f>
        <v/>
      </c>
      <c r="AE352" s="41">
        <f>IF(OR($A352="",AD352&lt;MIN_OBS_ROLL),"",(SUMPRODUCT(AC316:AC351,Z316:Z351,AB316:AB351)/AD352-SUMPRODUCT(AC316:AC351,Z316:Z351)/AD352*SUMPRODUCT(AC316:AC351,AB316:AB351)/AD352)*AD352/(AD352-1))</f>
        <v/>
      </c>
      <c r="AF352" s="38">
        <f>SUM(AA316:AA351)</f>
        <v/>
      </c>
      <c r="AG352" s="41">
        <f>IF(OR($A352="",AF352&lt;MIN_OBS_ROLL),"",SUMPRODUCT(AA316:AA351,(AB316:AB351-SUMPRODUCT(AA316:AA351,AB316:AB351)/AF352)^2)/(AF352-1))</f>
        <v/>
      </c>
      <c r="AH352" s="38">
        <f>SUM(Y316:Y351)</f>
        <v/>
      </c>
      <c r="AI352" s="40">
        <f>IF(OR($A352="",AH352&lt;MIN_OBS_ROLL),"",SUMPRODUCT(Y316:Y351,Z316:Z351)/AH352)</f>
        <v/>
      </c>
      <c r="AJ352" s="40">
        <f>IF(OR($A352="",AF352&lt;MIN_OBS_ROLL),"",SUMPRODUCT(AA316:AA351,AB316:AB351)/AF352)</f>
        <v/>
      </c>
      <c r="AK352" s="40">
        <f>IF(OR(AE352="",AG352=""),"",AE352/AG352)</f>
        <v/>
      </c>
      <c r="AL352" s="40">
        <f>IF(OR(AI352="",AK352="",AJ352=""),"",AI352-AK352*AJ352)</f>
        <v/>
      </c>
      <c r="AM352" s="40">
        <f>IF(AND(ISNUMBER(W352),ISNUMBER(X352),ISNUMBER(AK352),ISNUMBER(AL352)),W352-(AL352+AK352*X352),"")</f>
        <v/>
      </c>
      <c r="AN352" s="38">
        <f>IF(ISNUMBER(AM352),1,0)</f>
        <v/>
      </c>
      <c r="AO352" s="40">
        <f>IF(AN352=1,AM352,0)</f>
        <v/>
      </c>
      <c r="AP352" s="40">
        <f>IF(SUM(AN350:AN352)=3,SUM(AO350:AO352),"")</f>
        <v/>
      </c>
      <c r="AQ352" s="38">
        <f>IF(ISNUMBER(AP352),1,0)</f>
        <v/>
      </c>
      <c r="AR352" s="40">
        <f>IF(AQ352=1,AP352,0)</f>
        <v/>
      </c>
      <c r="AS352" s="38">
        <f>SUM(AQ$5:AQ352)</f>
        <v/>
      </c>
      <c r="AT352" s="40">
        <f>IF(AS352&gt;=MIN_OBS_Z,SUMPRODUCT(AQ$5:AQ352,AR$5:AR352)/AS352,"")</f>
        <v/>
      </c>
      <c r="AU352" s="40">
        <f>IF(AS352&gt;=MIN_OBS_Z,SQRT(SUMPRODUCT(AQ$5:AQ352,(AR$5:AR352-AT352)^2)/(AS352-1)),"")</f>
        <v/>
      </c>
      <c r="AV352" s="40">
        <f>IF(AND(AQ352=1,ISNUMBER(AT352)),MAX(-Z_CLIP,MIN(Z_CLIP,(AR352-AT352)/AU352)),"")</f>
        <v/>
      </c>
      <c r="AW352" s="40">
        <f>IF(ISNUMBER(AV352),-AV352,"")</f>
        <v/>
      </c>
      <c r="AX352" s="40">
        <f>IF(ISNUMBER(AW352),1+AMPLITUD*TANH(AW352),"")</f>
        <v/>
      </c>
      <c r="AY352" s="40">
        <f>IF($A352="","",IF(COUNT(AX350:AX352)&gt;0,AVERAGE(AX350:AX352),""))</f>
        <v/>
      </c>
      <c r="AZ352" s="40">
        <f>IF(ISNUMBER(AY352),AY352-1,"")</f>
        <v/>
      </c>
      <c r="BA352" s="40">
        <f>IF(AND(ISNUMBER(AZ351),ISNUMBER(W352)),AZ351*W_BANCOS*W352,"")</f>
        <v/>
      </c>
      <c r="BB352" s="40">
        <f>IF(AND(ISNUMBER(AZ351),ISNUMBER(AZ350)),ABS(AZ351-AZ350)*W_BANCOS*COSTO,0)</f>
        <v/>
      </c>
      <c r="BC352" s="40">
        <f>IF(ISNUMBER(BA352),BA352-BB352,"")</f>
        <v/>
      </c>
      <c r="BD352" s="42">
        <f>IF(ISNUMBER(BC352),IF(A352&lt;=FECHA_ERA,"A","B"),"")</f>
        <v/>
      </c>
      <c r="BE352" s="40">
        <f>IF(BD352="A",BC352,"")</f>
        <v/>
      </c>
      <c r="BF352" s="40">
        <f>IF(BD352="B",BC352,"")</f>
        <v/>
      </c>
      <c r="BG352" s="38">
        <f>IF(AND(ISNUMBER(BC352),ISNUMBER(A352)),IF(A352&gt;=INICIO_VIVO,1,0),0)</f>
        <v/>
      </c>
      <c r="BH352" s="40">
        <f>IF(BG352=1,BC352,"")</f>
        <v/>
      </c>
      <c r="BI352" s="38">
        <f>IF(ISNUMBER(AY352),ROW(),0)</f>
        <v/>
      </c>
      <c r="BJ352" s="43">
        <f>IF(ISNUMBER(BC352),SUM(BC$5:BC352)*10000,NA())</f>
        <v/>
      </c>
      <c r="BK352" s="43">
        <f>IF(BG352=1,SUM(BH$5:BH352)*10000,NA())</f>
        <v/>
      </c>
      <c r="BL352" s="44">
        <f>IF(ISNUMBER(AY352),AY352,NA())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79"/>
  <sheetViews>
    <sheetView showGridLines="1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0" customWidth="1" min="13" max="13"/>
    <col width="12" customWidth="1" min="14" max="14"/>
    <col width="12" customWidth="1" min="15" max="15"/>
    <col width="10" customWidth="1" min="16" max="16"/>
    <col width="12" customWidth="1" min="17" max="17"/>
    <col width="12" customWidth="1" min="18" max="18"/>
    <col width="10" customWidth="1" min="19" max="19"/>
    <col width="12" customWidth="1" min="20" max="20"/>
    <col width="12" customWidth="1" min="21" max="21"/>
    <col width="10" customWidth="1" min="22" max="22"/>
    <col width="12" customWidth="1" min="23" max="23"/>
    <col width="12" customWidth="1" min="24" max="24"/>
    <col width="10" customWidth="1" min="25" max="25"/>
    <col width="12" customWidth="1" min="26" max="26"/>
    <col width="12" customWidth="1" min="27" max="27"/>
    <col width="10" customWidth="1" min="28" max="28"/>
  </cols>
  <sheetData>
    <row r="1">
      <c r="A1" s="1" t="inlineStr">
        <is>
          <t>Validación contra Python (pandas) — historia hasta 2026-09-30</t>
        </is>
      </c>
    </row>
    <row r="2">
      <c r="A2" s="2" t="inlineStr">
        <is>
          <t>Valores de Python en azul (fijos). Diferencia = |Excel − Python|; 1 si uno existe y el otro no. Tolerancia: 1e-9.</t>
        </is>
      </c>
    </row>
    <row r="3">
      <c r="B3" s="3" t="inlineStr">
        <is>
          <t>Máx |dif| T2</t>
        </is>
      </c>
      <c r="E3" s="3" t="inlineStr">
        <is>
          <t>Máx |dif| BETA</t>
        </is>
      </c>
      <c r="H3" s="3" t="inlineStr">
        <is>
          <t>Máx |dif| B_E</t>
        </is>
      </c>
      <c r="K3" s="3" t="inlineStr">
        <is>
          <t>Máx |dif| A_E</t>
        </is>
      </c>
      <c r="N3" s="3" t="inlineStr">
        <is>
          <t>Máx |dif| GAP</t>
        </is>
      </c>
      <c r="Q3" s="3" t="inlineStr">
        <is>
          <t>Máx |dif| SCORE</t>
        </is>
      </c>
      <c r="T3" s="3" t="inlineStr">
        <is>
          <t>Máx |dif| M</t>
        </is>
      </c>
      <c r="W3" s="3" t="inlineStr">
        <is>
          <t>Máx |dif| M3</t>
        </is>
      </c>
      <c r="Z3" s="3" t="inlineStr">
        <is>
          <t>Máx |dif| NETO</t>
        </is>
      </c>
    </row>
    <row r="4">
      <c r="B4" s="45">
        <f>MAX(D7:D279)</f>
        <v/>
      </c>
      <c r="C4" s="3">
        <f>IF(B4&lt;=1E-9,"OK","REVISAR")</f>
        <v/>
      </c>
      <c r="E4" s="45">
        <f>MAX(G7:G279)</f>
        <v/>
      </c>
      <c r="F4" s="3">
        <f>IF(E4&lt;=1E-9,"OK","REVISAR")</f>
        <v/>
      </c>
      <c r="H4" s="45">
        <f>MAX(J7:J279)</f>
        <v/>
      </c>
      <c r="I4" s="3">
        <f>IF(H4&lt;=1E-9,"OK","REVISAR")</f>
        <v/>
      </c>
      <c r="K4" s="45">
        <f>MAX(M7:M279)</f>
        <v/>
      </c>
      <c r="L4" s="3">
        <f>IF(K4&lt;=1E-9,"OK","REVISAR")</f>
        <v/>
      </c>
      <c r="N4" s="45">
        <f>MAX(P7:P279)</f>
        <v/>
      </c>
      <c r="O4" s="3">
        <f>IF(N4&lt;=1E-9,"OK","REVISAR")</f>
        <v/>
      </c>
      <c r="Q4" s="45">
        <f>MAX(S7:S279)</f>
        <v/>
      </c>
      <c r="R4" s="3">
        <f>IF(Q4&lt;=1E-9,"OK","REVISAR")</f>
        <v/>
      </c>
      <c r="T4" s="45">
        <f>MAX(V7:V279)</f>
        <v/>
      </c>
      <c r="U4" s="3">
        <f>IF(T4&lt;=1E-9,"OK","REVISAR")</f>
        <v/>
      </c>
      <c r="W4" s="45">
        <f>MAX(Y7:Y279)</f>
        <v/>
      </c>
      <c r="X4" s="3">
        <f>IF(W4&lt;=1E-9,"OK","REVISAR")</f>
        <v/>
      </c>
      <c r="Z4" s="45">
        <f>MAX(AB7:AB279)</f>
        <v/>
      </c>
      <c r="AA4" s="3">
        <f>IF(Z4&lt;=1E-9,"OK","REVISAR")</f>
        <v/>
      </c>
    </row>
    <row r="6">
      <c r="A6" s="19" t="inlineStr">
        <is>
          <t>Fecha</t>
        </is>
      </c>
      <c r="B6" s="19" t="inlineStr">
        <is>
          <t>T2 Python</t>
        </is>
      </c>
      <c r="C6" s="19" t="inlineStr">
        <is>
          <t>T2 Excel</t>
        </is>
      </c>
      <c r="D6" s="19" t="inlineStr">
        <is>
          <t>T2 |dif|</t>
        </is>
      </c>
      <c r="E6" s="19" t="inlineStr">
        <is>
          <t>BETA Python</t>
        </is>
      </c>
      <c r="F6" s="19" t="inlineStr">
        <is>
          <t>BETA Excel</t>
        </is>
      </c>
      <c r="G6" s="19" t="inlineStr">
        <is>
          <t>BETA |dif|</t>
        </is>
      </c>
      <c r="H6" s="19" t="inlineStr">
        <is>
          <t>B_E Python</t>
        </is>
      </c>
      <c r="I6" s="19" t="inlineStr">
        <is>
          <t>B_E Excel</t>
        </is>
      </c>
      <c r="J6" s="19" t="inlineStr">
        <is>
          <t>B_E |dif|</t>
        </is>
      </c>
      <c r="K6" s="19" t="inlineStr">
        <is>
          <t>A_E Python</t>
        </is>
      </c>
      <c r="L6" s="19" t="inlineStr">
        <is>
          <t>A_E Excel</t>
        </is>
      </c>
      <c r="M6" s="19" t="inlineStr">
        <is>
          <t>A_E |dif|</t>
        </is>
      </c>
      <c r="N6" s="19" t="inlineStr">
        <is>
          <t>GAP Python</t>
        </is>
      </c>
      <c r="O6" s="19" t="inlineStr">
        <is>
          <t>GAP Excel</t>
        </is>
      </c>
      <c r="P6" s="19" t="inlineStr">
        <is>
          <t>GAP |dif|</t>
        </is>
      </c>
      <c r="Q6" s="19" t="inlineStr">
        <is>
          <t>SCORE Python</t>
        </is>
      </c>
      <c r="R6" s="19" t="inlineStr">
        <is>
          <t>SCORE Excel</t>
        </is>
      </c>
      <c r="S6" s="19" t="inlineStr">
        <is>
          <t>SCORE |dif|</t>
        </is>
      </c>
      <c r="T6" s="19" t="inlineStr">
        <is>
          <t>M Python</t>
        </is>
      </c>
      <c r="U6" s="19" t="inlineStr">
        <is>
          <t>M Excel</t>
        </is>
      </c>
      <c r="V6" s="19" t="inlineStr">
        <is>
          <t>M |dif|</t>
        </is>
      </c>
      <c r="W6" s="19" t="inlineStr">
        <is>
          <t>M3 Python</t>
        </is>
      </c>
      <c r="X6" s="19" t="inlineStr">
        <is>
          <t>M3 Excel</t>
        </is>
      </c>
      <c r="Y6" s="19" t="inlineStr">
        <is>
          <t>M3 |dif|</t>
        </is>
      </c>
      <c r="Z6" s="19" t="inlineStr">
        <is>
          <t>NETO Python</t>
        </is>
      </c>
      <c r="AA6" s="19" t="inlineStr">
        <is>
          <t>NETO Excel</t>
        </is>
      </c>
      <c r="AB6" s="19" t="inlineStr">
        <is>
          <t>NETO |dif|</t>
        </is>
      </c>
    </row>
    <row r="7">
      <c r="A7" s="36">
        <f>Calculo!A5</f>
        <v/>
      </c>
      <c r="B7" s="46" t="n"/>
      <c r="C7" s="47">
        <f>Calculo!W5</f>
        <v/>
      </c>
      <c r="D7" s="45">
        <f>IF(AND(ISNUMBER(B7),ISNUMBER(C7)),ABS(C7-B7),IF(ISNUMBER(B7)=ISNUMBER(C7),0,1))</f>
        <v/>
      </c>
      <c r="E7" s="46" t="n"/>
      <c r="F7" s="47">
        <f>Calculo!V5</f>
        <v/>
      </c>
      <c r="G7" s="45">
        <f>IF(AND(ISNUMBER(E7),ISNUMBER(F7)),ABS(F7-E7),IF(ISNUMBER(E7)=ISNUMBER(F7),0,1))</f>
        <v/>
      </c>
      <c r="H7" s="46" t="n"/>
      <c r="I7" s="47">
        <f>Calculo!AK5</f>
        <v/>
      </c>
      <c r="J7" s="45">
        <f>IF(AND(ISNUMBER(H7),ISNUMBER(I7)),ABS(I7-H7),IF(ISNUMBER(H7)=ISNUMBER(I7),0,1))</f>
        <v/>
      </c>
      <c r="K7" s="46" t="n"/>
      <c r="L7" s="47">
        <f>Calculo!AL5</f>
        <v/>
      </c>
      <c r="M7" s="45">
        <f>IF(AND(ISNUMBER(K7),ISNUMBER(L7)),ABS(L7-K7),IF(ISNUMBER(K7)=ISNUMBER(L7),0,1))</f>
        <v/>
      </c>
      <c r="N7" s="46" t="n"/>
      <c r="O7" s="47">
        <f>Calculo!AP5</f>
        <v/>
      </c>
      <c r="P7" s="45">
        <f>IF(AND(ISNUMBER(N7),ISNUMBER(O7)),ABS(O7-N7),IF(ISNUMBER(N7)=ISNUMBER(O7),0,1))</f>
        <v/>
      </c>
      <c r="Q7" s="46" t="n"/>
      <c r="R7" s="47">
        <f>Calculo!AW5</f>
        <v/>
      </c>
      <c r="S7" s="45">
        <f>IF(AND(ISNUMBER(Q7),ISNUMBER(R7)),ABS(R7-Q7),IF(ISNUMBER(Q7)=ISNUMBER(R7),0,1))</f>
        <v/>
      </c>
      <c r="T7" s="46" t="n"/>
      <c r="U7" s="47">
        <f>Calculo!AX5</f>
        <v/>
      </c>
      <c r="V7" s="45">
        <f>IF(AND(ISNUMBER(T7),ISNUMBER(U7)),ABS(U7-T7),IF(ISNUMBER(T7)=ISNUMBER(U7),0,1))</f>
        <v/>
      </c>
      <c r="W7" s="46" t="n"/>
      <c r="X7" s="47">
        <f>Calculo!AY5</f>
        <v/>
      </c>
      <c r="Y7" s="45">
        <f>IF(AND(ISNUMBER(W7),ISNUMBER(X7)),ABS(X7-W7),IF(ISNUMBER(W7)=ISNUMBER(X7),0,1))</f>
        <v/>
      </c>
      <c r="Z7" s="46" t="n"/>
      <c r="AA7" s="47">
        <f>Calculo!BC5</f>
        <v/>
      </c>
      <c r="AB7" s="45">
        <f>IF(AND(ISNUMBER(Z7),ISNUMBER(AA7)),ABS(AA7-Z7),IF(ISNUMBER(Z7)=ISNUMBER(AA7),0,1))</f>
        <v/>
      </c>
    </row>
    <row r="8">
      <c r="A8" s="36">
        <f>Calculo!A6</f>
        <v/>
      </c>
      <c r="B8" s="46" t="n"/>
      <c r="C8" s="47">
        <f>Calculo!W6</f>
        <v/>
      </c>
      <c r="D8" s="45">
        <f>IF(AND(ISNUMBER(B8),ISNUMBER(C8)),ABS(C8-B8),IF(ISNUMBER(B8)=ISNUMBER(C8),0,1))</f>
        <v/>
      </c>
      <c r="E8" s="46" t="n"/>
      <c r="F8" s="47">
        <f>Calculo!V6</f>
        <v/>
      </c>
      <c r="G8" s="45">
        <f>IF(AND(ISNUMBER(E8),ISNUMBER(F8)),ABS(F8-E8),IF(ISNUMBER(E8)=ISNUMBER(F8),0,1))</f>
        <v/>
      </c>
      <c r="H8" s="46" t="n"/>
      <c r="I8" s="47">
        <f>Calculo!AK6</f>
        <v/>
      </c>
      <c r="J8" s="45">
        <f>IF(AND(ISNUMBER(H8),ISNUMBER(I8)),ABS(I8-H8),IF(ISNUMBER(H8)=ISNUMBER(I8),0,1))</f>
        <v/>
      </c>
      <c r="K8" s="46" t="n"/>
      <c r="L8" s="47">
        <f>Calculo!AL6</f>
        <v/>
      </c>
      <c r="M8" s="45">
        <f>IF(AND(ISNUMBER(K8),ISNUMBER(L8)),ABS(L8-K8),IF(ISNUMBER(K8)=ISNUMBER(L8),0,1))</f>
        <v/>
      </c>
      <c r="N8" s="46" t="n"/>
      <c r="O8" s="47">
        <f>Calculo!AP6</f>
        <v/>
      </c>
      <c r="P8" s="45">
        <f>IF(AND(ISNUMBER(N8),ISNUMBER(O8)),ABS(O8-N8),IF(ISNUMBER(N8)=ISNUMBER(O8),0,1))</f>
        <v/>
      </c>
      <c r="Q8" s="46" t="n"/>
      <c r="R8" s="47">
        <f>Calculo!AW6</f>
        <v/>
      </c>
      <c r="S8" s="45">
        <f>IF(AND(ISNUMBER(Q8),ISNUMBER(R8)),ABS(R8-Q8),IF(ISNUMBER(Q8)=ISNUMBER(R8),0,1))</f>
        <v/>
      </c>
      <c r="T8" s="46" t="n"/>
      <c r="U8" s="47">
        <f>Calculo!AX6</f>
        <v/>
      </c>
      <c r="V8" s="45">
        <f>IF(AND(ISNUMBER(T8),ISNUMBER(U8)),ABS(U8-T8),IF(ISNUMBER(T8)=ISNUMBER(U8),0,1))</f>
        <v/>
      </c>
      <c r="W8" s="46" t="n"/>
      <c r="X8" s="47">
        <f>Calculo!AY6</f>
        <v/>
      </c>
      <c r="Y8" s="45">
        <f>IF(AND(ISNUMBER(W8),ISNUMBER(X8)),ABS(X8-W8),IF(ISNUMBER(W8)=ISNUMBER(X8),0,1))</f>
        <v/>
      </c>
      <c r="Z8" s="46" t="n"/>
      <c r="AA8" s="47">
        <f>Calculo!BC6</f>
        <v/>
      </c>
      <c r="AB8" s="45">
        <f>IF(AND(ISNUMBER(Z8),ISNUMBER(AA8)),ABS(AA8-Z8),IF(ISNUMBER(Z8)=ISNUMBER(AA8),0,1))</f>
        <v/>
      </c>
    </row>
    <row r="9">
      <c r="A9" s="36">
        <f>Calculo!A7</f>
        <v/>
      </c>
      <c r="B9" s="46" t="n"/>
      <c r="C9" s="47">
        <f>Calculo!W7</f>
        <v/>
      </c>
      <c r="D9" s="45">
        <f>IF(AND(ISNUMBER(B9),ISNUMBER(C9)),ABS(C9-B9),IF(ISNUMBER(B9)=ISNUMBER(C9),0,1))</f>
        <v/>
      </c>
      <c r="E9" s="46" t="n"/>
      <c r="F9" s="47">
        <f>Calculo!V7</f>
        <v/>
      </c>
      <c r="G9" s="45">
        <f>IF(AND(ISNUMBER(E9),ISNUMBER(F9)),ABS(F9-E9),IF(ISNUMBER(E9)=ISNUMBER(F9),0,1))</f>
        <v/>
      </c>
      <c r="H9" s="46" t="n"/>
      <c r="I9" s="47">
        <f>Calculo!AK7</f>
        <v/>
      </c>
      <c r="J9" s="45">
        <f>IF(AND(ISNUMBER(H9),ISNUMBER(I9)),ABS(I9-H9),IF(ISNUMBER(H9)=ISNUMBER(I9),0,1))</f>
        <v/>
      </c>
      <c r="K9" s="46" t="n"/>
      <c r="L9" s="47">
        <f>Calculo!AL7</f>
        <v/>
      </c>
      <c r="M9" s="45">
        <f>IF(AND(ISNUMBER(K9),ISNUMBER(L9)),ABS(L9-K9),IF(ISNUMBER(K9)=ISNUMBER(L9),0,1))</f>
        <v/>
      </c>
      <c r="N9" s="46" t="n"/>
      <c r="O9" s="47">
        <f>Calculo!AP7</f>
        <v/>
      </c>
      <c r="P9" s="45">
        <f>IF(AND(ISNUMBER(N9),ISNUMBER(O9)),ABS(O9-N9),IF(ISNUMBER(N9)=ISNUMBER(O9),0,1))</f>
        <v/>
      </c>
      <c r="Q9" s="46" t="n"/>
      <c r="R9" s="47">
        <f>Calculo!AW7</f>
        <v/>
      </c>
      <c r="S9" s="45">
        <f>IF(AND(ISNUMBER(Q9),ISNUMBER(R9)),ABS(R9-Q9),IF(ISNUMBER(Q9)=ISNUMBER(R9),0,1))</f>
        <v/>
      </c>
      <c r="T9" s="46" t="n"/>
      <c r="U9" s="47">
        <f>Calculo!AX7</f>
        <v/>
      </c>
      <c r="V9" s="45">
        <f>IF(AND(ISNUMBER(T9),ISNUMBER(U9)),ABS(U9-T9),IF(ISNUMBER(T9)=ISNUMBER(U9),0,1))</f>
        <v/>
      </c>
      <c r="W9" s="46" t="n"/>
      <c r="X9" s="47">
        <f>Calculo!AY7</f>
        <v/>
      </c>
      <c r="Y9" s="45">
        <f>IF(AND(ISNUMBER(W9),ISNUMBER(X9)),ABS(X9-W9),IF(ISNUMBER(W9)=ISNUMBER(X9),0,1))</f>
        <v/>
      </c>
      <c r="Z9" s="46" t="n"/>
      <c r="AA9" s="47">
        <f>Calculo!BC7</f>
        <v/>
      </c>
      <c r="AB9" s="45">
        <f>IF(AND(ISNUMBER(Z9),ISNUMBER(AA9)),ABS(AA9-Z9),IF(ISNUMBER(Z9)=ISNUMBER(AA9),0,1))</f>
        <v/>
      </c>
    </row>
    <row r="10">
      <c r="A10" s="36">
        <f>Calculo!A8</f>
        <v/>
      </c>
      <c r="B10" s="46" t="n"/>
      <c r="C10" s="47">
        <f>Calculo!W8</f>
        <v/>
      </c>
      <c r="D10" s="45">
        <f>IF(AND(ISNUMBER(B10),ISNUMBER(C10)),ABS(C10-B10),IF(ISNUMBER(B10)=ISNUMBER(C10),0,1))</f>
        <v/>
      </c>
      <c r="E10" s="46" t="n"/>
      <c r="F10" s="47">
        <f>Calculo!V8</f>
        <v/>
      </c>
      <c r="G10" s="45">
        <f>IF(AND(ISNUMBER(E10),ISNUMBER(F10)),ABS(F10-E10),IF(ISNUMBER(E10)=ISNUMBER(F10),0,1))</f>
        <v/>
      </c>
      <c r="H10" s="46" t="n"/>
      <c r="I10" s="47">
        <f>Calculo!AK8</f>
        <v/>
      </c>
      <c r="J10" s="45">
        <f>IF(AND(ISNUMBER(H10),ISNUMBER(I10)),ABS(I10-H10),IF(ISNUMBER(H10)=ISNUMBER(I10),0,1))</f>
        <v/>
      </c>
      <c r="K10" s="46" t="n"/>
      <c r="L10" s="47">
        <f>Calculo!AL8</f>
        <v/>
      </c>
      <c r="M10" s="45">
        <f>IF(AND(ISNUMBER(K10),ISNUMBER(L10)),ABS(L10-K10),IF(ISNUMBER(K10)=ISNUMBER(L10),0,1))</f>
        <v/>
      </c>
      <c r="N10" s="46" t="n"/>
      <c r="O10" s="47">
        <f>Calculo!AP8</f>
        <v/>
      </c>
      <c r="P10" s="45">
        <f>IF(AND(ISNUMBER(N10),ISNUMBER(O10)),ABS(O10-N10),IF(ISNUMBER(N10)=ISNUMBER(O10),0,1))</f>
        <v/>
      </c>
      <c r="Q10" s="46" t="n"/>
      <c r="R10" s="47">
        <f>Calculo!AW8</f>
        <v/>
      </c>
      <c r="S10" s="45">
        <f>IF(AND(ISNUMBER(Q10),ISNUMBER(R10)),ABS(R10-Q10),IF(ISNUMBER(Q10)=ISNUMBER(R10),0,1))</f>
        <v/>
      </c>
      <c r="T10" s="46" t="n"/>
      <c r="U10" s="47">
        <f>Calculo!AX8</f>
        <v/>
      </c>
      <c r="V10" s="45">
        <f>IF(AND(ISNUMBER(T10),ISNUMBER(U10)),ABS(U10-T10),IF(ISNUMBER(T10)=ISNUMBER(U10),0,1))</f>
        <v/>
      </c>
      <c r="W10" s="46" t="n"/>
      <c r="X10" s="47">
        <f>Calculo!AY8</f>
        <v/>
      </c>
      <c r="Y10" s="45">
        <f>IF(AND(ISNUMBER(W10),ISNUMBER(X10)),ABS(X10-W10),IF(ISNUMBER(W10)=ISNUMBER(X10),0,1))</f>
        <v/>
      </c>
      <c r="Z10" s="46" t="n"/>
      <c r="AA10" s="47">
        <f>Calculo!BC8</f>
        <v/>
      </c>
      <c r="AB10" s="45">
        <f>IF(AND(ISNUMBER(Z10),ISNUMBER(AA10)),ABS(AA10-Z10),IF(ISNUMBER(Z10)=ISNUMBER(AA10),0,1))</f>
        <v/>
      </c>
    </row>
    <row r="11">
      <c r="A11" s="36">
        <f>Calculo!A9</f>
        <v/>
      </c>
      <c r="B11" s="46" t="n"/>
      <c r="C11" s="47">
        <f>Calculo!W9</f>
        <v/>
      </c>
      <c r="D11" s="45">
        <f>IF(AND(ISNUMBER(B11),ISNUMBER(C11)),ABS(C11-B11),IF(ISNUMBER(B11)=ISNUMBER(C11),0,1))</f>
        <v/>
      </c>
      <c r="E11" s="46" t="n"/>
      <c r="F11" s="47">
        <f>Calculo!V9</f>
        <v/>
      </c>
      <c r="G11" s="45">
        <f>IF(AND(ISNUMBER(E11),ISNUMBER(F11)),ABS(F11-E11),IF(ISNUMBER(E11)=ISNUMBER(F11),0,1))</f>
        <v/>
      </c>
      <c r="H11" s="46" t="n"/>
      <c r="I11" s="47">
        <f>Calculo!AK9</f>
        <v/>
      </c>
      <c r="J11" s="45">
        <f>IF(AND(ISNUMBER(H11),ISNUMBER(I11)),ABS(I11-H11),IF(ISNUMBER(H11)=ISNUMBER(I11),0,1))</f>
        <v/>
      </c>
      <c r="K11" s="46" t="n"/>
      <c r="L11" s="47">
        <f>Calculo!AL9</f>
        <v/>
      </c>
      <c r="M11" s="45">
        <f>IF(AND(ISNUMBER(K11),ISNUMBER(L11)),ABS(L11-K11),IF(ISNUMBER(K11)=ISNUMBER(L11),0,1))</f>
        <v/>
      </c>
      <c r="N11" s="46" t="n"/>
      <c r="O11" s="47">
        <f>Calculo!AP9</f>
        <v/>
      </c>
      <c r="P11" s="45">
        <f>IF(AND(ISNUMBER(N11),ISNUMBER(O11)),ABS(O11-N11),IF(ISNUMBER(N11)=ISNUMBER(O11),0,1))</f>
        <v/>
      </c>
      <c r="Q11" s="46" t="n"/>
      <c r="R11" s="47">
        <f>Calculo!AW9</f>
        <v/>
      </c>
      <c r="S11" s="45">
        <f>IF(AND(ISNUMBER(Q11),ISNUMBER(R11)),ABS(R11-Q11),IF(ISNUMBER(Q11)=ISNUMBER(R11),0,1))</f>
        <v/>
      </c>
      <c r="T11" s="46" t="n"/>
      <c r="U11" s="47">
        <f>Calculo!AX9</f>
        <v/>
      </c>
      <c r="V11" s="45">
        <f>IF(AND(ISNUMBER(T11),ISNUMBER(U11)),ABS(U11-T11),IF(ISNUMBER(T11)=ISNUMBER(U11),0,1))</f>
        <v/>
      </c>
      <c r="W11" s="46" t="n"/>
      <c r="X11" s="47">
        <f>Calculo!AY9</f>
        <v/>
      </c>
      <c r="Y11" s="45">
        <f>IF(AND(ISNUMBER(W11),ISNUMBER(X11)),ABS(X11-W11),IF(ISNUMBER(W11)=ISNUMBER(X11),0,1))</f>
        <v/>
      </c>
      <c r="Z11" s="46" t="n"/>
      <c r="AA11" s="47">
        <f>Calculo!BC9</f>
        <v/>
      </c>
      <c r="AB11" s="45">
        <f>IF(AND(ISNUMBER(Z11),ISNUMBER(AA11)),ABS(AA11-Z11),IF(ISNUMBER(Z11)=ISNUMBER(AA11),0,1))</f>
        <v/>
      </c>
    </row>
    <row r="12">
      <c r="A12" s="36">
        <f>Calculo!A10</f>
        <v/>
      </c>
      <c r="B12" s="46" t="n"/>
      <c r="C12" s="47">
        <f>Calculo!W10</f>
        <v/>
      </c>
      <c r="D12" s="45">
        <f>IF(AND(ISNUMBER(B12),ISNUMBER(C12)),ABS(C12-B12),IF(ISNUMBER(B12)=ISNUMBER(C12),0,1))</f>
        <v/>
      </c>
      <c r="E12" s="46" t="n"/>
      <c r="F12" s="47">
        <f>Calculo!V10</f>
        <v/>
      </c>
      <c r="G12" s="45">
        <f>IF(AND(ISNUMBER(E12),ISNUMBER(F12)),ABS(F12-E12),IF(ISNUMBER(E12)=ISNUMBER(F12),0,1))</f>
        <v/>
      </c>
      <c r="H12" s="46" t="n"/>
      <c r="I12" s="47">
        <f>Calculo!AK10</f>
        <v/>
      </c>
      <c r="J12" s="45">
        <f>IF(AND(ISNUMBER(H12),ISNUMBER(I12)),ABS(I12-H12),IF(ISNUMBER(H12)=ISNUMBER(I12),0,1))</f>
        <v/>
      </c>
      <c r="K12" s="46" t="n"/>
      <c r="L12" s="47">
        <f>Calculo!AL10</f>
        <v/>
      </c>
      <c r="M12" s="45">
        <f>IF(AND(ISNUMBER(K12),ISNUMBER(L12)),ABS(L12-K12),IF(ISNUMBER(K12)=ISNUMBER(L12),0,1))</f>
        <v/>
      </c>
      <c r="N12" s="46" t="n"/>
      <c r="O12" s="47">
        <f>Calculo!AP10</f>
        <v/>
      </c>
      <c r="P12" s="45">
        <f>IF(AND(ISNUMBER(N12),ISNUMBER(O12)),ABS(O12-N12),IF(ISNUMBER(N12)=ISNUMBER(O12),0,1))</f>
        <v/>
      </c>
      <c r="Q12" s="46" t="n"/>
      <c r="R12" s="47">
        <f>Calculo!AW10</f>
        <v/>
      </c>
      <c r="S12" s="45">
        <f>IF(AND(ISNUMBER(Q12),ISNUMBER(R12)),ABS(R12-Q12),IF(ISNUMBER(Q12)=ISNUMBER(R12),0,1))</f>
        <v/>
      </c>
      <c r="T12" s="46" t="n"/>
      <c r="U12" s="47">
        <f>Calculo!AX10</f>
        <v/>
      </c>
      <c r="V12" s="45">
        <f>IF(AND(ISNUMBER(T12),ISNUMBER(U12)),ABS(U12-T12),IF(ISNUMBER(T12)=ISNUMBER(U12),0,1))</f>
        <v/>
      </c>
      <c r="W12" s="46" t="n"/>
      <c r="X12" s="47">
        <f>Calculo!AY10</f>
        <v/>
      </c>
      <c r="Y12" s="45">
        <f>IF(AND(ISNUMBER(W12),ISNUMBER(X12)),ABS(X12-W12),IF(ISNUMBER(W12)=ISNUMBER(X12),0,1))</f>
        <v/>
      </c>
      <c r="Z12" s="46" t="n"/>
      <c r="AA12" s="47">
        <f>Calculo!BC10</f>
        <v/>
      </c>
      <c r="AB12" s="45">
        <f>IF(AND(ISNUMBER(Z12),ISNUMBER(AA12)),ABS(AA12-Z12),IF(ISNUMBER(Z12)=ISNUMBER(AA12),0,1))</f>
        <v/>
      </c>
    </row>
    <row r="13">
      <c r="A13" s="36">
        <f>Calculo!A11</f>
        <v/>
      </c>
      <c r="B13" s="46" t="n"/>
      <c r="C13" s="47">
        <f>Calculo!W11</f>
        <v/>
      </c>
      <c r="D13" s="45">
        <f>IF(AND(ISNUMBER(B13),ISNUMBER(C13)),ABS(C13-B13),IF(ISNUMBER(B13)=ISNUMBER(C13),0,1))</f>
        <v/>
      </c>
      <c r="E13" s="46" t="n"/>
      <c r="F13" s="47">
        <f>Calculo!V11</f>
        <v/>
      </c>
      <c r="G13" s="45">
        <f>IF(AND(ISNUMBER(E13),ISNUMBER(F13)),ABS(F13-E13),IF(ISNUMBER(E13)=ISNUMBER(F13),0,1))</f>
        <v/>
      </c>
      <c r="H13" s="46" t="n"/>
      <c r="I13" s="47">
        <f>Calculo!AK11</f>
        <v/>
      </c>
      <c r="J13" s="45">
        <f>IF(AND(ISNUMBER(H13),ISNUMBER(I13)),ABS(I13-H13),IF(ISNUMBER(H13)=ISNUMBER(I13),0,1))</f>
        <v/>
      </c>
      <c r="K13" s="46" t="n"/>
      <c r="L13" s="47">
        <f>Calculo!AL11</f>
        <v/>
      </c>
      <c r="M13" s="45">
        <f>IF(AND(ISNUMBER(K13),ISNUMBER(L13)),ABS(L13-K13),IF(ISNUMBER(K13)=ISNUMBER(L13),0,1))</f>
        <v/>
      </c>
      <c r="N13" s="46" t="n"/>
      <c r="O13" s="47">
        <f>Calculo!AP11</f>
        <v/>
      </c>
      <c r="P13" s="45">
        <f>IF(AND(ISNUMBER(N13),ISNUMBER(O13)),ABS(O13-N13),IF(ISNUMBER(N13)=ISNUMBER(O13),0,1))</f>
        <v/>
      </c>
      <c r="Q13" s="46" t="n"/>
      <c r="R13" s="47">
        <f>Calculo!AW11</f>
        <v/>
      </c>
      <c r="S13" s="45">
        <f>IF(AND(ISNUMBER(Q13),ISNUMBER(R13)),ABS(R13-Q13),IF(ISNUMBER(Q13)=ISNUMBER(R13),0,1))</f>
        <v/>
      </c>
      <c r="T13" s="46" t="n"/>
      <c r="U13" s="47">
        <f>Calculo!AX11</f>
        <v/>
      </c>
      <c r="V13" s="45">
        <f>IF(AND(ISNUMBER(T13),ISNUMBER(U13)),ABS(U13-T13),IF(ISNUMBER(T13)=ISNUMBER(U13),0,1))</f>
        <v/>
      </c>
      <c r="W13" s="46" t="n"/>
      <c r="X13" s="47">
        <f>Calculo!AY11</f>
        <v/>
      </c>
      <c r="Y13" s="45">
        <f>IF(AND(ISNUMBER(W13),ISNUMBER(X13)),ABS(X13-W13),IF(ISNUMBER(W13)=ISNUMBER(X13),0,1))</f>
        <v/>
      </c>
      <c r="Z13" s="46" t="n"/>
      <c r="AA13" s="47">
        <f>Calculo!BC11</f>
        <v/>
      </c>
      <c r="AB13" s="45">
        <f>IF(AND(ISNUMBER(Z13),ISNUMBER(AA13)),ABS(AA13-Z13),IF(ISNUMBER(Z13)=ISNUMBER(AA13),0,1))</f>
        <v/>
      </c>
    </row>
    <row r="14">
      <c r="A14" s="36">
        <f>Calculo!A12</f>
        <v/>
      </c>
      <c r="B14" s="46" t="n"/>
      <c r="C14" s="47">
        <f>Calculo!W12</f>
        <v/>
      </c>
      <c r="D14" s="45">
        <f>IF(AND(ISNUMBER(B14),ISNUMBER(C14)),ABS(C14-B14),IF(ISNUMBER(B14)=ISNUMBER(C14),0,1))</f>
        <v/>
      </c>
      <c r="E14" s="46" t="n"/>
      <c r="F14" s="47">
        <f>Calculo!V12</f>
        <v/>
      </c>
      <c r="G14" s="45">
        <f>IF(AND(ISNUMBER(E14),ISNUMBER(F14)),ABS(F14-E14),IF(ISNUMBER(E14)=ISNUMBER(F14),0,1))</f>
        <v/>
      </c>
      <c r="H14" s="46" t="n"/>
      <c r="I14" s="47">
        <f>Calculo!AK12</f>
        <v/>
      </c>
      <c r="J14" s="45">
        <f>IF(AND(ISNUMBER(H14),ISNUMBER(I14)),ABS(I14-H14),IF(ISNUMBER(H14)=ISNUMBER(I14),0,1))</f>
        <v/>
      </c>
      <c r="K14" s="46" t="n"/>
      <c r="L14" s="47">
        <f>Calculo!AL12</f>
        <v/>
      </c>
      <c r="M14" s="45">
        <f>IF(AND(ISNUMBER(K14),ISNUMBER(L14)),ABS(L14-K14),IF(ISNUMBER(K14)=ISNUMBER(L14),0,1))</f>
        <v/>
      </c>
      <c r="N14" s="46" t="n"/>
      <c r="O14" s="47">
        <f>Calculo!AP12</f>
        <v/>
      </c>
      <c r="P14" s="45">
        <f>IF(AND(ISNUMBER(N14),ISNUMBER(O14)),ABS(O14-N14),IF(ISNUMBER(N14)=ISNUMBER(O14),0,1))</f>
        <v/>
      </c>
      <c r="Q14" s="46" t="n"/>
      <c r="R14" s="47">
        <f>Calculo!AW12</f>
        <v/>
      </c>
      <c r="S14" s="45">
        <f>IF(AND(ISNUMBER(Q14),ISNUMBER(R14)),ABS(R14-Q14),IF(ISNUMBER(Q14)=ISNUMBER(R14),0,1))</f>
        <v/>
      </c>
      <c r="T14" s="46" t="n"/>
      <c r="U14" s="47">
        <f>Calculo!AX12</f>
        <v/>
      </c>
      <c r="V14" s="45">
        <f>IF(AND(ISNUMBER(T14),ISNUMBER(U14)),ABS(U14-T14),IF(ISNUMBER(T14)=ISNUMBER(U14),0,1))</f>
        <v/>
      </c>
      <c r="W14" s="46" t="n"/>
      <c r="X14" s="47">
        <f>Calculo!AY12</f>
        <v/>
      </c>
      <c r="Y14" s="45">
        <f>IF(AND(ISNUMBER(W14),ISNUMBER(X14)),ABS(X14-W14),IF(ISNUMBER(W14)=ISNUMBER(X14),0,1))</f>
        <v/>
      </c>
      <c r="Z14" s="46" t="n"/>
      <c r="AA14" s="47">
        <f>Calculo!BC12</f>
        <v/>
      </c>
      <c r="AB14" s="45">
        <f>IF(AND(ISNUMBER(Z14),ISNUMBER(AA14)),ABS(AA14-Z14),IF(ISNUMBER(Z14)=ISNUMBER(AA14),0,1))</f>
        <v/>
      </c>
    </row>
    <row r="15">
      <c r="A15" s="36">
        <f>Calculo!A13</f>
        <v/>
      </c>
      <c r="B15" s="46" t="n"/>
      <c r="C15" s="47">
        <f>Calculo!W13</f>
        <v/>
      </c>
      <c r="D15" s="45">
        <f>IF(AND(ISNUMBER(B15),ISNUMBER(C15)),ABS(C15-B15),IF(ISNUMBER(B15)=ISNUMBER(C15),0,1))</f>
        <v/>
      </c>
      <c r="E15" s="46" t="n"/>
      <c r="F15" s="47">
        <f>Calculo!V13</f>
        <v/>
      </c>
      <c r="G15" s="45">
        <f>IF(AND(ISNUMBER(E15),ISNUMBER(F15)),ABS(F15-E15),IF(ISNUMBER(E15)=ISNUMBER(F15),0,1))</f>
        <v/>
      </c>
      <c r="H15" s="46" t="n"/>
      <c r="I15" s="47">
        <f>Calculo!AK13</f>
        <v/>
      </c>
      <c r="J15" s="45">
        <f>IF(AND(ISNUMBER(H15),ISNUMBER(I15)),ABS(I15-H15),IF(ISNUMBER(H15)=ISNUMBER(I15),0,1))</f>
        <v/>
      </c>
      <c r="K15" s="46" t="n"/>
      <c r="L15" s="47">
        <f>Calculo!AL13</f>
        <v/>
      </c>
      <c r="M15" s="45">
        <f>IF(AND(ISNUMBER(K15),ISNUMBER(L15)),ABS(L15-K15),IF(ISNUMBER(K15)=ISNUMBER(L15),0,1))</f>
        <v/>
      </c>
      <c r="N15" s="46" t="n"/>
      <c r="O15" s="47">
        <f>Calculo!AP13</f>
        <v/>
      </c>
      <c r="P15" s="45">
        <f>IF(AND(ISNUMBER(N15),ISNUMBER(O15)),ABS(O15-N15),IF(ISNUMBER(N15)=ISNUMBER(O15),0,1))</f>
        <v/>
      </c>
      <c r="Q15" s="46" t="n"/>
      <c r="R15" s="47">
        <f>Calculo!AW13</f>
        <v/>
      </c>
      <c r="S15" s="45">
        <f>IF(AND(ISNUMBER(Q15),ISNUMBER(R15)),ABS(R15-Q15),IF(ISNUMBER(Q15)=ISNUMBER(R15),0,1))</f>
        <v/>
      </c>
      <c r="T15" s="46" t="n"/>
      <c r="U15" s="47">
        <f>Calculo!AX13</f>
        <v/>
      </c>
      <c r="V15" s="45">
        <f>IF(AND(ISNUMBER(T15),ISNUMBER(U15)),ABS(U15-T15),IF(ISNUMBER(T15)=ISNUMBER(U15),0,1))</f>
        <v/>
      </c>
      <c r="W15" s="46" t="n"/>
      <c r="X15" s="47">
        <f>Calculo!AY13</f>
        <v/>
      </c>
      <c r="Y15" s="45">
        <f>IF(AND(ISNUMBER(W15),ISNUMBER(X15)),ABS(X15-W15),IF(ISNUMBER(W15)=ISNUMBER(X15),0,1))</f>
        <v/>
      </c>
      <c r="Z15" s="46" t="n"/>
      <c r="AA15" s="47">
        <f>Calculo!BC13</f>
        <v/>
      </c>
      <c r="AB15" s="45">
        <f>IF(AND(ISNUMBER(Z15),ISNUMBER(AA15)),ABS(AA15-Z15),IF(ISNUMBER(Z15)=ISNUMBER(AA15),0,1))</f>
        <v/>
      </c>
    </row>
    <row r="16">
      <c r="A16" s="36">
        <f>Calculo!A14</f>
        <v/>
      </c>
      <c r="B16" s="46" t="n"/>
      <c r="C16" s="47">
        <f>Calculo!W14</f>
        <v/>
      </c>
      <c r="D16" s="45">
        <f>IF(AND(ISNUMBER(B16),ISNUMBER(C16)),ABS(C16-B16),IF(ISNUMBER(B16)=ISNUMBER(C16),0,1))</f>
        <v/>
      </c>
      <c r="E16" s="46" t="n"/>
      <c r="F16" s="47">
        <f>Calculo!V14</f>
        <v/>
      </c>
      <c r="G16" s="45">
        <f>IF(AND(ISNUMBER(E16),ISNUMBER(F16)),ABS(F16-E16),IF(ISNUMBER(E16)=ISNUMBER(F16),0,1))</f>
        <v/>
      </c>
      <c r="H16" s="46" t="n"/>
      <c r="I16" s="47">
        <f>Calculo!AK14</f>
        <v/>
      </c>
      <c r="J16" s="45">
        <f>IF(AND(ISNUMBER(H16),ISNUMBER(I16)),ABS(I16-H16),IF(ISNUMBER(H16)=ISNUMBER(I16),0,1))</f>
        <v/>
      </c>
      <c r="K16" s="46" t="n"/>
      <c r="L16" s="47">
        <f>Calculo!AL14</f>
        <v/>
      </c>
      <c r="M16" s="45">
        <f>IF(AND(ISNUMBER(K16),ISNUMBER(L16)),ABS(L16-K16),IF(ISNUMBER(K16)=ISNUMBER(L16),0,1))</f>
        <v/>
      </c>
      <c r="N16" s="46" t="n"/>
      <c r="O16" s="47">
        <f>Calculo!AP14</f>
        <v/>
      </c>
      <c r="P16" s="45">
        <f>IF(AND(ISNUMBER(N16),ISNUMBER(O16)),ABS(O16-N16),IF(ISNUMBER(N16)=ISNUMBER(O16),0,1))</f>
        <v/>
      </c>
      <c r="Q16" s="46" t="n"/>
      <c r="R16" s="47">
        <f>Calculo!AW14</f>
        <v/>
      </c>
      <c r="S16" s="45">
        <f>IF(AND(ISNUMBER(Q16),ISNUMBER(R16)),ABS(R16-Q16),IF(ISNUMBER(Q16)=ISNUMBER(R16),0,1))</f>
        <v/>
      </c>
      <c r="T16" s="46" t="n"/>
      <c r="U16" s="47">
        <f>Calculo!AX14</f>
        <v/>
      </c>
      <c r="V16" s="45">
        <f>IF(AND(ISNUMBER(T16),ISNUMBER(U16)),ABS(U16-T16),IF(ISNUMBER(T16)=ISNUMBER(U16),0,1))</f>
        <v/>
      </c>
      <c r="W16" s="46" t="n"/>
      <c r="X16" s="47">
        <f>Calculo!AY14</f>
        <v/>
      </c>
      <c r="Y16" s="45">
        <f>IF(AND(ISNUMBER(W16),ISNUMBER(X16)),ABS(X16-W16),IF(ISNUMBER(W16)=ISNUMBER(X16),0,1))</f>
        <v/>
      </c>
      <c r="Z16" s="46" t="n"/>
      <c r="AA16" s="47">
        <f>Calculo!BC14</f>
        <v/>
      </c>
      <c r="AB16" s="45">
        <f>IF(AND(ISNUMBER(Z16),ISNUMBER(AA16)),ABS(AA16-Z16),IF(ISNUMBER(Z16)=ISNUMBER(AA16),0,1))</f>
        <v/>
      </c>
    </row>
    <row r="17">
      <c r="A17" s="36">
        <f>Calculo!A15</f>
        <v/>
      </c>
      <c r="B17" s="46" t="n"/>
      <c r="C17" s="47">
        <f>Calculo!W15</f>
        <v/>
      </c>
      <c r="D17" s="45">
        <f>IF(AND(ISNUMBER(B17),ISNUMBER(C17)),ABS(C17-B17),IF(ISNUMBER(B17)=ISNUMBER(C17),0,1))</f>
        <v/>
      </c>
      <c r="E17" s="46" t="n"/>
      <c r="F17" s="47">
        <f>Calculo!V15</f>
        <v/>
      </c>
      <c r="G17" s="45">
        <f>IF(AND(ISNUMBER(E17),ISNUMBER(F17)),ABS(F17-E17),IF(ISNUMBER(E17)=ISNUMBER(F17),0,1))</f>
        <v/>
      </c>
      <c r="H17" s="46" t="n"/>
      <c r="I17" s="47">
        <f>Calculo!AK15</f>
        <v/>
      </c>
      <c r="J17" s="45">
        <f>IF(AND(ISNUMBER(H17),ISNUMBER(I17)),ABS(I17-H17),IF(ISNUMBER(H17)=ISNUMBER(I17),0,1))</f>
        <v/>
      </c>
      <c r="K17" s="46" t="n"/>
      <c r="L17" s="47">
        <f>Calculo!AL15</f>
        <v/>
      </c>
      <c r="M17" s="45">
        <f>IF(AND(ISNUMBER(K17),ISNUMBER(L17)),ABS(L17-K17),IF(ISNUMBER(K17)=ISNUMBER(L17),0,1))</f>
        <v/>
      </c>
      <c r="N17" s="46" t="n"/>
      <c r="O17" s="47">
        <f>Calculo!AP15</f>
        <v/>
      </c>
      <c r="P17" s="45">
        <f>IF(AND(ISNUMBER(N17),ISNUMBER(O17)),ABS(O17-N17),IF(ISNUMBER(N17)=ISNUMBER(O17),0,1))</f>
        <v/>
      </c>
      <c r="Q17" s="46" t="n"/>
      <c r="R17" s="47">
        <f>Calculo!AW15</f>
        <v/>
      </c>
      <c r="S17" s="45">
        <f>IF(AND(ISNUMBER(Q17),ISNUMBER(R17)),ABS(R17-Q17),IF(ISNUMBER(Q17)=ISNUMBER(R17),0,1))</f>
        <v/>
      </c>
      <c r="T17" s="46" t="n"/>
      <c r="U17" s="47">
        <f>Calculo!AX15</f>
        <v/>
      </c>
      <c r="V17" s="45">
        <f>IF(AND(ISNUMBER(T17),ISNUMBER(U17)),ABS(U17-T17),IF(ISNUMBER(T17)=ISNUMBER(U17),0,1))</f>
        <v/>
      </c>
      <c r="W17" s="46" t="n"/>
      <c r="X17" s="47">
        <f>Calculo!AY15</f>
        <v/>
      </c>
      <c r="Y17" s="45">
        <f>IF(AND(ISNUMBER(W17),ISNUMBER(X17)),ABS(X17-W17),IF(ISNUMBER(W17)=ISNUMBER(X17),0,1))</f>
        <v/>
      </c>
      <c r="Z17" s="46" t="n"/>
      <c r="AA17" s="47">
        <f>Calculo!BC15</f>
        <v/>
      </c>
      <c r="AB17" s="45">
        <f>IF(AND(ISNUMBER(Z17),ISNUMBER(AA17)),ABS(AA17-Z17),IF(ISNUMBER(Z17)=ISNUMBER(AA17),0,1))</f>
        <v/>
      </c>
    </row>
    <row r="18">
      <c r="A18" s="36">
        <f>Calculo!A16</f>
        <v/>
      </c>
      <c r="B18" s="46" t="n"/>
      <c r="C18" s="47">
        <f>Calculo!W16</f>
        <v/>
      </c>
      <c r="D18" s="45">
        <f>IF(AND(ISNUMBER(B18),ISNUMBER(C18)),ABS(C18-B18),IF(ISNUMBER(B18)=ISNUMBER(C18),0,1))</f>
        <v/>
      </c>
      <c r="E18" s="46" t="n"/>
      <c r="F18" s="47">
        <f>Calculo!V16</f>
        <v/>
      </c>
      <c r="G18" s="45">
        <f>IF(AND(ISNUMBER(E18),ISNUMBER(F18)),ABS(F18-E18),IF(ISNUMBER(E18)=ISNUMBER(F18),0,1))</f>
        <v/>
      </c>
      <c r="H18" s="46" t="n"/>
      <c r="I18" s="47">
        <f>Calculo!AK16</f>
        <v/>
      </c>
      <c r="J18" s="45">
        <f>IF(AND(ISNUMBER(H18),ISNUMBER(I18)),ABS(I18-H18),IF(ISNUMBER(H18)=ISNUMBER(I18),0,1))</f>
        <v/>
      </c>
      <c r="K18" s="46" t="n"/>
      <c r="L18" s="47">
        <f>Calculo!AL16</f>
        <v/>
      </c>
      <c r="M18" s="45">
        <f>IF(AND(ISNUMBER(K18),ISNUMBER(L18)),ABS(L18-K18),IF(ISNUMBER(K18)=ISNUMBER(L18),0,1))</f>
        <v/>
      </c>
      <c r="N18" s="46" t="n"/>
      <c r="O18" s="47">
        <f>Calculo!AP16</f>
        <v/>
      </c>
      <c r="P18" s="45">
        <f>IF(AND(ISNUMBER(N18),ISNUMBER(O18)),ABS(O18-N18),IF(ISNUMBER(N18)=ISNUMBER(O18),0,1))</f>
        <v/>
      </c>
      <c r="Q18" s="46" t="n"/>
      <c r="R18" s="47">
        <f>Calculo!AW16</f>
        <v/>
      </c>
      <c r="S18" s="45">
        <f>IF(AND(ISNUMBER(Q18),ISNUMBER(R18)),ABS(R18-Q18),IF(ISNUMBER(Q18)=ISNUMBER(R18),0,1))</f>
        <v/>
      </c>
      <c r="T18" s="46" t="n"/>
      <c r="U18" s="47">
        <f>Calculo!AX16</f>
        <v/>
      </c>
      <c r="V18" s="45">
        <f>IF(AND(ISNUMBER(T18),ISNUMBER(U18)),ABS(U18-T18),IF(ISNUMBER(T18)=ISNUMBER(U18),0,1))</f>
        <v/>
      </c>
      <c r="W18" s="46" t="n"/>
      <c r="X18" s="47">
        <f>Calculo!AY16</f>
        <v/>
      </c>
      <c r="Y18" s="45">
        <f>IF(AND(ISNUMBER(W18),ISNUMBER(X18)),ABS(X18-W18),IF(ISNUMBER(W18)=ISNUMBER(X18),0,1))</f>
        <v/>
      </c>
      <c r="Z18" s="46" t="n"/>
      <c r="AA18" s="47">
        <f>Calculo!BC16</f>
        <v/>
      </c>
      <c r="AB18" s="45">
        <f>IF(AND(ISNUMBER(Z18),ISNUMBER(AA18)),ABS(AA18-Z18),IF(ISNUMBER(Z18)=ISNUMBER(AA18),0,1))</f>
        <v/>
      </c>
    </row>
    <row r="19">
      <c r="A19" s="36">
        <f>Calculo!A17</f>
        <v/>
      </c>
      <c r="B19" s="46" t="n"/>
      <c r="C19" s="47">
        <f>Calculo!W17</f>
        <v/>
      </c>
      <c r="D19" s="45">
        <f>IF(AND(ISNUMBER(B19),ISNUMBER(C19)),ABS(C19-B19),IF(ISNUMBER(B19)=ISNUMBER(C19),0,1))</f>
        <v/>
      </c>
      <c r="E19" s="46" t="n"/>
      <c r="F19" s="47">
        <f>Calculo!V17</f>
        <v/>
      </c>
      <c r="G19" s="45">
        <f>IF(AND(ISNUMBER(E19),ISNUMBER(F19)),ABS(F19-E19),IF(ISNUMBER(E19)=ISNUMBER(F19),0,1))</f>
        <v/>
      </c>
      <c r="H19" s="46" t="n"/>
      <c r="I19" s="47">
        <f>Calculo!AK17</f>
        <v/>
      </c>
      <c r="J19" s="45">
        <f>IF(AND(ISNUMBER(H19),ISNUMBER(I19)),ABS(I19-H19),IF(ISNUMBER(H19)=ISNUMBER(I19),0,1))</f>
        <v/>
      </c>
      <c r="K19" s="46" t="n"/>
      <c r="L19" s="47">
        <f>Calculo!AL17</f>
        <v/>
      </c>
      <c r="M19" s="45">
        <f>IF(AND(ISNUMBER(K19),ISNUMBER(L19)),ABS(L19-K19),IF(ISNUMBER(K19)=ISNUMBER(L19),0,1))</f>
        <v/>
      </c>
      <c r="N19" s="46" t="n"/>
      <c r="O19" s="47">
        <f>Calculo!AP17</f>
        <v/>
      </c>
      <c r="P19" s="45">
        <f>IF(AND(ISNUMBER(N19),ISNUMBER(O19)),ABS(O19-N19),IF(ISNUMBER(N19)=ISNUMBER(O19),0,1))</f>
        <v/>
      </c>
      <c r="Q19" s="46" t="n"/>
      <c r="R19" s="47">
        <f>Calculo!AW17</f>
        <v/>
      </c>
      <c r="S19" s="45">
        <f>IF(AND(ISNUMBER(Q19),ISNUMBER(R19)),ABS(R19-Q19),IF(ISNUMBER(Q19)=ISNUMBER(R19),0,1))</f>
        <v/>
      </c>
      <c r="T19" s="46" t="n"/>
      <c r="U19" s="47">
        <f>Calculo!AX17</f>
        <v/>
      </c>
      <c r="V19" s="45">
        <f>IF(AND(ISNUMBER(T19),ISNUMBER(U19)),ABS(U19-T19),IF(ISNUMBER(T19)=ISNUMBER(U19),0,1))</f>
        <v/>
      </c>
      <c r="W19" s="46" t="n"/>
      <c r="X19" s="47">
        <f>Calculo!AY17</f>
        <v/>
      </c>
      <c r="Y19" s="45">
        <f>IF(AND(ISNUMBER(W19),ISNUMBER(X19)),ABS(X19-W19),IF(ISNUMBER(W19)=ISNUMBER(X19),0,1))</f>
        <v/>
      </c>
      <c r="Z19" s="46" t="n"/>
      <c r="AA19" s="47">
        <f>Calculo!BC17</f>
        <v/>
      </c>
      <c r="AB19" s="45">
        <f>IF(AND(ISNUMBER(Z19),ISNUMBER(AA19)),ABS(AA19-Z19),IF(ISNUMBER(Z19)=ISNUMBER(AA19),0,1))</f>
        <v/>
      </c>
    </row>
    <row r="20">
      <c r="A20" s="36">
        <f>Calculo!A18</f>
        <v/>
      </c>
      <c r="B20" s="46" t="n"/>
      <c r="C20" s="47">
        <f>Calculo!W18</f>
        <v/>
      </c>
      <c r="D20" s="45">
        <f>IF(AND(ISNUMBER(B20),ISNUMBER(C20)),ABS(C20-B20),IF(ISNUMBER(B20)=ISNUMBER(C20),0,1))</f>
        <v/>
      </c>
      <c r="E20" s="46" t="n"/>
      <c r="F20" s="47">
        <f>Calculo!V18</f>
        <v/>
      </c>
      <c r="G20" s="45">
        <f>IF(AND(ISNUMBER(E20),ISNUMBER(F20)),ABS(F20-E20),IF(ISNUMBER(E20)=ISNUMBER(F20),0,1))</f>
        <v/>
      </c>
      <c r="H20" s="46" t="n"/>
      <c r="I20" s="47">
        <f>Calculo!AK18</f>
        <v/>
      </c>
      <c r="J20" s="45">
        <f>IF(AND(ISNUMBER(H20),ISNUMBER(I20)),ABS(I20-H20),IF(ISNUMBER(H20)=ISNUMBER(I20),0,1))</f>
        <v/>
      </c>
      <c r="K20" s="46" t="n"/>
      <c r="L20" s="47">
        <f>Calculo!AL18</f>
        <v/>
      </c>
      <c r="M20" s="45">
        <f>IF(AND(ISNUMBER(K20),ISNUMBER(L20)),ABS(L20-K20),IF(ISNUMBER(K20)=ISNUMBER(L20),0,1))</f>
        <v/>
      </c>
      <c r="N20" s="46" t="n"/>
      <c r="O20" s="47">
        <f>Calculo!AP18</f>
        <v/>
      </c>
      <c r="P20" s="45">
        <f>IF(AND(ISNUMBER(N20),ISNUMBER(O20)),ABS(O20-N20),IF(ISNUMBER(N20)=ISNUMBER(O20),0,1))</f>
        <v/>
      </c>
      <c r="Q20" s="46" t="n"/>
      <c r="R20" s="47">
        <f>Calculo!AW18</f>
        <v/>
      </c>
      <c r="S20" s="45">
        <f>IF(AND(ISNUMBER(Q20),ISNUMBER(R20)),ABS(R20-Q20),IF(ISNUMBER(Q20)=ISNUMBER(R20),0,1))</f>
        <v/>
      </c>
      <c r="T20" s="46" t="n"/>
      <c r="U20" s="47">
        <f>Calculo!AX18</f>
        <v/>
      </c>
      <c r="V20" s="45">
        <f>IF(AND(ISNUMBER(T20),ISNUMBER(U20)),ABS(U20-T20),IF(ISNUMBER(T20)=ISNUMBER(U20),0,1))</f>
        <v/>
      </c>
      <c r="W20" s="46" t="n"/>
      <c r="X20" s="47">
        <f>Calculo!AY18</f>
        <v/>
      </c>
      <c r="Y20" s="45">
        <f>IF(AND(ISNUMBER(W20),ISNUMBER(X20)),ABS(X20-W20),IF(ISNUMBER(W20)=ISNUMBER(X20),0,1))</f>
        <v/>
      </c>
      <c r="Z20" s="46" t="n"/>
      <c r="AA20" s="47">
        <f>Calculo!BC18</f>
        <v/>
      </c>
      <c r="AB20" s="45">
        <f>IF(AND(ISNUMBER(Z20),ISNUMBER(AA20)),ABS(AA20-Z20),IF(ISNUMBER(Z20)=ISNUMBER(AA20),0,1))</f>
        <v/>
      </c>
    </row>
    <row r="21">
      <c r="A21" s="36">
        <f>Calculo!A19</f>
        <v/>
      </c>
      <c r="B21" s="46" t="n"/>
      <c r="C21" s="47">
        <f>Calculo!W19</f>
        <v/>
      </c>
      <c r="D21" s="45">
        <f>IF(AND(ISNUMBER(B21),ISNUMBER(C21)),ABS(C21-B21),IF(ISNUMBER(B21)=ISNUMBER(C21),0,1))</f>
        <v/>
      </c>
      <c r="E21" s="46" t="n"/>
      <c r="F21" s="47">
        <f>Calculo!V19</f>
        <v/>
      </c>
      <c r="G21" s="45">
        <f>IF(AND(ISNUMBER(E21),ISNUMBER(F21)),ABS(F21-E21),IF(ISNUMBER(E21)=ISNUMBER(F21),0,1))</f>
        <v/>
      </c>
      <c r="H21" s="46" t="n"/>
      <c r="I21" s="47">
        <f>Calculo!AK19</f>
        <v/>
      </c>
      <c r="J21" s="45">
        <f>IF(AND(ISNUMBER(H21),ISNUMBER(I21)),ABS(I21-H21),IF(ISNUMBER(H21)=ISNUMBER(I21),0,1))</f>
        <v/>
      </c>
      <c r="K21" s="46" t="n"/>
      <c r="L21" s="47">
        <f>Calculo!AL19</f>
        <v/>
      </c>
      <c r="M21" s="45">
        <f>IF(AND(ISNUMBER(K21),ISNUMBER(L21)),ABS(L21-K21),IF(ISNUMBER(K21)=ISNUMBER(L21),0,1))</f>
        <v/>
      </c>
      <c r="N21" s="46" t="n"/>
      <c r="O21" s="47">
        <f>Calculo!AP19</f>
        <v/>
      </c>
      <c r="P21" s="45">
        <f>IF(AND(ISNUMBER(N21),ISNUMBER(O21)),ABS(O21-N21),IF(ISNUMBER(N21)=ISNUMBER(O21),0,1))</f>
        <v/>
      </c>
      <c r="Q21" s="46" t="n"/>
      <c r="R21" s="47">
        <f>Calculo!AW19</f>
        <v/>
      </c>
      <c r="S21" s="45">
        <f>IF(AND(ISNUMBER(Q21),ISNUMBER(R21)),ABS(R21-Q21),IF(ISNUMBER(Q21)=ISNUMBER(R21),0,1))</f>
        <v/>
      </c>
      <c r="T21" s="46" t="n"/>
      <c r="U21" s="47">
        <f>Calculo!AX19</f>
        <v/>
      </c>
      <c r="V21" s="45">
        <f>IF(AND(ISNUMBER(T21),ISNUMBER(U21)),ABS(U21-T21),IF(ISNUMBER(T21)=ISNUMBER(U21),0,1))</f>
        <v/>
      </c>
      <c r="W21" s="46" t="n"/>
      <c r="X21" s="47">
        <f>Calculo!AY19</f>
        <v/>
      </c>
      <c r="Y21" s="45">
        <f>IF(AND(ISNUMBER(W21),ISNUMBER(X21)),ABS(X21-W21),IF(ISNUMBER(W21)=ISNUMBER(X21),0,1))</f>
        <v/>
      </c>
      <c r="Z21" s="46" t="n"/>
      <c r="AA21" s="47">
        <f>Calculo!BC19</f>
        <v/>
      </c>
      <c r="AB21" s="45">
        <f>IF(AND(ISNUMBER(Z21),ISNUMBER(AA21)),ABS(AA21-Z21),IF(ISNUMBER(Z21)=ISNUMBER(AA21),0,1))</f>
        <v/>
      </c>
    </row>
    <row r="22">
      <c r="A22" s="36">
        <f>Calculo!A20</f>
        <v/>
      </c>
      <c r="B22" s="46" t="n"/>
      <c r="C22" s="47">
        <f>Calculo!W20</f>
        <v/>
      </c>
      <c r="D22" s="45">
        <f>IF(AND(ISNUMBER(B22),ISNUMBER(C22)),ABS(C22-B22),IF(ISNUMBER(B22)=ISNUMBER(C22),0,1))</f>
        <v/>
      </c>
      <c r="E22" s="46" t="n"/>
      <c r="F22" s="47">
        <f>Calculo!V20</f>
        <v/>
      </c>
      <c r="G22" s="45">
        <f>IF(AND(ISNUMBER(E22),ISNUMBER(F22)),ABS(F22-E22),IF(ISNUMBER(E22)=ISNUMBER(F22),0,1))</f>
        <v/>
      </c>
      <c r="H22" s="46" t="n"/>
      <c r="I22" s="47">
        <f>Calculo!AK20</f>
        <v/>
      </c>
      <c r="J22" s="45">
        <f>IF(AND(ISNUMBER(H22),ISNUMBER(I22)),ABS(I22-H22),IF(ISNUMBER(H22)=ISNUMBER(I22),0,1))</f>
        <v/>
      </c>
      <c r="K22" s="46" t="n"/>
      <c r="L22" s="47">
        <f>Calculo!AL20</f>
        <v/>
      </c>
      <c r="M22" s="45">
        <f>IF(AND(ISNUMBER(K22),ISNUMBER(L22)),ABS(L22-K22),IF(ISNUMBER(K22)=ISNUMBER(L22),0,1))</f>
        <v/>
      </c>
      <c r="N22" s="46" t="n"/>
      <c r="O22" s="47">
        <f>Calculo!AP20</f>
        <v/>
      </c>
      <c r="P22" s="45">
        <f>IF(AND(ISNUMBER(N22),ISNUMBER(O22)),ABS(O22-N22),IF(ISNUMBER(N22)=ISNUMBER(O22),0,1))</f>
        <v/>
      </c>
      <c r="Q22" s="46" t="n"/>
      <c r="R22" s="47">
        <f>Calculo!AW20</f>
        <v/>
      </c>
      <c r="S22" s="45">
        <f>IF(AND(ISNUMBER(Q22),ISNUMBER(R22)),ABS(R22-Q22),IF(ISNUMBER(Q22)=ISNUMBER(R22),0,1))</f>
        <v/>
      </c>
      <c r="T22" s="46" t="n"/>
      <c r="U22" s="47">
        <f>Calculo!AX20</f>
        <v/>
      </c>
      <c r="V22" s="45">
        <f>IF(AND(ISNUMBER(T22),ISNUMBER(U22)),ABS(U22-T22),IF(ISNUMBER(T22)=ISNUMBER(U22),0,1))</f>
        <v/>
      </c>
      <c r="W22" s="46" t="n"/>
      <c r="X22" s="47">
        <f>Calculo!AY20</f>
        <v/>
      </c>
      <c r="Y22" s="45">
        <f>IF(AND(ISNUMBER(W22),ISNUMBER(X22)),ABS(X22-W22),IF(ISNUMBER(W22)=ISNUMBER(X22),0,1))</f>
        <v/>
      </c>
      <c r="Z22" s="46" t="n"/>
      <c r="AA22" s="47">
        <f>Calculo!BC20</f>
        <v/>
      </c>
      <c r="AB22" s="45">
        <f>IF(AND(ISNUMBER(Z22),ISNUMBER(AA22)),ABS(AA22-Z22),IF(ISNUMBER(Z22)=ISNUMBER(AA22),0,1))</f>
        <v/>
      </c>
    </row>
    <row r="23">
      <c r="A23" s="36">
        <f>Calculo!A21</f>
        <v/>
      </c>
      <c r="B23" s="46" t="n"/>
      <c r="C23" s="47">
        <f>Calculo!W21</f>
        <v/>
      </c>
      <c r="D23" s="45">
        <f>IF(AND(ISNUMBER(B23),ISNUMBER(C23)),ABS(C23-B23),IF(ISNUMBER(B23)=ISNUMBER(C23),0,1))</f>
        <v/>
      </c>
      <c r="E23" s="46" t="n"/>
      <c r="F23" s="47">
        <f>Calculo!V21</f>
        <v/>
      </c>
      <c r="G23" s="45">
        <f>IF(AND(ISNUMBER(E23),ISNUMBER(F23)),ABS(F23-E23),IF(ISNUMBER(E23)=ISNUMBER(F23),0,1))</f>
        <v/>
      </c>
      <c r="H23" s="46" t="n"/>
      <c r="I23" s="47">
        <f>Calculo!AK21</f>
        <v/>
      </c>
      <c r="J23" s="45">
        <f>IF(AND(ISNUMBER(H23),ISNUMBER(I23)),ABS(I23-H23),IF(ISNUMBER(H23)=ISNUMBER(I23),0,1))</f>
        <v/>
      </c>
      <c r="K23" s="46" t="n"/>
      <c r="L23" s="47">
        <f>Calculo!AL21</f>
        <v/>
      </c>
      <c r="M23" s="45">
        <f>IF(AND(ISNUMBER(K23),ISNUMBER(L23)),ABS(L23-K23),IF(ISNUMBER(K23)=ISNUMBER(L23),0,1))</f>
        <v/>
      </c>
      <c r="N23" s="46" t="n"/>
      <c r="O23" s="47">
        <f>Calculo!AP21</f>
        <v/>
      </c>
      <c r="P23" s="45">
        <f>IF(AND(ISNUMBER(N23),ISNUMBER(O23)),ABS(O23-N23),IF(ISNUMBER(N23)=ISNUMBER(O23),0,1))</f>
        <v/>
      </c>
      <c r="Q23" s="46" t="n"/>
      <c r="R23" s="47">
        <f>Calculo!AW21</f>
        <v/>
      </c>
      <c r="S23" s="45">
        <f>IF(AND(ISNUMBER(Q23),ISNUMBER(R23)),ABS(R23-Q23),IF(ISNUMBER(Q23)=ISNUMBER(R23),0,1))</f>
        <v/>
      </c>
      <c r="T23" s="46" t="n"/>
      <c r="U23" s="47">
        <f>Calculo!AX21</f>
        <v/>
      </c>
      <c r="V23" s="45">
        <f>IF(AND(ISNUMBER(T23),ISNUMBER(U23)),ABS(U23-T23),IF(ISNUMBER(T23)=ISNUMBER(U23),0,1))</f>
        <v/>
      </c>
      <c r="W23" s="46" t="n"/>
      <c r="X23" s="47">
        <f>Calculo!AY21</f>
        <v/>
      </c>
      <c r="Y23" s="45">
        <f>IF(AND(ISNUMBER(W23),ISNUMBER(X23)),ABS(X23-W23),IF(ISNUMBER(W23)=ISNUMBER(X23),0,1))</f>
        <v/>
      </c>
      <c r="Z23" s="46" t="n"/>
      <c r="AA23" s="47">
        <f>Calculo!BC21</f>
        <v/>
      </c>
      <c r="AB23" s="45">
        <f>IF(AND(ISNUMBER(Z23),ISNUMBER(AA23)),ABS(AA23-Z23),IF(ISNUMBER(Z23)=ISNUMBER(AA23),0,1))</f>
        <v/>
      </c>
    </row>
    <row r="24">
      <c r="A24" s="36">
        <f>Calculo!A22</f>
        <v/>
      </c>
      <c r="B24" s="46" t="n"/>
      <c r="C24" s="47">
        <f>Calculo!W22</f>
        <v/>
      </c>
      <c r="D24" s="45">
        <f>IF(AND(ISNUMBER(B24),ISNUMBER(C24)),ABS(C24-B24),IF(ISNUMBER(B24)=ISNUMBER(C24),0,1))</f>
        <v/>
      </c>
      <c r="E24" s="46" t="n"/>
      <c r="F24" s="47">
        <f>Calculo!V22</f>
        <v/>
      </c>
      <c r="G24" s="45">
        <f>IF(AND(ISNUMBER(E24),ISNUMBER(F24)),ABS(F24-E24),IF(ISNUMBER(E24)=ISNUMBER(F24),0,1))</f>
        <v/>
      </c>
      <c r="H24" s="46" t="n"/>
      <c r="I24" s="47">
        <f>Calculo!AK22</f>
        <v/>
      </c>
      <c r="J24" s="45">
        <f>IF(AND(ISNUMBER(H24),ISNUMBER(I24)),ABS(I24-H24),IF(ISNUMBER(H24)=ISNUMBER(I24),0,1))</f>
        <v/>
      </c>
      <c r="K24" s="46" t="n"/>
      <c r="L24" s="47">
        <f>Calculo!AL22</f>
        <v/>
      </c>
      <c r="M24" s="45">
        <f>IF(AND(ISNUMBER(K24),ISNUMBER(L24)),ABS(L24-K24),IF(ISNUMBER(K24)=ISNUMBER(L24),0,1))</f>
        <v/>
      </c>
      <c r="N24" s="46" t="n"/>
      <c r="O24" s="47">
        <f>Calculo!AP22</f>
        <v/>
      </c>
      <c r="P24" s="45">
        <f>IF(AND(ISNUMBER(N24),ISNUMBER(O24)),ABS(O24-N24),IF(ISNUMBER(N24)=ISNUMBER(O24),0,1))</f>
        <v/>
      </c>
      <c r="Q24" s="46" t="n"/>
      <c r="R24" s="47">
        <f>Calculo!AW22</f>
        <v/>
      </c>
      <c r="S24" s="45">
        <f>IF(AND(ISNUMBER(Q24),ISNUMBER(R24)),ABS(R24-Q24),IF(ISNUMBER(Q24)=ISNUMBER(R24),0,1))</f>
        <v/>
      </c>
      <c r="T24" s="46" t="n"/>
      <c r="U24" s="47">
        <f>Calculo!AX22</f>
        <v/>
      </c>
      <c r="V24" s="45">
        <f>IF(AND(ISNUMBER(T24),ISNUMBER(U24)),ABS(U24-T24),IF(ISNUMBER(T24)=ISNUMBER(U24),0,1))</f>
        <v/>
      </c>
      <c r="W24" s="46" t="n"/>
      <c r="X24" s="47">
        <f>Calculo!AY22</f>
        <v/>
      </c>
      <c r="Y24" s="45">
        <f>IF(AND(ISNUMBER(W24),ISNUMBER(X24)),ABS(X24-W24),IF(ISNUMBER(W24)=ISNUMBER(X24),0,1))</f>
        <v/>
      </c>
      <c r="Z24" s="46" t="n"/>
      <c r="AA24" s="47">
        <f>Calculo!BC22</f>
        <v/>
      </c>
      <c r="AB24" s="45">
        <f>IF(AND(ISNUMBER(Z24),ISNUMBER(AA24)),ABS(AA24-Z24),IF(ISNUMBER(Z24)=ISNUMBER(AA24),0,1))</f>
        <v/>
      </c>
    </row>
    <row r="25">
      <c r="A25" s="36">
        <f>Calculo!A23</f>
        <v/>
      </c>
      <c r="B25" s="46" t="n"/>
      <c r="C25" s="47">
        <f>Calculo!W23</f>
        <v/>
      </c>
      <c r="D25" s="45">
        <f>IF(AND(ISNUMBER(B25),ISNUMBER(C25)),ABS(C25-B25),IF(ISNUMBER(B25)=ISNUMBER(C25),0,1))</f>
        <v/>
      </c>
      <c r="E25" s="46" t="n"/>
      <c r="F25" s="47">
        <f>Calculo!V23</f>
        <v/>
      </c>
      <c r="G25" s="45">
        <f>IF(AND(ISNUMBER(E25),ISNUMBER(F25)),ABS(F25-E25),IF(ISNUMBER(E25)=ISNUMBER(F25),0,1))</f>
        <v/>
      </c>
      <c r="H25" s="46" t="n"/>
      <c r="I25" s="47">
        <f>Calculo!AK23</f>
        <v/>
      </c>
      <c r="J25" s="45">
        <f>IF(AND(ISNUMBER(H25),ISNUMBER(I25)),ABS(I25-H25),IF(ISNUMBER(H25)=ISNUMBER(I25),0,1))</f>
        <v/>
      </c>
      <c r="K25" s="46" t="n"/>
      <c r="L25" s="47">
        <f>Calculo!AL23</f>
        <v/>
      </c>
      <c r="M25" s="45">
        <f>IF(AND(ISNUMBER(K25),ISNUMBER(L25)),ABS(L25-K25),IF(ISNUMBER(K25)=ISNUMBER(L25),0,1))</f>
        <v/>
      </c>
      <c r="N25" s="46" t="n"/>
      <c r="O25" s="47">
        <f>Calculo!AP23</f>
        <v/>
      </c>
      <c r="P25" s="45">
        <f>IF(AND(ISNUMBER(N25),ISNUMBER(O25)),ABS(O25-N25),IF(ISNUMBER(N25)=ISNUMBER(O25),0,1))</f>
        <v/>
      </c>
      <c r="Q25" s="46" t="n"/>
      <c r="R25" s="47">
        <f>Calculo!AW23</f>
        <v/>
      </c>
      <c r="S25" s="45">
        <f>IF(AND(ISNUMBER(Q25),ISNUMBER(R25)),ABS(R25-Q25),IF(ISNUMBER(Q25)=ISNUMBER(R25),0,1))</f>
        <v/>
      </c>
      <c r="T25" s="46" t="n"/>
      <c r="U25" s="47">
        <f>Calculo!AX23</f>
        <v/>
      </c>
      <c r="V25" s="45">
        <f>IF(AND(ISNUMBER(T25),ISNUMBER(U25)),ABS(U25-T25),IF(ISNUMBER(T25)=ISNUMBER(U25),0,1))</f>
        <v/>
      </c>
      <c r="W25" s="46" t="n"/>
      <c r="X25" s="47">
        <f>Calculo!AY23</f>
        <v/>
      </c>
      <c r="Y25" s="45">
        <f>IF(AND(ISNUMBER(W25),ISNUMBER(X25)),ABS(X25-W25),IF(ISNUMBER(W25)=ISNUMBER(X25),0,1))</f>
        <v/>
      </c>
      <c r="Z25" s="46" t="n"/>
      <c r="AA25" s="47">
        <f>Calculo!BC23</f>
        <v/>
      </c>
      <c r="AB25" s="45">
        <f>IF(AND(ISNUMBER(Z25),ISNUMBER(AA25)),ABS(AA25-Z25),IF(ISNUMBER(Z25)=ISNUMBER(AA25),0,1))</f>
        <v/>
      </c>
    </row>
    <row r="26">
      <c r="A26" s="36">
        <f>Calculo!A24</f>
        <v/>
      </c>
      <c r="B26" s="46" t="n"/>
      <c r="C26" s="47">
        <f>Calculo!W24</f>
        <v/>
      </c>
      <c r="D26" s="45">
        <f>IF(AND(ISNUMBER(B26),ISNUMBER(C26)),ABS(C26-B26),IF(ISNUMBER(B26)=ISNUMBER(C26),0,1))</f>
        <v/>
      </c>
      <c r="E26" s="46" t="n"/>
      <c r="F26" s="47">
        <f>Calculo!V24</f>
        <v/>
      </c>
      <c r="G26" s="45">
        <f>IF(AND(ISNUMBER(E26),ISNUMBER(F26)),ABS(F26-E26),IF(ISNUMBER(E26)=ISNUMBER(F26),0,1))</f>
        <v/>
      </c>
      <c r="H26" s="46" t="n"/>
      <c r="I26" s="47">
        <f>Calculo!AK24</f>
        <v/>
      </c>
      <c r="J26" s="45">
        <f>IF(AND(ISNUMBER(H26),ISNUMBER(I26)),ABS(I26-H26),IF(ISNUMBER(H26)=ISNUMBER(I26),0,1))</f>
        <v/>
      </c>
      <c r="K26" s="46" t="n"/>
      <c r="L26" s="47">
        <f>Calculo!AL24</f>
        <v/>
      </c>
      <c r="M26" s="45">
        <f>IF(AND(ISNUMBER(K26),ISNUMBER(L26)),ABS(L26-K26),IF(ISNUMBER(K26)=ISNUMBER(L26),0,1))</f>
        <v/>
      </c>
      <c r="N26" s="46" t="n"/>
      <c r="O26" s="47">
        <f>Calculo!AP24</f>
        <v/>
      </c>
      <c r="P26" s="45">
        <f>IF(AND(ISNUMBER(N26),ISNUMBER(O26)),ABS(O26-N26),IF(ISNUMBER(N26)=ISNUMBER(O26),0,1))</f>
        <v/>
      </c>
      <c r="Q26" s="46" t="n"/>
      <c r="R26" s="47">
        <f>Calculo!AW24</f>
        <v/>
      </c>
      <c r="S26" s="45">
        <f>IF(AND(ISNUMBER(Q26),ISNUMBER(R26)),ABS(R26-Q26),IF(ISNUMBER(Q26)=ISNUMBER(R26),0,1))</f>
        <v/>
      </c>
      <c r="T26" s="46" t="n"/>
      <c r="U26" s="47">
        <f>Calculo!AX24</f>
        <v/>
      </c>
      <c r="V26" s="45">
        <f>IF(AND(ISNUMBER(T26),ISNUMBER(U26)),ABS(U26-T26),IF(ISNUMBER(T26)=ISNUMBER(U26),0,1))</f>
        <v/>
      </c>
      <c r="W26" s="46" t="n"/>
      <c r="X26" s="47">
        <f>Calculo!AY24</f>
        <v/>
      </c>
      <c r="Y26" s="45">
        <f>IF(AND(ISNUMBER(W26),ISNUMBER(X26)),ABS(X26-W26),IF(ISNUMBER(W26)=ISNUMBER(X26),0,1))</f>
        <v/>
      </c>
      <c r="Z26" s="46" t="n"/>
      <c r="AA26" s="47">
        <f>Calculo!BC24</f>
        <v/>
      </c>
      <c r="AB26" s="45">
        <f>IF(AND(ISNUMBER(Z26),ISNUMBER(AA26)),ABS(AA26-Z26),IF(ISNUMBER(Z26)=ISNUMBER(AA26),0,1))</f>
        <v/>
      </c>
    </row>
    <row r="27">
      <c r="A27" s="36">
        <f>Calculo!A25</f>
        <v/>
      </c>
      <c r="B27" s="46" t="n"/>
      <c r="C27" s="47">
        <f>Calculo!W25</f>
        <v/>
      </c>
      <c r="D27" s="45">
        <f>IF(AND(ISNUMBER(B27),ISNUMBER(C27)),ABS(C27-B27),IF(ISNUMBER(B27)=ISNUMBER(C27),0,1))</f>
        <v/>
      </c>
      <c r="E27" s="46" t="n"/>
      <c r="F27" s="47">
        <f>Calculo!V25</f>
        <v/>
      </c>
      <c r="G27" s="45">
        <f>IF(AND(ISNUMBER(E27),ISNUMBER(F27)),ABS(F27-E27),IF(ISNUMBER(E27)=ISNUMBER(F27),0,1))</f>
        <v/>
      </c>
      <c r="H27" s="46" t="n"/>
      <c r="I27" s="47">
        <f>Calculo!AK25</f>
        <v/>
      </c>
      <c r="J27" s="45">
        <f>IF(AND(ISNUMBER(H27),ISNUMBER(I27)),ABS(I27-H27),IF(ISNUMBER(H27)=ISNUMBER(I27),0,1))</f>
        <v/>
      </c>
      <c r="K27" s="46" t="n"/>
      <c r="L27" s="47">
        <f>Calculo!AL25</f>
        <v/>
      </c>
      <c r="M27" s="45">
        <f>IF(AND(ISNUMBER(K27),ISNUMBER(L27)),ABS(L27-K27),IF(ISNUMBER(K27)=ISNUMBER(L27),0,1))</f>
        <v/>
      </c>
      <c r="N27" s="46" t="n"/>
      <c r="O27" s="47">
        <f>Calculo!AP25</f>
        <v/>
      </c>
      <c r="P27" s="45">
        <f>IF(AND(ISNUMBER(N27),ISNUMBER(O27)),ABS(O27-N27),IF(ISNUMBER(N27)=ISNUMBER(O27),0,1))</f>
        <v/>
      </c>
      <c r="Q27" s="46" t="n"/>
      <c r="R27" s="47">
        <f>Calculo!AW25</f>
        <v/>
      </c>
      <c r="S27" s="45">
        <f>IF(AND(ISNUMBER(Q27),ISNUMBER(R27)),ABS(R27-Q27),IF(ISNUMBER(Q27)=ISNUMBER(R27),0,1))</f>
        <v/>
      </c>
      <c r="T27" s="46" t="n"/>
      <c r="U27" s="47">
        <f>Calculo!AX25</f>
        <v/>
      </c>
      <c r="V27" s="45">
        <f>IF(AND(ISNUMBER(T27),ISNUMBER(U27)),ABS(U27-T27),IF(ISNUMBER(T27)=ISNUMBER(U27),0,1))</f>
        <v/>
      </c>
      <c r="W27" s="46" t="n"/>
      <c r="X27" s="47">
        <f>Calculo!AY25</f>
        <v/>
      </c>
      <c r="Y27" s="45">
        <f>IF(AND(ISNUMBER(W27),ISNUMBER(X27)),ABS(X27-W27),IF(ISNUMBER(W27)=ISNUMBER(X27),0,1))</f>
        <v/>
      </c>
      <c r="Z27" s="46" t="n"/>
      <c r="AA27" s="47">
        <f>Calculo!BC25</f>
        <v/>
      </c>
      <c r="AB27" s="45">
        <f>IF(AND(ISNUMBER(Z27),ISNUMBER(AA27)),ABS(AA27-Z27),IF(ISNUMBER(Z27)=ISNUMBER(AA27),0,1))</f>
        <v/>
      </c>
    </row>
    <row r="28">
      <c r="A28" s="36">
        <f>Calculo!A26</f>
        <v/>
      </c>
      <c r="B28" s="46" t="n"/>
      <c r="C28" s="47">
        <f>Calculo!W26</f>
        <v/>
      </c>
      <c r="D28" s="45">
        <f>IF(AND(ISNUMBER(B28),ISNUMBER(C28)),ABS(C28-B28),IF(ISNUMBER(B28)=ISNUMBER(C28),0,1))</f>
        <v/>
      </c>
      <c r="E28" s="46" t="n"/>
      <c r="F28" s="47">
        <f>Calculo!V26</f>
        <v/>
      </c>
      <c r="G28" s="45">
        <f>IF(AND(ISNUMBER(E28),ISNUMBER(F28)),ABS(F28-E28),IF(ISNUMBER(E28)=ISNUMBER(F28),0,1))</f>
        <v/>
      </c>
      <c r="H28" s="46" t="n"/>
      <c r="I28" s="47">
        <f>Calculo!AK26</f>
        <v/>
      </c>
      <c r="J28" s="45">
        <f>IF(AND(ISNUMBER(H28),ISNUMBER(I28)),ABS(I28-H28),IF(ISNUMBER(H28)=ISNUMBER(I28),0,1))</f>
        <v/>
      </c>
      <c r="K28" s="46" t="n"/>
      <c r="L28" s="47">
        <f>Calculo!AL26</f>
        <v/>
      </c>
      <c r="M28" s="45">
        <f>IF(AND(ISNUMBER(K28),ISNUMBER(L28)),ABS(L28-K28),IF(ISNUMBER(K28)=ISNUMBER(L28),0,1))</f>
        <v/>
      </c>
      <c r="N28" s="46" t="n"/>
      <c r="O28" s="47">
        <f>Calculo!AP26</f>
        <v/>
      </c>
      <c r="P28" s="45">
        <f>IF(AND(ISNUMBER(N28),ISNUMBER(O28)),ABS(O28-N28),IF(ISNUMBER(N28)=ISNUMBER(O28),0,1))</f>
        <v/>
      </c>
      <c r="Q28" s="46" t="n"/>
      <c r="R28" s="47">
        <f>Calculo!AW26</f>
        <v/>
      </c>
      <c r="S28" s="45">
        <f>IF(AND(ISNUMBER(Q28),ISNUMBER(R28)),ABS(R28-Q28),IF(ISNUMBER(Q28)=ISNUMBER(R28),0,1))</f>
        <v/>
      </c>
      <c r="T28" s="46" t="n"/>
      <c r="U28" s="47">
        <f>Calculo!AX26</f>
        <v/>
      </c>
      <c r="V28" s="45">
        <f>IF(AND(ISNUMBER(T28),ISNUMBER(U28)),ABS(U28-T28),IF(ISNUMBER(T28)=ISNUMBER(U28),0,1))</f>
        <v/>
      </c>
      <c r="W28" s="46" t="n"/>
      <c r="X28" s="47">
        <f>Calculo!AY26</f>
        <v/>
      </c>
      <c r="Y28" s="45">
        <f>IF(AND(ISNUMBER(W28),ISNUMBER(X28)),ABS(X28-W28),IF(ISNUMBER(W28)=ISNUMBER(X28),0,1))</f>
        <v/>
      </c>
      <c r="Z28" s="46" t="n"/>
      <c r="AA28" s="47">
        <f>Calculo!BC26</f>
        <v/>
      </c>
      <c r="AB28" s="45">
        <f>IF(AND(ISNUMBER(Z28),ISNUMBER(AA28)),ABS(AA28-Z28),IF(ISNUMBER(Z28)=ISNUMBER(AA28),0,1))</f>
        <v/>
      </c>
    </row>
    <row r="29">
      <c r="A29" s="36">
        <f>Calculo!A27</f>
        <v/>
      </c>
      <c r="B29" s="46" t="n"/>
      <c r="C29" s="47">
        <f>Calculo!W27</f>
        <v/>
      </c>
      <c r="D29" s="45">
        <f>IF(AND(ISNUMBER(B29),ISNUMBER(C29)),ABS(C29-B29),IF(ISNUMBER(B29)=ISNUMBER(C29),0,1))</f>
        <v/>
      </c>
      <c r="E29" s="46" t="n"/>
      <c r="F29" s="47">
        <f>Calculo!V27</f>
        <v/>
      </c>
      <c r="G29" s="45">
        <f>IF(AND(ISNUMBER(E29),ISNUMBER(F29)),ABS(F29-E29),IF(ISNUMBER(E29)=ISNUMBER(F29),0,1))</f>
        <v/>
      </c>
      <c r="H29" s="46" t="n"/>
      <c r="I29" s="47">
        <f>Calculo!AK27</f>
        <v/>
      </c>
      <c r="J29" s="45">
        <f>IF(AND(ISNUMBER(H29),ISNUMBER(I29)),ABS(I29-H29),IF(ISNUMBER(H29)=ISNUMBER(I29),0,1))</f>
        <v/>
      </c>
      <c r="K29" s="46" t="n"/>
      <c r="L29" s="47">
        <f>Calculo!AL27</f>
        <v/>
      </c>
      <c r="M29" s="45">
        <f>IF(AND(ISNUMBER(K29),ISNUMBER(L29)),ABS(L29-K29),IF(ISNUMBER(K29)=ISNUMBER(L29),0,1))</f>
        <v/>
      </c>
      <c r="N29" s="46" t="n"/>
      <c r="O29" s="47">
        <f>Calculo!AP27</f>
        <v/>
      </c>
      <c r="P29" s="45">
        <f>IF(AND(ISNUMBER(N29),ISNUMBER(O29)),ABS(O29-N29),IF(ISNUMBER(N29)=ISNUMBER(O29),0,1))</f>
        <v/>
      </c>
      <c r="Q29" s="46" t="n"/>
      <c r="R29" s="47">
        <f>Calculo!AW27</f>
        <v/>
      </c>
      <c r="S29" s="45">
        <f>IF(AND(ISNUMBER(Q29),ISNUMBER(R29)),ABS(R29-Q29),IF(ISNUMBER(Q29)=ISNUMBER(R29),0,1))</f>
        <v/>
      </c>
      <c r="T29" s="46" t="n"/>
      <c r="U29" s="47">
        <f>Calculo!AX27</f>
        <v/>
      </c>
      <c r="V29" s="45">
        <f>IF(AND(ISNUMBER(T29),ISNUMBER(U29)),ABS(U29-T29),IF(ISNUMBER(T29)=ISNUMBER(U29),0,1))</f>
        <v/>
      </c>
      <c r="W29" s="46" t="n"/>
      <c r="X29" s="47">
        <f>Calculo!AY27</f>
        <v/>
      </c>
      <c r="Y29" s="45">
        <f>IF(AND(ISNUMBER(W29),ISNUMBER(X29)),ABS(X29-W29),IF(ISNUMBER(W29)=ISNUMBER(X29),0,1))</f>
        <v/>
      </c>
      <c r="Z29" s="46" t="n"/>
      <c r="AA29" s="47">
        <f>Calculo!BC27</f>
        <v/>
      </c>
      <c r="AB29" s="45">
        <f>IF(AND(ISNUMBER(Z29),ISNUMBER(AA29)),ABS(AA29-Z29),IF(ISNUMBER(Z29)=ISNUMBER(AA29),0,1))</f>
        <v/>
      </c>
    </row>
    <row r="30">
      <c r="A30" s="36">
        <f>Calculo!A28</f>
        <v/>
      </c>
      <c r="B30" s="46" t="n"/>
      <c r="C30" s="47">
        <f>Calculo!W28</f>
        <v/>
      </c>
      <c r="D30" s="45">
        <f>IF(AND(ISNUMBER(B30),ISNUMBER(C30)),ABS(C30-B30),IF(ISNUMBER(B30)=ISNUMBER(C30),0,1))</f>
        <v/>
      </c>
      <c r="E30" s="46" t="n"/>
      <c r="F30" s="47">
        <f>Calculo!V28</f>
        <v/>
      </c>
      <c r="G30" s="45">
        <f>IF(AND(ISNUMBER(E30),ISNUMBER(F30)),ABS(F30-E30),IF(ISNUMBER(E30)=ISNUMBER(F30),0,1))</f>
        <v/>
      </c>
      <c r="H30" s="46" t="n"/>
      <c r="I30" s="47">
        <f>Calculo!AK28</f>
        <v/>
      </c>
      <c r="J30" s="45">
        <f>IF(AND(ISNUMBER(H30),ISNUMBER(I30)),ABS(I30-H30),IF(ISNUMBER(H30)=ISNUMBER(I30),0,1))</f>
        <v/>
      </c>
      <c r="K30" s="46" t="n"/>
      <c r="L30" s="47">
        <f>Calculo!AL28</f>
        <v/>
      </c>
      <c r="M30" s="45">
        <f>IF(AND(ISNUMBER(K30),ISNUMBER(L30)),ABS(L30-K30),IF(ISNUMBER(K30)=ISNUMBER(L30),0,1))</f>
        <v/>
      </c>
      <c r="N30" s="46" t="n"/>
      <c r="O30" s="47">
        <f>Calculo!AP28</f>
        <v/>
      </c>
      <c r="P30" s="45">
        <f>IF(AND(ISNUMBER(N30),ISNUMBER(O30)),ABS(O30-N30),IF(ISNUMBER(N30)=ISNUMBER(O30),0,1))</f>
        <v/>
      </c>
      <c r="Q30" s="46" t="n"/>
      <c r="R30" s="47">
        <f>Calculo!AW28</f>
        <v/>
      </c>
      <c r="S30" s="45">
        <f>IF(AND(ISNUMBER(Q30),ISNUMBER(R30)),ABS(R30-Q30),IF(ISNUMBER(Q30)=ISNUMBER(R30),0,1))</f>
        <v/>
      </c>
      <c r="T30" s="46" t="n"/>
      <c r="U30" s="47">
        <f>Calculo!AX28</f>
        <v/>
      </c>
      <c r="V30" s="45">
        <f>IF(AND(ISNUMBER(T30),ISNUMBER(U30)),ABS(U30-T30),IF(ISNUMBER(T30)=ISNUMBER(U30),0,1))</f>
        <v/>
      </c>
      <c r="W30" s="46" t="n"/>
      <c r="X30" s="47">
        <f>Calculo!AY28</f>
        <v/>
      </c>
      <c r="Y30" s="45">
        <f>IF(AND(ISNUMBER(W30),ISNUMBER(X30)),ABS(X30-W30),IF(ISNUMBER(W30)=ISNUMBER(X30),0,1))</f>
        <v/>
      </c>
      <c r="Z30" s="46" t="n"/>
      <c r="AA30" s="47">
        <f>Calculo!BC28</f>
        <v/>
      </c>
      <c r="AB30" s="45">
        <f>IF(AND(ISNUMBER(Z30),ISNUMBER(AA30)),ABS(AA30-Z30),IF(ISNUMBER(Z30)=ISNUMBER(AA30),0,1))</f>
        <v/>
      </c>
    </row>
    <row r="31">
      <c r="A31" s="36">
        <f>Calculo!A29</f>
        <v/>
      </c>
      <c r="B31" s="46" t="n"/>
      <c r="C31" s="47">
        <f>Calculo!W29</f>
        <v/>
      </c>
      <c r="D31" s="45">
        <f>IF(AND(ISNUMBER(B31),ISNUMBER(C31)),ABS(C31-B31),IF(ISNUMBER(B31)=ISNUMBER(C31),0,1))</f>
        <v/>
      </c>
      <c r="E31" s="46" t="n"/>
      <c r="F31" s="47">
        <f>Calculo!V29</f>
        <v/>
      </c>
      <c r="G31" s="45">
        <f>IF(AND(ISNUMBER(E31),ISNUMBER(F31)),ABS(F31-E31),IF(ISNUMBER(E31)=ISNUMBER(F31),0,1))</f>
        <v/>
      </c>
      <c r="H31" s="46" t="n"/>
      <c r="I31" s="47">
        <f>Calculo!AK29</f>
        <v/>
      </c>
      <c r="J31" s="45">
        <f>IF(AND(ISNUMBER(H31),ISNUMBER(I31)),ABS(I31-H31),IF(ISNUMBER(H31)=ISNUMBER(I31),0,1))</f>
        <v/>
      </c>
      <c r="K31" s="46" t="n"/>
      <c r="L31" s="47">
        <f>Calculo!AL29</f>
        <v/>
      </c>
      <c r="M31" s="45">
        <f>IF(AND(ISNUMBER(K31),ISNUMBER(L31)),ABS(L31-K31),IF(ISNUMBER(K31)=ISNUMBER(L31),0,1))</f>
        <v/>
      </c>
      <c r="N31" s="46" t="n"/>
      <c r="O31" s="47">
        <f>Calculo!AP29</f>
        <v/>
      </c>
      <c r="P31" s="45">
        <f>IF(AND(ISNUMBER(N31),ISNUMBER(O31)),ABS(O31-N31),IF(ISNUMBER(N31)=ISNUMBER(O31),0,1))</f>
        <v/>
      </c>
      <c r="Q31" s="46" t="n"/>
      <c r="R31" s="47">
        <f>Calculo!AW29</f>
        <v/>
      </c>
      <c r="S31" s="45">
        <f>IF(AND(ISNUMBER(Q31),ISNUMBER(R31)),ABS(R31-Q31),IF(ISNUMBER(Q31)=ISNUMBER(R31),0,1))</f>
        <v/>
      </c>
      <c r="T31" s="46" t="n"/>
      <c r="U31" s="47">
        <f>Calculo!AX29</f>
        <v/>
      </c>
      <c r="V31" s="45">
        <f>IF(AND(ISNUMBER(T31),ISNUMBER(U31)),ABS(U31-T31),IF(ISNUMBER(T31)=ISNUMBER(U31),0,1))</f>
        <v/>
      </c>
      <c r="W31" s="46" t="n"/>
      <c r="X31" s="47">
        <f>Calculo!AY29</f>
        <v/>
      </c>
      <c r="Y31" s="45">
        <f>IF(AND(ISNUMBER(W31),ISNUMBER(X31)),ABS(X31-W31),IF(ISNUMBER(W31)=ISNUMBER(X31),0,1))</f>
        <v/>
      </c>
      <c r="Z31" s="46" t="n"/>
      <c r="AA31" s="47">
        <f>Calculo!BC29</f>
        <v/>
      </c>
      <c r="AB31" s="45">
        <f>IF(AND(ISNUMBER(Z31),ISNUMBER(AA31)),ABS(AA31-Z31),IF(ISNUMBER(Z31)=ISNUMBER(AA31),0,1))</f>
        <v/>
      </c>
    </row>
    <row r="32">
      <c r="A32" s="36">
        <f>Calculo!A30</f>
        <v/>
      </c>
      <c r="B32" s="46" t="n">
        <v>0.04032141015190792</v>
      </c>
      <c r="C32" s="47">
        <f>Calculo!W30</f>
        <v/>
      </c>
      <c r="D32" s="45">
        <f>IF(AND(ISNUMBER(B32),ISNUMBER(C32)),ABS(C32-B32),IF(ISNUMBER(B32)=ISNUMBER(C32),0,1))</f>
        <v/>
      </c>
      <c r="E32" s="46" t="n">
        <v>0.9753352370196592</v>
      </c>
      <c r="F32" s="47">
        <f>Calculo!V30</f>
        <v/>
      </c>
      <c r="G32" s="45">
        <f>IF(AND(ISNUMBER(E32),ISNUMBER(F32)),ABS(F32-E32),IF(ISNUMBER(E32)=ISNUMBER(F32),0,1))</f>
        <v/>
      </c>
      <c r="H32" s="46" t="n"/>
      <c r="I32" s="47">
        <f>Calculo!AK30</f>
        <v/>
      </c>
      <c r="J32" s="45">
        <f>IF(AND(ISNUMBER(H32),ISNUMBER(I32)),ABS(I32-H32),IF(ISNUMBER(H32)=ISNUMBER(I32),0,1))</f>
        <v/>
      </c>
      <c r="K32" s="46" t="n"/>
      <c r="L32" s="47">
        <f>Calculo!AL30</f>
        <v/>
      </c>
      <c r="M32" s="45">
        <f>IF(AND(ISNUMBER(K32),ISNUMBER(L32)),ABS(L32-K32),IF(ISNUMBER(K32)=ISNUMBER(L32),0,1))</f>
        <v/>
      </c>
      <c r="N32" s="46" t="n"/>
      <c r="O32" s="47">
        <f>Calculo!AP30</f>
        <v/>
      </c>
      <c r="P32" s="45">
        <f>IF(AND(ISNUMBER(N32),ISNUMBER(O32)),ABS(O32-N32),IF(ISNUMBER(N32)=ISNUMBER(O32),0,1))</f>
        <v/>
      </c>
      <c r="Q32" s="46" t="n"/>
      <c r="R32" s="47">
        <f>Calculo!AW30</f>
        <v/>
      </c>
      <c r="S32" s="45">
        <f>IF(AND(ISNUMBER(Q32),ISNUMBER(R32)),ABS(R32-Q32),IF(ISNUMBER(Q32)=ISNUMBER(R32),0,1))</f>
        <v/>
      </c>
      <c r="T32" s="46" t="n"/>
      <c r="U32" s="47">
        <f>Calculo!AX30</f>
        <v/>
      </c>
      <c r="V32" s="45">
        <f>IF(AND(ISNUMBER(T32),ISNUMBER(U32)),ABS(U32-T32),IF(ISNUMBER(T32)=ISNUMBER(U32),0,1))</f>
        <v/>
      </c>
      <c r="W32" s="46" t="n"/>
      <c r="X32" s="47">
        <f>Calculo!AY30</f>
        <v/>
      </c>
      <c r="Y32" s="45">
        <f>IF(AND(ISNUMBER(W32),ISNUMBER(X32)),ABS(X32-W32),IF(ISNUMBER(W32)=ISNUMBER(X32),0,1))</f>
        <v/>
      </c>
      <c r="Z32" s="46" t="n"/>
      <c r="AA32" s="47">
        <f>Calculo!BC30</f>
        <v/>
      </c>
      <c r="AB32" s="45">
        <f>IF(AND(ISNUMBER(Z32),ISNUMBER(AA32)),ABS(AA32-Z32),IF(ISNUMBER(Z32)=ISNUMBER(AA32),0,1))</f>
        <v/>
      </c>
    </row>
    <row r="33">
      <c r="A33" s="36">
        <f>Calculo!A31</f>
        <v/>
      </c>
      <c r="B33" s="46" t="n">
        <v>0.02779426854441674</v>
      </c>
      <c r="C33" s="47">
        <f>Calculo!W31</f>
        <v/>
      </c>
      <c r="D33" s="45">
        <f>IF(AND(ISNUMBER(B33),ISNUMBER(C33)),ABS(C33-B33),IF(ISNUMBER(B33)=ISNUMBER(C33),0,1))</f>
        <v/>
      </c>
      <c r="E33" s="46" t="n">
        <v>0.9580509127413911</v>
      </c>
      <c r="F33" s="47">
        <f>Calculo!V31</f>
        <v/>
      </c>
      <c r="G33" s="45">
        <f>IF(AND(ISNUMBER(E33),ISNUMBER(F33)),ABS(F33-E33),IF(ISNUMBER(E33)=ISNUMBER(F33),0,1))</f>
        <v/>
      </c>
      <c r="H33" s="46" t="n"/>
      <c r="I33" s="47">
        <f>Calculo!AK31</f>
        <v/>
      </c>
      <c r="J33" s="45">
        <f>IF(AND(ISNUMBER(H33),ISNUMBER(I33)),ABS(I33-H33),IF(ISNUMBER(H33)=ISNUMBER(I33),0,1))</f>
        <v/>
      </c>
      <c r="K33" s="46" t="n"/>
      <c r="L33" s="47">
        <f>Calculo!AL31</f>
        <v/>
      </c>
      <c r="M33" s="45">
        <f>IF(AND(ISNUMBER(K33),ISNUMBER(L33)),ABS(L33-K33),IF(ISNUMBER(K33)=ISNUMBER(L33),0,1))</f>
        <v/>
      </c>
      <c r="N33" s="46" t="n"/>
      <c r="O33" s="47">
        <f>Calculo!AP31</f>
        <v/>
      </c>
      <c r="P33" s="45">
        <f>IF(AND(ISNUMBER(N33),ISNUMBER(O33)),ABS(O33-N33),IF(ISNUMBER(N33)=ISNUMBER(O33),0,1))</f>
        <v/>
      </c>
      <c r="Q33" s="46" t="n"/>
      <c r="R33" s="47">
        <f>Calculo!AW31</f>
        <v/>
      </c>
      <c r="S33" s="45">
        <f>IF(AND(ISNUMBER(Q33),ISNUMBER(R33)),ABS(R33-Q33),IF(ISNUMBER(Q33)=ISNUMBER(R33),0,1))</f>
        <v/>
      </c>
      <c r="T33" s="46" t="n"/>
      <c r="U33" s="47">
        <f>Calculo!AX31</f>
        <v/>
      </c>
      <c r="V33" s="45">
        <f>IF(AND(ISNUMBER(T33),ISNUMBER(U33)),ABS(U33-T33),IF(ISNUMBER(T33)=ISNUMBER(U33),0,1))</f>
        <v/>
      </c>
      <c r="W33" s="46" t="n"/>
      <c r="X33" s="47">
        <f>Calculo!AY31</f>
        <v/>
      </c>
      <c r="Y33" s="45">
        <f>IF(AND(ISNUMBER(W33),ISNUMBER(X33)),ABS(X33-W33),IF(ISNUMBER(W33)=ISNUMBER(X33),0,1))</f>
        <v/>
      </c>
      <c r="Z33" s="46" t="n"/>
      <c r="AA33" s="47">
        <f>Calculo!BC31</f>
        <v/>
      </c>
      <c r="AB33" s="45">
        <f>IF(AND(ISNUMBER(Z33),ISNUMBER(AA33)),ABS(AA33-Z33),IF(ISNUMBER(Z33)=ISNUMBER(AA33),0,1))</f>
        <v/>
      </c>
    </row>
    <row r="34">
      <c r="A34" s="36">
        <f>Calculo!A32</f>
        <v/>
      </c>
      <c r="B34" s="46" t="n">
        <v>-0.03063101093364722</v>
      </c>
      <c r="C34" s="47">
        <f>Calculo!W32</f>
        <v/>
      </c>
      <c r="D34" s="45">
        <f>IF(AND(ISNUMBER(B34),ISNUMBER(C34)),ABS(C34-B34),IF(ISNUMBER(B34)=ISNUMBER(C34),0,1))</f>
        <v/>
      </c>
      <c r="E34" s="46" t="n">
        <v>0.9634345914571998</v>
      </c>
      <c r="F34" s="47">
        <f>Calculo!V32</f>
        <v/>
      </c>
      <c r="G34" s="45">
        <f>IF(AND(ISNUMBER(E34),ISNUMBER(F34)),ABS(F34-E34),IF(ISNUMBER(E34)=ISNUMBER(F34),0,1))</f>
        <v/>
      </c>
      <c r="H34" s="46" t="n"/>
      <c r="I34" s="47">
        <f>Calculo!AK32</f>
        <v/>
      </c>
      <c r="J34" s="45">
        <f>IF(AND(ISNUMBER(H34),ISNUMBER(I34)),ABS(I34-H34),IF(ISNUMBER(H34)=ISNUMBER(I34),0,1))</f>
        <v/>
      </c>
      <c r="K34" s="46" t="n"/>
      <c r="L34" s="47">
        <f>Calculo!AL32</f>
        <v/>
      </c>
      <c r="M34" s="45">
        <f>IF(AND(ISNUMBER(K34),ISNUMBER(L34)),ABS(L34-K34),IF(ISNUMBER(K34)=ISNUMBER(L34),0,1))</f>
        <v/>
      </c>
      <c r="N34" s="46" t="n"/>
      <c r="O34" s="47">
        <f>Calculo!AP32</f>
        <v/>
      </c>
      <c r="P34" s="45">
        <f>IF(AND(ISNUMBER(N34),ISNUMBER(O34)),ABS(O34-N34),IF(ISNUMBER(N34)=ISNUMBER(O34),0,1))</f>
        <v/>
      </c>
      <c r="Q34" s="46" t="n"/>
      <c r="R34" s="47">
        <f>Calculo!AW32</f>
        <v/>
      </c>
      <c r="S34" s="45">
        <f>IF(AND(ISNUMBER(Q34),ISNUMBER(R34)),ABS(R34-Q34),IF(ISNUMBER(Q34)=ISNUMBER(R34),0,1))</f>
        <v/>
      </c>
      <c r="T34" s="46" t="n"/>
      <c r="U34" s="47">
        <f>Calculo!AX32</f>
        <v/>
      </c>
      <c r="V34" s="45">
        <f>IF(AND(ISNUMBER(T34),ISNUMBER(U34)),ABS(U34-T34),IF(ISNUMBER(T34)=ISNUMBER(U34),0,1))</f>
        <v/>
      </c>
      <c r="W34" s="46" t="n"/>
      <c r="X34" s="47">
        <f>Calculo!AY32</f>
        <v/>
      </c>
      <c r="Y34" s="45">
        <f>IF(AND(ISNUMBER(W34),ISNUMBER(X34)),ABS(X34-W34),IF(ISNUMBER(W34)=ISNUMBER(X34),0,1))</f>
        <v/>
      </c>
      <c r="Z34" s="46" t="n"/>
      <c r="AA34" s="47">
        <f>Calculo!BC32</f>
        <v/>
      </c>
      <c r="AB34" s="45">
        <f>IF(AND(ISNUMBER(Z34),ISNUMBER(AA34)),ABS(AA34-Z34),IF(ISNUMBER(Z34)=ISNUMBER(AA34),0,1))</f>
        <v/>
      </c>
    </row>
    <row r="35">
      <c r="A35" s="36">
        <f>Calculo!A33</f>
        <v/>
      </c>
      <c r="B35" s="46" t="n">
        <v>0.06600384861312816</v>
      </c>
      <c r="C35" s="47">
        <f>Calculo!W33</f>
        <v/>
      </c>
      <c r="D35" s="45">
        <f>IF(AND(ISNUMBER(B35),ISNUMBER(C35)),ABS(C35-B35),IF(ISNUMBER(B35)=ISNUMBER(C35),0,1))</f>
        <v/>
      </c>
      <c r="E35" s="46" t="n">
        <v>0.9581108999533025</v>
      </c>
      <c r="F35" s="47">
        <f>Calculo!V33</f>
        <v/>
      </c>
      <c r="G35" s="45">
        <f>IF(AND(ISNUMBER(E35),ISNUMBER(F35)),ABS(F35-E35),IF(ISNUMBER(E35)=ISNUMBER(F35),0,1))</f>
        <v/>
      </c>
      <c r="H35" s="46" t="n"/>
      <c r="I35" s="47">
        <f>Calculo!AK33</f>
        <v/>
      </c>
      <c r="J35" s="45">
        <f>IF(AND(ISNUMBER(H35),ISNUMBER(I35)),ABS(I35-H35),IF(ISNUMBER(H35)=ISNUMBER(I35),0,1))</f>
        <v/>
      </c>
      <c r="K35" s="46" t="n"/>
      <c r="L35" s="47">
        <f>Calculo!AL33</f>
        <v/>
      </c>
      <c r="M35" s="45">
        <f>IF(AND(ISNUMBER(K35),ISNUMBER(L35)),ABS(L35-K35),IF(ISNUMBER(K35)=ISNUMBER(L35),0,1))</f>
        <v/>
      </c>
      <c r="N35" s="46" t="n"/>
      <c r="O35" s="47">
        <f>Calculo!AP33</f>
        <v/>
      </c>
      <c r="P35" s="45">
        <f>IF(AND(ISNUMBER(N35),ISNUMBER(O35)),ABS(O35-N35),IF(ISNUMBER(N35)=ISNUMBER(O35),0,1))</f>
        <v/>
      </c>
      <c r="Q35" s="46" t="n"/>
      <c r="R35" s="47">
        <f>Calculo!AW33</f>
        <v/>
      </c>
      <c r="S35" s="45">
        <f>IF(AND(ISNUMBER(Q35),ISNUMBER(R35)),ABS(R35-Q35),IF(ISNUMBER(Q35)=ISNUMBER(R35),0,1))</f>
        <v/>
      </c>
      <c r="T35" s="46" t="n"/>
      <c r="U35" s="47">
        <f>Calculo!AX33</f>
        <v/>
      </c>
      <c r="V35" s="45">
        <f>IF(AND(ISNUMBER(T35),ISNUMBER(U35)),ABS(U35-T35),IF(ISNUMBER(T35)=ISNUMBER(U35),0,1))</f>
        <v/>
      </c>
      <c r="W35" s="46" t="n"/>
      <c r="X35" s="47">
        <f>Calculo!AY33</f>
        <v/>
      </c>
      <c r="Y35" s="45">
        <f>IF(AND(ISNUMBER(W35),ISNUMBER(X35)),ABS(X35-W35),IF(ISNUMBER(W35)=ISNUMBER(X35),0,1))</f>
        <v/>
      </c>
      <c r="Z35" s="46" t="n"/>
      <c r="AA35" s="47">
        <f>Calculo!BC33</f>
        <v/>
      </c>
      <c r="AB35" s="45">
        <f>IF(AND(ISNUMBER(Z35),ISNUMBER(AA35)),ABS(AA35-Z35),IF(ISNUMBER(Z35)=ISNUMBER(AA35),0,1))</f>
        <v/>
      </c>
    </row>
    <row r="36">
      <c r="A36" s="36">
        <f>Calculo!A34</f>
        <v/>
      </c>
      <c r="B36" s="46" t="n">
        <v>-0.09797497814167801</v>
      </c>
      <c r="C36" s="47">
        <f>Calculo!W34</f>
        <v/>
      </c>
      <c r="D36" s="45">
        <f>IF(AND(ISNUMBER(B36),ISNUMBER(C36)),ABS(C36-B36),IF(ISNUMBER(B36)=ISNUMBER(C36),0,1))</f>
        <v/>
      </c>
      <c r="E36" s="46" t="n">
        <v>0.9034043029965123</v>
      </c>
      <c r="F36" s="47">
        <f>Calculo!V34</f>
        <v/>
      </c>
      <c r="G36" s="45">
        <f>IF(AND(ISNUMBER(E36),ISNUMBER(F36)),ABS(F36-E36),IF(ISNUMBER(E36)=ISNUMBER(F36),0,1))</f>
        <v/>
      </c>
      <c r="H36" s="46" t="n"/>
      <c r="I36" s="47">
        <f>Calculo!AK34</f>
        <v/>
      </c>
      <c r="J36" s="45">
        <f>IF(AND(ISNUMBER(H36),ISNUMBER(I36)),ABS(I36-H36),IF(ISNUMBER(H36)=ISNUMBER(I36),0,1))</f>
        <v/>
      </c>
      <c r="K36" s="46" t="n"/>
      <c r="L36" s="47">
        <f>Calculo!AL34</f>
        <v/>
      </c>
      <c r="M36" s="45">
        <f>IF(AND(ISNUMBER(K36),ISNUMBER(L36)),ABS(L36-K36),IF(ISNUMBER(K36)=ISNUMBER(L36),0,1))</f>
        <v/>
      </c>
      <c r="N36" s="46" t="n"/>
      <c r="O36" s="47">
        <f>Calculo!AP34</f>
        <v/>
      </c>
      <c r="P36" s="45">
        <f>IF(AND(ISNUMBER(N36),ISNUMBER(O36)),ABS(O36-N36),IF(ISNUMBER(N36)=ISNUMBER(O36),0,1))</f>
        <v/>
      </c>
      <c r="Q36" s="46" t="n"/>
      <c r="R36" s="47">
        <f>Calculo!AW34</f>
        <v/>
      </c>
      <c r="S36" s="45">
        <f>IF(AND(ISNUMBER(Q36),ISNUMBER(R36)),ABS(R36-Q36),IF(ISNUMBER(Q36)=ISNUMBER(R36),0,1))</f>
        <v/>
      </c>
      <c r="T36" s="46" t="n"/>
      <c r="U36" s="47">
        <f>Calculo!AX34</f>
        <v/>
      </c>
      <c r="V36" s="45">
        <f>IF(AND(ISNUMBER(T36),ISNUMBER(U36)),ABS(U36-T36),IF(ISNUMBER(T36)=ISNUMBER(U36),0,1))</f>
        <v/>
      </c>
      <c r="W36" s="46" t="n"/>
      <c r="X36" s="47">
        <f>Calculo!AY34</f>
        <v/>
      </c>
      <c r="Y36" s="45">
        <f>IF(AND(ISNUMBER(W36),ISNUMBER(X36)),ABS(X36-W36),IF(ISNUMBER(W36)=ISNUMBER(X36),0,1))</f>
        <v/>
      </c>
      <c r="Z36" s="46" t="n"/>
      <c r="AA36" s="47">
        <f>Calculo!BC34</f>
        <v/>
      </c>
      <c r="AB36" s="45">
        <f>IF(AND(ISNUMBER(Z36),ISNUMBER(AA36)),ABS(AA36-Z36),IF(ISNUMBER(Z36)=ISNUMBER(AA36),0,1))</f>
        <v/>
      </c>
    </row>
    <row r="37">
      <c r="A37" s="36">
        <f>Calculo!A35</f>
        <v/>
      </c>
      <c r="B37" s="46" t="n">
        <v>-0.006503766866394292</v>
      </c>
      <c r="C37" s="47">
        <f>Calculo!W35</f>
        <v/>
      </c>
      <c r="D37" s="45">
        <f>IF(AND(ISNUMBER(B37),ISNUMBER(C37)),ABS(C37-B37),IF(ISNUMBER(B37)=ISNUMBER(C37),0,1))</f>
        <v/>
      </c>
      <c r="E37" s="46" t="n">
        <v>0.895587059414502</v>
      </c>
      <c r="F37" s="47">
        <f>Calculo!V35</f>
        <v/>
      </c>
      <c r="G37" s="45">
        <f>IF(AND(ISNUMBER(E37),ISNUMBER(F37)),ABS(F37-E37),IF(ISNUMBER(E37)=ISNUMBER(F37),0,1))</f>
        <v/>
      </c>
      <c r="H37" s="46" t="n"/>
      <c r="I37" s="47">
        <f>Calculo!AK35</f>
        <v/>
      </c>
      <c r="J37" s="45">
        <f>IF(AND(ISNUMBER(H37),ISNUMBER(I37)),ABS(I37-H37),IF(ISNUMBER(H37)=ISNUMBER(I37),0,1))</f>
        <v/>
      </c>
      <c r="K37" s="46" t="n"/>
      <c r="L37" s="47">
        <f>Calculo!AL35</f>
        <v/>
      </c>
      <c r="M37" s="45">
        <f>IF(AND(ISNUMBER(K37),ISNUMBER(L37)),ABS(L37-K37),IF(ISNUMBER(K37)=ISNUMBER(L37),0,1))</f>
        <v/>
      </c>
      <c r="N37" s="46" t="n"/>
      <c r="O37" s="47">
        <f>Calculo!AP35</f>
        <v/>
      </c>
      <c r="P37" s="45">
        <f>IF(AND(ISNUMBER(N37),ISNUMBER(O37)),ABS(O37-N37),IF(ISNUMBER(N37)=ISNUMBER(O37),0,1))</f>
        <v/>
      </c>
      <c r="Q37" s="46" t="n"/>
      <c r="R37" s="47">
        <f>Calculo!AW35</f>
        <v/>
      </c>
      <c r="S37" s="45">
        <f>IF(AND(ISNUMBER(Q37),ISNUMBER(R37)),ABS(R37-Q37),IF(ISNUMBER(Q37)=ISNUMBER(R37),0,1))</f>
        <v/>
      </c>
      <c r="T37" s="46" t="n"/>
      <c r="U37" s="47">
        <f>Calculo!AX35</f>
        <v/>
      </c>
      <c r="V37" s="45">
        <f>IF(AND(ISNUMBER(T37),ISNUMBER(U37)),ABS(U37-T37),IF(ISNUMBER(T37)=ISNUMBER(U37),0,1))</f>
        <v/>
      </c>
      <c r="W37" s="46" t="n"/>
      <c r="X37" s="47">
        <f>Calculo!AY35</f>
        <v/>
      </c>
      <c r="Y37" s="45">
        <f>IF(AND(ISNUMBER(W37),ISNUMBER(X37)),ABS(X37-W37),IF(ISNUMBER(W37)=ISNUMBER(X37),0,1))</f>
        <v/>
      </c>
      <c r="Z37" s="46" t="n"/>
      <c r="AA37" s="47">
        <f>Calculo!BC35</f>
        <v/>
      </c>
      <c r="AB37" s="45">
        <f>IF(AND(ISNUMBER(Z37),ISNUMBER(AA37)),ABS(AA37-Z37),IF(ISNUMBER(Z37)=ISNUMBER(AA37),0,1))</f>
        <v/>
      </c>
    </row>
    <row r="38">
      <c r="A38" s="36">
        <f>Calculo!A36</f>
        <v/>
      </c>
      <c r="B38" s="46" t="n">
        <v>0.04750792156870252</v>
      </c>
      <c r="C38" s="47">
        <f>Calculo!W36</f>
        <v/>
      </c>
      <c r="D38" s="45">
        <f>IF(AND(ISNUMBER(B38),ISNUMBER(C38)),ABS(C38-B38),IF(ISNUMBER(B38)=ISNUMBER(C38),0,1))</f>
        <v/>
      </c>
      <c r="E38" s="46" t="n">
        <v>0.8957468695732671</v>
      </c>
      <c r="F38" s="47">
        <f>Calculo!V36</f>
        <v/>
      </c>
      <c r="G38" s="45">
        <f>IF(AND(ISNUMBER(E38),ISNUMBER(F38)),ABS(F38-E38),IF(ISNUMBER(E38)=ISNUMBER(F38),0,1))</f>
        <v/>
      </c>
      <c r="H38" s="46" t="n"/>
      <c r="I38" s="47">
        <f>Calculo!AK36</f>
        <v/>
      </c>
      <c r="J38" s="45">
        <f>IF(AND(ISNUMBER(H38),ISNUMBER(I38)),ABS(I38-H38),IF(ISNUMBER(H38)=ISNUMBER(I38),0,1))</f>
        <v/>
      </c>
      <c r="K38" s="46" t="n"/>
      <c r="L38" s="47">
        <f>Calculo!AL36</f>
        <v/>
      </c>
      <c r="M38" s="45">
        <f>IF(AND(ISNUMBER(K38),ISNUMBER(L38)),ABS(L38-K38),IF(ISNUMBER(K38)=ISNUMBER(L38),0,1))</f>
        <v/>
      </c>
      <c r="N38" s="46" t="n"/>
      <c r="O38" s="47">
        <f>Calculo!AP36</f>
        <v/>
      </c>
      <c r="P38" s="45">
        <f>IF(AND(ISNUMBER(N38),ISNUMBER(O38)),ABS(O38-N38),IF(ISNUMBER(N38)=ISNUMBER(O38),0,1))</f>
        <v/>
      </c>
      <c r="Q38" s="46" t="n"/>
      <c r="R38" s="47">
        <f>Calculo!AW36</f>
        <v/>
      </c>
      <c r="S38" s="45">
        <f>IF(AND(ISNUMBER(Q38),ISNUMBER(R38)),ABS(R38-Q38),IF(ISNUMBER(Q38)=ISNUMBER(R38),0,1))</f>
        <v/>
      </c>
      <c r="T38" s="46" t="n"/>
      <c r="U38" s="47">
        <f>Calculo!AX36</f>
        <v/>
      </c>
      <c r="V38" s="45">
        <f>IF(AND(ISNUMBER(T38),ISNUMBER(U38)),ABS(U38-T38),IF(ISNUMBER(T38)=ISNUMBER(U38),0,1))</f>
        <v/>
      </c>
      <c r="W38" s="46" t="n"/>
      <c r="X38" s="47">
        <f>Calculo!AY36</f>
        <v/>
      </c>
      <c r="Y38" s="45">
        <f>IF(AND(ISNUMBER(W38),ISNUMBER(X38)),ABS(X38-W38),IF(ISNUMBER(W38)=ISNUMBER(X38),0,1))</f>
        <v/>
      </c>
      <c r="Z38" s="46" t="n"/>
      <c r="AA38" s="47">
        <f>Calculo!BC36</f>
        <v/>
      </c>
      <c r="AB38" s="45">
        <f>IF(AND(ISNUMBER(Z38),ISNUMBER(AA38)),ABS(AA38-Z38),IF(ISNUMBER(Z38)=ISNUMBER(AA38),0,1))</f>
        <v/>
      </c>
    </row>
    <row r="39">
      <c r="A39" s="36">
        <f>Calculo!A37</f>
        <v/>
      </c>
      <c r="B39" s="46" t="n">
        <v>0.05987089868006316</v>
      </c>
      <c r="C39" s="47">
        <f>Calculo!W37</f>
        <v/>
      </c>
      <c r="D39" s="45">
        <f>IF(AND(ISNUMBER(B39),ISNUMBER(C39)),ABS(C39-B39),IF(ISNUMBER(B39)=ISNUMBER(C39),0,1))</f>
        <v/>
      </c>
      <c r="E39" s="46" t="n">
        <v>0.8860513120874832</v>
      </c>
      <c r="F39" s="47">
        <f>Calculo!V37</f>
        <v/>
      </c>
      <c r="G39" s="45">
        <f>IF(AND(ISNUMBER(E39),ISNUMBER(F39)),ABS(F39-E39),IF(ISNUMBER(E39)=ISNUMBER(F39),0,1))</f>
        <v/>
      </c>
      <c r="H39" s="46" t="n"/>
      <c r="I39" s="47">
        <f>Calculo!AK37</f>
        <v/>
      </c>
      <c r="J39" s="45">
        <f>IF(AND(ISNUMBER(H39),ISNUMBER(I39)),ABS(I39-H39),IF(ISNUMBER(H39)=ISNUMBER(I39),0,1))</f>
        <v/>
      </c>
      <c r="K39" s="46" t="n"/>
      <c r="L39" s="47">
        <f>Calculo!AL37</f>
        <v/>
      </c>
      <c r="M39" s="45">
        <f>IF(AND(ISNUMBER(K39),ISNUMBER(L39)),ABS(L39-K39),IF(ISNUMBER(K39)=ISNUMBER(L39),0,1))</f>
        <v/>
      </c>
      <c r="N39" s="46" t="n"/>
      <c r="O39" s="47">
        <f>Calculo!AP37</f>
        <v/>
      </c>
      <c r="P39" s="45">
        <f>IF(AND(ISNUMBER(N39),ISNUMBER(O39)),ABS(O39-N39),IF(ISNUMBER(N39)=ISNUMBER(O39),0,1))</f>
        <v/>
      </c>
      <c r="Q39" s="46" t="n"/>
      <c r="R39" s="47">
        <f>Calculo!AW37</f>
        <v/>
      </c>
      <c r="S39" s="45">
        <f>IF(AND(ISNUMBER(Q39),ISNUMBER(R39)),ABS(R39-Q39),IF(ISNUMBER(Q39)=ISNUMBER(R39),0,1))</f>
        <v/>
      </c>
      <c r="T39" s="46" t="n"/>
      <c r="U39" s="47">
        <f>Calculo!AX37</f>
        <v/>
      </c>
      <c r="V39" s="45">
        <f>IF(AND(ISNUMBER(T39),ISNUMBER(U39)),ABS(U39-T39),IF(ISNUMBER(T39)=ISNUMBER(U39),0,1))</f>
        <v/>
      </c>
      <c r="W39" s="46" t="n"/>
      <c r="X39" s="47">
        <f>Calculo!AY37</f>
        <v/>
      </c>
      <c r="Y39" s="45">
        <f>IF(AND(ISNUMBER(W39),ISNUMBER(X39)),ABS(X39-W39),IF(ISNUMBER(W39)=ISNUMBER(X39),0,1))</f>
        <v/>
      </c>
      <c r="Z39" s="46" t="n"/>
      <c r="AA39" s="47">
        <f>Calculo!BC37</f>
        <v/>
      </c>
      <c r="AB39" s="45">
        <f>IF(AND(ISNUMBER(Z39),ISNUMBER(AA39)),ABS(AA39-Z39),IF(ISNUMBER(Z39)=ISNUMBER(AA39),0,1))</f>
        <v/>
      </c>
    </row>
    <row r="40">
      <c r="A40" s="36">
        <f>Calculo!A38</f>
        <v/>
      </c>
      <c r="B40" s="46" t="n">
        <v>0.03698164321230768</v>
      </c>
      <c r="C40" s="47">
        <f>Calculo!W38</f>
        <v/>
      </c>
      <c r="D40" s="45">
        <f>IF(AND(ISNUMBER(B40),ISNUMBER(C40)),ABS(C40-B40),IF(ISNUMBER(B40)=ISNUMBER(C40),0,1))</f>
        <v/>
      </c>
      <c r="E40" s="46" t="n">
        <v>0.8770069644875539</v>
      </c>
      <c r="F40" s="47">
        <f>Calculo!V38</f>
        <v/>
      </c>
      <c r="G40" s="45">
        <f>IF(AND(ISNUMBER(E40),ISNUMBER(F40)),ABS(F40-E40),IF(ISNUMBER(E40)=ISNUMBER(F40),0,1))</f>
        <v/>
      </c>
      <c r="H40" s="46" t="n"/>
      <c r="I40" s="47">
        <f>Calculo!AK38</f>
        <v/>
      </c>
      <c r="J40" s="45">
        <f>IF(AND(ISNUMBER(H40),ISNUMBER(I40)),ABS(I40-H40),IF(ISNUMBER(H40)=ISNUMBER(I40),0,1))</f>
        <v/>
      </c>
      <c r="K40" s="46" t="n"/>
      <c r="L40" s="47">
        <f>Calculo!AL38</f>
        <v/>
      </c>
      <c r="M40" s="45">
        <f>IF(AND(ISNUMBER(K40),ISNUMBER(L40)),ABS(L40-K40),IF(ISNUMBER(K40)=ISNUMBER(L40),0,1))</f>
        <v/>
      </c>
      <c r="N40" s="46" t="n"/>
      <c r="O40" s="47">
        <f>Calculo!AP38</f>
        <v/>
      </c>
      <c r="P40" s="45">
        <f>IF(AND(ISNUMBER(N40),ISNUMBER(O40)),ABS(O40-N40),IF(ISNUMBER(N40)=ISNUMBER(O40),0,1))</f>
        <v/>
      </c>
      <c r="Q40" s="46" t="n"/>
      <c r="R40" s="47">
        <f>Calculo!AW38</f>
        <v/>
      </c>
      <c r="S40" s="45">
        <f>IF(AND(ISNUMBER(Q40),ISNUMBER(R40)),ABS(R40-Q40),IF(ISNUMBER(Q40)=ISNUMBER(R40),0,1))</f>
        <v/>
      </c>
      <c r="T40" s="46" t="n"/>
      <c r="U40" s="47">
        <f>Calculo!AX38</f>
        <v/>
      </c>
      <c r="V40" s="45">
        <f>IF(AND(ISNUMBER(T40),ISNUMBER(U40)),ABS(U40-T40),IF(ISNUMBER(T40)=ISNUMBER(U40),0,1))</f>
        <v/>
      </c>
      <c r="W40" s="46" t="n"/>
      <c r="X40" s="47">
        <f>Calculo!AY38</f>
        <v/>
      </c>
      <c r="Y40" s="45">
        <f>IF(AND(ISNUMBER(W40),ISNUMBER(X40)),ABS(X40-W40),IF(ISNUMBER(W40)=ISNUMBER(X40),0,1))</f>
        <v/>
      </c>
      <c r="Z40" s="46" t="n"/>
      <c r="AA40" s="47">
        <f>Calculo!BC38</f>
        <v/>
      </c>
      <c r="AB40" s="45">
        <f>IF(AND(ISNUMBER(Z40),ISNUMBER(AA40)),ABS(AA40-Z40),IF(ISNUMBER(Z40)=ISNUMBER(AA40),0,1))</f>
        <v/>
      </c>
    </row>
    <row r="41">
      <c r="A41" s="36">
        <f>Calculo!A39</f>
        <v/>
      </c>
      <c r="B41" s="46" t="n">
        <v>0.01391614572211759</v>
      </c>
      <c r="C41" s="47">
        <f>Calculo!W39</f>
        <v/>
      </c>
      <c r="D41" s="45">
        <f>IF(AND(ISNUMBER(B41),ISNUMBER(C41)),ABS(C41-B41),IF(ISNUMBER(B41)=ISNUMBER(C41),0,1))</f>
        <v/>
      </c>
      <c r="E41" s="46" t="n">
        <v>0.8890416341785239</v>
      </c>
      <c r="F41" s="47">
        <f>Calculo!V39</f>
        <v/>
      </c>
      <c r="G41" s="45">
        <f>IF(AND(ISNUMBER(E41),ISNUMBER(F41)),ABS(F41-E41),IF(ISNUMBER(E41)=ISNUMBER(F41),0,1))</f>
        <v/>
      </c>
      <c r="H41" s="46" t="n"/>
      <c r="I41" s="47">
        <f>Calculo!AK39</f>
        <v/>
      </c>
      <c r="J41" s="45">
        <f>IF(AND(ISNUMBER(H41),ISNUMBER(I41)),ABS(I41-H41),IF(ISNUMBER(H41)=ISNUMBER(I41),0,1))</f>
        <v/>
      </c>
      <c r="K41" s="46" t="n"/>
      <c r="L41" s="47">
        <f>Calculo!AL39</f>
        <v/>
      </c>
      <c r="M41" s="45">
        <f>IF(AND(ISNUMBER(K41),ISNUMBER(L41)),ABS(L41-K41),IF(ISNUMBER(K41)=ISNUMBER(L41),0,1))</f>
        <v/>
      </c>
      <c r="N41" s="46" t="n"/>
      <c r="O41" s="47">
        <f>Calculo!AP39</f>
        <v/>
      </c>
      <c r="P41" s="45">
        <f>IF(AND(ISNUMBER(N41),ISNUMBER(O41)),ABS(O41-N41),IF(ISNUMBER(N41)=ISNUMBER(O41),0,1))</f>
        <v/>
      </c>
      <c r="Q41" s="46" t="n"/>
      <c r="R41" s="47">
        <f>Calculo!AW39</f>
        <v/>
      </c>
      <c r="S41" s="45">
        <f>IF(AND(ISNUMBER(Q41),ISNUMBER(R41)),ABS(R41-Q41),IF(ISNUMBER(Q41)=ISNUMBER(R41),0,1))</f>
        <v/>
      </c>
      <c r="T41" s="46" t="n"/>
      <c r="U41" s="47">
        <f>Calculo!AX39</f>
        <v/>
      </c>
      <c r="V41" s="45">
        <f>IF(AND(ISNUMBER(T41),ISNUMBER(U41)),ABS(U41-T41),IF(ISNUMBER(T41)=ISNUMBER(U41),0,1))</f>
        <v/>
      </c>
      <c r="W41" s="46" t="n"/>
      <c r="X41" s="47">
        <f>Calculo!AY39</f>
        <v/>
      </c>
      <c r="Y41" s="45">
        <f>IF(AND(ISNUMBER(W41),ISNUMBER(X41)),ABS(X41-W41),IF(ISNUMBER(W41)=ISNUMBER(X41),0,1))</f>
        <v/>
      </c>
      <c r="Z41" s="46" t="n"/>
      <c r="AA41" s="47">
        <f>Calculo!BC39</f>
        <v/>
      </c>
      <c r="AB41" s="45">
        <f>IF(AND(ISNUMBER(Z41),ISNUMBER(AA41)),ABS(AA41-Z41),IF(ISNUMBER(Z41)=ISNUMBER(AA41),0,1))</f>
        <v/>
      </c>
    </row>
    <row r="42">
      <c r="A42" s="36">
        <f>Calculo!A40</f>
        <v/>
      </c>
      <c r="B42" s="46" t="n">
        <v>0.02890576135359584</v>
      </c>
      <c r="C42" s="47">
        <f>Calculo!W40</f>
        <v/>
      </c>
      <c r="D42" s="45">
        <f>IF(AND(ISNUMBER(B42),ISNUMBER(C42)),ABS(C42-B42),IF(ISNUMBER(B42)=ISNUMBER(C42),0,1))</f>
        <v/>
      </c>
      <c r="E42" s="46" t="n">
        <v>0.8941163437299829</v>
      </c>
      <c r="F42" s="47">
        <f>Calculo!V40</f>
        <v/>
      </c>
      <c r="G42" s="45">
        <f>IF(AND(ISNUMBER(E42),ISNUMBER(F42)),ABS(F42-E42),IF(ISNUMBER(E42)=ISNUMBER(F42),0,1))</f>
        <v/>
      </c>
      <c r="H42" s="46" t="n"/>
      <c r="I42" s="47">
        <f>Calculo!AK40</f>
        <v/>
      </c>
      <c r="J42" s="45">
        <f>IF(AND(ISNUMBER(H42),ISNUMBER(I42)),ABS(I42-H42),IF(ISNUMBER(H42)=ISNUMBER(I42),0,1))</f>
        <v/>
      </c>
      <c r="K42" s="46" t="n"/>
      <c r="L42" s="47">
        <f>Calculo!AL40</f>
        <v/>
      </c>
      <c r="M42" s="45">
        <f>IF(AND(ISNUMBER(K42),ISNUMBER(L42)),ABS(L42-K42),IF(ISNUMBER(K42)=ISNUMBER(L42),0,1))</f>
        <v/>
      </c>
      <c r="N42" s="46" t="n"/>
      <c r="O42" s="47">
        <f>Calculo!AP40</f>
        <v/>
      </c>
      <c r="P42" s="45">
        <f>IF(AND(ISNUMBER(N42),ISNUMBER(O42)),ABS(O42-N42),IF(ISNUMBER(N42)=ISNUMBER(O42),0,1))</f>
        <v/>
      </c>
      <c r="Q42" s="46" t="n"/>
      <c r="R42" s="47">
        <f>Calculo!AW40</f>
        <v/>
      </c>
      <c r="S42" s="45">
        <f>IF(AND(ISNUMBER(Q42),ISNUMBER(R42)),ABS(R42-Q42),IF(ISNUMBER(Q42)=ISNUMBER(R42),0,1))</f>
        <v/>
      </c>
      <c r="T42" s="46" t="n"/>
      <c r="U42" s="47">
        <f>Calculo!AX40</f>
        <v/>
      </c>
      <c r="V42" s="45">
        <f>IF(AND(ISNUMBER(T42),ISNUMBER(U42)),ABS(U42-T42),IF(ISNUMBER(T42)=ISNUMBER(U42),0,1))</f>
        <v/>
      </c>
      <c r="W42" s="46" t="n"/>
      <c r="X42" s="47">
        <f>Calculo!AY40</f>
        <v/>
      </c>
      <c r="Y42" s="45">
        <f>IF(AND(ISNUMBER(W42),ISNUMBER(X42)),ABS(X42-W42),IF(ISNUMBER(W42)=ISNUMBER(X42),0,1))</f>
        <v/>
      </c>
      <c r="Z42" s="46" t="n"/>
      <c r="AA42" s="47">
        <f>Calculo!BC40</f>
        <v/>
      </c>
      <c r="AB42" s="45">
        <f>IF(AND(ISNUMBER(Z42),ISNUMBER(AA42)),ABS(AA42-Z42),IF(ISNUMBER(Z42)=ISNUMBER(AA42),0,1))</f>
        <v/>
      </c>
    </row>
    <row r="43">
      <c r="A43" s="36">
        <f>Calculo!A41</f>
        <v/>
      </c>
      <c r="B43" s="46" t="n">
        <v>0.08873621153444637</v>
      </c>
      <c r="C43" s="47">
        <f>Calculo!W41</f>
        <v/>
      </c>
      <c r="D43" s="45">
        <f>IF(AND(ISNUMBER(B43),ISNUMBER(C43)),ABS(C43-B43),IF(ISNUMBER(B43)=ISNUMBER(C43),0,1))</f>
        <v/>
      </c>
      <c r="E43" s="46" t="n">
        <v>0.8992975205129292</v>
      </c>
      <c r="F43" s="47">
        <f>Calculo!V41</f>
        <v/>
      </c>
      <c r="G43" s="45">
        <f>IF(AND(ISNUMBER(E43),ISNUMBER(F43)),ABS(F43-E43),IF(ISNUMBER(E43)=ISNUMBER(F43),0,1))</f>
        <v/>
      </c>
      <c r="H43" s="46" t="n"/>
      <c r="I43" s="47">
        <f>Calculo!AK41</f>
        <v/>
      </c>
      <c r="J43" s="45">
        <f>IF(AND(ISNUMBER(H43),ISNUMBER(I43)),ABS(I43-H43),IF(ISNUMBER(H43)=ISNUMBER(I43),0,1))</f>
        <v/>
      </c>
      <c r="K43" s="46" t="n"/>
      <c r="L43" s="47">
        <f>Calculo!AL41</f>
        <v/>
      </c>
      <c r="M43" s="45">
        <f>IF(AND(ISNUMBER(K43),ISNUMBER(L43)),ABS(L43-K43),IF(ISNUMBER(K43)=ISNUMBER(L43),0,1))</f>
        <v/>
      </c>
      <c r="N43" s="46" t="n"/>
      <c r="O43" s="47">
        <f>Calculo!AP41</f>
        <v/>
      </c>
      <c r="P43" s="45">
        <f>IF(AND(ISNUMBER(N43),ISNUMBER(O43)),ABS(O43-N43),IF(ISNUMBER(N43)=ISNUMBER(O43),0,1))</f>
        <v/>
      </c>
      <c r="Q43" s="46" t="n"/>
      <c r="R43" s="47">
        <f>Calculo!AW41</f>
        <v/>
      </c>
      <c r="S43" s="45">
        <f>IF(AND(ISNUMBER(Q43),ISNUMBER(R43)),ABS(R43-Q43),IF(ISNUMBER(Q43)=ISNUMBER(R43),0,1))</f>
        <v/>
      </c>
      <c r="T43" s="46" t="n"/>
      <c r="U43" s="47">
        <f>Calculo!AX41</f>
        <v/>
      </c>
      <c r="V43" s="45">
        <f>IF(AND(ISNUMBER(T43),ISNUMBER(U43)),ABS(U43-T43),IF(ISNUMBER(T43)=ISNUMBER(U43),0,1))</f>
        <v/>
      </c>
      <c r="W43" s="46" t="n"/>
      <c r="X43" s="47">
        <f>Calculo!AY41</f>
        <v/>
      </c>
      <c r="Y43" s="45">
        <f>IF(AND(ISNUMBER(W43),ISNUMBER(X43)),ABS(X43-W43),IF(ISNUMBER(W43)=ISNUMBER(X43),0,1))</f>
        <v/>
      </c>
      <c r="Z43" s="46" t="n"/>
      <c r="AA43" s="47">
        <f>Calculo!BC41</f>
        <v/>
      </c>
      <c r="AB43" s="45">
        <f>IF(AND(ISNUMBER(Z43),ISNUMBER(AA43)),ABS(AA43-Z43),IF(ISNUMBER(Z43)=ISNUMBER(AA43),0,1))</f>
        <v/>
      </c>
    </row>
    <row r="44">
      <c r="A44" s="36">
        <f>Calculo!A42</f>
        <v/>
      </c>
      <c r="B44" s="46" t="n">
        <v>0.06504990495347795</v>
      </c>
      <c r="C44" s="47">
        <f>Calculo!W42</f>
        <v/>
      </c>
      <c r="D44" s="45">
        <f>IF(AND(ISNUMBER(B44),ISNUMBER(C44)),ABS(C44-B44),IF(ISNUMBER(B44)=ISNUMBER(C44),0,1))</f>
        <v/>
      </c>
      <c r="E44" s="46" t="n">
        <v>0.8877840441664755</v>
      </c>
      <c r="F44" s="47">
        <f>Calculo!V42</f>
        <v/>
      </c>
      <c r="G44" s="45">
        <f>IF(AND(ISNUMBER(E44),ISNUMBER(F44)),ABS(F44-E44),IF(ISNUMBER(E44)=ISNUMBER(F44),0,1))</f>
        <v/>
      </c>
      <c r="H44" s="46" t="n"/>
      <c r="I44" s="47">
        <f>Calculo!AK42</f>
        <v/>
      </c>
      <c r="J44" s="45">
        <f>IF(AND(ISNUMBER(H44),ISNUMBER(I44)),ABS(I44-H44),IF(ISNUMBER(H44)=ISNUMBER(I44),0,1))</f>
        <v/>
      </c>
      <c r="K44" s="46" t="n"/>
      <c r="L44" s="47">
        <f>Calculo!AL42</f>
        <v/>
      </c>
      <c r="M44" s="45">
        <f>IF(AND(ISNUMBER(K44),ISNUMBER(L44)),ABS(L44-K44),IF(ISNUMBER(K44)=ISNUMBER(L44),0,1))</f>
        <v/>
      </c>
      <c r="N44" s="46" t="n"/>
      <c r="O44" s="47">
        <f>Calculo!AP42</f>
        <v/>
      </c>
      <c r="P44" s="45">
        <f>IF(AND(ISNUMBER(N44),ISNUMBER(O44)),ABS(O44-N44),IF(ISNUMBER(N44)=ISNUMBER(O44),0,1))</f>
        <v/>
      </c>
      <c r="Q44" s="46" t="n"/>
      <c r="R44" s="47">
        <f>Calculo!AW42</f>
        <v/>
      </c>
      <c r="S44" s="45">
        <f>IF(AND(ISNUMBER(Q44),ISNUMBER(R44)),ABS(R44-Q44),IF(ISNUMBER(Q44)=ISNUMBER(R44),0,1))</f>
        <v/>
      </c>
      <c r="T44" s="46" t="n"/>
      <c r="U44" s="47">
        <f>Calculo!AX42</f>
        <v/>
      </c>
      <c r="V44" s="45">
        <f>IF(AND(ISNUMBER(T44),ISNUMBER(U44)),ABS(U44-T44),IF(ISNUMBER(T44)=ISNUMBER(U44),0,1))</f>
        <v/>
      </c>
      <c r="W44" s="46" t="n"/>
      <c r="X44" s="47">
        <f>Calculo!AY42</f>
        <v/>
      </c>
      <c r="Y44" s="45">
        <f>IF(AND(ISNUMBER(W44),ISNUMBER(X44)),ABS(X44-W44),IF(ISNUMBER(W44)=ISNUMBER(X44),0,1))</f>
        <v/>
      </c>
      <c r="Z44" s="46" t="n"/>
      <c r="AA44" s="47">
        <f>Calculo!BC42</f>
        <v/>
      </c>
      <c r="AB44" s="45">
        <f>IF(AND(ISNUMBER(Z44),ISNUMBER(AA44)),ABS(AA44-Z44),IF(ISNUMBER(Z44)=ISNUMBER(AA44),0,1))</f>
        <v/>
      </c>
    </row>
    <row r="45">
      <c r="A45" s="36">
        <f>Calculo!A43</f>
        <v/>
      </c>
      <c r="B45" s="46" t="n">
        <v>0.02887628705002205</v>
      </c>
      <c r="C45" s="47">
        <f>Calculo!W43</f>
        <v/>
      </c>
      <c r="D45" s="45">
        <f>IF(AND(ISNUMBER(B45),ISNUMBER(C45)),ABS(C45-B45),IF(ISNUMBER(B45)=ISNUMBER(C45),0,1))</f>
        <v/>
      </c>
      <c r="E45" s="46" t="n">
        <v>0.8800411113440004</v>
      </c>
      <c r="F45" s="47">
        <f>Calculo!V43</f>
        <v/>
      </c>
      <c r="G45" s="45">
        <f>IF(AND(ISNUMBER(E45),ISNUMBER(F45)),ABS(F45-E45),IF(ISNUMBER(E45)=ISNUMBER(F45),0,1))</f>
        <v/>
      </c>
      <c r="H45" s="46" t="n"/>
      <c r="I45" s="47">
        <f>Calculo!AK43</f>
        <v/>
      </c>
      <c r="J45" s="45">
        <f>IF(AND(ISNUMBER(H45),ISNUMBER(I45)),ABS(I45-H45),IF(ISNUMBER(H45)=ISNUMBER(I45),0,1))</f>
        <v/>
      </c>
      <c r="K45" s="46" t="n"/>
      <c r="L45" s="47">
        <f>Calculo!AL43</f>
        <v/>
      </c>
      <c r="M45" s="45">
        <f>IF(AND(ISNUMBER(K45),ISNUMBER(L45)),ABS(L45-K45),IF(ISNUMBER(K45)=ISNUMBER(L45),0,1))</f>
        <v/>
      </c>
      <c r="N45" s="46" t="n"/>
      <c r="O45" s="47">
        <f>Calculo!AP43</f>
        <v/>
      </c>
      <c r="P45" s="45">
        <f>IF(AND(ISNUMBER(N45),ISNUMBER(O45)),ABS(O45-N45),IF(ISNUMBER(N45)=ISNUMBER(O45),0,1))</f>
        <v/>
      </c>
      <c r="Q45" s="46" t="n"/>
      <c r="R45" s="47">
        <f>Calculo!AW43</f>
        <v/>
      </c>
      <c r="S45" s="45">
        <f>IF(AND(ISNUMBER(Q45),ISNUMBER(R45)),ABS(R45-Q45),IF(ISNUMBER(Q45)=ISNUMBER(R45),0,1))</f>
        <v/>
      </c>
      <c r="T45" s="46" t="n"/>
      <c r="U45" s="47">
        <f>Calculo!AX43</f>
        <v/>
      </c>
      <c r="V45" s="45">
        <f>IF(AND(ISNUMBER(T45),ISNUMBER(U45)),ABS(U45-T45),IF(ISNUMBER(T45)=ISNUMBER(U45),0,1))</f>
        <v/>
      </c>
      <c r="W45" s="46" t="n"/>
      <c r="X45" s="47">
        <f>Calculo!AY43</f>
        <v/>
      </c>
      <c r="Y45" s="45">
        <f>IF(AND(ISNUMBER(W45),ISNUMBER(X45)),ABS(X45-W45),IF(ISNUMBER(W45)=ISNUMBER(X45),0,1))</f>
        <v/>
      </c>
      <c r="Z45" s="46" t="n"/>
      <c r="AA45" s="47">
        <f>Calculo!BC43</f>
        <v/>
      </c>
      <c r="AB45" s="45">
        <f>IF(AND(ISNUMBER(Z45),ISNUMBER(AA45)),ABS(AA45-Z45),IF(ISNUMBER(Z45)=ISNUMBER(AA45),0,1))</f>
        <v/>
      </c>
    </row>
    <row r="46">
      <c r="A46" s="36">
        <f>Calculo!A44</f>
        <v/>
      </c>
      <c r="B46" s="46" t="n">
        <v>-0.03012217283505724</v>
      </c>
      <c r="C46" s="47">
        <f>Calculo!W44</f>
        <v/>
      </c>
      <c r="D46" s="45">
        <f>IF(AND(ISNUMBER(B46),ISNUMBER(C46)),ABS(C46-B46),IF(ISNUMBER(B46)=ISNUMBER(C46),0,1))</f>
        <v/>
      </c>
      <c r="E46" s="46" t="n">
        <v>0.8805705136278061</v>
      </c>
      <c r="F46" s="47">
        <f>Calculo!V44</f>
        <v/>
      </c>
      <c r="G46" s="45">
        <f>IF(AND(ISNUMBER(E46),ISNUMBER(F46)),ABS(F46-E46),IF(ISNUMBER(E46)=ISNUMBER(F46),0,1))</f>
        <v/>
      </c>
      <c r="H46" s="46" t="n"/>
      <c r="I46" s="47">
        <f>Calculo!AK44</f>
        <v/>
      </c>
      <c r="J46" s="45">
        <f>IF(AND(ISNUMBER(H46),ISNUMBER(I46)),ABS(I46-H46),IF(ISNUMBER(H46)=ISNUMBER(I46),0,1))</f>
        <v/>
      </c>
      <c r="K46" s="46" t="n"/>
      <c r="L46" s="47">
        <f>Calculo!AL44</f>
        <v/>
      </c>
      <c r="M46" s="45">
        <f>IF(AND(ISNUMBER(K46),ISNUMBER(L46)),ABS(L46-K46),IF(ISNUMBER(K46)=ISNUMBER(L46),0,1))</f>
        <v/>
      </c>
      <c r="N46" s="46" t="n"/>
      <c r="O46" s="47">
        <f>Calculo!AP44</f>
        <v/>
      </c>
      <c r="P46" s="45">
        <f>IF(AND(ISNUMBER(N46),ISNUMBER(O46)),ABS(O46-N46),IF(ISNUMBER(N46)=ISNUMBER(O46),0,1))</f>
        <v/>
      </c>
      <c r="Q46" s="46" t="n"/>
      <c r="R46" s="47">
        <f>Calculo!AW44</f>
        <v/>
      </c>
      <c r="S46" s="45">
        <f>IF(AND(ISNUMBER(Q46),ISNUMBER(R46)),ABS(R46-Q46),IF(ISNUMBER(Q46)=ISNUMBER(R46),0,1))</f>
        <v/>
      </c>
      <c r="T46" s="46" t="n"/>
      <c r="U46" s="47">
        <f>Calculo!AX44</f>
        <v/>
      </c>
      <c r="V46" s="45">
        <f>IF(AND(ISNUMBER(T46),ISNUMBER(U46)),ABS(U46-T46),IF(ISNUMBER(T46)=ISNUMBER(U46),0,1))</f>
        <v/>
      </c>
      <c r="W46" s="46" t="n"/>
      <c r="X46" s="47">
        <f>Calculo!AY44</f>
        <v/>
      </c>
      <c r="Y46" s="45">
        <f>IF(AND(ISNUMBER(W46),ISNUMBER(X46)),ABS(X46-W46),IF(ISNUMBER(W46)=ISNUMBER(X46),0,1))</f>
        <v/>
      </c>
      <c r="Z46" s="46" t="n"/>
      <c r="AA46" s="47">
        <f>Calculo!BC44</f>
        <v/>
      </c>
      <c r="AB46" s="45">
        <f>IF(AND(ISNUMBER(Z46),ISNUMBER(AA46)),ABS(AA46-Z46),IF(ISNUMBER(Z46)=ISNUMBER(AA46),0,1))</f>
        <v/>
      </c>
    </row>
    <row r="47">
      <c r="A47" s="36">
        <f>Calculo!A45</f>
        <v/>
      </c>
      <c r="B47" s="46" t="n">
        <v>-0.01715862145106986</v>
      </c>
      <c r="C47" s="47">
        <f>Calculo!W45</f>
        <v/>
      </c>
      <c r="D47" s="45">
        <f>IF(AND(ISNUMBER(B47),ISNUMBER(C47)),ABS(C47-B47),IF(ISNUMBER(B47)=ISNUMBER(C47),0,1))</f>
        <v/>
      </c>
      <c r="E47" s="46" t="n">
        <v>0.8534897061260545</v>
      </c>
      <c r="F47" s="47">
        <f>Calculo!V45</f>
        <v/>
      </c>
      <c r="G47" s="45">
        <f>IF(AND(ISNUMBER(E47),ISNUMBER(F47)),ABS(F47-E47),IF(ISNUMBER(E47)=ISNUMBER(F47),0,1))</f>
        <v/>
      </c>
      <c r="H47" s="46" t="n"/>
      <c r="I47" s="47">
        <f>Calculo!AK45</f>
        <v/>
      </c>
      <c r="J47" s="45">
        <f>IF(AND(ISNUMBER(H47),ISNUMBER(I47)),ABS(I47-H47),IF(ISNUMBER(H47)=ISNUMBER(I47),0,1))</f>
        <v/>
      </c>
      <c r="K47" s="46" t="n"/>
      <c r="L47" s="47">
        <f>Calculo!AL45</f>
        <v/>
      </c>
      <c r="M47" s="45">
        <f>IF(AND(ISNUMBER(K47),ISNUMBER(L47)),ABS(L47-K47),IF(ISNUMBER(K47)=ISNUMBER(L47),0,1))</f>
        <v/>
      </c>
      <c r="N47" s="46" t="n"/>
      <c r="O47" s="47">
        <f>Calculo!AP45</f>
        <v/>
      </c>
      <c r="P47" s="45">
        <f>IF(AND(ISNUMBER(N47),ISNUMBER(O47)),ABS(O47-N47),IF(ISNUMBER(N47)=ISNUMBER(O47),0,1))</f>
        <v/>
      </c>
      <c r="Q47" s="46" t="n"/>
      <c r="R47" s="47">
        <f>Calculo!AW45</f>
        <v/>
      </c>
      <c r="S47" s="45">
        <f>IF(AND(ISNUMBER(Q47),ISNUMBER(R47)),ABS(R47-Q47),IF(ISNUMBER(Q47)=ISNUMBER(R47),0,1))</f>
        <v/>
      </c>
      <c r="T47" s="46" t="n"/>
      <c r="U47" s="47">
        <f>Calculo!AX45</f>
        <v/>
      </c>
      <c r="V47" s="45">
        <f>IF(AND(ISNUMBER(T47),ISNUMBER(U47)),ABS(U47-T47),IF(ISNUMBER(T47)=ISNUMBER(U47),0,1))</f>
        <v/>
      </c>
      <c r="W47" s="46" t="n"/>
      <c r="X47" s="47">
        <f>Calculo!AY45</f>
        <v/>
      </c>
      <c r="Y47" s="45">
        <f>IF(AND(ISNUMBER(W47),ISNUMBER(X47)),ABS(X47-W47),IF(ISNUMBER(W47)=ISNUMBER(X47),0,1))</f>
        <v/>
      </c>
      <c r="Z47" s="46" t="n"/>
      <c r="AA47" s="47">
        <f>Calculo!BC45</f>
        <v/>
      </c>
      <c r="AB47" s="45">
        <f>IF(AND(ISNUMBER(Z47),ISNUMBER(AA47)),ABS(AA47-Z47),IF(ISNUMBER(Z47)=ISNUMBER(AA47),0,1))</f>
        <v/>
      </c>
    </row>
    <row r="48">
      <c r="A48" s="36">
        <f>Calculo!A46</f>
        <v/>
      </c>
      <c r="B48" s="46" t="n">
        <v>-0.0742766205565398</v>
      </c>
      <c r="C48" s="47">
        <f>Calculo!W46</f>
        <v/>
      </c>
      <c r="D48" s="45">
        <f>IF(AND(ISNUMBER(B48),ISNUMBER(C48)),ABS(C48-B48),IF(ISNUMBER(B48)=ISNUMBER(C48),0,1))</f>
        <v/>
      </c>
      <c r="E48" s="46" t="n">
        <v>0.7832202946647807</v>
      </c>
      <c r="F48" s="47">
        <f>Calculo!V46</f>
        <v/>
      </c>
      <c r="G48" s="45">
        <f>IF(AND(ISNUMBER(E48),ISNUMBER(F48)),ABS(F48-E48),IF(ISNUMBER(E48)=ISNUMBER(F48),0,1))</f>
        <v/>
      </c>
      <c r="H48" s="46" t="n"/>
      <c r="I48" s="47">
        <f>Calculo!AK46</f>
        <v/>
      </c>
      <c r="J48" s="45">
        <f>IF(AND(ISNUMBER(H48),ISNUMBER(I48)),ABS(I48-H48),IF(ISNUMBER(H48)=ISNUMBER(I48),0,1))</f>
        <v/>
      </c>
      <c r="K48" s="46" t="n"/>
      <c r="L48" s="47">
        <f>Calculo!AL46</f>
        <v/>
      </c>
      <c r="M48" s="45">
        <f>IF(AND(ISNUMBER(K48),ISNUMBER(L48)),ABS(L48-K48),IF(ISNUMBER(K48)=ISNUMBER(L48),0,1))</f>
        <v/>
      </c>
      <c r="N48" s="46" t="n"/>
      <c r="O48" s="47">
        <f>Calculo!AP46</f>
        <v/>
      </c>
      <c r="P48" s="45">
        <f>IF(AND(ISNUMBER(N48),ISNUMBER(O48)),ABS(O48-N48),IF(ISNUMBER(N48)=ISNUMBER(O48),0,1))</f>
        <v/>
      </c>
      <c r="Q48" s="46" t="n"/>
      <c r="R48" s="47">
        <f>Calculo!AW46</f>
        <v/>
      </c>
      <c r="S48" s="45">
        <f>IF(AND(ISNUMBER(Q48),ISNUMBER(R48)),ABS(R48-Q48),IF(ISNUMBER(Q48)=ISNUMBER(R48),0,1))</f>
        <v/>
      </c>
      <c r="T48" s="46" t="n"/>
      <c r="U48" s="47">
        <f>Calculo!AX46</f>
        <v/>
      </c>
      <c r="V48" s="45">
        <f>IF(AND(ISNUMBER(T48),ISNUMBER(U48)),ABS(U48-T48),IF(ISNUMBER(T48)=ISNUMBER(U48),0,1))</f>
        <v/>
      </c>
      <c r="W48" s="46" t="n"/>
      <c r="X48" s="47">
        <f>Calculo!AY46</f>
        <v/>
      </c>
      <c r="Y48" s="45">
        <f>IF(AND(ISNUMBER(W48),ISNUMBER(X48)),ABS(X48-W48),IF(ISNUMBER(W48)=ISNUMBER(X48),0,1))</f>
        <v/>
      </c>
      <c r="Z48" s="46" t="n"/>
      <c r="AA48" s="47">
        <f>Calculo!BC46</f>
        <v/>
      </c>
      <c r="AB48" s="45">
        <f>IF(AND(ISNUMBER(Z48),ISNUMBER(AA48)),ABS(AA48-Z48),IF(ISNUMBER(Z48)=ISNUMBER(AA48),0,1))</f>
        <v/>
      </c>
    </row>
    <row r="49">
      <c r="A49" s="36">
        <f>Calculo!A47</f>
        <v/>
      </c>
      <c r="B49" s="46" t="n">
        <v>-0.05605533409607424</v>
      </c>
      <c r="C49" s="47">
        <f>Calculo!W47</f>
        <v/>
      </c>
      <c r="D49" s="45">
        <f>IF(AND(ISNUMBER(B49),ISNUMBER(C49)),ABS(C49-B49),IF(ISNUMBER(B49)=ISNUMBER(C49),0,1))</f>
        <v/>
      </c>
      <c r="E49" s="46" t="n">
        <v>0.7996882814183972</v>
      </c>
      <c r="F49" s="47">
        <f>Calculo!V47</f>
        <v/>
      </c>
      <c r="G49" s="45">
        <f>IF(AND(ISNUMBER(E49),ISNUMBER(F49)),ABS(F49-E49),IF(ISNUMBER(E49)=ISNUMBER(F49),0,1))</f>
        <v/>
      </c>
      <c r="H49" s="46" t="n"/>
      <c r="I49" s="47">
        <f>Calculo!AK47</f>
        <v/>
      </c>
      <c r="J49" s="45">
        <f>IF(AND(ISNUMBER(H49),ISNUMBER(I49)),ABS(I49-H49),IF(ISNUMBER(H49)=ISNUMBER(I49),0,1))</f>
        <v/>
      </c>
      <c r="K49" s="46" t="n"/>
      <c r="L49" s="47">
        <f>Calculo!AL47</f>
        <v/>
      </c>
      <c r="M49" s="45">
        <f>IF(AND(ISNUMBER(K49),ISNUMBER(L49)),ABS(L49-K49),IF(ISNUMBER(K49)=ISNUMBER(L49),0,1))</f>
        <v/>
      </c>
      <c r="N49" s="46" t="n"/>
      <c r="O49" s="47">
        <f>Calculo!AP47</f>
        <v/>
      </c>
      <c r="P49" s="45">
        <f>IF(AND(ISNUMBER(N49),ISNUMBER(O49)),ABS(O49-N49),IF(ISNUMBER(N49)=ISNUMBER(O49),0,1))</f>
        <v/>
      </c>
      <c r="Q49" s="46" t="n"/>
      <c r="R49" s="47">
        <f>Calculo!AW47</f>
        <v/>
      </c>
      <c r="S49" s="45">
        <f>IF(AND(ISNUMBER(Q49),ISNUMBER(R49)),ABS(R49-Q49),IF(ISNUMBER(Q49)=ISNUMBER(R49),0,1))</f>
        <v/>
      </c>
      <c r="T49" s="46" t="n"/>
      <c r="U49" s="47">
        <f>Calculo!AX47</f>
        <v/>
      </c>
      <c r="V49" s="45">
        <f>IF(AND(ISNUMBER(T49),ISNUMBER(U49)),ABS(U49-T49),IF(ISNUMBER(T49)=ISNUMBER(U49),0,1))</f>
        <v/>
      </c>
      <c r="W49" s="46" t="n"/>
      <c r="X49" s="47">
        <f>Calculo!AY47</f>
        <v/>
      </c>
      <c r="Y49" s="45">
        <f>IF(AND(ISNUMBER(W49),ISNUMBER(X49)),ABS(X49-W49),IF(ISNUMBER(W49)=ISNUMBER(X49),0,1))</f>
        <v/>
      </c>
      <c r="Z49" s="46" t="n"/>
      <c r="AA49" s="47">
        <f>Calculo!BC47</f>
        <v/>
      </c>
      <c r="AB49" s="45">
        <f>IF(AND(ISNUMBER(Z49),ISNUMBER(AA49)),ABS(AA49-Z49),IF(ISNUMBER(Z49)=ISNUMBER(AA49),0,1))</f>
        <v/>
      </c>
    </row>
    <row r="50">
      <c r="A50" s="36">
        <f>Calculo!A48</f>
        <v/>
      </c>
      <c r="B50" s="46" t="n">
        <v>-0.03754433283459184</v>
      </c>
      <c r="C50" s="47">
        <f>Calculo!W48</f>
        <v/>
      </c>
      <c r="D50" s="45">
        <f>IF(AND(ISNUMBER(B50),ISNUMBER(C50)),ABS(C50-B50),IF(ISNUMBER(B50)=ISNUMBER(C50),0,1))</f>
        <v/>
      </c>
      <c r="E50" s="46" t="n">
        <v>0.8089379423216774</v>
      </c>
      <c r="F50" s="47">
        <f>Calculo!V48</f>
        <v/>
      </c>
      <c r="G50" s="45">
        <f>IF(AND(ISNUMBER(E50),ISNUMBER(F50)),ABS(F50-E50),IF(ISNUMBER(E50)=ISNUMBER(F50),0,1))</f>
        <v/>
      </c>
      <c r="H50" s="46" t="n"/>
      <c r="I50" s="47">
        <f>Calculo!AK48</f>
        <v/>
      </c>
      <c r="J50" s="45">
        <f>IF(AND(ISNUMBER(H50),ISNUMBER(I50)),ABS(I50-H50),IF(ISNUMBER(H50)=ISNUMBER(I50),0,1))</f>
        <v/>
      </c>
      <c r="K50" s="46" t="n"/>
      <c r="L50" s="47">
        <f>Calculo!AL48</f>
        <v/>
      </c>
      <c r="M50" s="45">
        <f>IF(AND(ISNUMBER(K50),ISNUMBER(L50)),ABS(L50-K50),IF(ISNUMBER(K50)=ISNUMBER(L50),0,1))</f>
        <v/>
      </c>
      <c r="N50" s="46" t="n"/>
      <c r="O50" s="47">
        <f>Calculo!AP48</f>
        <v/>
      </c>
      <c r="P50" s="45">
        <f>IF(AND(ISNUMBER(N50),ISNUMBER(O50)),ABS(O50-N50),IF(ISNUMBER(N50)=ISNUMBER(O50),0,1))</f>
        <v/>
      </c>
      <c r="Q50" s="46" t="n"/>
      <c r="R50" s="47">
        <f>Calculo!AW48</f>
        <v/>
      </c>
      <c r="S50" s="45">
        <f>IF(AND(ISNUMBER(Q50),ISNUMBER(R50)),ABS(R50-Q50),IF(ISNUMBER(Q50)=ISNUMBER(R50),0,1))</f>
        <v/>
      </c>
      <c r="T50" s="46" t="n"/>
      <c r="U50" s="47">
        <f>Calculo!AX48</f>
        <v/>
      </c>
      <c r="V50" s="45">
        <f>IF(AND(ISNUMBER(T50),ISNUMBER(U50)),ABS(U50-T50),IF(ISNUMBER(T50)=ISNUMBER(U50),0,1))</f>
        <v/>
      </c>
      <c r="W50" s="46" t="n"/>
      <c r="X50" s="47">
        <f>Calculo!AY48</f>
        <v/>
      </c>
      <c r="Y50" s="45">
        <f>IF(AND(ISNUMBER(W50),ISNUMBER(X50)),ABS(X50-W50),IF(ISNUMBER(W50)=ISNUMBER(X50),0,1))</f>
        <v/>
      </c>
      <c r="Z50" s="46" t="n"/>
      <c r="AA50" s="47">
        <f>Calculo!BC48</f>
        <v/>
      </c>
      <c r="AB50" s="45">
        <f>IF(AND(ISNUMBER(Z50),ISNUMBER(AA50)),ABS(AA50-Z50),IF(ISNUMBER(Z50)=ISNUMBER(AA50),0,1))</f>
        <v/>
      </c>
    </row>
    <row r="51">
      <c r="A51" s="36">
        <f>Calculo!A49</f>
        <v/>
      </c>
      <c r="B51" s="46" t="n">
        <v>-0.05692451229095768</v>
      </c>
      <c r="C51" s="47">
        <f>Calculo!W49</f>
        <v/>
      </c>
      <c r="D51" s="45">
        <f>IF(AND(ISNUMBER(B51),ISNUMBER(C51)),ABS(C51-B51),IF(ISNUMBER(B51)=ISNUMBER(C51),0,1))</f>
        <v/>
      </c>
      <c r="E51" s="46" t="n">
        <v>0.8258430115120793</v>
      </c>
      <c r="F51" s="47">
        <f>Calculo!V49</f>
        <v/>
      </c>
      <c r="G51" s="45">
        <f>IF(AND(ISNUMBER(E51),ISNUMBER(F51)),ABS(F51-E51),IF(ISNUMBER(E51)=ISNUMBER(F51),0,1))</f>
        <v/>
      </c>
      <c r="H51" s="46" t="n"/>
      <c r="I51" s="47">
        <f>Calculo!AK49</f>
        <v/>
      </c>
      <c r="J51" s="45">
        <f>IF(AND(ISNUMBER(H51),ISNUMBER(I51)),ABS(I51-H51),IF(ISNUMBER(H51)=ISNUMBER(I51),0,1))</f>
        <v/>
      </c>
      <c r="K51" s="46" t="n"/>
      <c r="L51" s="47">
        <f>Calculo!AL49</f>
        <v/>
      </c>
      <c r="M51" s="45">
        <f>IF(AND(ISNUMBER(K51),ISNUMBER(L51)),ABS(L51-K51),IF(ISNUMBER(K51)=ISNUMBER(L51),0,1))</f>
        <v/>
      </c>
      <c r="N51" s="46" t="n"/>
      <c r="O51" s="47">
        <f>Calculo!AP49</f>
        <v/>
      </c>
      <c r="P51" s="45">
        <f>IF(AND(ISNUMBER(N51),ISNUMBER(O51)),ABS(O51-N51),IF(ISNUMBER(N51)=ISNUMBER(O51),0,1))</f>
        <v/>
      </c>
      <c r="Q51" s="46" t="n"/>
      <c r="R51" s="47">
        <f>Calculo!AW49</f>
        <v/>
      </c>
      <c r="S51" s="45">
        <f>IF(AND(ISNUMBER(Q51),ISNUMBER(R51)),ABS(R51-Q51),IF(ISNUMBER(Q51)=ISNUMBER(R51),0,1))</f>
        <v/>
      </c>
      <c r="T51" s="46" t="n"/>
      <c r="U51" s="47">
        <f>Calculo!AX49</f>
        <v/>
      </c>
      <c r="V51" s="45">
        <f>IF(AND(ISNUMBER(T51),ISNUMBER(U51)),ABS(U51-T51),IF(ISNUMBER(T51)=ISNUMBER(U51),0,1))</f>
        <v/>
      </c>
      <c r="W51" s="46" t="n"/>
      <c r="X51" s="47">
        <f>Calculo!AY49</f>
        <v/>
      </c>
      <c r="Y51" s="45">
        <f>IF(AND(ISNUMBER(W51),ISNUMBER(X51)),ABS(X51-W51),IF(ISNUMBER(W51)=ISNUMBER(X51),0,1))</f>
        <v/>
      </c>
      <c r="Z51" s="46" t="n"/>
      <c r="AA51" s="47">
        <f>Calculo!BC49</f>
        <v/>
      </c>
      <c r="AB51" s="45">
        <f>IF(AND(ISNUMBER(Z51),ISNUMBER(AA51)),ABS(AA51-Z51),IF(ISNUMBER(Z51)=ISNUMBER(AA51),0,1))</f>
        <v/>
      </c>
    </row>
    <row r="52">
      <c r="A52" s="36">
        <f>Calculo!A50</f>
        <v/>
      </c>
      <c r="B52" s="46" t="n">
        <v>-0.04119466370667415</v>
      </c>
      <c r="C52" s="47">
        <f>Calculo!W50</f>
        <v/>
      </c>
      <c r="D52" s="45">
        <f>IF(AND(ISNUMBER(B52),ISNUMBER(C52)),ABS(C52-B52),IF(ISNUMBER(B52)=ISNUMBER(C52),0,1))</f>
        <v/>
      </c>
      <c r="E52" s="46" t="n">
        <v>0.7778162783247452</v>
      </c>
      <c r="F52" s="47">
        <f>Calculo!V50</f>
        <v/>
      </c>
      <c r="G52" s="45">
        <f>IF(AND(ISNUMBER(E52),ISNUMBER(F52)),ABS(F52-E52),IF(ISNUMBER(E52)=ISNUMBER(F52),0,1))</f>
        <v/>
      </c>
      <c r="H52" s="46" t="n"/>
      <c r="I52" s="47">
        <f>Calculo!AK50</f>
        <v/>
      </c>
      <c r="J52" s="45">
        <f>IF(AND(ISNUMBER(H52),ISNUMBER(I52)),ABS(I52-H52),IF(ISNUMBER(H52)=ISNUMBER(I52),0,1))</f>
        <v/>
      </c>
      <c r="K52" s="46" t="n"/>
      <c r="L52" s="47">
        <f>Calculo!AL50</f>
        <v/>
      </c>
      <c r="M52" s="45">
        <f>IF(AND(ISNUMBER(K52),ISNUMBER(L52)),ABS(L52-K52),IF(ISNUMBER(K52)=ISNUMBER(L52),0,1))</f>
        <v/>
      </c>
      <c r="N52" s="46" t="n"/>
      <c r="O52" s="47">
        <f>Calculo!AP50</f>
        <v/>
      </c>
      <c r="P52" s="45">
        <f>IF(AND(ISNUMBER(N52),ISNUMBER(O52)),ABS(O52-N52),IF(ISNUMBER(N52)=ISNUMBER(O52),0,1))</f>
        <v/>
      </c>
      <c r="Q52" s="46" t="n"/>
      <c r="R52" s="47">
        <f>Calculo!AW50</f>
        <v/>
      </c>
      <c r="S52" s="45">
        <f>IF(AND(ISNUMBER(Q52),ISNUMBER(R52)),ABS(R52-Q52),IF(ISNUMBER(Q52)=ISNUMBER(R52),0,1))</f>
        <v/>
      </c>
      <c r="T52" s="46" t="n"/>
      <c r="U52" s="47">
        <f>Calculo!AX50</f>
        <v/>
      </c>
      <c r="V52" s="45">
        <f>IF(AND(ISNUMBER(T52),ISNUMBER(U52)),ABS(U52-T52),IF(ISNUMBER(T52)=ISNUMBER(U52),0,1))</f>
        <v/>
      </c>
      <c r="W52" s="46" t="n"/>
      <c r="X52" s="47">
        <f>Calculo!AY50</f>
        <v/>
      </c>
      <c r="Y52" s="45">
        <f>IF(AND(ISNUMBER(W52),ISNUMBER(X52)),ABS(X52-W52),IF(ISNUMBER(W52)=ISNUMBER(X52),0,1))</f>
        <v/>
      </c>
      <c r="Z52" s="46" t="n"/>
      <c r="AA52" s="47">
        <f>Calculo!BC50</f>
        <v/>
      </c>
      <c r="AB52" s="45">
        <f>IF(AND(ISNUMBER(Z52),ISNUMBER(AA52)),ABS(AA52-Z52),IF(ISNUMBER(Z52)=ISNUMBER(AA52),0,1))</f>
        <v/>
      </c>
    </row>
    <row r="53">
      <c r="A53" s="36">
        <f>Calculo!A51</f>
        <v/>
      </c>
      <c r="B53" s="46" t="n">
        <v>-0.06412849427947187</v>
      </c>
      <c r="C53" s="47">
        <f>Calculo!W51</f>
        <v/>
      </c>
      <c r="D53" s="45">
        <f>IF(AND(ISNUMBER(B53),ISNUMBER(C53)),ABS(C53-B53),IF(ISNUMBER(B53)=ISNUMBER(C53),0,1))</f>
        <v/>
      </c>
      <c r="E53" s="46" t="n">
        <v>0.7654155583550339</v>
      </c>
      <c r="F53" s="47">
        <f>Calculo!V51</f>
        <v/>
      </c>
      <c r="G53" s="45">
        <f>IF(AND(ISNUMBER(E53),ISNUMBER(F53)),ABS(F53-E53),IF(ISNUMBER(E53)=ISNUMBER(F53),0,1))</f>
        <v/>
      </c>
      <c r="H53" s="46" t="n"/>
      <c r="I53" s="47">
        <f>Calculo!AK51</f>
        <v/>
      </c>
      <c r="J53" s="45">
        <f>IF(AND(ISNUMBER(H53),ISNUMBER(I53)),ABS(I53-H53),IF(ISNUMBER(H53)=ISNUMBER(I53),0,1))</f>
        <v/>
      </c>
      <c r="K53" s="46" t="n"/>
      <c r="L53" s="47">
        <f>Calculo!AL51</f>
        <v/>
      </c>
      <c r="M53" s="45">
        <f>IF(AND(ISNUMBER(K53),ISNUMBER(L53)),ABS(L53-K53),IF(ISNUMBER(K53)=ISNUMBER(L53),0,1))</f>
        <v/>
      </c>
      <c r="N53" s="46" t="n"/>
      <c r="O53" s="47">
        <f>Calculo!AP51</f>
        <v/>
      </c>
      <c r="P53" s="45">
        <f>IF(AND(ISNUMBER(N53),ISNUMBER(O53)),ABS(O53-N53),IF(ISNUMBER(N53)=ISNUMBER(O53),0,1))</f>
        <v/>
      </c>
      <c r="Q53" s="46" t="n"/>
      <c r="R53" s="47">
        <f>Calculo!AW51</f>
        <v/>
      </c>
      <c r="S53" s="45">
        <f>IF(AND(ISNUMBER(Q53),ISNUMBER(R53)),ABS(R53-Q53),IF(ISNUMBER(Q53)=ISNUMBER(R53),0,1))</f>
        <v/>
      </c>
      <c r="T53" s="46" t="n"/>
      <c r="U53" s="47">
        <f>Calculo!AX51</f>
        <v/>
      </c>
      <c r="V53" s="45">
        <f>IF(AND(ISNUMBER(T53),ISNUMBER(U53)),ABS(U53-T53),IF(ISNUMBER(T53)=ISNUMBER(U53),0,1))</f>
        <v/>
      </c>
      <c r="W53" s="46" t="n"/>
      <c r="X53" s="47">
        <f>Calculo!AY51</f>
        <v/>
      </c>
      <c r="Y53" s="45">
        <f>IF(AND(ISNUMBER(W53),ISNUMBER(X53)),ABS(X53-W53),IF(ISNUMBER(W53)=ISNUMBER(X53),0,1))</f>
        <v/>
      </c>
      <c r="Z53" s="46" t="n"/>
      <c r="AA53" s="47">
        <f>Calculo!BC51</f>
        <v/>
      </c>
      <c r="AB53" s="45">
        <f>IF(AND(ISNUMBER(Z53),ISNUMBER(AA53)),ABS(AA53-Z53),IF(ISNUMBER(Z53)=ISNUMBER(AA53),0,1))</f>
        <v/>
      </c>
    </row>
    <row r="54">
      <c r="A54" s="36">
        <f>Calculo!A52</f>
        <v/>
      </c>
      <c r="B54" s="46" t="n">
        <v>-0.002756371843233484</v>
      </c>
      <c r="C54" s="47">
        <f>Calculo!W52</f>
        <v/>
      </c>
      <c r="D54" s="45">
        <f>IF(AND(ISNUMBER(B54),ISNUMBER(C54)),ABS(C54-B54),IF(ISNUMBER(B54)=ISNUMBER(C54),0,1))</f>
        <v/>
      </c>
      <c r="E54" s="46" t="n">
        <v>0.7960488917178413</v>
      </c>
      <c r="F54" s="47">
        <f>Calculo!V52</f>
        <v/>
      </c>
      <c r="G54" s="45">
        <f>IF(AND(ISNUMBER(E54),ISNUMBER(F54)),ABS(F54-E54),IF(ISNUMBER(E54)=ISNUMBER(F54),0,1))</f>
        <v/>
      </c>
      <c r="H54" s="46" t="n"/>
      <c r="I54" s="47">
        <f>Calculo!AK52</f>
        <v/>
      </c>
      <c r="J54" s="45">
        <f>IF(AND(ISNUMBER(H54),ISNUMBER(I54)),ABS(I54-H54),IF(ISNUMBER(H54)=ISNUMBER(I54),0,1))</f>
        <v/>
      </c>
      <c r="K54" s="46" t="n"/>
      <c r="L54" s="47">
        <f>Calculo!AL52</f>
        <v/>
      </c>
      <c r="M54" s="45">
        <f>IF(AND(ISNUMBER(K54),ISNUMBER(L54)),ABS(L54-K54),IF(ISNUMBER(K54)=ISNUMBER(L54),0,1))</f>
        <v/>
      </c>
      <c r="N54" s="46" t="n"/>
      <c r="O54" s="47">
        <f>Calculo!AP52</f>
        <v/>
      </c>
      <c r="P54" s="45">
        <f>IF(AND(ISNUMBER(N54),ISNUMBER(O54)),ABS(O54-N54),IF(ISNUMBER(N54)=ISNUMBER(O54),0,1))</f>
        <v/>
      </c>
      <c r="Q54" s="46" t="n"/>
      <c r="R54" s="47">
        <f>Calculo!AW52</f>
        <v/>
      </c>
      <c r="S54" s="45">
        <f>IF(AND(ISNUMBER(Q54),ISNUMBER(R54)),ABS(R54-Q54),IF(ISNUMBER(Q54)=ISNUMBER(R54),0,1))</f>
        <v/>
      </c>
      <c r="T54" s="46" t="n"/>
      <c r="U54" s="47">
        <f>Calculo!AX52</f>
        <v/>
      </c>
      <c r="V54" s="45">
        <f>IF(AND(ISNUMBER(T54),ISNUMBER(U54)),ABS(U54-T54),IF(ISNUMBER(T54)=ISNUMBER(U54),0,1))</f>
        <v/>
      </c>
      <c r="W54" s="46" t="n"/>
      <c r="X54" s="47">
        <f>Calculo!AY52</f>
        <v/>
      </c>
      <c r="Y54" s="45">
        <f>IF(AND(ISNUMBER(W54),ISNUMBER(X54)),ABS(X54-W54),IF(ISNUMBER(W54)=ISNUMBER(X54),0,1))</f>
        <v/>
      </c>
      <c r="Z54" s="46" t="n"/>
      <c r="AA54" s="47">
        <f>Calculo!BC52</f>
        <v/>
      </c>
      <c r="AB54" s="45">
        <f>IF(AND(ISNUMBER(Z54),ISNUMBER(AA54)),ABS(AA54-Z54),IF(ISNUMBER(Z54)=ISNUMBER(AA54),0,1))</f>
        <v/>
      </c>
    </row>
    <row r="55">
      <c r="A55" s="36">
        <f>Calculo!A53</f>
        <v/>
      </c>
      <c r="B55" s="46" t="n">
        <v>-0.02453005254797175</v>
      </c>
      <c r="C55" s="47">
        <f>Calculo!W53</f>
        <v/>
      </c>
      <c r="D55" s="45">
        <f>IF(AND(ISNUMBER(B55),ISNUMBER(C55)),ABS(C55-B55),IF(ISNUMBER(B55)=ISNUMBER(C55),0,1))</f>
        <v/>
      </c>
      <c r="E55" s="46" t="n">
        <v>0.7628484861333993</v>
      </c>
      <c r="F55" s="47">
        <f>Calculo!V53</f>
        <v/>
      </c>
      <c r="G55" s="45">
        <f>IF(AND(ISNUMBER(E55),ISNUMBER(F55)),ABS(F55-E55),IF(ISNUMBER(E55)=ISNUMBER(F55),0,1))</f>
        <v/>
      </c>
      <c r="H55" s="46" t="n"/>
      <c r="I55" s="47">
        <f>Calculo!AK53</f>
        <v/>
      </c>
      <c r="J55" s="45">
        <f>IF(AND(ISNUMBER(H55),ISNUMBER(I55)),ABS(I55-H55),IF(ISNUMBER(H55)=ISNUMBER(I55),0,1))</f>
        <v/>
      </c>
      <c r="K55" s="46" t="n"/>
      <c r="L55" s="47">
        <f>Calculo!AL53</f>
        <v/>
      </c>
      <c r="M55" s="45">
        <f>IF(AND(ISNUMBER(K55),ISNUMBER(L55)),ABS(L55-K55),IF(ISNUMBER(K55)=ISNUMBER(L55),0,1))</f>
        <v/>
      </c>
      <c r="N55" s="46" t="n"/>
      <c r="O55" s="47">
        <f>Calculo!AP53</f>
        <v/>
      </c>
      <c r="P55" s="45">
        <f>IF(AND(ISNUMBER(N55),ISNUMBER(O55)),ABS(O55-N55),IF(ISNUMBER(N55)=ISNUMBER(O55),0,1))</f>
        <v/>
      </c>
      <c r="Q55" s="46" t="n"/>
      <c r="R55" s="47">
        <f>Calculo!AW53</f>
        <v/>
      </c>
      <c r="S55" s="45">
        <f>IF(AND(ISNUMBER(Q55),ISNUMBER(R55)),ABS(R55-Q55),IF(ISNUMBER(Q55)=ISNUMBER(R55),0,1))</f>
        <v/>
      </c>
      <c r="T55" s="46" t="n"/>
      <c r="U55" s="47">
        <f>Calculo!AX53</f>
        <v/>
      </c>
      <c r="V55" s="45">
        <f>IF(AND(ISNUMBER(T55),ISNUMBER(U55)),ABS(U55-T55),IF(ISNUMBER(T55)=ISNUMBER(U55),0,1))</f>
        <v/>
      </c>
      <c r="W55" s="46" t="n"/>
      <c r="X55" s="47">
        <f>Calculo!AY53</f>
        <v/>
      </c>
      <c r="Y55" s="45">
        <f>IF(AND(ISNUMBER(W55),ISNUMBER(X55)),ABS(X55-W55),IF(ISNUMBER(W55)=ISNUMBER(X55),0,1))</f>
        <v/>
      </c>
      <c r="Z55" s="46" t="n"/>
      <c r="AA55" s="47">
        <f>Calculo!BC53</f>
        <v/>
      </c>
      <c r="AB55" s="45">
        <f>IF(AND(ISNUMBER(Z55),ISNUMBER(AA55)),ABS(AA55-Z55),IF(ISNUMBER(Z55)=ISNUMBER(AA55),0,1))</f>
        <v/>
      </c>
    </row>
    <row r="56">
      <c r="A56" s="36">
        <f>Calculo!A54</f>
        <v/>
      </c>
      <c r="B56" s="46" t="n">
        <v>0.02391178314991314</v>
      </c>
      <c r="C56" s="47">
        <f>Calculo!W54</f>
        <v/>
      </c>
      <c r="D56" s="45">
        <f>IF(AND(ISNUMBER(B56),ISNUMBER(C56)),ABS(C56-B56),IF(ISNUMBER(B56)=ISNUMBER(C56),0,1))</f>
        <v/>
      </c>
      <c r="E56" s="46" t="n">
        <v>0.7749387966899062</v>
      </c>
      <c r="F56" s="47">
        <f>Calculo!V54</f>
        <v/>
      </c>
      <c r="G56" s="45">
        <f>IF(AND(ISNUMBER(E56),ISNUMBER(F56)),ABS(F56-E56),IF(ISNUMBER(E56)=ISNUMBER(F56),0,1))</f>
        <v/>
      </c>
      <c r="H56" s="46" t="n">
        <v>-0.01134275583960245</v>
      </c>
      <c r="I56" s="47">
        <f>Calculo!AK54</f>
        <v/>
      </c>
      <c r="J56" s="45">
        <f>IF(AND(ISNUMBER(H56),ISNUMBER(I56)),ABS(I56-H56),IF(ISNUMBER(H56)=ISNUMBER(I56),0,1))</f>
        <v/>
      </c>
      <c r="K56" s="46" t="n">
        <v>-0.002248890504151625</v>
      </c>
      <c r="L56" s="47">
        <f>Calculo!AL54</f>
        <v/>
      </c>
      <c r="M56" s="45">
        <f>IF(AND(ISNUMBER(K56),ISNUMBER(L56)),ABS(L56-K56),IF(ISNUMBER(K56)=ISNUMBER(L56),0,1))</f>
        <v/>
      </c>
      <c r="N56" s="46" t="n"/>
      <c r="O56" s="47">
        <f>Calculo!AP54</f>
        <v/>
      </c>
      <c r="P56" s="45">
        <f>IF(AND(ISNUMBER(N56),ISNUMBER(O56)),ABS(O56-N56),IF(ISNUMBER(N56)=ISNUMBER(O56),0,1))</f>
        <v/>
      </c>
      <c r="Q56" s="46" t="n"/>
      <c r="R56" s="47">
        <f>Calculo!AW54</f>
        <v/>
      </c>
      <c r="S56" s="45">
        <f>IF(AND(ISNUMBER(Q56),ISNUMBER(R56)),ABS(R56-Q56),IF(ISNUMBER(Q56)=ISNUMBER(R56),0,1))</f>
        <v/>
      </c>
      <c r="T56" s="46" t="n"/>
      <c r="U56" s="47">
        <f>Calculo!AX54</f>
        <v/>
      </c>
      <c r="V56" s="45">
        <f>IF(AND(ISNUMBER(T56),ISNUMBER(U56)),ABS(U56-T56),IF(ISNUMBER(T56)=ISNUMBER(U56),0,1))</f>
        <v/>
      </c>
      <c r="W56" s="46" t="n"/>
      <c r="X56" s="47">
        <f>Calculo!AY54</f>
        <v/>
      </c>
      <c r="Y56" s="45">
        <f>IF(AND(ISNUMBER(W56),ISNUMBER(X56)),ABS(X56-W56),IF(ISNUMBER(W56)=ISNUMBER(X56),0,1))</f>
        <v/>
      </c>
      <c r="Z56" s="46" t="n"/>
      <c r="AA56" s="47">
        <f>Calculo!BC54</f>
        <v/>
      </c>
      <c r="AB56" s="45">
        <f>IF(AND(ISNUMBER(Z56),ISNUMBER(AA56)),ABS(AA56-Z56),IF(ISNUMBER(Z56)=ISNUMBER(AA56),0,1))</f>
        <v/>
      </c>
    </row>
    <row r="57">
      <c r="A57" s="36">
        <f>Calculo!A55</f>
        <v/>
      </c>
      <c r="B57" s="46" t="n">
        <v>-0.02389155596867107</v>
      </c>
      <c r="C57" s="47">
        <f>Calculo!W55</f>
        <v/>
      </c>
      <c r="D57" s="45">
        <f>IF(AND(ISNUMBER(B57),ISNUMBER(C57)),ABS(C57-B57),IF(ISNUMBER(B57)=ISNUMBER(C57),0,1))</f>
        <v/>
      </c>
      <c r="E57" s="46" t="n">
        <v>0.8224244474504165</v>
      </c>
      <c r="F57" s="47">
        <f>Calculo!V55</f>
        <v/>
      </c>
      <c r="G57" s="45">
        <f>IF(AND(ISNUMBER(E57),ISNUMBER(F57)),ABS(F57-E57),IF(ISNUMBER(E57)=ISNUMBER(F57),0,1))</f>
        <v/>
      </c>
      <c r="H57" s="46" t="n">
        <v>-0.01050193253861361</v>
      </c>
      <c r="I57" s="47">
        <f>Calculo!AK55</f>
        <v/>
      </c>
      <c r="J57" s="45">
        <f>IF(AND(ISNUMBER(H57),ISNUMBER(I57)),ABS(I57-H57),IF(ISNUMBER(H57)=ISNUMBER(I57),0,1))</f>
        <v/>
      </c>
      <c r="K57" s="46" t="n">
        <v>-0.001145815713463189</v>
      </c>
      <c r="L57" s="47">
        <f>Calculo!AL55</f>
        <v/>
      </c>
      <c r="M57" s="45">
        <f>IF(AND(ISNUMBER(K57),ISNUMBER(L57)),ABS(L57-K57),IF(ISNUMBER(K57)=ISNUMBER(L57),0,1))</f>
        <v/>
      </c>
      <c r="N57" s="46" t="n"/>
      <c r="O57" s="47">
        <f>Calculo!AP55</f>
        <v/>
      </c>
      <c r="P57" s="45">
        <f>IF(AND(ISNUMBER(N57),ISNUMBER(O57)),ABS(O57-N57),IF(ISNUMBER(N57)=ISNUMBER(O57),0,1))</f>
        <v/>
      </c>
      <c r="Q57" s="46" t="n"/>
      <c r="R57" s="47">
        <f>Calculo!AW55</f>
        <v/>
      </c>
      <c r="S57" s="45">
        <f>IF(AND(ISNUMBER(Q57),ISNUMBER(R57)),ABS(R57-Q57),IF(ISNUMBER(Q57)=ISNUMBER(R57),0,1))</f>
        <v/>
      </c>
      <c r="T57" s="46" t="n"/>
      <c r="U57" s="47">
        <f>Calculo!AX55</f>
        <v/>
      </c>
      <c r="V57" s="45">
        <f>IF(AND(ISNUMBER(T57),ISNUMBER(U57)),ABS(U57-T57),IF(ISNUMBER(T57)=ISNUMBER(U57),0,1))</f>
        <v/>
      </c>
      <c r="W57" s="46" t="n"/>
      <c r="X57" s="47">
        <f>Calculo!AY55</f>
        <v/>
      </c>
      <c r="Y57" s="45">
        <f>IF(AND(ISNUMBER(W57),ISNUMBER(X57)),ABS(X57-W57),IF(ISNUMBER(W57)=ISNUMBER(X57),0,1))</f>
        <v/>
      </c>
      <c r="Z57" s="46" t="n"/>
      <c r="AA57" s="47">
        <f>Calculo!BC55</f>
        <v/>
      </c>
      <c r="AB57" s="45">
        <f>IF(AND(ISNUMBER(Z57),ISNUMBER(AA57)),ABS(AA57-Z57),IF(ISNUMBER(Z57)=ISNUMBER(AA57),0,1))</f>
        <v/>
      </c>
    </row>
    <row r="58">
      <c r="A58" s="36">
        <f>Calculo!A56</f>
        <v/>
      </c>
      <c r="B58" s="46" t="n">
        <v>-0.07274003298157335</v>
      </c>
      <c r="C58" s="47">
        <f>Calculo!W56</f>
        <v/>
      </c>
      <c r="D58" s="45">
        <f>IF(AND(ISNUMBER(B58),ISNUMBER(C58)),ABS(C58-B58),IF(ISNUMBER(B58)=ISNUMBER(C58),0,1))</f>
        <v/>
      </c>
      <c r="E58" s="46" t="n">
        <v>0.8173511098237796</v>
      </c>
      <c r="F58" s="47">
        <f>Calculo!V56</f>
        <v/>
      </c>
      <c r="G58" s="45">
        <f>IF(AND(ISNUMBER(E58),ISNUMBER(F58)),ABS(F58-E58),IF(ISNUMBER(E58)=ISNUMBER(F58),0,1))</f>
        <v/>
      </c>
      <c r="H58" s="46" t="n">
        <v>-0.01061871019268941</v>
      </c>
      <c r="I58" s="47">
        <f>Calculo!AK56</f>
        <v/>
      </c>
      <c r="J58" s="45">
        <f>IF(AND(ISNUMBER(H58),ISNUMBER(I58)),ABS(I58-H58),IF(ISNUMBER(H58)=ISNUMBER(I58),0,1))</f>
        <v/>
      </c>
      <c r="K58" s="46" t="n">
        <v>-0.002034768815914782</v>
      </c>
      <c r="L58" s="47">
        <f>Calculo!AL56</f>
        <v/>
      </c>
      <c r="M58" s="45">
        <f>IF(AND(ISNUMBER(K58),ISNUMBER(L58)),ABS(L58-K58),IF(ISNUMBER(K58)=ISNUMBER(L58),0,1))</f>
        <v/>
      </c>
      <c r="N58" s="46" t="n">
        <v>-0.06524391080864303</v>
      </c>
      <c r="O58" s="47">
        <f>Calculo!AP56</f>
        <v/>
      </c>
      <c r="P58" s="45">
        <f>IF(AND(ISNUMBER(N58),ISNUMBER(O58)),ABS(O58-N58),IF(ISNUMBER(N58)=ISNUMBER(O58),0,1))</f>
        <v/>
      </c>
      <c r="Q58" s="46" t="n"/>
      <c r="R58" s="47">
        <f>Calculo!AW56</f>
        <v/>
      </c>
      <c r="S58" s="45">
        <f>IF(AND(ISNUMBER(Q58),ISNUMBER(R58)),ABS(R58-Q58),IF(ISNUMBER(Q58)=ISNUMBER(R58),0,1))</f>
        <v/>
      </c>
      <c r="T58" s="46" t="n"/>
      <c r="U58" s="47">
        <f>Calculo!AX56</f>
        <v/>
      </c>
      <c r="V58" s="45">
        <f>IF(AND(ISNUMBER(T58),ISNUMBER(U58)),ABS(U58-T58),IF(ISNUMBER(T58)=ISNUMBER(U58),0,1))</f>
        <v/>
      </c>
      <c r="W58" s="46" t="n"/>
      <c r="X58" s="47">
        <f>Calculo!AY56</f>
        <v/>
      </c>
      <c r="Y58" s="45">
        <f>IF(AND(ISNUMBER(W58),ISNUMBER(X58)),ABS(X58-W58),IF(ISNUMBER(W58)=ISNUMBER(X58),0,1))</f>
        <v/>
      </c>
      <c r="Z58" s="46" t="n"/>
      <c r="AA58" s="47">
        <f>Calculo!BC56</f>
        <v/>
      </c>
      <c r="AB58" s="45">
        <f>IF(AND(ISNUMBER(Z58),ISNUMBER(AA58)),ABS(AA58-Z58),IF(ISNUMBER(Z58)=ISNUMBER(AA58),0,1))</f>
        <v/>
      </c>
    </row>
    <row r="59">
      <c r="A59" s="36">
        <f>Calculo!A57</f>
        <v/>
      </c>
      <c r="B59" s="46" t="n">
        <v>-0.09156506623918123</v>
      </c>
      <c r="C59" s="47">
        <f>Calculo!W57</f>
        <v/>
      </c>
      <c r="D59" s="45">
        <f>IF(AND(ISNUMBER(B59),ISNUMBER(C59)),ABS(C59-B59),IF(ISNUMBER(B59)=ISNUMBER(C59),0,1))</f>
        <v/>
      </c>
      <c r="E59" s="46" t="n">
        <v>0.8224515286646646</v>
      </c>
      <c r="F59" s="47">
        <f>Calculo!V57</f>
        <v/>
      </c>
      <c r="G59" s="45">
        <f>IF(AND(ISNUMBER(E59),ISNUMBER(F59)),ABS(F59-E59),IF(ISNUMBER(E59)=ISNUMBER(F59),0,1))</f>
        <v/>
      </c>
      <c r="H59" s="46" t="n">
        <v>-0.009764927795183282</v>
      </c>
      <c r="I59" s="47">
        <f>Calculo!AK57</f>
        <v/>
      </c>
      <c r="J59" s="45">
        <f>IF(AND(ISNUMBER(H59),ISNUMBER(I59)),ABS(I59-H59),IF(ISNUMBER(H59)=ISNUMBER(I59),0,1))</f>
        <v/>
      </c>
      <c r="K59" s="46" t="n">
        <v>-0.004675444351389025</v>
      </c>
      <c r="L59" s="47">
        <f>Calculo!AL57</f>
        <v/>
      </c>
      <c r="M59" s="45">
        <f>IF(AND(ISNUMBER(K59),ISNUMBER(L59)),ABS(L59-K59),IF(ISNUMBER(K59)=ISNUMBER(L59),0,1))</f>
        <v/>
      </c>
      <c r="N59" s="46" t="n">
        <v>-0.1796589814490611</v>
      </c>
      <c r="O59" s="47">
        <f>Calculo!AP57</f>
        <v/>
      </c>
      <c r="P59" s="45">
        <f>IF(AND(ISNUMBER(N59),ISNUMBER(O59)),ABS(O59-N59),IF(ISNUMBER(N59)=ISNUMBER(O59),0,1))</f>
        <v/>
      </c>
      <c r="Q59" s="46" t="n"/>
      <c r="R59" s="47">
        <f>Calculo!AW57</f>
        <v/>
      </c>
      <c r="S59" s="45">
        <f>IF(AND(ISNUMBER(Q59),ISNUMBER(R59)),ABS(R59-Q59),IF(ISNUMBER(Q59)=ISNUMBER(R59),0,1))</f>
        <v/>
      </c>
      <c r="T59" s="46" t="n"/>
      <c r="U59" s="47">
        <f>Calculo!AX57</f>
        <v/>
      </c>
      <c r="V59" s="45">
        <f>IF(AND(ISNUMBER(T59),ISNUMBER(U59)),ABS(U59-T59),IF(ISNUMBER(T59)=ISNUMBER(U59),0,1))</f>
        <v/>
      </c>
      <c r="W59" s="46" t="n"/>
      <c r="X59" s="47">
        <f>Calculo!AY57</f>
        <v/>
      </c>
      <c r="Y59" s="45">
        <f>IF(AND(ISNUMBER(W59),ISNUMBER(X59)),ABS(X59-W59),IF(ISNUMBER(W59)=ISNUMBER(X59),0,1))</f>
        <v/>
      </c>
      <c r="Z59" s="46" t="n"/>
      <c r="AA59" s="47">
        <f>Calculo!BC57</f>
        <v/>
      </c>
      <c r="AB59" s="45">
        <f>IF(AND(ISNUMBER(Z59),ISNUMBER(AA59)),ABS(AA59-Z59),IF(ISNUMBER(Z59)=ISNUMBER(AA59),0,1))</f>
        <v/>
      </c>
    </row>
    <row r="60">
      <c r="A60" s="36">
        <f>Calculo!A58</f>
        <v/>
      </c>
      <c r="B60" s="46" t="n">
        <v>-0.1399751535381085</v>
      </c>
      <c r="C60" s="47">
        <f>Calculo!W58</f>
        <v/>
      </c>
      <c r="D60" s="45">
        <f>IF(AND(ISNUMBER(B60),ISNUMBER(C60)),ABS(C60-B60),IF(ISNUMBER(B60)=ISNUMBER(C60),0,1))</f>
        <v/>
      </c>
      <c r="E60" s="46" t="n">
        <v>0.7735134085425397</v>
      </c>
      <c r="F60" s="47">
        <f>Calculo!V58</f>
        <v/>
      </c>
      <c r="G60" s="45">
        <f>IF(AND(ISNUMBER(E60),ISNUMBER(F60)),ABS(F60-E60),IF(ISNUMBER(E60)=ISNUMBER(F60),0,1))</f>
        <v/>
      </c>
      <c r="H60" s="46" t="n">
        <v>-0.008557273145766734</v>
      </c>
      <c r="I60" s="47">
        <f>Calculo!AK58</f>
        <v/>
      </c>
      <c r="J60" s="45">
        <f>IF(AND(ISNUMBER(H60),ISNUMBER(I60)),ABS(I60-H60),IF(ISNUMBER(H60)=ISNUMBER(I60),0,1))</f>
        <v/>
      </c>
      <c r="K60" s="46" t="n">
        <v>-0.00774072495114549</v>
      </c>
      <c r="L60" s="47">
        <f>Calculo!AL58</f>
        <v/>
      </c>
      <c r="M60" s="45">
        <f>IF(AND(ISNUMBER(K60),ISNUMBER(L60)),ABS(L60-K60),IF(ISNUMBER(K60)=ISNUMBER(L60),0,1))</f>
        <v/>
      </c>
      <c r="N60" s="46" t="n">
        <v>-0.2894830568707789</v>
      </c>
      <c r="O60" s="47">
        <f>Calculo!AP58</f>
        <v/>
      </c>
      <c r="P60" s="45">
        <f>IF(AND(ISNUMBER(N60),ISNUMBER(O60)),ABS(O60-N60),IF(ISNUMBER(N60)=ISNUMBER(O60),0,1))</f>
        <v/>
      </c>
      <c r="Q60" s="46" t="n"/>
      <c r="R60" s="47">
        <f>Calculo!AW58</f>
        <v/>
      </c>
      <c r="S60" s="45">
        <f>IF(AND(ISNUMBER(Q60),ISNUMBER(R60)),ABS(R60-Q60),IF(ISNUMBER(Q60)=ISNUMBER(R60),0,1))</f>
        <v/>
      </c>
      <c r="T60" s="46" t="n"/>
      <c r="U60" s="47">
        <f>Calculo!AX58</f>
        <v/>
      </c>
      <c r="V60" s="45">
        <f>IF(AND(ISNUMBER(T60),ISNUMBER(U60)),ABS(U60-T60),IF(ISNUMBER(T60)=ISNUMBER(U60),0,1))</f>
        <v/>
      </c>
      <c r="W60" s="46" t="n"/>
      <c r="X60" s="47">
        <f>Calculo!AY58</f>
        <v/>
      </c>
      <c r="Y60" s="45">
        <f>IF(AND(ISNUMBER(W60),ISNUMBER(X60)),ABS(X60-W60),IF(ISNUMBER(W60)=ISNUMBER(X60),0,1))</f>
        <v/>
      </c>
      <c r="Z60" s="46" t="n"/>
      <c r="AA60" s="47">
        <f>Calculo!BC58</f>
        <v/>
      </c>
      <c r="AB60" s="45">
        <f>IF(AND(ISNUMBER(Z60),ISNUMBER(AA60)),ABS(AA60-Z60),IF(ISNUMBER(Z60)=ISNUMBER(AA60),0,1))</f>
        <v/>
      </c>
    </row>
    <row r="61">
      <c r="A61" s="36">
        <f>Calculo!A59</f>
        <v/>
      </c>
      <c r="B61" s="46" t="n">
        <v>0.0706373124028177</v>
      </c>
      <c r="C61" s="47">
        <f>Calculo!W59</f>
        <v/>
      </c>
      <c r="D61" s="45">
        <f>IF(AND(ISNUMBER(B61),ISNUMBER(C61)),ABS(C61-B61),IF(ISNUMBER(B61)=ISNUMBER(C61),0,1))</f>
        <v/>
      </c>
      <c r="E61" s="46" t="n">
        <v>0.8058683870847129</v>
      </c>
      <c r="F61" s="47">
        <f>Calculo!V59</f>
        <v/>
      </c>
      <c r="G61" s="45">
        <f>IF(AND(ISNUMBER(E61),ISNUMBER(F61)),ABS(F61-E61),IF(ISNUMBER(E61)=ISNUMBER(F61),0,1))</f>
        <v/>
      </c>
      <c r="H61" s="46" t="n">
        <v>-0.09633325195063698</v>
      </c>
      <c r="I61" s="47">
        <f>Calculo!AK59</f>
        <v/>
      </c>
      <c r="J61" s="45">
        <f>IF(AND(ISNUMBER(H61),ISNUMBER(I61)),ABS(I61-H61),IF(ISNUMBER(H61)=ISNUMBER(I61),0,1))</f>
        <v/>
      </c>
      <c r="K61" s="46" t="n">
        <v>-0.01096803701452543</v>
      </c>
      <c r="L61" s="47">
        <f>Calculo!AL59</f>
        <v/>
      </c>
      <c r="M61" s="45">
        <f>IF(AND(ISNUMBER(K61),ISNUMBER(L61)),ABS(L61-K61),IF(ISNUMBER(K61)=ISNUMBER(L61),0,1))</f>
        <v/>
      </c>
      <c r="N61" s="46" t="n">
        <v>-0.1371525617565097</v>
      </c>
      <c r="O61" s="47">
        <f>Calculo!AP59</f>
        <v/>
      </c>
      <c r="P61" s="45">
        <f>IF(AND(ISNUMBER(N61),ISNUMBER(O61)),ABS(O61-N61),IF(ISNUMBER(N61)=ISNUMBER(O61),0,1))</f>
        <v/>
      </c>
      <c r="Q61" s="46" t="n"/>
      <c r="R61" s="47">
        <f>Calculo!AW59</f>
        <v/>
      </c>
      <c r="S61" s="45">
        <f>IF(AND(ISNUMBER(Q61),ISNUMBER(R61)),ABS(R61-Q61),IF(ISNUMBER(Q61)=ISNUMBER(R61),0,1))</f>
        <v/>
      </c>
      <c r="T61" s="46" t="n"/>
      <c r="U61" s="47">
        <f>Calculo!AX59</f>
        <v/>
      </c>
      <c r="V61" s="45">
        <f>IF(AND(ISNUMBER(T61),ISNUMBER(U61)),ABS(U61-T61),IF(ISNUMBER(T61)=ISNUMBER(U61),0,1))</f>
        <v/>
      </c>
      <c r="W61" s="46" t="n"/>
      <c r="X61" s="47">
        <f>Calculo!AY59</f>
        <v/>
      </c>
      <c r="Y61" s="45">
        <f>IF(AND(ISNUMBER(W61),ISNUMBER(X61)),ABS(X61-W61),IF(ISNUMBER(W61)=ISNUMBER(X61),0,1))</f>
        <v/>
      </c>
      <c r="Z61" s="46" t="n"/>
      <c r="AA61" s="47">
        <f>Calculo!BC59</f>
        <v/>
      </c>
      <c r="AB61" s="45">
        <f>IF(AND(ISNUMBER(Z61),ISNUMBER(AA61)),ABS(AA61-Z61),IF(ISNUMBER(Z61)=ISNUMBER(AA61),0,1))</f>
        <v/>
      </c>
    </row>
    <row r="62">
      <c r="A62" s="36">
        <f>Calculo!A60</f>
        <v/>
      </c>
      <c r="B62" s="46" t="n">
        <v>0.06867592137011796</v>
      </c>
      <c r="C62" s="47">
        <f>Calculo!W60</f>
        <v/>
      </c>
      <c r="D62" s="45">
        <f>IF(AND(ISNUMBER(B62),ISNUMBER(C62)),ABS(C62-B62),IF(ISNUMBER(B62)=ISNUMBER(C62),0,1))</f>
        <v/>
      </c>
      <c r="E62" s="46" t="n">
        <v>0.7054498036897914</v>
      </c>
      <c r="F62" s="47">
        <f>Calculo!V60</f>
        <v/>
      </c>
      <c r="G62" s="45">
        <f>IF(AND(ISNUMBER(E62),ISNUMBER(F62)),ABS(F62-E62),IF(ISNUMBER(E62)=ISNUMBER(F62),0,1))</f>
        <v/>
      </c>
      <c r="H62" s="46" t="n">
        <v>-0.09625752735962589</v>
      </c>
      <c r="I62" s="47">
        <f>Calculo!AK60</f>
        <v/>
      </c>
      <c r="J62" s="45">
        <f>IF(AND(ISNUMBER(H62),ISNUMBER(I62)),ABS(I62-H62),IF(ISNUMBER(H62)=ISNUMBER(I62),0,1))</f>
        <v/>
      </c>
      <c r="K62" s="46" t="n">
        <v>-0.007930211358833388</v>
      </c>
      <c r="L62" s="47">
        <f>Calculo!AL60</f>
        <v/>
      </c>
      <c r="M62" s="45">
        <f>IF(AND(ISNUMBER(K62),ISNUMBER(L62)),ABS(L62-K62),IF(ISNUMBER(K62)=ISNUMBER(L62),0,1))</f>
        <v/>
      </c>
      <c r="N62" s="46" t="n">
        <v>0.03570056999841806</v>
      </c>
      <c r="O62" s="47">
        <f>Calculo!AP60</f>
        <v/>
      </c>
      <c r="P62" s="45">
        <f>IF(AND(ISNUMBER(N62),ISNUMBER(O62)),ABS(O62-N62),IF(ISNUMBER(N62)=ISNUMBER(O62),0,1))</f>
        <v/>
      </c>
      <c r="Q62" s="46" t="n"/>
      <c r="R62" s="47">
        <f>Calculo!AW60</f>
        <v/>
      </c>
      <c r="S62" s="45">
        <f>IF(AND(ISNUMBER(Q62),ISNUMBER(R62)),ABS(R62-Q62),IF(ISNUMBER(Q62)=ISNUMBER(R62),0,1))</f>
        <v/>
      </c>
      <c r="T62" s="46" t="n"/>
      <c r="U62" s="47">
        <f>Calculo!AX60</f>
        <v/>
      </c>
      <c r="V62" s="45">
        <f>IF(AND(ISNUMBER(T62),ISNUMBER(U62)),ABS(U62-T62),IF(ISNUMBER(T62)=ISNUMBER(U62),0,1))</f>
        <v/>
      </c>
      <c r="W62" s="46" t="n"/>
      <c r="X62" s="47">
        <f>Calculo!AY60</f>
        <v/>
      </c>
      <c r="Y62" s="45">
        <f>IF(AND(ISNUMBER(W62),ISNUMBER(X62)),ABS(X62-W62),IF(ISNUMBER(W62)=ISNUMBER(X62),0,1))</f>
        <v/>
      </c>
      <c r="Z62" s="46" t="n"/>
      <c r="AA62" s="47">
        <f>Calculo!BC60</f>
        <v/>
      </c>
      <c r="AB62" s="45">
        <f>IF(AND(ISNUMBER(Z62),ISNUMBER(AA62)),ABS(AA62-Z62),IF(ISNUMBER(Z62)=ISNUMBER(AA62),0,1))</f>
        <v/>
      </c>
    </row>
    <row r="63">
      <c r="A63" s="36">
        <f>Calculo!A61</f>
        <v/>
      </c>
      <c r="B63" s="46" t="n">
        <v>0.04965755640142146</v>
      </c>
      <c r="C63" s="47">
        <f>Calculo!W61</f>
        <v/>
      </c>
      <c r="D63" s="45">
        <f>IF(AND(ISNUMBER(B63),ISNUMBER(C63)),ABS(C63-B63),IF(ISNUMBER(B63)=ISNUMBER(C63),0,1))</f>
        <v/>
      </c>
      <c r="E63" s="46" t="n">
        <v>0.6563609141416841</v>
      </c>
      <c r="F63" s="47">
        <f>Calculo!V61</f>
        <v/>
      </c>
      <c r="G63" s="45">
        <f>IF(AND(ISNUMBER(E63),ISNUMBER(F63)),ABS(F63-E63),IF(ISNUMBER(E63)=ISNUMBER(F63),0,1))</f>
        <v/>
      </c>
      <c r="H63" s="46" t="n">
        <v>-0.08437978062659776</v>
      </c>
      <c r="I63" s="47">
        <f>Calculo!AK61</f>
        <v/>
      </c>
      <c r="J63" s="45">
        <f>IF(AND(ISNUMBER(H63),ISNUMBER(I63)),ABS(I63-H63),IF(ISNUMBER(H63)=ISNUMBER(I63),0,1))</f>
        <v/>
      </c>
      <c r="K63" s="46" t="n">
        <v>-0.005480309470356989</v>
      </c>
      <c r="L63" s="47">
        <f>Calculo!AL61</f>
        <v/>
      </c>
      <c r="M63" s="45">
        <f>IF(AND(ISNUMBER(K63),ISNUMBER(L63)),ABS(L63-K63),IF(ISNUMBER(K63)=ISNUMBER(L63),0,1))</f>
        <v/>
      </c>
      <c r="N63" s="46" t="n">
        <v>0.2514985756167654</v>
      </c>
      <c r="O63" s="47">
        <f>Calculo!AP61</f>
        <v/>
      </c>
      <c r="P63" s="45">
        <f>IF(AND(ISNUMBER(N63),ISNUMBER(O63)),ABS(O63-N63),IF(ISNUMBER(N63)=ISNUMBER(O63),0,1))</f>
        <v/>
      </c>
      <c r="Q63" s="46" t="n"/>
      <c r="R63" s="47">
        <f>Calculo!AW61</f>
        <v/>
      </c>
      <c r="S63" s="45">
        <f>IF(AND(ISNUMBER(Q63),ISNUMBER(R63)),ABS(R63-Q63),IF(ISNUMBER(Q63)=ISNUMBER(R63),0,1))</f>
        <v/>
      </c>
      <c r="T63" s="46" t="n"/>
      <c r="U63" s="47">
        <f>Calculo!AX61</f>
        <v/>
      </c>
      <c r="V63" s="45">
        <f>IF(AND(ISNUMBER(T63),ISNUMBER(U63)),ABS(U63-T63),IF(ISNUMBER(T63)=ISNUMBER(U63),0,1))</f>
        <v/>
      </c>
      <c r="W63" s="46" t="n"/>
      <c r="X63" s="47">
        <f>Calculo!AY61</f>
        <v/>
      </c>
      <c r="Y63" s="45">
        <f>IF(AND(ISNUMBER(W63),ISNUMBER(X63)),ABS(X63-W63),IF(ISNUMBER(W63)=ISNUMBER(X63),0,1))</f>
        <v/>
      </c>
      <c r="Z63" s="46" t="n"/>
      <c r="AA63" s="47">
        <f>Calculo!BC61</f>
        <v/>
      </c>
      <c r="AB63" s="45">
        <f>IF(AND(ISNUMBER(Z63),ISNUMBER(AA63)),ABS(AA63-Z63),IF(ISNUMBER(Z63)=ISNUMBER(AA63),0,1))</f>
        <v/>
      </c>
    </row>
    <row r="64">
      <c r="A64" s="36">
        <f>Calculo!A62</f>
        <v/>
      </c>
      <c r="B64" s="46" t="n">
        <v>-0.4528118165318682</v>
      </c>
      <c r="C64" s="47">
        <f>Calculo!W62</f>
        <v/>
      </c>
      <c r="D64" s="45">
        <f>IF(AND(ISNUMBER(B64),ISNUMBER(C64)),ABS(C64-B64),IF(ISNUMBER(B64)=ISNUMBER(C64),0,1))</f>
        <v/>
      </c>
      <c r="E64" s="46" t="n">
        <v>0.603947871840796</v>
      </c>
      <c r="F64" s="47">
        <f>Calculo!V62</f>
        <v/>
      </c>
      <c r="G64" s="45">
        <f>IF(AND(ISNUMBER(E64),ISNUMBER(F64)),ABS(F64-E64),IF(ISNUMBER(E64)=ISNUMBER(F64),0,1))</f>
        <v/>
      </c>
      <c r="H64" s="46" t="n">
        <v>-0.05465255436446738</v>
      </c>
      <c r="I64" s="47">
        <f>Calculo!AK62</f>
        <v/>
      </c>
      <c r="J64" s="45">
        <f>IF(AND(ISNUMBER(H64),ISNUMBER(I64)),ABS(I64-H64),IF(ISNUMBER(H64)=ISNUMBER(I64),0,1))</f>
        <v/>
      </c>
      <c r="K64" s="46" t="n">
        <v>-0.003198181896578279</v>
      </c>
      <c r="L64" s="47">
        <f>Calculo!AL62</f>
        <v/>
      </c>
      <c r="M64" s="45">
        <f>IF(AND(ISNUMBER(K64),ISNUMBER(L64)),ABS(L64-K64),IF(ISNUMBER(K64)=ISNUMBER(L64),0,1))</f>
        <v/>
      </c>
      <c r="N64" s="46" t="n">
        <v>-0.245047215178836</v>
      </c>
      <c r="O64" s="47">
        <f>Calculo!AP62</f>
        <v/>
      </c>
      <c r="P64" s="45">
        <f>IF(AND(ISNUMBER(N64),ISNUMBER(O64)),ABS(O64-N64),IF(ISNUMBER(N64)=ISNUMBER(O64),0,1))</f>
        <v/>
      </c>
      <c r="Q64" s="46" t="n"/>
      <c r="R64" s="47">
        <f>Calculo!AW62</f>
        <v/>
      </c>
      <c r="S64" s="45">
        <f>IF(AND(ISNUMBER(Q64),ISNUMBER(R64)),ABS(R64-Q64),IF(ISNUMBER(Q64)=ISNUMBER(R64),0,1))</f>
        <v/>
      </c>
      <c r="T64" s="46" t="n"/>
      <c r="U64" s="47">
        <f>Calculo!AX62</f>
        <v/>
      </c>
      <c r="V64" s="45">
        <f>IF(AND(ISNUMBER(T64),ISNUMBER(U64)),ABS(U64-T64),IF(ISNUMBER(T64)=ISNUMBER(U64),0,1))</f>
        <v/>
      </c>
      <c r="W64" s="46" t="n"/>
      <c r="X64" s="47">
        <f>Calculo!AY62</f>
        <v/>
      </c>
      <c r="Y64" s="45">
        <f>IF(AND(ISNUMBER(W64),ISNUMBER(X64)),ABS(X64-W64),IF(ISNUMBER(W64)=ISNUMBER(X64),0,1))</f>
        <v/>
      </c>
      <c r="Z64" s="46" t="n"/>
      <c r="AA64" s="47">
        <f>Calculo!BC62</f>
        <v/>
      </c>
      <c r="AB64" s="45">
        <f>IF(AND(ISNUMBER(Z64),ISNUMBER(AA64)),ABS(AA64-Z64),IF(ISNUMBER(Z64)=ISNUMBER(AA64),0,1))</f>
        <v/>
      </c>
    </row>
    <row r="65">
      <c r="A65" s="36">
        <f>Calculo!A63</f>
        <v/>
      </c>
      <c r="B65" s="46" t="n">
        <v>0.1991917479590587</v>
      </c>
      <c r="C65" s="47">
        <f>Calculo!W63</f>
        <v/>
      </c>
      <c r="D65" s="45">
        <f>IF(AND(ISNUMBER(B65),ISNUMBER(C65)),ABS(C65-B65),IF(ISNUMBER(B65)=ISNUMBER(C65),0,1))</f>
        <v/>
      </c>
      <c r="E65" s="46" t="n">
        <v>1.183371277650975</v>
      </c>
      <c r="F65" s="47">
        <f>Calculo!V63</f>
        <v/>
      </c>
      <c r="G65" s="45">
        <f>IF(AND(ISNUMBER(E65),ISNUMBER(F65)),ABS(F65-E65),IF(ISNUMBER(E65)=ISNUMBER(F65),0,1))</f>
        <v/>
      </c>
      <c r="H65" s="46" t="n">
        <v>-0.26572900104793</v>
      </c>
      <c r="I65" s="47">
        <f>Calculo!AK63</f>
        <v/>
      </c>
      <c r="J65" s="45">
        <f>IF(AND(ISNUMBER(H65),ISNUMBER(I65)),ABS(I65-H65),IF(ISNUMBER(H65)=ISNUMBER(I65),0,1))</f>
        <v/>
      </c>
      <c r="K65" s="46" t="n">
        <v>-0.006695574309307175</v>
      </c>
      <c r="L65" s="47">
        <f>Calculo!AL63</f>
        <v/>
      </c>
      <c r="M65" s="45">
        <f>IF(AND(ISNUMBER(K65),ISNUMBER(L65)),ABS(L65-K65),IF(ISNUMBER(K65)=ISNUMBER(L65),0,1))</f>
        <v/>
      </c>
      <c r="N65" s="46" t="n">
        <v>-0.134471011494174</v>
      </c>
      <c r="O65" s="47">
        <f>Calculo!AP63</f>
        <v/>
      </c>
      <c r="P65" s="45">
        <f>IF(AND(ISNUMBER(N65),ISNUMBER(O65)),ABS(O65-N65),IF(ISNUMBER(N65)=ISNUMBER(O65),0,1))</f>
        <v/>
      </c>
      <c r="Q65" s="46" t="n"/>
      <c r="R65" s="47">
        <f>Calculo!AW63</f>
        <v/>
      </c>
      <c r="S65" s="45">
        <f>IF(AND(ISNUMBER(Q65),ISNUMBER(R65)),ABS(R65-Q65),IF(ISNUMBER(Q65)=ISNUMBER(R65),0,1))</f>
        <v/>
      </c>
      <c r="T65" s="46" t="n"/>
      <c r="U65" s="47">
        <f>Calculo!AX63</f>
        <v/>
      </c>
      <c r="V65" s="45">
        <f>IF(AND(ISNUMBER(T65),ISNUMBER(U65)),ABS(U65-T65),IF(ISNUMBER(T65)=ISNUMBER(U65),0,1))</f>
        <v/>
      </c>
      <c r="W65" s="46" t="n"/>
      <c r="X65" s="47">
        <f>Calculo!AY63</f>
        <v/>
      </c>
      <c r="Y65" s="45">
        <f>IF(AND(ISNUMBER(W65),ISNUMBER(X65)),ABS(X65-W65),IF(ISNUMBER(W65)=ISNUMBER(X65),0,1))</f>
        <v/>
      </c>
      <c r="Z65" s="46" t="n"/>
      <c r="AA65" s="47">
        <f>Calculo!BC63</f>
        <v/>
      </c>
      <c r="AB65" s="45">
        <f>IF(AND(ISNUMBER(Z65),ISNUMBER(AA65)),ABS(AA65-Z65),IF(ISNUMBER(Z65)=ISNUMBER(AA65),0,1))</f>
        <v/>
      </c>
    </row>
    <row r="66">
      <c r="A66" s="36">
        <f>Calculo!A64</f>
        <v/>
      </c>
      <c r="B66" s="46" t="n">
        <v>0.0283148176433429</v>
      </c>
      <c r="C66" s="47">
        <f>Calculo!W64</f>
        <v/>
      </c>
      <c r="D66" s="45">
        <f>IF(AND(ISNUMBER(B66),ISNUMBER(C66)),ABS(C66-B66),IF(ISNUMBER(B66)=ISNUMBER(C66),0,1))</f>
        <v/>
      </c>
      <c r="E66" s="46" t="n">
        <v>1.176733000881851</v>
      </c>
      <c r="F66" s="47">
        <f>Calculo!V64</f>
        <v/>
      </c>
      <c r="G66" s="45">
        <f>IF(AND(ISNUMBER(E66),ISNUMBER(F66)),ABS(F66-E66),IF(ISNUMBER(E66)=ISNUMBER(F66),0,1))</f>
        <v/>
      </c>
      <c r="H66" s="46" t="n">
        <v>-0.2845838008306239</v>
      </c>
      <c r="I66" s="47">
        <f>Calculo!AK64</f>
        <v/>
      </c>
      <c r="J66" s="45">
        <f>IF(AND(ISNUMBER(H66),ISNUMBER(I66)),ABS(I66-H66),IF(ISNUMBER(H66)=ISNUMBER(I66),0,1))</f>
        <v/>
      </c>
      <c r="K66" s="46" t="n">
        <v>-0.002056307370276442</v>
      </c>
      <c r="L66" s="47">
        <f>Calculo!AL64</f>
        <v/>
      </c>
      <c r="M66" s="45">
        <f>IF(AND(ISNUMBER(K66),ISNUMBER(L66)),ABS(L66-K66),IF(ISNUMBER(K66)=ISNUMBER(L66),0,1))</f>
        <v/>
      </c>
      <c r="N66" s="46" t="n">
        <v>-0.1918324413827746</v>
      </c>
      <c r="O66" s="47">
        <f>Calculo!AP64</f>
        <v/>
      </c>
      <c r="P66" s="45">
        <f>IF(AND(ISNUMBER(N66),ISNUMBER(O66)),ABS(O66-N66),IF(ISNUMBER(N66)=ISNUMBER(O66),0,1))</f>
        <v/>
      </c>
      <c r="Q66" s="46" t="n"/>
      <c r="R66" s="47">
        <f>Calculo!AW64</f>
        <v/>
      </c>
      <c r="S66" s="45">
        <f>IF(AND(ISNUMBER(Q66),ISNUMBER(R66)),ABS(R66-Q66),IF(ISNUMBER(Q66)=ISNUMBER(R66),0,1))</f>
        <v/>
      </c>
      <c r="T66" s="46" t="n"/>
      <c r="U66" s="47">
        <f>Calculo!AX64</f>
        <v/>
      </c>
      <c r="V66" s="45">
        <f>IF(AND(ISNUMBER(T66),ISNUMBER(U66)),ABS(U66-T66),IF(ISNUMBER(T66)=ISNUMBER(U66),0,1))</f>
        <v/>
      </c>
      <c r="W66" s="46" t="n"/>
      <c r="X66" s="47">
        <f>Calculo!AY64</f>
        <v/>
      </c>
      <c r="Y66" s="45">
        <f>IF(AND(ISNUMBER(W66),ISNUMBER(X66)),ABS(X66-W66),IF(ISNUMBER(W66)=ISNUMBER(X66),0,1))</f>
        <v/>
      </c>
      <c r="Z66" s="46" t="n"/>
      <c r="AA66" s="47">
        <f>Calculo!BC64</f>
        <v/>
      </c>
      <c r="AB66" s="45">
        <f>IF(AND(ISNUMBER(Z66),ISNUMBER(AA66)),ABS(AA66-Z66),IF(ISNUMBER(Z66)=ISNUMBER(AA66),0,1))</f>
        <v/>
      </c>
    </row>
    <row r="67">
      <c r="A67" s="36">
        <f>Calculo!A65</f>
        <v/>
      </c>
      <c r="B67" s="46" t="n">
        <v>-0.1044201821009455</v>
      </c>
      <c r="C67" s="47">
        <f>Calculo!W65</f>
        <v/>
      </c>
      <c r="D67" s="45">
        <f>IF(AND(ISNUMBER(B67),ISNUMBER(C67)),ABS(C67-B67),IF(ISNUMBER(B67)=ISNUMBER(C67),0,1))</f>
        <v/>
      </c>
      <c r="E67" s="46" t="n">
        <v>1.183852386844322</v>
      </c>
      <c r="F67" s="47">
        <f>Calculo!V65</f>
        <v/>
      </c>
      <c r="G67" s="45">
        <f>IF(AND(ISNUMBER(E67),ISNUMBER(F67)),ABS(F67-E67),IF(ISNUMBER(E67)=ISNUMBER(F67),0,1))</f>
        <v/>
      </c>
      <c r="H67" s="46" t="n">
        <v>-0.2775134503428785</v>
      </c>
      <c r="I67" s="47">
        <f>Calculo!AK65</f>
        <v/>
      </c>
      <c r="J67" s="45">
        <f>IF(AND(ISNUMBER(H67),ISNUMBER(I67)),ABS(I67-H67),IF(ISNUMBER(H67)=ISNUMBER(I67),0,1))</f>
        <v/>
      </c>
      <c r="K67" s="46" t="n">
        <v>-0.001360472252382401</v>
      </c>
      <c r="L67" s="47">
        <f>Calculo!AL65</f>
        <v/>
      </c>
      <c r="M67" s="45">
        <f>IF(AND(ISNUMBER(K67),ISNUMBER(L67)),ABS(L67-K67),IF(ISNUMBER(K67)=ISNUMBER(L67),0,1))</f>
        <v/>
      </c>
      <c r="N67" s="46" t="n">
        <v>0.0840493399194969</v>
      </c>
      <c r="O67" s="47">
        <f>Calculo!AP65</f>
        <v/>
      </c>
      <c r="P67" s="45">
        <f>IF(AND(ISNUMBER(N67),ISNUMBER(O67)),ABS(O67-N67),IF(ISNUMBER(N67)=ISNUMBER(O67),0,1))</f>
        <v/>
      </c>
      <c r="Q67" s="46" t="n"/>
      <c r="R67" s="47">
        <f>Calculo!AW65</f>
        <v/>
      </c>
      <c r="S67" s="45">
        <f>IF(AND(ISNUMBER(Q67),ISNUMBER(R67)),ABS(R67-Q67),IF(ISNUMBER(Q67)=ISNUMBER(R67),0,1))</f>
        <v/>
      </c>
      <c r="T67" s="46" t="n"/>
      <c r="U67" s="47">
        <f>Calculo!AX65</f>
        <v/>
      </c>
      <c r="V67" s="45">
        <f>IF(AND(ISNUMBER(T67),ISNUMBER(U67)),ABS(U67-T67),IF(ISNUMBER(T67)=ISNUMBER(U67),0,1))</f>
        <v/>
      </c>
      <c r="W67" s="46" t="n"/>
      <c r="X67" s="47">
        <f>Calculo!AY65</f>
        <v/>
      </c>
      <c r="Y67" s="45">
        <f>IF(AND(ISNUMBER(W67),ISNUMBER(X67)),ABS(X67-W67),IF(ISNUMBER(W67)=ISNUMBER(X67),0,1))</f>
        <v/>
      </c>
      <c r="Z67" s="46" t="n"/>
      <c r="AA67" s="47">
        <f>Calculo!BC65</f>
        <v/>
      </c>
      <c r="AB67" s="45">
        <f>IF(AND(ISNUMBER(Z67),ISNUMBER(AA67)),ABS(AA67-Z67),IF(ISNUMBER(Z67)=ISNUMBER(AA67),0,1))</f>
        <v/>
      </c>
    </row>
    <row r="68">
      <c r="A68" s="36">
        <f>Calculo!A66</f>
        <v/>
      </c>
      <c r="B68" s="46" t="n">
        <v>-0.02974826669450027</v>
      </c>
      <c r="C68" s="47">
        <f>Calculo!W66</f>
        <v/>
      </c>
      <c r="D68" s="45">
        <f>IF(AND(ISNUMBER(B68),ISNUMBER(C68)),ABS(C68-B68),IF(ISNUMBER(B68)=ISNUMBER(C68),0,1))</f>
        <v/>
      </c>
      <c r="E68" s="46" t="n">
        <v>1.23902722206079</v>
      </c>
      <c r="F68" s="47">
        <f>Calculo!V66</f>
        <v/>
      </c>
      <c r="G68" s="45">
        <f>IF(AND(ISNUMBER(E68),ISNUMBER(F68)),ABS(F68-E68),IF(ISNUMBER(E68)=ISNUMBER(F68),0,1))</f>
        <v/>
      </c>
      <c r="H68" s="46" t="n">
        <v>-0.2570915452688948</v>
      </c>
      <c r="I68" s="47">
        <f>Calculo!AK66</f>
        <v/>
      </c>
      <c r="J68" s="45">
        <f>IF(AND(ISNUMBER(H68),ISNUMBER(I68)),ABS(I68-H68),IF(ISNUMBER(H68)=ISNUMBER(I68),0,1))</f>
        <v/>
      </c>
      <c r="K68" s="46" t="n">
        <v>-0.004624518933315379</v>
      </c>
      <c r="L68" s="47">
        <f>Calculo!AL66</f>
        <v/>
      </c>
      <c r="M68" s="45">
        <f>IF(AND(ISNUMBER(K68),ISNUMBER(L68)),ABS(L68-K68),IF(ISNUMBER(K68)=ISNUMBER(L68),0,1))</f>
        <v/>
      </c>
      <c r="N68" s="46" t="n">
        <v>-0.1000280627816207</v>
      </c>
      <c r="O68" s="47">
        <f>Calculo!AP66</f>
        <v/>
      </c>
      <c r="P68" s="45">
        <f>IF(AND(ISNUMBER(N68),ISNUMBER(O68)),ABS(O68-N68),IF(ISNUMBER(N68)=ISNUMBER(O68),0,1))</f>
        <v/>
      </c>
      <c r="Q68" s="46" t="n"/>
      <c r="R68" s="47">
        <f>Calculo!AW66</f>
        <v/>
      </c>
      <c r="S68" s="45">
        <f>IF(AND(ISNUMBER(Q68),ISNUMBER(R68)),ABS(R68-Q68),IF(ISNUMBER(Q68)=ISNUMBER(R68),0,1))</f>
        <v/>
      </c>
      <c r="T68" s="46" t="n"/>
      <c r="U68" s="47">
        <f>Calculo!AX66</f>
        <v/>
      </c>
      <c r="V68" s="45">
        <f>IF(AND(ISNUMBER(T68),ISNUMBER(U68)),ABS(U68-T68),IF(ISNUMBER(T68)=ISNUMBER(U68),0,1))</f>
        <v/>
      </c>
      <c r="W68" s="46" t="n"/>
      <c r="X68" s="47">
        <f>Calculo!AY66</f>
        <v/>
      </c>
      <c r="Y68" s="45">
        <f>IF(AND(ISNUMBER(W68),ISNUMBER(X68)),ABS(X68-W68),IF(ISNUMBER(W68)=ISNUMBER(X68),0,1))</f>
        <v/>
      </c>
      <c r="Z68" s="46" t="n"/>
      <c r="AA68" s="47">
        <f>Calculo!BC66</f>
        <v/>
      </c>
      <c r="AB68" s="45">
        <f>IF(AND(ISNUMBER(Z68),ISNUMBER(AA68)),ABS(AA68-Z68),IF(ISNUMBER(Z68)=ISNUMBER(AA68),0,1))</f>
        <v/>
      </c>
    </row>
    <row r="69">
      <c r="A69" s="36">
        <f>Calculo!A67</f>
        <v/>
      </c>
      <c r="B69" s="46" t="n">
        <v>-0.02321480783953511</v>
      </c>
      <c r="C69" s="47">
        <f>Calculo!W67</f>
        <v/>
      </c>
      <c r="D69" s="45">
        <f>IF(AND(ISNUMBER(B69),ISNUMBER(C69)),ABS(C69-B69),IF(ISNUMBER(B69)=ISNUMBER(C69),0,1))</f>
        <v/>
      </c>
      <c r="E69" s="46" t="n">
        <v>1.247604779407291</v>
      </c>
      <c r="F69" s="47">
        <f>Calculo!V67</f>
        <v/>
      </c>
      <c r="G69" s="45">
        <f>IF(AND(ISNUMBER(E69),ISNUMBER(F69)),ABS(F69-E69),IF(ISNUMBER(E69)=ISNUMBER(F69),0,1))</f>
        <v/>
      </c>
      <c r="H69" s="46" t="n">
        <v>-0.2585658900943112</v>
      </c>
      <c r="I69" s="47">
        <f>Calculo!AK67</f>
        <v/>
      </c>
      <c r="J69" s="45">
        <f>IF(AND(ISNUMBER(H69),ISNUMBER(I69)),ABS(I69-H69),IF(ISNUMBER(H69)=ISNUMBER(I69),0,1))</f>
        <v/>
      </c>
      <c r="K69" s="46" t="n">
        <v>-0.003919992373246294</v>
      </c>
      <c r="L69" s="47">
        <f>Calculo!AL67</f>
        <v/>
      </c>
      <c r="M69" s="45">
        <f>IF(AND(ISNUMBER(K69),ISNUMBER(L69)),ABS(L69-K69),IF(ISNUMBER(K69)=ISNUMBER(L69),0,1))</f>
        <v/>
      </c>
      <c r="N69" s="46" t="n">
        <v>-0.1228366279970547</v>
      </c>
      <c r="O69" s="47">
        <f>Calculo!AP67</f>
        <v/>
      </c>
      <c r="P69" s="45">
        <f>IF(AND(ISNUMBER(N69),ISNUMBER(O69)),ABS(O69-N69),IF(ISNUMBER(N69)=ISNUMBER(O69),0,1))</f>
        <v/>
      </c>
      <c r="Q69" s="46" t="n"/>
      <c r="R69" s="47">
        <f>Calculo!AW67</f>
        <v/>
      </c>
      <c r="S69" s="45">
        <f>IF(AND(ISNUMBER(Q69),ISNUMBER(R69)),ABS(R69-Q69),IF(ISNUMBER(Q69)=ISNUMBER(R69),0,1))</f>
        <v/>
      </c>
      <c r="T69" s="46" t="n"/>
      <c r="U69" s="47">
        <f>Calculo!AX67</f>
        <v/>
      </c>
      <c r="V69" s="45">
        <f>IF(AND(ISNUMBER(T69),ISNUMBER(U69)),ABS(U69-T69),IF(ISNUMBER(T69)=ISNUMBER(U69),0,1))</f>
        <v/>
      </c>
      <c r="W69" s="46" t="n"/>
      <c r="X69" s="47">
        <f>Calculo!AY67</f>
        <v/>
      </c>
      <c r="Y69" s="45">
        <f>IF(AND(ISNUMBER(W69),ISNUMBER(X69)),ABS(X69-W69),IF(ISNUMBER(W69)=ISNUMBER(X69),0,1))</f>
        <v/>
      </c>
      <c r="Z69" s="46" t="n"/>
      <c r="AA69" s="47">
        <f>Calculo!BC67</f>
        <v/>
      </c>
      <c r="AB69" s="45">
        <f>IF(AND(ISNUMBER(Z69),ISNUMBER(AA69)),ABS(AA69-Z69),IF(ISNUMBER(Z69)=ISNUMBER(AA69),0,1))</f>
        <v/>
      </c>
    </row>
    <row r="70">
      <c r="A70" s="36">
        <f>Calculo!A68</f>
        <v/>
      </c>
      <c r="B70" s="46" t="n">
        <v>-0.06380688608640772</v>
      </c>
      <c r="C70" s="47">
        <f>Calculo!W68</f>
        <v/>
      </c>
      <c r="D70" s="45">
        <f>IF(AND(ISNUMBER(B70),ISNUMBER(C70)),ABS(C70-B70),IF(ISNUMBER(B70)=ISNUMBER(C70),0,1))</f>
        <v/>
      </c>
      <c r="E70" s="46" t="n">
        <v>1.23708714870286</v>
      </c>
      <c r="F70" s="47">
        <f>Calculo!V68</f>
        <v/>
      </c>
      <c r="G70" s="45">
        <f>IF(AND(ISNUMBER(E70),ISNUMBER(F70)),ABS(F70-E70),IF(ISNUMBER(E70)=ISNUMBER(F70),0,1))</f>
        <v/>
      </c>
      <c r="H70" s="46" t="n">
        <v>-0.2567829708506205</v>
      </c>
      <c r="I70" s="47">
        <f>Calculo!AK68</f>
        <v/>
      </c>
      <c r="J70" s="45">
        <f>IF(AND(ISNUMBER(H70),ISNUMBER(I70)),ABS(I70-H70),IF(ISNUMBER(H70)=ISNUMBER(I70),0,1))</f>
        <v/>
      </c>
      <c r="K70" s="46" t="n">
        <v>-0.004560681059442007</v>
      </c>
      <c r="L70" s="47">
        <f>Calculo!AL68</f>
        <v/>
      </c>
      <c r="M70" s="45">
        <f>IF(AND(ISNUMBER(K70),ISNUMBER(L70)),ABS(L70-K70),IF(ISNUMBER(K70)=ISNUMBER(L70),0,1))</f>
        <v/>
      </c>
      <c r="N70" s="46" t="n">
        <v>-0.06067797570328784</v>
      </c>
      <c r="O70" s="47">
        <f>Calculo!AP68</f>
        <v/>
      </c>
      <c r="P70" s="45">
        <f>IF(AND(ISNUMBER(N70),ISNUMBER(O70)),ABS(O70-N70),IF(ISNUMBER(N70)=ISNUMBER(O70),0,1))</f>
        <v/>
      </c>
      <c r="Q70" s="46" t="n"/>
      <c r="R70" s="47">
        <f>Calculo!AW68</f>
        <v/>
      </c>
      <c r="S70" s="45">
        <f>IF(AND(ISNUMBER(Q70),ISNUMBER(R70)),ABS(R70-Q70),IF(ISNUMBER(Q70)=ISNUMBER(R70),0,1))</f>
        <v/>
      </c>
      <c r="T70" s="46" t="n"/>
      <c r="U70" s="47">
        <f>Calculo!AX68</f>
        <v/>
      </c>
      <c r="V70" s="45">
        <f>IF(AND(ISNUMBER(T70),ISNUMBER(U70)),ABS(U70-T70),IF(ISNUMBER(T70)=ISNUMBER(U70),0,1))</f>
        <v/>
      </c>
      <c r="W70" s="46" t="n"/>
      <c r="X70" s="47">
        <f>Calculo!AY68</f>
        <v/>
      </c>
      <c r="Y70" s="45">
        <f>IF(AND(ISNUMBER(W70),ISNUMBER(X70)),ABS(X70-W70),IF(ISNUMBER(W70)=ISNUMBER(X70),0,1))</f>
        <v/>
      </c>
      <c r="Z70" s="46" t="n"/>
      <c r="AA70" s="47">
        <f>Calculo!BC68</f>
        <v/>
      </c>
      <c r="AB70" s="45">
        <f>IF(AND(ISNUMBER(Z70),ISNUMBER(AA70)),ABS(AA70-Z70),IF(ISNUMBER(Z70)=ISNUMBER(AA70),0,1))</f>
        <v/>
      </c>
    </row>
    <row r="71">
      <c r="A71" s="36">
        <f>Calculo!A69</f>
        <v/>
      </c>
      <c r="B71" s="46" t="n">
        <v>0.04335654327245214</v>
      </c>
      <c r="C71" s="47">
        <f>Calculo!W69</f>
        <v/>
      </c>
      <c r="D71" s="45">
        <f>IF(AND(ISNUMBER(B71),ISNUMBER(C71)),ABS(C71-B71),IF(ISNUMBER(B71)=ISNUMBER(C71),0,1))</f>
        <v/>
      </c>
      <c r="E71" s="46" t="n">
        <v>1.222123055371481</v>
      </c>
      <c r="F71" s="47">
        <f>Calculo!V69</f>
        <v/>
      </c>
      <c r="G71" s="45">
        <f>IF(AND(ISNUMBER(E71),ISNUMBER(F71)),ABS(F71-E71),IF(ISNUMBER(E71)=ISNUMBER(F71),0,1))</f>
        <v/>
      </c>
      <c r="H71" s="46" t="n">
        <v>-0.2550047321317636</v>
      </c>
      <c r="I71" s="47">
        <f>Calculo!AK69</f>
        <v/>
      </c>
      <c r="J71" s="45">
        <f>IF(AND(ISNUMBER(H71),ISNUMBER(I71)),ABS(I71-H71),IF(ISNUMBER(H71)=ISNUMBER(I71),0,1))</f>
        <v/>
      </c>
      <c r="K71" s="46" t="n">
        <v>-0.005400451107924231</v>
      </c>
      <c r="L71" s="47">
        <f>Calculo!AL69</f>
        <v/>
      </c>
      <c r="M71" s="45">
        <f>IF(AND(ISNUMBER(K71),ISNUMBER(L71)),ABS(L71-K71),IF(ISNUMBER(K71)=ISNUMBER(L71),0,1))</f>
        <v/>
      </c>
      <c r="N71" s="46" t="n">
        <v>-0.1037781351793603</v>
      </c>
      <c r="O71" s="47">
        <f>Calculo!AP69</f>
        <v/>
      </c>
      <c r="P71" s="45">
        <f>IF(AND(ISNUMBER(N71),ISNUMBER(O71)),ABS(O71-N71),IF(ISNUMBER(N71)=ISNUMBER(O71),0,1))</f>
        <v/>
      </c>
      <c r="Q71" s="46" t="n"/>
      <c r="R71" s="47">
        <f>Calculo!AW69</f>
        <v/>
      </c>
      <c r="S71" s="45">
        <f>IF(AND(ISNUMBER(Q71),ISNUMBER(R71)),ABS(R71-Q71),IF(ISNUMBER(Q71)=ISNUMBER(R71),0,1))</f>
        <v/>
      </c>
      <c r="T71" s="46" t="n"/>
      <c r="U71" s="47">
        <f>Calculo!AX69</f>
        <v/>
      </c>
      <c r="V71" s="45">
        <f>IF(AND(ISNUMBER(T71),ISNUMBER(U71)),ABS(U71-T71),IF(ISNUMBER(T71)=ISNUMBER(U71),0,1))</f>
        <v/>
      </c>
      <c r="W71" s="46" t="n"/>
      <c r="X71" s="47">
        <f>Calculo!AY69</f>
        <v/>
      </c>
      <c r="Y71" s="45">
        <f>IF(AND(ISNUMBER(W71),ISNUMBER(X71)),ABS(X71-W71),IF(ISNUMBER(W71)=ISNUMBER(X71),0,1))</f>
        <v/>
      </c>
      <c r="Z71" s="46" t="n"/>
      <c r="AA71" s="47">
        <f>Calculo!BC69</f>
        <v/>
      </c>
      <c r="AB71" s="45">
        <f>IF(AND(ISNUMBER(Z71),ISNUMBER(AA71)),ABS(AA71-Z71),IF(ISNUMBER(Z71)=ISNUMBER(AA71),0,1))</f>
        <v/>
      </c>
    </row>
    <row r="72">
      <c r="A72" s="36">
        <f>Calculo!A70</f>
        <v/>
      </c>
      <c r="B72" s="46" t="n">
        <v>0.1480865697202146</v>
      </c>
      <c r="C72" s="47">
        <f>Calculo!W70</f>
        <v/>
      </c>
      <c r="D72" s="45">
        <f>IF(AND(ISNUMBER(B72),ISNUMBER(C72)),ABS(C72-B72),IF(ISNUMBER(B72)=ISNUMBER(C72),0,1))</f>
        <v/>
      </c>
      <c r="E72" s="46" t="n">
        <v>1.289729099912714</v>
      </c>
      <c r="F72" s="47">
        <f>Calculo!V70</f>
        <v/>
      </c>
      <c r="G72" s="45">
        <f>IF(AND(ISNUMBER(E72),ISNUMBER(F72)),ABS(F72-E72),IF(ISNUMBER(E72)=ISNUMBER(F72),0,1))</f>
        <v/>
      </c>
      <c r="H72" s="46" t="n">
        <v>-0.2578184272025987</v>
      </c>
      <c r="I72" s="47">
        <f>Calculo!AK70</f>
        <v/>
      </c>
      <c r="J72" s="45">
        <f>IF(AND(ISNUMBER(H72),ISNUMBER(I72)),ABS(I72-H72),IF(ISNUMBER(H72)=ISNUMBER(I72),0,1))</f>
        <v/>
      </c>
      <c r="K72" s="46" t="n">
        <v>-0.009299744998579376</v>
      </c>
      <c r="L72" s="47">
        <f>Calculo!AL70</f>
        <v/>
      </c>
      <c r="M72" s="45">
        <f>IF(AND(ISNUMBER(K72),ISNUMBER(L72)),ABS(L72-K72),IF(ISNUMBER(K72)=ISNUMBER(L72),0,1))</f>
        <v/>
      </c>
      <c r="N72" s="46" t="n">
        <v>-0.001306428344834909</v>
      </c>
      <c r="O72" s="47">
        <f>Calculo!AP70</f>
        <v/>
      </c>
      <c r="P72" s="45">
        <f>IF(AND(ISNUMBER(N72),ISNUMBER(O72)),ABS(O72-N72),IF(ISNUMBER(N72)=ISNUMBER(O72),0,1))</f>
        <v/>
      </c>
      <c r="Q72" s="46" t="n"/>
      <c r="R72" s="47">
        <f>Calculo!AW70</f>
        <v/>
      </c>
      <c r="S72" s="45">
        <f>IF(AND(ISNUMBER(Q72),ISNUMBER(R72)),ABS(R72-Q72),IF(ISNUMBER(Q72)=ISNUMBER(R72),0,1))</f>
        <v/>
      </c>
      <c r="T72" s="46" t="n"/>
      <c r="U72" s="47">
        <f>Calculo!AX70</f>
        <v/>
      </c>
      <c r="V72" s="45">
        <f>IF(AND(ISNUMBER(T72),ISNUMBER(U72)),ABS(U72-T72),IF(ISNUMBER(T72)=ISNUMBER(U72),0,1))</f>
        <v/>
      </c>
      <c r="W72" s="46" t="n"/>
      <c r="X72" s="47">
        <f>Calculo!AY70</f>
        <v/>
      </c>
      <c r="Y72" s="45">
        <f>IF(AND(ISNUMBER(W72),ISNUMBER(X72)),ABS(X72-W72),IF(ISNUMBER(W72)=ISNUMBER(X72),0,1))</f>
        <v/>
      </c>
      <c r="Z72" s="46" t="n"/>
      <c r="AA72" s="47">
        <f>Calculo!BC70</f>
        <v/>
      </c>
      <c r="AB72" s="45">
        <f>IF(AND(ISNUMBER(Z72),ISNUMBER(AA72)),ABS(AA72-Z72),IF(ISNUMBER(Z72)=ISNUMBER(AA72),0,1))</f>
        <v/>
      </c>
    </row>
    <row r="73">
      <c r="A73" s="36">
        <f>Calculo!A71</f>
        <v/>
      </c>
      <c r="B73" s="46" t="n">
        <v>-0.04743613938970329</v>
      </c>
      <c r="C73" s="47">
        <f>Calculo!W71</f>
        <v/>
      </c>
      <c r="D73" s="45">
        <f>IF(AND(ISNUMBER(B73),ISNUMBER(C73)),ABS(C73-B73),IF(ISNUMBER(B73)=ISNUMBER(C73),0,1))</f>
        <v/>
      </c>
      <c r="E73" s="46" t="n">
        <v>1.300821769392553</v>
      </c>
      <c r="F73" s="47">
        <f>Calculo!V71</f>
        <v/>
      </c>
      <c r="G73" s="45">
        <f>IF(AND(ISNUMBER(E73),ISNUMBER(F73)),ABS(F73-E73),IF(ISNUMBER(E73)=ISNUMBER(F73),0,1))</f>
        <v/>
      </c>
      <c r="H73" s="46" t="n">
        <v>-0.2753388676170515</v>
      </c>
      <c r="I73" s="47">
        <f>Calculo!AK71</f>
        <v/>
      </c>
      <c r="J73" s="45">
        <f>IF(AND(ISNUMBER(H73),ISNUMBER(I73)),ABS(I73-H73),IF(ISNUMBER(H73)=ISNUMBER(I73),0,1))</f>
        <v/>
      </c>
      <c r="K73" s="46" t="n">
        <v>-0.003668453122691269</v>
      </c>
      <c r="L73" s="47">
        <f>Calculo!AL71</f>
        <v/>
      </c>
      <c r="M73" s="45">
        <f>IF(AND(ISNUMBER(K73),ISNUMBER(L73)),ABS(L73-K73),IF(ISNUMBER(K73)=ISNUMBER(L73),0,1))</f>
        <v/>
      </c>
      <c r="N73" s="46" t="n">
        <v>0.004910625643232053</v>
      </c>
      <c r="O73" s="47">
        <f>Calculo!AP71</f>
        <v/>
      </c>
      <c r="P73" s="45">
        <f>IF(AND(ISNUMBER(N73),ISNUMBER(O73)),ABS(O73-N73),IF(ISNUMBER(N73)=ISNUMBER(O73),0,1))</f>
        <v/>
      </c>
      <c r="Q73" s="46" t="n"/>
      <c r="R73" s="47">
        <f>Calculo!AW71</f>
        <v/>
      </c>
      <c r="S73" s="45">
        <f>IF(AND(ISNUMBER(Q73),ISNUMBER(R73)),ABS(R73-Q73),IF(ISNUMBER(Q73)=ISNUMBER(R73),0,1))</f>
        <v/>
      </c>
      <c r="T73" s="46" t="n"/>
      <c r="U73" s="47">
        <f>Calculo!AX71</f>
        <v/>
      </c>
      <c r="V73" s="45">
        <f>IF(AND(ISNUMBER(T73),ISNUMBER(U73)),ABS(U73-T73),IF(ISNUMBER(T73)=ISNUMBER(U73),0,1))</f>
        <v/>
      </c>
      <c r="W73" s="46" t="n"/>
      <c r="X73" s="47">
        <f>Calculo!AY71</f>
        <v/>
      </c>
      <c r="Y73" s="45">
        <f>IF(AND(ISNUMBER(W73),ISNUMBER(X73)),ABS(X73-W73),IF(ISNUMBER(W73)=ISNUMBER(X73),0,1))</f>
        <v/>
      </c>
      <c r="Z73" s="46" t="n"/>
      <c r="AA73" s="47">
        <f>Calculo!BC71</f>
        <v/>
      </c>
      <c r="AB73" s="45">
        <f>IF(AND(ISNUMBER(Z73),ISNUMBER(AA73)),ABS(AA73-Z73),IF(ISNUMBER(Z73)=ISNUMBER(AA73),0,1))</f>
        <v/>
      </c>
    </row>
    <row r="74">
      <c r="A74" s="36">
        <f>Calculo!A72</f>
        <v/>
      </c>
      <c r="B74" s="46" t="n">
        <v>0.152222369459266</v>
      </c>
      <c r="C74" s="47">
        <f>Calculo!W72</f>
        <v/>
      </c>
      <c r="D74" s="45">
        <f>IF(AND(ISNUMBER(B74),ISNUMBER(C74)),ABS(C74-B74),IF(ISNUMBER(B74)=ISNUMBER(C74),0,1))</f>
        <v/>
      </c>
      <c r="E74" s="46" t="n">
        <v>1.29064059268385</v>
      </c>
      <c r="F74" s="47">
        <f>Calculo!V72</f>
        <v/>
      </c>
      <c r="G74" s="45">
        <f>IF(AND(ISNUMBER(E74),ISNUMBER(F74)),ABS(F74-E74),IF(ISNUMBER(E74)=ISNUMBER(F74),0,1))</f>
        <v/>
      </c>
      <c r="H74" s="46" t="n">
        <v>-0.2716806581018305</v>
      </c>
      <c r="I74" s="47">
        <f>Calculo!AK72</f>
        <v/>
      </c>
      <c r="J74" s="45">
        <f>IF(AND(ISNUMBER(H74),ISNUMBER(I74)),ABS(I74-H74),IF(ISNUMBER(H74)=ISNUMBER(I74),0,1))</f>
        <v/>
      </c>
      <c r="K74" s="46" t="n">
        <v>-0.004858668963510482</v>
      </c>
      <c r="L74" s="47">
        <f>Calculo!AL72</f>
        <v/>
      </c>
      <c r="M74" s="45">
        <f>IF(AND(ISNUMBER(K74),ISNUMBER(L74)),ABS(L74-K74),IF(ISNUMBER(K74)=ISNUMBER(L74),0,1))</f>
        <v/>
      </c>
      <c r="N74" s="46" t="n">
        <v>0.1917119057970417</v>
      </c>
      <c r="O74" s="47">
        <f>Calculo!AP72</f>
        <v/>
      </c>
      <c r="P74" s="45">
        <f>IF(AND(ISNUMBER(N74),ISNUMBER(O74)),ABS(O74-N74),IF(ISNUMBER(N74)=ISNUMBER(O74),0,1))</f>
        <v/>
      </c>
      <c r="Q74" s="46" t="n"/>
      <c r="R74" s="47">
        <f>Calculo!AW72</f>
        <v/>
      </c>
      <c r="S74" s="45">
        <f>IF(AND(ISNUMBER(Q74),ISNUMBER(R74)),ABS(R74-Q74),IF(ISNUMBER(Q74)=ISNUMBER(R74),0,1))</f>
        <v/>
      </c>
      <c r="T74" s="46" t="n"/>
      <c r="U74" s="47">
        <f>Calculo!AX72</f>
        <v/>
      </c>
      <c r="V74" s="45">
        <f>IF(AND(ISNUMBER(T74),ISNUMBER(U74)),ABS(U74-T74),IF(ISNUMBER(T74)=ISNUMBER(U74),0,1))</f>
        <v/>
      </c>
      <c r="W74" s="46" t="n"/>
      <c r="X74" s="47">
        <f>Calculo!AY72</f>
        <v/>
      </c>
      <c r="Y74" s="45">
        <f>IF(AND(ISNUMBER(W74),ISNUMBER(X74)),ABS(X74-W74),IF(ISNUMBER(W74)=ISNUMBER(X74),0,1))</f>
        <v/>
      </c>
      <c r="Z74" s="46" t="n"/>
      <c r="AA74" s="47">
        <f>Calculo!BC72</f>
        <v/>
      </c>
      <c r="AB74" s="45">
        <f>IF(AND(ISNUMBER(Z74),ISNUMBER(AA74)),ABS(AA74-Z74),IF(ISNUMBER(Z74)=ISNUMBER(AA74),0,1))</f>
        <v/>
      </c>
    </row>
    <row r="75">
      <c r="A75" s="36">
        <f>Calculo!A73</f>
        <v/>
      </c>
      <c r="B75" s="46" t="n">
        <v>-0.07035587150337264</v>
      </c>
      <c r="C75" s="47">
        <f>Calculo!W73</f>
        <v/>
      </c>
      <c r="D75" s="45">
        <f>IF(AND(ISNUMBER(B75),ISNUMBER(C75)),ABS(C75-B75),IF(ISNUMBER(B75)=ISNUMBER(C75),0,1))</f>
        <v/>
      </c>
      <c r="E75" s="46" t="n">
        <v>1.306839411310292</v>
      </c>
      <c r="F75" s="47">
        <f>Calculo!V73</f>
        <v/>
      </c>
      <c r="G75" s="45">
        <f>IF(AND(ISNUMBER(E75),ISNUMBER(F75)),ABS(F75-E75),IF(ISNUMBER(E75)=ISNUMBER(F75),0,1))</f>
        <v/>
      </c>
      <c r="H75" s="46" t="n">
        <v>-0.273354773033099</v>
      </c>
      <c r="I75" s="47">
        <f>Calculo!AK73</f>
        <v/>
      </c>
      <c r="J75" s="45">
        <f>IF(AND(ISNUMBER(H75),ISNUMBER(I75)),ABS(I75-H75),IF(ISNUMBER(H75)=ISNUMBER(I75),0,1))</f>
        <v/>
      </c>
      <c r="K75" s="46" t="n">
        <v>-0.001357570073672505</v>
      </c>
      <c r="L75" s="47">
        <f>Calculo!AL73</f>
        <v/>
      </c>
      <c r="M75" s="45">
        <f>IF(AND(ISNUMBER(K75),ISNUMBER(L75)),ABS(L75-K75),IF(ISNUMBER(K75)=ISNUMBER(L75),0,1))</f>
        <v/>
      </c>
      <c r="N75" s="46" t="n">
        <v>-0.03883566511818327</v>
      </c>
      <c r="O75" s="47">
        <f>Calculo!AP73</f>
        <v/>
      </c>
      <c r="P75" s="45">
        <f>IF(AND(ISNUMBER(N75),ISNUMBER(O75)),ABS(O75-N75),IF(ISNUMBER(N75)=ISNUMBER(O75),0,1))</f>
        <v/>
      </c>
      <c r="Q75" s="46" t="n"/>
      <c r="R75" s="47">
        <f>Calculo!AW73</f>
        <v/>
      </c>
      <c r="S75" s="45">
        <f>IF(AND(ISNUMBER(Q75),ISNUMBER(R75)),ABS(R75-Q75),IF(ISNUMBER(Q75)=ISNUMBER(R75),0,1))</f>
        <v/>
      </c>
      <c r="T75" s="46" t="n"/>
      <c r="U75" s="47">
        <f>Calculo!AX73</f>
        <v/>
      </c>
      <c r="V75" s="45">
        <f>IF(AND(ISNUMBER(T75),ISNUMBER(U75)),ABS(U75-T75),IF(ISNUMBER(T75)=ISNUMBER(U75),0,1))</f>
        <v/>
      </c>
      <c r="W75" s="46" t="n"/>
      <c r="X75" s="47">
        <f>Calculo!AY73</f>
        <v/>
      </c>
      <c r="Y75" s="45">
        <f>IF(AND(ISNUMBER(W75),ISNUMBER(X75)),ABS(X75-W75),IF(ISNUMBER(W75)=ISNUMBER(X75),0,1))</f>
        <v/>
      </c>
      <c r="Z75" s="46" t="n"/>
      <c r="AA75" s="47">
        <f>Calculo!BC73</f>
        <v/>
      </c>
      <c r="AB75" s="45">
        <f>IF(AND(ISNUMBER(Z75),ISNUMBER(AA75)),ABS(AA75-Z75),IF(ISNUMBER(Z75)=ISNUMBER(AA75),0,1))</f>
        <v/>
      </c>
    </row>
    <row r="76">
      <c r="A76" s="36">
        <f>Calculo!A74</f>
        <v/>
      </c>
      <c r="B76" s="46" t="n">
        <v>0.1434705091779642</v>
      </c>
      <c r="C76" s="47">
        <f>Calculo!W74</f>
        <v/>
      </c>
      <c r="D76" s="45">
        <f>IF(AND(ISNUMBER(B76),ISNUMBER(C76)),ABS(C76-B76),IF(ISNUMBER(B76)=ISNUMBER(C76),0,1))</f>
        <v/>
      </c>
      <c r="E76" s="46" t="n">
        <v>1.283674155092308</v>
      </c>
      <c r="F76" s="47">
        <f>Calculo!V74</f>
        <v/>
      </c>
      <c r="G76" s="45">
        <f>IF(AND(ISNUMBER(E76),ISNUMBER(F76)),ABS(F76-E76),IF(ISNUMBER(E76)=ISNUMBER(F76),0,1))</f>
        <v/>
      </c>
      <c r="H76" s="46" t="n">
        <v>-0.2553546867480506</v>
      </c>
      <c r="I76" s="47">
        <f>Calculo!AK74</f>
        <v/>
      </c>
      <c r="J76" s="45">
        <f>IF(AND(ISNUMBER(H76),ISNUMBER(I76)),ABS(I76-H76),IF(ISNUMBER(H76)=ISNUMBER(I76),0,1))</f>
        <v/>
      </c>
      <c r="K76" s="46" t="n">
        <v>-0.00739665658044409</v>
      </c>
      <c r="L76" s="47">
        <f>Calculo!AL74</f>
        <v/>
      </c>
      <c r="M76" s="45">
        <f>IF(AND(ISNUMBER(K76),ISNUMBER(L76)),ABS(L76-K76),IF(ISNUMBER(K76)=ISNUMBER(L76),0,1))</f>
        <v/>
      </c>
      <c r="N76" s="46" t="n">
        <v>0.1616377234492414</v>
      </c>
      <c r="O76" s="47">
        <f>Calculo!AP74</f>
        <v/>
      </c>
      <c r="P76" s="45">
        <f>IF(AND(ISNUMBER(N76),ISNUMBER(O76)),ABS(O76-N76),IF(ISNUMBER(N76)=ISNUMBER(O76),0,1))</f>
        <v/>
      </c>
      <c r="Q76" s="46" t="n"/>
      <c r="R76" s="47">
        <f>Calculo!AW74</f>
        <v/>
      </c>
      <c r="S76" s="45">
        <f>IF(AND(ISNUMBER(Q76),ISNUMBER(R76)),ABS(R76-Q76),IF(ISNUMBER(Q76)=ISNUMBER(R76),0,1))</f>
        <v/>
      </c>
      <c r="T76" s="46" t="n"/>
      <c r="U76" s="47">
        <f>Calculo!AX74</f>
        <v/>
      </c>
      <c r="V76" s="45">
        <f>IF(AND(ISNUMBER(T76),ISNUMBER(U76)),ABS(U76-T76),IF(ISNUMBER(T76)=ISNUMBER(U76),0,1))</f>
        <v/>
      </c>
      <c r="W76" s="46" t="n"/>
      <c r="X76" s="47">
        <f>Calculo!AY74</f>
        <v/>
      </c>
      <c r="Y76" s="45">
        <f>IF(AND(ISNUMBER(W76),ISNUMBER(X76)),ABS(X76-W76),IF(ISNUMBER(W76)=ISNUMBER(X76),0,1))</f>
        <v/>
      </c>
      <c r="Z76" s="46" t="n"/>
      <c r="AA76" s="47">
        <f>Calculo!BC74</f>
        <v/>
      </c>
      <c r="AB76" s="45">
        <f>IF(AND(ISNUMBER(Z76),ISNUMBER(AA76)),ABS(AA76-Z76),IF(ISNUMBER(Z76)=ISNUMBER(AA76),0,1))</f>
        <v/>
      </c>
    </row>
    <row r="77">
      <c r="A77" s="36">
        <f>Calculo!A75</f>
        <v/>
      </c>
      <c r="B77" s="46" t="n">
        <v>-0.06641925211977641</v>
      </c>
      <c r="C77" s="47">
        <f>Calculo!W75</f>
        <v/>
      </c>
      <c r="D77" s="45">
        <f>IF(AND(ISNUMBER(B77),ISNUMBER(C77)),ABS(C77-B77),IF(ISNUMBER(B77)=ISNUMBER(C77),0,1))</f>
        <v/>
      </c>
      <c r="E77" s="46" t="n">
        <v>1.287620245466082</v>
      </c>
      <c r="F77" s="47">
        <f>Calculo!V75</f>
        <v/>
      </c>
      <c r="G77" s="45">
        <f>IF(AND(ISNUMBER(E77),ISNUMBER(F77)),ABS(F77-E77),IF(ISNUMBER(E77)=ISNUMBER(F77),0,1))</f>
        <v/>
      </c>
      <c r="H77" s="46" t="n">
        <v>-0.265241414230318</v>
      </c>
      <c r="I77" s="47">
        <f>Calculo!AK75</f>
        <v/>
      </c>
      <c r="J77" s="45">
        <f>IF(AND(ISNUMBER(H77),ISNUMBER(I77)),ABS(I77-H77),IF(ISNUMBER(H77)=ISNUMBER(I77),0,1))</f>
        <v/>
      </c>
      <c r="K77" s="46" t="n">
        <v>-0.003709409674440357</v>
      </c>
      <c r="L77" s="47">
        <f>Calculo!AL75</f>
        <v/>
      </c>
      <c r="M77" s="45">
        <f>IF(AND(ISNUMBER(K77),ISNUMBER(L77)),ABS(L77-K77),IF(ISNUMBER(K77)=ISNUMBER(L77),0,1))</f>
        <v/>
      </c>
      <c r="N77" s="46" t="n">
        <v>-0.04067889387221657</v>
      </c>
      <c r="O77" s="47">
        <f>Calculo!AP75</f>
        <v/>
      </c>
      <c r="P77" s="45">
        <f>IF(AND(ISNUMBER(N77),ISNUMBER(O77)),ABS(O77-N77),IF(ISNUMBER(N77)=ISNUMBER(O77),0,1))</f>
        <v/>
      </c>
      <c r="Q77" s="46" t="n"/>
      <c r="R77" s="47">
        <f>Calculo!AW75</f>
        <v/>
      </c>
      <c r="S77" s="45">
        <f>IF(AND(ISNUMBER(Q77),ISNUMBER(R77)),ABS(R77-Q77),IF(ISNUMBER(Q77)=ISNUMBER(R77),0,1))</f>
        <v/>
      </c>
      <c r="T77" s="46" t="n"/>
      <c r="U77" s="47">
        <f>Calculo!AX75</f>
        <v/>
      </c>
      <c r="V77" s="45">
        <f>IF(AND(ISNUMBER(T77),ISNUMBER(U77)),ABS(U77-T77),IF(ISNUMBER(T77)=ISNUMBER(U77),0,1))</f>
        <v/>
      </c>
      <c r="W77" s="46" t="n"/>
      <c r="X77" s="47">
        <f>Calculo!AY75</f>
        <v/>
      </c>
      <c r="Y77" s="45">
        <f>IF(AND(ISNUMBER(W77),ISNUMBER(X77)),ABS(X77-W77),IF(ISNUMBER(W77)=ISNUMBER(X77),0,1))</f>
        <v/>
      </c>
      <c r="Z77" s="46" t="n"/>
      <c r="AA77" s="47">
        <f>Calculo!BC75</f>
        <v/>
      </c>
      <c r="AB77" s="45">
        <f>IF(AND(ISNUMBER(Z77),ISNUMBER(AA77)),ABS(AA77-Z77),IF(ISNUMBER(Z77)=ISNUMBER(AA77),0,1))</f>
        <v/>
      </c>
    </row>
    <row r="78">
      <c r="A78" s="36">
        <f>Calculo!A76</f>
        <v/>
      </c>
      <c r="B78" s="46" t="n">
        <v>-0.04847071220289562</v>
      </c>
      <c r="C78" s="47">
        <f>Calculo!W76</f>
        <v/>
      </c>
      <c r="D78" s="45">
        <f>IF(AND(ISNUMBER(B78),ISNUMBER(C78)),ABS(C78-B78),IF(ISNUMBER(B78)=ISNUMBER(C78),0,1))</f>
        <v/>
      </c>
      <c r="E78" s="46" t="n">
        <v>1.291833962069621</v>
      </c>
      <c r="F78" s="47">
        <f>Calculo!V76</f>
        <v/>
      </c>
      <c r="G78" s="45">
        <f>IF(AND(ISNUMBER(E78),ISNUMBER(F78)),ABS(F78-E78),IF(ISNUMBER(E78)=ISNUMBER(F78),0,1))</f>
        <v/>
      </c>
      <c r="H78" s="46" t="n">
        <v>-0.2662514424887352</v>
      </c>
      <c r="I78" s="47">
        <f>Calculo!AK76</f>
        <v/>
      </c>
      <c r="J78" s="45">
        <f>IF(AND(ISNUMBER(H78),ISNUMBER(I78)),ABS(I78-H78),IF(ISNUMBER(H78)=ISNUMBER(I78),0,1))</f>
        <v/>
      </c>
      <c r="K78" s="46" t="n">
        <v>-0.00557073477070197</v>
      </c>
      <c r="L78" s="47">
        <f>Calculo!AL76</f>
        <v/>
      </c>
      <c r="M78" s="45">
        <f>IF(AND(ISNUMBER(K78),ISNUMBER(L78)),ABS(L78-K78),IF(ISNUMBER(K78)=ISNUMBER(L78),0,1))</f>
        <v/>
      </c>
      <c r="N78" s="46" t="n">
        <v>0.0002687217152321231</v>
      </c>
      <c r="O78" s="47">
        <f>Calculo!AP76</f>
        <v/>
      </c>
      <c r="P78" s="45">
        <f>IF(AND(ISNUMBER(N78),ISNUMBER(O78)),ABS(O78-N78),IF(ISNUMBER(N78)=ISNUMBER(O78),0,1))</f>
        <v/>
      </c>
      <c r="Q78" s="46" t="n"/>
      <c r="R78" s="47">
        <f>Calculo!AW76</f>
        <v/>
      </c>
      <c r="S78" s="45">
        <f>IF(AND(ISNUMBER(Q78),ISNUMBER(R78)),ABS(R78-Q78),IF(ISNUMBER(Q78)=ISNUMBER(R78),0,1))</f>
        <v/>
      </c>
      <c r="T78" s="46" t="n"/>
      <c r="U78" s="47">
        <f>Calculo!AX76</f>
        <v/>
      </c>
      <c r="V78" s="45">
        <f>IF(AND(ISNUMBER(T78),ISNUMBER(U78)),ABS(U78-T78),IF(ISNUMBER(T78)=ISNUMBER(U78),0,1))</f>
        <v/>
      </c>
      <c r="W78" s="46" t="n"/>
      <c r="X78" s="47">
        <f>Calculo!AY76</f>
        <v/>
      </c>
      <c r="Y78" s="45">
        <f>IF(AND(ISNUMBER(W78),ISNUMBER(X78)),ABS(X78-W78),IF(ISNUMBER(W78)=ISNUMBER(X78),0,1))</f>
        <v/>
      </c>
      <c r="Z78" s="46" t="n"/>
      <c r="AA78" s="47">
        <f>Calculo!BC76</f>
        <v/>
      </c>
      <c r="AB78" s="45">
        <f>IF(AND(ISNUMBER(Z78),ISNUMBER(AA78)),ABS(AA78-Z78),IF(ISNUMBER(Z78)=ISNUMBER(AA78),0,1))</f>
        <v/>
      </c>
    </row>
    <row r="79">
      <c r="A79" s="36">
        <f>Calculo!A77</f>
        <v/>
      </c>
      <c r="B79" s="46" t="n">
        <v>0.01414064432994841</v>
      </c>
      <c r="C79" s="47">
        <f>Calculo!W77</f>
        <v/>
      </c>
      <c r="D79" s="45">
        <f>IF(AND(ISNUMBER(B79),ISNUMBER(C79)),ABS(C79-B79),IF(ISNUMBER(B79)=ISNUMBER(C79),0,1))</f>
        <v/>
      </c>
      <c r="E79" s="46" t="n">
        <v>1.281122339912523</v>
      </c>
      <c r="F79" s="47">
        <f>Calculo!V77</f>
        <v/>
      </c>
      <c r="G79" s="45">
        <f>IF(AND(ISNUMBER(E79),ISNUMBER(F79)),ABS(F79-E79),IF(ISNUMBER(E79)=ISNUMBER(F79),0,1))</f>
        <v/>
      </c>
      <c r="H79" s="46" t="n">
        <v>-0.2689660066487097</v>
      </c>
      <c r="I79" s="47">
        <f>Calculo!AK77</f>
        <v/>
      </c>
      <c r="J79" s="45">
        <f>IF(AND(ISNUMBER(H79),ISNUMBER(I79)),ABS(I79-H79),IF(ISNUMBER(H79)=ISNUMBER(I79),0,1))</f>
        <v/>
      </c>
      <c r="K79" s="46" t="n">
        <v>-0.006350299457353454</v>
      </c>
      <c r="L79" s="47">
        <f>Calculo!AL77</f>
        <v/>
      </c>
      <c r="M79" s="45">
        <f>IF(AND(ISNUMBER(K79),ISNUMBER(L79)),ABS(L79-K79),IF(ISNUMBER(K79)=ISNUMBER(L79),0,1))</f>
        <v/>
      </c>
      <c r="N79" s="46" t="n">
        <v>-0.07325991853599442</v>
      </c>
      <c r="O79" s="47">
        <f>Calculo!AP77</f>
        <v/>
      </c>
      <c r="P79" s="45">
        <f>IF(AND(ISNUMBER(N79),ISNUMBER(O79)),ABS(O79-N79),IF(ISNUMBER(N79)=ISNUMBER(O79),0,1))</f>
        <v/>
      </c>
      <c r="Q79" s="46" t="n"/>
      <c r="R79" s="47">
        <f>Calculo!AW77</f>
        <v/>
      </c>
      <c r="S79" s="45">
        <f>IF(AND(ISNUMBER(Q79),ISNUMBER(R79)),ABS(R79-Q79),IF(ISNUMBER(Q79)=ISNUMBER(R79),0,1))</f>
        <v/>
      </c>
      <c r="T79" s="46" t="n"/>
      <c r="U79" s="47">
        <f>Calculo!AX77</f>
        <v/>
      </c>
      <c r="V79" s="45">
        <f>IF(AND(ISNUMBER(T79),ISNUMBER(U79)),ABS(U79-T79),IF(ISNUMBER(T79)=ISNUMBER(U79),0,1))</f>
        <v/>
      </c>
      <c r="W79" s="46" t="n"/>
      <c r="X79" s="47">
        <f>Calculo!AY77</f>
        <v/>
      </c>
      <c r="Y79" s="45">
        <f>IF(AND(ISNUMBER(W79),ISNUMBER(X79)),ABS(X79-W79),IF(ISNUMBER(W79)=ISNUMBER(X79),0,1))</f>
        <v/>
      </c>
      <c r="Z79" s="46" t="n"/>
      <c r="AA79" s="47">
        <f>Calculo!BC77</f>
        <v/>
      </c>
      <c r="AB79" s="45">
        <f>IF(AND(ISNUMBER(Z79),ISNUMBER(AA79)),ABS(AA79-Z79),IF(ISNUMBER(Z79)=ISNUMBER(AA79),0,1))</f>
        <v/>
      </c>
    </row>
    <row r="80">
      <c r="A80" s="36">
        <f>Calculo!A78</f>
        <v/>
      </c>
      <c r="B80" s="46" t="n">
        <v>-0.01997239766550511</v>
      </c>
      <c r="C80" s="47">
        <f>Calculo!W78</f>
        <v/>
      </c>
      <c r="D80" s="45">
        <f>IF(AND(ISNUMBER(B80),ISNUMBER(C80)),ABS(C80-B80),IF(ISNUMBER(B80)=ISNUMBER(C80),0,1))</f>
        <v/>
      </c>
      <c r="E80" s="46" t="n">
        <v>1.283303062627999</v>
      </c>
      <c r="F80" s="47">
        <f>Calculo!V78</f>
        <v/>
      </c>
      <c r="G80" s="45">
        <f>IF(AND(ISNUMBER(E80),ISNUMBER(F80)),ABS(F80-E80),IF(ISNUMBER(E80)=ISNUMBER(F80),0,1))</f>
        <v/>
      </c>
      <c r="H80" s="46" t="n">
        <v>-0.2566760396559853</v>
      </c>
      <c r="I80" s="47">
        <f>Calculo!AK78</f>
        <v/>
      </c>
      <c r="J80" s="45">
        <f>IF(AND(ISNUMBER(H80),ISNUMBER(I80)),ABS(I80-H80),IF(ISNUMBER(H80)=ISNUMBER(I80),0,1))</f>
        <v/>
      </c>
      <c r="K80" s="46" t="n">
        <v>-0.007063789220665055</v>
      </c>
      <c r="L80" s="47">
        <f>Calculo!AL78</f>
        <v/>
      </c>
      <c r="M80" s="45">
        <f>IF(AND(ISNUMBER(K80),ISNUMBER(L80)),ABS(L80-K80),IF(ISNUMBER(K80)=ISNUMBER(L80),0,1))</f>
        <v/>
      </c>
      <c r="N80" s="46" t="n">
        <v>-0.02205848110761788</v>
      </c>
      <c r="O80" s="47">
        <f>Calculo!AP78</f>
        <v/>
      </c>
      <c r="P80" s="45">
        <f>IF(AND(ISNUMBER(N80),ISNUMBER(O80)),ABS(O80-N80),IF(ISNUMBER(N80)=ISNUMBER(O80),0,1))</f>
        <v/>
      </c>
      <c r="Q80" s="46" t="n"/>
      <c r="R80" s="47">
        <f>Calculo!AW78</f>
        <v/>
      </c>
      <c r="S80" s="45">
        <f>IF(AND(ISNUMBER(Q80),ISNUMBER(R80)),ABS(R80-Q80),IF(ISNUMBER(Q80)=ISNUMBER(R80),0,1))</f>
        <v/>
      </c>
      <c r="T80" s="46" t="n"/>
      <c r="U80" s="47">
        <f>Calculo!AX78</f>
        <v/>
      </c>
      <c r="V80" s="45">
        <f>IF(AND(ISNUMBER(T80),ISNUMBER(U80)),ABS(U80-T80),IF(ISNUMBER(T80)=ISNUMBER(U80),0,1))</f>
        <v/>
      </c>
      <c r="W80" s="46" t="n"/>
      <c r="X80" s="47">
        <f>Calculo!AY78</f>
        <v/>
      </c>
      <c r="Y80" s="45">
        <f>IF(AND(ISNUMBER(W80),ISNUMBER(X80)),ABS(X80-W80),IF(ISNUMBER(W80)=ISNUMBER(X80),0,1))</f>
        <v/>
      </c>
      <c r="Z80" s="46" t="n"/>
      <c r="AA80" s="47">
        <f>Calculo!BC78</f>
        <v/>
      </c>
      <c r="AB80" s="45">
        <f>IF(AND(ISNUMBER(Z80),ISNUMBER(AA80)),ABS(AA80-Z80),IF(ISNUMBER(Z80)=ISNUMBER(AA80),0,1))</f>
        <v/>
      </c>
    </row>
    <row r="81">
      <c r="A81" s="36">
        <f>Calculo!A79</f>
        <v/>
      </c>
      <c r="B81" s="46" t="n">
        <v>0.07783605398901516</v>
      </c>
      <c r="C81" s="47">
        <f>Calculo!W79</f>
        <v/>
      </c>
      <c r="D81" s="45">
        <f>IF(AND(ISNUMBER(B81),ISNUMBER(C81)),ABS(C81-B81),IF(ISNUMBER(B81)=ISNUMBER(C81),0,1))</f>
        <v/>
      </c>
      <c r="E81" s="46" t="n">
        <v>1.285041584172332</v>
      </c>
      <c r="F81" s="47">
        <f>Calculo!V79</f>
        <v/>
      </c>
      <c r="G81" s="45">
        <f>IF(AND(ISNUMBER(E81),ISNUMBER(F81)),ABS(F81-E81),IF(ISNUMBER(E81)=ISNUMBER(F81),0,1))</f>
        <v/>
      </c>
      <c r="H81" s="46" t="n">
        <v>-0.269355869083659</v>
      </c>
      <c r="I81" s="47">
        <f>Calculo!AK79</f>
        <v/>
      </c>
      <c r="J81" s="45">
        <f>IF(AND(ISNUMBER(H81),ISNUMBER(I81)),ABS(I81-H81),IF(ISNUMBER(H81)=ISNUMBER(I81),0,1))</f>
        <v/>
      </c>
      <c r="K81" s="46" t="n">
        <v>-0.00969851438638456</v>
      </c>
      <c r="L81" s="47">
        <f>Calculo!AL79</f>
        <v/>
      </c>
      <c r="M81" s="45">
        <f>IF(AND(ISNUMBER(K81),ISNUMBER(L81)),ABS(L81-K81),IF(ISNUMBER(K81)=ISNUMBER(L81),0,1))</f>
        <v/>
      </c>
      <c r="N81" s="46" t="n">
        <v>0.08842796773082152</v>
      </c>
      <c r="O81" s="47">
        <f>Calculo!AP79</f>
        <v/>
      </c>
      <c r="P81" s="45">
        <f>IF(AND(ISNUMBER(N81),ISNUMBER(O81)),ABS(O81-N81),IF(ISNUMBER(N81)=ISNUMBER(O81),0,1))</f>
        <v/>
      </c>
      <c r="Q81" s="46" t="n"/>
      <c r="R81" s="47">
        <f>Calculo!AW79</f>
        <v/>
      </c>
      <c r="S81" s="45">
        <f>IF(AND(ISNUMBER(Q81),ISNUMBER(R81)),ABS(R81-Q81),IF(ISNUMBER(Q81)=ISNUMBER(R81),0,1))</f>
        <v/>
      </c>
      <c r="T81" s="46" t="n"/>
      <c r="U81" s="47">
        <f>Calculo!AX79</f>
        <v/>
      </c>
      <c r="V81" s="45">
        <f>IF(AND(ISNUMBER(T81),ISNUMBER(U81)),ABS(U81-T81),IF(ISNUMBER(T81)=ISNUMBER(U81),0,1))</f>
        <v/>
      </c>
      <c r="W81" s="46" t="n"/>
      <c r="X81" s="47">
        <f>Calculo!AY79</f>
        <v/>
      </c>
      <c r="Y81" s="45">
        <f>IF(AND(ISNUMBER(W81),ISNUMBER(X81)),ABS(X81-W81),IF(ISNUMBER(W81)=ISNUMBER(X81),0,1))</f>
        <v/>
      </c>
      <c r="Z81" s="46" t="n"/>
      <c r="AA81" s="47">
        <f>Calculo!BC79</f>
        <v/>
      </c>
      <c r="AB81" s="45">
        <f>IF(AND(ISNUMBER(Z81),ISNUMBER(AA81)),ABS(AA81-Z81),IF(ISNUMBER(Z81)=ISNUMBER(AA81),0,1))</f>
        <v/>
      </c>
    </row>
    <row r="82">
      <c r="A82" s="36">
        <f>Calculo!A80</f>
        <v/>
      </c>
      <c r="B82" s="46" t="n">
        <v>-0.02871415717579647</v>
      </c>
      <c r="C82" s="47">
        <f>Calculo!W80</f>
        <v/>
      </c>
      <c r="D82" s="45">
        <f>IF(AND(ISNUMBER(B82),ISNUMBER(C82)),ABS(C82-B82),IF(ISNUMBER(B82)=ISNUMBER(C82),0,1))</f>
        <v/>
      </c>
      <c r="E82" s="46" t="n">
        <v>1.297179053019639</v>
      </c>
      <c r="F82" s="47">
        <f>Calculo!V80</f>
        <v/>
      </c>
      <c r="G82" s="45">
        <f>IF(AND(ISNUMBER(E82),ISNUMBER(F82)),ABS(F82-E82),IF(ISNUMBER(E82)=ISNUMBER(F82),0,1))</f>
        <v/>
      </c>
      <c r="H82" s="46" t="n">
        <v>-0.2740164533392789</v>
      </c>
      <c r="I82" s="47">
        <f>Calculo!AK80</f>
        <v/>
      </c>
      <c r="J82" s="45">
        <f>IF(AND(ISNUMBER(H82),ISNUMBER(I82)),ABS(I82-H82),IF(ISNUMBER(H82)=ISNUMBER(I82),0,1))</f>
        <v/>
      </c>
      <c r="K82" s="46" t="n">
        <v>-0.009018730146637904</v>
      </c>
      <c r="L82" s="47">
        <f>Calculo!AL80</f>
        <v/>
      </c>
      <c r="M82" s="45">
        <f>IF(AND(ISNUMBER(K82),ISNUMBER(L82)),ABS(L82-K82),IF(ISNUMBER(K82)=ISNUMBER(L82),0,1))</f>
        <v/>
      </c>
      <c r="N82" s="46" t="n">
        <v>0.01824455967767349</v>
      </c>
      <c r="O82" s="47">
        <f>Calculo!AP80</f>
        <v/>
      </c>
      <c r="P82" s="45">
        <f>IF(AND(ISNUMBER(N82),ISNUMBER(O82)),ABS(O82-N82),IF(ISNUMBER(N82)=ISNUMBER(O82),0,1))</f>
        <v/>
      </c>
      <c r="Q82" s="46" t="n"/>
      <c r="R82" s="47">
        <f>Calculo!AW80</f>
        <v/>
      </c>
      <c r="S82" s="45">
        <f>IF(AND(ISNUMBER(Q82),ISNUMBER(R82)),ABS(R82-Q82),IF(ISNUMBER(Q82)=ISNUMBER(R82),0,1))</f>
        <v/>
      </c>
      <c r="T82" s="46" t="n"/>
      <c r="U82" s="47">
        <f>Calculo!AX80</f>
        <v/>
      </c>
      <c r="V82" s="45">
        <f>IF(AND(ISNUMBER(T82),ISNUMBER(U82)),ABS(U82-T82),IF(ISNUMBER(T82)=ISNUMBER(U82),0,1))</f>
        <v/>
      </c>
      <c r="W82" s="46" t="n"/>
      <c r="X82" s="47">
        <f>Calculo!AY80</f>
        <v/>
      </c>
      <c r="Y82" s="45">
        <f>IF(AND(ISNUMBER(W82),ISNUMBER(X82)),ABS(X82-W82),IF(ISNUMBER(W82)=ISNUMBER(X82),0,1))</f>
        <v/>
      </c>
      <c r="Z82" s="46" t="n"/>
      <c r="AA82" s="47">
        <f>Calculo!BC80</f>
        <v/>
      </c>
      <c r="AB82" s="45">
        <f>IF(AND(ISNUMBER(Z82),ISNUMBER(AA82)),ABS(AA82-Z82),IF(ISNUMBER(Z82)=ISNUMBER(AA82),0,1))</f>
        <v/>
      </c>
    </row>
    <row r="83">
      <c r="A83" s="36">
        <f>Calculo!A81</f>
        <v/>
      </c>
      <c r="B83" s="46" t="n">
        <v>0.04345216219175313</v>
      </c>
      <c r="C83" s="47">
        <f>Calculo!W81</f>
        <v/>
      </c>
      <c r="D83" s="45">
        <f>IF(AND(ISNUMBER(B83),ISNUMBER(C83)),ABS(C83-B83),IF(ISNUMBER(B83)=ISNUMBER(C83),0,1))</f>
        <v/>
      </c>
      <c r="E83" s="46" t="n">
        <v>1.298751271911621</v>
      </c>
      <c r="F83" s="47">
        <f>Calculo!V81</f>
        <v/>
      </c>
      <c r="G83" s="45">
        <f>IF(AND(ISNUMBER(E83),ISNUMBER(F83)),ABS(F83-E83),IF(ISNUMBER(E83)=ISNUMBER(F83),0,1))</f>
        <v/>
      </c>
      <c r="H83" s="46" t="n">
        <v>-0.2866417376145796</v>
      </c>
      <c r="I83" s="47">
        <f>Calculo!AK81</f>
        <v/>
      </c>
      <c r="J83" s="45">
        <f>IF(AND(ISNUMBER(H83),ISNUMBER(I83)),ABS(I83-H83),IF(ISNUMBER(H83)=ISNUMBER(I83),0,1))</f>
        <v/>
      </c>
      <c r="K83" s="46" t="n">
        <v>-0.01069550942965503</v>
      </c>
      <c r="L83" s="47">
        <f>Calculo!AL81</f>
        <v/>
      </c>
      <c r="M83" s="45">
        <f>IF(AND(ISNUMBER(K83),ISNUMBER(L83)),ABS(L83-K83),IF(ISNUMBER(K83)=ISNUMBER(L83),0,1))</f>
        <v/>
      </c>
      <c r="N83" s="46" t="n">
        <v>0.1259157711497605</v>
      </c>
      <c r="O83" s="47">
        <f>Calculo!AP81</f>
        <v/>
      </c>
      <c r="P83" s="45">
        <f>IF(AND(ISNUMBER(N83),ISNUMBER(O83)),ABS(O83-N83),IF(ISNUMBER(N83)=ISNUMBER(O83),0,1))</f>
        <v/>
      </c>
      <c r="Q83" s="46" t="n"/>
      <c r="R83" s="47">
        <f>Calculo!AW81</f>
        <v/>
      </c>
      <c r="S83" s="45">
        <f>IF(AND(ISNUMBER(Q83),ISNUMBER(R83)),ABS(R83-Q83),IF(ISNUMBER(Q83)=ISNUMBER(R83),0,1))</f>
        <v/>
      </c>
      <c r="T83" s="46" t="n"/>
      <c r="U83" s="47">
        <f>Calculo!AX81</f>
        <v/>
      </c>
      <c r="V83" s="45">
        <f>IF(AND(ISNUMBER(T83),ISNUMBER(U83)),ABS(U83-T83),IF(ISNUMBER(T83)=ISNUMBER(U83),0,1))</f>
        <v/>
      </c>
      <c r="W83" s="46" t="n"/>
      <c r="X83" s="47">
        <f>Calculo!AY81</f>
        <v/>
      </c>
      <c r="Y83" s="45">
        <f>IF(AND(ISNUMBER(W83),ISNUMBER(X83)),ABS(X83-W83),IF(ISNUMBER(W83)=ISNUMBER(X83),0,1))</f>
        <v/>
      </c>
      <c r="Z83" s="46" t="n"/>
      <c r="AA83" s="47">
        <f>Calculo!BC81</f>
        <v/>
      </c>
      <c r="AB83" s="45">
        <f>IF(AND(ISNUMBER(Z83),ISNUMBER(AA83)),ABS(AA83-Z83),IF(ISNUMBER(Z83)=ISNUMBER(AA83),0,1))</f>
        <v/>
      </c>
    </row>
    <row r="84">
      <c r="A84" s="36">
        <f>Calculo!A82</f>
        <v/>
      </c>
      <c r="B84" s="46" t="n">
        <v>0.1162713270638567</v>
      </c>
      <c r="C84" s="47">
        <f>Calculo!W82</f>
        <v/>
      </c>
      <c r="D84" s="45">
        <f>IF(AND(ISNUMBER(B84),ISNUMBER(C84)),ABS(C84-B84),IF(ISNUMBER(B84)=ISNUMBER(C84),0,1))</f>
        <v/>
      </c>
      <c r="E84" s="46" t="n">
        <v>1.292925873294684</v>
      </c>
      <c r="F84" s="47">
        <f>Calculo!V82</f>
        <v/>
      </c>
      <c r="G84" s="45">
        <f>IF(AND(ISNUMBER(E84),ISNUMBER(F84)),ABS(F84-E84),IF(ISNUMBER(E84)=ISNUMBER(F84),0,1))</f>
        <v/>
      </c>
      <c r="H84" s="46" t="n">
        <v>-0.270651114945099</v>
      </c>
      <c r="I84" s="47">
        <f>Calculo!AK82</f>
        <v/>
      </c>
      <c r="J84" s="45">
        <f>IF(AND(ISNUMBER(H84),ISNUMBER(I84)),ABS(I84-H84),IF(ISNUMBER(H84)=ISNUMBER(I84),0,1))</f>
        <v/>
      </c>
      <c r="K84" s="46" t="n">
        <v>-0.008016382892798511</v>
      </c>
      <c r="L84" s="47">
        <f>Calculo!AL82</f>
        <v/>
      </c>
      <c r="M84" s="45">
        <f>IF(AND(ISNUMBER(K84),ISNUMBER(L84)),ABS(L84-K84),IF(ISNUMBER(K84)=ISNUMBER(L84),0,1))</f>
        <v/>
      </c>
      <c r="N84" s="46" t="n">
        <v>0.2269281690995125</v>
      </c>
      <c r="O84" s="47">
        <f>Calculo!AP82</f>
        <v/>
      </c>
      <c r="P84" s="45">
        <f>IF(AND(ISNUMBER(N84),ISNUMBER(O84)),ABS(O84-N84),IF(ISNUMBER(N84)=ISNUMBER(O84),0,1))</f>
        <v/>
      </c>
      <c r="Q84" s="46" t="n"/>
      <c r="R84" s="47">
        <f>Calculo!AW82</f>
        <v/>
      </c>
      <c r="S84" s="45">
        <f>IF(AND(ISNUMBER(Q84),ISNUMBER(R84)),ABS(R84-Q84),IF(ISNUMBER(Q84)=ISNUMBER(R84),0,1))</f>
        <v/>
      </c>
      <c r="T84" s="46" t="n"/>
      <c r="U84" s="47">
        <f>Calculo!AX82</f>
        <v/>
      </c>
      <c r="V84" s="45">
        <f>IF(AND(ISNUMBER(T84),ISNUMBER(U84)),ABS(U84-T84),IF(ISNUMBER(T84)=ISNUMBER(U84),0,1))</f>
        <v/>
      </c>
      <c r="W84" s="46" t="n"/>
      <c r="X84" s="47">
        <f>Calculo!AY82</f>
        <v/>
      </c>
      <c r="Y84" s="45">
        <f>IF(AND(ISNUMBER(W84),ISNUMBER(X84)),ABS(X84-W84),IF(ISNUMBER(W84)=ISNUMBER(X84),0,1))</f>
        <v/>
      </c>
      <c r="Z84" s="46" t="n"/>
      <c r="AA84" s="47">
        <f>Calculo!BC82</f>
        <v/>
      </c>
      <c r="AB84" s="45">
        <f>IF(AND(ISNUMBER(Z84),ISNUMBER(AA84)),ABS(AA84-Z84),IF(ISNUMBER(Z84)=ISNUMBER(AA84),0,1))</f>
        <v/>
      </c>
    </row>
    <row r="85">
      <c r="A85" s="36">
        <f>Calculo!A83</f>
        <v/>
      </c>
      <c r="B85" s="46" t="n">
        <v>0.05401211936218411</v>
      </c>
      <c r="C85" s="47">
        <f>Calculo!W83</f>
        <v/>
      </c>
      <c r="D85" s="45">
        <f>IF(AND(ISNUMBER(B85),ISNUMBER(C85)),ABS(C85-B85),IF(ISNUMBER(B85)=ISNUMBER(C85),0,1))</f>
        <v/>
      </c>
      <c r="E85" s="46" t="n">
        <v>1.288233108034171</v>
      </c>
      <c r="F85" s="47">
        <f>Calculo!V83</f>
        <v/>
      </c>
      <c r="G85" s="45">
        <f>IF(AND(ISNUMBER(E85),ISNUMBER(F85)),ABS(F85-E85),IF(ISNUMBER(E85)=ISNUMBER(F85),0,1))</f>
        <v/>
      </c>
      <c r="H85" s="46" t="n">
        <v>-0.2689916673810149</v>
      </c>
      <c r="I85" s="47">
        <f>Calculo!AK83</f>
        <v/>
      </c>
      <c r="J85" s="45">
        <f>IF(AND(ISNUMBER(H85),ISNUMBER(I85)),ABS(I85-H85),IF(ISNUMBER(H85)=ISNUMBER(I85),0,1))</f>
        <v/>
      </c>
      <c r="K85" s="46" t="n">
        <v>-0.00383824224806696</v>
      </c>
      <c r="L85" s="47">
        <f>Calculo!AL83</f>
        <v/>
      </c>
      <c r="M85" s="45">
        <f>IF(AND(ISNUMBER(K85),ISNUMBER(L85)),ABS(L85-K85),IF(ISNUMBER(K85)=ISNUMBER(L85),0,1))</f>
        <v/>
      </c>
      <c r="N85" s="46" t="n">
        <v>0.2588022238518792</v>
      </c>
      <c r="O85" s="47">
        <f>Calculo!AP83</f>
        <v/>
      </c>
      <c r="P85" s="45">
        <f>IF(AND(ISNUMBER(N85),ISNUMBER(O85)),ABS(O85-N85),IF(ISNUMBER(N85)=ISNUMBER(O85),0,1))</f>
        <v/>
      </c>
      <c r="Q85" s="46" t="n"/>
      <c r="R85" s="47">
        <f>Calculo!AW83</f>
        <v/>
      </c>
      <c r="S85" s="45">
        <f>IF(AND(ISNUMBER(Q85),ISNUMBER(R85)),ABS(R85-Q85),IF(ISNUMBER(Q85)=ISNUMBER(R85),0,1))</f>
        <v/>
      </c>
      <c r="T85" s="46" t="n"/>
      <c r="U85" s="47">
        <f>Calculo!AX83</f>
        <v/>
      </c>
      <c r="V85" s="45">
        <f>IF(AND(ISNUMBER(T85),ISNUMBER(U85)),ABS(U85-T85),IF(ISNUMBER(T85)=ISNUMBER(U85),0,1))</f>
        <v/>
      </c>
      <c r="W85" s="46" t="n"/>
      <c r="X85" s="47">
        <f>Calculo!AY83</f>
        <v/>
      </c>
      <c r="Y85" s="45">
        <f>IF(AND(ISNUMBER(W85),ISNUMBER(X85)),ABS(X85-W85),IF(ISNUMBER(W85)=ISNUMBER(X85),0,1))</f>
        <v/>
      </c>
      <c r="Z85" s="46" t="n"/>
      <c r="AA85" s="47">
        <f>Calculo!BC83</f>
        <v/>
      </c>
      <c r="AB85" s="45">
        <f>IF(AND(ISNUMBER(Z85),ISNUMBER(AA85)),ABS(AA85-Z85),IF(ISNUMBER(Z85)=ISNUMBER(AA85),0,1))</f>
        <v/>
      </c>
    </row>
    <row r="86">
      <c r="A86" s="36">
        <f>Calculo!A84</f>
        <v/>
      </c>
      <c r="B86" s="46" t="n">
        <v>0.1470644851443544</v>
      </c>
      <c r="C86" s="47">
        <f>Calculo!W84</f>
        <v/>
      </c>
      <c r="D86" s="45">
        <f>IF(AND(ISNUMBER(B86),ISNUMBER(C86)),ABS(C86-B86),IF(ISNUMBER(B86)=ISNUMBER(C86),0,1))</f>
        <v/>
      </c>
      <c r="E86" s="46" t="n">
        <v>1.298537274502719</v>
      </c>
      <c r="F86" s="47">
        <f>Calculo!V84</f>
        <v/>
      </c>
      <c r="G86" s="45">
        <f>IF(AND(ISNUMBER(E86),ISNUMBER(F86)),ABS(F86-E86),IF(ISNUMBER(E86)=ISNUMBER(F86),0,1))</f>
        <v/>
      </c>
      <c r="H86" s="46" t="n">
        <v>-0.2810533824418434</v>
      </c>
      <c r="I86" s="47">
        <f>Calculo!AK84</f>
        <v/>
      </c>
      <c r="J86" s="45">
        <f>IF(AND(ISNUMBER(H86),ISNUMBER(I86)),ABS(I86-H86),IF(ISNUMBER(H86)=ISNUMBER(I86),0,1))</f>
        <v/>
      </c>
      <c r="K86" s="46" t="n">
        <v>-0.004160635176173268</v>
      </c>
      <c r="L86" s="47">
        <f>Calculo!AL84</f>
        <v/>
      </c>
      <c r="M86" s="45">
        <f>IF(AND(ISNUMBER(K86),ISNUMBER(L86)),ABS(L86-K86),IF(ISNUMBER(K86)=ISNUMBER(L86),0,1))</f>
        <v/>
      </c>
      <c r="N86" s="46" t="n">
        <v>0.3181227396993401</v>
      </c>
      <c r="O86" s="47">
        <f>Calculo!AP84</f>
        <v/>
      </c>
      <c r="P86" s="45">
        <f>IF(AND(ISNUMBER(N86),ISNUMBER(O86)),ABS(O86-N86),IF(ISNUMBER(N86)=ISNUMBER(O86),0,1))</f>
        <v/>
      </c>
      <c r="Q86" s="46" t="n"/>
      <c r="R86" s="47">
        <f>Calculo!AW84</f>
        <v/>
      </c>
      <c r="S86" s="45">
        <f>IF(AND(ISNUMBER(Q86),ISNUMBER(R86)),ABS(R86-Q86),IF(ISNUMBER(Q86)=ISNUMBER(R86),0,1))</f>
        <v/>
      </c>
      <c r="T86" s="46" t="n"/>
      <c r="U86" s="47">
        <f>Calculo!AX84</f>
        <v/>
      </c>
      <c r="V86" s="45">
        <f>IF(AND(ISNUMBER(T86),ISNUMBER(U86)),ABS(U86-T86),IF(ISNUMBER(T86)=ISNUMBER(U86),0,1))</f>
        <v/>
      </c>
      <c r="W86" s="46" t="n"/>
      <c r="X86" s="47">
        <f>Calculo!AY84</f>
        <v/>
      </c>
      <c r="Y86" s="45">
        <f>IF(AND(ISNUMBER(W86),ISNUMBER(X86)),ABS(X86-W86),IF(ISNUMBER(W86)=ISNUMBER(X86),0,1))</f>
        <v/>
      </c>
      <c r="Z86" s="46" t="n"/>
      <c r="AA86" s="47">
        <f>Calculo!BC84</f>
        <v/>
      </c>
      <c r="AB86" s="45">
        <f>IF(AND(ISNUMBER(Z86),ISNUMBER(AA86)),ABS(AA86-Z86),IF(ISNUMBER(Z86)=ISNUMBER(AA86),0,1))</f>
        <v/>
      </c>
    </row>
    <row r="87">
      <c r="A87" s="36">
        <f>Calculo!A85</f>
        <v/>
      </c>
      <c r="B87" s="46" t="n">
        <v>0.04362864176485087</v>
      </c>
      <c r="C87" s="47">
        <f>Calculo!W85</f>
        <v/>
      </c>
      <c r="D87" s="45">
        <f>IF(AND(ISNUMBER(B87),ISNUMBER(C87)),ABS(C87-B87),IF(ISNUMBER(B87)=ISNUMBER(C87),0,1))</f>
        <v/>
      </c>
      <c r="E87" s="46" t="n">
        <v>1.287705965923495</v>
      </c>
      <c r="F87" s="47">
        <f>Calculo!V85</f>
        <v/>
      </c>
      <c r="G87" s="45">
        <f>IF(AND(ISNUMBER(E87),ISNUMBER(F87)),ABS(F87-E87),IF(ISNUMBER(E87)=ISNUMBER(F87),0,1))</f>
        <v/>
      </c>
      <c r="H87" s="46" t="n">
        <v>-0.2726797181294974</v>
      </c>
      <c r="I87" s="47">
        <f>Calculo!AK85</f>
        <v/>
      </c>
      <c r="J87" s="45">
        <f>IF(AND(ISNUMBER(H87),ISNUMBER(I87)),ABS(I87-H87),IF(ISNUMBER(H87)=ISNUMBER(I87),0,1))</f>
        <v/>
      </c>
      <c r="K87" s="46" t="n">
        <v>0.001392472825836757</v>
      </c>
      <c r="L87" s="47">
        <f>Calculo!AL85</f>
        <v/>
      </c>
      <c r="M87" s="45">
        <f>IF(AND(ISNUMBER(K87),ISNUMBER(L87)),ABS(L87-K87),IF(ISNUMBER(K87)=ISNUMBER(L87),0,1))</f>
        <v/>
      </c>
      <c r="N87" s="46" t="n">
        <v>0.199074770340917</v>
      </c>
      <c r="O87" s="47">
        <f>Calculo!AP85</f>
        <v/>
      </c>
      <c r="P87" s="45">
        <f>IF(AND(ISNUMBER(N87),ISNUMBER(O87)),ABS(O87-N87),IF(ISNUMBER(N87)=ISNUMBER(O87),0,1))</f>
        <v/>
      </c>
      <c r="Q87" s="46" t="n"/>
      <c r="R87" s="47">
        <f>Calculo!AW85</f>
        <v/>
      </c>
      <c r="S87" s="45">
        <f>IF(AND(ISNUMBER(Q87),ISNUMBER(R87)),ABS(R87-Q87),IF(ISNUMBER(Q87)=ISNUMBER(R87),0,1))</f>
        <v/>
      </c>
      <c r="T87" s="46" t="n"/>
      <c r="U87" s="47">
        <f>Calculo!AX85</f>
        <v/>
      </c>
      <c r="V87" s="45">
        <f>IF(AND(ISNUMBER(T87),ISNUMBER(U87)),ABS(U87-T87),IF(ISNUMBER(T87)=ISNUMBER(U87),0,1))</f>
        <v/>
      </c>
      <c r="W87" s="46" t="n"/>
      <c r="X87" s="47">
        <f>Calculo!AY85</f>
        <v/>
      </c>
      <c r="Y87" s="45">
        <f>IF(AND(ISNUMBER(W87),ISNUMBER(X87)),ABS(X87-W87),IF(ISNUMBER(W87)=ISNUMBER(X87),0,1))</f>
        <v/>
      </c>
      <c r="Z87" s="46" t="n"/>
      <c r="AA87" s="47">
        <f>Calculo!BC85</f>
        <v/>
      </c>
      <c r="AB87" s="45">
        <f>IF(AND(ISNUMBER(Z87),ISNUMBER(AA87)),ABS(AA87-Z87),IF(ISNUMBER(Z87)=ISNUMBER(AA87),0,1))</f>
        <v/>
      </c>
    </row>
    <row r="88">
      <c r="A88" s="36">
        <f>Calculo!A86</f>
        <v/>
      </c>
      <c r="B88" s="46" t="n">
        <v>0.01330591850429697</v>
      </c>
      <c r="C88" s="47">
        <f>Calculo!W86</f>
        <v/>
      </c>
      <c r="D88" s="45">
        <f>IF(AND(ISNUMBER(B88),ISNUMBER(C88)),ABS(C88-B88),IF(ISNUMBER(B88)=ISNUMBER(C88),0,1))</f>
        <v/>
      </c>
      <c r="E88" s="46" t="n">
        <v>1.308673629149555</v>
      </c>
      <c r="F88" s="47">
        <f>Calculo!V86</f>
        <v/>
      </c>
      <c r="G88" s="45">
        <f>IF(AND(ISNUMBER(E88),ISNUMBER(F88)),ABS(F88-E88),IF(ISNUMBER(E88)=ISNUMBER(F88),0,1))</f>
        <v/>
      </c>
      <c r="H88" s="46" t="n">
        <v>-0.2849791210964298</v>
      </c>
      <c r="I88" s="47">
        <f>Calculo!AK86</f>
        <v/>
      </c>
      <c r="J88" s="45">
        <f>IF(AND(ISNUMBER(H88),ISNUMBER(I88)),ABS(I88-H88),IF(ISNUMBER(H88)=ISNUMBER(I88),0,1))</f>
        <v/>
      </c>
      <c r="K88" s="46" t="n">
        <v>0.004397831941000885</v>
      </c>
      <c r="L88" s="47">
        <f>Calculo!AL86</f>
        <v/>
      </c>
      <c r="M88" s="45">
        <f>IF(AND(ISNUMBER(K88),ISNUMBER(L88)),ABS(L88-K88),IF(ISNUMBER(K88)=ISNUMBER(L88),0,1))</f>
        <v/>
      </c>
      <c r="N88" s="46" t="n">
        <v>0.1203491691058075</v>
      </c>
      <c r="O88" s="47">
        <f>Calculo!AP86</f>
        <v/>
      </c>
      <c r="P88" s="45">
        <f>IF(AND(ISNUMBER(N88),ISNUMBER(O88)),ABS(O88-N88),IF(ISNUMBER(N88)=ISNUMBER(O88),0,1))</f>
        <v/>
      </c>
      <c r="Q88" s="46" t="n"/>
      <c r="R88" s="47">
        <f>Calculo!AW86</f>
        <v/>
      </c>
      <c r="S88" s="45">
        <f>IF(AND(ISNUMBER(Q88),ISNUMBER(R88)),ABS(R88-Q88),IF(ISNUMBER(Q88)=ISNUMBER(R88),0,1))</f>
        <v/>
      </c>
      <c r="T88" s="46" t="n"/>
      <c r="U88" s="47">
        <f>Calculo!AX86</f>
        <v/>
      </c>
      <c r="V88" s="45">
        <f>IF(AND(ISNUMBER(T88),ISNUMBER(U88)),ABS(U88-T88),IF(ISNUMBER(T88)=ISNUMBER(U88),0,1))</f>
        <v/>
      </c>
      <c r="W88" s="46" t="n"/>
      <c r="X88" s="47">
        <f>Calculo!AY86</f>
        <v/>
      </c>
      <c r="Y88" s="45">
        <f>IF(AND(ISNUMBER(W88),ISNUMBER(X88)),ABS(X88-W88),IF(ISNUMBER(W88)=ISNUMBER(X88),0,1))</f>
        <v/>
      </c>
      <c r="Z88" s="46" t="n"/>
      <c r="AA88" s="47">
        <f>Calculo!BC86</f>
        <v/>
      </c>
      <c r="AB88" s="45">
        <f>IF(AND(ISNUMBER(Z88),ISNUMBER(AA88)),ABS(AA88-Z88),IF(ISNUMBER(Z88)=ISNUMBER(AA88),0,1))</f>
        <v/>
      </c>
    </row>
    <row r="89">
      <c r="A89" s="36">
        <f>Calculo!A87</f>
        <v/>
      </c>
      <c r="B89" s="46" t="n">
        <v>-0.05191439221283713</v>
      </c>
      <c r="C89" s="47">
        <f>Calculo!W87</f>
        <v/>
      </c>
      <c r="D89" s="45">
        <f>IF(AND(ISNUMBER(B89),ISNUMBER(C89)),ABS(C89-B89),IF(ISNUMBER(B89)=ISNUMBER(C89),0,1))</f>
        <v/>
      </c>
      <c r="E89" s="46" t="n">
        <v>1.321717227432279</v>
      </c>
      <c r="F89" s="47">
        <f>Calculo!V87</f>
        <v/>
      </c>
      <c r="G89" s="45">
        <f>IF(AND(ISNUMBER(E89),ISNUMBER(F89)),ABS(F89-E89),IF(ISNUMBER(E89)=ISNUMBER(F89),0,1))</f>
        <v/>
      </c>
      <c r="H89" s="46" t="n">
        <v>-0.2971201370795816</v>
      </c>
      <c r="I89" s="47">
        <f>Calculo!AK87</f>
        <v/>
      </c>
      <c r="J89" s="45">
        <f>IF(AND(ISNUMBER(H89),ISNUMBER(I89)),ABS(I89-H89),IF(ISNUMBER(H89)=ISNUMBER(I89),0,1))</f>
        <v/>
      </c>
      <c r="K89" s="46" t="n">
        <v>0.006072003304660648</v>
      </c>
      <c r="L89" s="47">
        <f>Calculo!AL87</f>
        <v/>
      </c>
      <c r="M89" s="45">
        <f>IF(AND(ISNUMBER(K89),ISNUMBER(L89)),ABS(L89-K89),IF(ISNUMBER(K89)=ISNUMBER(L89),0,1))</f>
        <v/>
      </c>
      <c r="N89" s="46" t="n">
        <v>-0.08024724330143491</v>
      </c>
      <c r="O89" s="47">
        <f>Calculo!AP87</f>
        <v/>
      </c>
      <c r="P89" s="45">
        <f>IF(AND(ISNUMBER(N89),ISNUMBER(O89)),ABS(O89-N89),IF(ISNUMBER(N89)=ISNUMBER(O89),0,1))</f>
        <v/>
      </c>
      <c r="Q89" s="46" t="n"/>
      <c r="R89" s="47">
        <f>Calculo!AW87</f>
        <v/>
      </c>
      <c r="S89" s="45">
        <f>IF(AND(ISNUMBER(Q89),ISNUMBER(R89)),ABS(R89-Q89),IF(ISNUMBER(Q89)=ISNUMBER(R89),0,1))</f>
        <v/>
      </c>
      <c r="T89" s="46" t="n"/>
      <c r="U89" s="47">
        <f>Calculo!AX87</f>
        <v/>
      </c>
      <c r="V89" s="45">
        <f>IF(AND(ISNUMBER(T89),ISNUMBER(U89)),ABS(U89-T89),IF(ISNUMBER(T89)=ISNUMBER(U89),0,1))</f>
        <v/>
      </c>
      <c r="W89" s="46" t="n"/>
      <c r="X89" s="47">
        <f>Calculo!AY87</f>
        <v/>
      </c>
      <c r="Y89" s="45">
        <f>IF(AND(ISNUMBER(W89),ISNUMBER(X89)),ABS(X89-W89),IF(ISNUMBER(W89)=ISNUMBER(X89),0,1))</f>
        <v/>
      </c>
      <c r="Z89" s="46" t="n"/>
      <c r="AA89" s="47">
        <f>Calculo!BC87</f>
        <v/>
      </c>
      <c r="AB89" s="45">
        <f>IF(AND(ISNUMBER(Z89),ISNUMBER(AA89)),ABS(AA89-Z89),IF(ISNUMBER(Z89)=ISNUMBER(AA89),0,1))</f>
        <v/>
      </c>
    </row>
    <row r="90">
      <c r="A90" s="36">
        <f>Calculo!A88</f>
        <v/>
      </c>
      <c r="B90" s="46" t="n">
        <v>-0.1010795391435226</v>
      </c>
      <c r="C90" s="47">
        <f>Calculo!W88</f>
        <v/>
      </c>
      <c r="D90" s="45">
        <f>IF(AND(ISNUMBER(B90),ISNUMBER(C90)),ABS(C90-B90),IF(ISNUMBER(B90)=ISNUMBER(C90),0,1))</f>
        <v/>
      </c>
      <c r="E90" s="46" t="n">
        <v>1.303117861272505</v>
      </c>
      <c r="F90" s="47">
        <f>Calculo!V88</f>
        <v/>
      </c>
      <c r="G90" s="45">
        <f>IF(AND(ISNUMBER(E90),ISNUMBER(F90)),ABS(F90-E90),IF(ISNUMBER(E90)=ISNUMBER(F90),0,1))</f>
        <v/>
      </c>
      <c r="H90" s="46" t="n">
        <v>-0.3004192068721782</v>
      </c>
      <c r="I90" s="47">
        <f>Calculo!AK88</f>
        <v/>
      </c>
      <c r="J90" s="45">
        <f>IF(AND(ISNUMBER(H90),ISNUMBER(I90)),ABS(I90-H90),IF(ISNUMBER(H90)=ISNUMBER(I90),0,1))</f>
        <v/>
      </c>
      <c r="K90" s="46" t="n">
        <v>0.0051778397981588</v>
      </c>
      <c r="L90" s="47">
        <f>Calculo!AL88</f>
        <v/>
      </c>
      <c r="M90" s="45">
        <f>IF(AND(ISNUMBER(K90),ISNUMBER(L90)),ABS(L90-K90),IF(ISNUMBER(K90)=ISNUMBER(L90),0,1))</f>
        <v/>
      </c>
      <c r="N90" s="46" t="n">
        <v>-0.2444347959578017</v>
      </c>
      <c r="O90" s="47">
        <f>Calculo!AP88</f>
        <v/>
      </c>
      <c r="P90" s="45">
        <f>IF(AND(ISNUMBER(N90),ISNUMBER(O90)),ABS(O90-N90),IF(ISNUMBER(N90)=ISNUMBER(O90),0,1))</f>
        <v/>
      </c>
      <c r="Q90" s="46" t="n"/>
      <c r="R90" s="47">
        <f>Calculo!AW88</f>
        <v/>
      </c>
      <c r="S90" s="45">
        <f>IF(AND(ISNUMBER(Q90),ISNUMBER(R90)),ABS(R90-Q90),IF(ISNUMBER(Q90)=ISNUMBER(R90),0,1))</f>
        <v/>
      </c>
      <c r="T90" s="46" t="n"/>
      <c r="U90" s="47">
        <f>Calculo!AX88</f>
        <v/>
      </c>
      <c r="V90" s="45">
        <f>IF(AND(ISNUMBER(T90),ISNUMBER(U90)),ABS(U90-T90),IF(ISNUMBER(T90)=ISNUMBER(U90),0,1))</f>
        <v/>
      </c>
      <c r="W90" s="46" t="n"/>
      <c r="X90" s="47">
        <f>Calculo!AY88</f>
        <v/>
      </c>
      <c r="Y90" s="45">
        <f>IF(AND(ISNUMBER(W90),ISNUMBER(X90)),ABS(X90-W90),IF(ISNUMBER(W90)=ISNUMBER(X90),0,1))</f>
        <v/>
      </c>
      <c r="Z90" s="46" t="n"/>
      <c r="AA90" s="47">
        <f>Calculo!BC88</f>
        <v/>
      </c>
      <c r="AB90" s="45">
        <f>IF(AND(ISNUMBER(Z90),ISNUMBER(AA90)),ABS(AA90-Z90),IF(ISNUMBER(Z90)=ISNUMBER(AA90),0,1))</f>
        <v/>
      </c>
    </row>
    <row r="91">
      <c r="A91" s="36">
        <f>Calculo!A89</f>
        <v/>
      </c>
      <c r="B91" s="46" t="n">
        <v>-0.02007453101238973</v>
      </c>
      <c r="C91" s="47">
        <f>Calculo!W89</f>
        <v/>
      </c>
      <c r="D91" s="45">
        <f>IF(AND(ISNUMBER(B91),ISNUMBER(C91)),ABS(C91-B91),IF(ISNUMBER(B91)=ISNUMBER(C91),0,1))</f>
        <v/>
      </c>
      <c r="E91" s="46" t="n">
        <v>1.285451675249306</v>
      </c>
      <c r="F91" s="47">
        <f>Calculo!V89</f>
        <v/>
      </c>
      <c r="G91" s="45">
        <f>IF(AND(ISNUMBER(E91),ISNUMBER(F91)),ABS(F91-E91),IF(ISNUMBER(E91)=ISNUMBER(F91),0,1))</f>
        <v/>
      </c>
      <c r="H91" s="46" t="n">
        <v>-0.2774937479637459</v>
      </c>
      <c r="I91" s="47">
        <f>Calculo!AK89</f>
        <v/>
      </c>
      <c r="J91" s="45">
        <f>IF(AND(ISNUMBER(H91),ISNUMBER(I91)),ABS(I91-H91),IF(ISNUMBER(H91)=ISNUMBER(I91),0,1))</f>
        <v/>
      </c>
      <c r="K91" s="46" t="n">
        <v>0.0008058393974859981</v>
      </c>
      <c r="L91" s="47">
        <f>Calculo!AL89</f>
        <v/>
      </c>
      <c r="M91" s="45">
        <f>IF(AND(ISNUMBER(K91),ISNUMBER(L91)),ABS(L91-K91),IF(ISNUMBER(K91)=ISNUMBER(L91),0,1))</f>
        <v/>
      </c>
      <c r="N91" s="46" t="n">
        <v>-0.1745436107077106</v>
      </c>
      <c r="O91" s="47">
        <f>Calculo!AP89</f>
        <v/>
      </c>
      <c r="P91" s="45">
        <f>IF(AND(ISNUMBER(N91),ISNUMBER(O91)),ABS(O91-N91),IF(ISNUMBER(N91)=ISNUMBER(O91),0,1))</f>
        <v/>
      </c>
      <c r="Q91" s="46" t="n"/>
      <c r="R91" s="47">
        <f>Calculo!AW89</f>
        <v/>
      </c>
      <c r="S91" s="45">
        <f>IF(AND(ISNUMBER(Q91),ISNUMBER(R91)),ABS(R91-Q91),IF(ISNUMBER(Q91)=ISNUMBER(R91),0,1))</f>
        <v/>
      </c>
      <c r="T91" s="46" t="n"/>
      <c r="U91" s="47">
        <f>Calculo!AX89</f>
        <v/>
      </c>
      <c r="V91" s="45">
        <f>IF(AND(ISNUMBER(T91),ISNUMBER(U91)),ABS(U91-T91),IF(ISNUMBER(T91)=ISNUMBER(U91),0,1))</f>
        <v/>
      </c>
      <c r="W91" s="46" t="n"/>
      <c r="X91" s="47">
        <f>Calculo!AY89</f>
        <v/>
      </c>
      <c r="Y91" s="45">
        <f>IF(AND(ISNUMBER(W91),ISNUMBER(X91)),ABS(X91-W91),IF(ISNUMBER(W91)=ISNUMBER(X91),0,1))</f>
        <v/>
      </c>
      <c r="Z91" s="46" t="n"/>
      <c r="AA91" s="47">
        <f>Calculo!BC89</f>
        <v/>
      </c>
      <c r="AB91" s="45">
        <f>IF(AND(ISNUMBER(Z91),ISNUMBER(AA91)),ABS(AA91-Z91),IF(ISNUMBER(Z91)=ISNUMBER(AA91),0,1))</f>
        <v/>
      </c>
    </row>
    <row r="92">
      <c r="A92" s="36">
        <f>Calculo!A90</f>
        <v/>
      </c>
      <c r="B92" s="46" t="n">
        <v>0.04562252181538412</v>
      </c>
      <c r="C92" s="47">
        <f>Calculo!W90</f>
        <v/>
      </c>
      <c r="D92" s="45">
        <f>IF(AND(ISNUMBER(B92),ISNUMBER(C92)),ABS(C92-B92),IF(ISNUMBER(B92)=ISNUMBER(C92),0,1))</f>
        <v/>
      </c>
      <c r="E92" s="46" t="n">
        <v>1.285904518323869</v>
      </c>
      <c r="F92" s="47">
        <f>Calculo!V90</f>
        <v/>
      </c>
      <c r="G92" s="45">
        <f>IF(AND(ISNUMBER(E92),ISNUMBER(F92)),ABS(F92-E92),IF(ISNUMBER(E92)=ISNUMBER(F92),0,1))</f>
        <v/>
      </c>
      <c r="H92" s="46" t="n">
        <v>-0.2778155093854821</v>
      </c>
      <c r="I92" s="47">
        <f>Calculo!AK90</f>
        <v/>
      </c>
      <c r="J92" s="45">
        <f>IF(AND(ISNUMBER(H92),ISNUMBER(I92)),ABS(I92-H92),IF(ISNUMBER(H92)=ISNUMBER(I92),0,1))</f>
        <v/>
      </c>
      <c r="K92" s="46" t="n">
        <v>0.0007688118695235404</v>
      </c>
      <c r="L92" s="47">
        <f>Calculo!AL90</f>
        <v/>
      </c>
      <c r="M92" s="45">
        <f>IF(AND(ISNUMBER(K92),ISNUMBER(L92)),ABS(L92-K92),IF(ISNUMBER(K92)=ISNUMBER(L92),0,1))</f>
        <v/>
      </c>
      <c r="N92" s="46" t="n">
        <v>-0.08688900289447647</v>
      </c>
      <c r="O92" s="47">
        <f>Calculo!AP90</f>
        <v/>
      </c>
      <c r="P92" s="45">
        <f>IF(AND(ISNUMBER(N92),ISNUMBER(O92)),ABS(O92-N92),IF(ISNUMBER(N92)=ISNUMBER(O92),0,1))</f>
        <v/>
      </c>
      <c r="Q92" s="46" t="n"/>
      <c r="R92" s="47">
        <f>Calculo!AW90</f>
        <v/>
      </c>
      <c r="S92" s="45">
        <f>IF(AND(ISNUMBER(Q92),ISNUMBER(R92)),ABS(R92-Q92),IF(ISNUMBER(Q92)=ISNUMBER(R92),0,1))</f>
        <v/>
      </c>
      <c r="T92" s="46" t="n"/>
      <c r="U92" s="47">
        <f>Calculo!AX90</f>
        <v/>
      </c>
      <c r="V92" s="45">
        <f>IF(AND(ISNUMBER(T92),ISNUMBER(U92)),ABS(U92-T92),IF(ISNUMBER(T92)=ISNUMBER(U92),0,1))</f>
        <v/>
      </c>
      <c r="W92" s="46" t="n"/>
      <c r="X92" s="47">
        <f>Calculo!AY90</f>
        <v/>
      </c>
      <c r="Y92" s="45">
        <f>IF(AND(ISNUMBER(W92),ISNUMBER(X92)),ABS(X92-W92),IF(ISNUMBER(W92)=ISNUMBER(X92),0,1))</f>
        <v/>
      </c>
      <c r="Z92" s="46" t="n"/>
      <c r="AA92" s="47">
        <f>Calculo!BC90</f>
        <v/>
      </c>
      <c r="AB92" s="45">
        <f>IF(AND(ISNUMBER(Z92),ISNUMBER(AA92)),ABS(AA92-Z92),IF(ISNUMBER(Z92)=ISNUMBER(AA92),0,1))</f>
        <v/>
      </c>
    </row>
    <row r="93">
      <c r="A93" s="36">
        <f>Calculo!A91</f>
        <v/>
      </c>
      <c r="B93" s="46" t="n">
        <v>-0.04802165505346236</v>
      </c>
      <c r="C93" s="47">
        <f>Calculo!W91</f>
        <v/>
      </c>
      <c r="D93" s="45">
        <f>IF(AND(ISNUMBER(B93),ISNUMBER(C93)),ABS(C93-B93),IF(ISNUMBER(B93)=ISNUMBER(C93),0,1))</f>
        <v/>
      </c>
      <c r="E93" s="46" t="n">
        <v>1.28545560377722</v>
      </c>
      <c r="F93" s="47">
        <f>Calculo!V91</f>
        <v/>
      </c>
      <c r="G93" s="45">
        <f>IF(AND(ISNUMBER(E93),ISNUMBER(F93)),ABS(F93-E93),IF(ISNUMBER(E93)=ISNUMBER(F93),0,1))</f>
        <v/>
      </c>
      <c r="H93" s="46" t="n">
        <v>-0.2783104503066725</v>
      </c>
      <c r="I93" s="47">
        <f>Calculo!AK91</f>
        <v/>
      </c>
      <c r="J93" s="45">
        <f>IF(AND(ISNUMBER(H93),ISNUMBER(I93)),ABS(I93-H93),IF(ISNUMBER(H93)=ISNUMBER(I93),0,1))</f>
        <v/>
      </c>
      <c r="K93" s="46" t="n">
        <v>0.001166067404509716</v>
      </c>
      <c r="L93" s="47">
        <f>Calculo!AL91</f>
        <v/>
      </c>
      <c r="M93" s="45">
        <f>IF(AND(ISNUMBER(K93),ISNUMBER(L93)),ABS(L93-K93),IF(ISNUMBER(K93)=ISNUMBER(L93),0,1))</f>
        <v/>
      </c>
      <c r="N93" s="46" t="n">
        <v>-0.002187605196570797</v>
      </c>
      <c r="O93" s="47">
        <f>Calculo!AP91</f>
        <v/>
      </c>
      <c r="P93" s="45">
        <f>IF(AND(ISNUMBER(N93),ISNUMBER(O93)),ABS(O93-N93),IF(ISNUMBER(N93)=ISNUMBER(O93),0,1))</f>
        <v/>
      </c>
      <c r="Q93" s="46" t="n">
        <v>-0.04137237056981698</v>
      </c>
      <c r="R93" s="47">
        <f>Calculo!AW91</f>
        <v/>
      </c>
      <c r="S93" s="45">
        <f>IF(AND(ISNUMBER(Q93),ISNUMBER(R93)),ABS(R93-Q93),IF(ISNUMBER(Q93)=ISNUMBER(R93),0,1))</f>
        <v/>
      </c>
      <c r="T93" s="46" t="n">
        <v>0.9917302437206785</v>
      </c>
      <c r="U93" s="47">
        <f>Calculo!AX91</f>
        <v/>
      </c>
      <c r="V93" s="45">
        <f>IF(AND(ISNUMBER(T93),ISNUMBER(U93)),ABS(U93-T93),IF(ISNUMBER(T93)=ISNUMBER(U93),0,1))</f>
        <v/>
      </c>
      <c r="W93" s="46" t="n">
        <v>0.9917302437206785</v>
      </c>
      <c r="X93" s="47">
        <f>Calculo!AY91</f>
        <v/>
      </c>
      <c r="Y93" s="45">
        <f>IF(AND(ISNUMBER(W93),ISNUMBER(X93)),ABS(X93-W93),IF(ISNUMBER(W93)=ISNUMBER(X93),0,1))</f>
        <v/>
      </c>
      <c r="Z93" s="46" t="n"/>
      <c r="AA93" s="47">
        <f>Calculo!BC91</f>
        <v/>
      </c>
      <c r="AB93" s="45">
        <f>IF(AND(ISNUMBER(Z93),ISNUMBER(AA93)),ABS(AA93-Z93),IF(ISNUMBER(Z93)=ISNUMBER(AA93),0,1))</f>
        <v/>
      </c>
    </row>
    <row r="94">
      <c r="A94" s="36">
        <f>Calculo!A92</f>
        <v/>
      </c>
      <c r="B94" s="46" t="n">
        <v>-0.001884306145917742</v>
      </c>
      <c r="C94" s="47">
        <f>Calculo!W92</f>
        <v/>
      </c>
      <c r="D94" s="45">
        <f>IF(AND(ISNUMBER(B94),ISNUMBER(C94)),ABS(C94-B94),IF(ISNUMBER(B94)=ISNUMBER(C94),0,1))</f>
        <v/>
      </c>
      <c r="E94" s="46" t="n">
        <v>1.288172935476599</v>
      </c>
      <c r="F94" s="47">
        <f>Calculo!V92</f>
        <v/>
      </c>
      <c r="G94" s="45">
        <f>IF(AND(ISNUMBER(E94),ISNUMBER(F94)),ABS(F94-E94),IF(ISNUMBER(E94)=ISNUMBER(F94),0,1))</f>
        <v/>
      </c>
      <c r="H94" s="46" t="n">
        <v>-0.2757834063965968</v>
      </c>
      <c r="I94" s="47">
        <f>Calculo!AK92</f>
        <v/>
      </c>
      <c r="J94" s="45">
        <f>IF(AND(ISNUMBER(H94),ISNUMBER(I94)),ABS(I94-H94),IF(ISNUMBER(H94)=ISNUMBER(I94),0,1))</f>
        <v/>
      </c>
      <c r="K94" s="46" t="n">
        <v>-0.001180197141611677</v>
      </c>
      <c r="L94" s="47">
        <f>Calculo!AL92</f>
        <v/>
      </c>
      <c r="M94" s="45">
        <f>IF(AND(ISNUMBER(K94),ISNUMBER(L94)),ABS(L94-K94),IF(ISNUMBER(K94)=ISNUMBER(L94),0,1))</f>
        <v/>
      </c>
      <c r="N94" s="46" t="n">
        <v>-0.003628072263687184</v>
      </c>
      <c r="O94" s="47">
        <f>Calculo!AP92</f>
        <v/>
      </c>
      <c r="P94" s="45">
        <f>IF(AND(ISNUMBER(N94),ISNUMBER(O94)),ABS(O94-N94),IF(ISNUMBER(N94)=ISNUMBER(O94),0,1))</f>
        <v/>
      </c>
      <c r="Q94" s="46" t="n">
        <v>-0.03163031921857461</v>
      </c>
      <c r="R94" s="47">
        <f>Calculo!AW92</f>
        <v/>
      </c>
      <c r="S94" s="45">
        <f>IF(AND(ISNUMBER(Q94),ISNUMBER(R94)),ABS(R94-Q94),IF(ISNUMBER(Q94)=ISNUMBER(R94),0,1))</f>
        <v/>
      </c>
      <c r="T94" s="46" t="n">
        <v>0.9936760450063367</v>
      </c>
      <c r="U94" s="47">
        <f>Calculo!AX92</f>
        <v/>
      </c>
      <c r="V94" s="45">
        <f>IF(AND(ISNUMBER(T94),ISNUMBER(U94)),ABS(U94-T94),IF(ISNUMBER(T94)=ISNUMBER(U94),0,1))</f>
        <v/>
      </c>
      <c r="W94" s="46" t="n">
        <v>0.9927031443635076</v>
      </c>
      <c r="X94" s="47">
        <f>Calculo!AY92</f>
        <v/>
      </c>
      <c r="Y94" s="45">
        <f>IF(AND(ISNUMBER(W94),ISNUMBER(X94)),ABS(X94-W94),IF(ISNUMBER(W94)=ISNUMBER(X94),0,1))</f>
        <v/>
      </c>
      <c r="Z94" s="46" t="n">
        <v>3.895688145591822e-06</v>
      </c>
      <c r="AA94" s="47">
        <f>Calculo!BC92</f>
        <v/>
      </c>
      <c r="AB94" s="45">
        <f>IF(AND(ISNUMBER(Z94),ISNUMBER(AA94)),ABS(AA94-Z94),IF(ISNUMBER(Z94)=ISNUMBER(AA94),0,1))</f>
        <v/>
      </c>
    </row>
    <row r="95">
      <c r="A95" s="36">
        <f>Calculo!A93</f>
        <v/>
      </c>
      <c r="B95" s="46" t="n">
        <v>-0.03310008016754434</v>
      </c>
      <c r="C95" s="47">
        <f>Calculo!W93</f>
        <v/>
      </c>
      <c r="D95" s="45">
        <f>IF(AND(ISNUMBER(B95),ISNUMBER(C95)),ABS(C95-B95),IF(ISNUMBER(B95)=ISNUMBER(C95),0,1))</f>
        <v/>
      </c>
      <c r="E95" s="46" t="n">
        <v>1.285748085608291</v>
      </c>
      <c r="F95" s="47">
        <f>Calculo!V93</f>
        <v/>
      </c>
      <c r="G95" s="45">
        <f>IF(AND(ISNUMBER(E95),ISNUMBER(F95)),ABS(F95-E95),IF(ISNUMBER(E95)=ISNUMBER(F95),0,1))</f>
        <v/>
      </c>
      <c r="H95" s="46" t="n">
        <v>-0.2778709874944085</v>
      </c>
      <c r="I95" s="47">
        <f>Calculo!AK93</f>
        <v/>
      </c>
      <c r="J95" s="45">
        <f>IF(AND(ISNUMBER(H95),ISNUMBER(I95)),ABS(I95-H95),IF(ISNUMBER(H95)=ISNUMBER(I95),0,1))</f>
        <v/>
      </c>
      <c r="K95" s="46" t="n">
        <v>0.001252370396654981</v>
      </c>
      <c r="L95" s="47">
        <f>Calculo!AL93</f>
        <v/>
      </c>
      <c r="M95" s="45">
        <f>IF(AND(ISNUMBER(K95),ISNUMBER(L95)),ABS(L95-K95),IF(ISNUMBER(K95)=ISNUMBER(L95),0,1))</f>
        <v/>
      </c>
      <c r="N95" s="46" t="n">
        <v>-0.07864717748686742</v>
      </c>
      <c r="O95" s="47">
        <f>Calculo!AP93</f>
        <v/>
      </c>
      <c r="P95" s="45">
        <f>IF(AND(ISNUMBER(N95),ISNUMBER(O95)),ABS(O95-N95),IF(ISNUMBER(N95)=ISNUMBER(O95),0,1))</f>
        <v/>
      </c>
      <c r="Q95" s="46" t="n">
        <v>0.4532757623073693</v>
      </c>
      <c r="R95" s="47">
        <f>Calculo!AW93</f>
        <v/>
      </c>
      <c r="S95" s="45">
        <f>IF(AND(ISNUMBER(Q95),ISNUMBER(R95)),ABS(R95-Q95),IF(ISNUMBER(Q95)=ISNUMBER(R95),0,1))</f>
        <v/>
      </c>
      <c r="T95" s="46" t="n">
        <v>1.084917592006074</v>
      </c>
      <c r="U95" s="47">
        <f>Calculo!AX93</f>
        <v/>
      </c>
      <c r="V95" s="45">
        <f>IF(AND(ISNUMBER(T95),ISNUMBER(U95)),ABS(U95-T95),IF(ISNUMBER(T95)=ISNUMBER(U95),0,1))</f>
        <v/>
      </c>
      <c r="W95" s="46" t="n">
        <v>1.023441293577696</v>
      </c>
      <c r="X95" s="47">
        <f>Calculo!AY93</f>
        <v/>
      </c>
      <c r="Y95" s="45">
        <f>IF(AND(ISNUMBER(W95),ISNUMBER(X95)),ABS(X95-W95),IF(ISNUMBER(W95)=ISNUMBER(X95),0,1))</f>
        <v/>
      </c>
      <c r="Z95" s="46" t="n">
        <v>5.794937502765144e-05</v>
      </c>
      <c r="AA95" s="47">
        <f>Calculo!BC93</f>
        <v/>
      </c>
      <c r="AB95" s="45">
        <f>IF(AND(ISNUMBER(Z95),ISNUMBER(AA95)),ABS(AA95-Z95),IF(ISNUMBER(Z95)=ISNUMBER(AA95),0,1))</f>
        <v/>
      </c>
    </row>
    <row r="96">
      <c r="A96" s="36">
        <f>Calculo!A94</f>
        <v/>
      </c>
      <c r="B96" s="46" t="n">
        <v>0.06840657548965003</v>
      </c>
      <c r="C96" s="47">
        <f>Calculo!W94</f>
        <v/>
      </c>
      <c r="D96" s="45">
        <f>IF(AND(ISNUMBER(B96),ISNUMBER(C96)),ABS(C96-B96),IF(ISNUMBER(B96)=ISNUMBER(C96),0,1))</f>
        <v/>
      </c>
      <c r="E96" s="46" t="n">
        <v>1.30470941560571</v>
      </c>
      <c r="F96" s="47">
        <f>Calculo!V94</f>
        <v/>
      </c>
      <c r="G96" s="45">
        <f>IF(AND(ISNUMBER(E96),ISNUMBER(F96)),ABS(F96-E96),IF(ISNUMBER(E96)=ISNUMBER(F96),0,1))</f>
        <v/>
      </c>
      <c r="H96" s="46" t="n">
        <v>-0.2840781376319764</v>
      </c>
      <c r="I96" s="47">
        <f>Calculo!AK94</f>
        <v/>
      </c>
      <c r="J96" s="45">
        <f>IF(AND(ISNUMBER(H96),ISNUMBER(I96)),ABS(I96-H96),IF(ISNUMBER(H96)=ISNUMBER(I96),0,1))</f>
        <v/>
      </c>
      <c r="K96" s="46" t="n">
        <v>0.003785753161719763</v>
      </c>
      <c r="L96" s="47">
        <f>Calculo!AL94</f>
        <v/>
      </c>
      <c r="M96" s="45">
        <f>IF(AND(ISNUMBER(K96),ISNUMBER(L96)),ABS(L96-K96),IF(ISNUMBER(K96)=ISNUMBER(L96),0,1))</f>
        <v/>
      </c>
      <c r="N96" s="46" t="n">
        <v>0.04380837613578094</v>
      </c>
      <c r="O96" s="47">
        <f>Calculo!AP94</f>
        <v/>
      </c>
      <c r="P96" s="45">
        <f>IF(AND(ISNUMBER(N96),ISNUMBER(O96)),ABS(O96-N96),IF(ISNUMBER(N96)=ISNUMBER(O96),0,1))</f>
        <v/>
      </c>
      <c r="Q96" s="46" t="n">
        <v>-0.3537019871382489</v>
      </c>
      <c r="R96" s="47">
        <f>Calculo!AW94</f>
        <v/>
      </c>
      <c r="S96" s="45">
        <f>IF(AND(ISNUMBER(Q96),ISNUMBER(R96)),ABS(R96-Q96),IF(ISNUMBER(Q96)=ISNUMBER(R96),0,1))</f>
        <v/>
      </c>
      <c r="T96" s="46" t="n">
        <v>0.9320690882081394</v>
      </c>
      <c r="U96" s="47">
        <f>Calculo!AX94</f>
        <v/>
      </c>
      <c r="V96" s="45">
        <f>IF(AND(ISNUMBER(T96),ISNUMBER(U96)),ABS(U96-T96),IF(ISNUMBER(T96)=ISNUMBER(U96),0,1))</f>
        <v/>
      </c>
      <c r="W96" s="46" t="n">
        <v>1.003554241740183</v>
      </c>
      <c r="X96" s="47">
        <f>Calculo!AY94</f>
        <v/>
      </c>
      <c r="Y96" s="45">
        <f>IF(AND(ISNUMBER(W96),ISNUMBER(X96)),ABS(X96-W96),IF(ISNUMBER(W96)=ISNUMBER(X96),0,1))</f>
        <v/>
      </c>
      <c r="Z96" s="46" t="n">
        <v>0.0003240392816389626</v>
      </c>
      <c r="AA96" s="47">
        <f>Calculo!BC94</f>
        <v/>
      </c>
      <c r="AB96" s="45">
        <f>IF(AND(ISNUMBER(Z96),ISNUMBER(AA96)),ABS(AA96-Z96),IF(ISNUMBER(Z96)=ISNUMBER(AA96),0,1))</f>
        <v/>
      </c>
    </row>
    <row r="97">
      <c r="A97" s="36">
        <f>Calculo!A95</f>
        <v/>
      </c>
      <c r="B97" s="46" t="n">
        <v>-0.004747378086422019</v>
      </c>
      <c r="C97" s="47">
        <f>Calculo!W95</f>
        <v/>
      </c>
      <c r="D97" s="45">
        <f>IF(AND(ISNUMBER(B97),ISNUMBER(C97)),ABS(C97-B97),IF(ISNUMBER(B97)=ISNUMBER(C97),0,1))</f>
        <v/>
      </c>
      <c r="E97" s="46" t="n">
        <v>1.288775657571711</v>
      </c>
      <c r="F97" s="47">
        <f>Calculo!V95</f>
        <v/>
      </c>
      <c r="G97" s="45">
        <f>IF(AND(ISNUMBER(E97),ISNUMBER(F97)),ABS(F97-E97),IF(ISNUMBER(E97)=ISNUMBER(F97),0,1))</f>
        <v/>
      </c>
      <c r="H97" s="46" t="n">
        <v>-0.272378804780126</v>
      </c>
      <c r="I97" s="47">
        <f>Calculo!AK95</f>
        <v/>
      </c>
      <c r="J97" s="45">
        <f>IF(AND(ISNUMBER(H97),ISNUMBER(I97)),ABS(I97-H97),IF(ISNUMBER(H97)=ISNUMBER(I97),0,1))</f>
        <v/>
      </c>
      <c r="K97" s="46" t="n">
        <v>0.008186047516513447</v>
      </c>
      <c r="L97" s="47">
        <f>Calculo!AL95</f>
        <v/>
      </c>
      <c r="M97" s="45">
        <f>IF(AND(ISNUMBER(K97),ISNUMBER(L97)),ABS(L97-K97),IF(ISNUMBER(K97)=ISNUMBER(L97),0,1))</f>
        <v/>
      </c>
      <c r="N97" s="46" t="n">
        <v>0.03478414934168612</v>
      </c>
      <c r="O97" s="47">
        <f>Calculo!AP95</f>
        <v/>
      </c>
      <c r="P97" s="45">
        <f>IF(AND(ISNUMBER(N97),ISNUMBER(O97)),ABS(O97-N97),IF(ISNUMBER(N97)=ISNUMBER(O97),0,1))</f>
        <v/>
      </c>
      <c r="Q97" s="46" t="n">
        <v>-0.2892444053993836</v>
      </c>
      <c r="R97" s="47">
        <f>Calculo!AW95</f>
        <v/>
      </c>
      <c r="S97" s="45">
        <f>IF(AND(ISNUMBER(Q97),ISNUMBER(R97)),ABS(R97-Q97),IF(ISNUMBER(Q97)=ISNUMBER(R97),0,1))</f>
        <v/>
      </c>
      <c r="T97" s="46" t="n">
        <v>0.9437121569431687</v>
      </c>
      <c r="U97" s="47">
        <f>Calculo!AX95</f>
        <v/>
      </c>
      <c r="V97" s="45">
        <f>IF(AND(ISNUMBER(T97),ISNUMBER(U97)),ABS(U97-T97),IF(ISNUMBER(T97)=ISNUMBER(U97),0,1))</f>
        <v/>
      </c>
      <c r="W97" s="46" t="n">
        <v>0.9868996123857938</v>
      </c>
      <c r="X97" s="47">
        <f>Calculo!AY95</f>
        <v/>
      </c>
      <c r="Y97" s="45">
        <f>IF(AND(ISNUMBER(W97),ISNUMBER(X97)),ABS(X97-W97),IF(ISNUMBER(W97)=ISNUMBER(X97),0,1))</f>
        <v/>
      </c>
      <c r="Z97" s="46" t="n">
        <v>-5.393596193158102e-05</v>
      </c>
      <c r="AA97" s="47">
        <f>Calculo!BC95</f>
        <v/>
      </c>
      <c r="AB97" s="45">
        <f>IF(AND(ISNUMBER(Z97),ISNUMBER(AA97)),ABS(AA97-Z97),IF(ISNUMBER(Z97)=ISNUMBER(AA97),0,1))</f>
        <v/>
      </c>
    </row>
    <row r="98">
      <c r="A98" s="36">
        <f>Calculo!A96</f>
        <v/>
      </c>
      <c r="B98" s="46" t="n">
        <v>-0.01523952464191353</v>
      </c>
      <c r="C98" s="47">
        <f>Calculo!W96</f>
        <v/>
      </c>
      <c r="D98" s="45">
        <f>IF(AND(ISNUMBER(B98),ISNUMBER(C98)),ABS(C98-B98),IF(ISNUMBER(B98)=ISNUMBER(C98),0,1))</f>
        <v/>
      </c>
      <c r="E98" s="46" t="n">
        <v>1.317714684528841</v>
      </c>
      <c r="F98" s="47">
        <f>Calculo!V96</f>
        <v/>
      </c>
      <c r="G98" s="45">
        <f>IF(AND(ISNUMBER(E98),ISNUMBER(F98)),ABS(F98-E98),IF(ISNUMBER(E98)=ISNUMBER(F98),0,1))</f>
        <v/>
      </c>
      <c r="H98" s="46" t="n">
        <v>-0.2723102335531004</v>
      </c>
      <c r="I98" s="47">
        <f>Calculo!AK96</f>
        <v/>
      </c>
      <c r="J98" s="45">
        <f>IF(AND(ISNUMBER(H98),ISNUMBER(I98)),ABS(I98-H98),IF(ISNUMBER(H98)=ISNUMBER(I98),0,1))</f>
        <v/>
      </c>
      <c r="K98" s="46" t="n">
        <v>0.006429900823919683</v>
      </c>
      <c r="L98" s="47">
        <f>Calculo!AL96</f>
        <v/>
      </c>
      <c r="M98" s="45">
        <f>IF(AND(ISNUMBER(K98),ISNUMBER(L98)),ABS(L98-K98),IF(ISNUMBER(K98)=ISNUMBER(L98),0,1))</f>
        <v/>
      </c>
      <c r="N98" s="46" t="n">
        <v>0.08956109445560681</v>
      </c>
      <c r="O98" s="47">
        <f>Calculo!AP96</f>
        <v/>
      </c>
      <c r="P98" s="45">
        <f>IF(AND(ISNUMBER(N98),ISNUMBER(O98)),ABS(O98-N98),IF(ISNUMBER(N98)=ISNUMBER(O98),0,1))</f>
        <v/>
      </c>
      <c r="Q98" s="46" t="n">
        <v>-0.6497039188559717</v>
      </c>
      <c r="R98" s="47">
        <f>Calculo!AW96</f>
        <v/>
      </c>
      <c r="S98" s="45">
        <f>IF(AND(ISNUMBER(Q98),ISNUMBER(R98)),ABS(R98-Q98),IF(ISNUMBER(Q98)=ISNUMBER(R98),0,1))</f>
        <v/>
      </c>
      <c r="T98" s="46" t="n">
        <v>0.8857058775077166</v>
      </c>
      <c r="U98" s="47">
        <f>Calculo!AX96</f>
        <v/>
      </c>
      <c r="V98" s="45">
        <f>IF(AND(ISNUMBER(T98),ISNUMBER(U98)),ABS(U98-T98),IF(ISNUMBER(T98)=ISNUMBER(U98),0,1))</f>
        <v/>
      </c>
      <c r="W98" s="46" t="n">
        <v>0.9204957075530081</v>
      </c>
      <c r="X98" s="47">
        <f>Calculo!AY96</f>
        <v/>
      </c>
      <c r="Y98" s="45">
        <f>IF(AND(ISNUMBER(W98),ISNUMBER(X98)),ABS(X98-W98),IF(ISNUMBER(W98)=ISNUMBER(X98),0,1))</f>
        <v/>
      </c>
      <c r="Z98" s="46" t="n">
        <v>8.274346580354851e-06</v>
      </c>
      <c r="AA98" s="47">
        <f>Calculo!BC96</f>
        <v/>
      </c>
      <c r="AB98" s="45">
        <f>IF(AND(ISNUMBER(Z98),ISNUMBER(AA98)),ABS(AA98-Z98),IF(ISNUMBER(Z98)=ISNUMBER(AA98),0,1))</f>
        <v/>
      </c>
    </row>
    <row r="99">
      <c r="A99" s="36">
        <f>Calculo!A97</f>
        <v/>
      </c>
      <c r="B99" s="46" t="n">
        <v>-0.007000881646669399</v>
      </c>
      <c r="C99" s="47">
        <f>Calculo!W97</f>
        <v/>
      </c>
      <c r="D99" s="45">
        <f>IF(AND(ISNUMBER(B99),ISNUMBER(C99)),ABS(C99-B99),IF(ISNUMBER(B99)=ISNUMBER(C99),0,1))</f>
        <v/>
      </c>
      <c r="E99" s="46" t="n">
        <v>1.35073807575482</v>
      </c>
      <c r="F99" s="47">
        <f>Calculo!V97</f>
        <v/>
      </c>
      <c r="G99" s="45">
        <f>IF(AND(ISNUMBER(E99),ISNUMBER(F99)),ABS(F99-E99),IF(ISNUMBER(E99)=ISNUMBER(F99),0,1))</f>
        <v/>
      </c>
      <c r="H99" s="46" t="n">
        <v>-0.2718178728416885</v>
      </c>
      <c r="I99" s="47">
        <f>Calculo!AK97</f>
        <v/>
      </c>
      <c r="J99" s="45">
        <f>IF(AND(ISNUMBER(H99),ISNUMBER(I99)),ABS(I99-H99),IF(ISNUMBER(H99)=ISNUMBER(I99),0,1))</f>
        <v/>
      </c>
      <c r="K99" s="46" t="n">
        <v>0.005068856907064668</v>
      </c>
      <c r="L99" s="47">
        <f>Calculo!AL97</f>
        <v/>
      </c>
      <c r="M99" s="45">
        <f>IF(AND(ISNUMBER(K99),ISNUMBER(L99)),ABS(L99-K99),IF(ISNUMBER(K99)=ISNUMBER(L99),0,1))</f>
        <v/>
      </c>
      <c r="N99" s="46" t="n">
        <v>0.105299136092249</v>
      </c>
      <c r="O99" s="47">
        <f>Calculo!AP97</f>
        <v/>
      </c>
      <c r="P99" s="45">
        <f>IF(AND(ISNUMBER(N99),ISNUMBER(O99)),ABS(O99-N99),IF(ISNUMBER(N99)=ISNUMBER(O99),0,1))</f>
        <v/>
      </c>
      <c r="Q99" s="46" t="n">
        <v>-0.7433008884976545</v>
      </c>
      <c r="R99" s="47">
        <f>Calculo!AW97</f>
        <v/>
      </c>
      <c r="S99" s="45">
        <f>IF(AND(ISNUMBER(Q99),ISNUMBER(R99)),ABS(R99-Q99),IF(ISNUMBER(Q99)=ISNUMBER(R99),0,1))</f>
        <v/>
      </c>
      <c r="T99" s="46" t="n">
        <v>0.873772932015387</v>
      </c>
      <c r="U99" s="47">
        <f>Calculo!AX97</f>
        <v/>
      </c>
      <c r="V99" s="45">
        <f>IF(AND(ISNUMBER(T99),ISNUMBER(U99)),ABS(U99-T99),IF(ISNUMBER(T99)=ISNUMBER(U99),0,1))</f>
        <v/>
      </c>
      <c r="W99" s="46" t="n">
        <v>0.9010636554887576</v>
      </c>
      <c r="X99" s="47">
        <f>Calculo!AY97</f>
        <v/>
      </c>
      <c r="Y99" s="45">
        <f>IF(AND(ISNUMBER(W99),ISNUMBER(X99)),ABS(X99-W99),IF(ISNUMBER(W99)=ISNUMBER(X99),0,1))</f>
        <v/>
      </c>
      <c r="Z99" s="46" t="n">
        <v>-2.685972662606876e-05</v>
      </c>
      <c r="AA99" s="47">
        <f>Calculo!BC97</f>
        <v/>
      </c>
      <c r="AB99" s="45">
        <f>IF(AND(ISNUMBER(Z99),ISNUMBER(AA99)),ABS(AA99-Z99),IF(ISNUMBER(Z99)=ISNUMBER(AA99),0,1))</f>
        <v/>
      </c>
    </row>
    <row r="100">
      <c r="A100" s="36">
        <f>Calculo!A98</f>
        <v/>
      </c>
      <c r="B100" s="46" t="n">
        <v>-0.1206072594161817</v>
      </c>
      <c r="C100" s="47">
        <f>Calculo!W98</f>
        <v/>
      </c>
      <c r="D100" s="45">
        <f>IF(AND(ISNUMBER(B100),ISNUMBER(C100)),ABS(C100-B100),IF(ISNUMBER(B100)=ISNUMBER(C100),0,1))</f>
        <v/>
      </c>
      <c r="E100" s="46" t="n">
        <v>1.391068531590959</v>
      </c>
      <c r="F100" s="47">
        <f>Calculo!V98</f>
        <v/>
      </c>
      <c r="G100" s="45">
        <f>IF(AND(ISNUMBER(E100),ISNUMBER(F100)),ABS(F100-E100),IF(ISNUMBER(E100)=ISNUMBER(F100),0,1))</f>
        <v/>
      </c>
      <c r="H100" s="46" t="n">
        <v>-0.298334716527257</v>
      </c>
      <c r="I100" s="47">
        <f>Calculo!AK98</f>
        <v/>
      </c>
      <c r="J100" s="45">
        <f>IF(AND(ISNUMBER(H100),ISNUMBER(I100)),ABS(I100-H100),IF(ISNUMBER(H100)=ISNUMBER(I100),0,1))</f>
        <v/>
      </c>
      <c r="K100" s="46" t="n">
        <v>0.003117124671879172</v>
      </c>
      <c r="L100" s="47">
        <f>Calculo!AL98</f>
        <v/>
      </c>
      <c r="M100" s="45">
        <f>IF(AND(ISNUMBER(K100),ISNUMBER(L100)),ABS(L100-K100),IF(ISNUMBER(K100)=ISNUMBER(L100),0,1))</f>
        <v/>
      </c>
      <c r="N100" s="46" t="n">
        <v>-0.06846536800589284</v>
      </c>
      <c r="O100" s="47">
        <f>Calculo!AP98</f>
        <v/>
      </c>
      <c r="P100" s="45">
        <f>IF(AND(ISNUMBER(N100),ISNUMBER(O100)),ABS(O100-N100),IF(ISNUMBER(N100)=ISNUMBER(O100),0,1))</f>
        <v/>
      </c>
      <c r="Q100" s="46" t="n">
        <v>0.4452275209937196</v>
      </c>
      <c r="R100" s="47">
        <f>Calculo!AW98</f>
        <v/>
      </c>
      <c r="S100" s="45">
        <f>IF(AND(ISNUMBER(Q100),ISNUMBER(R100)),ABS(R100-Q100),IF(ISNUMBER(Q100)=ISNUMBER(R100),0,1))</f>
        <v/>
      </c>
      <c r="T100" s="46" t="n">
        <v>1.08359362733267</v>
      </c>
      <c r="U100" s="47">
        <f>Calculo!AX98</f>
        <v/>
      </c>
      <c r="V100" s="45">
        <f>IF(AND(ISNUMBER(T100),ISNUMBER(U100)),ABS(U100-T100),IF(ISNUMBER(T100)=ISNUMBER(U100),0,1))</f>
        <v/>
      </c>
      <c r="W100" s="46" t="n">
        <v>0.9476908122852579</v>
      </c>
      <c r="X100" s="47">
        <f>Calculo!AY98</f>
        <v/>
      </c>
      <c r="Y100" s="45">
        <f>IF(AND(ISNUMBER(W100),ISNUMBER(X100)),ABS(X100-W100),IF(ISNUMBER(W100)=ISNUMBER(X100),0,1))</f>
        <v/>
      </c>
      <c r="Z100" s="46" t="n">
        <v>0.002934530211878408</v>
      </c>
      <c r="AA100" s="47">
        <f>Calculo!BC98</f>
        <v/>
      </c>
      <c r="AB100" s="45">
        <f>IF(AND(ISNUMBER(Z100),ISNUMBER(AA100)),ABS(AA100-Z100),IF(ISNUMBER(Z100)=ISNUMBER(AA100),0,1))</f>
        <v/>
      </c>
    </row>
    <row r="101">
      <c r="A101" s="36">
        <f>Calculo!A99</f>
        <v/>
      </c>
      <c r="B101" s="46" t="n">
        <v>-0.05699199897426976</v>
      </c>
      <c r="C101" s="47">
        <f>Calculo!W99</f>
        <v/>
      </c>
      <c r="D101" s="45">
        <f>IF(AND(ISNUMBER(B101),ISNUMBER(C101)),ABS(C101-B101),IF(ISNUMBER(B101)=ISNUMBER(C101),0,1))</f>
        <v/>
      </c>
      <c r="E101" s="46" t="n">
        <v>1.120929268605595</v>
      </c>
      <c r="F101" s="47">
        <f>Calculo!V99</f>
        <v/>
      </c>
      <c r="G101" s="45">
        <f>IF(AND(ISNUMBER(E101),ISNUMBER(F101)),ABS(F101-E101),IF(ISNUMBER(E101)=ISNUMBER(F101),0,1))</f>
        <v/>
      </c>
      <c r="H101" s="46" t="n">
        <v>-0.01091210449394909</v>
      </c>
      <c r="I101" s="47">
        <f>Calculo!AK99</f>
        <v/>
      </c>
      <c r="J101" s="45">
        <f>IF(AND(ISNUMBER(H101),ISNUMBER(I101)),ABS(I101-H101),IF(ISNUMBER(H101)=ISNUMBER(I101),0,1))</f>
        <v/>
      </c>
      <c r="K101" s="46" t="n">
        <v>0.01177367175613871</v>
      </c>
      <c r="L101" s="47">
        <f>Calculo!AL99</f>
        <v/>
      </c>
      <c r="M101" s="45">
        <f>IF(AND(ISNUMBER(K101),ISNUMBER(L101)),ABS(L101-K101),IF(ISNUMBER(K101)=ISNUMBER(L101),0,1))</f>
        <v/>
      </c>
      <c r="N101" s="46" t="n">
        <v>-0.1742847948401455</v>
      </c>
      <c r="O101" s="47">
        <f>Calculo!AP99</f>
        <v/>
      </c>
      <c r="P101" s="45">
        <f>IF(AND(ISNUMBER(N101),ISNUMBER(O101)),ABS(O101-N101),IF(ISNUMBER(N101)=ISNUMBER(O101),0,1))</f>
        <v/>
      </c>
      <c r="Q101" s="46" t="n">
        <v>1.148237078887267</v>
      </c>
      <c r="R101" s="47">
        <f>Calculo!AW99</f>
        <v/>
      </c>
      <c r="S101" s="45">
        <f>IF(AND(ISNUMBER(Q101),ISNUMBER(R101)),ABS(R101-Q101),IF(ISNUMBER(Q101)=ISNUMBER(R101),0,1))</f>
        <v/>
      </c>
      <c r="T101" s="46" t="n">
        <v>1.163433843593641</v>
      </c>
      <c r="U101" s="47">
        <f>Calculo!AX99</f>
        <v/>
      </c>
      <c r="V101" s="45">
        <f>IF(AND(ISNUMBER(T101),ISNUMBER(U101)),ABS(U101-T101),IF(ISNUMBER(T101)=ISNUMBER(U101),0,1))</f>
        <v/>
      </c>
      <c r="W101" s="46" t="n">
        <v>1.040266800980566</v>
      </c>
      <c r="X101" s="47">
        <f>Calculo!AY99</f>
        <v/>
      </c>
      <c r="Y101" s="45">
        <f>IF(AND(ISNUMBER(W101),ISNUMBER(X101)),ABS(X101-W101),IF(ISNUMBER(W101)=ISNUMBER(X101),0,1))</f>
        <v/>
      </c>
      <c r="Z101" s="46" t="n">
        <v>0.0006287334011546163</v>
      </c>
      <c r="AA101" s="47">
        <f>Calculo!BC99</f>
        <v/>
      </c>
      <c r="AB101" s="45">
        <f>IF(AND(ISNUMBER(Z101),ISNUMBER(AA101)),ABS(AA101-Z101),IF(ISNUMBER(Z101)=ISNUMBER(AA101),0,1))</f>
        <v/>
      </c>
    </row>
    <row r="102">
      <c r="A102" s="36">
        <f>Calculo!A100</f>
        <v/>
      </c>
      <c r="B102" s="46" t="n">
        <v>-0.0006031919630684474</v>
      </c>
      <c r="C102" s="47">
        <f>Calculo!W100</f>
        <v/>
      </c>
      <c r="D102" s="45">
        <f>IF(AND(ISNUMBER(B102),ISNUMBER(C102)),ABS(C102-B102),IF(ISNUMBER(B102)=ISNUMBER(C102),0,1))</f>
        <v/>
      </c>
      <c r="E102" s="46" t="n">
        <v>1.201585665064378</v>
      </c>
      <c r="F102" s="47">
        <f>Calculo!V100</f>
        <v/>
      </c>
      <c r="G102" s="45">
        <f>IF(AND(ISNUMBER(E102),ISNUMBER(F102)),ABS(F102-E102),IF(ISNUMBER(E102)=ISNUMBER(F102),0,1))</f>
        <v/>
      </c>
      <c r="H102" s="46" t="n">
        <v>-0.01843491877211028</v>
      </c>
      <c r="I102" s="47">
        <f>Calculo!AK100</f>
        <v/>
      </c>
      <c r="J102" s="45">
        <f>IF(AND(ISNUMBER(H102),ISNUMBER(I102)),ABS(I102-H102),IF(ISNUMBER(H102)=ISNUMBER(I102),0,1))</f>
        <v/>
      </c>
      <c r="K102" s="46" t="n">
        <v>0.004578634584732487</v>
      </c>
      <c r="L102" s="47">
        <f>Calculo!AL100</f>
        <v/>
      </c>
      <c r="M102" s="45">
        <f>IF(AND(ISNUMBER(K102),ISNUMBER(L102)),ABS(L102-K102),IF(ISNUMBER(K102)=ISNUMBER(L102),0,1))</f>
        <v/>
      </c>
      <c r="N102" s="46" t="n">
        <v>-0.2483849980536837</v>
      </c>
      <c r="O102" s="47">
        <f>Calculo!AP100</f>
        <v/>
      </c>
      <c r="P102" s="45">
        <f>IF(AND(ISNUMBER(N102),ISNUMBER(O102)),ABS(O102-N102),IF(ISNUMBER(N102)=ISNUMBER(O102),0,1))</f>
        <v/>
      </c>
      <c r="Q102" s="46" t="n">
        <v>1.593201671174054</v>
      </c>
      <c r="R102" s="47">
        <f>Calculo!AW100</f>
        <v/>
      </c>
      <c r="S102" s="45">
        <f>IF(AND(ISNUMBER(Q102),ISNUMBER(R102)),ABS(R102-Q102),IF(ISNUMBER(Q102)=ISNUMBER(R102),0,1))</f>
        <v/>
      </c>
      <c r="T102" s="46" t="n">
        <v>1.184127757075865</v>
      </c>
      <c r="U102" s="47">
        <f>Calculo!AX100</f>
        <v/>
      </c>
      <c r="V102" s="45">
        <f>IF(AND(ISNUMBER(T102),ISNUMBER(U102)),ABS(U102-T102),IF(ISNUMBER(T102)=ISNUMBER(U102),0,1))</f>
        <v/>
      </c>
      <c r="W102" s="46" t="n">
        <v>1.143718409334059</v>
      </c>
      <c r="X102" s="47">
        <f>Calculo!AY100</f>
        <v/>
      </c>
      <c r="Y102" s="45">
        <f>IF(AND(ISNUMBER(W102),ISNUMBER(X102)),ABS(X102-W102),IF(ISNUMBER(W102)=ISNUMBER(X102),0,1))</f>
        <v/>
      </c>
      <c r="Z102" s="46" t="n">
        <v>-0.0002375121244207595</v>
      </c>
      <c r="AA102" s="47">
        <f>Calculo!BC100</f>
        <v/>
      </c>
      <c r="AB102" s="45">
        <f>IF(AND(ISNUMBER(Z102),ISNUMBER(AA102)),ABS(AA102-Z102),IF(ISNUMBER(Z102)=ISNUMBER(AA102),0,1))</f>
        <v/>
      </c>
    </row>
    <row r="103">
      <c r="A103" s="36">
        <f>Calculo!A101</f>
        <v/>
      </c>
      <c r="B103" s="46" t="n">
        <v>0.03881730454084559</v>
      </c>
      <c r="C103" s="47">
        <f>Calculo!W101</f>
        <v/>
      </c>
      <c r="D103" s="45">
        <f>IF(AND(ISNUMBER(B103),ISNUMBER(C103)),ABS(C103-B103),IF(ISNUMBER(B103)=ISNUMBER(C103),0,1))</f>
        <v/>
      </c>
      <c r="E103" s="46" t="n">
        <v>1.199266009252875</v>
      </c>
      <c r="F103" s="47">
        <f>Calculo!V101</f>
        <v/>
      </c>
      <c r="G103" s="45">
        <f>IF(AND(ISNUMBER(E103),ISNUMBER(F103)),ABS(F103-E103),IF(ISNUMBER(E103)=ISNUMBER(F103),0,1))</f>
        <v/>
      </c>
      <c r="H103" s="46" t="n">
        <v>-0.01864532661557245</v>
      </c>
      <c r="I103" s="47">
        <f>Calculo!AK101</f>
        <v/>
      </c>
      <c r="J103" s="45">
        <f>IF(AND(ISNUMBER(H103),ISNUMBER(I103)),ABS(I103-H103),IF(ISNUMBER(H103)=ISNUMBER(I103),0,1))</f>
        <v/>
      </c>
      <c r="K103" s="46" t="n">
        <v>0.003768384854491454</v>
      </c>
      <c r="L103" s="47">
        <f>Calculo!AL101</f>
        <v/>
      </c>
      <c r="M103" s="45">
        <f>IF(AND(ISNUMBER(K103),ISNUMBER(L103)),ABS(L103-K103),IF(ISNUMBER(K103)=ISNUMBER(L103),0,1))</f>
        <v/>
      </c>
      <c r="N103" s="46" t="n">
        <v>-0.03970786182594706</v>
      </c>
      <c r="O103" s="47">
        <f>Calculo!AP101</f>
        <v/>
      </c>
      <c r="P103" s="45">
        <f>IF(AND(ISNUMBER(N103),ISNUMBER(O103)),ABS(O103-N103),IF(ISNUMBER(N103)=ISNUMBER(O103),0,1))</f>
        <v/>
      </c>
      <c r="Q103" s="46" t="n">
        <v>0.1756100624458053</v>
      </c>
      <c r="R103" s="47">
        <f>Calculo!AW101</f>
        <v/>
      </c>
      <c r="S103" s="45">
        <f>IF(AND(ISNUMBER(Q103),ISNUMBER(R103)),ABS(R103-Q103),IF(ISNUMBER(Q103)=ISNUMBER(R103),0,1))</f>
        <v/>
      </c>
      <c r="T103" s="46" t="n">
        <v>1.03476536988888</v>
      </c>
      <c r="U103" s="47">
        <f>Calculo!AX101</f>
        <v/>
      </c>
      <c r="V103" s="45">
        <f>IF(AND(ISNUMBER(T103),ISNUMBER(U103)),ABS(U103-T103),IF(ISNUMBER(T103)=ISNUMBER(U103),0,1))</f>
        <v/>
      </c>
      <c r="W103" s="46" t="n">
        <v>1.127442323519462</v>
      </c>
      <c r="X103" s="47">
        <f>Calculo!AY101</f>
        <v/>
      </c>
      <c r="Y103" s="45">
        <f>IF(AND(ISNUMBER(W103),ISNUMBER(X103)),ABS(X103-W103),IF(ISNUMBER(W103)=ISNUMBER(X103),0,1))</f>
        <v/>
      </c>
      <c r="Z103" s="46" t="n">
        <v>0.001136061294927786</v>
      </c>
      <c r="AA103" s="47">
        <f>Calculo!BC101</f>
        <v/>
      </c>
      <c r="AB103" s="45">
        <f>IF(AND(ISNUMBER(Z103),ISNUMBER(AA103)),ABS(AA103-Z103),IF(ISNUMBER(Z103)=ISNUMBER(AA103),0,1))</f>
        <v/>
      </c>
    </row>
    <row r="104">
      <c r="A104" s="36">
        <f>Calculo!A102</f>
        <v/>
      </c>
      <c r="B104" s="46" t="n">
        <v>0.01721044491484097</v>
      </c>
      <c r="C104" s="47">
        <f>Calculo!W102</f>
        <v/>
      </c>
      <c r="D104" s="45">
        <f>IF(AND(ISNUMBER(B104),ISNUMBER(C104)),ABS(C104-B104),IF(ISNUMBER(B104)=ISNUMBER(C104),0,1))</f>
        <v/>
      </c>
      <c r="E104" s="46" t="n">
        <v>1.196295266065908</v>
      </c>
      <c r="F104" s="47">
        <f>Calculo!V102</f>
        <v/>
      </c>
      <c r="G104" s="45">
        <f>IF(AND(ISNUMBER(E104),ISNUMBER(F104)),ABS(F104-E104),IF(ISNUMBER(E104)=ISNUMBER(F104),0,1))</f>
        <v/>
      </c>
      <c r="H104" s="46" t="n">
        <v>-0.04025070533742823</v>
      </c>
      <c r="I104" s="47">
        <f>Calculo!AK102</f>
        <v/>
      </c>
      <c r="J104" s="45">
        <f>IF(AND(ISNUMBER(H104),ISNUMBER(I104)),ABS(I104-H104),IF(ISNUMBER(H104)=ISNUMBER(I104),0,1))</f>
        <v/>
      </c>
      <c r="K104" s="46" t="n">
        <v>0.007419077955936577</v>
      </c>
      <c r="L104" s="47">
        <f>Calculo!AL102</f>
        <v/>
      </c>
      <c r="M104" s="45">
        <f>IF(AND(ISNUMBER(K104),ISNUMBER(L104)),ABS(L104-K104),IF(ISNUMBER(K104)=ISNUMBER(L104),0,1))</f>
        <v/>
      </c>
      <c r="N104" s="46" t="n">
        <v>0.03768855124525856</v>
      </c>
      <c r="O104" s="47">
        <f>Calculo!AP102</f>
        <v/>
      </c>
      <c r="P104" s="45">
        <f>IF(AND(ISNUMBER(N104),ISNUMBER(O104)),ABS(O104-N104),IF(ISNUMBER(N104)=ISNUMBER(O104),0,1))</f>
        <v/>
      </c>
      <c r="Q104" s="46" t="n">
        <v>-0.3509848980040443</v>
      </c>
      <c r="R104" s="47">
        <f>Calculo!AW102</f>
        <v/>
      </c>
      <c r="S104" s="45">
        <f>IF(AND(ISNUMBER(Q104),ISNUMBER(R104)),ABS(R104-Q104),IF(ISNUMBER(Q104)=ISNUMBER(R104),0,1))</f>
        <v/>
      </c>
      <c r="T104" s="46" t="n">
        <v>0.9325502573914886</v>
      </c>
      <c r="U104" s="47">
        <f>Calculo!AX102</f>
        <v/>
      </c>
      <c r="V104" s="45">
        <f>IF(AND(ISNUMBER(T104),ISNUMBER(U104)),ABS(U104-T104),IF(ISNUMBER(T104)=ISNUMBER(U104),0,1))</f>
        <v/>
      </c>
      <c r="W104" s="46" t="n">
        <v>1.050481128118745</v>
      </c>
      <c r="X104" s="47">
        <f>Calculo!AY102</f>
        <v/>
      </c>
      <c r="Y104" s="45">
        <f>IF(AND(ISNUMBER(W104),ISNUMBER(X104)),ABS(X104-W104),IF(ISNUMBER(W104)=ISNUMBER(X104),0,1))</f>
        <v/>
      </c>
      <c r="Z104" s="46" t="n">
        <v>0.0005076445576512696</v>
      </c>
      <c r="AA104" s="47">
        <f>Calculo!BC102</f>
        <v/>
      </c>
      <c r="AB104" s="45">
        <f>IF(AND(ISNUMBER(Z104),ISNUMBER(AA104)),ABS(AA104-Z104),IF(ISNUMBER(Z104)=ISNUMBER(AA104),0,1))</f>
        <v/>
      </c>
    </row>
    <row r="105">
      <c r="A105" s="36">
        <f>Calculo!A103</f>
        <v/>
      </c>
      <c r="B105" s="46" t="n">
        <v>0.02946262491411647</v>
      </c>
      <c r="C105" s="47">
        <f>Calculo!W103</f>
        <v/>
      </c>
      <c r="D105" s="45">
        <f>IF(AND(ISNUMBER(B105),ISNUMBER(C105)),ABS(C105-B105),IF(ISNUMBER(B105)=ISNUMBER(C105),0,1))</f>
        <v/>
      </c>
      <c r="E105" s="46" t="n">
        <v>1.181052294636457</v>
      </c>
      <c r="F105" s="47">
        <f>Calculo!V103</f>
        <v/>
      </c>
      <c r="G105" s="45">
        <f>IF(AND(ISNUMBER(E105),ISNUMBER(F105)),ABS(F105-E105),IF(ISNUMBER(E105)=ISNUMBER(F105),0,1))</f>
        <v/>
      </c>
      <c r="H105" s="46" t="n">
        <v>-0.03240351553764262</v>
      </c>
      <c r="I105" s="47">
        <f>Calculo!AK103</f>
        <v/>
      </c>
      <c r="J105" s="45">
        <f>IF(AND(ISNUMBER(H105),ISNUMBER(I105)),ABS(I105-H105),IF(ISNUMBER(H105)=ISNUMBER(I105),0,1))</f>
        <v/>
      </c>
      <c r="K105" s="46" t="n">
        <v>0.008722507376343842</v>
      </c>
      <c r="L105" s="47">
        <f>Calculo!AL103</f>
        <v/>
      </c>
      <c r="M105" s="45">
        <f>IF(AND(ISNUMBER(K105),ISNUMBER(L105)),ABS(L105-K105),IF(ISNUMBER(K105)=ISNUMBER(L105),0,1))</f>
        <v/>
      </c>
      <c r="N105" s="46" t="n">
        <v>0.06531853453761995</v>
      </c>
      <c r="O105" s="47">
        <f>Calculo!AP103</f>
        <v/>
      </c>
      <c r="P105" s="45">
        <f>IF(AND(ISNUMBER(N105),ISNUMBER(O105)),ABS(O105-N105),IF(ISNUMBER(N105)=ISNUMBER(O105),0,1))</f>
        <v/>
      </c>
      <c r="Q105" s="46" t="n">
        <v>-0.5350760474079608</v>
      </c>
      <c r="R105" s="47">
        <f>Calculo!AW103</f>
        <v/>
      </c>
      <c r="S105" s="45">
        <f>IF(AND(ISNUMBER(Q105),ISNUMBER(R105)),ABS(R105-Q105),IF(ISNUMBER(Q105)=ISNUMBER(R105),0,1))</f>
        <v/>
      </c>
      <c r="T105" s="46" t="n">
        <v>0.902149664408079</v>
      </c>
      <c r="U105" s="47">
        <f>Calculo!AX103</f>
        <v/>
      </c>
      <c r="V105" s="45">
        <f>IF(AND(ISNUMBER(T105),ISNUMBER(U105)),ABS(U105-T105),IF(ISNUMBER(T105)=ISNUMBER(U105),0,1))</f>
        <v/>
      </c>
      <c r="W105" s="46" t="n">
        <v>0.9564884305628157</v>
      </c>
      <c r="X105" s="47">
        <f>Calculo!AY103</f>
        <v/>
      </c>
      <c r="Y105" s="45">
        <f>IF(AND(ISNUMBER(W105),ISNUMBER(X105)),ABS(X105-W105),IF(ISNUMBER(W105)=ISNUMBER(X105),0,1))</f>
        <v/>
      </c>
      <c r="Z105" s="46" t="n">
        <v>0.0001794236472492126</v>
      </c>
      <c r="AA105" s="47">
        <f>Calculo!BC103</f>
        <v/>
      </c>
      <c r="AB105" s="45">
        <f>IF(AND(ISNUMBER(Z105),ISNUMBER(AA105)),ABS(AA105-Z105),IF(ISNUMBER(Z105)=ISNUMBER(AA105),0,1))</f>
        <v/>
      </c>
    </row>
    <row r="106">
      <c r="A106" s="36">
        <f>Calculo!A104</f>
        <v/>
      </c>
      <c r="B106" s="46" t="n">
        <v>0.01786908297433284</v>
      </c>
      <c r="C106" s="47">
        <f>Calculo!W104</f>
        <v/>
      </c>
      <c r="D106" s="45">
        <f>IF(AND(ISNUMBER(B106),ISNUMBER(C106)),ABS(C106-B106),IF(ISNUMBER(B106)=ISNUMBER(C106),0,1))</f>
        <v/>
      </c>
      <c r="E106" s="46" t="n">
        <v>1.18846895998117</v>
      </c>
      <c r="F106" s="47">
        <f>Calculo!V104</f>
        <v/>
      </c>
      <c r="G106" s="45">
        <f>IF(AND(ISNUMBER(E106),ISNUMBER(F106)),ABS(F106-E106),IF(ISNUMBER(E106)=ISNUMBER(F106),0,1))</f>
        <v/>
      </c>
      <c r="H106" s="46" t="n">
        <v>-0.02544782693725235</v>
      </c>
      <c r="I106" s="47">
        <f>Calculo!AK104</f>
        <v/>
      </c>
      <c r="J106" s="45">
        <f>IF(AND(ISNUMBER(H106),ISNUMBER(I106)),ABS(I106-H106),IF(ISNUMBER(H106)=ISNUMBER(I106),0,1))</f>
        <v/>
      </c>
      <c r="K106" s="46" t="n">
        <v>0.01028945226753378</v>
      </c>
      <c r="L106" s="47">
        <f>Calculo!AL104</f>
        <v/>
      </c>
      <c r="M106" s="45">
        <f>IF(AND(ISNUMBER(K106),ISNUMBER(L106)),ABS(L106-K106),IF(ISNUMBER(K106)=ISNUMBER(L106),0,1))</f>
        <v/>
      </c>
      <c r="N106" s="46" t="n">
        <v>0.04191371462434105</v>
      </c>
      <c r="O106" s="47">
        <f>Calculo!AP104</f>
        <v/>
      </c>
      <c r="P106" s="45">
        <f>IF(AND(ISNUMBER(N106),ISNUMBER(O106)),ABS(O106-N106),IF(ISNUMBER(N106)=ISNUMBER(O106),0,1))</f>
        <v/>
      </c>
      <c r="Q106" s="46" t="n">
        <v>-0.3675081453025035</v>
      </c>
      <c r="R106" s="47">
        <f>Calculo!AW104</f>
        <v/>
      </c>
      <c r="S106" s="45">
        <f>IF(AND(ISNUMBER(Q106),ISNUMBER(R106)),ABS(R106-Q106),IF(ISNUMBER(Q106)=ISNUMBER(R106),0,1))</f>
        <v/>
      </c>
      <c r="T106" s="46" t="n">
        <v>0.9296379614745214</v>
      </c>
      <c r="U106" s="47">
        <f>Calculo!AX104</f>
        <v/>
      </c>
      <c r="V106" s="45">
        <f>IF(AND(ISNUMBER(T106),ISNUMBER(U106)),ABS(U106-T106),IF(ISNUMBER(T106)=ISNUMBER(U106),0,1))</f>
        <v/>
      </c>
      <c r="W106" s="46" t="n">
        <v>0.9214459610913629</v>
      </c>
      <c r="X106" s="47">
        <f>Calculo!AY104</f>
        <v/>
      </c>
      <c r="Y106" s="45">
        <f>IF(AND(ISNUMBER(W106),ISNUMBER(X106)),ABS(X106-W106),IF(ISNUMBER(W106)=ISNUMBER(X106),0,1))</f>
        <v/>
      </c>
      <c r="Z106" s="46" t="n">
        <v>-0.0004293597050439446</v>
      </c>
      <c r="AA106" s="47">
        <f>Calculo!BC104</f>
        <v/>
      </c>
      <c r="AB106" s="45">
        <f>IF(AND(ISNUMBER(Z106),ISNUMBER(AA106)),ABS(AA106-Z106),IF(ISNUMBER(Z106)=ISNUMBER(AA106),0,1))</f>
        <v/>
      </c>
    </row>
    <row r="107">
      <c r="A107" s="36">
        <f>Calculo!A105</f>
        <v/>
      </c>
      <c r="B107" s="46" t="n">
        <v>-0.02655576238841139</v>
      </c>
      <c r="C107" s="47">
        <f>Calculo!W105</f>
        <v/>
      </c>
      <c r="D107" s="45">
        <f>IF(AND(ISNUMBER(B107),ISNUMBER(C107)),ABS(C107-B107),IF(ISNUMBER(B107)=ISNUMBER(C107),0,1))</f>
        <v/>
      </c>
      <c r="E107" s="46" t="n">
        <v>1.211820933780617</v>
      </c>
      <c r="F107" s="47">
        <f>Calculo!V105</f>
        <v/>
      </c>
      <c r="G107" s="45">
        <f>IF(AND(ISNUMBER(E107),ISNUMBER(F107)),ABS(F107-E107),IF(ISNUMBER(E107)=ISNUMBER(F107),0,1))</f>
        <v/>
      </c>
      <c r="H107" s="46" t="n">
        <v>-0.02979831365602375</v>
      </c>
      <c r="I107" s="47">
        <f>Calculo!AK105</f>
        <v/>
      </c>
      <c r="J107" s="45">
        <f>IF(AND(ISNUMBER(H107),ISNUMBER(I107)),ABS(I107-H107),IF(ISNUMBER(H107)=ISNUMBER(I107),0,1))</f>
        <v/>
      </c>
      <c r="K107" s="46" t="n">
        <v>0.01259726133784039</v>
      </c>
      <c r="L107" s="47">
        <f>Calculo!AL105</f>
        <v/>
      </c>
      <c r="M107" s="45">
        <f>IF(AND(ISNUMBER(K107),ISNUMBER(L107)),ABS(L107-K107),IF(ISNUMBER(K107)=ISNUMBER(L107),0,1))</f>
        <v/>
      </c>
      <c r="N107" s="46" t="n">
        <v>0.0002939162610471821</v>
      </c>
      <c r="O107" s="47">
        <f>Calculo!AP105</f>
        <v/>
      </c>
      <c r="P107" s="45">
        <f>IF(AND(ISNUMBER(N107),ISNUMBER(O107)),ABS(O107-N107),IF(ISNUMBER(N107)=ISNUMBER(O107),0,1))</f>
        <v/>
      </c>
      <c r="Q107" s="46" t="n">
        <v>-0.07372010506510732</v>
      </c>
      <c r="R107" s="47">
        <f>Calculo!AW105</f>
        <v/>
      </c>
      <c r="S107" s="45">
        <f>IF(AND(ISNUMBER(Q107),ISNUMBER(R107)),ABS(R107-Q107),IF(ISNUMBER(Q107)=ISNUMBER(R107),0,1))</f>
        <v/>
      </c>
      <c r="T107" s="46" t="n">
        <v>0.9852826306019445</v>
      </c>
      <c r="U107" s="47">
        <f>Calculo!AX105</f>
        <v/>
      </c>
      <c r="V107" s="45">
        <f>IF(AND(ISNUMBER(T107),ISNUMBER(U107)),ABS(U107-T107),IF(ISNUMBER(T107)=ISNUMBER(U107),0,1))</f>
        <v/>
      </c>
      <c r="W107" s="46" t="n">
        <v>0.9390234188281816</v>
      </c>
      <c r="X107" s="47">
        <f>Calculo!AY105</f>
        <v/>
      </c>
      <c r="Y107" s="45">
        <f>IF(AND(ISNUMBER(W107),ISNUMBER(X107)),ABS(X107-W107),IF(ISNUMBER(W107)=ISNUMBER(X107),0,1))</f>
        <v/>
      </c>
      <c r="Z107" s="46" t="n">
        <v>0.0004339094242983155</v>
      </c>
      <c r="AA107" s="47">
        <f>Calculo!BC105</f>
        <v/>
      </c>
      <c r="AB107" s="45">
        <f>IF(AND(ISNUMBER(Z107),ISNUMBER(AA107)),ABS(AA107-Z107),IF(ISNUMBER(Z107)=ISNUMBER(AA107),0,1))</f>
        <v/>
      </c>
    </row>
    <row r="108">
      <c r="A108" s="36">
        <f>Calculo!A106</f>
        <v/>
      </c>
      <c r="B108" s="46" t="n">
        <v>-0.03364395085250466</v>
      </c>
      <c r="C108" s="47">
        <f>Calculo!W106</f>
        <v/>
      </c>
      <c r="D108" s="45">
        <f>IF(AND(ISNUMBER(B108),ISNUMBER(C108)),ABS(C108-B108),IF(ISNUMBER(B108)=ISNUMBER(C108),0,1))</f>
        <v/>
      </c>
      <c r="E108" s="46" t="n">
        <v>1.188311144625988</v>
      </c>
      <c r="F108" s="47">
        <f>Calculo!V106</f>
        <v/>
      </c>
      <c r="G108" s="45">
        <f>IF(AND(ISNUMBER(E108),ISNUMBER(F108)),ABS(F108-E108),IF(ISNUMBER(E108)=ISNUMBER(F108),0,1))</f>
        <v/>
      </c>
      <c r="H108" s="46" t="n">
        <v>-0.03175431616973769</v>
      </c>
      <c r="I108" s="47">
        <f>Calculo!AK106</f>
        <v/>
      </c>
      <c r="J108" s="45">
        <f>IF(AND(ISNUMBER(H108),ISNUMBER(I108)),ABS(I108-H108),IF(ISNUMBER(H108)=ISNUMBER(I108),0,1))</f>
        <v/>
      </c>
      <c r="K108" s="46" t="n">
        <v>0.0111196623509133</v>
      </c>
      <c r="L108" s="47">
        <f>Calculo!AL106</f>
        <v/>
      </c>
      <c r="M108" s="45">
        <f>IF(AND(ISNUMBER(K108),ISNUMBER(L108)),ABS(L108-K108),IF(ISNUMBER(K108)=ISNUMBER(L108),0,1))</f>
        <v/>
      </c>
      <c r="N108" s="46" t="n">
        <v>-0.07065162627021271</v>
      </c>
      <c r="O108" s="47">
        <f>Calculo!AP106</f>
        <v/>
      </c>
      <c r="P108" s="45">
        <f>IF(AND(ISNUMBER(N108),ISNUMBER(O108)),ABS(O108-N108),IF(ISNUMBER(N108)=ISNUMBER(O108),0,1))</f>
        <v/>
      </c>
      <c r="Q108" s="46" t="n">
        <v>0.4260141059960041</v>
      </c>
      <c r="R108" s="47">
        <f>Calculo!AW106</f>
        <v/>
      </c>
      <c r="S108" s="45">
        <f>IF(AND(ISNUMBER(Q108),ISNUMBER(R108)),ABS(R108-Q108),IF(ISNUMBER(Q108)=ISNUMBER(R108),0,1))</f>
        <v/>
      </c>
      <c r="T108" s="46" t="n">
        <v>1.080396973229983</v>
      </c>
      <c r="U108" s="47">
        <f>Calculo!AX106</f>
        <v/>
      </c>
      <c r="V108" s="45">
        <f>IF(AND(ISNUMBER(T108),ISNUMBER(U108)),ABS(U108-T108),IF(ISNUMBER(T108)=ISNUMBER(U108),0,1))</f>
        <v/>
      </c>
      <c r="W108" s="46" t="n">
        <v>0.998439188435483</v>
      </c>
      <c r="X108" s="47">
        <f>Calculo!AY106</f>
        <v/>
      </c>
      <c r="Y108" s="45">
        <f>IF(AND(ISNUMBER(W108),ISNUMBER(X108)),ABS(X108-W108),IF(ISNUMBER(W108)=ISNUMBER(X108),0,1))</f>
        <v/>
      </c>
      <c r="Z108" s="46" t="n">
        <v>0.0004689296306825576</v>
      </c>
      <c r="AA108" s="47">
        <f>Calculo!BC106</f>
        <v/>
      </c>
      <c r="AB108" s="45">
        <f>IF(AND(ISNUMBER(Z108),ISNUMBER(AA108)),ABS(AA108-Z108),IF(ISNUMBER(Z108)=ISNUMBER(AA108),0,1))</f>
        <v/>
      </c>
    </row>
    <row r="109">
      <c r="A109" s="36">
        <f>Calculo!A107</f>
        <v/>
      </c>
      <c r="B109" s="46" t="n">
        <v>-0.02896077604818943</v>
      </c>
      <c r="C109" s="47">
        <f>Calculo!W107</f>
        <v/>
      </c>
      <c r="D109" s="45">
        <f>IF(AND(ISNUMBER(B109),ISNUMBER(C109)),ABS(C109-B109),IF(ISNUMBER(B109)=ISNUMBER(C109),0,1))</f>
        <v/>
      </c>
      <c r="E109" s="46" t="n">
        <v>1.18908323328019</v>
      </c>
      <c r="F109" s="47">
        <f>Calculo!V107</f>
        <v/>
      </c>
      <c r="G109" s="45">
        <f>IF(AND(ISNUMBER(E109),ISNUMBER(F109)),ABS(F109-E109),IF(ISNUMBER(E109)=ISNUMBER(F109),0,1))</f>
        <v/>
      </c>
      <c r="H109" s="46" t="n">
        <v>0.01811269140663145</v>
      </c>
      <c r="I109" s="47">
        <f>Calculo!AK107</f>
        <v/>
      </c>
      <c r="J109" s="45">
        <f>IF(AND(ISNUMBER(H109),ISNUMBER(I109)),ABS(I109-H109),IF(ISNUMBER(H109)=ISNUMBER(I109),0,1))</f>
        <v/>
      </c>
      <c r="K109" s="46" t="n">
        <v>0.006097825225582405</v>
      </c>
      <c r="L109" s="47">
        <f>Calculo!AL107</f>
        <v/>
      </c>
      <c r="M109" s="45">
        <f>IF(AND(ISNUMBER(K109),ISNUMBER(L109)),ABS(L109-K109),IF(ISNUMBER(K109)=ISNUMBER(L109),0,1))</f>
        <v/>
      </c>
      <c r="N109" s="46" t="n">
        <v>-0.1155404145217769</v>
      </c>
      <c r="O109" s="47">
        <f>Calculo!AP107</f>
        <v/>
      </c>
      <c r="P109" s="45">
        <f>IF(AND(ISNUMBER(N109),ISNUMBER(O109)),ABS(O109-N109),IF(ISNUMBER(N109)=ISNUMBER(O109),0,1))</f>
        <v/>
      </c>
      <c r="Q109" s="46" t="n">
        <v>0.7368670958813218</v>
      </c>
      <c r="R109" s="47">
        <f>Calculo!AW107</f>
        <v/>
      </c>
      <c r="S109" s="45">
        <f>IF(AND(ISNUMBER(Q109),ISNUMBER(R109)),ABS(R109-Q109),IF(ISNUMBER(Q109)=ISNUMBER(R109),0,1))</f>
        <v/>
      </c>
      <c r="T109" s="46" t="n">
        <v>1.125449720555855</v>
      </c>
      <c r="U109" s="47">
        <f>Calculo!AX107</f>
        <v/>
      </c>
      <c r="V109" s="45">
        <f>IF(AND(ISNUMBER(T109),ISNUMBER(U109)),ABS(U109-T109),IF(ISNUMBER(T109)=ISNUMBER(U109),0,1))</f>
        <v/>
      </c>
      <c r="W109" s="46" t="n">
        <v>1.063709774795927</v>
      </c>
      <c r="X109" s="47">
        <f>Calculo!AY107</f>
        <v/>
      </c>
      <c r="Y109" s="45">
        <f>IF(AND(ISNUMBER(W109),ISNUMBER(X109)),ABS(X109-W109),IF(ISNUMBER(W109)=ISNUMBER(X109),0,1))</f>
        <v/>
      </c>
      <c r="Z109" s="46" t="n">
        <v>-0.0001372388454749028</v>
      </c>
      <c r="AA109" s="47">
        <f>Calculo!BC107</f>
        <v/>
      </c>
      <c r="AB109" s="45">
        <f>IF(AND(ISNUMBER(Z109),ISNUMBER(AA109)),ABS(AA109-Z109),IF(ISNUMBER(Z109)=ISNUMBER(AA109),0,1))</f>
        <v/>
      </c>
    </row>
    <row r="110">
      <c r="A110" s="36">
        <f>Calculo!A108</f>
        <v/>
      </c>
      <c r="B110" s="46" t="n">
        <v>0.01350456913507396</v>
      </c>
      <c r="C110" s="47">
        <f>Calculo!W108</f>
        <v/>
      </c>
      <c r="D110" s="45">
        <f>IF(AND(ISNUMBER(B110),ISNUMBER(C110)),ABS(C110-B110),IF(ISNUMBER(B110)=ISNUMBER(C110),0,1))</f>
        <v/>
      </c>
      <c r="E110" s="46" t="n">
        <v>1.200923152535029</v>
      </c>
      <c r="F110" s="47">
        <f>Calculo!V108</f>
        <v/>
      </c>
      <c r="G110" s="45">
        <f>IF(AND(ISNUMBER(E110),ISNUMBER(F110)),ABS(F110-E110),IF(ISNUMBER(E110)=ISNUMBER(F110),0,1))</f>
        <v/>
      </c>
      <c r="H110" s="46" t="n">
        <v>0.009940193274566982</v>
      </c>
      <c r="I110" s="47">
        <f>Calculo!AK108</f>
        <v/>
      </c>
      <c r="J110" s="45">
        <f>IF(AND(ISNUMBER(H110),ISNUMBER(I110)),ABS(I110-H110),IF(ISNUMBER(H110)=ISNUMBER(I110),0,1))</f>
        <v/>
      </c>
      <c r="K110" s="46" t="n">
        <v>0.006589468027409716</v>
      </c>
      <c r="L110" s="47">
        <f>Calculo!AL108</f>
        <v/>
      </c>
      <c r="M110" s="45">
        <f>IF(AND(ISNUMBER(K110),ISNUMBER(L110)),ABS(L110-K110),IF(ISNUMBER(K110)=ISNUMBER(L110),0,1))</f>
        <v/>
      </c>
      <c r="N110" s="46" t="n">
        <v>-0.07660559753655688</v>
      </c>
      <c r="O110" s="47">
        <f>Calculo!AP108</f>
        <v/>
      </c>
      <c r="P110" s="45">
        <f>IF(AND(ISNUMBER(N110),ISNUMBER(O110)),ABS(O110-N110),IF(ISNUMBER(N110)=ISNUMBER(O110),0,1))</f>
        <v/>
      </c>
      <c r="Q110" s="46" t="n">
        <v>0.4512137235154683</v>
      </c>
      <c r="R110" s="47">
        <f>Calculo!AW108</f>
        <v/>
      </c>
      <c r="S110" s="45">
        <f>IF(AND(ISNUMBER(Q110),ISNUMBER(R110)),ABS(R110-Q110),IF(ISNUMBER(Q110)=ISNUMBER(R110),0,1))</f>
        <v/>
      </c>
      <c r="T110" s="46" t="n">
        <v>1.084579235272405</v>
      </c>
      <c r="U110" s="47">
        <f>Calculo!AX108</f>
        <v/>
      </c>
      <c r="V110" s="45">
        <f>IF(AND(ISNUMBER(T110),ISNUMBER(U110)),ABS(U110-T110),IF(ISNUMBER(T110)=ISNUMBER(U110),0,1))</f>
        <v/>
      </c>
      <c r="W110" s="46" t="n">
        <v>1.096808643019414</v>
      </c>
      <c r="X110" s="47">
        <f>Calculo!AY108</f>
        <v/>
      </c>
      <c r="Y110" s="45">
        <f>IF(AND(ISNUMBER(W110),ISNUMBER(X110)),ABS(X110-W110),IF(ISNUMBER(W110)=ISNUMBER(X110),0,1))</f>
        <v/>
      </c>
      <c r="Z110" s="46" t="n">
        <v>5.191679867678738e-05</v>
      </c>
      <c r="AA110" s="47">
        <f>Calculo!BC108</f>
        <v/>
      </c>
      <c r="AB110" s="45">
        <f>IF(AND(ISNUMBER(Z110),ISNUMBER(AA110)),ABS(AA110-Z110),IF(ISNUMBER(Z110)=ISNUMBER(AA110),0,1))</f>
        <v/>
      </c>
    </row>
    <row r="111">
      <c r="A111" s="36">
        <f>Calculo!A109</f>
        <v/>
      </c>
      <c r="B111" s="46" t="n">
        <v>0.08045126984820519</v>
      </c>
      <c r="C111" s="47">
        <f>Calculo!W109</f>
        <v/>
      </c>
      <c r="D111" s="45">
        <f>IF(AND(ISNUMBER(B111),ISNUMBER(C111)),ABS(C111-B111),IF(ISNUMBER(B111)=ISNUMBER(C111),0,1))</f>
        <v/>
      </c>
      <c r="E111" s="46" t="n">
        <v>1.184929292226547</v>
      </c>
      <c r="F111" s="47">
        <f>Calculo!V109</f>
        <v/>
      </c>
      <c r="G111" s="45">
        <f>IF(AND(ISNUMBER(E111),ISNUMBER(F111)),ABS(F111-E111),IF(ISNUMBER(E111)=ISNUMBER(F111),0,1))</f>
        <v/>
      </c>
      <c r="H111" s="46" t="n">
        <v>0.01132865354577176</v>
      </c>
      <c r="I111" s="47">
        <f>Calculo!AK109</f>
        <v/>
      </c>
      <c r="J111" s="45">
        <f>IF(AND(ISNUMBER(H111),ISNUMBER(I111)),ABS(I111-H111),IF(ISNUMBER(H111)=ISNUMBER(I111),0,1))</f>
        <v/>
      </c>
      <c r="K111" s="46" t="n">
        <v>0.002740442784988842</v>
      </c>
      <c r="L111" s="47">
        <f>Calculo!AL109</f>
        <v/>
      </c>
      <c r="M111" s="45">
        <f>IF(AND(ISNUMBER(K111),ISNUMBER(L111)),ABS(L111-K111),IF(ISNUMBER(K111)=ISNUMBER(L111),0,1))</f>
        <v/>
      </c>
      <c r="N111" s="46" t="n">
        <v>0.05171369210823432</v>
      </c>
      <c r="O111" s="47">
        <f>Calculo!AP109</f>
        <v/>
      </c>
      <c r="P111" s="45">
        <f>IF(AND(ISNUMBER(N111),ISNUMBER(O111)),ABS(O111-N111),IF(ISNUMBER(N111)=ISNUMBER(O111),0,1))</f>
        <v/>
      </c>
      <c r="Q111" s="46" t="n">
        <v>-0.4750073713077345</v>
      </c>
      <c r="R111" s="47">
        <f>Calculo!AW109</f>
        <v/>
      </c>
      <c r="S111" s="45">
        <f>IF(AND(ISNUMBER(Q111),ISNUMBER(R111)),ABS(R111-Q111),IF(ISNUMBER(Q111)=ISNUMBER(R111),0,1))</f>
        <v/>
      </c>
      <c r="T111" s="46" t="n">
        <v>0.9115527428510958</v>
      </c>
      <c r="U111" s="47">
        <f>Calculo!AX109</f>
        <v/>
      </c>
      <c r="V111" s="45">
        <f>IF(AND(ISNUMBER(T111),ISNUMBER(U111)),ABS(U111-T111),IF(ISNUMBER(T111)=ISNUMBER(U111),0,1))</f>
        <v/>
      </c>
      <c r="W111" s="46" t="n">
        <v>1.040527232893119</v>
      </c>
      <c r="X111" s="47">
        <f>Calculo!AY109</f>
        <v/>
      </c>
      <c r="Y111" s="45">
        <f>IF(AND(ISNUMBER(W111),ISNUMBER(X111)),ABS(X111-W111),IF(ISNUMBER(W111)=ISNUMBER(X111),0,1))</f>
        <v/>
      </c>
      <c r="Z111" s="46" t="n">
        <v>0.001864347395239647</v>
      </c>
      <c r="AA111" s="47">
        <f>Calculo!BC109</f>
        <v/>
      </c>
      <c r="AB111" s="45">
        <f>IF(AND(ISNUMBER(Z111),ISNUMBER(AA111)),ABS(AA111-Z111),IF(ISNUMBER(Z111)=ISNUMBER(AA111),0,1))</f>
        <v/>
      </c>
    </row>
    <row r="112">
      <c r="A112" s="36">
        <f>Calculo!A110</f>
        <v/>
      </c>
      <c r="B112" s="46" t="n">
        <v>0.02952317799716966</v>
      </c>
      <c r="C112" s="47">
        <f>Calculo!W110</f>
        <v/>
      </c>
      <c r="D112" s="45">
        <f>IF(AND(ISNUMBER(B112),ISNUMBER(C112)),ABS(C112-B112),IF(ISNUMBER(B112)=ISNUMBER(C112),0,1))</f>
        <v/>
      </c>
      <c r="E112" s="46" t="n">
        <v>1.227013759192995</v>
      </c>
      <c r="F112" s="47">
        <f>Calculo!V110</f>
        <v/>
      </c>
      <c r="G112" s="45">
        <f>IF(AND(ISNUMBER(E112),ISNUMBER(F112)),ABS(F112-E112),IF(ISNUMBER(E112)=ISNUMBER(F112),0,1))</f>
        <v/>
      </c>
      <c r="H112" s="46" t="n">
        <v>-0.03300011864111317</v>
      </c>
      <c r="I112" s="47">
        <f>Calculo!AK110</f>
        <v/>
      </c>
      <c r="J112" s="45">
        <f>IF(AND(ISNUMBER(H112),ISNUMBER(I112)),ABS(I112-H112),IF(ISNUMBER(H112)=ISNUMBER(I112),0,1))</f>
        <v/>
      </c>
      <c r="K112" s="46" t="n">
        <v>0.007082440833178424</v>
      </c>
      <c r="L112" s="47">
        <f>Calculo!AL110</f>
        <v/>
      </c>
      <c r="M112" s="45">
        <f>IF(AND(ISNUMBER(K112),ISNUMBER(L112)),ABS(L112-K112),IF(ISNUMBER(K112)=ISNUMBER(L112),0,1))</f>
        <v/>
      </c>
      <c r="N112" s="46" t="n">
        <v>0.1148926161833826</v>
      </c>
      <c r="O112" s="47">
        <f>Calculo!AP110</f>
        <v/>
      </c>
      <c r="P112" s="45">
        <f>IF(AND(ISNUMBER(N112),ISNUMBER(O112)),ABS(O112-N112),IF(ISNUMBER(N112)=ISNUMBER(O112),0,1))</f>
        <v/>
      </c>
      <c r="Q112" s="46" t="n">
        <v>-0.9212290916325354</v>
      </c>
      <c r="R112" s="47">
        <f>Calculo!AW110</f>
        <v/>
      </c>
      <c r="S112" s="45">
        <f>IF(AND(ISNUMBER(Q112),ISNUMBER(R112)),ABS(R112-Q112),IF(ISNUMBER(Q112)=ISNUMBER(R112),0,1))</f>
        <v/>
      </c>
      <c r="T112" s="46" t="n">
        <v>0.8547043307502505</v>
      </c>
      <c r="U112" s="47">
        <f>Calculo!AX110</f>
        <v/>
      </c>
      <c r="V112" s="45">
        <f>IF(AND(ISNUMBER(T112),ISNUMBER(U112)),ABS(U112-T112),IF(ISNUMBER(T112)=ISNUMBER(U112),0,1))</f>
        <v/>
      </c>
      <c r="W112" s="46" t="n">
        <v>0.9502787696245839</v>
      </c>
      <c r="X112" s="47">
        <f>Calculo!AY110</f>
        <v/>
      </c>
      <c r="Y112" s="45">
        <f>IF(AND(ISNUMBER(W112),ISNUMBER(X112)),ABS(X112-W112),IF(ISNUMBER(W112)=ISNUMBER(X112),0,1))</f>
        <v/>
      </c>
      <c r="Z112" s="46" t="n">
        <v>0.0001584196522933351</v>
      </c>
      <c r="AA112" s="47">
        <f>Calculo!BC110</f>
        <v/>
      </c>
      <c r="AB112" s="45">
        <f>IF(AND(ISNUMBER(Z112),ISNUMBER(AA112)),ABS(AA112-Z112),IF(ISNUMBER(Z112)=ISNUMBER(AA112),0,1))</f>
        <v/>
      </c>
    </row>
    <row r="113">
      <c r="A113" s="36">
        <f>Calculo!A111</f>
        <v/>
      </c>
      <c r="B113" s="46" t="n">
        <v>0.0668255517637401</v>
      </c>
      <c r="C113" s="47">
        <f>Calculo!W111</f>
        <v/>
      </c>
      <c r="D113" s="45">
        <f>IF(AND(ISNUMBER(B113),ISNUMBER(C113)),ABS(C113-B113),IF(ISNUMBER(B113)=ISNUMBER(C113),0,1))</f>
        <v/>
      </c>
      <c r="E113" s="46" t="n">
        <v>1.211131229114365</v>
      </c>
      <c r="F113" s="47">
        <f>Calculo!V111</f>
        <v/>
      </c>
      <c r="G113" s="45">
        <f>IF(AND(ISNUMBER(E113),ISNUMBER(F113)),ABS(F113-E113),IF(ISNUMBER(E113)=ISNUMBER(F113),0,1))</f>
        <v/>
      </c>
      <c r="H113" s="46" t="n">
        <v>-0.005899127779583883</v>
      </c>
      <c r="I113" s="47">
        <f>Calculo!AK111</f>
        <v/>
      </c>
      <c r="J113" s="45">
        <f>IF(AND(ISNUMBER(H113),ISNUMBER(I113)),ABS(I113-H113),IF(ISNUMBER(H113)=ISNUMBER(I113),0,1))</f>
        <v/>
      </c>
      <c r="K113" s="46" t="n">
        <v>0.003857886384906025</v>
      </c>
      <c r="L113" s="47">
        <f>Calculo!AL111</f>
        <v/>
      </c>
      <c r="M113" s="45">
        <f>IF(AND(ISNUMBER(K113),ISNUMBER(L113)),ABS(L113-K113),IF(ISNUMBER(K113)=ISNUMBER(L113),0,1))</f>
        <v/>
      </c>
      <c r="N113" s="46" t="n">
        <v>0.1710063191409829</v>
      </c>
      <c r="O113" s="47">
        <f>Calculo!AP111</f>
        <v/>
      </c>
      <c r="P113" s="45">
        <f>IF(AND(ISNUMBER(N113),ISNUMBER(O113)),ABS(O113-N113),IF(ISNUMBER(N113)=ISNUMBER(O113),0,1))</f>
        <v/>
      </c>
      <c r="Q113" s="46" t="n">
        <v>-1.299625792311929</v>
      </c>
      <c r="R113" s="47">
        <f>Calculo!AW111</f>
        <v/>
      </c>
      <c r="S113" s="45">
        <f>IF(AND(ISNUMBER(Q113),ISNUMBER(R113)),ABS(R113-Q113),IF(ISNUMBER(Q113)=ISNUMBER(R113),0,1))</f>
        <v/>
      </c>
      <c r="T113" s="46" t="n">
        <v>0.8276746410475221</v>
      </c>
      <c r="U113" s="47">
        <f>Calculo!AX111</f>
        <v/>
      </c>
      <c r="V113" s="45">
        <f>IF(AND(ISNUMBER(T113),ISNUMBER(U113)),ABS(U113-T113),IF(ISNUMBER(T113)=ISNUMBER(U113),0,1))</f>
        <v/>
      </c>
      <c r="W113" s="46" t="n">
        <v>0.8646439048829562</v>
      </c>
      <c r="X113" s="47">
        <f>Calculo!AY111</f>
        <v/>
      </c>
      <c r="Y113" s="45">
        <f>IF(AND(ISNUMBER(W113),ISNUMBER(X113)),ABS(X113-W113),IF(ISNUMBER(W113)=ISNUMBER(X113),0,1))</f>
        <v/>
      </c>
      <c r="Z113" s="46" t="n">
        <v>-0.001056283321723641</v>
      </c>
      <c r="AA113" s="47">
        <f>Calculo!BC111</f>
        <v/>
      </c>
      <c r="AB113" s="45">
        <f>IF(AND(ISNUMBER(Z113),ISNUMBER(AA113)),ABS(AA113-Z113),IF(ISNUMBER(Z113)=ISNUMBER(AA113),0,1))</f>
        <v/>
      </c>
    </row>
    <row r="114">
      <c r="A114" s="36">
        <f>Calculo!A112</f>
        <v/>
      </c>
      <c r="B114" s="46" t="n">
        <v>0.00817758569295951</v>
      </c>
      <c r="C114" s="47">
        <f>Calculo!W112</f>
        <v/>
      </c>
      <c r="D114" s="45">
        <f>IF(AND(ISNUMBER(B114),ISNUMBER(C114)),ABS(C114-B114),IF(ISNUMBER(B114)=ISNUMBER(C114),0,1))</f>
        <v/>
      </c>
      <c r="E114" s="46" t="n">
        <v>1.224648455421553</v>
      </c>
      <c r="F114" s="47">
        <f>Calculo!V112</f>
        <v/>
      </c>
      <c r="G114" s="45">
        <f>IF(AND(ISNUMBER(E114),ISNUMBER(F114)),ABS(F114-E114),IF(ISNUMBER(E114)=ISNUMBER(F114),0,1))</f>
        <v/>
      </c>
      <c r="H114" s="46" t="n">
        <v>0.00514236144215477</v>
      </c>
      <c r="I114" s="47">
        <f>Calculo!AK112</f>
        <v/>
      </c>
      <c r="J114" s="45">
        <f>IF(AND(ISNUMBER(H114),ISNUMBER(I114)),ABS(I114-H114),IF(ISNUMBER(H114)=ISNUMBER(I114),0,1))</f>
        <v/>
      </c>
      <c r="K114" s="46" t="n">
        <v>0.007438260305089081</v>
      </c>
      <c r="L114" s="47">
        <f>Calculo!AL112</f>
        <v/>
      </c>
      <c r="M114" s="45">
        <f>IF(AND(ISNUMBER(K114),ISNUMBER(L114)),ABS(L114-K114),IF(ISNUMBER(K114)=ISNUMBER(L114),0,1))</f>
        <v/>
      </c>
      <c r="N114" s="46" t="n">
        <v>0.09296017396610555</v>
      </c>
      <c r="O114" s="47">
        <f>Calculo!AP112</f>
        <v/>
      </c>
      <c r="P114" s="45">
        <f>IF(AND(ISNUMBER(N114),ISNUMBER(O114)),ABS(O114-N114),IF(ISNUMBER(N114)=ISNUMBER(O114),0,1))</f>
        <v/>
      </c>
      <c r="Q114" s="46" t="n">
        <v>-0.7221176968551952</v>
      </c>
      <c r="R114" s="47">
        <f>Calculo!AW112</f>
        <v/>
      </c>
      <c r="S114" s="45">
        <f>IF(AND(ISNUMBER(Q114),ISNUMBER(R114)),ABS(R114-Q114),IF(ISNUMBER(Q114)=ISNUMBER(R114),0,1))</f>
        <v/>
      </c>
      <c r="T114" s="46" t="n">
        <v>0.8763561321190801</v>
      </c>
      <c r="U114" s="47">
        <f>Calculo!AX112</f>
        <v/>
      </c>
      <c r="V114" s="45">
        <f>IF(AND(ISNUMBER(T114),ISNUMBER(U114)),ABS(U114-T114),IF(ISNUMBER(T114)=ISNUMBER(U114),0,1))</f>
        <v/>
      </c>
      <c r="W114" s="46" t="n">
        <v>0.8529117013056177</v>
      </c>
      <c r="X114" s="47">
        <f>Calculo!AY112</f>
        <v/>
      </c>
      <c r="Y114" s="45">
        <f>IF(AND(ISNUMBER(W114),ISNUMBER(X114)),ABS(X114-W114),IF(ISNUMBER(W114)=ISNUMBER(X114),0,1))</f>
        <v/>
      </c>
      <c r="Z114" s="46" t="n">
        <v>-0.0004908086785750704</v>
      </c>
      <c r="AA114" s="47">
        <f>Calculo!BC112</f>
        <v/>
      </c>
      <c r="AB114" s="45">
        <f>IF(AND(ISNUMBER(Z114),ISNUMBER(AA114)),ABS(AA114-Z114),IF(ISNUMBER(Z114)=ISNUMBER(AA114),0,1))</f>
        <v/>
      </c>
    </row>
    <row r="115">
      <c r="A115" s="36">
        <f>Calculo!A113</f>
        <v/>
      </c>
      <c r="B115" s="46" t="n">
        <v>-0.1659661375178752</v>
      </c>
      <c r="C115" s="47">
        <f>Calculo!W113</f>
        <v/>
      </c>
      <c r="D115" s="45">
        <f>IF(AND(ISNUMBER(B115),ISNUMBER(C115)),ABS(C115-B115),IF(ISNUMBER(B115)=ISNUMBER(C115),0,1))</f>
        <v/>
      </c>
      <c r="E115" s="46" t="n">
        <v>1.2403391732389</v>
      </c>
      <c r="F115" s="47">
        <f>Calculo!V113</f>
        <v/>
      </c>
      <c r="G115" s="45">
        <f>IF(AND(ISNUMBER(E115),ISNUMBER(F115)),ABS(F115-E115),IF(ISNUMBER(E115)=ISNUMBER(F115),0,1))</f>
        <v/>
      </c>
      <c r="H115" s="46" t="n">
        <v>-0.009177491719281186</v>
      </c>
      <c r="I115" s="47">
        <f>Calculo!AK113</f>
        <v/>
      </c>
      <c r="J115" s="45">
        <f>IF(AND(ISNUMBER(H115),ISNUMBER(I115)),ABS(I115-H115),IF(ISNUMBER(H115)=ISNUMBER(I115),0,1))</f>
        <v/>
      </c>
      <c r="K115" s="46" t="n">
        <v>0.009172241584138409</v>
      </c>
      <c r="L115" s="47">
        <f>Calculo!AL113</f>
        <v/>
      </c>
      <c r="M115" s="45">
        <f>IF(AND(ISNUMBER(K115),ISNUMBER(L115)),ABS(L115-K115),IF(ISNUMBER(K115)=ISNUMBER(L115),0,1))</f>
        <v/>
      </c>
      <c r="N115" s="46" t="n">
        <v>-0.1093408323442446</v>
      </c>
      <c r="O115" s="47">
        <f>Calculo!AP113</f>
        <v/>
      </c>
      <c r="P115" s="45">
        <f>IF(AND(ISNUMBER(N115),ISNUMBER(O115)),ABS(O115-N115),IF(ISNUMBER(N115)=ISNUMBER(O115),0,1))</f>
        <v/>
      </c>
      <c r="Q115" s="46" t="n">
        <v>0.7455830626337056</v>
      </c>
      <c r="R115" s="47">
        <f>Calculo!AW113</f>
        <v/>
      </c>
      <c r="S115" s="45">
        <f>IF(AND(ISNUMBER(Q115),ISNUMBER(R115)),ABS(R115-Q115),IF(ISNUMBER(Q115)=ISNUMBER(R115),0,1))</f>
        <v/>
      </c>
      <c r="T115" s="46" t="n">
        <v>1.126501294835942</v>
      </c>
      <c r="U115" s="47">
        <f>Calculo!AX113</f>
        <v/>
      </c>
      <c r="V115" s="45">
        <f>IF(AND(ISNUMBER(T115),ISNUMBER(U115)),ABS(U115-T115),IF(ISNUMBER(T115)=ISNUMBER(U115),0,1))</f>
        <v/>
      </c>
      <c r="W115" s="46" t="n">
        <v>0.9435106893341813</v>
      </c>
      <c r="X115" s="47">
        <f>Calculo!AY113</f>
        <v/>
      </c>
      <c r="Y115" s="45">
        <f>IF(AND(ISNUMBER(W115),ISNUMBER(X115)),ABS(X115-W115),IF(ISNUMBER(W115)=ISNUMBER(X115),0,1))</f>
        <v/>
      </c>
      <c r="Z115" s="46" t="n">
        <v>0.006073588693152196</v>
      </c>
      <c r="AA115" s="47">
        <f>Calculo!BC113</f>
        <v/>
      </c>
      <c r="AB115" s="45">
        <f>IF(AND(ISNUMBER(Z115),ISNUMBER(AA115)),ABS(AA115-Z115),IF(ISNUMBER(Z115)=ISNUMBER(AA115),0,1))</f>
        <v/>
      </c>
    </row>
    <row r="116">
      <c r="A116" s="36">
        <f>Calculo!A114</f>
        <v/>
      </c>
      <c r="B116" s="46" t="n">
        <v>0.006602976751826917</v>
      </c>
      <c r="C116" s="47">
        <f>Calculo!W114</f>
        <v/>
      </c>
      <c r="D116" s="45">
        <f>IF(AND(ISNUMBER(B116),ISNUMBER(C116)),ABS(C116-B116),IF(ISNUMBER(B116)=ISNUMBER(C116),0,1))</f>
        <v/>
      </c>
      <c r="E116" s="46" t="n">
        <v>1.126565855890626</v>
      </c>
      <c r="F116" s="47">
        <f>Calculo!V114</f>
        <v/>
      </c>
      <c r="G116" s="45">
        <f>IF(AND(ISNUMBER(E116),ISNUMBER(F116)),ABS(F116-E116),IF(ISNUMBER(E116)=ISNUMBER(F116),0,1))</f>
        <v/>
      </c>
      <c r="H116" s="46" t="n">
        <v>-0.03692831434709804</v>
      </c>
      <c r="I116" s="47">
        <f>Calculo!AK114</f>
        <v/>
      </c>
      <c r="J116" s="45">
        <f>IF(AND(ISNUMBER(H116),ISNUMBER(I116)),ABS(I116-H116),IF(ISNUMBER(H116)=ISNUMBER(I116),0,1))</f>
        <v/>
      </c>
      <c r="K116" s="46" t="n">
        <v>0.004456289391297631</v>
      </c>
      <c r="L116" s="47">
        <f>Calculo!AL114</f>
        <v/>
      </c>
      <c r="M116" s="45">
        <f>IF(AND(ISNUMBER(K116),ISNUMBER(L116)),ABS(L116-K116),IF(ISNUMBER(K116)=ISNUMBER(L116),0,1))</f>
        <v/>
      </c>
      <c r="N116" s="46" t="n">
        <v>-0.1648269275851967</v>
      </c>
      <c r="O116" s="47">
        <f>Calculo!AP114</f>
        <v/>
      </c>
      <c r="P116" s="45">
        <f>IF(AND(ISNUMBER(N116),ISNUMBER(O116)),ABS(O116-N116),IF(ISNUMBER(N116)=ISNUMBER(O116),0,1))</f>
        <v/>
      </c>
      <c r="Q116" s="46" t="n">
        <v>1.129982894043833</v>
      </c>
      <c r="R116" s="47">
        <f>Calculo!AW114</f>
        <v/>
      </c>
      <c r="S116" s="45">
        <f>IF(AND(ISNUMBER(Q116),ISNUMBER(R116)),ABS(R116-Q116),IF(ISNUMBER(Q116)=ISNUMBER(R116),0,1))</f>
        <v/>
      </c>
      <c r="T116" s="46" t="n">
        <v>1.162202681508668</v>
      </c>
      <c r="U116" s="47">
        <f>Calculo!AX114</f>
        <v/>
      </c>
      <c r="V116" s="45">
        <f>IF(AND(ISNUMBER(T116),ISNUMBER(U116)),ABS(U116-T116),IF(ISNUMBER(T116)=ISNUMBER(U116),0,1))</f>
        <v/>
      </c>
      <c r="W116" s="46" t="n">
        <v>1.055020036154563</v>
      </c>
      <c r="X116" s="47">
        <f>Calculo!AY114</f>
        <v/>
      </c>
      <c r="Y116" s="45">
        <f>IF(AND(ISNUMBER(W116),ISNUMBER(X116)),ABS(X116-W116),IF(ISNUMBER(W116)=ISNUMBER(X116),0,1))</f>
        <v/>
      </c>
      <c r="Z116" s="46" t="n">
        <v>-0.0003197468713346913</v>
      </c>
      <c r="AA116" s="47">
        <f>Calculo!BC114</f>
        <v/>
      </c>
      <c r="AB116" s="45">
        <f>IF(AND(ISNUMBER(Z116),ISNUMBER(AA116)),ABS(AA116-Z116),IF(ISNUMBER(Z116)=ISNUMBER(AA116),0,1))</f>
        <v/>
      </c>
    </row>
    <row r="117">
      <c r="A117" s="36">
        <f>Calculo!A115</f>
        <v/>
      </c>
      <c r="B117" s="46" t="n">
        <v>-0.009881804549000325</v>
      </c>
      <c r="C117" s="47">
        <f>Calculo!W115</f>
        <v/>
      </c>
      <c r="D117" s="45">
        <f>IF(AND(ISNUMBER(B117),ISNUMBER(C117)),ABS(C117-B117),IF(ISNUMBER(B117)=ISNUMBER(C117),0,1))</f>
        <v/>
      </c>
      <c r="E117" s="46" t="n">
        <v>1.121463286999427</v>
      </c>
      <c r="F117" s="47">
        <f>Calculo!V115</f>
        <v/>
      </c>
      <c r="G117" s="45">
        <f>IF(AND(ISNUMBER(E117),ISNUMBER(F117)),ABS(F117-E117),IF(ISNUMBER(E117)=ISNUMBER(F117),0,1))</f>
        <v/>
      </c>
      <c r="H117" s="46" t="n">
        <v>-0.03331838082027412</v>
      </c>
      <c r="I117" s="47">
        <f>Calculo!AK115</f>
        <v/>
      </c>
      <c r="J117" s="45">
        <f>IF(AND(ISNUMBER(H117),ISNUMBER(I117)),ABS(I117-H117),IF(ISNUMBER(H117)=ISNUMBER(I117),0,1))</f>
        <v/>
      </c>
      <c r="K117" s="46" t="n">
        <v>0.005236983037657939</v>
      </c>
      <c r="L117" s="47">
        <f>Calculo!AL115</f>
        <v/>
      </c>
      <c r="M117" s="45">
        <f>IF(AND(ISNUMBER(K117),ISNUMBER(L117)),ABS(L117-K117),IF(ISNUMBER(K117)=ISNUMBER(L117),0,1))</f>
        <v/>
      </c>
      <c r="N117" s="46" t="n">
        <v>-0.1808915397285788</v>
      </c>
      <c r="O117" s="47">
        <f>Calculo!AP115</f>
        <v/>
      </c>
      <c r="P117" s="45">
        <f>IF(AND(ISNUMBER(N117),ISNUMBER(O117)),ABS(O117-N117),IF(ISNUMBER(N117)=ISNUMBER(O117),0,1))</f>
        <v/>
      </c>
      <c r="Q117" s="46" t="n">
        <v>1.221216476637156</v>
      </c>
      <c r="R117" s="47">
        <f>Calculo!AW115</f>
        <v/>
      </c>
      <c r="S117" s="45">
        <f>IF(AND(ISNUMBER(Q117),ISNUMBER(R117)),ABS(R117-Q117),IF(ISNUMBER(Q117)=ISNUMBER(R117),0,1))</f>
        <v/>
      </c>
      <c r="T117" s="46" t="n">
        <v>1.168002529331853</v>
      </c>
      <c r="U117" s="47">
        <f>Calculo!AX115</f>
        <v/>
      </c>
      <c r="V117" s="45">
        <f>IF(AND(ISNUMBER(T117),ISNUMBER(U117)),ABS(U117-T117),IF(ISNUMBER(T117)=ISNUMBER(U117),0,1))</f>
        <v/>
      </c>
      <c r="W117" s="46" t="n">
        <v>1.152235501892154</v>
      </c>
      <c r="X117" s="47">
        <f>Calculo!AY115</f>
        <v/>
      </c>
      <c r="Y117" s="45">
        <f>IF(AND(ISNUMBER(W117),ISNUMBER(X117)),ABS(X117-W117),IF(ISNUMBER(W117)=ISNUMBER(X117),0,1))</f>
        <v/>
      </c>
      <c r="Z117" s="46" t="n">
        <v>-0.0004146976779405372</v>
      </c>
      <c r="AA117" s="47">
        <f>Calculo!BC115</f>
        <v/>
      </c>
      <c r="AB117" s="45">
        <f>IF(AND(ISNUMBER(Z117),ISNUMBER(AA117)),ABS(AA117-Z117),IF(ISNUMBER(Z117)=ISNUMBER(AA117),0,1))</f>
        <v/>
      </c>
    </row>
    <row r="118">
      <c r="A118" s="36">
        <f>Calculo!A116</f>
        <v/>
      </c>
      <c r="B118" s="46" t="n">
        <v>-0.01140338010397984</v>
      </c>
      <c r="C118" s="47">
        <f>Calculo!W116</f>
        <v/>
      </c>
      <c r="D118" s="45">
        <f>IF(AND(ISNUMBER(B118),ISNUMBER(C118)),ABS(C118-B118),IF(ISNUMBER(B118)=ISNUMBER(C118),0,1))</f>
        <v/>
      </c>
      <c r="E118" s="46" t="n">
        <v>1.10045877089624</v>
      </c>
      <c r="F118" s="47">
        <f>Calculo!V116</f>
        <v/>
      </c>
      <c r="G118" s="45">
        <f>IF(AND(ISNUMBER(E118),ISNUMBER(F118)),ABS(F118-E118),IF(ISNUMBER(E118)=ISNUMBER(F118),0,1))</f>
        <v/>
      </c>
      <c r="H118" s="46" t="n">
        <v>-0.006491156348857112</v>
      </c>
      <c r="I118" s="47">
        <f>Calculo!AK116</f>
        <v/>
      </c>
      <c r="J118" s="45">
        <f>IF(AND(ISNUMBER(H118),ISNUMBER(I118)),ABS(I118-H118),IF(ISNUMBER(H118)=ISNUMBER(I118),0,1))</f>
        <v/>
      </c>
      <c r="K118" s="46" t="n">
        <v>0.002494312977862671</v>
      </c>
      <c r="L118" s="47">
        <f>Calculo!AL116</f>
        <v/>
      </c>
      <c r="M118" s="45">
        <f>IF(AND(ISNUMBER(K118),ISNUMBER(L118)),ABS(L118-K118),IF(ISNUMBER(K118)=ISNUMBER(L118),0,1))</f>
        <v/>
      </c>
      <c r="N118" s="46" t="n">
        <v>-0.0211257641687807</v>
      </c>
      <c r="O118" s="47">
        <f>Calculo!AP116</f>
        <v/>
      </c>
      <c r="P118" s="45">
        <f>IF(AND(ISNUMBER(N118),ISNUMBER(O118)),ABS(O118-N118),IF(ISNUMBER(N118)=ISNUMBER(O118),0,1))</f>
        <v/>
      </c>
      <c r="Q118" s="46" t="n">
        <v>0.05739487605162468</v>
      </c>
      <c r="R118" s="47">
        <f>Calculo!AW116</f>
        <v/>
      </c>
      <c r="S118" s="45">
        <f>IF(AND(ISNUMBER(Q118),ISNUMBER(R118)),ABS(R118-Q118),IF(ISNUMBER(Q118)=ISNUMBER(R118),0,1))</f>
        <v/>
      </c>
      <c r="T118" s="46" t="n">
        <v>1.011466387224728</v>
      </c>
      <c r="U118" s="47">
        <f>Calculo!AX116</f>
        <v/>
      </c>
      <c r="V118" s="45">
        <f>IF(AND(ISNUMBER(T118),ISNUMBER(U118)),ABS(U118-T118),IF(ISNUMBER(T118)=ISNUMBER(U118),0,1))</f>
        <v/>
      </c>
      <c r="W118" s="46" t="n">
        <v>1.113890532688416</v>
      </c>
      <c r="X118" s="47">
        <f>Calculo!AY116</f>
        <v/>
      </c>
      <c r="Y118" s="45">
        <f>IF(AND(ISNUMBER(W118),ISNUMBER(X118)),ABS(X118-W118),IF(ISNUMBER(W118)=ISNUMBER(X118),0,1))</f>
        <v/>
      </c>
      <c r="Z118" s="46" t="n">
        <v>-0.00067703848769307</v>
      </c>
      <c r="AA118" s="47">
        <f>Calculo!BC116</f>
        <v/>
      </c>
      <c r="AB118" s="45">
        <f>IF(AND(ISNUMBER(Z118),ISNUMBER(AA118)),ABS(AA118-Z118),IF(ISNUMBER(Z118)=ISNUMBER(AA118),0,1))</f>
        <v/>
      </c>
    </row>
    <row r="119">
      <c r="A119" s="36">
        <f>Calculo!A117</f>
        <v/>
      </c>
      <c r="B119" s="46" t="n">
        <v>-0.02034914935708523</v>
      </c>
      <c r="C119" s="47">
        <f>Calculo!W117</f>
        <v/>
      </c>
      <c r="D119" s="45">
        <f>IF(AND(ISNUMBER(B119),ISNUMBER(C119)),ABS(C119-B119),IF(ISNUMBER(B119)=ISNUMBER(C119),0,1))</f>
        <v/>
      </c>
      <c r="E119" s="46" t="n">
        <v>1.095052567894304</v>
      </c>
      <c r="F119" s="47">
        <f>Calculo!V117</f>
        <v/>
      </c>
      <c r="G119" s="45">
        <f>IF(AND(ISNUMBER(E119),ISNUMBER(F119)),ABS(F119-E119),IF(ISNUMBER(E119)=ISNUMBER(F119),0,1))</f>
        <v/>
      </c>
      <c r="H119" s="46" t="n">
        <v>-0.004065584277973723</v>
      </c>
      <c r="I119" s="47">
        <f>Calculo!AK117</f>
        <v/>
      </c>
      <c r="J119" s="45">
        <f>IF(AND(ISNUMBER(H119),ISNUMBER(I119)),ABS(I119-H119),IF(ISNUMBER(H119)=ISNUMBER(I119),0,1))</f>
        <v/>
      </c>
      <c r="K119" s="46" t="n">
        <v>0.002916729188503913</v>
      </c>
      <c r="L119" s="47">
        <f>Calculo!AL117</f>
        <v/>
      </c>
      <c r="M119" s="45">
        <f>IF(AND(ISNUMBER(K119),ISNUMBER(L119)),ABS(L119-K119),IF(ISNUMBER(K119)=ISNUMBER(L119),0,1))</f>
        <v/>
      </c>
      <c r="N119" s="46" t="n">
        <v>-0.05241624156668862</v>
      </c>
      <c r="O119" s="47">
        <f>Calculo!AP117</f>
        <v/>
      </c>
      <c r="P119" s="45">
        <f>IF(AND(ISNUMBER(N119),ISNUMBER(O119)),ABS(O119-N119),IF(ISNUMBER(N119)=ISNUMBER(O119),0,1))</f>
        <v/>
      </c>
      <c r="Q119" s="46" t="n">
        <v>0.2846769167334512</v>
      </c>
      <c r="R119" s="47">
        <f>Calculo!AW117</f>
        <v/>
      </c>
      <c r="S119" s="45">
        <f>IF(AND(ISNUMBER(Q119),ISNUMBER(R119)),ABS(R119-Q119),IF(ISNUMBER(Q119)=ISNUMBER(R119),0,1))</f>
        <v/>
      </c>
      <c r="T119" s="46" t="n">
        <v>1.055445624891455</v>
      </c>
      <c r="U119" s="47">
        <f>Calculo!AX117</f>
        <v/>
      </c>
      <c r="V119" s="45">
        <f>IF(AND(ISNUMBER(T119),ISNUMBER(U119)),ABS(U119-T119),IF(ISNUMBER(T119)=ISNUMBER(U119),0,1))</f>
        <v/>
      </c>
      <c r="W119" s="46" t="n">
        <v>1.078304847149345</v>
      </c>
      <c r="X119" s="47">
        <f>Calculo!AY117</f>
        <v/>
      </c>
      <c r="Y119" s="45">
        <f>IF(AND(ISNUMBER(W119),ISNUMBER(X119)),ABS(X119-W119),IF(ISNUMBER(W119)=ISNUMBER(X119),0,1))</f>
        <v/>
      </c>
      <c r="Z119" s="46" t="n">
        <v>-0.000675256288017989</v>
      </c>
      <c r="AA119" s="47">
        <f>Calculo!BC117</f>
        <v/>
      </c>
      <c r="AB119" s="45">
        <f>IF(AND(ISNUMBER(Z119),ISNUMBER(AA119)),ABS(AA119-Z119),IF(ISNUMBER(Z119)=ISNUMBER(AA119),0,1))</f>
        <v/>
      </c>
    </row>
    <row r="120">
      <c r="A120" s="36">
        <f>Calculo!A118</f>
        <v/>
      </c>
      <c r="B120" s="46" t="n">
        <v>0.01301568472716008</v>
      </c>
      <c r="C120" s="47">
        <f>Calculo!W118</f>
        <v/>
      </c>
      <c r="D120" s="45">
        <f>IF(AND(ISNUMBER(B120),ISNUMBER(C120)),ABS(C120-B120),IF(ISNUMBER(B120)=ISNUMBER(C120),0,1))</f>
        <v/>
      </c>
      <c r="E120" s="46" t="n">
        <v>1.109779982286649</v>
      </c>
      <c r="F120" s="47">
        <f>Calculo!V118</f>
        <v/>
      </c>
      <c r="G120" s="45">
        <f>IF(AND(ISNUMBER(E120),ISNUMBER(F120)),ABS(F120-E120),IF(ISNUMBER(E120)=ISNUMBER(F120),0,1))</f>
        <v/>
      </c>
      <c r="H120" s="46" t="n">
        <v>-0.01625028755431149</v>
      </c>
      <c r="I120" s="47">
        <f>Calculo!AK118</f>
        <v/>
      </c>
      <c r="J120" s="45">
        <f>IF(AND(ISNUMBER(H120),ISNUMBER(I120)),ABS(I120-H120),IF(ISNUMBER(H120)=ISNUMBER(I120),0,1))</f>
        <v/>
      </c>
      <c r="K120" s="46" t="n">
        <v>0.001242352468924634</v>
      </c>
      <c r="L120" s="47">
        <f>Calculo!AL118</f>
        <v/>
      </c>
      <c r="M120" s="45">
        <f>IF(AND(ISNUMBER(K120),ISNUMBER(L120)),ABS(L120-K120),IF(ISNUMBER(K120)=ISNUMBER(L120),0,1))</f>
        <v/>
      </c>
      <c r="N120" s="46" t="n">
        <v>-0.02559831299075772</v>
      </c>
      <c r="O120" s="47">
        <f>Calculo!AP118</f>
        <v/>
      </c>
      <c r="P120" s="45">
        <f>IF(AND(ISNUMBER(N120),ISNUMBER(O120)),ABS(O120-N120),IF(ISNUMBER(N120)=ISNUMBER(O120),0,1))</f>
        <v/>
      </c>
      <c r="Q120" s="46" t="n">
        <v>0.08557539713756331</v>
      </c>
      <c r="R120" s="47">
        <f>Calculo!AW118</f>
        <v/>
      </c>
      <c r="S120" s="45">
        <f>IF(AND(ISNUMBER(Q120),ISNUMBER(R120)),ABS(R120-Q120),IF(ISNUMBER(Q120)=ISNUMBER(R120),0,1))</f>
        <v/>
      </c>
      <c r="T120" s="46" t="n">
        <v>1.017073422690028</v>
      </c>
      <c r="U120" s="47">
        <f>Calculo!AX118</f>
        <v/>
      </c>
      <c r="V120" s="45">
        <f>IF(AND(ISNUMBER(T120),ISNUMBER(U120)),ABS(U120-T120),IF(ISNUMBER(T120)=ISNUMBER(U120),0,1))</f>
        <v/>
      </c>
      <c r="W120" s="46" t="n">
        <v>1.027995144935404</v>
      </c>
      <c r="X120" s="47">
        <f>Calculo!AY118</f>
        <v/>
      </c>
      <c r="Y120" s="45">
        <f>IF(AND(ISNUMBER(W120),ISNUMBER(X120)),ABS(X120-W120),IF(ISNUMBER(W120)=ISNUMBER(X120),0,1))</f>
        <v/>
      </c>
      <c r="Z120" s="46" t="n">
        <v>0.0001658335869284074</v>
      </c>
      <c r="AA120" s="47">
        <f>Calculo!BC118</f>
        <v/>
      </c>
      <c r="AB120" s="45">
        <f>IF(AND(ISNUMBER(Z120),ISNUMBER(AA120)),ABS(AA120-Z120),IF(ISNUMBER(Z120)=ISNUMBER(AA120),0,1))</f>
        <v/>
      </c>
    </row>
    <row r="121">
      <c r="A121" s="36">
        <f>Calculo!A119</f>
        <v/>
      </c>
      <c r="B121" s="46" t="n">
        <v>-0.01417860523861471</v>
      </c>
      <c r="C121" s="47">
        <f>Calculo!W119</f>
        <v/>
      </c>
      <c r="D121" s="45">
        <f>IF(AND(ISNUMBER(B121),ISNUMBER(C121)),ABS(C121-B121),IF(ISNUMBER(B121)=ISNUMBER(C121),0,1))</f>
        <v/>
      </c>
      <c r="E121" s="46" t="n">
        <v>1.109081345962389</v>
      </c>
      <c r="F121" s="47">
        <f>Calculo!V119</f>
        <v/>
      </c>
      <c r="G121" s="45">
        <f>IF(AND(ISNUMBER(E121),ISNUMBER(F121)),ABS(F121-E121),IF(ISNUMBER(E121)=ISNUMBER(F121),0,1))</f>
        <v/>
      </c>
      <c r="H121" s="46" t="n">
        <v>-0.0172580311535226</v>
      </c>
      <c r="I121" s="47">
        <f>Calculo!AK119</f>
        <v/>
      </c>
      <c r="J121" s="45">
        <f>IF(AND(ISNUMBER(H121),ISNUMBER(I121)),ABS(I121-H121),IF(ISNUMBER(H121)=ISNUMBER(I121),0,1))</f>
        <v/>
      </c>
      <c r="K121" s="46" t="n">
        <v>-0.001610811155423743</v>
      </c>
      <c r="L121" s="47">
        <f>Calculo!AL119</f>
        <v/>
      </c>
      <c r="M121" s="45">
        <f>IF(AND(ISNUMBER(K121),ISNUMBER(L121)),ABS(L121-K121),IF(ISNUMBER(K121)=ISNUMBER(L121),0,1))</f>
        <v/>
      </c>
      <c r="N121" s="46" t="n">
        <v>-0.02506786192627399</v>
      </c>
      <c r="O121" s="47">
        <f>Calculo!AP119</f>
        <v/>
      </c>
      <c r="P121" s="45">
        <f>IF(AND(ISNUMBER(N121),ISNUMBER(O121)),ABS(O121-N121),IF(ISNUMBER(N121)=ISNUMBER(O121),0,1))</f>
        <v/>
      </c>
      <c r="Q121" s="46" t="n">
        <v>0.08098466268220562</v>
      </c>
      <c r="R121" s="47">
        <f>Calculo!AW119</f>
        <v/>
      </c>
      <c r="S121" s="45">
        <f>IF(AND(ISNUMBER(Q121),ISNUMBER(R121)),ABS(R121-Q121),IF(ISNUMBER(Q121)=ISNUMBER(R121),0,1))</f>
        <v/>
      </c>
      <c r="T121" s="46" t="n">
        <v>1.016161615905237</v>
      </c>
      <c r="U121" s="47">
        <f>Calculo!AX119</f>
        <v/>
      </c>
      <c r="V121" s="45">
        <f>IF(AND(ISNUMBER(T121),ISNUMBER(U121)),ABS(U121-T121),IF(ISNUMBER(T121)=ISNUMBER(U121),0,1))</f>
        <v/>
      </c>
      <c r="W121" s="46" t="n">
        <v>1.02956022116224</v>
      </c>
      <c r="X121" s="47">
        <f>Calculo!AY119</f>
        <v/>
      </c>
      <c r="Y121" s="45">
        <f>IF(AND(ISNUMBER(W121),ISNUMBER(X121)),ABS(X121-W121),IF(ISNUMBER(W121)=ISNUMBER(X121),0,1))</f>
        <v/>
      </c>
      <c r="Z121" s="46" t="n">
        <v>-0.0002250072826940771</v>
      </c>
      <c r="AA121" s="47">
        <f>Calculo!BC119</f>
        <v/>
      </c>
      <c r="AB121" s="45">
        <f>IF(AND(ISNUMBER(Z121),ISNUMBER(AA121)),ABS(AA121-Z121),IF(ISNUMBER(Z121)=ISNUMBER(AA121),0,1))</f>
        <v/>
      </c>
    </row>
    <row r="122">
      <c r="A122" s="36">
        <f>Calculo!A120</f>
        <v/>
      </c>
      <c r="B122" s="46" t="n">
        <v>0.1026201848409752</v>
      </c>
      <c r="C122" s="47">
        <f>Calculo!W120</f>
        <v/>
      </c>
      <c r="D122" s="45">
        <f>IF(AND(ISNUMBER(B122),ISNUMBER(C122)),ABS(C122-B122),IF(ISNUMBER(B122)=ISNUMBER(C122),0,1))</f>
        <v/>
      </c>
      <c r="E122" s="46" t="n">
        <v>1.088112698727376</v>
      </c>
      <c r="F122" s="47">
        <f>Calculo!V120</f>
        <v/>
      </c>
      <c r="G122" s="45">
        <f>IF(AND(ISNUMBER(E122),ISNUMBER(F122)),ABS(F122-E122),IF(ISNUMBER(E122)=ISNUMBER(F122),0,1))</f>
        <v/>
      </c>
      <c r="H122" s="46" t="n">
        <v>0.0007348396690858583</v>
      </c>
      <c r="I122" s="47">
        <f>Calculo!AK120</f>
        <v/>
      </c>
      <c r="J122" s="45">
        <f>IF(AND(ISNUMBER(H122),ISNUMBER(I122)),ABS(I122-H122),IF(ISNUMBER(H122)=ISNUMBER(I122),0,1))</f>
        <v/>
      </c>
      <c r="K122" s="46" t="n">
        <v>-0.003695796840671341</v>
      </c>
      <c r="L122" s="47">
        <f>Calculo!AL120</f>
        <v/>
      </c>
      <c r="M122" s="45">
        <f>IF(AND(ISNUMBER(K122),ISNUMBER(L122)),ABS(L122-K122),IF(ISNUMBER(K122)=ISNUMBER(L122),0,1))</f>
        <v/>
      </c>
      <c r="N122" s="46" t="n">
        <v>0.1046237455684584</v>
      </c>
      <c r="O122" s="47">
        <f>Calculo!AP120</f>
        <v/>
      </c>
      <c r="P122" s="45">
        <f>IF(AND(ISNUMBER(N122),ISNUMBER(O122)),ABS(O122-N122),IF(ISNUMBER(N122)=ISNUMBER(O122),0,1))</f>
        <v/>
      </c>
      <c r="Q122" s="46" t="n">
        <v>-0.8817829700365516</v>
      </c>
      <c r="R122" s="47">
        <f>Calculo!AW120</f>
        <v/>
      </c>
      <c r="S122" s="45">
        <f>IF(AND(ISNUMBER(Q122),ISNUMBER(R122)),ABS(R122-Q122),IF(ISNUMBER(Q122)=ISNUMBER(R122),0,1))</f>
        <v/>
      </c>
      <c r="T122" s="46" t="n">
        <v>0.8585377173105634</v>
      </c>
      <c r="U122" s="47">
        <f>Calculo!AX120</f>
        <v/>
      </c>
      <c r="V122" s="45">
        <f>IF(AND(ISNUMBER(T122),ISNUMBER(U122)),ABS(U122-T122),IF(ISNUMBER(T122)=ISNUMBER(U122),0,1))</f>
        <v/>
      </c>
      <c r="W122" s="46" t="n">
        <v>0.9639242519686092</v>
      </c>
      <c r="X122" s="47">
        <f>Calculo!AY120</f>
        <v/>
      </c>
      <c r="Y122" s="45">
        <f>IF(AND(ISNUMBER(W122),ISNUMBER(X122)),ABS(X122-W122),IF(ISNUMBER(W122)=ISNUMBER(X122),0,1))</f>
        <v/>
      </c>
      <c r="Z122" s="46" t="n">
        <v>0.0007544561493352003</v>
      </c>
      <c r="AA122" s="47">
        <f>Calculo!BC120</f>
        <v/>
      </c>
      <c r="AB122" s="45">
        <f>IF(AND(ISNUMBER(Z122),ISNUMBER(AA122)),ABS(AA122-Z122),IF(ISNUMBER(Z122)=ISNUMBER(AA122),0,1))</f>
        <v/>
      </c>
    </row>
    <row r="123">
      <c r="A123" s="36">
        <f>Calculo!A121</f>
        <v/>
      </c>
      <c r="B123" s="46" t="n">
        <v>0.09215019870397853</v>
      </c>
      <c r="C123" s="47">
        <f>Calculo!W121</f>
        <v/>
      </c>
      <c r="D123" s="45">
        <f>IF(AND(ISNUMBER(B123),ISNUMBER(C123)),ABS(C123-B123),IF(ISNUMBER(B123)=ISNUMBER(C123),0,1))</f>
        <v/>
      </c>
      <c r="E123" s="46" t="n">
        <v>1.142162844820635</v>
      </c>
      <c r="F123" s="47">
        <f>Calculo!V121</f>
        <v/>
      </c>
      <c r="G123" s="45">
        <f>IF(AND(ISNUMBER(E123),ISNUMBER(F123)),ABS(F123-E123),IF(ISNUMBER(E123)=ISNUMBER(F123),0,1))</f>
        <v/>
      </c>
      <c r="H123" s="46" t="n">
        <v>-0.008389145559254114</v>
      </c>
      <c r="I123" s="47">
        <f>Calculo!AK121</f>
        <v/>
      </c>
      <c r="J123" s="45">
        <f>IF(AND(ISNUMBER(H123),ISNUMBER(I123)),ABS(I123-H123),IF(ISNUMBER(H123)=ISNUMBER(I123),0,1))</f>
        <v/>
      </c>
      <c r="K123" s="46" t="n">
        <v>-0.004820576969358435</v>
      </c>
      <c r="L123" s="47">
        <f>Calculo!AL121</f>
        <v/>
      </c>
      <c r="M123" s="45">
        <f>IF(AND(ISNUMBER(K123),ISNUMBER(L123)),ABS(L123-K123),IF(ISNUMBER(K123)=ISNUMBER(L123),0,1))</f>
        <v/>
      </c>
      <c r="N123" s="46" t="n">
        <v>0.1883530652343022</v>
      </c>
      <c r="O123" s="47">
        <f>Calculo!AP121</f>
        <v/>
      </c>
      <c r="P123" s="45">
        <f>IF(AND(ISNUMBER(N123),ISNUMBER(O123)),ABS(O123-N123),IF(ISNUMBER(N123)=ISNUMBER(O123),0,1))</f>
        <v/>
      </c>
      <c r="Q123" s="46" t="n">
        <v>-1.475271217904781</v>
      </c>
      <c r="R123" s="47">
        <f>Calculo!AW121</f>
        <v/>
      </c>
      <c r="S123" s="45">
        <f>IF(AND(ISNUMBER(Q123),ISNUMBER(R123)),ABS(R123-Q123),IF(ISNUMBER(Q123)=ISNUMBER(R123),0,1))</f>
        <v/>
      </c>
      <c r="T123" s="46" t="n">
        <v>0.8198843523155737</v>
      </c>
      <c r="U123" s="47">
        <f>Calculo!AX121</f>
        <v/>
      </c>
      <c r="V123" s="45">
        <f>IF(AND(ISNUMBER(T123),ISNUMBER(U123)),ABS(U123-T123),IF(ISNUMBER(T123)=ISNUMBER(U123),0,1))</f>
        <v/>
      </c>
      <c r="W123" s="46" t="n">
        <v>0.8981945618437913</v>
      </c>
      <c r="X123" s="47">
        <f>Calculo!AY121</f>
        <v/>
      </c>
      <c r="Y123" s="45">
        <f>IF(AND(ISNUMBER(W123),ISNUMBER(X123)),ABS(X123-W123),IF(ISNUMBER(W123)=ISNUMBER(X123),0,1))</f>
        <v/>
      </c>
      <c r="Z123" s="46" t="n">
        <v>-0.0009951867603559079</v>
      </c>
      <c r="AA123" s="47">
        <f>Calculo!BC121</f>
        <v/>
      </c>
      <c r="AB123" s="45">
        <f>IF(AND(ISNUMBER(Z123),ISNUMBER(AA123)),ABS(AA123-Z123),IF(ISNUMBER(Z123)=ISNUMBER(AA123),0,1))</f>
        <v/>
      </c>
    </row>
    <row r="124">
      <c r="A124" s="36">
        <f>Calculo!A122</f>
        <v/>
      </c>
      <c r="B124" s="46" t="n">
        <v>0.002995910271706176</v>
      </c>
      <c r="C124" s="47">
        <f>Calculo!W122</f>
        <v/>
      </c>
      <c r="D124" s="45">
        <f>IF(AND(ISNUMBER(B124),ISNUMBER(C124)),ABS(C124-B124),IF(ISNUMBER(B124)=ISNUMBER(C124),0,1))</f>
        <v/>
      </c>
      <c r="E124" s="46" t="n">
        <v>1.167326372264614</v>
      </c>
      <c r="F124" s="47">
        <f>Calculo!V122</f>
        <v/>
      </c>
      <c r="G124" s="45">
        <f>IF(AND(ISNUMBER(E124),ISNUMBER(F124)),ABS(F124-E124),IF(ISNUMBER(E124)=ISNUMBER(F124),0,1))</f>
        <v/>
      </c>
      <c r="H124" s="46" t="n">
        <v>-0.02071283265665163</v>
      </c>
      <c r="I124" s="47">
        <f>Calculo!AK122</f>
        <v/>
      </c>
      <c r="J124" s="45">
        <f>IF(AND(ISNUMBER(H124),ISNUMBER(I124)),ABS(I124-H124),IF(ISNUMBER(H124)=ISNUMBER(I124),0,1))</f>
        <v/>
      </c>
      <c r="K124" s="46" t="n">
        <v>-0.003327362654336271</v>
      </c>
      <c r="L124" s="47">
        <f>Calculo!AL122</f>
        <v/>
      </c>
      <c r="M124" s="45">
        <f>IF(AND(ISNUMBER(K124),ISNUMBER(L124)),ABS(L124-K124),IF(ISNUMBER(K124)=ISNUMBER(L124),0,1))</f>
        <v/>
      </c>
      <c r="N124" s="46" t="n">
        <v>0.2061270211096574</v>
      </c>
      <c r="O124" s="47">
        <f>Calculo!AP122</f>
        <v/>
      </c>
      <c r="P124" s="45">
        <f>IF(AND(ISNUMBER(N124),ISNUMBER(O124)),ABS(O124-N124),IF(ISNUMBER(N124)=ISNUMBER(O124),0,1))</f>
        <v/>
      </c>
      <c r="Q124" s="46" t="n">
        <v>-1.56561651834846</v>
      </c>
      <c r="R124" s="47">
        <f>Calculo!AW122</f>
        <v/>
      </c>
      <c r="S124" s="45">
        <f>IF(AND(ISNUMBER(Q124),ISNUMBER(R124)),ABS(R124-Q124),IF(ISNUMBER(Q124)=ISNUMBER(R124),0,1))</f>
        <v/>
      </c>
      <c r="T124" s="46" t="n">
        <v>0.816734860249935</v>
      </c>
      <c r="U124" s="47">
        <f>Calculo!AX122</f>
        <v/>
      </c>
      <c r="V124" s="45">
        <f>IF(AND(ISNUMBER(T124),ISNUMBER(U124)),ABS(U124-T124),IF(ISNUMBER(T124)=ISNUMBER(U124),0,1))</f>
        <v/>
      </c>
      <c r="W124" s="46" t="n">
        <v>0.8317189766253573</v>
      </c>
      <c r="X124" s="47">
        <f>Calculo!AY122</f>
        <v/>
      </c>
      <c r="Y124" s="45">
        <f>IF(AND(ISNUMBER(W124),ISNUMBER(X124)),ABS(X124-W124),IF(ISNUMBER(W124)=ISNUMBER(X124),0,1))</f>
        <v/>
      </c>
      <c r="Z124" s="46" t="n">
        <v>-0.0002405742147839781</v>
      </c>
      <c r="AA124" s="47">
        <f>Calculo!BC122</f>
        <v/>
      </c>
      <c r="AB124" s="45">
        <f>IF(AND(ISNUMBER(Z124),ISNUMBER(AA124)),ABS(AA124-Z124),IF(ISNUMBER(Z124)=ISNUMBER(AA124),0,1))</f>
        <v/>
      </c>
    </row>
    <row r="125">
      <c r="A125" s="36">
        <f>Calculo!A123</f>
        <v/>
      </c>
      <c r="B125" s="46" t="n">
        <v>0.03781878519100096</v>
      </c>
      <c r="C125" s="47">
        <f>Calculo!W123</f>
        <v/>
      </c>
      <c r="D125" s="45">
        <f>IF(AND(ISNUMBER(B125),ISNUMBER(C125)),ABS(C125-B125),IF(ISNUMBER(B125)=ISNUMBER(C125),0,1))</f>
        <v/>
      </c>
      <c r="E125" s="46" t="n">
        <v>1.157945544655655</v>
      </c>
      <c r="F125" s="47">
        <f>Calculo!V123</f>
        <v/>
      </c>
      <c r="G125" s="45">
        <f>IF(AND(ISNUMBER(E125),ISNUMBER(F125)),ABS(F125-E125),IF(ISNUMBER(E125)=ISNUMBER(F125),0,1))</f>
        <v/>
      </c>
      <c r="H125" s="46" t="n">
        <v>-0.01565860524675455</v>
      </c>
      <c r="I125" s="47">
        <f>Calculo!AK123</f>
        <v/>
      </c>
      <c r="J125" s="45">
        <f>IF(AND(ISNUMBER(H125),ISNUMBER(I125)),ABS(I125-H125),IF(ISNUMBER(H125)=ISNUMBER(I125),0,1))</f>
        <v/>
      </c>
      <c r="K125" s="46" t="n">
        <v>-0.003617687771197935</v>
      </c>
      <c r="L125" s="47">
        <f>Calculo!AL123</f>
        <v/>
      </c>
      <c r="M125" s="45">
        <f>IF(AND(ISNUMBER(K125),ISNUMBER(L125)),ABS(L125-K125),IF(ISNUMBER(K125)=ISNUMBER(L125),0,1))</f>
        <v/>
      </c>
      <c r="N125" s="46" t="n">
        <v>0.1386024374798828</v>
      </c>
      <c r="O125" s="47">
        <f>Calculo!AP123</f>
        <v/>
      </c>
      <c r="P125" s="45">
        <f>IF(AND(ISNUMBER(N125),ISNUMBER(O125)),ABS(O125-N125),IF(ISNUMBER(N125)=ISNUMBER(O125),0,1))</f>
        <v/>
      </c>
      <c r="Q125" s="46" t="n">
        <v>-1.051063762969911</v>
      </c>
      <c r="R125" s="47">
        <f>Calculo!AW123</f>
        <v/>
      </c>
      <c r="S125" s="45">
        <f>IF(AND(ISNUMBER(Q125),ISNUMBER(R125)),ABS(R125-Q125),IF(ISNUMBER(Q125)=ISNUMBER(R125),0,1))</f>
        <v/>
      </c>
      <c r="T125" s="46" t="n">
        <v>0.8435560835393612</v>
      </c>
      <c r="U125" s="47">
        <f>Calculo!AX123</f>
        <v/>
      </c>
      <c r="V125" s="45">
        <f>IF(AND(ISNUMBER(T125),ISNUMBER(U125)),ABS(U125-T125),IF(ISNUMBER(T125)=ISNUMBER(U125),0,1))</f>
        <v/>
      </c>
      <c r="W125" s="46" t="n">
        <v>0.8267250987016231</v>
      </c>
      <c r="X125" s="47">
        <f>Calculo!AY123</f>
        <v/>
      </c>
      <c r="Y125" s="45">
        <f>IF(AND(ISNUMBER(W125),ISNUMBER(X125)),ABS(X125-W125),IF(ISNUMBER(W125)=ISNUMBER(X125),0,1))</f>
        <v/>
      </c>
      <c r="Z125" s="46" t="n">
        <v>-0.001757234931727941</v>
      </c>
      <c r="AA125" s="47">
        <f>Calculo!BC123</f>
        <v/>
      </c>
      <c r="AB125" s="45">
        <f>IF(AND(ISNUMBER(Z125),ISNUMBER(AA125)),ABS(AA125-Z125),IF(ISNUMBER(Z125)=ISNUMBER(AA125),0,1))</f>
        <v/>
      </c>
    </row>
    <row r="126">
      <c r="A126" s="36">
        <f>Calculo!A124</f>
        <v/>
      </c>
      <c r="B126" s="46" t="n">
        <v>-0.1296699136101577</v>
      </c>
      <c r="C126" s="47">
        <f>Calculo!W124</f>
        <v/>
      </c>
      <c r="D126" s="45">
        <f>IF(AND(ISNUMBER(B126),ISNUMBER(C126)),ABS(C126-B126),IF(ISNUMBER(B126)=ISNUMBER(C126),0,1))</f>
        <v/>
      </c>
      <c r="E126" s="46" t="n">
        <v>1.173446567065407</v>
      </c>
      <c r="F126" s="47">
        <f>Calculo!V124</f>
        <v/>
      </c>
      <c r="G126" s="45">
        <f>IF(AND(ISNUMBER(E126),ISNUMBER(F126)),ABS(F126-E126),IF(ISNUMBER(E126)=ISNUMBER(F126),0,1))</f>
        <v/>
      </c>
      <c r="H126" s="46" t="n">
        <v>-0.02097723953654201</v>
      </c>
      <c r="I126" s="47">
        <f>Calculo!AK124</f>
        <v/>
      </c>
      <c r="J126" s="45">
        <f>IF(AND(ISNUMBER(H126),ISNUMBER(I126)),ABS(I126-H126),IF(ISNUMBER(H126)=ISNUMBER(I126),0,1))</f>
        <v/>
      </c>
      <c r="K126" s="46" t="n">
        <v>-0.001199463527496286</v>
      </c>
      <c r="L126" s="47">
        <f>Calculo!AL124</f>
        <v/>
      </c>
      <c r="M126" s="45">
        <f>IF(AND(ISNUMBER(K126),ISNUMBER(L126)),ABS(L126-K126),IF(ISNUMBER(K126)=ISNUMBER(L126),0,1))</f>
        <v/>
      </c>
      <c r="N126" s="46" t="n">
        <v>-0.08496257898490575</v>
      </c>
      <c r="O126" s="47">
        <f>Calculo!AP124</f>
        <v/>
      </c>
      <c r="P126" s="45">
        <f>IF(AND(ISNUMBER(N126),ISNUMBER(O126)),ABS(O126-N126),IF(ISNUMBER(N126)=ISNUMBER(O126),0,1))</f>
        <v/>
      </c>
      <c r="Q126" s="46" t="n">
        <v>0.5900426498420429</v>
      </c>
      <c r="R126" s="47">
        <f>Calculo!AW124</f>
        <v/>
      </c>
      <c r="S126" s="45">
        <f>IF(AND(ISNUMBER(Q126),ISNUMBER(R126)),ABS(R126-Q126),IF(ISNUMBER(Q126)=ISNUMBER(R126),0,1))</f>
        <v/>
      </c>
      <c r="T126" s="46" t="n">
        <v>1.10598525621094</v>
      </c>
      <c r="U126" s="47">
        <f>Calculo!AX124</f>
        <v/>
      </c>
      <c r="V126" s="45">
        <f>IF(AND(ISNUMBER(T126),ISNUMBER(U126)),ABS(U126-T126),IF(ISNUMBER(T126)=ISNUMBER(U126),0,1))</f>
        <v/>
      </c>
      <c r="W126" s="46" t="n">
        <v>0.9220920666667455</v>
      </c>
      <c r="X126" s="47">
        <f>Calculo!AY124</f>
        <v/>
      </c>
      <c r="Y126" s="45">
        <f>IF(AND(ISNUMBER(W126),ISNUMBER(X126)),ABS(X126-W126),IF(ISNUMBER(W126)=ISNUMBER(X126),0,1))</f>
        <v/>
      </c>
      <c r="Z126" s="46" t="n">
        <v>0.005604650675732947</v>
      </c>
      <c r="AA126" s="47">
        <f>Calculo!BC124</f>
        <v/>
      </c>
      <c r="AB126" s="45">
        <f>IF(AND(ISNUMBER(Z126),ISNUMBER(AA126)),ABS(AA126-Z126),IF(ISNUMBER(Z126)=ISNUMBER(AA126),0,1))</f>
        <v/>
      </c>
    </row>
    <row r="127">
      <c r="A127" s="36">
        <f>Calculo!A125</f>
        <v/>
      </c>
      <c r="B127" s="46" t="n">
        <v>-0.0377588526658654</v>
      </c>
      <c r="C127" s="47">
        <f>Calculo!W125</f>
        <v/>
      </c>
      <c r="D127" s="45">
        <f>IF(AND(ISNUMBER(B127),ISNUMBER(C127)),ABS(C127-B127),IF(ISNUMBER(B127)=ISNUMBER(C127),0,1))</f>
        <v/>
      </c>
      <c r="E127" s="46" t="n">
        <v>1.21459614446378</v>
      </c>
      <c r="F127" s="47">
        <f>Calculo!V125</f>
        <v/>
      </c>
      <c r="G127" s="45">
        <f>IF(AND(ISNUMBER(E127),ISNUMBER(F127)),ABS(F127-E127),IF(ISNUMBER(E127)=ISNUMBER(F127),0,1))</f>
        <v/>
      </c>
      <c r="H127" s="46" t="n">
        <v>-0.06432219330665097</v>
      </c>
      <c r="I127" s="47">
        <f>Calculo!AK125</f>
        <v/>
      </c>
      <c r="J127" s="45">
        <f>IF(AND(ISNUMBER(H127),ISNUMBER(I127)),ABS(I127-H127),IF(ISNUMBER(H127)=ISNUMBER(I127),0,1))</f>
        <v/>
      </c>
      <c r="K127" s="46" t="n">
        <v>-0.001289374969453703</v>
      </c>
      <c r="L127" s="47">
        <f>Calculo!AL125</f>
        <v/>
      </c>
      <c r="M127" s="45">
        <f>IF(AND(ISNUMBER(K127),ISNUMBER(L127)),ABS(L127-K127),IF(ISNUMBER(K127)=ISNUMBER(L127),0,1))</f>
        <v/>
      </c>
      <c r="N127" s="46" t="n">
        <v>-0.106377751790131</v>
      </c>
      <c r="O127" s="47">
        <f>Calculo!AP125</f>
        <v/>
      </c>
      <c r="P127" s="45">
        <f>IF(AND(ISNUMBER(N127),ISNUMBER(O127)),ABS(O127-N127),IF(ISNUMBER(N127)=ISNUMBER(O127),0,1))</f>
        <v/>
      </c>
      <c r="Q127" s="46" t="n">
        <v>0.7402708778777065</v>
      </c>
      <c r="R127" s="47">
        <f>Calculo!AW125</f>
        <v/>
      </c>
      <c r="S127" s="45">
        <f>IF(AND(ISNUMBER(Q127),ISNUMBER(R127)),ABS(R127-Q127),IF(ISNUMBER(Q127)=ISNUMBER(R127),0,1))</f>
        <v/>
      </c>
      <c r="T127" s="46" t="n">
        <v>1.125861758307138</v>
      </c>
      <c r="U127" s="47">
        <f>Calculo!AX125</f>
        <v/>
      </c>
      <c r="V127" s="45">
        <f>IF(AND(ISNUMBER(T127),ISNUMBER(U127)),ABS(U127-T127),IF(ISNUMBER(T127)=ISNUMBER(U127),0,1))</f>
        <v/>
      </c>
      <c r="W127" s="46" t="n">
        <v>1.025134366019146</v>
      </c>
      <c r="X127" s="47">
        <f>Calculo!AY125</f>
        <v/>
      </c>
      <c r="Y127" s="45">
        <f>IF(AND(ISNUMBER(W127),ISNUMBER(X127)),ABS(X127-W127),IF(ISNUMBER(W127)=ISNUMBER(X127),0,1))</f>
        <v/>
      </c>
      <c r="Z127" s="46" t="n">
        <v>0.0004970111241452994</v>
      </c>
      <c r="AA127" s="47">
        <f>Calculo!BC125</f>
        <v/>
      </c>
      <c r="AB127" s="45">
        <f>IF(AND(ISNUMBER(Z127),ISNUMBER(AA127)),ABS(AA127-Z127),IF(ISNUMBER(Z127)=ISNUMBER(AA127),0,1))</f>
        <v/>
      </c>
    </row>
    <row r="128">
      <c r="A128" s="36">
        <f>Calculo!A126</f>
        <v/>
      </c>
      <c r="B128" s="46" t="n">
        <v>0.08461201272824063</v>
      </c>
      <c r="C128" s="47">
        <f>Calculo!W126</f>
        <v/>
      </c>
      <c r="D128" s="45">
        <f>IF(AND(ISNUMBER(B128),ISNUMBER(C128)),ABS(C128-B128),IF(ISNUMBER(B128)=ISNUMBER(C128),0,1))</f>
        <v/>
      </c>
      <c r="E128" s="46" t="n">
        <v>1.206874119773291</v>
      </c>
      <c r="F128" s="47">
        <f>Calculo!V126</f>
        <v/>
      </c>
      <c r="G128" s="45">
        <f>IF(AND(ISNUMBER(E128),ISNUMBER(F128)),ABS(F128-E128),IF(ISNUMBER(E128)=ISNUMBER(F128),0,1))</f>
        <v/>
      </c>
      <c r="H128" s="46" t="n">
        <v>-0.07105808603932474</v>
      </c>
      <c r="I128" s="47">
        <f>Calculo!AK126</f>
        <v/>
      </c>
      <c r="J128" s="45">
        <f>IF(AND(ISNUMBER(H128),ISNUMBER(I128)),ABS(I128-H128),IF(ISNUMBER(H128)=ISNUMBER(I128),0,1))</f>
        <v/>
      </c>
      <c r="K128" s="46" t="n">
        <v>-0.001318611457017455</v>
      </c>
      <c r="L128" s="47">
        <f>Calculo!AL126</f>
        <v/>
      </c>
      <c r="M128" s="45">
        <f>IF(AND(ISNUMBER(K128),ISNUMBER(L128)),ABS(L128-K128),IF(ISNUMBER(K128)=ISNUMBER(L128),0,1))</f>
        <v/>
      </c>
      <c r="N128" s="46" t="n">
        <v>-0.0719342623240648</v>
      </c>
      <c r="O128" s="47">
        <f>Calculo!AP126</f>
        <v/>
      </c>
      <c r="P128" s="45">
        <f>IF(AND(ISNUMBER(N128),ISNUMBER(O128)),ABS(O128-N128),IF(ISNUMBER(N128)=ISNUMBER(O128),0,1))</f>
        <v/>
      </c>
      <c r="Q128" s="46" t="n">
        <v>0.4803069595324789</v>
      </c>
      <c r="R128" s="47">
        <f>Calculo!AW126</f>
        <v/>
      </c>
      <c r="S128" s="45">
        <f>IF(AND(ISNUMBER(Q128),ISNUMBER(R128)),ABS(R128-Q128),IF(ISNUMBER(Q128)=ISNUMBER(R128),0,1))</f>
        <v/>
      </c>
      <c r="T128" s="46" t="n">
        <v>1.089297882044236</v>
      </c>
      <c r="U128" s="47">
        <f>Calculo!AX126</f>
        <v/>
      </c>
      <c r="V128" s="45">
        <f>IF(AND(ISNUMBER(T128),ISNUMBER(U128)),ABS(U128-T128),IF(ISNUMBER(T128)=ISNUMBER(U128),0,1))</f>
        <v/>
      </c>
      <c r="W128" s="46" t="n">
        <v>1.107048298854105</v>
      </c>
      <c r="X128" s="47">
        <f>Calculo!AY126</f>
        <v/>
      </c>
      <c r="Y128" s="45">
        <f>IF(AND(ISNUMBER(W128),ISNUMBER(X128)),ABS(X128-W128),IF(ISNUMBER(W128)=ISNUMBER(X128),0,1))</f>
        <v/>
      </c>
      <c r="Z128" s="46" t="n">
        <v>0.0002740615760010647</v>
      </c>
      <c r="AA128" s="47">
        <f>Calculo!BC126</f>
        <v/>
      </c>
      <c r="AB128" s="45">
        <f>IF(AND(ISNUMBER(Z128),ISNUMBER(AA128)),ABS(AA128-Z128),IF(ISNUMBER(Z128)=ISNUMBER(AA128),0,1))</f>
        <v/>
      </c>
    </row>
    <row r="129">
      <c r="A129" s="36">
        <f>Calculo!A127</f>
        <v/>
      </c>
      <c r="B129" s="46" t="n">
        <v>0.04621688856436307</v>
      </c>
      <c r="C129" s="47">
        <f>Calculo!W127</f>
        <v/>
      </c>
      <c r="D129" s="45">
        <f>IF(AND(ISNUMBER(B129),ISNUMBER(C129)),ABS(C129-B129),IF(ISNUMBER(B129)=ISNUMBER(C129),0,1))</f>
        <v/>
      </c>
      <c r="E129" s="46" t="n">
        <v>1.198642933635046</v>
      </c>
      <c r="F129" s="47">
        <f>Calculo!V127</f>
        <v/>
      </c>
      <c r="G129" s="45">
        <f>IF(AND(ISNUMBER(E129),ISNUMBER(F129)),ABS(F129-E129),IF(ISNUMBER(E129)=ISNUMBER(F129),0,1))</f>
        <v/>
      </c>
      <c r="H129" s="46" t="n">
        <v>-0.09762396213127761</v>
      </c>
      <c r="I129" s="47">
        <f>Calculo!AK127</f>
        <v/>
      </c>
      <c r="J129" s="45">
        <f>IF(AND(ISNUMBER(H129),ISNUMBER(I129)),ABS(I129-H129),IF(ISNUMBER(H129)=ISNUMBER(I129),0,1))</f>
        <v/>
      </c>
      <c r="K129" s="46" t="n">
        <v>-0.000356988719526493</v>
      </c>
      <c r="L129" s="47">
        <f>Calculo!AL127</f>
        <v/>
      </c>
      <c r="M129" s="45">
        <f>IF(AND(ISNUMBER(K129),ISNUMBER(L129)),ABS(L129-K129),IF(ISNUMBER(K129)=ISNUMBER(L129),0,1))</f>
        <v/>
      </c>
      <c r="N129" s="46" t="n">
        <v>0.0898854716977118</v>
      </c>
      <c r="O129" s="47">
        <f>Calculo!AP127</f>
        <v/>
      </c>
      <c r="P129" s="45">
        <f>IF(AND(ISNUMBER(N129),ISNUMBER(O129)),ABS(O129-N129),IF(ISNUMBER(N129)=ISNUMBER(O129),0,1))</f>
        <v/>
      </c>
      <c r="Q129" s="46" t="n">
        <v>-0.7203644382932197</v>
      </c>
      <c r="R129" s="47">
        <f>Calculo!AW127</f>
        <v/>
      </c>
      <c r="S129" s="45">
        <f>IF(AND(ISNUMBER(Q129),ISNUMBER(R129)),ABS(R129-Q129),IF(ISNUMBER(Q129)=ISNUMBER(R129),0,1))</f>
        <v/>
      </c>
      <c r="T129" s="46" t="n">
        <v>0.8765730012890157</v>
      </c>
      <c r="U129" s="47">
        <f>Calculo!AX127</f>
        <v/>
      </c>
      <c r="V129" s="45">
        <f>IF(AND(ISNUMBER(T129),ISNUMBER(U129)),ABS(U129-T129),IF(ISNUMBER(T129)=ISNUMBER(U129),0,1))</f>
        <v/>
      </c>
      <c r="W129" s="46" t="n">
        <v>1.030577547213463</v>
      </c>
      <c r="X129" s="47">
        <f>Calculo!AY127</f>
        <v/>
      </c>
      <c r="Y129" s="45">
        <f>IF(AND(ISNUMBER(W129),ISNUMBER(X129)),ABS(X129-W129),IF(ISNUMBER(W129)=ISNUMBER(X129),0,1))</f>
        <v/>
      </c>
      <c r="Z129" s="46" t="n">
        <v>0.001032074992698801</v>
      </c>
      <c r="AA129" s="47">
        <f>Calculo!BC127</f>
        <v/>
      </c>
      <c r="AB129" s="45">
        <f>IF(AND(ISNUMBER(Z129),ISNUMBER(AA129)),ABS(AA129-Z129),IF(ISNUMBER(Z129)=ISNUMBER(AA129),0,1))</f>
        <v/>
      </c>
    </row>
    <row r="130">
      <c r="A130" s="36">
        <f>Calculo!A128</f>
        <v/>
      </c>
      <c r="B130" s="46" t="n">
        <v>0.03429562531297942</v>
      </c>
      <c r="C130" s="47">
        <f>Calculo!W128</f>
        <v/>
      </c>
      <c r="D130" s="45">
        <f>IF(AND(ISNUMBER(B130),ISNUMBER(C130)),ABS(C130-B130),IF(ISNUMBER(B130)=ISNUMBER(C130),0,1))</f>
        <v/>
      </c>
      <c r="E130" s="46" t="n">
        <v>1.203189570080975</v>
      </c>
      <c r="F130" s="47">
        <f>Calculo!V128</f>
        <v/>
      </c>
      <c r="G130" s="45">
        <f>IF(AND(ISNUMBER(E130),ISNUMBER(F130)),ABS(F130-E130),IF(ISNUMBER(E130)=ISNUMBER(F130),0,1))</f>
        <v/>
      </c>
      <c r="H130" s="46" t="n">
        <v>-0.1129085432291933</v>
      </c>
      <c r="I130" s="47">
        <f>Calculo!AK128</f>
        <v/>
      </c>
      <c r="J130" s="45">
        <f>IF(AND(ISNUMBER(H130),ISNUMBER(I130)),ABS(I130-H130),IF(ISNUMBER(H130)=ISNUMBER(I130),0,1))</f>
        <v/>
      </c>
      <c r="K130" s="46" t="n">
        <v>0.002282883375015553</v>
      </c>
      <c r="L130" s="47">
        <f>Calculo!AL128</f>
        <v/>
      </c>
      <c r="M130" s="45">
        <f>IF(AND(ISNUMBER(K130),ISNUMBER(L130)),ABS(L130-K130),IF(ISNUMBER(K130)=ISNUMBER(L130),0,1))</f>
        <v/>
      </c>
      <c r="N130" s="46" t="n">
        <v>0.1375550630444474</v>
      </c>
      <c r="O130" s="47">
        <f>Calculo!AP128</f>
        <v/>
      </c>
      <c r="P130" s="45">
        <f>IF(AND(ISNUMBER(N130),ISNUMBER(O130)),ABS(O130-N130),IF(ISNUMBER(N130)=ISNUMBER(O130),0,1))</f>
        <v/>
      </c>
      <c r="Q130" s="46" t="n">
        <v>-1.061700061465832</v>
      </c>
      <c r="R130" s="47">
        <f>Calculo!AW128</f>
        <v/>
      </c>
      <c r="S130" s="45">
        <f>IF(AND(ISNUMBER(Q130),ISNUMBER(R130)),ABS(R130-Q130),IF(ISNUMBER(Q130)=ISNUMBER(R130),0,1))</f>
        <v/>
      </c>
      <c r="T130" s="46" t="n">
        <v>0.8427372682171465</v>
      </c>
      <c r="U130" s="47">
        <f>Calculo!AX128</f>
        <v/>
      </c>
      <c r="V130" s="45">
        <f>IF(AND(ISNUMBER(T130),ISNUMBER(U130)),ABS(U130-T130),IF(ISNUMBER(T130)=ISNUMBER(U130),0,1))</f>
        <v/>
      </c>
      <c r="W130" s="46" t="n">
        <v>0.936202717183466</v>
      </c>
      <c r="X130" s="47">
        <f>Calculo!AY128</f>
        <v/>
      </c>
      <c r="Y130" s="45">
        <f>IF(AND(ISNUMBER(W130),ISNUMBER(X130)),ABS(X130-W130),IF(ISNUMBER(W130)=ISNUMBER(X130),0,1))</f>
        <v/>
      </c>
      <c r="Z130" s="46" t="n">
        <v>7.099214645411294e-05</v>
      </c>
      <c r="AA130" s="47">
        <f>Calculo!BC128</f>
        <v/>
      </c>
      <c r="AB130" s="45">
        <f>IF(AND(ISNUMBER(Z130),ISNUMBER(AA130)),ABS(AA130-Z130),IF(ISNUMBER(Z130)=ISNUMBER(AA130),0,1))</f>
        <v/>
      </c>
    </row>
    <row r="131">
      <c r="A131" s="36">
        <f>Calculo!A129</f>
        <v/>
      </c>
      <c r="B131" s="46" t="n">
        <v>-0.04127030145667213</v>
      </c>
      <c r="C131" s="47">
        <f>Calculo!W129</f>
        <v/>
      </c>
      <c r="D131" s="45">
        <f>IF(AND(ISNUMBER(B131),ISNUMBER(C131)),ABS(C131-B131),IF(ISNUMBER(B131)=ISNUMBER(C131),0,1))</f>
        <v/>
      </c>
      <c r="E131" s="46" t="n">
        <v>1.206052601450715</v>
      </c>
      <c r="F131" s="47">
        <f>Calculo!V129</f>
        <v/>
      </c>
      <c r="G131" s="45">
        <f>IF(AND(ISNUMBER(E131),ISNUMBER(F131)),ABS(F131-E131),IF(ISNUMBER(E131)=ISNUMBER(F131),0,1))</f>
        <v/>
      </c>
      <c r="H131" s="46" t="n">
        <v>-0.1141684770616789</v>
      </c>
      <c r="I131" s="47">
        <f>Calculo!AK129</f>
        <v/>
      </c>
      <c r="J131" s="45">
        <f>IF(AND(ISNUMBER(H131),ISNUMBER(I131)),ABS(I131-H131),IF(ISNUMBER(H131)=ISNUMBER(I131),0,1))</f>
        <v/>
      </c>
      <c r="K131" s="46" t="n">
        <v>0.003156865128203617</v>
      </c>
      <c r="L131" s="47">
        <f>Calculo!AL129</f>
        <v/>
      </c>
      <c r="M131" s="45">
        <f>IF(AND(ISNUMBER(K131),ISNUMBER(L131)),ABS(L131-K131),IF(ISNUMBER(K131)=ISNUMBER(L131),0,1))</f>
        <v/>
      </c>
      <c r="N131" s="46" t="n">
        <v>0.02656091628836731</v>
      </c>
      <c r="O131" s="47">
        <f>Calculo!AP129</f>
        <v/>
      </c>
      <c r="P131" s="45">
        <f>IF(AND(ISNUMBER(N131),ISNUMBER(O131)),ABS(O131-N131),IF(ISNUMBER(N131)=ISNUMBER(O131),0,1))</f>
        <v/>
      </c>
      <c r="Q131" s="46" t="n">
        <v>-0.2292819172178736</v>
      </c>
      <c r="R131" s="47">
        <f>Calculo!AW129</f>
        <v/>
      </c>
      <c r="S131" s="45">
        <f>IF(AND(ISNUMBER(Q131),ISNUMBER(R131)),ABS(R131-Q131),IF(ISNUMBER(Q131)=ISNUMBER(R131),0,1))</f>
        <v/>
      </c>
      <c r="T131" s="46" t="n">
        <v>0.9549306310001225</v>
      </c>
      <c r="U131" s="47">
        <f>Calculo!AX129</f>
        <v/>
      </c>
      <c r="V131" s="45">
        <f>IF(AND(ISNUMBER(T131),ISNUMBER(U131)),ABS(U131-T131),IF(ISNUMBER(T131)=ISNUMBER(U131),0,1))</f>
        <v/>
      </c>
      <c r="W131" s="46" t="n">
        <v>0.8914136335020949</v>
      </c>
      <c r="X131" s="47">
        <f>Calculo!AY129</f>
        <v/>
      </c>
      <c r="Y131" s="45">
        <f>IF(AND(ISNUMBER(W131),ISNUMBER(X131)),ABS(X131-W131),IF(ISNUMBER(W131)=ISNUMBER(X131),0,1))</f>
        <v/>
      </c>
      <c r="Z131" s="46" t="n">
        <v>0.0004222961984137387</v>
      </c>
      <c r="AA131" s="47">
        <f>Calculo!BC129</f>
        <v/>
      </c>
      <c r="AB131" s="45">
        <f>IF(AND(ISNUMBER(Z131),ISNUMBER(AA131)),ABS(AA131-Z131),IF(ISNUMBER(Z131)=ISNUMBER(AA131),0,1))</f>
        <v/>
      </c>
    </row>
    <row r="132">
      <c r="A132" s="36">
        <f>Calculo!A130</f>
        <v/>
      </c>
      <c r="B132" s="46" t="n">
        <v>0.05825892366227755</v>
      </c>
      <c r="C132" s="47">
        <f>Calculo!W130</f>
        <v/>
      </c>
      <c r="D132" s="45">
        <f>IF(AND(ISNUMBER(B132),ISNUMBER(C132)),ABS(C132-B132),IF(ISNUMBER(B132)=ISNUMBER(C132),0,1))</f>
        <v/>
      </c>
      <c r="E132" s="46" t="n">
        <v>1.189372208267298</v>
      </c>
      <c r="F132" s="47">
        <f>Calculo!V130</f>
        <v/>
      </c>
      <c r="G132" s="45">
        <f>IF(AND(ISNUMBER(E132),ISNUMBER(F132)),ABS(F132-E132),IF(ISNUMBER(E132)=ISNUMBER(F132),0,1))</f>
        <v/>
      </c>
      <c r="H132" s="46" t="n">
        <v>-0.1145720459098501</v>
      </c>
      <c r="I132" s="47">
        <f>Calculo!AK130</f>
        <v/>
      </c>
      <c r="J132" s="45">
        <f>IF(AND(ISNUMBER(H132),ISNUMBER(I132)),ABS(I132-H132),IF(ISNUMBER(H132)=ISNUMBER(I132),0,1))</f>
        <v/>
      </c>
      <c r="K132" s="46" t="n">
        <v>0.002913250939004094</v>
      </c>
      <c r="L132" s="47">
        <f>Calculo!AL130</f>
        <v/>
      </c>
      <c r="M132" s="45">
        <f>IF(AND(ISNUMBER(K132),ISNUMBER(L132)),ABS(L132-K132),IF(ISNUMBER(K132)=ISNUMBER(L132),0,1))</f>
        <v/>
      </c>
      <c r="N132" s="46" t="n">
        <v>0.03164178302682691</v>
      </c>
      <c r="O132" s="47">
        <f>Calculo!AP130</f>
        <v/>
      </c>
      <c r="P132" s="45">
        <f>IF(AND(ISNUMBER(N132),ISNUMBER(O132)),ABS(O132-N132),IF(ISNUMBER(N132)=ISNUMBER(O132),0,1))</f>
        <v/>
      </c>
      <c r="Q132" s="46" t="n">
        <v>-0.265667421880122</v>
      </c>
      <c r="R132" s="47">
        <f>Calculo!AW130</f>
        <v/>
      </c>
      <c r="S132" s="45">
        <f>IF(AND(ISNUMBER(Q132),ISNUMBER(R132)),ABS(R132-Q132),IF(ISNUMBER(Q132)=ISNUMBER(R132),0,1))</f>
        <v/>
      </c>
      <c r="T132" s="46" t="n">
        <v>0.9480822443060738</v>
      </c>
      <c r="U132" s="47">
        <f>Calculo!AX130</f>
        <v/>
      </c>
      <c r="V132" s="45">
        <f>IF(AND(ISNUMBER(T132),ISNUMBER(U132)),ABS(U132-T132),IF(ISNUMBER(T132)=ISNUMBER(U132),0,1))</f>
        <v/>
      </c>
      <c r="W132" s="46" t="n">
        <v>0.9152500478411142</v>
      </c>
      <c r="X132" s="47">
        <f>Calculo!AY130</f>
        <v/>
      </c>
      <c r="Y132" s="45">
        <f>IF(AND(ISNUMBER(W132),ISNUMBER(X132)),ABS(X132-W132),IF(ISNUMBER(W132)=ISNUMBER(X132),0,1))</f>
        <v/>
      </c>
      <c r="Z132" s="46" t="n">
        <v>-0.001693503918344814</v>
      </c>
      <c r="AA132" s="47">
        <f>Calculo!BC130</f>
        <v/>
      </c>
      <c r="AB132" s="45">
        <f>IF(AND(ISNUMBER(Z132),ISNUMBER(AA132)),ABS(AA132-Z132),IF(ISNUMBER(Z132)=ISNUMBER(AA132),0,1))</f>
        <v/>
      </c>
    </row>
    <row r="133">
      <c r="A133" s="36">
        <f>Calculo!A131</f>
        <v/>
      </c>
      <c r="B133" s="46" t="n">
        <v>0.05219073490633509</v>
      </c>
      <c r="C133" s="47">
        <f>Calculo!W131</f>
        <v/>
      </c>
      <c r="D133" s="45">
        <f>IF(AND(ISNUMBER(B133),ISNUMBER(C133)),ABS(C133-B133),IF(ISNUMBER(B133)=ISNUMBER(C133),0,1))</f>
        <v/>
      </c>
      <c r="E133" s="46" t="n">
        <v>1.185947431677373</v>
      </c>
      <c r="F133" s="47">
        <f>Calculo!V131</f>
        <v/>
      </c>
      <c r="G133" s="45">
        <f>IF(AND(ISNUMBER(E133),ISNUMBER(F133)),ABS(F133-E133),IF(ISNUMBER(E133)=ISNUMBER(F133),0,1))</f>
        <v/>
      </c>
      <c r="H133" s="46" t="n">
        <v>-0.1190982933782039</v>
      </c>
      <c r="I133" s="47">
        <f>Calculo!AK131</f>
        <v/>
      </c>
      <c r="J133" s="45">
        <f>IF(AND(ISNUMBER(H133),ISNUMBER(I133)),ABS(I133-H133),IF(ISNUMBER(H133)=ISNUMBER(I133),0,1))</f>
        <v/>
      </c>
      <c r="K133" s="46" t="n">
        <v>0.002347264270458201</v>
      </c>
      <c r="L133" s="47">
        <f>Calculo!AL131</f>
        <v/>
      </c>
      <c r="M133" s="45">
        <f>IF(AND(ISNUMBER(K133),ISNUMBER(L133)),ABS(L133-K133),IF(ISNUMBER(K133)=ISNUMBER(L133),0,1))</f>
        <v/>
      </c>
      <c r="N133" s="46" t="n">
        <v>0.03830024914115449</v>
      </c>
      <c r="O133" s="47">
        <f>Calculo!AP131</f>
        <v/>
      </c>
      <c r="P133" s="45">
        <f>IF(AND(ISNUMBER(N133),ISNUMBER(O133)),ABS(O133-N133),IF(ISNUMBER(N133)=ISNUMBER(O133),0,1))</f>
        <v/>
      </c>
      <c r="Q133" s="46" t="n">
        <v>-0.3138825673718593</v>
      </c>
      <c r="R133" s="47">
        <f>Calculo!AW131</f>
        <v/>
      </c>
      <c r="S133" s="45">
        <f>IF(AND(ISNUMBER(Q133),ISNUMBER(R133)),ABS(R133-Q133),IF(ISNUMBER(Q133)=ISNUMBER(R133),0,1))</f>
        <v/>
      </c>
      <c r="T133" s="46" t="n">
        <v>0.939206983705354</v>
      </c>
      <c r="U133" s="47">
        <f>Calculo!AX131</f>
        <v/>
      </c>
      <c r="V133" s="45">
        <f>IF(AND(ISNUMBER(T133),ISNUMBER(U133)),ABS(U133-T133),IF(ISNUMBER(T133)=ISNUMBER(U133),0,1))</f>
        <v/>
      </c>
      <c r="W133" s="46" t="n">
        <v>0.9474066196705168</v>
      </c>
      <c r="X133" s="47">
        <f>Calculo!AY131</f>
        <v/>
      </c>
      <c r="Y133" s="45">
        <f>IF(AND(ISNUMBER(W133),ISNUMBER(X133)),ABS(X133-W133),IF(ISNUMBER(W133)=ISNUMBER(X133),0,1))</f>
        <v/>
      </c>
      <c r="Z133" s="46" t="n">
        <v>-0.001165381607459796</v>
      </c>
      <c r="AA133" s="47">
        <f>Calculo!BC131</f>
        <v/>
      </c>
      <c r="AB133" s="45">
        <f>IF(AND(ISNUMBER(Z133),ISNUMBER(AA133)),ABS(AA133-Z133),IF(ISNUMBER(Z133)=ISNUMBER(AA133),0,1))</f>
        <v/>
      </c>
    </row>
    <row r="134">
      <c r="A134" s="36">
        <f>Calculo!A132</f>
        <v/>
      </c>
      <c r="B134" s="46" t="n">
        <v>-0.1520858710076218</v>
      </c>
      <c r="C134" s="47">
        <f>Calculo!W132</f>
        <v/>
      </c>
      <c r="D134" s="45">
        <f>IF(AND(ISNUMBER(B134),ISNUMBER(C134)),ABS(C134-B134),IF(ISNUMBER(B134)=ISNUMBER(C134),0,1))</f>
        <v/>
      </c>
      <c r="E134" s="46" t="n">
        <v>1.186271944667325</v>
      </c>
      <c r="F134" s="47">
        <f>Calculo!V132</f>
        <v/>
      </c>
      <c r="G134" s="45">
        <f>IF(AND(ISNUMBER(E134),ISNUMBER(F134)),ABS(F134-E134),IF(ISNUMBER(E134)=ISNUMBER(F134),0,1))</f>
        <v/>
      </c>
      <c r="H134" s="46" t="n">
        <v>-0.1253935252092404</v>
      </c>
      <c r="I134" s="47">
        <f>Calculo!AK132</f>
        <v/>
      </c>
      <c r="J134" s="45">
        <f>IF(AND(ISNUMBER(H134),ISNUMBER(I134)),ABS(I134-H134),IF(ISNUMBER(H134)=ISNUMBER(I134),0,1))</f>
        <v/>
      </c>
      <c r="K134" s="46" t="n">
        <v>0.003446249513048959</v>
      </c>
      <c r="L134" s="47">
        <f>Calculo!AL132</f>
        <v/>
      </c>
      <c r="M134" s="45">
        <f>IF(AND(ISNUMBER(K134),ISNUMBER(L134)),ABS(L134-K134),IF(ISNUMBER(K134)=ISNUMBER(L134),0,1))</f>
        <v/>
      </c>
      <c r="N134" s="46" t="n">
        <v>-0.0519578496345116</v>
      </c>
      <c r="O134" s="47">
        <f>Calculo!AP132</f>
        <v/>
      </c>
      <c r="P134" s="45">
        <f>IF(AND(ISNUMBER(N134),ISNUMBER(O134)),ABS(O134-N134),IF(ISNUMBER(N134)=ISNUMBER(O134),0,1))</f>
        <v/>
      </c>
      <c r="Q134" s="46" t="n">
        <v>0.3718347746656996</v>
      </c>
      <c r="R134" s="47">
        <f>Calculo!AW132</f>
        <v/>
      </c>
      <c r="S134" s="45">
        <f>IF(AND(ISNUMBER(Q134),ISNUMBER(R134)),ABS(R134-Q134),IF(ISNUMBER(Q134)=ISNUMBER(R134),0,1))</f>
        <v/>
      </c>
      <c r="T134" s="46" t="n">
        <v>1.071119105563299</v>
      </c>
      <c r="U134" s="47">
        <f>Calculo!AX132</f>
        <v/>
      </c>
      <c r="V134" s="45">
        <f>IF(AND(ISNUMBER(T134),ISNUMBER(U134)),ABS(U134-T134),IF(ISNUMBER(T134)=ISNUMBER(U134),0,1))</f>
        <v/>
      </c>
      <c r="W134" s="46" t="n">
        <v>0.9861361111915757</v>
      </c>
      <c r="X134" s="47">
        <f>Calculo!AY132</f>
        <v/>
      </c>
      <c r="Y134" s="45">
        <f>IF(AND(ISNUMBER(W134),ISNUMBER(X134)),ABS(X134-W134),IF(ISNUMBER(W134)=ISNUMBER(X134),0,1))</f>
        <v/>
      </c>
      <c r="Z134" s="46" t="n">
        <v>0.001919286084587639</v>
      </c>
      <c r="AA134" s="47">
        <f>Calculo!BC132</f>
        <v/>
      </c>
      <c r="AB134" s="45">
        <f>IF(AND(ISNUMBER(Z134),ISNUMBER(AA134)),ABS(AA134-Z134),IF(ISNUMBER(Z134)=ISNUMBER(AA134),0,1))</f>
        <v/>
      </c>
    </row>
    <row r="135">
      <c r="A135" s="36">
        <f>Calculo!A133</f>
        <v/>
      </c>
      <c r="B135" s="46" t="n">
        <v>-0.002226661076027703</v>
      </c>
      <c r="C135" s="47">
        <f>Calculo!W133</f>
        <v/>
      </c>
      <c r="D135" s="45">
        <f>IF(AND(ISNUMBER(B135),ISNUMBER(C135)),ABS(C135-B135),IF(ISNUMBER(B135)=ISNUMBER(C135),0,1))</f>
        <v/>
      </c>
      <c r="E135" s="46" t="n">
        <v>1.118688134542763</v>
      </c>
      <c r="F135" s="47">
        <f>Calculo!V133</f>
        <v/>
      </c>
      <c r="G135" s="45">
        <f>IF(AND(ISNUMBER(E135),ISNUMBER(F135)),ABS(F135-E135),IF(ISNUMBER(E135)=ISNUMBER(F135),0,1))</f>
        <v/>
      </c>
      <c r="H135" s="46" t="n">
        <v>-0.1717393051380154</v>
      </c>
      <c r="I135" s="47">
        <f>Calculo!AK133</f>
        <v/>
      </c>
      <c r="J135" s="45">
        <f>IF(AND(ISNUMBER(H135),ISNUMBER(I135)),ABS(I135-H135),IF(ISNUMBER(H135)=ISNUMBER(I135),0,1))</f>
        <v/>
      </c>
      <c r="K135" s="46" t="n">
        <v>-0.0002429329674354825</v>
      </c>
      <c r="L135" s="47">
        <f>Calculo!AL133</f>
        <v/>
      </c>
      <c r="M135" s="45">
        <f>IF(AND(ISNUMBER(K135),ISNUMBER(L135)),ABS(L135-K135),IF(ISNUMBER(K135)=ISNUMBER(L135),0,1))</f>
        <v/>
      </c>
      <c r="N135" s="46" t="n">
        <v>-0.1178608604760168</v>
      </c>
      <c r="O135" s="47">
        <f>Calculo!AP133</f>
        <v/>
      </c>
      <c r="P135" s="45">
        <f>IF(AND(ISNUMBER(N135),ISNUMBER(O135)),ABS(O135-N135),IF(ISNUMBER(N135)=ISNUMBER(O135),0,1))</f>
        <v/>
      </c>
      <c r="Q135" s="46" t="n">
        <v>0.8675063072045688</v>
      </c>
      <c r="R135" s="47">
        <f>Calculo!AW133</f>
        <v/>
      </c>
      <c r="S135" s="45">
        <f>IF(AND(ISNUMBER(Q135),ISNUMBER(R135)),ABS(R135-Q135),IF(ISNUMBER(Q135)=ISNUMBER(R135),0,1))</f>
        <v/>
      </c>
      <c r="T135" s="46" t="n">
        <v>1.140020986486764</v>
      </c>
      <c r="U135" s="47">
        <f>Calculo!AX133</f>
        <v/>
      </c>
      <c r="V135" s="45">
        <f>IF(AND(ISNUMBER(T135),ISNUMBER(U135)),ABS(U135-T135),IF(ISNUMBER(T135)=ISNUMBER(U135),0,1))</f>
        <v/>
      </c>
      <c r="W135" s="46" t="n">
        <v>1.050115691918472</v>
      </c>
      <c r="X135" s="47">
        <f>Calculo!AY133</f>
        <v/>
      </c>
      <c r="Y135" s="45">
        <f>IF(AND(ISNUMBER(W135),ISNUMBER(X135)),ABS(X135-W135),IF(ISNUMBER(W135)=ISNUMBER(X135),0,1))</f>
        <v/>
      </c>
      <c r="Z135" s="46" t="n">
        <v>-8.910618340962386e-05</v>
      </c>
      <c r="AA135" s="47">
        <f>Calculo!BC133</f>
        <v/>
      </c>
      <c r="AB135" s="45">
        <f>IF(AND(ISNUMBER(Z135),ISNUMBER(AA135)),ABS(AA135-Z135),IF(ISNUMBER(Z135)=ISNUMBER(AA135),0,1))</f>
        <v/>
      </c>
    </row>
    <row r="136">
      <c r="A136" s="36">
        <f>Calculo!A134</f>
        <v/>
      </c>
      <c r="B136" s="46" t="n">
        <v>0.08428704528858259</v>
      </c>
      <c r="C136" s="47">
        <f>Calculo!W134</f>
        <v/>
      </c>
      <c r="D136" s="45">
        <f>IF(AND(ISNUMBER(B136),ISNUMBER(C136)),ABS(C136-B136),IF(ISNUMBER(B136)=ISNUMBER(C136),0,1))</f>
        <v/>
      </c>
      <c r="E136" s="46" t="n">
        <v>1.086887734321413</v>
      </c>
      <c r="F136" s="47">
        <f>Calculo!V134</f>
        <v/>
      </c>
      <c r="G136" s="45">
        <f>IF(AND(ISNUMBER(E136),ISNUMBER(F136)),ABS(F136-E136),IF(ISNUMBER(E136)=ISNUMBER(F136),0,1))</f>
        <v/>
      </c>
      <c r="H136" s="46" t="n">
        <v>-0.1892659100029921</v>
      </c>
      <c r="I136" s="47">
        <f>Calculo!AK134</f>
        <v/>
      </c>
      <c r="J136" s="45">
        <f>IF(AND(ISNUMBER(H136),ISNUMBER(I136)),ABS(I136-H136),IF(ISNUMBER(H136)=ISNUMBER(I136),0,1))</f>
        <v/>
      </c>
      <c r="K136" s="46" t="n">
        <v>-0.0023808601801323</v>
      </c>
      <c r="L136" s="47">
        <f>Calculo!AL134</f>
        <v/>
      </c>
      <c r="M136" s="45">
        <f>IF(AND(ISNUMBER(K136),ISNUMBER(L136)),ABS(L136-K136),IF(ISNUMBER(K136)=ISNUMBER(L136),0,1))</f>
        <v/>
      </c>
      <c r="N136" s="46" t="n">
        <v>-0.06720258759516161</v>
      </c>
      <c r="O136" s="47">
        <f>Calculo!AP134</f>
        <v/>
      </c>
      <c r="P136" s="45">
        <f>IF(AND(ISNUMBER(N136),ISNUMBER(O136)),ABS(O136-N136),IF(ISNUMBER(N136)=ISNUMBER(O136),0,1))</f>
        <v/>
      </c>
      <c r="Q136" s="46" t="n">
        <v>0.4745870912738917</v>
      </c>
      <c r="R136" s="47">
        <f>Calculo!AW134</f>
        <v/>
      </c>
      <c r="S136" s="45">
        <f>IF(AND(ISNUMBER(Q136),ISNUMBER(R136)),ABS(R136-Q136),IF(ISNUMBER(Q136)=ISNUMBER(R136),0,1))</f>
        <v/>
      </c>
      <c r="T136" s="46" t="n">
        <v>1.088379627656024</v>
      </c>
      <c r="U136" s="47">
        <f>Calculo!AX134</f>
        <v/>
      </c>
      <c r="V136" s="45">
        <f>IF(AND(ISNUMBER(T136),ISNUMBER(U136)),ABS(U136-T136),IF(ISNUMBER(T136)=ISNUMBER(U136),0,1))</f>
        <v/>
      </c>
      <c r="W136" s="46" t="n">
        <v>1.099839906568696</v>
      </c>
      <c r="X136" s="47">
        <f>Calculo!AY134</f>
        <v/>
      </c>
      <c r="Y136" s="45">
        <f>IF(AND(ISNUMBER(W136),ISNUMBER(X136)),ABS(X136-W136),IF(ISNUMBER(W136)=ISNUMBER(X136),0,1))</f>
        <v/>
      </c>
      <c r="Z136" s="46" t="n">
        <v>0.0008960769467829928</v>
      </c>
      <c r="AA136" s="47">
        <f>Calculo!BC134</f>
        <v/>
      </c>
      <c r="AB136" s="45">
        <f>IF(AND(ISNUMBER(Z136),ISNUMBER(AA136)),ABS(AA136-Z136),IF(ISNUMBER(Z136)=ISNUMBER(AA136),0,1))</f>
        <v/>
      </c>
    </row>
    <row r="137">
      <c r="A137" s="36">
        <f>Calculo!A135</f>
        <v/>
      </c>
      <c r="B137" s="46" t="n">
        <v>0.09181675107307322</v>
      </c>
      <c r="C137" s="47">
        <f>Calculo!W135</f>
        <v/>
      </c>
      <c r="D137" s="45">
        <f>IF(AND(ISNUMBER(B137),ISNUMBER(C137)),ABS(C137-B137),IF(ISNUMBER(B137)=ISNUMBER(C137),0,1))</f>
        <v/>
      </c>
      <c r="E137" s="46" t="n">
        <v>1.078236247595447</v>
      </c>
      <c r="F137" s="47">
        <f>Calculo!V135</f>
        <v/>
      </c>
      <c r="G137" s="45">
        <f>IF(AND(ISNUMBER(E137),ISNUMBER(F137)),ABS(F137-E137),IF(ISNUMBER(E137)=ISNUMBER(F137),0,1))</f>
        <v/>
      </c>
      <c r="H137" s="46" t="n">
        <v>-0.2347184694236865</v>
      </c>
      <c r="I137" s="47">
        <f>Calculo!AK135</f>
        <v/>
      </c>
      <c r="J137" s="45">
        <f>IF(AND(ISNUMBER(H137),ISNUMBER(I137)),ABS(I137-H137),IF(ISNUMBER(H137)=ISNUMBER(I137),0,1))</f>
        <v/>
      </c>
      <c r="K137" s="46" t="n">
        <v>0.00402697456899547</v>
      </c>
      <c r="L137" s="47">
        <f>Calculo!AL135</f>
        <v/>
      </c>
      <c r="M137" s="45">
        <f>IF(AND(ISNUMBER(K137),ISNUMBER(L137)),ABS(L137-K137),IF(ISNUMBER(K137)=ISNUMBER(L137),0,1))</f>
        <v/>
      </c>
      <c r="N137" s="46" t="n">
        <v>0.1432380794448481</v>
      </c>
      <c r="O137" s="47">
        <f>Calculo!AP135</f>
        <v/>
      </c>
      <c r="P137" s="45">
        <f>IF(AND(ISNUMBER(N137),ISNUMBER(O137)),ABS(O137-N137),IF(ISNUMBER(N137)=ISNUMBER(O137),0,1))</f>
        <v/>
      </c>
      <c r="Q137" s="46" t="n">
        <v>-1.133809741865771</v>
      </c>
      <c r="R137" s="47">
        <f>Calculo!AW135</f>
        <v/>
      </c>
      <c r="S137" s="45">
        <f>IF(AND(ISNUMBER(Q137),ISNUMBER(R137)),ABS(R137-Q137),IF(ISNUMBER(Q137)=ISNUMBER(R137),0,1))</f>
        <v/>
      </c>
      <c r="T137" s="46" t="n">
        <v>0.8375361769669791</v>
      </c>
      <c r="U137" s="47">
        <f>Calculo!AX135</f>
        <v/>
      </c>
      <c r="V137" s="45">
        <f>IF(AND(ISNUMBER(T137),ISNUMBER(U137)),ABS(U137-T137),IF(ISNUMBER(T137)=ISNUMBER(U137),0,1))</f>
        <v/>
      </c>
      <c r="W137" s="46" t="n">
        <v>1.021978930369922</v>
      </c>
      <c r="X137" s="47">
        <f>Calculo!AY135</f>
        <v/>
      </c>
      <c r="Y137" s="45">
        <f>IF(AND(ISNUMBER(W137),ISNUMBER(X137)),ABS(X137-W137),IF(ISNUMBER(W137)=ISNUMBER(X137),0,1))</f>
        <v/>
      </c>
      <c r="Z137" s="46" t="n">
        <v>0.002167433425518647</v>
      </c>
      <c r="AA137" s="47">
        <f>Calculo!BC135</f>
        <v/>
      </c>
      <c r="AB137" s="45">
        <f>IF(AND(ISNUMBER(Z137),ISNUMBER(AA137)),ABS(AA137-Z137),IF(ISNUMBER(Z137)=ISNUMBER(AA137),0,1))</f>
        <v/>
      </c>
    </row>
    <row r="138">
      <c r="A138" s="36">
        <f>Calculo!A136</f>
        <v/>
      </c>
      <c r="B138" s="46" t="n">
        <v>0.08438553497343124</v>
      </c>
      <c r="C138" s="47">
        <f>Calculo!W136</f>
        <v/>
      </c>
      <c r="D138" s="45">
        <f>IF(AND(ISNUMBER(B138),ISNUMBER(C138)),ABS(C138-B138),IF(ISNUMBER(B138)=ISNUMBER(C138),0,1))</f>
        <v/>
      </c>
      <c r="E138" s="46" t="n">
        <v>1.017717070540129</v>
      </c>
      <c r="F138" s="47">
        <f>Calculo!V136</f>
        <v/>
      </c>
      <c r="G138" s="45">
        <f>IF(AND(ISNUMBER(E138),ISNUMBER(F138)),ABS(F138-E138),IF(ISNUMBER(E138)=ISNUMBER(F138),0,1))</f>
        <v/>
      </c>
      <c r="H138" s="46" t="n">
        <v>-0.2289266076784538</v>
      </c>
      <c r="I138" s="47">
        <f>Calculo!AK136</f>
        <v/>
      </c>
      <c r="J138" s="45">
        <f>IF(AND(ISNUMBER(H138),ISNUMBER(I138)),ABS(I138-H138),IF(ISNUMBER(H138)=ISNUMBER(I138),0,1))</f>
        <v/>
      </c>
      <c r="K138" s="46" t="n">
        <v>0.007281851105451743</v>
      </c>
      <c r="L138" s="47">
        <f>Calculo!AL136</f>
        <v/>
      </c>
      <c r="M138" s="45">
        <f>IF(AND(ISNUMBER(K138),ISNUMBER(L138)),ABS(L138-K138),IF(ISNUMBER(K138)=ISNUMBER(L138),0,1))</f>
        <v/>
      </c>
      <c r="N138" s="46" t="n">
        <v>0.257389299573655</v>
      </c>
      <c r="O138" s="47">
        <f>Calculo!AP136</f>
        <v/>
      </c>
      <c r="P138" s="45">
        <f>IF(AND(ISNUMBER(N138),ISNUMBER(O138)),ABS(O138-N138),IF(ISNUMBER(N138)=ISNUMBER(O138),0,1))</f>
        <v/>
      </c>
      <c r="Q138" s="46" t="n">
        <v>-1.952372656571468</v>
      </c>
      <c r="R138" s="47">
        <f>Calculo!AW136</f>
        <v/>
      </c>
      <c r="S138" s="45">
        <f>IF(AND(ISNUMBER(Q138),ISNUMBER(R138)),ABS(R138-Q138),IF(ISNUMBER(Q138)=ISNUMBER(R138),0,1))</f>
        <v/>
      </c>
      <c r="T138" s="46" t="n">
        <v>0.8078992940644546</v>
      </c>
      <c r="U138" s="47">
        <f>Calculo!AX136</f>
        <v/>
      </c>
      <c r="V138" s="45">
        <f>IF(AND(ISNUMBER(T138),ISNUMBER(U138)),ABS(U138-T138),IF(ISNUMBER(T138)=ISNUMBER(U138),0,1))</f>
        <v/>
      </c>
      <c r="W138" s="46" t="n">
        <v>0.9112716995624858</v>
      </c>
      <c r="X138" s="47">
        <f>Calculo!AY136</f>
        <v/>
      </c>
      <c r="Y138" s="45">
        <f>IF(AND(ISNUMBER(W138),ISNUMBER(X138)),ABS(X138-W138),IF(ISNUMBER(W138)=ISNUMBER(X138),0,1))</f>
        <v/>
      </c>
      <c r="Z138" s="46" t="n">
        <v>0.0002690235088554878</v>
      </c>
      <c r="AA138" s="47">
        <f>Calculo!BC136</f>
        <v/>
      </c>
      <c r="AB138" s="45">
        <f>IF(AND(ISNUMBER(Z138),ISNUMBER(AA138)),ABS(AA138-Z138),IF(ISNUMBER(Z138)=ISNUMBER(AA138),0,1))</f>
        <v/>
      </c>
    </row>
    <row r="139">
      <c r="A139" s="36">
        <f>Calculo!A137</f>
        <v/>
      </c>
      <c r="B139" s="46" t="n">
        <v>0.05022273364380728</v>
      </c>
      <c r="C139" s="47">
        <f>Calculo!W137</f>
        <v/>
      </c>
      <c r="D139" s="45">
        <f>IF(AND(ISNUMBER(B139),ISNUMBER(C139)),ABS(C139-B139),IF(ISNUMBER(B139)=ISNUMBER(C139),0,1))</f>
        <v/>
      </c>
      <c r="E139" s="46" t="n">
        <v>0.9855407183685212</v>
      </c>
      <c r="F139" s="47">
        <f>Calculo!V137</f>
        <v/>
      </c>
      <c r="G139" s="45">
        <f>IF(AND(ISNUMBER(E139),ISNUMBER(F139)),ABS(F139-E139),IF(ISNUMBER(E139)=ISNUMBER(F139),0,1))</f>
        <v/>
      </c>
      <c r="H139" s="46" t="n">
        <v>-0.2204721989244599</v>
      </c>
      <c r="I139" s="47">
        <f>Calculo!AK137</f>
        <v/>
      </c>
      <c r="J139" s="45">
        <f>IF(AND(ISNUMBER(H139),ISNUMBER(I139)),ABS(I139-H139),IF(ISNUMBER(H139)=ISNUMBER(I139),0,1))</f>
        <v/>
      </c>
      <c r="K139" s="46" t="n">
        <v>0.01010037825423145</v>
      </c>
      <c r="L139" s="47">
        <f>Calculo!AL137</f>
        <v/>
      </c>
      <c r="M139" s="45">
        <f>IF(AND(ISNUMBER(K139),ISNUMBER(L139)),ABS(L139-K139),IF(ISNUMBER(K139)=ISNUMBER(L139),0,1))</f>
        <v/>
      </c>
      <c r="N139" s="46" t="n">
        <v>0.2169765464301155</v>
      </c>
      <c r="O139" s="47">
        <f>Calculo!AP137</f>
        <v/>
      </c>
      <c r="P139" s="45">
        <f>IF(AND(ISNUMBER(N139),ISNUMBER(O139)),ABS(O139-N139),IF(ISNUMBER(N139)=ISNUMBER(O139),0,1))</f>
        <v/>
      </c>
      <c r="Q139" s="46" t="n">
        <v>-1.609933761636817</v>
      </c>
      <c r="R139" s="47">
        <f>Calculo!AW137</f>
        <v/>
      </c>
      <c r="S139" s="45">
        <f>IF(AND(ISNUMBER(Q139),ISNUMBER(R139)),ABS(R139-Q139),IF(ISNUMBER(Q139)=ISNUMBER(R139),0,1))</f>
        <v/>
      </c>
      <c r="T139" s="46" t="n">
        <v>0.8153699520025942</v>
      </c>
      <c r="U139" s="47">
        <f>Calculo!AX137</f>
        <v/>
      </c>
      <c r="V139" s="45">
        <f>IF(AND(ISNUMBER(T139),ISNUMBER(U139)),ABS(U139-T139),IF(ISNUMBER(T139)=ISNUMBER(U139),0,1))</f>
        <v/>
      </c>
      <c r="W139" s="46" t="n">
        <v>0.820268474344676</v>
      </c>
      <c r="X139" s="47">
        <f>Calculo!AY137</f>
        <v/>
      </c>
      <c r="Y139" s="45">
        <f>IF(AND(ISNUMBER(W139),ISNUMBER(X139)),ABS(X139-W139),IF(ISNUMBER(W139)=ISNUMBER(X139),0,1))</f>
        <v/>
      </c>
      <c r="Z139" s="46" t="n">
        <v>-0.001390812526903838</v>
      </c>
      <c r="AA139" s="47">
        <f>Calculo!BC137</f>
        <v/>
      </c>
      <c r="AB139" s="45">
        <f>IF(AND(ISNUMBER(Z139),ISNUMBER(AA139)),ABS(AA139-Z139),IF(ISNUMBER(Z139)=ISNUMBER(AA139),0,1))</f>
        <v/>
      </c>
    </row>
    <row r="140">
      <c r="A140" s="36">
        <f>Calculo!A138</f>
        <v/>
      </c>
      <c r="B140" s="46" t="n">
        <v>0.08856810363777769</v>
      </c>
      <c r="C140" s="47">
        <f>Calculo!W138</f>
        <v/>
      </c>
      <c r="D140" s="45">
        <f>IF(AND(ISNUMBER(B140),ISNUMBER(C140)),ABS(C140-B140),IF(ISNUMBER(B140)=ISNUMBER(C140),0,1))</f>
        <v/>
      </c>
      <c r="E140" s="46" t="n">
        <v>0.9721630870703993</v>
      </c>
      <c r="F140" s="47">
        <f>Calculo!V138</f>
        <v/>
      </c>
      <c r="G140" s="45">
        <f>IF(AND(ISNUMBER(E140),ISNUMBER(F140)),ABS(F140-E140),IF(ISNUMBER(E140)=ISNUMBER(F140),0,1))</f>
        <v/>
      </c>
      <c r="H140" s="46" t="n">
        <v>-0.2159986815644772</v>
      </c>
      <c r="I140" s="47">
        <f>Calculo!AK138</f>
        <v/>
      </c>
      <c r="J140" s="45">
        <f>IF(AND(ISNUMBER(H140),ISNUMBER(I140)),ABS(I140-H140),IF(ISNUMBER(H140)=ISNUMBER(I140),0,1))</f>
        <v/>
      </c>
      <c r="K140" s="46" t="n">
        <v>0.01121577565141318</v>
      </c>
      <c r="L140" s="47">
        <f>Calculo!AL138</f>
        <v/>
      </c>
      <c r="M140" s="45">
        <f>IF(AND(ISNUMBER(K140),ISNUMBER(L140)),ABS(L140-K140),IF(ISNUMBER(K140)=ISNUMBER(L140),0,1))</f>
        <v/>
      </c>
      <c r="N140" s="46" t="n">
        <v>0.1724452386267887</v>
      </c>
      <c r="O140" s="47">
        <f>Calculo!AP138</f>
        <v/>
      </c>
      <c r="P140" s="45">
        <f>IF(AND(ISNUMBER(N140),ISNUMBER(O140)),ABS(O140-N140),IF(ISNUMBER(N140)=ISNUMBER(O140),0,1))</f>
        <v/>
      </c>
      <c r="Q140" s="46" t="n">
        <v>-1.256403047169787</v>
      </c>
      <c r="R140" s="47">
        <f>Calculo!AW138</f>
        <v/>
      </c>
      <c r="S140" s="45">
        <f>IF(AND(ISNUMBER(Q140),ISNUMBER(R140)),ABS(R140-Q140),IF(ISNUMBER(Q140)=ISNUMBER(R140),0,1))</f>
        <v/>
      </c>
      <c r="T140" s="46" t="n">
        <v>0.8299861149010631</v>
      </c>
      <c r="U140" s="47">
        <f>Calculo!AX138</f>
        <v/>
      </c>
      <c r="V140" s="45">
        <f>IF(AND(ISNUMBER(T140),ISNUMBER(U140)),ABS(U140-T140),IF(ISNUMBER(T140)=ISNUMBER(U140),0,1))</f>
        <v/>
      </c>
      <c r="W140" s="46" t="n">
        <v>0.8177517869893706</v>
      </c>
      <c r="X140" s="47">
        <f>Calculo!AY138</f>
        <v/>
      </c>
      <c r="Y140" s="45">
        <f>IF(AND(ISNUMBER(W140),ISNUMBER(X140)),ABS(X140-W140),IF(ISNUMBER(W140)=ISNUMBER(X140),0,1))</f>
        <v/>
      </c>
      <c r="Z140" s="46" t="n">
        <v>-0.004207128160848684</v>
      </c>
      <c r="AA140" s="47">
        <f>Calculo!BC138</f>
        <v/>
      </c>
      <c r="AB140" s="45">
        <f>IF(AND(ISNUMBER(Z140),ISNUMBER(AA140)),ABS(AA140-Z140),IF(ISNUMBER(Z140)=ISNUMBER(AA140),0,1))</f>
        <v/>
      </c>
    </row>
    <row r="141">
      <c r="A141" s="36">
        <f>Calculo!A139</f>
        <v/>
      </c>
      <c r="B141" s="46" t="n">
        <v>0.02742673033396302</v>
      </c>
      <c r="C141" s="47">
        <f>Calculo!W139</f>
        <v/>
      </c>
      <c r="D141" s="45">
        <f>IF(AND(ISNUMBER(B141),ISNUMBER(C141)),ABS(C141-B141),IF(ISNUMBER(B141)=ISNUMBER(C141),0,1))</f>
        <v/>
      </c>
      <c r="E141" s="46" t="n">
        <v>0.9838029537778702</v>
      </c>
      <c r="F141" s="47">
        <f>Calculo!V139</f>
        <v/>
      </c>
      <c r="G141" s="45">
        <f>IF(AND(ISNUMBER(E141),ISNUMBER(F141)),ABS(F141-E141),IF(ISNUMBER(E141)=ISNUMBER(F141),0,1))</f>
        <v/>
      </c>
      <c r="H141" s="46" t="n">
        <v>-0.2280572334906116</v>
      </c>
      <c r="I141" s="47">
        <f>Calculo!AK139</f>
        <v/>
      </c>
      <c r="J141" s="45">
        <f>IF(AND(ISNUMBER(H141),ISNUMBER(I141)),ABS(I141-H141),IF(ISNUMBER(H141)=ISNUMBER(I141),0,1))</f>
        <v/>
      </c>
      <c r="K141" s="46" t="n">
        <v>0.01197538674551923</v>
      </c>
      <c r="L141" s="47">
        <f>Calculo!AL139</f>
        <v/>
      </c>
      <c r="M141" s="45">
        <f>IF(AND(ISNUMBER(K141),ISNUMBER(L141)),ABS(L141-K141),IF(ISNUMBER(K141)=ISNUMBER(L141),0,1))</f>
        <v/>
      </c>
      <c r="N141" s="46" t="n">
        <v>0.1043941096714133</v>
      </c>
      <c r="O141" s="47">
        <f>Calculo!AP139</f>
        <v/>
      </c>
      <c r="P141" s="45">
        <f>IF(AND(ISNUMBER(N141),ISNUMBER(O141)),ABS(O141-N141),IF(ISNUMBER(N141)=ISNUMBER(O141),0,1))</f>
        <v/>
      </c>
      <c r="Q141" s="46" t="n">
        <v>-0.7417438917441195</v>
      </c>
      <c r="R141" s="47">
        <f>Calculo!AW139</f>
        <v/>
      </c>
      <c r="S141" s="45">
        <f>IF(AND(ISNUMBER(Q141),ISNUMBER(R141)),ABS(R141-Q141),IF(ISNUMBER(Q141)=ISNUMBER(R141),0,1))</f>
        <v/>
      </c>
      <c r="T141" s="46" t="n">
        <v>0.8739604752394354</v>
      </c>
      <c r="U141" s="47">
        <f>Calculo!AX139</f>
        <v/>
      </c>
      <c r="V141" s="45">
        <f>IF(AND(ISNUMBER(T141),ISNUMBER(U141)),ABS(U141-T141),IF(ISNUMBER(T141)=ISNUMBER(U141),0,1))</f>
        <v/>
      </c>
      <c r="W141" s="46" t="n">
        <v>0.8397721807143643</v>
      </c>
      <c r="X141" s="47">
        <f>Calculo!AY139</f>
        <v/>
      </c>
      <c r="Y141" s="45">
        <f>IF(AND(ISNUMBER(W141),ISNUMBER(X141)),ABS(X141-W141),IF(ISNUMBER(W141)=ISNUMBER(X141),0,1))</f>
        <v/>
      </c>
      <c r="Z141" s="46" t="n">
        <v>-0.00125590986641056</v>
      </c>
      <c r="AA141" s="47">
        <f>Calculo!BC139</f>
        <v/>
      </c>
      <c r="AB141" s="45">
        <f>IF(AND(ISNUMBER(Z141),ISNUMBER(AA141)),ABS(AA141-Z141),IF(ISNUMBER(Z141)=ISNUMBER(AA141),0,1))</f>
        <v/>
      </c>
    </row>
    <row r="142">
      <c r="A142" s="36">
        <f>Calculo!A140</f>
        <v/>
      </c>
      <c r="B142" s="46" t="n">
        <v>-0.1571406999832945</v>
      </c>
      <c r="C142" s="47">
        <f>Calculo!W140</f>
        <v/>
      </c>
      <c r="D142" s="45">
        <f>IF(AND(ISNUMBER(B142),ISNUMBER(C142)),ABS(C142-B142),IF(ISNUMBER(B142)=ISNUMBER(C142),0,1))</f>
        <v/>
      </c>
      <c r="E142" s="46" t="n">
        <v>0.9859577728378757</v>
      </c>
      <c r="F142" s="47">
        <f>Calculo!V140</f>
        <v/>
      </c>
      <c r="G142" s="45">
        <f>IF(AND(ISNUMBER(E142),ISNUMBER(F142)),ABS(F142-E142),IF(ISNUMBER(E142)=ISNUMBER(F142),0,1))</f>
        <v/>
      </c>
      <c r="H142" s="46" t="n">
        <v>-0.2296903780939503</v>
      </c>
      <c r="I142" s="47">
        <f>Calculo!AK140</f>
        <v/>
      </c>
      <c r="J142" s="45">
        <f>IF(AND(ISNUMBER(H142),ISNUMBER(I142)),ABS(I142-H142),IF(ISNUMBER(H142)=ISNUMBER(I142),0,1))</f>
        <v/>
      </c>
      <c r="K142" s="46" t="n">
        <v>0.01174325040596565</v>
      </c>
      <c r="L142" s="47">
        <f>Calculo!AL140</f>
        <v/>
      </c>
      <c r="M142" s="45">
        <f>IF(AND(ISNUMBER(K142),ISNUMBER(L142)),ABS(L142-K142),IF(ISNUMBER(K142)=ISNUMBER(L142),0,1))</f>
        <v/>
      </c>
      <c r="N142" s="46" t="n">
        <v>-0.121250562847395</v>
      </c>
      <c r="O142" s="47">
        <f>Calculo!AP140</f>
        <v/>
      </c>
      <c r="P142" s="45">
        <f>IF(AND(ISNUMBER(N142),ISNUMBER(O142)),ABS(O142-N142),IF(ISNUMBER(N142)=ISNUMBER(O142),0,1))</f>
        <v/>
      </c>
      <c r="Q142" s="46" t="n">
        <v>0.9358855065459666</v>
      </c>
      <c r="R142" s="47">
        <f>Calculo!AW140</f>
        <v/>
      </c>
      <c r="S142" s="45">
        <f>IF(AND(ISNUMBER(Q142),ISNUMBER(R142)),ABS(R142-Q142),IF(ISNUMBER(Q142)=ISNUMBER(R142),0,1))</f>
        <v/>
      </c>
      <c r="T142" s="46" t="n">
        <v>1.146665226189671</v>
      </c>
      <c r="U142" s="47">
        <f>Calculo!AX140</f>
        <v/>
      </c>
      <c r="V142" s="45">
        <f>IF(AND(ISNUMBER(T142),ISNUMBER(U142)),ABS(U142-T142),IF(ISNUMBER(T142)=ISNUMBER(U142),0,1))</f>
        <v/>
      </c>
      <c r="W142" s="46" t="n">
        <v>0.9502039387767235</v>
      </c>
      <c r="X142" s="47">
        <f>Calculo!AY140</f>
        <v/>
      </c>
      <c r="Y142" s="45">
        <f>IF(AND(ISNUMBER(W142),ISNUMBER(X142)),ABS(X142-W142),IF(ISNUMBER(W142)=ISNUMBER(X142),0,1))</f>
        <v/>
      </c>
      <c r="Z142" s="46" t="n">
        <v>0.006239526935522917</v>
      </c>
      <c r="AA142" s="47">
        <f>Calculo!BC140</f>
        <v/>
      </c>
      <c r="AB142" s="45">
        <f>IF(AND(ISNUMBER(Z142),ISNUMBER(AA142)),ABS(AA142-Z142),IF(ISNUMBER(Z142)=ISNUMBER(AA142),0,1))</f>
        <v/>
      </c>
    </row>
    <row r="143">
      <c r="A143" s="36">
        <f>Calculo!A141</f>
        <v/>
      </c>
      <c r="B143" s="46" t="n">
        <v>-0.03453711869471669</v>
      </c>
      <c r="C143" s="47">
        <f>Calculo!W141</f>
        <v/>
      </c>
      <c r="D143" s="45">
        <f>IF(AND(ISNUMBER(B143),ISNUMBER(C143)),ABS(C143-B143),IF(ISNUMBER(B143)=ISNUMBER(C143),0,1))</f>
        <v/>
      </c>
      <c r="E143" s="46" t="n">
        <v>0.9413579199955765</v>
      </c>
      <c r="F143" s="47">
        <f>Calculo!V141</f>
        <v/>
      </c>
      <c r="G143" s="45">
        <f>IF(AND(ISNUMBER(E143),ISNUMBER(F143)),ABS(F143-E143),IF(ISNUMBER(E143)=ISNUMBER(F143),0,1))</f>
        <v/>
      </c>
      <c r="H143" s="46" t="n">
        <v>-0.2250700724468118</v>
      </c>
      <c r="I143" s="47">
        <f>Calculo!AK141</f>
        <v/>
      </c>
      <c r="J143" s="45">
        <f>IF(AND(ISNUMBER(H143),ISNUMBER(I143)),ABS(I143-H143),IF(ISNUMBER(H143)=ISNUMBER(I143),0,1))</f>
        <v/>
      </c>
      <c r="K143" s="46" t="n">
        <v>0.00610404167804659</v>
      </c>
      <c r="L143" s="47">
        <f>Calculo!AL141</f>
        <v/>
      </c>
      <c r="M143" s="45">
        <f>IF(AND(ISNUMBER(K143),ISNUMBER(L143)),ABS(L143-K143),IF(ISNUMBER(K143)=ISNUMBER(L143),0,1))</f>
        <v/>
      </c>
      <c r="N143" s="46" t="n">
        <v>-0.2004941043756212</v>
      </c>
      <c r="O143" s="47">
        <f>Calculo!AP141</f>
        <v/>
      </c>
      <c r="P143" s="45">
        <f>IF(AND(ISNUMBER(N143),ISNUMBER(O143)),ABS(O143-N143),IF(ISNUMBER(N143)=ISNUMBER(O143),0,1))</f>
        <v/>
      </c>
      <c r="Q143" s="46" t="n">
        <v>1.49983526097264</v>
      </c>
      <c r="R143" s="47">
        <f>Calculo!AW141</f>
        <v/>
      </c>
      <c r="S143" s="45">
        <f>IF(AND(ISNUMBER(Q143),ISNUMBER(R143)),ABS(R143-Q143),IF(ISNUMBER(Q143)=ISNUMBER(R143),0,1))</f>
        <v/>
      </c>
      <c r="T143" s="46" t="n">
        <v>1.181023695953904</v>
      </c>
      <c r="U143" s="47">
        <f>Calculo!AX141</f>
        <v/>
      </c>
      <c r="V143" s="45">
        <f>IF(AND(ISNUMBER(T143),ISNUMBER(U143)),ABS(U143-T143),IF(ISNUMBER(T143)=ISNUMBER(U143),0,1))</f>
        <v/>
      </c>
      <c r="W143" s="46" t="n">
        <v>1.067216465794337</v>
      </c>
      <c r="X143" s="47">
        <f>Calculo!AY141</f>
        <v/>
      </c>
      <c r="Y143" s="45">
        <f>IF(AND(ISNUMBER(W143),ISNUMBER(X143)),ABS(X143-W143),IF(ISNUMBER(W143)=ISNUMBER(X143),0,1))</f>
        <v/>
      </c>
      <c r="Z143" s="46" t="n">
        <v>0.0001538737240935221</v>
      </c>
      <c r="AA143" s="47">
        <f>Calculo!BC141</f>
        <v/>
      </c>
      <c r="AB143" s="45">
        <f>IF(AND(ISNUMBER(Z143),ISNUMBER(AA143)),ABS(AA143-Z143),IF(ISNUMBER(Z143)=ISNUMBER(AA143),0,1))</f>
        <v/>
      </c>
    </row>
    <row r="144">
      <c r="A144" s="36">
        <f>Calculo!A142</f>
        <v/>
      </c>
      <c r="B144" s="46" t="n">
        <v>-0.02851454625590718</v>
      </c>
      <c r="C144" s="47">
        <f>Calculo!W142</f>
        <v/>
      </c>
      <c r="D144" s="45">
        <f>IF(AND(ISNUMBER(B144),ISNUMBER(C144)),ABS(C144-B144),IF(ISNUMBER(B144)=ISNUMBER(C144),0,1))</f>
        <v/>
      </c>
      <c r="E144" s="46" t="n">
        <v>0.9550958098692865</v>
      </c>
      <c r="F144" s="47">
        <f>Calculo!V142</f>
        <v/>
      </c>
      <c r="G144" s="45">
        <f>IF(AND(ISNUMBER(E144),ISNUMBER(F144)),ABS(F144-E144),IF(ISNUMBER(E144)=ISNUMBER(F144),0,1))</f>
        <v/>
      </c>
      <c r="H144" s="46" t="n">
        <v>-0.2401664109595467</v>
      </c>
      <c r="I144" s="47">
        <f>Calculo!AK142</f>
        <v/>
      </c>
      <c r="J144" s="45">
        <f>IF(AND(ISNUMBER(H144),ISNUMBER(I144)),ABS(I144-H144),IF(ISNUMBER(H144)=ISNUMBER(I144),0,1))</f>
        <v/>
      </c>
      <c r="K144" s="46" t="n">
        <v>0.003992333304886116</v>
      </c>
      <c r="L144" s="47">
        <f>Calculo!AL142</f>
        <v/>
      </c>
      <c r="M144" s="45">
        <f>IF(AND(ISNUMBER(K144),ISNUMBER(L144)),ABS(L144-K144),IF(ISNUMBER(K144)=ISNUMBER(L144),0,1))</f>
        <v/>
      </c>
      <c r="N144" s="46" t="n">
        <v>-0.2407771667574791</v>
      </c>
      <c r="O144" s="47">
        <f>Calculo!AP142</f>
        <v/>
      </c>
      <c r="P144" s="45">
        <f>IF(AND(ISNUMBER(N144),ISNUMBER(O144)),ABS(O144-N144),IF(ISNUMBER(N144)=ISNUMBER(O144),0,1))</f>
        <v/>
      </c>
      <c r="Q144" s="46" t="n">
        <v>1.756117738637616</v>
      </c>
      <c r="R144" s="47">
        <f>Calculo!AW142</f>
        <v/>
      </c>
      <c r="S144" s="45">
        <f>IF(AND(ISNUMBER(Q144),ISNUMBER(R144)),ABS(R144-Q144),IF(ISNUMBER(Q144)=ISNUMBER(R144),0,1))</f>
        <v/>
      </c>
      <c r="T144" s="46" t="n">
        <v>1.188413563125795</v>
      </c>
      <c r="U144" s="47">
        <f>Calculo!AX142</f>
        <v/>
      </c>
      <c r="V144" s="45">
        <f>IF(AND(ISNUMBER(T144),ISNUMBER(U144)),ABS(U144-T144),IF(ISNUMBER(T144)=ISNUMBER(U144),0,1))</f>
        <v/>
      </c>
      <c r="W144" s="46" t="n">
        <v>1.172034161756457</v>
      </c>
      <c r="X144" s="47">
        <f>Calculo!AY142</f>
        <v/>
      </c>
      <c r="Y144" s="45">
        <f>IF(AND(ISNUMBER(W144),ISNUMBER(X144)),ABS(X144-W144),IF(ISNUMBER(W144)=ISNUMBER(X144),0,1))</f>
        <v/>
      </c>
      <c r="Z144" s="46" t="n">
        <v>-0.0007716930733068425</v>
      </c>
      <c r="AA144" s="47">
        <f>Calculo!BC142</f>
        <v/>
      </c>
      <c r="AB144" s="45">
        <f>IF(AND(ISNUMBER(Z144),ISNUMBER(AA144)),ABS(AA144-Z144),IF(ISNUMBER(Z144)=ISNUMBER(AA144),0,1))</f>
        <v/>
      </c>
    </row>
    <row r="145">
      <c r="A145" s="36">
        <f>Calculo!A143</f>
        <v/>
      </c>
      <c r="B145" s="46" t="n">
        <v>0.02411141568405108</v>
      </c>
      <c r="C145" s="47">
        <f>Calculo!W143</f>
        <v/>
      </c>
      <c r="D145" s="45">
        <f>IF(AND(ISNUMBER(B145),ISNUMBER(C145)),ABS(C145-B145),IF(ISNUMBER(B145)=ISNUMBER(C145),0,1))</f>
        <v/>
      </c>
      <c r="E145" s="46" t="n">
        <v>0.9519206123523756</v>
      </c>
      <c r="F145" s="47">
        <f>Calculo!V143</f>
        <v/>
      </c>
      <c r="G145" s="45">
        <f>IF(AND(ISNUMBER(E145),ISNUMBER(F145)),ABS(F145-E145),IF(ISNUMBER(E145)=ISNUMBER(F145),0,1))</f>
        <v/>
      </c>
      <c r="H145" s="46" t="n">
        <v>-0.2595734257313826</v>
      </c>
      <c r="I145" s="47">
        <f>Calculo!AK143</f>
        <v/>
      </c>
      <c r="J145" s="45">
        <f>IF(AND(ISNUMBER(H145),ISNUMBER(I145)),ABS(I145-H145),IF(ISNUMBER(H145)=ISNUMBER(I145),0,1))</f>
        <v/>
      </c>
      <c r="K145" s="46" t="n">
        <v>0.005016944673693466</v>
      </c>
      <c r="L145" s="47">
        <f>Calculo!AL143</f>
        <v/>
      </c>
      <c r="M145" s="45">
        <f>IF(AND(ISNUMBER(K145),ISNUMBER(L145)),ABS(L145-K145),IF(ISNUMBER(K145)=ISNUMBER(L145),0,1))</f>
        <v/>
      </c>
      <c r="N145" s="46" t="n">
        <v>-0.04976936063210496</v>
      </c>
      <c r="O145" s="47">
        <f>Calculo!AP143</f>
        <v/>
      </c>
      <c r="P145" s="45">
        <f>IF(AND(ISNUMBER(N145),ISNUMBER(O145)),ABS(O145-N145),IF(ISNUMBER(N145)=ISNUMBER(O145),0,1))</f>
        <v/>
      </c>
      <c r="Q145" s="46" t="n">
        <v>0.3526016066026612</v>
      </c>
      <c r="R145" s="47">
        <f>Calculo!AW143</f>
        <v/>
      </c>
      <c r="S145" s="45">
        <f>IF(AND(ISNUMBER(Q145),ISNUMBER(R145)),ABS(R145-Q145),IF(ISNUMBER(Q145)=ISNUMBER(R145),0,1))</f>
        <v/>
      </c>
      <c r="T145" s="46" t="n">
        <v>1.067736152100446</v>
      </c>
      <c r="U145" s="47">
        <f>Calculo!AX143</f>
        <v/>
      </c>
      <c r="V145" s="45">
        <f>IF(AND(ISNUMBER(T145),ISNUMBER(U145)),ABS(U145-T145),IF(ISNUMBER(T145)=ISNUMBER(U145),0,1))</f>
        <v/>
      </c>
      <c r="W145" s="46" t="n">
        <v>1.145724470393382</v>
      </c>
      <c r="X145" s="47">
        <f>Calculo!AY143</f>
        <v/>
      </c>
      <c r="Y145" s="45">
        <f>IF(AND(ISNUMBER(W145),ISNUMBER(X145)),ABS(X145-W145),IF(ISNUMBER(W145)=ISNUMBER(X145),0,1))</f>
        <v/>
      </c>
      <c r="Z145" s="46" t="n">
        <v>0.0007749525565865047</v>
      </c>
      <c r="AA145" s="47">
        <f>Calculo!BC143</f>
        <v/>
      </c>
      <c r="AB145" s="45">
        <f>IF(AND(ISNUMBER(Z145),ISNUMBER(AA145)),ABS(AA145-Z145),IF(ISNUMBER(Z145)=ISNUMBER(AA145),0,1))</f>
        <v/>
      </c>
    </row>
    <row r="146">
      <c r="A146" s="36">
        <f>Calculo!A144</f>
        <v/>
      </c>
      <c r="B146" s="46" t="n">
        <v>0.10844308903191</v>
      </c>
      <c r="C146" s="47">
        <f>Calculo!W144</f>
        <v/>
      </c>
      <c r="D146" s="45">
        <f>IF(AND(ISNUMBER(B146),ISNUMBER(C146)),ABS(C146-B146),IF(ISNUMBER(B146)=ISNUMBER(C146),0,1))</f>
        <v/>
      </c>
      <c r="E146" s="46" t="n">
        <v>0.9485932442613529</v>
      </c>
      <c r="F146" s="47">
        <f>Calculo!V144</f>
        <v/>
      </c>
      <c r="G146" s="45">
        <f>IF(AND(ISNUMBER(E146),ISNUMBER(F146)),ABS(F146-E146),IF(ISNUMBER(E146)=ISNUMBER(F146),0,1))</f>
        <v/>
      </c>
      <c r="H146" s="46" t="n">
        <v>-0.2587382704488697</v>
      </c>
      <c r="I146" s="47">
        <f>Calculo!AK144</f>
        <v/>
      </c>
      <c r="J146" s="45">
        <f>IF(AND(ISNUMBER(H146),ISNUMBER(I146)),ABS(I146-H146),IF(ISNUMBER(H146)=ISNUMBER(I146),0,1))</f>
        <v/>
      </c>
      <c r="K146" s="46" t="n">
        <v>0.00632582711356144</v>
      </c>
      <c r="L146" s="47">
        <f>Calculo!AL144</f>
        <v/>
      </c>
      <c r="M146" s="45">
        <f>IF(AND(ISNUMBER(K146),ISNUMBER(L146)),ABS(L146-K146),IF(ISNUMBER(K146)=ISNUMBER(L146),0,1))</f>
        <v/>
      </c>
      <c r="N146" s="46" t="n">
        <v>0.08035452763056673</v>
      </c>
      <c r="O146" s="47">
        <f>Calculo!AP144</f>
        <v/>
      </c>
      <c r="P146" s="45">
        <f>IF(AND(ISNUMBER(N146),ISNUMBER(O146)),ABS(O146-N146),IF(ISNUMBER(N146)=ISNUMBER(O146),0,1))</f>
        <v/>
      </c>
      <c r="Q146" s="46" t="n">
        <v>-0.6022080419918924</v>
      </c>
      <c r="R146" s="47">
        <f>Calculo!AW144</f>
        <v/>
      </c>
      <c r="S146" s="45">
        <f>IF(AND(ISNUMBER(Q146),ISNUMBER(R146)),ABS(R146-Q146),IF(ISNUMBER(Q146)=ISNUMBER(R146),0,1))</f>
        <v/>
      </c>
      <c r="T146" s="46" t="n">
        <v>0.8922762205855216</v>
      </c>
      <c r="U146" s="47">
        <f>Calculo!AX144</f>
        <v/>
      </c>
      <c r="V146" s="45">
        <f>IF(AND(ISNUMBER(T146),ISNUMBER(U146)),ABS(U146-T146),IF(ISNUMBER(T146)=ISNUMBER(U146),0,1))</f>
        <v/>
      </c>
      <c r="W146" s="46" t="n">
        <v>1.049475311937254</v>
      </c>
      <c r="X146" s="47">
        <f>Calculo!AY144</f>
        <v/>
      </c>
      <c r="Y146" s="45">
        <f>IF(AND(ISNUMBER(W146),ISNUMBER(X146)),ABS(X146-W146),IF(ISNUMBER(W146)=ISNUMBER(X146),0,1))</f>
        <v/>
      </c>
      <c r="Z146" s="46" t="n">
        <v>0.00388492870084167</v>
      </c>
      <c r="AA146" s="47">
        <f>Calculo!BC144</f>
        <v/>
      </c>
      <c r="AB146" s="45">
        <f>IF(AND(ISNUMBER(Z146),ISNUMBER(AA146)),ABS(AA146-Z146),IF(ISNUMBER(Z146)=ISNUMBER(AA146),0,1))</f>
        <v/>
      </c>
    </row>
    <row r="147">
      <c r="A147" s="36">
        <f>Calculo!A145</f>
        <v/>
      </c>
      <c r="B147" s="46" t="n">
        <v>0.01571605973948352</v>
      </c>
      <c r="C147" s="47">
        <f>Calculo!W145</f>
        <v/>
      </c>
      <c r="D147" s="45">
        <f>IF(AND(ISNUMBER(B147),ISNUMBER(C147)),ABS(C147-B147),IF(ISNUMBER(B147)=ISNUMBER(C147),0,1))</f>
        <v/>
      </c>
      <c r="E147" s="46" t="n">
        <v>0.9375228266677943</v>
      </c>
      <c r="F147" s="47">
        <f>Calculo!V145</f>
        <v/>
      </c>
      <c r="G147" s="45">
        <f>IF(AND(ISNUMBER(E147),ISNUMBER(F147)),ABS(F147-E147),IF(ISNUMBER(E147)=ISNUMBER(F147),0,1))</f>
        <v/>
      </c>
      <c r="H147" s="46" t="n">
        <v>-0.2655549707187516</v>
      </c>
      <c r="I147" s="47">
        <f>Calculo!AK145</f>
        <v/>
      </c>
      <c r="J147" s="45">
        <f>IF(AND(ISNUMBER(H147),ISNUMBER(I147)),ABS(I147-H147),IF(ISNUMBER(H147)=ISNUMBER(I147),0,1))</f>
        <v/>
      </c>
      <c r="K147" s="46" t="n">
        <v>0.008722075874721461</v>
      </c>
      <c r="L147" s="47">
        <f>Calculo!AL145</f>
        <v/>
      </c>
      <c r="M147" s="45">
        <f>IF(AND(ISNUMBER(K147),ISNUMBER(L147)),ABS(L147-K147),IF(ISNUMBER(K147)=ISNUMBER(L147),0,1))</f>
        <v/>
      </c>
      <c r="N147" s="46" t="n">
        <v>0.1113207589608505</v>
      </c>
      <c r="O147" s="47">
        <f>Calculo!AP145</f>
        <v/>
      </c>
      <c r="P147" s="45">
        <f>IF(AND(ISNUMBER(N147),ISNUMBER(O147)),ABS(O147-N147),IF(ISNUMBER(N147)=ISNUMBER(O147),0,1))</f>
        <v/>
      </c>
      <c r="Q147" s="46" t="n">
        <v>-0.8235906445242053</v>
      </c>
      <c r="R147" s="47">
        <f>Calculo!AW145</f>
        <v/>
      </c>
      <c r="S147" s="45">
        <f>IF(AND(ISNUMBER(Q147),ISNUMBER(R147)),ABS(R147-Q147),IF(ISNUMBER(Q147)=ISNUMBER(R147),0,1))</f>
        <v/>
      </c>
      <c r="T147" s="46" t="n">
        <v>0.8645961081642624</v>
      </c>
      <c r="U147" s="47">
        <f>Calculo!AX145</f>
        <v/>
      </c>
      <c r="V147" s="45">
        <f>IF(AND(ISNUMBER(T147),ISNUMBER(U147)),ABS(U147-T147),IF(ISNUMBER(T147)=ISNUMBER(U147),0,1))</f>
        <v/>
      </c>
      <c r="W147" s="46" t="n">
        <v>0.9415361602834101</v>
      </c>
      <c r="X147" s="47">
        <f>Calculo!AY145</f>
        <v/>
      </c>
      <c r="Y147" s="45">
        <f>IF(AND(ISNUMBER(W147),ISNUMBER(X147)),ABS(X147-W147),IF(ISNUMBER(W147)=ISNUMBER(X147),0,1))</f>
        <v/>
      </c>
      <c r="Z147" s="46" t="n">
        <v>-4.623365663145173e-05</v>
      </c>
      <c r="AA147" s="47">
        <f>Calculo!BC145</f>
        <v/>
      </c>
      <c r="AB147" s="45">
        <f>IF(AND(ISNUMBER(Z147),ISNUMBER(AA147)),ABS(AA147-Z147),IF(ISNUMBER(Z147)=ISNUMBER(AA147),0,1))</f>
        <v/>
      </c>
    </row>
    <row r="148">
      <c r="A148" s="36">
        <f>Calculo!A146</f>
        <v/>
      </c>
      <c r="B148" s="46" t="n">
        <v>0.1653095626193155</v>
      </c>
      <c r="C148" s="47">
        <f>Calculo!W146</f>
        <v/>
      </c>
      <c r="D148" s="45">
        <f>IF(AND(ISNUMBER(B148),ISNUMBER(C148)),ABS(C148-B148),IF(ISNUMBER(B148)=ISNUMBER(C148),0,1))</f>
        <v/>
      </c>
      <c r="E148" s="46" t="n">
        <v>0.9413104794923778</v>
      </c>
      <c r="F148" s="47">
        <f>Calculo!V146</f>
        <v/>
      </c>
      <c r="G148" s="45">
        <f>IF(AND(ISNUMBER(E148),ISNUMBER(F148)),ABS(F148-E148),IF(ISNUMBER(E148)=ISNUMBER(F148),0,1))</f>
        <v/>
      </c>
      <c r="H148" s="46" t="n">
        <v>-0.2552208973342107</v>
      </c>
      <c r="I148" s="47">
        <f>Calculo!AK146</f>
        <v/>
      </c>
      <c r="J148" s="45">
        <f>IF(AND(ISNUMBER(H148),ISNUMBER(I148)),ABS(I148-H148),IF(ISNUMBER(H148)=ISNUMBER(I148),0,1))</f>
        <v/>
      </c>
      <c r="K148" s="46" t="n">
        <v>0.008300287095781279</v>
      </c>
      <c r="L148" s="47">
        <f>Calculo!AL146</f>
        <v/>
      </c>
      <c r="M148" s="45">
        <f>IF(AND(ISNUMBER(K148),ISNUMBER(L148)),ABS(L148-K148),IF(ISNUMBER(K148)=ISNUMBER(L148),0,1))</f>
        <v/>
      </c>
      <c r="N148" s="46" t="n">
        <v>0.2075498427426689</v>
      </c>
      <c r="O148" s="47">
        <f>Calculo!AP146</f>
        <v/>
      </c>
      <c r="P148" s="45">
        <f>IF(AND(ISNUMBER(N148),ISNUMBER(O148)),ABS(O148-N148),IF(ISNUMBER(N148)=ISNUMBER(O148),0,1))</f>
        <v/>
      </c>
      <c r="Q148" s="46" t="n">
        <v>-1.508917475675868</v>
      </c>
      <c r="R148" s="47">
        <f>Calculo!AW146</f>
        <v/>
      </c>
      <c r="S148" s="45">
        <f>IF(AND(ISNUMBER(Q148),ISNUMBER(R148)),ABS(R148-Q148),IF(ISNUMBER(Q148)=ISNUMBER(R148),0,1))</f>
        <v/>
      </c>
      <c r="T148" s="46" t="n">
        <v>0.8186506488399067</v>
      </c>
      <c r="U148" s="47">
        <f>Calculo!AX146</f>
        <v/>
      </c>
      <c r="V148" s="45">
        <f>IF(AND(ISNUMBER(T148),ISNUMBER(U148)),ABS(U148-T148),IF(ISNUMBER(T148)=ISNUMBER(U148),0,1))</f>
        <v/>
      </c>
      <c r="W148" s="46" t="n">
        <v>0.8585076591965636</v>
      </c>
      <c r="X148" s="47">
        <f>Calculo!AY146</f>
        <v/>
      </c>
      <c r="Y148" s="45">
        <f>IF(AND(ISNUMBER(W148),ISNUMBER(X148)),ABS(X148-W148),IF(ISNUMBER(W148)=ISNUMBER(X148),0,1))</f>
        <v/>
      </c>
      <c r="Z148" s="46" t="n">
        <v>-0.002686005822283418</v>
      </c>
      <c r="AA148" s="47">
        <f>Calculo!BC146</f>
        <v/>
      </c>
      <c r="AB148" s="45">
        <f>IF(AND(ISNUMBER(Z148),ISNUMBER(AA148)),ABS(AA148-Z148),IF(ISNUMBER(Z148)=ISNUMBER(AA148),0,1))</f>
        <v/>
      </c>
    </row>
    <row r="149">
      <c r="A149" s="36">
        <f>Calculo!A147</f>
        <v/>
      </c>
      <c r="B149" s="46" t="n">
        <v>-0.02072923343659143</v>
      </c>
      <c r="C149" s="47">
        <f>Calculo!W147</f>
        <v/>
      </c>
      <c r="D149" s="45">
        <f>IF(AND(ISNUMBER(B149),ISNUMBER(C149)),ABS(C149-B149),IF(ISNUMBER(B149)=ISNUMBER(C149),0,1))</f>
        <v/>
      </c>
      <c r="E149" s="46" t="n">
        <v>0.9979683636662841</v>
      </c>
      <c r="F149" s="47">
        <f>Calculo!V147</f>
        <v/>
      </c>
      <c r="G149" s="45">
        <f>IF(AND(ISNUMBER(E149),ISNUMBER(F149)),ABS(F149-E149),IF(ISNUMBER(E149)=ISNUMBER(F149),0,1))</f>
        <v/>
      </c>
      <c r="H149" s="46" t="n">
        <v>-0.3257095649855457</v>
      </c>
      <c r="I149" s="47">
        <f>Calculo!AK147</f>
        <v/>
      </c>
      <c r="J149" s="45">
        <f>IF(AND(ISNUMBER(H149),ISNUMBER(I149)),ABS(I149-H149),IF(ISNUMBER(H149)=ISNUMBER(I149),0,1))</f>
        <v/>
      </c>
      <c r="K149" s="46" t="n">
        <v>0.007979377551032446</v>
      </c>
      <c r="L149" s="47">
        <f>Calculo!AL147</f>
        <v/>
      </c>
      <c r="M149" s="45">
        <f>IF(AND(ISNUMBER(K149),ISNUMBER(L149)),ABS(L149-K149),IF(ISNUMBER(K149)=ISNUMBER(L149),0,1))</f>
        <v/>
      </c>
      <c r="N149" s="46" t="n">
        <v>0.08877136852259065</v>
      </c>
      <c r="O149" s="47">
        <f>Calculo!AP147</f>
        <v/>
      </c>
      <c r="P149" s="45">
        <f>IF(AND(ISNUMBER(N149),ISNUMBER(O149)),ABS(O149-N149),IF(ISNUMBER(N149)=ISNUMBER(O149),0,1))</f>
        <v/>
      </c>
      <c r="Q149" s="46" t="n">
        <v>-0.6300240113102549</v>
      </c>
      <c r="R149" s="47">
        <f>Calculo!AW147</f>
        <v/>
      </c>
      <c r="S149" s="45">
        <f>IF(AND(ISNUMBER(Q149),ISNUMBER(R149)),ABS(R149-Q149),IF(ISNUMBER(Q149)=ISNUMBER(R149),0,1))</f>
        <v/>
      </c>
      <c r="T149" s="46" t="n">
        <v>0.8883862502017075</v>
      </c>
      <c r="U149" s="47">
        <f>Calculo!AX147</f>
        <v/>
      </c>
      <c r="V149" s="45">
        <f>IF(AND(ISNUMBER(T149),ISNUMBER(U149)),ABS(U149-T149),IF(ISNUMBER(T149)=ISNUMBER(U149),0,1))</f>
        <v/>
      </c>
      <c r="W149" s="46" t="n">
        <v>0.8572110024019589</v>
      </c>
      <c r="X149" s="47">
        <f>Calculo!AY147</f>
        <v/>
      </c>
      <c r="Y149" s="45">
        <f>IF(AND(ISNUMBER(W149),ISNUMBER(X149)),ABS(X149-W149),IF(ISNUMBER(W149)=ISNUMBER(X149),0,1))</f>
        <v/>
      </c>
      <c r="Z149" s="46" t="n">
        <v>0.0005256856877839298</v>
      </c>
      <c r="AA149" s="47">
        <f>Calculo!BC147</f>
        <v/>
      </c>
      <c r="AB149" s="45">
        <f>IF(AND(ISNUMBER(Z149),ISNUMBER(AA149)),ABS(AA149-Z149),IF(ISNUMBER(Z149)=ISNUMBER(AA149),0,1))</f>
        <v/>
      </c>
    </row>
    <row r="150">
      <c r="A150" s="36">
        <f>Calculo!A148</f>
        <v/>
      </c>
      <c r="B150" s="46" t="n">
        <v>0.03179453988416733</v>
      </c>
      <c r="C150" s="47">
        <f>Calculo!W148</f>
        <v/>
      </c>
      <c r="D150" s="45">
        <f>IF(AND(ISNUMBER(B150),ISNUMBER(C150)),ABS(C150-B150),IF(ISNUMBER(B150)=ISNUMBER(C150),0,1))</f>
        <v/>
      </c>
      <c r="E150" s="46" t="n">
        <v>0.9989211465613965</v>
      </c>
      <c r="F150" s="47">
        <f>Calculo!V148</f>
        <v/>
      </c>
      <c r="G150" s="45">
        <f>IF(AND(ISNUMBER(E150),ISNUMBER(F150)),ABS(F150-E150),IF(ISNUMBER(E150)=ISNUMBER(F150),0,1))</f>
        <v/>
      </c>
      <c r="H150" s="46" t="n">
        <v>-0.3440683209050008</v>
      </c>
      <c r="I150" s="47">
        <f>Calculo!AK148</f>
        <v/>
      </c>
      <c r="J150" s="45">
        <f>IF(AND(ISNUMBER(H150),ISNUMBER(I150)),ABS(I150-H150),IF(ISNUMBER(H150)=ISNUMBER(I150),0,1))</f>
        <v/>
      </c>
      <c r="K150" s="46" t="n">
        <v>0.004469263174226709</v>
      </c>
      <c r="L150" s="47">
        <f>Calculo!AL148</f>
        <v/>
      </c>
      <c r="M150" s="45">
        <f>IF(AND(ISNUMBER(K150),ISNUMBER(L150)),ABS(L150-K150),IF(ISNUMBER(K150)=ISNUMBER(L150),0,1))</f>
        <v/>
      </c>
      <c r="N150" s="46" t="n">
        <v>0.06945176643351331</v>
      </c>
      <c r="O150" s="47">
        <f>Calculo!AP148</f>
        <v/>
      </c>
      <c r="P150" s="45">
        <f>IF(AND(ISNUMBER(N150),ISNUMBER(O150)),ABS(O150-N150),IF(ISNUMBER(N150)=ISNUMBER(O150),0,1))</f>
        <v/>
      </c>
      <c r="Q150" s="46" t="n">
        <v>-0.4841575298489299</v>
      </c>
      <c r="R150" s="47">
        <f>Calculo!AW148</f>
        <v/>
      </c>
      <c r="S150" s="45">
        <f>IF(AND(ISNUMBER(Q150),ISNUMBER(R150)),ABS(R150-Q150),IF(ISNUMBER(Q150)=ISNUMBER(R150),0,1))</f>
        <v/>
      </c>
      <c r="T150" s="46" t="n">
        <v>0.9100865895647144</v>
      </c>
      <c r="U150" s="47">
        <f>Calculo!AX148</f>
        <v/>
      </c>
      <c r="V150" s="45">
        <f>IF(AND(ISNUMBER(T150),ISNUMBER(U150)),ABS(U150-T150),IF(ISNUMBER(T150)=ISNUMBER(U150),0,1))</f>
        <v/>
      </c>
      <c r="W150" s="46" t="n">
        <v>0.8723744962021097</v>
      </c>
      <c r="X150" s="47">
        <f>Calculo!AY148</f>
        <v/>
      </c>
      <c r="Y150" s="45">
        <f>IF(AND(ISNUMBER(W150),ISNUMBER(X150)),ABS(X150-W150),IF(ISNUMBER(W150)=ISNUMBER(X150),0,1))</f>
        <v/>
      </c>
      <c r="Z150" s="46" t="n">
        <v>-0.001138219261774309</v>
      </c>
      <c r="AA150" s="47">
        <f>Calculo!BC148</f>
        <v/>
      </c>
      <c r="AB150" s="45">
        <f>IF(AND(ISNUMBER(Z150),ISNUMBER(AA150)),ABS(AA150-Z150),IF(ISNUMBER(Z150)=ISNUMBER(AA150),0,1))</f>
        <v/>
      </c>
    </row>
    <row r="151">
      <c r="A151" s="36">
        <f>Calculo!A149</f>
        <v/>
      </c>
      <c r="B151" s="46" t="n">
        <v>0.08787260960766093</v>
      </c>
      <c r="C151" s="47">
        <f>Calculo!W149</f>
        <v/>
      </c>
      <c r="D151" s="45">
        <f>IF(AND(ISNUMBER(B151),ISNUMBER(C151)),ABS(C151-B151),IF(ISNUMBER(B151)=ISNUMBER(C151),0,1))</f>
        <v/>
      </c>
      <c r="E151" s="46" t="n">
        <v>0.9883688602981032</v>
      </c>
      <c r="F151" s="47">
        <f>Calculo!V149</f>
        <v/>
      </c>
      <c r="G151" s="45">
        <f>IF(AND(ISNUMBER(E151),ISNUMBER(F151)),ABS(F151-E151),IF(ISNUMBER(E151)=ISNUMBER(F151),0,1))</f>
        <v/>
      </c>
      <c r="H151" s="46" t="n">
        <v>-0.3545817032815631</v>
      </c>
      <c r="I151" s="47">
        <f>Calculo!AK149</f>
        <v/>
      </c>
      <c r="J151" s="45">
        <f>IF(AND(ISNUMBER(H151),ISNUMBER(I151)),ABS(I151-H151),IF(ISNUMBER(H151)=ISNUMBER(I151),0,1))</f>
        <v/>
      </c>
      <c r="K151" s="46" t="n">
        <v>0.005212022432044628</v>
      </c>
      <c r="L151" s="47">
        <f>Calculo!AL149</f>
        <v/>
      </c>
      <c r="M151" s="45">
        <f>IF(AND(ISNUMBER(K151),ISNUMBER(L151)),ABS(L151-K151),IF(ISNUMBER(K151)=ISNUMBER(L151),0,1))</f>
        <v/>
      </c>
      <c r="N151" s="46" t="n">
        <v>0.09181385898194717</v>
      </c>
      <c r="O151" s="47">
        <f>Calculo!AP149</f>
        <v/>
      </c>
      <c r="P151" s="45">
        <f>IF(AND(ISNUMBER(N151),ISNUMBER(O151)),ABS(O151-N151),IF(ISNUMBER(N151)=ISNUMBER(O151),0,1))</f>
        <v/>
      </c>
      <c r="Q151" s="46" t="n">
        <v>-0.6450623725287191</v>
      </c>
      <c r="R151" s="47">
        <f>Calculo!AW149</f>
        <v/>
      </c>
      <c r="S151" s="45">
        <f>IF(AND(ISNUMBER(Q151),ISNUMBER(R151)),ABS(R151-Q151),IF(ISNUMBER(Q151)=ISNUMBER(R151),0,1))</f>
        <v/>
      </c>
      <c r="T151" s="46" t="n">
        <v>0.8863326788702995</v>
      </c>
      <c r="U151" s="47">
        <f>Calculo!AX149</f>
        <v/>
      </c>
      <c r="V151" s="45">
        <f>IF(AND(ISNUMBER(T151),ISNUMBER(U151)),ABS(U151-T151),IF(ISNUMBER(T151)=ISNUMBER(U151),0,1))</f>
        <v/>
      </c>
      <c r="W151" s="46" t="n">
        <v>0.8949351728789073</v>
      </c>
      <c r="X151" s="47">
        <f>Calculo!AY149</f>
        <v/>
      </c>
      <c r="Y151" s="45">
        <f>IF(AND(ISNUMBER(W151),ISNUMBER(X151)),ABS(X151-W151),IF(ISNUMBER(W151)=ISNUMBER(X151),0,1))</f>
        <v/>
      </c>
      <c r="Z151" s="46" t="n">
        <v>-0.002841605252303642</v>
      </c>
      <c r="AA151" s="47">
        <f>Calculo!BC149</f>
        <v/>
      </c>
      <c r="AB151" s="45">
        <f>IF(AND(ISNUMBER(Z151),ISNUMBER(AA151)),ABS(AA151-Z151),IF(ISNUMBER(Z151)=ISNUMBER(AA151),0,1))</f>
        <v/>
      </c>
    </row>
    <row r="152">
      <c r="A152" s="36">
        <f>Calculo!A150</f>
        <v/>
      </c>
      <c r="B152" s="46" t="n">
        <v>0.05380877093471204</v>
      </c>
      <c r="C152" s="47">
        <f>Calculo!W150</f>
        <v/>
      </c>
      <c r="D152" s="45">
        <f>IF(AND(ISNUMBER(B152),ISNUMBER(C152)),ABS(C152-B152),IF(ISNUMBER(B152)=ISNUMBER(C152),0,1))</f>
        <v/>
      </c>
      <c r="E152" s="46" t="n">
        <v>1.026528185422964</v>
      </c>
      <c r="F152" s="47">
        <f>Calculo!V150</f>
        <v/>
      </c>
      <c r="G152" s="45">
        <f>IF(AND(ISNUMBER(E152),ISNUMBER(F152)),ABS(F152-E152),IF(ISNUMBER(E152)=ISNUMBER(F152),0,1))</f>
        <v/>
      </c>
      <c r="H152" s="46" t="n">
        <v>-0.2671752271155092</v>
      </c>
      <c r="I152" s="47">
        <f>Calculo!AK150</f>
        <v/>
      </c>
      <c r="J152" s="45">
        <f>IF(AND(ISNUMBER(H152),ISNUMBER(I152)),ABS(I152-H152),IF(ISNUMBER(H152)=ISNUMBER(I152),0,1))</f>
        <v/>
      </c>
      <c r="K152" s="46" t="n">
        <v>0.01446974795952304</v>
      </c>
      <c r="L152" s="47">
        <f>Calculo!AL150</f>
        <v/>
      </c>
      <c r="M152" s="45">
        <f>IF(AND(ISNUMBER(K152),ISNUMBER(L152)),ABS(L152-K152),IF(ISNUMBER(K152)=ISNUMBER(L152),0,1))</f>
        <v/>
      </c>
      <c r="N152" s="46" t="n">
        <v>0.1407407095501262</v>
      </c>
      <c r="O152" s="47">
        <f>Calculo!AP150</f>
        <v/>
      </c>
      <c r="P152" s="45">
        <f>IF(AND(ISNUMBER(N152),ISNUMBER(O152)),ABS(O152-N152),IF(ISNUMBER(N152)=ISNUMBER(O152),0,1))</f>
        <v/>
      </c>
      <c r="Q152" s="46" t="n">
        <v>-0.9982981065428306</v>
      </c>
      <c r="R152" s="47">
        <f>Calculo!AW150</f>
        <v/>
      </c>
      <c r="S152" s="45">
        <f>IF(AND(ISNUMBER(Q152),ISNUMBER(R152)),ABS(R152-Q152),IF(ISNUMBER(Q152)=ISNUMBER(R152),0,1))</f>
        <v/>
      </c>
      <c r="T152" s="46" t="n">
        <v>0.8478243045131321</v>
      </c>
      <c r="U152" s="47">
        <f>Calculo!AX150</f>
        <v/>
      </c>
      <c r="V152" s="45">
        <f>IF(AND(ISNUMBER(T152),ISNUMBER(U152)),ABS(U152-T152),IF(ISNUMBER(T152)=ISNUMBER(U152),0,1))</f>
        <v/>
      </c>
      <c r="W152" s="46" t="n">
        <v>0.8814145243160487</v>
      </c>
      <c r="X152" s="47">
        <f>Calculo!AY150</f>
        <v/>
      </c>
      <c r="Y152" s="45">
        <f>IF(AND(ISNUMBER(W152),ISNUMBER(X152)),ABS(X152-W152),IF(ISNUMBER(W152)=ISNUMBER(X152),0,1))</f>
        <v/>
      </c>
      <c r="Z152" s="46" t="n">
        <v>-0.001469753995655493</v>
      </c>
      <c r="AA152" s="47">
        <f>Calculo!BC150</f>
        <v/>
      </c>
      <c r="AB152" s="45">
        <f>IF(AND(ISNUMBER(Z152),ISNUMBER(AA152)),ABS(AA152-Z152),IF(ISNUMBER(Z152)=ISNUMBER(AA152),0,1))</f>
        <v/>
      </c>
    </row>
    <row r="153">
      <c r="A153" s="36">
        <f>Calculo!A151</f>
        <v/>
      </c>
      <c r="B153" s="46" t="n">
        <v>-0.1268871427465728</v>
      </c>
      <c r="C153" s="47">
        <f>Calculo!W151</f>
        <v/>
      </c>
      <c r="D153" s="45">
        <f>IF(AND(ISNUMBER(B153),ISNUMBER(C153)),ABS(C153-B153),IF(ISNUMBER(B153)=ISNUMBER(C153),0,1))</f>
        <v/>
      </c>
      <c r="E153" s="46" t="n">
        <v>1.022459477775582</v>
      </c>
      <c r="F153" s="47">
        <f>Calculo!V151</f>
        <v/>
      </c>
      <c r="G153" s="45">
        <f>IF(AND(ISNUMBER(E153),ISNUMBER(F153)),ABS(F153-E153),IF(ISNUMBER(E153)=ISNUMBER(F153),0,1))</f>
        <v/>
      </c>
      <c r="H153" s="46" t="n">
        <v>-0.2847365820581045</v>
      </c>
      <c r="I153" s="47">
        <f>Calculo!AK151</f>
        <v/>
      </c>
      <c r="J153" s="45">
        <f>IF(AND(ISNUMBER(H153),ISNUMBER(I153)),ABS(I153-H153),IF(ISNUMBER(H153)=ISNUMBER(I153),0,1))</f>
        <v/>
      </c>
      <c r="K153" s="46" t="n">
        <v>0.0135644683943052</v>
      </c>
      <c r="L153" s="47">
        <f>Calculo!AL151</f>
        <v/>
      </c>
      <c r="M153" s="45">
        <f>IF(AND(ISNUMBER(K153),ISNUMBER(L153)),ABS(L153-K153),IF(ISNUMBER(K153)=ISNUMBER(L153),0,1))</f>
        <v/>
      </c>
      <c r="N153" s="46" t="n">
        <v>-0.003707867032055417</v>
      </c>
      <c r="O153" s="47">
        <f>Calculo!AP151</f>
        <v/>
      </c>
      <c r="P153" s="45">
        <f>IF(AND(ISNUMBER(N153),ISNUMBER(O153)),ABS(O153-N153),IF(ISNUMBER(N153)=ISNUMBER(O153),0,1))</f>
        <v/>
      </c>
      <c r="Q153" s="46" t="n">
        <v>0.07560614600567454</v>
      </c>
      <c r="R153" s="47">
        <f>Calculo!AW151</f>
        <v/>
      </c>
      <c r="S153" s="45">
        <f>IF(AND(ISNUMBER(Q153),ISNUMBER(R153)),ABS(R153-Q153),IF(ISNUMBER(Q153)=ISNUMBER(R153),0,1))</f>
        <v/>
      </c>
      <c r="T153" s="46" t="n">
        <v>1.015092482488858</v>
      </c>
      <c r="U153" s="47">
        <f>Calculo!AX151</f>
        <v/>
      </c>
      <c r="V153" s="45">
        <f>IF(AND(ISNUMBER(T153),ISNUMBER(U153)),ABS(U153-T153),IF(ISNUMBER(T153)=ISNUMBER(U153),0,1))</f>
        <v/>
      </c>
      <c r="W153" s="46" t="n">
        <v>0.9164164886240965</v>
      </c>
      <c r="X153" s="47">
        <f>Calculo!AY151</f>
        <v/>
      </c>
      <c r="Y153" s="45">
        <f>IF(AND(ISNUMBER(W153),ISNUMBER(X153)),ABS(X153-W153),IF(ISNUMBER(W153)=ISNUMBER(X153),0,1))</f>
        <v/>
      </c>
      <c r="Z153" s="46" t="n">
        <v>0.003727941423787795</v>
      </c>
      <c r="AA153" s="47">
        <f>Calculo!BC151</f>
        <v/>
      </c>
      <c r="AB153" s="45">
        <f>IF(AND(ISNUMBER(Z153),ISNUMBER(AA153)),ABS(AA153-Z153),IF(ISNUMBER(Z153)=ISNUMBER(AA153),0,1))</f>
        <v/>
      </c>
    </row>
    <row r="154">
      <c r="A154" s="36">
        <f>Calculo!A152</f>
        <v/>
      </c>
      <c r="B154" s="46" t="n">
        <v>-0.05942179268948418</v>
      </c>
      <c r="C154" s="47">
        <f>Calculo!W152</f>
        <v/>
      </c>
      <c r="D154" s="45">
        <f>IF(AND(ISNUMBER(B154),ISNUMBER(C154)),ABS(C154-B154),IF(ISNUMBER(B154)=ISNUMBER(C154),0,1))</f>
        <v/>
      </c>
      <c r="E154" s="46" t="n">
        <v>1.043677405272052</v>
      </c>
      <c r="F154" s="47">
        <f>Calculo!V152</f>
        <v/>
      </c>
      <c r="G154" s="45">
        <f>IF(AND(ISNUMBER(E154),ISNUMBER(F154)),ABS(F154-E154),IF(ISNUMBER(E154)=ISNUMBER(F154),0,1))</f>
        <v/>
      </c>
      <c r="H154" s="46" t="n">
        <v>-0.2763686655072524</v>
      </c>
      <c r="I154" s="47">
        <f>Calculo!AK152</f>
        <v/>
      </c>
      <c r="J154" s="45">
        <f>IF(AND(ISNUMBER(H154),ISNUMBER(I154)),ABS(I154-H154),IF(ISNUMBER(H154)=ISNUMBER(I154),0,1))</f>
        <v/>
      </c>
      <c r="K154" s="46" t="n">
        <v>0.01007780007495074</v>
      </c>
      <c r="L154" s="47">
        <f>Calculo!AL152</f>
        <v/>
      </c>
      <c r="M154" s="45">
        <f>IF(AND(ISNUMBER(K154),ISNUMBER(L154)),ABS(L154-K154),IF(ISNUMBER(K154)=ISNUMBER(L154),0,1))</f>
        <v/>
      </c>
      <c r="N154" s="46" t="n">
        <v>-0.1480890305009543</v>
      </c>
      <c r="O154" s="47">
        <f>Calculo!AP152</f>
        <v/>
      </c>
      <c r="P154" s="45">
        <f>IF(AND(ISNUMBER(N154),ISNUMBER(O154)),ABS(O154-N154),IF(ISNUMBER(N154)=ISNUMBER(O154),0,1))</f>
        <v/>
      </c>
      <c r="Q154" s="46" t="n">
        <v>1.141256814625593</v>
      </c>
      <c r="R154" s="47">
        <f>Calculo!AW152</f>
        <v/>
      </c>
      <c r="S154" s="45">
        <f>IF(AND(ISNUMBER(Q154),ISNUMBER(R154)),ABS(R154-Q154),IF(ISNUMBER(Q154)=ISNUMBER(R154),0,1))</f>
        <v/>
      </c>
      <c r="T154" s="46" t="n">
        <v>1.162967373519415</v>
      </c>
      <c r="U154" s="47">
        <f>Calculo!AX152</f>
        <v/>
      </c>
      <c r="V154" s="45">
        <f>IF(AND(ISNUMBER(T154),ISNUMBER(U154)),ABS(U154-T154),IF(ISNUMBER(T154)=ISNUMBER(U154),0,1))</f>
        <v/>
      </c>
      <c r="W154" s="46" t="n">
        <v>1.008628053507135</v>
      </c>
      <c r="X154" s="47">
        <f>Calculo!AY152</f>
        <v/>
      </c>
      <c r="Y154" s="45">
        <f>IF(AND(ISNUMBER(W154),ISNUMBER(X154)),ABS(X154-W154),IF(ISNUMBER(W154)=ISNUMBER(X154),0,1))</f>
        <v/>
      </c>
      <c r="Z154" s="46" t="n">
        <v>0.0011541656105394</v>
      </c>
      <c r="AA154" s="47">
        <f>Calculo!BC152</f>
        <v/>
      </c>
      <c r="AB154" s="45">
        <f>IF(AND(ISNUMBER(Z154),ISNUMBER(AA154)),ABS(AA154-Z154),IF(ISNUMBER(Z154)=ISNUMBER(AA154),0,1))</f>
        <v/>
      </c>
    </row>
    <row r="155">
      <c r="A155" s="36">
        <f>Calculo!A153</f>
        <v/>
      </c>
      <c r="B155" s="46" t="n">
        <v>0.02461608894215263</v>
      </c>
      <c r="C155" s="47">
        <f>Calculo!W153</f>
        <v/>
      </c>
      <c r="D155" s="45">
        <f>IF(AND(ISNUMBER(B155),ISNUMBER(C155)),ABS(C155-B155),IF(ISNUMBER(B155)=ISNUMBER(C155),0,1))</f>
        <v/>
      </c>
      <c r="E155" s="46" t="n">
        <v>1.047299374432895</v>
      </c>
      <c r="F155" s="47">
        <f>Calculo!V153</f>
        <v/>
      </c>
      <c r="G155" s="45">
        <f>IF(AND(ISNUMBER(E155),ISNUMBER(F155)),ABS(F155-E155),IF(ISNUMBER(E155)=ISNUMBER(F155),0,1))</f>
        <v/>
      </c>
      <c r="H155" s="46" t="n">
        <v>-0.2882509878498837</v>
      </c>
      <c r="I155" s="47">
        <f>Calculo!AK153</f>
        <v/>
      </c>
      <c r="J155" s="45">
        <f>IF(AND(ISNUMBER(H155),ISNUMBER(I155)),ABS(I155-H155),IF(ISNUMBER(H155)=ISNUMBER(I155),0,1))</f>
        <v/>
      </c>
      <c r="K155" s="46" t="n">
        <v>0.01063146000031955</v>
      </c>
      <c r="L155" s="47">
        <f>Calculo!AL153</f>
        <v/>
      </c>
      <c r="M155" s="45">
        <f>IF(AND(ISNUMBER(K155),ISNUMBER(L155)),ABS(L155-K155),IF(ISNUMBER(K155)=ISNUMBER(L155),0,1))</f>
        <v/>
      </c>
      <c r="N155" s="46" t="n">
        <v>-0.1648872429840312</v>
      </c>
      <c r="O155" s="47">
        <f>Calculo!AP153</f>
        <v/>
      </c>
      <c r="P155" s="45">
        <f>IF(AND(ISNUMBER(N155),ISNUMBER(O155)),ABS(O155-N155),IF(ISNUMBER(N155)=ISNUMBER(O155),0,1))</f>
        <v/>
      </c>
      <c r="Q155" s="46" t="n">
        <v>1.24993145492313</v>
      </c>
      <c r="R155" s="47">
        <f>Calculo!AW153</f>
        <v/>
      </c>
      <c r="S155" s="45">
        <f>IF(AND(ISNUMBER(Q155),ISNUMBER(R155)),ABS(R155-Q155),IF(ISNUMBER(Q155)=ISNUMBER(R155),0,1))</f>
        <v/>
      </c>
      <c r="T155" s="46" t="n">
        <v>1.16965288355626</v>
      </c>
      <c r="U155" s="47">
        <f>Calculo!AX153</f>
        <v/>
      </c>
      <c r="V155" s="45">
        <f>IF(AND(ISNUMBER(T155),ISNUMBER(U155)),ABS(U155-T155),IF(ISNUMBER(T155)=ISNUMBER(U155),0,1))</f>
        <v/>
      </c>
      <c r="W155" s="46" t="n">
        <v>1.115904246521511</v>
      </c>
      <c r="X155" s="47">
        <f>Calculo!AY153</f>
        <v/>
      </c>
      <c r="Y155" s="45">
        <f>IF(AND(ISNUMBER(W155),ISNUMBER(X155)),ABS(X155-W155),IF(ISNUMBER(W155)=ISNUMBER(X155),0,1))</f>
        <v/>
      </c>
      <c r="Z155" s="46" t="n">
        <v>-0.0001774316790752735</v>
      </c>
      <c r="AA155" s="47">
        <f>Calculo!BC153</f>
        <v/>
      </c>
      <c r="AB155" s="45">
        <f>IF(AND(ISNUMBER(Z155),ISNUMBER(AA155)),ABS(AA155-Z155),IF(ISNUMBER(Z155)=ISNUMBER(AA155),0,1))</f>
        <v/>
      </c>
    </row>
    <row r="156">
      <c r="A156" s="36">
        <f>Calculo!A154</f>
        <v/>
      </c>
      <c r="B156" s="46" t="n">
        <v>0.02424890992149074</v>
      </c>
      <c r="C156" s="47">
        <f>Calculo!W154</f>
        <v/>
      </c>
      <c r="D156" s="45">
        <f>IF(AND(ISNUMBER(B156),ISNUMBER(C156)),ABS(C156-B156),IF(ISNUMBER(B156)=ISNUMBER(C156),0,1))</f>
        <v/>
      </c>
      <c r="E156" s="46" t="n">
        <v>1.032880296917069</v>
      </c>
      <c r="F156" s="47">
        <f>Calculo!V154</f>
        <v/>
      </c>
      <c r="G156" s="45">
        <f>IF(AND(ISNUMBER(E156),ISNUMBER(F156)),ABS(F156-E156),IF(ISNUMBER(E156)=ISNUMBER(F156),0,1))</f>
        <v/>
      </c>
      <c r="H156" s="46" t="n">
        <v>-0.2896080224821879</v>
      </c>
      <c r="I156" s="47">
        <f>Calculo!AK154</f>
        <v/>
      </c>
      <c r="J156" s="45">
        <f>IF(AND(ISNUMBER(H156),ISNUMBER(I156)),ABS(I156-H156),IF(ISNUMBER(H156)=ISNUMBER(I156),0,1))</f>
        <v/>
      </c>
      <c r="K156" s="46" t="n">
        <v>0.01180935077506634</v>
      </c>
      <c r="L156" s="47">
        <f>Calculo!AL154</f>
        <v/>
      </c>
      <c r="M156" s="45">
        <f>IF(AND(ISNUMBER(K156),ISNUMBER(L156)),ABS(L156-K156),IF(ISNUMBER(K156)=ISNUMBER(L156),0,1))</f>
        <v/>
      </c>
      <c r="N156" s="46" t="n">
        <v>-0.00106535069372129</v>
      </c>
      <c r="O156" s="47">
        <f>Calculo!AP154</f>
        <v/>
      </c>
      <c r="P156" s="45">
        <f>IF(AND(ISNUMBER(N156),ISNUMBER(O156)),ABS(O156-N156),IF(ISNUMBER(N156)=ISNUMBER(O156),0,1))</f>
        <v/>
      </c>
      <c r="Q156" s="46" t="n">
        <v>0.03069537488784678</v>
      </c>
      <c r="R156" s="47">
        <f>Calculo!AW154</f>
        <v/>
      </c>
      <c r="S156" s="45">
        <f>IF(AND(ISNUMBER(Q156),ISNUMBER(R156)),ABS(R156-Q156),IF(ISNUMBER(Q156)=ISNUMBER(R156),0,1))</f>
        <v/>
      </c>
      <c r="T156" s="46" t="n">
        <v>1.006137147612782</v>
      </c>
      <c r="U156" s="47">
        <f>Calculo!AX154</f>
        <v/>
      </c>
      <c r="V156" s="45">
        <f>IF(AND(ISNUMBER(T156),ISNUMBER(U156)),ABS(U156-T156),IF(ISNUMBER(T156)=ISNUMBER(U156),0,1))</f>
        <v/>
      </c>
      <c r="W156" s="46" t="n">
        <v>1.112919134896153</v>
      </c>
      <c r="X156" s="47">
        <f>Calculo!AY154</f>
        <v/>
      </c>
      <c r="Y156" s="45">
        <f>IF(AND(ISNUMBER(W156),ISNUMBER(X156)),ABS(X156-W156),IF(ISNUMBER(W156)=ISNUMBER(X156),0,1))</f>
        <v/>
      </c>
      <c r="Z156" s="46" t="n">
        <v>0.0004344474258186549</v>
      </c>
      <c r="AA156" s="47">
        <f>Calculo!BC154</f>
        <v/>
      </c>
      <c r="AB156" s="45">
        <f>IF(AND(ISNUMBER(Z156),ISNUMBER(AA156)),ABS(AA156-Z156),IF(ISNUMBER(Z156)=ISNUMBER(AA156),0,1))</f>
        <v/>
      </c>
    </row>
    <row r="157">
      <c r="A157" s="36">
        <f>Calculo!A155</f>
        <v/>
      </c>
      <c r="B157" s="46" t="n">
        <v>-0.0666290449711647</v>
      </c>
      <c r="C157" s="47">
        <f>Calculo!W155</f>
        <v/>
      </c>
      <c r="D157" s="45">
        <f>IF(AND(ISNUMBER(B157),ISNUMBER(C157)),ABS(C157-B157),IF(ISNUMBER(B157)=ISNUMBER(C157),0,1))</f>
        <v/>
      </c>
      <c r="E157" s="46" t="n">
        <v>1.023221453431117</v>
      </c>
      <c r="F157" s="47">
        <f>Calculo!V155</f>
        <v/>
      </c>
      <c r="G157" s="45">
        <f>IF(AND(ISNUMBER(E157),ISNUMBER(F157)),ABS(F157-E157),IF(ISNUMBER(E157)=ISNUMBER(F157),0,1))</f>
        <v/>
      </c>
      <c r="H157" s="46" t="n">
        <v>-0.2902667772816322</v>
      </c>
      <c r="I157" s="47">
        <f>Calculo!AK155</f>
        <v/>
      </c>
      <c r="J157" s="45">
        <f>IF(AND(ISNUMBER(H157),ISNUMBER(I157)),ABS(I157-H157),IF(ISNUMBER(H157)=ISNUMBER(I157),0,1))</f>
        <v/>
      </c>
      <c r="K157" s="46" t="n">
        <v>0.01182652439780141</v>
      </c>
      <c r="L157" s="47">
        <f>Calculo!AL155</f>
        <v/>
      </c>
      <c r="M157" s="45">
        <f>IF(AND(ISNUMBER(K157),ISNUMBER(L157)),ABS(L157-K157),IF(ISNUMBER(K157)=ISNUMBER(L157),0,1))</f>
        <v/>
      </c>
      <c r="N157" s="46" t="n">
        <v>-0.06448239282547973</v>
      </c>
      <c r="O157" s="47">
        <f>Calculo!AP155</f>
        <v/>
      </c>
      <c r="P157" s="45">
        <f>IF(AND(ISNUMBER(N157),ISNUMBER(O157)),ABS(O157-N157),IF(ISNUMBER(N157)=ISNUMBER(O157),0,1))</f>
        <v/>
      </c>
      <c r="Q157" s="46" t="n">
        <v>0.5018855245148125</v>
      </c>
      <c r="R157" s="47">
        <f>Calculo!AW155</f>
        <v/>
      </c>
      <c r="S157" s="45">
        <f>IF(AND(ISNUMBER(Q157),ISNUMBER(R157)),ABS(R157-Q157),IF(ISNUMBER(Q157)=ISNUMBER(R157),0,1))</f>
        <v/>
      </c>
      <c r="T157" s="46" t="n">
        <v>1.092719746207981</v>
      </c>
      <c r="U157" s="47">
        <f>Calculo!AX155</f>
        <v/>
      </c>
      <c r="V157" s="45">
        <f>IF(AND(ISNUMBER(T157),ISNUMBER(U157)),ABS(U157-T157),IF(ISNUMBER(T157)=ISNUMBER(U157),0,1))</f>
        <v/>
      </c>
      <c r="W157" s="46" t="n">
        <v>1.089503259125675</v>
      </c>
      <c r="X157" s="47">
        <f>Calculo!AY155</f>
        <v/>
      </c>
      <c r="Y157" s="45">
        <f>IF(AND(ISNUMBER(W157),ISNUMBER(X157)),ABS(X157-W157),IF(ISNUMBER(W157)=ISNUMBER(X157),0,1))</f>
        <v/>
      </c>
      <c r="Z157" s="46" t="n">
        <v>-0.001888386308338589</v>
      </c>
      <c r="AA157" s="47">
        <f>Calculo!BC155</f>
        <v/>
      </c>
      <c r="AB157" s="45">
        <f>IF(AND(ISNUMBER(Z157),ISNUMBER(AA157)),ABS(AA157-Z157),IF(ISNUMBER(Z157)=ISNUMBER(AA157),0,1))</f>
        <v/>
      </c>
    </row>
    <row r="158">
      <c r="A158" s="36">
        <f>Calculo!A156</f>
        <v/>
      </c>
      <c r="B158" s="46" t="n">
        <v>0.03345103367484156</v>
      </c>
      <c r="C158" s="47">
        <f>Calculo!W156</f>
        <v/>
      </c>
      <c r="D158" s="45">
        <f>IF(AND(ISNUMBER(B158),ISNUMBER(C158)),ABS(C158-B158),IF(ISNUMBER(B158)=ISNUMBER(C158),0,1))</f>
        <v/>
      </c>
      <c r="E158" s="46" t="n">
        <v>1.02276289444694</v>
      </c>
      <c r="F158" s="47">
        <f>Calculo!V156</f>
        <v/>
      </c>
      <c r="G158" s="45">
        <f>IF(AND(ISNUMBER(E158),ISNUMBER(F158)),ABS(F158-E158),IF(ISNUMBER(E158)=ISNUMBER(F158),0,1))</f>
        <v/>
      </c>
      <c r="H158" s="46" t="n">
        <v>-0.3006875425535459</v>
      </c>
      <c r="I158" s="47">
        <f>Calculo!AK156</f>
        <v/>
      </c>
      <c r="J158" s="45">
        <f>IF(AND(ISNUMBER(H158),ISNUMBER(I158)),ABS(I158-H158),IF(ISNUMBER(H158)=ISNUMBER(I158),0,1))</f>
        <v/>
      </c>
      <c r="K158" s="46" t="n">
        <v>0.01080403138856546</v>
      </c>
      <c r="L158" s="47">
        <f>Calculo!AL156</f>
        <v/>
      </c>
      <c r="M158" s="45">
        <f>IF(AND(ISNUMBER(K158),ISNUMBER(L158)),ABS(L158-K158),IF(ISNUMBER(K158)=ISNUMBER(L158),0,1))</f>
        <v/>
      </c>
      <c r="N158" s="46" t="n">
        <v>-0.08531103580317423</v>
      </c>
      <c r="O158" s="47">
        <f>Calculo!AP156</f>
        <v/>
      </c>
      <c r="P158" s="45">
        <f>IF(AND(ISNUMBER(N158),ISNUMBER(O158)),ABS(O158-N158),IF(ISNUMBER(N158)=ISNUMBER(O158),0,1))</f>
        <v/>
      </c>
      <c r="Q158" s="46" t="n">
        <v>0.653620749910042</v>
      </c>
      <c r="R158" s="47">
        <f>Calculo!AW156</f>
        <v/>
      </c>
      <c r="S158" s="45">
        <f>IF(AND(ISNUMBER(Q158),ISNUMBER(R158)),ABS(R158-Q158),IF(ISNUMBER(Q158)=ISNUMBER(R158),0,1))</f>
        <v/>
      </c>
      <c r="T158" s="46" t="n">
        <v>1.114820477155289</v>
      </c>
      <c r="U158" s="47">
        <f>Calculo!AX156</f>
        <v/>
      </c>
      <c r="V158" s="45">
        <f>IF(AND(ISNUMBER(T158),ISNUMBER(U158)),ABS(U158-T158),IF(ISNUMBER(T158)=ISNUMBER(U158),0,1))</f>
        <v/>
      </c>
      <c r="W158" s="46" t="n">
        <v>1.071225790325351</v>
      </c>
      <c r="X158" s="47">
        <f>Calculo!AY156</f>
        <v/>
      </c>
      <c r="Y158" s="45">
        <f>IF(AND(ISNUMBER(W158),ISNUMBER(X158)),ABS(X158-W158),IF(ISNUMBER(W158)=ISNUMBER(X158),0,1))</f>
        <v/>
      </c>
      <c r="Z158" s="46" t="n">
        <v>0.0006899544443290575</v>
      </c>
      <c r="AA158" s="47">
        <f>Calculo!BC156</f>
        <v/>
      </c>
      <c r="AB158" s="45">
        <f>IF(AND(ISNUMBER(Z158),ISNUMBER(AA158)),ABS(AA158-Z158),IF(ISNUMBER(Z158)=ISNUMBER(AA158),0,1))</f>
        <v/>
      </c>
    </row>
    <row r="159">
      <c r="A159" s="36">
        <f>Calculo!A157</f>
        <v/>
      </c>
      <c r="B159" s="46" t="n">
        <v>-0.02624371126465732</v>
      </c>
      <c r="C159" s="47">
        <f>Calculo!W157</f>
        <v/>
      </c>
      <c r="D159" s="45">
        <f>IF(AND(ISNUMBER(B159),ISNUMBER(C159)),ABS(C159-B159),IF(ISNUMBER(B159)=ISNUMBER(C159),0,1))</f>
        <v/>
      </c>
      <c r="E159" s="46" t="n">
        <v>0.9922742726451321</v>
      </c>
      <c r="F159" s="47">
        <f>Calculo!V157</f>
        <v/>
      </c>
      <c r="G159" s="45">
        <f>IF(AND(ISNUMBER(E159),ISNUMBER(F159)),ABS(F159-E159),IF(ISNUMBER(E159)=ISNUMBER(F159),0,1))</f>
        <v/>
      </c>
      <c r="H159" s="46" t="n">
        <v>-0.3142750392558183</v>
      </c>
      <c r="I159" s="47">
        <f>Calculo!AK157</f>
        <v/>
      </c>
      <c r="J159" s="45">
        <f>IF(AND(ISNUMBER(H159),ISNUMBER(I159)),ABS(I159-H159),IF(ISNUMBER(H159)=ISNUMBER(I159),0,1))</f>
        <v/>
      </c>
      <c r="K159" s="46" t="n">
        <v>0.006950963778622692</v>
      </c>
      <c r="L159" s="47">
        <f>Calculo!AL157</f>
        <v/>
      </c>
      <c r="M159" s="45">
        <f>IF(AND(ISNUMBER(K159),ISNUMBER(L159)),ABS(L159-K159),IF(ISNUMBER(K159)=ISNUMBER(L159),0,1))</f>
        <v/>
      </c>
      <c r="N159" s="46" t="n">
        <v>-0.1392764501778606</v>
      </c>
      <c r="O159" s="47">
        <f>Calculo!AP157</f>
        <v/>
      </c>
      <c r="P159" s="45">
        <f>IF(AND(ISNUMBER(N159),ISNUMBER(O159)),ABS(O159-N159),IF(ISNUMBER(N159)=ISNUMBER(O159),0,1))</f>
        <v/>
      </c>
      <c r="Q159" s="46" t="n">
        <v>1.048985750792871</v>
      </c>
      <c r="R159" s="47">
        <f>Calculo!AW157</f>
        <v/>
      </c>
      <c r="S159" s="45">
        <f>IF(AND(ISNUMBER(Q159),ISNUMBER(R159)),ABS(R159-Q159),IF(ISNUMBER(Q159)=ISNUMBER(R159),0,1))</f>
        <v/>
      </c>
      <c r="T159" s="46" t="n">
        <v>1.156282345242679</v>
      </c>
      <c r="U159" s="47">
        <f>Calculo!AX157</f>
        <v/>
      </c>
      <c r="V159" s="45">
        <f>IF(AND(ISNUMBER(T159),ISNUMBER(U159)),ABS(U159-T159),IF(ISNUMBER(T159)=ISNUMBER(U159),0,1))</f>
        <v/>
      </c>
      <c r="W159" s="46" t="n">
        <v>1.121274189535317</v>
      </c>
      <c r="X159" s="47">
        <f>Calculo!AY157</f>
        <v/>
      </c>
      <c r="Y159" s="45">
        <f>IF(AND(ISNUMBER(W159),ISNUMBER(X159)),ABS(X159-W159),IF(ISNUMBER(W159)=ISNUMBER(X159),0,1))</f>
        <v/>
      </c>
      <c r="Z159" s="46" t="n">
        <v>-0.0005130009409746928</v>
      </c>
      <c r="AA159" s="47">
        <f>Calculo!BC157</f>
        <v/>
      </c>
      <c r="AB159" s="45">
        <f>IF(AND(ISNUMBER(Z159),ISNUMBER(AA159)),ABS(AA159-Z159),IF(ISNUMBER(Z159)=ISNUMBER(AA159),0,1))</f>
        <v/>
      </c>
    </row>
    <row r="160">
      <c r="A160" s="36">
        <f>Calculo!A158</f>
        <v/>
      </c>
      <c r="B160" s="46" t="n">
        <v>-0.05249257707719697</v>
      </c>
      <c r="C160" s="47">
        <f>Calculo!W158</f>
        <v/>
      </c>
      <c r="D160" s="45">
        <f>IF(AND(ISNUMBER(B160),ISNUMBER(C160)),ABS(C160-B160),IF(ISNUMBER(B160)=ISNUMBER(C160),0,1))</f>
        <v/>
      </c>
      <c r="E160" s="46" t="n">
        <v>0.9442967829921091</v>
      </c>
      <c r="F160" s="47">
        <f>Calculo!V158</f>
        <v/>
      </c>
      <c r="G160" s="45">
        <f>IF(AND(ISNUMBER(E160),ISNUMBER(F160)),ABS(F160-E160),IF(ISNUMBER(E160)=ISNUMBER(F160),0,1))</f>
        <v/>
      </c>
      <c r="H160" s="46" t="n">
        <v>-0.3029549500720128</v>
      </c>
      <c r="I160" s="47">
        <f>Calculo!AK158</f>
        <v/>
      </c>
      <c r="J160" s="45">
        <f>IF(AND(ISNUMBER(H160),ISNUMBER(I160)),ABS(I160-H160),IF(ISNUMBER(H160)=ISNUMBER(I160),0,1))</f>
        <v/>
      </c>
      <c r="K160" s="46" t="n">
        <v>0.004708929097297162</v>
      </c>
      <c r="L160" s="47">
        <f>Calculo!AL158</f>
        <v/>
      </c>
      <c r="M160" s="45">
        <f>IF(AND(ISNUMBER(K160),ISNUMBER(L160)),ABS(L160-K160),IF(ISNUMBER(K160)=ISNUMBER(L160),0,1))</f>
        <v/>
      </c>
      <c r="N160" s="46" t="n">
        <v>-0.1115285526175348</v>
      </c>
      <c r="O160" s="47">
        <f>Calculo!AP158</f>
        <v/>
      </c>
      <c r="P160" s="45">
        <f>IF(AND(ISNUMBER(N160),ISNUMBER(O160)),ABS(O160-N160),IF(ISNUMBER(N160)=ISNUMBER(O160),0,1))</f>
        <v/>
      </c>
      <c r="Q160" s="46" t="n">
        <v>0.8332432031996596</v>
      </c>
      <c r="R160" s="47">
        <f>Calculo!AW158</f>
        <v/>
      </c>
      <c r="S160" s="45">
        <f>IF(AND(ISNUMBER(Q160),ISNUMBER(R160)),ABS(R160-Q160),IF(ISNUMBER(Q160)=ISNUMBER(R160),0,1))</f>
        <v/>
      </c>
      <c r="T160" s="46" t="n">
        <v>1.136442722204057</v>
      </c>
      <c r="U160" s="47">
        <f>Calculo!AX158</f>
        <v/>
      </c>
      <c r="V160" s="45">
        <f>IF(AND(ISNUMBER(T160),ISNUMBER(U160)),ABS(U160-T160),IF(ISNUMBER(T160)=ISNUMBER(U160),0,1))</f>
        <v/>
      </c>
      <c r="W160" s="46" t="n">
        <v>1.135848514867342</v>
      </c>
      <c r="X160" s="47">
        <f>Calculo!AY158</f>
        <v/>
      </c>
      <c r="Y160" s="45">
        <f>IF(AND(ISNUMBER(W160),ISNUMBER(X160)),ABS(X160-W160),IF(ISNUMBER(W160)=ISNUMBER(X160),0,1))</f>
        <v/>
      </c>
      <c r="Z160" s="46" t="n">
        <v>-0.001716619683439215</v>
      </c>
      <c r="AA160" s="47">
        <f>Calculo!BC158</f>
        <v/>
      </c>
      <c r="AB160" s="45">
        <f>IF(AND(ISNUMBER(Z160),ISNUMBER(AA160)),ABS(AA160-Z160),IF(ISNUMBER(Z160)=ISNUMBER(AA160),0,1))</f>
        <v/>
      </c>
    </row>
    <row r="161">
      <c r="A161" s="36">
        <f>Calculo!A159</f>
        <v/>
      </c>
      <c r="B161" s="46" t="n">
        <v>-0.02833069383823202</v>
      </c>
      <c r="C161" s="47">
        <f>Calculo!W159</f>
        <v/>
      </c>
      <c r="D161" s="45">
        <f>IF(AND(ISNUMBER(B161),ISNUMBER(C161)),ABS(C161-B161),IF(ISNUMBER(B161)=ISNUMBER(C161),0,1))</f>
        <v/>
      </c>
      <c r="E161" s="46" t="n">
        <v>0.9401806913403769</v>
      </c>
      <c r="F161" s="47">
        <f>Calculo!V159</f>
        <v/>
      </c>
      <c r="G161" s="45">
        <f>IF(AND(ISNUMBER(E161),ISNUMBER(F161)),ABS(F161-E161),IF(ISNUMBER(E161)=ISNUMBER(F161),0,1))</f>
        <v/>
      </c>
      <c r="H161" s="46" t="n">
        <v>-0.3163795743545257</v>
      </c>
      <c r="I161" s="47">
        <f>Calculo!AK159</f>
        <v/>
      </c>
      <c r="J161" s="45">
        <f>IF(AND(ISNUMBER(H161),ISNUMBER(I161)),ABS(I161-H161),IF(ISNUMBER(H161)=ISNUMBER(I161),0,1))</f>
        <v/>
      </c>
      <c r="K161" s="46" t="n">
        <v>0.0041103271369125</v>
      </c>
      <c r="L161" s="47">
        <f>Calculo!AL159</f>
        <v/>
      </c>
      <c r="M161" s="45">
        <f>IF(AND(ISNUMBER(K161),ISNUMBER(L161)),ABS(L161-K161),IF(ISNUMBER(K161)=ISNUMBER(L161),0,1))</f>
        <v/>
      </c>
      <c r="N161" s="46" t="n">
        <v>-0.08324264990051347</v>
      </c>
      <c r="O161" s="47">
        <f>Calculo!AP159</f>
        <v/>
      </c>
      <c r="P161" s="45">
        <f>IF(AND(ISNUMBER(N161),ISNUMBER(O161)),ABS(O161-N161),IF(ISNUMBER(N161)=ISNUMBER(O161),0,1))</f>
        <v/>
      </c>
      <c r="Q161" s="46" t="n">
        <v>0.6159560938590368</v>
      </c>
      <c r="R161" s="47">
        <f>Calculo!AW159</f>
        <v/>
      </c>
      <c r="S161" s="45">
        <f>IF(AND(ISNUMBER(Q161),ISNUMBER(R161)),ABS(R161-Q161),IF(ISNUMBER(Q161)=ISNUMBER(R161),0,1))</f>
        <v/>
      </c>
      <c r="T161" s="46" t="n">
        <v>1.109661230639304</v>
      </c>
      <c r="U161" s="47">
        <f>Calculo!AX159</f>
        <v/>
      </c>
      <c r="V161" s="45">
        <f>IF(AND(ISNUMBER(T161),ISNUMBER(U161)),ABS(U161-T161),IF(ISNUMBER(T161)=ISNUMBER(U161),0,1))</f>
        <v/>
      </c>
      <c r="W161" s="46" t="n">
        <v>1.13412876602868</v>
      </c>
      <c r="X161" s="47">
        <f>Calculo!AY159</f>
        <v/>
      </c>
      <c r="Y161" s="45">
        <f>IF(AND(ISNUMBER(W161),ISNUMBER(X161)),ABS(X161-W161),IF(ISNUMBER(W161)=ISNUMBER(X161),0,1))</f>
        <v/>
      </c>
      <c r="Z161" s="46" t="n">
        <v>-0.000998606484101354</v>
      </c>
      <c r="AA161" s="47">
        <f>Calculo!BC159</f>
        <v/>
      </c>
      <c r="AB161" s="45">
        <f>IF(AND(ISNUMBER(Z161),ISNUMBER(AA161)),ABS(AA161-Z161),IF(ISNUMBER(Z161)=ISNUMBER(AA161),0,1))</f>
        <v/>
      </c>
    </row>
    <row r="162">
      <c r="A162" s="36">
        <f>Calculo!A160</f>
        <v/>
      </c>
      <c r="B162" s="46" t="n">
        <v>-0.04546041517684906</v>
      </c>
      <c r="C162" s="47">
        <f>Calculo!W160</f>
        <v/>
      </c>
      <c r="D162" s="45">
        <f>IF(AND(ISNUMBER(B162),ISNUMBER(C162)),ABS(C162-B162),IF(ISNUMBER(B162)=ISNUMBER(C162),0,1))</f>
        <v/>
      </c>
      <c r="E162" s="46" t="n">
        <v>0.9360019086594324</v>
      </c>
      <c r="F162" s="47">
        <f>Calculo!V160</f>
        <v/>
      </c>
      <c r="G162" s="45">
        <f>IF(AND(ISNUMBER(E162),ISNUMBER(F162)),ABS(F162-E162),IF(ISNUMBER(E162)=ISNUMBER(F162),0,1))</f>
        <v/>
      </c>
      <c r="H162" s="46" t="n">
        <v>-0.3207399993613127</v>
      </c>
      <c r="I162" s="47">
        <f>Calculo!AK160</f>
        <v/>
      </c>
      <c r="J162" s="45">
        <f>IF(AND(ISNUMBER(H162),ISNUMBER(I162)),ABS(I162-H162),IF(ISNUMBER(H162)=ISNUMBER(I162),0,1))</f>
        <v/>
      </c>
      <c r="K162" s="46" t="n">
        <v>0.004894894890211868</v>
      </c>
      <c r="L162" s="47">
        <f>Calculo!AL160</f>
        <v/>
      </c>
      <c r="M162" s="45">
        <f>IF(AND(ISNUMBER(K162),ISNUMBER(L162)),ABS(L162-K162),IF(ISNUMBER(K162)=ISNUMBER(L162),0,1))</f>
        <v/>
      </c>
      <c r="N162" s="46" t="n">
        <v>-0.1295742372205858</v>
      </c>
      <c r="O162" s="47">
        <f>Calculo!AP160</f>
        <v/>
      </c>
      <c r="P162" s="45">
        <f>IF(AND(ISNUMBER(N162),ISNUMBER(O162)),ABS(O162-N162),IF(ISNUMBER(N162)=ISNUMBER(O162),0,1))</f>
        <v/>
      </c>
      <c r="Q162" s="46" t="n">
        <v>0.9573377365469369</v>
      </c>
      <c r="R162" s="47">
        <f>Calculo!AW160</f>
        <v/>
      </c>
      <c r="S162" s="45">
        <f>IF(AND(ISNUMBER(Q162),ISNUMBER(R162)),ABS(R162-Q162),IF(ISNUMBER(Q162)=ISNUMBER(R162),0,1))</f>
        <v/>
      </c>
      <c r="T162" s="46" t="n">
        <v>1.148617400943165</v>
      </c>
      <c r="U162" s="47">
        <f>Calculo!AX160</f>
        <v/>
      </c>
      <c r="V162" s="45">
        <f>IF(AND(ISNUMBER(T162),ISNUMBER(U162)),ABS(U162-T162),IF(ISNUMBER(T162)=ISNUMBER(U162),0,1))</f>
        <v/>
      </c>
      <c r="W162" s="46" t="n">
        <v>1.131573784595508</v>
      </c>
      <c r="X162" s="47">
        <f>Calculo!AY160</f>
        <v/>
      </c>
      <c r="Y162" s="45">
        <f>IF(AND(ISNUMBER(W162),ISNUMBER(X162)),ABS(X162-W162),IF(ISNUMBER(W162)=ISNUMBER(X162),0,1))</f>
        <v/>
      </c>
      <c r="Z162" s="46" t="n">
        <v>-0.001528686719802213</v>
      </c>
      <c r="AA162" s="47">
        <f>Calculo!BC160</f>
        <v/>
      </c>
      <c r="AB162" s="45">
        <f>IF(AND(ISNUMBER(Z162),ISNUMBER(AA162)),ABS(AA162-Z162),IF(ISNUMBER(Z162)=ISNUMBER(AA162),0,1))</f>
        <v/>
      </c>
    </row>
    <row r="163">
      <c r="A163" s="36">
        <f>Calculo!A161</f>
        <v/>
      </c>
      <c r="B163" s="46" t="n">
        <v>0.008470787710051511</v>
      </c>
      <c r="C163" s="47">
        <f>Calculo!W161</f>
        <v/>
      </c>
      <c r="D163" s="45">
        <f>IF(AND(ISNUMBER(B163),ISNUMBER(C163)),ABS(C163-B163),IF(ISNUMBER(B163)=ISNUMBER(C163),0,1))</f>
        <v/>
      </c>
      <c r="E163" s="46" t="n">
        <v>0.9069879785303996</v>
      </c>
      <c r="F163" s="47">
        <f>Calculo!V161</f>
        <v/>
      </c>
      <c r="G163" s="45">
        <f>IF(AND(ISNUMBER(E163),ISNUMBER(F163)),ABS(F163-E163),IF(ISNUMBER(E163)=ISNUMBER(F163),0,1))</f>
        <v/>
      </c>
      <c r="H163" s="46" t="n">
        <v>-0.2835215705030659</v>
      </c>
      <c r="I163" s="47">
        <f>Calculo!AK161</f>
        <v/>
      </c>
      <c r="J163" s="45">
        <f>IF(AND(ISNUMBER(H163),ISNUMBER(I163)),ABS(I163-H163),IF(ISNUMBER(H163)=ISNUMBER(I163),0,1))</f>
        <v/>
      </c>
      <c r="K163" s="46" t="n">
        <v>0.006364113592457156</v>
      </c>
      <c r="L163" s="47">
        <f>Calculo!AL161</f>
        <v/>
      </c>
      <c r="M163" s="45">
        <f>IF(AND(ISNUMBER(K163),ISNUMBER(L163)),ABS(L163-K163),IF(ISNUMBER(K163)=ISNUMBER(L163),0,1))</f>
        <v/>
      </c>
      <c r="N163" s="46" t="n">
        <v>-0.06984390344932846</v>
      </c>
      <c r="O163" s="47">
        <f>Calculo!AP161</f>
        <v/>
      </c>
      <c r="P163" s="45">
        <f>IF(AND(ISNUMBER(N163),ISNUMBER(O163)),ABS(O163-N163),IF(ISNUMBER(N163)=ISNUMBER(O163),0,1))</f>
        <v/>
      </c>
      <c r="Q163" s="46" t="n">
        <v>0.502672040498916</v>
      </c>
      <c r="R163" s="47">
        <f>Calculo!AW161</f>
        <v/>
      </c>
      <c r="S163" s="45">
        <f>IF(AND(ISNUMBER(Q163),ISNUMBER(R163)),ABS(R163-Q163),IF(ISNUMBER(Q163)=ISNUMBER(R163),0,1))</f>
        <v/>
      </c>
      <c r="T163" s="46" t="n">
        <v>1.092843196167852</v>
      </c>
      <c r="U163" s="47">
        <f>Calculo!AX161</f>
        <v/>
      </c>
      <c r="V163" s="45">
        <f>IF(AND(ISNUMBER(T163),ISNUMBER(U163)),ABS(U163-T163),IF(ISNUMBER(T163)=ISNUMBER(U163),0,1))</f>
        <v/>
      </c>
      <c r="W163" s="46" t="n">
        <v>1.117040609250107</v>
      </c>
      <c r="X163" s="47">
        <f>Calculo!AY161</f>
        <v/>
      </c>
      <c r="Y163" s="45">
        <f>IF(AND(ISNUMBER(W163),ISNUMBER(X163)),ABS(X163-W163),IF(ISNUMBER(W163)=ISNUMBER(X163),0,1))</f>
        <v/>
      </c>
      <c r="Z163" s="46" t="n">
        <v>0.0002722459457962202</v>
      </c>
      <c r="AA163" s="47">
        <f>Calculo!BC161</f>
        <v/>
      </c>
      <c r="AB163" s="45">
        <f>IF(AND(ISNUMBER(Z163),ISNUMBER(AA163)),ABS(AA163-Z163),IF(ISNUMBER(Z163)=ISNUMBER(AA163),0,1))</f>
        <v/>
      </c>
    </row>
    <row r="164">
      <c r="A164" s="36">
        <f>Calculo!A162</f>
        <v/>
      </c>
      <c r="B164" s="46" t="n">
        <v>0.007873228559756661</v>
      </c>
      <c r="C164" s="47">
        <f>Calculo!W162</f>
        <v/>
      </c>
      <c r="D164" s="45">
        <f>IF(AND(ISNUMBER(B164),ISNUMBER(C164)),ABS(C164-B164),IF(ISNUMBER(B164)=ISNUMBER(C164),0,1))</f>
        <v/>
      </c>
      <c r="E164" s="46" t="n">
        <v>0.9107192259243444</v>
      </c>
      <c r="F164" s="47">
        <f>Calculo!V162</f>
        <v/>
      </c>
      <c r="G164" s="45">
        <f>IF(AND(ISNUMBER(E164),ISNUMBER(F164)),ABS(F164-E164),IF(ISNUMBER(E164)=ISNUMBER(F164),0,1))</f>
        <v/>
      </c>
      <c r="H164" s="46" t="n">
        <v>-0.3178331526226679</v>
      </c>
      <c r="I164" s="47">
        <f>Calculo!AK162</f>
        <v/>
      </c>
      <c r="J164" s="45">
        <f>IF(AND(ISNUMBER(H164),ISNUMBER(I164)),ABS(I164-H164),IF(ISNUMBER(H164)=ISNUMBER(I164),0,1))</f>
        <v/>
      </c>
      <c r="K164" s="46" t="n">
        <v>0.004766031897310597</v>
      </c>
      <c r="L164" s="47">
        <f>Calculo!AL162</f>
        <v/>
      </c>
      <c r="M164" s="45">
        <f>IF(AND(ISNUMBER(K164),ISNUMBER(L164)),ABS(L164-K164),IF(ISNUMBER(K164)=ISNUMBER(L164),0,1))</f>
        <v/>
      </c>
      <c r="N164" s="46" t="n">
        <v>-0.07831869452083579</v>
      </c>
      <c r="O164" s="47">
        <f>Calculo!AP162</f>
        <v/>
      </c>
      <c r="P164" s="45">
        <f>IF(AND(ISNUMBER(N164),ISNUMBER(O164)),ABS(O164-N164),IF(ISNUMBER(N164)=ISNUMBER(O164),0,1))</f>
        <v/>
      </c>
      <c r="Q164" s="46" t="n">
        <v>0.5635037531483412</v>
      </c>
      <c r="R164" s="47">
        <f>Calculo!AW162</f>
        <v/>
      </c>
      <c r="S164" s="45">
        <f>IF(AND(ISNUMBER(Q164),ISNUMBER(R164)),ABS(R164-Q164),IF(ISNUMBER(Q164)=ISNUMBER(R164),0,1))</f>
        <v/>
      </c>
      <c r="T164" s="46" t="n">
        <v>1.102114488906894</v>
      </c>
      <c r="U164" s="47">
        <f>Calculo!AX162</f>
        <v/>
      </c>
      <c r="V164" s="45">
        <f>IF(AND(ISNUMBER(T164),ISNUMBER(U164)),ABS(U164-T164),IF(ISNUMBER(T164)=ISNUMBER(U164),0,1))</f>
        <v/>
      </c>
      <c r="W164" s="46" t="n">
        <v>1.114525028672637</v>
      </c>
      <c r="X164" s="47">
        <f>Calculo!AY162</f>
        <v/>
      </c>
      <c r="Y164" s="45">
        <f>IF(AND(ISNUMBER(W164),ISNUMBER(X164)),ABS(X164-W164),IF(ISNUMBER(W164)=ISNUMBER(X164),0,1))</f>
        <v/>
      </c>
      <c r="Z164" s="46" t="n">
        <v>0.0001940389284863136</v>
      </c>
      <c r="AA164" s="47">
        <f>Calculo!BC162</f>
        <v/>
      </c>
      <c r="AB164" s="45">
        <f>IF(AND(ISNUMBER(Z164),ISNUMBER(AA164)),ABS(AA164-Z164),IF(ISNUMBER(Z164)=ISNUMBER(AA164),0,1))</f>
        <v/>
      </c>
    </row>
    <row r="165">
      <c r="A165" s="36">
        <f>Calculo!A163</f>
        <v/>
      </c>
      <c r="B165" s="46" t="n">
        <v>0.03353531326932665</v>
      </c>
      <c r="C165" s="47">
        <f>Calculo!W163</f>
        <v/>
      </c>
      <c r="D165" s="45">
        <f>IF(AND(ISNUMBER(B165),ISNUMBER(C165)),ABS(C165-B165),IF(ISNUMBER(B165)=ISNUMBER(C165),0,1))</f>
        <v/>
      </c>
      <c r="E165" s="46" t="n">
        <v>0.9220283959286585</v>
      </c>
      <c r="F165" s="47">
        <f>Calculo!V163</f>
        <v/>
      </c>
      <c r="G165" s="45">
        <f>IF(AND(ISNUMBER(E165),ISNUMBER(F165)),ABS(F165-E165),IF(ISNUMBER(E165)=ISNUMBER(F165),0,1))</f>
        <v/>
      </c>
      <c r="H165" s="46" t="n">
        <v>-0.3064448863781517</v>
      </c>
      <c r="I165" s="47">
        <f>Calculo!AK163</f>
        <v/>
      </c>
      <c r="J165" s="45">
        <f>IF(AND(ISNUMBER(H165),ISNUMBER(I165)),ABS(I165-H165),IF(ISNUMBER(H165)=ISNUMBER(I165),0,1))</f>
        <v/>
      </c>
      <c r="K165" s="46" t="n">
        <v>0.00437045270062611</v>
      </c>
      <c r="L165" s="47">
        <f>Calculo!AL163</f>
        <v/>
      </c>
      <c r="M165" s="45">
        <f>IF(AND(ISNUMBER(K165),ISNUMBER(L165)),ABS(L165-K165),IF(ISNUMBER(K165)=ISNUMBER(L165),0,1))</f>
        <v/>
      </c>
      <c r="N165" s="46" t="n">
        <v>0.03158374601528444</v>
      </c>
      <c r="O165" s="47">
        <f>Calculo!AP163</f>
        <v/>
      </c>
      <c r="P165" s="45">
        <f>IF(AND(ISNUMBER(N165),ISNUMBER(O165)),ABS(O165-N165),IF(ISNUMBER(N165)=ISNUMBER(O165),0,1))</f>
        <v/>
      </c>
      <c r="Q165" s="46" t="n">
        <v>-0.2719025387372176</v>
      </c>
      <c r="R165" s="47">
        <f>Calculo!AW163</f>
        <v/>
      </c>
      <c r="S165" s="45">
        <f>IF(AND(ISNUMBER(Q165),ISNUMBER(R165)),ABS(R165-Q165),IF(ISNUMBER(Q165)=ISNUMBER(R165),0,1))</f>
        <v/>
      </c>
      <c r="T165" s="46" t="n">
        <v>0.9469211476264775</v>
      </c>
      <c r="U165" s="47">
        <f>Calculo!AX163</f>
        <v/>
      </c>
      <c r="V165" s="45">
        <f>IF(AND(ISNUMBER(T165),ISNUMBER(U165)),ABS(U165-T165),IF(ISNUMBER(T165)=ISNUMBER(U165),0,1))</f>
        <v/>
      </c>
      <c r="W165" s="46" t="n">
        <v>1.047292944233742</v>
      </c>
      <c r="X165" s="47">
        <f>Calculo!AY163</f>
        <v/>
      </c>
      <c r="Y165" s="45">
        <f>IF(AND(ISNUMBER(W165),ISNUMBER(X165)),ABS(X165-W165),IF(ISNUMBER(W165)=ISNUMBER(X165),0,1))</f>
        <v/>
      </c>
      <c r="Z165" s="46" t="n">
        <v>0.0009538692269852004</v>
      </c>
      <c r="AA165" s="47">
        <f>Calculo!BC163</f>
        <v/>
      </c>
      <c r="AB165" s="45">
        <f>IF(AND(ISNUMBER(Z165),ISNUMBER(AA165)),ABS(AA165-Z165),IF(ISNUMBER(Z165)=ISNUMBER(AA165),0,1))</f>
        <v/>
      </c>
    </row>
    <row r="166">
      <c r="A166" s="36">
        <f>Calculo!A164</f>
        <v/>
      </c>
      <c r="B166" s="46" t="n">
        <v>-0.02626716364535649</v>
      </c>
      <c r="C166" s="47">
        <f>Calculo!W164</f>
        <v/>
      </c>
      <c r="D166" s="45">
        <f>IF(AND(ISNUMBER(B166),ISNUMBER(C166)),ABS(C166-B166),IF(ISNUMBER(B166)=ISNUMBER(C166),0,1))</f>
        <v/>
      </c>
      <c r="E166" s="46" t="n">
        <v>0.9142191919150157</v>
      </c>
      <c r="F166" s="47">
        <f>Calculo!V164</f>
        <v/>
      </c>
      <c r="G166" s="45">
        <f>IF(AND(ISNUMBER(E166),ISNUMBER(F166)),ABS(F166-E166),IF(ISNUMBER(E166)=ISNUMBER(F166),0,1))</f>
        <v/>
      </c>
      <c r="H166" s="46" t="n">
        <v>-0.3063123089697039</v>
      </c>
      <c r="I166" s="47">
        <f>Calculo!AK164</f>
        <v/>
      </c>
      <c r="J166" s="45">
        <f>IF(AND(ISNUMBER(H166),ISNUMBER(I166)),ABS(I166-H166),IF(ISNUMBER(H166)=ISNUMBER(I166),0,1))</f>
        <v/>
      </c>
      <c r="K166" s="46" t="n">
        <v>0.004839837904774736</v>
      </c>
      <c r="L166" s="47">
        <f>Calculo!AL164</f>
        <v/>
      </c>
      <c r="M166" s="45">
        <f>IF(AND(ISNUMBER(K166),ISNUMBER(L166)),ABS(L166-K166),IF(ISNUMBER(K166)=ISNUMBER(L166),0,1))</f>
        <v/>
      </c>
      <c r="N166" s="46" t="n">
        <v>-0.0363823421030095</v>
      </c>
      <c r="O166" s="47">
        <f>Calculo!AP164</f>
        <v/>
      </c>
      <c r="P166" s="45">
        <f>IF(AND(ISNUMBER(N166),ISNUMBER(O166)),ABS(O166-N166),IF(ISNUMBER(N166)=ISNUMBER(O166),0,1))</f>
        <v/>
      </c>
      <c r="Q166" s="46" t="n">
        <v>0.2466214666539404</v>
      </c>
      <c r="R166" s="47">
        <f>Calculo!AW164</f>
        <v/>
      </c>
      <c r="S166" s="45">
        <f>IF(AND(ISNUMBER(Q166),ISNUMBER(R166)),ABS(R166-Q166),IF(ISNUMBER(Q166)=ISNUMBER(R166),0,1))</f>
        <v/>
      </c>
      <c r="T166" s="46" t="n">
        <v>1.048348034578649</v>
      </c>
      <c r="U166" s="47">
        <f>Calculo!AX164</f>
        <v/>
      </c>
      <c r="V166" s="45">
        <f>IF(AND(ISNUMBER(T166),ISNUMBER(U166)),ABS(U166-T166),IF(ISNUMBER(T166)=ISNUMBER(U166),0,1))</f>
        <v/>
      </c>
      <c r="W166" s="46" t="n">
        <v>1.032461223704007</v>
      </c>
      <c r="X166" s="47">
        <f>Calculo!AY164</f>
        <v/>
      </c>
      <c r="Y166" s="45">
        <f>IF(AND(ISNUMBER(W166),ISNUMBER(X166)),ABS(X166-W166),IF(ISNUMBER(W166)=ISNUMBER(X166),0,1))</f>
        <v/>
      </c>
      <c r="Z166" s="46" t="n">
        <v>-0.0004786430874618408</v>
      </c>
      <c r="AA166" s="47">
        <f>Calculo!BC164</f>
        <v/>
      </c>
      <c r="AB166" s="45">
        <f>IF(AND(ISNUMBER(Z166),ISNUMBER(AA166)),ABS(AA166-Z166),IF(ISNUMBER(Z166)=ISNUMBER(AA166),0,1))</f>
        <v/>
      </c>
    </row>
    <row r="167">
      <c r="A167" s="36">
        <f>Calculo!A165</f>
        <v/>
      </c>
      <c r="B167" s="46" t="n">
        <v>0.06365200092101703</v>
      </c>
      <c r="C167" s="47">
        <f>Calculo!W165</f>
        <v/>
      </c>
      <c r="D167" s="45">
        <f>IF(AND(ISNUMBER(B167),ISNUMBER(C167)),ABS(C167-B167),IF(ISNUMBER(B167)=ISNUMBER(C167),0,1))</f>
        <v/>
      </c>
      <c r="E167" s="46" t="n">
        <v>0.9106990370181091</v>
      </c>
      <c r="F167" s="47">
        <f>Calculo!V165</f>
        <v/>
      </c>
      <c r="G167" s="45">
        <f>IF(AND(ISNUMBER(E167),ISNUMBER(F167)),ABS(F167-E167),IF(ISNUMBER(E167)=ISNUMBER(F167),0,1))</f>
        <v/>
      </c>
      <c r="H167" s="46" t="n">
        <v>-0.2941929249456588</v>
      </c>
      <c r="I167" s="47">
        <f>Calculo!AK165</f>
        <v/>
      </c>
      <c r="J167" s="45">
        <f>IF(AND(ISNUMBER(H167),ISNUMBER(I167)),ABS(I167-H167),IF(ISNUMBER(H167)=ISNUMBER(I167),0,1))</f>
        <v/>
      </c>
      <c r="K167" s="46" t="n">
        <v>0.002785454577236219</v>
      </c>
      <c r="L167" s="47">
        <f>Calculo!AL165</f>
        <v/>
      </c>
      <c r="M167" s="45">
        <f>IF(AND(ISNUMBER(K167),ISNUMBER(L167)),ABS(L167-K167),IF(ISNUMBER(K167)=ISNUMBER(L167),0,1))</f>
        <v/>
      </c>
      <c r="N167" s="46" t="n">
        <v>0.01769002183389675</v>
      </c>
      <c r="O167" s="47">
        <f>Calculo!AP165</f>
        <v/>
      </c>
      <c r="P167" s="45">
        <f>IF(AND(ISNUMBER(N167),ISNUMBER(O167)),ABS(O167-N167),IF(ISNUMBER(N167)=ISNUMBER(O167),0,1))</f>
        <v/>
      </c>
      <c r="Q167" s="46" t="n">
        <v>-0.1678853040210978</v>
      </c>
      <c r="R167" s="47">
        <f>Calculo!AW165</f>
        <v/>
      </c>
      <c r="S167" s="45">
        <f>IF(AND(ISNUMBER(Q167),ISNUMBER(R167)),ABS(R167-Q167),IF(ISNUMBER(Q167)=ISNUMBER(R167),0,1))</f>
        <v/>
      </c>
      <c r="T167" s="46" t="n">
        <v>0.9667348845421291</v>
      </c>
      <c r="U167" s="47">
        <f>Calculo!AX165</f>
        <v/>
      </c>
      <c r="V167" s="45">
        <f>IF(AND(ISNUMBER(T167),ISNUMBER(U167)),ABS(U167-T167),IF(ISNUMBER(T167)=ISNUMBER(U167),0,1))</f>
        <v/>
      </c>
      <c r="W167" s="46" t="n">
        <v>0.987334688915752</v>
      </c>
      <c r="X167" s="47">
        <f>Calculo!AY165</f>
        <v/>
      </c>
      <c r="Y167" s="45">
        <f>IF(AND(ISNUMBER(W167),ISNUMBER(X167)),ABS(X167-W167),IF(ISNUMBER(W167)=ISNUMBER(X167),0,1))</f>
        <v/>
      </c>
      <c r="Z167" s="46" t="n">
        <v>0.0004794761589518569</v>
      </c>
      <c r="AA167" s="47">
        <f>Calculo!BC165</f>
        <v/>
      </c>
      <c r="AB167" s="45">
        <f>IF(AND(ISNUMBER(Z167),ISNUMBER(AA167)),ABS(AA167-Z167),IF(ISNUMBER(Z167)=ISNUMBER(AA167),0,1))</f>
        <v/>
      </c>
    </row>
    <row r="168">
      <c r="A168" s="36">
        <f>Calculo!A166</f>
        <v/>
      </c>
      <c r="B168" s="46" t="n">
        <v>0.02860857032488559</v>
      </c>
      <c r="C168" s="47">
        <f>Calculo!W166</f>
        <v/>
      </c>
      <c r="D168" s="45">
        <f>IF(AND(ISNUMBER(B168),ISNUMBER(C168)),ABS(C168-B168),IF(ISNUMBER(B168)=ISNUMBER(C168),0,1))</f>
        <v/>
      </c>
      <c r="E168" s="46" t="n">
        <v>0.9215057777520232</v>
      </c>
      <c r="F168" s="47">
        <f>Calculo!V166</f>
        <v/>
      </c>
      <c r="G168" s="45">
        <f>IF(AND(ISNUMBER(E168),ISNUMBER(F168)),ABS(F168-E168),IF(ISNUMBER(E168)=ISNUMBER(F168),0,1))</f>
        <v/>
      </c>
      <c r="H168" s="46" t="n">
        <v>-0.2873575563992836</v>
      </c>
      <c r="I168" s="47">
        <f>Calculo!AK166</f>
        <v/>
      </c>
      <c r="J168" s="45">
        <f>IF(AND(ISNUMBER(H168),ISNUMBER(I168)),ABS(I168-H168),IF(ISNUMBER(H168)=ISNUMBER(I168),0,1))</f>
        <v/>
      </c>
      <c r="K168" s="46" t="n">
        <v>0.005202275996334806</v>
      </c>
      <c r="L168" s="47">
        <f>Calculo!AL166</f>
        <v/>
      </c>
      <c r="M168" s="45">
        <f>IF(AND(ISNUMBER(K168),ISNUMBER(L168)),ABS(L168-K168),IF(ISNUMBER(K168)=ISNUMBER(L168),0,1))</f>
        <v/>
      </c>
      <c r="N168" s="46" t="n">
        <v>0.03840915757896687</v>
      </c>
      <c r="O168" s="47">
        <f>Calculo!AP166</f>
        <v/>
      </c>
      <c r="P168" s="45">
        <f>IF(AND(ISNUMBER(N168),ISNUMBER(O168)),ABS(O168-N168),IF(ISNUMBER(N168)=ISNUMBER(O168),0,1))</f>
        <v/>
      </c>
      <c r="Q168" s="46" t="n">
        <v>-0.3261025988738537</v>
      </c>
      <c r="R168" s="47">
        <f>Calculo!AW166</f>
        <v/>
      </c>
      <c r="S168" s="45">
        <f>IF(AND(ISNUMBER(Q168),ISNUMBER(R168)),ABS(R168-Q168),IF(ISNUMBER(Q168)=ISNUMBER(R168),0,1))</f>
        <v/>
      </c>
      <c r="T168" s="46" t="n">
        <v>0.9369971093017015</v>
      </c>
      <c r="U168" s="47">
        <f>Calculo!AX166</f>
        <v/>
      </c>
      <c r="V168" s="45">
        <f>IF(AND(ISNUMBER(T168),ISNUMBER(U168)),ABS(U168-T168),IF(ISNUMBER(T168)=ISNUMBER(U168),0,1))</f>
        <v/>
      </c>
      <c r="W168" s="46" t="n">
        <v>0.9840266761408266</v>
      </c>
      <c r="X168" s="47">
        <f>Calculo!AY166</f>
        <v/>
      </c>
      <c r="Y168" s="45">
        <f>IF(AND(ISNUMBER(W168),ISNUMBER(X168)),ABS(X168-W168),IF(ISNUMBER(W168)=ISNUMBER(X168),0,1))</f>
        <v/>
      </c>
      <c r="Z168" s="46" t="n">
        <v>-0.0002034004476807018</v>
      </c>
      <c r="AA168" s="47">
        <f>Calculo!BC166</f>
        <v/>
      </c>
      <c r="AB168" s="45">
        <f>IF(AND(ISNUMBER(Z168),ISNUMBER(AA168)),ABS(AA168-Z168),IF(ISNUMBER(Z168)=ISNUMBER(AA168),0,1))</f>
        <v/>
      </c>
    </row>
    <row r="169">
      <c r="A169" s="36">
        <f>Calculo!A167</f>
        <v/>
      </c>
      <c r="B169" s="46" t="n">
        <v>-0.02369961090119042</v>
      </c>
      <c r="C169" s="47">
        <f>Calculo!W167</f>
        <v/>
      </c>
      <c r="D169" s="45">
        <f>IF(AND(ISNUMBER(B169),ISNUMBER(C169)),ABS(C169-B169),IF(ISNUMBER(B169)=ISNUMBER(C169),0,1))</f>
        <v/>
      </c>
      <c r="E169" s="46" t="n">
        <v>0.9203190270602083</v>
      </c>
      <c r="F169" s="47">
        <f>Calculo!V167</f>
        <v/>
      </c>
      <c r="G169" s="45">
        <f>IF(AND(ISNUMBER(E169),ISNUMBER(F169)),ABS(F169-E169),IF(ISNUMBER(E169)=ISNUMBER(F169),0,1))</f>
        <v/>
      </c>
      <c r="H169" s="46" t="n">
        <v>-0.2721046810884807</v>
      </c>
      <c r="I169" s="47">
        <f>Calculo!AK167</f>
        <v/>
      </c>
      <c r="J169" s="45">
        <f>IF(AND(ISNUMBER(H169),ISNUMBER(I169)),ABS(I169-H169),IF(ISNUMBER(H169)=ISNUMBER(I169),0,1))</f>
        <v/>
      </c>
      <c r="K169" s="46" t="n">
        <v>0.006192705287699211</v>
      </c>
      <c r="L169" s="47">
        <f>Calculo!AL167</f>
        <v/>
      </c>
      <c r="M169" s="45">
        <f>IF(AND(ISNUMBER(K169),ISNUMBER(L169)),ABS(L169-K169),IF(ISNUMBER(K169)=ISNUMBER(L169),0,1))</f>
        <v/>
      </c>
      <c r="N169" s="46" t="n">
        <v>0.07015779808674477</v>
      </c>
      <c r="O169" s="47">
        <f>Calculo!AP167</f>
        <v/>
      </c>
      <c r="P169" s="45">
        <f>IF(AND(ISNUMBER(N169),ISNUMBER(O169)),ABS(O169-N169),IF(ISNUMBER(N169)=ISNUMBER(O169),0,1))</f>
        <v/>
      </c>
      <c r="Q169" s="46" t="n">
        <v>-0.5686617929472617</v>
      </c>
      <c r="R169" s="47">
        <f>Calculo!AW167</f>
        <v/>
      </c>
      <c r="S169" s="45">
        <f>IF(AND(ISNUMBER(Q169),ISNUMBER(R169)),ABS(R169-Q169),IF(ISNUMBER(Q169)=ISNUMBER(R169),0,1))</f>
        <v/>
      </c>
      <c r="T169" s="46" t="n">
        <v>0.8971248370721527</v>
      </c>
      <c r="U169" s="47">
        <f>Calculo!AX167</f>
        <v/>
      </c>
      <c r="V169" s="45">
        <f>IF(AND(ISNUMBER(T169),ISNUMBER(U169)),ABS(U169-T169),IF(ISNUMBER(T169)=ISNUMBER(U169),0,1))</f>
        <v/>
      </c>
      <c r="W169" s="46" t="n">
        <v>0.9336189436386612</v>
      </c>
      <c r="X169" s="47">
        <f>Calculo!AY167</f>
        <v/>
      </c>
      <c r="Y169" s="45">
        <f>IF(AND(ISNUMBER(W169),ISNUMBER(X169)),ABS(X169-W169),IF(ISNUMBER(W169)=ISNUMBER(X169),0,1))</f>
        <v/>
      </c>
      <c r="Z169" s="46" t="n">
        <v>8.637035812796407e-05</v>
      </c>
      <c r="AA169" s="47">
        <f>Calculo!BC167</f>
        <v/>
      </c>
      <c r="AB169" s="45">
        <f>IF(AND(ISNUMBER(Z169),ISNUMBER(AA169)),ABS(AA169-Z169),IF(ISNUMBER(Z169)=ISNUMBER(AA169),0,1))</f>
        <v/>
      </c>
    </row>
    <row r="170">
      <c r="A170" s="36">
        <f>Calculo!A168</f>
        <v/>
      </c>
      <c r="B170" s="46" t="n">
        <v>0.07731005774236255</v>
      </c>
      <c r="C170" s="47">
        <f>Calculo!W168</f>
        <v/>
      </c>
      <c r="D170" s="45">
        <f>IF(AND(ISNUMBER(B170),ISNUMBER(C170)),ABS(C170-B170),IF(ISNUMBER(B170)=ISNUMBER(C170),0,1))</f>
        <v/>
      </c>
      <c r="E170" s="46" t="n">
        <v>0.9230464539766855</v>
      </c>
      <c r="F170" s="47">
        <f>Calculo!V168</f>
        <v/>
      </c>
      <c r="G170" s="45">
        <f>IF(AND(ISNUMBER(E170),ISNUMBER(F170)),ABS(F170-E170),IF(ISNUMBER(E170)=ISNUMBER(F170),0,1))</f>
        <v/>
      </c>
      <c r="H170" s="46" t="n">
        <v>-0.2689937909253473</v>
      </c>
      <c r="I170" s="47">
        <f>Calculo!AK168</f>
        <v/>
      </c>
      <c r="J170" s="45">
        <f>IF(AND(ISNUMBER(H170),ISNUMBER(I170)),ABS(I170-H170),IF(ISNUMBER(H170)=ISNUMBER(I170),0,1))</f>
        <v/>
      </c>
      <c r="K170" s="46" t="n">
        <v>0.005066499046346717</v>
      </c>
      <c r="L170" s="47">
        <f>Calculo!AL168</f>
        <v/>
      </c>
      <c r="M170" s="45">
        <f>IF(AND(ISNUMBER(K170),ISNUMBER(L170)),ABS(L170-K170),IF(ISNUMBER(K170)=ISNUMBER(L170),0,1))</f>
        <v/>
      </c>
      <c r="N170" s="46" t="n">
        <v>0.0574865049721875</v>
      </c>
      <c r="O170" s="47">
        <f>Calculo!AP168</f>
        <v/>
      </c>
      <c r="P170" s="45">
        <f>IF(AND(ISNUMBER(N170),ISNUMBER(O170)),ABS(O170-N170),IF(ISNUMBER(N170)=ISNUMBER(O170),0,1))</f>
        <v/>
      </c>
      <c r="Q170" s="46" t="n">
        <v>-0.4676786076688406</v>
      </c>
      <c r="R170" s="47">
        <f>Calculo!AW168</f>
        <v/>
      </c>
      <c r="S170" s="45">
        <f>IF(AND(ISNUMBER(Q170),ISNUMBER(R170)),ABS(R170-Q170),IF(ISNUMBER(Q170)=ISNUMBER(R170),0,1))</f>
        <v/>
      </c>
      <c r="T170" s="46" t="n">
        <v>0.912735646686345</v>
      </c>
      <c r="U170" s="47">
        <f>Calculo!AX168</f>
        <v/>
      </c>
      <c r="V170" s="45">
        <f>IF(AND(ISNUMBER(T170),ISNUMBER(U170)),ABS(U170-T170),IF(ISNUMBER(T170)=ISNUMBER(U170),0,1))</f>
        <v/>
      </c>
      <c r="W170" s="46" t="n">
        <v>0.9156191976867332</v>
      </c>
      <c r="X170" s="47">
        <f>Calculo!AY168</f>
        <v/>
      </c>
      <c r="Y170" s="45">
        <f>IF(AND(ISNUMBER(W170),ISNUMBER(X170)),ABS(X170-W170),IF(ISNUMBER(W170)=ISNUMBER(X170),0,1))</f>
        <v/>
      </c>
      <c r="Z170" s="46" t="n">
        <v>-0.001409000156328946</v>
      </c>
      <c r="AA170" s="47">
        <f>Calculo!BC168</f>
        <v/>
      </c>
      <c r="AB170" s="45">
        <f>IF(AND(ISNUMBER(Z170),ISNUMBER(AA170)),ABS(AA170-Z170),IF(ISNUMBER(Z170)=ISNUMBER(AA170),0,1))</f>
        <v/>
      </c>
    </row>
    <row r="171">
      <c r="A171" s="36">
        <f>Calculo!A169</f>
        <v/>
      </c>
      <c r="B171" s="46" t="n">
        <v>0.03167493825319041</v>
      </c>
      <c r="C171" s="47">
        <f>Calculo!W169</f>
        <v/>
      </c>
      <c r="D171" s="45">
        <f>IF(AND(ISNUMBER(B171),ISNUMBER(C171)),ABS(C171-B171),IF(ISNUMBER(B171)=ISNUMBER(C171),0,1))</f>
        <v/>
      </c>
      <c r="E171" s="46" t="n">
        <v>0.993397824000229</v>
      </c>
      <c r="F171" s="47">
        <f>Calculo!V169</f>
        <v/>
      </c>
      <c r="G171" s="45">
        <f>IF(AND(ISNUMBER(E171),ISNUMBER(F171)),ABS(F171-E171),IF(ISNUMBER(E171)=ISNUMBER(F171),0,1))</f>
        <v/>
      </c>
      <c r="H171" s="46" t="n">
        <v>-0.1896101858367416</v>
      </c>
      <c r="I171" s="47">
        <f>Calculo!AK169</f>
        <v/>
      </c>
      <c r="J171" s="45">
        <f>IF(AND(ISNUMBER(H171),ISNUMBER(I171)),ABS(I171-H171),IF(ISNUMBER(H171)=ISNUMBER(I171),0,1))</f>
        <v/>
      </c>
      <c r="K171" s="46" t="n">
        <v>0.01056351445579551</v>
      </c>
      <c r="L171" s="47">
        <f>Calculo!AL169</f>
        <v/>
      </c>
      <c r="M171" s="45">
        <f>IF(AND(ISNUMBER(K171),ISNUMBER(L171)),ABS(L171-K171),IF(ISNUMBER(K171)=ISNUMBER(L171),0,1))</f>
        <v/>
      </c>
      <c r="N171" s="46" t="n">
        <v>0.02508316682388526</v>
      </c>
      <c r="O171" s="47">
        <f>Calculo!AP169</f>
        <v/>
      </c>
      <c r="P171" s="45">
        <f>IF(AND(ISNUMBER(N171),ISNUMBER(O171)),ABS(O171-N171),IF(ISNUMBER(N171)=ISNUMBER(O171),0,1))</f>
        <v/>
      </c>
      <c r="Q171" s="46" t="n">
        <v>-0.2140436135303764</v>
      </c>
      <c r="R171" s="47">
        <f>Calculo!AW169</f>
        <v/>
      </c>
      <c r="S171" s="45">
        <f>IF(AND(ISNUMBER(Q171),ISNUMBER(R171)),ABS(R171-Q171),IF(ISNUMBER(Q171)=ISNUMBER(R171),0,1))</f>
        <v/>
      </c>
      <c r="T171" s="46" t="n">
        <v>0.9578332705846557</v>
      </c>
      <c r="U171" s="47">
        <f>Calculo!AX169</f>
        <v/>
      </c>
      <c r="V171" s="45">
        <f>IF(AND(ISNUMBER(T171),ISNUMBER(U171)),ABS(U171-T171),IF(ISNUMBER(T171)=ISNUMBER(U171),0,1))</f>
        <v/>
      </c>
      <c r="W171" s="46" t="n">
        <v>0.9225645847810512</v>
      </c>
      <c r="X171" s="47">
        <f>Calculo!AY169</f>
        <v/>
      </c>
      <c r="Y171" s="45">
        <f>IF(AND(ISNUMBER(W171),ISNUMBER(X171)),ABS(X171-W171),IF(ISNUMBER(W171)=ISNUMBER(X171),0,1))</f>
        <v/>
      </c>
      <c r="Z171" s="46" t="n">
        <v>-0.0007131885406366685</v>
      </c>
      <c r="AA171" s="47">
        <f>Calculo!BC169</f>
        <v/>
      </c>
      <c r="AB171" s="45">
        <f>IF(AND(ISNUMBER(Z171),ISNUMBER(AA171)),ABS(AA171-Z171),IF(ISNUMBER(Z171)=ISNUMBER(AA171),0,1))</f>
        <v/>
      </c>
    </row>
    <row r="172">
      <c r="A172" s="36">
        <f>Calculo!A170</f>
        <v/>
      </c>
      <c r="B172" s="46" t="n">
        <v>0.02687513656058688</v>
      </c>
      <c r="C172" s="47">
        <f>Calculo!W170</f>
        <v/>
      </c>
      <c r="D172" s="45">
        <f>IF(AND(ISNUMBER(B172),ISNUMBER(C172)),ABS(C172-B172),IF(ISNUMBER(B172)=ISNUMBER(C172),0,1))</f>
        <v/>
      </c>
      <c r="E172" s="46" t="n">
        <v>0.9886362341295288</v>
      </c>
      <c r="F172" s="47">
        <f>Calculo!V170</f>
        <v/>
      </c>
      <c r="G172" s="45">
        <f>IF(AND(ISNUMBER(E172),ISNUMBER(F172)),ABS(F172-E172),IF(ISNUMBER(E172)=ISNUMBER(F172),0,1))</f>
        <v/>
      </c>
      <c r="H172" s="46" t="n">
        <v>-0.212794454538266</v>
      </c>
      <c r="I172" s="47">
        <f>Calculo!AK170</f>
        <v/>
      </c>
      <c r="J172" s="45">
        <f>IF(AND(ISNUMBER(H172),ISNUMBER(I172)),ABS(I172-H172),IF(ISNUMBER(H172)=ISNUMBER(I172),0,1))</f>
        <v/>
      </c>
      <c r="K172" s="46" t="n">
        <v>0.01148457810738149</v>
      </c>
      <c r="L172" s="47">
        <f>Calculo!AL170</f>
        <v/>
      </c>
      <c r="M172" s="45">
        <f>IF(AND(ISNUMBER(K172),ISNUMBER(L172)),ABS(L172-K172),IF(ISNUMBER(K172)=ISNUMBER(L172),0,1))</f>
        <v/>
      </c>
      <c r="N172" s="46" t="n">
        <v>0.0624845981644564</v>
      </c>
      <c r="O172" s="47">
        <f>Calculo!AP170</f>
        <v/>
      </c>
      <c r="P172" s="45">
        <f>IF(AND(ISNUMBER(N172),ISNUMBER(O172)),ABS(O172-N172),IF(ISNUMBER(N172)=ISNUMBER(O172),0,1))</f>
        <v/>
      </c>
      <c r="Q172" s="46" t="n">
        <v>-0.5041508819394499</v>
      </c>
      <c r="R172" s="47">
        <f>Calculo!AW170</f>
        <v/>
      </c>
      <c r="S172" s="45">
        <f>IF(AND(ISNUMBER(Q172),ISNUMBER(R172)),ABS(R172-Q172),IF(ISNUMBER(Q172)=ISNUMBER(R172),0,1))</f>
        <v/>
      </c>
      <c r="T172" s="46" t="n">
        <v>0.9069249319176228</v>
      </c>
      <c r="U172" s="47">
        <f>Calculo!AX170</f>
        <v/>
      </c>
      <c r="V172" s="45">
        <f>IF(AND(ISNUMBER(T172),ISNUMBER(U172)),ABS(U172-T172),IF(ISNUMBER(T172)=ISNUMBER(U172),0,1))</f>
        <v/>
      </c>
      <c r="W172" s="46" t="n">
        <v>0.9258312830628745</v>
      </c>
      <c r="X172" s="47">
        <f>Calculo!AY170</f>
        <v/>
      </c>
      <c r="Y172" s="45">
        <f>IF(AND(ISNUMBER(W172),ISNUMBER(X172)),ABS(X172-W172),IF(ISNUMBER(W172)=ISNUMBER(X172),0,1))</f>
        <v/>
      </c>
      <c r="Z172" s="46" t="n">
        <v>-0.0005376353073945442</v>
      </c>
      <c r="AA172" s="47">
        <f>Calculo!BC170</f>
        <v/>
      </c>
      <c r="AB172" s="45">
        <f>IF(AND(ISNUMBER(Z172),ISNUMBER(AA172)),ABS(AA172-Z172),IF(ISNUMBER(Z172)=ISNUMBER(AA172),0,1))</f>
        <v/>
      </c>
    </row>
    <row r="173">
      <c r="A173" s="36">
        <f>Calculo!A171</f>
        <v/>
      </c>
      <c r="B173" s="46" t="n">
        <v>-0.0375548610581699</v>
      </c>
      <c r="C173" s="47">
        <f>Calculo!W171</f>
        <v/>
      </c>
      <c r="D173" s="45">
        <f>IF(AND(ISNUMBER(B173),ISNUMBER(C173)),ABS(C173-B173),IF(ISNUMBER(B173)=ISNUMBER(C173),0,1))</f>
        <v/>
      </c>
      <c r="E173" s="46" t="n">
        <v>1.023021441571506</v>
      </c>
      <c r="F173" s="47">
        <f>Calculo!V171</f>
        <v/>
      </c>
      <c r="G173" s="45">
        <f>IF(AND(ISNUMBER(E173),ISNUMBER(F173)),ABS(F173-E173),IF(ISNUMBER(E173)=ISNUMBER(F173),0,1))</f>
        <v/>
      </c>
      <c r="H173" s="46" t="n">
        <v>-0.2198765894747877</v>
      </c>
      <c r="I173" s="47">
        <f>Calculo!AK171</f>
        <v/>
      </c>
      <c r="J173" s="45">
        <f>IF(AND(ISNUMBER(H173),ISNUMBER(I173)),ABS(I173-H173),IF(ISNUMBER(H173)=ISNUMBER(I173),0,1))</f>
        <v/>
      </c>
      <c r="K173" s="46" t="n">
        <v>0.009635975041997556</v>
      </c>
      <c r="L173" s="47">
        <f>Calculo!AL171</f>
        <v/>
      </c>
      <c r="M173" s="45">
        <f>IF(AND(ISNUMBER(K173),ISNUMBER(L173)),ABS(L173-K173),IF(ISNUMBER(K173)=ISNUMBER(L173),0,1))</f>
        <v/>
      </c>
      <c r="N173" s="46" t="n">
        <v>-0.02962483116842875</v>
      </c>
      <c r="O173" s="47">
        <f>Calculo!AP171</f>
        <v/>
      </c>
      <c r="P173" s="45">
        <f>IF(AND(ISNUMBER(N173),ISNUMBER(O173)),ABS(O173-N173),IF(ISNUMBER(N173)=ISNUMBER(O173),0,1))</f>
        <v/>
      </c>
      <c r="Q173" s="46" t="n">
        <v>0.2184774956505481</v>
      </c>
      <c r="R173" s="47">
        <f>Calculo!AW171</f>
        <v/>
      </c>
      <c r="S173" s="45">
        <f>IF(AND(ISNUMBER(Q173),ISNUMBER(R173)),ABS(R173-Q173),IF(ISNUMBER(Q173)=ISNUMBER(R173),0,1))</f>
        <v/>
      </c>
      <c r="T173" s="46" t="n">
        <v>1.043013290971089</v>
      </c>
      <c r="U173" s="47">
        <f>Calculo!AX171</f>
        <v/>
      </c>
      <c r="V173" s="45">
        <f>IF(AND(ISNUMBER(T173),ISNUMBER(U173)),ABS(U173-T173),IF(ISNUMBER(T173)=ISNUMBER(U173),0,1))</f>
        <v/>
      </c>
      <c r="W173" s="46" t="n">
        <v>0.9692571644911224</v>
      </c>
      <c r="X173" s="47">
        <f>Calculo!AY171</f>
        <v/>
      </c>
      <c r="Y173" s="45">
        <f>IF(AND(ISNUMBER(W173),ISNUMBER(X173)),ABS(X173-W173),IF(ISNUMBER(W173)=ISNUMBER(X173),0,1))</f>
        <v/>
      </c>
      <c r="Z173" s="46" t="n">
        <v>0.0006881822191545613</v>
      </c>
      <c r="AA173" s="47">
        <f>Calculo!BC171</f>
        <v/>
      </c>
      <c r="AB173" s="45">
        <f>IF(AND(ISNUMBER(Z173),ISNUMBER(AA173)),ABS(AA173-Z173),IF(ISNUMBER(Z173)=ISNUMBER(AA173),0,1))</f>
        <v/>
      </c>
    </row>
    <row r="174">
      <c r="A174" s="36">
        <f>Calculo!A172</f>
        <v/>
      </c>
      <c r="B174" s="46" t="n">
        <v>0.09901307165764317</v>
      </c>
      <c r="C174" s="47">
        <f>Calculo!W172</f>
        <v/>
      </c>
      <c r="D174" s="45">
        <f>IF(AND(ISNUMBER(B174),ISNUMBER(C174)),ABS(C174-B174),IF(ISNUMBER(B174)=ISNUMBER(C174),0,1))</f>
        <v/>
      </c>
      <c r="E174" s="46" t="n">
        <v>1.077302672083836</v>
      </c>
      <c r="F174" s="47">
        <f>Calculo!V172</f>
        <v/>
      </c>
      <c r="G174" s="45">
        <f>IF(AND(ISNUMBER(E174),ISNUMBER(F174)),ABS(F174-E174),IF(ISNUMBER(E174)=ISNUMBER(F174),0,1))</f>
        <v/>
      </c>
      <c r="H174" s="46" t="n">
        <v>-0.219775340865205</v>
      </c>
      <c r="I174" s="47">
        <f>Calculo!AK172</f>
        <v/>
      </c>
      <c r="J174" s="45">
        <f>IF(AND(ISNUMBER(H174),ISNUMBER(I174)),ABS(I174-H174),IF(ISNUMBER(H174)=ISNUMBER(I174),0,1))</f>
        <v/>
      </c>
      <c r="K174" s="46" t="n">
        <v>0.006116722040782108</v>
      </c>
      <c r="L174" s="47">
        <f>Calculo!AL172</f>
        <v/>
      </c>
      <c r="M174" s="45">
        <f>IF(AND(ISNUMBER(K174),ISNUMBER(L174)),ABS(L174-K174),IF(ISNUMBER(K174)=ISNUMBER(L174),0,1))</f>
        <v/>
      </c>
      <c r="N174" s="46" t="n">
        <v>0.05141339291212609</v>
      </c>
      <c r="O174" s="47">
        <f>Calculo!AP172</f>
        <v/>
      </c>
      <c r="P174" s="45">
        <f>IF(AND(ISNUMBER(N174),ISNUMBER(O174)),ABS(O174-N174),IF(ISNUMBER(N174)=ISNUMBER(O174),0,1))</f>
        <v/>
      </c>
      <c r="Q174" s="46" t="n">
        <v>-0.4187069009008206</v>
      </c>
      <c r="R174" s="47">
        <f>Calculo!AW172</f>
        <v/>
      </c>
      <c r="S174" s="45">
        <f>IF(AND(ISNUMBER(Q174),ISNUMBER(R174)),ABS(R174-Q174),IF(ISNUMBER(Q174)=ISNUMBER(R174),0,1))</f>
        <v/>
      </c>
      <c r="T174" s="46" t="n">
        <v>0.9208318986555398</v>
      </c>
      <c r="U174" s="47">
        <f>Calculo!AX172</f>
        <v/>
      </c>
      <c r="V174" s="45">
        <f>IF(AND(ISNUMBER(T174),ISNUMBER(U174)),ABS(U174-T174),IF(ISNUMBER(T174)=ISNUMBER(U174),0,1))</f>
        <v/>
      </c>
      <c r="W174" s="46" t="n">
        <v>0.9569233738480838</v>
      </c>
      <c r="X174" s="47">
        <f>Calculo!AY172</f>
        <v/>
      </c>
      <c r="Y174" s="45">
        <f>IF(AND(ISNUMBER(W174),ISNUMBER(X174)),ABS(X174-W174),IF(ISNUMBER(W174)=ISNUMBER(X174),0,1))</f>
        <v/>
      </c>
      <c r="Z174" s="46" t="n">
        <v>-0.0008695503473705278</v>
      </c>
      <c r="AA174" s="47">
        <f>Calculo!BC172</f>
        <v/>
      </c>
      <c r="AB174" s="45">
        <f>IF(AND(ISNUMBER(Z174),ISNUMBER(AA174)),ABS(AA174-Z174),IF(ISNUMBER(Z174)=ISNUMBER(AA174),0,1))</f>
        <v/>
      </c>
    </row>
    <row r="175">
      <c r="A175" s="36">
        <f>Calculo!A173</f>
        <v/>
      </c>
      <c r="B175" s="46" t="n">
        <v>-0.1097921161384095</v>
      </c>
      <c r="C175" s="47">
        <f>Calculo!W173</f>
        <v/>
      </c>
      <c r="D175" s="45">
        <f>IF(AND(ISNUMBER(B175),ISNUMBER(C175)),ABS(C175-B175),IF(ISNUMBER(B175)=ISNUMBER(C175),0,1))</f>
        <v/>
      </c>
      <c r="E175" s="46" t="n">
        <v>1.168760832222908</v>
      </c>
      <c r="F175" s="47">
        <f>Calculo!V173</f>
        <v/>
      </c>
      <c r="G175" s="45">
        <f>IF(AND(ISNUMBER(E175),ISNUMBER(F175)),ABS(F175-E175),IF(ISNUMBER(E175)=ISNUMBER(F175),0,1))</f>
        <v/>
      </c>
      <c r="H175" s="46" t="n">
        <v>-0.2437777953477529</v>
      </c>
      <c r="I175" s="47">
        <f>Calculo!AK173</f>
        <v/>
      </c>
      <c r="J175" s="45">
        <f>IF(AND(ISNUMBER(H175),ISNUMBER(I175)),ABS(I175-H175),IF(ISNUMBER(H175)=ISNUMBER(I175),0,1))</f>
        <v/>
      </c>
      <c r="K175" s="46" t="n">
        <v>0.005663531821870777</v>
      </c>
      <c r="L175" s="47">
        <f>Calculo!AL173</f>
        <v/>
      </c>
      <c r="M175" s="45">
        <f>IF(AND(ISNUMBER(K175),ISNUMBER(L175)),ABS(L175-K175),IF(ISNUMBER(K175)=ISNUMBER(L175),0,1))</f>
        <v/>
      </c>
      <c r="N175" s="46" t="n">
        <v>-0.06045266037049642</v>
      </c>
      <c r="O175" s="47">
        <f>Calculo!AP173</f>
        <v/>
      </c>
      <c r="P175" s="45">
        <f>IF(AND(ISNUMBER(N175),ISNUMBER(O175)),ABS(O175-N175),IF(ISNUMBER(N175)=ISNUMBER(O175),0,1))</f>
        <v/>
      </c>
      <c r="Q175" s="46" t="n">
        <v>0.4645311597191142</v>
      </c>
      <c r="R175" s="47">
        <f>Calculo!AW173</f>
        <v/>
      </c>
      <c r="S175" s="45">
        <f>IF(AND(ISNUMBER(Q175),ISNUMBER(R175)),ABS(R175-Q175),IF(ISNUMBER(Q175)=ISNUMBER(R175),0,1))</f>
        <v/>
      </c>
      <c r="T175" s="46" t="n">
        <v>1.086754004687894</v>
      </c>
      <c r="U175" s="47">
        <f>Calculo!AX173</f>
        <v/>
      </c>
      <c r="V175" s="45">
        <f>IF(AND(ISNUMBER(T175),ISNUMBER(U175)),ABS(U175-T175),IF(ISNUMBER(T175)=ISNUMBER(U175),0,1))</f>
        <v/>
      </c>
      <c r="W175" s="46" t="n">
        <v>1.016866398104841</v>
      </c>
      <c r="X175" s="47">
        <f>Calculo!AY173</f>
        <v/>
      </c>
      <c r="Y175" s="45">
        <f>IF(AND(ISNUMBER(W175),ISNUMBER(X175)),ABS(X175-W175),IF(ISNUMBER(W175)=ISNUMBER(X175),0,1))</f>
        <v/>
      </c>
      <c r="Z175" s="46" t="n">
        <v>0.001151534008722911</v>
      </c>
      <c r="AA175" s="47">
        <f>Calculo!BC173</f>
        <v/>
      </c>
      <c r="AB175" s="45">
        <f>IF(AND(ISNUMBER(Z175),ISNUMBER(AA175)),ABS(AA175-Z175),IF(ISNUMBER(Z175)=ISNUMBER(AA175),0,1))</f>
        <v/>
      </c>
    </row>
    <row r="176">
      <c r="A176" s="36">
        <f>Calculo!A174</f>
        <v/>
      </c>
      <c r="B176" s="46" t="n">
        <v>0.06788431391170024</v>
      </c>
      <c r="C176" s="47">
        <f>Calculo!W174</f>
        <v/>
      </c>
      <c r="D176" s="45">
        <f>IF(AND(ISNUMBER(B176),ISNUMBER(C176)),ABS(C176-B176),IF(ISNUMBER(B176)=ISNUMBER(C176),0,1))</f>
        <v/>
      </c>
      <c r="E176" s="46" t="n">
        <v>1.123997111671752</v>
      </c>
      <c r="F176" s="47">
        <f>Calculo!V174</f>
        <v/>
      </c>
      <c r="G176" s="45">
        <f>IF(AND(ISNUMBER(E176),ISNUMBER(F176)),ABS(F176-E176),IF(ISNUMBER(E176)=ISNUMBER(F176),0,1))</f>
        <v/>
      </c>
      <c r="H176" s="46" t="n">
        <v>-0.2903165031325649</v>
      </c>
      <c r="I176" s="47">
        <f>Calculo!AK174</f>
        <v/>
      </c>
      <c r="J176" s="45">
        <f>IF(AND(ISNUMBER(H176),ISNUMBER(I176)),ABS(I176-H176),IF(ISNUMBER(H176)=ISNUMBER(I176),0,1))</f>
        <v/>
      </c>
      <c r="K176" s="46" t="n">
        <v>0.0005495932678485221</v>
      </c>
      <c r="L176" s="47">
        <f>Calculo!AL174</f>
        <v/>
      </c>
      <c r="M176" s="45">
        <f>IF(AND(ISNUMBER(K176),ISNUMBER(L176)),ABS(L176-K176),IF(ISNUMBER(K176)=ISNUMBER(L176),0,1))</f>
        <v/>
      </c>
      <c r="N176" s="46" t="n">
        <v>0.07892335460259363</v>
      </c>
      <c r="O176" s="47">
        <f>Calculo!AP174</f>
        <v/>
      </c>
      <c r="P176" s="45">
        <f>IF(AND(ISNUMBER(N176),ISNUMBER(O176)),ABS(O176-N176),IF(ISNUMBER(N176)=ISNUMBER(O176),0,1))</f>
        <v/>
      </c>
      <c r="Q176" s="46" t="n">
        <v>-0.6388150382444557</v>
      </c>
      <c r="R176" s="47">
        <f>Calculo!AW174</f>
        <v/>
      </c>
      <c r="S176" s="45">
        <f>IF(AND(ISNUMBER(Q176),ISNUMBER(R176)),ABS(R176-Q176),IF(ISNUMBER(Q176)=ISNUMBER(R176),0,1))</f>
        <v/>
      </c>
      <c r="T176" s="46" t="n">
        <v>0.8871815628082517</v>
      </c>
      <c r="U176" s="47">
        <f>Calculo!AX174</f>
        <v/>
      </c>
      <c r="V176" s="45">
        <f>IF(AND(ISNUMBER(T176),ISNUMBER(U176)),ABS(U176-T176),IF(ISNUMBER(T176)=ISNUMBER(U176),0,1))</f>
        <v/>
      </c>
      <c r="W176" s="46" t="n">
        <v>0.9649224887172285</v>
      </c>
      <c r="X176" s="47">
        <f>Calculo!AY174</f>
        <v/>
      </c>
      <c r="Y176" s="45">
        <f>IF(AND(ISNUMBER(W176),ISNUMBER(X176)),ABS(X176-W176),IF(ISNUMBER(W176)=ISNUMBER(X176),0,1))</f>
        <v/>
      </c>
      <c r="Z176" s="46" t="n">
        <v>0.0001363834052352889</v>
      </c>
      <c r="AA176" s="47">
        <f>Calculo!BC174</f>
        <v/>
      </c>
      <c r="AB176" s="45">
        <f>IF(AND(ISNUMBER(Z176),ISNUMBER(AA176)),ABS(AA176-Z176),IF(ISNUMBER(Z176)=ISNUMBER(AA176),0,1))</f>
        <v/>
      </c>
    </row>
    <row r="177">
      <c r="A177" s="36">
        <f>Calculo!A175</f>
        <v/>
      </c>
      <c r="B177" s="46" t="n">
        <v>0.03263941596768682</v>
      </c>
      <c r="C177" s="47">
        <f>Calculo!W175</f>
        <v/>
      </c>
      <c r="D177" s="45">
        <f>IF(AND(ISNUMBER(B177),ISNUMBER(C177)),ABS(C177-B177),IF(ISNUMBER(B177)=ISNUMBER(C177),0,1))</f>
        <v/>
      </c>
      <c r="E177" s="46" t="n">
        <v>1.073812522341288</v>
      </c>
      <c r="F177" s="47">
        <f>Calculo!V175</f>
        <v/>
      </c>
      <c r="G177" s="45">
        <f>IF(AND(ISNUMBER(E177),ISNUMBER(F177)),ABS(F177-E177),IF(ISNUMBER(E177)=ISNUMBER(F177),0,1))</f>
        <v/>
      </c>
      <c r="H177" s="46" t="n">
        <v>-0.225235103248944</v>
      </c>
      <c r="I177" s="47">
        <f>Calculo!AK175</f>
        <v/>
      </c>
      <c r="J177" s="45">
        <f>IF(AND(ISNUMBER(H177),ISNUMBER(I177)),ABS(I177-H177),IF(ISNUMBER(H177)=ISNUMBER(I177),0,1))</f>
        <v/>
      </c>
      <c r="K177" s="46" t="n">
        <v>0.002840389162227069</v>
      </c>
      <c r="L177" s="47">
        <f>Calculo!AL175</f>
        <v/>
      </c>
      <c r="M177" s="45">
        <f>IF(AND(ISNUMBER(K177),ISNUMBER(L177)),ABS(L177-K177),IF(ISNUMBER(K177)=ISNUMBER(L177),0,1))</f>
        <v/>
      </c>
      <c r="N177" s="46" t="n">
        <v>0.02829922061427688</v>
      </c>
      <c r="O177" s="47">
        <f>Calculo!AP175</f>
        <v/>
      </c>
      <c r="P177" s="45">
        <f>IF(AND(ISNUMBER(N177),ISNUMBER(O177)),ABS(O177-N177),IF(ISNUMBER(N177)=ISNUMBER(O177),0,1))</f>
        <v/>
      </c>
      <c r="Q177" s="46" t="n">
        <v>-0.2346372032275428</v>
      </c>
      <c r="R177" s="47">
        <f>Calculo!AW175</f>
        <v/>
      </c>
      <c r="S177" s="45">
        <f>IF(AND(ISNUMBER(Q177),ISNUMBER(R177)),ABS(R177-Q177),IF(ISNUMBER(Q177)=ISNUMBER(R177),0,1))</f>
        <v/>
      </c>
      <c r="T177" s="46" t="n">
        <v>0.9539151984966717</v>
      </c>
      <c r="U177" s="47">
        <f>Calculo!AX175</f>
        <v/>
      </c>
      <c r="V177" s="45">
        <f>IF(AND(ISNUMBER(T177),ISNUMBER(U177)),ABS(U177-T177),IF(ISNUMBER(T177)=ISNUMBER(U177),0,1))</f>
        <v/>
      </c>
      <c r="W177" s="46" t="n">
        <v>0.9759502553309392</v>
      </c>
      <c r="X177" s="47">
        <f>Calculo!AY175</f>
        <v/>
      </c>
      <c r="Y177" s="45">
        <f>IF(AND(ISNUMBER(W177),ISNUMBER(X177)),ABS(X177-W177),IF(ISNUMBER(W177)=ISNUMBER(X177),0,1))</f>
        <v/>
      </c>
      <c r="Z177" s="46" t="n">
        <v>-0.0004160871439364325</v>
      </c>
      <c r="AA177" s="47">
        <f>Calculo!BC175</f>
        <v/>
      </c>
      <c r="AB177" s="45">
        <f>IF(AND(ISNUMBER(Z177),ISNUMBER(AA177)),ABS(AA177-Z177),IF(ISNUMBER(Z177)=ISNUMBER(AA177),0,1))</f>
        <v/>
      </c>
    </row>
    <row r="178">
      <c r="A178" s="36">
        <f>Calculo!A176</f>
        <v/>
      </c>
      <c r="B178" s="46" t="n">
        <v>-0.005889310864810066</v>
      </c>
      <c r="C178" s="47">
        <f>Calculo!W176</f>
        <v/>
      </c>
      <c r="D178" s="45">
        <f>IF(AND(ISNUMBER(B178),ISNUMBER(C178)),ABS(C178-B178),IF(ISNUMBER(B178)=ISNUMBER(C178),0,1))</f>
        <v/>
      </c>
      <c r="E178" s="46" t="n">
        <v>1.058221949729626</v>
      </c>
      <c r="F178" s="47">
        <f>Calculo!V176</f>
        <v/>
      </c>
      <c r="G178" s="45">
        <f>IF(AND(ISNUMBER(E178),ISNUMBER(F178)),ABS(F178-E178),IF(ISNUMBER(E178)=ISNUMBER(F178),0,1))</f>
        <v/>
      </c>
      <c r="H178" s="46" t="n">
        <v>-0.2201217162234235</v>
      </c>
      <c r="I178" s="47">
        <f>Calculo!AK176</f>
        <v/>
      </c>
      <c r="J178" s="45">
        <f>IF(AND(ISNUMBER(H178),ISNUMBER(I178)),ABS(I178-H178),IF(ISNUMBER(H178)=ISNUMBER(I178),0,1))</f>
        <v/>
      </c>
      <c r="K178" s="46" t="n">
        <v>0.003175171908869318</v>
      </c>
      <c r="L178" s="47">
        <f>Calculo!AL176</f>
        <v/>
      </c>
      <c r="M178" s="45">
        <f>IF(AND(ISNUMBER(K178),ISNUMBER(L178)),ABS(L178-K178),IF(ISNUMBER(K178)=ISNUMBER(L178),0,1))</f>
        <v/>
      </c>
      <c r="N178" s="46" t="n">
        <v>0.1243974864655333</v>
      </c>
      <c r="O178" s="47">
        <f>Calculo!AP176</f>
        <v/>
      </c>
      <c r="P178" s="45">
        <f>IF(AND(ISNUMBER(N178),ISNUMBER(O178)),ABS(O178-N178),IF(ISNUMBER(N178)=ISNUMBER(O178),0,1))</f>
        <v/>
      </c>
      <c r="Q178" s="46" t="n">
        <v>-0.9946969642228657</v>
      </c>
      <c r="R178" s="47">
        <f>Calculo!AW176</f>
        <v/>
      </c>
      <c r="S178" s="45">
        <f>IF(AND(ISNUMBER(Q178),ISNUMBER(R178)),ABS(R178-Q178),IF(ISNUMBER(Q178)=ISNUMBER(R178),0,1))</f>
        <v/>
      </c>
      <c r="T178" s="46" t="n">
        <v>0.8481283986628233</v>
      </c>
      <c r="U178" s="47">
        <f>Calculo!AX176</f>
        <v/>
      </c>
      <c r="V178" s="45">
        <f>IF(AND(ISNUMBER(T178),ISNUMBER(U178)),ABS(U178-T178),IF(ISNUMBER(T178)=ISNUMBER(U178),0,1))</f>
        <v/>
      </c>
      <c r="W178" s="46" t="n">
        <v>0.8964083866559155</v>
      </c>
      <c r="X178" s="47">
        <f>Calculo!AY176</f>
        <v/>
      </c>
      <c r="Y178" s="45">
        <f>IF(AND(ISNUMBER(W178),ISNUMBER(X178)),ABS(X178-W178),IF(ISNUMBER(W178)=ISNUMBER(X178),0,1))</f>
        <v/>
      </c>
      <c r="Z178" s="46" t="n">
        <v>7.839689109575416e-06</v>
      </c>
      <c r="AA178" s="47">
        <f>Calculo!BC176</f>
        <v/>
      </c>
      <c r="AB178" s="45">
        <f>IF(AND(ISNUMBER(Z178),ISNUMBER(AA178)),ABS(AA178-Z178),IF(ISNUMBER(Z178)=ISNUMBER(AA178),0,1))</f>
        <v/>
      </c>
    </row>
    <row r="179">
      <c r="A179" s="36">
        <f>Calculo!A177</f>
        <v/>
      </c>
      <c r="B179" s="46" t="n">
        <v>-0.0985972799416108</v>
      </c>
      <c r="C179" s="47">
        <f>Calculo!W177</f>
        <v/>
      </c>
      <c r="D179" s="45">
        <f>IF(AND(ISNUMBER(B179),ISNUMBER(C179)),ABS(C179-B179),IF(ISNUMBER(B179)=ISNUMBER(C179),0,1))</f>
        <v/>
      </c>
      <c r="E179" s="46" t="n">
        <v>1.118949948709405</v>
      </c>
      <c r="F179" s="47">
        <f>Calculo!V177</f>
        <v/>
      </c>
      <c r="G179" s="45">
        <f>IF(AND(ISNUMBER(E179),ISNUMBER(F179)),ABS(F179-E179),IF(ISNUMBER(E179)=ISNUMBER(F179),0,1))</f>
        <v/>
      </c>
      <c r="H179" s="46" t="n">
        <v>-0.2464507253398052</v>
      </c>
      <c r="I179" s="47">
        <f>Calculo!AK177</f>
        <v/>
      </c>
      <c r="J179" s="45">
        <f>IF(AND(ISNUMBER(H179),ISNUMBER(I179)),ABS(I179-H179),IF(ISNUMBER(H179)=ISNUMBER(I179),0,1))</f>
        <v/>
      </c>
      <c r="K179" s="46" t="n">
        <v>0.007531297290159437</v>
      </c>
      <c r="L179" s="47">
        <f>Calculo!AL177</f>
        <v/>
      </c>
      <c r="M179" s="45">
        <f>IF(AND(ISNUMBER(K179),ISNUMBER(L179)),ABS(L179-K179),IF(ISNUMBER(K179)=ISNUMBER(L179),0,1))</f>
        <v/>
      </c>
      <c r="N179" s="46" t="n">
        <v>-0.02274146153507041</v>
      </c>
      <c r="O179" s="47">
        <f>Calculo!AP177</f>
        <v/>
      </c>
      <c r="P179" s="45">
        <f>IF(AND(ISNUMBER(N179),ISNUMBER(O179)),ABS(O179-N179),IF(ISNUMBER(N179)=ISNUMBER(O179),0,1))</f>
        <v/>
      </c>
      <c r="Q179" s="46" t="n">
        <v>0.1809767558700786</v>
      </c>
      <c r="R179" s="47">
        <f>Calculo!AW177</f>
        <v/>
      </c>
      <c r="S179" s="45">
        <f>IF(AND(ISNUMBER(Q179),ISNUMBER(R179)),ABS(R179-Q179),IF(ISNUMBER(Q179)=ISNUMBER(R179),0,1))</f>
        <v/>
      </c>
      <c r="T179" s="46" t="n">
        <v>1.035805296709128</v>
      </c>
      <c r="U179" s="47">
        <f>Calculo!AX177</f>
        <v/>
      </c>
      <c r="V179" s="45">
        <f>IF(AND(ISNUMBER(T179),ISNUMBER(U179)),ABS(U179-T179),IF(ISNUMBER(T179)=ISNUMBER(U179),0,1))</f>
        <v/>
      </c>
      <c r="W179" s="46" t="n">
        <v>0.9459496312895411</v>
      </c>
      <c r="X179" s="47">
        <f>Calculo!AY177</f>
        <v/>
      </c>
      <c r="Y179" s="45">
        <f>IF(AND(ISNUMBER(W179),ISNUMBER(X179)),ABS(X179-W179),IF(ISNUMBER(W179)=ISNUMBER(X179),0,1))</f>
        <v/>
      </c>
      <c r="Z179" s="46" t="n">
        <v>0.002354608153434892</v>
      </c>
      <c r="AA179" s="47">
        <f>Calculo!BC177</f>
        <v/>
      </c>
      <c r="AB179" s="45">
        <f>IF(AND(ISNUMBER(Z179),ISNUMBER(AA179)),ABS(AA179-Z179),IF(ISNUMBER(Z179)=ISNUMBER(AA179),0,1))</f>
        <v/>
      </c>
    </row>
    <row r="180">
      <c r="A180" s="36">
        <f>Calculo!A178</f>
        <v/>
      </c>
      <c r="B180" s="46" t="n">
        <v>-0.03669508265032539</v>
      </c>
      <c r="C180" s="47">
        <f>Calculo!W178</f>
        <v/>
      </c>
      <c r="D180" s="45">
        <f>IF(AND(ISNUMBER(B180),ISNUMBER(C180)),ABS(C180-B180),IF(ISNUMBER(B180)=ISNUMBER(C180),0,1))</f>
        <v/>
      </c>
      <c r="E180" s="46" t="n">
        <v>1.142758018815769</v>
      </c>
      <c r="F180" s="47">
        <f>Calculo!V178</f>
        <v/>
      </c>
      <c r="G180" s="45">
        <f>IF(AND(ISNUMBER(E180),ISNUMBER(F180)),ABS(F180-E180),IF(ISNUMBER(E180)=ISNUMBER(F180),0,1))</f>
        <v/>
      </c>
      <c r="H180" s="46" t="n">
        <v>-0.2912024021056228</v>
      </c>
      <c r="I180" s="47">
        <f>Calculo!AK178</f>
        <v/>
      </c>
      <c r="J180" s="45">
        <f>IF(AND(ISNUMBER(H180),ISNUMBER(I180)),ABS(I180-H180),IF(ISNUMBER(H180)=ISNUMBER(I180),0,1))</f>
        <v/>
      </c>
      <c r="K180" s="46" t="n">
        <v>0.006957628308692685</v>
      </c>
      <c r="L180" s="47">
        <f>Calculo!AL178</f>
        <v/>
      </c>
      <c r="M180" s="45">
        <f>IF(AND(ISNUMBER(K180),ISNUMBER(L180)),ABS(L180-K180),IF(ISNUMBER(K180)=ISNUMBER(L180),0,1))</f>
        <v/>
      </c>
      <c r="N180" s="46" t="n">
        <v>-0.06068805827242101</v>
      </c>
      <c r="O180" s="47">
        <f>Calculo!AP178</f>
        <v/>
      </c>
      <c r="P180" s="45">
        <f>IF(AND(ISNUMBER(N180),ISNUMBER(O180)),ABS(O180-N180),IF(ISNUMBER(N180)=ISNUMBER(O180),0,1))</f>
        <v/>
      </c>
      <c r="Q180" s="46" t="n">
        <v>0.4831674462062123</v>
      </c>
      <c r="R180" s="47">
        <f>Calculo!AW178</f>
        <v/>
      </c>
      <c r="S180" s="45">
        <f>IF(AND(ISNUMBER(Q180),ISNUMBER(R180)),ABS(R180-Q180),IF(ISNUMBER(Q180)=ISNUMBER(R180),0,1))</f>
        <v/>
      </c>
      <c r="T180" s="46" t="n">
        <v>1.089755344668724</v>
      </c>
      <c r="U180" s="47">
        <f>Calculo!AX178</f>
        <v/>
      </c>
      <c r="V180" s="45">
        <f>IF(AND(ISNUMBER(T180),ISNUMBER(U180)),ABS(U180-T180),IF(ISNUMBER(T180)=ISNUMBER(U180),0,1))</f>
        <v/>
      </c>
      <c r="W180" s="46" t="n">
        <v>0.9912296800135586</v>
      </c>
      <c r="X180" s="47">
        <f>Calculo!AY178</f>
        <v/>
      </c>
      <c r="Y180" s="45">
        <f>IF(AND(ISNUMBER(W180),ISNUMBER(X180)),ABS(X180-W180),IF(ISNUMBER(W180)=ISNUMBER(X180),0,1))</f>
        <v/>
      </c>
      <c r="Z180" s="46" t="n">
        <v>0.0003719925751936484</v>
      </c>
      <c r="AA180" s="47">
        <f>Calculo!BC178</f>
        <v/>
      </c>
      <c r="AB180" s="45">
        <f>IF(AND(ISNUMBER(Z180),ISNUMBER(AA180)),ABS(AA180-Z180),IF(ISNUMBER(Z180)=ISNUMBER(AA180),0,1))</f>
        <v/>
      </c>
    </row>
    <row r="181">
      <c r="A181" s="36">
        <f>Calculo!A179</f>
        <v/>
      </c>
      <c r="B181" s="46" t="n">
        <v>-0.03401568375199611</v>
      </c>
      <c r="C181" s="47">
        <f>Calculo!W179</f>
        <v/>
      </c>
      <c r="D181" s="45">
        <f>IF(AND(ISNUMBER(B181),ISNUMBER(C181)),ABS(C181-B181),IF(ISNUMBER(B181)=ISNUMBER(C181),0,1))</f>
        <v/>
      </c>
      <c r="E181" s="46" t="n">
        <v>1.175560813727036</v>
      </c>
      <c r="F181" s="47">
        <f>Calculo!V179</f>
        <v/>
      </c>
      <c r="G181" s="45">
        <f>IF(AND(ISNUMBER(E181),ISNUMBER(F181)),ABS(F181-E181),IF(ISNUMBER(E181)=ISNUMBER(F181),0,1))</f>
        <v/>
      </c>
      <c r="H181" s="46" t="n">
        <v>-0.2870883695871624</v>
      </c>
      <c r="I181" s="47">
        <f>Calculo!AK179</f>
        <v/>
      </c>
      <c r="J181" s="45">
        <f>IF(AND(ISNUMBER(H181),ISNUMBER(I181)),ABS(I181-H181),IF(ISNUMBER(H181)=ISNUMBER(I181),0,1))</f>
        <v/>
      </c>
      <c r="K181" s="46" t="n">
        <v>0.007569495156611683</v>
      </c>
      <c r="L181" s="47">
        <f>Calculo!AL179</f>
        <v/>
      </c>
      <c r="M181" s="45">
        <f>IF(AND(ISNUMBER(K181),ISNUMBER(L181)),ABS(L181-K181),IF(ISNUMBER(K181)=ISNUMBER(L181),0,1))</f>
        <v/>
      </c>
      <c r="N181" s="46" t="n">
        <v>-0.1239679001142229</v>
      </c>
      <c r="O181" s="47">
        <f>Calculo!AP179</f>
        <v/>
      </c>
      <c r="P181" s="45">
        <f>IF(AND(ISNUMBER(N181),ISNUMBER(O181)),ABS(O181-N181),IF(ISNUMBER(N181)=ISNUMBER(O181),0,1))</f>
        <v/>
      </c>
      <c r="Q181" s="46" t="n">
        <v>0.9848372516578326</v>
      </c>
      <c r="R181" s="47">
        <f>Calculo!AW179</f>
        <v/>
      </c>
      <c r="S181" s="45">
        <f>IF(AND(ISNUMBER(Q181),ISNUMBER(R181)),ABS(R181-Q181),IF(ISNUMBER(Q181)=ISNUMBER(R181),0,1))</f>
        <v/>
      </c>
      <c r="T181" s="46" t="n">
        <v>1.151030458932175</v>
      </c>
      <c r="U181" s="47">
        <f>Calculo!AX179</f>
        <v/>
      </c>
      <c r="V181" s="45">
        <f>IF(AND(ISNUMBER(T181),ISNUMBER(U181)),ABS(U181-T181),IF(ISNUMBER(T181)=ISNUMBER(U181),0,1))</f>
        <v/>
      </c>
      <c r="W181" s="46" t="n">
        <v>1.092197033436676</v>
      </c>
      <c r="X181" s="47">
        <f>Calculo!AY179</f>
        <v/>
      </c>
      <c r="Y181" s="45">
        <f>IF(AND(ISNUMBER(W181),ISNUMBER(X181)),ABS(X181-W181),IF(ISNUMBER(W181)=ISNUMBER(X181),0,1))</f>
        <v/>
      </c>
      <c r="Z181" s="46" t="n">
        <v>-3.861801404439332e-05</v>
      </c>
      <c r="AA181" s="47">
        <f>Calculo!BC179</f>
        <v/>
      </c>
      <c r="AB181" s="45">
        <f>IF(AND(ISNUMBER(Z181),ISNUMBER(AA181)),ABS(AA181-Z181),IF(ISNUMBER(Z181)=ISNUMBER(AA181),0,1))</f>
        <v/>
      </c>
    </row>
    <row r="182">
      <c r="A182" s="36">
        <f>Calculo!A180</f>
        <v/>
      </c>
      <c r="B182" s="46" t="n">
        <v>-0.183706024212309</v>
      </c>
      <c r="C182" s="47">
        <f>Calculo!W180</f>
        <v/>
      </c>
      <c r="D182" s="45">
        <f>IF(AND(ISNUMBER(B182),ISNUMBER(C182)),ABS(C182-B182),IF(ISNUMBER(B182)=ISNUMBER(C182),0,1))</f>
        <v/>
      </c>
      <c r="E182" s="46" t="n">
        <v>1.171419295689909</v>
      </c>
      <c r="F182" s="47">
        <f>Calculo!V180</f>
        <v/>
      </c>
      <c r="G182" s="45">
        <f>IF(AND(ISNUMBER(E182),ISNUMBER(F182)),ABS(F182-E182),IF(ISNUMBER(E182)=ISNUMBER(F182),0,1))</f>
        <v/>
      </c>
      <c r="H182" s="46" t="n">
        <v>-0.2660822934587352</v>
      </c>
      <c r="I182" s="47">
        <f>Calculo!AK180</f>
        <v/>
      </c>
      <c r="J182" s="45">
        <f>IF(AND(ISNUMBER(H182),ISNUMBER(I182)),ABS(I182-H182),IF(ISNUMBER(H182)=ISNUMBER(I182),0,1))</f>
        <v/>
      </c>
      <c r="K182" s="46" t="n">
        <v>0.005505881547344669</v>
      </c>
      <c r="L182" s="47">
        <f>Calculo!AL180</f>
        <v/>
      </c>
      <c r="M182" s="45">
        <f>IF(AND(ISNUMBER(K182),ISNUMBER(L182)),ABS(L182-K182),IF(ISNUMBER(K182)=ISNUMBER(L182),0,1))</f>
        <v/>
      </c>
      <c r="N182" s="46" t="n">
        <v>-0.1697439016963689</v>
      </c>
      <c r="O182" s="47">
        <f>Calculo!AP180</f>
        <v/>
      </c>
      <c r="P182" s="45">
        <f>IF(AND(ISNUMBER(N182),ISNUMBER(O182)),ABS(O182-N182),IF(ISNUMBER(N182)=ISNUMBER(O182),0,1))</f>
        <v/>
      </c>
      <c r="Q182" s="46" t="n">
        <v>1.338269224036357</v>
      </c>
      <c r="R182" s="47">
        <f>Calculo!AW180</f>
        <v/>
      </c>
      <c r="S182" s="45">
        <f>IF(AND(ISNUMBER(Q182),ISNUMBER(R182)),ABS(R182-Q182),IF(ISNUMBER(Q182)=ISNUMBER(R182),0,1))</f>
        <v/>
      </c>
      <c r="T182" s="46" t="n">
        <v>1.174251181749568</v>
      </c>
      <c r="U182" s="47">
        <f>Calculo!AX180</f>
        <v/>
      </c>
      <c r="V182" s="45">
        <f>IF(AND(ISNUMBER(T182),ISNUMBER(U182)),ABS(U182-T182),IF(ISNUMBER(T182)=ISNUMBER(U182),0,1))</f>
        <v/>
      </c>
      <c r="W182" s="46" t="n">
        <v>1.138345661783489</v>
      </c>
      <c r="X182" s="47">
        <f>Calculo!AY180</f>
        <v/>
      </c>
      <c r="Y182" s="45">
        <f>IF(AND(ISNUMBER(W182),ISNUMBER(X182)),ABS(X182-W182),IF(ISNUMBER(W182)=ISNUMBER(X182),0,1))</f>
        <v/>
      </c>
      <c r="Z182" s="46" t="n">
        <v>-0.004486705997763058</v>
      </c>
      <c r="AA182" s="47">
        <f>Calculo!BC180</f>
        <v/>
      </c>
      <c r="AB182" s="45">
        <f>IF(AND(ISNUMBER(Z182),ISNUMBER(AA182)),ABS(AA182-Z182),IF(ISNUMBER(Z182)=ISNUMBER(AA182),0,1))</f>
        <v/>
      </c>
    </row>
    <row r="183">
      <c r="A183" s="36">
        <f>Calculo!A181</f>
        <v/>
      </c>
      <c r="B183" s="46" t="n">
        <v>0.06393902949806951</v>
      </c>
      <c r="C183" s="47">
        <f>Calculo!W181</f>
        <v/>
      </c>
      <c r="D183" s="45">
        <f>IF(AND(ISNUMBER(B183),ISNUMBER(C183)),ABS(C183-B183),IF(ISNUMBER(B183)=ISNUMBER(C183),0,1))</f>
        <v/>
      </c>
      <c r="E183" s="46" t="n">
        <v>1.213773408429215</v>
      </c>
      <c r="F183" s="47">
        <f>Calculo!V181</f>
        <v/>
      </c>
      <c r="G183" s="45">
        <f>IF(AND(ISNUMBER(E183),ISNUMBER(F183)),ABS(F183-E183),IF(ISNUMBER(E183)=ISNUMBER(F183),0,1))</f>
        <v/>
      </c>
      <c r="H183" s="46" t="n">
        <v>-0.3366670206539392</v>
      </c>
      <c r="I183" s="47">
        <f>Calculo!AK181</f>
        <v/>
      </c>
      <c r="J183" s="45">
        <f>IF(AND(ISNUMBER(H183),ISNUMBER(I183)),ABS(I183-H183),IF(ISNUMBER(H183)=ISNUMBER(I183),0,1))</f>
        <v/>
      </c>
      <c r="K183" s="46" t="n">
        <v>0.0007073477514201098</v>
      </c>
      <c r="L183" s="47">
        <f>Calculo!AL181</f>
        <v/>
      </c>
      <c r="M183" s="45">
        <f>IF(AND(ISNUMBER(K183),ISNUMBER(L183)),ABS(L183-K183),IF(ISNUMBER(K183)=ISNUMBER(L183),0,1))</f>
        <v/>
      </c>
      <c r="N183" s="46" t="n">
        <v>-0.1788705771090378</v>
      </c>
      <c r="O183" s="47">
        <f>Calculo!AP181</f>
        <v/>
      </c>
      <c r="P183" s="45">
        <f>IF(AND(ISNUMBER(N183),ISNUMBER(O183)),ABS(O183-N183),IF(ISNUMBER(N183)=ISNUMBER(O183),0,1))</f>
        <v/>
      </c>
      <c r="Q183" s="46" t="n">
        <v>1.394890011236122</v>
      </c>
      <c r="R183" s="47">
        <f>Calculo!AW181</f>
        <v/>
      </c>
      <c r="S183" s="45">
        <f>IF(AND(ISNUMBER(Q183),ISNUMBER(R183)),ABS(R183-Q183),IF(ISNUMBER(Q183)=ISNUMBER(R183),0,1))</f>
        <v/>
      </c>
      <c r="T183" s="46" t="n">
        <v>1.176848420296297</v>
      </c>
      <c r="U183" s="47">
        <f>Calculo!AX181</f>
        <v/>
      </c>
      <c r="V183" s="45">
        <f>IF(AND(ISNUMBER(T183),ISNUMBER(U183)),ABS(U183-T183),IF(ISNUMBER(T183)=ISNUMBER(U183),0,1))</f>
        <v/>
      </c>
      <c r="W183" s="46" t="n">
        <v>1.16737668699268</v>
      </c>
      <c r="X183" s="47">
        <f>Calculo!AY181</f>
        <v/>
      </c>
      <c r="Y183" s="45">
        <f>IF(AND(ISNUMBER(W183),ISNUMBER(X183)),ABS(X183-W183),IF(ISNUMBER(W183)=ISNUMBER(X183),0,1))</f>
        <v/>
      </c>
      <c r="Z183" s="46" t="n">
        <v>0.002096050266559081</v>
      </c>
      <c r="AA183" s="47">
        <f>Calculo!BC181</f>
        <v/>
      </c>
      <c r="AB183" s="45">
        <f>IF(AND(ISNUMBER(Z183),ISNUMBER(AA183)),ABS(AA183-Z183),IF(ISNUMBER(Z183)=ISNUMBER(AA183),0,1))</f>
        <v/>
      </c>
    </row>
    <row r="184">
      <c r="A184" s="36">
        <f>Calculo!A182</f>
        <v/>
      </c>
      <c r="B184" s="46" t="n">
        <v>0.02634634503982372</v>
      </c>
      <c r="C184" s="47">
        <f>Calculo!W182</f>
        <v/>
      </c>
      <c r="D184" s="45">
        <f>IF(AND(ISNUMBER(B184),ISNUMBER(C184)),ABS(C184-B184),IF(ISNUMBER(B184)=ISNUMBER(C184),0,1))</f>
        <v/>
      </c>
      <c r="E184" s="46" t="n">
        <v>1.276873957602955</v>
      </c>
      <c r="F184" s="47">
        <f>Calculo!V182</f>
        <v/>
      </c>
      <c r="G184" s="45">
        <f>IF(AND(ISNUMBER(E184),ISNUMBER(F184)),ABS(F184-E184),IF(ISNUMBER(E184)=ISNUMBER(F184),0,1))</f>
        <v/>
      </c>
      <c r="H184" s="46" t="n">
        <v>-0.3329056576499772</v>
      </c>
      <c r="I184" s="47">
        <f>Calculo!AK182</f>
        <v/>
      </c>
      <c r="J184" s="45">
        <f>IF(AND(ISNUMBER(H184),ISNUMBER(I184)),ABS(I184-H184),IF(ISNUMBER(H184)=ISNUMBER(I184),0,1))</f>
        <v/>
      </c>
      <c r="K184" s="46" t="n">
        <v>-6.33356156593233e-05</v>
      </c>
      <c r="L184" s="47">
        <f>Calculo!AL182</f>
        <v/>
      </c>
      <c r="M184" s="45">
        <f>IF(AND(ISNUMBER(K184),ISNUMBER(L184)),ABS(L184-K184),IF(ISNUMBER(K184)=ISNUMBER(L184),0,1))</f>
        <v/>
      </c>
      <c r="N184" s="46" t="n">
        <v>-0.07014958933855374</v>
      </c>
      <c r="O184" s="47">
        <f>Calculo!AP182</f>
        <v/>
      </c>
      <c r="P184" s="45">
        <f>IF(AND(ISNUMBER(N184),ISNUMBER(O184)),ABS(O184-N184),IF(ISNUMBER(N184)=ISNUMBER(O184),0,1))</f>
        <v/>
      </c>
      <c r="Q184" s="46" t="n">
        <v>0.522922313787147</v>
      </c>
      <c r="R184" s="47">
        <f>Calculo!AW182</f>
        <v/>
      </c>
      <c r="S184" s="45">
        <f>IF(AND(ISNUMBER(Q184),ISNUMBER(R184)),ABS(R184-Q184),IF(ISNUMBER(Q184)=ISNUMBER(R184),0,1))</f>
        <v/>
      </c>
      <c r="T184" s="46" t="n">
        <v>1.095990462247592</v>
      </c>
      <c r="U184" s="47">
        <f>Calculo!AX182</f>
        <v/>
      </c>
      <c r="V184" s="45">
        <f>IF(AND(ISNUMBER(T184),ISNUMBER(U184)),ABS(U184-T184),IF(ISNUMBER(T184)=ISNUMBER(U184),0,1))</f>
        <v/>
      </c>
      <c r="W184" s="46" t="n">
        <v>1.149030021431153</v>
      </c>
      <c r="X184" s="47">
        <f>Calculo!AY182</f>
        <v/>
      </c>
      <c r="Y184" s="45">
        <f>IF(AND(ISNUMBER(W184),ISNUMBER(X184)),ABS(X184-W184),IF(ISNUMBER(W184)=ISNUMBER(X184),0,1))</f>
        <v/>
      </c>
      <c r="Z184" s="46" t="n">
        <v>0.001029863423759952</v>
      </c>
      <c r="AA184" s="47">
        <f>Calculo!BC182</f>
        <v/>
      </c>
      <c r="AB184" s="45">
        <f>IF(AND(ISNUMBER(Z184),ISNUMBER(AA184)),ABS(AA184-Z184),IF(ISNUMBER(Z184)=ISNUMBER(AA184),0,1))</f>
        <v/>
      </c>
    </row>
    <row r="185">
      <c r="A185" s="36">
        <f>Calculo!A183</f>
        <v/>
      </c>
      <c r="B185" s="46" t="n">
        <v>0.06090189267495566</v>
      </c>
      <c r="C185" s="47">
        <f>Calculo!W183</f>
        <v/>
      </c>
      <c r="D185" s="45">
        <f>IF(AND(ISNUMBER(B185),ISNUMBER(C185)),ABS(C185-B185),IF(ISNUMBER(B185)=ISNUMBER(C185),0,1))</f>
        <v/>
      </c>
      <c r="E185" s="46" t="n">
        <v>1.153852234016627</v>
      </c>
      <c r="F185" s="47">
        <f>Calculo!V183</f>
        <v/>
      </c>
      <c r="G185" s="45">
        <f>IF(AND(ISNUMBER(E185),ISNUMBER(F185)),ABS(F185-E185),IF(ISNUMBER(E185)=ISNUMBER(F185),0,1))</f>
        <v/>
      </c>
      <c r="H185" s="46" t="n">
        <v>-0.2781795438331763</v>
      </c>
      <c r="I185" s="47">
        <f>Calculo!AK183</f>
        <v/>
      </c>
      <c r="J185" s="45">
        <f>IF(AND(ISNUMBER(H185),ISNUMBER(I185)),ABS(I185-H185),IF(ISNUMBER(H185)=ISNUMBER(I185),0,1))</f>
        <v/>
      </c>
      <c r="K185" s="46" t="n">
        <v>-0.002188064286116142</v>
      </c>
      <c r="L185" s="47">
        <f>Calculo!AL183</f>
        <v/>
      </c>
      <c r="M185" s="45">
        <f>IF(AND(ISNUMBER(K185),ISNUMBER(L185)),ABS(L185-K185),IF(ISNUMBER(K185)=ISNUMBER(L185),0,1))</f>
        <v/>
      </c>
      <c r="N185" s="46" t="n">
        <v>0.1182549763438092</v>
      </c>
      <c r="O185" s="47">
        <f>Calculo!AP183</f>
        <v/>
      </c>
      <c r="P185" s="45">
        <f>IF(AND(ISNUMBER(N185),ISNUMBER(O185)),ABS(O185-N185),IF(ISNUMBER(N185)=ISNUMBER(O185),0,1))</f>
        <v/>
      </c>
      <c r="Q185" s="46" t="n">
        <v>-0.980332103146961</v>
      </c>
      <c r="R185" s="47">
        <f>Calculo!AW183</f>
        <v/>
      </c>
      <c r="S185" s="45">
        <f>IF(AND(ISNUMBER(Q185),ISNUMBER(R185)),ABS(R185-Q185),IF(ISNUMBER(Q185)=ISNUMBER(R185),0,1))</f>
        <v/>
      </c>
      <c r="T185" s="46" t="n">
        <v>0.8493580732743076</v>
      </c>
      <c r="U185" s="47">
        <f>Calculo!AX183</f>
        <v/>
      </c>
      <c r="V185" s="45">
        <f>IF(AND(ISNUMBER(T185),ISNUMBER(U185)),ABS(U185-T185),IF(ISNUMBER(T185)=ISNUMBER(U185),0,1))</f>
        <v/>
      </c>
      <c r="W185" s="46" t="n">
        <v>1.040732318606066</v>
      </c>
      <c r="X185" s="47">
        <f>Calculo!AY183</f>
        <v/>
      </c>
      <c r="Y185" s="45">
        <f>IF(AND(ISNUMBER(W185),ISNUMBER(X185)),ABS(X185-W185),IF(ISNUMBER(W185)=ISNUMBER(X185),0,1))</f>
        <v/>
      </c>
      <c r="Z185" s="46" t="n">
        <v>0.002223185928732782</v>
      </c>
      <c r="AA185" s="47">
        <f>Calculo!BC183</f>
        <v/>
      </c>
      <c r="AB185" s="45">
        <f>IF(AND(ISNUMBER(Z185),ISNUMBER(AA185)),ABS(AA185-Z185),IF(ISNUMBER(Z185)=ISNUMBER(AA185),0,1))</f>
        <v/>
      </c>
    </row>
    <row r="186">
      <c r="A186" s="36">
        <f>Calculo!A184</f>
        <v/>
      </c>
      <c r="B186" s="46" t="n">
        <v>0.01844520204482347</v>
      </c>
      <c r="C186" s="47">
        <f>Calculo!W184</f>
        <v/>
      </c>
      <c r="D186" s="45">
        <f>IF(AND(ISNUMBER(B186),ISNUMBER(C186)),ABS(C186-B186),IF(ISNUMBER(B186)=ISNUMBER(C186),0,1))</f>
        <v/>
      </c>
      <c r="E186" s="46" t="n">
        <v>1.161749423029621</v>
      </c>
      <c r="F186" s="47">
        <f>Calculo!V184</f>
        <v/>
      </c>
      <c r="G186" s="45">
        <f>IF(AND(ISNUMBER(E186),ISNUMBER(F186)),ABS(F186-E186),IF(ISNUMBER(E186)=ISNUMBER(F186),0,1))</f>
        <v/>
      </c>
      <c r="H186" s="46" t="n">
        <v>-0.2642153865358423</v>
      </c>
      <c r="I186" s="47">
        <f>Calculo!AK184</f>
        <v/>
      </c>
      <c r="J186" s="45">
        <f>IF(AND(ISNUMBER(H186),ISNUMBER(I186)),ABS(I186-H186),IF(ISNUMBER(H186)=ISNUMBER(I186),0,1))</f>
        <v/>
      </c>
      <c r="K186" s="46" t="n">
        <v>0.000581950621174253</v>
      </c>
      <c r="L186" s="47">
        <f>Calculo!AL184</f>
        <v/>
      </c>
      <c r="M186" s="45">
        <f>IF(AND(ISNUMBER(K186),ISNUMBER(L186)),ABS(L186-K186),IF(ISNUMBER(K186)=ISNUMBER(L186),0,1))</f>
        <v/>
      </c>
      <c r="N186" s="46" t="n">
        <v>0.1832261291624713</v>
      </c>
      <c r="O186" s="47">
        <f>Calculo!AP184</f>
        <v/>
      </c>
      <c r="P186" s="45">
        <f>IF(AND(ISNUMBER(N186),ISNUMBER(O186)),ABS(O186-N186),IF(ISNUMBER(N186)=ISNUMBER(O186),0,1))</f>
        <v/>
      </c>
      <c r="Q186" s="46" t="n">
        <v>-1.482628115821987</v>
      </c>
      <c r="R186" s="47">
        <f>Calculo!AW184</f>
        <v/>
      </c>
      <c r="S186" s="45">
        <f>IF(AND(ISNUMBER(Q186),ISNUMBER(R186)),ABS(R186-Q186),IF(ISNUMBER(Q186)=ISNUMBER(R186),0,1))</f>
        <v/>
      </c>
      <c r="T186" s="46" t="n">
        <v>0.8196081570456848</v>
      </c>
      <c r="U186" s="47">
        <f>Calculo!AX184</f>
        <v/>
      </c>
      <c r="V186" s="45">
        <f>IF(AND(ISNUMBER(T186),ISNUMBER(U186)),ABS(U186-T186),IF(ISNUMBER(T186)=ISNUMBER(U186),0,1))</f>
        <v/>
      </c>
      <c r="W186" s="46" t="n">
        <v>0.9216522308558616</v>
      </c>
      <c r="X186" s="47">
        <f>Calculo!AY184</f>
        <v/>
      </c>
      <c r="Y186" s="45">
        <f>IF(AND(ISNUMBER(W186),ISNUMBER(X186)),ABS(X186-W186),IF(ISNUMBER(W186)=ISNUMBER(X186),0,1))</f>
        <v/>
      </c>
      <c r="Z186" s="46" t="n">
        <v>-8.291529545196753e-05</v>
      </c>
      <c r="AA186" s="47">
        <f>Calculo!BC184</f>
        <v/>
      </c>
      <c r="AB186" s="45">
        <f>IF(AND(ISNUMBER(Z186),ISNUMBER(AA186)),ABS(AA186-Z186),IF(ISNUMBER(Z186)=ISNUMBER(AA186),0,1))</f>
        <v/>
      </c>
    </row>
    <row r="187">
      <c r="A187" s="36">
        <f>Calculo!A185</f>
        <v/>
      </c>
      <c r="B187" s="46" t="n">
        <v>0.02279475823614854</v>
      </c>
      <c r="C187" s="47">
        <f>Calculo!W185</f>
        <v/>
      </c>
      <c r="D187" s="45">
        <f>IF(AND(ISNUMBER(B187),ISNUMBER(C187)),ABS(C187-B187),IF(ISNUMBER(B187)=ISNUMBER(C187),0,1))</f>
        <v/>
      </c>
      <c r="E187" s="46" t="n">
        <v>1.188317787210714</v>
      </c>
      <c r="F187" s="47">
        <f>Calculo!V185</f>
        <v/>
      </c>
      <c r="G187" s="45">
        <f>IF(AND(ISNUMBER(E187),ISNUMBER(F187)),ABS(F187-E187),IF(ISNUMBER(E187)=ISNUMBER(F187),0,1))</f>
        <v/>
      </c>
      <c r="H187" s="46" t="n">
        <v>-0.2453266267862501</v>
      </c>
      <c r="I187" s="47">
        <f>Calculo!AK185</f>
        <v/>
      </c>
      <c r="J187" s="45">
        <f>IF(AND(ISNUMBER(H187),ISNUMBER(I187)),ABS(I187-H187),IF(ISNUMBER(H187)=ISNUMBER(I187),0,1))</f>
        <v/>
      </c>
      <c r="K187" s="46" t="n">
        <v>0.001734049367172657</v>
      </c>
      <c r="L187" s="47">
        <f>Calculo!AL185</f>
        <v/>
      </c>
      <c r="M187" s="45">
        <f>IF(AND(ISNUMBER(K187),ISNUMBER(L187)),ABS(L187-K187),IF(ISNUMBER(K187)=ISNUMBER(L187),0,1))</f>
        <v/>
      </c>
      <c r="N187" s="46" t="n">
        <v>0.1162544486484532</v>
      </c>
      <c r="O187" s="47">
        <f>Calculo!AP185</f>
        <v/>
      </c>
      <c r="P187" s="45">
        <f>IF(AND(ISNUMBER(N187),ISNUMBER(O187)),ABS(O187-N187),IF(ISNUMBER(N187)=ISNUMBER(O187),0,1))</f>
        <v/>
      </c>
      <c r="Q187" s="46" t="n">
        <v>-0.9411807503352849</v>
      </c>
      <c r="R187" s="47">
        <f>Calculo!AW185</f>
        <v/>
      </c>
      <c r="S187" s="45">
        <f>IF(AND(ISNUMBER(Q187),ISNUMBER(R187)),ABS(R187-Q187),IF(ISNUMBER(Q187)=ISNUMBER(R187),0,1))</f>
        <v/>
      </c>
      <c r="T187" s="46" t="n">
        <v>0.8528471448423187</v>
      </c>
      <c r="U187" s="47">
        <f>Calculo!AX185</f>
        <v/>
      </c>
      <c r="V187" s="45">
        <f>IF(AND(ISNUMBER(T187),ISNUMBER(U187)),ABS(U187-T187),IF(ISNUMBER(T187)=ISNUMBER(U187),0,1))</f>
        <v/>
      </c>
      <c r="W187" s="46" t="n">
        <v>0.8406044583874369</v>
      </c>
      <c r="X187" s="47">
        <f>Calculo!AY185</f>
        <v/>
      </c>
      <c r="Y187" s="45">
        <f>IF(AND(ISNUMBER(W187),ISNUMBER(X187)),ABS(X187-W187),IF(ISNUMBER(W187)=ISNUMBER(X187),0,1))</f>
        <v/>
      </c>
      <c r="Z187" s="46" t="n">
        <v>-0.0007441798333710635</v>
      </c>
      <c r="AA187" s="47">
        <f>Calculo!BC185</f>
        <v/>
      </c>
      <c r="AB187" s="45">
        <f>IF(AND(ISNUMBER(Z187),ISNUMBER(AA187)),ABS(AA187-Z187),IF(ISNUMBER(Z187)=ISNUMBER(AA187),0,1))</f>
        <v/>
      </c>
    </row>
    <row r="188">
      <c r="A188" s="36">
        <f>Calculo!A186</f>
        <v/>
      </c>
      <c r="B188" s="46" t="n">
        <v>-0.04429615703043499</v>
      </c>
      <c r="C188" s="47">
        <f>Calculo!W186</f>
        <v/>
      </c>
      <c r="D188" s="45">
        <f>IF(AND(ISNUMBER(B188),ISNUMBER(C188)),ABS(C188-B188),IF(ISNUMBER(B188)=ISNUMBER(C188),0,1))</f>
        <v/>
      </c>
      <c r="E188" s="46" t="n">
        <v>1.236051479997177</v>
      </c>
      <c r="F188" s="47">
        <f>Calculo!V186</f>
        <v/>
      </c>
      <c r="G188" s="45">
        <f>IF(AND(ISNUMBER(E188),ISNUMBER(F188)),ABS(F188-E188),IF(ISNUMBER(E188)=ISNUMBER(F188),0,1))</f>
        <v/>
      </c>
      <c r="H188" s="46" t="n">
        <v>-0.2692125051124286</v>
      </c>
      <c r="I188" s="47">
        <f>Calculo!AK186</f>
        <v/>
      </c>
      <c r="J188" s="45">
        <f>IF(AND(ISNUMBER(H188),ISNUMBER(I188)),ABS(I188-H188),IF(ISNUMBER(H188)=ISNUMBER(I188),0,1))</f>
        <v/>
      </c>
      <c r="K188" s="46" t="n">
        <v>-0.002096608327777214</v>
      </c>
      <c r="L188" s="47">
        <f>Calculo!AL186</f>
        <v/>
      </c>
      <c r="M188" s="45">
        <f>IF(AND(ISNUMBER(K188),ISNUMBER(L188)),ABS(L188-K188),IF(ISNUMBER(K188)=ISNUMBER(L188),0,1))</f>
        <v/>
      </c>
      <c r="N188" s="46" t="n">
        <v>-0.002934152180335561</v>
      </c>
      <c r="O188" s="47">
        <f>Calculo!AP186</f>
        <v/>
      </c>
      <c r="P188" s="45">
        <f>IF(AND(ISNUMBER(N188),ISNUMBER(O188)),ABS(O188-N188),IF(ISNUMBER(N188)=ISNUMBER(O188),0,1))</f>
        <v/>
      </c>
      <c r="Q188" s="46" t="n">
        <v>0.01050712415788442</v>
      </c>
      <c r="R188" s="47">
        <f>Calculo!AW186</f>
        <v/>
      </c>
      <c r="S188" s="45">
        <f>IF(AND(ISNUMBER(Q188),ISNUMBER(R188)),ABS(R188-Q188),IF(ISNUMBER(Q188)=ISNUMBER(R188),0,1))</f>
        <v/>
      </c>
      <c r="T188" s="46" t="n">
        <v>1.002101347502797</v>
      </c>
      <c r="U188" s="47">
        <f>Calculo!AX186</f>
        <v/>
      </c>
      <c r="V188" s="45">
        <f>IF(AND(ISNUMBER(T188),ISNUMBER(U188)),ABS(U188-T188),IF(ISNUMBER(T188)=ISNUMBER(U188),0,1))</f>
        <v/>
      </c>
      <c r="W188" s="46" t="n">
        <v>0.8915188831302668</v>
      </c>
      <c r="X188" s="47">
        <f>Calculo!AY186</f>
        <v/>
      </c>
      <c r="Y188" s="45">
        <f>IF(AND(ISNUMBER(W188),ISNUMBER(X188)),ABS(X188-W188),IF(ISNUMBER(W188)=ISNUMBER(X188),0,1))</f>
        <v/>
      </c>
      <c r="Z188" s="46" t="n">
        <v>0.001562533054134271</v>
      </c>
      <c r="AA188" s="47">
        <f>Calculo!BC186</f>
        <v/>
      </c>
      <c r="AB188" s="45">
        <f>IF(AND(ISNUMBER(Z188),ISNUMBER(AA188)),ABS(AA188-Z188),IF(ISNUMBER(Z188)=ISNUMBER(AA188),0,1))</f>
        <v/>
      </c>
    </row>
    <row r="189">
      <c r="A189" s="36">
        <f>Calculo!A187</f>
        <v/>
      </c>
      <c r="B189" s="46" t="n">
        <v>-0.04761563620404513</v>
      </c>
      <c r="C189" s="47">
        <f>Calculo!W187</f>
        <v/>
      </c>
      <c r="D189" s="45">
        <f>IF(AND(ISNUMBER(B189),ISNUMBER(C189)),ABS(C189-B189),IF(ISNUMBER(B189)=ISNUMBER(C189),0,1))</f>
        <v/>
      </c>
      <c r="E189" s="46" t="n">
        <v>1.232132009716698</v>
      </c>
      <c r="F189" s="47">
        <f>Calculo!V187</f>
        <v/>
      </c>
      <c r="G189" s="45">
        <f>IF(AND(ISNUMBER(E189),ISNUMBER(F189)),ABS(F189-E189),IF(ISNUMBER(E189)=ISNUMBER(F189),0,1))</f>
        <v/>
      </c>
      <c r="H189" s="46" t="n">
        <v>-0.2634545927203404</v>
      </c>
      <c r="I189" s="47">
        <f>Calculo!AK187</f>
        <v/>
      </c>
      <c r="J189" s="45">
        <f>IF(AND(ISNUMBER(H189),ISNUMBER(I189)),ABS(I189-H189),IF(ISNUMBER(H189)=ISNUMBER(I189),0,1))</f>
        <v/>
      </c>
      <c r="K189" s="46" t="n">
        <v>-0.004085162560860811</v>
      </c>
      <c r="L189" s="47">
        <f>Calculo!AL187</f>
        <v/>
      </c>
      <c r="M189" s="45">
        <f>IF(AND(ISNUMBER(K189),ISNUMBER(L189)),ABS(L189-K189),IF(ISNUMBER(K189)=ISNUMBER(L189),0,1))</f>
        <v/>
      </c>
      <c r="N189" s="46" t="n">
        <v>-0.07530315227750978</v>
      </c>
      <c r="O189" s="47">
        <f>Calculo!AP187</f>
        <v/>
      </c>
      <c r="P189" s="45">
        <f>IF(AND(ISNUMBER(N189),ISNUMBER(O189)),ABS(O189-N189),IF(ISNUMBER(N189)=ISNUMBER(O189),0,1))</f>
        <v/>
      </c>
      <c r="Q189" s="46" t="n">
        <v>0.5876068918937026</v>
      </c>
      <c r="R189" s="47">
        <f>Calculo!AW187</f>
        <v/>
      </c>
      <c r="S189" s="45">
        <f>IF(AND(ISNUMBER(Q189),ISNUMBER(R189)),ABS(R189-Q189),IF(ISNUMBER(Q189)=ISNUMBER(R189),0,1))</f>
        <v/>
      </c>
      <c r="T189" s="46" t="n">
        <v>1.105634455328165</v>
      </c>
      <c r="U189" s="47">
        <f>Calculo!AX187</f>
        <v/>
      </c>
      <c r="V189" s="45">
        <f>IF(AND(ISNUMBER(T189),ISNUMBER(U189)),ABS(U189-T189),IF(ISNUMBER(T189)=ISNUMBER(U189),0,1))</f>
        <v/>
      </c>
      <c r="W189" s="46" t="n">
        <v>0.9868609825577602</v>
      </c>
      <c r="X189" s="47">
        <f>Calculo!AY187</f>
        <v/>
      </c>
      <c r="Y189" s="45">
        <f>IF(AND(ISNUMBER(W189),ISNUMBER(X189)),ABS(X189-W189),IF(ISNUMBER(W189)=ISNUMBER(X189),0,1))</f>
        <v/>
      </c>
      <c r="Z189" s="46" t="n">
        <v>0.001164063287112355</v>
      </c>
      <c r="AA189" s="47">
        <f>Calculo!BC187</f>
        <v/>
      </c>
      <c r="AB189" s="45">
        <f>IF(AND(ISNUMBER(Z189),ISNUMBER(AA189)),ABS(AA189-Z189),IF(ISNUMBER(Z189)=ISNUMBER(AA189),0,1))</f>
        <v/>
      </c>
    </row>
    <row r="190">
      <c r="A190" s="36">
        <f>Calculo!A188</f>
        <v/>
      </c>
      <c r="B190" s="46" t="n">
        <v>0.02553638422089813</v>
      </c>
      <c r="C190" s="47">
        <f>Calculo!W188</f>
        <v/>
      </c>
      <c r="D190" s="45">
        <f>IF(AND(ISNUMBER(B190),ISNUMBER(C190)),ABS(C190-B190),IF(ISNUMBER(B190)=ISNUMBER(C190),0,1))</f>
        <v/>
      </c>
      <c r="E190" s="46" t="n">
        <v>1.225715924071325</v>
      </c>
      <c r="F190" s="47">
        <f>Calculo!V188</f>
        <v/>
      </c>
      <c r="G190" s="45">
        <f>IF(AND(ISNUMBER(E190),ISNUMBER(F190)),ABS(F190-E190),IF(ISNUMBER(E190)=ISNUMBER(F190),0,1))</f>
        <v/>
      </c>
      <c r="H190" s="46" t="n">
        <v>-0.2861737562993287</v>
      </c>
      <c r="I190" s="47">
        <f>Calculo!AK188</f>
        <v/>
      </c>
      <c r="J190" s="45">
        <f>IF(AND(ISNUMBER(H190),ISNUMBER(I190)),ABS(I190-H190),IF(ISNUMBER(H190)=ISNUMBER(I190),0,1))</f>
        <v/>
      </c>
      <c r="K190" s="46" t="n">
        <v>-0.0004274103032926233</v>
      </c>
      <c r="L190" s="47">
        <f>Calculo!AL188</f>
        <v/>
      </c>
      <c r="M190" s="45">
        <f>IF(AND(ISNUMBER(K190),ISNUMBER(L190)),ABS(L190-K190),IF(ISNUMBER(K190)=ISNUMBER(L190),0,1))</f>
        <v/>
      </c>
      <c r="N190" s="46" t="n">
        <v>0.03471025882702068</v>
      </c>
      <c r="O190" s="47">
        <f>Calculo!AP188</f>
        <v/>
      </c>
      <c r="P190" s="45">
        <f>IF(AND(ISNUMBER(N190),ISNUMBER(O190)),ABS(O190-N190),IF(ISNUMBER(N190)=ISNUMBER(O190),0,1))</f>
        <v/>
      </c>
      <c r="Q190" s="46" t="n">
        <v>-0.29525704586734</v>
      </c>
      <c r="R190" s="47">
        <f>Calculo!AW188</f>
        <v/>
      </c>
      <c r="S190" s="45">
        <f>IF(AND(ISNUMBER(Q190),ISNUMBER(R190)),ABS(R190-Q190),IF(ISNUMBER(Q190)=ISNUMBER(R190),0,1))</f>
        <v/>
      </c>
      <c r="T190" s="46" t="n">
        <v>0.9426067625941998</v>
      </c>
      <c r="U190" s="47">
        <f>Calculo!AX188</f>
        <v/>
      </c>
      <c r="V190" s="45">
        <f>IF(AND(ISNUMBER(T190),ISNUMBER(U190)),ABS(U190-T190),IF(ISNUMBER(T190)=ISNUMBER(U190),0,1))</f>
        <v/>
      </c>
      <c r="W190" s="46" t="n">
        <v>1.016780855141721</v>
      </c>
      <c r="X190" s="47">
        <f>Calculo!AY188</f>
        <v/>
      </c>
      <c r="Y190" s="45">
        <f>IF(AND(ISNUMBER(W190),ISNUMBER(X190)),ABS(X190-W190),IF(ISNUMBER(W190)=ISNUMBER(X190),0,1))</f>
        <v/>
      </c>
      <c r="Z190" s="46" t="n">
        <v>-0.0003222359979912627</v>
      </c>
      <c r="AA190" s="47">
        <f>Calculo!BC188</f>
        <v/>
      </c>
      <c r="AB190" s="45">
        <f>IF(AND(ISNUMBER(Z190),ISNUMBER(AA190)),ABS(AA190-Z190),IF(ISNUMBER(Z190)=ISNUMBER(AA190),0,1))</f>
        <v/>
      </c>
    </row>
    <row r="191">
      <c r="A191" s="36">
        <f>Calculo!A189</f>
        <v/>
      </c>
      <c r="B191" s="46" t="n">
        <v>0.03275158320124051</v>
      </c>
      <c r="C191" s="47">
        <f>Calculo!W189</f>
        <v/>
      </c>
      <c r="D191" s="45">
        <f>IF(AND(ISNUMBER(B191),ISNUMBER(C191)),ABS(C191-B191),IF(ISNUMBER(B191)=ISNUMBER(C191),0,1))</f>
        <v/>
      </c>
      <c r="E191" s="46" t="n">
        <v>1.211485190112852</v>
      </c>
      <c r="F191" s="47">
        <f>Calculo!V189</f>
        <v/>
      </c>
      <c r="G191" s="45">
        <f>IF(AND(ISNUMBER(E191),ISNUMBER(F191)),ABS(F191-E191),IF(ISNUMBER(E191)=ISNUMBER(F191),0,1))</f>
        <v/>
      </c>
      <c r="H191" s="46" t="n">
        <v>-0.2484945428800005</v>
      </c>
      <c r="I191" s="47">
        <f>Calculo!AK189</f>
        <v/>
      </c>
      <c r="J191" s="45">
        <f>IF(AND(ISNUMBER(H191),ISNUMBER(I191)),ABS(I191-H191),IF(ISNUMBER(H191)=ISNUMBER(I191),0,1))</f>
        <v/>
      </c>
      <c r="K191" s="46" t="n">
        <v>0.001363055092188766</v>
      </c>
      <c r="L191" s="47">
        <f>Calculo!AL189</f>
        <v/>
      </c>
      <c r="M191" s="45">
        <f>IF(AND(ISNUMBER(K191),ISNUMBER(L191)),ABS(L191-K191),IF(ISNUMBER(K191)=ISNUMBER(L191),0,1))</f>
        <v/>
      </c>
      <c r="N191" s="46" t="n">
        <v>0.1090529437949598</v>
      </c>
      <c r="O191" s="47">
        <f>Calculo!AP189</f>
        <v/>
      </c>
      <c r="P191" s="45">
        <f>IF(AND(ISNUMBER(N191),ISNUMBER(O191)),ABS(O191-N191),IF(ISNUMBER(N191)=ISNUMBER(O191),0,1))</f>
        <v/>
      </c>
      <c r="Q191" s="46" t="n">
        <v>-0.8887622135244256</v>
      </c>
      <c r="R191" s="47">
        <f>Calculo!AW189</f>
        <v/>
      </c>
      <c r="S191" s="45">
        <f>IF(AND(ISNUMBER(Q191),ISNUMBER(R191)),ABS(R191-Q191),IF(ISNUMBER(Q191)=ISNUMBER(R191),0,1))</f>
        <v/>
      </c>
      <c r="T191" s="46" t="n">
        <v>0.8578436345780083</v>
      </c>
      <c r="U191" s="47">
        <f>Calculo!AX189</f>
        <v/>
      </c>
      <c r="V191" s="45">
        <f>IF(AND(ISNUMBER(T191),ISNUMBER(U191)),ABS(U191-T191),IF(ISNUMBER(T191)=ISNUMBER(U191),0,1))</f>
        <v/>
      </c>
      <c r="W191" s="46" t="n">
        <v>0.9686949508334576</v>
      </c>
      <c r="X191" s="47">
        <f>Calculo!AY189</f>
        <v/>
      </c>
      <c r="Y191" s="45">
        <f>IF(AND(ISNUMBER(W191),ISNUMBER(X191)),ABS(X191-W191),IF(ISNUMBER(W191)=ISNUMBER(X191),0,1))</f>
        <v/>
      </c>
      <c r="Z191" s="46" t="n">
        <v>6.260021188060555e-05</v>
      </c>
      <c r="AA191" s="47">
        <f>Calculo!BC189</f>
        <v/>
      </c>
      <c r="AB191" s="45">
        <f>IF(AND(ISNUMBER(Z191),ISNUMBER(AA191)),ABS(AA191-Z191),IF(ISNUMBER(Z191)=ISNUMBER(AA191),0,1))</f>
        <v/>
      </c>
    </row>
    <row r="192">
      <c r="A192" s="36">
        <f>Calculo!A190</f>
        <v/>
      </c>
      <c r="B192" s="46" t="n">
        <v>0.01438512975778469</v>
      </c>
      <c r="C192" s="47">
        <f>Calculo!W190</f>
        <v/>
      </c>
      <c r="D192" s="45">
        <f>IF(AND(ISNUMBER(B192),ISNUMBER(C192)),ABS(C192-B192),IF(ISNUMBER(B192)=ISNUMBER(C192),0,1))</f>
        <v/>
      </c>
      <c r="E192" s="46" t="n">
        <v>1.247082665247536</v>
      </c>
      <c r="F192" s="47">
        <f>Calculo!V190</f>
        <v/>
      </c>
      <c r="G192" s="45">
        <f>IF(AND(ISNUMBER(E192),ISNUMBER(F192)),ABS(F192-E192),IF(ISNUMBER(E192)=ISNUMBER(F192),0,1))</f>
        <v/>
      </c>
      <c r="H192" s="46" t="n">
        <v>-0.2449447698593428</v>
      </c>
      <c r="I192" s="47">
        <f>Calculo!AK190</f>
        <v/>
      </c>
      <c r="J192" s="45">
        <f>IF(AND(ISNUMBER(H192),ISNUMBER(I192)),ABS(I192-H192),IF(ISNUMBER(H192)=ISNUMBER(I192),0,1))</f>
        <v/>
      </c>
      <c r="K192" s="46" t="n">
        <v>0.002061116055927217</v>
      </c>
      <c r="L192" s="47">
        <f>Calculo!AL190</f>
        <v/>
      </c>
      <c r="M192" s="45">
        <f>IF(AND(ISNUMBER(K192),ISNUMBER(L192)),ABS(L192-K192),IF(ISNUMBER(K192)=ISNUMBER(L192),0,1))</f>
        <v/>
      </c>
      <c r="N192" s="46" t="n">
        <v>0.09683365132094288</v>
      </c>
      <c r="O192" s="47">
        <f>Calculo!AP190</f>
        <v/>
      </c>
      <c r="P192" s="45">
        <f>IF(AND(ISNUMBER(N192),ISNUMBER(O192)),ABS(O192-N192),IF(ISNUMBER(N192)=ISNUMBER(O192),0,1))</f>
        <v/>
      </c>
      <c r="Q192" s="46" t="n">
        <v>-0.7854125563475282</v>
      </c>
      <c r="R192" s="47">
        <f>Calculo!AW190</f>
        <v/>
      </c>
      <c r="S192" s="45">
        <f>IF(AND(ISNUMBER(Q192),ISNUMBER(R192)),ABS(R192-Q192),IF(ISNUMBER(Q192)=ISNUMBER(R192),0,1))</f>
        <v/>
      </c>
      <c r="T192" s="46" t="n">
        <v>0.8688395188827329</v>
      </c>
      <c r="U192" s="47">
        <f>Calculo!AX190</f>
        <v/>
      </c>
      <c r="V192" s="45">
        <f>IF(AND(ISNUMBER(T192),ISNUMBER(U192)),ABS(U192-T192),IF(ISNUMBER(T192)=ISNUMBER(U192),0,1))</f>
        <v/>
      </c>
      <c r="W192" s="46" t="n">
        <v>0.889763305351647</v>
      </c>
      <c r="X192" s="47">
        <f>Calculo!AY190</f>
        <v/>
      </c>
      <c r="Y192" s="45">
        <f>IF(AND(ISNUMBER(W192),ISNUMBER(X192)),ABS(X192-W192),IF(ISNUMBER(W192)=ISNUMBER(X192),0,1))</f>
        <v/>
      </c>
      <c r="Z192" s="46" t="n">
        <v>-0.000232796559354293</v>
      </c>
      <c r="AA192" s="47">
        <f>Calculo!BC190</f>
        <v/>
      </c>
      <c r="AB192" s="45">
        <f>IF(AND(ISNUMBER(Z192),ISNUMBER(AA192)),ABS(AA192-Z192),IF(ISNUMBER(Z192)=ISNUMBER(AA192),0,1))</f>
        <v/>
      </c>
    </row>
    <row r="193">
      <c r="A193" s="36">
        <f>Calculo!A191</f>
        <v/>
      </c>
      <c r="B193" s="46" t="n">
        <v>0.02965083618062328</v>
      </c>
      <c r="C193" s="47">
        <f>Calculo!W191</f>
        <v/>
      </c>
      <c r="D193" s="45">
        <f>IF(AND(ISNUMBER(B193),ISNUMBER(C193)),ABS(C193-B193),IF(ISNUMBER(B193)=ISNUMBER(C193),0,1))</f>
        <v/>
      </c>
      <c r="E193" s="46" t="n">
        <v>1.258013904320618</v>
      </c>
      <c r="F193" s="47">
        <f>Calculo!V191</f>
        <v/>
      </c>
      <c r="G193" s="45">
        <f>IF(AND(ISNUMBER(E193),ISNUMBER(F193)),ABS(F193-E193),IF(ISNUMBER(E193)=ISNUMBER(F193),0,1))</f>
        <v/>
      </c>
      <c r="H193" s="46" t="n">
        <v>-0.2330672256672516</v>
      </c>
      <c r="I193" s="47">
        <f>Calculo!AK191</f>
        <v/>
      </c>
      <c r="J193" s="45">
        <f>IF(AND(ISNUMBER(H193),ISNUMBER(I193)),ABS(I193-H193),IF(ISNUMBER(H193)=ISNUMBER(I193),0,1))</f>
        <v/>
      </c>
      <c r="K193" s="46" t="n">
        <v>0.0005578411742903043</v>
      </c>
      <c r="L193" s="47">
        <f>Calculo!AL191</f>
        <v/>
      </c>
      <c r="M193" s="45">
        <f>IF(AND(ISNUMBER(K193),ISNUMBER(L193)),ABS(L193-K193),IF(ISNUMBER(K193)=ISNUMBER(L193),0,1))</f>
        <v/>
      </c>
      <c r="N193" s="46" t="n">
        <v>0.02574660265277044</v>
      </c>
      <c r="O193" s="47">
        <f>Calculo!AP191</f>
        <v/>
      </c>
      <c r="P193" s="45">
        <f>IF(AND(ISNUMBER(N193),ISNUMBER(O193)),ABS(O193-N193),IF(ISNUMBER(N193)=ISNUMBER(O193),0,1))</f>
        <v/>
      </c>
      <c r="Q193" s="46" t="n">
        <v>-0.2101053304118896</v>
      </c>
      <c r="R193" s="47">
        <f>Calculo!AW191</f>
        <v/>
      </c>
      <c r="S193" s="45">
        <f>IF(AND(ISNUMBER(Q193),ISNUMBER(R193)),ABS(R193-Q193),IF(ISNUMBER(Q193)=ISNUMBER(R193),0,1))</f>
        <v/>
      </c>
      <c r="T193" s="46" t="n">
        <v>0.9585865367797824</v>
      </c>
      <c r="U193" s="47">
        <f>Calculo!AX191</f>
        <v/>
      </c>
      <c r="V193" s="45">
        <f>IF(AND(ISNUMBER(T193),ISNUMBER(U193)),ABS(U193-T193),IF(ISNUMBER(T193)=ISNUMBER(U193),0,1))</f>
        <v/>
      </c>
      <c r="W193" s="46" t="n">
        <v>0.8950898967468413</v>
      </c>
      <c r="X193" s="47">
        <f>Calculo!AY191</f>
        <v/>
      </c>
      <c r="Y193" s="45">
        <f>IF(AND(ISNUMBER(W193),ISNUMBER(X193)),ABS(X193-W193),IF(ISNUMBER(W193)=ISNUMBER(X193),0,1))</f>
        <v/>
      </c>
      <c r="Z193" s="46" t="n">
        <v>-0.001014481657232452</v>
      </c>
      <c r="AA193" s="47">
        <f>Calculo!BC191</f>
        <v/>
      </c>
      <c r="AB193" s="45">
        <f>IF(AND(ISNUMBER(Z193),ISNUMBER(AA193)),ABS(AA193-Z193),IF(ISNUMBER(Z193)=ISNUMBER(AA193),0,1))</f>
        <v/>
      </c>
    </row>
    <row r="194">
      <c r="A194" s="36">
        <f>Calculo!A192</f>
        <v/>
      </c>
      <c r="B194" s="46" t="n">
        <v>-0.07396145891466388</v>
      </c>
      <c r="C194" s="47">
        <f>Calculo!W192</f>
        <v/>
      </c>
      <c r="D194" s="45">
        <f>IF(AND(ISNUMBER(B194),ISNUMBER(C194)),ABS(C194-B194),IF(ISNUMBER(B194)=ISNUMBER(C194),0,1))</f>
        <v/>
      </c>
      <c r="E194" s="46" t="n">
        <v>1.267879893538385</v>
      </c>
      <c r="F194" s="47">
        <f>Calculo!V192</f>
        <v/>
      </c>
      <c r="G194" s="45">
        <f>IF(AND(ISNUMBER(E194),ISNUMBER(F194)),ABS(F194-E194),IF(ISNUMBER(E194)=ISNUMBER(F194),0,1))</f>
        <v/>
      </c>
      <c r="H194" s="46" t="n">
        <v>-0.2361116187985212</v>
      </c>
      <c r="I194" s="47">
        <f>Calculo!AK192</f>
        <v/>
      </c>
      <c r="J194" s="45">
        <f>IF(AND(ISNUMBER(H194),ISNUMBER(I194)),ABS(I194-H194),IF(ISNUMBER(H194)=ISNUMBER(I194),0,1))</f>
        <v/>
      </c>
      <c r="K194" s="46" t="n">
        <v>0.002796294923676959</v>
      </c>
      <c r="L194" s="47">
        <f>Calculo!AL192</f>
        <v/>
      </c>
      <c r="M194" s="45">
        <f>IF(AND(ISNUMBER(K194),ISNUMBER(L194)),ABS(L194-K194),IF(ISNUMBER(K194)=ISNUMBER(L194),0,1))</f>
        <v/>
      </c>
      <c r="N194" s="46" t="n">
        <v>0.1863219118444657</v>
      </c>
      <c r="O194" s="47">
        <f>Calculo!AP192</f>
        <v/>
      </c>
      <c r="P194" s="45">
        <f>IF(AND(ISNUMBER(N194),ISNUMBER(O194)),ABS(O194-N194),IF(ISNUMBER(N194)=ISNUMBER(O194),0,1))</f>
        <v/>
      </c>
      <c r="Q194" s="46" t="n">
        <v>-1.49443403032247</v>
      </c>
      <c r="R194" s="47">
        <f>Calculo!AW192</f>
        <v/>
      </c>
      <c r="S194" s="45">
        <f>IF(AND(ISNUMBER(Q194),ISNUMBER(R194)),ABS(R194-Q194),IF(ISNUMBER(Q194)=ISNUMBER(R194),0,1))</f>
        <v/>
      </c>
      <c r="T194" s="46" t="n">
        <v>0.8191725272962584</v>
      </c>
      <c r="U194" s="47">
        <f>Calculo!AX192</f>
        <v/>
      </c>
      <c r="V194" s="45">
        <f>IF(AND(ISNUMBER(T194),ISNUMBER(U194)),ABS(U194-T194),IF(ISNUMBER(T194)=ISNUMBER(U194),0,1))</f>
        <v/>
      </c>
      <c r="W194" s="46" t="n">
        <v>0.8821995276529245</v>
      </c>
      <c r="X194" s="47">
        <f>Calculo!AY192</f>
        <v/>
      </c>
      <c r="Y194" s="45">
        <f>IF(AND(ISNUMBER(W194),ISNUMBER(X194)),ABS(X194-W194),IF(ISNUMBER(W194)=ISNUMBER(X194),0,1))</f>
        <v/>
      </c>
      <c r="Z194" s="46" t="n">
        <v>0.001926509594384926</v>
      </c>
      <c r="AA194" s="47">
        <f>Calculo!BC192</f>
        <v/>
      </c>
      <c r="AB194" s="45">
        <f>IF(AND(ISNUMBER(Z194),ISNUMBER(AA194)),ABS(AA194-Z194),IF(ISNUMBER(Z194)=ISNUMBER(AA194),0,1))</f>
        <v/>
      </c>
    </row>
    <row r="195">
      <c r="A195" s="36">
        <f>Calculo!A193</f>
        <v/>
      </c>
      <c r="B195" s="46" t="n">
        <v>-0.04043898915841551</v>
      </c>
      <c r="C195" s="47">
        <f>Calculo!W193</f>
        <v/>
      </c>
      <c r="D195" s="45">
        <f>IF(AND(ISNUMBER(B195),ISNUMBER(C195)),ABS(C195-B195),IF(ISNUMBER(B195)=ISNUMBER(C195),0,1))</f>
        <v/>
      </c>
      <c r="E195" s="46" t="n">
        <v>1.340204022134917</v>
      </c>
      <c r="F195" s="47">
        <f>Calculo!V193</f>
        <v/>
      </c>
      <c r="G195" s="45">
        <f>IF(AND(ISNUMBER(E195),ISNUMBER(F195)),ABS(F195-E195),IF(ISNUMBER(E195)=ISNUMBER(F195),0,1))</f>
        <v/>
      </c>
      <c r="H195" s="46" t="n">
        <v>-0.1068663013366488</v>
      </c>
      <c r="I195" s="47">
        <f>Calculo!AK193</f>
        <v/>
      </c>
      <c r="J195" s="45">
        <f>IF(AND(ISNUMBER(H195),ISNUMBER(I195)),ABS(I195-H195),IF(ISNUMBER(H195)=ISNUMBER(I195),0,1))</f>
        <v/>
      </c>
      <c r="K195" s="46" t="n">
        <v>0.002259385031173876</v>
      </c>
      <c r="L195" s="47">
        <f>Calculo!AL193</f>
        <v/>
      </c>
      <c r="M195" s="45">
        <f>IF(AND(ISNUMBER(K195),ISNUMBER(L195)),ABS(L195-K195),IF(ISNUMBER(K195)=ISNUMBER(L195),0,1))</f>
        <v/>
      </c>
      <c r="N195" s="46" t="n">
        <v>0.1539412319009933</v>
      </c>
      <c r="O195" s="47">
        <f>Calculo!AP193</f>
        <v/>
      </c>
      <c r="P195" s="45">
        <f>IF(AND(ISNUMBER(N195),ISNUMBER(O195)),ABS(O195-N195),IF(ISNUMBER(N195)=ISNUMBER(O195),0,1))</f>
        <v/>
      </c>
      <c r="Q195" s="46" t="n">
        <v>-1.221827151713456</v>
      </c>
      <c r="R195" s="47">
        <f>Calculo!AW193</f>
        <v/>
      </c>
      <c r="S195" s="45">
        <f>IF(AND(ISNUMBER(Q195),ISNUMBER(R195)),ABS(R195-Q195),IF(ISNUMBER(Q195)=ISNUMBER(R195),0,1))</f>
        <v/>
      </c>
      <c r="T195" s="46" t="n">
        <v>0.8319615351530827</v>
      </c>
      <c r="U195" s="47">
        <f>Calculo!AX193</f>
        <v/>
      </c>
      <c r="V195" s="45">
        <f>IF(AND(ISNUMBER(T195),ISNUMBER(U195)),ABS(U195-T195),IF(ISNUMBER(T195)=ISNUMBER(U195),0,1))</f>
        <v/>
      </c>
      <c r="W195" s="46" t="n">
        <v>0.8699068664097078</v>
      </c>
      <c r="X195" s="47">
        <f>Calculo!AY193</f>
        <v/>
      </c>
      <c r="Y195" s="45">
        <f>IF(AND(ISNUMBER(W195),ISNUMBER(X195)),ABS(X195-W195),IF(ISNUMBER(W195)=ISNUMBER(X195),0,1))</f>
        <v/>
      </c>
      <c r="Z195" s="46" t="n">
        <v>0.001158707083290111</v>
      </c>
      <c r="AA195" s="47">
        <f>Calculo!BC193</f>
        <v/>
      </c>
      <c r="AB195" s="45">
        <f>IF(AND(ISNUMBER(Z195),ISNUMBER(AA195)),ABS(AA195-Z195),IF(ISNUMBER(Z195)=ISNUMBER(AA195),0,1))</f>
        <v/>
      </c>
    </row>
    <row r="196">
      <c r="A196" s="36">
        <f>Calculo!A194</f>
        <v/>
      </c>
      <c r="B196" s="46" t="n">
        <v>-0.1572333743710705</v>
      </c>
      <c r="C196" s="47">
        <f>Calculo!W194</f>
        <v/>
      </c>
      <c r="D196" s="45">
        <f>IF(AND(ISNUMBER(B196),ISNUMBER(C196)),ABS(C196-B196),IF(ISNUMBER(B196)=ISNUMBER(C196),0,1))</f>
        <v/>
      </c>
      <c r="E196" s="46" t="n">
        <v>1.335615609723905</v>
      </c>
      <c r="F196" s="47">
        <f>Calculo!V194</f>
        <v/>
      </c>
      <c r="G196" s="45">
        <f>IF(AND(ISNUMBER(E196),ISNUMBER(F196)),ABS(F196-E196),IF(ISNUMBER(E196)=ISNUMBER(F196),0,1))</f>
        <v/>
      </c>
      <c r="H196" s="46" t="n">
        <v>-0.101131825878761</v>
      </c>
      <c r="I196" s="47">
        <f>Calculo!AK194</f>
        <v/>
      </c>
      <c r="J196" s="45">
        <f>IF(AND(ISNUMBER(H196),ISNUMBER(I196)),ABS(I196-H196),IF(ISNUMBER(H196)=ISNUMBER(I196),0,1))</f>
        <v/>
      </c>
      <c r="K196" s="46" t="n">
        <v>0.001217101694137946</v>
      </c>
      <c r="L196" s="47">
        <f>Calculo!AL194</f>
        <v/>
      </c>
      <c r="M196" s="45">
        <f>IF(AND(ISNUMBER(K196),ISNUMBER(L196)),ABS(L196-K196),IF(ISNUMBER(K196)=ISNUMBER(L196),0,1))</f>
        <v/>
      </c>
      <c r="N196" s="46" t="n">
        <v>-0.01184190331885202</v>
      </c>
      <c r="O196" s="47">
        <f>Calculo!AP194</f>
        <v/>
      </c>
      <c r="P196" s="45">
        <f>IF(AND(ISNUMBER(N196),ISNUMBER(O196)),ABS(O196-N196),IF(ISNUMBER(N196)=ISNUMBER(O196),0,1))</f>
        <v/>
      </c>
      <c r="Q196" s="46" t="n">
        <v>0.1136123013644661</v>
      </c>
      <c r="R196" s="47">
        <f>Calculo!AW194</f>
        <v/>
      </c>
      <c r="S196" s="45">
        <f>IF(AND(ISNUMBER(Q196),ISNUMBER(R196)),ABS(R196-Q196),IF(ISNUMBER(Q196)=ISNUMBER(R196),0,1))</f>
        <v/>
      </c>
      <c r="T196" s="46" t="n">
        <v>1.022625197104808</v>
      </c>
      <c r="U196" s="47">
        <f>Calculo!AX194</f>
        <v/>
      </c>
      <c r="V196" s="45">
        <f>IF(AND(ISNUMBER(T196),ISNUMBER(U196)),ABS(U196-T196),IF(ISNUMBER(T196)=ISNUMBER(U196),0,1))</f>
        <v/>
      </c>
      <c r="W196" s="46" t="n">
        <v>0.8912530865180498</v>
      </c>
      <c r="X196" s="47">
        <f>Calculo!AY194</f>
        <v/>
      </c>
      <c r="Y196" s="45">
        <f>IF(AND(ISNUMBER(W196),ISNUMBER(X196)),ABS(X196-W196),IF(ISNUMBER(W196)=ISNUMBER(X196),0,1))</f>
        <v/>
      </c>
      <c r="Z196" s="46" t="n">
        <v>0.005083013941118984</v>
      </c>
      <c r="AA196" s="47">
        <f>Calculo!BC194</f>
        <v/>
      </c>
      <c r="AB196" s="45">
        <f>IF(AND(ISNUMBER(Z196),ISNUMBER(AA196)),ABS(AA196-Z196),IF(ISNUMBER(Z196)=ISNUMBER(AA196),0,1))</f>
        <v/>
      </c>
    </row>
    <row r="197">
      <c r="A197" s="36">
        <f>Calculo!A195</f>
        <v/>
      </c>
      <c r="B197" s="46" t="n">
        <v>0.06763138356355936</v>
      </c>
      <c r="C197" s="47">
        <f>Calculo!W195</f>
        <v/>
      </c>
      <c r="D197" s="45">
        <f>IF(AND(ISNUMBER(B197),ISNUMBER(C197)),ABS(C197-B197),IF(ISNUMBER(B197)=ISNUMBER(C197),0,1))</f>
        <v/>
      </c>
      <c r="E197" s="46" t="n">
        <v>1.303411324602175</v>
      </c>
      <c r="F197" s="47">
        <f>Calculo!V195</f>
        <v/>
      </c>
      <c r="G197" s="45">
        <f>IF(AND(ISNUMBER(E197),ISNUMBER(F197)),ABS(F197-E197),IF(ISNUMBER(E197)=ISNUMBER(F197),0,1))</f>
        <v/>
      </c>
      <c r="H197" s="46" t="n">
        <v>-0.1030140858813829</v>
      </c>
      <c r="I197" s="47">
        <f>Calculo!AK195</f>
        <v/>
      </c>
      <c r="J197" s="45">
        <f>IF(AND(ISNUMBER(H197),ISNUMBER(I197)),ABS(I197-H197),IF(ISNUMBER(H197)=ISNUMBER(I197),0,1))</f>
        <v/>
      </c>
      <c r="K197" s="46" t="n">
        <v>-0.001511825304661775</v>
      </c>
      <c r="L197" s="47">
        <f>Calculo!AL195</f>
        <v/>
      </c>
      <c r="M197" s="45">
        <f>IF(AND(ISNUMBER(K197),ISNUMBER(L197)),ABS(L197-K197),IF(ISNUMBER(K197)=ISNUMBER(L197),0,1))</f>
        <v/>
      </c>
      <c r="N197" s="46" t="n">
        <v>-0.1443790724534156</v>
      </c>
      <c r="O197" s="47">
        <f>Calculo!AP195</f>
        <v/>
      </c>
      <c r="P197" s="45">
        <f>IF(AND(ISNUMBER(N197),ISNUMBER(O197)),ABS(O197-N197),IF(ISNUMBER(N197)=ISNUMBER(O197),0,1))</f>
        <v/>
      </c>
      <c r="Q197" s="46" t="n">
        <v>1.175278003842612</v>
      </c>
      <c r="R197" s="47">
        <f>Calculo!AW195</f>
        <v/>
      </c>
      <c r="S197" s="45">
        <f>IF(AND(ISNUMBER(Q197),ISNUMBER(R197)),ABS(R197-Q197),IF(ISNUMBER(Q197)=ISNUMBER(R197),0,1))</f>
        <v/>
      </c>
      <c r="T197" s="46" t="n">
        <v>1.165191364745983</v>
      </c>
      <c r="U197" s="47">
        <f>Calculo!AX195</f>
        <v/>
      </c>
      <c r="V197" s="45">
        <f>IF(AND(ISNUMBER(T197),ISNUMBER(U197)),ABS(U197-T197),IF(ISNUMBER(T197)=ISNUMBER(U197),0,1))</f>
        <v/>
      </c>
      <c r="W197" s="46" t="n">
        <v>1.006592699001291</v>
      </c>
      <c r="X197" s="47">
        <f>Calculo!AY195</f>
        <v/>
      </c>
      <c r="Y197" s="45">
        <f>IF(AND(ISNUMBER(W197),ISNUMBER(X197)),ABS(X197-W197),IF(ISNUMBER(W197)=ISNUMBER(X197),0,1))</f>
        <v/>
      </c>
      <c r="Z197" s="46" t="n">
        <v>-0.0018920416045336</v>
      </c>
      <c r="AA197" s="47">
        <f>Calculo!BC195</f>
        <v/>
      </c>
      <c r="AB197" s="45">
        <f>IF(AND(ISNUMBER(Z197),ISNUMBER(AA197)),ABS(AA197-Z197),IF(ISNUMBER(Z197)=ISNUMBER(AA197),0,1))</f>
        <v/>
      </c>
    </row>
    <row r="198">
      <c r="A198" s="36">
        <f>Calculo!A196</f>
        <v/>
      </c>
      <c r="B198" s="46" t="n">
        <v>0.06831661240230386</v>
      </c>
      <c r="C198" s="47">
        <f>Calculo!W196</f>
        <v/>
      </c>
      <c r="D198" s="45">
        <f>IF(AND(ISNUMBER(B198),ISNUMBER(C198)),ABS(C198-B198),IF(ISNUMBER(B198)=ISNUMBER(C198),0,1))</f>
        <v/>
      </c>
      <c r="E198" s="46" t="n">
        <v>1.297507469543109</v>
      </c>
      <c r="F198" s="47">
        <f>Calculo!V196</f>
        <v/>
      </c>
      <c r="G198" s="45">
        <f>IF(AND(ISNUMBER(E198),ISNUMBER(F198)),ABS(F198-E198),IF(ISNUMBER(E198)=ISNUMBER(F198),0,1))</f>
        <v/>
      </c>
      <c r="H198" s="46" t="n">
        <v>-0.1041849451592272</v>
      </c>
      <c r="I198" s="47">
        <f>Calculo!AK196</f>
        <v/>
      </c>
      <c r="J198" s="45">
        <f>IF(AND(ISNUMBER(H198),ISNUMBER(I198)),ABS(I198-H198),IF(ISNUMBER(H198)=ISNUMBER(I198),0,1))</f>
        <v/>
      </c>
      <c r="K198" s="46" t="n">
        <v>0.0008020286314215515</v>
      </c>
      <c r="L198" s="47">
        <f>Calculo!AL196</f>
        <v/>
      </c>
      <c r="M198" s="45">
        <f>IF(AND(ISNUMBER(K198),ISNUMBER(L198)),ABS(L198-K198),IF(ISNUMBER(K198)=ISNUMBER(L198),0,1))</f>
        <v/>
      </c>
      <c r="N198" s="46" t="n">
        <v>-0.04343569326600034</v>
      </c>
      <c r="O198" s="47">
        <f>Calculo!AP196</f>
        <v/>
      </c>
      <c r="P198" s="45">
        <f>IF(AND(ISNUMBER(N198),ISNUMBER(O198)),ABS(O198-N198),IF(ISNUMBER(N198)=ISNUMBER(O198),0,1))</f>
        <v/>
      </c>
      <c r="Q198" s="46" t="n">
        <v>0.358690090087772</v>
      </c>
      <c r="R198" s="47">
        <f>Calculo!AW196</f>
        <v/>
      </c>
      <c r="S198" s="45">
        <f>IF(AND(ISNUMBER(Q198),ISNUMBER(R198)),ABS(R198-Q198),IF(ISNUMBER(Q198)=ISNUMBER(R198),0,1))</f>
        <v/>
      </c>
      <c r="T198" s="46" t="n">
        <v>1.068811941687544</v>
      </c>
      <c r="U198" s="47">
        <f>Calculo!AX196</f>
        <v/>
      </c>
      <c r="V198" s="45">
        <f>IF(AND(ISNUMBER(T198),ISNUMBER(U198)),ABS(U198-T198),IF(ISNUMBER(T198)=ISNUMBER(U198),0,1))</f>
        <v/>
      </c>
      <c r="W198" s="46" t="n">
        <v>1.085542834512778</v>
      </c>
      <c r="X198" s="47">
        <f>Calculo!AY196</f>
        <v/>
      </c>
      <c r="Y198" s="45">
        <f>IF(AND(ISNUMBER(W198),ISNUMBER(X198)),ABS(X198-W198),IF(ISNUMBER(W198)=ISNUMBER(X198),0,1))</f>
        <v/>
      </c>
      <c r="Z198" s="46" t="n">
        <v>-0.0001757513156190365</v>
      </c>
      <c r="AA198" s="47">
        <f>Calculo!BC196</f>
        <v/>
      </c>
      <c r="AB198" s="45">
        <f>IF(AND(ISNUMBER(Z198),ISNUMBER(AA198)),ABS(AA198-Z198),IF(ISNUMBER(Z198)=ISNUMBER(AA198),0,1))</f>
        <v/>
      </c>
    </row>
    <row r="199">
      <c r="A199" s="36">
        <f>Calculo!A197</f>
        <v/>
      </c>
      <c r="B199" s="46" t="n">
        <v>0.01051345705655786</v>
      </c>
      <c r="C199" s="47">
        <f>Calculo!W197</f>
        <v/>
      </c>
      <c r="D199" s="45">
        <f>IF(AND(ISNUMBER(B199),ISNUMBER(C199)),ABS(C199-B199),IF(ISNUMBER(B199)=ISNUMBER(C199),0,1))</f>
        <v/>
      </c>
      <c r="E199" s="46" t="n">
        <v>1.313781582838618</v>
      </c>
      <c r="F199" s="47">
        <f>Calculo!V197</f>
        <v/>
      </c>
      <c r="G199" s="45">
        <f>IF(AND(ISNUMBER(E199),ISNUMBER(F199)),ABS(F199-E199),IF(ISNUMBER(E199)=ISNUMBER(F199),0,1))</f>
        <v/>
      </c>
      <c r="H199" s="46" t="n">
        <v>-0.1158489819737219</v>
      </c>
      <c r="I199" s="47">
        <f>Calculo!AK197</f>
        <v/>
      </c>
      <c r="J199" s="45">
        <f>IF(AND(ISNUMBER(H199),ISNUMBER(I199)),ABS(I199-H199),IF(ISNUMBER(H199)=ISNUMBER(I199),0,1))</f>
        <v/>
      </c>
      <c r="K199" s="46" t="n">
        <v>0.004003679851052462</v>
      </c>
      <c r="L199" s="47">
        <f>Calculo!AL197</f>
        <v/>
      </c>
      <c r="M199" s="45">
        <f>IF(AND(ISNUMBER(K199),ISNUMBER(L199)),ABS(L199-K199),IF(ISNUMBER(K199)=ISNUMBER(L199),0,1))</f>
        <v/>
      </c>
      <c r="N199" s="46" t="n">
        <v>0.1350870402559806</v>
      </c>
      <c r="O199" s="47">
        <f>Calculo!AP197</f>
        <v/>
      </c>
      <c r="P199" s="45">
        <f>IF(AND(ISNUMBER(N199),ISNUMBER(O199)),ABS(O199-N199),IF(ISNUMBER(N199)=ISNUMBER(O199),0,1))</f>
        <v/>
      </c>
      <c r="Q199" s="46" t="n">
        <v>-1.079123046370781</v>
      </c>
      <c r="R199" s="47">
        <f>Calculo!AW197</f>
        <v/>
      </c>
      <c r="S199" s="45">
        <f>IF(AND(ISNUMBER(Q199),ISNUMBER(R199)),ABS(R199-Q199),IF(ISNUMBER(Q199)=ISNUMBER(R199),0,1))</f>
        <v/>
      </c>
      <c r="T199" s="46" t="n">
        <v>0.8414252668941375</v>
      </c>
      <c r="U199" s="47">
        <f>Calculo!AX197</f>
        <v/>
      </c>
      <c r="V199" s="45">
        <f>IF(AND(ISNUMBER(T199),ISNUMBER(U199)),ABS(U199-T199),IF(ISNUMBER(T199)=ISNUMBER(U199),0,1))</f>
        <v/>
      </c>
      <c r="W199" s="46" t="n">
        <v>1.025142857775888</v>
      </c>
      <c r="X199" s="47">
        <f>Calculo!AY197</f>
        <v/>
      </c>
      <c r="Y199" s="45">
        <f>IF(AND(ISNUMBER(W199),ISNUMBER(X199)),ABS(X199-W199),IF(ISNUMBER(W199)=ISNUMBER(X199),0,1))</f>
        <v/>
      </c>
      <c r="Z199" s="46" t="n">
        <v>2.746239050786488e-05</v>
      </c>
      <c r="AA199" s="47">
        <f>Calculo!BC197</f>
        <v/>
      </c>
      <c r="AB199" s="45">
        <f>IF(AND(ISNUMBER(Z199),ISNUMBER(AA199)),ABS(AA199-Z199),IF(ISNUMBER(Z199)=ISNUMBER(AA199),0,1))</f>
        <v/>
      </c>
    </row>
    <row r="200">
      <c r="A200" s="36">
        <f>Calculo!A198</f>
        <v/>
      </c>
      <c r="B200" s="46" t="n">
        <v>0.04421411014167451</v>
      </c>
      <c r="C200" s="47">
        <f>Calculo!W198</f>
        <v/>
      </c>
      <c r="D200" s="45">
        <f>IF(AND(ISNUMBER(B200),ISNUMBER(C200)),ABS(C200-B200),IF(ISNUMBER(B200)=ISNUMBER(C200),0,1))</f>
        <v/>
      </c>
      <c r="E200" s="46" t="n">
        <v>1.318167838287584</v>
      </c>
      <c r="F200" s="47">
        <f>Calculo!V198</f>
        <v/>
      </c>
      <c r="G200" s="45">
        <f>IF(AND(ISNUMBER(E200),ISNUMBER(F200)),ABS(F200-E200),IF(ISNUMBER(E200)=ISNUMBER(F200),0,1))</f>
        <v/>
      </c>
      <c r="H200" s="46" t="n">
        <v>-0.1139843231189127</v>
      </c>
      <c r="I200" s="47">
        <f>Calculo!AK198</f>
        <v/>
      </c>
      <c r="J200" s="45">
        <f>IF(AND(ISNUMBER(H200),ISNUMBER(I200)),ABS(I200-H200),IF(ISNUMBER(H200)=ISNUMBER(I200),0,1))</f>
        <v/>
      </c>
      <c r="K200" s="46" t="n">
        <v>0.004434399475891176</v>
      </c>
      <c r="L200" s="47">
        <f>Calculo!AL198</f>
        <v/>
      </c>
      <c r="M200" s="45">
        <f>IF(AND(ISNUMBER(K200),ISNUMBER(L200)),ABS(L200-K200),IF(ISNUMBER(K200)=ISNUMBER(L200),0,1))</f>
        <v/>
      </c>
      <c r="N200" s="46" t="n">
        <v>0.1177236438001706</v>
      </c>
      <c r="O200" s="47">
        <f>Calculo!AP198</f>
        <v/>
      </c>
      <c r="P200" s="45">
        <f>IF(AND(ISNUMBER(N200),ISNUMBER(O200)),ABS(O200-N200),IF(ISNUMBER(N200)=ISNUMBER(O200),0,1))</f>
        <v/>
      </c>
      <c r="Q200" s="46" t="n">
        <v>-0.9324043209742358</v>
      </c>
      <c r="R200" s="47">
        <f>Calculo!AW198</f>
        <v/>
      </c>
      <c r="S200" s="45">
        <f>IF(AND(ISNUMBER(Q200),ISNUMBER(R200)),ABS(R200-Q200),IF(ISNUMBER(Q200)=ISNUMBER(R200),0,1))</f>
        <v/>
      </c>
      <c r="T200" s="46" t="n">
        <v>0.8536574197928068</v>
      </c>
      <c r="U200" s="47">
        <f>Calculo!AX198</f>
        <v/>
      </c>
      <c r="V200" s="45">
        <f>IF(AND(ISNUMBER(T200),ISNUMBER(U200)),ABS(U200-T200),IF(ISNUMBER(T200)=ISNUMBER(U200),0,1))</f>
        <v/>
      </c>
      <c r="W200" s="46" t="n">
        <v>0.9212982094581629</v>
      </c>
      <c r="X200" s="47">
        <f>Calculo!AY198</f>
        <v/>
      </c>
      <c r="Y200" s="45">
        <f>IF(AND(ISNUMBER(W200),ISNUMBER(X200)),ABS(X200-W200),IF(ISNUMBER(W200)=ISNUMBER(X200),0,1))</f>
        <v/>
      </c>
      <c r="Z200" s="46" t="n">
        <v>0.0001269173289026705</v>
      </c>
      <c r="AA200" s="47">
        <f>Calculo!BC198</f>
        <v/>
      </c>
      <c r="AB200" s="45">
        <f>IF(AND(ISNUMBER(Z200),ISNUMBER(AA200)),ABS(AA200-Z200),IF(ISNUMBER(Z200)=ISNUMBER(AA200),0,1))</f>
        <v/>
      </c>
    </row>
    <row r="201">
      <c r="A201" s="36">
        <f>Calculo!A199</f>
        <v/>
      </c>
      <c r="B201" s="46" t="n">
        <v>-0.02351692720371235</v>
      </c>
      <c r="C201" s="47">
        <f>Calculo!W199</f>
        <v/>
      </c>
      <c r="D201" s="45">
        <f>IF(AND(ISNUMBER(B201),ISNUMBER(C201)),ABS(C201-B201),IF(ISNUMBER(B201)=ISNUMBER(C201),0,1))</f>
        <v/>
      </c>
      <c r="E201" s="46" t="n">
        <v>1.30766097017252</v>
      </c>
      <c r="F201" s="47">
        <f>Calculo!V199</f>
        <v/>
      </c>
      <c r="G201" s="45">
        <f>IF(AND(ISNUMBER(E201),ISNUMBER(F201)),ABS(F201-E201),IF(ISNUMBER(E201)=ISNUMBER(F201),0,1))</f>
        <v/>
      </c>
      <c r="H201" s="46" t="n">
        <v>-0.1124126017381353</v>
      </c>
      <c r="I201" s="47">
        <f>Calculo!AK199</f>
        <v/>
      </c>
      <c r="J201" s="45">
        <f>IF(AND(ISNUMBER(H201),ISNUMBER(I201)),ABS(I201-H201),IF(ISNUMBER(H201)=ISNUMBER(I201),0,1))</f>
        <v/>
      </c>
      <c r="K201" s="46" t="n">
        <v>0.00570797678045663</v>
      </c>
      <c r="L201" s="47">
        <f>Calculo!AL199</f>
        <v/>
      </c>
      <c r="M201" s="45">
        <f>IF(AND(ISNUMBER(K201),ISNUMBER(L201)),ABS(L201-K201),IF(ISNUMBER(K201)=ISNUMBER(L201),0,1))</f>
        <v/>
      </c>
      <c r="N201" s="46" t="n">
        <v>0.1054434668883986</v>
      </c>
      <c r="O201" s="47">
        <f>Calculo!AP199</f>
        <v/>
      </c>
      <c r="P201" s="45">
        <f>IF(AND(ISNUMBER(N201),ISNUMBER(O201)),ABS(O201-N201),IF(ISNUMBER(N201)=ISNUMBER(O201),0,1))</f>
        <v/>
      </c>
      <c r="Q201" s="46" t="n">
        <v>-0.8280619344783229</v>
      </c>
      <c r="R201" s="47">
        <f>Calculo!AW199</f>
        <v/>
      </c>
      <c r="S201" s="45">
        <f>IF(AND(ISNUMBER(Q201),ISNUMBER(R201)),ABS(R201-Q201),IF(ISNUMBER(Q201)=ISNUMBER(R201),0,1))</f>
        <v/>
      </c>
      <c r="T201" s="46" t="n">
        <v>0.8641132031503254</v>
      </c>
      <c r="U201" s="47">
        <f>Calculo!AX199</f>
        <v/>
      </c>
      <c r="V201" s="45">
        <f>IF(AND(ISNUMBER(T201),ISNUMBER(U201)),ABS(U201-T201),IF(ISNUMBER(T201)=ISNUMBER(U201),0,1))</f>
        <v/>
      </c>
      <c r="W201" s="46" t="n">
        <v>0.8530652966124231</v>
      </c>
      <c r="X201" s="47">
        <f>Calculo!AY199</f>
        <v/>
      </c>
      <c r="Y201" s="45">
        <f>IF(AND(ISNUMBER(W201),ISNUMBER(X201)),ABS(X201-W201),IF(ISNUMBER(W201)=ISNUMBER(X201),0,1))</f>
        <v/>
      </c>
      <c r="Z201" s="46" t="n">
        <v>0.0002030944489492365</v>
      </c>
      <c r="AA201" s="47">
        <f>Calculo!BC199</f>
        <v/>
      </c>
      <c r="AB201" s="45">
        <f>IF(AND(ISNUMBER(Z201),ISNUMBER(AA201)),ABS(AA201-Z201),IF(ISNUMBER(Z201)=ISNUMBER(AA201),0,1))</f>
        <v/>
      </c>
    </row>
    <row r="202">
      <c r="A202" s="36">
        <f>Calculo!A200</f>
        <v/>
      </c>
      <c r="B202" s="46" t="n">
        <v>-0.06311247492463051</v>
      </c>
      <c r="C202" s="47">
        <f>Calculo!W200</f>
        <v/>
      </c>
      <c r="D202" s="45">
        <f>IF(AND(ISNUMBER(B202),ISNUMBER(C202)),ABS(C202-B202),IF(ISNUMBER(B202)=ISNUMBER(C202),0,1))</f>
        <v/>
      </c>
      <c r="E202" s="46" t="n">
        <v>1.317244857221622</v>
      </c>
      <c r="F202" s="47">
        <f>Calculo!V200</f>
        <v/>
      </c>
      <c r="G202" s="45">
        <f>IF(AND(ISNUMBER(E202),ISNUMBER(F202)),ABS(F202-E202),IF(ISNUMBER(E202)=ISNUMBER(F202),0,1))</f>
        <v/>
      </c>
      <c r="H202" s="46" t="n">
        <v>-0.1052220264980476</v>
      </c>
      <c r="I202" s="47">
        <f>Calculo!AK200</f>
        <v/>
      </c>
      <c r="J202" s="45">
        <f>IF(AND(ISNUMBER(H202),ISNUMBER(I202)),ABS(I202-H202),IF(ISNUMBER(H202)=ISNUMBER(I202),0,1))</f>
        <v/>
      </c>
      <c r="K202" s="46" t="n">
        <v>0.005386474690476548</v>
      </c>
      <c r="L202" s="47">
        <f>Calculo!AL200</f>
        <v/>
      </c>
      <c r="M202" s="45">
        <f>IF(AND(ISNUMBER(K202),ISNUMBER(L202)),ABS(L202-K202),IF(ISNUMBER(K202)=ISNUMBER(L202),0,1))</f>
        <v/>
      </c>
      <c r="N202" s="46" t="n">
        <v>0.001112542437914449</v>
      </c>
      <c r="O202" s="47">
        <f>Calculo!AP200</f>
        <v/>
      </c>
      <c r="P202" s="45">
        <f>IF(AND(ISNUMBER(N202),ISNUMBER(O202)),ABS(O202-N202),IF(ISNUMBER(N202)=ISNUMBER(O202),0,1))</f>
        <v/>
      </c>
      <c r="Q202" s="46" t="n">
        <v>0.01778940318236446</v>
      </c>
      <c r="R202" s="47">
        <f>Calculo!AW200</f>
        <v/>
      </c>
      <c r="S202" s="45">
        <f>IF(AND(ISNUMBER(Q202),ISNUMBER(R202)),ABS(R202-Q202),IF(ISNUMBER(Q202)=ISNUMBER(R202),0,1))</f>
        <v/>
      </c>
      <c r="T202" s="46" t="n">
        <v>1.003557505371609</v>
      </c>
      <c r="U202" s="47">
        <f>Calculo!AX200</f>
        <v/>
      </c>
      <c r="V202" s="45">
        <f>IF(AND(ISNUMBER(T202),ISNUMBER(U202)),ABS(U202-T202),IF(ISNUMBER(T202)=ISNUMBER(U202),0,1))</f>
        <v/>
      </c>
      <c r="W202" s="46" t="n">
        <v>0.9071093761049136</v>
      </c>
      <c r="X202" s="47">
        <f>Calculo!AY200</f>
        <v/>
      </c>
      <c r="Y202" s="45">
        <f>IF(AND(ISNUMBER(W202),ISNUMBER(X202)),ABS(X202-W202),IF(ISNUMBER(W202)=ISNUMBER(X202),0,1))</f>
        <v/>
      </c>
      <c r="Z202" s="46" t="n">
        <v>0.002147770913662267</v>
      </c>
      <c r="AA202" s="47">
        <f>Calculo!BC200</f>
        <v/>
      </c>
      <c r="AB202" s="45">
        <f>IF(AND(ISNUMBER(Z202),ISNUMBER(AA202)),ABS(AA202-Z202),IF(ISNUMBER(Z202)=ISNUMBER(AA202),0,1))</f>
        <v/>
      </c>
    </row>
    <row r="203">
      <c r="A203" s="36">
        <f>Calculo!A201</f>
        <v/>
      </c>
      <c r="B203" s="46" t="n">
        <v>-0.01305432087282504</v>
      </c>
      <c r="C203" s="47">
        <f>Calculo!W201</f>
        <v/>
      </c>
      <c r="D203" s="45">
        <f>IF(AND(ISNUMBER(B203),ISNUMBER(C203)),ABS(C203-B203),IF(ISNUMBER(B203)=ISNUMBER(C203),0,1))</f>
        <v/>
      </c>
      <c r="E203" s="46" t="n">
        <v>1.297859124808784</v>
      </c>
      <c r="F203" s="47">
        <f>Calculo!V201</f>
        <v/>
      </c>
      <c r="G203" s="45">
        <f>IF(AND(ISNUMBER(E203),ISNUMBER(F203)),ABS(F203-E203),IF(ISNUMBER(E203)=ISNUMBER(F203),0,1))</f>
        <v/>
      </c>
      <c r="H203" s="46" t="n">
        <v>-0.1023986028663434</v>
      </c>
      <c r="I203" s="47">
        <f>Calculo!AK201</f>
        <v/>
      </c>
      <c r="J203" s="45">
        <f>IF(AND(ISNUMBER(H203),ISNUMBER(I203)),ABS(I203-H203),IF(ISNUMBER(H203)=ISNUMBER(I203),0,1))</f>
        <v/>
      </c>
      <c r="K203" s="46" t="n">
        <v>0.004179864664392927</v>
      </c>
      <c r="L203" s="47">
        <f>Calculo!AL201</f>
        <v/>
      </c>
      <c r="M203" s="45">
        <f>IF(AND(ISNUMBER(K203),ISNUMBER(L203)),ABS(L203-K203),IF(ISNUMBER(K203)=ISNUMBER(L203),0,1))</f>
        <v/>
      </c>
      <c r="N203" s="46" t="n">
        <v>-0.09573313288434518</v>
      </c>
      <c r="O203" s="47">
        <f>Calculo!AP201</f>
        <v/>
      </c>
      <c r="P203" s="45">
        <f>IF(AND(ISNUMBER(N203),ISNUMBER(O203)),ABS(O203-N203),IF(ISNUMBER(N203)=ISNUMBER(O203),0,1))</f>
        <v/>
      </c>
      <c r="Q203" s="46" t="n">
        <v>0.8012147880235289</v>
      </c>
      <c r="R203" s="47">
        <f>Calculo!AW201</f>
        <v/>
      </c>
      <c r="S203" s="45">
        <f>IF(AND(ISNUMBER(Q203),ISNUMBER(R203)),ABS(R203-Q203),IF(ISNUMBER(Q203)=ISNUMBER(R203),0,1))</f>
        <v/>
      </c>
      <c r="T203" s="46" t="n">
        <v>1.132943071213125</v>
      </c>
      <c r="U203" s="47">
        <f>Calculo!AX201</f>
        <v/>
      </c>
      <c r="V203" s="45">
        <f>IF(AND(ISNUMBER(T203),ISNUMBER(U203)),ABS(U203-T203),IF(ISNUMBER(T203)=ISNUMBER(U203),0,1))</f>
        <v/>
      </c>
      <c r="W203" s="46" t="n">
        <v>1.00020459324502</v>
      </c>
      <c r="X203" s="47">
        <f>Calculo!AY201</f>
        <v/>
      </c>
      <c r="Y203" s="45">
        <f>IF(AND(ISNUMBER(W203),ISNUMBER(X203)),ABS(X203-W203),IF(ISNUMBER(W203)=ISNUMBER(X203),0,1))</f>
        <v/>
      </c>
      <c r="Z203" s="46" t="n">
        <v>0.0001680458038696156</v>
      </c>
      <c r="AA203" s="47">
        <f>Calculo!BC201</f>
        <v/>
      </c>
      <c r="AB203" s="45">
        <f>IF(AND(ISNUMBER(Z203),ISNUMBER(AA203)),ABS(AA203-Z203),IF(ISNUMBER(Z203)=ISNUMBER(AA203),0,1))</f>
        <v/>
      </c>
    </row>
    <row r="204">
      <c r="A204" s="36">
        <f>Calculo!A202</f>
        <v/>
      </c>
      <c r="B204" s="46" t="n">
        <v>0.02983368156393946</v>
      </c>
      <c r="C204" s="47">
        <f>Calculo!W202</f>
        <v/>
      </c>
      <c r="D204" s="45">
        <f>IF(AND(ISNUMBER(B204),ISNUMBER(C204)),ABS(C204-B204),IF(ISNUMBER(B204)=ISNUMBER(C204),0,1))</f>
        <v/>
      </c>
      <c r="E204" s="46" t="n">
        <v>1.292779201030515</v>
      </c>
      <c r="F204" s="47">
        <f>Calculo!V202</f>
        <v/>
      </c>
      <c r="G204" s="45">
        <f>IF(AND(ISNUMBER(E204),ISNUMBER(F204)),ABS(F204-E204),IF(ISNUMBER(E204)=ISNUMBER(F204),0,1))</f>
        <v/>
      </c>
      <c r="H204" s="46" t="n">
        <v>-0.09356326927137401</v>
      </c>
      <c r="I204" s="47">
        <f>Calculo!AK202</f>
        <v/>
      </c>
      <c r="J204" s="45">
        <f>IF(AND(ISNUMBER(H204),ISNUMBER(I204)),ABS(I204-H204),IF(ISNUMBER(H204)=ISNUMBER(I204),0,1))</f>
        <v/>
      </c>
      <c r="K204" s="46" t="n">
        <v>0.0008535628971609701</v>
      </c>
      <c r="L204" s="47">
        <f>Calculo!AL202</f>
        <v/>
      </c>
      <c r="M204" s="45">
        <f>IF(AND(ISNUMBER(K204),ISNUMBER(L204)),ABS(L204-K204),IF(ISNUMBER(K204)=ISNUMBER(L204),0,1))</f>
        <v/>
      </c>
      <c r="N204" s="46" t="n">
        <v>-0.09971578566024372</v>
      </c>
      <c r="O204" s="47">
        <f>Calculo!AP202</f>
        <v/>
      </c>
      <c r="P204" s="45">
        <f>IF(AND(ISNUMBER(N204),ISNUMBER(O204)),ABS(O204-N204),IF(ISNUMBER(N204)=ISNUMBER(O204),0,1))</f>
        <v/>
      </c>
      <c r="Q204" s="46" t="n">
        <v>0.8288670250355645</v>
      </c>
      <c r="R204" s="47">
        <f>Calculo!AW202</f>
        <v/>
      </c>
      <c r="S204" s="45">
        <f>IF(AND(ISNUMBER(Q204),ISNUMBER(R204)),ABS(R204-Q204),IF(ISNUMBER(Q204)=ISNUMBER(R204),0,1))</f>
        <v/>
      </c>
      <c r="T204" s="46" t="n">
        <v>1.135973436672342</v>
      </c>
      <c r="U204" s="47">
        <f>Calculo!AX202</f>
        <v/>
      </c>
      <c r="V204" s="45">
        <f>IF(AND(ISNUMBER(T204),ISNUMBER(U204)),ABS(U204-T204),IF(ISNUMBER(T204)=ISNUMBER(U204),0,1))</f>
        <v/>
      </c>
      <c r="W204" s="46" t="n">
        <v>1.090824671085692</v>
      </c>
      <c r="X204" s="47">
        <f>Calculo!AY202</f>
        <v/>
      </c>
      <c r="Y204" s="45">
        <f>IF(AND(ISNUMBER(W204),ISNUMBER(X204)),ABS(X204-W204),IF(ISNUMBER(W204)=ISNUMBER(X204),0,1))</f>
        <v/>
      </c>
      <c r="Z204" s="46" t="n">
        <v>-0.0002312121004197528</v>
      </c>
      <c r="AA204" s="47">
        <f>Calculo!BC202</f>
        <v/>
      </c>
      <c r="AB204" s="45">
        <f>IF(AND(ISNUMBER(Z204),ISNUMBER(AA204)),ABS(AA204-Z204),IF(ISNUMBER(Z204)=ISNUMBER(AA204),0,1))</f>
        <v/>
      </c>
    </row>
    <row r="205">
      <c r="A205" s="36">
        <f>Calculo!A203</f>
        <v/>
      </c>
      <c r="B205" s="46" t="n">
        <v>0.0225987858456585</v>
      </c>
      <c r="C205" s="47">
        <f>Calculo!W203</f>
        <v/>
      </c>
      <c r="D205" s="45">
        <f>IF(AND(ISNUMBER(B205),ISNUMBER(C205)),ABS(C205-B205),IF(ISNUMBER(B205)=ISNUMBER(C205),0,1))</f>
        <v/>
      </c>
      <c r="E205" s="46" t="n">
        <v>1.294488946060251</v>
      </c>
      <c r="F205" s="47">
        <f>Calculo!V203</f>
        <v/>
      </c>
      <c r="G205" s="45">
        <f>IF(AND(ISNUMBER(E205),ISNUMBER(F205)),ABS(F205-E205),IF(ISNUMBER(E205)=ISNUMBER(F205),0,1))</f>
        <v/>
      </c>
      <c r="H205" s="46" t="n">
        <v>-0.09483643359269002</v>
      </c>
      <c r="I205" s="47">
        <f>Calculo!AK203</f>
        <v/>
      </c>
      <c r="J205" s="45">
        <f>IF(AND(ISNUMBER(H205),ISNUMBER(I205)),ABS(I205-H205),IF(ISNUMBER(H205)=ISNUMBER(I205),0,1))</f>
        <v/>
      </c>
      <c r="K205" s="46" t="n">
        <v>0.0006606930085181735</v>
      </c>
      <c r="L205" s="47">
        <f>Calculo!AL203</f>
        <v/>
      </c>
      <c r="M205" s="45">
        <f>IF(AND(ISNUMBER(K205),ISNUMBER(L205)),ABS(L205-K205),IF(ISNUMBER(K205)=ISNUMBER(L205),0,1))</f>
        <v/>
      </c>
      <c r="N205" s="46" t="n">
        <v>-0.008953071018112435</v>
      </c>
      <c r="O205" s="47">
        <f>Calculo!AP203</f>
        <v/>
      </c>
      <c r="P205" s="45">
        <f>IF(AND(ISNUMBER(N205),ISNUMBER(O205)),ABS(O205-N205),IF(ISNUMBER(N205)=ISNUMBER(O205),0,1))</f>
        <v/>
      </c>
      <c r="Q205" s="46" t="n">
        <v>0.08840511627683525</v>
      </c>
      <c r="R205" s="47">
        <f>Calculo!AW203</f>
        <v/>
      </c>
      <c r="S205" s="45">
        <f>IF(AND(ISNUMBER(Q205),ISNUMBER(R205)),ABS(R205-Q205),IF(ISNUMBER(Q205)=ISNUMBER(R205),0,1))</f>
        <v/>
      </c>
      <c r="T205" s="46" t="n">
        <v>1.017635104995354</v>
      </c>
      <c r="U205" s="47">
        <f>Calculo!AX203</f>
        <v/>
      </c>
      <c r="V205" s="45">
        <f>IF(AND(ISNUMBER(T205),ISNUMBER(U205)),ABS(U205-T205),IF(ISNUMBER(T205)=ISNUMBER(U205),0,1))</f>
        <v/>
      </c>
      <c r="W205" s="46" t="n">
        <v>1.095517204293607</v>
      </c>
      <c r="X205" s="47">
        <f>Calculo!AY203</f>
        <v/>
      </c>
      <c r="Y205" s="45">
        <f>IF(AND(ISNUMBER(W205),ISNUMBER(X205)),ABS(X205-W205),IF(ISNUMBER(W205)=ISNUMBER(X205),0,1))</f>
        <v/>
      </c>
      <c r="Z205" s="46" t="n">
        <v>0.0002865816282403001</v>
      </c>
      <c r="AA205" s="47">
        <f>Calculo!BC203</f>
        <v/>
      </c>
      <c r="AB205" s="45">
        <f>IF(AND(ISNUMBER(Z205),ISNUMBER(AA205)),ABS(AA205-Z205),IF(ISNUMBER(Z205)=ISNUMBER(AA205),0,1))</f>
        <v/>
      </c>
    </row>
    <row r="206">
      <c r="A206" s="36">
        <f>Calculo!A204</f>
        <v/>
      </c>
      <c r="B206" s="46" t="n">
        <v>-0.02491310290729383</v>
      </c>
      <c r="C206" s="47">
        <f>Calculo!W204</f>
        <v/>
      </c>
      <c r="D206" s="45">
        <f>IF(AND(ISNUMBER(B206),ISNUMBER(C206)),ABS(C206-B206),IF(ISNUMBER(B206)=ISNUMBER(C206),0,1))</f>
        <v/>
      </c>
      <c r="E206" s="46" t="n">
        <v>1.300616345352895</v>
      </c>
      <c r="F206" s="47">
        <f>Calculo!V204</f>
        <v/>
      </c>
      <c r="G206" s="45">
        <f>IF(AND(ISNUMBER(E206),ISNUMBER(F206)),ABS(F206-E206),IF(ISNUMBER(E206)=ISNUMBER(F206),0,1))</f>
        <v/>
      </c>
      <c r="H206" s="46" t="n">
        <v>-0.09596367692175084</v>
      </c>
      <c r="I206" s="47">
        <f>Calculo!AK204</f>
        <v/>
      </c>
      <c r="J206" s="45">
        <f>IF(AND(ISNUMBER(H206),ISNUMBER(I206)),ABS(I206-H206),IF(ISNUMBER(H206)=ISNUMBER(I206),0,1))</f>
        <v/>
      </c>
      <c r="K206" s="46" t="n">
        <v>0.001698660961604242</v>
      </c>
      <c r="L206" s="47">
        <f>Calculo!AL204</f>
        <v/>
      </c>
      <c r="M206" s="45">
        <f>IF(AND(ISNUMBER(K206),ISNUMBER(L206)),ABS(L206-K206),IF(ISNUMBER(K206)=ISNUMBER(L206),0,1))</f>
        <v/>
      </c>
      <c r="N206" s="46" t="n">
        <v>0.005177527432484702</v>
      </c>
      <c r="O206" s="47">
        <f>Calculo!AP204</f>
        <v/>
      </c>
      <c r="P206" s="45">
        <f>IF(AND(ISNUMBER(N206),ISNUMBER(O206)),ABS(O206-N206),IF(ISNUMBER(N206)=ISNUMBER(O206),0,1))</f>
        <v/>
      </c>
      <c r="Q206" s="46" t="n">
        <v>-0.02712850966598579</v>
      </c>
      <c r="R206" s="47">
        <f>Calculo!AW204</f>
        <v/>
      </c>
      <c r="S206" s="45">
        <f>IF(AND(ISNUMBER(Q206),ISNUMBER(R206)),ABS(R206-Q206),IF(ISNUMBER(Q206)=ISNUMBER(R206),0,1))</f>
        <v/>
      </c>
      <c r="T206" s="46" t="n">
        <v>0.9945756287011193</v>
      </c>
      <c r="U206" s="47">
        <f>Calculo!AX204</f>
        <v/>
      </c>
      <c r="V206" s="45">
        <f>IF(AND(ISNUMBER(T206),ISNUMBER(U206)),ABS(U206-T206),IF(ISNUMBER(T206)=ISNUMBER(U206),0,1))</f>
        <v/>
      </c>
      <c r="W206" s="46" t="n">
        <v>1.049394723456272</v>
      </c>
      <c r="X206" s="47">
        <f>Calculo!AY204</f>
        <v/>
      </c>
      <c r="Y206" s="45">
        <f>IF(AND(ISNUMBER(W206),ISNUMBER(X206)),ABS(X206-W206),IF(ISNUMBER(W206)=ISNUMBER(X206),0,1))</f>
        <v/>
      </c>
      <c r="Z206" s="46" t="n">
        <v>-0.0006066388180156974</v>
      </c>
      <c r="AA206" s="47">
        <f>Calculo!BC204</f>
        <v/>
      </c>
      <c r="AB206" s="45">
        <f>IF(AND(ISNUMBER(Z206),ISNUMBER(AA206)),ABS(AA206-Z206),IF(ISNUMBER(Z206)=ISNUMBER(AA206),0,1))</f>
        <v/>
      </c>
    </row>
    <row r="207">
      <c r="A207" s="36">
        <f>Calculo!A205</f>
        <v/>
      </c>
      <c r="B207" s="46" t="n">
        <v>-0.04729824443693198</v>
      </c>
      <c r="C207" s="47">
        <f>Calculo!W205</f>
        <v/>
      </c>
      <c r="D207" s="45">
        <f>IF(AND(ISNUMBER(B207),ISNUMBER(C207)),ABS(C207-B207),IF(ISNUMBER(B207)=ISNUMBER(C207),0,1))</f>
        <v/>
      </c>
      <c r="E207" s="46" t="n">
        <v>1.29741366440031</v>
      </c>
      <c r="F207" s="47">
        <f>Calculo!V205</f>
        <v/>
      </c>
      <c r="G207" s="45">
        <f>IF(AND(ISNUMBER(E207),ISNUMBER(F207)),ABS(F207-E207),IF(ISNUMBER(E207)=ISNUMBER(F207),0,1))</f>
        <v/>
      </c>
      <c r="H207" s="46" t="n">
        <v>-0.08984468241133751</v>
      </c>
      <c r="I207" s="47">
        <f>Calculo!AK205</f>
        <v/>
      </c>
      <c r="J207" s="45">
        <f>IF(AND(ISNUMBER(H207),ISNUMBER(I207)),ABS(I207-H207),IF(ISNUMBER(H207)=ISNUMBER(I207),0,1))</f>
        <v/>
      </c>
      <c r="K207" s="46" t="n">
        <v>-0.001274692156106547</v>
      </c>
      <c r="L207" s="47">
        <f>Calculo!AL205</f>
        <v/>
      </c>
      <c r="M207" s="45">
        <f>IF(AND(ISNUMBER(K207),ISNUMBER(L207)),ABS(L207-K207),IF(ISNUMBER(K207)=ISNUMBER(L207),0,1))</f>
        <v/>
      </c>
      <c r="N207" s="46" t="n">
        <v>-0.1100783321123359</v>
      </c>
      <c r="O207" s="47">
        <f>Calculo!AP205</f>
        <v/>
      </c>
      <c r="P207" s="45">
        <f>IF(AND(ISNUMBER(N207),ISNUMBER(O207)),ABS(O207-N207),IF(ISNUMBER(N207)=ISNUMBER(O207),0,1))</f>
        <v/>
      </c>
      <c r="Q207" s="46" t="n">
        <v>0.9135255270935452</v>
      </c>
      <c r="R207" s="47">
        <f>Calculo!AW205</f>
        <v/>
      </c>
      <c r="S207" s="45">
        <f>IF(AND(ISNUMBER(Q207),ISNUMBER(R207)),ABS(R207-Q207),IF(ISNUMBER(Q207)=ISNUMBER(R207),0,1))</f>
        <v/>
      </c>
      <c r="T207" s="46" t="n">
        <v>1.144564019421507</v>
      </c>
      <c r="U207" s="47">
        <f>Calculo!AX205</f>
        <v/>
      </c>
      <c r="V207" s="45">
        <f>IF(AND(ISNUMBER(T207),ISNUMBER(U207)),ABS(U207-T207),IF(ISNUMBER(T207)=ISNUMBER(U207),0,1))</f>
        <v/>
      </c>
      <c r="W207" s="46" t="n">
        <v>1.052258251039327</v>
      </c>
      <c r="X207" s="47">
        <f>Calculo!AY205</f>
        <v/>
      </c>
      <c r="Y207" s="45">
        <f>IF(AND(ISNUMBER(W207),ISNUMBER(X207)),ABS(X207-W207),IF(ISNUMBER(W207)=ISNUMBER(X207),0,1))</f>
        <v/>
      </c>
      <c r="Z207" s="46" t="n">
        <v>-0.0006993771280756875</v>
      </c>
      <c r="AA207" s="47">
        <f>Calculo!BC205</f>
        <v/>
      </c>
      <c r="AB207" s="45">
        <f>IF(AND(ISNUMBER(Z207),ISNUMBER(AA207)),ABS(AA207-Z207),IF(ISNUMBER(Z207)=ISNUMBER(AA207),0,1))</f>
        <v/>
      </c>
    </row>
    <row r="208">
      <c r="A208" s="36">
        <f>Calculo!A206</f>
        <v/>
      </c>
      <c r="B208" s="46" t="n">
        <v>-0.1522677430959272</v>
      </c>
      <c r="C208" s="47">
        <f>Calculo!W206</f>
        <v/>
      </c>
      <c r="D208" s="45">
        <f>IF(AND(ISNUMBER(B208),ISNUMBER(C208)),ABS(C208-B208),IF(ISNUMBER(B208)=ISNUMBER(C208),0,1))</f>
        <v/>
      </c>
      <c r="E208" s="46" t="n">
        <v>1.302216876635204</v>
      </c>
      <c r="F208" s="47">
        <f>Calculo!V206</f>
        <v/>
      </c>
      <c r="G208" s="45">
        <f>IF(AND(ISNUMBER(E208),ISNUMBER(F208)),ABS(F208-E208),IF(ISNUMBER(E208)=ISNUMBER(F208),0,1))</f>
        <v/>
      </c>
      <c r="H208" s="46" t="n">
        <v>-0.06896818958963204</v>
      </c>
      <c r="I208" s="47">
        <f>Calculo!AK206</f>
        <v/>
      </c>
      <c r="J208" s="45">
        <f>IF(AND(ISNUMBER(H208),ISNUMBER(I208)),ABS(I208-H208),IF(ISNUMBER(H208)=ISNUMBER(I208),0,1))</f>
        <v/>
      </c>
      <c r="K208" s="46" t="n">
        <v>-0.005283107405417334</v>
      </c>
      <c r="L208" s="47">
        <f>Calculo!AL206</f>
        <v/>
      </c>
      <c r="M208" s="45">
        <f>IF(AND(ISNUMBER(K208),ISNUMBER(L208)),ABS(L208-K208),IF(ISNUMBER(K208)=ISNUMBER(L208),0,1))</f>
        <v/>
      </c>
      <c r="N208" s="46" t="n">
        <v>-0.260708492804249</v>
      </c>
      <c r="O208" s="47">
        <f>Calculo!AP206</f>
        <v/>
      </c>
      <c r="P208" s="45">
        <f>IF(AND(ISNUMBER(N208),ISNUMBER(O208)),ABS(O208-N208),IF(ISNUMBER(N208)=ISNUMBER(O208),0,1))</f>
        <v/>
      </c>
      <c r="Q208" s="46" t="n">
        <v>2.111513573449208</v>
      </c>
      <c r="R208" s="47">
        <f>Calculo!AW206</f>
        <v/>
      </c>
      <c r="S208" s="45">
        <f>IF(AND(ISNUMBER(Q208),ISNUMBER(R208)),ABS(R208-Q208),IF(ISNUMBER(Q208)=ISNUMBER(R208),0,1))</f>
        <v/>
      </c>
      <c r="T208" s="46" t="n">
        <v>1.194222971103168</v>
      </c>
      <c r="U208" s="47">
        <f>Calculo!AX206</f>
        <v/>
      </c>
      <c r="V208" s="45">
        <f>IF(AND(ISNUMBER(T208),ISNUMBER(U208)),ABS(U208-T208),IF(ISNUMBER(T208)=ISNUMBER(U208),0,1))</f>
        <v/>
      </c>
      <c r="W208" s="46" t="n">
        <v>1.111120873075265</v>
      </c>
      <c r="X208" s="47">
        <f>Calculo!AY206</f>
        <v/>
      </c>
      <c r="Y208" s="45">
        <f>IF(AND(ISNUMBER(W208),ISNUMBER(X208)),ABS(X208-W208),IF(ISNUMBER(W208)=ISNUMBER(X208),0,1))</f>
        <v/>
      </c>
      <c r="Z208" s="46" t="n">
        <v>-0.001996470304932309</v>
      </c>
      <c r="AA208" s="47">
        <f>Calculo!BC206</f>
        <v/>
      </c>
      <c r="AB208" s="45">
        <f>IF(AND(ISNUMBER(Z208),ISNUMBER(AA208)),ABS(AA208-Z208),IF(ISNUMBER(Z208)=ISNUMBER(AA208),0,1))</f>
        <v/>
      </c>
    </row>
    <row r="209">
      <c r="A209" s="36">
        <f>Calculo!A207</f>
        <v/>
      </c>
      <c r="B209" s="46" t="n">
        <v>0.03247259866031674</v>
      </c>
      <c r="C209" s="47">
        <f>Calculo!W207</f>
        <v/>
      </c>
      <c r="D209" s="45">
        <f>IF(AND(ISNUMBER(B209),ISNUMBER(C209)),ABS(C209-B209),IF(ISNUMBER(B209)=ISNUMBER(C209),0,1))</f>
        <v/>
      </c>
      <c r="E209" s="46" t="n">
        <v>1.28773378602747</v>
      </c>
      <c r="F209" s="47">
        <f>Calculo!V207</f>
        <v/>
      </c>
      <c r="G209" s="45">
        <f>IF(AND(ISNUMBER(E209),ISNUMBER(F209)),ABS(F209-E209),IF(ISNUMBER(E209)=ISNUMBER(F209),0,1))</f>
        <v/>
      </c>
      <c r="H209" s="46" t="n">
        <v>-0.07337480875900414</v>
      </c>
      <c r="I209" s="47">
        <f>Calculo!AK207</f>
        <v/>
      </c>
      <c r="J209" s="45">
        <f>IF(AND(ISNUMBER(H209),ISNUMBER(I209)),ABS(I209-H209),IF(ISNUMBER(H209)=ISNUMBER(I209),0,1))</f>
        <v/>
      </c>
      <c r="K209" s="46" t="n">
        <v>-0.00980382679984365</v>
      </c>
      <c r="L209" s="47">
        <f>Calculo!AL207</f>
        <v/>
      </c>
      <c r="M209" s="45">
        <f>IF(AND(ISNUMBER(K209),ISNUMBER(L209)),ABS(L209-K209),IF(ISNUMBER(K209)=ISNUMBER(L209),0,1))</f>
        <v/>
      </c>
      <c r="N209" s="46" t="n">
        <v>-0.1904249819809901</v>
      </c>
      <c r="O209" s="47">
        <f>Calculo!AP207</f>
        <v/>
      </c>
      <c r="P209" s="45">
        <f>IF(AND(ISNUMBER(N209),ISNUMBER(O209)),ABS(O209-N209),IF(ISNUMBER(N209)=ISNUMBER(O209),0,1))</f>
        <v/>
      </c>
      <c r="Q209" s="46" t="n">
        <v>1.523969542565237</v>
      </c>
      <c r="R209" s="47">
        <f>Calculo!AW207</f>
        <v/>
      </c>
      <c r="S209" s="45">
        <f>IF(AND(ISNUMBER(Q209),ISNUMBER(R209)),ABS(R209-Q209),IF(ISNUMBER(Q209)=ISNUMBER(R209),0,1))</f>
        <v/>
      </c>
      <c r="T209" s="46" t="n">
        <v>1.181877387000068</v>
      </c>
      <c r="U209" s="47">
        <f>Calculo!AX207</f>
        <v/>
      </c>
      <c r="V209" s="45">
        <f>IF(AND(ISNUMBER(T209),ISNUMBER(U209)),ABS(U209-T209),IF(ISNUMBER(T209)=ISNUMBER(U209),0,1))</f>
        <v/>
      </c>
      <c r="W209" s="46" t="n">
        <v>1.173554792508248</v>
      </c>
      <c r="X209" s="47">
        <f>Calculo!AY207</f>
        <v/>
      </c>
      <c r="Y209" s="45">
        <f>IF(AND(ISNUMBER(W209),ISNUMBER(X209)),ABS(X209-W209),IF(ISNUMBER(W209)=ISNUMBER(X209),0,1))</f>
        <v/>
      </c>
      <c r="Z209" s="46" t="n">
        <v>0.0007549393234494241</v>
      </c>
      <c r="AA209" s="47">
        <f>Calculo!BC207</f>
        <v/>
      </c>
      <c r="AB209" s="45">
        <f>IF(AND(ISNUMBER(Z209),ISNUMBER(AA209)),ABS(AA209-Z209),IF(ISNUMBER(Z209)=ISNUMBER(AA209),0,1))</f>
        <v/>
      </c>
    </row>
    <row r="210">
      <c r="A210" s="36">
        <f>Calculo!A208</f>
        <v/>
      </c>
      <c r="B210" s="46" t="n">
        <v>0.04601172680048618</v>
      </c>
      <c r="C210" s="47">
        <f>Calculo!W208</f>
        <v/>
      </c>
      <c r="D210" s="45">
        <f>IF(AND(ISNUMBER(B210),ISNUMBER(C210)),ABS(C210-B210),IF(ISNUMBER(B210)=ISNUMBER(C210),0,1))</f>
        <v/>
      </c>
      <c r="E210" s="46" t="n">
        <v>1.294880131763512</v>
      </c>
      <c r="F210" s="47">
        <f>Calculo!V208</f>
        <v/>
      </c>
      <c r="G210" s="45">
        <f>IF(AND(ISNUMBER(E210),ISNUMBER(F210)),ABS(F210-E210),IF(ISNUMBER(E210)=ISNUMBER(F210),0,1))</f>
        <v/>
      </c>
      <c r="H210" s="46" t="n">
        <v>-0.07530717195141909</v>
      </c>
      <c r="I210" s="47">
        <f>Calculo!AK208</f>
        <v/>
      </c>
      <c r="J210" s="45">
        <f>IF(AND(ISNUMBER(H210),ISNUMBER(I210)),ABS(I210-H210),IF(ISNUMBER(H210)=ISNUMBER(I210),0,1))</f>
        <v/>
      </c>
      <c r="K210" s="46" t="n">
        <v>-0.00786368640876723</v>
      </c>
      <c r="L210" s="47">
        <f>Calculo!AL208</f>
        <v/>
      </c>
      <c r="M210" s="45">
        <f>IF(AND(ISNUMBER(K210),ISNUMBER(L210)),ABS(L210-K210),IF(ISNUMBER(K210)=ISNUMBER(L210),0,1))</f>
        <v/>
      </c>
      <c r="N210" s="46" t="n">
        <v>-0.04772756778703324</v>
      </c>
      <c r="O210" s="47">
        <f>Calculo!AP208</f>
        <v/>
      </c>
      <c r="P210" s="45">
        <f>IF(AND(ISNUMBER(N210),ISNUMBER(O210)),ABS(O210-N210),IF(ISNUMBER(N210)=ISNUMBER(O210),0,1))</f>
        <v/>
      </c>
      <c r="Q210" s="46" t="n">
        <v>0.3693517083283367</v>
      </c>
      <c r="R210" s="47">
        <f>Calculo!AW208</f>
        <v/>
      </c>
      <c r="S210" s="45">
        <f>IF(AND(ISNUMBER(Q210),ISNUMBER(R210)),ABS(R210-Q210),IF(ISNUMBER(Q210)=ISNUMBER(R210),0,1))</f>
        <v/>
      </c>
      <c r="T210" s="46" t="n">
        <v>1.070684905647415</v>
      </c>
      <c r="U210" s="47">
        <f>Calculo!AX208</f>
        <v/>
      </c>
      <c r="V210" s="45">
        <f>IF(AND(ISNUMBER(T210),ISNUMBER(U210)),ABS(U210-T210),IF(ISNUMBER(T210)=ISNUMBER(U210),0,1))</f>
        <v/>
      </c>
      <c r="W210" s="46" t="n">
        <v>1.148928421250217</v>
      </c>
      <c r="X210" s="47">
        <f>Calculo!AY208</f>
        <v/>
      </c>
      <c r="Y210" s="45">
        <f>IF(AND(ISNUMBER(W210),ISNUMBER(X210)),ABS(X210-W210),IF(ISNUMBER(W210)=ISNUMBER(X210),0,1))</f>
        <v/>
      </c>
      <c r="Z210" s="46" t="n">
        <v>0.001840304125868685</v>
      </c>
      <c r="AA210" s="47">
        <f>Calculo!BC208</f>
        <v/>
      </c>
      <c r="AB210" s="45">
        <f>IF(AND(ISNUMBER(Z210),ISNUMBER(AA210)),ABS(AA210-Z210),IF(ISNUMBER(Z210)=ISNUMBER(AA210),0,1))</f>
        <v/>
      </c>
    </row>
    <row r="211">
      <c r="A211" s="36">
        <f>Calculo!A209</f>
        <v/>
      </c>
      <c r="B211" s="46" t="n">
        <v>-0.02470470847664172</v>
      </c>
      <c r="C211" s="47">
        <f>Calculo!W209</f>
        <v/>
      </c>
      <c r="D211" s="45">
        <f>IF(AND(ISNUMBER(B211),ISNUMBER(C211)),ABS(C211-B211),IF(ISNUMBER(B211)=ISNUMBER(C211),0,1))</f>
        <v/>
      </c>
      <c r="E211" s="46" t="n">
        <v>1.28069178234248</v>
      </c>
      <c r="F211" s="47">
        <f>Calculo!V209</f>
        <v/>
      </c>
      <c r="G211" s="45">
        <f>IF(AND(ISNUMBER(E211),ISNUMBER(F211)),ABS(F211-E211),IF(ISNUMBER(E211)=ISNUMBER(F211),0,1))</f>
        <v/>
      </c>
      <c r="H211" s="46" t="n">
        <v>-0.07439492847651907</v>
      </c>
      <c r="I211" s="47">
        <f>Calculo!AK209</f>
        <v/>
      </c>
      <c r="J211" s="45">
        <f>IF(AND(ISNUMBER(H211),ISNUMBER(I211)),ABS(I211-H211),IF(ISNUMBER(H211)=ISNUMBER(I211),0,1))</f>
        <v/>
      </c>
      <c r="K211" s="46" t="n">
        <v>-0.009398218181148839</v>
      </c>
      <c r="L211" s="47">
        <f>Calculo!AL209</f>
        <v/>
      </c>
      <c r="M211" s="45">
        <f>IF(AND(ISNUMBER(K211),ISNUMBER(L211)),ABS(L211-K211),IF(ISNUMBER(K211)=ISNUMBER(L211),0,1))</f>
        <v/>
      </c>
      <c r="N211" s="46" t="n">
        <v>0.07898762482652118</v>
      </c>
      <c r="O211" s="47">
        <f>Calculo!AP209</f>
        <v/>
      </c>
      <c r="P211" s="45">
        <f>IF(AND(ISNUMBER(N211),ISNUMBER(O211)),ABS(O211-N211),IF(ISNUMBER(N211)=ISNUMBER(O211),0,1))</f>
        <v/>
      </c>
      <c r="Q211" s="46" t="n">
        <v>-0.6546011603619819</v>
      </c>
      <c r="R211" s="47">
        <f>Calculo!AW209</f>
        <v/>
      </c>
      <c r="S211" s="45">
        <f>IF(AND(ISNUMBER(Q211),ISNUMBER(R211)),ABS(R211-Q211),IF(ISNUMBER(Q211)=ISNUMBER(R211),0,1))</f>
        <v/>
      </c>
      <c r="T211" s="46" t="n">
        <v>0.8850481421369699</v>
      </c>
      <c r="U211" s="47">
        <f>Calculo!AX209</f>
        <v/>
      </c>
      <c r="V211" s="45">
        <f>IF(AND(ISNUMBER(T211),ISNUMBER(U211)),ABS(U211-T211),IF(ISNUMBER(T211)=ISNUMBER(U211),0,1))</f>
        <v/>
      </c>
      <c r="W211" s="46" t="n">
        <v>1.045870144928151</v>
      </c>
      <c r="X211" s="47">
        <f>Calculo!AY209</f>
        <v/>
      </c>
      <c r="Y211" s="45">
        <f>IF(AND(ISNUMBER(W211),ISNUMBER(X211)),ABS(X211-W211),IF(ISNUMBER(W211)=ISNUMBER(X211),0,1))</f>
        <v/>
      </c>
      <c r="Z211" s="46" t="n">
        <v>-0.0009813742358633529</v>
      </c>
      <c r="AA211" s="47">
        <f>Calculo!BC209</f>
        <v/>
      </c>
      <c r="AB211" s="45">
        <f>IF(AND(ISNUMBER(Z211),ISNUMBER(AA211)),ABS(AA211-Z211),IF(ISNUMBER(Z211)=ISNUMBER(AA211),0,1))</f>
        <v/>
      </c>
    </row>
    <row r="212">
      <c r="A212" s="36">
        <f>Calculo!A210</f>
        <v/>
      </c>
      <c r="B212" s="46" t="n">
        <v>0.001731538191100605</v>
      </c>
      <c r="C212" s="47">
        <f>Calculo!W210</f>
        <v/>
      </c>
      <c r="D212" s="45">
        <f>IF(AND(ISNUMBER(B212),ISNUMBER(C212)),ABS(C212-B212),IF(ISNUMBER(B212)=ISNUMBER(C212),0,1))</f>
        <v/>
      </c>
      <c r="E212" s="46" t="n">
        <v>1.300015754854449</v>
      </c>
      <c r="F212" s="47">
        <f>Calculo!V210</f>
        <v/>
      </c>
      <c r="G212" s="45">
        <f>IF(AND(ISNUMBER(E212),ISNUMBER(F212)),ABS(F212-E212),IF(ISNUMBER(E212)=ISNUMBER(F212),0,1))</f>
        <v/>
      </c>
      <c r="H212" s="46" t="n">
        <v>-0.07347579567409959</v>
      </c>
      <c r="I212" s="47">
        <f>Calculo!AK210</f>
        <v/>
      </c>
      <c r="J212" s="45">
        <f>IF(AND(ISNUMBER(H212),ISNUMBER(I212)),ABS(I212-H212),IF(ISNUMBER(H212)=ISNUMBER(I212),0,1))</f>
        <v/>
      </c>
      <c r="K212" s="46" t="n">
        <v>-0.007087187222198666</v>
      </c>
      <c r="L212" s="47">
        <f>Calculo!AL210</f>
        <v/>
      </c>
      <c r="M212" s="45">
        <f>IF(AND(ISNUMBER(K212),ISNUMBER(L212)),ABS(L212-K212),IF(ISNUMBER(K212)=ISNUMBER(L212),0,1))</f>
        <v/>
      </c>
      <c r="N212" s="46" t="n">
        <v>0.05246579991958632</v>
      </c>
      <c r="O212" s="47">
        <f>Calculo!AP210</f>
        <v/>
      </c>
      <c r="P212" s="45">
        <f>IF(AND(ISNUMBER(N212),ISNUMBER(O212)),ABS(O212-N212),IF(ISNUMBER(N212)=ISNUMBER(O212),0,1))</f>
        <v/>
      </c>
      <c r="Q212" s="46" t="n">
        <v>-0.4375611427352226</v>
      </c>
      <c r="R212" s="47">
        <f>Calculo!AW210</f>
        <v/>
      </c>
      <c r="S212" s="45">
        <f>IF(AND(ISNUMBER(Q212),ISNUMBER(R212)),ABS(R212-Q212),IF(ISNUMBER(Q212)=ISNUMBER(R212),0,1))</f>
        <v/>
      </c>
      <c r="T212" s="46" t="n">
        <v>0.9176758319662494</v>
      </c>
      <c r="U212" s="47">
        <f>Calculo!AX210</f>
        <v/>
      </c>
      <c r="V212" s="45">
        <f>IF(AND(ISNUMBER(T212),ISNUMBER(U212)),ABS(U212-T212),IF(ISNUMBER(T212)=ISNUMBER(U212),0,1))</f>
        <v/>
      </c>
      <c r="W212" s="46" t="n">
        <v>0.9578029599168781</v>
      </c>
      <c r="X212" s="47">
        <f>Calculo!AY210</f>
        <v/>
      </c>
      <c r="Y212" s="45">
        <f>IF(AND(ISNUMBER(W212),ISNUMBER(X212)),ABS(X212-W212),IF(ISNUMBER(W212)=ISNUMBER(X212),0,1))</f>
        <v/>
      </c>
      <c r="Z212" s="46" t="n">
        <v>-0.0002377892138615618</v>
      </c>
      <c r="AA212" s="47">
        <f>Calculo!BC210</f>
        <v/>
      </c>
      <c r="AB212" s="45">
        <f>IF(AND(ISNUMBER(Z212),ISNUMBER(AA212)),ABS(AA212-Z212),IF(ISNUMBER(Z212)=ISNUMBER(AA212),0,1))</f>
        <v/>
      </c>
    </row>
    <row r="213">
      <c r="A213" s="36">
        <f>Calculo!A211</f>
        <v/>
      </c>
      <c r="B213" s="46" t="n">
        <v>-0.03305418999144957</v>
      </c>
      <c r="C213" s="47">
        <f>Calculo!W211</f>
        <v/>
      </c>
      <c r="D213" s="45">
        <f>IF(AND(ISNUMBER(B213),ISNUMBER(C213)),ABS(C213-B213),IF(ISNUMBER(B213)=ISNUMBER(C213),0,1))</f>
        <v/>
      </c>
      <c r="E213" s="46" t="n">
        <v>1.305167379964737</v>
      </c>
      <c r="F213" s="47">
        <f>Calculo!V211</f>
        <v/>
      </c>
      <c r="G213" s="45">
        <f>IF(AND(ISNUMBER(E213),ISNUMBER(F213)),ABS(F213-E213),IF(ISNUMBER(E213)=ISNUMBER(F213),0,1))</f>
        <v/>
      </c>
      <c r="H213" s="46" t="n">
        <v>-0.07475075255569652</v>
      </c>
      <c r="I213" s="47">
        <f>Calculo!AK211</f>
        <v/>
      </c>
      <c r="J213" s="45">
        <f>IF(AND(ISNUMBER(H213),ISNUMBER(I213)),ABS(I213-H213),IF(ISNUMBER(H213)=ISNUMBER(I213),0,1))</f>
        <v/>
      </c>
      <c r="K213" s="46" t="n">
        <v>-0.008944372971177447</v>
      </c>
      <c r="L213" s="47">
        <f>Calculo!AL211</f>
        <v/>
      </c>
      <c r="M213" s="45">
        <f>IF(AND(ISNUMBER(K213),ISNUMBER(L213)),ABS(L213-K213),IF(ISNUMBER(K213)=ISNUMBER(L213),0,1))</f>
        <v/>
      </c>
      <c r="N213" s="46" t="n">
        <v>-0.01947970517889405</v>
      </c>
      <c r="O213" s="47">
        <f>Calculo!AP211</f>
        <v/>
      </c>
      <c r="P213" s="45">
        <f>IF(AND(ISNUMBER(N213),ISNUMBER(O213)),ABS(O213-N213),IF(ISNUMBER(N213)=ISNUMBER(O213),0,1))</f>
        <v/>
      </c>
      <c r="Q213" s="46" t="n">
        <v>0.1476892414179997</v>
      </c>
      <c r="R213" s="47">
        <f>Calculo!AW211</f>
        <v/>
      </c>
      <c r="S213" s="45">
        <f>IF(AND(ISNUMBER(Q213),ISNUMBER(R213)),ABS(R213-Q213),IF(ISNUMBER(Q213)=ISNUMBER(R213),0,1))</f>
        <v/>
      </c>
      <c r="T213" s="46" t="n">
        <v>1.029324944689696</v>
      </c>
      <c r="U213" s="47">
        <f>Calculo!AX211</f>
        <v/>
      </c>
      <c r="V213" s="45">
        <f>IF(AND(ISNUMBER(T213),ISNUMBER(U213)),ABS(U213-T213),IF(ISNUMBER(T213)=ISNUMBER(U213),0,1))</f>
        <v/>
      </c>
      <c r="W213" s="46" t="n">
        <v>0.9440163062643053</v>
      </c>
      <c r="X213" s="47">
        <f>Calculo!AY211</f>
        <v/>
      </c>
      <c r="Y213" s="45">
        <f>IF(AND(ISNUMBER(W213),ISNUMBER(X213)),ABS(X213-W213),IF(ISNUMBER(W213)=ISNUMBER(X213),0,1))</f>
        <v/>
      </c>
      <c r="Z213" s="46" t="n">
        <v>0.0001285292824678988</v>
      </c>
      <c r="AA213" s="47">
        <f>Calculo!BC211</f>
        <v/>
      </c>
      <c r="AB213" s="45">
        <f>IF(AND(ISNUMBER(Z213),ISNUMBER(AA213)),ABS(AA213-Z213),IF(ISNUMBER(Z213)=ISNUMBER(AA213),0,1))</f>
        <v/>
      </c>
    </row>
    <row r="214">
      <c r="A214" s="36">
        <f>Calculo!A212</f>
        <v/>
      </c>
      <c r="B214" s="46" t="n">
        <v>0.03423815791790485</v>
      </c>
      <c r="C214" s="47">
        <f>Calculo!W212</f>
        <v/>
      </c>
      <c r="D214" s="45">
        <f>IF(AND(ISNUMBER(B214),ISNUMBER(C214)),ABS(C214-B214),IF(ISNUMBER(B214)=ISNUMBER(C214),0,1))</f>
        <v/>
      </c>
      <c r="E214" s="46" t="n">
        <v>1.309346648186907</v>
      </c>
      <c r="F214" s="47">
        <f>Calculo!V212</f>
        <v/>
      </c>
      <c r="G214" s="45">
        <f>IF(AND(ISNUMBER(E214),ISNUMBER(F214)),ABS(F214-E214),IF(ISNUMBER(E214)=ISNUMBER(F214),0,1))</f>
        <v/>
      </c>
      <c r="H214" s="46" t="n">
        <v>-0.07489377248683171</v>
      </c>
      <c r="I214" s="47">
        <f>Calculo!AK212</f>
        <v/>
      </c>
      <c r="J214" s="45">
        <f>IF(AND(ISNUMBER(H214),ISNUMBER(I214)),ABS(I214-H214),IF(ISNUMBER(H214)=ISNUMBER(I214),0,1))</f>
        <v/>
      </c>
      <c r="K214" s="46" t="n">
        <v>-0.01074004421370005</v>
      </c>
      <c r="L214" s="47">
        <f>Calculo!AL212</f>
        <v/>
      </c>
      <c r="M214" s="45">
        <f>IF(AND(ISNUMBER(K214),ISNUMBER(L214)),ABS(L214-K214),IF(ISNUMBER(K214)=ISNUMBER(L214),0,1))</f>
        <v/>
      </c>
      <c r="N214" s="46" t="n">
        <v>0.03491835397172129</v>
      </c>
      <c r="O214" s="47">
        <f>Calculo!AP212</f>
        <v/>
      </c>
      <c r="P214" s="45">
        <f>IF(AND(ISNUMBER(N214),ISNUMBER(O214)),ABS(O214-N214),IF(ISNUMBER(N214)=ISNUMBER(O214),0,1))</f>
        <v/>
      </c>
      <c r="Q214" s="46" t="n">
        <v>-0.2955651299661501</v>
      </c>
      <c r="R214" s="47">
        <f>Calculo!AW212</f>
        <v/>
      </c>
      <c r="S214" s="45">
        <f>IF(AND(ISNUMBER(Q214),ISNUMBER(R214)),ABS(R214-Q214),IF(ISNUMBER(Q214)=ISNUMBER(R214),0,1))</f>
        <v/>
      </c>
      <c r="T214" s="46" t="n">
        <v>0.9425502248947071</v>
      </c>
      <c r="U214" s="47">
        <f>Calculo!AX212</f>
        <v/>
      </c>
      <c r="V214" s="45">
        <f>IF(AND(ISNUMBER(T214),ISNUMBER(U214)),ABS(U214-T214),IF(ISNUMBER(T214)=ISNUMBER(U214),0,1))</f>
        <v/>
      </c>
      <c r="W214" s="46" t="n">
        <v>0.963183667183551</v>
      </c>
      <c r="X214" s="47">
        <f>Calculo!AY212</f>
        <v/>
      </c>
      <c r="Y214" s="45">
        <f>IF(AND(ISNUMBER(W214),ISNUMBER(X214)),ABS(X214-W214),IF(ISNUMBER(W214)=ISNUMBER(X214),0,1))</f>
        <v/>
      </c>
      <c r="Z214" s="46" t="n">
        <v>-0.0005136612708690158</v>
      </c>
      <c r="AA214" s="47">
        <f>Calculo!BC212</f>
        <v/>
      </c>
      <c r="AB214" s="45">
        <f>IF(AND(ISNUMBER(Z214),ISNUMBER(AA214)),ABS(AA214-Z214),IF(ISNUMBER(Z214)=ISNUMBER(AA214),0,1))</f>
        <v/>
      </c>
    </row>
    <row r="215">
      <c r="A215" s="36">
        <f>Calculo!A213</f>
        <v/>
      </c>
      <c r="B215" s="46" t="n">
        <v>0.0100705699996177</v>
      </c>
      <c r="C215" s="47">
        <f>Calculo!W213</f>
        <v/>
      </c>
      <c r="D215" s="45">
        <f>IF(AND(ISNUMBER(B215),ISNUMBER(C215)),ABS(C215-B215),IF(ISNUMBER(B215)=ISNUMBER(C215),0,1))</f>
        <v/>
      </c>
      <c r="E215" s="46" t="n">
        <v>1.310715877992201</v>
      </c>
      <c r="F215" s="47">
        <f>Calculo!V213</f>
        <v/>
      </c>
      <c r="G215" s="45">
        <f>IF(AND(ISNUMBER(E215),ISNUMBER(F215)),ABS(F215-E215),IF(ISNUMBER(E215)=ISNUMBER(F215),0,1))</f>
        <v/>
      </c>
      <c r="H215" s="46" t="n">
        <v>-0.07589888209932176</v>
      </c>
      <c r="I215" s="47">
        <f>Calculo!AK213</f>
        <v/>
      </c>
      <c r="J215" s="45">
        <f>IF(AND(ISNUMBER(H215),ISNUMBER(I215)),ABS(I215-H215),IF(ISNUMBER(H215)=ISNUMBER(I215),0,1))</f>
        <v/>
      </c>
      <c r="K215" s="46" t="n">
        <v>-0.009688883047830459</v>
      </c>
      <c r="L215" s="47">
        <f>Calculo!AL213</f>
        <v/>
      </c>
      <c r="M215" s="45">
        <f>IF(AND(ISNUMBER(K215),ISNUMBER(L215)),ABS(L215-K215),IF(ISNUMBER(K215)=ISNUMBER(L215),0,1))</f>
        <v/>
      </c>
      <c r="N215" s="46" t="n">
        <v>0.04044353532302172</v>
      </c>
      <c r="O215" s="47">
        <f>Calculo!AP213</f>
        <v/>
      </c>
      <c r="P215" s="45">
        <f>IF(AND(ISNUMBER(N215),ISNUMBER(O215)),ABS(O215-N215),IF(ISNUMBER(N215)=ISNUMBER(O215),0,1))</f>
        <v/>
      </c>
      <c r="Q215" s="46" t="n">
        <v>-0.3396237503464924</v>
      </c>
      <c r="R215" s="47">
        <f>Calculo!AW213</f>
        <v/>
      </c>
      <c r="S215" s="45">
        <f>IF(AND(ISNUMBER(Q215),ISNUMBER(R215)),ABS(R215-Q215),IF(ISNUMBER(Q215)=ISNUMBER(R215),0,1))</f>
        <v/>
      </c>
      <c r="T215" s="46" t="n">
        <v>0.9345717093330409</v>
      </c>
      <c r="U215" s="47">
        <f>Calculo!AX213</f>
        <v/>
      </c>
      <c r="V215" s="45">
        <f>IF(AND(ISNUMBER(T215),ISNUMBER(U215)),ABS(U215-T215),IF(ISNUMBER(T215)=ISNUMBER(U215),0,1))</f>
        <v/>
      </c>
      <c r="W215" s="46" t="n">
        <v>0.9688156263058149</v>
      </c>
      <c r="X215" s="47">
        <f>Calculo!AY213</f>
        <v/>
      </c>
      <c r="Y215" s="45">
        <f>IF(AND(ISNUMBER(W215),ISNUMBER(X215)),ABS(X215-W215),IF(ISNUMBER(W215)=ISNUMBER(X215),0,1))</f>
        <v/>
      </c>
      <c r="Z215" s="46" t="n">
        <v>-0.0001406087664874321</v>
      </c>
      <c r="AA215" s="47">
        <f>Calculo!BC213</f>
        <v/>
      </c>
      <c r="AB215" s="45">
        <f>IF(AND(ISNUMBER(Z215),ISNUMBER(AA215)),ABS(AA215-Z215),IF(ISNUMBER(Z215)=ISNUMBER(AA215),0,1))</f>
        <v/>
      </c>
    </row>
    <row r="216">
      <c r="A216" s="36">
        <f>Calculo!A214</f>
        <v/>
      </c>
      <c r="B216" s="46" t="n">
        <v>-0.04965095078275436</v>
      </c>
      <c r="C216" s="47">
        <f>Calculo!W214</f>
        <v/>
      </c>
      <c r="D216" s="45">
        <f>IF(AND(ISNUMBER(B216),ISNUMBER(C216)),ABS(C216-B216),IF(ISNUMBER(B216)=ISNUMBER(C216),0,1))</f>
        <v/>
      </c>
      <c r="E216" s="46" t="n">
        <v>1.310141802602093</v>
      </c>
      <c r="F216" s="47">
        <f>Calculo!V214</f>
        <v/>
      </c>
      <c r="G216" s="45">
        <f>IF(AND(ISNUMBER(E216),ISNUMBER(F216)),ABS(F216-E216),IF(ISNUMBER(E216)=ISNUMBER(F216),0,1))</f>
        <v/>
      </c>
      <c r="H216" s="46" t="n">
        <v>-0.07126585353097645</v>
      </c>
      <c r="I216" s="47">
        <f>Calculo!AK214</f>
        <v/>
      </c>
      <c r="J216" s="45">
        <f>IF(AND(ISNUMBER(H216),ISNUMBER(I216)),ABS(I216-H216),IF(ISNUMBER(H216)=ISNUMBER(I216),0,1))</f>
        <v/>
      </c>
      <c r="K216" s="46" t="n">
        <v>-0.007282469914903821</v>
      </c>
      <c r="L216" s="47">
        <f>Calculo!AL214</f>
        <v/>
      </c>
      <c r="M216" s="45">
        <f>IF(AND(ISNUMBER(K216),ISNUMBER(L216)),ABS(L216-K216),IF(ISNUMBER(K216)=ISNUMBER(L216),0,1))</f>
        <v/>
      </c>
      <c r="N216" s="46" t="n">
        <v>0.0224643570784038</v>
      </c>
      <c r="O216" s="47">
        <f>Calculo!AP214</f>
        <v/>
      </c>
      <c r="P216" s="45">
        <f>IF(AND(ISNUMBER(N216),ISNUMBER(O216)),ABS(O216-N216),IF(ISNUMBER(N216)=ISNUMBER(O216),0,1))</f>
        <v/>
      </c>
      <c r="Q216" s="46" t="n">
        <v>-0.1913138843884763</v>
      </c>
      <c r="R216" s="47">
        <f>Calculo!AW214</f>
        <v/>
      </c>
      <c r="S216" s="45">
        <f>IF(AND(ISNUMBER(Q216),ISNUMBER(R216)),ABS(R216-Q216),IF(ISNUMBER(Q216)=ISNUMBER(R216),0,1))</f>
        <v/>
      </c>
      <c r="T216" s="46" t="n">
        <v>0.962197307142133</v>
      </c>
      <c r="U216" s="47">
        <f>Calculo!AX214</f>
        <v/>
      </c>
      <c r="V216" s="45">
        <f>IF(AND(ISNUMBER(T216),ISNUMBER(U216)),ABS(U216-T216),IF(ISNUMBER(T216)=ISNUMBER(U216),0,1))</f>
        <v/>
      </c>
      <c r="W216" s="46" t="n">
        <v>0.9464397471232937</v>
      </c>
      <c r="X216" s="47">
        <f>Calculo!AY214</f>
        <v/>
      </c>
      <c r="Y216" s="45">
        <f>IF(AND(ISNUMBER(W216),ISNUMBER(X216)),ABS(X216-W216),IF(ISNUMBER(W216)=ISNUMBER(X216),0,1))</f>
        <v/>
      </c>
      <c r="Z216" s="46" t="n">
        <v>0.0003730035530645919</v>
      </c>
      <c r="AA216" s="47">
        <f>Calculo!BC214</f>
        <v/>
      </c>
      <c r="AB216" s="45">
        <f>IF(AND(ISNUMBER(Z216),ISNUMBER(AA216)),ABS(AA216-Z216),IF(ISNUMBER(Z216)=ISNUMBER(AA216),0,1))</f>
        <v/>
      </c>
    </row>
    <row r="217">
      <c r="A217" s="36">
        <f>Calculo!A215</f>
        <v/>
      </c>
      <c r="B217" s="46" t="n">
        <v>-0.07559422971049795</v>
      </c>
      <c r="C217" s="47">
        <f>Calculo!W215</f>
        <v/>
      </c>
      <c r="D217" s="45">
        <f>IF(AND(ISNUMBER(B217),ISNUMBER(C217)),ABS(C217-B217),IF(ISNUMBER(B217)=ISNUMBER(C217),0,1))</f>
        <v/>
      </c>
      <c r="E217" s="46" t="n">
        <v>1.307831032202546</v>
      </c>
      <c r="F217" s="47">
        <f>Calculo!V215</f>
        <v/>
      </c>
      <c r="G217" s="45">
        <f>IF(AND(ISNUMBER(E217),ISNUMBER(F217)),ABS(F217-E217),IF(ISNUMBER(E217)=ISNUMBER(F217),0,1))</f>
        <v/>
      </c>
      <c r="H217" s="46" t="n">
        <v>-0.07078557463791792</v>
      </c>
      <c r="I217" s="47">
        <f>Calculo!AK215</f>
        <v/>
      </c>
      <c r="J217" s="45">
        <f>IF(AND(ISNUMBER(H217),ISNUMBER(I217)),ABS(I217-H217),IF(ISNUMBER(H217)=ISNUMBER(I217),0,1))</f>
        <v/>
      </c>
      <c r="K217" s="46" t="n">
        <v>-0.007843746185815639</v>
      </c>
      <c r="L217" s="47">
        <f>Calculo!AL215</f>
        <v/>
      </c>
      <c r="M217" s="45">
        <f>IF(AND(ISNUMBER(K217),ISNUMBER(L217)),ABS(L217-K217),IF(ISNUMBER(K217)=ISNUMBER(L217),0,1))</f>
        <v/>
      </c>
      <c r="N217" s="46" t="n">
        <v>-0.08867363197678349</v>
      </c>
      <c r="O217" s="47">
        <f>Calculo!AP215</f>
        <v/>
      </c>
      <c r="P217" s="45">
        <f>IF(AND(ISNUMBER(N217),ISNUMBER(O217)),ABS(O217-N217),IF(ISNUMBER(N217)=ISNUMBER(O217),0,1))</f>
        <v/>
      </c>
      <c r="Q217" s="46" t="n">
        <v>0.7209642088128814</v>
      </c>
      <c r="R217" s="47">
        <f>Calculo!AW215</f>
        <v/>
      </c>
      <c r="S217" s="45">
        <f>IF(AND(ISNUMBER(Q217),ISNUMBER(R217)),ABS(R217-Q217),IF(ISNUMBER(Q217)=ISNUMBER(R217),0,1))</f>
        <v/>
      </c>
      <c r="T217" s="46" t="n">
        <v>1.123501240134082</v>
      </c>
      <c r="U217" s="47">
        <f>Calculo!AX215</f>
        <v/>
      </c>
      <c r="V217" s="45">
        <f>IF(AND(ISNUMBER(T217),ISNUMBER(U217)),ABS(U217-T217),IF(ISNUMBER(T217)=ISNUMBER(U217),0,1))</f>
        <v/>
      </c>
      <c r="W217" s="46" t="n">
        <v>1.006756752203086</v>
      </c>
      <c r="X217" s="47">
        <f>Calculo!AY215</f>
        <v/>
      </c>
      <c r="Y217" s="45">
        <f>IF(AND(ISNUMBER(W217),ISNUMBER(X217)),ABS(X217-W217),IF(ISNUMBER(W217)=ISNUMBER(X217),0,1))</f>
        <v/>
      </c>
      <c r="Z217" s="46" t="n">
        <v>0.0009562718168722208</v>
      </c>
      <c r="AA217" s="47">
        <f>Calculo!BC215</f>
        <v/>
      </c>
      <c r="AB217" s="45">
        <f>IF(AND(ISNUMBER(Z217),ISNUMBER(AA217)),ABS(AA217-Z217),IF(ISNUMBER(Z217)=ISNUMBER(AA217),0,1))</f>
        <v/>
      </c>
    </row>
    <row r="218">
      <c r="A218" s="36">
        <f>Calculo!A216</f>
        <v/>
      </c>
      <c r="B218" s="46" t="n">
        <v>0.08833410789806839</v>
      </c>
      <c r="C218" s="47">
        <f>Calculo!W216</f>
        <v/>
      </c>
      <c r="D218" s="45">
        <f>IF(AND(ISNUMBER(B218),ISNUMBER(C218)),ABS(C218-B218),IF(ISNUMBER(B218)=ISNUMBER(C218),0,1))</f>
        <v/>
      </c>
      <c r="E218" s="46" t="n">
        <v>1.309044035421689</v>
      </c>
      <c r="F218" s="47">
        <f>Calculo!V216</f>
        <v/>
      </c>
      <c r="G218" s="45">
        <f>IF(AND(ISNUMBER(E218),ISNUMBER(F218)),ABS(F218-E218),IF(ISNUMBER(E218)=ISNUMBER(F218),0,1))</f>
        <v/>
      </c>
      <c r="H218" s="46" t="n">
        <v>-0.07146098142063087</v>
      </c>
      <c r="I218" s="47">
        <f>Calculo!AK216</f>
        <v/>
      </c>
      <c r="J218" s="45">
        <f>IF(AND(ISNUMBER(H218),ISNUMBER(I218)),ABS(I218-H218),IF(ISNUMBER(H218)=ISNUMBER(I218),0,1))</f>
        <v/>
      </c>
      <c r="K218" s="46" t="n">
        <v>-0.008810023837513977</v>
      </c>
      <c r="L218" s="47">
        <f>Calculo!AL216</f>
        <v/>
      </c>
      <c r="M218" s="45">
        <f>IF(AND(ISNUMBER(K218),ISNUMBER(L218)),ABS(L218-K218),IF(ISNUMBER(K218)=ISNUMBER(L218),0,1))</f>
        <v/>
      </c>
      <c r="N218" s="46" t="n">
        <v>-0.01274723266238163</v>
      </c>
      <c r="O218" s="47">
        <f>Calculo!AP216</f>
        <v/>
      </c>
      <c r="P218" s="45">
        <f>IF(AND(ISNUMBER(N218),ISNUMBER(O218)),ABS(O218-N218),IF(ISNUMBER(N218)=ISNUMBER(O218),0,1))</f>
        <v/>
      </c>
      <c r="Q218" s="46" t="n">
        <v>0.09413169306371638</v>
      </c>
      <c r="R218" s="47">
        <f>Calculo!AW216</f>
        <v/>
      </c>
      <c r="S218" s="45">
        <f>IF(AND(ISNUMBER(Q218),ISNUMBER(R218)),ABS(R218-Q218),IF(ISNUMBER(Q218)=ISNUMBER(R218),0,1))</f>
        <v/>
      </c>
      <c r="T218" s="46" t="n">
        <v>1.018770929670093</v>
      </c>
      <c r="U218" s="47">
        <f>Calculo!AX216</f>
        <v/>
      </c>
      <c r="V218" s="45">
        <f>IF(AND(ISNUMBER(T218),ISNUMBER(U218)),ABS(U218-T218),IF(ISNUMBER(T218)=ISNUMBER(U218),0,1))</f>
        <v/>
      </c>
      <c r="W218" s="46" t="n">
        <v>1.034823158982103</v>
      </c>
      <c r="X218" s="47">
        <f>Calculo!AY216</f>
        <v/>
      </c>
      <c r="Y218" s="45">
        <f>IF(AND(ISNUMBER(W218),ISNUMBER(X218)),ABS(X218-W218),IF(ISNUMBER(W218)=ISNUMBER(X218),0,1))</f>
        <v/>
      </c>
      <c r="Z218" s="46" t="n">
        <v>-1.579593162511438e-06</v>
      </c>
      <c r="AA218" s="47">
        <f>Calculo!BC216</f>
        <v/>
      </c>
      <c r="AB218" s="45">
        <f>IF(AND(ISNUMBER(Z218),ISNUMBER(AA218)),ABS(AA218-Z218),IF(ISNUMBER(Z218)=ISNUMBER(AA218),0,1))</f>
        <v/>
      </c>
    </row>
    <row r="219">
      <c r="A219" s="36">
        <f>Calculo!A217</f>
        <v/>
      </c>
      <c r="B219" s="46" t="n">
        <v>0.0006056903605524931</v>
      </c>
      <c r="C219" s="47">
        <f>Calculo!W217</f>
        <v/>
      </c>
      <c r="D219" s="45">
        <f>IF(AND(ISNUMBER(B219),ISNUMBER(C219)),ABS(C219-B219),IF(ISNUMBER(B219)=ISNUMBER(C219),0,1))</f>
        <v/>
      </c>
      <c r="E219" s="46" t="n">
        <v>1.317633584718846</v>
      </c>
      <c r="F219" s="47">
        <f>Calculo!V217</f>
        <v/>
      </c>
      <c r="G219" s="45">
        <f>IF(AND(ISNUMBER(E219),ISNUMBER(F219)),ABS(F219-E219),IF(ISNUMBER(E219)=ISNUMBER(F219),0,1))</f>
        <v/>
      </c>
      <c r="H219" s="46" t="n">
        <v>-0.05457038741240194</v>
      </c>
      <c r="I219" s="47">
        <f>Calculo!AK217</f>
        <v/>
      </c>
      <c r="J219" s="45">
        <f>IF(AND(ISNUMBER(H219),ISNUMBER(I219)),ABS(I219-H219),IF(ISNUMBER(H219)=ISNUMBER(I219),0,1))</f>
        <v/>
      </c>
      <c r="K219" s="46" t="n">
        <v>-0.00231126032419987</v>
      </c>
      <c r="L219" s="47">
        <f>Calculo!AL217</f>
        <v/>
      </c>
      <c r="M219" s="45">
        <f>IF(AND(ISNUMBER(K219),ISNUMBER(L219)),ABS(L219-K219),IF(ISNUMBER(K219)=ISNUMBER(L219),0,1))</f>
        <v/>
      </c>
      <c r="N219" s="46" t="n">
        <v>0.0317854794980021</v>
      </c>
      <c r="O219" s="47">
        <f>Calculo!AP217</f>
        <v/>
      </c>
      <c r="P219" s="45">
        <f>IF(AND(ISNUMBER(N219),ISNUMBER(O219)),ABS(O219-N219),IF(ISNUMBER(N219)=ISNUMBER(O219),0,1))</f>
        <v/>
      </c>
      <c r="Q219" s="46" t="n">
        <v>-0.2735846370442246</v>
      </c>
      <c r="R219" s="47">
        <f>Calculo!AW217</f>
        <v/>
      </c>
      <c r="S219" s="45">
        <f>IF(AND(ISNUMBER(Q219),ISNUMBER(R219)),ABS(R219-Q219),IF(ISNUMBER(Q219)=ISNUMBER(R219),0,1))</f>
        <v/>
      </c>
      <c r="T219" s="46" t="n">
        <v>0.9466085632244424</v>
      </c>
      <c r="U219" s="47">
        <f>Calculo!AX217</f>
        <v/>
      </c>
      <c r="V219" s="45">
        <f>IF(AND(ISNUMBER(T219),ISNUMBER(U219)),ABS(U219-T219),IF(ISNUMBER(T219)=ISNUMBER(U219),0,1))</f>
        <v/>
      </c>
      <c r="W219" s="46" t="n">
        <v>1.029626911009539</v>
      </c>
      <c r="X219" s="47">
        <f>Calculo!AY217</f>
        <v/>
      </c>
      <c r="Y219" s="45">
        <f>IF(AND(ISNUMBER(W219),ISNUMBER(X219)),ABS(X219-W219),IF(ISNUMBER(W219)=ISNUMBER(X219),0,1))</f>
        <v/>
      </c>
      <c r="Z219" s="46" t="n">
        <v>-6.489300401768206e-05</v>
      </c>
      <c r="AA219" s="47">
        <f>Calculo!BC217</f>
        <v/>
      </c>
      <c r="AB219" s="45">
        <f>IF(AND(ISNUMBER(Z219),ISNUMBER(AA219)),ABS(AA219-Z219),IF(ISNUMBER(Z219)=ISNUMBER(AA219),0,1))</f>
        <v/>
      </c>
    </row>
    <row r="220">
      <c r="A220" s="36">
        <f>Calculo!A218</f>
        <v/>
      </c>
      <c r="B220" s="46" t="n">
        <v>-0.04566544096628974</v>
      </c>
      <c r="C220" s="47">
        <f>Calculo!W218</f>
        <v/>
      </c>
      <c r="D220" s="45">
        <f>IF(AND(ISNUMBER(B220),ISNUMBER(C220)),ABS(C220-B220),IF(ISNUMBER(B220)=ISNUMBER(C220),0,1))</f>
        <v/>
      </c>
      <c r="E220" s="46" t="n">
        <v>1.311175532236967</v>
      </c>
      <c r="F220" s="47">
        <f>Calculo!V218</f>
        <v/>
      </c>
      <c r="G220" s="45">
        <f>IF(AND(ISNUMBER(E220),ISNUMBER(F220)),ABS(F220-E220),IF(ISNUMBER(E220)=ISNUMBER(F220),0,1))</f>
        <v/>
      </c>
      <c r="H220" s="46" t="n">
        <v>-0.04879493152268166</v>
      </c>
      <c r="I220" s="47">
        <f>Calculo!AK218</f>
        <v/>
      </c>
      <c r="J220" s="45">
        <f>IF(AND(ISNUMBER(H220),ISNUMBER(I220)),ABS(I220-H220),IF(ISNUMBER(H220)=ISNUMBER(I220),0,1))</f>
        <v/>
      </c>
      <c r="K220" s="46" t="n">
        <v>-0.003808082226914385</v>
      </c>
      <c r="L220" s="47">
        <f>Calculo!AL218</f>
        <v/>
      </c>
      <c r="M220" s="45">
        <f>IF(AND(ISNUMBER(K220),ISNUMBER(L220)),ABS(L220-K220),IF(ISNUMBER(K220)=ISNUMBER(L220),0,1))</f>
        <v/>
      </c>
      <c r="N220" s="46" t="n">
        <v>0.06098909861585817</v>
      </c>
      <c r="O220" s="47">
        <f>Calculo!AP218</f>
        <v/>
      </c>
      <c r="P220" s="45">
        <f>IF(AND(ISNUMBER(N220),ISNUMBER(O220)),ABS(O220-N220),IF(ISNUMBER(N220)=ISNUMBER(O220),0,1))</f>
        <v/>
      </c>
      <c r="Q220" s="46" t="n">
        <v>-0.5140199796978223</v>
      </c>
      <c r="R220" s="47">
        <f>Calculo!AW218</f>
        <v/>
      </c>
      <c r="S220" s="45">
        <f>IF(AND(ISNUMBER(Q220),ISNUMBER(R220)),ABS(R220-Q220),IF(ISNUMBER(Q220)=ISNUMBER(R220),0,1))</f>
        <v/>
      </c>
      <c r="T220" s="46" t="n">
        <v>0.9053857101348968</v>
      </c>
      <c r="U220" s="47">
        <f>Calculo!AX218</f>
        <v/>
      </c>
      <c r="V220" s="45">
        <f>IF(AND(ISNUMBER(T220),ISNUMBER(U220)),ABS(U220-T220),IF(ISNUMBER(T220)=ISNUMBER(U220),0,1))</f>
        <v/>
      </c>
      <c r="W220" s="46" t="n">
        <v>0.9569217343431441</v>
      </c>
      <c r="X220" s="47">
        <f>Calculo!AY218</f>
        <v/>
      </c>
      <c r="Y220" s="45">
        <f>IF(AND(ISNUMBER(W220),ISNUMBER(X220)),ABS(X220-W220),IF(ISNUMBER(W220)=ISNUMBER(X220),0,1))</f>
        <v/>
      </c>
      <c r="Z220" s="46" t="n">
        <v>-0.0003512221088613186</v>
      </c>
      <c r="AA220" s="47">
        <f>Calculo!BC218</f>
        <v/>
      </c>
      <c r="AB220" s="45">
        <f>IF(AND(ISNUMBER(Z220),ISNUMBER(AA220)),ABS(AA220-Z220),IF(ISNUMBER(Z220)=ISNUMBER(AA220),0,1))</f>
        <v/>
      </c>
    </row>
    <row r="221">
      <c r="A221" s="36">
        <f>Calculo!A219</f>
        <v/>
      </c>
      <c r="B221" s="46" t="n">
        <v>-0.06332188106411184</v>
      </c>
      <c r="C221" s="47">
        <f>Calculo!W219</f>
        <v/>
      </c>
      <c r="D221" s="45">
        <f>IF(AND(ISNUMBER(B221),ISNUMBER(C221)),ABS(C221-B221),IF(ISNUMBER(B221)=ISNUMBER(C221),0,1))</f>
        <v/>
      </c>
      <c r="E221" s="46" t="n">
        <v>1.315018415074129</v>
      </c>
      <c r="F221" s="47">
        <f>Calculo!V219</f>
        <v/>
      </c>
      <c r="G221" s="45">
        <f>IF(AND(ISNUMBER(E221),ISNUMBER(F221)),ABS(F221-E221),IF(ISNUMBER(E221)=ISNUMBER(F221),0,1))</f>
        <v/>
      </c>
      <c r="H221" s="46" t="n">
        <v>-0.0496719596812665</v>
      </c>
      <c r="I221" s="47">
        <f>Calculo!AK219</f>
        <v/>
      </c>
      <c r="J221" s="45">
        <f>IF(AND(ISNUMBER(H221),ISNUMBER(I221)),ABS(I221-H221),IF(ISNUMBER(H221)=ISNUMBER(I221),0,1))</f>
        <v/>
      </c>
      <c r="K221" s="46" t="n">
        <v>-0.005760771495986684</v>
      </c>
      <c r="L221" s="47">
        <f>Calculo!AL219</f>
        <v/>
      </c>
      <c r="M221" s="45">
        <f>IF(AND(ISNUMBER(K221),ISNUMBER(L221)),ABS(L221-K221),IF(ISNUMBER(K221)=ISNUMBER(L221),0,1))</f>
        <v/>
      </c>
      <c r="N221" s="46" t="n">
        <v>-0.08458385615611744</v>
      </c>
      <c r="O221" s="47">
        <f>Calculo!AP219</f>
        <v/>
      </c>
      <c r="P221" s="45">
        <f>IF(AND(ISNUMBER(N221),ISNUMBER(O221)),ABS(O221-N221),IF(ISNUMBER(N221)=ISNUMBER(O221),0,1))</f>
        <v/>
      </c>
      <c r="Q221" s="46" t="n">
        <v>0.6940525791785366</v>
      </c>
      <c r="R221" s="47">
        <f>Calculo!AW219</f>
        <v/>
      </c>
      <c r="S221" s="45">
        <f>IF(AND(ISNUMBER(Q221),ISNUMBER(R221)),ABS(R221-Q221),IF(ISNUMBER(Q221)=ISNUMBER(R221),0,1))</f>
        <v/>
      </c>
      <c r="T221" s="46" t="n">
        <v>1.120115828069185</v>
      </c>
      <c r="U221" s="47">
        <f>Calculo!AX219</f>
        <v/>
      </c>
      <c r="V221" s="45">
        <f>IF(AND(ISNUMBER(T221),ISNUMBER(U221)),ABS(U221-T221),IF(ISNUMBER(T221)=ISNUMBER(U221),0,1))</f>
        <v/>
      </c>
      <c r="W221" s="46" t="n">
        <v>0.9907033671428417</v>
      </c>
      <c r="X221" s="47">
        <f>Calculo!AY219</f>
        <v/>
      </c>
      <c r="Y221" s="45">
        <f>IF(AND(ISNUMBER(W221),ISNUMBER(X221)),ABS(X221-W221),IF(ISNUMBER(W221)=ISNUMBER(X221),0,1))</f>
        <v/>
      </c>
      <c r="Z221" s="46" t="n">
        <v>0.0005001862619269228</v>
      </c>
      <c r="AA221" s="47">
        <f>Calculo!BC219</f>
        <v/>
      </c>
      <c r="AB221" s="45">
        <f>IF(AND(ISNUMBER(Z221),ISNUMBER(AA221)),ABS(AA221-Z221),IF(ISNUMBER(Z221)=ISNUMBER(AA221),0,1))</f>
        <v/>
      </c>
    </row>
    <row r="222">
      <c r="A222" s="36">
        <f>Calculo!A220</f>
        <v/>
      </c>
      <c r="B222" s="46" t="n">
        <v>-0.03886125649076564</v>
      </c>
      <c r="C222" s="47">
        <f>Calculo!W220</f>
        <v/>
      </c>
      <c r="D222" s="45">
        <f>IF(AND(ISNUMBER(B222),ISNUMBER(C222)),ABS(C222-B222),IF(ISNUMBER(B222)=ISNUMBER(C222),0,1))</f>
        <v/>
      </c>
      <c r="E222" s="46" t="n">
        <v>1.317577801232798</v>
      </c>
      <c r="F222" s="47">
        <f>Calculo!V220</f>
        <v/>
      </c>
      <c r="G222" s="45">
        <f>IF(AND(ISNUMBER(E222),ISNUMBER(F222)),ABS(F222-E222),IF(ISNUMBER(E222)=ISNUMBER(F222),0,1))</f>
        <v/>
      </c>
      <c r="H222" s="46" t="n">
        <v>-0.05315063955418185</v>
      </c>
      <c r="I222" s="47">
        <f>Calculo!AK220</f>
        <v/>
      </c>
      <c r="J222" s="45">
        <f>IF(AND(ISNUMBER(H222),ISNUMBER(I222)),ABS(I222-H222),IF(ISNUMBER(H222)=ISNUMBER(I222),0,1))</f>
        <v/>
      </c>
      <c r="K222" s="46" t="n">
        <v>-0.009070958477464816</v>
      </c>
      <c r="L222" s="47">
        <f>Calculo!AL220</f>
        <v/>
      </c>
      <c r="M222" s="45">
        <f>IF(AND(ISNUMBER(K222),ISNUMBER(L222)),ABS(L222-K222),IF(ISNUMBER(K222)=ISNUMBER(L222),0,1))</f>
        <v/>
      </c>
      <c r="N222" s="46" t="n">
        <v>-0.1272587414906897</v>
      </c>
      <c r="O222" s="47">
        <f>Calculo!AP220</f>
        <v/>
      </c>
      <c r="P222" s="45">
        <f>IF(AND(ISNUMBER(N222),ISNUMBER(O222)),ABS(O222-N222),IF(ISNUMBER(N222)=ISNUMBER(O222),0,1))</f>
        <v/>
      </c>
      <c r="Q222" s="46" t="n">
        <v>1.043023876809779</v>
      </c>
      <c r="R222" s="47">
        <f>Calculo!AW220</f>
        <v/>
      </c>
      <c r="S222" s="45">
        <f>IF(AND(ISNUMBER(Q222),ISNUMBER(R222)),ABS(R222-Q222),IF(ISNUMBER(Q222)=ISNUMBER(R222),0,1))</f>
        <v/>
      </c>
      <c r="T222" s="46" t="n">
        <v>1.15581587198517</v>
      </c>
      <c r="U222" s="47">
        <f>Calculo!AX220</f>
        <v/>
      </c>
      <c r="V222" s="45">
        <f>IF(AND(ISNUMBER(T222),ISNUMBER(U222)),ABS(U222-T222),IF(ISNUMBER(T222)=ISNUMBER(U222),0,1))</f>
        <v/>
      </c>
      <c r="W222" s="46" t="n">
        <v>1.060439136729751</v>
      </c>
      <c r="X222" s="47">
        <f>Calculo!AY220</f>
        <v/>
      </c>
      <c r="Y222" s="45">
        <f>IF(AND(ISNUMBER(W222),ISNUMBER(X222)),ABS(X222-W222),IF(ISNUMBER(W222)=ISNUMBER(X222),0,1))</f>
        <v/>
      </c>
      <c r="Z222" s="46" t="n">
        <v>5.865626491383198e-06</v>
      </c>
      <c r="AA222" s="47">
        <f>Calculo!BC220</f>
        <v/>
      </c>
      <c r="AB222" s="45">
        <f>IF(AND(ISNUMBER(Z222),ISNUMBER(AA222)),ABS(AA222-Z222),IF(ISNUMBER(Z222)=ISNUMBER(AA222),0,1))</f>
        <v/>
      </c>
    </row>
    <row r="223">
      <c r="A223" s="36">
        <f>Calculo!A221</f>
        <v/>
      </c>
      <c r="B223" s="46" t="n">
        <v>-0.01278000455901751</v>
      </c>
      <c r="C223" s="47">
        <f>Calculo!W221</f>
        <v/>
      </c>
      <c r="D223" s="45">
        <f>IF(AND(ISNUMBER(B223),ISNUMBER(C223)),ABS(C223-B223),IF(ISNUMBER(B223)=ISNUMBER(C223),0,1))</f>
        <v/>
      </c>
      <c r="E223" s="46" t="n">
        <v>1.320133442166628</v>
      </c>
      <c r="F223" s="47">
        <f>Calculo!V221</f>
        <v/>
      </c>
      <c r="G223" s="45">
        <f>IF(AND(ISNUMBER(E223),ISNUMBER(F223)),ABS(F223-E223),IF(ISNUMBER(E223)=ISNUMBER(F223),0,1))</f>
        <v/>
      </c>
      <c r="H223" s="46" t="n">
        <v>-0.05277155135321191</v>
      </c>
      <c r="I223" s="47">
        <f>Calculo!AK221</f>
        <v/>
      </c>
      <c r="J223" s="45">
        <f>IF(AND(ISNUMBER(H223),ISNUMBER(I223)),ABS(I223-H223),IF(ISNUMBER(H223)=ISNUMBER(I223),0,1))</f>
        <v/>
      </c>
      <c r="K223" s="46" t="n">
        <v>-0.01107154833405388</v>
      </c>
      <c r="L223" s="47">
        <f>Calculo!AL221</f>
        <v/>
      </c>
      <c r="M223" s="45">
        <f>IF(AND(ISNUMBER(K223),ISNUMBER(L223)),ABS(L223-K223),IF(ISNUMBER(K223)=ISNUMBER(L223),0,1))</f>
        <v/>
      </c>
      <c r="N223" s="46" t="n">
        <v>-0.08911521849388357</v>
      </c>
      <c r="O223" s="47">
        <f>Calculo!AP221</f>
        <v/>
      </c>
      <c r="P223" s="45">
        <f>IF(AND(ISNUMBER(N223),ISNUMBER(O223)),ABS(O223-N223),IF(ISNUMBER(N223)=ISNUMBER(O223),0,1))</f>
        <v/>
      </c>
      <c r="Q223" s="46" t="n">
        <v>0.7219187611714818</v>
      </c>
      <c r="R223" s="47">
        <f>Calculo!AW221</f>
        <v/>
      </c>
      <c r="S223" s="45">
        <f>IF(AND(ISNUMBER(Q223),ISNUMBER(R223)),ABS(R223-Q223),IF(ISNUMBER(Q223)=ISNUMBER(R223),0,1))</f>
        <v/>
      </c>
      <c r="T223" s="46" t="n">
        <v>1.123619284171812</v>
      </c>
      <c r="U223" s="47">
        <f>Calculo!AX221</f>
        <v/>
      </c>
      <c r="V223" s="45">
        <f>IF(AND(ISNUMBER(T223),ISNUMBER(U223)),ABS(U223-T223),IF(ISNUMBER(T223)=ISNUMBER(U223),0,1))</f>
        <v/>
      </c>
      <c r="W223" s="46" t="n">
        <v>1.133183661408723</v>
      </c>
      <c r="X223" s="47">
        <f>Calculo!AY221</f>
        <v/>
      </c>
      <c r="Y223" s="45">
        <f>IF(AND(ISNUMBER(W223),ISNUMBER(X223)),ABS(X223-W223),IF(ISNUMBER(W223)=ISNUMBER(X223),0,1))</f>
        <v/>
      </c>
      <c r="Z223" s="46" t="n">
        <v>-0.0003674425347045971</v>
      </c>
      <c r="AA223" s="47">
        <f>Calculo!BC221</f>
        <v/>
      </c>
      <c r="AB223" s="45">
        <f>IF(AND(ISNUMBER(Z223),ISNUMBER(AA223)),ABS(AA223-Z223),IF(ISNUMBER(Z223)=ISNUMBER(AA223),0,1))</f>
        <v/>
      </c>
    </row>
    <row r="224">
      <c r="A224" s="36">
        <f>Calculo!A222</f>
        <v/>
      </c>
      <c r="B224" s="46" t="n">
        <v>-0.01585963237476774</v>
      </c>
      <c r="C224" s="47">
        <f>Calculo!W222</f>
        <v/>
      </c>
      <c r="D224" s="45">
        <f>IF(AND(ISNUMBER(B224),ISNUMBER(C224)),ABS(C224-B224),IF(ISNUMBER(B224)=ISNUMBER(C224),0,1))</f>
        <v/>
      </c>
      <c r="E224" s="46" t="n">
        <v>1.317532132509983</v>
      </c>
      <c r="F224" s="47">
        <f>Calculo!V222</f>
        <v/>
      </c>
      <c r="G224" s="45">
        <f>IF(AND(ISNUMBER(E224),ISNUMBER(F224)),ABS(F224-E224),IF(ISNUMBER(E224)=ISNUMBER(F224),0,1))</f>
        <v/>
      </c>
      <c r="H224" s="46" t="n">
        <v>-0.05050352971712128</v>
      </c>
      <c r="I224" s="47">
        <f>Calculo!AK222</f>
        <v/>
      </c>
      <c r="J224" s="45">
        <f>IF(AND(ISNUMBER(H224),ISNUMBER(I224)),ABS(I224-H224),IF(ISNUMBER(H224)=ISNUMBER(I224),0,1))</f>
        <v/>
      </c>
      <c r="K224" s="46" t="n">
        <v>-0.01181089339690096</v>
      </c>
      <c r="L224" s="47">
        <f>Calculo!AL222</f>
        <v/>
      </c>
      <c r="M224" s="45">
        <f>IF(AND(ISNUMBER(K224),ISNUMBER(L224)),ABS(L224-K224),IF(ISNUMBER(K224)=ISNUMBER(L224),0,1))</f>
        <v/>
      </c>
      <c r="N224" s="46" t="n">
        <v>-0.03848797499547357</v>
      </c>
      <c r="O224" s="47">
        <f>Calculo!AP222</f>
        <v/>
      </c>
      <c r="P224" s="45">
        <f>IF(AND(ISNUMBER(N224),ISNUMBER(O224)),ABS(O224-N224),IF(ISNUMBER(N224)=ISNUMBER(O224),0,1))</f>
        <v/>
      </c>
      <c r="Q224" s="46" t="n">
        <v>0.2985490740513866</v>
      </c>
      <c r="R224" s="47">
        <f>Calculo!AW222</f>
        <v/>
      </c>
      <c r="S224" s="45">
        <f>IF(AND(ISNUMBER(Q224),ISNUMBER(R224)),ABS(R224-Q224),IF(ISNUMBER(Q224)=ISNUMBER(R224),0,1))</f>
        <v/>
      </c>
      <c r="T224" s="46" t="n">
        <v>1.057996851191765</v>
      </c>
      <c r="U224" s="47">
        <f>Calculo!AX222</f>
        <v/>
      </c>
      <c r="V224" s="45">
        <f>IF(AND(ISNUMBER(T224),ISNUMBER(U224)),ABS(U224-T224),IF(ISNUMBER(T224)=ISNUMBER(U224),0,1))</f>
        <v/>
      </c>
      <c r="W224" s="46" t="n">
        <v>1.112477335782916</v>
      </c>
      <c r="X224" s="47">
        <f>Calculo!AY222</f>
        <v/>
      </c>
      <c r="Y224" s="45">
        <f>IF(AND(ISNUMBER(W224),ISNUMBER(X224)),ABS(X224-W224),IF(ISNUMBER(W224)=ISNUMBER(X224),0,1))</f>
        <v/>
      </c>
      <c r="Z224" s="46" t="n">
        <v>-0.0007099222887643995</v>
      </c>
      <c r="AA224" s="47">
        <f>Calculo!BC222</f>
        <v/>
      </c>
      <c r="AB224" s="45">
        <f>IF(AND(ISNUMBER(Z224),ISNUMBER(AA224)),ABS(AA224-Z224),IF(ISNUMBER(Z224)=ISNUMBER(AA224),0,1))</f>
        <v/>
      </c>
    </row>
    <row r="225">
      <c r="A225" s="36">
        <f>Calculo!A223</f>
        <v/>
      </c>
      <c r="B225" s="46" t="n">
        <v>-0.01602376303897175</v>
      </c>
      <c r="C225" s="47">
        <f>Calculo!W223</f>
        <v/>
      </c>
      <c r="D225" s="45">
        <f>IF(AND(ISNUMBER(B225),ISNUMBER(C225)),ABS(C225-B225),IF(ISNUMBER(B225)=ISNUMBER(C225),0,1))</f>
        <v/>
      </c>
      <c r="E225" s="46" t="n">
        <v>1.315475566660468</v>
      </c>
      <c r="F225" s="47">
        <f>Calculo!V223</f>
        <v/>
      </c>
      <c r="G225" s="45">
        <f>IF(AND(ISNUMBER(E225),ISNUMBER(F225)),ABS(F225-E225),IF(ISNUMBER(E225)=ISNUMBER(F225),0,1))</f>
        <v/>
      </c>
      <c r="H225" s="46" t="n">
        <v>-0.05046505230532288</v>
      </c>
      <c r="I225" s="47">
        <f>Calculo!AK223</f>
        <v/>
      </c>
      <c r="J225" s="45">
        <f>IF(AND(ISNUMBER(H225),ISNUMBER(I225)),ABS(I225-H225),IF(ISNUMBER(H225)=ISNUMBER(I225),0,1))</f>
        <v/>
      </c>
      <c r="K225" s="46" t="n">
        <v>-0.01099118245490512</v>
      </c>
      <c r="L225" s="47">
        <f>Calculo!AL223</f>
        <v/>
      </c>
      <c r="M225" s="45">
        <f>IF(AND(ISNUMBER(K225),ISNUMBER(L225)),ABS(L225-K225),IF(ISNUMBER(K225)=ISNUMBER(L225),0,1))</f>
        <v/>
      </c>
      <c r="N225" s="46" t="n">
        <v>-0.009851403857573948</v>
      </c>
      <c r="O225" s="47">
        <f>Calculo!AP223</f>
        <v/>
      </c>
      <c r="P225" s="45">
        <f>IF(AND(ISNUMBER(N225),ISNUMBER(O225)),ABS(O225-N225),IF(ISNUMBER(N225)=ISNUMBER(O225),0,1))</f>
        <v/>
      </c>
      <c r="Q225" s="46" t="n">
        <v>0.05879317819552619</v>
      </c>
      <c r="R225" s="47">
        <f>Calculo!AW223</f>
        <v/>
      </c>
      <c r="S225" s="45">
        <f>IF(AND(ISNUMBER(Q225),ISNUMBER(R225)),ABS(R225-Q225),IF(ISNUMBER(Q225)=ISNUMBER(R225),0,1))</f>
        <v/>
      </c>
      <c r="T225" s="46" t="n">
        <v>1.011745105897612</v>
      </c>
      <c r="U225" s="47">
        <f>Calculo!AX223</f>
        <v/>
      </c>
      <c r="V225" s="45">
        <f>IF(AND(ISNUMBER(T225),ISNUMBER(U225)),ABS(U225-T225),IF(ISNUMBER(T225)=ISNUMBER(U225),0,1))</f>
        <v/>
      </c>
      <c r="W225" s="46" t="n">
        <v>1.064453747087063</v>
      </c>
      <c r="X225" s="47">
        <f>Calculo!AY223</f>
        <v/>
      </c>
      <c r="Y225" s="45">
        <f>IF(AND(ISNUMBER(W225),ISNUMBER(X225)),ABS(X225-W225),IF(ISNUMBER(W225)=ISNUMBER(X225),0,1))</f>
        <v/>
      </c>
      <c r="Z225" s="46" t="n">
        <v>-0.0005023433580245917</v>
      </c>
      <c r="AA225" s="47">
        <f>Calculo!BC223</f>
        <v/>
      </c>
      <c r="AB225" s="45">
        <f>IF(AND(ISNUMBER(Z225),ISNUMBER(AA225)),ABS(AA225-Z225),IF(ISNUMBER(Z225)=ISNUMBER(AA225),0,1))</f>
        <v/>
      </c>
    </row>
    <row r="226">
      <c r="A226" s="36">
        <f>Calculo!A224</f>
        <v/>
      </c>
      <c r="B226" s="46" t="n">
        <v>-0.04260831961453196</v>
      </c>
      <c r="C226" s="47">
        <f>Calculo!W224</f>
        <v/>
      </c>
      <c r="D226" s="45">
        <f>IF(AND(ISNUMBER(B226),ISNUMBER(C226)),ABS(C226-B226),IF(ISNUMBER(B226)=ISNUMBER(C226),0,1))</f>
        <v/>
      </c>
      <c r="E226" s="46" t="n">
        <v>1.31348622506095</v>
      </c>
      <c r="F226" s="47">
        <f>Calculo!V224</f>
        <v/>
      </c>
      <c r="G226" s="45">
        <f>IF(AND(ISNUMBER(E226),ISNUMBER(F226)),ABS(F226-E226),IF(ISNUMBER(E226)=ISNUMBER(F226),0,1))</f>
        <v/>
      </c>
      <c r="H226" s="46" t="n">
        <v>-0.04905604843103464</v>
      </c>
      <c r="I226" s="47">
        <f>Calculo!AK224</f>
        <v/>
      </c>
      <c r="J226" s="45">
        <f>IF(AND(ISNUMBER(H226),ISNUMBER(I226)),ABS(I226-H226),IF(ISNUMBER(H226)=ISNUMBER(I226),0,1))</f>
        <v/>
      </c>
      <c r="K226" s="46" t="n">
        <v>-0.01036949395740708</v>
      </c>
      <c r="L226" s="47">
        <f>Calculo!AL224</f>
        <v/>
      </c>
      <c r="M226" s="45">
        <f>IF(AND(ISNUMBER(K226),ISNUMBER(L226)),ABS(L226-K226),IF(ISNUMBER(K226)=ISNUMBER(L226),0,1))</f>
        <v/>
      </c>
      <c r="N226" s="46" t="n">
        <v>-0.03915025536749873</v>
      </c>
      <c r="O226" s="47">
        <f>Calculo!AP224</f>
        <v/>
      </c>
      <c r="P226" s="45">
        <f>IF(AND(ISNUMBER(N226),ISNUMBER(O226)),ABS(O226-N226),IF(ISNUMBER(N226)=ISNUMBER(O226),0,1))</f>
        <v/>
      </c>
      <c r="Q226" s="46" t="n">
        <v>0.3036680448238999</v>
      </c>
      <c r="R226" s="47">
        <f>Calculo!AW224</f>
        <v/>
      </c>
      <c r="S226" s="45">
        <f>IF(AND(ISNUMBER(Q226),ISNUMBER(R226)),ABS(R226-Q226),IF(ISNUMBER(Q226)=ISNUMBER(R226),0,1))</f>
        <v/>
      </c>
      <c r="T226" s="46" t="n">
        <v>1.058933155558393</v>
      </c>
      <c r="U226" s="47">
        <f>Calculo!AX224</f>
        <v/>
      </c>
      <c r="V226" s="45">
        <f>IF(AND(ISNUMBER(T226),ISNUMBER(U226)),ABS(U226-T226),IF(ISNUMBER(T226)=ISNUMBER(U226),0,1))</f>
        <v/>
      </c>
      <c r="W226" s="46" t="n">
        <v>1.042891704215924</v>
      </c>
      <c r="X226" s="47">
        <f>Calculo!AY224</f>
        <v/>
      </c>
      <c r="Y226" s="45">
        <f>IF(AND(ISNUMBER(W226),ISNUMBER(X226)),ABS(X226-W226),IF(ISNUMBER(W226)=ISNUMBER(X226),0,1))</f>
        <v/>
      </c>
      <c r="Z226" s="46" t="n">
        <v>-0.0008066254357995784</v>
      </c>
      <c r="AA226" s="47">
        <f>Calculo!BC224</f>
        <v/>
      </c>
      <c r="AB226" s="45">
        <f>IF(AND(ISNUMBER(Z226),ISNUMBER(AA226)),ABS(AA226-Z226),IF(ISNUMBER(Z226)=ISNUMBER(AA226),0,1))</f>
        <v/>
      </c>
    </row>
    <row r="227">
      <c r="A227" s="36">
        <f>Calculo!A225</f>
        <v/>
      </c>
      <c r="B227" s="46" t="n">
        <v>0.03374472040144749</v>
      </c>
      <c r="C227" s="47">
        <f>Calculo!W225</f>
        <v/>
      </c>
      <c r="D227" s="45">
        <f>IF(AND(ISNUMBER(B227),ISNUMBER(C227)),ABS(C227-B227),IF(ISNUMBER(B227)=ISNUMBER(C227),0,1))</f>
        <v/>
      </c>
      <c r="E227" s="46" t="n">
        <v>1.324943582107575</v>
      </c>
      <c r="F227" s="47">
        <f>Calculo!V225</f>
        <v/>
      </c>
      <c r="G227" s="45">
        <f>IF(AND(ISNUMBER(E227),ISNUMBER(F227)),ABS(F227-E227),IF(ISNUMBER(E227)=ISNUMBER(F227),0,1))</f>
        <v/>
      </c>
      <c r="H227" s="46" t="n">
        <v>-0.05329583989268718</v>
      </c>
      <c r="I227" s="47">
        <f>Calculo!AK225</f>
        <v/>
      </c>
      <c r="J227" s="45">
        <f>IF(AND(ISNUMBER(H227),ISNUMBER(I227)),ABS(I227-H227),IF(ISNUMBER(H227)=ISNUMBER(I227),0,1))</f>
        <v/>
      </c>
      <c r="K227" s="46" t="n">
        <v>-0.01240197610129544</v>
      </c>
      <c r="L227" s="47">
        <f>Calculo!AL225</f>
        <v/>
      </c>
      <c r="M227" s="45">
        <f>IF(AND(ISNUMBER(K227),ISNUMBER(L227)),ABS(L227-K227),IF(ISNUMBER(K227)=ISNUMBER(L227),0,1))</f>
        <v/>
      </c>
      <c r="N227" s="46" t="n">
        <v>0.01174473244160355</v>
      </c>
      <c r="O227" s="47">
        <f>Calculo!AP225</f>
        <v/>
      </c>
      <c r="P227" s="45">
        <f>IF(AND(ISNUMBER(N227),ISNUMBER(O227)),ABS(O227-N227),IF(ISNUMBER(N227)=ISNUMBER(O227),0,1))</f>
        <v/>
      </c>
      <c r="Q227" s="46" t="n">
        <v>-0.1241961041504244</v>
      </c>
      <c r="R227" s="47">
        <f>Calculo!AW225</f>
        <v/>
      </c>
      <c r="S227" s="45">
        <f>IF(AND(ISNUMBER(Q227),ISNUMBER(R227)),ABS(R227-Q227),IF(ISNUMBER(Q227)=ISNUMBER(R227),0,1))</f>
        <v/>
      </c>
      <c r="T227" s="46" t="n">
        <v>0.9752877083712466</v>
      </c>
      <c r="U227" s="47">
        <f>Calculo!AX225</f>
        <v/>
      </c>
      <c r="V227" s="45">
        <f>IF(AND(ISNUMBER(T227),ISNUMBER(U227)),ABS(U227-T227),IF(ISNUMBER(T227)=ISNUMBER(U227),0,1))</f>
        <v/>
      </c>
      <c r="W227" s="46" t="n">
        <v>1.015321989942417</v>
      </c>
      <c r="X227" s="47">
        <f>Calculo!AY225</f>
        <v/>
      </c>
      <c r="Y227" s="45">
        <f>IF(AND(ISNUMBER(W227),ISNUMBER(X227)),ABS(X227-W227),IF(ISNUMBER(W227)=ISNUMBER(X227),0,1))</f>
        <v/>
      </c>
      <c r="Z227" s="46" t="n">
        <v>0.0003079370343991335</v>
      </c>
      <c r="AA227" s="47">
        <f>Calculo!BC225</f>
        <v/>
      </c>
      <c r="AB227" s="45">
        <f>IF(AND(ISNUMBER(Z227),ISNUMBER(AA227)),ABS(AA227-Z227),IF(ISNUMBER(Z227)=ISNUMBER(AA227),0,1))</f>
        <v/>
      </c>
    </row>
    <row r="228">
      <c r="A228" s="36">
        <f>Calculo!A226</f>
        <v/>
      </c>
      <c r="B228" s="46" t="n">
        <v>-0.02849924219747776</v>
      </c>
      <c r="C228" s="47">
        <f>Calculo!W226</f>
        <v/>
      </c>
      <c r="D228" s="45">
        <f>IF(AND(ISNUMBER(B228),ISNUMBER(C228)),ABS(C228-B228),IF(ISNUMBER(B228)=ISNUMBER(C228),0,1))</f>
        <v/>
      </c>
      <c r="E228" s="46" t="n">
        <v>1.321650556411422</v>
      </c>
      <c r="F228" s="47">
        <f>Calculo!V226</f>
        <v/>
      </c>
      <c r="G228" s="45">
        <f>IF(AND(ISNUMBER(E228),ISNUMBER(F228)),ABS(F228-E228),IF(ISNUMBER(E228)=ISNUMBER(F228),0,1))</f>
        <v/>
      </c>
      <c r="H228" s="46" t="n">
        <v>-0.05268470724752961</v>
      </c>
      <c r="I228" s="47">
        <f>Calculo!AK226</f>
        <v/>
      </c>
      <c r="J228" s="45">
        <f>IF(AND(ISNUMBER(H228),ISNUMBER(I228)),ABS(I228-H228),IF(ISNUMBER(H228)=ISNUMBER(I228),0,1))</f>
        <v/>
      </c>
      <c r="K228" s="46" t="n">
        <v>-0.01234608321333463</v>
      </c>
      <c r="L228" s="47">
        <f>Calculo!AL226</f>
        <v/>
      </c>
      <c r="M228" s="45">
        <f>IF(AND(ISNUMBER(K228),ISNUMBER(L228)),ABS(L228-K228),IF(ISNUMBER(K228)=ISNUMBER(L228),0,1))</f>
        <v/>
      </c>
      <c r="N228" s="46" t="n">
        <v>0.01584598411929298</v>
      </c>
      <c r="O228" s="47">
        <f>Calculo!AP226</f>
        <v/>
      </c>
      <c r="P228" s="45">
        <f>IF(AND(ISNUMBER(N228),ISNUMBER(O228)),ABS(O228-N228),IF(ISNUMBER(N228)=ISNUMBER(O228),0,1))</f>
        <v/>
      </c>
      <c r="Q228" s="46" t="n">
        <v>-0.1583313046105759</v>
      </c>
      <c r="R228" s="47">
        <f>Calculo!AW226</f>
        <v/>
      </c>
      <c r="S228" s="45">
        <f>IF(AND(ISNUMBER(Q228),ISNUMBER(R228)),ABS(R228-Q228),IF(ISNUMBER(Q228)=ISNUMBER(R228),0,1))</f>
        <v/>
      </c>
      <c r="T228" s="46" t="n">
        <v>0.9685957240730713</v>
      </c>
      <c r="U228" s="47">
        <f>Calculo!AX226</f>
        <v/>
      </c>
      <c r="V228" s="45">
        <f>IF(AND(ISNUMBER(T228),ISNUMBER(U228)),ABS(U228-T228),IF(ISNUMBER(T228)=ISNUMBER(U228),0,1))</f>
        <v/>
      </c>
      <c r="W228" s="46" t="n">
        <v>1.00093886266757</v>
      </c>
      <c r="X228" s="47">
        <f>Calculo!AY226</f>
        <v/>
      </c>
      <c r="Y228" s="45">
        <f>IF(AND(ISNUMBER(W228),ISNUMBER(X228)),ABS(X228-W228),IF(ISNUMBER(W228)=ISNUMBER(X228),0,1))</f>
        <v/>
      </c>
      <c r="Z228" s="46" t="n">
        <v>-0.0001780905612628329</v>
      </c>
      <c r="AA228" s="47">
        <f>Calculo!BC226</f>
        <v/>
      </c>
      <c r="AB228" s="45">
        <f>IF(AND(ISNUMBER(Z228),ISNUMBER(AA228)),ABS(AA228-Z228),IF(ISNUMBER(Z228)=ISNUMBER(AA228),0,1))</f>
        <v/>
      </c>
    </row>
    <row r="229">
      <c r="A229" s="36">
        <f>Calculo!A227</f>
        <v/>
      </c>
      <c r="B229" s="46" t="n">
        <v>-0.1109704931693085</v>
      </c>
      <c r="C229" s="47">
        <f>Calculo!W227</f>
        <v/>
      </c>
      <c r="D229" s="45">
        <f>IF(AND(ISNUMBER(B229),ISNUMBER(C229)),ABS(C229-B229),IF(ISNUMBER(B229)=ISNUMBER(C229),0,1))</f>
        <v/>
      </c>
      <c r="E229" s="46" t="n">
        <v>1.319933724484141</v>
      </c>
      <c r="F229" s="47">
        <f>Calculo!V227</f>
        <v/>
      </c>
      <c r="G229" s="45">
        <f>IF(AND(ISNUMBER(E229),ISNUMBER(F229)),ABS(F229-E229),IF(ISNUMBER(E229)=ISNUMBER(F229),0,1))</f>
        <v/>
      </c>
      <c r="H229" s="46" t="n">
        <v>-0.0514634248393054</v>
      </c>
      <c r="I229" s="47">
        <f>Calculo!AK227</f>
        <v/>
      </c>
      <c r="J229" s="45">
        <f>IF(AND(ISNUMBER(H229),ISNUMBER(I229)),ABS(I229-H229),IF(ISNUMBER(H229)=ISNUMBER(I229),0,1))</f>
        <v/>
      </c>
      <c r="K229" s="46" t="n">
        <v>-0.01298668499095823</v>
      </c>
      <c r="L229" s="47">
        <f>Calculo!AL227</f>
        <v/>
      </c>
      <c r="M229" s="45">
        <f>IF(AND(ISNUMBER(K229),ISNUMBER(L229)),ABS(L229-K229),IF(ISNUMBER(K229)=ISNUMBER(L229),0,1))</f>
        <v/>
      </c>
      <c r="N229" s="46" t="n">
        <v>-0.05285335904773183</v>
      </c>
      <c r="O229" s="47">
        <f>Calculo!AP227</f>
        <v/>
      </c>
      <c r="P229" s="45">
        <f>IF(AND(ISNUMBER(N229),ISNUMBER(O229)),ABS(O229-N229),IF(ISNUMBER(N229)=ISNUMBER(O229),0,1))</f>
        <v/>
      </c>
      <c r="Q229" s="46" t="n">
        <v>0.4216262633972415</v>
      </c>
      <c r="R229" s="47">
        <f>Calculo!AW227</f>
        <v/>
      </c>
      <c r="S229" s="45">
        <f>IF(AND(ISNUMBER(Q229),ISNUMBER(R229)),ABS(R229-Q229),IF(ISNUMBER(Q229)=ISNUMBER(R229),0,1))</f>
        <v/>
      </c>
      <c r="T229" s="46" t="n">
        <v>1.079659917292391</v>
      </c>
      <c r="U229" s="47">
        <f>Calculo!AX227</f>
        <v/>
      </c>
      <c r="V229" s="45">
        <f>IF(AND(ISNUMBER(T229),ISNUMBER(U229)),ABS(U229-T229),IF(ISNUMBER(T229)=ISNUMBER(U229),0,1))</f>
        <v/>
      </c>
      <c r="W229" s="46" t="n">
        <v>1.00784778324557</v>
      </c>
      <c r="X229" s="47">
        <f>Calculo!AY227</f>
        <v/>
      </c>
      <c r="Y229" s="45">
        <f>IF(AND(ISNUMBER(W229),ISNUMBER(X229)),ABS(X229-W229),IF(ISNUMBER(W229)=ISNUMBER(X229),0,1))</f>
        <v/>
      </c>
      <c r="Z229" s="46" t="n">
        <v>-6.200433149675149e-05</v>
      </c>
      <c r="AA229" s="47">
        <f>Calculo!BC227</f>
        <v/>
      </c>
      <c r="AB229" s="45">
        <f>IF(AND(ISNUMBER(Z229),ISNUMBER(AA229)),ABS(AA229-Z229),IF(ISNUMBER(Z229)=ISNUMBER(AA229),0,1))</f>
        <v/>
      </c>
    </row>
    <row r="230">
      <c r="A230" s="36">
        <f>Calculo!A228</f>
        <v/>
      </c>
      <c r="B230" s="46" t="n">
        <v>-0.04135974616444901</v>
      </c>
      <c r="C230" s="47">
        <f>Calculo!W228</f>
        <v/>
      </c>
      <c r="D230" s="45">
        <f>IF(AND(ISNUMBER(B230),ISNUMBER(C230)),ABS(C230-B230),IF(ISNUMBER(B230)=ISNUMBER(C230),0,1))</f>
        <v/>
      </c>
      <c r="E230" s="46" t="n">
        <v>1.29189577015331</v>
      </c>
      <c r="F230" s="47">
        <f>Calculo!V228</f>
        <v/>
      </c>
      <c r="G230" s="45">
        <f>IF(AND(ISNUMBER(E230),ISNUMBER(F230)),ABS(F230-E230),IF(ISNUMBER(E230)=ISNUMBER(F230),0,1))</f>
        <v/>
      </c>
      <c r="H230" s="46" t="n">
        <v>-0.04782714834024028</v>
      </c>
      <c r="I230" s="47">
        <f>Calculo!AK228</f>
        <v/>
      </c>
      <c r="J230" s="45">
        <f>IF(AND(ISNUMBER(H230),ISNUMBER(I230)),ABS(I230-H230),IF(ISNUMBER(H230)=ISNUMBER(I230),0,1))</f>
        <v/>
      </c>
      <c r="K230" s="46" t="n">
        <v>-0.01692834406166044</v>
      </c>
      <c r="L230" s="47">
        <f>Calculo!AL228</f>
        <v/>
      </c>
      <c r="M230" s="45">
        <f>IF(AND(ISNUMBER(K230),ISNUMBER(L230)),ABS(L230-K230),IF(ISNUMBER(K230)=ISNUMBER(L230),0,1))</f>
        <v/>
      </c>
      <c r="N230" s="46" t="n">
        <v>-0.1270459314683826</v>
      </c>
      <c r="O230" s="47">
        <f>Calculo!AP228</f>
        <v/>
      </c>
      <c r="P230" s="45">
        <f>IF(AND(ISNUMBER(N230),ISNUMBER(O230)),ABS(O230-N230),IF(ISNUMBER(N230)=ISNUMBER(O230),0,1))</f>
        <v/>
      </c>
      <c r="Q230" s="46" t="n">
        <v>1.044659026342735</v>
      </c>
      <c r="R230" s="47">
        <f>Calculo!AW228</f>
        <v/>
      </c>
      <c r="S230" s="45">
        <f>IF(AND(ISNUMBER(Q230),ISNUMBER(R230)),ABS(R230-Q230),IF(ISNUMBER(Q230)=ISNUMBER(R230),0,1))</f>
        <v/>
      </c>
      <c r="T230" s="46" t="n">
        <v>1.155944242652028</v>
      </c>
      <c r="U230" s="47">
        <f>Calculo!AX228</f>
        <v/>
      </c>
      <c r="V230" s="45">
        <f>IF(AND(ISNUMBER(T230),ISNUMBER(U230)),ABS(U230-T230),IF(ISNUMBER(T230)=ISNUMBER(U230),0,1))</f>
        <v/>
      </c>
      <c r="W230" s="46" t="n">
        <v>1.06806662800583</v>
      </c>
      <c r="X230" s="47">
        <f>Calculo!AY228</f>
        <v/>
      </c>
      <c r="Y230" s="45">
        <f>IF(AND(ISNUMBER(W230),ISNUMBER(X230)),ABS(X230-W230),IF(ISNUMBER(W230)=ISNUMBER(X230),0,1))</f>
        <v/>
      </c>
      <c r="Z230" s="46" t="n">
        <v>-9.841788219259262e-05</v>
      </c>
      <c r="AA230" s="47">
        <f>Calculo!BC228</f>
        <v/>
      </c>
      <c r="AB230" s="45">
        <f>IF(AND(ISNUMBER(Z230),ISNUMBER(AA230)),ABS(AA230-Z230),IF(ISNUMBER(Z230)=ISNUMBER(AA230),0,1))</f>
        <v/>
      </c>
    </row>
    <row r="231">
      <c r="A231" s="36">
        <f>Calculo!A229</f>
        <v/>
      </c>
      <c r="B231" s="46" t="n">
        <v>0.01769429978564597</v>
      </c>
      <c r="C231" s="47">
        <f>Calculo!W229</f>
        <v/>
      </c>
      <c r="D231" s="45">
        <f>IF(AND(ISNUMBER(B231),ISNUMBER(C231)),ABS(C231-B231),IF(ISNUMBER(B231)=ISNUMBER(C231),0,1))</f>
        <v/>
      </c>
      <c r="E231" s="46" t="n">
        <v>1.247986707610489</v>
      </c>
      <c r="F231" s="47">
        <f>Calculo!V229</f>
        <v/>
      </c>
      <c r="G231" s="45">
        <f>IF(AND(ISNUMBER(E231),ISNUMBER(F231)),ABS(F231-E231),IF(ISNUMBER(E231)=ISNUMBER(F231),0,1))</f>
        <v/>
      </c>
      <c r="H231" s="46" t="n">
        <v>-0.04669158664559275</v>
      </c>
      <c r="I231" s="47">
        <f>Calculo!AK229</f>
        <v/>
      </c>
      <c r="J231" s="45">
        <f>IF(AND(ISNUMBER(H231),ISNUMBER(I231)),ABS(I231-H231),IF(ISNUMBER(H231)=ISNUMBER(I231),0,1))</f>
        <v/>
      </c>
      <c r="K231" s="46" t="n">
        <v>-0.01759068156405567</v>
      </c>
      <c r="L231" s="47">
        <f>Calculo!AL229</f>
        <v/>
      </c>
      <c r="M231" s="45">
        <f>IF(AND(ISNUMBER(K231),ISNUMBER(L231)),ABS(L231-K231),IF(ISNUMBER(K231)=ISNUMBER(L231),0,1))</f>
        <v/>
      </c>
      <c r="N231" s="46" t="n">
        <v>-0.08034009216872988</v>
      </c>
      <c r="O231" s="47">
        <f>Calculo!AP229</f>
        <v/>
      </c>
      <c r="P231" s="45">
        <f>IF(AND(ISNUMBER(N231),ISNUMBER(O231)),ABS(O231-N231),IF(ISNUMBER(N231)=ISNUMBER(O231),0,1))</f>
        <v/>
      </c>
      <c r="Q231" s="46" t="n">
        <v>0.6459068102113467</v>
      </c>
      <c r="R231" s="47">
        <f>Calculo!AW229</f>
        <v/>
      </c>
      <c r="S231" s="45">
        <f>IF(AND(ISNUMBER(Q231),ISNUMBER(R231)),ABS(R231-Q231),IF(ISNUMBER(Q231)=ISNUMBER(R231),0,1))</f>
        <v/>
      </c>
      <c r="T231" s="46" t="n">
        <v>1.113781602021209</v>
      </c>
      <c r="U231" s="47">
        <f>Calculo!AX229</f>
        <v/>
      </c>
      <c r="V231" s="45">
        <f>IF(AND(ISNUMBER(T231),ISNUMBER(U231)),ABS(U231-T231),IF(ISNUMBER(T231)=ISNUMBER(U231),0,1))</f>
        <v/>
      </c>
      <c r="W231" s="46" t="n">
        <v>1.11646192065521</v>
      </c>
      <c r="X231" s="47">
        <f>Calculo!AY229</f>
        <v/>
      </c>
      <c r="Y231" s="45">
        <f>IF(AND(ISNUMBER(W231),ISNUMBER(X231)),ABS(X231-W231),IF(ISNUMBER(W231)=ISNUMBER(X231),0,1))</f>
        <v/>
      </c>
      <c r="Z231" s="46" t="n">
        <v>0.00015055071843265</v>
      </c>
      <c r="AA231" s="47">
        <f>Calculo!BC229</f>
        <v/>
      </c>
      <c r="AB231" s="45">
        <f>IF(AND(ISNUMBER(Z231),ISNUMBER(AA231)),ABS(AA231-Z231),IF(ISNUMBER(Z231)=ISNUMBER(AA231),0,1))</f>
        <v/>
      </c>
    </row>
    <row r="232">
      <c r="A232" s="36">
        <f>Calculo!A230</f>
        <v/>
      </c>
      <c r="B232" s="46" t="n">
        <v>-0.03668825673834203</v>
      </c>
      <c r="C232" s="47">
        <f>Calculo!W230</f>
        <v/>
      </c>
      <c r="D232" s="45">
        <f>IF(AND(ISNUMBER(B232),ISNUMBER(C232)),ABS(C232-B232),IF(ISNUMBER(B232)=ISNUMBER(C232),0,1))</f>
        <v/>
      </c>
      <c r="E232" s="46" t="n">
        <v>1.24781475344943</v>
      </c>
      <c r="F232" s="47">
        <f>Calculo!V230</f>
        <v/>
      </c>
      <c r="G232" s="45">
        <f>IF(AND(ISNUMBER(E232),ISNUMBER(F232)),ABS(F232-E232),IF(ISNUMBER(E232)=ISNUMBER(F232),0,1))</f>
        <v/>
      </c>
      <c r="H232" s="46" t="n">
        <v>-0.04510104468537435</v>
      </c>
      <c r="I232" s="47">
        <f>Calculo!AK230</f>
        <v/>
      </c>
      <c r="J232" s="45">
        <f>IF(AND(ISNUMBER(H232),ISNUMBER(I232)),ABS(I232-H232),IF(ISNUMBER(H232)=ISNUMBER(I232),0,1))</f>
        <v/>
      </c>
      <c r="K232" s="46" t="n">
        <v>-0.0155579204578747</v>
      </c>
      <c r="L232" s="47">
        <f>Calculo!AL230</f>
        <v/>
      </c>
      <c r="M232" s="45">
        <f>IF(AND(ISNUMBER(K232),ISNUMBER(L232)),ABS(L232-K232),IF(ISNUMBER(K232)=ISNUMBER(L232),0,1))</f>
        <v/>
      </c>
      <c r="N232" s="46" t="n">
        <v>-0.005950416852240667</v>
      </c>
      <c r="O232" s="47">
        <f>Calculo!AP230</f>
        <v/>
      </c>
      <c r="P232" s="45">
        <f>IF(AND(ISNUMBER(N232),ISNUMBER(O232)),ABS(O232-N232),IF(ISNUMBER(N232)=ISNUMBER(O232),0,1))</f>
        <v/>
      </c>
      <c r="Q232" s="46" t="n">
        <v>0.01390518238134784</v>
      </c>
      <c r="R232" s="47">
        <f>Calculo!AW230</f>
        <v/>
      </c>
      <c r="S232" s="45">
        <f>IF(AND(ISNUMBER(Q232),ISNUMBER(R232)),ABS(R232-Q232),IF(ISNUMBER(Q232)=ISNUMBER(R232),0,1))</f>
        <v/>
      </c>
      <c r="T232" s="46" t="n">
        <v>1.002780857248532</v>
      </c>
      <c r="U232" s="47">
        <f>Calculo!AX230</f>
        <v/>
      </c>
      <c r="V232" s="45">
        <f>IF(AND(ISNUMBER(T232),ISNUMBER(U232)),ABS(U232-T232),IF(ISNUMBER(T232)=ISNUMBER(U232),0,1))</f>
        <v/>
      </c>
      <c r="W232" s="46" t="n">
        <v>1.090835567307257</v>
      </c>
      <c r="X232" s="47">
        <f>Calculo!AY230</f>
        <v/>
      </c>
      <c r="Y232" s="45">
        <f>IF(AND(ISNUMBER(W232),ISNUMBER(X232)),ABS(X232-W232),IF(ISNUMBER(W232)=ISNUMBER(X232),0,1))</f>
        <v/>
      </c>
      <c r="Z232" s="46" t="n">
        <v>-0.001189184442933135</v>
      </c>
      <c r="AA232" s="47">
        <f>Calculo!BC230</f>
        <v/>
      </c>
      <c r="AB232" s="45">
        <f>IF(AND(ISNUMBER(Z232),ISNUMBER(AA232)),ABS(AA232-Z232),IF(ISNUMBER(Z232)=ISNUMBER(AA232),0,1))</f>
        <v/>
      </c>
    </row>
    <row r="233">
      <c r="A233" s="36">
        <f>Calculo!A231</f>
        <v/>
      </c>
      <c r="B233" s="46" t="n">
        <v>-0.07867985358813939</v>
      </c>
      <c r="C233" s="47">
        <f>Calculo!W231</f>
        <v/>
      </c>
      <c r="D233" s="45">
        <f>IF(AND(ISNUMBER(B233),ISNUMBER(C233)),ABS(C233-B233),IF(ISNUMBER(B233)=ISNUMBER(C233),0,1))</f>
        <v/>
      </c>
      <c r="E233" s="46" t="n">
        <v>1.276474268130909</v>
      </c>
      <c r="F233" s="47">
        <f>Calculo!V231</f>
        <v/>
      </c>
      <c r="G233" s="45">
        <f>IF(AND(ISNUMBER(E233),ISNUMBER(F233)),ABS(F233-E233),IF(ISNUMBER(E233)=ISNUMBER(F233),0,1))</f>
        <v/>
      </c>
      <c r="H233" s="46" t="n">
        <v>-0.03420223715284933</v>
      </c>
      <c r="I233" s="47">
        <f>Calculo!AK231</f>
        <v/>
      </c>
      <c r="J233" s="45">
        <f>IF(AND(ISNUMBER(H233),ISNUMBER(I233)),ABS(I233-H233),IF(ISNUMBER(H233)=ISNUMBER(I233),0,1))</f>
        <v/>
      </c>
      <c r="K233" s="46" t="n">
        <v>-0.01241511642613101</v>
      </c>
      <c r="L233" s="47">
        <f>Calculo!AL231</f>
        <v/>
      </c>
      <c r="M233" s="45">
        <f>IF(AND(ISNUMBER(K233),ISNUMBER(L233)),ABS(L233-K233),IF(ISNUMBER(K233)=ISNUMBER(L233),0,1))</f>
        <v/>
      </c>
      <c r="N233" s="46" t="n">
        <v>-0.05282648038996652</v>
      </c>
      <c r="O233" s="47">
        <f>Calculo!AP231</f>
        <v/>
      </c>
      <c r="P233" s="45">
        <f>IF(AND(ISNUMBER(N233),ISNUMBER(O233)),ABS(O233-N233),IF(ISNUMBER(N233)=ISNUMBER(O233),0,1))</f>
        <v/>
      </c>
      <c r="Q233" s="46" t="n">
        <v>0.4119100447565818</v>
      </c>
      <c r="R233" s="47">
        <f>Calculo!AW231</f>
        <v/>
      </c>
      <c r="S233" s="45">
        <f>IF(AND(ISNUMBER(Q233),ISNUMBER(R233)),ABS(R233-Q233),IF(ISNUMBER(Q233)=ISNUMBER(R233),0,1))</f>
        <v/>
      </c>
      <c r="T233" s="46" t="n">
        <v>1.078018654742486</v>
      </c>
      <c r="U233" s="47">
        <f>Calculo!AX231</f>
        <v/>
      </c>
      <c r="V233" s="45">
        <f>IF(AND(ISNUMBER(T233),ISNUMBER(U233)),ABS(U233-T233),IF(ISNUMBER(T233)=ISNUMBER(U233),0,1))</f>
        <v/>
      </c>
      <c r="W233" s="46" t="n">
        <v>1.064860371337409</v>
      </c>
      <c r="X233" s="47">
        <f>Calculo!AY231</f>
        <v/>
      </c>
      <c r="Y233" s="45">
        <f>IF(AND(ISNUMBER(W233),ISNUMBER(X233)),ABS(X233-W233),IF(ISNUMBER(W233)=ISNUMBER(X233),0,1))</f>
        <v/>
      </c>
      <c r="Z233" s="46" t="n">
        <v>-0.001850798167452513</v>
      </c>
      <c r="AA233" s="47">
        <f>Calculo!BC231</f>
        <v/>
      </c>
      <c r="AB233" s="45">
        <f>IF(AND(ISNUMBER(Z233),ISNUMBER(AA233)),ABS(AA233-Z233),IF(ISNUMBER(Z233)=ISNUMBER(AA233),0,1))</f>
        <v/>
      </c>
    </row>
    <row r="234">
      <c r="A234" s="36">
        <f>Calculo!A232</f>
        <v/>
      </c>
      <c r="B234" s="46" t="n">
        <v>0.02521266378917397</v>
      </c>
      <c r="C234" s="47">
        <f>Calculo!W232</f>
        <v/>
      </c>
      <c r="D234" s="45">
        <f>IF(AND(ISNUMBER(B234),ISNUMBER(C234)),ABS(C234-B234),IF(ISNUMBER(B234)=ISNUMBER(C234),0,1))</f>
        <v/>
      </c>
      <c r="E234" s="46" t="n">
        <v>1.280123007757596</v>
      </c>
      <c r="F234" s="47">
        <f>Calculo!V232</f>
        <v/>
      </c>
      <c r="G234" s="45">
        <f>IF(AND(ISNUMBER(E234),ISNUMBER(F234)),ABS(F234-E234),IF(ISNUMBER(E234)=ISNUMBER(F234),0,1))</f>
        <v/>
      </c>
      <c r="H234" s="46" t="n">
        <v>-0.02148672355885465</v>
      </c>
      <c r="I234" s="47">
        <f>Calculo!AK232</f>
        <v/>
      </c>
      <c r="J234" s="45">
        <f>IF(AND(ISNUMBER(H234),ISNUMBER(I234)),ABS(I234-H234),IF(ISNUMBER(H234)=ISNUMBER(I234),0,1))</f>
        <v/>
      </c>
      <c r="K234" s="46" t="n">
        <v>-0.01661772568053452</v>
      </c>
      <c r="L234" s="47">
        <f>Calculo!AL232</f>
        <v/>
      </c>
      <c r="M234" s="45">
        <f>IF(AND(ISNUMBER(K234),ISNUMBER(L234)),ABS(L234-K234),IF(ISNUMBER(K234)=ISNUMBER(L234),0,1))</f>
        <v/>
      </c>
      <c r="N234" s="46" t="n">
        <v>-0.05430819638718621</v>
      </c>
      <c r="O234" s="47">
        <f>Calculo!AP232</f>
        <v/>
      </c>
      <c r="P234" s="45">
        <f>IF(AND(ISNUMBER(N234),ISNUMBER(O234)),ABS(O234-N234),IF(ISNUMBER(N234)=ISNUMBER(O234),0,1))</f>
        <v/>
      </c>
      <c r="Q234" s="46" t="n">
        <v>0.4231531832313494</v>
      </c>
      <c r="R234" s="47">
        <f>Calculo!AW232</f>
        <v/>
      </c>
      <c r="S234" s="45">
        <f>IF(AND(ISNUMBER(Q234),ISNUMBER(R234)),ABS(R234-Q234),IF(ISNUMBER(Q234)=ISNUMBER(R234),0,1))</f>
        <v/>
      </c>
      <c r="T234" s="46" t="n">
        <v>1.07991669799848</v>
      </c>
      <c r="U234" s="47">
        <f>Calculo!AX232</f>
        <v/>
      </c>
      <c r="V234" s="45">
        <f>IF(AND(ISNUMBER(T234),ISNUMBER(U234)),ABS(U234-T234),IF(ISNUMBER(T234)=ISNUMBER(U234),0,1))</f>
        <v/>
      </c>
      <c r="W234" s="46" t="n">
        <v>1.0535720699965</v>
      </c>
      <c r="X234" s="47">
        <f>Calculo!AY232</f>
        <v/>
      </c>
      <c r="Y234" s="45">
        <f>IF(AND(ISNUMBER(W234),ISNUMBER(X234)),ABS(X234-W234),IF(ISNUMBER(W234)=ISNUMBER(X234),0,1))</f>
        <v/>
      </c>
      <c r="Z234" s="46" t="n">
        <v>0.0003438876940181522</v>
      </c>
      <c r="AA234" s="47">
        <f>Calculo!BC232</f>
        <v/>
      </c>
      <c r="AB234" s="45">
        <f>IF(AND(ISNUMBER(Z234),ISNUMBER(AA234)),ABS(AA234-Z234),IF(ISNUMBER(Z234)=ISNUMBER(AA234),0,1))</f>
        <v/>
      </c>
    </row>
    <row r="235">
      <c r="A235" s="36">
        <f>Calculo!A233</f>
        <v/>
      </c>
      <c r="B235" s="46" t="n">
        <v>0.067702401388891</v>
      </c>
      <c r="C235" s="47">
        <f>Calculo!W233</f>
        <v/>
      </c>
      <c r="D235" s="45">
        <f>IF(AND(ISNUMBER(B235),ISNUMBER(C235)),ABS(C235-B235),IF(ISNUMBER(B235)=ISNUMBER(C235),0,1))</f>
        <v/>
      </c>
      <c r="E235" s="46" t="n">
        <v>1.266738906191605</v>
      </c>
      <c r="F235" s="47">
        <f>Calculo!V233</f>
        <v/>
      </c>
      <c r="G235" s="45">
        <f>IF(AND(ISNUMBER(E235),ISNUMBER(F235)),ABS(F235-E235),IF(ISNUMBER(E235)=ISNUMBER(F235),0,1))</f>
        <v/>
      </c>
      <c r="H235" s="46" t="n">
        <v>0.002435924584577802</v>
      </c>
      <c r="I235" s="47">
        <f>Calculo!AK233</f>
        <v/>
      </c>
      <c r="J235" s="45">
        <f>IF(AND(ISNUMBER(H235),ISNUMBER(I235)),ABS(I235-H235),IF(ISNUMBER(H235)=ISNUMBER(I235),0,1))</f>
        <v/>
      </c>
      <c r="K235" s="46" t="n">
        <v>-0.01782746757219584</v>
      </c>
      <c r="L235" s="47">
        <f>Calculo!AL233</f>
        <v/>
      </c>
      <c r="M235" s="45">
        <f>IF(AND(ISNUMBER(K235),ISNUMBER(L235)),ABS(L235-K235),IF(ISNUMBER(K235)=ISNUMBER(L235),0,1))</f>
        <v/>
      </c>
      <c r="N235" s="46" t="n">
        <v>0.05593591318265662</v>
      </c>
      <c r="O235" s="47">
        <f>Calculo!AP233</f>
        <v/>
      </c>
      <c r="P235" s="45">
        <f>IF(AND(ISNUMBER(N235),ISNUMBER(O235)),ABS(O235-N235),IF(ISNUMBER(N235)=ISNUMBER(O235),0,1))</f>
        <v/>
      </c>
      <c r="Q235" s="46" t="n">
        <v>-0.5186909459490449</v>
      </c>
      <c r="R235" s="47">
        <f>Calculo!AW233</f>
        <v/>
      </c>
      <c r="S235" s="45">
        <f>IF(AND(ISNUMBER(Q235),ISNUMBER(R235)),ABS(R235-Q235),IF(ISNUMBER(Q235)=ISNUMBER(R235),0,1))</f>
        <v/>
      </c>
      <c r="T235" s="46" t="n">
        <v>0.9046621901787203</v>
      </c>
      <c r="U235" s="47">
        <f>Calculo!AX233</f>
        <v/>
      </c>
      <c r="V235" s="45">
        <f>IF(AND(ISNUMBER(T235),ISNUMBER(U235)),ABS(U235-T235),IF(ISNUMBER(T235)=ISNUMBER(U235),0,1))</f>
        <v/>
      </c>
      <c r="W235" s="46" t="n">
        <v>1.020865847639896</v>
      </c>
      <c r="X235" s="47">
        <f>Calculo!AY233</f>
        <v/>
      </c>
      <c r="Y235" s="45">
        <f>IF(AND(ISNUMBER(W235),ISNUMBER(X235)),ABS(X235-W235),IF(ISNUMBER(W235)=ISNUMBER(X235),0,1))</f>
        <v/>
      </c>
      <c r="Z235" s="46" t="n">
        <v>0.0008785186931819217</v>
      </c>
      <c r="AA235" s="47">
        <f>Calculo!BC233</f>
        <v/>
      </c>
      <c r="AB235" s="45">
        <f>IF(AND(ISNUMBER(Z235),ISNUMBER(AA235)),ABS(AA235-Z235),IF(ISNUMBER(Z235)=ISNUMBER(AA235),0,1))</f>
        <v/>
      </c>
    </row>
    <row r="236">
      <c r="A236" s="36">
        <f>Calculo!A234</f>
        <v/>
      </c>
      <c r="B236" s="46" t="n">
        <v>0.06688444397855987</v>
      </c>
      <c r="C236" s="47">
        <f>Calculo!W234</f>
        <v/>
      </c>
      <c r="D236" s="45">
        <f>IF(AND(ISNUMBER(B236),ISNUMBER(C236)),ABS(C236-B236),IF(ISNUMBER(B236)=ISNUMBER(C236),0,1))</f>
        <v/>
      </c>
      <c r="E236" s="46" t="n">
        <v>1.292728911762674</v>
      </c>
      <c r="F236" s="47">
        <f>Calculo!V234</f>
        <v/>
      </c>
      <c r="G236" s="45">
        <f>IF(AND(ISNUMBER(E236),ISNUMBER(F236)),ABS(F236-E236),IF(ISNUMBER(E236)=ISNUMBER(F236),0,1))</f>
        <v/>
      </c>
      <c r="H236" s="46" t="n">
        <v>-0.02266684167950725</v>
      </c>
      <c r="I236" s="47">
        <f>Calculo!AK234</f>
        <v/>
      </c>
      <c r="J236" s="45">
        <f>IF(AND(ISNUMBER(H236),ISNUMBER(I236)),ABS(I236-H236),IF(ISNUMBER(H236)=ISNUMBER(I236),0,1))</f>
        <v/>
      </c>
      <c r="K236" s="46" t="n">
        <v>-0.016304241927614</v>
      </c>
      <c r="L236" s="47">
        <f>Calculo!AL234</f>
        <v/>
      </c>
      <c r="M236" s="45">
        <f>IF(AND(ISNUMBER(K236),ISNUMBER(L236)),ABS(L236-K236),IF(ISNUMBER(K236)=ISNUMBER(L236),0,1))</f>
        <v/>
      </c>
      <c r="N236" s="46" t="n">
        <v>0.2124669872398413</v>
      </c>
      <c r="O236" s="47">
        <f>Calculo!AP234</f>
        <v/>
      </c>
      <c r="P236" s="45">
        <f>IF(AND(ISNUMBER(N236),ISNUMBER(O236)),ABS(O236-N236),IF(ISNUMBER(N236)=ISNUMBER(O236),0,1))</f>
        <v/>
      </c>
      <c r="Q236" s="46" t="n">
        <v>-1.838397510828294</v>
      </c>
      <c r="R236" s="47">
        <f>Calculo!AW234</f>
        <v/>
      </c>
      <c r="S236" s="45">
        <f>IF(AND(ISNUMBER(Q236),ISNUMBER(R236)),ABS(R236-Q236),IF(ISNUMBER(Q236)=ISNUMBER(R236),0,1))</f>
        <v/>
      </c>
      <c r="T236" s="46" t="n">
        <v>0.8098717824166815</v>
      </c>
      <c r="U236" s="47">
        <f>Calculo!AX234</f>
        <v/>
      </c>
      <c r="V236" s="45">
        <f>IF(AND(ISNUMBER(T236),ISNUMBER(U236)),ABS(U236-T236),IF(ISNUMBER(T236)=ISNUMBER(U236),0,1))</f>
        <v/>
      </c>
      <c r="W236" s="46" t="n">
        <v>0.9314835568646274</v>
      </c>
      <c r="X236" s="47">
        <f>Calculo!AY234</f>
        <v/>
      </c>
      <c r="Y236" s="45">
        <f>IF(AND(ISNUMBER(W236),ISNUMBER(X236)),ABS(X236-W236),IF(ISNUMBER(W236)=ISNUMBER(X236),0,1))</f>
        <v/>
      </c>
      <c r="Z236" s="46" t="n">
        <v>0.000267134598492429</v>
      </c>
      <c r="AA236" s="47">
        <f>Calculo!BC234</f>
        <v/>
      </c>
      <c r="AB236" s="45">
        <f>IF(AND(ISNUMBER(Z236),ISNUMBER(AA236)),ABS(AA236-Z236),IF(ISNUMBER(Z236)=ISNUMBER(AA236),0,1))</f>
        <v/>
      </c>
    </row>
    <row r="237">
      <c r="A237" s="36">
        <f>Calculo!A235</f>
        <v/>
      </c>
      <c r="B237" s="46" t="n">
        <v>-0.09072173511084995</v>
      </c>
      <c r="C237" s="47">
        <f>Calculo!W235</f>
        <v/>
      </c>
      <c r="D237" s="45">
        <f>IF(AND(ISNUMBER(B237),ISNUMBER(C237)),ABS(C237-B237),IF(ISNUMBER(B237)=ISNUMBER(C237),0,1))</f>
        <v/>
      </c>
      <c r="E237" s="46" t="n">
        <v>1.296336265107107</v>
      </c>
      <c r="F237" s="47">
        <f>Calculo!V235</f>
        <v/>
      </c>
      <c r="G237" s="45">
        <f>IF(AND(ISNUMBER(E237),ISNUMBER(F237)),ABS(F237-E237),IF(ISNUMBER(E237)=ISNUMBER(F237),0,1))</f>
        <v/>
      </c>
      <c r="H237" s="46" t="n">
        <v>-0.02203598439441086</v>
      </c>
      <c r="I237" s="47">
        <f>Calculo!AK235</f>
        <v/>
      </c>
      <c r="J237" s="45">
        <f>IF(AND(ISNUMBER(H237),ISNUMBER(I237)),ABS(I237-H237),IF(ISNUMBER(H237)=ISNUMBER(I237),0,1))</f>
        <v/>
      </c>
      <c r="K237" s="46" t="n">
        <v>-0.01568485422411241</v>
      </c>
      <c r="L237" s="47">
        <f>Calculo!AL235</f>
        <v/>
      </c>
      <c r="M237" s="45">
        <f>IF(AND(ISNUMBER(K237),ISNUMBER(L237)),ABS(L237-K237),IF(ISNUMBER(K237)=ISNUMBER(L237),0,1))</f>
        <v/>
      </c>
      <c r="N237" s="46" t="n">
        <v>0.09917457082649866</v>
      </c>
      <c r="O237" s="47">
        <f>Calculo!AP235</f>
        <v/>
      </c>
      <c r="P237" s="45">
        <f>IF(AND(ISNUMBER(N237),ISNUMBER(O237)),ABS(O237-N237),IF(ISNUMBER(N237)=ISNUMBER(O237),0,1))</f>
        <v/>
      </c>
      <c r="Q237" s="46" t="n">
        <v>-0.8689423700234947</v>
      </c>
      <c r="R237" s="47">
        <f>Calculo!AW235</f>
        <v/>
      </c>
      <c r="S237" s="45">
        <f>IF(AND(ISNUMBER(Q237),ISNUMBER(R237)),ABS(R237-Q237),IF(ISNUMBER(Q237)=ISNUMBER(R237),0,1))</f>
        <v/>
      </c>
      <c r="T237" s="46" t="n">
        <v>0.8598327244807219</v>
      </c>
      <c r="U237" s="47">
        <f>Calculo!AX235</f>
        <v/>
      </c>
      <c r="V237" s="45">
        <f>IF(AND(ISNUMBER(T237),ISNUMBER(U237)),ABS(U237-T237),IF(ISNUMBER(T237)=ISNUMBER(U237),0,1))</f>
        <v/>
      </c>
      <c r="W237" s="46" t="n">
        <v>0.8581222323587078</v>
      </c>
      <c r="X237" s="47">
        <f>Calculo!AY235</f>
        <v/>
      </c>
      <c r="Y237" s="45">
        <f>IF(AND(ISNUMBER(W237),ISNUMBER(X237)),ABS(X237-W237),IF(ISNUMBER(W237)=ISNUMBER(X237),0,1))</f>
        <v/>
      </c>
      <c r="Z237" s="46" t="n">
        <v>0.001330526924278052</v>
      </c>
      <c r="AA237" s="47">
        <f>Calculo!BC235</f>
        <v/>
      </c>
      <c r="AB237" s="45">
        <f>IF(AND(ISNUMBER(Z237),ISNUMBER(AA237)),ABS(AA237-Z237),IF(ISNUMBER(Z237)=ISNUMBER(AA237),0,1))</f>
        <v/>
      </c>
    </row>
    <row r="238">
      <c r="A238" s="36">
        <f>Calculo!A236</f>
        <v/>
      </c>
      <c r="B238" s="46" t="n">
        <v>-0.09080654806223648</v>
      </c>
      <c r="C238" s="47">
        <f>Calculo!W236</f>
        <v/>
      </c>
      <c r="D238" s="45">
        <f>IF(AND(ISNUMBER(B238),ISNUMBER(C238)),ABS(C238-B238),IF(ISNUMBER(B238)=ISNUMBER(C238),0,1))</f>
        <v/>
      </c>
      <c r="E238" s="46" t="n">
        <v>1.301102849938749</v>
      </c>
      <c r="F238" s="47">
        <f>Calculo!V236</f>
        <v/>
      </c>
      <c r="G238" s="45">
        <f>IF(AND(ISNUMBER(E238),ISNUMBER(F238)),ABS(F238-E238),IF(ISNUMBER(E238)=ISNUMBER(F238),0,1))</f>
        <v/>
      </c>
      <c r="H238" s="46" t="n">
        <v>-0.04403468026006197</v>
      </c>
      <c r="I238" s="47">
        <f>Calculo!AK236</f>
        <v/>
      </c>
      <c r="J238" s="45">
        <f>IF(AND(ISNUMBER(H238),ISNUMBER(I238)),ABS(I238-H238),IF(ISNUMBER(H238)=ISNUMBER(I238),0,1))</f>
        <v/>
      </c>
      <c r="K238" s="46" t="n">
        <v>-0.01808778663562349</v>
      </c>
      <c r="L238" s="47">
        <f>Calculo!AL236</f>
        <v/>
      </c>
      <c r="M238" s="45">
        <f>IF(AND(ISNUMBER(K238),ISNUMBER(L238)),ABS(L238-K238),IF(ISNUMBER(K238)=ISNUMBER(L238),0,1))</f>
        <v/>
      </c>
      <c r="N238" s="46" t="n">
        <v>-0.05275530181882962</v>
      </c>
      <c r="O238" s="47">
        <f>Calculo!AP236</f>
        <v/>
      </c>
      <c r="P238" s="45">
        <f>IF(AND(ISNUMBER(N238),ISNUMBER(O238)),ABS(O238-N238),IF(ISNUMBER(N238)=ISNUMBER(O238),0,1))</f>
        <v/>
      </c>
      <c r="Q238" s="46" t="n">
        <v>0.4249069173465927</v>
      </c>
      <c r="R238" s="47">
        <f>Calculo!AW236</f>
        <v/>
      </c>
      <c r="S238" s="45">
        <f>IF(AND(ISNUMBER(Q238),ISNUMBER(R238)),ABS(R238-Q238),IF(ISNUMBER(Q238)=ISNUMBER(R238),0,1))</f>
        <v/>
      </c>
      <c r="T238" s="46" t="n">
        <v>1.080211235437687</v>
      </c>
      <c r="U238" s="47">
        <f>Calculo!AX236</f>
        <v/>
      </c>
      <c r="V238" s="45">
        <f>IF(AND(ISNUMBER(T238),ISNUMBER(U238)),ABS(U238-T238),IF(ISNUMBER(T238)=ISNUMBER(U238),0,1))</f>
        <v/>
      </c>
      <c r="W238" s="46" t="n">
        <v>0.9166385807783634</v>
      </c>
      <c r="X238" s="47">
        <f>Calculo!AY236</f>
        <v/>
      </c>
      <c r="Y238" s="45">
        <f>IF(AND(ISNUMBER(W238),ISNUMBER(X238)),ABS(X238-W238),IF(ISNUMBER(W238)=ISNUMBER(X238),0,1))</f>
        <v/>
      </c>
      <c r="Z238" s="46" t="n">
        <v>0.003037454270305657</v>
      </c>
      <c r="AA238" s="47">
        <f>Calculo!BC236</f>
        <v/>
      </c>
      <c r="AB238" s="45">
        <f>IF(AND(ISNUMBER(Z238),ISNUMBER(AA238)),ABS(AA238-Z238),IF(ISNUMBER(Z238)=ISNUMBER(AA238),0,1))</f>
        <v/>
      </c>
    </row>
    <row r="239">
      <c r="A239" s="36">
        <f>Calculo!A237</f>
        <v/>
      </c>
      <c r="B239" s="46" t="n">
        <v>-0.05754206018396166</v>
      </c>
      <c r="C239" s="47">
        <f>Calculo!W237</f>
        <v/>
      </c>
      <c r="D239" s="45">
        <f>IF(AND(ISNUMBER(B239),ISNUMBER(C239)),ABS(C239-B239),IF(ISNUMBER(B239)=ISNUMBER(C239),0,1))</f>
        <v/>
      </c>
      <c r="E239" s="46" t="n">
        <v>1.307519749255406</v>
      </c>
      <c r="F239" s="47">
        <f>Calculo!V237</f>
        <v/>
      </c>
      <c r="G239" s="45">
        <f>IF(AND(ISNUMBER(E239),ISNUMBER(F239)),ABS(F239-E239),IF(ISNUMBER(E239)=ISNUMBER(F239),0,1))</f>
        <v/>
      </c>
      <c r="H239" s="46" t="n">
        <v>-0.06753925457906783</v>
      </c>
      <c r="I239" s="47">
        <f>Calculo!AK237</f>
        <v/>
      </c>
      <c r="J239" s="45">
        <f>IF(AND(ISNUMBER(H239),ISNUMBER(I239)),ABS(I239-H239),IF(ISNUMBER(H239)=ISNUMBER(I239),0,1))</f>
        <v/>
      </c>
      <c r="K239" s="46" t="n">
        <v>-0.01873174136553727</v>
      </c>
      <c r="L239" s="47">
        <f>Calculo!AL237</f>
        <v/>
      </c>
      <c r="M239" s="45">
        <f>IF(AND(ISNUMBER(K239),ISNUMBER(L239)),ABS(L239-K239),IF(ISNUMBER(K239)=ISNUMBER(L239),0,1))</f>
        <v/>
      </c>
      <c r="N239" s="46" t="n">
        <v>-0.1782287582154967</v>
      </c>
      <c r="O239" s="47">
        <f>Calculo!AP237</f>
        <v/>
      </c>
      <c r="P239" s="45">
        <f>IF(AND(ISNUMBER(N239),ISNUMBER(O239)),ABS(O239-N239),IF(ISNUMBER(N239)=ISNUMBER(O239),0,1))</f>
        <v/>
      </c>
      <c r="Q239" s="46" t="n">
        <v>1.483785431683492</v>
      </c>
      <c r="R239" s="47">
        <f>Calculo!AW237</f>
        <v/>
      </c>
      <c r="S239" s="45">
        <f>IF(AND(ISNUMBER(Q239),ISNUMBER(R239)),ABS(R239-Q239),IF(ISNUMBER(Q239)=ISNUMBER(R239),0,1))</f>
        <v/>
      </c>
      <c r="T239" s="46" t="n">
        <v>1.180434958767892</v>
      </c>
      <c r="U239" s="47">
        <f>Calculo!AX237</f>
        <v/>
      </c>
      <c r="V239" s="45">
        <f>IF(AND(ISNUMBER(T239),ISNUMBER(U239)),ABS(U239-T239),IF(ISNUMBER(T239)=ISNUMBER(U239),0,1))</f>
        <v/>
      </c>
      <c r="W239" s="46" t="n">
        <v>1.0401596395621</v>
      </c>
      <c r="X239" s="47">
        <f>Calculo!AY237</f>
        <v/>
      </c>
      <c r="Y239" s="45">
        <f>IF(AND(ISNUMBER(W239),ISNUMBER(X239)),ABS(X239-W239),IF(ISNUMBER(W239)=ISNUMBER(X239),0,1))</f>
        <v/>
      </c>
      <c r="Z239" s="46" t="n">
        <v>0.00105290607941883</v>
      </c>
      <c r="AA239" s="47">
        <f>Calculo!BC237</f>
        <v/>
      </c>
      <c r="AB239" s="45">
        <f>IF(AND(ISNUMBER(Z239),ISNUMBER(AA239)),ABS(AA239-Z239),IF(ISNUMBER(Z239)=ISNUMBER(AA239),0,1))</f>
        <v/>
      </c>
    </row>
    <row r="240">
      <c r="A240" s="36">
        <f>Calculo!A238</f>
        <v/>
      </c>
      <c r="B240" s="46" t="n">
        <v>0.1696399878488608</v>
      </c>
      <c r="C240" s="47">
        <f>Calculo!W238</f>
        <v/>
      </c>
      <c r="D240" s="45">
        <f>IF(AND(ISNUMBER(B240),ISNUMBER(C240)),ABS(C240-B240),IF(ISNUMBER(B240)=ISNUMBER(C240),0,1))</f>
        <v/>
      </c>
      <c r="E240" s="46" t="n">
        <v>1.301259694805459</v>
      </c>
      <c r="F240" s="47">
        <f>Calculo!V238</f>
        <v/>
      </c>
      <c r="G240" s="45">
        <f>IF(AND(ISNUMBER(E240),ISNUMBER(F240)),ABS(F240-E240),IF(ISNUMBER(E240)=ISNUMBER(F240),0,1))</f>
        <v/>
      </c>
      <c r="H240" s="46" t="n">
        <v>-0.07234990497795642</v>
      </c>
      <c r="I240" s="47">
        <f>Calculo!AK238</f>
        <v/>
      </c>
      <c r="J240" s="45">
        <f>IF(AND(ISNUMBER(H240),ISNUMBER(I240)),ABS(I240-H240),IF(ISNUMBER(H240)=ISNUMBER(I240),0,1))</f>
        <v/>
      </c>
      <c r="K240" s="46" t="n">
        <v>-0.01949339647603248</v>
      </c>
      <c r="L240" s="47">
        <f>Calculo!AL238</f>
        <v/>
      </c>
      <c r="M240" s="45">
        <f>IF(AND(ISNUMBER(K240),ISNUMBER(L240)),ABS(L240-K240),IF(ISNUMBER(K240)=ISNUMBER(L240),0,1))</f>
        <v/>
      </c>
      <c r="N240" s="46" t="n">
        <v>0.06532683869082201</v>
      </c>
      <c r="O240" s="47">
        <f>Calculo!AP238</f>
        <v/>
      </c>
      <c r="P240" s="45">
        <f>IF(AND(ISNUMBER(N240),ISNUMBER(O240)),ABS(O240-N240),IF(ISNUMBER(N240)=ISNUMBER(O240),0,1))</f>
        <v/>
      </c>
      <c r="Q240" s="46" t="n">
        <v>-0.5881249924215085</v>
      </c>
      <c r="R240" s="47">
        <f>Calculo!AW238</f>
        <v/>
      </c>
      <c r="S240" s="45">
        <f>IF(AND(ISNUMBER(Q240),ISNUMBER(R240)),ABS(R240-Q240),IF(ISNUMBER(Q240)=ISNUMBER(R240),0,1))</f>
        <v/>
      </c>
      <c r="T240" s="46" t="n">
        <v>0.8942908514940536</v>
      </c>
      <c r="U240" s="47">
        <f>Calculo!AX238</f>
        <v/>
      </c>
      <c r="V240" s="45">
        <f>IF(AND(ISNUMBER(T240),ISNUMBER(U240)),ABS(U240-T240),IF(ISNUMBER(T240)=ISNUMBER(U240),0,1))</f>
        <v/>
      </c>
      <c r="W240" s="46" t="n">
        <v>1.051645681899877</v>
      </c>
      <c r="X240" s="47">
        <f>Calculo!AY238</f>
        <v/>
      </c>
      <c r="Y240" s="45">
        <f>IF(AND(ISNUMBER(W240),ISNUMBER(X240)),ABS(X240-W240),IF(ISNUMBER(W240)=ISNUMBER(X240),0,1))</f>
        <v/>
      </c>
      <c r="Z240" s="46" t="n">
        <v>0.001394367544872977</v>
      </c>
      <c r="AA240" s="47">
        <f>Calculo!BC238</f>
        <v/>
      </c>
      <c r="AB240" s="45">
        <f>IF(AND(ISNUMBER(Z240),ISNUMBER(AA240)),ABS(AA240-Z240),IF(ISNUMBER(Z240)=ISNUMBER(AA240),0,1))</f>
        <v/>
      </c>
    </row>
    <row r="241">
      <c r="A241" s="36">
        <f>Calculo!A239</f>
        <v/>
      </c>
      <c r="B241" s="46" t="n">
        <v>-0.01150062303204881</v>
      </c>
      <c r="C241" s="47">
        <f>Calculo!W239</f>
        <v/>
      </c>
      <c r="D241" s="45">
        <f>IF(AND(ISNUMBER(B241),ISNUMBER(C241)),ABS(C241-B241),IF(ISNUMBER(B241)=ISNUMBER(C241),0,1))</f>
        <v/>
      </c>
      <c r="E241" s="46" t="n">
        <v>1.368338123260419</v>
      </c>
      <c r="F241" s="47">
        <f>Calculo!V239</f>
        <v/>
      </c>
      <c r="G241" s="45">
        <f>IF(AND(ISNUMBER(E241),ISNUMBER(F241)),ABS(F241-E241),IF(ISNUMBER(E241)=ISNUMBER(F241),0,1))</f>
        <v/>
      </c>
      <c r="H241" s="46" t="n">
        <v>-0.1352599410323758</v>
      </c>
      <c r="I241" s="47">
        <f>Calculo!AK239</f>
        <v/>
      </c>
      <c r="J241" s="45">
        <f>IF(AND(ISNUMBER(H241),ISNUMBER(I241)),ABS(I241-H241),IF(ISNUMBER(H241)=ISNUMBER(I241),0,1))</f>
        <v/>
      </c>
      <c r="K241" s="46" t="n">
        <v>-0.01634338496020899</v>
      </c>
      <c r="L241" s="47">
        <f>Calculo!AL239</f>
        <v/>
      </c>
      <c r="M241" s="45">
        <f>IF(AND(ISNUMBER(K241),ISNUMBER(L241)),ABS(L241-K241),IF(ISNUMBER(K241)=ISNUMBER(L241),0,1))</f>
        <v/>
      </c>
      <c r="N241" s="46" t="n">
        <v>0.1322504799234055</v>
      </c>
      <c r="O241" s="47">
        <f>Calculo!AP239</f>
        <v/>
      </c>
      <c r="P241" s="45">
        <f>IF(AND(ISNUMBER(N241),ISNUMBER(O241)),ABS(O241-N241),IF(ISNUMBER(N241)=ISNUMBER(O241),0,1))</f>
        <v/>
      </c>
      <c r="Q241" s="46" t="n">
        <v>-1.151705112384547</v>
      </c>
      <c r="R241" s="47">
        <f>Calculo!AW239</f>
        <v/>
      </c>
      <c r="S241" s="45">
        <f>IF(AND(ISNUMBER(Q241),ISNUMBER(R241)),ABS(R241-Q241),IF(ISNUMBER(Q241)=ISNUMBER(R241),0,1))</f>
        <v/>
      </c>
      <c r="T241" s="46" t="n">
        <v>0.8363363684860894</v>
      </c>
      <c r="U241" s="47">
        <f>Calculo!AX239</f>
        <v/>
      </c>
      <c r="V241" s="45">
        <f>IF(AND(ISNUMBER(T241),ISNUMBER(U241)),ABS(U241-T241),IF(ISNUMBER(T241)=ISNUMBER(U241),0,1))</f>
        <v/>
      </c>
      <c r="W241" s="46" t="n">
        <v>0.9703540595826782</v>
      </c>
      <c r="X241" s="47">
        <f>Calculo!AY239</f>
        <v/>
      </c>
      <c r="Y241" s="45">
        <f>IF(AND(ISNUMBER(W241),ISNUMBER(X241)),ABS(X241-W241),IF(ISNUMBER(W241)=ISNUMBER(X241),0,1))</f>
        <v/>
      </c>
      <c r="Z241" s="46" t="n">
        <v>-0.0001772044855353426</v>
      </c>
      <c r="AA241" s="47">
        <f>Calculo!BC239</f>
        <v/>
      </c>
      <c r="AB241" s="45">
        <f>IF(AND(ISNUMBER(Z241),ISNUMBER(AA241)),ABS(AA241-Z241),IF(ISNUMBER(Z241)=ISNUMBER(AA241),0,1))</f>
        <v/>
      </c>
    </row>
    <row r="242">
      <c r="A242" s="36">
        <f>Calculo!A240</f>
        <v/>
      </c>
      <c r="B242" s="46" t="n">
        <v>-0.09414540086235201</v>
      </c>
      <c r="C242" s="47">
        <f>Calculo!W240</f>
        <v/>
      </c>
      <c r="D242" s="45">
        <f>IF(AND(ISNUMBER(B242),ISNUMBER(C242)),ABS(C242-B242),IF(ISNUMBER(B242)=ISNUMBER(C242),0,1))</f>
        <v/>
      </c>
      <c r="E242" s="46" t="n">
        <v>1.352957796029504</v>
      </c>
      <c r="F242" s="47">
        <f>Calculo!V240</f>
        <v/>
      </c>
      <c r="G242" s="45">
        <f>IF(AND(ISNUMBER(E242),ISNUMBER(F242)),ABS(F242-E242),IF(ISNUMBER(E242)=ISNUMBER(F242),0,1))</f>
        <v/>
      </c>
      <c r="H242" s="46" t="n">
        <v>-0.1312666542731244</v>
      </c>
      <c r="I242" s="47">
        <f>Calculo!AK240</f>
        <v/>
      </c>
      <c r="J242" s="45">
        <f>IF(AND(ISNUMBER(H242),ISNUMBER(I242)),ABS(I242-H242),IF(ISNUMBER(H242)=ISNUMBER(I242),0,1))</f>
        <v/>
      </c>
      <c r="K242" s="46" t="n">
        <v>-0.0170157117961409</v>
      </c>
      <c r="L242" s="47">
        <f>Calculo!AL240</f>
        <v/>
      </c>
      <c r="M242" s="45">
        <f>IF(AND(ISNUMBER(K242),ISNUMBER(L242)),ABS(L242-K242),IF(ISNUMBER(K242)=ISNUMBER(L242),0,1))</f>
        <v/>
      </c>
      <c r="N242" s="46" t="n">
        <v>0.1036665877213178</v>
      </c>
      <c r="O242" s="47">
        <f>Calculo!AP240</f>
        <v/>
      </c>
      <c r="P242" s="45">
        <f>IF(AND(ISNUMBER(N242),ISNUMBER(O242)),ABS(O242-N242),IF(ISNUMBER(N242)=ISNUMBER(O242),0,1))</f>
        <v/>
      </c>
      <c r="Q242" s="46" t="n">
        <v>-0.9036081015672334</v>
      </c>
      <c r="R242" s="47">
        <f>Calculo!AW240</f>
        <v/>
      </c>
      <c r="S242" s="45">
        <f>IF(AND(ISNUMBER(Q242),ISNUMBER(R242)),ABS(R242-Q242),IF(ISNUMBER(Q242)=ISNUMBER(R242),0,1))</f>
        <v/>
      </c>
      <c r="T242" s="46" t="n">
        <v>0.856389963783137</v>
      </c>
      <c r="U242" s="47">
        <f>Calculo!AX240</f>
        <v/>
      </c>
      <c r="V242" s="45">
        <f>IF(AND(ISNUMBER(T242),ISNUMBER(U242)),ABS(U242-T242),IF(ISNUMBER(T242)=ISNUMBER(U242),0,1))</f>
        <v/>
      </c>
      <c r="W242" s="46" t="n">
        <v>0.8623390612544267</v>
      </c>
      <c r="X242" s="47">
        <f>Calculo!AY240</f>
        <v/>
      </c>
      <c r="Y242" s="45">
        <f>IF(AND(ISNUMBER(W242),ISNUMBER(X242)),ABS(X242-W242),IF(ISNUMBER(W242)=ISNUMBER(X242),0,1))</f>
        <v/>
      </c>
      <c r="Z242" s="46" t="n">
        <v>0.0004945281803395436</v>
      </c>
      <c r="AA242" s="47">
        <f>Calculo!BC240</f>
        <v/>
      </c>
      <c r="AB242" s="45">
        <f>IF(AND(ISNUMBER(Z242),ISNUMBER(AA242)),ABS(AA242-Z242),IF(ISNUMBER(Z242)=ISNUMBER(AA242),0,1))</f>
        <v/>
      </c>
    </row>
    <row r="243">
      <c r="A243" s="36">
        <f>Calculo!A241</f>
        <v/>
      </c>
      <c r="B243" s="46" t="n">
        <v>-0.09867060472849459</v>
      </c>
      <c r="C243" s="47">
        <f>Calculo!W241</f>
        <v/>
      </c>
      <c r="D243" s="45">
        <f>IF(AND(ISNUMBER(B243),ISNUMBER(C243)),ABS(C243-B243),IF(ISNUMBER(B243)=ISNUMBER(C243),0,1))</f>
        <v/>
      </c>
      <c r="E243" s="46" t="n">
        <v>1.300496905711375</v>
      </c>
      <c r="F243" s="47">
        <f>Calculo!V241</f>
        <v/>
      </c>
      <c r="G243" s="45">
        <f>IF(AND(ISNUMBER(E243),ISNUMBER(F243)),ABS(F243-E243),IF(ISNUMBER(E243)=ISNUMBER(F243),0,1))</f>
        <v/>
      </c>
      <c r="H243" s="46" t="n">
        <v>-0.1396578916740637</v>
      </c>
      <c r="I243" s="47">
        <f>Calculo!AK241</f>
        <v/>
      </c>
      <c r="J243" s="45">
        <f>IF(AND(ISNUMBER(H243),ISNUMBER(I243)),ABS(I243-H243),IF(ISNUMBER(H243)=ISNUMBER(I243),0,1))</f>
        <v/>
      </c>
      <c r="K243" s="46" t="n">
        <v>-0.01852834736744792</v>
      </c>
      <c r="L243" s="47">
        <f>Calculo!AL241</f>
        <v/>
      </c>
      <c r="M243" s="45">
        <f>IF(AND(ISNUMBER(K243),ISNUMBER(L243)),ABS(L243-K243),IF(ISNUMBER(K243)=ISNUMBER(L243),0,1))</f>
        <v/>
      </c>
      <c r="N243" s="46" t="n">
        <v>-0.121832678407479</v>
      </c>
      <c r="O243" s="47">
        <f>Calculo!AP241</f>
        <v/>
      </c>
      <c r="P243" s="45">
        <f>IF(AND(ISNUMBER(N243),ISNUMBER(O243)),ABS(O243-N243),IF(ISNUMBER(N243)=ISNUMBER(O243),0,1))</f>
        <v/>
      </c>
      <c r="Q243" s="46" t="n">
        <v>1.013766912264139</v>
      </c>
      <c r="R243" s="47">
        <f>Calculo!AW241</f>
        <v/>
      </c>
      <c r="S243" s="45">
        <f>IF(AND(ISNUMBER(Q243),ISNUMBER(R243)),ABS(R243-Q243),IF(ISNUMBER(Q243)=ISNUMBER(R243),0,1))</f>
        <v/>
      </c>
      <c r="T243" s="46" t="n">
        <v>1.153463111335537</v>
      </c>
      <c r="U243" s="47">
        <f>Calculo!AX241</f>
        <v/>
      </c>
      <c r="V243" s="45">
        <f>IF(AND(ISNUMBER(T243),ISNUMBER(U243)),ABS(U243-T243),IF(ISNUMBER(T243)=ISNUMBER(U243),0,1))</f>
        <v/>
      </c>
      <c r="W243" s="46" t="n">
        <v>0.9487298145349211</v>
      </c>
      <c r="X243" s="47">
        <f>Calculo!AY241</f>
        <v/>
      </c>
      <c r="Y243" s="45">
        <f>IF(AND(ISNUMBER(W243),ISNUMBER(X243)),ABS(X243-W243),IF(ISNUMBER(W243)=ISNUMBER(X243),0,1))</f>
        <v/>
      </c>
      <c r="Z243" s="46" t="n">
        <v>0.003125734522558863</v>
      </c>
      <c r="AA243" s="47">
        <f>Calculo!BC241</f>
        <v/>
      </c>
      <c r="AB243" s="45">
        <f>IF(AND(ISNUMBER(Z243),ISNUMBER(AA243)),ABS(AA243-Z243),IF(ISNUMBER(Z243)=ISNUMBER(AA243),0,1))</f>
        <v/>
      </c>
    </row>
    <row r="244">
      <c r="A244" s="36">
        <f>Calculo!A242</f>
        <v/>
      </c>
      <c r="B244" s="46" t="n">
        <v>-0.02838603182922317</v>
      </c>
      <c r="C244" s="47">
        <f>Calculo!W242</f>
        <v/>
      </c>
      <c r="D244" s="45">
        <f>IF(AND(ISNUMBER(B244),ISNUMBER(C244)),ABS(C244-B244),IF(ISNUMBER(B244)=ISNUMBER(C244),0,1))</f>
        <v/>
      </c>
      <c r="E244" s="46" t="n">
        <v>1.340756076540383</v>
      </c>
      <c r="F244" s="47">
        <f>Calculo!V242</f>
        <v/>
      </c>
      <c r="G244" s="45">
        <f>IF(AND(ISNUMBER(E244),ISNUMBER(F244)),ABS(F244-E244),IF(ISNUMBER(E244)=ISNUMBER(F244),0,1))</f>
        <v/>
      </c>
      <c r="H244" s="46" t="n">
        <v>-0.3025299610595962</v>
      </c>
      <c r="I244" s="47">
        <f>Calculo!AK242</f>
        <v/>
      </c>
      <c r="J244" s="45">
        <f>IF(AND(ISNUMBER(H244),ISNUMBER(I244)),ABS(I244-H244),IF(ISNUMBER(H244)=ISNUMBER(I244),0,1))</f>
        <v/>
      </c>
      <c r="K244" s="46" t="n">
        <v>-0.01424005990437956</v>
      </c>
      <c r="L244" s="47">
        <f>Calculo!AL242</f>
        <v/>
      </c>
      <c r="M244" s="45">
        <f>IF(AND(ISNUMBER(K244),ISNUMBER(L244)),ABS(L244-K244),IF(ISNUMBER(K244)=ISNUMBER(L244),0,1))</f>
        <v/>
      </c>
      <c r="N244" s="46" t="n">
        <v>-0.1329645251970186</v>
      </c>
      <c r="O244" s="47">
        <f>Calculo!AP242</f>
        <v/>
      </c>
      <c r="P244" s="45">
        <f>IF(AND(ISNUMBER(N244),ISNUMBER(O244)),ABS(O244-N244),IF(ISNUMBER(N244)=ISNUMBER(O244),0,1))</f>
        <v/>
      </c>
      <c r="Q244" s="46" t="n">
        <v>1.102097140394741</v>
      </c>
      <c r="R244" s="47">
        <f>Calculo!AW242</f>
        <v/>
      </c>
      <c r="S244" s="45">
        <f>IF(AND(ISNUMBER(Q244),ISNUMBER(R244)),ABS(R244-Q244),IF(ISNUMBER(Q244)=ISNUMBER(R244),0,1))</f>
        <v/>
      </c>
      <c r="T244" s="46" t="n">
        <v>1.160250210753548</v>
      </c>
      <c r="U244" s="47">
        <f>Calculo!AX242</f>
        <v/>
      </c>
      <c r="V244" s="45">
        <f>IF(AND(ISNUMBER(T244),ISNUMBER(U244)),ABS(U244-T244),IF(ISNUMBER(T244)=ISNUMBER(U244),0,1))</f>
        <v/>
      </c>
      <c r="W244" s="46" t="n">
        <v>1.056701095290741</v>
      </c>
      <c r="X244" s="47">
        <f>Calculo!AY242</f>
        <v/>
      </c>
      <c r="Y244" s="45">
        <f>IF(AND(ISNUMBER(W244),ISNUMBER(X244)),ABS(X244-W244),IF(ISNUMBER(W244)=ISNUMBER(X244),0,1))</f>
        <v/>
      </c>
      <c r="Z244" s="46" t="n">
        <v>0.0001478623959242401</v>
      </c>
      <c r="AA244" s="47">
        <f>Calculo!BC242</f>
        <v/>
      </c>
      <c r="AB244" s="45">
        <f>IF(AND(ISNUMBER(Z244),ISNUMBER(AA244)),ABS(AA244-Z244),IF(ISNUMBER(Z244)=ISNUMBER(AA244),0,1))</f>
        <v/>
      </c>
    </row>
    <row r="245">
      <c r="A245" s="36">
        <f>Calculo!A243</f>
        <v/>
      </c>
      <c r="B245" s="46" t="n">
        <v>0.05956977215700093</v>
      </c>
      <c r="C245" s="47">
        <f>Calculo!W243</f>
        <v/>
      </c>
      <c r="D245" s="45">
        <f>IF(AND(ISNUMBER(B245),ISNUMBER(C245)),ABS(C245-B245),IF(ISNUMBER(B245)=ISNUMBER(C245),0,1))</f>
        <v/>
      </c>
      <c r="E245" s="46" t="n">
        <v>1.355945432639705</v>
      </c>
      <c r="F245" s="47">
        <f>Calculo!V243</f>
        <v/>
      </c>
      <c r="G245" s="45">
        <f>IF(AND(ISNUMBER(E245),ISNUMBER(F245)),ABS(F245-E245),IF(ISNUMBER(E245)=ISNUMBER(F245),0,1))</f>
        <v/>
      </c>
      <c r="H245" s="46" t="n">
        <v>-0.2707732978836416</v>
      </c>
      <c r="I245" s="47">
        <f>Calculo!AK243</f>
        <v/>
      </c>
      <c r="J245" s="45">
        <f>IF(AND(ISNUMBER(H245),ISNUMBER(I245)),ABS(I245-H245),IF(ISNUMBER(H245)=ISNUMBER(I245),0,1))</f>
        <v/>
      </c>
      <c r="K245" s="46" t="n">
        <v>-0.01227642311666551</v>
      </c>
      <c r="L245" s="47">
        <f>Calculo!AL243</f>
        <v/>
      </c>
      <c r="M245" s="45">
        <f>IF(AND(ISNUMBER(K245),ISNUMBER(L245)),ABS(L245-K245),IF(ISNUMBER(K245)=ISNUMBER(L245),0,1))</f>
        <v/>
      </c>
      <c r="N245" s="46" t="n">
        <v>-0.0631078742288054</v>
      </c>
      <c r="O245" s="47">
        <f>Calculo!AP243</f>
        <v/>
      </c>
      <c r="P245" s="45">
        <f>IF(AND(ISNUMBER(N245),ISNUMBER(O245)),ABS(O245-N245),IF(ISNUMBER(N245)=ISNUMBER(O245),0,1))</f>
        <v/>
      </c>
      <c r="Q245" s="46" t="n">
        <v>0.5051146800374797</v>
      </c>
      <c r="R245" s="47">
        <f>Calculo!AW243</f>
        <v/>
      </c>
      <c r="S245" s="45">
        <f>IF(AND(ISNUMBER(Q245),ISNUMBER(R245)),ABS(R245-Q245),IF(ISNUMBER(Q245)=ISNUMBER(R245),0,1))</f>
        <v/>
      </c>
      <c r="T245" s="46" t="n">
        <v>1.093226013190311</v>
      </c>
      <c r="U245" s="47">
        <f>Calculo!AX243</f>
        <v/>
      </c>
      <c r="V245" s="45">
        <f>IF(AND(ISNUMBER(T245),ISNUMBER(U245)),ABS(U245-T245),IF(ISNUMBER(T245)=ISNUMBER(U245),0,1))</f>
        <v/>
      </c>
      <c r="W245" s="46" t="n">
        <v>1.135646445093132</v>
      </c>
      <c r="X245" s="47">
        <f>Calculo!AY243</f>
        <v/>
      </c>
      <c r="Y245" s="45">
        <f>IF(AND(ISNUMBER(W245),ISNUMBER(X245)),ABS(X245-W245),IF(ISNUMBER(W245)=ISNUMBER(X245),0,1))</f>
        <v/>
      </c>
      <c r="Z245" s="46" t="n">
        <v>0.0005744896299909072</v>
      </c>
      <c r="AA245" s="47">
        <f>Calculo!BC243</f>
        <v/>
      </c>
      <c r="AB245" s="45">
        <f>IF(AND(ISNUMBER(Z245),ISNUMBER(AA245)),ABS(AA245-Z245),IF(ISNUMBER(Z245)=ISNUMBER(AA245),0,1))</f>
        <v/>
      </c>
    </row>
    <row r="246">
      <c r="A246" s="36">
        <f>Calculo!A244</f>
        <v/>
      </c>
      <c r="B246" s="46" t="n">
        <v>0.001711644929114915</v>
      </c>
      <c r="C246" s="47">
        <f>Calculo!W244</f>
        <v/>
      </c>
      <c r="D246" s="45">
        <f>IF(AND(ISNUMBER(B246),ISNUMBER(C246)),ABS(C246-B246),IF(ISNUMBER(B246)=ISNUMBER(C246),0,1))</f>
        <v/>
      </c>
      <c r="E246" s="46" t="n">
        <v>1.380671432978631</v>
      </c>
      <c r="F246" s="47">
        <f>Calculo!V244</f>
        <v/>
      </c>
      <c r="G246" s="45">
        <f>IF(AND(ISNUMBER(E246),ISNUMBER(F246)),ABS(F246-E246),IF(ISNUMBER(E246)=ISNUMBER(F246),0,1))</f>
        <v/>
      </c>
      <c r="H246" s="46" t="n">
        <v>-0.266953547114466</v>
      </c>
      <c r="I246" s="47">
        <f>Calculo!AK244</f>
        <v/>
      </c>
      <c r="J246" s="45">
        <f>IF(AND(ISNUMBER(H246),ISNUMBER(I246)),ABS(I246-H246),IF(ISNUMBER(H246)=ISNUMBER(I246),0,1))</f>
        <v/>
      </c>
      <c r="K246" s="46" t="n">
        <v>-0.01315979841358038</v>
      </c>
      <c r="L246" s="47">
        <f>Calculo!AL244</f>
        <v/>
      </c>
      <c r="M246" s="45">
        <f>IF(AND(ISNUMBER(K246),ISNUMBER(L246)),ABS(L246-K246),IF(ISNUMBER(K246)=ISNUMBER(L246),0,1))</f>
        <v/>
      </c>
      <c r="N246" s="46" t="n">
        <v>-0.004931352926271469</v>
      </c>
      <c r="O246" s="47">
        <f>Calculo!AP244</f>
        <v/>
      </c>
      <c r="P246" s="45">
        <f>IF(AND(ISNUMBER(N246),ISNUMBER(O246)),ABS(O246-N246),IF(ISNUMBER(N246)=ISNUMBER(O246),0,1))</f>
        <v/>
      </c>
      <c r="Q246" s="46" t="n">
        <v>0.008343416031922976</v>
      </c>
      <c r="R246" s="47">
        <f>Calculo!AW244</f>
        <v/>
      </c>
      <c r="S246" s="45">
        <f>IF(AND(ISNUMBER(Q246),ISNUMBER(R246)),ABS(R246-Q246),IF(ISNUMBER(Q246)=ISNUMBER(R246),0,1))</f>
        <v/>
      </c>
      <c r="T246" s="46" t="n">
        <v>1.001668644487009</v>
      </c>
      <c r="U246" s="47">
        <f>Calculo!AX244</f>
        <v/>
      </c>
      <c r="V246" s="45">
        <f>IF(AND(ISNUMBER(T246),ISNUMBER(U246)),ABS(U246-T246),IF(ISNUMBER(T246)=ISNUMBER(U246),0,1))</f>
        <v/>
      </c>
      <c r="W246" s="46" t="n">
        <v>1.085048289476956</v>
      </c>
      <c r="X246" s="47">
        <f>Calculo!AY244</f>
        <v/>
      </c>
      <c r="Y246" s="45">
        <f>IF(AND(ISNUMBER(W246),ISNUMBER(X246)),ABS(X246-W246),IF(ISNUMBER(W246)=ISNUMBER(X246),0,1))</f>
        <v/>
      </c>
      <c r="Z246" s="46" t="n">
        <v>-0.0001393187370319468</v>
      </c>
      <c r="AA246" s="47">
        <f>Calculo!BC244</f>
        <v/>
      </c>
      <c r="AB246" s="45">
        <f>IF(AND(ISNUMBER(Z246),ISNUMBER(AA246)),ABS(AA246-Z246),IF(ISNUMBER(Z246)=ISNUMBER(AA246),0,1))</f>
        <v/>
      </c>
    </row>
    <row r="247">
      <c r="A247" s="36">
        <f>Calculo!A245</f>
        <v/>
      </c>
      <c r="B247" s="46" t="n">
        <v>0.03953924885029914</v>
      </c>
      <c r="C247" s="47">
        <f>Calculo!W245</f>
        <v/>
      </c>
      <c r="D247" s="45">
        <f>IF(AND(ISNUMBER(B247),ISNUMBER(C247)),ABS(C247-B247),IF(ISNUMBER(B247)=ISNUMBER(C247),0,1))</f>
        <v/>
      </c>
      <c r="E247" s="46" t="n">
        <v>1.400950074741363</v>
      </c>
      <c r="F247" s="47">
        <f>Calculo!V245</f>
        <v/>
      </c>
      <c r="G247" s="45">
        <f>IF(AND(ISNUMBER(E247),ISNUMBER(F247)),ABS(F247-E247),IF(ISNUMBER(E247)=ISNUMBER(F247),0,1))</f>
        <v/>
      </c>
      <c r="H247" s="46" t="n">
        <v>-0.2627779145772831</v>
      </c>
      <c r="I247" s="47">
        <f>Calculo!AK245</f>
        <v/>
      </c>
      <c r="J247" s="45">
        <f>IF(AND(ISNUMBER(H247),ISNUMBER(I247)),ABS(I247-H247),IF(ISNUMBER(H247)=ISNUMBER(I247),0,1))</f>
        <v/>
      </c>
      <c r="K247" s="46" t="n">
        <v>-0.01449452341517666</v>
      </c>
      <c r="L247" s="47">
        <f>Calculo!AL245</f>
        <v/>
      </c>
      <c r="M247" s="45">
        <f>IF(AND(ISNUMBER(K247),ISNUMBER(L247)),ABS(L247-K247),IF(ISNUMBER(K247)=ISNUMBER(L247),0,1))</f>
        <v/>
      </c>
      <c r="N247" s="46" t="n">
        <v>0.06522762280758931</v>
      </c>
      <c r="O247" s="47">
        <f>Calculo!AP245</f>
        <v/>
      </c>
      <c r="P247" s="45">
        <f>IF(AND(ISNUMBER(N247),ISNUMBER(O247)),ABS(O247-N247),IF(ISNUMBER(N247)=ISNUMBER(O247),0,1))</f>
        <v/>
      </c>
      <c r="Q247" s="46" t="n">
        <v>-0.590219271561752</v>
      </c>
      <c r="R247" s="47">
        <f>Calculo!AW245</f>
        <v/>
      </c>
      <c r="S247" s="45">
        <f>IF(AND(ISNUMBER(Q247),ISNUMBER(R247)),ABS(R247-Q247),IF(ISNUMBER(Q247)=ISNUMBER(R247),0,1))</f>
        <v/>
      </c>
      <c r="T247" s="46" t="n">
        <v>0.8939893416710188</v>
      </c>
      <c r="U247" s="47">
        <f>Calculo!AX245</f>
        <v/>
      </c>
      <c r="V247" s="45">
        <f>IF(AND(ISNUMBER(T247),ISNUMBER(U247)),ABS(U247-T247),IF(ISNUMBER(T247)=ISNUMBER(U247),0,1))</f>
        <v/>
      </c>
      <c r="W247" s="46" t="n">
        <v>0.9962946664494461</v>
      </c>
      <c r="X247" s="47">
        <f>Calculo!AY245</f>
        <v/>
      </c>
      <c r="Y247" s="45">
        <f>IF(AND(ISNUMBER(W247),ISNUMBER(X247)),ABS(X247-W247),IF(ISNUMBER(W247)=ISNUMBER(X247),0,1))</f>
        <v/>
      </c>
      <c r="Z247" s="46" t="n">
        <v>0.0007141909814399675</v>
      </c>
      <c r="AA247" s="47">
        <f>Calculo!BC245</f>
        <v/>
      </c>
      <c r="AB247" s="45">
        <f>IF(AND(ISNUMBER(Z247),ISNUMBER(AA247)),ABS(AA247-Z247),IF(ISNUMBER(Z247)=ISNUMBER(AA247),0,1))</f>
        <v/>
      </c>
    </row>
    <row r="248">
      <c r="A248" s="36">
        <f>Calculo!A246</f>
        <v/>
      </c>
      <c r="B248" s="46" t="n">
        <v>0.225236635862168</v>
      </c>
      <c r="C248" s="47">
        <f>Calculo!W246</f>
        <v/>
      </c>
      <c r="D248" s="45">
        <f>IF(AND(ISNUMBER(B248),ISNUMBER(C248)),ABS(C248-B248),IF(ISNUMBER(B248)=ISNUMBER(C248),0,1))</f>
        <v/>
      </c>
      <c r="E248" s="46" t="n">
        <v>1.425695639570869</v>
      </c>
      <c r="F248" s="47">
        <f>Calculo!V246</f>
        <v/>
      </c>
      <c r="G248" s="45">
        <f>IF(AND(ISNUMBER(E248),ISNUMBER(F248)),ABS(F248-E248),IF(ISNUMBER(E248)=ISNUMBER(F248),0,1))</f>
        <v/>
      </c>
      <c r="H248" s="46" t="n">
        <v>-0.2612038146096543</v>
      </c>
      <c r="I248" s="47">
        <f>Calculo!AK246</f>
        <v/>
      </c>
      <c r="J248" s="45">
        <f>IF(AND(ISNUMBER(H248),ISNUMBER(I248)),ABS(I248-H248),IF(ISNUMBER(H248)=ISNUMBER(I248),0,1))</f>
        <v/>
      </c>
      <c r="K248" s="46" t="n">
        <v>-0.01295619433679617</v>
      </c>
      <c r="L248" s="47">
        <f>Calculo!AL246</f>
        <v/>
      </c>
      <c r="M248" s="45">
        <f>IF(AND(ISNUMBER(K248),ISNUMBER(L248)),ABS(L248-K248),IF(ISNUMBER(K248)=ISNUMBER(L248),0,1))</f>
        <v/>
      </c>
      <c r="N248" s="46" t="n">
        <v>0.267587190000828</v>
      </c>
      <c r="O248" s="47">
        <f>Calculo!AP246</f>
        <v/>
      </c>
      <c r="P248" s="45">
        <f>IF(AND(ISNUMBER(N248),ISNUMBER(O248)),ABS(O248-N248),IF(ISNUMBER(N248)=ISNUMBER(O248),0,1))</f>
        <v/>
      </c>
      <c r="Q248" s="46" t="n">
        <v>-2.287308816374177</v>
      </c>
      <c r="R248" s="47">
        <f>Calculo!AW246</f>
        <v/>
      </c>
      <c r="S248" s="45">
        <f>IF(AND(ISNUMBER(Q248),ISNUMBER(R248)),ABS(R248-Q248),IF(ISNUMBER(Q248)=ISNUMBER(R248),0,1))</f>
        <v/>
      </c>
      <c r="T248" s="46" t="n">
        <v>0.8040820097855989</v>
      </c>
      <c r="U248" s="47">
        <f>Calculo!AX246</f>
        <v/>
      </c>
      <c r="V248" s="45">
        <f>IF(AND(ISNUMBER(T248),ISNUMBER(U248)),ABS(U248-T248),IF(ISNUMBER(T248)=ISNUMBER(U248),0,1))</f>
        <v/>
      </c>
      <c r="W248" s="46" t="n">
        <v>0.8999133319812088</v>
      </c>
      <c r="X248" s="47">
        <f>Calculo!AY246</f>
        <v/>
      </c>
      <c r="Y248" s="45">
        <f>IF(AND(ISNUMBER(W248),ISNUMBER(X248)),ABS(X248-W248),IF(ISNUMBER(W248)=ISNUMBER(X248),0,1))</f>
        <v/>
      </c>
      <c r="Z248" s="46" t="n">
        <v>-0.0004305282734872706</v>
      </c>
      <c r="AA248" s="47">
        <f>Calculo!BC246</f>
        <v/>
      </c>
      <c r="AB248" s="45">
        <f>IF(AND(ISNUMBER(Z248),ISNUMBER(AA248)),ABS(AA248-Z248),IF(ISNUMBER(Z248)=ISNUMBER(AA248),0,1))</f>
        <v/>
      </c>
    </row>
    <row r="249">
      <c r="A249" s="36">
        <f>Calculo!A247</f>
        <v/>
      </c>
      <c r="B249" s="46" t="n">
        <v>0.06482027098554238</v>
      </c>
      <c r="C249" s="47">
        <f>Calculo!W247</f>
        <v/>
      </c>
      <c r="D249" s="45">
        <f>IF(AND(ISNUMBER(B249),ISNUMBER(C249)),ABS(C249-B249),IF(ISNUMBER(B249)=ISNUMBER(C249),0,1))</f>
        <v/>
      </c>
      <c r="E249" s="46" t="n">
        <v>1.281157466902037</v>
      </c>
      <c r="F249" s="47">
        <f>Calculo!V247</f>
        <v/>
      </c>
      <c r="G249" s="45">
        <f>IF(AND(ISNUMBER(E249),ISNUMBER(F249)),ABS(F249-E249),IF(ISNUMBER(E249)=ISNUMBER(F249),0,1))</f>
        <v/>
      </c>
      <c r="H249" s="46" t="n">
        <v>-0.3260731188253507</v>
      </c>
      <c r="I249" s="47">
        <f>Calculo!AK247</f>
        <v/>
      </c>
      <c r="J249" s="45">
        <f>IF(AND(ISNUMBER(H249),ISNUMBER(I249)),ABS(I249-H249),IF(ISNUMBER(H249)=ISNUMBER(I249),0,1))</f>
        <v/>
      </c>
      <c r="K249" s="46" t="n">
        <v>-0.007828289707560585</v>
      </c>
      <c r="L249" s="47">
        <f>Calculo!AL247</f>
        <v/>
      </c>
      <c r="M249" s="45">
        <f>IF(AND(ISNUMBER(K249),ISNUMBER(L249)),ABS(L249-K249),IF(ISNUMBER(K249)=ISNUMBER(L249),0,1))</f>
        <v/>
      </c>
      <c r="N249" s="46" t="n">
        <v>0.2804946516757326</v>
      </c>
      <c r="O249" s="47">
        <f>Calculo!AP247</f>
        <v/>
      </c>
      <c r="P249" s="45">
        <f>IF(AND(ISNUMBER(N249),ISNUMBER(O249)),ABS(O249-N249),IF(ISNUMBER(N249)=ISNUMBER(O249),0,1))</f>
        <v/>
      </c>
      <c r="Q249" s="46" t="n">
        <v>-2.355376749500179</v>
      </c>
      <c r="R249" s="47">
        <f>Calculo!AW247</f>
        <v/>
      </c>
      <c r="S249" s="45">
        <f>IF(AND(ISNUMBER(Q249),ISNUMBER(R249)),ABS(R249-Q249),IF(ISNUMBER(Q249)=ISNUMBER(R249),0,1))</f>
        <v/>
      </c>
      <c r="T249" s="46" t="n">
        <v>0.8035671012594021</v>
      </c>
      <c r="U249" s="47">
        <f>Calculo!AX247</f>
        <v/>
      </c>
      <c r="V249" s="45">
        <f>IF(AND(ISNUMBER(T249),ISNUMBER(U249)),ABS(U249-T249),IF(ISNUMBER(T249)=ISNUMBER(U249),0,1))</f>
        <v/>
      </c>
      <c r="W249" s="46" t="n">
        <v>0.8338794842386733</v>
      </c>
      <c r="X249" s="47">
        <f>Calculo!AY247</f>
        <v/>
      </c>
      <c r="Y249" s="45">
        <f>IF(AND(ISNUMBER(W249),ISNUMBER(X249)),ABS(X249-W249),IF(ISNUMBER(W249)=ISNUMBER(X249),0,1))</f>
        <v/>
      </c>
      <c r="Z249" s="46" t="n">
        <v>-0.001862864571925109</v>
      </c>
      <c r="AA249" s="47">
        <f>Calculo!BC247</f>
        <v/>
      </c>
      <c r="AB249" s="45">
        <f>IF(AND(ISNUMBER(Z249),ISNUMBER(AA249)),ABS(AA249-Z249),IF(ISNUMBER(Z249)=ISNUMBER(AA249),0,1))</f>
        <v/>
      </c>
    </row>
    <row r="250">
      <c r="A250" s="36">
        <f>Calculo!A248</f>
        <v/>
      </c>
      <c r="B250" s="46" t="n">
        <v>0.04338853471762453</v>
      </c>
      <c r="C250" s="47">
        <f>Calculo!W248</f>
        <v/>
      </c>
      <c r="D250" s="45">
        <f>IF(AND(ISNUMBER(B250),ISNUMBER(C250)),ABS(C250-B250),IF(ISNUMBER(B250)=ISNUMBER(C250),0,1))</f>
        <v/>
      </c>
      <c r="E250" s="46" t="n">
        <v>1.285043534088761</v>
      </c>
      <c r="F250" s="47">
        <f>Calculo!V248</f>
        <v/>
      </c>
      <c r="G250" s="45">
        <f>IF(AND(ISNUMBER(E250),ISNUMBER(F250)),ABS(F250-E250),IF(ISNUMBER(E250)=ISNUMBER(F250),0,1))</f>
        <v/>
      </c>
      <c r="H250" s="46" t="n">
        <v>-0.3311898215640747</v>
      </c>
      <c r="I250" s="47">
        <f>Calculo!AK248</f>
        <v/>
      </c>
      <c r="J250" s="45">
        <f>IF(AND(ISNUMBER(H250),ISNUMBER(I250)),ABS(I250-H250),IF(ISNUMBER(H250)=ISNUMBER(I250),0,1))</f>
        <v/>
      </c>
      <c r="K250" s="46" t="n">
        <v>-0.007115863008164921</v>
      </c>
      <c r="L250" s="47">
        <f>Calculo!AL248</f>
        <v/>
      </c>
      <c r="M250" s="45">
        <f>IF(AND(ISNUMBER(K250),ISNUMBER(L250)),ABS(L250-K250),IF(ISNUMBER(K250)=ISNUMBER(L250),0,1))</f>
        <v/>
      </c>
      <c r="N250" s="46" t="n">
        <v>0.2152017237335139</v>
      </c>
      <c r="O250" s="47">
        <f>Calculo!AP248</f>
        <v/>
      </c>
      <c r="P250" s="45">
        <f>IF(AND(ISNUMBER(N250),ISNUMBER(O250)),ABS(O250-N250),IF(ISNUMBER(N250)=ISNUMBER(O250),0,1))</f>
        <v/>
      </c>
      <c r="Q250" s="46" t="n">
        <v>-1.788626885903184</v>
      </c>
      <c r="R250" s="47">
        <f>Calculo!AW248</f>
        <v/>
      </c>
      <c r="S250" s="45">
        <f>IF(AND(ISNUMBER(Q250),ISNUMBER(R250)),ABS(R250-Q250),IF(ISNUMBER(Q250)=ISNUMBER(R250),0,1))</f>
        <v/>
      </c>
      <c r="T250" s="46" t="n">
        <v>0.8108769074050577</v>
      </c>
      <c r="U250" s="47">
        <f>Calculo!AX248</f>
        <v/>
      </c>
      <c r="V250" s="45">
        <f>IF(AND(ISNUMBER(T250),ISNUMBER(U250)),ABS(U250-T250),IF(ISNUMBER(T250)=ISNUMBER(U250),0,1))</f>
        <v/>
      </c>
      <c r="W250" s="46" t="n">
        <v>0.8061753394833527</v>
      </c>
      <c r="X250" s="47">
        <f>Calculo!AY248</f>
        <v/>
      </c>
      <c r="Y250" s="45">
        <f>IF(AND(ISNUMBER(W250),ISNUMBER(X250)),ABS(X250-W250),IF(ISNUMBER(W250)=ISNUMBER(X250),0,1))</f>
        <v/>
      </c>
      <c r="Z250" s="46" t="n">
        <v>-0.001967016060711343</v>
      </c>
      <c r="AA250" s="47">
        <f>Calculo!BC248</f>
        <v/>
      </c>
      <c r="AB250" s="45">
        <f>IF(AND(ISNUMBER(Z250),ISNUMBER(AA250)),ABS(AA250-Z250),IF(ISNUMBER(Z250)=ISNUMBER(AA250),0,1))</f>
        <v/>
      </c>
    </row>
    <row r="251">
      <c r="A251" s="36">
        <f>Calculo!A249</f>
        <v/>
      </c>
      <c r="B251" s="46" t="n">
        <v>0.03501922108832092</v>
      </c>
      <c r="C251" s="47">
        <f>Calculo!W249</f>
        <v/>
      </c>
      <c r="D251" s="45">
        <f>IF(AND(ISNUMBER(B251),ISNUMBER(C251)),ABS(C251-B251),IF(ISNUMBER(B251)=ISNUMBER(C251),0,1))</f>
        <v/>
      </c>
      <c r="E251" s="46" t="n">
        <v>1.287424493642154</v>
      </c>
      <c r="F251" s="47">
        <f>Calculo!V249</f>
        <v/>
      </c>
      <c r="G251" s="45">
        <f>IF(AND(ISNUMBER(E251),ISNUMBER(F251)),ABS(F251-E251),IF(ISNUMBER(E251)=ISNUMBER(F251),0,1))</f>
        <v/>
      </c>
      <c r="H251" s="46" t="n">
        <v>-0.3283284196021624</v>
      </c>
      <c r="I251" s="47">
        <f>Calculo!AK249</f>
        <v/>
      </c>
      <c r="J251" s="45">
        <f>IF(AND(ISNUMBER(H251),ISNUMBER(I251)),ABS(I251-H251),IF(ISNUMBER(H251)=ISNUMBER(I251),0,1))</f>
        <v/>
      </c>
      <c r="K251" s="46" t="n">
        <v>-0.008168729269152021</v>
      </c>
      <c r="L251" s="47">
        <f>Calculo!AL249</f>
        <v/>
      </c>
      <c r="M251" s="45">
        <f>IF(AND(ISNUMBER(K251),ISNUMBER(L251)),ABS(L251-K251),IF(ISNUMBER(K251)=ISNUMBER(L251),0,1))</f>
        <v/>
      </c>
      <c r="N251" s="46" t="n">
        <v>0.08021551400052383</v>
      </c>
      <c r="O251" s="47">
        <f>Calculo!AP249</f>
        <v/>
      </c>
      <c r="P251" s="45">
        <f>IF(AND(ISNUMBER(N251),ISNUMBER(O251)),ABS(O251-N251),IF(ISNUMBER(N251)=ISNUMBER(O251),0,1))</f>
        <v/>
      </c>
      <c r="Q251" s="46" t="n">
        <v>-0.6620565997637469</v>
      </c>
      <c r="R251" s="47">
        <f>Calculo!AW249</f>
        <v/>
      </c>
      <c r="S251" s="45">
        <f>IF(AND(ISNUMBER(Q251),ISNUMBER(R251)),ABS(R251-Q251),IF(ISNUMBER(Q251)=ISNUMBER(R251),0,1))</f>
        <v/>
      </c>
      <c r="T251" s="46" t="n">
        <v>0.884053911297174</v>
      </c>
      <c r="U251" s="47">
        <f>Calculo!AX249</f>
        <v/>
      </c>
      <c r="V251" s="45">
        <f>IF(AND(ISNUMBER(T251),ISNUMBER(U251)),ABS(U251-T251),IF(ISNUMBER(T251)=ISNUMBER(U251),0,1))</f>
        <v/>
      </c>
      <c r="W251" s="46" t="n">
        <v>0.8328326399872114</v>
      </c>
      <c r="X251" s="47">
        <f>Calculo!AY249</f>
        <v/>
      </c>
      <c r="Y251" s="45">
        <f>IF(AND(ISNUMBER(W251),ISNUMBER(X251)),ABS(X251-W251),IF(ISNUMBER(W251)=ISNUMBER(X251),0,1))</f>
        <v/>
      </c>
      <c r="Z251" s="46" t="n">
        <v>-0.001766157521638606</v>
      </c>
      <c r="AA251" s="47">
        <f>Calculo!BC249</f>
        <v/>
      </c>
      <c r="AB251" s="45">
        <f>IF(AND(ISNUMBER(Z251),ISNUMBER(AA251)),ABS(AA251-Z251),IF(ISNUMBER(Z251)=ISNUMBER(AA251),0,1))</f>
        <v/>
      </c>
    </row>
    <row r="252">
      <c r="A252" s="36">
        <f>Calculo!A250</f>
        <v/>
      </c>
      <c r="B252" s="46" t="n">
        <v>0.009906190827568787</v>
      </c>
      <c r="C252" s="47">
        <f>Calculo!W250</f>
        <v/>
      </c>
      <c r="D252" s="45">
        <f>IF(AND(ISNUMBER(B252),ISNUMBER(C252)),ABS(C252-B252),IF(ISNUMBER(B252)=ISNUMBER(C252),0,1))</f>
        <v/>
      </c>
      <c r="E252" s="46" t="n">
        <v>1.293425622601895</v>
      </c>
      <c r="F252" s="47">
        <f>Calculo!V250</f>
        <v/>
      </c>
      <c r="G252" s="45">
        <f>IF(AND(ISNUMBER(E252),ISNUMBER(F252)),ABS(F252-E252),IF(ISNUMBER(E252)=ISNUMBER(F252),0,1))</f>
        <v/>
      </c>
      <c r="H252" s="46" t="n">
        <v>-0.3171562345967792</v>
      </c>
      <c r="I252" s="47">
        <f>Calculo!AK250</f>
        <v/>
      </c>
      <c r="J252" s="45">
        <f>IF(AND(ISNUMBER(H252),ISNUMBER(I252)),ABS(I252-H252),IF(ISNUMBER(H252)=ISNUMBER(I252),0,1))</f>
        <v/>
      </c>
      <c r="K252" s="46" t="n">
        <v>-0.00648307204389392</v>
      </c>
      <c r="L252" s="47">
        <f>Calculo!AL250</f>
        <v/>
      </c>
      <c r="M252" s="45">
        <f>IF(AND(ISNUMBER(K252),ISNUMBER(L252)),ABS(L252-K252),IF(ISNUMBER(K252)=ISNUMBER(L252),0,1))</f>
        <v/>
      </c>
      <c r="N252" s="46" t="n">
        <v>0.1122923894486395</v>
      </c>
      <c r="O252" s="47">
        <f>Calculo!AP250</f>
        <v/>
      </c>
      <c r="P252" s="45">
        <f>IF(AND(ISNUMBER(N252),ISNUMBER(O252)),ABS(O252-N252),IF(ISNUMBER(N252)=ISNUMBER(O252),0,1))</f>
        <v/>
      </c>
      <c r="Q252" s="46" t="n">
        <v>-0.925135587641127</v>
      </c>
      <c r="R252" s="47">
        <f>Calculo!AW250</f>
        <v/>
      </c>
      <c r="S252" s="45">
        <f>IF(AND(ISNUMBER(Q252),ISNUMBER(R252)),ABS(R252-Q252),IF(ISNUMBER(Q252)=ISNUMBER(R252),0,1))</f>
        <v/>
      </c>
      <c r="T252" s="46" t="n">
        <v>0.8543364244275885</v>
      </c>
      <c r="U252" s="47">
        <f>Calculo!AX250</f>
        <v/>
      </c>
      <c r="V252" s="45">
        <f>IF(AND(ISNUMBER(T252),ISNUMBER(U252)),ABS(U252-T252),IF(ISNUMBER(T252)=ISNUMBER(U252),0,1))</f>
        <v/>
      </c>
      <c r="W252" s="46" t="n">
        <v>0.8497557477099401</v>
      </c>
      <c r="X252" s="47">
        <f>Calculo!AY250</f>
        <v/>
      </c>
      <c r="Y252" s="45">
        <f>IF(AND(ISNUMBER(W252),ISNUMBER(X252)),ABS(X252-W252),IF(ISNUMBER(W252)=ISNUMBER(X252),0,1))</f>
        <v/>
      </c>
      <c r="Z252" s="46" t="n">
        <v>-0.0004806411933665405</v>
      </c>
      <c r="AA252" s="47">
        <f>Calculo!BC250</f>
        <v/>
      </c>
      <c r="AB252" s="45">
        <f>IF(AND(ISNUMBER(Z252),ISNUMBER(AA252)),ABS(AA252-Z252),IF(ISNUMBER(Z252)=ISNUMBER(AA252),0,1))</f>
        <v/>
      </c>
    </row>
    <row r="253">
      <c r="A253" s="36">
        <f>Calculo!A251</f>
        <v/>
      </c>
      <c r="B253" s="46" t="n">
        <v>-0.004671311246370977</v>
      </c>
      <c r="C253" s="47">
        <f>Calculo!W251</f>
        <v/>
      </c>
      <c r="D253" s="45">
        <f>IF(AND(ISNUMBER(B253),ISNUMBER(C253)),ABS(C253-B253),IF(ISNUMBER(B253)=ISNUMBER(C253),0,1))</f>
        <v/>
      </c>
      <c r="E253" s="46" t="n">
        <v>1.290157601297568</v>
      </c>
      <c r="F253" s="47">
        <f>Calculo!V251</f>
        <v/>
      </c>
      <c r="G253" s="45">
        <f>IF(AND(ISNUMBER(E253),ISNUMBER(F253)),ABS(F253-E253),IF(ISNUMBER(E253)=ISNUMBER(F253),0,1))</f>
        <v/>
      </c>
      <c r="H253" s="46" t="n">
        <v>-0.3040077572996721</v>
      </c>
      <c r="I253" s="47">
        <f>Calculo!AK251</f>
        <v/>
      </c>
      <c r="J253" s="45">
        <f>IF(AND(ISNUMBER(H253),ISNUMBER(I253)),ABS(I253-H253),IF(ISNUMBER(H253)=ISNUMBER(I253),0,1))</f>
        <v/>
      </c>
      <c r="K253" s="46" t="n">
        <v>-0.004377374882461642</v>
      </c>
      <c r="L253" s="47">
        <f>Calculo!AL251</f>
        <v/>
      </c>
      <c r="M253" s="45">
        <f>IF(AND(ISNUMBER(K253),ISNUMBER(L253)),ABS(L253-K253),IF(ISNUMBER(K253)=ISNUMBER(L253),0,1))</f>
        <v/>
      </c>
      <c r="N253" s="46" t="n">
        <v>0.1277267120181285</v>
      </c>
      <c r="O253" s="47">
        <f>Calculo!AP251</f>
        <v/>
      </c>
      <c r="P253" s="45">
        <f>IF(AND(ISNUMBER(N253),ISNUMBER(O253)),ABS(O253-N253),IF(ISNUMBER(N253)=ISNUMBER(O253),0,1))</f>
        <v/>
      </c>
      <c r="Q253" s="46" t="n">
        <v>-1.048240377795568</v>
      </c>
      <c r="R253" s="47">
        <f>Calculo!AW251</f>
        <v/>
      </c>
      <c r="S253" s="45">
        <f>IF(AND(ISNUMBER(Q253),ISNUMBER(R253)),ABS(R253-Q253),IF(ISNUMBER(Q253)=ISNUMBER(R253),0,1))</f>
        <v/>
      </c>
      <c r="T253" s="46" t="n">
        <v>0.8437757375866303</v>
      </c>
      <c r="U253" s="47">
        <f>Calculo!AX251</f>
        <v/>
      </c>
      <c r="V253" s="45">
        <f>IF(AND(ISNUMBER(T253),ISNUMBER(U253)),ABS(U253-T253),IF(ISNUMBER(T253)=ISNUMBER(U253),0,1))</f>
        <v/>
      </c>
      <c r="W253" s="46" t="n">
        <v>0.860722024437131</v>
      </c>
      <c r="X253" s="47">
        <f>Calculo!AY251</f>
        <v/>
      </c>
      <c r="Y253" s="45">
        <f>IF(AND(ISNUMBER(W253),ISNUMBER(X253)),ABS(X253-W253),IF(ISNUMBER(W253)=ISNUMBER(X253),0,1))</f>
        <v/>
      </c>
      <c r="Z253" s="46" t="n">
        <v>0.0001331516470494669</v>
      </c>
      <c r="AA253" s="47">
        <f>Calculo!BC251</f>
        <v/>
      </c>
      <c r="AB253" s="45">
        <f>IF(AND(ISNUMBER(Z253),ISNUMBER(AA253)),ABS(AA253-Z253),IF(ISNUMBER(Z253)=ISNUMBER(AA253),0,1))</f>
        <v/>
      </c>
    </row>
    <row r="254">
      <c r="A254" s="36">
        <f>Calculo!A252</f>
        <v/>
      </c>
      <c r="B254" s="46" t="n">
        <v>0.04128447146558367</v>
      </c>
      <c r="C254" s="47">
        <f>Calculo!W252</f>
        <v/>
      </c>
      <c r="D254" s="45">
        <f>IF(AND(ISNUMBER(B254),ISNUMBER(C254)),ABS(C254-B254),IF(ISNUMBER(B254)=ISNUMBER(C254),0,1))</f>
        <v/>
      </c>
      <c r="E254" s="46" t="n">
        <v>1.290049335686523</v>
      </c>
      <c r="F254" s="47">
        <f>Calculo!V252</f>
        <v/>
      </c>
      <c r="G254" s="45">
        <f>IF(AND(ISNUMBER(E254),ISNUMBER(F254)),ABS(F254-E254),IF(ISNUMBER(E254)=ISNUMBER(F254),0,1))</f>
        <v/>
      </c>
      <c r="H254" s="46" t="n">
        <v>-0.3035272959647229</v>
      </c>
      <c r="I254" s="47">
        <f>Calculo!AK252</f>
        <v/>
      </c>
      <c r="J254" s="45">
        <f>IF(AND(ISNUMBER(H254),ISNUMBER(I254)),ABS(I254-H254),IF(ISNUMBER(H254)=ISNUMBER(I254),0,1))</f>
        <v/>
      </c>
      <c r="K254" s="46" t="n">
        <v>-0.002089340168147725</v>
      </c>
      <c r="L254" s="47">
        <f>Calculo!AL252</f>
        <v/>
      </c>
      <c r="M254" s="45">
        <f>IF(AND(ISNUMBER(K254),ISNUMBER(L254)),ABS(L254-K254),IF(ISNUMBER(K254)=ISNUMBER(L254),0,1))</f>
        <v/>
      </c>
      <c r="N254" s="46" t="n">
        <v>0.08768140723413434</v>
      </c>
      <c r="O254" s="47">
        <f>Calculo!AP252</f>
        <v/>
      </c>
      <c r="P254" s="45">
        <f>IF(AND(ISNUMBER(N254),ISNUMBER(O254)),ABS(O254-N254),IF(ISNUMBER(N254)=ISNUMBER(O254),0,1))</f>
        <v/>
      </c>
      <c r="Q254" s="46" t="n">
        <v>-0.7115126548539729</v>
      </c>
      <c r="R254" s="47">
        <f>Calculo!AW252</f>
        <v/>
      </c>
      <c r="S254" s="45">
        <f>IF(AND(ISNUMBER(Q254),ISNUMBER(R254)),ABS(R254-Q254),IF(ISNUMBER(Q254)=ISNUMBER(R254),0,1))</f>
        <v/>
      </c>
      <c r="T254" s="46" t="n">
        <v>0.8776750994147217</v>
      </c>
      <c r="U254" s="47">
        <f>Calculo!AX252</f>
        <v/>
      </c>
      <c r="V254" s="45">
        <f>IF(AND(ISNUMBER(T254),ISNUMBER(U254)),ABS(U254-T254),IF(ISNUMBER(T254)=ISNUMBER(U254),0,1))</f>
        <v/>
      </c>
      <c r="W254" s="46" t="n">
        <v>0.8585957538096469</v>
      </c>
      <c r="X254" s="47">
        <f>Calculo!AY252</f>
        <v/>
      </c>
      <c r="Y254" s="45">
        <f>IF(AND(ISNUMBER(W254),ISNUMBER(X254)),ABS(X254-W254),IF(ISNUMBER(W254)=ISNUMBER(X254),0,1))</f>
        <v/>
      </c>
      <c r="Z254" s="46" t="n">
        <v>-0.001464920093795359</v>
      </c>
      <c r="AA254" s="47">
        <f>Calculo!BC252</f>
        <v/>
      </c>
      <c r="AB254" s="45">
        <f>IF(AND(ISNUMBER(Z254),ISNUMBER(AA254)),ABS(AA254-Z254),IF(ISNUMBER(Z254)=ISNUMBER(AA254),0,1))</f>
        <v/>
      </c>
    </row>
    <row r="255">
      <c r="A255" s="36">
        <f>Calculo!A253</f>
        <v/>
      </c>
      <c r="B255" s="46" t="n">
        <v>0.02154407357549006</v>
      </c>
      <c r="C255" s="47">
        <f>Calculo!W253</f>
        <v/>
      </c>
      <c r="D255" s="45">
        <f>IF(AND(ISNUMBER(B255),ISNUMBER(C255)),ABS(C255-B255),IF(ISNUMBER(B255)=ISNUMBER(C255),0,1))</f>
        <v/>
      </c>
      <c r="E255" s="46" t="n">
        <v>1.28125578767794</v>
      </c>
      <c r="F255" s="47">
        <f>Calculo!V253</f>
        <v/>
      </c>
      <c r="G255" s="45">
        <f>IF(AND(ISNUMBER(E255),ISNUMBER(F255)),ABS(F255-E255),IF(ISNUMBER(E255)=ISNUMBER(F255),0,1))</f>
        <v/>
      </c>
      <c r="H255" s="46" t="n">
        <v>-0.2990819724776414</v>
      </c>
      <c r="I255" s="47">
        <f>Calculo!AK253</f>
        <v/>
      </c>
      <c r="J255" s="45">
        <f>IF(AND(ISNUMBER(H255),ISNUMBER(I255)),ABS(I255-H255),IF(ISNUMBER(H255)=ISNUMBER(I255),0,1))</f>
        <v/>
      </c>
      <c r="K255" s="46" t="n">
        <v>-0.003390261699549081</v>
      </c>
      <c r="L255" s="47">
        <f>Calculo!AL253</f>
        <v/>
      </c>
      <c r="M255" s="45">
        <f>IF(AND(ISNUMBER(K255),ISNUMBER(L255)),ABS(L255-K255),IF(ISNUMBER(K255)=ISNUMBER(L255),0,1))</f>
        <v/>
      </c>
      <c r="N255" s="46" t="n">
        <v>0.0317558783350307</v>
      </c>
      <c r="O255" s="47">
        <f>Calculo!AP253</f>
        <v/>
      </c>
      <c r="P255" s="45">
        <f>IF(AND(ISNUMBER(N255),ISNUMBER(O255)),ABS(O255-N255),IF(ISNUMBER(N255)=ISNUMBER(O255),0,1))</f>
        <v/>
      </c>
      <c r="Q255" s="46" t="n">
        <v>-0.243828596811547</v>
      </c>
      <c r="R255" s="47">
        <f>Calculo!AW253</f>
        <v/>
      </c>
      <c r="S255" s="45">
        <f>IF(AND(ISNUMBER(Q255),ISNUMBER(R255)),ABS(R255-Q255),IF(ISNUMBER(Q255)=ISNUMBER(R255),0,1))</f>
        <v/>
      </c>
      <c r="T255" s="46" t="n">
        <v>0.9521782512233211</v>
      </c>
      <c r="U255" s="47">
        <f>Calculo!AX253</f>
        <v/>
      </c>
      <c r="V255" s="45">
        <f>IF(AND(ISNUMBER(T255),ISNUMBER(U255)),ABS(U255-T255),IF(ISNUMBER(T255)=ISNUMBER(U255),0,1))</f>
        <v/>
      </c>
      <c r="W255" s="46" t="n">
        <v>0.891209696074891</v>
      </c>
      <c r="X255" s="47">
        <f>Calculo!AY253</f>
        <v/>
      </c>
      <c r="Y255" s="45">
        <f>IF(AND(ISNUMBER(W255),ISNUMBER(X255)),ABS(X255-W255),IF(ISNUMBER(W255)=ISNUMBER(X255),0,1))</f>
        <v/>
      </c>
      <c r="Z255" s="46" t="n">
        <v>-0.0007669215475216291</v>
      </c>
      <c r="AA255" s="47">
        <f>Calculo!BC253</f>
        <v/>
      </c>
      <c r="AB255" s="45">
        <f>IF(AND(ISNUMBER(Z255),ISNUMBER(AA255)),ABS(AA255-Z255),IF(ISNUMBER(Z255)=ISNUMBER(AA255),0,1))</f>
        <v/>
      </c>
    </row>
    <row r="256">
      <c r="A256" s="36">
        <f>Calculo!A254</f>
        <v/>
      </c>
      <c r="B256" s="46" t="n">
        <v>0.06978467558998402</v>
      </c>
      <c r="C256" s="47">
        <f>Calculo!W254</f>
        <v/>
      </c>
      <c r="D256" s="45">
        <f>IF(AND(ISNUMBER(B256),ISNUMBER(C256)),ABS(C256-B256),IF(ISNUMBER(B256)=ISNUMBER(C256),0,1))</f>
        <v/>
      </c>
      <c r="E256" s="46" t="n">
        <v>1.278370798902357</v>
      </c>
      <c r="F256" s="47">
        <f>Calculo!V254</f>
        <v/>
      </c>
      <c r="G256" s="45">
        <f>IF(AND(ISNUMBER(E256),ISNUMBER(F256)),ABS(F256-E256),IF(ISNUMBER(E256)=ISNUMBER(F256),0,1))</f>
        <v/>
      </c>
      <c r="H256" s="46" t="n">
        <v>-0.3006479989612019</v>
      </c>
      <c r="I256" s="47">
        <f>Calculo!AK254</f>
        <v/>
      </c>
      <c r="J256" s="45">
        <f>IF(AND(ISNUMBER(H256),ISNUMBER(I256)),ABS(I256-H256),IF(ISNUMBER(H256)=ISNUMBER(I256),0,1))</f>
        <v/>
      </c>
      <c r="K256" s="46" t="n">
        <v>-0.004192335185206002</v>
      </c>
      <c r="L256" s="47">
        <f>Calculo!AL254</f>
        <v/>
      </c>
      <c r="M256" s="45">
        <f>IF(AND(ISNUMBER(K256),ISNUMBER(L256)),ABS(L256-K256),IF(ISNUMBER(K256)=ISNUMBER(L256),0,1))</f>
        <v/>
      </c>
      <c r="N256" s="46" t="n">
        <v>0.0141535157588529</v>
      </c>
      <c r="O256" s="47">
        <f>Calculo!AP254</f>
        <v/>
      </c>
      <c r="P256" s="45">
        <f>IF(AND(ISNUMBER(N256),ISNUMBER(O256)),ABS(O256-N256),IF(ISNUMBER(N256)=ISNUMBER(O256),0,1))</f>
        <v/>
      </c>
      <c r="Q256" s="46" t="n">
        <v>-0.09623599395795017</v>
      </c>
      <c r="R256" s="47">
        <f>Calculo!AW254</f>
        <v/>
      </c>
      <c r="S256" s="45">
        <f>IF(AND(ISNUMBER(Q256),ISNUMBER(R256)),ABS(R256-Q256),IF(ISNUMBER(Q256)=ISNUMBER(R256),0,1))</f>
        <v/>
      </c>
      <c r="T256" s="46" t="n">
        <v>0.9808120003662859</v>
      </c>
      <c r="U256" s="47">
        <f>Calculo!AX254</f>
        <v/>
      </c>
      <c r="V256" s="45">
        <f>IF(AND(ISNUMBER(T256),ISNUMBER(U256)),ABS(U256-T256),IF(ISNUMBER(T256)=ISNUMBER(U256),0,1))</f>
        <v/>
      </c>
      <c r="W256" s="46" t="n">
        <v>0.9368884503347762</v>
      </c>
      <c r="X256" s="47">
        <f>Calculo!AY254</f>
        <v/>
      </c>
      <c r="Y256" s="45">
        <f>IF(AND(ISNUMBER(W256),ISNUMBER(X256)),ABS(X256-W256),IF(ISNUMBER(W256)=ISNUMBER(X256),0,1))</f>
        <v/>
      </c>
      <c r="Z256" s="46" t="n">
        <v>-0.001979508872350485</v>
      </c>
      <c r="AA256" s="47">
        <f>Calculo!BC254</f>
        <v/>
      </c>
      <c r="AB256" s="45">
        <f>IF(AND(ISNUMBER(Z256),ISNUMBER(AA256)),ABS(AA256-Z256),IF(ISNUMBER(Z256)=ISNUMBER(AA256),0,1))</f>
        <v/>
      </c>
    </row>
    <row r="257">
      <c r="A257" s="36">
        <f>Calculo!A255</f>
        <v/>
      </c>
      <c r="B257" s="46" t="n">
        <v>-0.1320363128187504</v>
      </c>
      <c r="C257" s="47">
        <f>Calculo!W255</f>
        <v/>
      </c>
      <c r="D257" s="45">
        <f>IF(AND(ISNUMBER(B257),ISNUMBER(C257)),ABS(C257-B257),IF(ISNUMBER(B257)=ISNUMBER(C257),0,1))</f>
        <v/>
      </c>
      <c r="E257" s="46" t="n">
        <v>1.28233654355847</v>
      </c>
      <c r="F257" s="47">
        <f>Calculo!V255</f>
        <v/>
      </c>
      <c r="G257" s="45">
        <f>IF(AND(ISNUMBER(E257),ISNUMBER(F257)),ABS(F257-E257),IF(ISNUMBER(E257)=ISNUMBER(F257),0,1))</f>
        <v/>
      </c>
      <c r="H257" s="46" t="n">
        <v>-0.2943764309796029</v>
      </c>
      <c r="I257" s="47">
        <f>Calculo!AK255</f>
        <v/>
      </c>
      <c r="J257" s="45">
        <f>IF(AND(ISNUMBER(H257),ISNUMBER(I257)),ABS(I257-H257),IF(ISNUMBER(H257)=ISNUMBER(I257),0,1))</f>
        <v/>
      </c>
      <c r="K257" s="46" t="n">
        <v>-0.003678797752444882</v>
      </c>
      <c r="L257" s="47">
        <f>Calculo!AL255</f>
        <v/>
      </c>
      <c r="M257" s="45">
        <f>IF(AND(ISNUMBER(K257),ISNUMBER(L257)),ABS(L257-K257),IF(ISNUMBER(K257)=ISNUMBER(L257),0,1))</f>
        <v/>
      </c>
      <c r="N257" s="46" t="n">
        <v>-0.2214497304885467</v>
      </c>
      <c r="O257" s="47">
        <f>Calculo!AP255</f>
        <v/>
      </c>
      <c r="P257" s="45">
        <f>IF(AND(ISNUMBER(N257),ISNUMBER(O257)),ABS(O257-N257),IF(ISNUMBER(N257)=ISNUMBER(O257),0,1))</f>
        <v/>
      </c>
      <c r="Q257" s="46" t="n">
        <v>1.859800069159093</v>
      </c>
      <c r="R257" s="47">
        <f>Calculo!AW255</f>
        <v/>
      </c>
      <c r="S257" s="45">
        <f>IF(AND(ISNUMBER(Q257),ISNUMBER(R257)),ABS(R257-Q257),IF(ISNUMBER(Q257)=ISNUMBER(R257),0,1))</f>
        <v/>
      </c>
      <c r="T257" s="46" t="n">
        <v>1.190532073191245</v>
      </c>
      <c r="U257" s="47">
        <f>Calculo!AX255</f>
        <v/>
      </c>
      <c r="V257" s="45">
        <f>IF(AND(ISNUMBER(T257),ISNUMBER(U257)),ABS(U257-T257),IF(ISNUMBER(T257)=ISNUMBER(U257),0,1))</f>
        <v/>
      </c>
      <c r="W257" s="46" t="n">
        <v>1.041174108260284</v>
      </c>
      <c r="X257" s="47">
        <f>Calculo!AY255</f>
        <v/>
      </c>
      <c r="Y257" s="45">
        <f>IF(AND(ISNUMBER(W257),ISNUMBER(X257)),ABS(X257-W257),IF(ISNUMBER(W257)=ISNUMBER(X257),0,1))</f>
        <v/>
      </c>
      <c r="Z257" s="46" t="n">
        <v>0.001969057192868686</v>
      </c>
      <c r="AA257" s="47">
        <f>Calculo!BC255</f>
        <v/>
      </c>
      <c r="AB257" s="45">
        <f>IF(AND(ISNUMBER(Z257),ISNUMBER(AA257)),ABS(AA257-Z257),IF(ISNUMBER(Z257)=ISNUMBER(AA257),0,1))</f>
        <v/>
      </c>
    </row>
    <row r="258">
      <c r="A258" s="36">
        <f>Calculo!A256</f>
        <v/>
      </c>
      <c r="B258" s="46" t="n">
        <v>0.0832267657976876</v>
      </c>
      <c r="C258" s="47">
        <f>Calculo!W256</f>
        <v/>
      </c>
      <c r="D258" s="45">
        <f>IF(AND(ISNUMBER(B258),ISNUMBER(C258)),ABS(C258-B258),IF(ISNUMBER(B258)=ISNUMBER(C258),0,1))</f>
        <v/>
      </c>
      <c r="E258" s="46" t="n">
        <v>1.239734000762989</v>
      </c>
      <c r="F258" s="47">
        <f>Calculo!V256</f>
        <v/>
      </c>
      <c r="G258" s="45">
        <f>IF(AND(ISNUMBER(E258),ISNUMBER(F258)),ABS(F258-E258),IF(ISNUMBER(E258)=ISNUMBER(F258),0,1))</f>
        <v/>
      </c>
      <c r="H258" s="46" t="n">
        <v>-0.2082669356123004</v>
      </c>
      <c r="I258" s="47">
        <f>Calculo!AK256</f>
        <v/>
      </c>
      <c r="J258" s="45">
        <f>IF(AND(ISNUMBER(H258),ISNUMBER(I258)),ABS(I258-H258),IF(ISNUMBER(H258)=ISNUMBER(I258),0,1))</f>
        <v/>
      </c>
      <c r="K258" s="46" t="n">
        <v>-0.006463718811617386</v>
      </c>
      <c r="L258" s="47">
        <f>Calculo!AL256</f>
        <v/>
      </c>
      <c r="M258" s="45">
        <f>IF(AND(ISNUMBER(K258),ISNUMBER(L258)),ABS(L258-K258),IF(ISNUMBER(K258)=ISNUMBER(L258),0,1))</f>
        <v/>
      </c>
      <c r="N258" s="46" t="n">
        <v>-0.1604720097930749</v>
      </c>
      <c r="O258" s="47">
        <f>Calculo!AP256</f>
        <v/>
      </c>
      <c r="P258" s="45">
        <f>IF(AND(ISNUMBER(N258),ISNUMBER(O258)),ABS(O258-N258),IF(ISNUMBER(N258)=ISNUMBER(O258),0,1))</f>
        <v/>
      </c>
      <c r="Q258" s="46" t="n">
        <v>1.341825141685633</v>
      </c>
      <c r="R258" s="47">
        <f>Calculo!AW256</f>
        <v/>
      </c>
      <c r="S258" s="45">
        <f>IF(AND(ISNUMBER(Q258),ISNUMBER(R258)),ABS(R258-Q258),IF(ISNUMBER(Q258)=ISNUMBER(R258),0,1))</f>
        <v/>
      </c>
      <c r="T258" s="46" t="n">
        <v>1.174421985319023</v>
      </c>
      <c r="U258" s="47">
        <f>Calculo!AX256</f>
        <v/>
      </c>
      <c r="V258" s="45">
        <f>IF(AND(ISNUMBER(T258),ISNUMBER(U258)),ABS(U258-T258),IF(ISNUMBER(T258)=ISNUMBER(U258),0,1))</f>
        <v/>
      </c>
      <c r="W258" s="46" t="n">
        <v>1.115255352958851</v>
      </c>
      <c r="X258" s="47">
        <f>Calculo!AY256</f>
        <v/>
      </c>
      <c r="Y258" s="45">
        <f>IF(AND(ISNUMBER(W258),ISNUMBER(X258)),ABS(X258-W258),IF(ISNUMBER(W258)=ISNUMBER(X258),0,1))</f>
        <v/>
      </c>
      <c r="Z258" s="46" t="n">
        <v>0.0005959828214630512</v>
      </c>
      <c r="AA258" s="47">
        <f>Calculo!BC256</f>
        <v/>
      </c>
      <c r="AB258" s="45">
        <f>IF(AND(ISNUMBER(Z258),ISNUMBER(AA258)),ABS(AA258-Z258),IF(ISNUMBER(Z258)=ISNUMBER(AA258),0,1))</f>
        <v/>
      </c>
    </row>
    <row r="259">
      <c r="A259" s="36">
        <f>Calculo!A257</f>
        <v/>
      </c>
      <c r="B259" s="46" t="n">
        <v>0.08654380976819678</v>
      </c>
      <c r="C259" s="47">
        <f>Calculo!W257</f>
        <v/>
      </c>
      <c r="D259" s="45">
        <f>IF(AND(ISNUMBER(B259),ISNUMBER(C259)),ABS(C259-B259),IF(ISNUMBER(B259)=ISNUMBER(C259),0,1))</f>
        <v/>
      </c>
      <c r="E259" s="46" t="n">
        <v>1.244992106555198</v>
      </c>
      <c r="F259" s="47">
        <f>Calculo!V257</f>
        <v/>
      </c>
      <c r="G259" s="45">
        <f>IF(AND(ISNUMBER(E259),ISNUMBER(F259)),ABS(F259-E259),IF(ISNUMBER(E259)=ISNUMBER(F259),0,1))</f>
        <v/>
      </c>
      <c r="H259" s="46" t="n">
        <v>-0.2294026856923927</v>
      </c>
      <c r="I259" s="47">
        <f>Calculo!AK257</f>
        <v/>
      </c>
      <c r="J259" s="45">
        <f>IF(AND(ISNUMBER(H259),ISNUMBER(I259)),ABS(I259-H259),IF(ISNUMBER(H259)=ISNUMBER(I259),0,1))</f>
        <v/>
      </c>
      <c r="K259" s="46" t="n">
        <v>-0.003897808687459748</v>
      </c>
      <c r="L259" s="47">
        <f>Calculo!AL257</f>
        <v/>
      </c>
      <c r="M259" s="45">
        <f>IF(AND(ISNUMBER(K259),ISNUMBER(L259)),ABS(L259-K259),IF(ISNUMBER(K259)=ISNUMBER(L259),0,1))</f>
        <v/>
      </c>
      <c r="N259" s="46" t="n">
        <v>-0.06882565779144156</v>
      </c>
      <c r="O259" s="47">
        <f>Calculo!AP257</f>
        <v/>
      </c>
      <c r="P259" s="45">
        <f>IF(AND(ISNUMBER(N259),ISNUMBER(O259)),ABS(O259-N259),IF(ISNUMBER(N259)=ISNUMBER(O259),0,1))</f>
        <v/>
      </c>
      <c r="Q259" s="46" t="n">
        <v>0.5772006953590767</v>
      </c>
      <c r="R259" s="47">
        <f>Calculo!AW257</f>
        <v/>
      </c>
      <c r="S259" s="45">
        <f>IF(AND(ISNUMBER(Q259),ISNUMBER(R259)),ABS(R259-Q259),IF(ISNUMBER(Q259)=ISNUMBER(R259),0,1))</f>
        <v/>
      </c>
      <c r="T259" s="46" t="n">
        <v>1.104125572173385</v>
      </c>
      <c r="U259" s="47">
        <f>Calculo!AX257</f>
        <v/>
      </c>
      <c r="V259" s="45">
        <f>IF(AND(ISNUMBER(T259),ISNUMBER(U259)),ABS(U259-T259),IF(ISNUMBER(T259)=ISNUMBER(U259),0,1))</f>
        <v/>
      </c>
      <c r="W259" s="46" t="n">
        <v>1.156359876894551</v>
      </c>
      <c r="X259" s="47">
        <f>Calculo!AY257</f>
        <v/>
      </c>
      <c r="Y259" s="45">
        <f>IF(AND(ISNUMBER(W259),ISNUMBER(X259)),ABS(X259-W259),IF(ISNUMBER(W259)=ISNUMBER(X259),0,1))</f>
        <v/>
      </c>
      <c r="Z259" s="46" t="n">
        <v>0.002308456223562879</v>
      </c>
      <c r="AA259" s="47">
        <f>Calculo!BC257</f>
        <v/>
      </c>
      <c r="AB259" s="45">
        <f>IF(AND(ISNUMBER(Z259),ISNUMBER(AA259)),ABS(AA259-Z259),IF(ISNUMBER(Z259)=ISNUMBER(AA259),0,1))</f>
        <v/>
      </c>
    </row>
    <row r="260">
      <c r="A260" s="36">
        <f>Calculo!A258</f>
        <v/>
      </c>
      <c r="B260" s="46" t="n">
        <v>0.02206710395165415</v>
      </c>
      <c r="C260" s="47">
        <f>Calculo!W258</f>
        <v/>
      </c>
      <c r="D260" s="45">
        <f>IF(AND(ISNUMBER(B260),ISNUMBER(C260)),ABS(C260-B260),IF(ISNUMBER(B260)=ISNUMBER(C260),0,1))</f>
        <v/>
      </c>
      <c r="E260" s="46" t="n">
        <v>1.238280253663397</v>
      </c>
      <c r="F260" s="47">
        <f>Calculo!V258</f>
        <v/>
      </c>
      <c r="G260" s="45">
        <f>IF(AND(ISNUMBER(E260),ISNUMBER(F260)),ABS(F260-E260),IF(ISNUMBER(E260)=ISNUMBER(F260),0,1))</f>
        <v/>
      </c>
      <c r="H260" s="46" t="n">
        <v>-0.2289032956013644</v>
      </c>
      <c r="I260" s="47">
        <f>Calculo!AK258</f>
        <v/>
      </c>
      <c r="J260" s="45">
        <f>IF(AND(ISNUMBER(H260),ISNUMBER(I260)),ABS(I260-H260),IF(ISNUMBER(H260)=ISNUMBER(I260),0,1))</f>
        <v/>
      </c>
      <c r="K260" s="46" t="n">
        <v>-0.001428288418713736</v>
      </c>
      <c r="L260" s="47">
        <f>Calculo!AL258</f>
        <v/>
      </c>
      <c r="M260" s="45">
        <f>IF(AND(ISNUMBER(K260),ISNUMBER(L260)),ABS(L260-K260),IF(ISNUMBER(K260)=ISNUMBER(L260),0,1))</f>
        <v/>
      </c>
      <c r="N260" s="46" t="n">
        <v>0.2154719400402676</v>
      </c>
      <c r="O260" s="47">
        <f>Calculo!AP258</f>
        <v/>
      </c>
      <c r="P260" s="45">
        <f>IF(AND(ISNUMBER(N260),ISNUMBER(O260)),ABS(O260-N260),IF(ISNUMBER(N260)=ISNUMBER(O260),0,1))</f>
        <v/>
      </c>
      <c r="Q260" s="46" t="n">
        <v>-1.774301842387971</v>
      </c>
      <c r="R260" s="47">
        <f>Calculo!AW258</f>
        <v/>
      </c>
      <c r="S260" s="45">
        <f>IF(AND(ISNUMBER(Q260),ISNUMBER(R260)),ABS(R260-Q260),IF(ISNUMBER(Q260)=ISNUMBER(R260),0,1))</f>
        <v/>
      </c>
      <c r="T260" s="46" t="n">
        <v>0.8111841995306086</v>
      </c>
      <c r="U260" s="47">
        <f>Calculo!AX258</f>
        <v/>
      </c>
      <c r="V260" s="45">
        <f>IF(AND(ISNUMBER(T260),ISNUMBER(U260)),ABS(U260-T260),IF(ISNUMBER(T260)=ISNUMBER(U260),0,1))</f>
        <v/>
      </c>
      <c r="W260" s="46" t="n">
        <v>1.029910585674339</v>
      </c>
      <c r="X260" s="47">
        <f>Calculo!AY258</f>
        <v/>
      </c>
      <c r="Y260" s="45">
        <f>IF(AND(ISNUMBER(W260),ISNUMBER(X260)),ABS(X260-W260),IF(ISNUMBER(W260)=ISNUMBER(X260),0,1))</f>
        <v/>
      </c>
      <c r="Z260" s="46" t="n">
        <v>0.0007598411044857257</v>
      </c>
      <c r="AA260" s="47">
        <f>Calculo!BC258</f>
        <v/>
      </c>
      <c r="AB260" s="45">
        <f>IF(AND(ISNUMBER(Z260),ISNUMBER(AA260)),ABS(AA260-Z260),IF(ISNUMBER(Z260)=ISNUMBER(AA260),0,1))</f>
        <v/>
      </c>
    </row>
    <row r="261">
      <c r="A261" s="36">
        <f>Calculo!A259</f>
        <v/>
      </c>
      <c r="B261" s="46" t="n">
        <v>-0.03216467616944754</v>
      </c>
      <c r="C261" s="47">
        <f>Calculo!W259</f>
        <v/>
      </c>
      <c r="D261" s="45">
        <f>IF(AND(ISNUMBER(B261),ISNUMBER(C261)),ABS(C261-B261),IF(ISNUMBER(B261)=ISNUMBER(C261),0,1))</f>
        <v/>
      </c>
      <c r="E261" s="46" t="n">
        <v>1.228965140652085</v>
      </c>
      <c r="F261" s="47">
        <f>Calculo!V259</f>
        <v/>
      </c>
      <c r="G261" s="45">
        <f>IF(AND(ISNUMBER(E261),ISNUMBER(F261)),ABS(F261-E261),IF(ISNUMBER(E261)=ISNUMBER(F261),0,1))</f>
        <v/>
      </c>
      <c r="H261" s="46" t="n">
        <v>-0.200417470042509</v>
      </c>
      <c r="I261" s="47">
        <f>Calculo!AK259</f>
        <v/>
      </c>
      <c r="J261" s="45">
        <f>IF(AND(ISNUMBER(H261),ISNUMBER(I261)),ABS(I261-H261),IF(ISNUMBER(H261)=ISNUMBER(I261),0,1))</f>
        <v/>
      </c>
      <c r="K261" s="46" t="n">
        <v>0.001439952875841926</v>
      </c>
      <c r="L261" s="47">
        <f>Calculo!AL259</f>
        <v/>
      </c>
      <c r="M261" s="45">
        <f>IF(AND(ISNUMBER(K261),ISNUMBER(L261)),ABS(L261-K261),IF(ISNUMBER(K261)=ISNUMBER(L261),0,1))</f>
        <v/>
      </c>
      <c r="N261" s="46" t="n">
        <v>0.1364400473187894</v>
      </c>
      <c r="O261" s="47">
        <f>Calculo!AP259</f>
        <v/>
      </c>
      <c r="P261" s="45">
        <f>IF(AND(ISNUMBER(N261),ISNUMBER(O261)),ABS(O261-N261),IF(ISNUMBER(N261)=ISNUMBER(O261),0,1))</f>
        <v/>
      </c>
      <c r="Q261" s="46" t="n">
        <v>-1.112872023139515</v>
      </c>
      <c r="R261" s="47">
        <f>Calculo!AW259</f>
        <v/>
      </c>
      <c r="S261" s="45">
        <f>IF(AND(ISNUMBER(Q261),ISNUMBER(R261)),ABS(R261-Q261),IF(ISNUMBER(Q261)=ISNUMBER(R261),0,1))</f>
        <v/>
      </c>
      <c r="T261" s="46" t="n">
        <v>0.8389849474215932</v>
      </c>
      <c r="U261" s="47">
        <f>Calculo!AX259</f>
        <v/>
      </c>
      <c r="V261" s="45">
        <f>IF(AND(ISNUMBER(T261),ISNUMBER(U261)),ABS(U261-T261),IF(ISNUMBER(T261)=ISNUMBER(U261),0,1))</f>
        <v/>
      </c>
      <c r="W261" s="46" t="n">
        <v>0.918098239708529</v>
      </c>
      <c r="X261" s="47">
        <f>Calculo!AY259</f>
        <v/>
      </c>
      <c r="Y261" s="45">
        <f>IF(AND(ISNUMBER(W261),ISNUMBER(X261)),ABS(X261-W261),IF(ISNUMBER(W261)=ISNUMBER(X261),0,1))</f>
        <v/>
      </c>
      <c r="Z261" s="46" t="n">
        <v>-0.0005566393036139369</v>
      </c>
      <c r="AA261" s="47">
        <f>Calculo!BC259</f>
        <v/>
      </c>
      <c r="AB261" s="45">
        <f>IF(AND(ISNUMBER(Z261),ISNUMBER(AA261)),ABS(AA261-Z261),IF(ISNUMBER(Z261)=ISNUMBER(AA261),0,1))</f>
        <v/>
      </c>
    </row>
    <row r="262">
      <c r="A262" s="36">
        <f>Calculo!A260</f>
        <v/>
      </c>
      <c r="B262" s="46" t="n">
        <v>0.1641662340979768</v>
      </c>
      <c r="C262" s="47">
        <f>Calculo!W260</f>
        <v/>
      </c>
      <c r="D262" s="45">
        <f>IF(AND(ISNUMBER(B262),ISNUMBER(C262)),ABS(C262-B262),IF(ISNUMBER(B262)=ISNUMBER(C262),0,1))</f>
        <v/>
      </c>
      <c r="E262" s="46" t="n">
        <v>1.227606072948237</v>
      </c>
      <c r="F262" s="47">
        <f>Calculo!V260</f>
        <v/>
      </c>
      <c r="G262" s="45">
        <f>IF(AND(ISNUMBER(E262),ISNUMBER(F262)),ABS(F262-E262),IF(ISNUMBER(E262)=ISNUMBER(F262),0,1))</f>
        <v/>
      </c>
      <c r="H262" s="46" t="n">
        <v>-0.2041437187581688</v>
      </c>
      <c r="I262" s="47">
        <f>Calculo!AK260</f>
        <v/>
      </c>
      <c r="J262" s="45">
        <f>IF(AND(ISNUMBER(H262),ISNUMBER(I262)),ABS(I262-H262),IF(ISNUMBER(H262)=ISNUMBER(I262),0,1))</f>
        <v/>
      </c>
      <c r="K262" s="46" t="n">
        <v>0.001474565718607636</v>
      </c>
      <c r="L262" s="47">
        <f>Calculo!AL260</f>
        <v/>
      </c>
      <c r="M262" s="45">
        <f>IF(AND(ISNUMBER(K262),ISNUMBER(L262)),ABS(L262-K262),IF(ISNUMBER(K262)=ISNUMBER(L262),0,1))</f>
        <v/>
      </c>
      <c r="N262" s="46" t="n">
        <v>0.1910581717418358</v>
      </c>
      <c r="O262" s="47">
        <f>Calculo!AP260</f>
        <v/>
      </c>
      <c r="P262" s="45">
        <f>IF(AND(ISNUMBER(N262),ISNUMBER(O262)),ABS(O262-N262),IF(ISNUMBER(N262)=ISNUMBER(O262),0,1))</f>
        <v/>
      </c>
      <c r="Q262" s="46" t="n">
        <v>-1.552347574502814</v>
      </c>
      <c r="R262" s="47">
        <f>Calculo!AW260</f>
        <v/>
      </c>
      <c r="S262" s="45">
        <f>IF(AND(ISNUMBER(Q262),ISNUMBER(R262)),ABS(R262-Q262),IF(ISNUMBER(Q262)=ISNUMBER(R262),0,1))</f>
        <v/>
      </c>
      <c r="T262" s="46" t="n">
        <v>0.8171655998282472</v>
      </c>
      <c r="U262" s="47">
        <f>Calculo!AX260</f>
        <v/>
      </c>
      <c r="V262" s="45">
        <f>IF(AND(ISNUMBER(T262),ISNUMBER(U262)),ABS(U262-T262),IF(ISNUMBER(T262)=ISNUMBER(U262),0,1))</f>
        <v/>
      </c>
      <c r="W262" s="46" t="n">
        <v>0.8224449155934829</v>
      </c>
      <c r="X262" s="47">
        <f>Calculo!AY260</f>
        <v/>
      </c>
      <c r="Y262" s="45">
        <f>IF(AND(ISNUMBER(W262),ISNUMBER(X262)),ABS(X262-W262),IF(ISNUMBER(W262)=ISNUMBER(X262),0,1))</f>
        <v/>
      </c>
      <c r="Z262" s="46" t="n">
        <v>-0.003640906753176027</v>
      </c>
      <c r="AA262" s="47">
        <f>Calculo!BC260</f>
        <v/>
      </c>
      <c r="AB262" s="45">
        <f>IF(AND(ISNUMBER(Z262),ISNUMBER(AA262)),ABS(AA262-Z262),IF(ISNUMBER(Z262)=ISNUMBER(AA262),0,1))</f>
        <v/>
      </c>
    </row>
    <row r="263">
      <c r="A263" s="36">
        <f>Calculo!A261</f>
        <v/>
      </c>
      <c r="B263" s="46" t="n">
        <v>-0.1385960073872044</v>
      </c>
      <c r="C263" s="47">
        <f>Calculo!W261</f>
        <v/>
      </c>
      <c r="D263" s="45">
        <f>IF(AND(ISNUMBER(B263),ISNUMBER(C263)),ABS(C263-B263),IF(ISNUMBER(B263)=ISNUMBER(C263),0,1))</f>
        <v/>
      </c>
      <c r="E263" s="46" t="n">
        <v>1.17912020150333</v>
      </c>
      <c r="F263" s="47">
        <f>Calculo!V261</f>
        <v/>
      </c>
      <c r="G263" s="45">
        <f>IF(AND(ISNUMBER(E263),ISNUMBER(F263)),ABS(F263-E263),IF(ISNUMBER(E263)=ISNUMBER(F263),0,1))</f>
        <v/>
      </c>
      <c r="H263" s="46" t="n">
        <v>-0.2186586666074319</v>
      </c>
      <c r="I263" s="47">
        <f>Calculo!AK261</f>
        <v/>
      </c>
      <c r="J263" s="45">
        <f>IF(AND(ISNUMBER(H263),ISNUMBER(I263)),ABS(I263-H263),IF(ISNUMBER(H263)=ISNUMBER(I263),0,1))</f>
        <v/>
      </c>
      <c r="K263" s="46" t="n">
        <v>0.005921736865305913</v>
      </c>
      <c r="L263" s="47">
        <f>Calculo!AL261</f>
        <v/>
      </c>
      <c r="M263" s="45">
        <f>IF(AND(ISNUMBER(K263),ISNUMBER(L263)),ABS(L263-K263),IF(ISNUMBER(K263)=ISNUMBER(L263),0,1))</f>
        <v/>
      </c>
      <c r="N263" s="46" t="n">
        <v>-0.05009364826736665</v>
      </c>
      <c r="O263" s="47">
        <f>Calculo!AP261</f>
        <v/>
      </c>
      <c r="P263" s="45">
        <f>IF(AND(ISNUMBER(N263),ISNUMBER(O263)),ABS(O263-N263),IF(ISNUMBER(N263)=ISNUMBER(O263),0,1))</f>
        <v/>
      </c>
      <c r="Q263" s="46" t="n">
        <v>0.4376060727421858</v>
      </c>
      <c r="R263" s="47">
        <f>Calculo!AW261</f>
        <v/>
      </c>
      <c r="S263" s="45">
        <f>IF(AND(ISNUMBER(Q263),ISNUMBER(R263)),ABS(R263-Q263),IF(ISNUMBER(Q263)=ISNUMBER(R263),0,1))</f>
        <v/>
      </c>
      <c r="T263" s="46" t="n">
        <v>1.082331631383474</v>
      </c>
      <c r="U263" s="47">
        <f>Calculo!AX261</f>
        <v/>
      </c>
      <c r="V263" s="45">
        <f>IF(AND(ISNUMBER(T263),ISNUMBER(U263)),ABS(U263-T263),IF(ISNUMBER(T263)=ISNUMBER(U263),0,1))</f>
        <v/>
      </c>
      <c r="W263" s="46" t="n">
        <v>0.9128273928777713</v>
      </c>
      <c r="X263" s="47">
        <f>Calculo!AY261</f>
        <v/>
      </c>
      <c r="Y263" s="45">
        <f>IF(AND(ISNUMBER(W263),ISNUMBER(X263)),ABS(X263-W263),IF(ISNUMBER(W263)=ISNUMBER(X263),0,1))</f>
        <v/>
      </c>
      <c r="Z263" s="46" t="n">
        <v>0.005912973137222724</v>
      </c>
      <c r="AA263" s="47">
        <f>Calculo!BC261</f>
        <v/>
      </c>
      <c r="AB263" s="45">
        <f>IF(AND(ISNUMBER(Z263),ISNUMBER(AA263)),ABS(AA263-Z263),IF(ISNUMBER(Z263)=ISNUMBER(AA263),0,1))</f>
        <v/>
      </c>
    </row>
    <row r="264">
      <c r="A264" s="36">
        <f>Calculo!A262</f>
        <v/>
      </c>
      <c r="B264" s="46" t="n">
        <v>-0.01173010112544862</v>
      </c>
      <c r="C264" s="47">
        <f>Calculo!W262</f>
        <v/>
      </c>
      <c r="D264" s="45">
        <f>IF(AND(ISNUMBER(B264),ISNUMBER(C264)),ABS(C264-B264),IF(ISNUMBER(B264)=ISNUMBER(C264),0,1))</f>
        <v/>
      </c>
      <c r="E264" s="46" t="n">
        <v>1.175253357673392</v>
      </c>
      <c r="F264" s="47">
        <f>Calculo!V262</f>
        <v/>
      </c>
      <c r="G264" s="45">
        <f>IF(AND(ISNUMBER(E264),ISNUMBER(F264)),ABS(F264-E264),IF(ISNUMBER(E264)=ISNUMBER(F264),0,1))</f>
        <v/>
      </c>
      <c r="H264" s="46" t="n">
        <v>-0.2097694717729049</v>
      </c>
      <c r="I264" s="47">
        <f>Calculo!AK262</f>
        <v/>
      </c>
      <c r="J264" s="45">
        <f>IF(AND(ISNUMBER(H264),ISNUMBER(I264)),ABS(I264-H264),IF(ISNUMBER(H264)=ISNUMBER(I264),0,1))</f>
        <v/>
      </c>
      <c r="K264" s="46" t="n">
        <v>0.0004631428647182247</v>
      </c>
      <c r="L264" s="47">
        <f>Calculo!AL262</f>
        <v/>
      </c>
      <c r="M264" s="45">
        <f>IF(AND(ISNUMBER(K264),ISNUMBER(L264)),ABS(L264-K264),IF(ISNUMBER(K264)=ISNUMBER(L264),0,1))</f>
        <v/>
      </c>
      <c r="N264" s="46" t="n">
        <v>-0.02603412636604105</v>
      </c>
      <c r="O264" s="47">
        <f>Calculo!AP262</f>
        <v/>
      </c>
      <c r="P264" s="45">
        <f>IF(AND(ISNUMBER(N264),ISNUMBER(O264)),ABS(O264-N264),IF(ISNUMBER(N264)=ISNUMBER(O264),0,1))</f>
        <v/>
      </c>
      <c r="Q264" s="46" t="n">
        <v>0.2379438182352457</v>
      </c>
      <c r="R264" s="47">
        <f>Calculo!AW262</f>
        <v/>
      </c>
      <c r="S264" s="45">
        <f>IF(AND(ISNUMBER(Q264),ISNUMBER(R264)),ABS(R264-Q264),IF(ISNUMBER(Q264)=ISNUMBER(R264),0,1))</f>
        <v/>
      </c>
      <c r="T264" s="46" t="n">
        <v>1.046710532372909</v>
      </c>
      <c r="U264" s="47">
        <f>Calculo!AX262</f>
        <v/>
      </c>
      <c r="V264" s="45">
        <f>IF(AND(ISNUMBER(T264),ISNUMBER(U264)),ABS(U264-T264),IF(ISNUMBER(T264)=ISNUMBER(U264),0,1))</f>
        <v/>
      </c>
      <c r="W264" s="46" t="n">
        <v>0.9820692545282098</v>
      </c>
      <c r="X264" s="47">
        <f>Calculo!AY262</f>
        <v/>
      </c>
      <c r="Y264" s="45">
        <f>IF(AND(ISNUMBER(W264),ISNUMBER(X264)),ABS(X264-W264),IF(ISNUMBER(W264)=ISNUMBER(X264),0,1))</f>
        <v/>
      </c>
      <c r="Z264" s="46" t="n">
        <v>2.967968101746539e-05</v>
      </c>
      <c r="AA264" s="47">
        <f>Calculo!BC262</f>
        <v/>
      </c>
      <c r="AB264" s="45">
        <f>IF(AND(ISNUMBER(Z264),ISNUMBER(AA264)),ABS(AA264-Z264),IF(ISNUMBER(Z264)=ISNUMBER(AA264),0,1))</f>
        <v/>
      </c>
    </row>
    <row r="265">
      <c r="A265" s="36">
        <f>Calculo!A263</f>
        <v/>
      </c>
      <c r="B265" s="46" t="n">
        <v>-0.06314714337179236</v>
      </c>
      <c r="C265" s="47">
        <f>Calculo!W263</f>
        <v/>
      </c>
      <c r="D265" s="45">
        <f>IF(AND(ISNUMBER(B265),ISNUMBER(C265)),ABS(C265-B265),IF(ISNUMBER(B265)=ISNUMBER(C265),0,1))</f>
        <v/>
      </c>
      <c r="E265" s="46" t="n">
        <v>1.1731889973536</v>
      </c>
      <c r="F265" s="47">
        <f>Calculo!V263</f>
        <v/>
      </c>
      <c r="G265" s="45">
        <f>IF(AND(ISNUMBER(E265),ISNUMBER(F265)),ABS(F265-E265),IF(ISNUMBER(E265)=ISNUMBER(F265),0,1))</f>
        <v/>
      </c>
      <c r="H265" s="46" t="n">
        <v>-0.218547114151591</v>
      </c>
      <c r="I265" s="47">
        <f>Calculo!AK263</f>
        <v/>
      </c>
      <c r="J265" s="45">
        <f>IF(AND(ISNUMBER(H265),ISNUMBER(I265)),ABS(I265-H265),IF(ISNUMBER(H265)=ISNUMBER(I265),0,1))</f>
        <v/>
      </c>
      <c r="K265" s="46" t="n">
        <v>-0.0004231035506985486</v>
      </c>
      <c r="L265" s="47">
        <f>Calculo!AL263</f>
        <v/>
      </c>
      <c r="M265" s="45">
        <f>IF(AND(ISNUMBER(K265),ISNUMBER(L265)),ABS(L265-K265),IF(ISNUMBER(K265)=ISNUMBER(L265),0,1))</f>
        <v/>
      </c>
      <c r="N265" s="46" t="n">
        <v>-0.2187335463374442</v>
      </c>
      <c r="O265" s="47">
        <f>Calculo!AP263</f>
        <v/>
      </c>
      <c r="P265" s="45">
        <f>IF(AND(ISNUMBER(N265),ISNUMBER(O265)),ABS(O265-N265),IF(ISNUMBER(N265)=ISNUMBER(O265),0,1))</f>
        <v/>
      </c>
      <c r="Q265" s="46" t="n">
        <v>1.816767500010094</v>
      </c>
      <c r="R265" s="47">
        <f>Calculo!AW263</f>
        <v/>
      </c>
      <c r="S265" s="45">
        <f>IF(AND(ISNUMBER(Q265),ISNUMBER(R265)),ABS(R265-Q265),IF(ISNUMBER(Q265)=ISNUMBER(R265),0,1))</f>
        <v/>
      </c>
      <c r="T265" s="46" t="n">
        <v>1.189703026887045</v>
      </c>
      <c r="U265" s="47">
        <f>Calculo!AX263</f>
        <v/>
      </c>
      <c r="V265" s="45">
        <f>IF(AND(ISNUMBER(T265),ISNUMBER(U265)),ABS(U265-T265),IF(ISNUMBER(T265)=ISNUMBER(U265),0,1))</f>
        <v/>
      </c>
      <c r="W265" s="46" t="n">
        <v>1.106248396881143</v>
      </c>
      <c r="X265" s="47">
        <f>Calculo!AY263</f>
        <v/>
      </c>
      <c r="Y265" s="45">
        <f>IF(AND(ISNUMBER(W265),ISNUMBER(X265)),ABS(X265-W265),IF(ISNUMBER(W265)=ISNUMBER(X265),0,1))</f>
        <v/>
      </c>
      <c r="Z265" s="46" t="n">
        <v>0.0001099641846414666</v>
      </c>
      <c r="AA265" s="47">
        <f>Calculo!BC263</f>
        <v/>
      </c>
      <c r="AB265" s="45">
        <f>IF(AND(ISNUMBER(Z265),ISNUMBER(AA265)),ABS(AA265-Z265),IF(ISNUMBER(Z265)=ISNUMBER(AA265),0,1))</f>
        <v/>
      </c>
    </row>
    <row r="266">
      <c r="A266" s="36">
        <f>Calculo!A264</f>
        <v/>
      </c>
      <c r="B266" s="46" t="n">
        <v>-0.05522997675677285</v>
      </c>
      <c r="C266" s="47">
        <f>Calculo!W264</f>
        <v/>
      </c>
      <c r="D266" s="45">
        <f>IF(AND(ISNUMBER(B266),ISNUMBER(C266)),ABS(C266-B266),IF(ISNUMBER(B266)=ISNUMBER(C266),0,1))</f>
        <v/>
      </c>
      <c r="E266" s="46" t="n">
        <v>1.195294733936408</v>
      </c>
      <c r="F266" s="47">
        <f>Calculo!V264</f>
        <v/>
      </c>
      <c r="G266" s="45">
        <f>IF(AND(ISNUMBER(E266),ISNUMBER(F266)),ABS(F266-E266),IF(ISNUMBER(E266)=ISNUMBER(F266),0,1))</f>
        <v/>
      </c>
      <c r="H266" s="46" t="n">
        <v>-0.2210871799319633</v>
      </c>
      <c r="I266" s="47">
        <f>Calculo!AK264</f>
        <v/>
      </c>
      <c r="J266" s="45">
        <f>IF(AND(ISNUMBER(H266),ISNUMBER(I266)),ABS(I266-H266),IF(ISNUMBER(H266)=ISNUMBER(I266),0,1))</f>
        <v/>
      </c>
      <c r="K266" s="46" t="n">
        <v>0.001142970245300887</v>
      </c>
      <c r="L266" s="47">
        <f>Calculo!AL264</f>
        <v/>
      </c>
      <c r="M266" s="45">
        <f>IF(AND(ISNUMBER(K266),ISNUMBER(L266)),ABS(L266-K266),IF(ISNUMBER(K266)=ISNUMBER(L266),0,1))</f>
        <v/>
      </c>
      <c r="N266" s="46" t="n">
        <v>-0.08262310383679441</v>
      </c>
      <c r="O266" s="47">
        <f>Calculo!AP264</f>
        <v/>
      </c>
      <c r="P266" s="45">
        <f>IF(AND(ISNUMBER(N266),ISNUMBER(O266)),ABS(O266-N266),IF(ISNUMBER(N266)=ISNUMBER(O266),0,1))</f>
        <v/>
      </c>
      <c r="Q266" s="46" t="n">
        <v>0.6919842612830943</v>
      </c>
      <c r="R266" s="47">
        <f>Calculo!AW264</f>
        <v/>
      </c>
      <c r="S266" s="45">
        <f>IF(AND(ISNUMBER(Q266),ISNUMBER(R266)),ABS(R266-Q266),IF(ISNUMBER(Q266)=ISNUMBER(R266),0,1))</f>
        <v/>
      </c>
      <c r="T266" s="46" t="n">
        <v>1.119851042464358</v>
      </c>
      <c r="U266" s="47">
        <f>Calculo!AX264</f>
        <v/>
      </c>
      <c r="V266" s="45">
        <f>IF(AND(ISNUMBER(T266),ISNUMBER(U266)),ABS(U266-T266),IF(ISNUMBER(T266)=ISNUMBER(U266),0,1))</f>
        <v/>
      </c>
      <c r="W266" s="46" t="n">
        <v>1.118754867241438</v>
      </c>
      <c r="X266" s="47">
        <f>Calculo!AY264</f>
        <v/>
      </c>
      <c r="Y266" s="45">
        <f>IF(AND(ISNUMBER(W266),ISNUMBER(X266)),ABS(X266-W266),IF(ISNUMBER(W266)=ISNUMBER(X266),0,1))</f>
        <v/>
      </c>
      <c r="Z266" s="46" t="n">
        <v>-0.001777471978429805</v>
      </c>
      <c r="AA266" s="47">
        <f>Calculo!BC264</f>
        <v/>
      </c>
      <c r="AB266" s="45">
        <f>IF(AND(ISNUMBER(Z266),ISNUMBER(AA266)),ABS(AA266-Z266),IF(ISNUMBER(Z266)=ISNUMBER(AA266),0,1))</f>
        <v/>
      </c>
    </row>
    <row r="267">
      <c r="A267" s="36">
        <f>Calculo!A265</f>
        <v/>
      </c>
      <c r="B267" s="46" t="n">
        <v>-0.09778140417040992</v>
      </c>
      <c r="C267" s="47">
        <f>Calculo!W265</f>
        <v/>
      </c>
      <c r="D267" s="45">
        <f>IF(AND(ISNUMBER(B267),ISNUMBER(C267)),ABS(C267-B267),IF(ISNUMBER(B267)=ISNUMBER(C267),0,1))</f>
        <v/>
      </c>
      <c r="E267" s="46" t="n">
        <v>1.219174286833194</v>
      </c>
      <c r="F267" s="47">
        <f>Calculo!V265</f>
        <v/>
      </c>
      <c r="G267" s="45">
        <f>IF(AND(ISNUMBER(E267),ISNUMBER(F267)),ABS(F267-E267),IF(ISNUMBER(E267)=ISNUMBER(F267),0,1))</f>
        <v/>
      </c>
      <c r="H267" s="46" t="n">
        <v>-0.2261597436241291</v>
      </c>
      <c r="I267" s="47">
        <f>Calculo!AK265</f>
        <v/>
      </c>
      <c r="J267" s="45">
        <f>IF(AND(ISNUMBER(H267),ISNUMBER(I267)),ABS(I267-H267),IF(ISNUMBER(H267)=ISNUMBER(I267),0,1))</f>
        <v/>
      </c>
      <c r="K267" s="46" t="n">
        <v>0.001423196133196303</v>
      </c>
      <c r="L267" s="47">
        <f>Calculo!AL265</f>
        <v/>
      </c>
      <c r="M267" s="45">
        <f>IF(AND(ISNUMBER(K267),ISNUMBER(L267)),ABS(L267-K267),IF(ISNUMBER(K267)=ISNUMBER(L267),0,1))</f>
        <v/>
      </c>
      <c r="N267" s="46" t="n">
        <v>-0.09357011560626519</v>
      </c>
      <c r="O267" s="47">
        <f>Calculo!AP265</f>
        <v/>
      </c>
      <c r="P267" s="45">
        <f>IF(AND(ISNUMBER(N267),ISNUMBER(O267)),ABS(O267-N267),IF(ISNUMBER(N267)=ISNUMBER(O267),0,1))</f>
        <v/>
      </c>
      <c r="Q267" s="46" t="n">
        <v>0.779366613558534</v>
      </c>
      <c r="R267" s="47">
        <f>Calculo!AW265</f>
        <v/>
      </c>
      <c r="S267" s="45">
        <f>IF(AND(ISNUMBER(Q267),ISNUMBER(R267)),ABS(R267-Q267),IF(ISNUMBER(Q267)=ISNUMBER(R267),0,1))</f>
        <v/>
      </c>
      <c r="T267" s="46" t="n">
        <v>1.130468601666176</v>
      </c>
      <c r="U267" s="47">
        <f>Calculo!AX265</f>
        <v/>
      </c>
      <c r="V267" s="45">
        <f>IF(AND(ISNUMBER(T267),ISNUMBER(U267)),ABS(U267-T267),IF(ISNUMBER(T267)=ISNUMBER(U267),0,1))</f>
        <v/>
      </c>
      <c r="W267" s="46" t="n">
        <v>1.146674223672526</v>
      </c>
      <c r="X267" s="47">
        <f>Calculo!AY265</f>
        <v/>
      </c>
      <c r="Y267" s="45">
        <f>IF(AND(ISNUMBER(W267),ISNUMBER(X267)),ABS(X267-W267),IF(ISNUMBER(W267)=ISNUMBER(X267),0,1))</f>
        <v/>
      </c>
      <c r="Z267" s="46" t="n">
        <v>-0.002934270593635332</v>
      </c>
      <c r="AA267" s="47">
        <f>Calculo!BC265</f>
        <v/>
      </c>
      <c r="AB267" s="45">
        <f>IF(AND(ISNUMBER(Z267),ISNUMBER(AA267)),ABS(AA267-Z267),IF(ISNUMBER(Z267)=ISNUMBER(AA267),0,1))</f>
        <v/>
      </c>
    </row>
    <row r="268">
      <c r="A268" s="36">
        <f>Calculo!A266</f>
        <v/>
      </c>
      <c r="B268" s="46" t="n">
        <v>0.1222214123856949</v>
      </c>
      <c r="C268" s="47">
        <f>Calculo!W266</f>
        <v/>
      </c>
      <c r="D268" s="45">
        <f>IF(AND(ISNUMBER(B268),ISNUMBER(C268)),ABS(C268-B268),IF(ISNUMBER(B268)=ISNUMBER(C268),0,1))</f>
        <v/>
      </c>
      <c r="E268" s="46" t="n">
        <v>1.247585479346962</v>
      </c>
      <c r="F268" s="47">
        <f>Calculo!V266</f>
        <v/>
      </c>
      <c r="G268" s="45">
        <f>IF(AND(ISNUMBER(E268),ISNUMBER(F268)),ABS(F268-E268),IF(ISNUMBER(E268)=ISNUMBER(F268),0,1))</f>
        <v/>
      </c>
      <c r="H268" s="46" t="n">
        <v>-0.2445875508480795</v>
      </c>
      <c r="I268" s="47">
        <f>Calculo!AK266</f>
        <v/>
      </c>
      <c r="J268" s="45">
        <f>IF(AND(ISNUMBER(H268),ISNUMBER(I268)),ABS(I268-H268),IF(ISNUMBER(H268)=ISNUMBER(I268),0,1))</f>
        <v/>
      </c>
      <c r="K268" s="46" t="n">
        <v>-0.0008080805885795047</v>
      </c>
      <c r="L268" s="47">
        <f>Calculo!AL266</f>
        <v/>
      </c>
      <c r="M268" s="45">
        <f>IF(AND(ISNUMBER(K268),ISNUMBER(L268)),ABS(L268-K268),IF(ISNUMBER(K268)=ISNUMBER(L268),0,1))</f>
        <v/>
      </c>
      <c r="N268" s="46" t="n">
        <v>-0.0684570302634724</v>
      </c>
      <c r="O268" s="47">
        <f>Calculo!AP266</f>
        <v/>
      </c>
      <c r="P268" s="45">
        <f>IF(AND(ISNUMBER(N268),ISNUMBER(O268)),ABS(O268-N268),IF(ISNUMBER(N268)=ISNUMBER(O268),0,1))</f>
        <v/>
      </c>
      <c r="Q268" s="46" t="n">
        <v>0.5700442415267386</v>
      </c>
      <c r="R268" s="47">
        <f>Calculo!AW266</f>
        <v/>
      </c>
      <c r="S268" s="45">
        <f>IF(AND(ISNUMBER(Q268),ISNUMBER(R268)),ABS(R268-Q268),IF(ISNUMBER(Q268)=ISNUMBER(R268),0,1))</f>
        <v/>
      </c>
      <c r="T268" s="46" t="n">
        <v>1.103078353691368</v>
      </c>
      <c r="U268" s="47">
        <f>Calculo!AX266</f>
        <v/>
      </c>
      <c r="V268" s="45">
        <f>IF(AND(ISNUMBER(T268),ISNUMBER(U268)),ABS(U268-T268),IF(ISNUMBER(T268)=ISNUMBER(U268),0,1))</f>
        <v/>
      </c>
      <c r="W268" s="46" t="n">
        <v>1.117799332607301</v>
      </c>
      <c r="X268" s="47">
        <f>Calculo!AY266</f>
        <v/>
      </c>
      <c r="Y268" s="45">
        <f>IF(AND(ISNUMBER(W268),ISNUMBER(X268)),ABS(X268-W268),IF(ISNUMBER(W268)=ISNUMBER(X268),0,1))</f>
        <v/>
      </c>
      <c r="Z268" s="46" t="n">
        <v>0.004411884303380157</v>
      </c>
      <c r="AA268" s="47">
        <f>Calculo!BC266</f>
        <v/>
      </c>
      <c r="AB268" s="45">
        <f>IF(AND(ISNUMBER(Z268),ISNUMBER(AA268)),ABS(AA268-Z268),IF(ISNUMBER(Z268)=ISNUMBER(AA268),0,1))</f>
        <v/>
      </c>
    </row>
    <row r="269">
      <c r="A269" s="36">
        <f>Calculo!A267</f>
        <v/>
      </c>
      <c r="B269" s="46" t="n">
        <v>-0.06472637237424228</v>
      </c>
      <c r="C269" s="47">
        <f>Calculo!W267</f>
        <v/>
      </c>
      <c r="D269" s="45">
        <f>IF(AND(ISNUMBER(B269),ISNUMBER(C269)),ABS(C269-B269),IF(ISNUMBER(B269)=ISNUMBER(C269),0,1))</f>
        <v/>
      </c>
      <c r="E269" s="46" t="n">
        <v>1.305761401534664</v>
      </c>
      <c r="F269" s="47">
        <f>Calculo!V267</f>
        <v/>
      </c>
      <c r="G269" s="45">
        <f>IF(AND(ISNUMBER(E269),ISNUMBER(F269)),ABS(F269-E269),IF(ISNUMBER(E269)=ISNUMBER(F269),0,1))</f>
        <v/>
      </c>
      <c r="H269" s="46" t="n">
        <v>-0.2313950314407195</v>
      </c>
      <c r="I269" s="47">
        <f>Calculo!AK267</f>
        <v/>
      </c>
      <c r="J269" s="45">
        <f>IF(AND(ISNUMBER(H269),ISNUMBER(I269)),ABS(I269-H269),IF(ISNUMBER(H269)=ISNUMBER(I269),0,1))</f>
        <v/>
      </c>
      <c r="K269" s="46" t="n">
        <v>0.0003650679388577348</v>
      </c>
      <c r="L269" s="47">
        <f>Calculo!AL267</f>
        <v/>
      </c>
      <c r="M269" s="45">
        <f>IF(AND(ISNUMBER(K269),ISNUMBER(L269)),ABS(L269-K269),IF(ISNUMBER(K269)=ISNUMBER(L269),0,1))</f>
        <v/>
      </c>
      <c r="N269" s="46" t="n">
        <v>-0.1084841291843897</v>
      </c>
      <c r="O269" s="47">
        <f>Calculo!AP267</f>
        <v/>
      </c>
      <c r="P269" s="45">
        <f>IF(AND(ISNUMBER(N269),ISNUMBER(O269)),ABS(O269-N269),IF(ISNUMBER(N269)=ISNUMBER(O269),0,1))</f>
        <v/>
      </c>
      <c r="Q269" s="46" t="n">
        <v>0.8975066097199118</v>
      </c>
      <c r="R269" s="47">
        <f>Calculo!AW267</f>
        <v/>
      </c>
      <c r="S269" s="45">
        <f>IF(AND(ISNUMBER(Q269),ISNUMBER(R269)),ABS(R269-Q269),IF(ISNUMBER(Q269)=ISNUMBER(R269),0,1))</f>
        <v/>
      </c>
      <c r="T269" s="46" t="n">
        <v>1.143016325095716</v>
      </c>
      <c r="U269" s="47">
        <f>Calculo!AX267</f>
        <v/>
      </c>
      <c r="V269" s="45">
        <f>IF(AND(ISNUMBER(T269),ISNUMBER(U269)),ABS(U269-T269),IF(ISNUMBER(T269)=ISNUMBER(U269),0,1))</f>
        <v/>
      </c>
      <c r="W269" s="46" t="n">
        <v>1.12552109348442</v>
      </c>
      <c r="X269" s="47">
        <f>Calculo!AY267</f>
        <v/>
      </c>
      <c r="Y269" s="45">
        <f>IF(AND(ISNUMBER(W269),ISNUMBER(X269)),ABS(X269-W269),IF(ISNUMBER(W269)=ISNUMBER(X269),0,1))</f>
        <v/>
      </c>
      <c r="Z269" s="46" t="n">
        <v>-0.001978368094607404</v>
      </c>
      <c r="AA269" s="47">
        <f>Calculo!BC267</f>
        <v/>
      </c>
      <c r="AB269" s="45">
        <f>IF(AND(ISNUMBER(Z269),ISNUMBER(AA269)),ABS(AA269-Z269),IF(ISNUMBER(Z269)=ISNUMBER(AA269),0,1))</f>
        <v/>
      </c>
    </row>
    <row r="270">
      <c r="A270" s="36">
        <f>Calculo!A268</f>
        <v/>
      </c>
      <c r="B270" s="46" t="n">
        <v>0.05871277089523978</v>
      </c>
      <c r="C270" s="47">
        <f>Calculo!W268</f>
        <v/>
      </c>
      <c r="D270" s="45">
        <f>IF(AND(ISNUMBER(B270),ISNUMBER(C270)),ABS(C270-B270),IF(ISNUMBER(B270)=ISNUMBER(C270),0,1))</f>
        <v/>
      </c>
      <c r="E270" s="46" t="n">
        <v>1.313102061578315</v>
      </c>
      <c r="F270" s="47">
        <f>Calculo!V268</f>
        <v/>
      </c>
      <c r="G270" s="45">
        <f>IF(AND(ISNUMBER(E270),ISNUMBER(F270)),ABS(F270-E270),IF(ISNUMBER(E270)=ISNUMBER(F270),0,1))</f>
        <v/>
      </c>
      <c r="H270" s="46" t="n">
        <v>-0.2448571815570883</v>
      </c>
      <c r="I270" s="47">
        <f>Calculo!AK268</f>
        <v/>
      </c>
      <c r="J270" s="45">
        <f>IF(AND(ISNUMBER(H270),ISNUMBER(I270)),ABS(I270-H270),IF(ISNUMBER(H270)=ISNUMBER(I270),0,1))</f>
        <v/>
      </c>
      <c r="K270" s="46" t="n">
        <v>0.00119539042729167</v>
      </c>
      <c r="L270" s="47">
        <f>Calculo!AL268</f>
        <v/>
      </c>
      <c r="M270" s="45">
        <f>IF(AND(ISNUMBER(K270),ISNUMBER(L270)),ABS(L270-K270),IF(ISNUMBER(K270)=ISNUMBER(L270),0,1))</f>
        <v/>
      </c>
      <c r="N270" s="46" t="n">
        <v>-0.07049235078436403</v>
      </c>
      <c r="O270" s="47">
        <f>Calculo!AP268</f>
        <v/>
      </c>
      <c r="P270" s="45">
        <f>IF(AND(ISNUMBER(N270),ISNUMBER(O270)),ABS(O270-N270),IF(ISNUMBER(N270)=ISNUMBER(O270),0,1))</f>
        <v/>
      </c>
      <c r="Q270" s="46" t="n">
        <v>0.5810745683972737</v>
      </c>
      <c r="R270" s="47">
        <f>Calculo!AW268</f>
        <v/>
      </c>
      <c r="S270" s="45">
        <f>IF(AND(ISNUMBER(Q270),ISNUMBER(R270)),ABS(R270-Q270),IF(ISNUMBER(Q270)=ISNUMBER(R270),0,1))</f>
        <v/>
      </c>
      <c r="T270" s="46" t="n">
        <v>1.104689201939002</v>
      </c>
      <c r="U270" s="47">
        <f>Calculo!AX268</f>
        <v/>
      </c>
      <c r="V270" s="45">
        <f>IF(AND(ISNUMBER(T270),ISNUMBER(U270)),ABS(U270-T270),IF(ISNUMBER(T270)=ISNUMBER(U270),0,1))</f>
        <v/>
      </c>
      <c r="W270" s="46" t="n">
        <v>1.116927960242028</v>
      </c>
      <c r="X270" s="47">
        <f>Calculo!AY268</f>
        <v/>
      </c>
      <c r="Y270" s="45">
        <f>IF(AND(ISNUMBER(W270),ISNUMBER(X270)),ABS(X270-W270),IF(ISNUMBER(W270)=ISNUMBER(X270),0,1))</f>
        <v/>
      </c>
      <c r="Z270" s="46" t="n">
        <v>0.001823118398874877</v>
      </c>
      <c r="AA270" s="47">
        <f>Calculo!BC268</f>
        <v/>
      </c>
      <c r="AB270" s="45">
        <f>IF(AND(ISNUMBER(Z270),ISNUMBER(AA270)),ABS(AA270-Z270),IF(ISNUMBER(Z270)=ISNUMBER(AA270),0,1))</f>
        <v/>
      </c>
    </row>
    <row r="271">
      <c r="A271" s="36">
        <f>Calculo!A269</f>
        <v/>
      </c>
      <c r="B271" s="46" t="n">
        <v>0.01550401249902335</v>
      </c>
      <c r="C271" s="47">
        <f>Calculo!W269</f>
        <v/>
      </c>
      <c r="D271" s="45">
        <f>IF(AND(ISNUMBER(B271),ISNUMBER(C271)),ABS(C271-B271),IF(ISNUMBER(B271)=ISNUMBER(C271),0,1))</f>
        <v/>
      </c>
      <c r="E271" s="46" t="n">
        <v>1.309599927259857</v>
      </c>
      <c r="F271" s="47">
        <f>Calculo!V269</f>
        <v/>
      </c>
      <c r="G271" s="45">
        <f>IF(AND(ISNUMBER(E271),ISNUMBER(F271)),ABS(F271-E271),IF(ISNUMBER(E271)=ISNUMBER(F271),0,1))</f>
        <v/>
      </c>
      <c r="H271" s="46" t="n">
        <v>-0.2473111720225927</v>
      </c>
      <c r="I271" s="47">
        <f>Calculo!AK269</f>
        <v/>
      </c>
      <c r="J271" s="45">
        <f>IF(AND(ISNUMBER(H271),ISNUMBER(I271)),ABS(I271-H271),IF(ISNUMBER(H271)=ISNUMBER(I271),0,1))</f>
        <v/>
      </c>
      <c r="K271" s="46" t="n">
        <v>0.001279921507697672</v>
      </c>
      <c r="L271" s="47">
        <f>Calculo!AL269</f>
        <v/>
      </c>
      <c r="M271" s="45">
        <f>IF(AND(ISNUMBER(K271),ISNUMBER(L271)),ABS(L271-K271),IF(ISNUMBER(K271)=ISNUMBER(L271),0,1))</f>
        <v/>
      </c>
      <c r="N271" s="46" t="n">
        <v>-0.06234117059557367</v>
      </c>
      <c r="O271" s="47">
        <f>Calculo!AP269</f>
        <v/>
      </c>
      <c r="P271" s="45">
        <f>IF(AND(ISNUMBER(N271),ISNUMBER(O271)),ABS(O271-N271),IF(ISNUMBER(N271)=ISNUMBER(O271),0,1))</f>
        <v/>
      </c>
      <c r="Q271" s="46" t="n">
        <v>0.5119582834038136</v>
      </c>
      <c r="R271" s="47">
        <f>Calculo!AW269</f>
        <v/>
      </c>
      <c r="S271" s="45">
        <f>IF(AND(ISNUMBER(Q271),ISNUMBER(R271)),ABS(R271-Q271),IF(ISNUMBER(Q271)=ISNUMBER(R271),0,1))</f>
        <v/>
      </c>
      <c r="T271" s="46" t="n">
        <v>1.094293918715327</v>
      </c>
      <c r="U271" s="47">
        <f>Calculo!AX269</f>
        <v/>
      </c>
      <c r="V271" s="45">
        <f>IF(AND(ISNUMBER(T271),ISNUMBER(U271)),ABS(U271-T271),IF(ISNUMBER(T271)=ISNUMBER(U271),0,1))</f>
        <v/>
      </c>
      <c r="W271" s="46" t="n">
        <v>1.113999815250015</v>
      </c>
      <c r="X271" s="47">
        <f>Calculo!AY269</f>
        <v/>
      </c>
      <c r="Y271" s="45">
        <f>IF(AND(ISNUMBER(W271),ISNUMBER(X271)),ABS(X271-W271),IF(ISNUMBER(W271)=ISNUMBER(X271),0,1))</f>
        <v/>
      </c>
      <c r="Z271" s="46" t="n">
        <v>0.0004317303061634503</v>
      </c>
      <c r="AA271" s="47">
        <f>Calculo!BC269</f>
        <v/>
      </c>
      <c r="AB271" s="45">
        <f>IF(AND(ISNUMBER(Z271),ISNUMBER(AA271)),ABS(AA271-Z271),IF(ISNUMBER(Z271)=ISNUMBER(AA271),0,1))</f>
        <v/>
      </c>
    </row>
    <row r="272">
      <c r="A272" s="36">
        <f>Calculo!A270</f>
        <v/>
      </c>
      <c r="B272" s="46" t="n">
        <v>-0.03572051427529477</v>
      </c>
      <c r="C272" s="47">
        <f>Calculo!W270</f>
        <v/>
      </c>
      <c r="D272" s="45">
        <f>IF(AND(ISNUMBER(B272),ISNUMBER(C272)),ABS(C272-B272),IF(ISNUMBER(B272)=ISNUMBER(C272),0,1))</f>
        <v/>
      </c>
      <c r="E272" s="46" t="n">
        <v>1.30116896312056</v>
      </c>
      <c r="F272" s="47">
        <f>Calculo!V270</f>
        <v/>
      </c>
      <c r="G272" s="45">
        <f>IF(AND(ISNUMBER(E272),ISNUMBER(F272)),ABS(F272-E272),IF(ISNUMBER(E272)=ISNUMBER(F272),0,1))</f>
        <v/>
      </c>
      <c r="H272" s="46" t="n">
        <v>-0.2428706610251501</v>
      </c>
      <c r="I272" s="47">
        <f>Calculo!AK270</f>
        <v/>
      </c>
      <c r="J272" s="45">
        <f>IF(AND(ISNUMBER(H272),ISNUMBER(I272)),ABS(I272-H272),IF(ISNUMBER(H272)=ISNUMBER(I272),0,1))</f>
        <v/>
      </c>
      <c r="K272" s="46" t="n">
        <v>0.0003772202489337999</v>
      </c>
      <c r="L272" s="47">
        <f>Calculo!AL270</f>
        <v/>
      </c>
      <c r="M272" s="45">
        <f>IF(AND(ISNUMBER(K272),ISNUMBER(L272)),ABS(L272-K272),IF(ISNUMBER(K272)=ISNUMBER(L272),0,1))</f>
        <v/>
      </c>
      <c r="N272" s="46" t="n">
        <v>0.004468627152281017</v>
      </c>
      <c r="O272" s="47">
        <f>Calculo!AP270</f>
        <v/>
      </c>
      <c r="P272" s="45">
        <f>IF(AND(ISNUMBER(N272),ISNUMBER(O272)),ABS(O272-N272),IF(ISNUMBER(N272)=ISNUMBER(O272),0,1))</f>
        <v/>
      </c>
      <c r="Q272" s="46" t="n">
        <v>-0.04300905031309715</v>
      </c>
      <c r="R272" s="47">
        <f>Calculo!AW270</f>
        <v/>
      </c>
      <c r="S272" s="45">
        <f>IF(AND(ISNUMBER(Q272),ISNUMBER(R272)),ABS(R272-Q272),IF(ISNUMBER(Q272)=ISNUMBER(R272),0,1))</f>
        <v/>
      </c>
      <c r="T272" s="46" t="n">
        <v>0.9914034898301411</v>
      </c>
      <c r="U272" s="47">
        <f>Calculo!AX270</f>
        <v/>
      </c>
      <c r="V272" s="45">
        <f>IF(AND(ISNUMBER(T272),ISNUMBER(U272)),ABS(U272-T272),IF(ISNUMBER(T272)=ISNUMBER(U272),0,1))</f>
        <v/>
      </c>
      <c r="W272" s="46" t="n">
        <v>1.063462203494823</v>
      </c>
      <c r="X272" s="47">
        <f>Calculo!AY270</f>
        <v/>
      </c>
      <c r="Y272" s="45">
        <f>IF(AND(ISNUMBER(W272),ISNUMBER(X272)),ABS(X272-W272),IF(ISNUMBER(W272)=ISNUMBER(X272),0,1))</f>
        <v/>
      </c>
      <c r="Z272" s="46" t="n">
        <v>-0.001025353369484814</v>
      </c>
      <c r="AA272" s="47">
        <f>Calculo!BC270</f>
        <v/>
      </c>
      <c r="AB272" s="45">
        <f>IF(AND(ISNUMBER(Z272),ISNUMBER(AA272)),ABS(AA272-Z272),IF(ISNUMBER(Z272)=ISNUMBER(AA272),0,1))</f>
        <v/>
      </c>
    </row>
    <row r="273">
      <c r="A273" s="36">
        <f>Calculo!A271</f>
        <v/>
      </c>
      <c r="B273" s="46" t="n">
        <v>-0.1100036655852769</v>
      </c>
      <c r="C273" s="47">
        <f>Calculo!W271</f>
        <v/>
      </c>
      <c r="D273" s="45">
        <f>IF(AND(ISNUMBER(B273),ISNUMBER(C273)),ABS(C273-B273),IF(ISNUMBER(B273)=ISNUMBER(C273),0,1))</f>
        <v/>
      </c>
      <c r="E273" s="46" t="n">
        <v>1.318751666759775</v>
      </c>
      <c r="F273" s="47">
        <f>Calculo!V271</f>
        <v/>
      </c>
      <c r="G273" s="45">
        <f>IF(AND(ISNUMBER(E273),ISNUMBER(F273)),ABS(F273-E273),IF(ISNUMBER(E273)=ISNUMBER(F273),0,1))</f>
        <v/>
      </c>
      <c r="H273" s="46" t="n">
        <v>-0.2515046322675523</v>
      </c>
      <c r="I273" s="47">
        <f>Calculo!AK271</f>
        <v/>
      </c>
      <c r="J273" s="45">
        <f>IF(AND(ISNUMBER(H273),ISNUMBER(I273)),ABS(I273-H273),IF(ISNUMBER(H273)=ISNUMBER(I273),0,1))</f>
        <v/>
      </c>
      <c r="K273" s="46" t="n">
        <v>-0.002335388860084967</v>
      </c>
      <c r="L273" s="47">
        <f>Calculo!AL271</f>
        <v/>
      </c>
      <c r="M273" s="45">
        <f>IF(AND(ISNUMBER(K273),ISNUMBER(L273)),ABS(L273-K273),IF(ISNUMBER(K273)=ISNUMBER(L273),0,1))</f>
        <v/>
      </c>
      <c r="N273" s="46" t="n">
        <v>-0.110695778563672</v>
      </c>
      <c r="O273" s="47">
        <f>Calculo!AP271</f>
        <v/>
      </c>
      <c r="P273" s="45">
        <f>IF(AND(ISNUMBER(N273),ISNUMBER(O273)),ABS(O273-N273),IF(ISNUMBER(N273)=ISNUMBER(O273),0,1))</f>
        <v/>
      </c>
      <c r="Q273" s="46" t="n">
        <v>0.9121447594885984</v>
      </c>
      <c r="R273" s="47">
        <f>Calculo!AW271</f>
        <v/>
      </c>
      <c r="S273" s="45">
        <f>IF(AND(ISNUMBER(Q273),ISNUMBER(R273)),ABS(R273-Q273),IF(ISNUMBER(Q273)=ISNUMBER(R273),0,1))</f>
        <v/>
      </c>
      <c r="T273" s="46" t="n">
        <v>1.144432015863057</v>
      </c>
      <c r="U273" s="47">
        <f>Calculo!AX271</f>
        <v/>
      </c>
      <c r="V273" s="45">
        <f>IF(AND(ISNUMBER(T273),ISNUMBER(U273)),ABS(U273-T273),IF(ISNUMBER(T273)=ISNUMBER(U273),0,1))</f>
        <v/>
      </c>
      <c r="W273" s="46" t="n">
        <v>1.076709808136175</v>
      </c>
      <c r="X273" s="47">
        <f>Calculo!AY271</f>
        <v/>
      </c>
      <c r="Y273" s="45">
        <f>IF(AND(ISNUMBER(W273),ISNUMBER(X273)),ABS(X273-W273),IF(ISNUMBER(W273)=ISNUMBER(X273),0,1))</f>
        <v/>
      </c>
      <c r="Z273" s="46" t="n">
        <v>-0.001871612782025314</v>
      </c>
      <c r="AA273" s="47">
        <f>Calculo!BC271</f>
        <v/>
      </c>
      <c r="AB273" s="45">
        <f>IF(AND(ISNUMBER(Z273),ISNUMBER(AA273)),ABS(AA273-Z273),IF(ISNUMBER(Z273)=ISNUMBER(AA273),0,1))</f>
        <v/>
      </c>
    </row>
    <row r="274">
      <c r="A274" s="36">
        <f>Calculo!A272</f>
        <v/>
      </c>
      <c r="B274" s="46" t="n">
        <v>-0.01156032465446744</v>
      </c>
      <c r="C274" s="47">
        <f>Calculo!W272</f>
        <v/>
      </c>
      <c r="D274" s="45">
        <f>IF(AND(ISNUMBER(B274),ISNUMBER(C274)),ABS(C274-B274),IF(ISNUMBER(B274)=ISNUMBER(C274),0,1))</f>
        <v/>
      </c>
      <c r="E274" s="46" t="n">
        <v>1.299816105938366</v>
      </c>
      <c r="F274" s="47">
        <f>Calculo!V272</f>
        <v/>
      </c>
      <c r="G274" s="45">
        <f>IF(AND(ISNUMBER(E274),ISNUMBER(F274)),ABS(F274-E274),IF(ISNUMBER(E274)=ISNUMBER(F274),0,1))</f>
        <v/>
      </c>
      <c r="H274" s="46" t="n">
        <v>-0.251951701832699</v>
      </c>
      <c r="I274" s="47">
        <f>Calculo!AK272</f>
        <v/>
      </c>
      <c r="J274" s="45">
        <f>IF(AND(ISNUMBER(H274),ISNUMBER(I274)),ABS(I274-H274),IF(ISNUMBER(H274)=ISNUMBER(I274),0,1))</f>
        <v/>
      </c>
      <c r="K274" s="46" t="n">
        <v>-0.003384609088546203</v>
      </c>
      <c r="L274" s="47">
        <f>Calculo!AL272</f>
        <v/>
      </c>
      <c r="M274" s="45">
        <f>IF(AND(ISNUMBER(K274),ISNUMBER(L274)),ABS(L274-K274),IF(ISNUMBER(K274)=ISNUMBER(L274),0,1))</f>
        <v/>
      </c>
      <c r="N274" s="46" t="n">
        <v>-0.1195632549030446</v>
      </c>
      <c r="O274" s="47">
        <f>Calculo!AP272</f>
        <v/>
      </c>
      <c r="P274" s="45">
        <f>IF(AND(ISNUMBER(N274),ISNUMBER(O274)),ABS(O274-N274),IF(ISNUMBER(N274)=ISNUMBER(O274),0,1))</f>
        <v/>
      </c>
      <c r="Q274" s="46" t="n">
        <v>0.9815474372600204</v>
      </c>
      <c r="R274" s="47">
        <f>Calculo!AW272</f>
        <v/>
      </c>
      <c r="S274" s="45">
        <f>IF(AND(ISNUMBER(Q274),ISNUMBER(R274)),ABS(R274-Q274),IF(ISNUMBER(Q274)=ISNUMBER(R274),0,1))</f>
        <v/>
      </c>
      <c r="T274" s="46" t="n">
        <v>1.150746999487918</v>
      </c>
      <c r="U274" s="47">
        <f>Calculo!AX272</f>
        <v/>
      </c>
      <c r="V274" s="45">
        <f>IF(AND(ISNUMBER(T274),ISNUMBER(U274)),ABS(U274-T274),IF(ISNUMBER(T274)=ISNUMBER(U274),0,1))</f>
        <v/>
      </c>
      <c r="W274" s="46" t="n">
        <v>1.095527501727039</v>
      </c>
      <c r="X274" s="47">
        <f>Calculo!AY272</f>
        <v/>
      </c>
      <c r="Y274" s="45">
        <f>IF(AND(ISNUMBER(W274),ISNUMBER(X274)),ABS(X274-W274),IF(ISNUMBER(W274)=ISNUMBER(X274),0,1))</f>
        <v/>
      </c>
      <c r="Z274" s="46" t="n">
        <v>-0.0002548165831624018</v>
      </c>
      <c r="AA274" s="47">
        <f>Calculo!BC272</f>
        <v/>
      </c>
      <c r="AB274" s="45">
        <f>IF(AND(ISNUMBER(Z274),ISNUMBER(AA274)),ABS(AA274-Z274),IF(ISNUMBER(Z274)=ISNUMBER(AA274),0,1))</f>
        <v/>
      </c>
    </row>
    <row r="275">
      <c r="A275" s="36">
        <f>Calculo!A273</f>
        <v/>
      </c>
      <c r="B275" s="46" t="n">
        <v>0.06146240134684507</v>
      </c>
      <c r="C275" s="47">
        <f>Calculo!W273</f>
        <v/>
      </c>
      <c r="D275" s="45">
        <f>IF(AND(ISNUMBER(B275),ISNUMBER(C275)),ABS(C275-B275),IF(ISNUMBER(B275)=ISNUMBER(C275),0,1))</f>
        <v/>
      </c>
      <c r="E275" s="46" t="n">
        <v>1.314135103138606</v>
      </c>
      <c r="F275" s="47">
        <f>Calculo!V273</f>
        <v/>
      </c>
      <c r="G275" s="45">
        <f>IF(AND(ISNUMBER(E275),ISNUMBER(F275)),ABS(F275-E275),IF(ISNUMBER(E275)=ISNUMBER(F275),0,1))</f>
        <v/>
      </c>
      <c r="H275" s="46" t="n">
        <v>-0.2420345323177837</v>
      </c>
      <c r="I275" s="47">
        <f>Calculo!AK273</f>
        <v/>
      </c>
      <c r="J275" s="45">
        <f>IF(AND(ISNUMBER(H275),ISNUMBER(I275)),ABS(I275-H275),IF(ISNUMBER(H275)=ISNUMBER(I275),0,1))</f>
        <v/>
      </c>
      <c r="K275" s="46" t="n">
        <v>-0.002429988409445458</v>
      </c>
      <c r="L275" s="47">
        <f>Calculo!AL273</f>
        <v/>
      </c>
      <c r="M275" s="45">
        <f>IF(AND(ISNUMBER(K275),ISNUMBER(L275)),ABS(L275-K275),IF(ISNUMBER(K275)=ISNUMBER(L275),0,1))</f>
        <v/>
      </c>
      <c r="N275" s="46" t="n">
        <v>-0.08804607710593032</v>
      </c>
      <c r="O275" s="47">
        <f>Calculo!AP273</f>
        <v/>
      </c>
      <c r="P275" s="45">
        <f>IF(AND(ISNUMBER(N275),ISNUMBER(O275)),ABS(O275-N275),IF(ISNUMBER(N275)=ISNUMBER(O275),0,1))</f>
        <v/>
      </c>
      <c r="Q275" s="46" t="n">
        <v>0.7164680722497621</v>
      </c>
      <c r="R275" s="47">
        <f>Calculo!AW273</f>
        <v/>
      </c>
      <c r="S275" s="45">
        <f>IF(AND(ISNUMBER(Q275),ISNUMBER(R275)),ABS(R275-Q275),IF(ISNUMBER(Q275)=ISNUMBER(R275),0,1))</f>
        <v/>
      </c>
      <c r="T275" s="46" t="n">
        <v>1.12294335555495</v>
      </c>
      <c r="U275" s="47">
        <f>Calculo!AX273</f>
        <v/>
      </c>
      <c r="V275" s="45">
        <f>IF(AND(ISNUMBER(T275),ISNUMBER(U275)),ABS(U275-T275),IF(ISNUMBER(T275)=ISNUMBER(U275),0,1))</f>
        <v/>
      </c>
      <c r="W275" s="46" t="n">
        <v>1.139374123635309</v>
      </c>
      <c r="X275" s="47">
        <f>Calculo!AY273</f>
        <v/>
      </c>
      <c r="Y275" s="45">
        <f>IF(AND(ISNUMBER(W275),ISNUMBER(X275)),ABS(X275-W275),IF(ISNUMBER(W275)=ISNUMBER(X275),0,1))</f>
        <v/>
      </c>
      <c r="Z275" s="46" t="n">
        <v>0.001420793178725016</v>
      </c>
      <c r="AA275" s="47">
        <f>Calculo!BC273</f>
        <v/>
      </c>
      <c r="AB275" s="45">
        <f>IF(AND(ISNUMBER(Z275),ISNUMBER(AA275)),ABS(AA275-Z275),IF(ISNUMBER(Z275)=ISNUMBER(AA275),0,1))</f>
        <v/>
      </c>
    </row>
    <row r="276">
      <c r="A276" s="36">
        <f>Calculo!A274</f>
        <v/>
      </c>
      <c r="B276" s="46" t="n">
        <v>0.07351357228010343</v>
      </c>
      <c r="C276" s="47">
        <f>Calculo!W274</f>
        <v/>
      </c>
      <c r="D276" s="45">
        <f>IF(AND(ISNUMBER(B276),ISNUMBER(C276)),ABS(C276-B276),IF(ISNUMBER(B276)=ISNUMBER(C276),0,1))</f>
        <v/>
      </c>
      <c r="E276" s="46" t="n">
        <v>1.322294342046923</v>
      </c>
      <c r="F276" s="47">
        <f>Calculo!V274</f>
        <v/>
      </c>
      <c r="G276" s="45">
        <f>IF(AND(ISNUMBER(E276),ISNUMBER(F276)),ABS(F276-E276),IF(ISNUMBER(E276)=ISNUMBER(F276),0,1))</f>
        <v/>
      </c>
      <c r="H276" s="46" t="n">
        <v>-0.243434789190153</v>
      </c>
      <c r="I276" s="47">
        <f>Calculo!AK274</f>
        <v/>
      </c>
      <c r="J276" s="45">
        <f>IF(AND(ISNUMBER(H276),ISNUMBER(I276)),ABS(I276-H276),IF(ISNUMBER(H276)=ISNUMBER(I276),0,1))</f>
        <v/>
      </c>
      <c r="K276" s="46" t="n">
        <v>4.010631766176477e-05</v>
      </c>
      <c r="L276" s="47">
        <f>Calculo!AL274</f>
        <v/>
      </c>
      <c r="M276" s="45">
        <f>IF(AND(ISNUMBER(K276),ISNUMBER(L276)),ABS(L276-K276),IF(ISNUMBER(K276)=ISNUMBER(L276),0,1))</f>
        <v/>
      </c>
      <c r="N276" s="46" t="n">
        <v>0.03849073386870508</v>
      </c>
      <c r="O276" s="47">
        <f>Calculo!AP274</f>
        <v/>
      </c>
      <c r="P276" s="45">
        <f>IF(AND(ISNUMBER(N276),ISNUMBER(O276)),ABS(O276-N276),IF(ISNUMBER(N276)=ISNUMBER(O276),0,1))</f>
        <v/>
      </c>
      <c r="Q276" s="46" t="n">
        <v>-0.3380857839680035</v>
      </c>
      <c r="R276" s="47">
        <f>Calculo!AW274</f>
        <v/>
      </c>
      <c r="S276" s="45">
        <f>IF(AND(ISNUMBER(Q276),ISNUMBER(R276)),ABS(R276-Q276),IF(ISNUMBER(Q276)=ISNUMBER(R276),0,1))</f>
        <v/>
      </c>
      <c r="T276" s="46" t="n">
        <v>0.9348465215559064</v>
      </c>
      <c r="U276" s="47">
        <f>Calculo!AX274</f>
        <v/>
      </c>
      <c r="V276" s="45">
        <f>IF(AND(ISNUMBER(T276),ISNUMBER(U276)),ABS(U276-T276),IF(ISNUMBER(T276)=ISNUMBER(U276),0,1))</f>
        <v/>
      </c>
      <c r="W276" s="46" t="n">
        <v>1.069512292199591</v>
      </c>
      <c r="X276" s="47">
        <f>Calculo!AY274</f>
        <v/>
      </c>
      <c r="Y276" s="45">
        <f>IF(AND(ISNUMBER(W276),ISNUMBER(X276)),ABS(X276-W276),IF(ISNUMBER(W276)=ISNUMBER(X276),0,1))</f>
        <v/>
      </c>
      <c r="Z276" s="46" t="n">
        <v>0.002451855873189407</v>
      </c>
      <c r="AA276" s="47">
        <f>Calculo!BC274</f>
        <v/>
      </c>
      <c r="AB276" s="45">
        <f>IF(AND(ISNUMBER(Z276),ISNUMBER(AA276)),ABS(AA276-Z276),IF(ISNUMBER(Z276)=ISNUMBER(AA276),0,1))</f>
        <v/>
      </c>
    </row>
    <row r="277">
      <c r="A277" s="36">
        <f>Calculo!A275</f>
        <v/>
      </c>
      <c r="B277" s="46" t="n">
        <v>-0.04372359709226091</v>
      </c>
      <c r="C277" s="47">
        <f>Calculo!W275</f>
        <v/>
      </c>
      <c r="D277" s="45">
        <f>IF(AND(ISNUMBER(B277),ISNUMBER(C277)),ABS(C277-B277),IF(ISNUMBER(B277)=ISNUMBER(C277),0,1))</f>
        <v/>
      </c>
      <c r="E277" s="46" t="n">
        <v>1.297419677966607</v>
      </c>
      <c r="F277" s="47">
        <f>Calculo!V275</f>
        <v/>
      </c>
      <c r="G277" s="45">
        <f>IF(AND(ISNUMBER(E277),ISNUMBER(F277)),ABS(F277-E277),IF(ISNUMBER(E277)=ISNUMBER(F277),0,1))</f>
        <v/>
      </c>
      <c r="H277" s="46" t="n">
        <v>-0.2266354060745698</v>
      </c>
      <c r="I277" s="47">
        <f>Calculo!AK275</f>
        <v/>
      </c>
      <c r="J277" s="45">
        <f>IF(AND(ISNUMBER(H277),ISNUMBER(I277)),ABS(I277-H277),IF(ISNUMBER(H277)=ISNUMBER(I277),0,1))</f>
        <v/>
      </c>
      <c r="K277" s="46" t="n">
        <v>-0.001263482966232217</v>
      </c>
      <c r="L277" s="47">
        <f>Calculo!AL275</f>
        <v/>
      </c>
      <c r="M277" s="45">
        <f>IF(AND(ISNUMBER(K277),ISNUMBER(L277)),ABS(L277-K277),IF(ISNUMBER(K277)=ISNUMBER(L277),0,1))</f>
        <v/>
      </c>
      <c r="N277" s="46" t="n">
        <v>0.02761680645303248</v>
      </c>
      <c r="O277" s="47">
        <f>Calculo!AP275</f>
        <v/>
      </c>
      <c r="P277" s="45">
        <f>IF(AND(ISNUMBER(N277),ISNUMBER(O277)),ABS(O277-N277),IF(ISNUMBER(N277)=ISNUMBER(O277),0,1))</f>
        <v/>
      </c>
      <c r="Q277" s="46" t="n">
        <v>-0.2466097887825885</v>
      </c>
      <c r="R277" s="47">
        <f>Calculo!AW275</f>
        <v/>
      </c>
      <c r="S277" s="45">
        <f>IF(AND(ISNUMBER(Q277),ISNUMBER(R277)),ABS(R277-Q277),IF(ISNUMBER(Q277)=ISNUMBER(R277),0,1))</f>
        <v/>
      </c>
      <c r="T277" s="46" t="n">
        <v>0.9516541645148134</v>
      </c>
      <c r="U277" s="47">
        <f>Calculo!AX275</f>
        <v/>
      </c>
      <c r="V277" s="45">
        <f>IF(AND(ISNUMBER(T277),ISNUMBER(U277)),ABS(U277-T277),IF(ISNUMBER(T277)=ISNUMBER(U277),0,1))</f>
        <v/>
      </c>
      <c r="W277" s="46" t="n">
        <v>1.003148013875223</v>
      </c>
      <c r="X277" s="47">
        <f>Calculo!AY275</f>
        <v/>
      </c>
      <c r="Y277" s="45">
        <f>IF(AND(ISNUMBER(W277),ISNUMBER(X277)),ABS(X277-W277),IF(ISNUMBER(W277)=ISNUMBER(X277),0,1))</f>
        <v/>
      </c>
      <c r="Z277" s="46" t="n">
        <v>-0.0009344864428629044</v>
      </c>
      <c r="AA277" s="47">
        <f>Calculo!BC275</f>
        <v/>
      </c>
      <c r="AB277" s="45">
        <f>IF(AND(ISNUMBER(Z277),ISNUMBER(AA277)),ABS(AA277-Z277),IF(ISNUMBER(Z277)=ISNUMBER(AA277),0,1))</f>
        <v/>
      </c>
    </row>
    <row r="278">
      <c r="A278" s="36">
        <f>Calculo!A276</f>
        <v/>
      </c>
      <c r="B278" s="46" t="n">
        <v>-0.02030287651336915</v>
      </c>
      <c r="C278" s="47">
        <f>Calculo!W276</f>
        <v/>
      </c>
      <c r="D278" s="45">
        <f>IF(AND(ISNUMBER(B278),ISNUMBER(C278)),ABS(C278-B278),IF(ISNUMBER(B278)=ISNUMBER(C278),0,1))</f>
        <v/>
      </c>
      <c r="E278" s="46" t="n">
        <v>1.296554315324362</v>
      </c>
      <c r="F278" s="47">
        <f>Calculo!V276</f>
        <v/>
      </c>
      <c r="G278" s="45">
        <f>IF(AND(ISNUMBER(E278),ISNUMBER(F278)),ABS(F278-E278),IF(ISNUMBER(E278)=ISNUMBER(F278),0,1))</f>
        <v/>
      </c>
      <c r="H278" s="46" t="n">
        <v>-0.2283647377197967</v>
      </c>
      <c r="I278" s="47">
        <f>Calculo!AK276</f>
        <v/>
      </c>
      <c r="J278" s="45">
        <f>IF(AND(ISNUMBER(H278),ISNUMBER(I278)),ABS(I278-H278),IF(ISNUMBER(H278)=ISNUMBER(I278),0,1))</f>
        <v/>
      </c>
      <c r="K278" s="46" t="n">
        <v>-0.001994412691707397</v>
      </c>
      <c r="L278" s="47">
        <f>Calculo!AL276</f>
        <v/>
      </c>
      <c r="M278" s="45">
        <f>IF(AND(ISNUMBER(K278),ISNUMBER(L278)),ABS(L278-K278),IF(ISNUMBER(K278)=ISNUMBER(L278),0,1))</f>
        <v/>
      </c>
      <c r="N278" s="46" t="n">
        <v>0.01912316164495354</v>
      </c>
      <c r="O278" s="47">
        <f>Calculo!AP276</f>
        <v/>
      </c>
      <c r="P278" s="45">
        <f>IF(AND(ISNUMBER(N278),ISNUMBER(O278)),ABS(O278-N278),IF(ISNUMBER(N278)=ISNUMBER(O278),0,1))</f>
        <v/>
      </c>
      <c r="Q278" s="46" t="n">
        <v>-0.1750613443335063</v>
      </c>
      <c r="R278" s="47">
        <f>Calculo!AW276</f>
        <v/>
      </c>
      <c r="S278" s="45">
        <f>IF(AND(ISNUMBER(Q278),ISNUMBER(R278)),ABS(R278-Q278),IF(ISNUMBER(Q278)=ISNUMBER(R278),0,1))</f>
        <v/>
      </c>
      <c r="T278" s="46" t="n">
        <v>0.9653410678866903</v>
      </c>
      <c r="U278" s="47">
        <f>Calculo!AX276</f>
        <v/>
      </c>
      <c r="V278" s="45">
        <f>IF(AND(ISNUMBER(T278),ISNUMBER(U278)),ABS(U278-T278),IF(ISNUMBER(T278)=ISNUMBER(U278),0,1))</f>
        <v/>
      </c>
      <c r="W278" s="46" t="n">
        <v>0.9506139179858032</v>
      </c>
      <c r="X278" s="47">
        <f>Calculo!AY276</f>
        <v/>
      </c>
      <c r="Y278" s="45">
        <f>IF(AND(ISNUMBER(W278),ISNUMBER(X278)),ABS(X278-W278),IF(ISNUMBER(W278)=ISNUMBER(X278),0,1))</f>
        <v/>
      </c>
      <c r="Z278" s="46" t="n">
        <v>-0.0001818891300536783</v>
      </c>
      <c r="AA278" s="47">
        <f>Calculo!BC276</f>
        <v/>
      </c>
      <c r="AB278" s="45">
        <f>IF(AND(ISNUMBER(Z278),ISNUMBER(AA278)),ABS(AA278-Z278),IF(ISNUMBER(Z278)=ISNUMBER(AA278),0,1))</f>
        <v/>
      </c>
    </row>
    <row r="279">
      <c r="A279" s="36">
        <f>Calculo!A277</f>
        <v/>
      </c>
      <c r="B279" s="46" t="n">
        <v>-0.05538070208828008</v>
      </c>
      <c r="C279" s="47">
        <f>Calculo!W277</f>
        <v/>
      </c>
      <c r="D279" s="45">
        <f>IF(AND(ISNUMBER(B279),ISNUMBER(C279)),ABS(C279-B279),IF(ISNUMBER(B279)=ISNUMBER(C279),0,1))</f>
        <v/>
      </c>
      <c r="E279" s="46" t="n">
        <v>1.328884957595257</v>
      </c>
      <c r="F279" s="47">
        <f>Calculo!V277</f>
        <v/>
      </c>
      <c r="G279" s="45">
        <f>IF(AND(ISNUMBER(E279),ISNUMBER(F279)),ABS(F279-E279),IF(ISNUMBER(E279)=ISNUMBER(F279),0,1))</f>
        <v/>
      </c>
      <c r="H279" s="46" t="n">
        <v>-0.2171188975100861</v>
      </c>
      <c r="I279" s="47">
        <f>Calculo!AK277</f>
        <v/>
      </c>
      <c r="J279" s="45">
        <f>IF(AND(ISNUMBER(H279),ISNUMBER(I279)),ABS(I279-H279),IF(ISNUMBER(H279)=ISNUMBER(I279),0,1))</f>
        <v/>
      </c>
      <c r="K279" s="46" t="n">
        <v>0.001217247327913874</v>
      </c>
      <c r="L279" s="47">
        <f>Calculo!AL277</f>
        <v/>
      </c>
      <c r="M279" s="45">
        <f>IF(AND(ISNUMBER(K279),ISNUMBER(L279)),ABS(L279-K279),IF(ISNUMBER(K279)=ISNUMBER(L279),0,1))</f>
        <v/>
      </c>
      <c r="N279" s="46" t="n">
        <v>-0.03843523512475817</v>
      </c>
      <c r="O279" s="47">
        <f>Calculo!AP277</f>
        <v/>
      </c>
      <c r="P279" s="45">
        <f>IF(AND(ISNUMBER(N279),ISNUMBER(O279)),ABS(O279-N279),IF(ISNUMBER(N279)=ISNUMBER(O279),0,1))</f>
        <v/>
      </c>
      <c r="Q279" s="46" t="n">
        <v>0.3073409021159783</v>
      </c>
      <c r="R279" s="47">
        <f>Calculo!AW277</f>
        <v/>
      </c>
      <c r="S279" s="45">
        <f>IF(AND(ISNUMBER(Q279),ISNUMBER(R279)),ABS(R279-Q279),IF(ISNUMBER(Q279)=ISNUMBER(R279),0,1))</f>
        <v/>
      </c>
      <c r="T279" s="46" t="n">
        <v>1.059603217506696</v>
      </c>
      <c r="U279" s="47">
        <f>Calculo!AX277</f>
        <v/>
      </c>
      <c r="V279" s="45">
        <f>IF(AND(ISNUMBER(T279),ISNUMBER(U279)),ABS(U279-T279),IF(ISNUMBER(T279)=ISNUMBER(U279),0,1))</f>
        <v/>
      </c>
      <c r="W279" s="46" t="n">
        <v>0.9921994833027332</v>
      </c>
      <c r="X279" s="47">
        <f>Calculo!AY277</f>
        <v/>
      </c>
      <c r="Y279" s="45">
        <f>IF(AND(ISNUMBER(W279),ISNUMBER(X279)),ABS(X279-W279),IF(ISNUMBER(W279)=ISNUMBER(X279),0,1))</f>
        <v/>
      </c>
      <c r="Z279" s="46" t="n">
        <v>0.0005524237341103498</v>
      </c>
      <c r="AA279" s="47">
        <f>Calculo!BC277</f>
        <v/>
      </c>
      <c r="AB279" s="45">
        <f>IF(AND(ISNUMBER(Z279),ISNUMBER(AA279)),ABS(AA279-Z279),IF(ISNUMBER(Z279)=ISNUMBER(AA279),0,1))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2026-10-12T21:20:47Z</dcterms:created>
  <dcterms:modified xmlns:dcterms="http://purl.org/dc/terms/" xmlns:xsi="http://www.w3.org/2001/XMLSchema-instance" xsi:type="dcterms:W3CDTF">2026-10-12T21:20:47Z</dcterms:modified>
</cp:coreProperties>
</file>