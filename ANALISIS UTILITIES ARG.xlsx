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Files\User\PORTFOLI\PORFOLIO\Mercados Equity Global\"/>
    </mc:Choice>
  </mc:AlternateContent>
  <xr:revisionPtr revIDLastSave="0" documentId="13_ncr:1_{2C87F593-4EE0-4F14-8E0A-132B33B4B392}" xr6:coauthVersionLast="47" xr6:coauthVersionMax="47" xr10:uidLastSave="{00000000-0000-0000-0000-000000000000}"/>
  <bookViews>
    <workbookView xWindow="-27990" yWindow="2670" windowWidth="21600" windowHeight="10905" activeTab="1" xr2:uid="{00000000-000D-0000-FFFF-FFFF00000000}"/>
  </bookViews>
  <sheets>
    <sheet name="Ratio W" sheetId="26" r:id="rId1"/>
    <sheet name="EV EBITDA -zscore-" sheetId="28" r:id="rId2"/>
    <sheet name="Indice Utilities" sheetId="25" r:id="rId3"/>
    <sheet name="Base" sheetId="17" r:id="rId4"/>
    <sheet name="Valuación" sheetId="27" r:id="rId5"/>
    <sheet name="NET_DEBT_EBITDA" sheetId="23" r:id="rId6"/>
    <sheet name="EV_EBITDA 12m" sheetId="18" r:id="rId7"/>
    <sheet name="ROIC" sheetId="19" r:id="rId8"/>
    <sheet name="ROIC_WACC" sheetId="20" state="hidden" r:id="rId9"/>
    <sheet name="WACC ROIC" sheetId="24" r:id="rId10"/>
    <sheet name="Tot Debt to Tot Cap" sheetId="21" r:id="rId11"/>
    <sheet name="EBITDA Margin Trail12M" sheetId="22" r:id="rId12"/>
  </sheets>
  <externalReferences>
    <externalReference r:id="rId13"/>
  </externalReferences>
  <definedNames>
    <definedName name="SpreadsheetBuilder_1" localSheetId="2" hidden="1">[1]ROE_WACC!#REF!</definedName>
    <definedName name="SpreadsheetBuilder_1" hidden="1">#REF!</definedName>
    <definedName name="SpreadsheetBuilder_2" localSheetId="2" hidden="1">[1]ROE_WACC!#REF!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Base!$A$1:$BO$6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385" i="17" l="1"/>
  <c r="CE385" i="17"/>
  <c r="AK6" i="17"/>
  <c r="Y6" i="17"/>
  <c r="BH6" i="17"/>
  <c r="AV6" i="17"/>
  <c r="C8" i="24" a="1"/>
  <c r="C8" i="24" l="1"/>
  <c r="E9" i="27" a="1"/>
  <c r="E9" i="27" l="1"/>
  <c r="C3" i="27" a="1"/>
  <c r="C3" i="27" l="1"/>
  <c r="D7" i="27" a="1"/>
  <c r="D7" i="27" l="1"/>
  <c r="D9" i="27" a="1"/>
  <c r="D9" i="27" l="1"/>
  <c r="B8" i="24" a="1"/>
  <c r="B8" i="24" l="1"/>
  <c r="D4" i="27" a="1"/>
  <c r="D4" i="27" l="1"/>
  <c r="G9" i="27" a="1"/>
  <c r="G9" i="27" l="1"/>
  <c r="G3" i="27" a="1"/>
  <c r="G3" i="27" l="1"/>
  <c r="H3" i="27" a="1"/>
  <c r="H3" i="27" l="1"/>
  <c r="E8" i="27" a="1"/>
  <c r="E8" i="27" l="1"/>
  <c r="C8" i="27" a="1"/>
  <c r="C8" i="27" l="1"/>
  <c r="C7" i="24" a="1"/>
  <c r="C7" i="24" l="1"/>
  <c r="H4" i="27" a="1"/>
  <c r="H4" i="27" l="1"/>
  <c r="B4" i="24" a="1"/>
  <c r="B4" i="24" l="1"/>
  <c r="D8" i="27" a="1"/>
  <c r="D8" i="27" l="1"/>
  <c r="E3" i="27" a="1"/>
  <c r="E3" i="27" l="1"/>
  <c r="G4" i="27" a="1"/>
  <c r="G4" i="27" l="1"/>
  <c r="F8" i="27" a="1"/>
  <c r="F8" i="27" l="1"/>
  <c r="F4" i="27" a="1"/>
  <c r="F4" i="27" l="1"/>
  <c r="G7" i="27" a="1"/>
  <c r="G7" i="27" l="1"/>
  <c r="F3" i="27" a="1"/>
  <c r="F3" i="27" l="1"/>
  <c r="E7" i="27" a="1"/>
  <c r="E7" i="27" l="1"/>
  <c r="H8" i="27" a="1"/>
  <c r="H8" i="27" l="1"/>
  <c r="F7" i="27" a="1"/>
  <c r="F7" i="27" l="1"/>
  <c r="B6" i="24" a="1"/>
  <c r="B6" i="24" l="1"/>
  <c r="F9" i="27" a="1"/>
  <c r="F9" i="27" l="1"/>
  <c r="E4" i="27" a="1"/>
  <c r="E4" i="27" l="1"/>
  <c r="B7" i="24" a="1"/>
  <c r="B7" i="24" l="1"/>
  <c r="C4" i="27" a="1"/>
  <c r="C4" i="27" l="1"/>
  <c r="B3" i="24" a="1"/>
  <c r="B3" i="24" l="1"/>
  <c r="H9" i="27" a="1"/>
  <c r="H9" i="27" l="1"/>
  <c r="H7" i="27" a="1"/>
  <c r="H7" i="27" l="1"/>
  <c r="C7" i="27" a="1"/>
  <c r="C7" i="27" l="1"/>
  <c r="D3" i="27" a="1"/>
  <c r="D3" i="27" l="1"/>
  <c r="C9" i="27" a="1"/>
  <c r="C9" i="27" l="1"/>
  <c r="C4" i="24" a="1"/>
  <c r="C4" i="24" l="1"/>
  <c r="C6" i="24" a="1"/>
  <c r="C6" i="24" l="1"/>
  <c r="G8" i="27" a="1"/>
  <c r="G8" i="27" l="1"/>
  <c r="C3" i="24" a="1"/>
  <c r="C3" i="24" l="1"/>
  <c r="AB6" i="25"/>
  <c r="D6" i="25"/>
  <c r="AD6" i="25"/>
  <c r="E6" i="25"/>
  <c r="G6" i="25"/>
  <c r="AE6" i="25"/>
  <c r="AC6" i="25"/>
  <c r="F6" i="25"/>
  <c r="M6" i="17"/>
  <c r="A6" i="17"/>
  <c r="B6" i="25"/>
  <c r="Z6" i="25"/>
  <c r="H6" i="25"/>
  <c r="AF6" i="25"/>
  <c r="I6" i="25"/>
  <c r="G5" i="27" a="1"/>
  <c r="G5" i="27" l="1"/>
  <c r="D5" i="27" a="1"/>
  <c r="D5" i="27" l="1"/>
  <c r="E5" i="27" a="1"/>
  <c r="E5" i="27" l="1"/>
  <c r="C5" i="27" a="1"/>
  <c r="C5" i="27" l="1"/>
  <c r="F5" i="27" a="1"/>
  <c r="F5" i="27" l="1"/>
  <c r="H5" i="27" a="1"/>
  <c r="H5" i="27" l="1"/>
  <c r="C5" i="24" a="1"/>
  <c r="C5" i="24" l="1"/>
  <c r="B5" i="24" a="1"/>
  <c r="B5" i="24" l="1"/>
  <c r="F6" i="27" a="1"/>
  <c r="F6" i="27" l="1"/>
  <c r="G6" i="27" a="1"/>
  <c r="G6" i="27" l="1"/>
  <c r="E6" i="27" a="1"/>
  <c r="E6" i="27" l="1"/>
  <c r="D6" i="27" a="1"/>
  <c r="D6" i="27" l="1"/>
  <c r="H6" i="27" a="1"/>
  <c r="H6" i="27" l="1"/>
  <c r="C6" i="27" a="1"/>
  <c r="C6" i="27" l="1"/>
  <c r="B22" i="27" l="1"/>
  <c r="B21" i="27"/>
  <c r="B20" i="27"/>
  <c r="B19" i="27"/>
  <c r="B18" i="27"/>
  <c r="B17" i="27"/>
  <c r="B16" i="27"/>
  <c r="H12" i="27" l="1"/>
  <c r="H13" i="27"/>
  <c r="H16" i="27" l="1"/>
  <c r="H22" i="27"/>
  <c r="H21" i="27"/>
  <c r="H20" i="27"/>
  <c r="H19" i="27"/>
  <c r="H18" i="27"/>
  <c r="H17" i="27"/>
  <c r="G13" i="27"/>
  <c r="G12" i="27"/>
  <c r="G22" i="27" l="1"/>
  <c r="G21" i="27"/>
  <c r="G20" i="27"/>
  <c r="G19" i="27"/>
  <c r="G18" i="27"/>
  <c r="G17" i="27"/>
  <c r="G16" i="27"/>
  <c r="F13" i="27"/>
  <c r="F12" i="27"/>
  <c r="F22" i="27" l="1"/>
  <c r="F21" i="27"/>
  <c r="F20" i="27"/>
  <c r="F19" i="27"/>
  <c r="F18" i="27"/>
  <c r="F17" i="27"/>
  <c r="F16" i="27"/>
  <c r="E12" i="27"/>
  <c r="E13" i="27"/>
  <c r="E16" i="27" l="1"/>
  <c r="E22" i="27"/>
  <c r="E21" i="27"/>
  <c r="E20" i="27"/>
  <c r="E19" i="27"/>
  <c r="E18" i="27"/>
  <c r="E17" i="27"/>
  <c r="D12" i="27"/>
  <c r="D13" i="27"/>
  <c r="CF384" i="17"/>
  <c r="CE384" i="17"/>
  <c r="CF383" i="17"/>
  <c r="CE383" i="17"/>
  <c r="CF382" i="17"/>
  <c r="CE382" i="17"/>
  <c r="CF381" i="17"/>
  <c r="CE381" i="17"/>
  <c r="CF380" i="17"/>
  <c r="CE380" i="17"/>
  <c r="CF379" i="17"/>
  <c r="CE379" i="17"/>
  <c r="CF378" i="17"/>
  <c r="CE378" i="17"/>
  <c r="CF377" i="17"/>
  <c r="CE377" i="17"/>
  <c r="CF376" i="17"/>
  <c r="CE376" i="17"/>
  <c r="CF375" i="17"/>
  <c r="CE375" i="17"/>
  <c r="CF374" i="17"/>
  <c r="CE374" i="17"/>
  <c r="CF373" i="17"/>
  <c r="CE373" i="17"/>
  <c r="CF372" i="17"/>
  <c r="CE372" i="17"/>
  <c r="CF371" i="17"/>
  <c r="CE371" i="17"/>
  <c r="CF370" i="17"/>
  <c r="CE370" i="17"/>
  <c r="CF369" i="17"/>
  <c r="CE369" i="17"/>
  <c r="CF368" i="17"/>
  <c r="CE368" i="17"/>
  <c r="CF367" i="17"/>
  <c r="CE367" i="17"/>
  <c r="CF366" i="17"/>
  <c r="CE366" i="17"/>
  <c r="CF365" i="17"/>
  <c r="CE365" i="17"/>
  <c r="CF364" i="17"/>
  <c r="CE364" i="17"/>
  <c r="CF363" i="17"/>
  <c r="CE363" i="17"/>
  <c r="CF362" i="17"/>
  <c r="CE362" i="17"/>
  <c r="CF361" i="17"/>
  <c r="CE361" i="17"/>
  <c r="CF360" i="17"/>
  <c r="CE360" i="17"/>
  <c r="CF359" i="17"/>
  <c r="CE359" i="17"/>
  <c r="CF358" i="17"/>
  <c r="CE358" i="17"/>
  <c r="CF357" i="17"/>
  <c r="CE357" i="17"/>
  <c r="CF356" i="17"/>
  <c r="CE356" i="17"/>
  <c r="CF355" i="17"/>
  <c r="CE355" i="17"/>
  <c r="CF354" i="17"/>
  <c r="CE354" i="17"/>
  <c r="CF353" i="17"/>
  <c r="CE353" i="17"/>
  <c r="CF352" i="17"/>
  <c r="CE352" i="17"/>
  <c r="CF351" i="17"/>
  <c r="CE351" i="17"/>
  <c r="CF350" i="17"/>
  <c r="CE350" i="17"/>
  <c r="CF349" i="17"/>
  <c r="CE349" i="17"/>
  <c r="CF348" i="17"/>
  <c r="CE348" i="17"/>
  <c r="CF347" i="17"/>
  <c r="CE347" i="17"/>
  <c r="CF346" i="17"/>
  <c r="CE346" i="17"/>
  <c r="CF345" i="17"/>
  <c r="CE345" i="17"/>
  <c r="CF344" i="17"/>
  <c r="CE344" i="17"/>
  <c r="CF343" i="17"/>
  <c r="CE343" i="17"/>
  <c r="CF342" i="17"/>
  <c r="CE342" i="17"/>
  <c r="CF341" i="17"/>
  <c r="CE341" i="17"/>
  <c r="CF340" i="17"/>
  <c r="CE340" i="17"/>
  <c r="CF339" i="17"/>
  <c r="CE339" i="17"/>
  <c r="CF338" i="17"/>
  <c r="CE338" i="17"/>
  <c r="CF337" i="17"/>
  <c r="CE337" i="17"/>
  <c r="CF336" i="17"/>
  <c r="CE336" i="17"/>
  <c r="CF335" i="17"/>
  <c r="CE335" i="17"/>
  <c r="CF334" i="17"/>
  <c r="CE334" i="17"/>
  <c r="CF333" i="17"/>
  <c r="CE333" i="17"/>
  <c r="CF332" i="17"/>
  <c r="CE332" i="17"/>
  <c r="CF331" i="17"/>
  <c r="CE331" i="17"/>
  <c r="CF330" i="17"/>
  <c r="CE330" i="17"/>
  <c r="CF329" i="17"/>
  <c r="CE329" i="17"/>
  <c r="CF328" i="17"/>
  <c r="CE328" i="17"/>
  <c r="CF327" i="17"/>
  <c r="CE327" i="17"/>
  <c r="CF326" i="17"/>
  <c r="CE326" i="17"/>
  <c r="CF325" i="17"/>
  <c r="CE325" i="17"/>
  <c r="CF324" i="17"/>
  <c r="CE324" i="17"/>
  <c r="CF323" i="17"/>
  <c r="CE323" i="17"/>
  <c r="CF322" i="17"/>
  <c r="CE322" i="17"/>
  <c r="CF321" i="17"/>
  <c r="CE321" i="17"/>
  <c r="CF320" i="17"/>
  <c r="CE320" i="17"/>
  <c r="CF319" i="17"/>
  <c r="CE319" i="17"/>
  <c r="CF318" i="17"/>
  <c r="CE318" i="17"/>
  <c r="CF317" i="17"/>
  <c r="CE317" i="17"/>
  <c r="CF316" i="17"/>
  <c r="CE316" i="17"/>
  <c r="CF315" i="17"/>
  <c r="CE315" i="17"/>
  <c r="CF314" i="17"/>
  <c r="CE314" i="17"/>
  <c r="CF313" i="17"/>
  <c r="CE313" i="17"/>
  <c r="CF312" i="17"/>
  <c r="CE312" i="17"/>
  <c r="CF311" i="17"/>
  <c r="CE311" i="17"/>
  <c r="CF310" i="17"/>
  <c r="CE310" i="17"/>
  <c r="CF309" i="17"/>
  <c r="CE309" i="17"/>
  <c r="CF308" i="17"/>
  <c r="CE308" i="17"/>
  <c r="CF307" i="17"/>
  <c r="CE307" i="17"/>
  <c r="CF306" i="17"/>
  <c r="CE306" i="17"/>
  <c r="CF305" i="17"/>
  <c r="CE305" i="17"/>
  <c r="CF304" i="17"/>
  <c r="CE304" i="17"/>
  <c r="CF303" i="17"/>
  <c r="CE303" i="17"/>
  <c r="CF302" i="17"/>
  <c r="CE302" i="17"/>
  <c r="CF301" i="17"/>
  <c r="CE301" i="17"/>
  <c r="CF300" i="17"/>
  <c r="CE300" i="17"/>
  <c r="CF299" i="17"/>
  <c r="CE299" i="17"/>
  <c r="CF298" i="17"/>
  <c r="CE298" i="17"/>
  <c r="CF297" i="17"/>
  <c r="CE297" i="17"/>
  <c r="CF296" i="17"/>
  <c r="CE296" i="17"/>
  <c r="CF295" i="17"/>
  <c r="CE295" i="17"/>
  <c r="CF294" i="17"/>
  <c r="CE294" i="17"/>
  <c r="CF293" i="17"/>
  <c r="CE293" i="17"/>
  <c r="CF292" i="17"/>
  <c r="CE292" i="17"/>
  <c r="CF291" i="17"/>
  <c r="CE291" i="17"/>
  <c r="CF290" i="17"/>
  <c r="CE290" i="17"/>
  <c r="CF289" i="17"/>
  <c r="CE289" i="17"/>
  <c r="CF288" i="17"/>
  <c r="CE288" i="17"/>
  <c r="CF287" i="17"/>
  <c r="CE287" i="17"/>
  <c r="CF286" i="17"/>
  <c r="CE286" i="17"/>
  <c r="CF285" i="17"/>
  <c r="CE285" i="17"/>
  <c r="CF284" i="17"/>
  <c r="CE284" i="17"/>
  <c r="CF283" i="17"/>
  <c r="CE283" i="17"/>
  <c r="CF282" i="17"/>
  <c r="CE282" i="17"/>
  <c r="CF281" i="17"/>
  <c r="CE281" i="17"/>
  <c r="CF280" i="17"/>
  <c r="CE280" i="17"/>
  <c r="CF279" i="17"/>
  <c r="CE279" i="17"/>
  <c r="CF278" i="17"/>
  <c r="CE278" i="17"/>
  <c r="CF277" i="17"/>
  <c r="CE277" i="17"/>
  <c r="CF276" i="17"/>
  <c r="CE276" i="17"/>
  <c r="CF275" i="17"/>
  <c r="CE275" i="17"/>
  <c r="CF274" i="17"/>
  <c r="CE274" i="17"/>
  <c r="CF273" i="17"/>
  <c r="CE273" i="17"/>
  <c r="CF272" i="17"/>
  <c r="CE272" i="17"/>
  <c r="CF271" i="17"/>
  <c r="CE271" i="17"/>
  <c r="CF270" i="17"/>
  <c r="CE270" i="17"/>
  <c r="CF269" i="17"/>
  <c r="CE269" i="17"/>
  <c r="CF268" i="17"/>
  <c r="CE268" i="17"/>
  <c r="CF267" i="17"/>
  <c r="CE267" i="17"/>
  <c r="CF266" i="17"/>
  <c r="CE266" i="17"/>
  <c r="CF265" i="17"/>
  <c r="CE265" i="17"/>
  <c r="CF264" i="17"/>
  <c r="CE264" i="17"/>
  <c r="CF263" i="17"/>
  <c r="CE263" i="17"/>
  <c r="CF262" i="17"/>
  <c r="CE262" i="17"/>
  <c r="CF261" i="17"/>
  <c r="CE261" i="17"/>
  <c r="CF260" i="17"/>
  <c r="CE260" i="17"/>
  <c r="CF259" i="17"/>
  <c r="CE259" i="17"/>
  <c r="CF258" i="17"/>
  <c r="CE258" i="17"/>
  <c r="CF257" i="17"/>
  <c r="CE257" i="17"/>
  <c r="CF256" i="17"/>
  <c r="CE256" i="17"/>
  <c r="CF255" i="17"/>
  <c r="CE255" i="17"/>
  <c r="CF254" i="17"/>
  <c r="CE254" i="17"/>
  <c r="CF253" i="17"/>
  <c r="CE253" i="17"/>
  <c r="CF252" i="17"/>
  <c r="CE252" i="17"/>
  <c r="CF251" i="17"/>
  <c r="CE251" i="17"/>
  <c r="CF250" i="17"/>
  <c r="CE250" i="17"/>
  <c r="CF249" i="17"/>
  <c r="CE249" i="17"/>
  <c r="CF248" i="17"/>
  <c r="CE248" i="17"/>
  <c r="CF247" i="17"/>
  <c r="CE247" i="17"/>
  <c r="CF246" i="17"/>
  <c r="CE246" i="17"/>
  <c r="CF245" i="17"/>
  <c r="CE245" i="17"/>
  <c r="CF244" i="17"/>
  <c r="CE244" i="17"/>
  <c r="CF243" i="17"/>
  <c r="CE243" i="17"/>
  <c r="CF242" i="17"/>
  <c r="CE242" i="17"/>
  <c r="CF241" i="17"/>
  <c r="CE241" i="17"/>
  <c r="CF240" i="17"/>
  <c r="CE240" i="17"/>
  <c r="CF239" i="17"/>
  <c r="CE239" i="17"/>
  <c r="CF238" i="17"/>
  <c r="CE238" i="17"/>
  <c r="CF237" i="17"/>
  <c r="CE237" i="17"/>
  <c r="CF236" i="17"/>
  <c r="CE236" i="17"/>
  <c r="CF235" i="17"/>
  <c r="CE235" i="17"/>
  <c r="CF234" i="17"/>
  <c r="CE234" i="17"/>
  <c r="CF233" i="17"/>
  <c r="CE233" i="17"/>
  <c r="CF232" i="17"/>
  <c r="CE232" i="17"/>
  <c r="CF231" i="17"/>
  <c r="CE231" i="17"/>
  <c r="CF230" i="17"/>
  <c r="CE230" i="17"/>
  <c r="CF229" i="17"/>
  <c r="CE229" i="17"/>
  <c r="CF228" i="17"/>
  <c r="CE228" i="17"/>
  <c r="CF227" i="17"/>
  <c r="CE227" i="17"/>
  <c r="CF226" i="17"/>
  <c r="CE226" i="17"/>
  <c r="CF225" i="17"/>
  <c r="CE225" i="17"/>
  <c r="CF224" i="17"/>
  <c r="CE224" i="17"/>
  <c r="CF223" i="17"/>
  <c r="CE223" i="17"/>
  <c r="CF222" i="17"/>
  <c r="CE222" i="17"/>
  <c r="CF221" i="17"/>
  <c r="CE221" i="17"/>
  <c r="CF220" i="17"/>
  <c r="CE220" i="17"/>
  <c r="CF219" i="17"/>
  <c r="CE219" i="17"/>
  <c r="CF218" i="17"/>
  <c r="CE218" i="17"/>
  <c r="CF217" i="17"/>
  <c r="CE217" i="17"/>
  <c r="CF216" i="17"/>
  <c r="CE216" i="17"/>
  <c r="CF215" i="17"/>
  <c r="CE215" i="17"/>
  <c r="CF214" i="17"/>
  <c r="CE214" i="17"/>
  <c r="CF213" i="17"/>
  <c r="CE213" i="17"/>
  <c r="CF212" i="17"/>
  <c r="CE212" i="17"/>
  <c r="CF211" i="17"/>
  <c r="CE211" i="17"/>
  <c r="CF210" i="17"/>
  <c r="CE210" i="17"/>
  <c r="CF209" i="17"/>
  <c r="CE209" i="17"/>
  <c r="CF208" i="17"/>
  <c r="CE208" i="17"/>
  <c r="CF207" i="17"/>
  <c r="CE207" i="17"/>
  <c r="CF206" i="17"/>
  <c r="CE206" i="17"/>
  <c r="CF205" i="17"/>
  <c r="CE205" i="17"/>
  <c r="CF204" i="17"/>
  <c r="CE204" i="17"/>
  <c r="CF203" i="17"/>
  <c r="CE203" i="17"/>
  <c r="CF202" i="17"/>
  <c r="CE202" i="17"/>
  <c r="CF201" i="17"/>
  <c r="CE201" i="17"/>
  <c r="CF200" i="17"/>
  <c r="CE200" i="17"/>
  <c r="CF199" i="17"/>
  <c r="CE199" i="17"/>
  <c r="CF198" i="17"/>
  <c r="CE198" i="17"/>
  <c r="CF197" i="17"/>
  <c r="CE197" i="17"/>
  <c r="CF196" i="17"/>
  <c r="CE196" i="17"/>
  <c r="CF195" i="17"/>
  <c r="CE195" i="17"/>
  <c r="CF194" i="17"/>
  <c r="CE194" i="17"/>
  <c r="CF193" i="17"/>
  <c r="CE193" i="17"/>
  <c r="CF192" i="17"/>
  <c r="CE192" i="17"/>
  <c r="CF191" i="17"/>
  <c r="CE191" i="17"/>
  <c r="CF190" i="17"/>
  <c r="CE190" i="17"/>
  <c r="CF189" i="17"/>
  <c r="CE189" i="17"/>
  <c r="CF188" i="17"/>
  <c r="CE188" i="17"/>
  <c r="CF187" i="17"/>
  <c r="CE187" i="17"/>
  <c r="CF186" i="17"/>
  <c r="CE186" i="17"/>
  <c r="CF185" i="17"/>
  <c r="CE185" i="17"/>
  <c r="CF184" i="17"/>
  <c r="CE184" i="17"/>
  <c r="CF183" i="17"/>
  <c r="CE183" i="17"/>
  <c r="CF182" i="17"/>
  <c r="CE182" i="17"/>
  <c r="CF181" i="17"/>
  <c r="CE181" i="17"/>
  <c r="CF180" i="17"/>
  <c r="CE180" i="17"/>
  <c r="CF179" i="17"/>
  <c r="CE179" i="17"/>
  <c r="CF178" i="17"/>
  <c r="CE178" i="17"/>
  <c r="CF177" i="17"/>
  <c r="CE177" i="17"/>
  <c r="CF176" i="17"/>
  <c r="CE176" i="17"/>
  <c r="CF175" i="17"/>
  <c r="CE175" i="17"/>
  <c r="CF174" i="17"/>
  <c r="CE174" i="17"/>
  <c r="CF173" i="17"/>
  <c r="CE173" i="17"/>
  <c r="CF172" i="17"/>
  <c r="CE172" i="17"/>
  <c r="CF171" i="17"/>
  <c r="CE171" i="17"/>
  <c r="CF170" i="17"/>
  <c r="CE170" i="17"/>
  <c r="CF169" i="17"/>
  <c r="CE169" i="17"/>
  <c r="CF168" i="17"/>
  <c r="CE168" i="17"/>
  <c r="CF167" i="17"/>
  <c r="CE167" i="17"/>
  <c r="CF166" i="17"/>
  <c r="CE166" i="17"/>
  <c r="CF165" i="17"/>
  <c r="CE165" i="17"/>
  <c r="CF164" i="17"/>
  <c r="CE164" i="17"/>
  <c r="CF163" i="17"/>
  <c r="CE163" i="17"/>
  <c r="CF162" i="17"/>
  <c r="CE162" i="17"/>
  <c r="CF161" i="17"/>
  <c r="CE161" i="17"/>
  <c r="CF160" i="17"/>
  <c r="CE160" i="17"/>
  <c r="CF159" i="17"/>
  <c r="CE159" i="17"/>
  <c r="CF158" i="17"/>
  <c r="CE158" i="17"/>
  <c r="CF157" i="17"/>
  <c r="CE157" i="17"/>
  <c r="CF156" i="17"/>
  <c r="CE156" i="17"/>
  <c r="CF155" i="17"/>
  <c r="CE155" i="17"/>
  <c r="CF154" i="17"/>
  <c r="CE154" i="17"/>
  <c r="CF153" i="17"/>
  <c r="CE153" i="17"/>
  <c r="CF152" i="17"/>
  <c r="CE152" i="17"/>
  <c r="CF151" i="17"/>
  <c r="CE151" i="17"/>
  <c r="CF150" i="17"/>
  <c r="CE150" i="17"/>
  <c r="CF149" i="17"/>
  <c r="CE149" i="17"/>
  <c r="CF148" i="17"/>
  <c r="CE148" i="17"/>
  <c r="CF147" i="17"/>
  <c r="CE147" i="17"/>
  <c r="CF146" i="17"/>
  <c r="CE146" i="17"/>
  <c r="CF145" i="17"/>
  <c r="CE145" i="17"/>
  <c r="CF144" i="17"/>
  <c r="CE144" i="17"/>
  <c r="CF143" i="17"/>
  <c r="CE143" i="17"/>
  <c r="CF142" i="17"/>
  <c r="CE142" i="17"/>
  <c r="CF141" i="17"/>
  <c r="CE141" i="17"/>
  <c r="CF140" i="17"/>
  <c r="CE140" i="17"/>
  <c r="CF139" i="17"/>
  <c r="CE139" i="17"/>
  <c r="CF138" i="17"/>
  <c r="CE138" i="17"/>
  <c r="CF137" i="17"/>
  <c r="CE137" i="17"/>
  <c r="CF136" i="17"/>
  <c r="CE136" i="17"/>
  <c r="CF135" i="17"/>
  <c r="CE135" i="17"/>
  <c r="CF134" i="17"/>
  <c r="CE134" i="17"/>
  <c r="CF133" i="17"/>
  <c r="CE133" i="17"/>
  <c r="CF132" i="17"/>
  <c r="CE132" i="17"/>
  <c r="CF131" i="17"/>
  <c r="CE131" i="17"/>
  <c r="CF130" i="17"/>
  <c r="CE130" i="17"/>
  <c r="CF129" i="17"/>
  <c r="CE129" i="17"/>
  <c r="CF128" i="17"/>
  <c r="CE128" i="17"/>
  <c r="CF127" i="17"/>
  <c r="CE127" i="17"/>
  <c r="CF126" i="17"/>
  <c r="CE126" i="17"/>
  <c r="CF125" i="17"/>
  <c r="CE125" i="17"/>
  <c r="CF124" i="17"/>
  <c r="CE124" i="17"/>
  <c r="CF123" i="17"/>
  <c r="CE123" i="17"/>
  <c r="CF122" i="17"/>
  <c r="CE122" i="17"/>
  <c r="CF121" i="17"/>
  <c r="CE121" i="17"/>
  <c r="CF120" i="17"/>
  <c r="CE120" i="17"/>
  <c r="CF119" i="17"/>
  <c r="CE119" i="17"/>
  <c r="CF118" i="17"/>
  <c r="CE118" i="17"/>
  <c r="CF117" i="17"/>
  <c r="CE117" i="17"/>
  <c r="CF116" i="17"/>
  <c r="CE116" i="17"/>
  <c r="CF115" i="17"/>
  <c r="CE115" i="17"/>
  <c r="CF114" i="17"/>
  <c r="CE114" i="17"/>
  <c r="CF113" i="17"/>
  <c r="CE113" i="17"/>
  <c r="CF112" i="17"/>
  <c r="CE112" i="17"/>
  <c r="CF111" i="17"/>
  <c r="CE111" i="17"/>
  <c r="CF110" i="17"/>
  <c r="CE110" i="17"/>
  <c r="CF109" i="17"/>
  <c r="CE109" i="17"/>
  <c r="CF108" i="17"/>
  <c r="CE108" i="17"/>
  <c r="CF107" i="17"/>
  <c r="CE107" i="17"/>
  <c r="CF106" i="17"/>
  <c r="CE106" i="17"/>
  <c r="CF105" i="17"/>
  <c r="CE105" i="17"/>
  <c r="CF104" i="17"/>
  <c r="CE104" i="17"/>
  <c r="CF103" i="17"/>
  <c r="CE103" i="17"/>
  <c r="CF102" i="17"/>
  <c r="CE102" i="17"/>
  <c r="CF101" i="17"/>
  <c r="CE101" i="17"/>
  <c r="CF100" i="17"/>
  <c r="CE100" i="17"/>
  <c r="CF99" i="17"/>
  <c r="CE99" i="17"/>
  <c r="CF98" i="17"/>
  <c r="CE98" i="17"/>
  <c r="CF97" i="17"/>
  <c r="CE97" i="17"/>
  <c r="CF96" i="17"/>
  <c r="CE96" i="17"/>
  <c r="CF95" i="17"/>
  <c r="CE95" i="17"/>
  <c r="CF94" i="17"/>
  <c r="CE94" i="17"/>
  <c r="CF93" i="17"/>
  <c r="CE93" i="17"/>
  <c r="CF92" i="17"/>
  <c r="CE92" i="17"/>
  <c r="CF91" i="17"/>
  <c r="CE91" i="17"/>
  <c r="CF90" i="17"/>
  <c r="CE90" i="17"/>
  <c r="CF89" i="17"/>
  <c r="CE89" i="17"/>
  <c r="CF88" i="17"/>
  <c r="CE88" i="17"/>
  <c r="CF87" i="17"/>
  <c r="CE87" i="17"/>
  <c r="CF86" i="17"/>
  <c r="CE86" i="17"/>
  <c r="CF85" i="17"/>
  <c r="CE85" i="17"/>
  <c r="CF84" i="17"/>
  <c r="CE84" i="17"/>
  <c r="CF83" i="17"/>
  <c r="CE83" i="17"/>
  <c r="CF82" i="17"/>
  <c r="CE82" i="17"/>
  <c r="CF81" i="17"/>
  <c r="CE81" i="17"/>
  <c r="CF80" i="17"/>
  <c r="CE80" i="17"/>
  <c r="CF79" i="17"/>
  <c r="CE79" i="17"/>
  <c r="CF78" i="17"/>
  <c r="CE78" i="17"/>
  <c r="CF77" i="17"/>
  <c r="CE77" i="17"/>
  <c r="CF76" i="17"/>
  <c r="CE76" i="17"/>
  <c r="CF75" i="17"/>
  <c r="CE75" i="17"/>
  <c r="CF74" i="17"/>
  <c r="CE74" i="17"/>
  <c r="CF73" i="17"/>
  <c r="CE73" i="17"/>
  <c r="CF72" i="17"/>
  <c r="CE72" i="17"/>
  <c r="CF71" i="17"/>
  <c r="CE71" i="17"/>
  <c r="CF70" i="17"/>
  <c r="CE70" i="17"/>
  <c r="CF69" i="17"/>
  <c r="CE69" i="17"/>
  <c r="CF68" i="17"/>
  <c r="CE68" i="17"/>
  <c r="CF67" i="17"/>
  <c r="CE67" i="17"/>
  <c r="CF66" i="17"/>
  <c r="CE66" i="17"/>
  <c r="CF65" i="17"/>
  <c r="CE65" i="17"/>
  <c r="CF64" i="17"/>
  <c r="CE64" i="17"/>
  <c r="CF63" i="17"/>
  <c r="CE63" i="17"/>
  <c r="CF62" i="17"/>
  <c r="CE62" i="17"/>
  <c r="CF61" i="17"/>
  <c r="CE61" i="17"/>
  <c r="CF60" i="17"/>
  <c r="CE60" i="17"/>
  <c r="CF59" i="17"/>
  <c r="CE59" i="17"/>
  <c r="CF58" i="17"/>
  <c r="CE58" i="17"/>
  <c r="CF57" i="17"/>
  <c r="CE57" i="17"/>
  <c r="CF56" i="17"/>
  <c r="CE56" i="17"/>
  <c r="CF55" i="17"/>
  <c r="CE55" i="17"/>
  <c r="CF54" i="17"/>
  <c r="CE54" i="17"/>
  <c r="CF53" i="17"/>
  <c r="CE53" i="17"/>
  <c r="CF52" i="17"/>
  <c r="CE52" i="17"/>
  <c r="CF51" i="17"/>
  <c r="CE51" i="17"/>
  <c r="CF50" i="17"/>
  <c r="CE50" i="17"/>
  <c r="CF49" i="17"/>
  <c r="CE49" i="17"/>
  <c r="CF48" i="17"/>
  <c r="CE48" i="17"/>
  <c r="CF47" i="17"/>
  <c r="CE47" i="17"/>
  <c r="CF46" i="17"/>
  <c r="CE46" i="17"/>
  <c r="CF45" i="17"/>
  <c r="CE45" i="17"/>
  <c r="CF44" i="17"/>
  <c r="CE44" i="17"/>
  <c r="CF43" i="17"/>
  <c r="CE43" i="17"/>
  <c r="CF42" i="17"/>
  <c r="CE42" i="17"/>
  <c r="CF41" i="17"/>
  <c r="CE41" i="17"/>
  <c r="CF40" i="17"/>
  <c r="CE40" i="17"/>
  <c r="CF39" i="17"/>
  <c r="CE39" i="17"/>
  <c r="CF38" i="17"/>
  <c r="CE38" i="17"/>
  <c r="CF37" i="17"/>
  <c r="CE37" i="17"/>
  <c r="CF36" i="17"/>
  <c r="CE36" i="17"/>
  <c r="CF35" i="17"/>
  <c r="CE35" i="17"/>
  <c r="CF34" i="17"/>
  <c r="CE34" i="17"/>
  <c r="CF33" i="17"/>
  <c r="CE33" i="17"/>
  <c r="CF32" i="17"/>
  <c r="CE32" i="17"/>
  <c r="CF31" i="17"/>
  <c r="CE31" i="17"/>
  <c r="CF30" i="17"/>
  <c r="CE30" i="17"/>
  <c r="CF29" i="17"/>
  <c r="CE29" i="17"/>
  <c r="CF28" i="17"/>
  <c r="CE28" i="17"/>
  <c r="CF27" i="17"/>
  <c r="CE27" i="17"/>
  <c r="CF26" i="17"/>
  <c r="CE26" i="17"/>
  <c r="CF25" i="17"/>
  <c r="CE25" i="17"/>
  <c r="CF24" i="17"/>
  <c r="CE24" i="17"/>
  <c r="CF23" i="17"/>
  <c r="CE23" i="17"/>
  <c r="CF22" i="17"/>
  <c r="CE22" i="17"/>
  <c r="CF21" i="17"/>
  <c r="CE21" i="17"/>
  <c r="CF20" i="17"/>
  <c r="CE20" i="17"/>
  <c r="CF19" i="17"/>
  <c r="CE19" i="17"/>
  <c r="CF18" i="17"/>
  <c r="CE18" i="17"/>
  <c r="CF17" i="17"/>
  <c r="CE17" i="17"/>
  <c r="CF16" i="17"/>
  <c r="CE16" i="17"/>
  <c r="CF15" i="17"/>
  <c r="CE15" i="17"/>
  <c r="CF14" i="17"/>
  <c r="CE14" i="17"/>
  <c r="CF13" i="17"/>
  <c r="CE13" i="17"/>
  <c r="CF12" i="17"/>
  <c r="CE12" i="17"/>
  <c r="CF11" i="17"/>
  <c r="CE11" i="17"/>
  <c r="CF10" i="17"/>
  <c r="CE10" i="17"/>
  <c r="CF9" i="17"/>
  <c r="CE9" i="17"/>
  <c r="CF8" i="17"/>
  <c r="CE8" i="17"/>
  <c r="CF7" i="17"/>
  <c r="CE7" i="17"/>
  <c r="D16" i="27" l="1"/>
  <c r="D22" i="27"/>
  <c r="D21" i="27"/>
  <c r="D20" i="27"/>
  <c r="D19" i="27"/>
  <c r="D18" i="27"/>
  <c r="D17" i="27"/>
  <c r="C12" i="27"/>
  <c r="C13" i="27"/>
  <c r="CH1" i="17"/>
  <c r="CG258" i="17" s="1"/>
  <c r="CG1" i="17"/>
  <c r="Q515" i="25"/>
  <c r="P515" i="25"/>
  <c r="O515" i="25"/>
  <c r="N515" i="25"/>
  <c r="M515" i="25"/>
  <c r="L515" i="25"/>
  <c r="K515" i="25"/>
  <c r="AM514" i="25"/>
  <c r="AH514" i="25"/>
  <c r="Q514" i="25"/>
  <c r="P514" i="25"/>
  <c r="O514" i="25"/>
  <c r="N514" i="25"/>
  <c r="M514" i="25"/>
  <c r="L514" i="25"/>
  <c r="K514" i="25"/>
  <c r="AM513" i="25"/>
  <c r="Q513" i="25"/>
  <c r="P513" i="25"/>
  <c r="O513" i="25"/>
  <c r="N513" i="25"/>
  <c r="M513" i="25"/>
  <c r="L513" i="25"/>
  <c r="K513" i="25"/>
  <c r="AM512" i="25"/>
  <c r="Q512" i="25"/>
  <c r="P512" i="25"/>
  <c r="O512" i="25"/>
  <c r="N512" i="25"/>
  <c r="M512" i="25"/>
  <c r="L512" i="25"/>
  <c r="K512" i="25"/>
  <c r="AM511" i="25"/>
  <c r="Q511" i="25"/>
  <c r="P511" i="25"/>
  <c r="O511" i="25"/>
  <c r="N511" i="25"/>
  <c r="M511" i="25"/>
  <c r="L511" i="25"/>
  <c r="K511" i="25"/>
  <c r="S511" i="25" s="1"/>
  <c r="AM510" i="25"/>
  <c r="Q510" i="25"/>
  <c r="P510" i="25"/>
  <c r="O510" i="25"/>
  <c r="N510" i="25"/>
  <c r="M510" i="25"/>
  <c r="L510" i="25"/>
  <c r="K510" i="25"/>
  <c r="AM509" i="25"/>
  <c r="Q509" i="25"/>
  <c r="P509" i="25"/>
  <c r="O509" i="25"/>
  <c r="N509" i="25"/>
  <c r="M509" i="25"/>
  <c r="L509" i="25"/>
  <c r="K509" i="25"/>
  <c r="AM508" i="25"/>
  <c r="Q508" i="25"/>
  <c r="P508" i="25"/>
  <c r="O508" i="25"/>
  <c r="N508" i="25"/>
  <c r="AH508" i="25" s="1"/>
  <c r="M508" i="25"/>
  <c r="L508" i="25"/>
  <c r="K508" i="25"/>
  <c r="AM507" i="25"/>
  <c r="Q507" i="25"/>
  <c r="P507" i="25"/>
  <c r="O507" i="25"/>
  <c r="N507" i="25"/>
  <c r="M507" i="25"/>
  <c r="L507" i="25"/>
  <c r="K507" i="25"/>
  <c r="AM506" i="25"/>
  <c r="Q506" i="25"/>
  <c r="P506" i="25"/>
  <c r="O506" i="25"/>
  <c r="N506" i="25"/>
  <c r="M506" i="25"/>
  <c r="L506" i="25"/>
  <c r="K506" i="25"/>
  <c r="AM505" i="25"/>
  <c r="Q505" i="25"/>
  <c r="P505" i="25"/>
  <c r="O505" i="25"/>
  <c r="N505" i="25"/>
  <c r="M505" i="25"/>
  <c r="L505" i="25"/>
  <c r="K505" i="25"/>
  <c r="AM504" i="25"/>
  <c r="AH504" i="25"/>
  <c r="Q504" i="25"/>
  <c r="P504" i="25"/>
  <c r="O504" i="25"/>
  <c r="N504" i="25"/>
  <c r="M504" i="25"/>
  <c r="L504" i="25"/>
  <c r="K504" i="25"/>
  <c r="AM503" i="25"/>
  <c r="Q503" i="25"/>
  <c r="P503" i="25"/>
  <c r="O503" i="25"/>
  <c r="N503" i="25"/>
  <c r="M503" i="25"/>
  <c r="L503" i="25"/>
  <c r="K503" i="25"/>
  <c r="AM502" i="25"/>
  <c r="Q502" i="25"/>
  <c r="P502" i="25"/>
  <c r="O502" i="25"/>
  <c r="N502" i="25"/>
  <c r="M502" i="25"/>
  <c r="L502" i="25"/>
  <c r="K502" i="25"/>
  <c r="AM501" i="25"/>
  <c r="Q501" i="25"/>
  <c r="P501" i="25"/>
  <c r="O501" i="25"/>
  <c r="N501" i="25"/>
  <c r="M501" i="25"/>
  <c r="L501" i="25"/>
  <c r="K501" i="25"/>
  <c r="AM500" i="25"/>
  <c r="Q500" i="25"/>
  <c r="P500" i="25"/>
  <c r="O500" i="25"/>
  <c r="N500" i="25"/>
  <c r="M500" i="25"/>
  <c r="L500" i="25"/>
  <c r="K500" i="25"/>
  <c r="AM499" i="25"/>
  <c r="Q499" i="25"/>
  <c r="P499" i="25"/>
  <c r="O499" i="25"/>
  <c r="N499" i="25"/>
  <c r="M499" i="25"/>
  <c r="L499" i="25"/>
  <c r="K499" i="25"/>
  <c r="S499" i="25" s="1"/>
  <c r="AM498" i="25"/>
  <c r="Q498" i="25"/>
  <c r="P498" i="25"/>
  <c r="O498" i="25"/>
  <c r="N498" i="25"/>
  <c r="M498" i="25"/>
  <c r="L498" i="25"/>
  <c r="K498" i="25"/>
  <c r="AM497" i="25"/>
  <c r="Q497" i="25"/>
  <c r="P497" i="25"/>
  <c r="O497" i="25"/>
  <c r="N497" i="25"/>
  <c r="M497" i="25"/>
  <c r="L497" i="25"/>
  <c r="K497" i="25"/>
  <c r="AM496" i="25"/>
  <c r="Q496" i="25"/>
  <c r="P496" i="25"/>
  <c r="O496" i="25"/>
  <c r="N496" i="25"/>
  <c r="M496" i="25"/>
  <c r="L496" i="25"/>
  <c r="K496" i="25"/>
  <c r="AM495" i="25"/>
  <c r="Q495" i="25"/>
  <c r="P495" i="25"/>
  <c r="O495" i="25"/>
  <c r="N495" i="25"/>
  <c r="M495" i="25"/>
  <c r="L495" i="25"/>
  <c r="K495" i="25"/>
  <c r="S495" i="25" s="1"/>
  <c r="AM494" i="25"/>
  <c r="Q494" i="25"/>
  <c r="P494" i="25"/>
  <c r="O494" i="25"/>
  <c r="N494" i="25"/>
  <c r="M494" i="25"/>
  <c r="L494" i="25"/>
  <c r="K494" i="25"/>
  <c r="AM493" i="25"/>
  <c r="Q493" i="25"/>
  <c r="P493" i="25"/>
  <c r="O493" i="25"/>
  <c r="N493" i="25"/>
  <c r="M493" i="25"/>
  <c r="L493" i="25"/>
  <c r="K493" i="25"/>
  <c r="AM492" i="25"/>
  <c r="Q492" i="25"/>
  <c r="P492" i="25"/>
  <c r="O492" i="25"/>
  <c r="N492" i="25"/>
  <c r="M492" i="25"/>
  <c r="L492" i="25"/>
  <c r="K492" i="25"/>
  <c r="AM491" i="25"/>
  <c r="Q491" i="25"/>
  <c r="P491" i="25"/>
  <c r="O491" i="25"/>
  <c r="N491" i="25"/>
  <c r="M491" i="25"/>
  <c r="L491" i="25"/>
  <c r="K491" i="25"/>
  <c r="AM490" i="25"/>
  <c r="Q490" i="25"/>
  <c r="P490" i="25"/>
  <c r="O490" i="25"/>
  <c r="N490" i="25"/>
  <c r="M490" i="25"/>
  <c r="L490" i="25"/>
  <c r="K490" i="25"/>
  <c r="AM489" i="25"/>
  <c r="Q489" i="25"/>
  <c r="P489" i="25"/>
  <c r="O489" i="25"/>
  <c r="N489" i="25"/>
  <c r="M489" i="25"/>
  <c r="L489" i="25"/>
  <c r="K489" i="25"/>
  <c r="AM488" i="25"/>
  <c r="Q488" i="25"/>
  <c r="P488" i="25"/>
  <c r="O488" i="25"/>
  <c r="N488" i="25"/>
  <c r="M488" i="25"/>
  <c r="L488" i="25"/>
  <c r="K488" i="25"/>
  <c r="AM487" i="25"/>
  <c r="Q487" i="25"/>
  <c r="P487" i="25"/>
  <c r="O487" i="25"/>
  <c r="N487" i="25"/>
  <c r="M487" i="25"/>
  <c r="L487" i="25"/>
  <c r="K487" i="25"/>
  <c r="AM486" i="25"/>
  <c r="Q486" i="25"/>
  <c r="P486" i="25"/>
  <c r="O486" i="25"/>
  <c r="N486" i="25"/>
  <c r="M486" i="25"/>
  <c r="L486" i="25"/>
  <c r="K486" i="25"/>
  <c r="AM485" i="25"/>
  <c r="Q485" i="25"/>
  <c r="P485" i="25"/>
  <c r="O485" i="25"/>
  <c r="N485" i="25"/>
  <c r="M485" i="25"/>
  <c r="L485" i="25"/>
  <c r="K485" i="25"/>
  <c r="AM484" i="25"/>
  <c r="Q484" i="25"/>
  <c r="P484" i="25"/>
  <c r="O484" i="25"/>
  <c r="N484" i="25"/>
  <c r="M484" i="25"/>
  <c r="L484" i="25"/>
  <c r="K484" i="25"/>
  <c r="AM483" i="25"/>
  <c r="Q483" i="25"/>
  <c r="P483" i="25"/>
  <c r="O483" i="25"/>
  <c r="N483" i="25"/>
  <c r="M483" i="25"/>
  <c r="L483" i="25"/>
  <c r="K483" i="25"/>
  <c r="AM482" i="25"/>
  <c r="Q482" i="25"/>
  <c r="P482" i="25"/>
  <c r="O482" i="25"/>
  <c r="N482" i="25"/>
  <c r="M482" i="25"/>
  <c r="L482" i="25"/>
  <c r="K482" i="25"/>
  <c r="AH482" i="25" s="1"/>
  <c r="AM481" i="25"/>
  <c r="Q481" i="25"/>
  <c r="P481" i="25"/>
  <c r="O481" i="25"/>
  <c r="N481" i="25"/>
  <c r="M481" i="25"/>
  <c r="L481" i="25"/>
  <c r="K481" i="25"/>
  <c r="AM480" i="25"/>
  <c r="Q480" i="25"/>
  <c r="P480" i="25"/>
  <c r="O480" i="25"/>
  <c r="N480" i="25"/>
  <c r="M480" i="25"/>
  <c r="L480" i="25"/>
  <c r="S480" i="25" s="1"/>
  <c r="K480" i="25"/>
  <c r="AM479" i="25"/>
  <c r="Q479" i="25"/>
  <c r="P479" i="25"/>
  <c r="O479" i="25"/>
  <c r="N479" i="25"/>
  <c r="M479" i="25"/>
  <c r="L479" i="25"/>
  <c r="K479" i="25"/>
  <c r="AM478" i="25"/>
  <c r="Q478" i="25"/>
  <c r="P478" i="25"/>
  <c r="O478" i="25"/>
  <c r="N478" i="25"/>
  <c r="M478" i="25"/>
  <c r="L478" i="25"/>
  <c r="K478" i="25"/>
  <c r="AM477" i="25"/>
  <c r="Q477" i="25"/>
  <c r="P477" i="25"/>
  <c r="O477" i="25"/>
  <c r="N477" i="25"/>
  <c r="M477" i="25"/>
  <c r="L477" i="25"/>
  <c r="K477" i="25"/>
  <c r="AM476" i="25"/>
  <c r="Q476" i="25"/>
  <c r="P476" i="25"/>
  <c r="O476" i="25"/>
  <c r="N476" i="25"/>
  <c r="M476" i="25"/>
  <c r="L476" i="25"/>
  <c r="K476" i="25"/>
  <c r="S476" i="25" s="1"/>
  <c r="AM475" i="25"/>
  <c r="Q475" i="25"/>
  <c r="P475" i="25"/>
  <c r="O475" i="25"/>
  <c r="N475" i="25"/>
  <c r="M475" i="25"/>
  <c r="L475" i="25"/>
  <c r="K475" i="25"/>
  <c r="AM474" i="25"/>
  <c r="Q474" i="25"/>
  <c r="P474" i="25"/>
  <c r="O474" i="25"/>
  <c r="N474" i="25"/>
  <c r="M474" i="25"/>
  <c r="L474" i="25"/>
  <c r="K474" i="25"/>
  <c r="AH474" i="25" s="1"/>
  <c r="AM473" i="25"/>
  <c r="Q473" i="25"/>
  <c r="P473" i="25"/>
  <c r="O473" i="25"/>
  <c r="N473" i="25"/>
  <c r="M473" i="25"/>
  <c r="L473" i="25"/>
  <c r="K473" i="25"/>
  <c r="AM472" i="25"/>
  <c r="Q472" i="25"/>
  <c r="P472" i="25"/>
  <c r="O472" i="25"/>
  <c r="N472" i="25"/>
  <c r="M472" i="25"/>
  <c r="L472" i="25"/>
  <c r="K472" i="25"/>
  <c r="S472" i="25" s="1"/>
  <c r="AM471" i="25"/>
  <c r="Q471" i="25"/>
  <c r="P471" i="25"/>
  <c r="O471" i="25"/>
  <c r="N471" i="25"/>
  <c r="M471" i="25"/>
  <c r="L471" i="25"/>
  <c r="K471" i="25"/>
  <c r="AM470" i="25"/>
  <c r="Q470" i="25"/>
  <c r="P470" i="25"/>
  <c r="O470" i="25"/>
  <c r="N470" i="25"/>
  <c r="M470" i="25"/>
  <c r="L470" i="25"/>
  <c r="K470" i="25"/>
  <c r="AM469" i="25"/>
  <c r="Q469" i="25"/>
  <c r="P469" i="25"/>
  <c r="O469" i="25"/>
  <c r="N469" i="25"/>
  <c r="M469" i="25"/>
  <c r="L469" i="25"/>
  <c r="K469" i="25"/>
  <c r="AM468" i="25"/>
  <c r="Q468" i="25"/>
  <c r="P468" i="25"/>
  <c r="O468" i="25"/>
  <c r="N468" i="25"/>
  <c r="M468" i="25"/>
  <c r="L468" i="25"/>
  <c r="K468" i="25"/>
  <c r="AH468" i="25" s="1"/>
  <c r="AM467" i="25"/>
  <c r="Q467" i="25"/>
  <c r="P467" i="25"/>
  <c r="O467" i="25"/>
  <c r="N467" i="25"/>
  <c r="M467" i="25"/>
  <c r="L467" i="25"/>
  <c r="K467" i="25"/>
  <c r="AM466" i="25"/>
  <c r="Q466" i="25"/>
  <c r="P466" i="25"/>
  <c r="O466" i="25"/>
  <c r="N466" i="25"/>
  <c r="M466" i="25"/>
  <c r="L466" i="25"/>
  <c r="K466" i="25"/>
  <c r="S466" i="25" s="1"/>
  <c r="AM465" i="25"/>
  <c r="Q465" i="25"/>
  <c r="P465" i="25"/>
  <c r="O465" i="25"/>
  <c r="N465" i="25"/>
  <c r="M465" i="25"/>
  <c r="L465" i="25"/>
  <c r="K465" i="25"/>
  <c r="AM464" i="25"/>
  <c r="Q464" i="25"/>
  <c r="P464" i="25"/>
  <c r="O464" i="25"/>
  <c r="N464" i="25"/>
  <c r="M464" i="25"/>
  <c r="L464" i="25"/>
  <c r="K464" i="25"/>
  <c r="AM463" i="25"/>
  <c r="Q463" i="25"/>
  <c r="P463" i="25"/>
  <c r="O463" i="25"/>
  <c r="N463" i="25"/>
  <c r="M463" i="25"/>
  <c r="L463" i="25"/>
  <c r="K463" i="25"/>
  <c r="S463" i="25" s="1"/>
  <c r="AM462" i="25"/>
  <c r="Q462" i="25"/>
  <c r="P462" i="25"/>
  <c r="O462" i="25"/>
  <c r="N462" i="25"/>
  <c r="M462" i="25"/>
  <c r="AH462" i="25" s="1"/>
  <c r="L462" i="25"/>
  <c r="K462" i="25"/>
  <c r="AM461" i="25"/>
  <c r="Q461" i="25"/>
  <c r="P461" i="25"/>
  <c r="O461" i="25"/>
  <c r="N461" i="25"/>
  <c r="M461" i="25"/>
  <c r="L461" i="25"/>
  <c r="K461" i="25"/>
  <c r="AM460" i="25"/>
  <c r="Q460" i="25"/>
  <c r="P460" i="25"/>
  <c r="O460" i="25"/>
  <c r="N460" i="25"/>
  <c r="M460" i="25"/>
  <c r="L460" i="25"/>
  <c r="K460" i="25"/>
  <c r="AM459" i="25"/>
  <c r="Q459" i="25"/>
  <c r="P459" i="25"/>
  <c r="O459" i="25"/>
  <c r="N459" i="25"/>
  <c r="M459" i="25"/>
  <c r="L459" i="25"/>
  <c r="K459" i="25"/>
  <c r="AM458" i="25"/>
  <c r="Q458" i="25"/>
  <c r="P458" i="25"/>
  <c r="O458" i="25"/>
  <c r="N458" i="25"/>
  <c r="M458" i="25"/>
  <c r="L458" i="25"/>
  <c r="K458" i="25"/>
  <c r="AM457" i="25"/>
  <c r="Q457" i="25"/>
  <c r="P457" i="25"/>
  <c r="O457" i="25"/>
  <c r="N457" i="25"/>
  <c r="M457" i="25"/>
  <c r="L457" i="25"/>
  <c r="K457" i="25"/>
  <c r="AM456" i="25"/>
  <c r="Q456" i="25"/>
  <c r="P456" i="25"/>
  <c r="AH456" i="25" s="1"/>
  <c r="O456" i="25"/>
  <c r="N456" i="25"/>
  <c r="M456" i="25"/>
  <c r="L456" i="25"/>
  <c r="K456" i="25"/>
  <c r="AM455" i="25"/>
  <c r="Q455" i="25"/>
  <c r="P455" i="25"/>
  <c r="O455" i="25"/>
  <c r="N455" i="25"/>
  <c r="M455" i="25"/>
  <c r="L455" i="25"/>
  <c r="K455" i="25"/>
  <c r="AM454" i="25"/>
  <c r="Q454" i="25"/>
  <c r="P454" i="25"/>
  <c r="O454" i="25"/>
  <c r="N454" i="25"/>
  <c r="M454" i="25"/>
  <c r="L454" i="25"/>
  <c r="K454" i="25"/>
  <c r="AM453" i="25"/>
  <c r="Q453" i="25"/>
  <c r="P453" i="25"/>
  <c r="O453" i="25"/>
  <c r="N453" i="25"/>
  <c r="M453" i="25"/>
  <c r="L453" i="25"/>
  <c r="K453" i="25"/>
  <c r="S453" i="25" s="1"/>
  <c r="AM452" i="25"/>
  <c r="Q452" i="25"/>
  <c r="P452" i="25"/>
  <c r="O452" i="25"/>
  <c r="N452" i="25"/>
  <c r="M452" i="25"/>
  <c r="L452" i="25"/>
  <c r="K452" i="25"/>
  <c r="AM451" i="25"/>
  <c r="Q451" i="25"/>
  <c r="P451" i="25"/>
  <c r="O451" i="25"/>
  <c r="N451" i="25"/>
  <c r="M451" i="25"/>
  <c r="L451" i="25"/>
  <c r="K451" i="25"/>
  <c r="AM450" i="25"/>
  <c r="Q450" i="25"/>
  <c r="P450" i="25"/>
  <c r="AH450" i="25" s="1"/>
  <c r="O450" i="25"/>
  <c r="N450" i="25"/>
  <c r="M450" i="25"/>
  <c r="L450" i="25"/>
  <c r="K450" i="25"/>
  <c r="AM449" i="25"/>
  <c r="Q449" i="25"/>
  <c r="P449" i="25"/>
  <c r="O449" i="25"/>
  <c r="N449" i="25"/>
  <c r="M449" i="25"/>
  <c r="L449" i="25"/>
  <c r="K449" i="25"/>
  <c r="AM448" i="25"/>
  <c r="Q448" i="25"/>
  <c r="P448" i="25"/>
  <c r="O448" i="25"/>
  <c r="N448" i="25"/>
  <c r="M448" i="25"/>
  <c r="L448" i="25"/>
  <c r="K448" i="25"/>
  <c r="AM447" i="25"/>
  <c r="Q447" i="25"/>
  <c r="P447" i="25"/>
  <c r="O447" i="25"/>
  <c r="N447" i="25"/>
  <c r="M447" i="25"/>
  <c r="L447" i="25"/>
  <c r="K447" i="25"/>
  <c r="S447" i="25" s="1"/>
  <c r="AM446" i="25"/>
  <c r="Q446" i="25"/>
  <c r="P446" i="25"/>
  <c r="O446" i="25"/>
  <c r="N446" i="25"/>
  <c r="M446" i="25"/>
  <c r="L446" i="25"/>
  <c r="K446" i="25"/>
  <c r="AM445" i="25"/>
  <c r="Q445" i="25"/>
  <c r="P445" i="25"/>
  <c r="O445" i="25"/>
  <c r="N445" i="25"/>
  <c r="M445" i="25"/>
  <c r="L445" i="25"/>
  <c r="K445" i="25"/>
  <c r="AM444" i="25"/>
  <c r="Q444" i="25"/>
  <c r="P444" i="25"/>
  <c r="O444" i="25"/>
  <c r="N444" i="25"/>
  <c r="M444" i="25"/>
  <c r="L444" i="25"/>
  <c r="K444" i="25"/>
  <c r="S444" i="25" s="1"/>
  <c r="AM443" i="25"/>
  <c r="Q443" i="25"/>
  <c r="P443" i="25"/>
  <c r="O443" i="25"/>
  <c r="N443" i="25"/>
  <c r="M443" i="25"/>
  <c r="L443" i="25"/>
  <c r="K443" i="25"/>
  <c r="AH443" i="25" s="1"/>
  <c r="AM442" i="25"/>
  <c r="Q442" i="25"/>
  <c r="P442" i="25"/>
  <c r="O442" i="25"/>
  <c r="N442" i="25"/>
  <c r="M442" i="25"/>
  <c r="L442" i="25"/>
  <c r="K442" i="25"/>
  <c r="AM441" i="25"/>
  <c r="Q441" i="25"/>
  <c r="P441" i="25"/>
  <c r="O441" i="25"/>
  <c r="N441" i="25"/>
  <c r="M441" i="25"/>
  <c r="L441" i="25"/>
  <c r="K441" i="25"/>
  <c r="AM440" i="25"/>
  <c r="Q440" i="25"/>
  <c r="P440" i="25"/>
  <c r="O440" i="25"/>
  <c r="N440" i="25"/>
  <c r="M440" i="25"/>
  <c r="L440" i="25"/>
  <c r="K440" i="25"/>
  <c r="AM439" i="25"/>
  <c r="Q439" i="25"/>
  <c r="P439" i="25"/>
  <c r="O439" i="25"/>
  <c r="N439" i="25"/>
  <c r="M439" i="25"/>
  <c r="L439" i="25"/>
  <c r="K439" i="25"/>
  <c r="AM438" i="25"/>
  <c r="Q438" i="25"/>
  <c r="P438" i="25"/>
  <c r="O438" i="25"/>
  <c r="N438" i="25"/>
  <c r="M438" i="25"/>
  <c r="L438" i="25"/>
  <c r="K438" i="25"/>
  <c r="AM437" i="25"/>
  <c r="Q437" i="25"/>
  <c r="P437" i="25"/>
  <c r="O437" i="25"/>
  <c r="N437" i="25"/>
  <c r="M437" i="25"/>
  <c r="L437" i="25"/>
  <c r="K437" i="25"/>
  <c r="S437" i="25" s="1"/>
  <c r="AM436" i="25"/>
  <c r="Q436" i="25"/>
  <c r="P436" i="25"/>
  <c r="O436" i="25"/>
  <c r="N436" i="25"/>
  <c r="M436" i="25"/>
  <c r="L436" i="25"/>
  <c r="K436" i="25"/>
  <c r="AH436" i="25" s="1"/>
  <c r="AM435" i="25"/>
  <c r="Q435" i="25"/>
  <c r="P435" i="25"/>
  <c r="O435" i="25"/>
  <c r="N435" i="25"/>
  <c r="M435" i="25"/>
  <c r="L435" i="25"/>
  <c r="K435" i="25"/>
  <c r="AM434" i="25"/>
  <c r="Q434" i="25"/>
  <c r="P434" i="25"/>
  <c r="O434" i="25"/>
  <c r="N434" i="25"/>
  <c r="M434" i="25"/>
  <c r="L434" i="25"/>
  <c r="K434" i="25"/>
  <c r="AH434" i="25" s="1"/>
  <c r="AM433" i="25"/>
  <c r="Q433" i="25"/>
  <c r="P433" i="25"/>
  <c r="O433" i="25"/>
  <c r="N433" i="25"/>
  <c r="M433" i="25"/>
  <c r="L433" i="25"/>
  <c r="K433" i="25"/>
  <c r="AM432" i="25"/>
  <c r="Q432" i="25"/>
  <c r="P432" i="25"/>
  <c r="O432" i="25"/>
  <c r="N432" i="25"/>
  <c r="M432" i="25"/>
  <c r="L432" i="25"/>
  <c r="K432" i="25"/>
  <c r="AM431" i="25"/>
  <c r="Q431" i="25"/>
  <c r="P431" i="25"/>
  <c r="O431" i="25"/>
  <c r="N431" i="25"/>
  <c r="M431" i="25"/>
  <c r="L431" i="25"/>
  <c r="K431" i="25"/>
  <c r="AM430" i="25"/>
  <c r="Q430" i="25"/>
  <c r="P430" i="25"/>
  <c r="O430" i="25"/>
  <c r="N430" i="25"/>
  <c r="M430" i="25"/>
  <c r="L430" i="25"/>
  <c r="K430" i="25"/>
  <c r="AM429" i="25"/>
  <c r="Q429" i="25"/>
  <c r="P429" i="25"/>
  <c r="O429" i="25"/>
  <c r="N429" i="25"/>
  <c r="M429" i="25"/>
  <c r="L429" i="25"/>
  <c r="K429" i="25"/>
  <c r="AM428" i="25"/>
  <c r="Q428" i="25"/>
  <c r="P428" i="25"/>
  <c r="O428" i="25"/>
  <c r="N428" i="25"/>
  <c r="M428" i="25"/>
  <c r="L428" i="25"/>
  <c r="K428" i="25"/>
  <c r="AM427" i="25"/>
  <c r="Q427" i="25"/>
  <c r="P427" i="25"/>
  <c r="O427" i="25"/>
  <c r="N427" i="25"/>
  <c r="M427" i="25"/>
  <c r="L427" i="25"/>
  <c r="K427" i="25"/>
  <c r="AM426" i="25"/>
  <c r="Q426" i="25"/>
  <c r="P426" i="25"/>
  <c r="O426" i="25"/>
  <c r="N426" i="25"/>
  <c r="M426" i="25"/>
  <c r="L426" i="25"/>
  <c r="K426" i="25"/>
  <c r="AM425" i="25"/>
  <c r="Q425" i="25"/>
  <c r="P425" i="25"/>
  <c r="O425" i="25"/>
  <c r="N425" i="25"/>
  <c r="M425" i="25"/>
  <c r="L425" i="25"/>
  <c r="K425" i="25"/>
  <c r="AM424" i="25"/>
  <c r="Q424" i="25"/>
  <c r="P424" i="25"/>
  <c r="O424" i="25"/>
  <c r="N424" i="25"/>
  <c r="M424" i="25"/>
  <c r="L424" i="25"/>
  <c r="K424" i="25"/>
  <c r="AM423" i="25"/>
  <c r="Q423" i="25"/>
  <c r="P423" i="25"/>
  <c r="O423" i="25"/>
  <c r="N423" i="25"/>
  <c r="M423" i="25"/>
  <c r="L423" i="25"/>
  <c r="K423" i="25"/>
  <c r="AM422" i="25"/>
  <c r="Q422" i="25"/>
  <c r="P422" i="25"/>
  <c r="O422" i="25"/>
  <c r="N422" i="25"/>
  <c r="M422" i="25"/>
  <c r="L422" i="25"/>
  <c r="K422" i="25"/>
  <c r="AM421" i="25"/>
  <c r="Q421" i="25"/>
  <c r="P421" i="25"/>
  <c r="O421" i="25"/>
  <c r="N421" i="25"/>
  <c r="M421" i="25"/>
  <c r="L421" i="25"/>
  <c r="K421" i="25"/>
  <c r="AM420" i="25"/>
  <c r="Q420" i="25"/>
  <c r="P420" i="25"/>
  <c r="O420" i="25"/>
  <c r="N420" i="25"/>
  <c r="M420" i="25"/>
  <c r="L420" i="25"/>
  <c r="K420" i="25"/>
  <c r="AM419" i="25"/>
  <c r="Q419" i="25"/>
  <c r="P419" i="25"/>
  <c r="O419" i="25"/>
  <c r="N419" i="25"/>
  <c r="M419" i="25"/>
  <c r="L419" i="25"/>
  <c r="K419" i="25"/>
  <c r="AH419" i="25" s="1"/>
  <c r="AM418" i="25"/>
  <c r="Q418" i="25"/>
  <c r="P418" i="25"/>
  <c r="O418" i="25"/>
  <c r="N418" i="25"/>
  <c r="M418" i="25"/>
  <c r="L418" i="25"/>
  <c r="K418" i="25"/>
  <c r="AM417" i="25"/>
  <c r="Q417" i="25"/>
  <c r="P417" i="25"/>
  <c r="O417" i="25"/>
  <c r="N417" i="25"/>
  <c r="M417" i="25"/>
  <c r="L417" i="25"/>
  <c r="K417" i="25"/>
  <c r="AM416" i="25"/>
  <c r="Q416" i="25"/>
  <c r="P416" i="25"/>
  <c r="O416" i="25"/>
  <c r="N416" i="25"/>
  <c r="M416" i="25"/>
  <c r="L416" i="25"/>
  <c r="K416" i="25"/>
  <c r="AM415" i="25"/>
  <c r="Q415" i="25"/>
  <c r="P415" i="25"/>
  <c r="O415" i="25"/>
  <c r="N415" i="25"/>
  <c r="M415" i="25"/>
  <c r="L415" i="25"/>
  <c r="K415" i="25"/>
  <c r="S415" i="25" s="1"/>
  <c r="AM414" i="25"/>
  <c r="Q414" i="25"/>
  <c r="P414" i="25"/>
  <c r="O414" i="25"/>
  <c r="N414" i="25"/>
  <c r="M414" i="25"/>
  <c r="L414" i="25"/>
  <c r="K414" i="25"/>
  <c r="AM413" i="25"/>
  <c r="Q413" i="25"/>
  <c r="P413" i="25"/>
  <c r="O413" i="25"/>
  <c r="N413" i="25"/>
  <c r="M413" i="25"/>
  <c r="L413" i="25"/>
  <c r="K413" i="25"/>
  <c r="AM412" i="25"/>
  <c r="AH412" i="25"/>
  <c r="Q412" i="25"/>
  <c r="P412" i="25"/>
  <c r="O412" i="25"/>
  <c r="N412" i="25"/>
  <c r="M412" i="25"/>
  <c r="L412" i="25"/>
  <c r="K412" i="25"/>
  <c r="AM411" i="25"/>
  <c r="Q411" i="25"/>
  <c r="P411" i="25"/>
  <c r="O411" i="25"/>
  <c r="N411" i="25"/>
  <c r="M411" i="25"/>
  <c r="L411" i="25"/>
  <c r="K411" i="25"/>
  <c r="AM410" i="25"/>
  <c r="Q410" i="25"/>
  <c r="P410" i="25"/>
  <c r="O410" i="25"/>
  <c r="N410" i="25"/>
  <c r="M410" i="25"/>
  <c r="L410" i="25"/>
  <c r="K410" i="25"/>
  <c r="AM409" i="25"/>
  <c r="Q409" i="25"/>
  <c r="P409" i="25"/>
  <c r="O409" i="25"/>
  <c r="N409" i="25"/>
  <c r="M409" i="25"/>
  <c r="L409" i="25"/>
  <c r="K409" i="25"/>
  <c r="AM408" i="25"/>
  <c r="Q408" i="25"/>
  <c r="P408" i="25"/>
  <c r="O408" i="25"/>
  <c r="N408" i="25"/>
  <c r="M408" i="25"/>
  <c r="L408" i="25"/>
  <c r="K408" i="25"/>
  <c r="AH408" i="25" s="1"/>
  <c r="AM407" i="25"/>
  <c r="Q407" i="25"/>
  <c r="P407" i="25"/>
  <c r="O407" i="25"/>
  <c r="N407" i="25"/>
  <c r="M407" i="25"/>
  <c r="L407" i="25"/>
  <c r="K407" i="25"/>
  <c r="AM406" i="25"/>
  <c r="Q406" i="25"/>
  <c r="P406" i="25"/>
  <c r="AH406" i="25" s="1"/>
  <c r="O406" i="25"/>
  <c r="N406" i="25"/>
  <c r="M406" i="25"/>
  <c r="L406" i="25"/>
  <c r="K406" i="25"/>
  <c r="AM405" i="25"/>
  <c r="Q405" i="25"/>
  <c r="P405" i="25"/>
  <c r="O405" i="25"/>
  <c r="N405" i="25"/>
  <c r="M405" i="25"/>
  <c r="L405" i="25"/>
  <c r="K405" i="25"/>
  <c r="AM404" i="25"/>
  <c r="Q404" i="25"/>
  <c r="P404" i="25"/>
  <c r="O404" i="25"/>
  <c r="N404" i="25"/>
  <c r="M404" i="25"/>
  <c r="L404" i="25"/>
  <c r="K404" i="25"/>
  <c r="AM403" i="25"/>
  <c r="Q403" i="25"/>
  <c r="P403" i="25"/>
  <c r="O403" i="25"/>
  <c r="N403" i="25"/>
  <c r="M403" i="25"/>
  <c r="L403" i="25"/>
  <c r="K403" i="25"/>
  <c r="AM402" i="25"/>
  <c r="Q402" i="25"/>
  <c r="P402" i="25"/>
  <c r="O402" i="25"/>
  <c r="N402" i="25"/>
  <c r="M402" i="25"/>
  <c r="L402" i="25"/>
  <c r="AH402" i="25" s="1"/>
  <c r="K402" i="25"/>
  <c r="AM401" i="25"/>
  <c r="Q401" i="25"/>
  <c r="P401" i="25"/>
  <c r="O401" i="25"/>
  <c r="N401" i="25"/>
  <c r="M401" i="25"/>
  <c r="L401" i="25"/>
  <c r="K401" i="25"/>
  <c r="AM400" i="25"/>
  <c r="Q400" i="25"/>
  <c r="P400" i="25"/>
  <c r="O400" i="25"/>
  <c r="N400" i="25"/>
  <c r="M400" i="25"/>
  <c r="L400" i="25"/>
  <c r="K400" i="25"/>
  <c r="AH400" i="25" s="1"/>
  <c r="AM399" i="25"/>
  <c r="Q399" i="25"/>
  <c r="P399" i="25"/>
  <c r="O399" i="25"/>
  <c r="N399" i="25"/>
  <c r="M399" i="25"/>
  <c r="L399" i="25"/>
  <c r="K399" i="25"/>
  <c r="AM398" i="25"/>
  <c r="Q398" i="25"/>
  <c r="P398" i="25"/>
  <c r="O398" i="25"/>
  <c r="N398" i="25"/>
  <c r="M398" i="25"/>
  <c r="L398" i="25"/>
  <c r="K398" i="25"/>
  <c r="AM397" i="25"/>
  <c r="Q397" i="25"/>
  <c r="P397" i="25"/>
  <c r="O397" i="25"/>
  <c r="N397" i="25"/>
  <c r="M397" i="25"/>
  <c r="L397" i="25"/>
  <c r="K397" i="25"/>
  <c r="AM396" i="25"/>
  <c r="Q396" i="25"/>
  <c r="P396" i="25"/>
  <c r="O396" i="25"/>
  <c r="N396" i="25"/>
  <c r="M396" i="25"/>
  <c r="L396" i="25"/>
  <c r="K396" i="25"/>
  <c r="AM395" i="25"/>
  <c r="Q395" i="25"/>
  <c r="P395" i="25"/>
  <c r="O395" i="25"/>
  <c r="N395" i="25"/>
  <c r="M395" i="25"/>
  <c r="L395" i="25"/>
  <c r="K395" i="25"/>
  <c r="AM394" i="25"/>
  <c r="Q394" i="25"/>
  <c r="P394" i="25"/>
  <c r="O394" i="25"/>
  <c r="N394" i="25"/>
  <c r="M394" i="25"/>
  <c r="L394" i="25"/>
  <c r="K394" i="25"/>
  <c r="AM393" i="25"/>
  <c r="Q393" i="25"/>
  <c r="P393" i="25"/>
  <c r="O393" i="25"/>
  <c r="N393" i="25"/>
  <c r="M393" i="25"/>
  <c r="L393" i="25"/>
  <c r="K393" i="25"/>
  <c r="AM392" i="25"/>
  <c r="Q392" i="25"/>
  <c r="P392" i="25"/>
  <c r="O392" i="25"/>
  <c r="N392" i="25"/>
  <c r="M392" i="25"/>
  <c r="L392" i="25"/>
  <c r="K392" i="25"/>
  <c r="AH392" i="25" s="1"/>
  <c r="AM391" i="25"/>
  <c r="Q391" i="25"/>
  <c r="P391" i="25"/>
  <c r="O391" i="25"/>
  <c r="N391" i="25"/>
  <c r="M391" i="25"/>
  <c r="L391" i="25"/>
  <c r="K391" i="25"/>
  <c r="AM390" i="25"/>
  <c r="Q390" i="25"/>
  <c r="P390" i="25"/>
  <c r="O390" i="25"/>
  <c r="N390" i="25"/>
  <c r="M390" i="25"/>
  <c r="L390" i="25"/>
  <c r="K390" i="25"/>
  <c r="AH390" i="25" s="1"/>
  <c r="AM389" i="25"/>
  <c r="Q389" i="25"/>
  <c r="P389" i="25"/>
  <c r="O389" i="25"/>
  <c r="N389" i="25"/>
  <c r="M389" i="25"/>
  <c r="L389" i="25"/>
  <c r="K389" i="25"/>
  <c r="AM388" i="25"/>
  <c r="Q388" i="25"/>
  <c r="P388" i="25"/>
  <c r="O388" i="25"/>
  <c r="N388" i="25"/>
  <c r="M388" i="25"/>
  <c r="L388" i="25"/>
  <c r="K388" i="25"/>
  <c r="AM387" i="25"/>
  <c r="Q387" i="25"/>
  <c r="P387" i="25"/>
  <c r="O387" i="25"/>
  <c r="N387" i="25"/>
  <c r="M387" i="25"/>
  <c r="L387" i="25"/>
  <c r="K387" i="25"/>
  <c r="AM386" i="25"/>
  <c r="Q386" i="25"/>
  <c r="P386" i="25"/>
  <c r="O386" i="25"/>
  <c r="N386" i="25"/>
  <c r="M386" i="25"/>
  <c r="L386" i="25"/>
  <c r="K386" i="25"/>
  <c r="S386" i="25" s="1"/>
  <c r="AM385" i="25"/>
  <c r="Q385" i="25"/>
  <c r="P385" i="25"/>
  <c r="O385" i="25"/>
  <c r="N385" i="25"/>
  <c r="M385" i="25"/>
  <c r="L385" i="25"/>
  <c r="K385" i="25"/>
  <c r="AM384" i="25"/>
  <c r="Q384" i="25"/>
  <c r="P384" i="25"/>
  <c r="O384" i="25"/>
  <c r="N384" i="25"/>
  <c r="M384" i="25"/>
  <c r="L384" i="25"/>
  <c r="K384" i="25"/>
  <c r="AM383" i="25"/>
  <c r="Q383" i="25"/>
  <c r="P383" i="25"/>
  <c r="O383" i="25"/>
  <c r="N383" i="25"/>
  <c r="M383" i="25"/>
  <c r="L383" i="25"/>
  <c r="K383" i="25"/>
  <c r="AM382" i="25"/>
  <c r="Q382" i="25"/>
  <c r="P382" i="25"/>
  <c r="O382" i="25"/>
  <c r="N382" i="25"/>
  <c r="M382" i="25"/>
  <c r="L382" i="25"/>
  <c r="K382" i="25"/>
  <c r="AM381" i="25"/>
  <c r="Q381" i="25"/>
  <c r="P381" i="25"/>
  <c r="O381" i="25"/>
  <c r="N381" i="25"/>
  <c r="M381" i="25"/>
  <c r="L381" i="25"/>
  <c r="K381" i="25"/>
  <c r="AM380" i="25"/>
  <c r="Q380" i="25"/>
  <c r="P380" i="25"/>
  <c r="O380" i="25"/>
  <c r="N380" i="25"/>
  <c r="M380" i="25"/>
  <c r="L380" i="25"/>
  <c r="K380" i="25"/>
  <c r="AM379" i="25"/>
  <c r="Q379" i="25"/>
  <c r="P379" i="25"/>
  <c r="O379" i="25"/>
  <c r="N379" i="25"/>
  <c r="M379" i="25"/>
  <c r="L379" i="25"/>
  <c r="K379" i="25"/>
  <c r="AM378" i="25"/>
  <c r="Q378" i="25"/>
  <c r="P378" i="25"/>
  <c r="O378" i="25"/>
  <c r="N378" i="25"/>
  <c r="M378" i="25"/>
  <c r="L378" i="25"/>
  <c r="K378" i="25"/>
  <c r="AM377" i="25"/>
  <c r="Q377" i="25"/>
  <c r="P377" i="25"/>
  <c r="O377" i="25"/>
  <c r="N377" i="25"/>
  <c r="M377" i="25"/>
  <c r="L377" i="25"/>
  <c r="K377" i="25"/>
  <c r="AM376" i="25"/>
  <c r="Q376" i="25"/>
  <c r="P376" i="25"/>
  <c r="O376" i="25"/>
  <c r="N376" i="25"/>
  <c r="M376" i="25"/>
  <c r="L376" i="25"/>
  <c r="K376" i="25"/>
  <c r="AM375" i="25"/>
  <c r="Q375" i="25"/>
  <c r="P375" i="25"/>
  <c r="O375" i="25"/>
  <c r="S375" i="25" s="1"/>
  <c r="N375" i="25"/>
  <c r="M375" i="25"/>
  <c r="L375" i="25"/>
  <c r="K375" i="25"/>
  <c r="AM374" i="25"/>
  <c r="Q374" i="25"/>
  <c r="P374" i="25"/>
  <c r="O374" i="25"/>
  <c r="N374" i="25"/>
  <c r="M374" i="25"/>
  <c r="L374" i="25"/>
  <c r="K374" i="25"/>
  <c r="AM373" i="25"/>
  <c r="Q373" i="25"/>
  <c r="P373" i="25"/>
  <c r="O373" i="25"/>
  <c r="N373" i="25"/>
  <c r="M373" i="25"/>
  <c r="L373" i="25"/>
  <c r="K373" i="25"/>
  <c r="S373" i="25" s="1"/>
  <c r="AM372" i="25"/>
  <c r="Q372" i="25"/>
  <c r="P372" i="25"/>
  <c r="O372" i="25"/>
  <c r="N372" i="25"/>
  <c r="M372" i="25"/>
  <c r="L372" i="25"/>
  <c r="K372" i="25"/>
  <c r="AM371" i="25"/>
  <c r="Q371" i="25"/>
  <c r="P371" i="25"/>
  <c r="O371" i="25"/>
  <c r="N371" i="25"/>
  <c r="M371" i="25"/>
  <c r="L371" i="25"/>
  <c r="K371" i="25"/>
  <c r="AM370" i="25"/>
  <c r="Q370" i="25"/>
  <c r="P370" i="25"/>
  <c r="O370" i="25"/>
  <c r="N370" i="25"/>
  <c r="M370" i="25"/>
  <c r="L370" i="25"/>
  <c r="K370" i="25"/>
  <c r="AM369" i="25"/>
  <c r="Q369" i="25"/>
  <c r="P369" i="25"/>
  <c r="O369" i="25"/>
  <c r="N369" i="25"/>
  <c r="M369" i="25"/>
  <c r="L369" i="25"/>
  <c r="K369" i="25"/>
  <c r="AM368" i="25"/>
  <c r="Q368" i="25"/>
  <c r="P368" i="25"/>
  <c r="O368" i="25"/>
  <c r="N368" i="25"/>
  <c r="M368" i="25"/>
  <c r="L368" i="25"/>
  <c r="K368" i="25"/>
  <c r="AM367" i="25"/>
  <c r="Q367" i="25"/>
  <c r="P367" i="25"/>
  <c r="O367" i="25"/>
  <c r="N367" i="25"/>
  <c r="M367" i="25"/>
  <c r="L367" i="25"/>
  <c r="AH367" i="25" s="1"/>
  <c r="K367" i="25"/>
  <c r="S367" i="25" s="1"/>
  <c r="AM366" i="25"/>
  <c r="Q366" i="25"/>
  <c r="P366" i="25"/>
  <c r="O366" i="25"/>
  <c r="N366" i="25"/>
  <c r="M366" i="25"/>
  <c r="L366" i="25"/>
  <c r="K366" i="25"/>
  <c r="AM365" i="25"/>
  <c r="Q365" i="25"/>
  <c r="P365" i="25"/>
  <c r="O365" i="25"/>
  <c r="N365" i="25"/>
  <c r="M365" i="25"/>
  <c r="L365" i="25"/>
  <c r="K365" i="25"/>
  <c r="AM364" i="25"/>
  <c r="Q364" i="25"/>
  <c r="P364" i="25"/>
  <c r="O364" i="25"/>
  <c r="N364" i="25"/>
  <c r="M364" i="25"/>
  <c r="L364" i="25"/>
  <c r="K364" i="25"/>
  <c r="AM363" i="25"/>
  <c r="Q363" i="25"/>
  <c r="P363" i="25"/>
  <c r="O363" i="25"/>
  <c r="N363" i="25"/>
  <c r="M363" i="25"/>
  <c r="L363" i="25"/>
  <c r="K363" i="25"/>
  <c r="AM362" i="25"/>
  <c r="Q362" i="25"/>
  <c r="P362" i="25"/>
  <c r="O362" i="25"/>
  <c r="N362" i="25"/>
  <c r="M362" i="25"/>
  <c r="L362" i="25"/>
  <c r="K362" i="25"/>
  <c r="AM361" i="25"/>
  <c r="Q361" i="25"/>
  <c r="P361" i="25"/>
  <c r="O361" i="25"/>
  <c r="N361" i="25"/>
  <c r="M361" i="25"/>
  <c r="L361" i="25"/>
  <c r="K361" i="25"/>
  <c r="AM360" i="25"/>
  <c r="Q360" i="25"/>
  <c r="P360" i="25"/>
  <c r="O360" i="25"/>
  <c r="N360" i="25"/>
  <c r="M360" i="25"/>
  <c r="L360" i="25"/>
  <c r="K360" i="25"/>
  <c r="AM359" i="25"/>
  <c r="Q359" i="25"/>
  <c r="P359" i="25"/>
  <c r="O359" i="25"/>
  <c r="N359" i="25"/>
  <c r="M359" i="25"/>
  <c r="L359" i="25"/>
  <c r="K359" i="25"/>
  <c r="AM358" i="25"/>
  <c r="Q358" i="25"/>
  <c r="P358" i="25"/>
  <c r="O358" i="25"/>
  <c r="N358" i="25"/>
  <c r="M358" i="25"/>
  <c r="L358" i="25"/>
  <c r="K358" i="25"/>
  <c r="AM357" i="25"/>
  <c r="Q357" i="25"/>
  <c r="P357" i="25"/>
  <c r="O357" i="25"/>
  <c r="N357" i="25"/>
  <c r="M357" i="25"/>
  <c r="L357" i="25"/>
  <c r="K357" i="25"/>
  <c r="AM356" i="25"/>
  <c r="Q356" i="25"/>
  <c r="P356" i="25"/>
  <c r="O356" i="25"/>
  <c r="N356" i="25"/>
  <c r="M356" i="25"/>
  <c r="L356" i="25"/>
  <c r="K356" i="25"/>
  <c r="AM355" i="25"/>
  <c r="Q355" i="25"/>
  <c r="P355" i="25"/>
  <c r="O355" i="25"/>
  <c r="N355" i="25"/>
  <c r="M355" i="25"/>
  <c r="L355" i="25"/>
  <c r="S355" i="25" s="1"/>
  <c r="K355" i="25"/>
  <c r="AH355" i="25" s="1"/>
  <c r="AM354" i="25"/>
  <c r="Q354" i="25"/>
  <c r="P354" i="25"/>
  <c r="O354" i="25"/>
  <c r="N354" i="25"/>
  <c r="M354" i="25"/>
  <c r="L354" i="25"/>
  <c r="K354" i="25"/>
  <c r="S354" i="25" s="1"/>
  <c r="AM353" i="25"/>
  <c r="Q353" i="25"/>
  <c r="P353" i="25"/>
  <c r="O353" i="25"/>
  <c r="N353" i="25"/>
  <c r="M353" i="25"/>
  <c r="L353" i="25"/>
  <c r="K353" i="25"/>
  <c r="AH353" i="25" s="1"/>
  <c r="AM352" i="25"/>
  <c r="Q352" i="25"/>
  <c r="P352" i="25"/>
  <c r="O352" i="25"/>
  <c r="N352" i="25"/>
  <c r="M352" i="25"/>
  <c r="L352" i="25"/>
  <c r="K352" i="25"/>
  <c r="AM351" i="25"/>
  <c r="Q351" i="25"/>
  <c r="P351" i="25"/>
  <c r="O351" i="25"/>
  <c r="N351" i="25"/>
  <c r="M351" i="25"/>
  <c r="L351" i="25"/>
  <c r="K351" i="25"/>
  <c r="AH351" i="25" s="1"/>
  <c r="AM350" i="25"/>
  <c r="Q350" i="25"/>
  <c r="P350" i="25"/>
  <c r="O350" i="25"/>
  <c r="N350" i="25"/>
  <c r="M350" i="25"/>
  <c r="L350" i="25"/>
  <c r="K350" i="25"/>
  <c r="AM349" i="25"/>
  <c r="Q349" i="25"/>
  <c r="P349" i="25"/>
  <c r="O349" i="25"/>
  <c r="N349" i="25"/>
  <c r="M349" i="25"/>
  <c r="L349" i="25"/>
  <c r="K349" i="25"/>
  <c r="AM348" i="25"/>
  <c r="Q348" i="25"/>
  <c r="P348" i="25"/>
  <c r="O348" i="25"/>
  <c r="N348" i="25"/>
  <c r="M348" i="25"/>
  <c r="L348" i="25"/>
  <c r="K348" i="25"/>
  <c r="AM347" i="25"/>
  <c r="Q347" i="25"/>
  <c r="P347" i="25"/>
  <c r="O347" i="25"/>
  <c r="N347" i="25"/>
  <c r="M347" i="25"/>
  <c r="L347" i="25"/>
  <c r="K347" i="25"/>
  <c r="AM346" i="25"/>
  <c r="Q346" i="25"/>
  <c r="P346" i="25"/>
  <c r="O346" i="25"/>
  <c r="N346" i="25"/>
  <c r="M346" i="25"/>
  <c r="L346" i="25"/>
  <c r="K346" i="25"/>
  <c r="AM345" i="25"/>
  <c r="Q345" i="25"/>
  <c r="P345" i="25"/>
  <c r="O345" i="25"/>
  <c r="N345" i="25"/>
  <c r="M345" i="25"/>
  <c r="L345" i="25"/>
  <c r="K345" i="25"/>
  <c r="AM344" i="25"/>
  <c r="Q344" i="25"/>
  <c r="P344" i="25"/>
  <c r="O344" i="25"/>
  <c r="N344" i="25"/>
  <c r="M344" i="25"/>
  <c r="L344" i="25"/>
  <c r="K344" i="25"/>
  <c r="AM343" i="25"/>
  <c r="Q343" i="25"/>
  <c r="P343" i="25"/>
  <c r="O343" i="25"/>
  <c r="N343" i="25"/>
  <c r="M343" i="25"/>
  <c r="L343" i="25"/>
  <c r="K343" i="25"/>
  <c r="AM342" i="25"/>
  <c r="Q342" i="25"/>
  <c r="P342" i="25"/>
  <c r="O342" i="25"/>
  <c r="N342" i="25"/>
  <c r="M342" i="25"/>
  <c r="L342" i="25"/>
  <c r="K342" i="25"/>
  <c r="AM341" i="25"/>
  <c r="Q341" i="25"/>
  <c r="P341" i="25"/>
  <c r="O341" i="25"/>
  <c r="N341" i="25"/>
  <c r="M341" i="25"/>
  <c r="L341" i="25"/>
  <c r="K341" i="25"/>
  <c r="AM340" i="25"/>
  <c r="Q340" i="25"/>
  <c r="P340" i="25"/>
  <c r="O340" i="25"/>
  <c r="N340" i="25"/>
  <c r="M340" i="25"/>
  <c r="L340" i="25"/>
  <c r="K340" i="25"/>
  <c r="AM339" i="25"/>
  <c r="Q339" i="25"/>
  <c r="P339" i="25"/>
  <c r="O339" i="25"/>
  <c r="N339" i="25"/>
  <c r="M339" i="25"/>
  <c r="L339" i="25"/>
  <c r="K339" i="25"/>
  <c r="AM338" i="25"/>
  <c r="Q338" i="25"/>
  <c r="P338" i="25"/>
  <c r="O338" i="25"/>
  <c r="N338" i="25"/>
  <c r="M338" i="25"/>
  <c r="L338" i="25"/>
  <c r="K338" i="25"/>
  <c r="AM337" i="25"/>
  <c r="Q337" i="25"/>
  <c r="P337" i="25"/>
  <c r="O337" i="25"/>
  <c r="N337" i="25"/>
  <c r="M337" i="25"/>
  <c r="L337" i="25"/>
  <c r="K337" i="25"/>
  <c r="AM336" i="25"/>
  <c r="Q336" i="25"/>
  <c r="P336" i="25"/>
  <c r="O336" i="25"/>
  <c r="N336" i="25"/>
  <c r="M336" i="25"/>
  <c r="L336" i="25"/>
  <c r="K336" i="25"/>
  <c r="AM335" i="25"/>
  <c r="Q335" i="25"/>
  <c r="P335" i="25"/>
  <c r="O335" i="25"/>
  <c r="N335" i="25"/>
  <c r="M335" i="25"/>
  <c r="L335" i="25"/>
  <c r="K335" i="25"/>
  <c r="AM334" i="25"/>
  <c r="Q334" i="25"/>
  <c r="P334" i="25"/>
  <c r="O334" i="25"/>
  <c r="N334" i="25"/>
  <c r="M334" i="25"/>
  <c r="L334" i="25"/>
  <c r="K334" i="25"/>
  <c r="AM333" i="25"/>
  <c r="Q333" i="25"/>
  <c r="P333" i="25"/>
  <c r="O333" i="25"/>
  <c r="N333" i="25"/>
  <c r="M333" i="25"/>
  <c r="L333" i="25"/>
  <c r="K333" i="25"/>
  <c r="AM332" i="25"/>
  <c r="Q332" i="25"/>
  <c r="P332" i="25"/>
  <c r="O332" i="25"/>
  <c r="N332" i="25"/>
  <c r="M332" i="25"/>
  <c r="L332" i="25"/>
  <c r="K332" i="25"/>
  <c r="AM331" i="25"/>
  <c r="Q331" i="25"/>
  <c r="P331" i="25"/>
  <c r="O331" i="25"/>
  <c r="N331" i="25"/>
  <c r="M331" i="25"/>
  <c r="L331" i="25"/>
  <c r="K331" i="25"/>
  <c r="AM330" i="25"/>
  <c r="Q330" i="25"/>
  <c r="P330" i="25"/>
  <c r="O330" i="25"/>
  <c r="N330" i="25"/>
  <c r="M330" i="25"/>
  <c r="L330" i="25"/>
  <c r="K330" i="25"/>
  <c r="AM329" i="25"/>
  <c r="Q329" i="25"/>
  <c r="P329" i="25"/>
  <c r="O329" i="25"/>
  <c r="N329" i="25"/>
  <c r="M329" i="25"/>
  <c r="L329" i="25"/>
  <c r="K329" i="25"/>
  <c r="AM328" i="25"/>
  <c r="Q328" i="25"/>
  <c r="P328" i="25"/>
  <c r="O328" i="25"/>
  <c r="N328" i="25"/>
  <c r="M328" i="25"/>
  <c r="L328" i="25"/>
  <c r="K328" i="25"/>
  <c r="AM327" i="25"/>
  <c r="Q327" i="25"/>
  <c r="P327" i="25"/>
  <c r="O327" i="25"/>
  <c r="N327" i="25"/>
  <c r="M327" i="25"/>
  <c r="L327" i="25"/>
  <c r="K327" i="25"/>
  <c r="S327" i="25" s="1"/>
  <c r="AM326" i="25"/>
  <c r="Q326" i="25"/>
  <c r="P326" i="25"/>
  <c r="O326" i="25"/>
  <c r="N326" i="25"/>
  <c r="M326" i="25"/>
  <c r="L326" i="25"/>
  <c r="K326" i="25"/>
  <c r="S326" i="25" s="1"/>
  <c r="AM325" i="25"/>
  <c r="Q325" i="25"/>
  <c r="P325" i="25"/>
  <c r="O325" i="25"/>
  <c r="N325" i="25"/>
  <c r="M325" i="25"/>
  <c r="L325" i="25"/>
  <c r="K325" i="25"/>
  <c r="AM324" i="25"/>
  <c r="Q324" i="25"/>
  <c r="P324" i="25"/>
  <c r="O324" i="25"/>
  <c r="N324" i="25"/>
  <c r="M324" i="25"/>
  <c r="L324" i="25"/>
  <c r="K324" i="25"/>
  <c r="AM323" i="25"/>
  <c r="Q323" i="25"/>
  <c r="P323" i="25"/>
  <c r="O323" i="25"/>
  <c r="N323" i="25"/>
  <c r="M323" i="25"/>
  <c r="L323" i="25"/>
  <c r="K323" i="25"/>
  <c r="S323" i="25" s="1"/>
  <c r="AM322" i="25"/>
  <c r="Q322" i="25"/>
  <c r="P322" i="25"/>
  <c r="O322" i="25"/>
  <c r="N322" i="25"/>
  <c r="M322" i="25"/>
  <c r="L322" i="25"/>
  <c r="K322" i="25"/>
  <c r="AM321" i="25"/>
  <c r="Q321" i="25"/>
  <c r="P321" i="25"/>
  <c r="O321" i="25"/>
  <c r="N321" i="25"/>
  <c r="M321" i="25"/>
  <c r="L321" i="25"/>
  <c r="K321" i="25"/>
  <c r="AM320" i="25"/>
  <c r="Q320" i="25"/>
  <c r="P320" i="25"/>
  <c r="O320" i="25"/>
  <c r="N320" i="25"/>
  <c r="M320" i="25"/>
  <c r="L320" i="25"/>
  <c r="K320" i="25"/>
  <c r="AM319" i="25"/>
  <c r="Q319" i="25"/>
  <c r="P319" i="25"/>
  <c r="O319" i="25"/>
  <c r="N319" i="25"/>
  <c r="M319" i="25"/>
  <c r="L319" i="25"/>
  <c r="K319" i="25"/>
  <c r="AM318" i="25"/>
  <c r="Q318" i="25"/>
  <c r="P318" i="25"/>
  <c r="O318" i="25"/>
  <c r="N318" i="25"/>
  <c r="M318" i="25"/>
  <c r="L318" i="25"/>
  <c r="K318" i="25"/>
  <c r="AM317" i="25"/>
  <c r="Q317" i="25"/>
  <c r="P317" i="25"/>
  <c r="O317" i="25"/>
  <c r="N317" i="25"/>
  <c r="M317" i="25"/>
  <c r="L317" i="25"/>
  <c r="K317" i="25"/>
  <c r="AM316" i="25"/>
  <c r="Q316" i="25"/>
  <c r="P316" i="25"/>
  <c r="O316" i="25"/>
  <c r="N316" i="25"/>
  <c r="M316" i="25"/>
  <c r="L316" i="25"/>
  <c r="K316" i="25"/>
  <c r="AM315" i="25"/>
  <c r="Q315" i="25"/>
  <c r="P315" i="25"/>
  <c r="O315" i="25"/>
  <c r="N315" i="25"/>
  <c r="M315" i="25"/>
  <c r="L315" i="25"/>
  <c r="K315" i="25"/>
  <c r="AM314" i="25"/>
  <c r="Q314" i="25"/>
  <c r="P314" i="25"/>
  <c r="O314" i="25"/>
  <c r="N314" i="25"/>
  <c r="M314" i="25"/>
  <c r="L314" i="25"/>
  <c r="K314" i="25"/>
  <c r="AM313" i="25"/>
  <c r="Q313" i="25"/>
  <c r="P313" i="25"/>
  <c r="O313" i="25"/>
  <c r="N313" i="25"/>
  <c r="M313" i="25"/>
  <c r="L313" i="25"/>
  <c r="K313" i="25"/>
  <c r="S313" i="25" s="1"/>
  <c r="AM312" i="25"/>
  <c r="Q312" i="25"/>
  <c r="P312" i="25"/>
  <c r="O312" i="25"/>
  <c r="N312" i="25"/>
  <c r="M312" i="25"/>
  <c r="L312" i="25"/>
  <c r="K312" i="25"/>
  <c r="AM311" i="25"/>
  <c r="Q311" i="25"/>
  <c r="P311" i="25"/>
  <c r="O311" i="25"/>
  <c r="N311" i="25"/>
  <c r="M311" i="25"/>
  <c r="L311" i="25"/>
  <c r="K311" i="25"/>
  <c r="AM310" i="25"/>
  <c r="Q310" i="25"/>
  <c r="P310" i="25"/>
  <c r="O310" i="25"/>
  <c r="N310" i="25"/>
  <c r="M310" i="25"/>
  <c r="L310" i="25"/>
  <c r="K310" i="25"/>
  <c r="S310" i="25" s="1"/>
  <c r="AM309" i="25"/>
  <c r="Q309" i="25"/>
  <c r="P309" i="25"/>
  <c r="O309" i="25"/>
  <c r="N309" i="25"/>
  <c r="M309" i="25"/>
  <c r="L309" i="25"/>
  <c r="K309" i="25"/>
  <c r="AM308" i="25"/>
  <c r="Q308" i="25"/>
  <c r="P308" i="25"/>
  <c r="O308" i="25"/>
  <c r="N308" i="25"/>
  <c r="M308" i="25"/>
  <c r="L308" i="25"/>
  <c r="K308" i="25"/>
  <c r="AM307" i="25"/>
  <c r="Q307" i="25"/>
  <c r="P307" i="25"/>
  <c r="O307" i="25"/>
  <c r="N307" i="25"/>
  <c r="M307" i="25"/>
  <c r="L307" i="25"/>
  <c r="K307" i="25"/>
  <c r="AM306" i="25"/>
  <c r="Q306" i="25"/>
  <c r="P306" i="25"/>
  <c r="O306" i="25"/>
  <c r="N306" i="25"/>
  <c r="M306" i="25"/>
  <c r="L306" i="25"/>
  <c r="K306" i="25"/>
  <c r="AM305" i="25"/>
  <c r="Q305" i="25"/>
  <c r="P305" i="25"/>
  <c r="O305" i="25"/>
  <c r="N305" i="25"/>
  <c r="M305" i="25"/>
  <c r="L305" i="25"/>
  <c r="K305" i="25"/>
  <c r="AM304" i="25"/>
  <c r="Q304" i="25"/>
  <c r="P304" i="25"/>
  <c r="O304" i="25"/>
  <c r="N304" i="25"/>
  <c r="M304" i="25"/>
  <c r="L304" i="25"/>
  <c r="K304" i="25"/>
  <c r="AM303" i="25"/>
  <c r="Q303" i="25"/>
  <c r="P303" i="25"/>
  <c r="O303" i="25"/>
  <c r="N303" i="25"/>
  <c r="M303" i="25"/>
  <c r="L303" i="25"/>
  <c r="K303" i="25"/>
  <c r="AM302" i="25"/>
  <c r="Q302" i="25"/>
  <c r="P302" i="25"/>
  <c r="O302" i="25"/>
  <c r="N302" i="25"/>
  <c r="M302" i="25"/>
  <c r="L302" i="25"/>
  <c r="K302" i="25"/>
  <c r="AH302" i="25" s="1"/>
  <c r="AM301" i="25"/>
  <c r="Q301" i="25"/>
  <c r="P301" i="25"/>
  <c r="O301" i="25"/>
  <c r="N301" i="25"/>
  <c r="M301" i="25"/>
  <c r="L301" i="25"/>
  <c r="K301" i="25"/>
  <c r="AM300" i="25"/>
  <c r="Q300" i="25"/>
  <c r="P300" i="25"/>
  <c r="O300" i="25"/>
  <c r="N300" i="25"/>
  <c r="M300" i="25"/>
  <c r="L300" i="25"/>
  <c r="K300" i="25"/>
  <c r="AM299" i="25"/>
  <c r="Q299" i="25"/>
  <c r="P299" i="25"/>
  <c r="O299" i="25"/>
  <c r="N299" i="25"/>
  <c r="M299" i="25"/>
  <c r="L299" i="25"/>
  <c r="K299" i="25"/>
  <c r="AM298" i="25"/>
  <c r="Q298" i="25"/>
  <c r="P298" i="25"/>
  <c r="O298" i="25"/>
  <c r="N298" i="25"/>
  <c r="M298" i="25"/>
  <c r="L298" i="25"/>
  <c r="K298" i="25"/>
  <c r="S298" i="25" s="1"/>
  <c r="AM297" i="25"/>
  <c r="Q297" i="25"/>
  <c r="P297" i="25"/>
  <c r="AH297" i="25" s="1"/>
  <c r="O297" i="25"/>
  <c r="N297" i="25"/>
  <c r="M297" i="25"/>
  <c r="L297" i="25"/>
  <c r="K297" i="25"/>
  <c r="AM296" i="25"/>
  <c r="Q296" i="25"/>
  <c r="P296" i="25"/>
  <c r="O296" i="25"/>
  <c r="N296" i="25"/>
  <c r="M296" i="25"/>
  <c r="L296" i="25"/>
  <c r="K296" i="25"/>
  <c r="AH296" i="25" s="1"/>
  <c r="AM295" i="25"/>
  <c r="Q295" i="25"/>
  <c r="P295" i="25"/>
  <c r="S295" i="25" s="1"/>
  <c r="O295" i="25"/>
  <c r="N295" i="25"/>
  <c r="M295" i="25"/>
  <c r="L295" i="25"/>
  <c r="K295" i="25"/>
  <c r="AM294" i="25"/>
  <c r="Q294" i="25"/>
  <c r="P294" i="25"/>
  <c r="O294" i="25"/>
  <c r="N294" i="25"/>
  <c r="M294" i="25"/>
  <c r="L294" i="25"/>
  <c r="K294" i="25"/>
  <c r="AM293" i="25"/>
  <c r="Q293" i="25"/>
  <c r="P293" i="25"/>
  <c r="O293" i="25"/>
  <c r="N293" i="25"/>
  <c r="M293" i="25"/>
  <c r="L293" i="25"/>
  <c r="K293" i="25"/>
  <c r="AM292" i="25"/>
  <c r="Q292" i="25"/>
  <c r="P292" i="25"/>
  <c r="O292" i="25"/>
  <c r="N292" i="25"/>
  <c r="M292" i="25"/>
  <c r="L292" i="25"/>
  <c r="K292" i="25"/>
  <c r="AM291" i="25"/>
  <c r="Q291" i="25"/>
  <c r="P291" i="25"/>
  <c r="O291" i="25"/>
  <c r="N291" i="25"/>
  <c r="M291" i="25"/>
  <c r="L291" i="25"/>
  <c r="K291" i="25"/>
  <c r="AM290" i="25"/>
  <c r="Q290" i="25"/>
  <c r="P290" i="25"/>
  <c r="O290" i="25"/>
  <c r="N290" i="25"/>
  <c r="M290" i="25"/>
  <c r="L290" i="25"/>
  <c r="K290" i="25"/>
  <c r="AM289" i="25"/>
  <c r="Q289" i="25"/>
  <c r="P289" i="25"/>
  <c r="O289" i="25"/>
  <c r="N289" i="25"/>
  <c r="M289" i="25"/>
  <c r="L289" i="25"/>
  <c r="K289" i="25"/>
  <c r="AM288" i="25"/>
  <c r="Q288" i="25"/>
  <c r="P288" i="25"/>
  <c r="O288" i="25"/>
  <c r="N288" i="25"/>
  <c r="M288" i="25"/>
  <c r="L288" i="25"/>
  <c r="K288" i="25"/>
  <c r="AM287" i="25"/>
  <c r="Q287" i="25"/>
  <c r="P287" i="25"/>
  <c r="O287" i="25"/>
  <c r="N287" i="25"/>
  <c r="M287" i="25"/>
  <c r="L287" i="25"/>
  <c r="K287" i="25"/>
  <c r="AM286" i="25"/>
  <c r="Q286" i="25"/>
  <c r="P286" i="25"/>
  <c r="O286" i="25"/>
  <c r="N286" i="25"/>
  <c r="M286" i="25"/>
  <c r="L286" i="25"/>
  <c r="K286" i="25"/>
  <c r="AM285" i="25"/>
  <c r="Q285" i="25"/>
  <c r="P285" i="25"/>
  <c r="O285" i="25"/>
  <c r="N285" i="25"/>
  <c r="M285" i="25"/>
  <c r="L285" i="25"/>
  <c r="K285" i="25"/>
  <c r="AM284" i="25"/>
  <c r="Q284" i="25"/>
  <c r="P284" i="25"/>
  <c r="O284" i="25"/>
  <c r="N284" i="25"/>
  <c r="M284" i="25"/>
  <c r="L284" i="25"/>
  <c r="K284" i="25"/>
  <c r="AM283" i="25"/>
  <c r="Q283" i="25"/>
  <c r="P283" i="25"/>
  <c r="O283" i="25"/>
  <c r="N283" i="25"/>
  <c r="M283" i="25"/>
  <c r="L283" i="25"/>
  <c r="K283" i="25"/>
  <c r="S283" i="25" s="1"/>
  <c r="AM282" i="25"/>
  <c r="Q282" i="25"/>
  <c r="P282" i="25"/>
  <c r="O282" i="25"/>
  <c r="N282" i="25"/>
  <c r="M282" i="25"/>
  <c r="L282" i="25"/>
  <c r="K282" i="25"/>
  <c r="AM281" i="25"/>
  <c r="Q281" i="25"/>
  <c r="P281" i="25"/>
  <c r="O281" i="25"/>
  <c r="N281" i="25"/>
  <c r="M281" i="25"/>
  <c r="L281" i="25"/>
  <c r="K281" i="25"/>
  <c r="AH281" i="25" s="1"/>
  <c r="AM280" i="25"/>
  <c r="Q280" i="25"/>
  <c r="P280" i="25"/>
  <c r="O280" i="25"/>
  <c r="N280" i="25"/>
  <c r="M280" i="25"/>
  <c r="L280" i="25"/>
  <c r="K280" i="25"/>
  <c r="AM279" i="25"/>
  <c r="Q279" i="25"/>
  <c r="P279" i="25"/>
  <c r="O279" i="25"/>
  <c r="N279" i="25"/>
  <c r="M279" i="25"/>
  <c r="L279" i="25"/>
  <c r="K279" i="25"/>
  <c r="S279" i="25" s="1"/>
  <c r="AM278" i="25"/>
  <c r="Q278" i="25"/>
  <c r="P278" i="25"/>
  <c r="O278" i="25"/>
  <c r="N278" i="25"/>
  <c r="M278" i="25"/>
  <c r="L278" i="25"/>
  <c r="K278" i="25"/>
  <c r="AM277" i="25"/>
  <c r="Q277" i="25"/>
  <c r="P277" i="25"/>
  <c r="O277" i="25"/>
  <c r="N277" i="25"/>
  <c r="M277" i="25"/>
  <c r="L277" i="25"/>
  <c r="K277" i="25"/>
  <c r="AM276" i="25"/>
  <c r="Q276" i="25"/>
  <c r="P276" i="25"/>
  <c r="O276" i="25"/>
  <c r="N276" i="25"/>
  <c r="M276" i="25"/>
  <c r="S276" i="25" s="1"/>
  <c r="L276" i="25"/>
  <c r="K276" i="25"/>
  <c r="AM275" i="25"/>
  <c r="Q275" i="25"/>
  <c r="P275" i="25"/>
  <c r="S275" i="25" s="1"/>
  <c r="O275" i="25"/>
  <c r="N275" i="25"/>
  <c r="M275" i="25"/>
  <c r="L275" i="25"/>
  <c r="K275" i="25"/>
  <c r="AM274" i="25"/>
  <c r="Q274" i="25"/>
  <c r="P274" i="25"/>
  <c r="O274" i="25"/>
  <c r="N274" i="25"/>
  <c r="M274" i="25"/>
  <c r="L274" i="25"/>
  <c r="K274" i="25"/>
  <c r="AM273" i="25"/>
  <c r="Q273" i="25"/>
  <c r="P273" i="25"/>
  <c r="O273" i="25"/>
  <c r="N273" i="25"/>
  <c r="M273" i="25"/>
  <c r="L273" i="25"/>
  <c r="K273" i="25"/>
  <c r="AM272" i="25"/>
  <c r="Q272" i="25"/>
  <c r="P272" i="25"/>
  <c r="O272" i="25"/>
  <c r="N272" i="25"/>
  <c r="M272" i="25"/>
  <c r="L272" i="25"/>
  <c r="K272" i="25"/>
  <c r="AM271" i="25"/>
  <c r="Q271" i="25"/>
  <c r="P271" i="25"/>
  <c r="O271" i="25"/>
  <c r="N271" i="25"/>
  <c r="M271" i="25"/>
  <c r="L271" i="25"/>
  <c r="K271" i="25"/>
  <c r="AM270" i="25"/>
  <c r="Q270" i="25"/>
  <c r="P270" i="25"/>
  <c r="O270" i="25"/>
  <c r="N270" i="25"/>
  <c r="M270" i="25"/>
  <c r="L270" i="25"/>
  <c r="K270" i="25"/>
  <c r="AM269" i="25"/>
  <c r="Q269" i="25"/>
  <c r="P269" i="25"/>
  <c r="O269" i="25"/>
  <c r="N269" i="25"/>
  <c r="M269" i="25"/>
  <c r="L269" i="25"/>
  <c r="K269" i="25"/>
  <c r="AM268" i="25"/>
  <c r="Q268" i="25"/>
  <c r="P268" i="25"/>
  <c r="O268" i="25"/>
  <c r="N268" i="25"/>
  <c r="M268" i="25"/>
  <c r="L268" i="25"/>
  <c r="K268" i="25"/>
  <c r="AM267" i="25"/>
  <c r="Q267" i="25"/>
  <c r="P267" i="25"/>
  <c r="O267" i="25"/>
  <c r="N267" i="25"/>
  <c r="M267" i="25"/>
  <c r="L267" i="25"/>
  <c r="K267" i="25"/>
  <c r="AM266" i="25"/>
  <c r="Q266" i="25"/>
  <c r="P266" i="25"/>
  <c r="O266" i="25"/>
  <c r="N266" i="25"/>
  <c r="M266" i="25"/>
  <c r="L266" i="25"/>
  <c r="K266" i="25"/>
  <c r="AM265" i="25"/>
  <c r="Q265" i="25"/>
  <c r="P265" i="25"/>
  <c r="O265" i="25"/>
  <c r="N265" i="25"/>
  <c r="M265" i="25"/>
  <c r="L265" i="25"/>
  <c r="K265" i="25"/>
  <c r="AM264" i="25"/>
  <c r="Q264" i="25"/>
  <c r="P264" i="25"/>
  <c r="O264" i="25"/>
  <c r="N264" i="25"/>
  <c r="M264" i="25"/>
  <c r="L264" i="25"/>
  <c r="K264" i="25"/>
  <c r="AM263" i="25"/>
  <c r="Q263" i="25"/>
  <c r="P263" i="25"/>
  <c r="O263" i="25"/>
  <c r="N263" i="25"/>
  <c r="M263" i="25"/>
  <c r="L263" i="25"/>
  <c r="K263" i="25"/>
  <c r="AM262" i="25"/>
  <c r="Q262" i="25"/>
  <c r="P262" i="25"/>
  <c r="O262" i="25"/>
  <c r="N262" i="25"/>
  <c r="M262" i="25"/>
  <c r="L262" i="25"/>
  <c r="K262" i="25"/>
  <c r="AM261" i="25"/>
  <c r="Q261" i="25"/>
  <c r="P261" i="25"/>
  <c r="O261" i="25"/>
  <c r="N261" i="25"/>
  <c r="M261" i="25"/>
  <c r="L261" i="25"/>
  <c r="K261" i="25"/>
  <c r="AM260" i="25"/>
  <c r="Q260" i="25"/>
  <c r="P260" i="25"/>
  <c r="O260" i="25"/>
  <c r="S260" i="25" s="1"/>
  <c r="N260" i="25"/>
  <c r="M260" i="25"/>
  <c r="L260" i="25"/>
  <c r="K260" i="25"/>
  <c r="AM259" i="25"/>
  <c r="Q259" i="25"/>
  <c r="P259" i="25"/>
  <c r="O259" i="25"/>
  <c r="N259" i="25"/>
  <c r="M259" i="25"/>
  <c r="L259" i="25"/>
  <c r="K259" i="25"/>
  <c r="AM258" i="25"/>
  <c r="Q258" i="25"/>
  <c r="P258" i="25"/>
  <c r="O258" i="25"/>
  <c r="N258" i="25"/>
  <c r="M258" i="25"/>
  <c r="L258" i="25"/>
  <c r="K258" i="25"/>
  <c r="AM257" i="25"/>
  <c r="Q257" i="25"/>
  <c r="P257" i="25"/>
  <c r="O257" i="25"/>
  <c r="N257" i="25"/>
  <c r="M257" i="25"/>
  <c r="L257" i="25"/>
  <c r="K257" i="25"/>
  <c r="AM256" i="25"/>
  <c r="Q256" i="25"/>
  <c r="P256" i="25"/>
  <c r="O256" i="25"/>
  <c r="N256" i="25"/>
  <c r="M256" i="25"/>
  <c r="L256" i="25"/>
  <c r="K256" i="25"/>
  <c r="AM255" i="25"/>
  <c r="Q255" i="25"/>
  <c r="P255" i="25"/>
  <c r="O255" i="25"/>
  <c r="N255" i="25"/>
  <c r="M255" i="25"/>
  <c r="L255" i="25"/>
  <c r="K255" i="25"/>
  <c r="AM254" i="25"/>
  <c r="Q254" i="25"/>
  <c r="P254" i="25"/>
  <c r="O254" i="25"/>
  <c r="N254" i="25"/>
  <c r="M254" i="25"/>
  <c r="L254" i="25"/>
  <c r="K254" i="25"/>
  <c r="AM253" i="25"/>
  <c r="Q253" i="25"/>
  <c r="P253" i="25"/>
  <c r="O253" i="25"/>
  <c r="N253" i="25"/>
  <c r="M253" i="25"/>
  <c r="L253" i="25"/>
  <c r="K253" i="25"/>
  <c r="AM252" i="25"/>
  <c r="Q252" i="25"/>
  <c r="P252" i="25"/>
  <c r="O252" i="25"/>
  <c r="N252" i="25"/>
  <c r="M252" i="25"/>
  <c r="L252" i="25"/>
  <c r="K252" i="25"/>
  <c r="AM251" i="25"/>
  <c r="Q251" i="25"/>
  <c r="P251" i="25"/>
  <c r="O251" i="25"/>
  <c r="N251" i="25"/>
  <c r="M251" i="25"/>
  <c r="L251" i="25"/>
  <c r="K251" i="25"/>
  <c r="AM250" i="25"/>
  <c r="Q250" i="25"/>
  <c r="P250" i="25"/>
  <c r="O250" i="25"/>
  <c r="N250" i="25"/>
  <c r="M250" i="25"/>
  <c r="L250" i="25"/>
  <c r="K250" i="25"/>
  <c r="AM249" i="25"/>
  <c r="Q249" i="25"/>
  <c r="P249" i="25"/>
  <c r="O249" i="25"/>
  <c r="N249" i="25"/>
  <c r="M249" i="25"/>
  <c r="L249" i="25"/>
  <c r="K249" i="25"/>
  <c r="AM248" i="25"/>
  <c r="Q248" i="25"/>
  <c r="P248" i="25"/>
  <c r="O248" i="25"/>
  <c r="N248" i="25"/>
  <c r="M248" i="25"/>
  <c r="L248" i="25"/>
  <c r="K248" i="25"/>
  <c r="AM247" i="25"/>
  <c r="Q247" i="25"/>
  <c r="P247" i="25"/>
  <c r="O247" i="25"/>
  <c r="N247" i="25"/>
  <c r="M247" i="25"/>
  <c r="L247" i="25"/>
  <c r="K247" i="25"/>
  <c r="AM246" i="25"/>
  <c r="Q246" i="25"/>
  <c r="P246" i="25"/>
  <c r="O246" i="25"/>
  <c r="N246" i="25"/>
  <c r="M246" i="25"/>
  <c r="L246" i="25"/>
  <c r="K246" i="25"/>
  <c r="AM245" i="25"/>
  <c r="Q245" i="25"/>
  <c r="P245" i="25"/>
  <c r="O245" i="25"/>
  <c r="N245" i="25"/>
  <c r="M245" i="25"/>
  <c r="L245" i="25"/>
  <c r="K245" i="25"/>
  <c r="AM244" i="25"/>
  <c r="Q244" i="25"/>
  <c r="P244" i="25"/>
  <c r="O244" i="25"/>
  <c r="N244" i="25"/>
  <c r="M244" i="25"/>
  <c r="L244" i="25"/>
  <c r="K244" i="25"/>
  <c r="AM243" i="25"/>
  <c r="Q243" i="25"/>
  <c r="P243" i="25"/>
  <c r="O243" i="25"/>
  <c r="N243" i="25"/>
  <c r="M243" i="25"/>
  <c r="L243" i="25"/>
  <c r="K243" i="25"/>
  <c r="AM242" i="25"/>
  <c r="Q242" i="25"/>
  <c r="P242" i="25"/>
  <c r="O242" i="25"/>
  <c r="N242" i="25"/>
  <c r="M242" i="25"/>
  <c r="L242" i="25"/>
  <c r="K242" i="25"/>
  <c r="AM241" i="25"/>
  <c r="Q241" i="25"/>
  <c r="P241" i="25"/>
  <c r="O241" i="25"/>
  <c r="N241" i="25"/>
  <c r="M241" i="25"/>
  <c r="L241" i="25"/>
  <c r="K241" i="25"/>
  <c r="AM240" i="25"/>
  <c r="Q240" i="25"/>
  <c r="P240" i="25"/>
  <c r="O240" i="25"/>
  <c r="N240" i="25"/>
  <c r="M240" i="25"/>
  <c r="L240" i="25"/>
  <c r="K240" i="25"/>
  <c r="AM239" i="25"/>
  <c r="Q239" i="25"/>
  <c r="P239" i="25"/>
  <c r="O239" i="25"/>
  <c r="N239" i="25"/>
  <c r="M239" i="25"/>
  <c r="L239" i="25"/>
  <c r="K239" i="25"/>
  <c r="AM238" i="25"/>
  <c r="Q238" i="25"/>
  <c r="P238" i="25"/>
  <c r="O238" i="25"/>
  <c r="N238" i="25"/>
  <c r="M238" i="25"/>
  <c r="L238" i="25"/>
  <c r="K238" i="25"/>
  <c r="AM237" i="25"/>
  <c r="Q237" i="25"/>
  <c r="P237" i="25"/>
  <c r="O237" i="25"/>
  <c r="N237" i="25"/>
  <c r="M237" i="25"/>
  <c r="L237" i="25"/>
  <c r="K237" i="25"/>
  <c r="AM236" i="25"/>
  <c r="Q236" i="25"/>
  <c r="P236" i="25"/>
  <c r="O236" i="25"/>
  <c r="N236" i="25"/>
  <c r="M236" i="25"/>
  <c r="L236" i="25"/>
  <c r="K236" i="25"/>
  <c r="AM235" i="25"/>
  <c r="Q235" i="25"/>
  <c r="P235" i="25"/>
  <c r="O235" i="25"/>
  <c r="N235" i="25"/>
  <c r="M235" i="25"/>
  <c r="L235" i="25"/>
  <c r="K235" i="25"/>
  <c r="AM234" i="25"/>
  <c r="Q234" i="25"/>
  <c r="P234" i="25"/>
  <c r="O234" i="25"/>
  <c r="N234" i="25"/>
  <c r="M234" i="25"/>
  <c r="L234" i="25"/>
  <c r="K234" i="25"/>
  <c r="AM233" i="25"/>
  <c r="Q233" i="25"/>
  <c r="P233" i="25"/>
  <c r="O233" i="25"/>
  <c r="N233" i="25"/>
  <c r="M233" i="25"/>
  <c r="L233" i="25"/>
  <c r="K233" i="25"/>
  <c r="AM232" i="25"/>
  <c r="Q232" i="25"/>
  <c r="P232" i="25"/>
  <c r="O232" i="25"/>
  <c r="N232" i="25"/>
  <c r="M232" i="25"/>
  <c r="L232" i="25"/>
  <c r="K232" i="25"/>
  <c r="AM231" i="25"/>
  <c r="Q231" i="25"/>
  <c r="P231" i="25"/>
  <c r="O231" i="25"/>
  <c r="N231" i="25"/>
  <c r="M231" i="25"/>
  <c r="L231" i="25"/>
  <c r="K231" i="25"/>
  <c r="AM230" i="25"/>
  <c r="Q230" i="25"/>
  <c r="P230" i="25"/>
  <c r="O230" i="25"/>
  <c r="N230" i="25"/>
  <c r="M230" i="25"/>
  <c r="L230" i="25"/>
  <c r="K230" i="25"/>
  <c r="AM229" i="25"/>
  <c r="Q229" i="25"/>
  <c r="P229" i="25"/>
  <c r="O229" i="25"/>
  <c r="N229" i="25"/>
  <c r="M229" i="25"/>
  <c r="L229" i="25"/>
  <c r="K229" i="25"/>
  <c r="AM228" i="25"/>
  <c r="Q228" i="25"/>
  <c r="P228" i="25"/>
  <c r="O228" i="25"/>
  <c r="N228" i="25"/>
  <c r="M228" i="25"/>
  <c r="L228" i="25"/>
  <c r="K228" i="25"/>
  <c r="AM227" i="25"/>
  <c r="Q227" i="25"/>
  <c r="P227" i="25"/>
  <c r="O227" i="25"/>
  <c r="N227" i="25"/>
  <c r="M227" i="25"/>
  <c r="L227" i="25"/>
  <c r="K227" i="25"/>
  <c r="AM226" i="25"/>
  <c r="Q226" i="25"/>
  <c r="P226" i="25"/>
  <c r="O226" i="25"/>
  <c r="N226" i="25"/>
  <c r="M226" i="25"/>
  <c r="L226" i="25"/>
  <c r="K226" i="25"/>
  <c r="AM225" i="25"/>
  <c r="Q225" i="25"/>
  <c r="P225" i="25"/>
  <c r="O225" i="25"/>
  <c r="N225" i="25"/>
  <c r="M225" i="25"/>
  <c r="L225" i="25"/>
  <c r="K225" i="25"/>
  <c r="AM224" i="25"/>
  <c r="Q224" i="25"/>
  <c r="P224" i="25"/>
  <c r="O224" i="25"/>
  <c r="N224" i="25"/>
  <c r="M224" i="25"/>
  <c r="AH224" i="25" s="1"/>
  <c r="L224" i="25"/>
  <c r="K224" i="25"/>
  <c r="AM223" i="25"/>
  <c r="Q223" i="25"/>
  <c r="P223" i="25"/>
  <c r="O223" i="25"/>
  <c r="N223" i="25"/>
  <c r="M223" i="25"/>
  <c r="L223" i="25"/>
  <c r="K223" i="25"/>
  <c r="AM222" i="25"/>
  <c r="Q222" i="25"/>
  <c r="P222" i="25"/>
  <c r="O222" i="25"/>
  <c r="N222" i="25"/>
  <c r="M222" i="25"/>
  <c r="L222" i="25"/>
  <c r="K222" i="25"/>
  <c r="AM221" i="25"/>
  <c r="Q221" i="25"/>
  <c r="P221" i="25"/>
  <c r="O221" i="25"/>
  <c r="N221" i="25"/>
  <c r="M221" i="25"/>
  <c r="L221" i="25"/>
  <c r="K221" i="25"/>
  <c r="AM220" i="25"/>
  <c r="Q220" i="25"/>
  <c r="P220" i="25"/>
  <c r="O220" i="25"/>
  <c r="N220" i="25"/>
  <c r="M220" i="25"/>
  <c r="L220" i="25"/>
  <c r="K220" i="25"/>
  <c r="AM219" i="25"/>
  <c r="Q219" i="25"/>
  <c r="P219" i="25"/>
  <c r="O219" i="25"/>
  <c r="N219" i="25"/>
  <c r="M219" i="25"/>
  <c r="L219" i="25"/>
  <c r="K219" i="25"/>
  <c r="AH219" i="25" s="1"/>
  <c r="AM218" i="25"/>
  <c r="Q218" i="25"/>
  <c r="P218" i="25"/>
  <c r="O218" i="25"/>
  <c r="N218" i="25"/>
  <c r="M218" i="25"/>
  <c r="L218" i="25"/>
  <c r="K218" i="25"/>
  <c r="AM217" i="25"/>
  <c r="Q217" i="25"/>
  <c r="P217" i="25"/>
  <c r="O217" i="25"/>
  <c r="N217" i="25"/>
  <c r="M217" i="25"/>
  <c r="L217" i="25"/>
  <c r="K217" i="25"/>
  <c r="AM216" i="25"/>
  <c r="Q216" i="25"/>
  <c r="P216" i="25"/>
  <c r="O216" i="25"/>
  <c r="N216" i="25"/>
  <c r="M216" i="25"/>
  <c r="L216" i="25"/>
  <c r="K216" i="25"/>
  <c r="AH216" i="25" s="1"/>
  <c r="AM215" i="25"/>
  <c r="Q215" i="25"/>
  <c r="P215" i="25"/>
  <c r="O215" i="25"/>
  <c r="N215" i="25"/>
  <c r="M215" i="25"/>
  <c r="L215" i="25"/>
  <c r="K215" i="25"/>
  <c r="AH215" i="25" s="1"/>
  <c r="AM214" i="25"/>
  <c r="Q214" i="25"/>
  <c r="P214" i="25"/>
  <c r="O214" i="25"/>
  <c r="N214" i="25"/>
  <c r="M214" i="25"/>
  <c r="L214" i="25"/>
  <c r="K214" i="25"/>
  <c r="AM213" i="25"/>
  <c r="Q213" i="25"/>
  <c r="P213" i="25"/>
  <c r="O213" i="25"/>
  <c r="N213" i="25"/>
  <c r="M213" i="25"/>
  <c r="L213" i="25"/>
  <c r="K213" i="25"/>
  <c r="AM212" i="25"/>
  <c r="Q212" i="25"/>
  <c r="P212" i="25"/>
  <c r="O212" i="25"/>
  <c r="N212" i="25"/>
  <c r="M212" i="25"/>
  <c r="L212" i="25"/>
  <c r="K212" i="25"/>
  <c r="AM211" i="25"/>
  <c r="Q211" i="25"/>
  <c r="P211" i="25"/>
  <c r="O211" i="25"/>
  <c r="N211" i="25"/>
  <c r="M211" i="25"/>
  <c r="L211" i="25"/>
  <c r="K211" i="25"/>
  <c r="AM210" i="25"/>
  <c r="Q210" i="25"/>
  <c r="P210" i="25"/>
  <c r="O210" i="25"/>
  <c r="N210" i="25"/>
  <c r="M210" i="25"/>
  <c r="L210" i="25"/>
  <c r="K210" i="25"/>
  <c r="AM209" i="25"/>
  <c r="Q209" i="25"/>
  <c r="P209" i="25"/>
  <c r="O209" i="25"/>
  <c r="N209" i="25"/>
  <c r="M209" i="25"/>
  <c r="L209" i="25"/>
  <c r="K209" i="25"/>
  <c r="AM208" i="25"/>
  <c r="Q208" i="25"/>
  <c r="P208" i="25"/>
  <c r="O208" i="25"/>
  <c r="N208" i="25"/>
  <c r="M208" i="25"/>
  <c r="L208" i="25"/>
  <c r="K208" i="25"/>
  <c r="AM207" i="25"/>
  <c r="Q207" i="25"/>
  <c r="P207" i="25"/>
  <c r="O207" i="25"/>
  <c r="N207" i="25"/>
  <c r="M207" i="25"/>
  <c r="L207" i="25"/>
  <c r="S207" i="25" s="1"/>
  <c r="K207" i="25"/>
  <c r="AM206" i="25"/>
  <c r="Q206" i="25"/>
  <c r="P206" i="25"/>
  <c r="O206" i="25"/>
  <c r="N206" i="25"/>
  <c r="M206" i="25"/>
  <c r="L206" i="25"/>
  <c r="K206" i="25"/>
  <c r="AH206" i="25" s="1"/>
  <c r="AM205" i="25"/>
  <c r="Q205" i="25"/>
  <c r="P205" i="25"/>
  <c r="O205" i="25"/>
  <c r="N205" i="25"/>
  <c r="M205" i="25"/>
  <c r="L205" i="25"/>
  <c r="K205" i="25"/>
  <c r="S205" i="25" s="1"/>
  <c r="AM204" i="25"/>
  <c r="Q204" i="25"/>
  <c r="P204" i="25"/>
  <c r="O204" i="25"/>
  <c r="N204" i="25"/>
  <c r="M204" i="25"/>
  <c r="L204" i="25"/>
  <c r="K204" i="25"/>
  <c r="AM203" i="25"/>
  <c r="Q203" i="25"/>
  <c r="P203" i="25"/>
  <c r="O203" i="25"/>
  <c r="N203" i="25"/>
  <c r="M203" i="25"/>
  <c r="L203" i="25"/>
  <c r="K203" i="25"/>
  <c r="AM202" i="25"/>
  <c r="Q202" i="25"/>
  <c r="P202" i="25"/>
  <c r="O202" i="25"/>
  <c r="N202" i="25"/>
  <c r="M202" i="25"/>
  <c r="L202" i="25"/>
  <c r="K202" i="25"/>
  <c r="AM201" i="25"/>
  <c r="Q201" i="25"/>
  <c r="P201" i="25"/>
  <c r="O201" i="25"/>
  <c r="N201" i="25"/>
  <c r="M201" i="25"/>
  <c r="L201" i="25"/>
  <c r="K201" i="25"/>
  <c r="AM200" i="25"/>
  <c r="Q200" i="25"/>
  <c r="P200" i="25"/>
  <c r="O200" i="25"/>
  <c r="N200" i="25"/>
  <c r="M200" i="25"/>
  <c r="L200" i="25"/>
  <c r="K200" i="25"/>
  <c r="AM199" i="25"/>
  <c r="Q199" i="25"/>
  <c r="P199" i="25"/>
  <c r="O199" i="25"/>
  <c r="N199" i="25"/>
  <c r="M199" i="25"/>
  <c r="AH199" i="25" s="1"/>
  <c r="L199" i="25"/>
  <c r="K199" i="25"/>
  <c r="AM198" i="25"/>
  <c r="Q198" i="25"/>
  <c r="P198" i="25"/>
  <c r="O198" i="25"/>
  <c r="N198" i="25"/>
  <c r="M198" i="25"/>
  <c r="L198" i="25"/>
  <c r="K198" i="25"/>
  <c r="AM197" i="25"/>
  <c r="Q197" i="25"/>
  <c r="P197" i="25"/>
  <c r="O197" i="25"/>
  <c r="N197" i="25"/>
  <c r="M197" i="25"/>
  <c r="L197" i="25"/>
  <c r="K197" i="25"/>
  <c r="AM196" i="25"/>
  <c r="Q196" i="25"/>
  <c r="P196" i="25"/>
  <c r="O196" i="25"/>
  <c r="N196" i="25"/>
  <c r="M196" i="25"/>
  <c r="L196" i="25"/>
  <c r="K196" i="25"/>
  <c r="S196" i="25" s="1"/>
  <c r="AM195" i="25"/>
  <c r="Q195" i="25"/>
  <c r="P195" i="25"/>
  <c r="O195" i="25"/>
  <c r="N195" i="25"/>
  <c r="M195" i="25"/>
  <c r="L195" i="25"/>
  <c r="K195" i="25"/>
  <c r="AM194" i="25"/>
  <c r="Q194" i="25"/>
  <c r="P194" i="25"/>
  <c r="O194" i="25"/>
  <c r="N194" i="25"/>
  <c r="M194" i="25"/>
  <c r="L194" i="25"/>
  <c r="K194" i="25"/>
  <c r="AM193" i="25"/>
  <c r="Q193" i="25"/>
  <c r="P193" i="25"/>
  <c r="O193" i="25"/>
  <c r="N193" i="25"/>
  <c r="M193" i="25"/>
  <c r="S193" i="25" s="1"/>
  <c r="L193" i="25"/>
  <c r="K193" i="25"/>
  <c r="AM192" i="25"/>
  <c r="Q192" i="25"/>
  <c r="P192" i="25"/>
  <c r="O192" i="25"/>
  <c r="N192" i="25"/>
  <c r="M192" i="25"/>
  <c r="L192" i="25"/>
  <c r="K192" i="25"/>
  <c r="AM191" i="25"/>
  <c r="Q191" i="25"/>
  <c r="P191" i="25"/>
  <c r="O191" i="25"/>
  <c r="N191" i="25"/>
  <c r="M191" i="25"/>
  <c r="L191" i="25"/>
  <c r="K191" i="25"/>
  <c r="AM190" i="25"/>
  <c r="Q190" i="25"/>
  <c r="P190" i="25"/>
  <c r="O190" i="25"/>
  <c r="N190" i="25"/>
  <c r="M190" i="25"/>
  <c r="L190" i="25"/>
  <c r="K190" i="25"/>
  <c r="AM189" i="25"/>
  <c r="Q189" i="25"/>
  <c r="P189" i="25"/>
  <c r="O189" i="25"/>
  <c r="N189" i="25"/>
  <c r="M189" i="25"/>
  <c r="AH189" i="25" s="1"/>
  <c r="L189" i="25"/>
  <c r="K189" i="25"/>
  <c r="S189" i="25" s="1"/>
  <c r="AM188" i="25"/>
  <c r="Q188" i="25"/>
  <c r="P188" i="25"/>
  <c r="O188" i="25"/>
  <c r="N188" i="25"/>
  <c r="M188" i="25"/>
  <c r="L188" i="25"/>
  <c r="K188" i="25"/>
  <c r="AM187" i="25"/>
  <c r="Q187" i="25"/>
  <c r="P187" i="25"/>
  <c r="AH187" i="25" s="1"/>
  <c r="O187" i="25"/>
  <c r="N187" i="25"/>
  <c r="M187" i="25"/>
  <c r="S187" i="25" s="1"/>
  <c r="L187" i="25"/>
  <c r="K187" i="25"/>
  <c r="AM186" i="25"/>
  <c r="Q186" i="25"/>
  <c r="P186" i="25"/>
  <c r="O186" i="25"/>
  <c r="N186" i="25"/>
  <c r="M186" i="25"/>
  <c r="L186" i="25"/>
  <c r="K186" i="25"/>
  <c r="AM185" i="25"/>
  <c r="Q185" i="25"/>
  <c r="P185" i="25"/>
  <c r="O185" i="25"/>
  <c r="N185" i="25"/>
  <c r="M185" i="25"/>
  <c r="L185" i="25"/>
  <c r="K185" i="25"/>
  <c r="AM184" i="25"/>
  <c r="Q184" i="25"/>
  <c r="P184" i="25"/>
  <c r="O184" i="25"/>
  <c r="N184" i="25"/>
  <c r="M184" i="25"/>
  <c r="L184" i="25"/>
  <c r="K184" i="25"/>
  <c r="AM183" i="25"/>
  <c r="Q183" i="25"/>
  <c r="P183" i="25"/>
  <c r="AH183" i="25" s="1"/>
  <c r="O183" i="25"/>
  <c r="N183" i="25"/>
  <c r="M183" i="25"/>
  <c r="L183" i="25"/>
  <c r="K183" i="25"/>
  <c r="AM182" i="25"/>
  <c r="Q182" i="25"/>
  <c r="P182" i="25"/>
  <c r="O182" i="25"/>
  <c r="N182" i="25"/>
  <c r="M182" i="25"/>
  <c r="L182" i="25"/>
  <c r="K182" i="25"/>
  <c r="AM181" i="25"/>
  <c r="Q181" i="25"/>
  <c r="P181" i="25"/>
  <c r="O181" i="25"/>
  <c r="N181" i="25"/>
  <c r="M181" i="25"/>
  <c r="L181" i="25"/>
  <c r="K181" i="25"/>
  <c r="AM180" i="25"/>
  <c r="Q180" i="25"/>
  <c r="P180" i="25"/>
  <c r="O180" i="25"/>
  <c r="N180" i="25"/>
  <c r="M180" i="25"/>
  <c r="L180" i="25"/>
  <c r="K180" i="25"/>
  <c r="AM179" i="25"/>
  <c r="Q179" i="25"/>
  <c r="P179" i="25"/>
  <c r="O179" i="25"/>
  <c r="N179" i="25"/>
  <c r="M179" i="25"/>
  <c r="L179" i="25"/>
  <c r="K179" i="25"/>
  <c r="AM178" i="25"/>
  <c r="Q178" i="25"/>
  <c r="P178" i="25"/>
  <c r="O178" i="25"/>
  <c r="N178" i="25"/>
  <c r="M178" i="25"/>
  <c r="L178" i="25"/>
  <c r="K178" i="25"/>
  <c r="AM177" i="25"/>
  <c r="Q177" i="25"/>
  <c r="P177" i="25"/>
  <c r="O177" i="25"/>
  <c r="N177" i="25"/>
  <c r="M177" i="25"/>
  <c r="L177" i="25"/>
  <c r="K177" i="25"/>
  <c r="AM176" i="25"/>
  <c r="Q176" i="25"/>
  <c r="P176" i="25"/>
  <c r="O176" i="25"/>
  <c r="N176" i="25"/>
  <c r="M176" i="25"/>
  <c r="L176" i="25"/>
  <c r="K176" i="25"/>
  <c r="AM175" i="25"/>
  <c r="Q175" i="25"/>
  <c r="P175" i="25"/>
  <c r="O175" i="25"/>
  <c r="N175" i="25"/>
  <c r="M175" i="25"/>
  <c r="L175" i="25"/>
  <c r="K175" i="25"/>
  <c r="AM174" i="25"/>
  <c r="Q174" i="25"/>
  <c r="P174" i="25"/>
  <c r="O174" i="25"/>
  <c r="N174" i="25"/>
  <c r="M174" i="25"/>
  <c r="L174" i="25"/>
  <c r="K174" i="25"/>
  <c r="AM173" i="25"/>
  <c r="Q173" i="25"/>
  <c r="P173" i="25"/>
  <c r="O173" i="25"/>
  <c r="N173" i="25"/>
  <c r="M173" i="25"/>
  <c r="L173" i="25"/>
  <c r="K173" i="25"/>
  <c r="AM172" i="25"/>
  <c r="Q172" i="25"/>
  <c r="P172" i="25"/>
  <c r="O172" i="25"/>
  <c r="N172" i="25"/>
  <c r="M172" i="25"/>
  <c r="L172" i="25"/>
  <c r="K172" i="25"/>
  <c r="AM171" i="25"/>
  <c r="Q171" i="25"/>
  <c r="P171" i="25"/>
  <c r="O171" i="25"/>
  <c r="N171" i="25"/>
  <c r="M171" i="25"/>
  <c r="L171" i="25"/>
  <c r="K171" i="25"/>
  <c r="AM170" i="25"/>
  <c r="Q170" i="25"/>
  <c r="P170" i="25"/>
  <c r="O170" i="25"/>
  <c r="N170" i="25"/>
  <c r="M170" i="25"/>
  <c r="L170" i="25"/>
  <c r="K170" i="25"/>
  <c r="AM169" i="25"/>
  <c r="Q169" i="25"/>
  <c r="P169" i="25"/>
  <c r="O169" i="25"/>
  <c r="N169" i="25"/>
  <c r="M169" i="25"/>
  <c r="L169" i="25"/>
  <c r="K169" i="25"/>
  <c r="AM168" i="25"/>
  <c r="Q168" i="25"/>
  <c r="P168" i="25"/>
  <c r="O168" i="25"/>
  <c r="N168" i="25"/>
  <c r="M168" i="25"/>
  <c r="L168" i="25"/>
  <c r="K168" i="25"/>
  <c r="AM167" i="25"/>
  <c r="Q167" i="25"/>
  <c r="P167" i="25"/>
  <c r="O167" i="25"/>
  <c r="N167" i="25"/>
  <c r="M167" i="25"/>
  <c r="S167" i="25" s="1"/>
  <c r="L167" i="25"/>
  <c r="K167" i="25"/>
  <c r="AM166" i="25"/>
  <c r="Q166" i="25"/>
  <c r="P166" i="25"/>
  <c r="O166" i="25"/>
  <c r="N166" i="25"/>
  <c r="M166" i="25"/>
  <c r="L166" i="25"/>
  <c r="K166" i="25"/>
  <c r="AM165" i="25"/>
  <c r="Q165" i="25"/>
  <c r="P165" i="25"/>
  <c r="O165" i="25"/>
  <c r="N165" i="25"/>
  <c r="M165" i="25"/>
  <c r="L165" i="25"/>
  <c r="K165" i="25"/>
  <c r="AM164" i="25"/>
  <c r="Q164" i="25"/>
  <c r="P164" i="25"/>
  <c r="O164" i="25"/>
  <c r="N164" i="25"/>
  <c r="M164" i="25"/>
  <c r="L164" i="25"/>
  <c r="K164" i="25"/>
  <c r="S164" i="25" s="1"/>
  <c r="AM163" i="25"/>
  <c r="Q163" i="25"/>
  <c r="P163" i="25"/>
  <c r="O163" i="25"/>
  <c r="N163" i="25"/>
  <c r="M163" i="25"/>
  <c r="L163" i="25"/>
  <c r="K163" i="25"/>
  <c r="AM162" i="25"/>
  <c r="Q162" i="25"/>
  <c r="P162" i="25"/>
  <c r="O162" i="25"/>
  <c r="N162" i="25"/>
  <c r="M162" i="25"/>
  <c r="L162" i="25"/>
  <c r="K162" i="25"/>
  <c r="AM161" i="25"/>
  <c r="Q161" i="25"/>
  <c r="P161" i="25"/>
  <c r="O161" i="25"/>
  <c r="N161" i="25"/>
  <c r="M161" i="25"/>
  <c r="L161" i="25"/>
  <c r="K161" i="25"/>
  <c r="AM160" i="25"/>
  <c r="Q160" i="25"/>
  <c r="P160" i="25"/>
  <c r="O160" i="25"/>
  <c r="N160" i="25"/>
  <c r="M160" i="25"/>
  <c r="L160" i="25"/>
  <c r="K160" i="25"/>
  <c r="AM159" i="25"/>
  <c r="Q159" i="25"/>
  <c r="P159" i="25"/>
  <c r="O159" i="25"/>
  <c r="N159" i="25"/>
  <c r="M159" i="25"/>
  <c r="L159" i="25"/>
  <c r="K159" i="25"/>
  <c r="AM158" i="25"/>
  <c r="Q158" i="25"/>
  <c r="P158" i="25"/>
  <c r="O158" i="25"/>
  <c r="N158" i="25"/>
  <c r="M158" i="25"/>
  <c r="L158" i="25"/>
  <c r="K158" i="25"/>
  <c r="AM157" i="25"/>
  <c r="Q157" i="25"/>
  <c r="P157" i="25"/>
  <c r="O157" i="25"/>
  <c r="N157" i="25"/>
  <c r="M157" i="25"/>
  <c r="L157" i="25"/>
  <c r="K157" i="25"/>
  <c r="AM156" i="25"/>
  <c r="Q156" i="25"/>
  <c r="P156" i="25"/>
  <c r="AH156" i="25" s="1"/>
  <c r="O156" i="25"/>
  <c r="N156" i="25"/>
  <c r="M156" i="25"/>
  <c r="L156" i="25"/>
  <c r="K156" i="25"/>
  <c r="AM155" i="25"/>
  <c r="Q155" i="25"/>
  <c r="P155" i="25"/>
  <c r="O155" i="25"/>
  <c r="N155" i="25"/>
  <c r="M155" i="25"/>
  <c r="L155" i="25"/>
  <c r="K155" i="25"/>
  <c r="AM154" i="25"/>
  <c r="Q154" i="25"/>
  <c r="P154" i="25"/>
  <c r="O154" i="25"/>
  <c r="N154" i="25"/>
  <c r="M154" i="25"/>
  <c r="L154" i="25"/>
  <c r="K154" i="25"/>
  <c r="AM153" i="25"/>
  <c r="Q153" i="25"/>
  <c r="P153" i="25"/>
  <c r="O153" i="25"/>
  <c r="N153" i="25"/>
  <c r="M153" i="25"/>
  <c r="L153" i="25"/>
  <c r="K153" i="25"/>
  <c r="AM152" i="25"/>
  <c r="Q152" i="25"/>
  <c r="P152" i="25"/>
  <c r="S152" i="25" s="1"/>
  <c r="O152" i="25"/>
  <c r="N152" i="25"/>
  <c r="M152" i="25"/>
  <c r="L152" i="25"/>
  <c r="K152" i="25"/>
  <c r="AM151" i="25"/>
  <c r="Q151" i="25"/>
  <c r="P151" i="25"/>
  <c r="O151" i="25"/>
  <c r="N151" i="25"/>
  <c r="M151" i="25"/>
  <c r="L151" i="25"/>
  <c r="K151" i="25"/>
  <c r="AM150" i="25"/>
  <c r="Q150" i="25"/>
  <c r="P150" i="25"/>
  <c r="O150" i="25"/>
  <c r="N150" i="25"/>
  <c r="M150" i="25"/>
  <c r="L150" i="25"/>
  <c r="K150" i="25"/>
  <c r="AH150" i="25" s="1"/>
  <c r="AM149" i="25"/>
  <c r="Q149" i="25"/>
  <c r="P149" i="25"/>
  <c r="O149" i="25"/>
  <c r="N149" i="25"/>
  <c r="M149" i="25"/>
  <c r="L149" i="25"/>
  <c r="K149" i="25"/>
  <c r="AM148" i="25"/>
  <c r="Q148" i="25"/>
  <c r="P148" i="25"/>
  <c r="O148" i="25"/>
  <c r="N148" i="25"/>
  <c r="M148" i="25"/>
  <c r="L148" i="25"/>
  <c r="K148" i="25"/>
  <c r="AM147" i="25"/>
  <c r="Q147" i="25"/>
  <c r="P147" i="25"/>
  <c r="O147" i="25"/>
  <c r="N147" i="25"/>
  <c r="M147" i="25"/>
  <c r="L147" i="25"/>
  <c r="K147" i="25"/>
  <c r="AM146" i="25"/>
  <c r="Q146" i="25"/>
  <c r="P146" i="25"/>
  <c r="O146" i="25"/>
  <c r="N146" i="25"/>
  <c r="M146" i="25"/>
  <c r="L146" i="25"/>
  <c r="K146" i="25"/>
  <c r="AM145" i="25"/>
  <c r="Q145" i="25"/>
  <c r="P145" i="25"/>
  <c r="O145" i="25"/>
  <c r="N145" i="25"/>
  <c r="M145" i="25"/>
  <c r="L145" i="25"/>
  <c r="K145" i="25"/>
  <c r="AM144" i="25"/>
  <c r="Q144" i="25"/>
  <c r="P144" i="25"/>
  <c r="AH144" i="25" s="1"/>
  <c r="O144" i="25"/>
  <c r="N144" i="25"/>
  <c r="M144" i="25"/>
  <c r="L144" i="25"/>
  <c r="K144" i="25"/>
  <c r="AM143" i="25"/>
  <c r="Q143" i="25"/>
  <c r="P143" i="25"/>
  <c r="O143" i="25"/>
  <c r="N143" i="25"/>
  <c r="M143" i="25"/>
  <c r="L143" i="25"/>
  <c r="K143" i="25"/>
  <c r="AM142" i="25"/>
  <c r="Q142" i="25"/>
  <c r="P142" i="25"/>
  <c r="S142" i="25" s="1"/>
  <c r="O142" i="25"/>
  <c r="N142" i="25"/>
  <c r="M142" i="25"/>
  <c r="L142" i="25"/>
  <c r="K142" i="25"/>
  <c r="AM141" i="25"/>
  <c r="Q141" i="25"/>
  <c r="P141" i="25"/>
  <c r="O141" i="25"/>
  <c r="N141" i="25"/>
  <c r="M141" i="25"/>
  <c r="L141" i="25"/>
  <c r="K141" i="25"/>
  <c r="AM140" i="25"/>
  <c r="Q140" i="25"/>
  <c r="P140" i="25"/>
  <c r="O140" i="25"/>
  <c r="N140" i="25"/>
  <c r="M140" i="25"/>
  <c r="L140" i="25"/>
  <c r="K140" i="25"/>
  <c r="AM139" i="25"/>
  <c r="Q139" i="25"/>
  <c r="P139" i="25"/>
  <c r="O139" i="25"/>
  <c r="N139" i="25"/>
  <c r="M139" i="25"/>
  <c r="L139" i="25"/>
  <c r="K139" i="25"/>
  <c r="AM138" i="25"/>
  <c r="AH138" i="25"/>
  <c r="Q138" i="25"/>
  <c r="P138" i="25"/>
  <c r="O138" i="25"/>
  <c r="N138" i="25"/>
  <c r="M138" i="25"/>
  <c r="L138" i="25"/>
  <c r="K138" i="25"/>
  <c r="AM137" i="25"/>
  <c r="Q137" i="25"/>
  <c r="P137" i="25"/>
  <c r="O137" i="25"/>
  <c r="N137" i="25"/>
  <c r="M137" i="25"/>
  <c r="L137" i="25"/>
  <c r="K137" i="25"/>
  <c r="AM136" i="25"/>
  <c r="Q136" i="25"/>
  <c r="P136" i="25"/>
  <c r="O136" i="25"/>
  <c r="N136" i="25"/>
  <c r="M136" i="25"/>
  <c r="L136" i="25"/>
  <c r="K136" i="25"/>
  <c r="AH136" i="25" s="1"/>
  <c r="AM135" i="25"/>
  <c r="Q135" i="25"/>
  <c r="P135" i="25"/>
  <c r="O135" i="25"/>
  <c r="N135" i="25"/>
  <c r="M135" i="25"/>
  <c r="L135" i="25"/>
  <c r="K135" i="25"/>
  <c r="AM134" i="25"/>
  <c r="Q134" i="25"/>
  <c r="P134" i="25"/>
  <c r="O134" i="25"/>
  <c r="N134" i="25"/>
  <c r="M134" i="25"/>
  <c r="L134" i="25"/>
  <c r="K134" i="25"/>
  <c r="AH134" i="25" s="1"/>
  <c r="AM133" i="25"/>
  <c r="Q133" i="25"/>
  <c r="P133" i="25"/>
  <c r="O133" i="25"/>
  <c r="N133" i="25"/>
  <c r="M133" i="25"/>
  <c r="L133" i="25"/>
  <c r="K133" i="25"/>
  <c r="AM132" i="25"/>
  <c r="Q132" i="25"/>
  <c r="P132" i="25"/>
  <c r="O132" i="25"/>
  <c r="N132" i="25"/>
  <c r="M132" i="25"/>
  <c r="L132" i="25"/>
  <c r="K132" i="25"/>
  <c r="AM131" i="25"/>
  <c r="Q131" i="25"/>
  <c r="P131" i="25"/>
  <c r="O131" i="25"/>
  <c r="N131" i="25"/>
  <c r="M131" i="25"/>
  <c r="L131" i="25"/>
  <c r="K131" i="25"/>
  <c r="AM130" i="25"/>
  <c r="Q130" i="25"/>
  <c r="P130" i="25"/>
  <c r="O130" i="25"/>
  <c r="N130" i="25"/>
  <c r="M130" i="25"/>
  <c r="L130" i="25"/>
  <c r="K130" i="25"/>
  <c r="AM129" i="25"/>
  <c r="Q129" i="25"/>
  <c r="P129" i="25"/>
  <c r="O129" i="25"/>
  <c r="N129" i="25"/>
  <c r="M129" i="25"/>
  <c r="L129" i="25"/>
  <c r="K129" i="25"/>
  <c r="AM128" i="25"/>
  <c r="Q128" i="25"/>
  <c r="P128" i="25"/>
  <c r="O128" i="25"/>
  <c r="N128" i="25"/>
  <c r="M128" i="25"/>
  <c r="L128" i="25"/>
  <c r="K128" i="25"/>
  <c r="AM127" i="25"/>
  <c r="Q127" i="25"/>
  <c r="P127" i="25"/>
  <c r="O127" i="25"/>
  <c r="N127" i="25"/>
  <c r="M127" i="25"/>
  <c r="L127" i="25"/>
  <c r="K127" i="25"/>
  <c r="AM126" i="25"/>
  <c r="Q126" i="25"/>
  <c r="P126" i="25"/>
  <c r="O126" i="25"/>
  <c r="N126" i="25"/>
  <c r="M126" i="25"/>
  <c r="L126" i="25"/>
  <c r="K126" i="25"/>
  <c r="AH126" i="25" s="1"/>
  <c r="AM125" i="25"/>
  <c r="Q125" i="25"/>
  <c r="P125" i="25"/>
  <c r="O125" i="25"/>
  <c r="N125" i="25"/>
  <c r="M125" i="25"/>
  <c r="L125" i="25"/>
  <c r="K125" i="25"/>
  <c r="AM124" i="25"/>
  <c r="Q124" i="25"/>
  <c r="P124" i="25"/>
  <c r="O124" i="25"/>
  <c r="N124" i="25"/>
  <c r="M124" i="25"/>
  <c r="L124" i="25"/>
  <c r="K124" i="25"/>
  <c r="AM123" i="25"/>
  <c r="Q123" i="25"/>
  <c r="P123" i="25"/>
  <c r="O123" i="25"/>
  <c r="N123" i="25"/>
  <c r="M123" i="25"/>
  <c r="L123" i="25"/>
  <c r="K123" i="25"/>
  <c r="AM122" i="25"/>
  <c r="Q122" i="25"/>
  <c r="P122" i="25"/>
  <c r="O122" i="25"/>
  <c r="N122" i="25"/>
  <c r="M122" i="25"/>
  <c r="L122" i="25"/>
  <c r="K122" i="25"/>
  <c r="S122" i="25" s="1"/>
  <c r="AM121" i="25"/>
  <c r="Q121" i="25"/>
  <c r="P121" i="25"/>
  <c r="O121" i="25"/>
  <c r="N121" i="25"/>
  <c r="M121" i="25"/>
  <c r="L121" i="25"/>
  <c r="K121" i="25"/>
  <c r="AM120" i="25"/>
  <c r="Q120" i="25"/>
  <c r="P120" i="25"/>
  <c r="O120" i="25"/>
  <c r="N120" i="25"/>
  <c r="M120" i="25"/>
  <c r="L120" i="25"/>
  <c r="K120" i="25"/>
  <c r="AM119" i="25"/>
  <c r="Q119" i="25"/>
  <c r="P119" i="25"/>
  <c r="O119" i="25"/>
  <c r="N119" i="25"/>
  <c r="M119" i="25"/>
  <c r="L119" i="25"/>
  <c r="K119" i="25"/>
  <c r="AM118" i="25"/>
  <c r="Q118" i="25"/>
  <c r="P118" i="25"/>
  <c r="O118" i="25"/>
  <c r="N118" i="25"/>
  <c r="M118" i="25"/>
  <c r="L118" i="25"/>
  <c r="K118" i="25"/>
  <c r="AM117" i="25"/>
  <c r="Q117" i="25"/>
  <c r="P117" i="25"/>
  <c r="O117" i="25"/>
  <c r="N117" i="25"/>
  <c r="M117" i="25"/>
  <c r="L117" i="25"/>
  <c r="K117" i="25"/>
  <c r="AM116" i="25"/>
  <c r="Q116" i="25"/>
  <c r="P116" i="25"/>
  <c r="O116" i="25"/>
  <c r="N116" i="25"/>
  <c r="M116" i="25"/>
  <c r="L116" i="25"/>
  <c r="K116" i="25"/>
  <c r="AH116" i="25" s="1"/>
  <c r="AM115" i="25"/>
  <c r="Q115" i="25"/>
  <c r="P115" i="25"/>
  <c r="O115" i="25"/>
  <c r="N115" i="25"/>
  <c r="M115" i="25"/>
  <c r="L115" i="25"/>
  <c r="K115" i="25"/>
  <c r="AM114" i="25"/>
  <c r="Q114" i="25"/>
  <c r="P114" i="25"/>
  <c r="O114" i="25"/>
  <c r="N114" i="25"/>
  <c r="M114" i="25"/>
  <c r="L114" i="25"/>
  <c r="K114" i="25"/>
  <c r="AM113" i="25"/>
  <c r="Q113" i="25"/>
  <c r="P113" i="25"/>
  <c r="O113" i="25"/>
  <c r="N113" i="25"/>
  <c r="M113" i="25"/>
  <c r="L113" i="25"/>
  <c r="K113" i="25"/>
  <c r="AM112" i="25"/>
  <c r="Q112" i="25"/>
  <c r="P112" i="25"/>
  <c r="O112" i="25"/>
  <c r="N112" i="25"/>
  <c r="M112" i="25"/>
  <c r="L112" i="25"/>
  <c r="K112" i="25"/>
  <c r="AM111" i="25"/>
  <c r="Q111" i="25"/>
  <c r="P111" i="25"/>
  <c r="O111" i="25"/>
  <c r="N111" i="25"/>
  <c r="M111" i="25"/>
  <c r="L111" i="25"/>
  <c r="K111" i="25"/>
  <c r="AM110" i="25"/>
  <c r="Q110" i="25"/>
  <c r="P110" i="25"/>
  <c r="O110" i="25"/>
  <c r="N110" i="25"/>
  <c r="M110" i="25"/>
  <c r="L110" i="25"/>
  <c r="K110" i="25"/>
  <c r="AM109" i="25"/>
  <c r="Q109" i="25"/>
  <c r="P109" i="25"/>
  <c r="O109" i="25"/>
  <c r="N109" i="25"/>
  <c r="M109" i="25"/>
  <c r="L109" i="25"/>
  <c r="K109" i="25"/>
  <c r="AM108" i="25"/>
  <c r="Q108" i="25"/>
  <c r="P108" i="25"/>
  <c r="O108" i="25"/>
  <c r="N108" i="25"/>
  <c r="M108" i="25"/>
  <c r="L108" i="25"/>
  <c r="K108" i="25"/>
  <c r="AM107" i="25"/>
  <c r="Q107" i="25"/>
  <c r="P107" i="25"/>
  <c r="O107" i="25"/>
  <c r="N107" i="25"/>
  <c r="M107" i="25"/>
  <c r="L107" i="25"/>
  <c r="K107" i="25"/>
  <c r="AM106" i="25"/>
  <c r="Q106" i="25"/>
  <c r="P106" i="25"/>
  <c r="O106" i="25"/>
  <c r="N106" i="25"/>
  <c r="M106" i="25"/>
  <c r="L106" i="25"/>
  <c r="K106" i="25"/>
  <c r="S106" i="25" s="1"/>
  <c r="AM105" i="25"/>
  <c r="Q105" i="25"/>
  <c r="P105" i="25"/>
  <c r="O105" i="25"/>
  <c r="N105" i="25"/>
  <c r="M105" i="25"/>
  <c r="L105" i="25"/>
  <c r="K105" i="25"/>
  <c r="AM104" i="25"/>
  <c r="Q104" i="25"/>
  <c r="P104" i="25"/>
  <c r="O104" i="25"/>
  <c r="N104" i="25"/>
  <c r="M104" i="25"/>
  <c r="L104" i="25"/>
  <c r="K104" i="25"/>
  <c r="AM103" i="25"/>
  <c r="Q103" i="25"/>
  <c r="P103" i="25"/>
  <c r="O103" i="25"/>
  <c r="N103" i="25"/>
  <c r="M103" i="25"/>
  <c r="L103" i="25"/>
  <c r="K103" i="25"/>
  <c r="AM102" i="25"/>
  <c r="Q102" i="25"/>
  <c r="P102" i="25"/>
  <c r="O102" i="25"/>
  <c r="N102" i="25"/>
  <c r="M102" i="25"/>
  <c r="L102" i="25"/>
  <c r="K102" i="25"/>
  <c r="AH102" i="25" s="1"/>
  <c r="AM101" i="25"/>
  <c r="Q101" i="25"/>
  <c r="P101" i="25"/>
  <c r="O101" i="25"/>
  <c r="N101" i="25"/>
  <c r="M101" i="25"/>
  <c r="L101" i="25"/>
  <c r="K101" i="25"/>
  <c r="AM100" i="25"/>
  <c r="Q100" i="25"/>
  <c r="P100" i="25"/>
  <c r="O100" i="25"/>
  <c r="N100" i="25"/>
  <c r="M100" i="25"/>
  <c r="L100" i="25"/>
  <c r="S100" i="25" s="1"/>
  <c r="K100" i="25"/>
  <c r="AM99" i="25"/>
  <c r="Q99" i="25"/>
  <c r="P99" i="25"/>
  <c r="O99" i="25"/>
  <c r="N99" i="25"/>
  <c r="M99" i="25"/>
  <c r="L99" i="25"/>
  <c r="K99" i="25"/>
  <c r="AM98" i="25"/>
  <c r="Q98" i="25"/>
  <c r="P98" i="25"/>
  <c r="O98" i="25"/>
  <c r="N98" i="25"/>
  <c r="M98" i="25"/>
  <c r="L98" i="25"/>
  <c r="K98" i="25"/>
  <c r="AM97" i="25"/>
  <c r="Q97" i="25"/>
  <c r="P97" i="25"/>
  <c r="O97" i="25"/>
  <c r="N97" i="25"/>
  <c r="M97" i="25"/>
  <c r="L97" i="25"/>
  <c r="K97" i="25"/>
  <c r="AM96" i="25"/>
  <c r="Q96" i="25"/>
  <c r="P96" i="25"/>
  <c r="O96" i="25"/>
  <c r="N96" i="25"/>
  <c r="M96" i="25"/>
  <c r="L96" i="25"/>
  <c r="K96" i="25"/>
  <c r="AM95" i="25"/>
  <c r="Q95" i="25"/>
  <c r="P95" i="25"/>
  <c r="O95" i="25"/>
  <c r="N95" i="25"/>
  <c r="M95" i="25"/>
  <c r="L95" i="25"/>
  <c r="K95" i="25"/>
  <c r="AM94" i="25"/>
  <c r="Q94" i="25"/>
  <c r="P94" i="25"/>
  <c r="O94" i="25"/>
  <c r="N94" i="25"/>
  <c r="M94" i="25"/>
  <c r="L94" i="25"/>
  <c r="K94" i="25"/>
  <c r="AH94" i="25" s="1"/>
  <c r="AM93" i="25"/>
  <c r="Q93" i="25"/>
  <c r="P93" i="25"/>
  <c r="O93" i="25"/>
  <c r="N93" i="25"/>
  <c r="M93" i="25"/>
  <c r="L93" i="25"/>
  <c r="K93" i="25"/>
  <c r="AM92" i="25"/>
  <c r="Q92" i="25"/>
  <c r="P92" i="25"/>
  <c r="O92" i="25"/>
  <c r="N92" i="25"/>
  <c r="M92" i="25"/>
  <c r="L92" i="25"/>
  <c r="K92" i="25"/>
  <c r="AM91" i="25"/>
  <c r="Q91" i="25"/>
  <c r="P91" i="25"/>
  <c r="O91" i="25"/>
  <c r="N91" i="25"/>
  <c r="M91" i="25"/>
  <c r="L91" i="25"/>
  <c r="K91" i="25"/>
  <c r="AM90" i="25"/>
  <c r="Q90" i="25"/>
  <c r="P90" i="25"/>
  <c r="O90" i="25"/>
  <c r="N90" i="25"/>
  <c r="M90" i="25"/>
  <c r="L90" i="25"/>
  <c r="K90" i="25"/>
  <c r="AM89" i="25"/>
  <c r="Q89" i="25"/>
  <c r="P89" i="25"/>
  <c r="O89" i="25"/>
  <c r="N89" i="25"/>
  <c r="M89" i="25"/>
  <c r="L89" i="25"/>
  <c r="K89" i="25"/>
  <c r="AM88" i="25"/>
  <c r="Q88" i="25"/>
  <c r="P88" i="25"/>
  <c r="O88" i="25"/>
  <c r="N88" i="25"/>
  <c r="M88" i="25"/>
  <c r="L88" i="25"/>
  <c r="K88" i="25"/>
  <c r="AM87" i="25"/>
  <c r="Q87" i="25"/>
  <c r="P87" i="25"/>
  <c r="O87" i="25"/>
  <c r="N87" i="25"/>
  <c r="M87" i="25"/>
  <c r="L87" i="25"/>
  <c r="K87" i="25"/>
  <c r="AM86" i="25"/>
  <c r="Q86" i="25"/>
  <c r="P86" i="25"/>
  <c r="O86" i="25"/>
  <c r="N86" i="25"/>
  <c r="M86" i="25"/>
  <c r="L86" i="25"/>
  <c r="K86" i="25"/>
  <c r="AM85" i="25"/>
  <c r="Q85" i="25"/>
  <c r="P85" i="25"/>
  <c r="O85" i="25"/>
  <c r="N85" i="25"/>
  <c r="M85" i="25"/>
  <c r="L85" i="25"/>
  <c r="K85" i="25"/>
  <c r="AM84" i="25"/>
  <c r="Q84" i="25"/>
  <c r="P84" i="25"/>
  <c r="O84" i="25"/>
  <c r="N84" i="25"/>
  <c r="M84" i="25"/>
  <c r="L84" i="25"/>
  <c r="K84" i="25"/>
  <c r="AM83" i="25"/>
  <c r="Q83" i="25"/>
  <c r="P83" i="25"/>
  <c r="O83" i="25"/>
  <c r="N83" i="25"/>
  <c r="M83" i="25"/>
  <c r="AH83" i="25" s="1"/>
  <c r="L83" i="25"/>
  <c r="K83" i="25"/>
  <c r="S83" i="25" s="1"/>
  <c r="AM82" i="25"/>
  <c r="Q82" i="25"/>
  <c r="P82" i="25"/>
  <c r="O82" i="25"/>
  <c r="N82" i="25"/>
  <c r="M82" i="25"/>
  <c r="L82" i="25"/>
  <c r="K82" i="25"/>
  <c r="AM81" i="25"/>
  <c r="Q81" i="25"/>
  <c r="P81" i="25"/>
  <c r="O81" i="25"/>
  <c r="N81" i="25"/>
  <c r="M81" i="25"/>
  <c r="L81" i="25"/>
  <c r="K81" i="25"/>
  <c r="AM80" i="25"/>
  <c r="Q80" i="25"/>
  <c r="P80" i="25"/>
  <c r="O80" i="25"/>
  <c r="N80" i="25"/>
  <c r="M80" i="25"/>
  <c r="L80" i="25"/>
  <c r="K80" i="25"/>
  <c r="AM79" i="25"/>
  <c r="Q79" i="25"/>
  <c r="P79" i="25"/>
  <c r="O79" i="25"/>
  <c r="N79" i="25"/>
  <c r="M79" i="25"/>
  <c r="L79" i="25"/>
  <c r="K79" i="25"/>
  <c r="AH79" i="25" s="1"/>
  <c r="AM78" i="25"/>
  <c r="Q78" i="25"/>
  <c r="P78" i="25"/>
  <c r="O78" i="25"/>
  <c r="N78" i="25"/>
  <c r="M78" i="25"/>
  <c r="L78" i="25"/>
  <c r="K78" i="25"/>
  <c r="AM77" i="25"/>
  <c r="Q77" i="25"/>
  <c r="P77" i="25"/>
  <c r="O77" i="25"/>
  <c r="N77" i="25"/>
  <c r="M77" i="25"/>
  <c r="L77" i="25"/>
  <c r="K77" i="25"/>
  <c r="S77" i="25" s="1"/>
  <c r="AM76" i="25"/>
  <c r="Q76" i="25"/>
  <c r="P76" i="25"/>
  <c r="O76" i="25"/>
  <c r="N76" i="25"/>
  <c r="M76" i="25"/>
  <c r="L76" i="25"/>
  <c r="K76" i="25"/>
  <c r="AH76" i="25" s="1"/>
  <c r="AM75" i="25"/>
  <c r="Q75" i="25"/>
  <c r="P75" i="25"/>
  <c r="O75" i="25"/>
  <c r="N75" i="25"/>
  <c r="M75" i="25"/>
  <c r="L75" i="25"/>
  <c r="K75" i="25"/>
  <c r="AH75" i="25" s="1"/>
  <c r="AM74" i="25"/>
  <c r="Q74" i="25"/>
  <c r="P74" i="25"/>
  <c r="O74" i="25"/>
  <c r="N74" i="25"/>
  <c r="M74" i="25"/>
  <c r="L74" i="25"/>
  <c r="K74" i="25"/>
  <c r="AM73" i="25"/>
  <c r="Q73" i="25"/>
  <c r="P73" i="25"/>
  <c r="O73" i="25"/>
  <c r="N73" i="25"/>
  <c r="M73" i="25"/>
  <c r="L73" i="25"/>
  <c r="K73" i="25"/>
  <c r="AH73" i="25" s="1"/>
  <c r="AM72" i="25"/>
  <c r="Q72" i="25"/>
  <c r="P72" i="25"/>
  <c r="O72" i="25"/>
  <c r="N72" i="25"/>
  <c r="M72" i="25"/>
  <c r="L72" i="25"/>
  <c r="K72" i="25"/>
  <c r="AM71" i="25"/>
  <c r="Q71" i="25"/>
  <c r="P71" i="25"/>
  <c r="O71" i="25"/>
  <c r="N71" i="25"/>
  <c r="M71" i="25"/>
  <c r="L71" i="25"/>
  <c r="K71" i="25"/>
  <c r="AH71" i="25" s="1"/>
  <c r="AM70" i="25"/>
  <c r="Q70" i="25"/>
  <c r="P70" i="25"/>
  <c r="O70" i="25"/>
  <c r="N70" i="25"/>
  <c r="M70" i="25"/>
  <c r="L70" i="25"/>
  <c r="K70" i="25"/>
  <c r="S70" i="25" s="1"/>
  <c r="AM69" i="25"/>
  <c r="Q69" i="25"/>
  <c r="P69" i="25"/>
  <c r="O69" i="25"/>
  <c r="N69" i="25"/>
  <c r="M69" i="25"/>
  <c r="L69" i="25"/>
  <c r="K69" i="25"/>
  <c r="AH69" i="25" s="1"/>
  <c r="AM68" i="25"/>
  <c r="Q68" i="25"/>
  <c r="P68" i="25"/>
  <c r="O68" i="25"/>
  <c r="N68" i="25"/>
  <c r="M68" i="25"/>
  <c r="L68" i="25"/>
  <c r="K68" i="25"/>
  <c r="AM67" i="25"/>
  <c r="Q67" i="25"/>
  <c r="P67" i="25"/>
  <c r="O67" i="25"/>
  <c r="N67" i="25"/>
  <c r="M67" i="25"/>
  <c r="L67" i="25"/>
  <c r="K67" i="25"/>
  <c r="S67" i="25" s="1"/>
  <c r="AM66" i="25"/>
  <c r="Q66" i="25"/>
  <c r="P66" i="25"/>
  <c r="O66" i="25"/>
  <c r="N66" i="25"/>
  <c r="M66" i="25"/>
  <c r="L66" i="25"/>
  <c r="K66" i="25"/>
  <c r="AM65" i="25"/>
  <c r="Q65" i="25"/>
  <c r="P65" i="25"/>
  <c r="O65" i="25"/>
  <c r="N65" i="25"/>
  <c r="M65" i="25"/>
  <c r="L65" i="25"/>
  <c r="K65" i="25"/>
  <c r="AM64" i="25"/>
  <c r="Q64" i="25"/>
  <c r="P64" i="25"/>
  <c r="O64" i="25"/>
  <c r="N64" i="25"/>
  <c r="M64" i="25"/>
  <c r="L64" i="25"/>
  <c r="K64" i="25"/>
  <c r="AM63" i="25"/>
  <c r="Q63" i="25"/>
  <c r="P63" i="25"/>
  <c r="O63" i="25"/>
  <c r="N63" i="25"/>
  <c r="M63" i="25"/>
  <c r="L63" i="25"/>
  <c r="K63" i="25"/>
  <c r="AH63" i="25" s="1"/>
  <c r="AM62" i="25"/>
  <c r="Q62" i="25"/>
  <c r="P62" i="25"/>
  <c r="O62" i="25"/>
  <c r="N62" i="25"/>
  <c r="M62" i="25"/>
  <c r="L62" i="25"/>
  <c r="K62" i="25"/>
  <c r="AM61" i="25"/>
  <c r="Q61" i="25"/>
  <c r="P61" i="25"/>
  <c r="O61" i="25"/>
  <c r="N61" i="25"/>
  <c r="M61" i="25"/>
  <c r="L61" i="25"/>
  <c r="K61" i="25"/>
  <c r="S61" i="25" s="1"/>
  <c r="AM60" i="25"/>
  <c r="Q60" i="25"/>
  <c r="P60" i="25"/>
  <c r="O60" i="25"/>
  <c r="N60" i="25"/>
  <c r="M60" i="25"/>
  <c r="L60" i="25"/>
  <c r="K60" i="25"/>
  <c r="AM59" i="25"/>
  <c r="Q59" i="25"/>
  <c r="P59" i="25"/>
  <c r="O59" i="25"/>
  <c r="N59" i="25"/>
  <c r="M59" i="25"/>
  <c r="L59" i="25"/>
  <c r="K59" i="25"/>
  <c r="AH59" i="25" s="1"/>
  <c r="AM58" i="25"/>
  <c r="Q58" i="25"/>
  <c r="P58" i="25"/>
  <c r="O58" i="25"/>
  <c r="N58" i="25"/>
  <c r="M58" i="25"/>
  <c r="L58" i="25"/>
  <c r="K58" i="25"/>
  <c r="AM57" i="25"/>
  <c r="Q57" i="25"/>
  <c r="P57" i="25"/>
  <c r="O57" i="25"/>
  <c r="N57" i="25"/>
  <c r="M57" i="25"/>
  <c r="L57" i="25"/>
  <c r="K57" i="25"/>
  <c r="AM56" i="25"/>
  <c r="Q56" i="25"/>
  <c r="P56" i="25"/>
  <c r="O56" i="25"/>
  <c r="N56" i="25"/>
  <c r="M56" i="25"/>
  <c r="L56" i="25"/>
  <c r="K56" i="25"/>
  <c r="AM55" i="25"/>
  <c r="Q55" i="25"/>
  <c r="P55" i="25"/>
  <c r="O55" i="25"/>
  <c r="N55" i="25"/>
  <c r="M55" i="25"/>
  <c r="L55" i="25"/>
  <c r="K55" i="25"/>
  <c r="AM54" i="25"/>
  <c r="Q54" i="25"/>
  <c r="P54" i="25"/>
  <c r="O54" i="25"/>
  <c r="N54" i="25"/>
  <c r="M54" i="25"/>
  <c r="L54" i="25"/>
  <c r="K54" i="25"/>
  <c r="AM53" i="25"/>
  <c r="Q53" i="25"/>
  <c r="P53" i="25"/>
  <c r="O53" i="25"/>
  <c r="N53" i="25"/>
  <c r="M53" i="25"/>
  <c r="L53" i="25"/>
  <c r="K53" i="25"/>
  <c r="AM52" i="25"/>
  <c r="Q52" i="25"/>
  <c r="P52" i="25"/>
  <c r="O52" i="25"/>
  <c r="N52" i="25"/>
  <c r="M52" i="25"/>
  <c r="L52" i="25"/>
  <c r="K52" i="25"/>
  <c r="S52" i="25" s="1"/>
  <c r="AM51" i="25"/>
  <c r="Q51" i="25"/>
  <c r="P51" i="25"/>
  <c r="O51" i="25"/>
  <c r="N51" i="25"/>
  <c r="M51" i="25"/>
  <c r="L51" i="25"/>
  <c r="K51" i="25"/>
  <c r="AM50" i="25"/>
  <c r="Q50" i="25"/>
  <c r="P50" i="25"/>
  <c r="O50" i="25"/>
  <c r="N50" i="25"/>
  <c r="M50" i="25"/>
  <c r="L50" i="25"/>
  <c r="K50" i="25"/>
  <c r="AM49" i="25"/>
  <c r="Q49" i="25"/>
  <c r="P49" i="25"/>
  <c r="O49" i="25"/>
  <c r="N49" i="25"/>
  <c r="M49" i="25"/>
  <c r="L49" i="25"/>
  <c r="K49" i="25"/>
  <c r="AM48" i="25"/>
  <c r="Q48" i="25"/>
  <c r="P48" i="25"/>
  <c r="O48" i="25"/>
  <c r="N48" i="25"/>
  <c r="M48" i="25"/>
  <c r="L48" i="25"/>
  <c r="K48" i="25"/>
  <c r="AM47" i="25"/>
  <c r="Q47" i="25"/>
  <c r="P47" i="25"/>
  <c r="O47" i="25"/>
  <c r="N47" i="25"/>
  <c r="M47" i="25"/>
  <c r="L47" i="25"/>
  <c r="K47" i="25"/>
  <c r="AM46" i="25"/>
  <c r="Q46" i="25"/>
  <c r="P46" i="25"/>
  <c r="O46" i="25"/>
  <c r="N46" i="25"/>
  <c r="M46" i="25"/>
  <c r="L46" i="25"/>
  <c r="K46" i="25"/>
  <c r="AM45" i="25"/>
  <c r="Q45" i="25"/>
  <c r="P45" i="25"/>
  <c r="O45" i="25"/>
  <c r="N45" i="25"/>
  <c r="M45" i="25"/>
  <c r="L45" i="25"/>
  <c r="K45" i="25"/>
  <c r="AM44" i="25"/>
  <c r="Q44" i="25"/>
  <c r="P44" i="25"/>
  <c r="O44" i="25"/>
  <c r="N44" i="25"/>
  <c r="M44" i="25"/>
  <c r="L44" i="25"/>
  <c r="K44" i="25"/>
  <c r="S44" i="25" s="1"/>
  <c r="AM43" i="25"/>
  <c r="Q43" i="25"/>
  <c r="P43" i="25"/>
  <c r="O43" i="25"/>
  <c r="N43" i="25"/>
  <c r="M43" i="25"/>
  <c r="S43" i="25" s="1"/>
  <c r="L43" i="25"/>
  <c r="K43" i="25"/>
  <c r="AM42" i="25"/>
  <c r="Q42" i="25"/>
  <c r="P42" i="25"/>
  <c r="O42" i="25"/>
  <c r="N42" i="25"/>
  <c r="M42" i="25"/>
  <c r="L42" i="25"/>
  <c r="K42" i="25"/>
  <c r="S42" i="25" s="1"/>
  <c r="AM41" i="25"/>
  <c r="Q41" i="25"/>
  <c r="P41" i="25"/>
  <c r="O41" i="25"/>
  <c r="N41" i="25"/>
  <c r="M41" i="25"/>
  <c r="L41" i="25"/>
  <c r="K41" i="25"/>
  <c r="AM40" i="25"/>
  <c r="Q40" i="25"/>
  <c r="P40" i="25"/>
  <c r="O40" i="25"/>
  <c r="N40" i="25"/>
  <c r="M40" i="25"/>
  <c r="L40" i="25"/>
  <c r="K40" i="25"/>
  <c r="AM39" i="25"/>
  <c r="Q39" i="25"/>
  <c r="P39" i="25"/>
  <c r="O39" i="25"/>
  <c r="N39" i="25"/>
  <c r="M39" i="25"/>
  <c r="L39" i="25"/>
  <c r="K39" i="25"/>
  <c r="AM38" i="25"/>
  <c r="Q38" i="25"/>
  <c r="P38" i="25"/>
  <c r="O38" i="25"/>
  <c r="N38" i="25"/>
  <c r="M38" i="25"/>
  <c r="L38" i="25"/>
  <c r="K38" i="25"/>
  <c r="AM37" i="25"/>
  <c r="Q37" i="25"/>
  <c r="P37" i="25"/>
  <c r="O37" i="25"/>
  <c r="N37" i="25"/>
  <c r="M37" i="25"/>
  <c r="L37" i="25"/>
  <c r="K37" i="25"/>
  <c r="AM36" i="25"/>
  <c r="Q36" i="25"/>
  <c r="P36" i="25"/>
  <c r="O36" i="25"/>
  <c r="N36" i="25"/>
  <c r="M36" i="25"/>
  <c r="L36" i="25"/>
  <c r="K36" i="25"/>
  <c r="AM35" i="25"/>
  <c r="Q35" i="25"/>
  <c r="P35" i="25"/>
  <c r="O35" i="25"/>
  <c r="N35" i="25"/>
  <c r="M35" i="25"/>
  <c r="L35" i="25"/>
  <c r="K35" i="25"/>
  <c r="AM34" i="25"/>
  <c r="Q34" i="25"/>
  <c r="P34" i="25"/>
  <c r="O34" i="25"/>
  <c r="N34" i="25"/>
  <c r="M34" i="25"/>
  <c r="L34" i="25"/>
  <c r="K34" i="25"/>
  <c r="AM33" i="25"/>
  <c r="Q33" i="25"/>
  <c r="P33" i="25"/>
  <c r="O33" i="25"/>
  <c r="N33" i="25"/>
  <c r="M33" i="25"/>
  <c r="L33" i="25"/>
  <c r="K33" i="25"/>
  <c r="AM32" i="25"/>
  <c r="Q32" i="25"/>
  <c r="P32" i="25"/>
  <c r="O32" i="25"/>
  <c r="N32" i="25"/>
  <c r="M32" i="25"/>
  <c r="L32" i="25"/>
  <c r="K32" i="25"/>
  <c r="AM31" i="25"/>
  <c r="Q31" i="25"/>
  <c r="P31" i="25"/>
  <c r="O31" i="25"/>
  <c r="N31" i="25"/>
  <c r="M31" i="25"/>
  <c r="L31" i="25"/>
  <c r="K31" i="25"/>
  <c r="AM30" i="25"/>
  <c r="Q30" i="25"/>
  <c r="P30" i="25"/>
  <c r="O30" i="25"/>
  <c r="N30" i="25"/>
  <c r="M30" i="25"/>
  <c r="L30" i="25"/>
  <c r="K30" i="25"/>
  <c r="AM29" i="25"/>
  <c r="Q29" i="25"/>
  <c r="P29" i="25"/>
  <c r="O29" i="25"/>
  <c r="N29" i="25"/>
  <c r="M29" i="25"/>
  <c r="L29" i="25"/>
  <c r="AH29" i="25" s="1"/>
  <c r="K29" i="25"/>
  <c r="S29" i="25" s="1"/>
  <c r="AM28" i="25"/>
  <c r="Q28" i="25"/>
  <c r="P28" i="25"/>
  <c r="O28" i="25"/>
  <c r="N28" i="25"/>
  <c r="M28" i="25"/>
  <c r="L28" i="25"/>
  <c r="K28" i="25"/>
  <c r="AM27" i="25"/>
  <c r="Q27" i="25"/>
  <c r="P27" i="25"/>
  <c r="O27" i="25"/>
  <c r="N27" i="25"/>
  <c r="M27" i="25"/>
  <c r="L27" i="25"/>
  <c r="K27" i="25"/>
  <c r="S27" i="25" s="1"/>
  <c r="AM26" i="25"/>
  <c r="Q26" i="25"/>
  <c r="P26" i="25"/>
  <c r="O26" i="25"/>
  <c r="N26" i="25"/>
  <c r="M26" i="25"/>
  <c r="L26" i="25"/>
  <c r="K26" i="25"/>
  <c r="AM25" i="25"/>
  <c r="Q25" i="25"/>
  <c r="P25" i="25"/>
  <c r="O25" i="25"/>
  <c r="N25" i="25"/>
  <c r="M25" i="25"/>
  <c r="L25" i="25"/>
  <c r="K25" i="25"/>
  <c r="AM24" i="25"/>
  <c r="Q24" i="25"/>
  <c r="P24" i="25"/>
  <c r="O24" i="25"/>
  <c r="N24" i="25"/>
  <c r="M24" i="25"/>
  <c r="L24" i="25"/>
  <c r="K24" i="25"/>
  <c r="AM23" i="25"/>
  <c r="Q23" i="25"/>
  <c r="P23" i="25"/>
  <c r="O23" i="25"/>
  <c r="N23" i="25"/>
  <c r="M23" i="25"/>
  <c r="L23" i="25"/>
  <c r="K23" i="25"/>
  <c r="AM22" i="25"/>
  <c r="Q22" i="25"/>
  <c r="P22" i="25"/>
  <c r="O22" i="25"/>
  <c r="N22" i="25"/>
  <c r="M22" i="25"/>
  <c r="L22" i="25"/>
  <c r="K22" i="25"/>
  <c r="AM21" i="25"/>
  <c r="Q21" i="25"/>
  <c r="P21" i="25"/>
  <c r="O21" i="25"/>
  <c r="N21" i="25"/>
  <c r="M21" i="25"/>
  <c r="L21" i="25"/>
  <c r="K21" i="25"/>
  <c r="S21" i="25" s="1"/>
  <c r="AM20" i="25"/>
  <c r="Q20" i="25"/>
  <c r="P20" i="25"/>
  <c r="O20" i="25"/>
  <c r="N20" i="25"/>
  <c r="M20" i="25"/>
  <c r="L20" i="25"/>
  <c r="K20" i="25"/>
  <c r="AM19" i="25"/>
  <c r="Q19" i="25"/>
  <c r="P19" i="25"/>
  <c r="O19" i="25"/>
  <c r="N19" i="25"/>
  <c r="M19" i="25"/>
  <c r="L19" i="25"/>
  <c r="K19" i="25"/>
  <c r="AM18" i="25"/>
  <c r="Q18" i="25"/>
  <c r="P18" i="25"/>
  <c r="O18" i="25"/>
  <c r="N18" i="25"/>
  <c r="S18" i="25" s="1"/>
  <c r="M18" i="25"/>
  <c r="L18" i="25"/>
  <c r="K18" i="25"/>
  <c r="AM17" i="25"/>
  <c r="Q17" i="25"/>
  <c r="P17" i="25"/>
  <c r="O17" i="25"/>
  <c r="N17" i="25"/>
  <c r="M17" i="25"/>
  <c r="L17" i="25"/>
  <c r="K17" i="25"/>
  <c r="AM16" i="25"/>
  <c r="Q16" i="25"/>
  <c r="P16" i="25"/>
  <c r="O16" i="25"/>
  <c r="N16" i="25"/>
  <c r="M16" i="25"/>
  <c r="L16" i="25"/>
  <c r="K16" i="25"/>
  <c r="AM15" i="25"/>
  <c r="Q15" i="25"/>
  <c r="P15" i="25"/>
  <c r="O15" i="25"/>
  <c r="N15" i="25"/>
  <c r="M15" i="25"/>
  <c r="L15" i="25"/>
  <c r="K15" i="25"/>
  <c r="S15" i="25" s="1"/>
  <c r="AM14" i="25"/>
  <c r="Q14" i="25"/>
  <c r="P14" i="25"/>
  <c r="O14" i="25"/>
  <c r="N14" i="25"/>
  <c r="M14" i="25"/>
  <c r="L14" i="25"/>
  <c r="K14" i="25"/>
  <c r="AM13" i="25"/>
  <c r="Q13" i="25"/>
  <c r="P13" i="25"/>
  <c r="O13" i="25"/>
  <c r="N13" i="25"/>
  <c r="M13" i="25"/>
  <c r="L13" i="25"/>
  <c r="K13" i="25"/>
  <c r="AM12" i="25"/>
  <c r="Q12" i="25"/>
  <c r="P12" i="25"/>
  <c r="O12" i="25"/>
  <c r="N12" i="25"/>
  <c r="M12" i="25"/>
  <c r="L12" i="25"/>
  <c r="K12" i="25"/>
  <c r="AM11" i="25"/>
  <c r="Q11" i="25"/>
  <c r="P11" i="25"/>
  <c r="O11" i="25"/>
  <c r="N11" i="25"/>
  <c r="M11" i="25"/>
  <c r="L11" i="25"/>
  <c r="K11" i="25"/>
  <c r="AM10" i="25"/>
  <c r="Q10" i="25"/>
  <c r="P10" i="25"/>
  <c r="O10" i="25"/>
  <c r="N10" i="25"/>
  <c r="M10" i="25"/>
  <c r="L10" i="25"/>
  <c r="K10" i="25"/>
  <c r="AM9" i="25"/>
  <c r="Q9" i="25"/>
  <c r="P9" i="25"/>
  <c r="O9" i="25"/>
  <c r="N9" i="25"/>
  <c r="M9" i="25"/>
  <c r="L9" i="25"/>
  <c r="K9" i="25"/>
  <c r="AM8" i="25"/>
  <c r="Q8" i="25"/>
  <c r="P8" i="25"/>
  <c r="O8" i="25"/>
  <c r="N8" i="25"/>
  <c r="M8" i="25"/>
  <c r="L8" i="25"/>
  <c r="K8" i="25"/>
  <c r="AM7" i="25"/>
  <c r="K7" i="25"/>
  <c r="AN6" i="25"/>
  <c r="CG242" i="17" l="1"/>
  <c r="CG385" i="17"/>
  <c r="CG317" i="17"/>
  <c r="CG314" i="17"/>
  <c r="CG249" i="17"/>
  <c r="CG232" i="17"/>
  <c r="CG57" i="17"/>
  <c r="CG115" i="17"/>
  <c r="CG82" i="17"/>
  <c r="CG31" i="17"/>
  <c r="S37" i="25"/>
  <c r="AH225" i="25"/>
  <c r="AH299" i="25"/>
  <c r="AH361" i="25"/>
  <c r="AH409" i="25"/>
  <c r="AH261" i="25"/>
  <c r="AH289" i="25"/>
  <c r="AH349" i="25"/>
  <c r="AH373" i="25"/>
  <c r="S377" i="25"/>
  <c r="AH463" i="25"/>
  <c r="AH479" i="25"/>
  <c r="S493" i="25"/>
  <c r="S96" i="25"/>
  <c r="S138" i="25"/>
  <c r="S58" i="25"/>
  <c r="S60" i="25"/>
  <c r="AH358" i="25"/>
  <c r="S402" i="25"/>
  <c r="S54" i="25"/>
  <c r="S160" i="25"/>
  <c r="S330" i="25"/>
  <c r="AH396" i="25"/>
  <c r="AH416" i="25"/>
  <c r="S418" i="25"/>
  <c r="AH446" i="25"/>
  <c r="S332" i="25"/>
  <c r="S346" i="25"/>
  <c r="AH24" i="25"/>
  <c r="S159" i="25"/>
  <c r="S171" i="25"/>
  <c r="AH181" i="25"/>
  <c r="S183" i="25"/>
  <c r="S274" i="25"/>
  <c r="S288" i="25"/>
  <c r="AH399" i="25"/>
  <c r="AH54" i="25"/>
  <c r="AH56" i="25"/>
  <c r="AH58" i="25"/>
  <c r="S99" i="25"/>
  <c r="AH191" i="25"/>
  <c r="AH193" i="25"/>
  <c r="S238" i="25"/>
  <c r="AH254" i="25"/>
  <c r="AH326" i="25"/>
  <c r="AH330" i="25"/>
  <c r="AH332" i="25"/>
  <c r="S349" i="25"/>
  <c r="S508" i="25"/>
  <c r="AH60" i="25"/>
  <c r="S165" i="25"/>
  <c r="S199" i="25"/>
  <c r="S302" i="25"/>
  <c r="AH346" i="25"/>
  <c r="AH348" i="25"/>
  <c r="S485" i="25"/>
  <c r="AH491" i="25"/>
  <c r="S20" i="25"/>
  <c r="S22" i="25"/>
  <c r="S24" i="25"/>
  <c r="S26" i="25"/>
  <c r="AH413" i="25"/>
  <c r="S11" i="25"/>
  <c r="S112" i="25"/>
  <c r="S314" i="25"/>
  <c r="S348" i="25"/>
  <c r="AH384" i="25"/>
  <c r="S396" i="25"/>
  <c r="S425" i="25"/>
  <c r="AH457" i="25"/>
  <c r="S473" i="25"/>
  <c r="AH11" i="25"/>
  <c r="S33" i="25"/>
  <c r="AH152" i="25"/>
  <c r="S156" i="25"/>
  <c r="S259" i="25"/>
  <c r="S263" i="25"/>
  <c r="AH336" i="25"/>
  <c r="AH342" i="25"/>
  <c r="S467" i="25"/>
  <c r="S477" i="25"/>
  <c r="AH168" i="25"/>
  <c r="S170" i="25"/>
  <c r="AH184" i="25"/>
  <c r="S197" i="25"/>
  <c r="AH285" i="25"/>
  <c r="S412" i="25"/>
  <c r="S483" i="25"/>
  <c r="AH485" i="25"/>
  <c r="AH489" i="25"/>
  <c r="S45" i="25"/>
  <c r="S51" i="25"/>
  <c r="S53" i="25"/>
  <c r="S251" i="25"/>
  <c r="S329" i="25"/>
  <c r="S428" i="25"/>
  <c r="AH47" i="25"/>
  <c r="AH51" i="25"/>
  <c r="S333" i="25"/>
  <c r="S458" i="25"/>
  <c r="AH158" i="25"/>
  <c r="S498" i="25"/>
  <c r="S504" i="25"/>
  <c r="S39" i="25"/>
  <c r="S41" i="25"/>
  <c r="AH85" i="25"/>
  <c r="S95" i="25"/>
  <c r="S97" i="25"/>
  <c r="S220" i="25"/>
  <c r="AH226" i="25"/>
  <c r="S256" i="25"/>
  <c r="AH260" i="25"/>
  <c r="S261" i="25"/>
  <c r="AH377" i="25"/>
  <c r="S12" i="25"/>
  <c r="S111" i="25"/>
  <c r="AH115" i="25"/>
  <c r="AH123" i="25"/>
  <c r="S125" i="25"/>
  <c r="AH131" i="25"/>
  <c r="S242" i="25"/>
  <c r="AH391" i="25"/>
  <c r="AH393" i="25"/>
  <c r="AH422" i="25"/>
  <c r="AH428" i="25"/>
  <c r="AH460" i="25"/>
  <c r="AH16" i="25"/>
  <c r="AH18" i="25"/>
  <c r="S28" i="25"/>
  <c r="S34" i="25"/>
  <c r="S36" i="25"/>
  <c r="S57" i="25"/>
  <c r="S103" i="25"/>
  <c r="S141" i="25"/>
  <c r="AH147" i="25"/>
  <c r="S244" i="25"/>
  <c r="S272" i="25"/>
  <c r="S391" i="25"/>
  <c r="S399" i="25"/>
  <c r="CG321" i="17"/>
  <c r="CG288" i="17"/>
  <c r="CG80" i="17"/>
  <c r="CG20" i="17"/>
  <c r="CG310" i="17"/>
  <c r="CG216" i="17"/>
  <c r="CG205" i="17"/>
  <c r="CG189" i="17"/>
  <c r="CG279" i="17"/>
  <c r="CG283" i="17"/>
  <c r="CG179" i="17"/>
  <c r="CG136" i="17"/>
  <c r="CG247" i="17"/>
  <c r="CG226" i="17"/>
  <c r="CG120" i="17"/>
  <c r="CG234" i="17"/>
  <c r="CG263" i="17"/>
  <c r="CG215" i="17"/>
  <c r="CG222" i="17"/>
  <c r="CG98" i="17"/>
  <c r="CG163" i="17"/>
  <c r="CG237" i="17"/>
  <c r="CG309" i="17"/>
  <c r="CG297" i="17"/>
  <c r="CG84" i="17"/>
  <c r="CG122" i="17"/>
  <c r="CG301" i="17"/>
  <c r="CG285" i="17"/>
  <c r="CG291" i="17"/>
  <c r="CG64" i="17"/>
  <c r="CG129" i="17"/>
  <c r="CG271" i="17"/>
  <c r="CG367" i="17"/>
  <c r="CG286" i="17"/>
  <c r="CG108" i="17"/>
  <c r="CG131" i="17"/>
  <c r="CG239" i="17"/>
  <c r="CG363" i="17"/>
  <c r="CG300" i="17"/>
  <c r="CG88" i="17"/>
  <c r="CG123" i="17"/>
  <c r="CG381" i="17"/>
  <c r="CG359" i="17"/>
  <c r="CG280" i="17"/>
  <c r="CG25" i="17"/>
  <c r="CG85" i="17"/>
  <c r="CG377" i="17"/>
  <c r="CG355" i="17"/>
  <c r="CG228" i="17"/>
  <c r="CG158" i="17"/>
  <c r="CG143" i="17"/>
  <c r="CG333" i="17"/>
  <c r="CG351" i="17"/>
  <c r="CG181" i="17"/>
  <c r="CG116" i="17"/>
  <c r="CG16" i="17"/>
  <c r="CG329" i="17"/>
  <c r="CG347" i="17"/>
  <c r="CG128" i="17"/>
  <c r="CG118" i="17"/>
  <c r="CG54" i="17"/>
  <c r="CG325" i="17"/>
  <c r="CG294" i="17"/>
  <c r="CG94" i="17"/>
  <c r="CG78" i="17"/>
  <c r="CG79" i="17"/>
  <c r="AH34" i="25"/>
  <c r="S284" i="25"/>
  <c r="AH13" i="25"/>
  <c r="AH15" i="25"/>
  <c r="AH53" i="25"/>
  <c r="S56" i="25"/>
  <c r="AH95" i="25"/>
  <c r="AH203" i="25"/>
  <c r="AH307" i="25"/>
  <c r="S387" i="25"/>
  <c r="S416" i="25"/>
  <c r="S9" i="25"/>
  <c r="S30" i="25"/>
  <c r="S32" i="25"/>
  <c r="AH42" i="25"/>
  <c r="S47" i="25"/>
  <c r="S49" i="25"/>
  <c r="AH68" i="25"/>
  <c r="AH80" i="25"/>
  <c r="AH109" i="25"/>
  <c r="AH143" i="25"/>
  <c r="AH164" i="25"/>
  <c r="S176" i="25"/>
  <c r="AH205" i="25"/>
  <c r="AH209" i="25"/>
  <c r="S213" i="25"/>
  <c r="AH270" i="25"/>
  <c r="S296" i="25"/>
  <c r="AH313" i="25"/>
  <c r="AH333" i="25"/>
  <c r="S464" i="25"/>
  <c r="AH27" i="25"/>
  <c r="S113" i="25"/>
  <c r="S115" i="25"/>
  <c r="S168" i="25"/>
  <c r="S184" i="25"/>
  <c r="S219" i="25"/>
  <c r="S257" i="25"/>
  <c r="S358" i="25"/>
  <c r="S434" i="25"/>
  <c r="AH444" i="25"/>
  <c r="S13" i="25"/>
  <c r="AH70" i="25"/>
  <c r="S74" i="25"/>
  <c r="S76" i="25"/>
  <c r="AH90" i="25"/>
  <c r="AH127" i="25"/>
  <c r="S139" i="25"/>
  <c r="S286" i="25"/>
  <c r="AH323" i="25"/>
  <c r="AH329" i="25"/>
  <c r="S368" i="25"/>
  <c r="S393" i="25"/>
  <c r="AH415" i="25"/>
  <c r="AH509" i="25"/>
  <c r="S17" i="25"/>
  <c r="AH84" i="25"/>
  <c r="AH125" i="25"/>
  <c r="AH161" i="25"/>
  <c r="S206" i="25"/>
  <c r="AH294" i="25"/>
  <c r="AH374" i="25"/>
  <c r="AH495" i="25"/>
  <c r="AH501" i="25"/>
  <c r="S19" i="25"/>
  <c r="S38" i="25"/>
  <c r="S40" i="25"/>
  <c r="AH48" i="25"/>
  <c r="AH50" i="25"/>
  <c r="S55" i="25"/>
  <c r="AH61" i="25"/>
  <c r="S131" i="25"/>
  <c r="AH141" i="25"/>
  <c r="AH288" i="25"/>
  <c r="AH292" i="25"/>
  <c r="AH339" i="25"/>
  <c r="S343" i="25"/>
  <c r="AH345" i="25"/>
  <c r="S407" i="25"/>
  <c r="AH466" i="25"/>
  <c r="AH505" i="25"/>
  <c r="AH12" i="25"/>
  <c r="S23" i="25"/>
  <c r="S25" i="25"/>
  <c r="AH52" i="25"/>
  <c r="S94" i="25"/>
  <c r="AH157" i="25"/>
  <c r="AH177" i="25"/>
  <c r="AH196" i="25"/>
  <c r="S239" i="25"/>
  <c r="S245" i="25"/>
  <c r="AH251" i="25"/>
  <c r="AH255" i="25"/>
  <c r="S285" i="25"/>
  <c r="AH357" i="25"/>
  <c r="S359" i="25"/>
  <c r="AH476" i="25"/>
  <c r="AH511" i="25"/>
  <c r="AH515" i="25"/>
  <c r="AH370" i="25"/>
  <c r="S116" i="25"/>
  <c r="S147" i="25"/>
  <c r="AH277" i="25"/>
  <c r="S409" i="25"/>
  <c r="S419" i="25"/>
  <c r="S515" i="25"/>
  <c r="AH113" i="25"/>
  <c r="AH77" i="25"/>
  <c r="AH96" i="25"/>
  <c r="AH106" i="25"/>
  <c r="S134" i="25"/>
  <c r="AH167" i="25"/>
  <c r="S191" i="25"/>
  <c r="AH279" i="25"/>
  <c r="AH283" i="25"/>
  <c r="AH298" i="25"/>
  <c r="S308" i="25"/>
  <c r="AH386" i="25"/>
  <c r="S482" i="25"/>
  <c r="S8" i="25"/>
  <c r="S10" i="25"/>
  <c r="S31" i="25"/>
  <c r="S46" i="25"/>
  <c r="S48" i="25"/>
  <c r="S50" i="25"/>
  <c r="S110" i="25"/>
  <c r="AH122" i="25"/>
  <c r="S132" i="25"/>
  <c r="AH171" i="25"/>
  <c r="AH212" i="25"/>
  <c r="AH267" i="25"/>
  <c r="AH271" i="25"/>
  <c r="S316" i="25"/>
  <c r="AH320" i="25"/>
  <c r="S390" i="25"/>
  <c r="S451" i="25"/>
  <c r="AH492" i="25"/>
  <c r="S496" i="25"/>
  <c r="S123" i="25"/>
  <c r="AH43" i="25"/>
  <c r="AH67" i="25"/>
  <c r="S258" i="25"/>
  <c r="AH263" i="25"/>
  <c r="AH310" i="25"/>
  <c r="AH324" i="25"/>
  <c r="S435" i="25"/>
  <c r="S14" i="25"/>
  <c r="AH28" i="25"/>
  <c r="S35" i="25"/>
  <c r="AH97" i="25"/>
  <c r="AH112" i="25"/>
  <c r="AH128" i="25"/>
  <c r="S148" i="25"/>
  <c r="S150" i="25"/>
  <c r="S181" i="25"/>
  <c r="AH371" i="25"/>
  <c r="AH498" i="25"/>
  <c r="S16" i="25"/>
  <c r="AH45" i="25"/>
  <c r="S71" i="25"/>
  <c r="AH93" i="25"/>
  <c r="AH162" i="25"/>
  <c r="S361" i="25"/>
  <c r="S410" i="25"/>
  <c r="AH447" i="25"/>
  <c r="S502" i="25"/>
  <c r="AH9" i="25"/>
  <c r="AH25" i="25"/>
  <c r="AH41" i="25"/>
  <c r="S78" i="25"/>
  <c r="S144" i="25"/>
  <c r="AH180" i="25"/>
  <c r="AH235" i="25"/>
  <c r="AH247" i="25"/>
  <c r="AH435" i="25"/>
  <c r="AH458" i="25"/>
  <c r="AH20" i="25"/>
  <c r="AH36" i="25"/>
  <c r="AH239" i="25"/>
  <c r="S406" i="25"/>
  <c r="S450" i="25"/>
  <c r="AH228" i="25"/>
  <c r="S234" i="25"/>
  <c r="AH334" i="25"/>
  <c r="S336" i="25"/>
  <c r="AH387" i="25"/>
  <c r="AH22" i="25"/>
  <c r="AH38" i="25"/>
  <c r="S226" i="25"/>
  <c r="S240" i="25"/>
  <c r="S255" i="25"/>
  <c r="AH441" i="25"/>
  <c r="S492" i="25"/>
  <c r="S505" i="25"/>
  <c r="AH31" i="25"/>
  <c r="AH65" i="25"/>
  <c r="AH129" i="25"/>
  <c r="AH188" i="25"/>
  <c r="S228" i="25"/>
  <c r="AH252" i="25"/>
  <c r="S342" i="25"/>
  <c r="AH8" i="25"/>
  <c r="AH40" i="25"/>
  <c r="S203" i="25"/>
  <c r="S374" i="25"/>
  <c r="S460" i="25"/>
  <c r="AH17" i="25"/>
  <c r="AH33" i="25"/>
  <c r="AH49" i="25"/>
  <c r="S384" i="25"/>
  <c r="S426" i="25"/>
  <c r="AH10" i="25"/>
  <c r="AH26" i="25"/>
  <c r="S422" i="25"/>
  <c r="AH19" i="25"/>
  <c r="AH35" i="25"/>
  <c r="S64" i="25"/>
  <c r="AH66" i="25"/>
  <c r="AH118" i="25"/>
  <c r="AH145" i="25"/>
  <c r="S209" i="25"/>
  <c r="S267" i="25"/>
  <c r="S287" i="25"/>
  <c r="AH44" i="25"/>
  <c r="AH62" i="25"/>
  <c r="AH81" i="25"/>
  <c r="S292" i="25"/>
  <c r="S457" i="25"/>
  <c r="AH484" i="25"/>
  <c r="S489" i="25"/>
  <c r="S514" i="25"/>
  <c r="AH21" i="25"/>
  <c r="AH37" i="25"/>
  <c r="AH99" i="25"/>
  <c r="S120" i="25"/>
  <c r="S128" i="25"/>
  <c r="S157" i="25"/>
  <c r="S158" i="25"/>
  <c r="AH176" i="25"/>
  <c r="S200" i="25"/>
  <c r="AH227" i="25"/>
  <c r="S271" i="25"/>
  <c r="S291" i="25"/>
  <c r="AH335" i="25"/>
  <c r="AH425" i="25"/>
  <c r="AH467" i="25"/>
  <c r="S488" i="25"/>
  <c r="S501" i="25"/>
  <c r="AH14" i="25"/>
  <c r="AH30" i="25"/>
  <c r="AH46" i="25"/>
  <c r="AH55" i="25"/>
  <c r="AH64" i="25"/>
  <c r="AH74" i="25"/>
  <c r="AH172" i="25"/>
  <c r="S180" i="25"/>
  <c r="S212" i="25"/>
  <c r="S247" i="25"/>
  <c r="AH268" i="25"/>
  <c r="AH304" i="25"/>
  <c r="AH314" i="25"/>
  <c r="AH316" i="25"/>
  <c r="S339" i="25"/>
  <c r="AH383" i="25"/>
  <c r="S448" i="25"/>
  <c r="S469" i="25"/>
  <c r="AH475" i="25"/>
  <c r="AH23" i="25"/>
  <c r="AH39" i="25"/>
  <c r="AH72" i="25"/>
  <c r="S109" i="25"/>
  <c r="AH197" i="25"/>
  <c r="S227" i="25"/>
  <c r="S229" i="25"/>
  <c r="S241" i="25"/>
  <c r="S289" i="25"/>
  <c r="AH293" i="25"/>
  <c r="S320" i="25"/>
  <c r="AH366" i="25"/>
  <c r="AH368" i="25"/>
  <c r="AH452" i="25"/>
  <c r="S456" i="25"/>
  <c r="AH490" i="25"/>
  <c r="AH32" i="25"/>
  <c r="AH57" i="25"/>
  <c r="AH78" i="25"/>
  <c r="S80" i="25"/>
  <c r="AH82" i="25"/>
  <c r="AH343" i="25"/>
  <c r="S345" i="25"/>
  <c r="S400" i="25"/>
  <c r="S479" i="25"/>
  <c r="AH499" i="25"/>
  <c r="S68" i="25"/>
  <c r="S84" i="25"/>
  <c r="AH92" i="25"/>
  <c r="S92" i="25"/>
  <c r="AH133" i="25"/>
  <c r="S133" i="25"/>
  <c r="AH146" i="25"/>
  <c r="S146" i="25"/>
  <c r="S65" i="25"/>
  <c r="S81" i="25"/>
  <c r="S62" i="25"/>
  <c r="S119" i="25"/>
  <c r="AH132" i="25"/>
  <c r="S59" i="25"/>
  <c r="S75" i="25"/>
  <c r="AH98" i="25"/>
  <c r="AH105" i="25"/>
  <c r="S105" i="25"/>
  <c r="AH139" i="25"/>
  <c r="AH142" i="25"/>
  <c r="S173" i="25"/>
  <c r="AH173" i="25"/>
  <c r="S72" i="25"/>
  <c r="AH108" i="25"/>
  <c r="S108" i="25"/>
  <c r="S136" i="25"/>
  <c r="AH149" i="25"/>
  <c r="S149" i="25"/>
  <c r="AH163" i="25"/>
  <c r="S163" i="25"/>
  <c r="S69" i="25"/>
  <c r="S85" i="25"/>
  <c r="AH88" i="25"/>
  <c r="AH155" i="25"/>
  <c r="S155" i="25"/>
  <c r="AH195" i="25"/>
  <c r="S195" i="25"/>
  <c r="AH89" i="25"/>
  <c r="S89" i="25"/>
  <c r="S66" i="25"/>
  <c r="S82" i="25"/>
  <c r="AH91" i="25"/>
  <c r="S126" i="25"/>
  <c r="S135" i="25"/>
  <c r="AH148" i="25"/>
  <c r="S231" i="25"/>
  <c r="AH231" i="25"/>
  <c r="S63" i="25"/>
  <c r="S79" i="25"/>
  <c r="AH114" i="25"/>
  <c r="AH121" i="25"/>
  <c r="S121" i="25"/>
  <c r="S129" i="25"/>
  <c r="S175" i="25"/>
  <c r="S243" i="25"/>
  <c r="S253" i="25"/>
  <c r="AH253" i="25"/>
  <c r="S73" i="25"/>
  <c r="S87" i="25"/>
  <c r="AH104" i="25"/>
  <c r="S127" i="25"/>
  <c r="S90" i="25"/>
  <c r="AH100" i="25"/>
  <c r="AH107" i="25"/>
  <c r="S151" i="25"/>
  <c r="S104" i="25"/>
  <c r="AH110" i="25"/>
  <c r="AH130" i="25"/>
  <c r="AH137" i="25"/>
  <c r="S137" i="25"/>
  <c r="S145" i="25"/>
  <c r="S93" i="25"/>
  <c r="AH111" i="25"/>
  <c r="AH117" i="25"/>
  <c r="S117" i="25"/>
  <c r="S130" i="25"/>
  <c r="AH140" i="25"/>
  <c r="S140" i="25"/>
  <c r="AH154" i="25"/>
  <c r="S154" i="25"/>
  <c r="AH174" i="25"/>
  <c r="S174" i="25"/>
  <c r="S177" i="25"/>
  <c r="AH208" i="25"/>
  <c r="S208" i="25"/>
  <c r="AH101" i="25"/>
  <c r="S101" i="25"/>
  <c r="AH124" i="25"/>
  <c r="S124" i="25"/>
  <c r="AH86" i="25"/>
  <c r="AH103" i="25"/>
  <c r="AH120" i="25"/>
  <c r="S143" i="25"/>
  <c r="AH153" i="25"/>
  <c r="S153" i="25"/>
  <c r="AH222" i="25"/>
  <c r="S222" i="25"/>
  <c r="AH207" i="25"/>
  <c r="AH243" i="25"/>
  <c r="AH87" i="25"/>
  <c r="S91" i="25"/>
  <c r="S107" i="25"/>
  <c r="AH119" i="25"/>
  <c r="AH135" i="25"/>
  <c r="AH151" i="25"/>
  <c r="S172" i="25"/>
  <c r="S186" i="25"/>
  <c r="AH186" i="25"/>
  <c r="S273" i="25"/>
  <c r="AH273" i="25"/>
  <c r="AH280" i="25"/>
  <c r="S280" i="25"/>
  <c r="S88" i="25"/>
  <c r="AH160" i="25"/>
  <c r="AH210" i="25"/>
  <c r="S210" i="25"/>
  <c r="S221" i="25"/>
  <c r="AH221" i="25"/>
  <c r="AH223" i="25"/>
  <c r="AH179" i="25"/>
  <c r="S179" i="25"/>
  <c r="AH198" i="25"/>
  <c r="S198" i="25"/>
  <c r="S98" i="25"/>
  <c r="S114" i="25"/>
  <c r="AH159" i="25"/>
  <c r="AH185" i="25"/>
  <c r="AH190" i="25"/>
  <c r="S190" i="25"/>
  <c r="S202" i="25"/>
  <c r="AH202" i="25"/>
  <c r="S223" i="25"/>
  <c r="AH230" i="25"/>
  <c r="S230" i="25"/>
  <c r="AH169" i="25"/>
  <c r="S169" i="25"/>
  <c r="AH194" i="25"/>
  <c r="S194" i="25"/>
  <c r="S218" i="25"/>
  <c r="AH218" i="25"/>
  <c r="AH242" i="25"/>
  <c r="S86" i="25"/>
  <c r="S102" i="25"/>
  <c r="S118" i="25"/>
  <c r="S161" i="25"/>
  <c r="S162" i="25"/>
  <c r="AH178" i="25"/>
  <c r="AH201" i="25"/>
  <c r="AH166" i="25"/>
  <c r="S166" i="25"/>
  <c r="S188" i="25"/>
  <c r="AH211" i="25"/>
  <c r="S211" i="25"/>
  <c r="AH220" i="25"/>
  <c r="AH192" i="25"/>
  <c r="S192" i="25"/>
  <c r="AH204" i="25"/>
  <c r="S204" i="25"/>
  <c r="AH175" i="25"/>
  <c r="AH182" i="25"/>
  <c r="S182" i="25"/>
  <c r="AH200" i="25"/>
  <c r="AH165" i="25"/>
  <c r="AH170" i="25"/>
  <c r="S178" i="25"/>
  <c r="AH229" i="25"/>
  <c r="AH236" i="25"/>
  <c r="AH238" i="25"/>
  <c r="S269" i="25"/>
  <c r="AH269" i="25"/>
  <c r="AH258" i="25"/>
  <c r="AH264" i="25"/>
  <c r="S264" i="25"/>
  <c r="AH278" i="25"/>
  <c r="S278" i="25"/>
  <c r="S301" i="25"/>
  <c r="AH301" i="25"/>
  <c r="AH328" i="25"/>
  <c r="S328" i="25"/>
  <c r="AH317" i="25"/>
  <c r="S317" i="25"/>
  <c r="AH248" i="25"/>
  <c r="S248" i="25"/>
  <c r="AH262" i="25"/>
  <c r="S262" i="25"/>
  <c r="S478" i="25"/>
  <c r="AH478" i="25"/>
  <c r="AH217" i="25"/>
  <c r="S217" i="25"/>
  <c r="S282" i="25"/>
  <c r="AH282" i="25"/>
  <c r="AH303" i="25"/>
  <c r="S303" i="25"/>
  <c r="S185" i="25"/>
  <c r="S201" i="25"/>
  <c r="AH246" i="25"/>
  <c r="S246" i="25"/>
  <c r="AH300" i="25"/>
  <c r="S300" i="25"/>
  <c r="AH311" i="25"/>
  <c r="S311" i="25"/>
  <c r="AH233" i="25"/>
  <c r="S233" i="25"/>
  <c r="S266" i="25"/>
  <c r="AH266" i="25"/>
  <c r="S216" i="25"/>
  <c r="S225" i="25"/>
  <c r="AH276" i="25"/>
  <c r="AH308" i="25"/>
  <c r="AH341" i="25"/>
  <c r="S341" i="25"/>
  <c r="AH369" i="25"/>
  <c r="S369" i="25"/>
  <c r="S215" i="25"/>
  <c r="S235" i="25"/>
  <c r="S250" i="25"/>
  <c r="AH250" i="25"/>
  <c r="AH325" i="25"/>
  <c r="S325" i="25"/>
  <c r="S365" i="25"/>
  <c r="AH365" i="25"/>
  <c r="AH214" i="25"/>
  <c r="S214" i="25"/>
  <c r="S224" i="25"/>
  <c r="AH257" i="25"/>
  <c r="AH275" i="25"/>
  <c r="AH213" i="25"/>
  <c r="AH232" i="25"/>
  <c r="AH245" i="25"/>
  <c r="AH265" i="25"/>
  <c r="S270" i="25"/>
  <c r="AH272" i="25"/>
  <c r="AH234" i="25"/>
  <c r="AH241" i="25"/>
  <c r="AH244" i="25"/>
  <c r="AH259" i="25"/>
  <c r="S277" i="25"/>
  <c r="AH305" i="25"/>
  <c r="S305" i="25"/>
  <c r="S318" i="25"/>
  <c r="S237" i="25"/>
  <c r="AH237" i="25"/>
  <c r="AH240" i="25"/>
  <c r="AH249" i="25"/>
  <c r="S254" i="25"/>
  <c r="AH256" i="25"/>
  <c r="AH274" i="25"/>
  <c r="AH347" i="25"/>
  <c r="S347" i="25"/>
  <c r="AH312" i="25"/>
  <c r="AH322" i="25"/>
  <c r="S322" i="25"/>
  <c r="AH306" i="25"/>
  <c r="S306" i="25"/>
  <c r="AH318" i="25"/>
  <c r="S350" i="25"/>
  <c r="S293" i="25"/>
  <c r="AH338" i="25"/>
  <c r="S338" i="25"/>
  <c r="S232" i="25"/>
  <c r="AH291" i="25"/>
  <c r="S304" i="25"/>
  <c r="S381" i="25"/>
  <c r="AH381" i="25"/>
  <c r="AH385" i="25"/>
  <c r="S385" i="25"/>
  <c r="S236" i="25"/>
  <c r="S252" i="25"/>
  <c r="S268" i="25"/>
  <c r="S299" i="25"/>
  <c r="AH331" i="25"/>
  <c r="S331" i="25"/>
  <c r="S249" i="25"/>
  <c r="S265" i="25"/>
  <c r="S281" i="25"/>
  <c r="S312" i="25"/>
  <c r="S334" i="25"/>
  <c r="AH284" i="25"/>
  <c r="S297" i="25"/>
  <c r="AH315" i="25"/>
  <c r="S315" i="25"/>
  <c r="S364" i="25"/>
  <c r="AH364" i="25"/>
  <c r="AH286" i="25"/>
  <c r="AH287" i="25"/>
  <c r="AH295" i="25"/>
  <c r="AH321" i="25"/>
  <c r="S321" i="25"/>
  <c r="AH337" i="25"/>
  <c r="S337" i="25"/>
  <c r="AH340" i="25"/>
  <c r="S340" i="25"/>
  <c r="S389" i="25"/>
  <c r="AH389" i="25"/>
  <c r="S405" i="25"/>
  <c r="AH405" i="25"/>
  <c r="AH432" i="25"/>
  <c r="S432" i="25"/>
  <c r="AH290" i="25"/>
  <c r="S290" i="25"/>
  <c r="S294" i="25"/>
  <c r="AH309" i="25"/>
  <c r="S309" i="25"/>
  <c r="AH327" i="25"/>
  <c r="S380" i="25"/>
  <c r="AH380" i="25"/>
  <c r="AH394" i="25"/>
  <c r="S394" i="25"/>
  <c r="AH319" i="25"/>
  <c r="S319" i="25"/>
  <c r="S403" i="25"/>
  <c r="AH403" i="25"/>
  <c r="S307" i="25"/>
  <c r="S324" i="25"/>
  <c r="AH344" i="25"/>
  <c r="S344" i="25"/>
  <c r="AH350" i="25"/>
  <c r="S423" i="25"/>
  <c r="AH401" i="25"/>
  <c r="S401" i="25"/>
  <c r="AH455" i="25"/>
  <c r="S455" i="25"/>
  <c r="AH506" i="25"/>
  <c r="S506" i="25"/>
  <c r="S357" i="25"/>
  <c r="AH379" i="25"/>
  <c r="S379" i="25"/>
  <c r="AH426" i="25"/>
  <c r="AH352" i="25"/>
  <c r="AH356" i="25"/>
  <c r="S356" i="25"/>
  <c r="AH363" i="25"/>
  <c r="S363" i="25"/>
  <c r="AH388" i="25"/>
  <c r="S388" i="25"/>
  <c r="S383" i="25"/>
  <c r="AH397" i="25"/>
  <c r="S397" i="25"/>
  <c r="AH429" i="25"/>
  <c r="AH503" i="25"/>
  <c r="S503" i="25"/>
  <c r="AH404" i="25"/>
  <c r="S404" i="25"/>
  <c r="S421" i="25"/>
  <c r="AH421" i="25"/>
  <c r="AH372" i="25"/>
  <c r="S372" i="25"/>
  <c r="AH411" i="25"/>
  <c r="S411" i="25"/>
  <c r="S431" i="25"/>
  <c r="AH431" i="25"/>
  <c r="AH378" i="25"/>
  <c r="AH407" i="25"/>
  <c r="AH414" i="25"/>
  <c r="AH424" i="25"/>
  <c r="AH461" i="25"/>
  <c r="S461" i="25"/>
  <c r="S335" i="25"/>
  <c r="S351" i="25"/>
  <c r="AH362" i="25"/>
  <c r="AH376" i="25"/>
  <c r="AH382" i="25"/>
  <c r="AH395" i="25"/>
  <c r="S395" i="25"/>
  <c r="AH417" i="25"/>
  <c r="S417" i="25"/>
  <c r="S352" i="25"/>
  <c r="S353" i="25"/>
  <c r="AH360" i="25"/>
  <c r="S440" i="25"/>
  <c r="AH440" i="25"/>
  <c r="AH473" i="25"/>
  <c r="S371" i="25"/>
  <c r="AH375" i="25"/>
  <c r="AH418" i="25"/>
  <c r="AH420" i="25"/>
  <c r="AH427" i="25"/>
  <c r="S427" i="25"/>
  <c r="AH354" i="25"/>
  <c r="S370" i="25"/>
  <c r="S378" i="25"/>
  <c r="AH423" i="25"/>
  <c r="AH430" i="25"/>
  <c r="AH359" i="25"/>
  <c r="S362" i="25"/>
  <c r="AH398" i="25"/>
  <c r="AH410" i="25"/>
  <c r="S486" i="25"/>
  <c r="AH445" i="25"/>
  <c r="S462" i="25"/>
  <c r="S470" i="25"/>
  <c r="AH486" i="25"/>
  <c r="S441" i="25"/>
  <c r="AH448" i="25"/>
  <c r="AH465" i="25"/>
  <c r="S413" i="25"/>
  <c r="S429" i="25"/>
  <c r="AH451" i="25"/>
  <c r="AH494" i="25"/>
  <c r="S494" i="25"/>
  <c r="AH497" i="25"/>
  <c r="AH500" i="25"/>
  <c r="S420" i="25"/>
  <c r="S445" i="25"/>
  <c r="AH464" i="25"/>
  <c r="AH481" i="25"/>
  <c r="AH471" i="25"/>
  <c r="S471" i="25"/>
  <c r="AH512" i="25"/>
  <c r="S512" i="25"/>
  <c r="S366" i="25"/>
  <c r="S382" i="25"/>
  <c r="S398" i="25"/>
  <c r="S414" i="25"/>
  <c r="S430" i="25"/>
  <c r="AH472" i="25"/>
  <c r="AH477" i="25"/>
  <c r="AH487" i="25"/>
  <c r="S487" i="25"/>
  <c r="S490" i="25"/>
  <c r="AH493" i="25"/>
  <c r="AH496" i="25"/>
  <c r="S360" i="25"/>
  <c r="S376" i="25"/>
  <c r="S392" i="25"/>
  <c r="S408" i="25"/>
  <c r="S424" i="25"/>
  <c r="AH439" i="25"/>
  <c r="S439" i="25"/>
  <c r="S446" i="25"/>
  <c r="AH454" i="25"/>
  <c r="S454" i="25"/>
  <c r="AH488" i="25"/>
  <c r="AH502" i="25"/>
  <c r="AH480" i="25"/>
  <c r="S509" i="25"/>
  <c r="AH449" i="25"/>
  <c r="AH470" i="25"/>
  <c r="AH442" i="25"/>
  <c r="AH459" i="25"/>
  <c r="AH483" i="25"/>
  <c r="AH507" i="25"/>
  <c r="AH433" i="25"/>
  <c r="S433" i="25"/>
  <c r="AH438" i="25"/>
  <c r="AH510" i="25"/>
  <c r="S510" i="25"/>
  <c r="AH513" i="25"/>
  <c r="AH437" i="25"/>
  <c r="AH453" i="25"/>
  <c r="AH469" i="25"/>
  <c r="CG111" i="17"/>
  <c r="CG73" i="17"/>
  <c r="S438" i="25"/>
  <c r="CG315" i="17"/>
  <c r="CG68" i="17"/>
  <c r="CG114" i="17"/>
  <c r="CG15" i="17"/>
  <c r="CG70" i="17"/>
  <c r="CG106" i="17"/>
  <c r="CG139" i="17"/>
  <c r="CG145" i="17"/>
  <c r="S442" i="25"/>
  <c r="S474" i="25"/>
  <c r="CG231" i="17"/>
  <c r="CG373" i="17"/>
  <c r="CG307" i="17"/>
  <c r="CG253" i="17"/>
  <c r="CG343" i="17"/>
  <c r="CG270" i="17"/>
  <c r="CG260" i="17"/>
  <c r="CG110" i="17"/>
  <c r="CG140" i="17"/>
  <c r="CG274" i="17"/>
  <c r="CG138" i="17"/>
  <c r="CG244" i="17"/>
  <c r="CG90" i="17"/>
  <c r="CG107" i="17"/>
  <c r="CG119" i="17"/>
  <c r="CG311" i="17"/>
  <c r="CG369" i="17"/>
  <c r="CG273" i="17"/>
  <c r="CG221" i="17"/>
  <c r="CG339" i="17"/>
  <c r="CG257" i="17"/>
  <c r="CG302" i="17"/>
  <c r="CG76" i="17"/>
  <c r="CG104" i="17"/>
  <c r="CG217" i="17"/>
  <c r="CG142" i="17"/>
  <c r="CG124" i="17"/>
  <c r="CG44" i="17"/>
  <c r="CG99" i="17"/>
  <c r="CG150" i="17"/>
  <c r="S436" i="25"/>
  <c r="S452" i="25"/>
  <c r="S468" i="25"/>
  <c r="S484" i="25"/>
  <c r="S500" i="25"/>
  <c r="CG265" i="17"/>
  <c r="CG365" i="17"/>
  <c r="CG241" i="17"/>
  <c r="CG316" i="17"/>
  <c r="CG335" i="17"/>
  <c r="CG240" i="17"/>
  <c r="CG290" i="17"/>
  <c r="CG72" i="17"/>
  <c r="CG254" i="17"/>
  <c r="CG191" i="17"/>
  <c r="CG266" i="17"/>
  <c r="CG112" i="17"/>
  <c r="CG75" i="17"/>
  <c r="CG91" i="17"/>
  <c r="CG109" i="17"/>
  <c r="S449" i="25"/>
  <c r="S465" i="25"/>
  <c r="S481" i="25"/>
  <c r="S497" i="25"/>
  <c r="S513" i="25"/>
  <c r="CG233" i="17"/>
  <c r="CG361" i="17"/>
  <c r="CG304" i="17"/>
  <c r="CG306" i="17"/>
  <c r="CG331" i="17"/>
  <c r="CG298" i="17"/>
  <c r="CG281" i="17"/>
  <c r="CG47" i="17"/>
  <c r="CG52" i="17"/>
  <c r="CG155" i="17"/>
  <c r="CG259" i="17"/>
  <c r="CG96" i="17"/>
  <c r="CG11" i="17"/>
  <c r="CG67" i="17"/>
  <c r="CG384" i="17"/>
  <c r="CG382" i="17"/>
  <c r="CG380" i="17"/>
  <c r="CG378" i="17"/>
  <c r="CG376" i="17"/>
  <c r="CG374" i="17"/>
  <c r="CG372" i="17"/>
  <c r="CG370" i="17"/>
  <c r="CG368" i="17"/>
  <c r="CG366" i="17"/>
  <c r="CG364" i="17"/>
  <c r="CG362" i="17"/>
  <c r="CG360" i="17"/>
  <c r="CG358" i="17"/>
  <c r="CG356" i="17"/>
  <c r="CG354" i="17"/>
  <c r="CG352" i="17"/>
  <c r="CG350" i="17"/>
  <c r="CG348" i="17"/>
  <c r="CG346" i="17"/>
  <c r="CG344" i="17"/>
  <c r="CG342" i="17"/>
  <c r="CG340" i="17"/>
  <c r="CG338" i="17"/>
  <c r="CG336" i="17"/>
  <c r="CG334" i="17"/>
  <c r="CG332" i="17"/>
  <c r="CG330" i="17"/>
  <c r="CG328" i="17"/>
  <c r="CG326" i="17"/>
  <c r="CG324" i="17"/>
  <c r="CG322" i="17"/>
  <c r="CG320" i="17"/>
  <c r="CG296" i="17"/>
  <c r="CG282" i="17"/>
  <c r="CG250" i="17"/>
  <c r="CG218" i="17"/>
  <c r="CG284" i="17"/>
  <c r="CG252" i="17"/>
  <c r="CG220" i="17"/>
  <c r="CG224" i="17"/>
  <c r="CG262" i="17"/>
  <c r="CG230" i="17"/>
  <c r="CG190" i="17"/>
  <c r="CG236" i="17"/>
  <c r="CG202" i="17"/>
  <c r="CG184" i="17"/>
  <c r="CG212" i="17"/>
  <c r="CG195" i="17"/>
  <c r="CG178" i="17"/>
  <c r="CG175" i="17"/>
  <c r="CG170" i="17"/>
  <c r="CG167" i="17"/>
  <c r="CG162" i="17"/>
  <c r="CG159" i="17"/>
  <c r="CG154" i="17"/>
  <c r="CG208" i="17"/>
  <c r="CG201" i="17"/>
  <c r="CG198" i="17"/>
  <c r="CG192" i="17"/>
  <c r="CG183" i="17"/>
  <c r="CG211" i="17"/>
  <c r="CG278" i="17"/>
  <c r="CG186" i="17"/>
  <c r="CG207" i="17"/>
  <c r="CG204" i="17"/>
  <c r="CG180" i="17"/>
  <c r="CG177" i="17"/>
  <c r="CG172" i="17"/>
  <c r="CG169" i="17"/>
  <c r="CG164" i="17"/>
  <c r="CG161" i="17"/>
  <c r="CG156" i="17"/>
  <c r="CG153" i="17"/>
  <c r="CG214" i="17"/>
  <c r="CG268" i="17"/>
  <c r="CG194" i="17"/>
  <c r="CG185" i="17"/>
  <c r="CG210" i="17"/>
  <c r="CG200" i="17"/>
  <c r="CG188" i="17"/>
  <c r="CG174" i="17"/>
  <c r="CG166" i="17"/>
  <c r="CG199" i="17"/>
  <c r="CG196" i="17"/>
  <c r="CG187" i="17"/>
  <c r="CG176" i="17"/>
  <c r="CG173" i="17"/>
  <c r="CG168" i="17"/>
  <c r="CG165" i="17"/>
  <c r="CG160" i="17"/>
  <c r="CG157" i="17"/>
  <c r="CG152" i="17"/>
  <c r="CG147" i="17"/>
  <c r="CG276" i="17"/>
  <c r="CG193" i="17"/>
  <c r="CG53" i="17"/>
  <c r="CG23" i="17"/>
  <c r="CG17" i="17"/>
  <c r="CG14" i="17"/>
  <c r="CG30" i="17"/>
  <c r="CG58" i="17"/>
  <c r="CG46" i="17"/>
  <c r="CG34" i="17"/>
  <c r="CG27" i="17"/>
  <c r="CG97" i="17"/>
  <c r="CG38" i="17"/>
  <c r="CG24" i="17"/>
  <c r="CG12" i="17"/>
  <c r="CG127" i="17"/>
  <c r="CG40" i="17"/>
  <c r="CG28" i="17"/>
  <c r="CG39" i="17"/>
  <c r="CG133" i="17"/>
  <c r="CG10" i="17"/>
  <c r="CG50" i="17"/>
  <c r="CG213" i="17"/>
  <c r="CG33" i="17"/>
  <c r="CG56" i="17"/>
  <c r="CG246" i="17"/>
  <c r="CG103" i="17"/>
  <c r="CG93" i="17"/>
  <c r="CG26" i="17"/>
  <c r="CG101" i="17"/>
  <c r="CG135" i="17"/>
  <c r="CG113" i="17"/>
  <c r="CG32" i="17"/>
  <c r="CG42" i="17"/>
  <c r="CG209" i="17"/>
  <c r="CG144" i="17"/>
  <c r="CG125" i="17"/>
  <c r="CG117" i="17"/>
  <c r="CG182" i="17"/>
  <c r="CG95" i="17"/>
  <c r="CG83" i="17"/>
  <c r="CG63" i="17"/>
  <c r="CG8" i="17"/>
  <c r="CG206" i="17"/>
  <c r="CG141" i="17"/>
  <c r="CG105" i="17"/>
  <c r="CG81" i="17"/>
  <c r="CG65" i="17"/>
  <c r="CG59" i="17"/>
  <c r="CG308" i="17"/>
  <c r="CG357" i="17"/>
  <c r="CG295" i="17"/>
  <c r="CG287" i="17"/>
  <c r="CG327" i="17"/>
  <c r="CG227" i="17"/>
  <c r="CG264" i="17"/>
  <c r="CG41" i="17"/>
  <c r="CG45" i="17"/>
  <c r="CG126" i="17"/>
  <c r="CG102" i="17"/>
  <c r="CG130" i="17"/>
  <c r="CG137" i="17"/>
  <c r="CG49" i="17"/>
  <c r="CG77" i="17"/>
  <c r="S443" i="25"/>
  <c r="S459" i="25"/>
  <c r="S475" i="25"/>
  <c r="S491" i="25"/>
  <c r="S507" i="25"/>
  <c r="CG293" i="17"/>
  <c r="CG353" i="17"/>
  <c r="CG275" i="17"/>
  <c r="CG255" i="17"/>
  <c r="CG323" i="17"/>
  <c r="CG219" i="17"/>
  <c r="CG251" i="17"/>
  <c r="CG35" i="17"/>
  <c r="CG9" i="17"/>
  <c r="CG51" i="17"/>
  <c r="CG92" i="17"/>
  <c r="CG19" i="17"/>
  <c r="CG55" i="17"/>
  <c r="CG7" i="17"/>
  <c r="CG69" i="17"/>
  <c r="CG267" i="17"/>
  <c r="CG349" i="17"/>
  <c r="CG243" i="17"/>
  <c r="CG223" i="17"/>
  <c r="CG319" i="17"/>
  <c r="CG303" i="17"/>
  <c r="CG238" i="17"/>
  <c r="CG29" i="17"/>
  <c r="CG66" i="17"/>
  <c r="CG86" i="17"/>
  <c r="CG74" i="17"/>
  <c r="CG36" i="17"/>
  <c r="CG43" i="17"/>
  <c r="CG71" i="17"/>
  <c r="CG61" i="17"/>
  <c r="C22" i="27"/>
  <c r="C21" i="27"/>
  <c r="C20" i="27"/>
  <c r="C19" i="27"/>
  <c r="C18" i="27"/>
  <c r="C17" i="27"/>
  <c r="CG235" i="17"/>
  <c r="CG345" i="17"/>
  <c r="CG313" i="17"/>
  <c r="CG379" i="17"/>
  <c r="CG289" i="17"/>
  <c r="CG261" i="17"/>
  <c r="CG225" i="17"/>
  <c r="CG151" i="17"/>
  <c r="CG62" i="17"/>
  <c r="CG203" i="17"/>
  <c r="CG60" i="17"/>
  <c r="CG383" i="17"/>
  <c r="CG121" i="17"/>
  <c r="CG22" i="17"/>
  <c r="CG37" i="17"/>
  <c r="C16" i="27"/>
  <c r="CG318" i="17"/>
  <c r="CG341" i="17"/>
  <c r="CG277" i="17"/>
  <c r="CG375" i="17"/>
  <c r="CG305" i="17"/>
  <c r="CG256" i="17"/>
  <c r="CG272" i="17"/>
  <c r="CG146" i="17"/>
  <c r="CG100" i="17"/>
  <c r="CG149" i="17"/>
  <c r="CG171" i="17"/>
  <c r="CG229" i="17"/>
  <c r="CG87" i="17"/>
  <c r="CG89" i="17"/>
  <c r="CG21" i="17"/>
  <c r="CG269" i="17"/>
  <c r="CG337" i="17"/>
  <c r="CG245" i="17"/>
  <c r="CG371" i="17"/>
  <c r="CG299" i="17"/>
  <c r="CG248" i="17"/>
  <c r="CG312" i="17"/>
  <c r="CG134" i="17"/>
  <c r="CG197" i="17"/>
  <c r="CG132" i="17"/>
  <c r="CG148" i="17"/>
  <c r="CG292" i="17"/>
  <c r="CG18" i="17"/>
  <c r="CG48" i="17"/>
  <c r="CG13" i="17"/>
  <c r="X6" i="25"/>
  <c r="CL385" i="17" l="1"/>
  <c r="CK385" i="17"/>
  <c r="CJ385" i="17"/>
  <c r="CI385" i="17"/>
  <c r="CH385" i="17"/>
  <c r="CL183" i="17"/>
  <c r="CJ106" i="17"/>
  <c r="CL373" i="17"/>
  <c r="CL340" i="17"/>
  <c r="CL280" i="17"/>
  <c r="CI338" i="17"/>
  <c r="CH175" i="17"/>
  <c r="CK68" i="17"/>
  <c r="CL231" i="17"/>
  <c r="CJ331" i="17"/>
  <c r="CI284" i="17"/>
  <c r="CI346" i="17"/>
  <c r="CH195" i="17"/>
  <c r="CL377" i="17"/>
  <c r="CJ160" i="17"/>
  <c r="CL381" i="17"/>
  <c r="CI188" i="17"/>
  <c r="CI180" i="17"/>
  <c r="CL77" i="17"/>
  <c r="CI362" i="17"/>
  <c r="CL131" i="17"/>
  <c r="CK299" i="17"/>
  <c r="CL257" i="17"/>
  <c r="CJ170" i="17"/>
  <c r="CL323" i="17"/>
  <c r="CL310" i="17"/>
  <c r="CI332" i="17"/>
  <c r="CI340" i="17"/>
  <c r="CL369" i="17"/>
  <c r="CJ286" i="17"/>
  <c r="CK373" i="17"/>
  <c r="CH210" i="17"/>
  <c r="CH174" i="17"/>
  <c r="CI349" i="17"/>
  <c r="CK231" i="17"/>
  <c r="CK150" i="17"/>
  <c r="CH130" i="17"/>
  <c r="CK377" i="17"/>
  <c r="CL241" i="17"/>
  <c r="CL335" i="17"/>
  <c r="CI174" i="17"/>
  <c r="CI137" i="17"/>
  <c r="CI289" i="17"/>
  <c r="CH116" i="17"/>
  <c r="CL294" i="17"/>
  <c r="CK233" i="17"/>
  <c r="CI331" i="17"/>
  <c r="CI323" i="17"/>
  <c r="CK116" i="17"/>
  <c r="CL361" i="17"/>
  <c r="CH167" i="17"/>
  <c r="AM6" i="25"/>
  <c r="L7" i="25"/>
  <c r="M7" i="25"/>
  <c r="N7" i="25"/>
  <c r="O7" i="25"/>
  <c r="P7" i="25"/>
  <c r="Q7" i="25"/>
  <c r="CL355" i="17"/>
  <c r="CK355" i="17"/>
  <c r="CJ355" i="17"/>
  <c r="CI355" i="17"/>
  <c r="CH355" i="17"/>
  <c r="CL272" i="17"/>
  <c r="CK272" i="17"/>
  <c r="CH272" i="17"/>
  <c r="CJ272" i="17"/>
  <c r="CI272" i="17"/>
  <c r="CL268" i="17"/>
  <c r="CH131" i="17"/>
  <c r="CH373" i="17"/>
  <c r="CH286" i="17"/>
  <c r="CL371" i="17"/>
  <c r="CK371" i="17"/>
  <c r="CJ371" i="17"/>
  <c r="CI371" i="17"/>
  <c r="CH371" i="17"/>
  <c r="CL307" i="17"/>
  <c r="CK307" i="17"/>
  <c r="CI307" i="17"/>
  <c r="CH307" i="17"/>
  <c r="CJ307" i="17"/>
  <c r="CL93" i="17"/>
  <c r="CK93" i="17"/>
  <c r="CJ93" i="17"/>
  <c r="CI93" i="17"/>
  <c r="CH93" i="17"/>
  <c r="CL135" i="17"/>
  <c r="CK135" i="17"/>
  <c r="CJ135" i="17"/>
  <c r="CI135" i="17"/>
  <c r="CH135" i="17"/>
  <c r="CK108" i="17"/>
  <c r="CJ108" i="17"/>
  <c r="CI108" i="17"/>
  <c r="CH108" i="17"/>
  <c r="CL108" i="17"/>
  <c r="CK98" i="17"/>
  <c r="CJ98" i="17"/>
  <c r="CI98" i="17"/>
  <c r="CH98" i="17"/>
  <c r="CL98" i="17"/>
  <c r="CL228" i="17"/>
  <c r="CK228" i="17"/>
  <c r="CJ228" i="17"/>
  <c r="CI228" i="17"/>
  <c r="CH228" i="17"/>
  <c r="CL216" i="17"/>
  <c r="CK216" i="17"/>
  <c r="CH216" i="17"/>
  <c r="CI216" i="17"/>
  <c r="CJ216" i="17"/>
  <c r="CL211" i="17"/>
  <c r="CK211" i="17"/>
  <c r="CJ211" i="17"/>
  <c r="CI211" i="17"/>
  <c r="CH211" i="17"/>
  <c r="CL304" i="17"/>
  <c r="CK304" i="17"/>
  <c r="CJ304" i="17"/>
  <c r="CI304" i="17"/>
  <c r="CH304" i="17"/>
  <c r="CL383" i="17"/>
  <c r="CK383" i="17"/>
  <c r="CJ383" i="17"/>
  <c r="CI383" i="17"/>
  <c r="CH383" i="17"/>
  <c r="CL306" i="17"/>
  <c r="CK306" i="17"/>
  <c r="CH306" i="17"/>
  <c r="CJ306" i="17"/>
  <c r="CI306" i="17"/>
  <c r="CK96" i="17"/>
  <c r="CJ96" i="17"/>
  <c r="CI96" i="17"/>
  <c r="CH96" i="17"/>
  <c r="CL96" i="17"/>
  <c r="CH296" i="17"/>
  <c r="CL296" i="17"/>
  <c r="CK296" i="17"/>
  <c r="CI296" i="17"/>
  <c r="CJ296" i="17"/>
  <c r="CI106" i="17"/>
  <c r="CJ134" i="17"/>
  <c r="CH361" i="17"/>
  <c r="CK120" i="17"/>
  <c r="CJ120" i="17"/>
  <c r="CI120" i="17"/>
  <c r="CH120" i="17"/>
  <c r="CL120" i="17"/>
  <c r="CI130" i="17"/>
  <c r="CJ132" i="17"/>
  <c r="CK241" i="17"/>
  <c r="CL346" i="17"/>
  <c r="CI131" i="17"/>
  <c r="CK310" i="17"/>
  <c r="CJ167" i="17"/>
  <c r="CH284" i="17"/>
  <c r="CI373" i="17"/>
  <c r="CI286" i="17"/>
  <c r="CI257" i="17"/>
  <c r="CL151" i="17"/>
  <c r="CK151" i="17"/>
  <c r="CI151" i="17"/>
  <c r="CJ151" i="17"/>
  <c r="CH151" i="17"/>
  <c r="CH257" i="17"/>
  <c r="CL321" i="17"/>
  <c r="CK321" i="17"/>
  <c r="CJ321" i="17"/>
  <c r="CI321" i="17"/>
  <c r="CH321" i="17"/>
  <c r="CL73" i="17"/>
  <c r="CK73" i="17"/>
  <c r="CJ73" i="17"/>
  <c r="CH73" i="17"/>
  <c r="CI73" i="17"/>
  <c r="CL89" i="17"/>
  <c r="CK89" i="17"/>
  <c r="CJ89" i="17"/>
  <c r="CI89" i="17"/>
  <c r="CH89" i="17"/>
  <c r="CL275" i="17"/>
  <c r="CK275" i="17"/>
  <c r="CJ275" i="17"/>
  <c r="CI275" i="17"/>
  <c r="CH275" i="17"/>
  <c r="CL327" i="17"/>
  <c r="CK327" i="17"/>
  <c r="CJ327" i="17"/>
  <c r="CI327" i="17"/>
  <c r="CH327" i="17"/>
  <c r="CL316" i="17"/>
  <c r="CK316" i="17"/>
  <c r="CH316" i="17"/>
  <c r="CJ316" i="17"/>
  <c r="CI316" i="17"/>
  <c r="CL147" i="17"/>
  <c r="CK147" i="17"/>
  <c r="CH147" i="17"/>
  <c r="CJ147" i="17"/>
  <c r="CI147" i="17"/>
  <c r="CL85" i="17"/>
  <c r="CK85" i="17"/>
  <c r="CJ85" i="17"/>
  <c r="CH85" i="17"/>
  <c r="CI85" i="17"/>
  <c r="CK110" i="17"/>
  <c r="CJ110" i="17"/>
  <c r="CI110" i="17"/>
  <c r="CH110" i="17"/>
  <c r="CL110" i="17"/>
  <c r="CK239" i="17"/>
  <c r="CJ239" i="17"/>
  <c r="CI239" i="17"/>
  <c r="CH239" i="17"/>
  <c r="CL239" i="17"/>
  <c r="CL221" i="17"/>
  <c r="CJ221" i="17"/>
  <c r="CK221" i="17"/>
  <c r="CI221" i="17"/>
  <c r="CH221" i="17"/>
  <c r="CK214" i="17"/>
  <c r="CJ214" i="17"/>
  <c r="CL214" i="17"/>
  <c r="CI214" i="17"/>
  <c r="CH214" i="17"/>
  <c r="CI336" i="17"/>
  <c r="CL336" i="17"/>
  <c r="CK336" i="17"/>
  <c r="CJ336" i="17"/>
  <c r="CH336" i="17"/>
  <c r="CI358" i="17"/>
  <c r="CK358" i="17"/>
  <c r="CJ358" i="17"/>
  <c r="CH358" i="17"/>
  <c r="CL358" i="17"/>
  <c r="CK124" i="17"/>
  <c r="CJ124" i="17"/>
  <c r="CI124" i="17"/>
  <c r="CH124" i="17"/>
  <c r="CL124" i="17"/>
  <c r="CL176" i="17"/>
  <c r="CK176" i="17"/>
  <c r="CH176" i="17"/>
  <c r="CJ176" i="17"/>
  <c r="CI176" i="17"/>
  <c r="CK190" i="17"/>
  <c r="CH190" i="17"/>
  <c r="CL190" i="17"/>
  <c r="CJ190" i="17"/>
  <c r="CI190" i="17"/>
  <c r="CK134" i="17"/>
  <c r="CI233" i="17"/>
  <c r="CI361" i="17"/>
  <c r="CL367" i="17"/>
  <c r="CK367" i="17"/>
  <c r="CJ367" i="17"/>
  <c r="CI367" i="17"/>
  <c r="CH367" i="17"/>
  <c r="CH323" i="17"/>
  <c r="CJ130" i="17"/>
  <c r="CK132" i="17"/>
  <c r="CH331" i="17"/>
  <c r="CI146" i="17"/>
  <c r="CH346" i="17"/>
  <c r="CJ131" i="17"/>
  <c r="CL116" i="17"/>
  <c r="CJ174" i="17"/>
  <c r="CL150" i="17"/>
  <c r="CJ373" i="17"/>
  <c r="CL287" i="17"/>
  <c r="CK287" i="17"/>
  <c r="CH287" i="17"/>
  <c r="CJ287" i="17"/>
  <c r="CI287" i="17"/>
  <c r="CI132" i="17"/>
  <c r="CL366" i="17"/>
  <c r="CL173" i="17"/>
  <c r="CK173" i="17"/>
  <c r="CI173" i="17"/>
  <c r="CH173" i="17"/>
  <c r="CJ173" i="17"/>
  <c r="CL345" i="17"/>
  <c r="CK345" i="17"/>
  <c r="CJ345" i="17"/>
  <c r="CI345" i="17"/>
  <c r="CH345" i="17"/>
  <c r="CL379" i="17"/>
  <c r="CK379" i="17"/>
  <c r="CJ379" i="17"/>
  <c r="CI379" i="17"/>
  <c r="CH379" i="17"/>
  <c r="CL169" i="17"/>
  <c r="CK169" i="17"/>
  <c r="CI169" i="17"/>
  <c r="CH169" i="17"/>
  <c r="CJ169" i="17"/>
  <c r="CK102" i="17"/>
  <c r="CJ102" i="17"/>
  <c r="CI102" i="17"/>
  <c r="CH102" i="17"/>
  <c r="CL102" i="17"/>
  <c r="CK66" i="17"/>
  <c r="CJ66" i="17"/>
  <c r="CI66" i="17"/>
  <c r="CL66" i="17"/>
  <c r="CH66" i="17"/>
  <c r="CL251" i="17"/>
  <c r="CK251" i="17"/>
  <c r="CJ251" i="17"/>
  <c r="CI251" i="17"/>
  <c r="CH251" i="17"/>
  <c r="CK229" i="17"/>
  <c r="CJ229" i="17"/>
  <c r="CL229" i="17"/>
  <c r="CI229" i="17"/>
  <c r="CH229" i="17"/>
  <c r="CJ222" i="17"/>
  <c r="CI222" i="17"/>
  <c r="CH222" i="17"/>
  <c r="CL222" i="17"/>
  <c r="CK222" i="17"/>
  <c r="CL302" i="17"/>
  <c r="CK302" i="17"/>
  <c r="CJ302" i="17"/>
  <c r="CH302" i="17"/>
  <c r="CI302" i="17"/>
  <c r="CL292" i="17"/>
  <c r="CK292" i="17"/>
  <c r="CJ292" i="17"/>
  <c r="CI292" i="17"/>
  <c r="CH292" i="17"/>
  <c r="CJ269" i="17"/>
  <c r="CI269" i="17"/>
  <c r="CH269" i="17"/>
  <c r="CL269" i="17"/>
  <c r="CK269" i="17"/>
  <c r="CK192" i="17"/>
  <c r="CL192" i="17"/>
  <c r="CJ192" i="17"/>
  <c r="CI192" i="17"/>
  <c r="CH192" i="17"/>
  <c r="CJ175" i="17"/>
  <c r="CI210" i="17"/>
  <c r="CK361" i="17"/>
  <c r="CH301" i="17"/>
  <c r="CJ323" i="17"/>
  <c r="CL140" i="17"/>
  <c r="CJ332" i="17"/>
  <c r="CJ195" i="17"/>
  <c r="CK170" i="17"/>
  <c r="CJ146" i="17"/>
  <c r="CK346" i="17"/>
  <c r="CH68" i="17"/>
  <c r="CK167" i="17"/>
  <c r="CH183" i="17"/>
  <c r="CI116" i="17"/>
  <c r="CL174" i="17"/>
  <c r="CL267" i="17"/>
  <c r="CH366" i="17"/>
  <c r="CK74" i="17"/>
  <c r="CJ74" i="17"/>
  <c r="CI74" i="17"/>
  <c r="CH74" i="17"/>
  <c r="CL74" i="17"/>
  <c r="CL234" i="17"/>
  <c r="CK234" i="17"/>
  <c r="CJ234" i="17"/>
  <c r="CI234" i="17"/>
  <c r="CH234" i="17"/>
  <c r="CL270" i="17"/>
  <c r="CK270" i="17"/>
  <c r="CJ270" i="17"/>
  <c r="CI270" i="17"/>
  <c r="CH270" i="17"/>
  <c r="CK194" i="17"/>
  <c r="CL194" i="17"/>
  <c r="CJ194" i="17"/>
  <c r="CI194" i="17"/>
  <c r="CH194" i="17"/>
  <c r="CJ346" i="17"/>
  <c r="CK62" i="17"/>
  <c r="CJ62" i="17"/>
  <c r="CI62" i="17"/>
  <c r="CL62" i="17"/>
  <c r="CH62" i="17"/>
  <c r="CH218" i="17"/>
  <c r="CL218" i="17"/>
  <c r="CK218" i="17"/>
  <c r="CJ218" i="17"/>
  <c r="CI218" i="17"/>
  <c r="CL232" i="17"/>
  <c r="CK232" i="17"/>
  <c r="CJ232" i="17"/>
  <c r="CI232" i="17"/>
  <c r="CH232" i="17"/>
  <c r="CJ227" i="17"/>
  <c r="CI227" i="17"/>
  <c r="CL227" i="17"/>
  <c r="CK227" i="17"/>
  <c r="CH227" i="17"/>
  <c r="CI334" i="17"/>
  <c r="CK334" i="17"/>
  <c r="CJ334" i="17"/>
  <c r="CH334" i="17"/>
  <c r="CL334" i="17"/>
  <c r="CL285" i="17"/>
  <c r="CK285" i="17"/>
  <c r="CJ285" i="17"/>
  <c r="CI285" i="17"/>
  <c r="CH285" i="17"/>
  <c r="CL156" i="17"/>
  <c r="CK156" i="17"/>
  <c r="CJ156" i="17"/>
  <c r="CH156" i="17"/>
  <c r="CI156" i="17"/>
  <c r="CJ162" i="17"/>
  <c r="CI162" i="17"/>
  <c r="CH162" i="17"/>
  <c r="CK162" i="17"/>
  <c r="CL162" i="17"/>
  <c r="CL210" i="17"/>
  <c r="CL233" i="17"/>
  <c r="CI301" i="17"/>
  <c r="CK323" i="17"/>
  <c r="CH140" i="17"/>
  <c r="CK332" i="17"/>
  <c r="CK331" i="17"/>
  <c r="CH170" i="17"/>
  <c r="CK146" i="17"/>
  <c r="CL68" i="17"/>
  <c r="CH280" i="17"/>
  <c r="CL167" i="17"/>
  <c r="CI183" i="17"/>
  <c r="CJ116" i="17"/>
  <c r="CH349" i="17"/>
  <c r="CJ267" i="17"/>
  <c r="CJ366" i="17"/>
  <c r="CL219" i="17"/>
  <c r="CK219" i="17"/>
  <c r="CI219" i="17"/>
  <c r="CJ219" i="17"/>
  <c r="CH219" i="17"/>
  <c r="CJ233" i="17"/>
  <c r="CL121" i="17"/>
  <c r="CK121" i="17"/>
  <c r="CJ121" i="17"/>
  <c r="CI121" i="17"/>
  <c r="CH121" i="17"/>
  <c r="CL347" i="17"/>
  <c r="CK347" i="17"/>
  <c r="CJ347" i="17"/>
  <c r="CI347" i="17"/>
  <c r="CH347" i="17"/>
  <c r="CK196" i="17"/>
  <c r="CJ196" i="17"/>
  <c r="CL196" i="17"/>
  <c r="CI196" i="17"/>
  <c r="CH196" i="17"/>
  <c r="CL185" i="17"/>
  <c r="CK185" i="17"/>
  <c r="CI185" i="17"/>
  <c r="CH185" i="17"/>
  <c r="CJ185" i="17"/>
  <c r="CL75" i="17"/>
  <c r="CK75" i="17"/>
  <c r="CJ75" i="17"/>
  <c r="CI75" i="17"/>
  <c r="CH75" i="17"/>
  <c r="CL226" i="17"/>
  <c r="CK226" i="17"/>
  <c r="CJ226" i="17"/>
  <c r="CI226" i="17"/>
  <c r="CH226" i="17"/>
  <c r="CK256" i="17"/>
  <c r="CJ256" i="17"/>
  <c r="CI256" i="17"/>
  <c r="CH256" i="17"/>
  <c r="CL256" i="17"/>
  <c r="CL230" i="17"/>
  <c r="CK230" i="17"/>
  <c r="CJ230" i="17"/>
  <c r="CI230" i="17"/>
  <c r="CH230" i="17"/>
  <c r="CI348" i="17"/>
  <c r="CL348" i="17"/>
  <c r="CK348" i="17"/>
  <c r="CJ348" i="17"/>
  <c r="CH348" i="17"/>
  <c r="CI368" i="17"/>
  <c r="CL368" i="17"/>
  <c r="CK368" i="17"/>
  <c r="CJ368" i="17"/>
  <c r="CH368" i="17"/>
  <c r="CK128" i="17"/>
  <c r="CJ128" i="17"/>
  <c r="CI128" i="17"/>
  <c r="CH128" i="17"/>
  <c r="CL128" i="17"/>
  <c r="CJ312" i="17"/>
  <c r="CI312" i="17"/>
  <c r="CH312" i="17"/>
  <c r="CL312" i="17"/>
  <c r="CK312" i="17"/>
  <c r="CI175" i="17"/>
  <c r="CJ210" i="17"/>
  <c r="CH233" i="17"/>
  <c r="CH369" i="17"/>
  <c r="CK301" i="17"/>
  <c r="CI140" i="17"/>
  <c r="CL332" i="17"/>
  <c r="CL331" i="17"/>
  <c r="CI195" i="17"/>
  <c r="CI170" i="17"/>
  <c r="CL146" i="17"/>
  <c r="CL362" i="17"/>
  <c r="CI68" i="17"/>
  <c r="CI280" i="17"/>
  <c r="CH77" i="17"/>
  <c r="CK183" i="17"/>
  <c r="CH267" i="17"/>
  <c r="CK366" i="17"/>
  <c r="CL97" i="17"/>
  <c r="CK97" i="17"/>
  <c r="CJ97" i="17"/>
  <c r="CH97" i="17"/>
  <c r="CI97" i="17"/>
  <c r="CI350" i="17"/>
  <c r="CK350" i="17"/>
  <c r="CJ350" i="17"/>
  <c r="CH350" i="17"/>
  <c r="CL350" i="17"/>
  <c r="CK335" i="17"/>
  <c r="CL65" i="17"/>
  <c r="CK65" i="17"/>
  <c r="CJ65" i="17"/>
  <c r="CI65" i="17"/>
  <c r="CH65" i="17"/>
  <c r="CL279" i="17"/>
  <c r="CK279" i="17"/>
  <c r="CJ279" i="17"/>
  <c r="CI279" i="17"/>
  <c r="CH279" i="17"/>
  <c r="CJ361" i="17"/>
  <c r="CL170" i="17"/>
  <c r="CK267" i="17"/>
  <c r="CK70" i="17"/>
  <c r="CJ70" i="17"/>
  <c r="CI70" i="17"/>
  <c r="CL70" i="17"/>
  <c r="CH70" i="17"/>
  <c r="CL177" i="17"/>
  <c r="CK177" i="17"/>
  <c r="CI177" i="17"/>
  <c r="CH177" i="17"/>
  <c r="CJ177" i="17"/>
  <c r="CI344" i="17"/>
  <c r="CL344" i="17"/>
  <c r="CK344" i="17"/>
  <c r="CJ344" i="17"/>
  <c r="CH344" i="17"/>
  <c r="CK223" i="17"/>
  <c r="CH223" i="17"/>
  <c r="CJ223" i="17"/>
  <c r="CI223" i="17"/>
  <c r="CL223" i="17"/>
  <c r="CK112" i="17"/>
  <c r="CJ112" i="17"/>
  <c r="CI112" i="17"/>
  <c r="CH112" i="17"/>
  <c r="CL112" i="17"/>
  <c r="CK200" i="17"/>
  <c r="CJ200" i="17"/>
  <c r="CL200" i="17"/>
  <c r="CI200" i="17"/>
  <c r="CH200" i="17"/>
  <c r="CL201" i="17"/>
  <c r="CK201" i="17"/>
  <c r="CI201" i="17"/>
  <c r="CH201" i="17"/>
  <c r="CJ201" i="17"/>
  <c r="CL255" i="17"/>
  <c r="CK255" i="17"/>
  <c r="CH255" i="17"/>
  <c r="CJ255" i="17"/>
  <c r="CI255" i="17"/>
  <c r="CL113" i="17"/>
  <c r="CK113" i="17"/>
  <c r="CJ113" i="17"/>
  <c r="CH113" i="17"/>
  <c r="CI113" i="17"/>
  <c r="CI59" i="17"/>
  <c r="CH59" i="17"/>
  <c r="CK59" i="17"/>
  <c r="CL59" i="17"/>
  <c r="CJ59" i="17"/>
  <c r="CK261" i="17"/>
  <c r="CJ261" i="17"/>
  <c r="CL261" i="17"/>
  <c r="CI261" i="17"/>
  <c r="CH261" i="17"/>
  <c r="CL91" i="17"/>
  <c r="CK91" i="17"/>
  <c r="CJ91" i="17"/>
  <c r="CH91" i="17"/>
  <c r="CI91" i="17"/>
  <c r="CL105" i="17"/>
  <c r="CK105" i="17"/>
  <c r="CJ105" i="17"/>
  <c r="CH105" i="17"/>
  <c r="CI105" i="17"/>
  <c r="CL240" i="17"/>
  <c r="CK240" i="17"/>
  <c r="CH240" i="17"/>
  <c r="CJ240" i="17"/>
  <c r="CI240" i="17"/>
  <c r="CJ259" i="17"/>
  <c r="CI259" i="17"/>
  <c r="CL259" i="17"/>
  <c r="CK259" i="17"/>
  <c r="CH259" i="17"/>
  <c r="CL247" i="17"/>
  <c r="CK247" i="17"/>
  <c r="CJ247" i="17"/>
  <c r="CI247" i="17"/>
  <c r="CH247" i="17"/>
  <c r="CI372" i="17"/>
  <c r="CL372" i="17"/>
  <c r="CK372" i="17"/>
  <c r="CJ372" i="17"/>
  <c r="CH372" i="17"/>
  <c r="CL293" i="17"/>
  <c r="CI293" i="17"/>
  <c r="CH293" i="17"/>
  <c r="CK293" i="17"/>
  <c r="CJ293" i="17"/>
  <c r="CI354" i="17"/>
  <c r="CK354" i="17"/>
  <c r="CJ354" i="17"/>
  <c r="CH354" i="17"/>
  <c r="CL354" i="17"/>
  <c r="CI322" i="17"/>
  <c r="CK322" i="17"/>
  <c r="CJ322" i="17"/>
  <c r="CH322" i="17"/>
  <c r="CL322" i="17"/>
  <c r="CK175" i="17"/>
  <c r="CK210" i="17"/>
  <c r="CH343" i="17"/>
  <c r="CI369" i="17"/>
  <c r="CL301" i="17"/>
  <c r="CJ140" i="17"/>
  <c r="CH381" i="17"/>
  <c r="CK195" i="17"/>
  <c r="CH352" i="17"/>
  <c r="CH362" i="17"/>
  <c r="CJ68" i="17"/>
  <c r="CJ280" i="17"/>
  <c r="CI77" i="17"/>
  <c r="CJ291" i="17"/>
  <c r="CH337" i="17"/>
  <c r="CJ349" i="17"/>
  <c r="CI267" i="17"/>
  <c r="CI366" i="17"/>
  <c r="CI109" i="17"/>
  <c r="CL115" i="17"/>
  <c r="CK115" i="17"/>
  <c r="CJ115" i="17"/>
  <c r="CH115" i="17"/>
  <c r="CI115" i="17"/>
  <c r="CK206" i="17"/>
  <c r="CJ206" i="17"/>
  <c r="CL206" i="17"/>
  <c r="CI206" i="17"/>
  <c r="CH206" i="17"/>
  <c r="CK142" i="17"/>
  <c r="CJ142" i="17"/>
  <c r="CI142" i="17"/>
  <c r="CH142" i="17"/>
  <c r="CL142" i="17"/>
  <c r="CL353" i="17"/>
  <c r="CJ150" i="17"/>
  <c r="CL248" i="17"/>
  <c r="CK248" i="17"/>
  <c r="CJ248" i="17"/>
  <c r="CI248" i="17"/>
  <c r="CH248" i="17"/>
  <c r="CK106" i="17"/>
  <c r="CI167" i="17"/>
  <c r="CK80" i="17"/>
  <c r="CJ80" i="17"/>
  <c r="CI80" i="17"/>
  <c r="CH80" i="17"/>
  <c r="CL80" i="17"/>
  <c r="CL245" i="17"/>
  <c r="CK245" i="17"/>
  <c r="CJ245" i="17"/>
  <c r="CI245" i="17"/>
  <c r="CH245" i="17"/>
  <c r="CI252" i="17"/>
  <c r="CH252" i="17"/>
  <c r="CL252" i="17"/>
  <c r="CK252" i="17"/>
  <c r="CJ252" i="17"/>
  <c r="CL238" i="17"/>
  <c r="CK238" i="17"/>
  <c r="CJ238" i="17"/>
  <c r="CI238" i="17"/>
  <c r="CH238" i="17"/>
  <c r="CL264" i="17"/>
  <c r="CK264" i="17"/>
  <c r="CJ264" i="17"/>
  <c r="CI264" i="17"/>
  <c r="CH264" i="17"/>
  <c r="CI374" i="17"/>
  <c r="CK374" i="17"/>
  <c r="CJ374" i="17"/>
  <c r="CH374" i="17"/>
  <c r="CL374" i="17"/>
  <c r="CL119" i="17"/>
  <c r="CK119" i="17"/>
  <c r="CJ119" i="17"/>
  <c r="CI119" i="17"/>
  <c r="CH119" i="17"/>
  <c r="CL309" i="17"/>
  <c r="CK309" i="17"/>
  <c r="CI309" i="17"/>
  <c r="CH309" i="17"/>
  <c r="CJ309" i="17"/>
  <c r="CL175" i="17"/>
  <c r="CL136" i="17"/>
  <c r="CI343" i="17"/>
  <c r="CJ369" i="17"/>
  <c r="CJ299" i="17"/>
  <c r="CL125" i="17"/>
  <c r="CK125" i="17"/>
  <c r="CJ125" i="17"/>
  <c r="CI125" i="17"/>
  <c r="CH125" i="17"/>
  <c r="CK140" i="17"/>
  <c r="CJ274" i="17"/>
  <c r="CI381" i="17"/>
  <c r="CL195" i="17"/>
  <c r="CH160" i="17"/>
  <c r="CJ352" i="17"/>
  <c r="CJ362" i="17"/>
  <c r="CK280" i="17"/>
  <c r="CJ77" i="17"/>
  <c r="CK291" i="17"/>
  <c r="CL338" i="17"/>
  <c r="CI337" i="17"/>
  <c r="CK349" i="17"/>
  <c r="CH315" i="17"/>
  <c r="CH109" i="17"/>
  <c r="CL298" i="17"/>
  <c r="CK298" i="17"/>
  <c r="CJ298" i="17"/>
  <c r="CI298" i="17"/>
  <c r="CH298" i="17"/>
  <c r="CI294" i="17"/>
  <c r="CK224" i="17"/>
  <c r="CJ224" i="17"/>
  <c r="CI224" i="17"/>
  <c r="CH224" i="17"/>
  <c r="CL224" i="17"/>
  <c r="CK131" i="17"/>
  <c r="CL111" i="17"/>
  <c r="CK111" i="17"/>
  <c r="CJ111" i="17"/>
  <c r="CH111" i="17"/>
  <c r="CI111" i="17"/>
  <c r="CK84" i="17"/>
  <c r="CJ84" i="17"/>
  <c r="CI84" i="17"/>
  <c r="CH84" i="17"/>
  <c r="CL84" i="17"/>
  <c r="CK92" i="17"/>
  <c r="CJ92" i="17"/>
  <c r="CI92" i="17"/>
  <c r="CH92" i="17"/>
  <c r="CL92" i="17"/>
  <c r="CI328" i="17"/>
  <c r="CL328" i="17"/>
  <c r="CK328" i="17"/>
  <c r="CJ328" i="17"/>
  <c r="CH328" i="17"/>
  <c r="CL262" i="17"/>
  <c r="CK262" i="17"/>
  <c r="CJ262" i="17"/>
  <c r="CI262" i="17"/>
  <c r="CH262" i="17"/>
  <c r="CI330" i="17"/>
  <c r="CK330" i="17"/>
  <c r="CJ330" i="17"/>
  <c r="CH330" i="17"/>
  <c r="CL330" i="17"/>
  <c r="CL236" i="17"/>
  <c r="CK236" i="17"/>
  <c r="CJ236" i="17"/>
  <c r="CI236" i="17"/>
  <c r="CH236" i="17"/>
  <c r="CI376" i="17"/>
  <c r="CL376" i="17"/>
  <c r="CK376" i="17"/>
  <c r="CJ376" i="17"/>
  <c r="CH376" i="17"/>
  <c r="CL63" i="17"/>
  <c r="CK63" i="17"/>
  <c r="CJ63" i="17"/>
  <c r="CH63" i="17"/>
  <c r="CI63" i="17"/>
  <c r="CL317" i="17"/>
  <c r="CK317" i="17"/>
  <c r="CJ317" i="17"/>
  <c r="CI317" i="17"/>
  <c r="CH317" i="17"/>
  <c r="CL305" i="17"/>
  <c r="CK305" i="17"/>
  <c r="CI305" i="17"/>
  <c r="CH305" i="17"/>
  <c r="CJ305" i="17"/>
  <c r="CH215" i="17"/>
  <c r="CH136" i="17"/>
  <c r="CJ343" i="17"/>
  <c r="CK369" i="17"/>
  <c r="CH299" i="17"/>
  <c r="CL163" i="17"/>
  <c r="CK163" i="17"/>
  <c r="CI163" i="17"/>
  <c r="CH163" i="17"/>
  <c r="CJ163" i="17"/>
  <c r="CH172" i="17"/>
  <c r="CK274" i="17"/>
  <c r="CJ381" i="17"/>
  <c r="CJ181" i="17"/>
  <c r="CI160" i="17"/>
  <c r="CK352" i="17"/>
  <c r="CK362" i="17"/>
  <c r="CH168" i="17"/>
  <c r="CK77" i="17"/>
  <c r="CH291" i="17"/>
  <c r="CH338" i="17"/>
  <c r="CJ337" i="17"/>
  <c r="CL349" i="17"/>
  <c r="CI315" i="17"/>
  <c r="CI83" i="17"/>
  <c r="CJ109" i="17"/>
  <c r="CK184" i="17"/>
  <c r="CH184" i="17"/>
  <c r="CI184" i="17"/>
  <c r="CL184" i="17"/>
  <c r="CJ184" i="17"/>
  <c r="CK114" i="17"/>
  <c r="CJ114" i="17"/>
  <c r="CI114" i="17"/>
  <c r="CH114" i="17"/>
  <c r="CL114" i="17"/>
  <c r="CL277" i="17"/>
  <c r="CK277" i="17"/>
  <c r="CJ277" i="17"/>
  <c r="CI277" i="17"/>
  <c r="CH277" i="17"/>
  <c r="CL144" i="17"/>
  <c r="CK144" i="17"/>
  <c r="CJ144" i="17"/>
  <c r="CI144" i="17"/>
  <c r="CH144" i="17"/>
  <c r="CL129" i="17"/>
  <c r="CK129" i="17"/>
  <c r="CJ129" i="17"/>
  <c r="CI129" i="17"/>
  <c r="CH129" i="17"/>
  <c r="CL117" i="17"/>
  <c r="CK117" i="17"/>
  <c r="CJ117" i="17"/>
  <c r="CI117" i="17"/>
  <c r="CH117" i="17"/>
  <c r="CL165" i="17"/>
  <c r="CK165" i="17"/>
  <c r="CI165" i="17"/>
  <c r="CH165" i="17"/>
  <c r="CJ165" i="17"/>
  <c r="CL179" i="17"/>
  <c r="CK179" i="17"/>
  <c r="CI179" i="17"/>
  <c r="CH179" i="17"/>
  <c r="CJ179" i="17"/>
  <c r="CL199" i="17"/>
  <c r="CK199" i="17"/>
  <c r="CI199" i="17"/>
  <c r="CH199" i="17"/>
  <c r="CJ199" i="17"/>
  <c r="CJ237" i="17"/>
  <c r="CI237" i="17"/>
  <c r="CH237" i="17"/>
  <c r="CL237" i="17"/>
  <c r="CK237" i="17"/>
  <c r="CL263" i="17"/>
  <c r="CK263" i="17"/>
  <c r="CJ263" i="17"/>
  <c r="CI263" i="17"/>
  <c r="CH263" i="17"/>
  <c r="CJ254" i="17"/>
  <c r="CI254" i="17"/>
  <c r="CH254" i="17"/>
  <c r="CL254" i="17"/>
  <c r="CK254" i="17"/>
  <c r="CI378" i="17"/>
  <c r="CK378" i="17"/>
  <c r="CJ378" i="17"/>
  <c r="CH378" i="17"/>
  <c r="CL378" i="17"/>
  <c r="CL148" i="17"/>
  <c r="CJ148" i="17"/>
  <c r="CI148" i="17"/>
  <c r="CH148" i="17"/>
  <c r="CK148" i="17"/>
  <c r="CL273" i="17"/>
  <c r="CK273" i="17"/>
  <c r="CJ273" i="17"/>
  <c r="CI273" i="17"/>
  <c r="CH273" i="17"/>
  <c r="CL359" i="17"/>
  <c r="CK359" i="17"/>
  <c r="CJ359" i="17"/>
  <c r="CI359" i="17"/>
  <c r="CH359" i="17"/>
  <c r="CI215" i="17"/>
  <c r="CI136" i="17"/>
  <c r="CK343" i="17"/>
  <c r="CI299" i="17"/>
  <c r="CH188" i="17"/>
  <c r="CI172" i="17"/>
  <c r="CH274" i="17"/>
  <c r="CK381" i="17"/>
  <c r="CH181" i="17"/>
  <c r="CL352" i="17"/>
  <c r="CI168" i="17"/>
  <c r="CH137" i="17"/>
  <c r="CI291" i="17"/>
  <c r="CJ338" i="17"/>
  <c r="CK337" i="17"/>
  <c r="CJ315" i="17"/>
  <c r="CH83" i="17"/>
  <c r="CK109" i="17"/>
  <c r="CI370" i="17"/>
  <c r="CK370" i="17"/>
  <c r="CJ370" i="17"/>
  <c r="CH370" i="17"/>
  <c r="CL370" i="17"/>
  <c r="CH106" i="17"/>
  <c r="CL295" i="17"/>
  <c r="CI295" i="17"/>
  <c r="CH295" i="17"/>
  <c r="CK295" i="17"/>
  <c r="CJ295" i="17"/>
  <c r="CL69" i="17"/>
  <c r="CK69" i="17"/>
  <c r="CJ69" i="17"/>
  <c r="CI69" i="17"/>
  <c r="CH69" i="17"/>
  <c r="CK126" i="17"/>
  <c r="CJ126" i="17"/>
  <c r="CI126" i="17"/>
  <c r="CH126" i="17"/>
  <c r="CL126" i="17"/>
  <c r="CK64" i="17"/>
  <c r="CI64" i="17"/>
  <c r="CJ64" i="17"/>
  <c r="CL64" i="17"/>
  <c r="CH64" i="17"/>
  <c r="CK204" i="17"/>
  <c r="CJ204" i="17"/>
  <c r="CL204" i="17"/>
  <c r="CI204" i="17"/>
  <c r="CH204" i="17"/>
  <c r="CK246" i="17"/>
  <c r="CJ246" i="17"/>
  <c r="CL246" i="17"/>
  <c r="CI246" i="17"/>
  <c r="CH246" i="17"/>
  <c r="CI235" i="17"/>
  <c r="CH235" i="17"/>
  <c r="CL235" i="17"/>
  <c r="CK235" i="17"/>
  <c r="CJ235" i="17"/>
  <c r="CK288" i="17"/>
  <c r="CJ288" i="17"/>
  <c r="CI288" i="17"/>
  <c r="CH288" i="17"/>
  <c r="CL288" i="17"/>
  <c r="CI380" i="17"/>
  <c r="CL380" i="17"/>
  <c r="CK380" i="17"/>
  <c r="CJ380" i="17"/>
  <c r="CH380" i="17"/>
  <c r="CL311" i="17"/>
  <c r="CK311" i="17"/>
  <c r="CI311" i="17"/>
  <c r="CH311" i="17"/>
  <c r="CJ311" i="17"/>
  <c r="CL161" i="17"/>
  <c r="CK161" i="17"/>
  <c r="CI161" i="17"/>
  <c r="CH161" i="17"/>
  <c r="CJ161" i="17"/>
  <c r="CL325" i="17"/>
  <c r="CK325" i="17"/>
  <c r="CJ325" i="17"/>
  <c r="CI325" i="17"/>
  <c r="CH325" i="17"/>
  <c r="CJ215" i="17"/>
  <c r="CJ136" i="17"/>
  <c r="CL343" i="17"/>
  <c r="CL197" i="17"/>
  <c r="CK197" i="17"/>
  <c r="CI197" i="17"/>
  <c r="CH197" i="17"/>
  <c r="CJ197" i="17"/>
  <c r="CJ172" i="17"/>
  <c r="CI274" i="17"/>
  <c r="CI181" i="17"/>
  <c r="CK160" i="17"/>
  <c r="CI352" i="17"/>
  <c r="CJ289" i="17"/>
  <c r="CH180" i="17"/>
  <c r="CJ168" i="17"/>
  <c r="CL291" i="17"/>
  <c r="CK338" i="17"/>
  <c r="CL337" i="17"/>
  <c r="CK315" i="17"/>
  <c r="CJ83" i="17"/>
  <c r="CL72" i="17"/>
  <c r="CL109" i="17"/>
  <c r="CL213" i="17"/>
  <c r="CK213" i="17"/>
  <c r="CJ213" i="17"/>
  <c r="CI213" i="17"/>
  <c r="CH213" i="17"/>
  <c r="CL166" i="17"/>
  <c r="CK166" i="17"/>
  <c r="CJ166" i="17"/>
  <c r="CI166" i="17"/>
  <c r="CH166" i="17"/>
  <c r="CL141" i="17"/>
  <c r="CK141" i="17"/>
  <c r="CJ141" i="17"/>
  <c r="CI141" i="17"/>
  <c r="CH141" i="17"/>
  <c r="CJ301" i="17"/>
  <c r="CL152" i="17"/>
  <c r="CK152" i="17"/>
  <c r="CI152" i="17"/>
  <c r="CH152" i="17"/>
  <c r="CJ152" i="17"/>
  <c r="CL107" i="17"/>
  <c r="CK107" i="17"/>
  <c r="CJ107" i="17"/>
  <c r="CH107" i="17"/>
  <c r="CI107" i="17"/>
  <c r="CL95" i="17"/>
  <c r="CK95" i="17"/>
  <c r="CJ95" i="17"/>
  <c r="CH95" i="17"/>
  <c r="CI95" i="17"/>
  <c r="CL187" i="17"/>
  <c r="CK187" i="17"/>
  <c r="CI187" i="17"/>
  <c r="CH187" i="17"/>
  <c r="CJ187" i="17"/>
  <c r="CL300" i="17"/>
  <c r="CK300" i="17"/>
  <c r="CJ300" i="17"/>
  <c r="CI300" i="17"/>
  <c r="CH300" i="17"/>
  <c r="CL357" i="17"/>
  <c r="CK357" i="17"/>
  <c r="CJ357" i="17"/>
  <c r="CI357" i="17"/>
  <c r="CH357" i="17"/>
  <c r="CL341" i="17"/>
  <c r="CK341" i="17"/>
  <c r="CJ341" i="17"/>
  <c r="CI341" i="17"/>
  <c r="CH341" i="17"/>
  <c r="CK138" i="17"/>
  <c r="CJ138" i="17"/>
  <c r="CI138" i="17"/>
  <c r="CH138" i="17"/>
  <c r="CL138" i="17"/>
  <c r="CK61" i="17"/>
  <c r="CJ61" i="17"/>
  <c r="CI61" i="17"/>
  <c r="CH61" i="17"/>
  <c r="CL61" i="17"/>
  <c r="CL189" i="17"/>
  <c r="CK189" i="17"/>
  <c r="CI189" i="17"/>
  <c r="CH189" i="17"/>
  <c r="CJ189" i="17"/>
  <c r="CL157" i="17"/>
  <c r="CK157" i="17"/>
  <c r="CI157" i="17"/>
  <c r="CH157" i="17"/>
  <c r="CJ157" i="17"/>
  <c r="CL153" i="17"/>
  <c r="CK153" i="17"/>
  <c r="CI153" i="17"/>
  <c r="CH153" i="17"/>
  <c r="CJ153" i="17"/>
  <c r="CK76" i="17"/>
  <c r="CJ76" i="17"/>
  <c r="CI76" i="17"/>
  <c r="CH76" i="17"/>
  <c r="CL76" i="17"/>
  <c r="CL209" i="17"/>
  <c r="CK209" i="17"/>
  <c r="CJ209" i="17"/>
  <c r="CI209" i="17"/>
  <c r="CH209" i="17"/>
  <c r="CI320" i="17"/>
  <c r="CL320" i="17"/>
  <c r="CK320" i="17"/>
  <c r="CJ320" i="17"/>
  <c r="CH320" i="17"/>
  <c r="CJ244" i="17"/>
  <c r="CI244" i="17"/>
  <c r="CL244" i="17"/>
  <c r="CK244" i="17"/>
  <c r="CH244" i="17"/>
  <c r="CL242" i="17"/>
  <c r="CI242" i="17"/>
  <c r="CH242" i="17"/>
  <c r="CK242" i="17"/>
  <c r="CJ242" i="17"/>
  <c r="CK382" i="17"/>
  <c r="CI382" i="17"/>
  <c r="CL382" i="17"/>
  <c r="CJ382" i="17"/>
  <c r="CH382" i="17"/>
  <c r="CL207" i="17"/>
  <c r="CK207" i="17"/>
  <c r="CJ207" i="17"/>
  <c r="CI207" i="17"/>
  <c r="CH207" i="17"/>
  <c r="CK143" i="17"/>
  <c r="CL143" i="17"/>
  <c r="CJ143" i="17"/>
  <c r="CI143" i="17"/>
  <c r="CH143" i="17"/>
  <c r="CL283" i="17"/>
  <c r="CK283" i="17"/>
  <c r="CJ283" i="17"/>
  <c r="CI283" i="17"/>
  <c r="CH283" i="17"/>
  <c r="CK215" i="17"/>
  <c r="CK136" i="17"/>
  <c r="CH268" i="17"/>
  <c r="CL191" i="17"/>
  <c r="CK191" i="17"/>
  <c r="CI191" i="17"/>
  <c r="CH191" i="17"/>
  <c r="CJ191" i="17"/>
  <c r="CL299" i="17"/>
  <c r="CJ188" i="17"/>
  <c r="CK172" i="17"/>
  <c r="CL274" i="17"/>
  <c r="CH353" i="17"/>
  <c r="CK181" i="17"/>
  <c r="CL160" i="17"/>
  <c r="CH278" i="17"/>
  <c r="CK289" i="17"/>
  <c r="CK168" i="17"/>
  <c r="CJ137" i="17"/>
  <c r="CL315" i="17"/>
  <c r="CK83" i="17"/>
  <c r="CI72" i="17"/>
  <c r="CL225" i="17"/>
  <c r="CI225" i="17"/>
  <c r="CH225" i="17"/>
  <c r="CK225" i="17"/>
  <c r="CJ225" i="17"/>
  <c r="CJ310" i="17"/>
  <c r="CH146" i="17"/>
  <c r="CK100" i="17"/>
  <c r="CJ100" i="17"/>
  <c r="CI100" i="17"/>
  <c r="CH100" i="17"/>
  <c r="CL100" i="17"/>
  <c r="CL319" i="17"/>
  <c r="CK319" i="17"/>
  <c r="CJ319" i="17"/>
  <c r="CI319" i="17"/>
  <c r="CH319" i="17"/>
  <c r="CI360" i="17"/>
  <c r="CL360" i="17"/>
  <c r="CK360" i="17"/>
  <c r="CJ360" i="17"/>
  <c r="CH360" i="17"/>
  <c r="CL203" i="17"/>
  <c r="CK203" i="17"/>
  <c r="CI203" i="17"/>
  <c r="CH203" i="17"/>
  <c r="CJ203" i="17"/>
  <c r="CK186" i="17"/>
  <c r="CL186" i="17"/>
  <c r="CJ186" i="17"/>
  <c r="CI186" i="17"/>
  <c r="CH186" i="17"/>
  <c r="CI364" i="17"/>
  <c r="CL364" i="17"/>
  <c r="CK364" i="17"/>
  <c r="CJ364" i="17"/>
  <c r="CH364" i="17"/>
  <c r="CL133" i="17"/>
  <c r="CK133" i="17"/>
  <c r="CJ133" i="17"/>
  <c r="CI133" i="17"/>
  <c r="CH133" i="17"/>
  <c r="CL351" i="17"/>
  <c r="CK351" i="17"/>
  <c r="CJ351" i="17"/>
  <c r="CI351" i="17"/>
  <c r="CH351" i="17"/>
  <c r="CK118" i="17"/>
  <c r="CJ118" i="17"/>
  <c r="CI118" i="17"/>
  <c r="CH118" i="17"/>
  <c r="CL118" i="17"/>
  <c r="CL87" i="17"/>
  <c r="CK87" i="17"/>
  <c r="CJ87" i="17"/>
  <c r="CI87" i="17"/>
  <c r="CH87" i="17"/>
  <c r="CK182" i="17"/>
  <c r="CL182" i="17"/>
  <c r="CJ182" i="17"/>
  <c r="CI182" i="17"/>
  <c r="CH182" i="17"/>
  <c r="CL193" i="17"/>
  <c r="CK193" i="17"/>
  <c r="CI193" i="17"/>
  <c r="CH193" i="17"/>
  <c r="CJ193" i="17"/>
  <c r="CK78" i="17"/>
  <c r="CH78" i="17"/>
  <c r="CJ78" i="17"/>
  <c r="CI78" i="17"/>
  <c r="CL78" i="17"/>
  <c r="CK90" i="17"/>
  <c r="CJ90" i="17"/>
  <c r="CI90" i="17"/>
  <c r="CH90" i="17"/>
  <c r="CL90" i="17"/>
  <c r="CK212" i="17"/>
  <c r="CJ212" i="17"/>
  <c r="CI212" i="17"/>
  <c r="CH212" i="17"/>
  <c r="CL212" i="17"/>
  <c r="CL266" i="17"/>
  <c r="CK266" i="17"/>
  <c r="CJ266" i="17"/>
  <c r="CI266" i="17"/>
  <c r="CH266" i="17"/>
  <c r="CH250" i="17"/>
  <c r="CL250" i="17"/>
  <c r="CK250" i="17"/>
  <c r="CJ250" i="17"/>
  <c r="CI250" i="17"/>
  <c r="CH282" i="17"/>
  <c r="CL282" i="17"/>
  <c r="CK282" i="17"/>
  <c r="CJ282" i="17"/>
  <c r="CI282" i="17"/>
  <c r="CK384" i="17"/>
  <c r="CI384" i="17"/>
  <c r="CH384" i="17"/>
  <c r="CL384" i="17"/>
  <c r="CJ384" i="17"/>
  <c r="CK104" i="17"/>
  <c r="CJ104" i="17"/>
  <c r="CI104" i="17"/>
  <c r="CH104" i="17"/>
  <c r="CL104" i="17"/>
  <c r="CL127" i="17"/>
  <c r="CK127" i="17"/>
  <c r="CJ127" i="17"/>
  <c r="CI127" i="17"/>
  <c r="CH127" i="17"/>
  <c r="CL363" i="17"/>
  <c r="CK363" i="17"/>
  <c r="CJ363" i="17"/>
  <c r="CI363" i="17"/>
  <c r="CH363" i="17"/>
  <c r="CL215" i="17"/>
  <c r="CK294" i="17"/>
  <c r="CI268" i="17"/>
  <c r="CL158" i="17"/>
  <c r="CK158" i="17"/>
  <c r="CJ158" i="17"/>
  <c r="CI158" i="17"/>
  <c r="CH158" i="17"/>
  <c r="CH377" i="17"/>
  <c r="CL188" i="17"/>
  <c r="CL172" i="17"/>
  <c r="CH340" i="17"/>
  <c r="CI353" i="17"/>
  <c r="CL181" i="17"/>
  <c r="CH231" i="17"/>
  <c r="CI278" i="17"/>
  <c r="CH289" i="17"/>
  <c r="CJ180" i="17"/>
  <c r="CL168" i="17"/>
  <c r="CK137" i="17"/>
  <c r="CH335" i="17"/>
  <c r="CL83" i="17"/>
  <c r="CH72" i="17"/>
  <c r="CK86" i="17"/>
  <c r="CJ86" i="17"/>
  <c r="CI86" i="17"/>
  <c r="CH86" i="17"/>
  <c r="CL86" i="17"/>
  <c r="CI134" i="17"/>
  <c r="CK278" i="17"/>
  <c r="CL284" i="17"/>
  <c r="CK82" i="17"/>
  <c r="CJ82" i="17"/>
  <c r="CI82" i="17"/>
  <c r="CH82" i="17"/>
  <c r="CL82" i="17"/>
  <c r="CI342" i="17"/>
  <c r="CK342" i="17"/>
  <c r="CJ342" i="17"/>
  <c r="CH342" i="17"/>
  <c r="CL342" i="17"/>
  <c r="CK130" i="17"/>
  <c r="CK174" i="17"/>
  <c r="CL139" i="17"/>
  <c r="CK139" i="17"/>
  <c r="CJ139" i="17"/>
  <c r="CI139" i="17"/>
  <c r="CH139" i="17"/>
  <c r="CL339" i="17"/>
  <c r="CK339" i="17"/>
  <c r="CJ339" i="17"/>
  <c r="CI339" i="17"/>
  <c r="CH339" i="17"/>
  <c r="CL123" i="17"/>
  <c r="CK123" i="17"/>
  <c r="CJ123" i="17"/>
  <c r="CI123" i="17"/>
  <c r="CH123" i="17"/>
  <c r="CL249" i="17"/>
  <c r="CK249" i="17"/>
  <c r="CJ249" i="17"/>
  <c r="CI249" i="17"/>
  <c r="CH249" i="17"/>
  <c r="CL71" i="17"/>
  <c r="CK71" i="17"/>
  <c r="CJ71" i="17"/>
  <c r="CI71" i="17"/>
  <c r="CH71" i="17"/>
  <c r="CK88" i="17"/>
  <c r="CJ88" i="17"/>
  <c r="CI88" i="17"/>
  <c r="CH88" i="17"/>
  <c r="CL88" i="17"/>
  <c r="CL313" i="17"/>
  <c r="CK313" i="17"/>
  <c r="CJ313" i="17"/>
  <c r="CI313" i="17"/>
  <c r="CH313" i="17"/>
  <c r="CL103" i="17"/>
  <c r="CK103" i="17"/>
  <c r="CJ103" i="17"/>
  <c r="CH103" i="17"/>
  <c r="CI103" i="17"/>
  <c r="CL329" i="17"/>
  <c r="CK329" i="17"/>
  <c r="CJ329" i="17"/>
  <c r="CI329" i="17"/>
  <c r="CH329" i="17"/>
  <c r="CL365" i="17"/>
  <c r="CK365" i="17"/>
  <c r="CJ365" i="17"/>
  <c r="CI365" i="17"/>
  <c r="CH365" i="17"/>
  <c r="CL81" i="17"/>
  <c r="CK81" i="17"/>
  <c r="CJ81" i="17"/>
  <c r="CH81" i="17"/>
  <c r="CI81" i="17"/>
  <c r="CL303" i="17"/>
  <c r="CK303" i="17"/>
  <c r="CI303" i="17"/>
  <c r="CH303" i="17"/>
  <c r="CJ303" i="17"/>
  <c r="CJ154" i="17"/>
  <c r="CI154" i="17"/>
  <c r="CH154" i="17"/>
  <c r="CK154" i="17"/>
  <c r="CL154" i="17"/>
  <c r="CL258" i="17"/>
  <c r="CK258" i="17"/>
  <c r="CJ258" i="17"/>
  <c r="CI258" i="17"/>
  <c r="CH258" i="17"/>
  <c r="CL145" i="17"/>
  <c r="CK145" i="17"/>
  <c r="CJ145" i="17"/>
  <c r="CI145" i="17"/>
  <c r="CH145" i="17"/>
  <c r="CL149" i="17"/>
  <c r="CK149" i="17"/>
  <c r="CI149" i="17"/>
  <c r="CH149" i="17"/>
  <c r="CJ149" i="17"/>
  <c r="CL217" i="17"/>
  <c r="CK217" i="17"/>
  <c r="CJ217" i="17"/>
  <c r="CH217" i="17"/>
  <c r="CI217" i="17"/>
  <c r="CL205" i="17"/>
  <c r="CK205" i="17"/>
  <c r="CI205" i="17"/>
  <c r="CH205" i="17"/>
  <c r="CJ205" i="17"/>
  <c r="CL253" i="17"/>
  <c r="CK253" i="17"/>
  <c r="CJ253" i="17"/>
  <c r="CI253" i="17"/>
  <c r="CH253" i="17"/>
  <c r="CL314" i="17"/>
  <c r="CK314" i="17"/>
  <c r="CJ314" i="17"/>
  <c r="CI314" i="17"/>
  <c r="CH314" i="17"/>
  <c r="CL99" i="17"/>
  <c r="CK99" i="17"/>
  <c r="CJ99" i="17"/>
  <c r="CH99" i="17"/>
  <c r="CI99" i="17"/>
  <c r="CL164" i="17"/>
  <c r="CK164" i="17"/>
  <c r="CJ164" i="17"/>
  <c r="CH164" i="17"/>
  <c r="CI164" i="17"/>
  <c r="CL171" i="17"/>
  <c r="CK171" i="17"/>
  <c r="CI171" i="17"/>
  <c r="CH171" i="17"/>
  <c r="CJ171" i="17"/>
  <c r="CL134" i="17"/>
  <c r="CJ294" i="17"/>
  <c r="CJ268" i="17"/>
  <c r="CK122" i="17"/>
  <c r="CJ122" i="17"/>
  <c r="CI122" i="17"/>
  <c r="CH122" i="17"/>
  <c r="CL122" i="17"/>
  <c r="CI377" i="17"/>
  <c r="CK188" i="17"/>
  <c r="CL132" i="17"/>
  <c r="CJ340" i="17"/>
  <c r="CJ353" i="17"/>
  <c r="CH241" i="17"/>
  <c r="CI231" i="17"/>
  <c r="CL278" i="17"/>
  <c r="CL180" i="17"/>
  <c r="CH310" i="17"/>
  <c r="CL137" i="17"/>
  <c r="CH150" i="17"/>
  <c r="CI335" i="17"/>
  <c r="CK284" i="17"/>
  <c r="CJ72" i="17"/>
  <c r="CK286" i="17"/>
  <c r="CJ257" i="17"/>
  <c r="CL375" i="17"/>
  <c r="CK375" i="17"/>
  <c r="CJ375" i="17"/>
  <c r="CI375" i="17"/>
  <c r="CH375" i="17"/>
  <c r="CL243" i="17"/>
  <c r="CK243" i="17"/>
  <c r="CJ243" i="17"/>
  <c r="CI243" i="17"/>
  <c r="CH243" i="17"/>
  <c r="CJ241" i="17"/>
  <c r="CH265" i="17"/>
  <c r="CL265" i="17"/>
  <c r="CK265" i="17"/>
  <c r="CJ265" i="17"/>
  <c r="CI265" i="17"/>
  <c r="CI356" i="17"/>
  <c r="CL356" i="17"/>
  <c r="CK356" i="17"/>
  <c r="CH356" i="17"/>
  <c r="CJ356" i="17"/>
  <c r="CI326" i="17"/>
  <c r="CK326" i="17"/>
  <c r="CJ326" i="17"/>
  <c r="CH326" i="17"/>
  <c r="CL326" i="17"/>
  <c r="CH332" i="17"/>
  <c r="CJ183" i="17"/>
  <c r="CL281" i="17"/>
  <c r="CK281" i="17"/>
  <c r="CJ281" i="17"/>
  <c r="CI281" i="17"/>
  <c r="CH281" i="17"/>
  <c r="CK94" i="17"/>
  <c r="CJ94" i="17"/>
  <c r="CI94" i="17"/>
  <c r="CH94" i="17"/>
  <c r="CL94" i="17"/>
  <c r="CK198" i="17"/>
  <c r="CJ198" i="17"/>
  <c r="CL198" i="17"/>
  <c r="CI198" i="17"/>
  <c r="CH198" i="17"/>
  <c r="CI324" i="17"/>
  <c r="CL324" i="17"/>
  <c r="CK324" i="17"/>
  <c r="CH324" i="17"/>
  <c r="CJ324" i="17"/>
  <c r="CI308" i="17"/>
  <c r="CH308" i="17"/>
  <c r="CL308" i="17"/>
  <c r="CJ308" i="17"/>
  <c r="CK308" i="17"/>
  <c r="CL101" i="17"/>
  <c r="CK101" i="17"/>
  <c r="CJ101" i="17"/>
  <c r="CH101" i="17"/>
  <c r="CI101" i="17"/>
  <c r="CL297" i="17"/>
  <c r="CK297" i="17"/>
  <c r="CI297" i="17"/>
  <c r="CH297" i="17"/>
  <c r="CJ297" i="17"/>
  <c r="CL290" i="17"/>
  <c r="CK290" i="17"/>
  <c r="CJ290" i="17"/>
  <c r="CI290" i="17"/>
  <c r="CH290" i="17"/>
  <c r="CK271" i="17"/>
  <c r="CJ271" i="17"/>
  <c r="CI271" i="17"/>
  <c r="CH271" i="17"/>
  <c r="CL271" i="17"/>
  <c r="CJ178" i="17"/>
  <c r="CI178" i="17"/>
  <c r="CH178" i="17"/>
  <c r="CK178" i="17"/>
  <c r="CL178" i="17"/>
  <c r="CK60" i="17"/>
  <c r="CJ60" i="17"/>
  <c r="CI60" i="17"/>
  <c r="CH60" i="17"/>
  <c r="CL60" i="17"/>
  <c r="CL155" i="17"/>
  <c r="CK155" i="17"/>
  <c r="CI155" i="17"/>
  <c r="CH155" i="17"/>
  <c r="CJ155" i="17"/>
  <c r="CL79" i="17"/>
  <c r="CK79" i="17"/>
  <c r="CJ79" i="17"/>
  <c r="CI79" i="17"/>
  <c r="CH79" i="17"/>
  <c r="CI220" i="17"/>
  <c r="CH220" i="17"/>
  <c r="CJ220" i="17"/>
  <c r="CL220" i="17"/>
  <c r="CK220" i="17"/>
  <c r="CK208" i="17"/>
  <c r="CJ208" i="17"/>
  <c r="CL208" i="17"/>
  <c r="CI208" i="17"/>
  <c r="CH208" i="17"/>
  <c r="CL260" i="17"/>
  <c r="CK260" i="17"/>
  <c r="CJ260" i="17"/>
  <c r="CI260" i="17"/>
  <c r="CH260" i="17"/>
  <c r="CJ276" i="17"/>
  <c r="CI276" i="17"/>
  <c r="CL276" i="17"/>
  <c r="CK276" i="17"/>
  <c r="CH276" i="17"/>
  <c r="CL333" i="17"/>
  <c r="CK333" i="17"/>
  <c r="CJ333" i="17"/>
  <c r="CI333" i="17"/>
  <c r="CH333" i="17"/>
  <c r="CI318" i="17"/>
  <c r="CK318" i="17"/>
  <c r="CJ318" i="17"/>
  <c r="CH318" i="17"/>
  <c r="CL318" i="17"/>
  <c r="CK202" i="17"/>
  <c r="CJ202" i="17"/>
  <c r="CH202" i="17"/>
  <c r="CI202" i="17"/>
  <c r="CL202" i="17"/>
  <c r="CL159" i="17"/>
  <c r="CK159" i="17"/>
  <c r="CI159" i="17"/>
  <c r="CH159" i="17"/>
  <c r="CJ159" i="17"/>
  <c r="CL106" i="17"/>
  <c r="CH134" i="17"/>
  <c r="CH294" i="17"/>
  <c r="CK268" i="17"/>
  <c r="CL67" i="17"/>
  <c r="CK67" i="17"/>
  <c r="CJ67" i="17"/>
  <c r="CI67" i="17"/>
  <c r="CH67" i="17"/>
  <c r="CJ377" i="17"/>
  <c r="CL130" i="17"/>
  <c r="CH132" i="17"/>
  <c r="CK340" i="17"/>
  <c r="CK353" i="17"/>
  <c r="CI241" i="17"/>
  <c r="CJ231" i="17"/>
  <c r="CJ278" i="17"/>
  <c r="CL289" i="17"/>
  <c r="CK180" i="17"/>
  <c r="CI310" i="17"/>
  <c r="CI150" i="17"/>
  <c r="CJ335" i="17"/>
  <c r="CJ284" i="17"/>
  <c r="CK72" i="17"/>
  <c r="CL286" i="17"/>
  <c r="CK257" i="17"/>
  <c r="Q5" i="25"/>
  <c r="V7" i="25" l="1"/>
  <c r="V8" i="25" s="1"/>
  <c r="V9" i="25" s="1"/>
  <c r="V10" i="25" s="1"/>
  <c r="V11" i="25" s="1"/>
  <c r="V12" i="25" s="1"/>
  <c r="V13" i="25" s="1"/>
  <c r="V14" i="25" s="1"/>
  <c r="V15" i="25" s="1"/>
  <c r="V16" i="25" s="1"/>
  <c r="V17" i="25" s="1"/>
  <c r="V18" i="25" s="1"/>
  <c r="V19" i="25" s="1"/>
  <c r="V20" i="25" s="1"/>
  <c r="V21" i="25" s="1"/>
  <c r="V22" i="25" s="1"/>
  <c r="V23" i="25" s="1"/>
  <c r="V24" i="25" s="1"/>
  <c r="V25" i="25" s="1"/>
  <c r="V26" i="25" s="1"/>
  <c r="V27" i="25" s="1"/>
  <c r="V28" i="25" s="1"/>
  <c r="V29" i="25" s="1"/>
  <c r="V30" i="25" s="1"/>
  <c r="V31" i="25" s="1"/>
  <c r="V32" i="25" s="1"/>
  <c r="V33" i="25" s="1"/>
  <c r="V34" i="25" s="1"/>
  <c r="V35" i="25" s="1"/>
  <c r="V36" i="25" s="1"/>
  <c r="V37" i="25" s="1"/>
  <c r="V38" i="25" s="1"/>
  <c r="V39" i="25" s="1"/>
  <c r="V40" i="25" s="1"/>
  <c r="V41" i="25" s="1"/>
  <c r="V42" i="25" s="1"/>
  <c r="V43" i="25" s="1"/>
  <c r="V44" i="25" s="1"/>
  <c r="V45" i="25" s="1"/>
  <c r="V46" i="25" s="1"/>
  <c r="V47" i="25" s="1"/>
  <c r="V48" i="25" s="1"/>
  <c r="V49" i="25" s="1"/>
  <c r="V50" i="25" s="1"/>
  <c r="V51" i="25" s="1"/>
  <c r="V52" i="25" s="1"/>
  <c r="V53" i="25" s="1"/>
  <c r="V54" i="25" s="1"/>
  <c r="V55" i="25" s="1"/>
  <c r="V56" i="25" s="1"/>
  <c r="V57" i="25" s="1"/>
  <c r="V58" i="25" s="1"/>
  <c r="V59" i="25" s="1"/>
  <c r="V60" i="25" s="1"/>
  <c r="V61" i="25" s="1"/>
  <c r="V62" i="25" s="1"/>
  <c r="V63" i="25" s="1"/>
  <c r="V64" i="25" s="1"/>
  <c r="V65" i="25" s="1"/>
  <c r="V66" i="25" s="1"/>
  <c r="V67" i="25" s="1"/>
  <c r="V68" i="25" s="1"/>
  <c r="V69" i="25" s="1"/>
  <c r="V70" i="25" s="1"/>
  <c r="V71" i="25" s="1"/>
  <c r="V72" i="25" s="1"/>
  <c r="V73" i="25" s="1"/>
  <c r="V74" i="25" s="1"/>
  <c r="V75" i="25" s="1"/>
  <c r="V76" i="25" s="1"/>
  <c r="V77" i="25" s="1"/>
  <c r="V78" i="25" s="1"/>
  <c r="V79" i="25" s="1"/>
  <c r="V80" i="25" s="1"/>
  <c r="V81" i="25" s="1"/>
  <c r="V82" i="25" s="1"/>
  <c r="V83" i="25" s="1"/>
  <c r="V84" i="25" s="1"/>
  <c r="V85" i="25" s="1"/>
  <c r="V86" i="25" s="1"/>
  <c r="V87" i="25" s="1"/>
  <c r="V88" i="25" s="1"/>
  <c r="V89" i="25" s="1"/>
  <c r="V90" i="25" s="1"/>
  <c r="V91" i="25" s="1"/>
  <c r="V92" i="25" s="1"/>
  <c r="V93" i="25" s="1"/>
  <c r="V94" i="25" s="1"/>
  <c r="V95" i="25" s="1"/>
  <c r="V96" i="25" s="1"/>
  <c r="V97" i="25" s="1"/>
  <c r="V98" i="25" s="1"/>
  <c r="V99" i="25" s="1"/>
  <c r="V100" i="25" s="1"/>
  <c r="V101" i="25" s="1"/>
  <c r="V102" i="25" s="1"/>
  <c r="V103" i="25" s="1"/>
  <c r="V104" i="25" s="1"/>
  <c r="V105" i="25" s="1"/>
  <c r="V106" i="25" s="1"/>
  <c r="V107" i="25" s="1"/>
  <c r="V108" i="25" s="1"/>
  <c r="V109" i="25" s="1"/>
  <c r="V110" i="25" s="1"/>
  <c r="V111" i="25" s="1"/>
  <c r="V112" i="25" s="1"/>
  <c r="V113" i="25" s="1"/>
  <c r="V114" i="25" s="1"/>
  <c r="V115" i="25" s="1"/>
  <c r="V116" i="25" s="1"/>
  <c r="V117" i="25" s="1"/>
  <c r="V118" i="25" s="1"/>
  <c r="V119" i="25" s="1"/>
  <c r="V120" i="25" s="1"/>
  <c r="V121" i="25" s="1"/>
  <c r="V122" i="25" s="1"/>
  <c r="V123" i="25" s="1"/>
  <c r="V124" i="25" s="1"/>
  <c r="V125" i="25" s="1"/>
  <c r="V126" i="25" s="1"/>
  <c r="V127" i="25" s="1"/>
  <c r="V128" i="25" s="1"/>
  <c r="V129" i="25" s="1"/>
  <c r="V130" i="25" s="1"/>
  <c r="V131" i="25" s="1"/>
  <c r="V132" i="25" s="1"/>
  <c r="V133" i="25" s="1"/>
  <c r="V134" i="25" s="1"/>
  <c r="V135" i="25" s="1"/>
  <c r="V136" i="25" s="1"/>
  <c r="V137" i="25" s="1"/>
  <c r="V138" i="25" s="1"/>
  <c r="V139" i="25" s="1"/>
  <c r="V140" i="25" s="1"/>
  <c r="V141" i="25" s="1"/>
  <c r="V142" i="25" s="1"/>
  <c r="V143" i="25" s="1"/>
  <c r="V144" i="25" s="1"/>
  <c r="V145" i="25" s="1"/>
  <c r="V146" i="25" s="1"/>
  <c r="V147" i="25" s="1"/>
  <c r="V148" i="25" s="1"/>
  <c r="V149" i="25" s="1"/>
  <c r="V150" i="25" s="1"/>
  <c r="V151" i="25" s="1"/>
  <c r="V152" i="25" s="1"/>
  <c r="V153" i="25" s="1"/>
  <c r="V154" i="25" s="1"/>
  <c r="V155" i="25" s="1"/>
  <c r="V156" i="25" s="1"/>
  <c r="V157" i="25" s="1"/>
  <c r="V158" i="25" s="1"/>
  <c r="V159" i="25" s="1"/>
  <c r="V160" i="25" s="1"/>
  <c r="V161" i="25" s="1"/>
  <c r="V162" i="25" s="1"/>
  <c r="V163" i="25" s="1"/>
  <c r="V164" i="25" s="1"/>
  <c r="V165" i="25" s="1"/>
  <c r="V166" i="25" s="1"/>
  <c r="V167" i="25" s="1"/>
  <c r="V168" i="25" s="1"/>
  <c r="V169" i="25" s="1"/>
  <c r="V170" i="25" s="1"/>
  <c r="V171" i="25" s="1"/>
  <c r="V172" i="25" s="1"/>
  <c r="V173" i="25" s="1"/>
  <c r="V174" i="25" s="1"/>
  <c r="V175" i="25" s="1"/>
  <c r="V176" i="25" s="1"/>
  <c r="V177" i="25" s="1"/>
  <c r="V178" i="25" s="1"/>
  <c r="V179" i="25" s="1"/>
  <c r="V180" i="25" s="1"/>
  <c r="V181" i="25" s="1"/>
  <c r="V182" i="25" s="1"/>
  <c r="V183" i="25" s="1"/>
  <c r="V184" i="25" s="1"/>
  <c r="V185" i="25" s="1"/>
  <c r="V186" i="25" s="1"/>
  <c r="V187" i="25" s="1"/>
  <c r="V188" i="25" s="1"/>
  <c r="V189" i="25" s="1"/>
  <c r="V190" i="25" s="1"/>
  <c r="V191" i="25" s="1"/>
  <c r="V192" i="25" s="1"/>
  <c r="V193" i="25" s="1"/>
  <c r="V194" i="25" s="1"/>
  <c r="V195" i="25" s="1"/>
  <c r="V196" i="25" s="1"/>
  <c r="V197" i="25" s="1"/>
  <c r="V198" i="25" s="1"/>
  <c r="V199" i="25" s="1"/>
  <c r="V200" i="25" s="1"/>
  <c r="V201" i="25" s="1"/>
  <c r="V202" i="25" s="1"/>
  <c r="V203" i="25" s="1"/>
  <c r="V204" i="25" s="1"/>
  <c r="V205" i="25" s="1"/>
  <c r="V206" i="25" s="1"/>
  <c r="V207" i="25" s="1"/>
  <c r="V208" i="25" s="1"/>
  <c r="V209" i="25" s="1"/>
  <c r="V210" i="25" s="1"/>
  <c r="V211" i="25" s="1"/>
  <c r="V212" i="25" s="1"/>
  <c r="V213" i="25" s="1"/>
  <c r="V214" i="25" s="1"/>
  <c r="V215" i="25" s="1"/>
  <c r="V216" i="25" s="1"/>
  <c r="V217" i="25" s="1"/>
  <c r="V218" i="25" s="1"/>
  <c r="V219" i="25" s="1"/>
  <c r="V220" i="25" s="1"/>
  <c r="V221" i="25" s="1"/>
  <c r="V222" i="25" s="1"/>
  <c r="V223" i="25" s="1"/>
  <c r="V224" i="25" s="1"/>
  <c r="V225" i="25" s="1"/>
  <c r="V226" i="25" s="1"/>
  <c r="V227" i="25" s="1"/>
  <c r="V228" i="25" s="1"/>
  <c r="V229" i="25" s="1"/>
  <c r="V230" i="25" s="1"/>
  <c r="V231" i="25" s="1"/>
  <c r="V232" i="25" s="1"/>
  <c r="V233" i="25" s="1"/>
  <c r="V234" i="25" s="1"/>
  <c r="V235" i="25" s="1"/>
  <c r="V236" i="25" s="1"/>
  <c r="V237" i="25" s="1"/>
  <c r="V238" i="25" s="1"/>
  <c r="V239" i="25" s="1"/>
  <c r="V240" i="25" s="1"/>
  <c r="V241" i="25" s="1"/>
  <c r="V242" i="25" s="1"/>
  <c r="V243" i="25" s="1"/>
  <c r="V244" i="25" s="1"/>
  <c r="V245" i="25" s="1"/>
  <c r="V246" i="25" s="1"/>
  <c r="V247" i="25" s="1"/>
  <c r="V248" i="25" s="1"/>
  <c r="V249" i="25" s="1"/>
  <c r="V250" i="25" s="1"/>
  <c r="V251" i="25" s="1"/>
  <c r="V252" i="25" s="1"/>
  <c r="V253" i="25" s="1"/>
  <c r="V254" i="25" s="1"/>
  <c r="V255" i="25" s="1"/>
  <c r="V256" i="25" s="1"/>
  <c r="V257" i="25" s="1"/>
  <c r="V258" i="25" s="1"/>
  <c r="V259" i="25" s="1"/>
  <c r="V260" i="25" s="1"/>
  <c r="V261" i="25" s="1"/>
  <c r="V262" i="25" s="1"/>
  <c r="V263" i="25" s="1"/>
  <c r="V264" i="25" s="1"/>
  <c r="V265" i="25" s="1"/>
  <c r="V266" i="25" s="1"/>
  <c r="V267" i="25" s="1"/>
  <c r="V268" i="25" s="1"/>
  <c r="V269" i="25" s="1"/>
  <c r="V270" i="25" s="1"/>
  <c r="V271" i="25" s="1"/>
  <c r="V272" i="25" s="1"/>
  <c r="V273" i="25" s="1"/>
  <c r="V274" i="25" s="1"/>
  <c r="V275" i="25" s="1"/>
  <c r="V276" i="25" s="1"/>
  <c r="V277" i="25" s="1"/>
  <c r="V278" i="25" s="1"/>
  <c r="V279" i="25" s="1"/>
  <c r="V280" i="25" s="1"/>
  <c r="V281" i="25" s="1"/>
  <c r="V282" i="25" s="1"/>
  <c r="V283" i="25" s="1"/>
  <c r="V284" i="25" s="1"/>
  <c r="V285" i="25" s="1"/>
  <c r="V286" i="25" s="1"/>
  <c r="V287" i="25" s="1"/>
  <c r="V288" i="25" s="1"/>
  <c r="V289" i="25" s="1"/>
  <c r="V290" i="25" s="1"/>
  <c r="V291" i="25" s="1"/>
  <c r="V292" i="25" s="1"/>
  <c r="V293" i="25" s="1"/>
  <c r="V294" i="25" s="1"/>
  <c r="V295" i="25" s="1"/>
  <c r="V296" i="25" s="1"/>
  <c r="V297" i="25" s="1"/>
  <c r="V298" i="25" s="1"/>
  <c r="V299" i="25" s="1"/>
  <c r="V300" i="25" s="1"/>
  <c r="V301" i="25" s="1"/>
  <c r="V302" i="25" s="1"/>
  <c r="V303" i="25" s="1"/>
  <c r="V304" i="25" s="1"/>
  <c r="V305" i="25" s="1"/>
  <c r="V306" i="25" s="1"/>
  <c r="V307" i="25" s="1"/>
  <c r="V308" i="25" s="1"/>
  <c r="V309" i="25" s="1"/>
  <c r="V310" i="25" s="1"/>
  <c r="V311" i="25" s="1"/>
  <c r="V312" i="25" s="1"/>
  <c r="V313" i="25" s="1"/>
  <c r="V314" i="25" s="1"/>
  <c r="V315" i="25" s="1"/>
  <c r="V316" i="25" s="1"/>
  <c r="V317" i="25" s="1"/>
  <c r="V318" i="25" s="1"/>
  <c r="V319" i="25" s="1"/>
  <c r="V320" i="25" s="1"/>
  <c r="V321" i="25" s="1"/>
  <c r="V322" i="25" s="1"/>
  <c r="V323" i="25" s="1"/>
  <c r="V324" i="25" s="1"/>
  <c r="V325" i="25" s="1"/>
  <c r="V326" i="25" s="1"/>
  <c r="V327" i="25" s="1"/>
  <c r="V328" i="25" s="1"/>
  <c r="V329" i="25" s="1"/>
  <c r="V330" i="25" s="1"/>
  <c r="V331" i="25" s="1"/>
  <c r="V332" i="25" s="1"/>
  <c r="V333" i="25" s="1"/>
  <c r="V334" i="25" s="1"/>
  <c r="V335" i="25" s="1"/>
  <c r="V336" i="25" s="1"/>
  <c r="V337" i="25" s="1"/>
  <c r="V338" i="25" s="1"/>
  <c r="V339" i="25" s="1"/>
  <c r="V340" i="25" s="1"/>
  <c r="V341" i="25" s="1"/>
  <c r="V342" i="25" s="1"/>
  <c r="V343" i="25" s="1"/>
  <c r="V344" i="25" s="1"/>
  <c r="V345" i="25" s="1"/>
  <c r="V346" i="25" s="1"/>
  <c r="V347" i="25" s="1"/>
  <c r="V348" i="25" s="1"/>
  <c r="V349" i="25" s="1"/>
  <c r="V350" i="25" s="1"/>
  <c r="V351" i="25" s="1"/>
  <c r="V352" i="25" s="1"/>
  <c r="V353" i="25" s="1"/>
  <c r="V354" i="25" s="1"/>
  <c r="V355" i="25" s="1"/>
  <c r="V356" i="25" s="1"/>
  <c r="V357" i="25" s="1"/>
  <c r="V358" i="25" s="1"/>
  <c r="V359" i="25" s="1"/>
  <c r="V360" i="25" s="1"/>
  <c r="V361" i="25" s="1"/>
  <c r="V362" i="25" s="1"/>
  <c r="V363" i="25" s="1"/>
  <c r="V364" i="25" s="1"/>
  <c r="V365" i="25" s="1"/>
  <c r="V366" i="25" s="1"/>
  <c r="V367" i="25" s="1"/>
  <c r="V368" i="25" s="1"/>
  <c r="V369" i="25" s="1"/>
  <c r="V370" i="25" s="1"/>
  <c r="V371" i="25" s="1"/>
  <c r="V372" i="25" s="1"/>
  <c r="V373" i="25" s="1"/>
  <c r="V374" i="25" s="1"/>
  <c r="V375" i="25" s="1"/>
  <c r="V376" i="25" s="1"/>
  <c r="V377" i="25" s="1"/>
  <c r="V378" i="25" s="1"/>
  <c r="V379" i="25" s="1"/>
  <c r="V380" i="25" s="1"/>
  <c r="V381" i="25" s="1"/>
  <c r="V382" i="25" s="1"/>
  <c r="V383" i="25" s="1"/>
  <c r="V384" i="25" s="1"/>
  <c r="V385" i="25" s="1"/>
  <c r="V386" i="25" s="1"/>
  <c r="V387" i="25" s="1"/>
  <c r="V388" i="25" s="1"/>
  <c r="V389" i="25" s="1"/>
  <c r="V390" i="25" s="1"/>
  <c r="V391" i="25" s="1"/>
  <c r="V392" i="25" s="1"/>
  <c r="V393" i="25" s="1"/>
  <c r="V394" i="25" s="1"/>
  <c r="V395" i="25" s="1"/>
  <c r="V396" i="25" s="1"/>
  <c r="V397" i="25" s="1"/>
  <c r="V398" i="25" s="1"/>
  <c r="V399" i="25" s="1"/>
  <c r="V400" i="25" s="1"/>
  <c r="V401" i="25" s="1"/>
  <c r="V402" i="25" s="1"/>
  <c r="V403" i="25" s="1"/>
  <c r="V404" i="25" s="1"/>
  <c r="V405" i="25" s="1"/>
  <c r="V406" i="25" s="1"/>
  <c r="V407" i="25" s="1"/>
  <c r="V408" i="25" s="1"/>
  <c r="V409" i="25" s="1"/>
  <c r="V410" i="25" s="1"/>
  <c r="V411" i="25" s="1"/>
  <c r="V412" i="25" s="1"/>
  <c r="V413" i="25" s="1"/>
  <c r="V414" i="25" s="1"/>
  <c r="V415" i="25" s="1"/>
  <c r="V416" i="25" s="1"/>
  <c r="V417" i="25" s="1"/>
  <c r="V418" i="25" s="1"/>
  <c r="V419" i="25" s="1"/>
  <c r="V420" i="25" s="1"/>
  <c r="V421" i="25" s="1"/>
  <c r="V422" i="25" s="1"/>
  <c r="V423" i="25" s="1"/>
  <c r="V424" i="25" s="1"/>
  <c r="V425" i="25" s="1"/>
  <c r="V426" i="25" s="1"/>
  <c r="V427" i="25" s="1"/>
  <c r="V428" i="25" s="1"/>
  <c r="V429" i="25" s="1"/>
  <c r="V430" i="25" s="1"/>
  <c r="V431" i="25" s="1"/>
  <c r="V432" i="25" s="1"/>
  <c r="V433" i="25" s="1"/>
  <c r="V434" i="25" s="1"/>
  <c r="V435" i="25" s="1"/>
  <c r="V436" i="25" s="1"/>
  <c r="V437" i="25" s="1"/>
  <c r="V438" i="25" s="1"/>
  <c r="V439" i="25" s="1"/>
  <c r="V440" i="25" s="1"/>
  <c r="V441" i="25" s="1"/>
  <c r="V442" i="25" s="1"/>
  <c r="V443" i="25" s="1"/>
  <c r="V444" i="25" s="1"/>
  <c r="V445" i="25" s="1"/>
  <c r="V446" i="25" s="1"/>
  <c r="V447" i="25" s="1"/>
  <c r="V448" i="25" s="1"/>
  <c r="V449" i="25" s="1"/>
  <c r="V450" i="25" s="1"/>
  <c r="V451" i="25" s="1"/>
  <c r="V452" i="25" s="1"/>
  <c r="V453" i="25" s="1"/>
  <c r="V454" i="25" s="1"/>
  <c r="V455" i="25" s="1"/>
  <c r="V456" i="25" s="1"/>
  <c r="V457" i="25" s="1"/>
  <c r="V458" i="25" s="1"/>
  <c r="V459" i="25" s="1"/>
  <c r="V460" i="25" s="1"/>
  <c r="V461" i="25" s="1"/>
  <c r="V462" i="25" s="1"/>
  <c r="V463" i="25" s="1"/>
  <c r="V464" i="25" s="1"/>
  <c r="V465" i="25" s="1"/>
  <c r="V466" i="25" s="1"/>
  <c r="V467" i="25" s="1"/>
  <c r="V468" i="25" s="1"/>
  <c r="V469" i="25" s="1"/>
  <c r="V470" i="25" s="1"/>
  <c r="V471" i="25" s="1"/>
  <c r="V472" i="25" s="1"/>
  <c r="V473" i="25" s="1"/>
  <c r="V474" i="25" s="1"/>
  <c r="V475" i="25" s="1"/>
  <c r="V476" i="25" s="1"/>
  <c r="V477" i="25" s="1"/>
  <c r="V478" i="25" s="1"/>
  <c r="V479" i="25" s="1"/>
  <c r="V480" i="25" s="1"/>
  <c r="V481" i="25" s="1"/>
  <c r="V482" i="25" s="1"/>
  <c r="V483" i="25" s="1"/>
  <c r="V484" i="25" s="1"/>
  <c r="V485" i="25" s="1"/>
  <c r="V486" i="25" s="1"/>
  <c r="V487" i="25" s="1"/>
  <c r="V488" i="25" s="1"/>
  <c r="V489" i="25" s="1"/>
  <c r="V490" i="25" s="1"/>
  <c r="V491" i="25" s="1"/>
  <c r="V492" i="25" s="1"/>
  <c r="V493" i="25" s="1"/>
  <c r="V494" i="25" s="1"/>
  <c r="V495" i="25" s="1"/>
  <c r="V496" i="25" s="1"/>
  <c r="V497" i="25" s="1"/>
  <c r="V498" i="25" s="1"/>
  <c r="V499" i="25" s="1"/>
  <c r="V500" i="25" s="1"/>
  <c r="V501" i="25" s="1"/>
  <c r="V502" i="25" s="1"/>
  <c r="V503" i="25" s="1"/>
  <c r="V504" i="25" s="1"/>
  <c r="V505" i="25" s="1"/>
  <c r="V506" i="25" s="1"/>
  <c r="V507" i="25" s="1"/>
  <c r="V508" i="25" s="1"/>
  <c r="V509" i="25" s="1"/>
  <c r="V510" i="25" s="1"/>
  <c r="V511" i="25" s="1"/>
  <c r="V512" i="25" s="1"/>
  <c r="V513" i="25" s="1"/>
  <c r="V514" i="25" s="1"/>
  <c r="V515" i="25" s="1"/>
  <c r="AK7" i="25"/>
  <c r="AK8" i="25" s="1"/>
  <c r="AK9" i="25" s="1"/>
  <c r="AK10" i="25" s="1"/>
  <c r="AK11" i="25" s="1"/>
  <c r="AK12" i="25" s="1"/>
  <c r="AK13" i="25" s="1"/>
  <c r="AK14" i="25" s="1"/>
  <c r="AK15" i="25" s="1"/>
  <c r="AK16" i="25" s="1"/>
  <c r="AK17" i="25" s="1"/>
  <c r="AK18" i="25" s="1"/>
  <c r="AK19" i="25" s="1"/>
  <c r="AK20" i="25" s="1"/>
  <c r="AK21" i="25" s="1"/>
  <c r="AK22" i="25" s="1"/>
  <c r="AK23" i="25" s="1"/>
  <c r="AK24" i="25" s="1"/>
  <c r="AK25" i="25" s="1"/>
  <c r="AK26" i="25" s="1"/>
  <c r="AK27" i="25" s="1"/>
  <c r="AK28" i="25" s="1"/>
  <c r="AK29" i="25" s="1"/>
  <c r="AK30" i="25" s="1"/>
  <c r="AK31" i="25" s="1"/>
  <c r="AK32" i="25" s="1"/>
  <c r="AK33" i="25" s="1"/>
  <c r="AK34" i="25" s="1"/>
  <c r="AK35" i="25" s="1"/>
  <c r="AK36" i="25" s="1"/>
  <c r="AK37" i="25" s="1"/>
  <c r="AK38" i="25" s="1"/>
  <c r="AK39" i="25" s="1"/>
  <c r="AK40" i="25" s="1"/>
  <c r="AK41" i="25" s="1"/>
  <c r="AK42" i="25" s="1"/>
  <c r="AK43" i="25" s="1"/>
  <c r="AK44" i="25" s="1"/>
  <c r="AK45" i="25" s="1"/>
  <c r="AK46" i="25" s="1"/>
  <c r="AK47" i="25" s="1"/>
  <c r="AK48" i="25" s="1"/>
  <c r="AK49" i="25" s="1"/>
  <c r="AK50" i="25" s="1"/>
  <c r="AK51" i="25" s="1"/>
  <c r="AK52" i="25" s="1"/>
  <c r="AK53" i="25" s="1"/>
  <c r="AK54" i="25" s="1"/>
  <c r="AK55" i="25" s="1"/>
  <c r="AK56" i="25" s="1"/>
  <c r="AK57" i="25" s="1"/>
  <c r="AK58" i="25" s="1"/>
  <c r="AK59" i="25" s="1"/>
  <c r="AK60" i="25" s="1"/>
  <c r="AK61" i="25" s="1"/>
  <c r="AK62" i="25" s="1"/>
  <c r="AK63" i="25" s="1"/>
  <c r="AK64" i="25" s="1"/>
  <c r="AK65" i="25" s="1"/>
  <c r="AK66" i="25" s="1"/>
  <c r="AK67" i="25" s="1"/>
  <c r="AK68" i="25" s="1"/>
  <c r="AK69" i="25" s="1"/>
  <c r="AK70" i="25" s="1"/>
  <c r="AK71" i="25" s="1"/>
  <c r="AK72" i="25" s="1"/>
  <c r="AK73" i="25" s="1"/>
  <c r="AK74" i="25" s="1"/>
  <c r="AK75" i="25" s="1"/>
  <c r="AK76" i="25" s="1"/>
  <c r="AK77" i="25" s="1"/>
  <c r="AK78" i="25" s="1"/>
  <c r="AK79" i="25" s="1"/>
  <c r="AK80" i="25" s="1"/>
  <c r="AK81" i="25" s="1"/>
  <c r="AK82" i="25" s="1"/>
  <c r="AK83" i="25" s="1"/>
  <c r="AK84" i="25" s="1"/>
  <c r="AK85" i="25" s="1"/>
  <c r="AK86" i="25" s="1"/>
  <c r="AK87" i="25" s="1"/>
  <c r="AK88" i="25" s="1"/>
  <c r="AK89" i="25" s="1"/>
  <c r="AK90" i="25" s="1"/>
  <c r="AK91" i="25" s="1"/>
  <c r="AK92" i="25" s="1"/>
  <c r="AK93" i="25" s="1"/>
  <c r="AK94" i="25" s="1"/>
  <c r="AK95" i="25" s="1"/>
  <c r="AK96" i="25" s="1"/>
  <c r="AK97" i="25" s="1"/>
  <c r="AK98" i="25" s="1"/>
  <c r="AK99" i="25" s="1"/>
  <c r="AK100" i="25" s="1"/>
  <c r="AK101" i="25" s="1"/>
  <c r="AK102" i="25" s="1"/>
  <c r="AK103" i="25" s="1"/>
  <c r="AK104" i="25" s="1"/>
  <c r="AK105" i="25" s="1"/>
  <c r="AK106" i="25" s="1"/>
  <c r="AK107" i="25" s="1"/>
  <c r="AK108" i="25" s="1"/>
  <c r="AK109" i="25" s="1"/>
  <c r="AK110" i="25" s="1"/>
  <c r="AK111" i="25" s="1"/>
  <c r="AK112" i="25" s="1"/>
  <c r="AK113" i="25" s="1"/>
  <c r="AK114" i="25" s="1"/>
  <c r="AK115" i="25" s="1"/>
  <c r="AK116" i="25" s="1"/>
  <c r="AK117" i="25" s="1"/>
  <c r="AK118" i="25" s="1"/>
  <c r="AK119" i="25" s="1"/>
  <c r="AK120" i="25" s="1"/>
  <c r="AK121" i="25" s="1"/>
  <c r="AK122" i="25" s="1"/>
  <c r="AK123" i="25" s="1"/>
  <c r="AK124" i="25" s="1"/>
  <c r="AK125" i="25" s="1"/>
  <c r="AK126" i="25" s="1"/>
  <c r="AK127" i="25" s="1"/>
  <c r="AK128" i="25" s="1"/>
  <c r="AK129" i="25" s="1"/>
  <c r="AK130" i="25" s="1"/>
  <c r="AK131" i="25" s="1"/>
  <c r="AK132" i="25" s="1"/>
  <c r="AK133" i="25" s="1"/>
  <c r="AK134" i="25" s="1"/>
  <c r="AK135" i="25" s="1"/>
  <c r="AK136" i="25" s="1"/>
  <c r="AK137" i="25" s="1"/>
  <c r="AK138" i="25" s="1"/>
  <c r="AK139" i="25" s="1"/>
  <c r="AK140" i="25" s="1"/>
  <c r="AK141" i="25" s="1"/>
  <c r="AK142" i="25" s="1"/>
  <c r="AK143" i="25" s="1"/>
  <c r="AK144" i="25" s="1"/>
  <c r="AK145" i="25" s="1"/>
  <c r="AK146" i="25" s="1"/>
  <c r="AK147" i="25" s="1"/>
  <c r="AK148" i="25" s="1"/>
  <c r="AK149" i="25" s="1"/>
  <c r="AK150" i="25" s="1"/>
  <c r="AK151" i="25" s="1"/>
  <c r="AK152" i="25" s="1"/>
  <c r="AK153" i="25" s="1"/>
  <c r="AK154" i="25" s="1"/>
  <c r="AK155" i="25" s="1"/>
  <c r="AK156" i="25" s="1"/>
  <c r="AK157" i="25" s="1"/>
  <c r="AK158" i="25" s="1"/>
  <c r="AK159" i="25" s="1"/>
  <c r="AK160" i="25" s="1"/>
  <c r="AK161" i="25" s="1"/>
  <c r="AK162" i="25" s="1"/>
  <c r="AK163" i="25" s="1"/>
  <c r="AK164" i="25" s="1"/>
  <c r="AK165" i="25" s="1"/>
  <c r="AK166" i="25" s="1"/>
  <c r="AK167" i="25" s="1"/>
  <c r="AK168" i="25" s="1"/>
  <c r="AK169" i="25" s="1"/>
  <c r="AK170" i="25" s="1"/>
  <c r="AK171" i="25" s="1"/>
  <c r="AK172" i="25" s="1"/>
  <c r="AK173" i="25" s="1"/>
  <c r="AK174" i="25" s="1"/>
  <c r="AK175" i="25" s="1"/>
  <c r="AK176" i="25" s="1"/>
  <c r="AK177" i="25" s="1"/>
  <c r="AK178" i="25" s="1"/>
  <c r="AK179" i="25" s="1"/>
  <c r="AK180" i="25" s="1"/>
  <c r="AK181" i="25" s="1"/>
  <c r="AK182" i="25" s="1"/>
  <c r="AK183" i="25" s="1"/>
  <c r="AK184" i="25" s="1"/>
  <c r="AK185" i="25" s="1"/>
  <c r="AK186" i="25" s="1"/>
  <c r="AK187" i="25" s="1"/>
  <c r="AK188" i="25" s="1"/>
  <c r="AK189" i="25" s="1"/>
  <c r="AK190" i="25" s="1"/>
  <c r="AK191" i="25" s="1"/>
  <c r="AK192" i="25" s="1"/>
  <c r="AK193" i="25" s="1"/>
  <c r="AK194" i="25" s="1"/>
  <c r="AK195" i="25" s="1"/>
  <c r="AK196" i="25" s="1"/>
  <c r="AK197" i="25" s="1"/>
  <c r="AK198" i="25" s="1"/>
  <c r="AK199" i="25" s="1"/>
  <c r="AK200" i="25" s="1"/>
  <c r="AK201" i="25" s="1"/>
  <c r="AK202" i="25" s="1"/>
  <c r="AK203" i="25" s="1"/>
  <c r="AK204" i="25" s="1"/>
  <c r="AK205" i="25" s="1"/>
  <c r="AK206" i="25" s="1"/>
  <c r="AK207" i="25" s="1"/>
  <c r="AK208" i="25" s="1"/>
  <c r="AK209" i="25" s="1"/>
  <c r="AK210" i="25" s="1"/>
  <c r="AK211" i="25" s="1"/>
  <c r="AK212" i="25" s="1"/>
  <c r="AK213" i="25" s="1"/>
  <c r="AK214" i="25" s="1"/>
  <c r="AK215" i="25" s="1"/>
  <c r="AK216" i="25" s="1"/>
  <c r="AK217" i="25" s="1"/>
  <c r="AK218" i="25" s="1"/>
  <c r="AK219" i="25" s="1"/>
  <c r="AK220" i="25" s="1"/>
  <c r="AK221" i="25" s="1"/>
  <c r="AK222" i="25" s="1"/>
  <c r="AK223" i="25" s="1"/>
  <c r="AK224" i="25" s="1"/>
  <c r="AK225" i="25" s="1"/>
  <c r="AK226" i="25" s="1"/>
  <c r="AK227" i="25" s="1"/>
  <c r="AK228" i="25" s="1"/>
  <c r="AK229" i="25" s="1"/>
  <c r="AK230" i="25" s="1"/>
  <c r="AK231" i="25" s="1"/>
  <c r="AK232" i="25" s="1"/>
  <c r="AK233" i="25" s="1"/>
  <c r="AK234" i="25" s="1"/>
  <c r="AK235" i="25" s="1"/>
  <c r="AK236" i="25" s="1"/>
  <c r="AK237" i="25" s="1"/>
  <c r="AK238" i="25" s="1"/>
  <c r="AK239" i="25" s="1"/>
  <c r="AK240" i="25" s="1"/>
  <c r="AK241" i="25" s="1"/>
  <c r="AK242" i="25" s="1"/>
  <c r="AK243" i="25" s="1"/>
  <c r="AK244" i="25" s="1"/>
  <c r="AK245" i="25" s="1"/>
  <c r="AK246" i="25" s="1"/>
  <c r="AK247" i="25" s="1"/>
  <c r="AK248" i="25" s="1"/>
  <c r="AK249" i="25" s="1"/>
  <c r="AK250" i="25" s="1"/>
  <c r="AK251" i="25" s="1"/>
  <c r="AK252" i="25" s="1"/>
  <c r="AK253" i="25" s="1"/>
  <c r="AK254" i="25" s="1"/>
  <c r="AK255" i="25" s="1"/>
  <c r="AK256" i="25" s="1"/>
  <c r="AK257" i="25" s="1"/>
  <c r="AK258" i="25" s="1"/>
  <c r="AK259" i="25" s="1"/>
  <c r="AK260" i="25" s="1"/>
  <c r="AK261" i="25" s="1"/>
  <c r="AK262" i="25" s="1"/>
  <c r="AK263" i="25" s="1"/>
  <c r="AK264" i="25" s="1"/>
  <c r="AK265" i="25" s="1"/>
  <c r="AK266" i="25" s="1"/>
  <c r="AK267" i="25" s="1"/>
  <c r="AK268" i="25" s="1"/>
  <c r="AK269" i="25" s="1"/>
  <c r="AK270" i="25" s="1"/>
  <c r="AK271" i="25" s="1"/>
  <c r="AK272" i="25" s="1"/>
  <c r="AK273" i="25" s="1"/>
  <c r="AK274" i="25" s="1"/>
  <c r="AK275" i="25" s="1"/>
  <c r="AK276" i="25" s="1"/>
  <c r="AK277" i="25" s="1"/>
  <c r="AK278" i="25" s="1"/>
  <c r="AK279" i="25" s="1"/>
  <c r="AK280" i="25" s="1"/>
  <c r="AK281" i="25" s="1"/>
  <c r="AK282" i="25" s="1"/>
  <c r="AK283" i="25" s="1"/>
  <c r="AK284" i="25" s="1"/>
  <c r="AK285" i="25" s="1"/>
  <c r="AK286" i="25" s="1"/>
  <c r="AK287" i="25" s="1"/>
  <c r="AK288" i="25" s="1"/>
  <c r="AK289" i="25" s="1"/>
  <c r="AK290" i="25" s="1"/>
  <c r="AK291" i="25" s="1"/>
  <c r="AK292" i="25" s="1"/>
  <c r="AK293" i="25" s="1"/>
  <c r="AK294" i="25" s="1"/>
  <c r="AK295" i="25" s="1"/>
  <c r="AK296" i="25" s="1"/>
  <c r="AK297" i="25" s="1"/>
  <c r="AK298" i="25" s="1"/>
  <c r="AK299" i="25" s="1"/>
  <c r="AK300" i="25" s="1"/>
  <c r="AK301" i="25" s="1"/>
  <c r="AK302" i="25" s="1"/>
  <c r="AK303" i="25" s="1"/>
  <c r="AK304" i="25" s="1"/>
  <c r="AK305" i="25" s="1"/>
  <c r="AK306" i="25" s="1"/>
  <c r="AK307" i="25" s="1"/>
  <c r="AK308" i="25" s="1"/>
  <c r="AK309" i="25" s="1"/>
  <c r="AK310" i="25" s="1"/>
  <c r="AK311" i="25" s="1"/>
  <c r="AK312" i="25" s="1"/>
  <c r="AK313" i="25" s="1"/>
  <c r="AK314" i="25" s="1"/>
  <c r="AK315" i="25" s="1"/>
  <c r="AK316" i="25" s="1"/>
  <c r="AK317" i="25" s="1"/>
  <c r="AK318" i="25" s="1"/>
  <c r="AK319" i="25" s="1"/>
  <c r="AK320" i="25" s="1"/>
  <c r="AK321" i="25" s="1"/>
  <c r="AK322" i="25" s="1"/>
  <c r="AK323" i="25" s="1"/>
  <c r="AK324" i="25" s="1"/>
  <c r="AK325" i="25" s="1"/>
  <c r="AK326" i="25" s="1"/>
  <c r="AK327" i="25" s="1"/>
  <c r="AK328" i="25" s="1"/>
  <c r="AK329" i="25" s="1"/>
  <c r="AK330" i="25" s="1"/>
  <c r="AK331" i="25" s="1"/>
  <c r="AK332" i="25" s="1"/>
  <c r="AK333" i="25" s="1"/>
  <c r="AK334" i="25" s="1"/>
  <c r="AK335" i="25" s="1"/>
  <c r="AK336" i="25" s="1"/>
  <c r="AK337" i="25" s="1"/>
  <c r="AK338" i="25" s="1"/>
  <c r="AK339" i="25" s="1"/>
  <c r="AK340" i="25" s="1"/>
  <c r="AK341" i="25" s="1"/>
  <c r="AK342" i="25" s="1"/>
  <c r="AK343" i="25" s="1"/>
  <c r="AK344" i="25" s="1"/>
  <c r="AK345" i="25" s="1"/>
  <c r="AK346" i="25" s="1"/>
  <c r="AK347" i="25" s="1"/>
  <c r="AK348" i="25" s="1"/>
  <c r="AK349" i="25" s="1"/>
  <c r="AK350" i="25" s="1"/>
  <c r="AK351" i="25" s="1"/>
  <c r="AK352" i="25" s="1"/>
  <c r="AK353" i="25" s="1"/>
  <c r="AK354" i="25" s="1"/>
  <c r="AK355" i="25" s="1"/>
  <c r="AK356" i="25" s="1"/>
  <c r="AK357" i="25" s="1"/>
  <c r="AK358" i="25" s="1"/>
  <c r="AK359" i="25" s="1"/>
  <c r="AK360" i="25" s="1"/>
  <c r="AK361" i="25" s="1"/>
  <c r="AK362" i="25" s="1"/>
  <c r="AK363" i="25" s="1"/>
  <c r="AK364" i="25" s="1"/>
  <c r="AK365" i="25" s="1"/>
  <c r="AK366" i="25" s="1"/>
  <c r="AK367" i="25" s="1"/>
  <c r="AK368" i="25" s="1"/>
  <c r="AK369" i="25" s="1"/>
  <c r="AK370" i="25" s="1"/>
  <c r="AK371" i="25" s="1"/>
  <c r="AK372" i="25" s="1"/>
  <c r="AK373" i="25" s="1"/>
  <c r="AK374" i="25" s="1"/>
  <c r="AK375" i="25" s="1"/>
  <c r="AK376" i="25" s="1"/>
  <c r="AK377" i="25" s="1"/>
  <c r="AK378" i="25" s="1"/>
  <c r="AK379" i="25" s="1"/>
  <c r="AK380" i="25" s="1"/>
  <c r="AK381" i="25" s="1"/>
  <c r="AK382" i="25" s="1"/>
  <c r="AK383" i="25" s="1"/>
  <c r="AK384" i="25" s="1"/>
  <c r="AK385" i="25" s="1"/>
  <c r="AK386" i="25" s="1"/>
  <c r="AK387" i="25" s="1"/>
  <c r="AK388" i="25" s="1"/>
  <c r="AK389" i="25" s="1"/>
  <c r="AK390" i="25" s="1"/>
  <c r="AK391" i="25" s="1"/>
  <c r="AK392" i="25" s="1"/>
  <c r="AK393" i="25" s="1"/>
  <c r="AK394" i="25" s="1"/>
  <c r="AK395" i="25" s="1"/>
  <c r="AK396" i="25" s="1"/>
  <c r="AK397" i="25" s="1"/>
  <c r="AK398" i="25" s="1"/>
  <c r="AK399" i="25" s="1"/>
  <c r="AK400" i="25" s="1"/>
  <c r="AK401" i="25" s="1"/>
  <c r="AK402" i="25" s="1"/>
  <c r="AK403" i="25" s="1"/>
  <c r="AK404" i="25" s="1"/>
  <c r="AK405" i="25" s="1"/>
  <c r="AK406" i="25" s="1"/>
  <c r="AK407" i="25" s="1"/>
  <c r="AK408" i="25" s="1"/>
  <c r="AK409" i="25" s="1"/>
  <c r="AK410" i="25" s="1"/>
  <c r="AK411" i="25" s="1"/>
  <c r="AK412" i="25" s="1"/>
  <c r="AK413" i="25" s="1"/>
  <c r="AK414" i="25" s="1"/>
  <c r="AK415" i="25" s="1"/>
  <c r="AK416" i="25" s="1"/>
  <c r="AK417" i="25" s="1"/>
  <c r="AK418" i="25" s="1"/>
  <c r="AK419" i="25" s="1"/>
  <c r="AK420" i="25" s="1"/>
  <c r="AK421" i="25" s="1"/>
  <c r="AK422" i="25" s="1"/>
  <c r="AK423" i="25" s="1"/>
  <c r="AK424" i="25" s="1"/>
  <c r="AK425" i="25" s="1"/>
  <c r="AK426" i="25" s="1"/>
  <c r="AK427" i="25" s="1"/>
  <c r="AK428" i="25" s="1"/>
  <c r="AK429" i="25" s="1"/>
  <c r="AK430" i="25" s="1"/>
  <c r="AK431" i="25" s="1"/>
  <c r="AK432" i="25" s="1"/>
  <c r="AK433" i="25" s="1"/>
  <c r="AK434" i="25" s="1"/>
  <c r="AK435" i="25" s="1"/>
  <c r="AK436" i="25" s="1"/>
  <c r="AK437" i="25" s="1"/>
  <c r="AK438" i="25" s="1"/>
  <c r="AK439" i="25" s="1"/>
  <c r="AK440" i="25" s="1"/>
  <c r="AK441" i="25" s="1"/>
  <c r="AK442" i="25" s="1"/>
  <c r="AK443" i="25" s="1"/>
  <c r="AK444" i="25" s="1"/>
  <c r="AK445" i="25" s="1"/>
  <c r="AK446" i="25" s="1"/>
  <c r="AK447" i="25" s="1"/>
  <c r="AK448" i="25" s="1"/>
  <c r="AK449" i="25" s="1"/>
  <c r="AK450" i="25" s="1"/>
  <c r="AK451" i="25" s="1"/>
  <c r="AK452" i="25" s="1"/>
  <c r="AK453" i="25" s="1"/>
  <c r="AK454" i="25" s="1"/>
  <c r="AK455" i="25" s="1"/>
  <c r="AK456" i="25" s="1"/>
  <c r="AK457" i="25" s="1"/>
  <c r="AK458" i="25" s="1"/>
  <c r="AK459" i="25" s="1"/>
  <c r="AK460" i="25" s="1"/>
  <c r="AK461" i="25" s="1"/>
  <c r="AK462" i="25" s="1"/>
  <c r="AK463" i="25" s="1"/>
  <c r="AK464" i="25" s="1"/>
  <c r="AK465" i="25" s="1"/>
  <c r="AK466" i="25" s="1"/>
  <c r="AK467" i="25" s="1"/>
  <c r="AK468" i="25" s="1"/>
  <c r="AK469" i="25" s="1"/>
  <c r="AK470" i="25" s="1"/>
  <c r="AK471" i="25" s="1"/>
  <c r="AK472" i="25" s="1"/>
  <c r="AK473" i="25" s="1"/>
  <c r="AK474" i="25" s="1"/>
  <c r="AK475" i="25" s="1"/>
  <c r="AK476" i="25" s="1"/>
  <c r="AK477" i="25" s="1"/>
  <c r="AK478" i="25" s="1"/>
  <c r="AK479" i="25" s="1"/>
  <c r="AK480" i="25" s="1"/>
  <c r="AK481" i="25" s="1"/>
  <c r="AK482" i="25" s="1"/>
  <c r="AK483" i="25" s="1"/>
  <c r="AK484" i="25" s="1"/>
  <c r="AK485" i="25" s="1"/>
  <c r="AK486" i="25" s="1"/>
  <c r="AK487" i="25" s="1"/>
  <c r="AK488" i="25" s="1"/>
  <c r="AK489" i="25" s="1"/>
  <c r="AK490" i="25" s="1"/>
  <c r="AK491" i="25" s="1"/>
  <c r="AK492" i="25" s="1"/>
  <c r="AK493" i="25" s="1"/>
  <c r="AK494" i="25" s="1"/>
  <c r="AK495" i="25" s="1"/>
  <c r="AK496" i="25" s="1"/>
  <c r="AK497" i="25" s="1"/>
  <c r="AK498" i="25" s="1"/>
  <c r="AK499" i="25" s="1"/>
  <c r="AK500" i="25" s="1"/>
  <c r="AK501" i="25" s="1"/>
  <c r="AK502" i="25" s="1"/>
  <c r="AK503" i="25" s="1"/>
  <c r="AK504" i="25" s="1"/>
  <c r="AK505" i="25" s="1"/>
  <c r="AK506" i="25" s="1"/>
  <c r="AK507" i="25" s="1"/>
  <c r="AK508" i="25" s="1"/>
  <c r="AK509" i="25" s="1"/>
  <c r="AK510" i="25" s="1"/>
  <c r="AK511" i="25" s="1"/>
  <c r="AK512" i="25" s="1"/>
  <c r="AK513" i="25" s="1"/>
  <c r="AK514" i="25" s="1"/>
  <c r="AK515" i="25" s="1"/>
  <c r="S7" i="25"/>
  <c r="U7" i="25" s="1"/>
  <c r="AH7" i="25"/>
  <c r="AJ7" i="25" s="1"/>
  <c r="AN7" i="25" l="1"/>
  <c r="AJ8" i="25"/>
  <c r="U8" i="25"/>
  <c r="X7" i="25"/>
  <c r="X8" i="25" l="1"/>
  <c r="U9" i="25"/>
  <c r="AN8" i="25"/>
  <c r="AJ9" i="25"/>
  <c r="AN9" i="25" l="1"/>
  <c r="AJ10" i="25"/>
  <c r="U10" i="25"/>
  <c r="X9" i="25"/>
  <c r="U11" i="25" l="1"/>
  <c r="X10" i="25"/>
  <c r="AN10" i="25"/>
  <c r="AJ11" i="25"/>
  <c r="AN11" i="25" l="1"/>
  <c r="AJ12" i="25"/>
  <c r="U12" i="25"/>
  <c r="X11" i="25"/>
  <c r="X12" i="25" l="1"/>
  <c r="U13" i="25"/>
  <c r="AN12" i="25"/>
  <c r="AJ13" i="25"/>
  <c r="AN13" i="25" l="1"/>
  <c r="AJ14" i="25"/>
  <c r="X13" i="25"/>
  <c r="U14" i="25"/>
  <c r="U15" i="25" l="1"/>
  <c r="X14" i="25"/>
  <c r="AN14" i="25"/>
  <c r="AJ15" i="25"/>
  <c r="AN15" i="25" l="1"/>
  <c r="AJ16" i="25"/>
  <c r="X15" i="25"/>
  <c r="U16" i="25"/>
  <c r="U17" i="25" l="1"/>
  <c r="X16" i="25"/>
  <c r="AN16" i="25"/>
  <c r="AJ17" i="25"/>
  <c r="AN17" i="25" l="1"/>
  <c r="AJ18" i="25"/>
  <c r="U18" i="25"/>
  <c r="X17" i="25"/>
  <c r="U19" i="25" l="1"/>
  <c r="X18" i="25"/>
  <c r="AN18" i="25"/>
  <c r="AJ19" i="25"/>
  <c r="AN19" i="25" l="1"/>
  <c r="AJ20" i="25"/>
  <c r="U20" i="25"/>
  <c r="X19" i="25"/>
  <c r="X20" i="25" l="1"/>
  <c r="U21" i="25"/>
  <c r="AN20" i="25"/>
  <c r="AJ21" i="25"/>
  <c r="AN21" i="25" l="1"/>
  <c r="AJ22" i="25"/>
  <c r="U22" i="25"/>
  <c r="X21" i="25"/>
  <c r="U23" i="25" l="1"/>
  <c r="X22" i="25"/>
  <c r="AN22" i="25"/>
  <c r="AJ23" i="25"/>
  <c r="AN23" i="25" l="1"/>
  <c r="AJ24" i="25"/>
  <c r="U24" i="25"/>
  <c r="X23" i="25"/>
  <c r="U25" i="25" l="1"/>
  <c r="X24" i="25"/>
  <c r="AN24" i="25"/>
  <c r="AJ25" i="25"/>
  <c r="AN25" i="25" l="1"/>
  <c r="AJ26" i="25"/>
  <c r="U26" i="25"/>
  <c r="X25" i="25"/>
  <c r="U27" i="25" l="1"/>
  <c r="X26" i="25"/>
  <c r="AN26" i="25"/>
  <c r="AJ27" i="25"/>
  <c r="AN27" i="25" l="1"/>
  <c r="AJ28" i="25"/>
  <c r="X27" i="25"/>
  <c r="U28" i="25"/>
  <c r="U29" i="25" l="1"/>
  <c r="X28" i="25"/>
  <c r="AN28" i="25"/>
  <c r="AJ29" i="25"/>
  <c r="AN29" i="25" l="1"/>
  <c r="AJ30" i="25"/>
  <c r="U30" i="25"/>
  <c r="X29" i="25"/>
  <c r="AN30" i="25" l="1"/>
  <c r="AJ31" i="25"/>
  <c r="X30" i="25"/>
  <c r="U31" i="25"/>
  <c r="U32" i="25" l="1"/>
  <c r="X31" i="25"/>
  <c r="AN31" i="25"/>
  <c r="AJ32" i="25"/>
  <c r="AN32" i="25" l="1"/>
  <c r="AJ33" i="25"/>
  <c r="U33" i="25"/>
  <c r="X32" i="25"/>
  <c r="U34" i="25" l="1"/>
  <c r="X33" i="25"/>
  <c r="AN33" i="25"/>
  <c r="AJ34" i="25"/>
  <c r="AN34" i="25" l="1"/>
  <c r="AJ35" i="25"/>
  <c r="U35" i="25"/>
  <c r="X34" i="25"/>
  <c r="AN35" i="25" l="1"/>
  <c r="AJ36" i="25"/>
  <c r="X35" i="25"/>
  <c r="U36" i="25"/>
  <c r="X36" i="25" l="1"/>
  <c r="U37" i="25"/>
  <c r="AN36" i="25"/>
  <c r="AJ37" i="25"/>
  <c r="AN37" i="25" l="1"/>
  <c r="AJ38" i="25"/>
  <c r="U38" i="25"/>
  <c r="X37" i="25"/>
  <c r="U39" i="25" l="1"/>
  <c r="X38" i="25"/>
  <c r="AN38" i="25"/>
  <c r="AJ39" i="25"/>
  <c r="AN39" i="25" l="1"/>
  <c r="AJ40" i="25"/>
  <c r="U40" i="25"/>
  <c r="X39" i="25"/>
  <c r="U41" i="25" l="1"/>
  <c r="X40" i="25"/>
  <c r="AN40" i="25"/>
  <c r="AJ41" i="25"/>
  <c r="AN41" i="25" l="1"/>
  <c r="AJ42" i="25"/>
  <c r="U42" i="25"/>
  <c r="X41" i="25"/>
  <c r="U43" i="25" l="1"/>
  <c r="X42" i="25"/>
  <c r="AN42" i="25"/>
  <c r="AJ43" i="25"/>
  <c r="AN43" i="25" l="1"/>
  <c r="AJ44" i="25"/>
  <c r="U44" i="25"/>
  <c r="X43" i="25"/>
  <c r="U45" i="25" l="1"/>
  <c r="X44" i="25"/>
  <c r="AN44" i="25"/>
  <c r="AJ45" i="25"/>
  <c r="AN45" i="25" l="1"/>
  <c r="AJ46" i="25"/>
  <c r="U46" i="25"/>
  <c r="X45" i="25"/>
  <c r="U47" i="25" l="1"/>
  <c r="X46" i="25"/>
  <c r="AN46" i="25"/>
  <c r="AJ47" i="25"/>
  <c r="AN47" i="25" l="1"/>
  <c r="AJ48" i="25"/>
  <c r="U48" i="25"/>
  <c r="X47" i="25"/>
  <c r="U49" i="25" l="1"/>
  <c r="X48" i="25"/>
  <c r="AN48" i="25"/>
  <c r="AJ49" i="25"/>
  <c r="AN49" i="25" l="1"/>
  <c r="AJ50" i="25"/>
  <c r="U50" i="25"/>
  <c r="X49" i="25"/>
  <c r="AN50" i="25" l="1"/>
  <c r="AJ51" i="25"/>
  <c r="U51" i="25"/>
  <c r="X50" i="25"/>
  <c r="AN51" i="25" l="1"/>
  <c r="AJ52" i="25"/>
  <c r="U52" i="25"/>
  <c r="X51" i="25"/>
  <c r="U53" i="25" l="1"/>
  <c r="X52" i="25"/>
  <c r="AN52" i="25"/>
  <c r="AJ53" i="25"/>
  <c r="AN53" i="25" l="1"/>
  <c r="AJ54" i="25"/>
  <c r="U54" i="25"/>
  <c r="X53" i="25"/>
  <c r="U55" i="25" l="1"/>
  <c r="X54" i="25"/>
  <c r="AN54" i="25"/>
  <c r="AJ55" i="25"/>
  <c r="AN55" i="25" l="1"/>
  <c r="AJ56" i="25"/>
  <c r="U56" i="25"/>
  <c r="X55" i="25"/>
  <c r="AN56" i="25" l="1"/>
  <c r="AJ57" i="25"/>
  <c r="X56" i="25"/>
  <c r="U57" i="25"/>
  <c r="U58" i="25" l="1"/>
  <c r="X57" i="25"/>
  <c r="AN57" i="25"/>
  <c r="AJ58" i="25"/>
  <c r="AP58" i="25" l="1"/>
  <c r="AQ58" i="25"/>
  <c r="AS58" i="25"/>
  <c r="AO58" i="25"/>
  <c r="AR58" i="25"/>
  <c r="AJ59" i="25"/>
  <c r="AN58" i="25"/>
  <c r="U59" i="25"/>
  <c r="X58" i="25"/>
  <c r="AO59" i="25" l="1"/>
  <c r="AR59" i="25"/>
  <c r="AP59" i="25"/>
  <c r="AQ59" i="25"/>
  <c r="AS59" i="25"/>
  <c r="U60" i="25"/>
  <c r="X59" i="25"/>
  <c r="AJ60" i="25"/>
  <c r="AN59" i="25"/>
  <c r="AP60" i="25" l="1"/>
  <c r="AQ60" i="25"/>
  <c r="AS60" i="25"/>
  <c r="AO60" i="25"/>
  <c r="AR60" i="25"/>
  <c r="AJ61" i="25"/>
  <c r="AN60" i="25"/>
  <c r="X60" i="25"/>
  <c r="U61" i="25"/>
  <c r="AR61" i="25" l="1"/>
  <c r="AS61" i="25"/>
  <c r="AO61" i="25"/>
  <c r="AP61" i="25"/>
  <c r="AQ61" i="25"/>
  <c r="U62" i="25"/>
  <c r="X61" i="25"/>
  <c r="AJ62" i="25"/>
  <c r="AN61" i="25"/>
  <c r="AQ62" i="25" l="1"/>
  <c r="AR62" i="25"/>
  <c r="AS62" i="25"/>
  <c r="AO62" i="25"/>
  <c r="AP62" i="25"/>
  <c r="U63" i="25"/>
  <c r="X62" i="25"/>
  <c r="AJ63" i="25"/>
  <c r="AN62" i="25"/>
  <c r="AR63" i="25" l="1"/>
  <c r="AS63" i="25"/>
  <c r="AQ63" i="25"/>
  <c r="AO63" i="25"/>
  <c r="AP63" i="25"/>
  <c r="AN63" i="25"/>
  <c r="AJ64" i="25"/>
  <c r="U64" i="25"/>
  <c r="X63" i="25"/>
  <c r="AO64" i="25" l="1"/>
  <c r="AS64" i="25"/>
  <c r="AQ64" i="25"/>
  <c r="AR64" i="25"/>
  <c r="AP64" i="25"/>
  <c r="X64" i="25"/>
  <c r="U65" i="25"/>
  <c r="AJ65" i="25"/>
  <c r="AN64" i="25"/>
  <c r="AO65" i="25" l="1"/>
  <c r="AS65" i="25"/>
  <c r="AP65" i="25"/>
  <c r="AQ65" i="25"/>
  <c r="AR65" i="25"/>
  <c r="U66" i="25"/>
  <c r="X65" i="25"/>
  <c r="AJ66" i="25"/>
  <c r="AN65" i="25"/>
  <c r="AQ66" i="25" l="1"/>
  <c r="AR66" i="25"/>
  <c r="AO66" i="25"/>
  <c r="AP66" i="25"/>
  <c r="AS66" i="25"/>
  <c r="AJ67" i="25"/>
  <c r="AN66" i="25"/>
  <c r="U67" i="25"/>
  <c r="X66" i="25"/>
  <c r="AS67" i="25" l="1"/>
  <c r="AQ67" i="25"/>
  <c r="AO67" i="25"/>
  <c r="AP67" i="25"/>
  <c r="AR67" i="25"/>
  <c r="AJ68" i="25"/>
  <c r="AN67" i="25"/>
  <c r="U68" i="25"/>
  <c r="X67" i="25"/>
  <c r="AR68" i="25" l="1"/>
  <c r="AO68" i="25"/>
  <c r="AS68" i="25"/>
  <c r="AP68" i="25"/>
  <c r="AQ68" i="25"/>
  <c r="U69" i="25"/>
  <c r="X68" i="25"/>
  <c r="AN68" i="25"/>
  <c r="AJ69" i="25"/>
  <c r="AQ69" i="25" l="1"/>
  <c r="AR69" i="25"/>
  <c r="AS69" i="25"/>
  <c r="AP69" i="25"/>
  <c r="AO69" i="25"/>
  <c r="AN69" i="25"/>
  <c r="AJ70" i="25"/>
  <c r="X69" i="25"/>
  <c r="U70" i="25"/>
  <c r="AQ70" i="25" l="1"/>
  <c r="AS70" i="25"/>
  <c r="AR70" i="25"/>
  <c r="AP70" i="25"/>
  <c r="AO70" i="25"/>
  <c r="X70" i="25"/>
  <c r="U71" i="25"/>
  <c r="AJ71" i="25"/>
  <c r="AN70" i="25"/>
  <c r="AO71" i="25" l="1"/>
  <c r="AR71" i="25"/>
  <c r="AQ71" i="25"/>
  <c r="AS71" i="25"/>
  <c r="AP71" i="25"/>
  <c r="AJ72" i="25"/>
  <c r="AN71" i="25"/>
  <c r="U72" i="25"/>
  <c r="X71" i="25"/>
  <c r="AQ72" i="25" l="1"/>
  <c r="AP72" i="25"/>
  <c r="AS72" i="25"/>
  <c r="AR72" i="25"/>
  <c r="AO72" i="25"/>
  <c r="U73" i="25"/>
  <c r="X72" i="25"/>
  <c r="AN72" i="25"/>
  <c r="AJ73" i="25"/>
  <c r="AO73" i="25" l="1"/>
  <c r="AS73" i="25"/>
  <c r="AQ73" i="25"/>
  <c r="AP73" i="25"/>
  <c r="AR73" i="25"/>
  <c r="AJ74" i="25"/>
  <c r="AN73" i="25"/>
  <c r="X73" i="25"/>
  <c r="U74" i="25"/>
  <c r="AO74" i="25" l="1"/>
  <c r="AQ74" i="25"/>
  <c r="AP74" i="25"/>
  <c r="AR74" i="25"/>
  <c r="AS74" i="25"/>
  <c r="AJ75" i="25"/>
  <c r="AN74" i="25"/>
  <c r="U75" i="25"/>
  <c r="X74" i="25"/>
  <c r="AO75" i="25" l="1"/>
  <c r="AS75" i="25"/>
  <c r="AQ75" i="25"/>
  <c r="AR75" i="25"/>
  <c r="AP75" i="25"/>
  <c r="U76" i="25"/>
  <c r="X75" i="25"/>
  <c r="AJ76" i="25"/>
  <c r="AN75" i="25"/>
  <c r="AS76" i="25" l="1"/>
  <c r="AQ76" i="25"/>
  <c r="AR76" i="25"/>
  <c r="AP76" i="25"/>
  <c r="AO76" i="25"/>
  <c r="AJ77" i="25"/>
  <c r="AN76" i="25"/>
  <c r="X76" i="25"/>
  <c r="U77" i="25"/>
  <c r="AQ77" i="25" l="1"/>
  <c r="AR77" i="25"/>
  <c r="AS77" i="25"/>
  <c r="AO77" i="25"/>
  <c r="AP77" i="25"/>
  <c r="U78" i="25"/>
  <c r="X77" i="25"/>
  <c r="AJ78" i="25"/>
  <c r="AN77" i="25"/>
  <c r="AP78" i="25" l="1"/>
  <c r="AR78" i="25"/>
  <c r="AQ78" i="25"/>
  <c r="AS78" i="25"/>
  <c r="AO78" i="25"/>
  <c r="AJ79" i="25"/>
  <c r="AN78" i="25"/>
  <c r="U79" i="25"/>
  <c r="X78" i="25"/>
  <c r="AO79" i="25" l="1"/>
  <c r="AR79" i="25"/>
  <c r="AS79" i="25"/>
  <c r="AQ79" i="25"/>
  <c r="AP79" i="25"/>
  <c r="U80" i="25"/>
  <c r="X79" i="25"/>
  <c r="AN79" i="25"/>
  <c r="AJ80" i="25"/>
  <c r="AS80" i="25" l="1"/>
  <c r="AO80" i="25"/>
  <c r="AP80" i="25"/>
  <c r="AQ80" i="25"/>
  <c r="AR80" i="25"/>
  <c r="AJ81" i="25"/>
  <c r="AN80" i="25"/>
  <c r="X80" i="25"/>
  <c r="U81" i="25"/>
  <c r="AO81" i="25" l="1"/>
  <c r="AQ81" i="25"/>
  <c r="AP81" i="25"/>
  <c r="AS81" i="25"/>
  <c r="AR81" i="25"/>
  <c r="U82" i="25"/>
  <c r="X81" i="25"/>
  <c r="AJ82" i="25"/>
  <c r="AN81" i="25"/>
  <c r="AR82" i="25" l="1"/>
  <c r="AO82" i="25"/>
  <c r="AP82" i="25"/>
  <c r="AS82" i="25"/>
  <c r="AQ82" i="25"/>
  <c r="AJ83" i="25"/>
  <c r="AN82" i="25"/>
  <c r="U83" i="25"/>
  <c r="X82" i="25"/>
  <c r="AR83" i="25" l="1"/>
  <c r="AO83" i="25"/>
  <c r="AP83" i="25"/>
  <c r="AQ83" i="25"/>
  <c r="AS83" i="25"/>
  <c r="AJ84" i="25"/>
  <c r="AN83" i="25"/>
  <c r="U84" i="25"/>
  <c r="X83" i="25"/>
  <c r="AP84" i="25" l="1"/>
  <c r="AR84" i="25"/>
  <c r="AQ84" i="25"/>
  <c r="AS84" i="25"/>
  <c r="AO84" i="25"/>
  <c r="AJ85" i="25"/>
  <c r="AN84" i="25"/>
  <c r="U85" i="25"/>
  <c r="X84" i="25"/>
  <c r="AO85" i="25" l="1"/>
  <c r="AP85" i="25"/>
  <c r="AR85" i="25"/>
  <c r="AQ85" i="25"/>
  <c r="AS85" i="25"/>
  <c r="X85" i="25"/>
  <c r="U86" i="25"/>
  <c r="AJ86" i="25"/>
  <c r="AN85" i="25"/>
  <c r="AO86" i="25" l="1"/>
  <c r="AQ86" i="25"/>
  <c r="AS86" i="25"/>
  <c r="AP86" i="25"/>
  <c r="AR86" i="25"/>
  <c r="AJ87" i="25"/>
  <c r="AN86" i="25"/>
  <c r="X86" i="25"/>
  <c r="U87" i="25"/>
  <c r="AS87" i="25" l="1"/>
  <c r="AO87" i="25"/>
  <c r="AP87" i="25"/>
  <c r="AQ87" i="25"/>
  <c r="AR87" i="25"/>
  <c r="U88" i="25"/>
  <c r="X87" i="25"/>
  <c r="AJ88" i="25"/>
  <c r="AN87" i="25"/>
  <c r="AR88" i="25" l="1"/>
  <c r="AO88" i="25"/>
  <c r="AS88" i="25"/>
  <c r="AQ88" i="25"/>
  <c r="AP88" i="25"/>
  <c r="AJ89" i="25"/>
  <c r="AN88" i="25"/>
  <c r="U89" i="25"/>
  <c r="X88" i="25"/>
  <c r="AP89" i="25" l="1"/>
  <c r="AS89" i="25"/>
  <c r="AO89" i="25"/>
  <c r="AQ89" i="25"/>
  <c r="AR89" i="25"/>
  <c r="U90" i="25"/>
  <c r="X89" i="25"/>
  <c r="AJ90" i="25"/>
  <c r="AN89" i="25"/>
  <c r="AO90" i="25" l="1"/>
  <c r="AQ90" i="25"/>
  <c r="AP90" i="25"/>
  <c r="AR90" i="25"/>
  <c r="AS90" i="25"/>
  <c r="AJ91" i="25"/>
  <c r="AN90" i="25"/>
  <c r="U91" i="25"/>
  <c r="X90" i="25"/>
  <c r="AQ91" i="25" l="1"/>
  <c r="AR91" i="25"/>
  <c r="AO91" i="25"/>
  <c r="AS91" i="25"/>
  <c r="AP91" i="25"/>
  <c r="U92" i="25"/>
  <c r="X91" i="25"/>
  <c r="AJ92" i="25"/>
  <c r="AN91" i="25"/>
  <c r="AS92" i="25" l="1"/>
  <c r="AQ92" i="25"/>
  <c r="AO92" i="25"/>
  <c r="AR92" i="25"/>
  <c r="AP92" i="25"/>
  <c r="AN92" i="25"/>
  <c r="AJ93" i="25"/>
  <c r="U93" i="25"/>
  <c r="X92" i="25"/>
  <c r="AO93" i="25" l="1"/>
  <c r="AR93" i="25"/>
  <c r="AP93" i="25"/>
  <c r="AQ93" i="25"/>
  <c r="AS93" i="25"/>
  <c r="U94" i="25"/>
  <c r="X93" i="25"/>
  <c r="AJ94" i="25"/>
  <c r="AN93" i="25"/>
  <c r="AP94" i="25" l="1"/>
  <c r="AO94" i="25"/>
  <c r="AR94" i="25"/>
  <c r="AQ94" i="25"/>
  <c r="AS94" i="25"/>
  <c r="AJ95" i="25"/>
  <c r="AN94" i="25"/>
  <c r="U95" i="25"/>
  <c r="X94" i="25"/>
  <c r="AS95" i="25" l="1"/>
  <c r="AQ95" i="25"/>
  <c r="AR95" i="25"/>
  <c r="AP95" i="25"/>
  <c r="AO95" i="25"/>
  <c r="U96" i="25"/>
  <c r="X95" i="25"/>
  <c r="AN95" i="25"/>
  <c r="AJ96" i="25"/>
  <c r="AQ96" i="25" l="1"/>
  <c r="AR96" i="25"/>
  <c r="AS96" i="25"/>
  <c r="AO96" i="25"/>
  <c r="AP96" i="25"/>
  <c r="AJ97" i="25"/>
  <c r="AN96" i="25"/>
  <c r="X96" i="25"/>
  <c r="U97" i="25"/>
  <c r="AQ97" i="25" l="1"/>
  <c r="AP97" i="25"/>
  <c r="AO97" i="25"/>
  <c r="AS97" i="25"/>
  <c r="AR97" i="25"/>
  <c r="U98" i="25"/>
  <c r="X97" i="25"/>
  <c r="AN97" i="25"/>
  <c r="AJ98" i="25"/>
  <c r="AS98" i="25" l="1"/>
  <c r="AO98" i="25"/>
  <c r="AR98" i="25"/>
  <c r="AQ98" i="25"/>
  <c r="AP98" i="25"/>
  <c r="AN98" i="25"/>
  <c r="AJ99" i="25"/>
  <c r="U99" i="25"/>
  <c r="X98" i="25"/>
  <c r="AS99" i="25" l="1"/>
  <c r="AP99" i="25"/>
  <c r="AR99" i="25"/>
  <c r="AO99" i="25"/>
  <c r="AQ99" i="25"/>
  <c r="X99" i="25"/>
  <c r="U100" i="25"/>
  <c r="AJ100" i="25"/>
  <c r="AN99" i="25"/>
  <c r="AO100" i="25" l="1"/>
  <c r="AQ100" i="25"/>
  <c r="AS100" i="25"/>
  <c r="AP100" i="25"/>
  <c r="AR100" i="25"/>
  <c r="AJ101" i="25"/>
  <c r="AN100" i="25"/>
  <c r="U101" i="25"/>
  <c r="X100" i="25"/>
  <c r="AS101" i="25" l="1"/>
  <c r="AQ101" i="25"/>
  <c r="AR101" i="25"/>
  <c r="AO101" i="25"/>
  <c r="AP101" i="25"/>
  <c r="X101" i="25"/>
  <c r="U102" i="25"/>
  <c r="AJ102" i="25"/>
  <c r="AN101" i="25"/>
  <c r="AQ102" i="25" l="1"/>
  <c r="AO102" i="25"/>
  <c r="AS102" i="25"/>
  <c r="AP102" i="25"/>
  <c r="AR102" i="25"/>
  <c r="AJ103" i="25"/>
  <c r="AN102" i="25"/>
  <c r="X102" i="25"/>
  <c r="U103" i="25"/>
  <c r="AR103" i="25" l="1"/>
  <c r="AO103" i="25"/>
  <c r="AS103" i="25"/>
  <c r="AP103" i="25"/>
  <c r="AQ103" i="25"/>
  <c r="U104" i="25"/>
  <c r="X103" i="25"/>
  <c r="AJ104" i="25"/>
  <c r="AN103" i="25"/>
  <c r="AS104" i="25" l="1"/>
  <c r="AO104" i="25"/>
  <c r="AR104" i="25"/>
  <c r="AQ104" i="25"/>
  <c r="AP104" i="25"/>
  <c r="AJ105" i="25"/>
  <c r="AN104" i="25"/>
  <c r="U105" i="25"/>
  <c r="X104" i="25"/>
  <c r="AQ105" i="25" l="1"/>
  <c r="AO105" i="25"/>
  <c r="AR105" i="25"/>
  <c r="AP105" i="25"/>
  <c r="AS105" i="25"/>
  <c r="U106" i="25"/>
  <c r="X105" i="25"/>
  <c r="AJ106" i="25"/>
  <c r="AN105" i="25"/>
  <c r="AS106" i="25" l="1"/>
  <c r="AR106" i="25"/>
  <c r="AO106" i="25"/>
  <c r="AQ106" i="25"/>
  <c r="AP106" i="25"/>
  <c r="AJ107" i="25"/>
  <c r="AN106" i="25"/>
  <c r="U107" i="25"/>
  <c r="X106" i="25"/>
  <c r="AR107" i="25" l="1"/>
  <c r="AP107" i="25"/>
  <c r="AQ107" i="25"/>
  <c r="AO107" i="25"/>
  <c r="AS107" i="25"/>
  <c r="U108" i="25"/>
  <c r="X107" i="25"/>
  <c r="AJ108" i="25"/>
  <c r="AN107" i="25"/>
  <c r="AR108" i="25" l="1"/>
  <c r="AQ108" i="25"/>
  <c r="AS108" i="25"/>
  <c r="AP108" i="25"/>
  <c r="AO108" i="25"/>
  <c r="AN108" i="25"/>
  <c r="AJ109" i="25"/>
  <c r="U109" i="25"/>
  <c r="X108" i="25"/>
  <c r="AO109" i="25" l="1"/>
  <c r="AR109" i="25"/>
  <c r="AP109" i="25"/>
  <c r="AQ109" i="25"/>
  <c r="AS109" i="25"/>
  <c r="U110" i="25"/>
  <c r="X109" i="25"/>
  <c r="AJ110" i="25"/>
  <c r="AN109" i="25"/>
  <c r="AO110" i="25" l="1"/>
  <c r="AR110" i="25"/>
  <c r="AQ110" i="25"/>
  <c r="AS110" i="25"/>
  <c r="AP110" i="25"/>
  <c r="AJ111" i="25"/>
  <c r="AN110" i="25"/>
  <c r="U111" i="25"/>
  <c r="X110" i="25"/>
  <c r="AP111" i="25" l="1"/>
  <c r="AR111" i="25"/>
  <c r="AS111" i="25"/>
  <c r="AQ111" i="25"/>
  <c r="AO111" i="25"/>
  <c r="U112" i="25"/>
  <c r="X111" i="25"/>
  <c r="AN111" i="25"/>
  <c r="AJ112" i="25"/>
  <c r="AS112" i="25" l="1"/>
  <c r="AR112" i="25"/>
  <c r="AP112" i="25"/>
  <c r="AQ112" i="25"/>
  <c r="AO112" i="25"/>
  <c r="AJ113" i="25"/>
  <c r="AN112" i="25"/>
  <c r="X112" i="25"/>
  <c r="U113" i="25"/>
  <c r="AO113" i="25" l="1"/>
  <c r="AQ113" i="25"/>
  <c r="AP113" i="25"/>
  <c r="AS113" i="25"/>
  <c r="AR113" i="25"/>
  <c r="U114" i="25"/>
  <c r="X113" i="25"/>
  <c r="AN113" i="25"/>
  <c r="AJ114" i="25"/>
  <c r="AQ114" i="25" l="1"/>
  <c r="AR114" i="25"/>
  <c r="AO114" i="25"/>
  <c r="AP114" i="25"/>
  <c r="AS114" i="25"/>
  <c r="AN114" i="25"/>
  <c r="AJ115" i="25"/>
  <c r="U115" i="25"/>
  <c r="X114" i="25"/>
  <c r="AO115" i="25" l="1"/>
  <c r="AR115" i="25"/>
  <c r="AQ115" i="25"/>
  <c r="AP115" i="25"/>
  <c r="AS115" i="25"/>
  <c r="X115" i="25"/>
  <c r="U116" i="25"/>
  <c r="AJ116" i="25"/>
  <c r="AN115" i="25"/>
  <c r="AR116" i="25" l="1"/>
  <c r="AP116" i="25"/>
  <c r="AS116" i="25"/>
  <c r="AO116" i="25"/>
  <c r="AQ116" i="25"/>
  <c r="AJ117" i="25"/>
  <c r="AN116" i="25"/>
  <c r="U117" i="25"/>
  <c r="X116" i="25"/>
  <c r="AS117" i="25" l="1"/>
  <c r="AQ117" i="25"/>
  <c r="AP117" i="25"/>
  <c r="AR117" i="25"/>
  <c r="AO117" i="25"/>
  <c r="X117" i="25"/>
  <c r="U118" i="25"/>
  <c r="AJ118" i="25"/>
  <c r="AN117" i="25"/>
  <c r="AR118" i="25" l="1"/>
  <c r="AQ118" i="25"/>
  <c r="AO118" i="25"/>
  <c r="AP118" i="25"/>
  <c r="AS118" i="25"/>
  <c r="AJ119" i="25"/>
  <c r="AN118" i="25"/>
  <c r="X118" i="25"/>
  <c r="U119" i="25"/>
  <c r="AP119" i="25" l="1"/>
  <c r="AS119" i="25"/>
  <c r="AO119" i="25"/>
  <c r="AR119" i="25"/>
  <c r="AQ119" i="25"/>
  <c r="U120" i="25"/>
  <c r="X119" i="25"/>
  <c r="AJ120" i="25"/>
  <c r="AN119" i="25"/>
  <c r="AS120" i="25" l="1"/>
  <c r="AQ120" i="25"/>
  <c r="AP120" i="25"/>
  <c r="AR120" i="25"/>
  <c r="AO120" i="25"/>
  <c r="AJ121" i="25"/>
  <c r="AN120" i="25"/>
  <c r="U121" i="25"/>
  <c r="X120" i="25"/>
  <c r="AS121" i="25" l="1"/>
  <c r="AP121" i="25"/>
  <c r="AQ121" i="25"/>
  <c r="AR121" i="25"/>
  <c r="AO121" i="25"/>
  <c r="U122" i="25"/>
  <c r="X121" i="25"/>
  <c r="AJ122" i="25"/>
  <c r="AN121" i="25"/>
  <c r="AQ122" i="25" l="1"/>
  <c r="AS122" i="25"/>
  <c r="AP122" i="25"/>
  <c r="AR122" i="25"/>
  <c r="AO122" i="25"/>
  <c r="AJ123" i="25"/>
  <c r="AN122" i="25"/>
  <c r="U123" i="25"/>
  <c r="X122" i="25"/>
  <c r="AQ123" i="25" l="1"/>
  <c r="AP123" i="25"/>
  <c r="AS123" i="25"/>
  <c r="AR123" i="25"/>
  <c r="AO123" i="25"/>
  <c r="U124" i="25"/>
  <c r="X123" i="25"/>
  <c r="AJ124" i="25"/>
  <c r="AN123" i="25"/>
  <c r="AS124" i="25" l="1"/>
  <c r="AR124" i="25"/>
  <c r="AP124" i="25"/>
  <c r="AQ124" i="25"/>
  <c r="AO124" i="25"/>
  <c r="AJ125" i="25"/>
  <c r="AN124" i="25"/>
  <c r="U125" i="25"/>
  <c r="X124" i="25"/>
  <c r="AP125" i="25" l="1"/>
  <c r="AO125" i="25"/>
  <c r="AQ125" i="25"/>
  <c r="AR125" i="25"/>
  <c r="AS125" i="25"/>
  <c r="U126" i="25"/>
  <c r="X125" i="25"/>
  <c r="AJ126" i="25"/>
  <c r="AN125" i="25"/>
  <c r="AO126" i="25" l="1"/>
  <c r="AQ126" i="25"/>
  <c r="AR126" i="25"/>
  <c r="AS126" i="25"/>
  <c r="AP126" i="25"/>
  <c r="AJ127" i="25"/>
  <c r="AN126" i="25"/>
  <c r="U127" i="25"/>
  <c r="X126" i="25"/>
  <c r="AR127" i="25" l="1"/>
  <c r="AO127" i="25"/>
  <c r="AS127" i="25"/>
  <c r="AP127" i="25"/>
  <c r="AQ127" i="25"/>
  <c r="U128" i="25"/>
  <c r="X127" i="25"/>
  <c r="AN127" i="25"/>
  <c r="AJ128" i="25"/>
  <c r="AS128" i="25" l="1"/>
  <c r="AO128" i="25"/>
  <c r="AQ128" i="25"/>
  <c r="AR128" i="25"/>
  <c r="AP128" i="25"/>
  <c r="AJ129" i="25"/>
  <c r="AN128" i="25"/>
  <c r="X128" i="25"/>
  <c r="U129" i="25"/>
  <c r="AQ129" i="25" l="1"/>
  <c r="AS129" i="25"/>
  <c r="AO129" i="25"/>
  <c r="AR129" i="25"/>
  <c r="AP129" i="25"/>
  <c r="U130" i="25"/>
  <c r="X129" i="25"/>
  <c r="AN129" i="25"/>
  <c r="AJ130" i="25"/>
  <c r="AP130" i="25" l="1"/>
  <c r="AQ130" i="25"/>
  <c r="AR130" i="25"/>
  <c r="AO130" i="25"/>
  <c r="AS130" i="25"/>
  <c r="AN130" i="25"/>
  <c r="AJ131" i="25"/>
  <c r="U131" i="25"/>
  <c r="X130" i="25"/>
  <c r="AR131" i="25" l="1"/>
  <c r="AQ131" i="25"/>
  <c r="AO131" i="25"/>
  <c r="AS131" i="25"/>
  <c r="AP131" i="25"/>
  <c r="X131" i="25"/>
  <c r="U132" i="25"/>
  <c r="AJ132" i="25"/>
  <c r="AN131" i="25"/>
  <c r="AS132" i="25" l="1"/>
  <c r="AP132" i="25"/>
  <c r="AO132" i="25"/>
  <c r="AQ132" i="25"/>
  <c r="AR132" i="25"/>
  <c r="AJ133" i="25"/>
  <c r="AN132" i="25"/>
  <c r="U133" i="25"/>
  <c r="X132" i="25"/>
  <c r="AQ133" i="25" l="1"/>
  <c r="AP133" i="25"/>
  <c r="AO133" i="25"/>
  <c r="AS133" i="25"/>
  <c r="AR133" i="25"/>
  <c r="X133" i="25"/>
  <c r="U134" i="25"/>
  <c r="AJ134" i="25"/>
  <c r="AN133" i="25"/>
  <c r="AS134" i="25" l="1"/>
  <c r="AO134" i="25"/>
  <c r="AR134" i="25"/>
  <c r="AQ134" i="25"/>
  <c r="AP134" i="25"/>
  <c r="AJ135" i="25"/>
  <c r="AN134" i="25"/>
  <c r="X134" i="25"/>
  <c r="U135" i="25"/>
  <c r="AR135" i="25" l="1"/>
  <c r="AO135" i="25"/>
  <c r="AP135" i="25"/>
  <c r="AS135" i="25"/>
  <c r="AQ135" i="25"/>
  <c r="U136" i="25"/>
  <c r="X135" i="25"/>
  <c r="AJ136" i="25"/>
  <c r="AN135" i="25"/>
  <c r="AP136" i="25" l="1"/>
  <c r="AR136" i="25"/>
  <c r="AQ136" i="25"/>
  <c r="AO136" i="25"/>
  <c r="AS136" i="25"/>
  <c r="AJ137" i="25"/>
  <c r="AN136" i="25"/>
  <c r="U137" i="25"/>
  <c r="X136" i="25"/>
  <c r="AS137" i="25" l="1"/>
  <c r="AO137" i="25"/>
  <c r="AQ137" i="25"/>
  <c r="AR137" i="25"/>
  <c r="AP137" i="25"/>
  <c r="U138" i="25"/>
  <c r="X137" i="25"/>
  <c r="AJ138" i="25"/>
  <c r="AN137" i="25"/>
  <c r="AR138" i="25" l="1"/>
  <c r="AO138" i="25"/>
  <c r="AP138" i="25"/>
  <c r="AS138" i="25"/>
  <c r="AQ138" i="25"/>
  <c r="AJ139" i="25"/>
  <c r="AN138" i="25"/>
  <c r="U139" i="25"/>
  <c r="X138" i="25"/>
  <c r="AR139" i="25" l="1"/>
  <c r="AO139" i="25"/>
  <c r="AS139" i="25"/>
  <c r="AQ139" i="25"/>
  <c r="AP139" i="25"/>
  <c r="U140" i="25"/>
  <c r="X139" i="25"/>
  <c r="AJ140" i="25"/>
  <c r="AN139" i="25"/>
  <c r="AO140" i="25" l="1"/>
  <c r="AR140" i="25"/>
  <c r="AQ140" i="25"/>
  <c r="AP140" i="25"/>
  <c r="AS140" i="25"/>
  <c r="AN140" i="25"/>
  <c r="AJ141" i="25"/>
  <c r="U141" i="25"/>
  <c r="X140" i="25"/>
  <c r="AQ141" i="25" l="1"/>
  <c r="AO141" i="25"/>
  <c r="AS141" i="25"/>
  <c r="AR141" i="25"/>
  <c r="AP141" i="25"/>
  <c r="U142" i="25"/>
  <c r="X141" i="25"/>
  <c r="AJ142" i="25"/>
  <c r="AN141" i="25"/>
  <c r="AS142" i="25" l="1"/>
  <c r="AO142" i="25"/>
  <c r="AP142" i="25"/>
  <c r="AQ142" i="25"/>
  <c r="AR142" i="25"/>
  <c r="AJ143" i="25"/>
  <c r="AN142" i="25"/>
  <c r="U143" i="25"/>
  <c r="X142" i="25"/>
  <c r="AR143" i="25" l="1"/>
  <c r="AP143" i="25"/>
  <c r="AO143" i="25"/>
  <c r="AQ143" i="25"/>
  <c r="AS143" i="25"/>
  <c r="U144" i="25"/>
  <c r="X143" i="25"/>
  <c r="AN143" i="25"/>
  <c r="AJ144" i="25"/>
  <c r="AO144" i="25" l="1"/>
  <c r="AP144" i="25"/>
  <c r="AQ144" i="25"/>
  <c r="AS144" i="25"/>
  <c r="AR144" i="25"/>
  <c r="X144" i="25"/>
  <c r="U145" i="25"/>
  <c r="AJ145" i="25"/>
  <c r="AN144" i="25"/>
  <c r="AQ145" i="25" l="1"/>
  <c r="AO145" i="25"/>
  <c r="AS145" i="25"/>
  <c r="AP145" i="25"/>
  <c r="AR145" i="25"/>
  <c r="AN145" i="25"/>
  <c r="AJ146" i="25"/>
  <c r="U146" i="25"/>
  <c r="X145" i="25"/>
  <c r="AQ146" i="25" l="1"/>
  <c r="AS146" i="25"/>
  <c r="AR146" i="25"/>
  <c r="AP146" i="25"/>
  <c r="AO146" i="25"/>
  <c r="U147" i="25"/>
  <c r="X146" i="25"/>
  <c r="AN146" i="25"/>
  <c r="AJ147" i="25"/>
  <c r="AO147" i="25" l="1"/>
  <c r="AQ147" i="25"/>
  <c r="AR147" i="25"/>
  <c r="AP147" i="25"/>
  <c r="AS147" i="25"/>
  <c r="AJ148" i="25"/>
  <c r="AN147" i="25"/>
  <c r="X147" i="25"/>
  <c r="U148" i="25"/>
  <c r="AR148" i="25" l="1"/>
  <c r="AP148" i="25"/>
  <c r="AO148" i="25"/>
  <c r="AQ148" i="25"/>
  <c r="AS148" i="25"/>
  <c r="U149" i="25"/>
  <c r="X148" i="25"/>
  <c r="AJ149" i="25"/>
  <c r="AN148" i="25"/>
  <c r="AQ149" i="25" l="1"/>
  <c r="AP149" i="25"/>
  <c r="AS149" i="25"/>
  <c r="AR149" i="25"/>
  <c r="AO149" i="25"/>
  <c r="AJ150" i="25"/>
  <c r="AN149" i="25"/>
  <c r="X149" i="25"/>
  <c r="U150" i="25"/>
  <c r="AQ150" i="25" l="1"/>
  <c r="AR150" i="25"/>
  <c r="AP150" i="25"/>
  <c r="AS150" i="25"/>
  <c r="AO150" i="25"/>
  <c r="X150" i="25"/>
  <c r="U151" i="25"/>
  <c r="AJ151" i="25"/>
  <c r="AN150" i="25"/>
  <c r="AO151" i="25" l="1"/>
  <c r="AS151" i="25"/>
  <c r="AQ151" i="25"/>
  <c r="AP151" i="25"/>
  <c r="AR151" i="25"/>
  <c r="AJ152" i="25"/>
  <c r="AN151" i="25"/>
  <c r="U152" i="25"/>
  <c r="X151" i="25"/>
  <c r="AR152" i="25" l="1"/>
  <c r="AP152" i="25"/>
  <c r="AS152" i="25"/>
  <c r="AO152" i="25"/>
  <c r="AQ152" i="25"/>
  <c r="X152" i="25"/>
  <c r="U153" i="25"/>
  <c r="AN152" i="25"/>
  <c r="AJ153" i="25"/>
  <c r="AP153" i="25" l="1"/>
  <c r="AS153" i="25"/>
  <c r="AR153" i="25"/>
  <c r="AO153" i="25"/>
  <c r="AQ153" i="25"/>
  <c r="AJ154" i="25"/>
  <c r="AN153" i="25"/>
  <c r="U154" i="25"/>
  <c r="X153" i="25"/>
  <c r="AQ154" i="25" l="1"/>
  <c r="AO154" i="25"/>
  <c r="AP154" i="25"/>
  <c r="AR154" i="25"/>
  <c r="AS154" i="25"/>
  <c r="U155" i="25"/>
  <c r="X154" i="25"/>
  <c r="AJ155" i="25"/>
  <c r="AN154" i="25"/>
  <c r="AO155" i="25" l="1"/>
  <c r="AP155" i="25"/>
  <c r="AS155" i="25"/>
  <c r="AQ155" i="25"/>
  <c r="AR155" i="25"/>
  <c r="AJ156" i="25"/>
  <c r="AN155" i="25"/>
  <c r="U156" i="25"/>
  <c r="X155" i="25"/>
  <c r="AR156" i="25" l="1"/>
  <c r="AO156" i="25"/>
  <c r="AS156" i="25"/>
  <c r="AP156" i="25"/>
  <c r="AQ156" i="25"/>
  <c r="U157" i="25"/>
  <c r="X156" i="25"/>
  <c r="AN156" i="25"/>
  <c r="AJ157" i="25"/>
  <c r="AS157" i="25" l="1"/>
  <c r="AP157" i="25"/>
  <c r="AQ157" i="25"/>
  <c r="AR157" i="25"/>
  <c r="AO157" i="25"/>
  <c r="AN157" i="25"/>
  <c r="AJ158" i="25"/>
  <c r="X157" i="25"/>
  <c r="U158" i="25"/>
  <c r="AR158" i="25" l="1"/>
  <c r="AP158" i="25"/>
  <c r="AO158" i="25"/>
  <c r="AS158" i="25"/>
  <c r="AQ158" i="25"/>
  <c r="AN158" i="25"/>
  <c r="AJ159" i="25"/>
  <c r="U159" i="25"/>
  <c r="X158" i="25"/>
  <c r="AO159" i="25" l="1"/>
  <c r="AS159" i="25"/>
  <c r="AR159" i="25"/>
  <c r="AP159" i="25"/>
  <c r="AQ159" i="25"/>
  <c r="U160" i="25"/>
  <c r="X159" i="25"/>
  <c r="AN159" i="25"/>
  <c r="AJ160" i="25"/>
  <c r="AP160" i="25" l="1"/>
  <c r="AR160" i="25"/>
  <c r="AS160" i="25"/>
  <c r="AQ160" i="25"/>
  <c r="AO160" i="25"/>
  <c r="AJ161" i="25"/>
  <c r="AN160" i="25"/>
  <c r="X160" i="25"/>
  <c r="U161" i="25"/>
  <c r="AO161" i="25" l="1"/>
  <c r="AR161" i="25"/>
  <c r="AP161" i="25"/>
  <c r="AQ161" i="25"/>
  <c r="AS161" i="25"/>
  <c r="X161" i="25"/>
  <c r="U162" i="25"/>
  <c r="AJ162" i="25"/>
  <c r="AN161" i="25"/>
  <c r="AQ162" i="25" l="1"/>
  <c r="AS162" i="25"/>
  <c r="AO162" i="25"/>
  <c r="AR162" i="25"/>
  <c r="AP162" i="25"/>
  <c r="AJ163" i="25"/>
  <c r="AN162" i="25"/>
  <c r="X162" i="25"/>
  <c r="U163" i="25"/>
  <c r="AS163" i="25" l="1"/>
  <c r="AP163" i="25"/>
  <c r="AO163" i="25"/>
  <c r="AR163" i="25"/>
  <c r="AQ163" i="25"/>
  <c r="X163" i="25"/>
  <c r="U164" i="25"/>
  <c r="AN163" i="25"/>
  <c r="AJ164" i="25"/>
  <c r="AS164" i="25" l="1"/>
  <c r="AP164" i="25"/>
  <c r="AQ164" i="25"/>
  <c r="AO164" i="25"/>
  <c r="AR164" i="25"/>
  <c r="AJ165" i="25"/>
  <c r="AN164" i="25"/>
  <c r="X164" i="25"/>
  <c r="U165" i="25"/>
  <c r="AQ165" i="25" l="1"/>
  <c r="AP165" i="25"/>
  <c r="AS165" i="25"/>
  <c r="AR165" i="25"/>
  <c r="AO165" i="25"/>
  <c r="U166" i="25"/>
  <c r="X165" i="25"/>
  <c r="AJ166" i="25"/>
  <c r="AN165" i="25"/>
  <c r="AQ166" i="25" l="1"/>
  <c r="AS166" i="25"/>
  <c r="AR166" i="25"/>
  <c r="AP166" i="25"/>
  <c r="AO166" i="25"/>
  <c r="AJ167" i="25"/>
  <c r="AN166" i="25"/>
  <c r="U167" i="25"/>
  <c r="X166" i="25"/>
  <c r="AR167" i="25" l="1"/>
  <c r="AO167" i="25"/>
  <c r="AQ167" i="25"/>
  <c r="AP167" i="25"/>
  <c r="AS167" i="25"/>
  <c r="X167" i="25"/>
  <c r="U168" i="25"/>
  <c r="AJ168" i="25"/>
  <c r="AN167" i="25"/>
  <c r="AP168" i="25" l="1"/>
  <c r="AO168" i="25"/>
  <c r="AR168" i="25"/>
  <c r="AQ168" i="25"/>
  <c r="AS168" i="25"/>
  <c r="AJ169" i="25"/>
  <c r="AN168" i="25"/>
  <c r="U169" i="25"/>
  <c r="X168" i="25"/>
  <c r="AO169" i="25" l="1"/>
  <c r="AP169" i="25"/>
  <c r="AQ169" i="25"/>
  <c r="AR169" i="25"/>
  <c r="AS169" i="25"/>
  <c r="U170" i="25"/>
  <c r="X169" i="25"/>
  <c r="AJ170" i="25"/>
  <c r="AN169" i="25"/>
  <c r="AP170" i="25" l="1"/>
  <c r="AS170" i="25"/>
  <c r="AQ170" i="25"/>
  <c r="AR170" i="25"/>
  <c r="AO170" i="25"/>
  <c r="AJ171" i="25"/>
  <c r="AN170" i="25"/>
  <c r="X170" i="25"/>
  <c r="U171" i="25"/>
  <c r="AQ171" i="25" l="1"/>
  <c r="AP171" i="25"/>
  <c r="AS171" i="25"/>
  <c r="AO171" i="25"/>
  <c r="AR171" i="25"/>
  <c r="U172" i="25"/>
  <c r="X171" i="25"/>
  <c r="AJ172" i="25"/>
  <c r="AN171" i="25"/>
  <c r="AS172" i="25" l="1"/>
  <c r="AR172" i="25"/>
  <c r="AQ172" i="25"/>
  <c r="AO172" i="25"/>
  <c r="AP172" i="25"/>
  <c r="AN172" i="25"/>
  <c r="AJ173" i="25"/>
  <c r="U173" i="25"/>
  <c r="X172" i="25"/>
  <c r="AP173" i="25" l="1"/>
  <c r="AQ173" i="25"/>
  <c r="AR173" i="25"/>
  <c r="AO173" i="25"/>
  <c r="AS173" i="25"/>
  <c r="X173" i="25"/>
  <c r="U174" i="25"/>
  <c r="AN173" i="25"/>
  <c r="AJ174" i="25"/>
  <c r="AO174" i="25" l="1"/>
  <c r="AQ174" i="25"/>
  <c r="AP174" i="25"/>
  <c r="AR174" i="25"/>
  <c r="AS174" i="25"/>
  <c r="AN174" i="25"/>
  <c r="AJ175" i="25"/>
  <c r="U175" i="25"/>
  <c r="X174" i="25"/>
  <c r="AS175" i="25" l="1"/>
  <c r="AP175" i="25"/>
  <c r="AQ175" i="25"/>
  <c r="AO175" i="25"/>
  <c r="AR175" i="25"/>
  <c r="U176" i="25"/>
  <c r="X175" i="25"/>
  <c r="AN175" i="25"/>
  <c r="AJ176" i="25"/>
  <c r="AP176" i="25" l="1"/>
  <c r="AO176" i="25"/>
  <c r="AS176" i="25"/>
  <c r="AQ176" i="25"/>
  <c r="AR176" i="25"/>
  <c r="AN176" i="25"/>
  <c r="AJ177" i="25"/>
  <c r="X176" i="25"/>
  <c r="U177" i="25"/>
  <c r="AS177" i="25" l="1"/>
  <c r="AR177" i="25"/>
  <c r="AP177" i="25"/>
  <c r="AO177" i="25"/>
  <c r="AQ177" i="25"/>
  <c r="U178" i="25"/>
  <c r="X177" i="25"/>
  <c r="AJ178" i="25"/>
  <c r="AN177" i="25"/>
  <c r="AR178" i="25" l="1"/>
  <c r="AQ178" i="25"/>
  <c r="AP178" i="25"/>
  <c r="AS178" i="25"/>
  <c r="AO178" i="25"/>
  <c r="AJ179" i="25"/>
  <c r="AN178" i="25"/>
  <c r="X178" i="25"/>
  <c r="U179" i="25"/>
  <c r="AO179" i="25" l="1"/>
  <c r="AQ179" i="25"/>
  <c r="AR179" i="25"/>
  <c r="AP179" i="25"/>
  <c r="AS179" i="25"/>
  <c r="X179" i="25"/>
  <c r="U180" i="25"/>
  <c r="AN179" i="25"/>
  <c r="AJ180" i="25"/>
  <c r="AO180" i="25" l="1"/>
  <c r="AS180" i="25"/>
  <c r="AQ180" i="25"/>
  <c r="AR180" i="25"/>
  <c r="AP180" i="25"/>
  <c r="AJ181" i="25"/>
  <c r="AN180" i="25"/>
  <c r="X180" i="25"/>
  <c r="U181" i="25"/>
  <c r="AO181" i="25" l="1"/>
  <c r="AS181" i="25"/>
  <c r="AR181" i="25"/>
  <c r="AP181" i="25"/>
  <c r="AQ181" i="25"/>
  <c r="U182" i="25"/>
  <c r="X181" i="25"/>
  <c r="AJ182" i="25"/>
  <c r="AN181" i="25"/>
  <c r="AQ182" i="25" l="1"/>
  <c r="AO182" i="25"/>
  <c r="AP182" i="25"/>
  <c r="AR182" i="25"/>
  <c r="AS182" i="25"/>
  <c r="AN182" i="25"/>
  <c r="AJ183" i="25"/>
  <c r="U183" i="25"/>
  <c r="X182" i="25"/>
  <c r="AO183" i="25" l="1"/>
  <c r="AR183" i="25"/>
  <c r="AS183" i="25"/>
  <c r="AQ183" i="25"/>
  <c r="AP183" i="25"/>
  <c r="X183" i="25"/>
  <c r="U184" i="25"/>
  <c r="AJ184" i="25"/>
  <c r="AN183" i="25"/>
  <c r="AP184" i="25" l="1"/>
  <c r="AS184" i="25"/>
  <c r="AR184" i="25"/>
  <c r="AO184" i="25"/>
  <c r="AQ184" i="25"/>
  <c r="AJ185" i="25"/>
  <c r="AN184" i="25"/>
  <c r="U185" i="25"/>
  <c r="X184" i="25"/>
  <c r="AS185" i="25" l="1"/>
  <c r="AR185" i="25"/>
  <c r="AO185" i="25"/>
  <c r="AQ185" i="25"/>
  <c r="AP185" i="25"/>
  <c r="U186" i="25"/>
  <c r="X185" i="25"/>
  <c r="AN185" i="25"/>
  <c r="AJ186" i="25"/>
  <c r="AO186" i="25" l="1"/>
  <c r="AP186" i="25"/>
  <c r="AS186" i="25"/>
  <c r="AR186" i="25"/>
  <c r="AQ186" i="25"/>
  <c r="AJ187" i="25"/>
  <c r="AN186" i="25"/>
  <c r="X186" i="25"/>
  <c r="U187" i="25"/>
  <c r="AQ187" i="25" l="1"/>
  <c r="AO187" i="25"/>
  <c r="AR187" i="25"/>
  <c r="AP187" i="25"/>
  <c r="AS187" i="25"/>
  <c r="U188" i="25"/>
  <c r="X187" i="25"/>
  <c r="AJ188" i="25"/>
  <c r="AN187" i="25"/>
  <c r="AR188" i="25" l="1"/>
  <c r="AP188" i="25"/>
  <c r="AS188" i="25"/>
  <c r="AQ188" i="25"/>
  <c r="AO188" i="25"/>
  <c r="AN188" i="25"/>
  <c r="AJ189" i="25"/>
  <c r="U189" i="25"/>
  <c r="X188" i="25"/>
  <c r="AP189" i="25" l="1"/>
  <c r="AR189" i="25"/>
  <c r="AQ189" i="25"/>
  <c r="AO189" i="25"/>
  <c r="AS189" i="25"/>
  <c r="X189" i="25"/>
  <c r="U190" i="25"/>
  <c r="AJ190" i="25"/>
  <c r="AN189" i="25"/>
  <c r="AO190" i="25" l="1"/>
  <c r="AS190" i="25"/>
  <c r="AR190" i="25"/>
  <c r="AQ190" i="25"/>
  <c r="AP190" i="25"/>
  <c r="AJ191" i="25"/>
  <c r="AN190" i="25"/>
  <c r="U191" i="25"/>
  <c r="X190" i="25"/>
  <c r="AO191" i="25" l="1"/>
  <c r="AQ191" i="25"/>
  <c r="AS191" i="25"/>
  <c r="AP191" i="25"/>
  <c r="AR191" i="25"/>
  <c r="U192" i="25"/>
  <c r="X191" i="25"/>
  <c r="AN191" i="25"/>
  <c r="AJ192" i="25"/>
  <c r="AR192" i="25" l="1"/>
  <c r="AP192" i="25"/>
  <c r="AO192" i="25"/>
  <c r="AQ192" i="25"/>
  <c r="AS192" i="25"/>
  <c r="AJ193" i="25"/>
  <c r="AN192" i="25"/>
  <c r="X192" i="25"/>
  <c r="U193" i="25"/>
  <c r="AS193" i="25" l="1"/>
  <c r="AQ193" i="25"/>
  <c r="AP193" i="25"/>
  <c r="AR193" i="25"/>
  <c r="AO193" i="25"/>
  <c r="U194" i="25"/>
  <c r="X193" i="25"/>
  <c r="AJ194" i="25"/>
  <c r="AN193" i="25"/>
  <c r="AQ194" i="25" l="1"/>
  <c r="AO194" i="25"/>
  <c r="AR194" i="25"/>
  <c r="AS194" i="25"/>
  <c r="AP194" i="25"/>
  <c r="AJ195" i="25"/>
  <c r="AN194" i="25"/>
  <c r="U195" i="25"/>
  <c r="X194" i="25"/>
  <c r="AQ195" i="25" l="1"/>
  <c r="AP195" i="25"/>
  <c r="AR195" i="25"/>
  <c r="AO195" i="25"/>
  <c r="AS195" i="25"/>
  <c r="X195" i="25"/>
  <c r="U196" i="25"/>
  <c r="AN195" i="25"/>
  <c r="AJ196" i="25"/>
  <c r="AR196" i="25" l="1"/>
  <c r="AP196" i="25"/>
  <c r="AO196" i="25"/>
  <c r="AQ196" i="25"/>
  <c r="AS196" i="25"/>
  <c r="AJ197" i="25"/>
  <c r="AN196" i="25"/>
  <c r="U197" i="25"/>
  <c r="X196" i="25"/>
  <c r="AP197" i="25" l="1"/>
  <c r="AO197" i="25"/>
  <c r="AR197" i="25"/>
  <c r="AQ197" i="25"/>
  <c r="AS197" i="25"/>
  <c r="U198" i="25"/>
  <c r="X197" i="25"/>
  <c r="AJ198" i="25"/>
  <c r="AN197" i="25"/>
  <c r="AO198" i="25" l="1"/>
  <c r="AQ198" i="25"/>
  <c r="AP198" i="25"/>
  <c r="AR198" i="25"/>
  <c r="AS198" i="25"/>
  <c r="AN198" i="25"/>
  <c r="AJ199" i="25"/>
  <c r="U199" i="25"/>
  <c r="X198" i="25"/>
  <c r="AS199" i="25" l="1"/>
  <c r="AP199" i="25"/>
  <c r="AQ199" i="25"/>
  <c r="AO199" i="25"/>
  <c r="AR199" i="25"/>
  <c r="X199" i="25"/>
  <c r="U200" i="25"/>
  <c r="AJ200" i="25"/>
  <c r="AN199" i="25"/>
  <c r="AS200" i="25" l="1"/>
  <c r="AO200" i="25"/>
  <c r="AP200" i="25"/>
  <c r="AR200" i="25"/>
  <c r="AQ200" i="25"/>
  <c r="AJ201" i="25"/>
  <c r="AN200" i="25"/>
  <c r="U201" i="25"/>
  <c r="X200" i="25"/>
  <c r="AS201" i="25" l="1"/>
  <c r="AR201" i="25"/>
  <c r="AP201" i="25"/>
  <c r="AO201" i="25"/>
  <c r="AQ201" i="25"/>
  <c r="U202" i="25"/>
  <c r="X201" i="25"/>
  <c r="AJ202" i="25"/>
  <c r="AN201" i="25"/>
  <c r="AS202" i="25" l="1"/>
  <c r="AP202" i="25"/>
  <c r="AR202" i="25"/>
  <c r="AQ202" i="25"/>
  <c r="AO202" i="25"/>
  <c r="AJ203" i="25"/>
  <c r="AN202" i="25"/>
  <c r="X202" i="25"/>
  <c r="U203" i="25"/>
  <c r="AO203" i="25" l="1"/>
  <c r="AP203" i="25"/>
  <c r="AR203" i="25"/>
  <c r="AS203" i="25"/>
  <c r="AQ203" i="25"/>
  <c r="U204" i="25"/>
  <c r="X203" i="25"/>
  <c r="AJ204" i="25"/>
  <c r="AN203" i="25"/>
  <c r="AS204" i="25" l="1"/>
  <c r="AQ204" i="25"/>
  <c r="AR204" i="25"/>
  <c r="AO204" i="25"/>
  <c r="AP204" i="25"/>
  <c r="AN204" i="25"/>
  <c r="AJ205" i="25"/>
  <c r="U205" i="25"/>
  <c r="X204" i="25"/>
  <c r="AO205" i="25" l="1"/>
  <c r="AP205" i="25"/>
  <c r="AQ205" i="25"/>
  <c r="AR205" i="25"/>
  <c r="AS205" i="25"/>
  <c r="X205" i="25"/>
  <c r="U206" i="25"/>
  <c r="AJ206" i="25"/>
  <c r="AN205" i="25"/>
  <c r="AQ206" i="25" l="1"/>
  <c r="AO206" i="25"/>
  <c r="AR206" i="25"/>
  <c r="AS206" i="25"/>
  <c r="AP206" i="25"/>
  <c r="AJ207" i="25"/>
  <c r="AN206" i="25"/>
  <c r="U207" i="25"/>
  <c r="X206" i="25"/>
  <c r="AS207" i="25" l="1"/>
  <c r="AR207" i="25"/>
  <c r="AP207" i="25"/>
  <c r="AQ207" i="25"/>
  <c r="AO207" i="25"/>
  <c r="U208" i="25"/>
  <c r="X207" i="25"/>
  <c r="AN207" i="25"/>
  <c r="AJ208" i="25"/>
  <c r="AO208" i="25" l="1"/>
  <c r="AQ208" i="25"/>
  <c r="AS208" i="25"/>
  <c r="AP208" i="25"/>
  <c r="AR208" i="25"/>
  <c r="AJ209" i="25"/>
  <c r="AN208" i="25"/>
  <c r="X208" i="25"/>
  <c r="U209" i="25"/>
  <c r="AQ209" i="25" l="1"/>
  <c r="AO209" i="25"/>
  <c r="AP209" i="25"/>
  <c r="AR209" i="25"/>
  <c r="AS209" i="25"/>
  <c r="U210" i="25"/>
  <c r="X209" i="25"/>
  <c r="AJ210" i="25"/>
  <c r="AN209" i="25"/>
  <c r="AR210" i="25" l="1"/>
  <c r="AQ210" i="25"/>
  <c r="AO210" i="25"/>
  <c r="AP210" i="25"/>
  <c r="AS210" i="25"/>
  <c r="AJ211" i="25"/>
  <c r="AN210" i="25"/>
  <c r="U211" i="25"/>
  <c r="X210" i="25"/>
  <c r="AP211" i="25" l="1"/>
  <c r="AS211" i="25"/>
  <c r="AO211" i="25"/>
  <c r="AR211" i="25"/>
  <c r="AQ211" i="25"/>
  <c r="X211" i="25"/>
  <c r="U212" i="25"/>
  <c r="AN211" i="25"/>
  <c r="AJ212" i="25"/>
  <c r="AO212" i="25" l="1"/>
  <c r="AP212" i="25"/>
  <c r="AR212" i="25"/>
  <c r="AQ212" i="25"/>
  <c r="AS212" i="25"/>
  <c r="AJ213" i="25"/>
  <c r="AN212" i="25"/>
  <c r="U213" i="25"/>
  <c r="X212" i="25"/>
  <c r="AP213" i="25" l="1"/>
  <c r="AQ213" i="25"/>
  <c r="AS213" i="25"/>
  <c r="AO213" i="25"/>
  <c r="AR213" i="25"/>
  <c r="X213" i="25"/>
  <c r="U214" i="25"/>
  <c r="AJ214" i="25"/>
  <c r="AN213" i="25"/>
  <c r="AO214" i="25" l="1"/>
  <c r="AP214" i="25"/>
  <c r="AR214" i="25"/>
  <c r="AQ214" i="25"/>
  <c r="AS214" i="25"/>
  <c r="AJ215" i="25"/>
  <c r="AN214" i="25"/>
  <c r="X214" i="25"/>
  <c r="U215" i="25"/>
  <c r="AO215" i="25" l="1"/>
  <c r="AP215" i="25"/>
  <c r="AS215" i="25"/>
  <c r="AR215" i="25"/>
  <c r="AQ215" i="25"/>
  <c r="U216" i="25"/>
  <c r="X215" i="25"/>
  <c r="AJ216" i="25"/>
  <c r="AN215" i="25"/>
  <c r="AQ216" i="25" l="1"/>
  <c r="AR216" i="25"/>
  <c r="AS216" i="25"/>
  <c r="AP216" i="25"/>
  <c r="AO216" i="25"/>
  <c r="AJ217" i="25"/>
  <c r="AN216" i="25"/>
  <c r="U217" i="25"/>
  <c r="X216" i="25"/>
  <c r="AS217" i="25" l="1"/>
  <c r="AO217" i="25"/>
  <c r="AQ217" i="25"/>
  <c r="AR217" i="25"/>
  <c r="AP217" i="25"/>
  <c r="U218" i="25"/>
  <c r="X217" i="25"/>
  <c r="AN217" i="25"/>
  <c r="AJ218" i="25"/>
  <c r="AQ218" i="25" l="1"/>
  <c r="AP218" i="25"/>
  <c r="AR218" i="25"/>
  <c r="AS218" i="25"/>
  <c r="AO218" i="25"/>
  <c r="AN218" i="25"/>
  <c r="AJ219" i="25"/>
  <c r="U219" i="25"/>
  <c r="X218" i="25"/>
  <c r="AR219" i="25" l="1"/>
  <c r="AS219" i="25"/>
  <c r="AQ219" i="25"/>
  <c r="AO219" i="25"/>
  <c r="AP219" i="25"/>
  <c r="U220" i="25"/>
  <c r="X219" i="25"/>
  <c r="AJ220" i="25"/>
  <c r="AN219" i="25"/>
  <c r="AS220" i="25" l="1"/>
  <c r="AO220" i="25"/>
  <c r="AP220" i="25"/>
  <c r="AR220" i="25"/>
  <c r="AQ220" i="25"/>
  <c r="AN220" i="25"/>
  <c r="AJ221" i="25"/>
  <c r="U221" i="25"/>
  <c r="X220" i="25"/>
  <c r="AS221" i="25" l="1"/>
  <c r="AO221" i="25"/>
  <c r="AQ221" i="25"/>
  <c r="AP221" i="25"/>
  <c r="AR221" i="25"/>
  <c r="U222" i="25"/>
  <c r="X221" i="25"/>
  <c r="AN221" i="25"/>
  <c r="AJ222" i="25"/>
  <c r="AQ222" i="25" l="1"/>
  <c r="AR222" i="25"/>
  <c r="AO222" i="25"/>
  <c r="AS222" i="25"/>
  <c r="AP222" i="25"/>
  <c r="AJ223" i="25"/>
  <c r="AN222" i="25"/>
  <c r="X222" i="25"/>
  <c r="U223" i="25"/>
  <c r="AO223" i="25" l="1"/>
  <c r="AS223" i="25"/>
  <c r="AQ223" i="25"/>
  <c r="AR223" i="25"/>
  <c r="AP223" i="25"/>
  <c r="U224" i="25"/>
  <c r="X223" i="25"/>
  <c r="AN223" i="25"/>
  <c r="AJ224" i="25"/>
  <c r="AR224" i="25" l="1"/>
  <c r="AP224" i="25"/>
  <c r="AQ224" i="25"/>
  <c r="AS224" i="25"/>
  <c r="AO224" i="25"/>
  <c r="AN224" i="25"/>
  <c r="AJ225" i="25"/>
  <c r="X224" i="25"/>
  <c r="U225" i="25"/>
  <c r="AP225" i="25" l="1"/>
  <c r="AR225" i="25"/>
  <c r="AO225" i="25"/>
  <c r="AQ225" i="25"/>
  <c r="AS225" i="25"/>
  <c r="X225" i="25"/>
  <c r="U226" i="25"/>
  <c r="AN225" i="25"/>
  <c r="AJ226" i="25"/>
  <c r="AQ226" i="25" l="1"/>
  <c r="AO226" i="25"/>
  <c r="AS226" i="25"/>
  <c r="AR226" i="25"/>
  <c r="AP226" i="25"/>
  <c r="AN226" i="25"/>
  <c r="AJ227" i="25"/>
  <c r="U227" i="25"/>
  <c r="X226" i="25"/>
  <c r="AQ227" i="25" l="1"/>
  <c r="AP227" i="25"/>
  <c r="AR227" i="25"/>
  <c r="AO227" i="25"/>
  <c r="AS227" i="25"/>
  <c r="X227" i="25"/>
  <c r="U228" i="25"/>
  <c r="AJ228" i="25"/>
  <c r="AN227" i="25"/>
  <c r="AR228" i="25" l="1"/>
  <c r="AQ228" i="25"/>
  <c r="AO228" i="25"/>
  <c r="AP228" i="25"/>
  <c r="AS228" i="25"/>
  <c r="AJ229" i="25"/>
  <c r="AN228" i="25"/>
  <c r="X228" i="25"/>
  <c r="U229" i="25"/>
  <c r="AO229" i="25" l="1"/>
  <c r="AQ229" i="25"/>
  <c r="AR229" i="25"/>
  <c r="AS229" i="25"/>
  <c r="AP229" i="25"/>
  <c r="X229" i="25"/>
  <c r="U230" i="25"/>
  <c r="AJ230" i="25"/>
  <c r="AN229" i="25"/>
  <c r="AR230" i="25" l="1"/>
  <c r="AO230" i="25"/>
  <c r="AS230" i="25"/>
  <c r="AQ230" i="25"/>
  <c r="AP230" i="25"/>
  <c r="AJ231" i="25"/>
  <c r="AN230" i="25"/>
  <c r="X230" i="25"/>
  <c r="U231" i="25"/>
  <c r="AQ231" i="25" l="1"/>
  <c r="AO231" i="25"/>
  <c r="AS231" i="25"/>
  <c r="AR231" i="25"/>
  <c r="AP231" i="25"/>
  <c r="X231" i="25"/>
  <c r="U232" i="25"/>
  <c r="AJ232" i="25"/>
  <c r="AN231" i="25"/>
  <c r="AR232" i="25" l="1"/>
  <c r="AP232" i="25"/>
  <c r="AS232" i="25"/>
  <c r="AQ232" i="25"/>
  <c r="AO232" i="25"/>
  <c r="AJ233" i="25"/>
  <c r="AN232" i="25"/>
  <c r="U233" i="25"/>
  <c r="X232" i="25"/>
  <c r="AR233" i="25" l="1"/>
  <c r="AP233" i="25"/>
  <c r="AO233" i="25"/>
  <c r="AQ233" i="25"/>
  <c r="AS233" i="25"/>
  <c r="U234" i="25"/>
  <c r="X233" i="25"/>
  <c r="AN233" i="25"/>
  <c r="AJ234" i="25"/>
  <c r="AQ234" i="25" l="1"/>
  <c r="AS234" i="25"/>
  <c r="AP234" i="25"/>
  <c r="AR234" i="25"/>
  <c r="AO234" i="25"/>
  <c r="AJ235" i="25"/>
  <c r="AN234" i="25"/>
  <c r="U235" i="25"/>
  <c r="X234" i="25"/>
  <c r="AQ235" i="25" l="1"/>
  <c r="AP235" i="25"/>
  <c r="AS235" i="25"/>
  <c r="AO235" i="25"/>
  <c r="AR235" i="25"/>
  <c r="U236" i="25"/>
  <c r="X235" i="25"/>
  <c r="AJ236" i="25"/>
  <c r="AN235" i="25"/>
  <c r="AQ236" i="25" l="1"/>
  <c r="AR236" i="25"/>
  <c r="AP236" i="25"/>
  <c r="AO236" i="25"/>
  <c r="AS236" i="25"/>
  <c r="AN236" i="25"/>
  <c r="AJ237" i="25"/>
  <c r="U237" i="25"/>
  <c r="X236" i="25"/>
  <c r="AR237" i="25" l="1"/>
  <c r="AQ237" i="25"/>
  <c r="AS237" i="25"/>
  <c r="AO237" i="25"/>
  <c r="AP237" i="25"/>
  <c r="X237" i="25"/>
  <c r="U238" i="25"/>
  <c r="AN237" i="25"/>
  <c r="AJ238" i="25"/>
  <c r="AQ238" i="25" l="1"/>
  <c r="AR238" i="25"/>
  <c r="AS238" i="25"/>
  <c r="AP238" i="25"/>
  <c r="AO238" i="25"/>
  <c r="AJ239" i="25"/>
  <c r="AN238" i="25"/>
  <c r="U239" i="25"/>
  <c r="X238" i="25"/>
  <c r="AP239" i="25" l="1"/>
  <c r="AS239" i="25"/>
  <c r="AO239" i="25"/>
  <c r="AQ239" i="25"/>
  <c r="AR239" i="25"/>
  <c r="U240" i="25"/>
  <c r="X239" i="25"/>
  <c r="AN239" i="25"/>
  <c r="AJ240" i="25"/>
  <c r="AR240" i="25" l="1"/>
  <c r="AO240" i="25"/>
  <c r="AQ240" i="25"/>
  <c r="AP240" i="25"/>
  <c r="AS240" i="25"/>
  <c r="AN240" i="25"/>
  <c r="AJ241" i="25"/>
  <c r="X240" i="25"/>
  <c r="U241" i="25"/>
  <c r="AQ241" i="25" l="1"/>
  <c r="AP241" i="25"/>
  <c r="AR241" i="25"/>
  <c r="AO241" i="25"/>
  <c r="AS241" i="25"/>
  <c r="X241" i="25"/>
  <c r="U242" i="25"/>
  <c r="AN241" i="25"/>
  <c r="AJ242" i="25"/>
  <c r="AR242" i="25" l="1"/>
  <c r="AS242" i="25"/>
  <c r="AO242" i="25"/>
  <c r="AQ242" i="25"/>
  <c r="AP242" i="25"/>
  <c r="AN242" i="25"/>
  <c r="AJ243" i="25"/>
  <c r="U243" i="25"/>
  <c r="X242" i="25"/>
  <c r="AS243" i="25" l="1"/>
  <c r="AR243" i="25"/>
  <c r="AP243" i="25"/>
  <c r="AQ243" i="25"/>
  <c r="AO243" i="25"/>
  <c r="X243" i="25"/>
  <c r="U244" i="25"/>
  <c r="AN243" i="25"/>
  <c r="AJ244" i="25"/>
  <c r="AP244" i="25" l="1"/>
  <c r="AR244" i="25"/>
  <c r="AQ244" i="25"/>
  <c r="AS244" i="25"/>
  <c r="AO244" i="25"/>
  <c r="AJ245" i="25"/>
  <c r="AN244" i="25"/>
  <c r="X244" i="25"/>
  <c r="U245" i="25"/>
  <c r="AR245" i="25" l="1"/>
  <c r="AP245" i="25"/>
  <c r="AO245" i="25"/>
  <c r="AQ245" i="25"/>
  <c r="AS245" i="25"/>
  <c r="X245" i="25"/>
  <c r="U246" i="25"/>
  <c r="AJ246" i="25"/>
  <c r="AN245" i="25"/>
  <c r="AO246" i="25" l="1"/>
  <c r="AS246" i="25"/>
  <c r="AR246" i="25"/>
  <c r="AP246" i="25"/>
  <c r="AQ246" i="25"/>
  <c r="AJ247" i="25"/>
  <c r="AN246" i="25"/>
  <c r="X246" i="25"/>
  <c r="U247" i="25"/>
  <c r="AO247" i="25" l="1"/>
  <c r="AR247" i="25"/>
  <c r="AS247" i="25"/>
  <c r="AP247" i="25"/>
  <c r="AQ247" i="25"/>
  <c r="X247" i="25"/>
  <c r="U248" i="25"/>
  <c r="AJ248" i="25"/>
  <c r="AN247" i="25"/>
  <c r="AQ248" i="25" l="1"/>
  <c r="AP248" i="25"/>
  <c r="AS248" i="25"/>
  <c r="AR248" i="25"/>
  <c r="AO248" i="25"/>
  <c r="AJ249" i="25"/>
  <c r="AN248" i="25"/>
  <c r="U249" i="25"/>
  <c r="X248" i="25"/>
  <c r="AQ249" i="25" l="1"/>
  <c r="AS249" i="25"/>
  <c r="AP249" i="25"/>
  <c r="AO249" i="25"/>
  <c r="AR249" i="25"/>
  <c r="U250" i="25"/>
  <c r="X249" i="25"/>
  <c r="AN249" i="25"/>
  <c r="AJ250" i="25"/>
  <c r="AQ250" i="25" l="1"/>
  <c r="AS250" i="25"/>
  <c r="AP250" i="25"/>
  <c r="AO250" i="25"/>
  <c r="AR250" i="25"/>
  <c r="AJ251" i="25"/>
  <c r="AN250" i="25"/>
  <c r="U251" i="25"/>
  <c r="X250" i="25"/>
  <c r="AQ251" i="25" l="1"/>
  <c r="AO251" i="25"/>
  <c r="AR251" i="25"/>
  <c r="AS251" i="25"/>
  <c r="AP251" i="25"/>
  <c r="U252" i="25"/>
  <c r="X251" i="25"/>
  <c r="AJ252" i="25"/>
  <c r="AN251" i="25"/>
  <c r="AO252" i="25" l="1"/>
  <c r="AP252" i="25"/>
  <c r="AR252" i="25"/>
  <c r="AS252" i="25"/>
  <c r="AQ252" i="25"/>
  <c r="AJ253" i="25"/>
  <c r="AN252" i="25"/>
  <c r="U253" i="25"/>
  <c r="X252" i="25"/>
  <c r="AS253" i="25" l="1"/>
  <c r="AO253" i="25"/>
  <c r="AQ253" i="25"/>
  <c r="AP253" i="25"/>
  <c r="AR253" i="25"/>
  <c r="X253" i="25"/>
  <c r="U254" i="25"/>
  <c r="AN253" i="25"/>
  <c r="AJ254" i="25"/>
  <c r="AP254" i="25" l="1"/>
  <c r="AO254" i="25"/>
  <c r="AR254" i="25"/>
  <c r="AS254" i="25"/>
  <c r="AQ254" i="25"/>
  <c r="AJ255" i="25"/>
  <c r="AN254" i="25"/>
  <c r="U255" i="25"/>
  <c r="X254" i="25"/>
  <c r="AO255" i="25" l="1"/>
  <c r="AP255" i="25"/>
  <c r="AQ255" i="25"/>
  <c r="AS255" i="25"/>
  <c r="AR255" i="25"/>
  <c r="U256" i="25"/>
  <c r="X255" i="25"/>
  <c r="AN255" i="25"/>
  <c r="AJ256" i="25"/>
  <c r="AP256" i="25" l="1"/>
  <c r="AQ256" i="25"/>
  <c r="AS256" i="25"/>
  <c r="AR256" i="25"/>
  <c r="AO256" i="25"/>
  <c r="AN256" i="25"/>
  <c r="AJ257" i="25"/>
  <c r="X256" i="25"/>
  <c r="U257" i="25"/>
  <c r="AS257" i="25" l="1"/>
  <c r="AP257" i="25"/>
  <c r="AO257" i="25"/>
  <c r="AR257" i="25"/>
  <c r="AQ257" i="25"/>
  <c r="X257" i="25"/>
  <c r="U258" i="25"/>
  <c r="AN257" i="25"/>
  <c r="AJ258" i="25"/>
  <c r="AP258" i="25" l="1"/>
  <c r="AQ258" i="25"/>
  <c r="AR258" i="25"/>
  <c r="AS258" i="25"/>
  <c r="AO258" i="25"/>
  <c r="AN258" i="25"/>
  <c r="AJ259" i="25"/>
  <c r="U259" i="25"/>
  <c r="X258" i="25"/>
  <c r="AQ259" i="25" l="1"/>
  <c r="AP259" i="25"/>
  <c r="AR259" i="25"/>
  <c r="AS259" i="25"/>
  <c r="AO259" i="25"/>
  <c r="X259" i="25"/>
  <c r="U260" i="25"/>
  <c r="AN259" i="25"/>
  <c r="AJ260" i="25"/>
  <c r="AP260" i="25" l="1"/>
  <c r="AR260" i="25"/>
  <c r="AS260" i="25"/>
  <c r="AQ260" i="25"/>
  <c r="AO260" i="25"/>
  <c r="AJ261" i="25"/>
  <c r="AN260" i="25"/>
  <c r="X260" i="25"/>
  <c r="U261" i="25"/>
  <c r="AQ261" i="25" l="1"/>
  <c r="AS261" i="25"/>
  <c r="AO261" i="25"/>
  <c r="AP261" i="25"/>
  <c r="AR261" i="25"/>
  <c r="X261" i="25"/>
  <c r="U262" i="25"/>
  <c r="AJ262" i="25"/>
  <c r="AN261" i="25"/>
  <c r="AP262" i="25" l="1"/>
  <c r="AQ262" i="25"/>
  <c r="AS262" i="25"/>
  <c r="AO262" i="25"/>
  <c r="AR262" i="25"/>
  <c r="AJ263" i="25"/>
  <c r="AN262" i="25"/>
  <c r="X262" i="25"/>
  <c r="U263" i="25"/>
  <c r="AQ263" i="25" l="1"/>
  <c r="AR263" i="25"/>
  <c r="AO263" i="25"/>
  <c r="AS263" i="25"/>
  <c r="AP263" i="25"/>
  <c r="X263" i="25"/>
  <c r="U264" i="25"/>
  <c r="AJ264" i="25"/>
  <c r="AN263" i="25"/>
  <c r="AO264" i="25" l="1"/>
  <c r="AS264" i="25"/>
  <c r="AP264" i="25"/>
  <c r="AR264" i="25"/>
  <c r="AQ264" i="25"/>
  <c r="AJ265" i="25"/>
  <c r="AN264" i="25"/>
  <c r="U265" i="25"/>
  <c r="X264" i="25"/>
  <c r="AQ265" i="25" l="1"/>
  <c r="AP265" i="25"/>
  <c r="AR265" i="25"/>
  <c r="AO265" i="25"/>
  <c r="AS265" i="25"/>
  <c r="U266" i="25"/>
  <c r="X265" i="25"/>
  <c r="AN265" i="25"/>
  <c r="AJ266" i="25"/>
  <c r="AP266" i="25" l="1"/>
  <c r="AR266" i="25"/>
  <c r="AS266" i="25"/>
  <c r="AQ266" i="25"/>
  <c r="AO266" i="25"/>
  <c r="AJ267" i="25"/>
  <c r="AN266" i="25"/>
  <c r="U267" i="25"/>
  <c r="X266" i="25"/>
  <c r="AP267" i="25" l="1"/>
  <c r="AR267" i="25"/>
  <c r="AO267" i="25"/>
  <c r="AQ267" i="25"/>
  <c r="AS267" i="25"/>
  <c r="U268" i="25"/>
  <c r="X267" i="25"/>
  <c r="AJ268" i="25"/>
  <c r="AN267" i="25"/>
  <c r="AS268" i="25" l="1"/>
  <c r="AQ268" i="25"/>
  <c r="AP268" i="25"/>
  <c r="AO268" i="25"/>
  <c r="AR268" i="25"/>
  <c r="AJ269" i="25"/>
  <c r="AN268" i="25"/>
  <c r="U269" i="25"/>
  <c r="X268" i="25"/>
  <c r="AP269" i="25" l="1"/>
  <c r="AO269" i="25"/>
  <c r="AR269" i="25"/>
  <c r="AS269" i="25"/>
  <c r="AQ269" i="25"/>
  <c r="X269" i="25"/>
  <c r="U270" i="25"/>
  <c r="AN269" i="25"/>
  <c r="AJ270" i="25"/>
  <c r="AS270" i="25" l="1"/>
  <c r="AP270" i="25"/>
  <c r="AO270" i="25"/>
  <c r="AR270" i="25"/>
  <c r="AQ270" i="25"/>
  <c r="AJ271" i="25"/>
  <c r="AN270" i="25"/>
  <c r="U271" i="25"/>
  <c r="X270" i="25"/>
  <c r="AP271" i="25" l="1"/>
  <c r="AQ271" i="25"/>
  <c r="AO271" i="25"/>
  <c r="AS271" i="25"/>
  <c r="AR271" i="25"/>
  <c r="U272" i="25"/>
  <c r="X271" i="25"/>
  <c r="AN271" i="25"/>
  <c r="AJ272" i="25"/>
  <c r="AS272" i="25" l="1"/>
  <c r="AR272" i="25"/>
  <c r="AQ272" i="25"/>
  <c r="AO272" i="25"/>
  <c r="AP272" i="25"/>
  <c r="AN272" i="25"/>
  <c r="AJ273" i="25"/>
  <c r="X272" i="25"/>
  <c r="U273" i="25"/>
  <c r="AO273" i="25" l="1"/>
  <c r="AP273" i="25"/>
  <c r="AS273" i="25"/>
  <c r="AR273" i="25"/>
  <c r="AQ273" i="25"/>
  <c r="X273" i="25"/>
  <c r="U274" i="25"/>
  <c r="AN273" i="25"/>
  <c r="AJ274" i="25"/>
  <c r="AS274" i="25" l="1"/>
  <c r="AP274" i="25"/>
  <c r="AR274" i="25"/>
  <c r="AO274" i="25"/>
  <c r="AQ274" i="25"/>
  <c r="AN274" i="25"/>
  <c r="AJ275" i="25"/>
  <c r="U275" i="25"/>
  <c r="X274" i="25"/>
  <c r="AS275" i="25" l="1"/>
  <c r="AR275" i="25"/>
  <c r="AP275" i="25"/>
  <c r="AO275" i="25"/>
  <c r="AQ275" i="25"/>
  <c r="X275" i="25"/>
  <c r="U276" i="25"/>
  <c r="AN275" i="25"/>
  <c r="AJ276" i="25"/>
  <c r="AR276" i="25" l="1"/>
  <c r="AP276" i="25"/>
  <c r="AQ276" i="25"/>
  <c r="AS276" i="25"/>
  <c r="AO276" i="25"/>
  <c r="AJ277" i="25"/>
  <c r="AN276" i="25"/>
  <c r="U277" i="25"/>
  <c r="X276" i="25"/>
  <c r="AR277" i="25" l="1"/>
  <c r="AQ277" i="25"/>
  <c r="AO277" i="25"/>
  <c r="AP277" i="25"/>
  <c r="AS277" i="25"/>
  <c r="X277" i="25"/>
  <c r="U278" i="25"/>
  <c r="AJ278" i="25"/>
  <c r="AN277" i="25"/>
  <c r="AO278" i="25" l="1"/>
  <c r="AR278" i="25"/>
  <c r="AP278" i="25"/>
  <c r="AQ278" i="25"/>
  <c r="AS278" i="25"/>
  <c r="AJ279" i="25"/>
  <c r="AN278" i="25"/>
  <c r="X278" i="25"/>
  <c r="U279" i="25"/>
  <c r="AP279" i="25" l="1"/>
  <c r="AS279" i="25"/>
  <c r="AO279" i="25"/>
  <c r="AQ279" i="25"/>
  <c r="AR279" i="25"/>
  <c r="AJ280" i="25"/>
  <c r="AN279" i="25"/>
  <c r="X279" i="25"/>
  <c r="U280" i="25"/>
  <c r="AS280" i="25" l="1"/>
  <c r="AO280" i="25"/>
  <c r="AQ280" i="25"/>
  <c r="AP280" i="25"/>
  <c r="AR280" i="25"/>
  <c r="U281" i="25"/>
  <c r="X280" i="25"/>
  <c r="AJ281" i="25"/>
  <c r="AN280" i="25"/>
  <c r="AO281" i="25" l="1"/>
  <c r="AS281" i="25"/>
  <c r="AQ281" i="25"/>
  <c r="AR281" i="25"/>
  <c r="AP281" i="25"/>
  <c r="AN281" i="25"/>
  <c r="AJ282" i="25"/>
  <c r="U282" i="25"/>
  <c r="X281" i="25"/>
  <c r="AR282" i="25" l="1"/>
  <c r="AP282" i="25"/>
  <c r="AQ282" i="25"/>
  <c r="AS282" i="25"/>
  <c r="AO282" i="25"/>
  <c r="X282" i="25"/>
  <c r="U283" i="25"/>
  <c r="AN282" i="25"/>
  <c r="AJ283" i="25"/>
  <c r="AO283" i="25" l="1"/>
  <c r="AS283" i="25"/>
  <c r="AQ283" i="25"/>
  <c r="AP283" i="25"/>
  <c r="AR283" i="25"/>
  <c r="AN283" i="25"/>
  <c r="AJ284" i="25"/>
  <c r="U284" i="25"/>
  <c r="X283" i="25"/>
  <c r="AQ284" i="25" l="1"/>
  <c r="AP284" i="25"/>
  <c r="AR284" i="25"/>
  <c r="AO284" i="25"/>
  <c r="AS284" i="25"/>
  <c r="X284" i="25"/>
  <c r="U285" i="25"/>
  <c r="AN284" i="25"/>
  <c r="AJ285" i="25"/>
  <c r="AO285" i="25" l="1"/>
  <c r="AR285" i="25"/>
  <c r="AQ285" i="25"/>
  <c r="AS285" i="25"/>
  <c r="AP285" i="25"/>
  <c r="AN285" i="25"/>
  <c r="AJ286" i="25"/>
  <c r="U286" i="25"/>
  <c r="X285" i="25"/>
  <c r="AQ286" i="25" l="1"/>
  <c r="AO286" i="25"/>
  <c r="AP286" i="25"/>
  <c r="AR286" i="25"/>
  <c r="AS286" i="25"/>
  <c r="X286" i="25"/>
  <c r="U287" i="25"/>
  <c r="AJ287" i="25"/>
  <c r="AN286" i="25"/>
  <c r="AP287" i="25" l="1"/>
  <c r="AS287" i="25"/>
  <c r="AQ287" i="25"/>
  <c r="AO287" i="25"/>
  <c r="AR287" i="25"/>
  <c r="AN287" i="25"/>
  <c r="AJ288" i="25"/>
  <c r="X287" i="25"/>
  <c r="U288" i="25"/>
  <c r="AS288" i="25" l="1"/>
  <c r="AR288" i="25"/>
  <c r="AO288" i="25"/>
  <c r="AQ288" i="25"/>
  <c r="AP288" i="25"/>
  <c r="X288" i="25"/>
  <c r="U289" i="25"/>
  <c r="AJ289" i="25"/>
  <c r="AN288" i="25"/>
  <c r="AR289" i="25" l="1"/>
  <c r="AQ289" i="25"/>
  <c r="AO289" i="25"/>
  <c r="AP289" i="25"/>
  <c r="AS289" i="25"/>
  <c r="AJ290" i="25"/>
  <c r="AN289" i="25"/>
  <c r="U290" i="25"/>
  <c r="X289" i="25"/>
  <c r="AP290" i="25" l="1"/>
  <c r="AO290" i="25"/>
  <c r="AR290" i="25"/>
  <c r="AS290" i="25"/>
  <c r="AQ290" i="25"/>
  <c r="U291" i="25"/>
  <c r="X290" i="25"/>
  <c r="AN290" i="25"/>
  <c r="AJ291" i="25"/>
  <c r="AS291" i="25" l="1"/>
  <c r="AQ291" i="25"/>
  <c r="AP291" i="25"/>
  <c r="AR291" i="25"/>
  <c r="AO291" i="25"/>
  <c r="AN291" i="25"/>
  <c r="AJ292" i="25"/>
  <c r="U292" i="25"/>
  <c r="X291" i="25"/>
  <c r="AO292" i="25" l="1"/>
  <c r="AP292" i="25"/>
  <c r="AS292" i="25"/>
  <c r="AQ292" i="25"/>
  <c r="AR292" i="25"/>
  <c r="U293" i="25"/>
  <c r="X292" i="25"/>
  <c r="AJ293" i="25"/>
  <c r="AN292" i="25"/>
  <c r="AR293" i="25" l="1"/>
  <c r="AQ293" i="25"/>
  <c r="AO293" i="25"/>
  <c r="AP293" i="25"/>
  <c r="AS293" i="25"/>
  <c r="AN293" i="25"/>
  <c r="AJ294" i="25"/>
  <c r="U294" i="25"/>
  <c r="X293" i="25"/>
  <c r="AR294" i="25" l="1"/>
  <c r="AQ294" i="25"/>
  <c r="AS294" i="25"/>
  <c r="AP294" i="25"/>
  <c r="AO294" i="25"/>
  <c r="X294" i="25"/>
  <c r="U295" i="25"/>
  <c r="AN294" i="25"/>
  <c r="AJ295" i="25"/>
  <c r="AS295" i="25" l="1"/>
  <c r="AQ295" i="25"/>
  <c r="AO295" i="25"/>
  <c r="AR295" i="25"/>
  <c r="AP295" i="25"/>
  <c r="AJ296" i="25"/>
  <c r="AN295" i="25"/>
  <c r="U296" i="25"/>
  <c r="X295" i="25"/>
  <c r="AS296" i="25" l="1"/>
  <c r="AO296" i="25"/>
  <c r="AR296" i="25"/>
  <c r="AP296" i="25"/>
  <c r="AQ296" i="25"/>
  <c r="U297" i="25"/>
  <c r="X296" i="25"/>
  <c r="AN296" i="25"/>
  <c r="AJ297" i="25"/>
  <c r="AO297" i="25" l="1"/>
  <c r="AQ297" i="25"/>
  <c r="AS297" i="25"/>
  <c r="AR297" i="25"/>
  <c r="AP297" i="25"/>
  <c r="AJ298" i="25"/>
  <c r="AN297" i="25"/>
  <c r="X297" i="25"/>
  <c r="U298" i="25"/>
  <c r="AQ298" i="25" l="1"/>
  <c r="AS298" i="25"/>
  <c r="AP298" i="25"/>
  <c r="AO298" i="25"/>
  <c r="AR298" i="25"/>
  <c r="U299" i="25"/>
  <c r="X298" i="25"/>
  <c r="AN298" i="25"/>
  <c r="AJ299" i="25"/>
  <c r="AP299" i="25" l="1"/>
  <c r="AO299" i="25"/>
  <c r="AS299" i="25"/>
  <c r="AQ299" i="25"/>
  <c r="AR299" i="25"/>
  <c r="AN299" i="25"/>
  <c r="AJ300" i="25"/>
  <c r="U300" i="25"/>
  <c r="X299" i="25"/>
  <c r="AS300" i="25" l="1"/>
  <c r="AQ300" i="25"/>
  <c r="AP300" i="25"/>
  <c r="AR300" i="25"/>
  <c r="AO300" i="25"/>
  <c r="X300" i="25"/>
  <c r="U301" i="25"/>
  <c r="AJ301" i="25"/>
  <c r="AN300" i="25"/>
  <c r="AP301" i="25" l="1"/>
  <c r="AR301" i="25"/>
  <c r="AS301" i="25"/>
  <c r="AQ301" i="25"/>
  <c r="AO301" i="25"/>
  <c r="AN301" i="25"/>
  <c r="AJ302" i="25"/>
  <c r="U302" i="25"/>
  <c r="X301" i="25"/>
  <c r="AR302" i="25" l="1"/>
  <c r="AS302" i="25"/>
  <c r="AQ302" i="25"/>
  <c r="AP302" i="25"/>
  <c r="AO302" i="25"/>
  <c r="X302" i="25"/>
  <c r="U303" i="25"/>
  <c r="AJ303" i="25"/>
  <c r="AN302" i="25"/>
  <c r="AO303" i="25" l="1"/>
  <c r="AS303" i="25"/>
  <c r="AR303" i="25"/>
  <c r="AP303" i="25"/>
  <c r="AQ303" i="25"/>
  <c r="AJ304" i="25"/>
  <c r="AN303" i="25"/>
  <c r="X303" i="25"/>
  <c r="U304" i="25"/>
  <c r="AP304" i="25" l="1"/>
  <c r="AS304" i="25"/>
  <c r="AQ304" i="25"/>
  <c r="AR304" i="25"/>
  <c r="AO304" i="25"/>
  <c r="X304" i="25"/>
  <c r="U305" i="25"/>
  <c r="AJ305" i="25"/>
  <c r="AN304" i="25"/>
  <c r="AP305" i="25" l="1"/>
  <c r="AR305" i="25"/>
  <c r="AQ305" i="25"/>
  <c r="AS305" i="25"/>
  <c r="AO305" i="25"/>
  <c r="AJ306" i="25"/>
  <c r="AN305" i="25"/>
  <c r="U306" i="25"/>
  <c r="X305" i="25"/>
  <c r="AO306" i="25" l="1"/>
  <c r="AP306" i="25"/>
  <c r="AS306" i="25"/>
  <c r="AR306" i="25"/>
  <c r="AQ306" i="25"/>
  <c r="U307" i="25"/>
  <c r="X306" i="25"/>
  <c r="AN306" i="25"/>
  <c r="AJ307" i="25"/>
  <c r="AO307" i="25" l="1"/>
  <c r="AP307" i="25"/>
  <c r="AS307" i="25"/>
  <c r="AR307" i="25"/>
  <c r="AQ307" i="25"/>
  <c r="AJ308" i="25"/>
  <c r="AN307" i="25"/>
  <c r="U308" i="25"/>
  <c r="X307" i="25"/>
  <c r="AO308" i="25" l="1"/>
  <c r="AS308" i="25"/>
  <c r="AP308" i="25"/>
  <c r="AQ308" i="25"/>
  <c r="AR308" i="25"/>
  <c r="AJ309" i="25"/>
  <c r="AN308" i="25"/>
  <c r="U309" i="25"/>
  <c r="X308" i="25"/>
  <c r="AQ309" i="25" l="1"/>
  <c r="AP309" i="25"/>
  <c r="AR309" i="25"/>
  <c r="AO309" i="25"/>
  <c r="AS309" i="25"/>
  <c r="U310" i="25"/>
  <c r="X309" i="25"/>
  <c r="AJ310" i="25"/>
  <c r="AN309" i="25"/>
  <c r="AP310" i="25" l="1"/>
  <c r="AQ310" i="25"/>
  <c r="AR310" i="25"/>
  <c r="AO310" i="25"/>
  <c r="AS310" i="25"/>
  <c r="AN310" i="25"/>
  <c r="AJ311" i="25"/>
  <c r="U311" i="25"/>
  <c r="X310" i="25"/>
  <c r="AO311" i="25" l="1"/>
  <c r="AQ311" i="25"/>
  <c r="AR311" i="25"/>
  <c r="AS311" i="25"/>
  <c r="AP311" i="25"/>
  <c r="U312" i="25"/>
  <c r="X311" i="25"/>
  <c r="AJ312" i="25"/>
  <c r="AN311" i="25"/>
  <c r="AR312" i="25" l="1"/>
  <c r="AO312" i="25"/>
  <c r="AP312" i="25"/>
  <c r="AQ312" i="25"/>
  <c r="AS312" i="25"/>
  <c r="AN312" i="25"/>
  <c r="AJ313" i="25"/>
  <c r="U313" i="25"/>
  <c r="X312" i="25"/>
  <c r="AS313" i="25" l="1"/>
  <c r="AO313" i="25"/>
  <c r="AR313" i="25"/>
  <c r="AP313" i="25"/>
  <c r="AQ313" i="25"/>
  <c r="X313" i="25"/>
  <c r="U314" i="25"/>
  <c r="AJ314" i="25"/>
  <c r="AN313" i="25"/>
  <c r="AQ314" i="25" l="1"/>
  <c r="AO314" i="25"/>
  <c r="AP314" i="25"/>
  <c r="AR314" i="25"/>
  <c r="AS314" i="25"/>
  <c r="AN314" i="25"/>
  <c r="AJ315" i="25"/>
  <c r="X314" i="25"/>
  <c r="U315" i="25"/>
  <c r="AS315" i="25" l="1"/>
  <c r="AQ315" i="25"/>
  <c r="AR315" i="25"/>
  <c r="AP315" i="25"/>
  <c r="AO315" i="25"/>
  <c r="U316" i="25"/>
  <c r="X315" i="25"/>
  <c r="AN315" i="25"/>
  <c r="AJ316" i="25"/>
  <c r="AR316" i="25" l="1"/>
  <c r="AP316" i="25"/>
  <c r="AO316" i="25"/>
  <c r="AS316" i="25"/>
  <c r="AQ316" i="25"/>
  <c r="AJ317" i="25"/>
  <c r="AN316" i="25"/>
  <c r="X316" i="25"/>
  <c r="U317" i="25"/>
  <c r="AO317" i="25" l="1"/>
  <c r="AS317" i="25"/>
  <c r="AQ317" i="25"/>
  <c r="AP317" i="25"/>
  <c r="AR317" i="25"/>
  <c r="U318" i="25"/>
  <c r="X317" i="25"/>
  <c r="AJ318" i="25"/>
  <c r="AN317" i="25"/>
  <c r="AQ318" i="25" l="1"/>
  <c r="AO318" i="25"/>
  <c r="AR318" i="25"/>
  <c r="AP318" i="25"/>
  <c r="AS318" i="25"/>
  <c r="AJ319" i="25"/>
  <c r="AN318" i="25"/>
  <c r="X318" i="25"/>
  <c r="U319" i="25"/>
  <c r="AO319" i="25" l="1"/>
  <c r="AR319" i="25"/>
  <c r="AP319" i="25"/>
  <c r="AQ319" i="25"/>
  <c r="AS319" i="25"/>
  <c r="X319" i="25"/>
  <c r="U320" i="25"/>
  <c r="AJ320" i="25"/>
  <c r="AN319" i="25"/>
  <c r="AR320" i="25" l="1"/>
  <c r="AP320" i="25"/>
  <c r="AO320" i="25"/>
  <c r="AQ320" i="25"/>
  <c r="AS320" i="25"/>
  <c r="AJ321" i="25"/>
  <c r="AN320" i="25"/>
  <c r="U321" i="25"/>
  <c r="X320" i="25"/>
  <c r="AR321" i="25" l="1"/>
  <c r="AO321" i="25"/>
  <c r="AP321" i="25"/>
  <c r="AQ321" i="25"/>
  <c r="AS321" i="25"/>
  <c r="U322" i="25"/>
  <c r="X321" i="25"/>
  <c r="AJ322" i="25"/>
  <c r="AN321" i="25"/>
  <c r="AO322" i="25" l="1"/>
  <c r="AQ322" i="25"/>
  <c r="AP322" i="25"/>
  <c r="AR322" i="25"/>
  <c r="AS322" i="25"/>
  <c r="AN322" i="25"/>
  <c r="AJ323" i="25"/>
  <c r="U323" i="25"/>
  <c r="X322" i="25"/>
  <c r="AO323" i="25" l="1"/>
  <c r="AP323" i="25"/>
  <c r="AR323" i="25"/>
  <c r="AQ323" i="25"/>
  <c r="AS323" i="25"/>
  <c r="U324" i="25"/>
  <c r="X323" i="25"/>
  <c r="AJ324" i="25"/>
  <c r="AN323" i="25"/>
  <c r="AR324" i="25" l="1"/>
  <c r="AO324" i="25"/>
  <c r="AS324" i="25"/>
  <c r="AP324" i="25"/>
  <c r="AQ324" i="25"/>
  <c r="AJ325" i="25"/>
  <c r="AN324" i="25"/>
  <c r="U325" i="25"/>
  <c r="X324" i="25"/>
  <c r="AP325" i="25" l="1"/>
  <c r="AQ325" i="25"/>
  <c r="AO325" i="25"/>
  <c r="AR325" i="25"/>
  <c r="AS325" i="25"/>
  <c r="U326" i="25"/>
  <c r="X325" i="25"/>
  <c r="AN325" i="25"/>
  <c r="AJ326" i="25"/>
  <c r="AP326" i="25" l="1"/>
  <c r="AO326" i="25"/>
  <c r="AR326" i="25"/>
  <c r="AS326" i="25"/>
  <c r="AQ326" i="25"/>
  <c r="AN326" i="25"/>
  <c r="AJ327" i="25"/>
  <c r="U327" i="25"/>
  <c r="X326" i="25"/>
  <c r="AQ327" i="25" l="1"/>
  <c r="AR327" i="25"/>
  <c r="AS327" i="25"/>
  <c r="AO327" i="25"/>
  <c r="AP327" i="25"/>
  <c r="U328" i="25"/>
  <c r="X327" i="25"/>
  <c r="AJ328" i="25"/>
  <c r="AN327" i="25"/>
  <c r="AR328" i="25" l="1"/>
  <c r="AO328" i="25"/>
  <c r="AS328" i="25"/>
  <c r="AP328" i="25"/>
  <c r="AQ328" i="25"/>
  <c r="AN328" i="25"/>
  <c r="AJ329" i="25"/>
  <c r="U329" i="25"/>
  <c r="X328" i="25"/>
  <c r="AQ329" i="25" l="1"/>
  <c r="AP329" i="25"/>
  <c r="AO329" i="25"/>
  <c r="AS329" i="25"/>
  <c r="AR329" i="25"/>
  <c r="X329" i="25"/>
  <c r="U330" i="25"/>
  <c r="AJ330" i="25"/>
  <c r="AN329" i="25"/>
  <c r="AP330" i="25" l="1"/>
  <c r="AR330" i="25"/>
  <c r="AQ330" i="25"/>
  <c r="AO330" i="25"/>
  <c r="AS330" i="25"/>
  <c r="AJ331" i="25"/>
  <c r="AN330" i="25"/>
  <c r="U331" i="25"/>
  <c r="X330" i="25"/>
  <c r="AQ331" i="25" l="1"/>
  <c r="AP331" i="25"/>
  <c r="AO331" i="25"/>
  <c r="AR331" i="25"/>
  <c r="AS331" i="25"/>
  <c r="U332" i="25"/>
  <c r="X331" i="25"/>
  <c r="AN331" i="25"/>
  <c r="AJ332" i="25"/>
  <c r="AS332" i="25" l="1"/>
  <c r="AP332" i="25"/>
  <c r="AQ332" i="25"/>
  <c r="AO332" i="25"/>
  <c r="AR332" i="25"/>
  <c r="AJ333" i="25"/>
  <c r="AN332" i="25"/>
  <c r="X332" i="25"/>
  <c r="U333" i="25"/>
  <c r="AR333" i="25" l="1"/>
  <c r="AP333" i="25"/>
  <c r="AS333" i="25"/>
  <c r="AQ333" i="25"/>
  <c r="AO333" i="25"/>
  <c r="U334" i="25"/>
  <c r="X333" i="25"/>
  <c r="AJ334" i="25"/>
  <c r="AN333" i="25"/>
  <c r="AR334" i="25" l="1"/>
  <c r="AO334" i="25"/>
  <c r="AP334" i="25"/>
  <c r="AS334" i="25"/>
  <c r="AQ334" i="25"/>
  <c r="AJ335" i="25"/>
  <c r="AN334" i="25"/>
  <c r="U335" i="25"/>
  <c r="X334" i="25"/>
  <c r="AP335" i="25" l="1"/>
  <c r="AO335" i="25"/>
  <c r="AR335" i="25"/>
  <c r="AS335" i="25"/>
  <c r="AQ335" i="25"/>
  <c r="X335" i="25"/>
  <c r="U336" i="25"/>
  <c r="AJ336" i="25"/>
  <c r="AN335" i="25"/>
  <c r="AO336" i="25" l="1"/>
  <c r="AR336" i="25"/>
  <c r="AS336" i="25"/>
  <c r="AP336" i="25"/>
  <c r="AQ336" i="25"/>
  <c r="AJ337" i="25"/>
  <c r="AN336" i="25"/>
  <c r="U337" i="25"/>
  <c r="X336" i="25"/>
  <c r="AQ337" i="25" l="1"/>
  <c r="AO337" i="25"/>
  <c r="AS337" i="25"/>
  <c r="AP337" i="25"/>
  <c r="AR337" i="25"/>
  <c r="U338" i="25"/>
  <c r="X337" i="25"/>
  <c r="AJ338" i="25"/>
  <c r="AN337" i="25"/>
  <c r="AO338" i="25" l="1"/>
  <c r="AQ338" i="25"/>
  <c r="AP338" i="25"/>
  <c r="AR338" i="25"/>
  <c r="AS338" i="25"/>
  <c r="AJ339" i="25"/>
  <c r="AN338" i="25"/>
  <c r="U339" i="25"/>
  <c r="X338" i="25"/>
  <c r="AP339" i="25" l="1"/>
  <c r="AR339" i="25"/>
  <c r="AQ339" i="25"/>
  <c r="AO339" i="25"/>
  <c r="AS339" i="25"/>
  <c r="U340" i="25"/>
  <c r="X339" i="25"/>
  <c r="AJ340" i="25"/>
  <c r="AN339" i="25"/>
  <c r="AS340" i="25" l="1"/>
  <c r="AQ340" i="25"/>
  <c r="AP340" i="25"/>
  <c r="AO340" i="25"/>
  <c r="AR340" i="25"/>
  <c r="AJ341" i="25"/>
  <c r="AN340" i="25"/>
  <c r="U341" i="25"/>
  <c r="X340" i="25"/>
  <c r="AO341" i="25" l="1"/>
  <c r="AQ341" i="25"/>
  <c r="AP341" i="25"/>
  <c r="AS341" i="25"/>
  <c r="AR341" i="25"/>
  <c r="U342" i="25"/>
  <c r="X341" i="25"/>
  <c r="AN341" i="25"/>
  <c r="AJ342" i="25"/>
  <c r="AO342" i="25" l="1"/>
  <c r="AQ342" i="25"/>
  <c r="AR342" i="25"/>
  <c r="AP342" i="25"/>
  <c r="AS342" i="25"/>
  <c r="AJ343" i="25"/>
  <c r="AN342" i="25"/>
  <c r="U343" i="25"/>
  <c r="X342" i="25"/>
  <c r="AP343" i="25" l="1"/>
  <c r="AO343" i="25"/>
  <c r="AS343" i="25"/>
  <c r="AQ343" i="25"/>
  <c r="AR343" i="25"/>
  <c r="U344" i="25"/>
  <c r="X343" i="25"/>
  <c r="AJ344" i="25"/>
  <c r="AN343" i="25"/>
  <c r="AR344" i="25" l="1"/>
  <c r="AP344" i="25"/>
  <c r="AS344" i="25"/>
  <c r="AO344" i="25"/>
  <c r="AQ344" i="25"/>
  <c r="AN344" i="25"/>
  <c r="AJ345" i="25"/>
  <c r="U345" i="25"/>
  <c r="X344" i="25"/>
  <c r="AR345" i="25" l="1"/>
  <c r="AQ345" i="25"/>
  <c r="AS345" i="25"/>
  <c r="AO345" i="25"/>
  <c r="AP345" i="25"/>
  <c r="AJ346" i="25"/>
  <c r="AN345" i="25"/>
  <c r="X345" i="25"/>
  <c r="U346" i="25"/>
  <c r="AP346" i="25" l="1"/>
  <c r="AO346" i="25"/>
  <c r="AS346" i="25"/>
  <c r="AQ346" i="25"/>
  <c r="AR346" i="25"/>
  <c r="U347" i="25"/>
  <c r="X346" i="25"/>
  <c r="AJ347" i="25"/>
  <c r="AN346" i="25"/>
  <c r="AP347" i="25" l="1"/>
  <c r="AR347" i="25"/>
  <c r="AO347" i="25"/>
  <c r="AS347" i="25"/>
  <c r="AQ347" i="25"/>
  <c r="AN347" i="25"/>
  <c r="AJ348" i="25"/>
  <c r="U348" i="25"/>
  <c r="X347" i="25"/>
  <c r="AP348" i="25" l="1"/>
  <c r="AO348" i="25"/>
  <c r="AR348" i="25"/>
  <c r="AS348" i="25"/>
  <c r="AQ348" i="25"/>
  <c r="X348" i="25"/>
  <c r="U349" i="25"/>
  <c r="AJ349" i="25"/>
  <c r="AN348" i="25"/>
  <c r="AR349" i="25" l="1"/>
  <c r="AO349" i="25"/>
  <c r="AS349" i="25"/>
  <c r="AQ349" i="25"/>
  <c r="AP349" i="25"/>
  <c r="AJ350" i="25"/>
  <c r="AN349" i="25"/>
  <c r="U350" i="25"/>
  <c r="X349" i="25"/>
  <c r="AO350" i="25" l="1"/>
  <c r="AQ350" i="25"/>
  <c r="AR350" i="25"/>
  <c r="AS350" i="25"/>
  <c r="AP350" i="25"/>
  <c r="U351" i="25"/>
  <c r="X350" i="25"/>
  <c r="AJ351" i="25"/>
  <c r="AN350" i="25"/>
  <c r="AO351" i="25" l="1"/>
  <c r="AR351" i="25"/>
  <c r="AQ351" i="25"/>
  <c r="AP351" i="25"/>
  <c r="AS351" i="25"/>
  <c r="AJ352" i="25"/>
  <c r="AN351" i="25"/>
  <c r="U352" i="25"/>
  <c r="X351" i="25"/>
  <c r="AR352" i="25" l="1"/>
  <c r="AO352" i="25"/>
  <c r="AQ352" i="25"/>
  <c r="AS352" i="25"/>
  <c r="AP352" i="25"/>
  <c r="X352" i="25"/>
  <c r="U353" i="25"/>
  <c r="AJ353" i="25"/>
  <c r="AN352" i="25"/>
  <c r="AR353" i="25" l="1"/>
  <c r="AO353" i="25"/>
  <c r="AS353" i="25"/>
  <c r="AP353" i="25"/>
  <c r="AQ353" i="25"/>
  <c r="AJ354" i="25"/>
  <c r="AN353" i="25"/>
  <c r="U354" i="25"/>
  <c r="X353" i="25"/>
  <c r="AR354" i="25" l="1"/>
  <c r="AP354" i="25"/>
  <c r="AS354" i="25"/>
  <c r="AO354" i="25"/>
  <c r="AQ354" i="25"/>
  <c r="U355" i="25"/>
  <c r="X354" i="25"/>
  <c r="AJ355" i="25"/>
  <c r="AN354" i="25"/>
  <c r="AP355" i="25" l="1"/>
  <c r="AR355" i="25"/>
  <c r="AS355" i="25"/>
  <c r="AQ355" i="25"/>
  <c r="AO355" i="25"/>
  <c r="AN355" i="25"/>
  <c r="AJ356" i="25"/>
  <c r="U356" i="25"/>
  <c r="X355" i="25"/>
  <c r="AR356" i="25" l="1"/>
  <c r="AS356" i="25"/>
  <c r="AP356" i="25"/>
  <c r="AQ356" i="25"/>
  <c r="AO356" i="25"/>
  <c r="AN356" i="25"/>
  <c r="AJ357" i="25"/>
  <c r="U357" i="25"/>
  <c r="X356" i="25"/>
  <c r="AP357" i="25" l="1"/>
  <c r="AS357" i="25"/>
  <c r="AQ357" i="25"/>
  <c r="AO357" i="25"/>
  <c r="AR357" i="25"/>
  <c r="X357" i="25"/>
  <c r="U358" i="25"/>
  <c r="AN357" i="25"/>
  <c r="AJ358" i="25"/>
  <c r="AP358" i="25" l="1"/>
  <c r="AO358" i="25"/>
  <c r="AR358" i="25"/>
  <c r="AS358" i="25"/>
  <c r="AQ358" i="25"/>
  <c r="AJ359" i="25"/>
  <c r="AN358" i="25"/>
  <c r="U359" i="25"/>
  <c r="X358" i="25"/>
  <c r="AQ359" i="25" l="1"/>
  <c r="AP359" i="25"/>
  <c r="AS359" i="25"/>
  <c r="AO359" i="25"/>
  <c r="AR359" i="25"/>
  <c r="U360" i="25"/>
  <c r="X359" i="25"/>
  <c r="AN359" i="25"/>
  <c r="AJ360" i="25"/>
  <c r="AR360" i="25" l="1"/>
  <c r="AQ360" i="25"/>
  <c r="AP360" i="25"/>
  <c r="AS360" i="25"/>
  <c r="AO360" i="25"/>
  <c r="AN360" i="25"/>
  <c r="AJ361" i="25"/>
  <c r="X360" i="25"/>
  <c r="U361" i="25"/>
  <c r="AQ361" i="25" l="1"/>
  <c r="AO361" i="25"/>
  <c r="AS361" i="25"/>
  <c r="AP361" i="25"/>
  <c r="AR361" i="25"/>
  <c r="X361" i="25"/>
  <c r="U362" i="25"/>
  <c r="AJ362" i="25"/>
  <c r="AN361" i="25"/>
  <c r="AS362" i="25" l="1"/>
  <c r="AR362" i="25"/>
  <c r="AP362" i="25"/>
  <c r="AQ362" i="25"/>
  <c r="AO362" i="25"/>
  <c r="AJ363" i="25"/>
  <c r="AN362" i="25"/>
  <c r="U363" i="25"/>
  <c r="X362" i="25"/>
  <c r="AR363" i="25" l="1"/>
  <c r="AP363" i="25"/>
  <c r="AQ363" i="25"/>
  <c r="AS363" i="25"/>
  <c r="AO363" i="25"/>
  <c r="X363" i="25"/>
  <c r="U364" i="25"/>
  <c r="AJ364" i="25"/>
  <c r="AN363" i="25"/>
  <c r="AO364" i="25" l="1"/>
  <c r="AQ364" i="25"/>
  <c r="AR364" i="25"/>
  <c r="AP364" i="25"/>
  <c r="AS364" i="25"/>
  <c r="X364" i="25"/>
  <c r="U365" i="25"/>
  <c r="AJ365" i="25"/>
  <c r="AN364" i="25"/>
  <c r="AO365" i="25" l="1"/>
  <c r="AR365" i="25"/>
  <c r="AS365" i="25"/>
  <c r="AQ365" i="25"/>
  <c r="AP365" i="25"/>
  <c r="AJ366" i="25"/>
  <c r="AN365" i="25"/>
  <c r="U366" i="25"/>
  <c r="X365" i="25"/>
  <c r="AS366" i="25" l="1"/>
  <c r="AO366" i="25"/>
  <c r="AR366" i="25"/>
  <c r="AP366" i="25"/>
  <c r="AQ366" i="25"/>
  <c r="U367" i="25"/>
  <c r="X366" i="25"/>
  <c r="AN366" i="25"/>
  <c r="AJ367" i="25"/>
  <c r="AS367" i="25" l="1"/>
  <c r="AP367" i="25"/>
  <c r="AQ367" i="25"/>
  <c r="AO367" i="25"/>
  <c r="AR367" i="25"/>
  <c r="AJ368" i="25"/>
  <c r="AN367" i="25"/>
  <c r="U368" i="25"/>
  <c r="X367" i="25"/>
  <c r="AO368" i="25" l="1"/>
  <c r="AP368" i="25"/>
  <c r="AQ368" i="25"/>
  <c r="AS368" i="25"/>
  <c r="AR368" i="25"/>
  <c r="U369" i="25"/>
  <c r="X368" i="25"/>
  <c r="AJ369" i="25"/>
  <c r="AN368" i="25"/>
  <c r="AQ369" i="25" l="1"/>
  <c r="AO369" i="25"/>
  <c r="AP369" i="25"/>
  <c r="AS369" i="25"/>
  <c r="AR369" i="25"/>
  <c r="AJ370" i="25"/>
  <c r="AN369" i="25"/>
  <c r="U370" i="25"/>
  <c r="X369" i="25"/>
  <c r="AQ370" i="25" l="1"/>
  <c r="AS370" i="25"/>
  <c r="AR370" i="25"/>
  <c r="AO370" i="25"/>
  <c r="AP370" i="25"/>
  <c r="X370" i="25"/>
  <c r="U371" i="25"/>
  <c r="AJ371" i="25"/>
  <c r="AN370" i="25"/>
  <c r="AS371" i="25" l="1"/>
  <c r="AQ371" i="25"/>
  <c r="AO371" i="25"/>
  <c r="AP371" i="25"/>
  <c r="AR371" i="25"/>
  <c r="AJ372" i="25"/>
  <c r="AN371" i="25"/>
  <c r="U372" i="25"/>
  <c r="X371" i="25"/>
  <c r="AP372" i="25" l="1"/>
  <c r="AS372" i="25"/>
  <c r="AO372" i="25"/>
  <c r="AQ372" i="25"/>
  <c r="AR372" i="25"/>
  <c r="U373" i="25"/>
  <c r="X372" i="25"/>
  <c r="AN372" i="25"/>
  <c r="AJ373" i="25"/>
  <c r="AR373" i="25" l="1"/>
  <c r="AO373" i="25"/>
  <c r="AP373" i="25"/>
  <c r="AQ373" i="25"/>
  <c r="AS373" i="25"/>
  <c r="AN373" i="25"/>
  <c r="AJ374" i="25"/>
  <c r="X373" i="25"/>
  <c r="U374" i="25"/>
  <c r="AQ374" i="25" l="1"/>
  <c r="AS374" i="25"/>
  <c r="AR374" i="25"/>
  <c r="AO374" i="25"/>
  <c r="AP374" i="25"/>
  <c r="U375" i="25"/>
  <c r="X374" i="25"/>
  <c r="AJ375" i="25"/>
  <c r="AN374" i="25"/>
  <c r="AR375" i="25" l="1"/>
  <c r="AQ375" i="25"/>
  <c r="AS375" i="25"/>
  <c r="AP375" i="25"/>
  <c r="AO375" i="25"/>
  <c r="AN375" i="25"/>
  <c r="AJ376" i="25"/>
  <c r="U376" i="25"/>
  <c r="X375" i="25"/>
  <c r="AR376" i="25" l="1"/>
  <c r="AO376" i="25"/>
  <c r="AS376" i="25"/>
  <c r="AP376" i="25"/>
  <c r="AQ376" i="25"/>
  <c r="AN376" i="25"/>
  <c r="AJ377" i="25"/>
  <c r="X376" i="25"/>
  <c r="U377" i="25"/>
  <c r="AR377" i="25" l="1"/>
  <c r="AS377" i="25"/>
  <c r="AO377" i="25"/>
  <c r="AP377" i="25"/>
  <c r="AQ377" i="25"/>
  <c r="U378" i="25"/>
  <c r="X377" i="25"/>
  <c r="AJ378" i="25"/>
  <c r="AN377" i="25"/>
  <c r="AS378" i="25" l="1"/>
  <c r="AR378" i="25"/>
  <c r="AP378" i="25"/>
  <c r="AO378" i="25"/>
  <c r="AQ378" i="25"/>
  <c r="AJ379" i="25"/>
  <c r="AN378" i="25"/>
  <c r="U379" i="25"/>
  <c r="X378" i="25"/>
  <c r="AO379" i="25" l="1"/>
  <c r="AS379" i="25"/>
  <c r="AR379" i="25"/>
  <c r="AQ379" i="25"/>
  <c r="AP379" i="25"/>
  <c r="X379" i="25"/>
  <c r="U380" i="25"/>
  <c r="AJ380" i="25"/>
  <c r="AN379" i="25"/>
  <c r="AO380" i="25" l="1"/>
  <c r="AS380" i="25"/>
  <c r="AR380" i="25"/>
  <c r="AQ380" i="25"/>
  <c r="AP380" i="25"/>
  <c r="AJ381" i="25"/>
  <c r="AN380" i="25"/>
  <c r="X380" i="25"/>
  <c r="U381" i="25"/>
  <c r="AQ381" i="25" l="1"/>
  <c r="AR381" i="25"/>
  <c r="AP381" i="25"/>
  <c r="AO381" i="25"/>
  <c r="AS381" i="25"/>
  <c r="U382" i="25"/>
  <c r="X381" i="25"/>
  <c r="AJ382" i="25"/>
  <c r="AN381" i="25"/>
  <c r="AP382" i="25" l="1"/>
  <c r="AR382" i="25"/>
  <c r="AO382" i="25"/>
  <c r="AS382" i="25"/>
  <c r="AQ382" i="25"/>
  <c r="AJ383" i="25"/>
  <c r="AN382" i="25"/>
  <c r="U383" i="25"/>
  <c r="X382" i="25"/>
  <c r="AR383" i="25" l="1"/>
  <c r="AQ383" i="25"/>
  <c r="AS383" i="25"/>
  <c r="AO383" i="25"/>
  <c r="AP383" i="25"/>
  <c r="U384" i="25"/>
  <c r="X383" i="25"/>
  <c r="AJ384" i="25"/>
  <c r="AN383" i="25"/>
  <c r="AP384" i="25" l="1"/>
  <c r="AQ384" i="25"/>
  <c r="AR384" i="25"/>
  <c r="AO384" i="25"/>
  <c r="AS384" i="25"/>
  <c r="AJ385" i="25"/>
  <c r="AN384" i="25"/>
  <c r="U385" i="25"/>
  <c r="X384" i="25"/>
  <c r="AP385" i="25" l="1"/>
  <c r="AQ385" i="25"/>
  <c r="AO385" i="25"/>
  <c r="AR385" i="25"/>
  <c r="AS385" i="25"/>
  <c r="U386" i="25"/>
  <c r="X385" i="25"/>
  <c r="AJ386" i="25"/>
  <c r="AN385" i="25"/>
  <c r="AP386" i="25" l="1"/>
  <c r="AR386" i="25"/>
  <c r="AS386" i="25"/>
  <c r="AO386" i="25"/>
  <c r="AQ386" i="25"/>
  <c r="AJ387" i="25"/>
  <c r="AN386" i="25"/>
  <c r="X386" i="25"/>
  <c r="U387" i="25"/>
  <c r="AO387" i="25" l="1"/>
  <c r="AR387" i="25"/>
  <c r="AP387" i="25"/>
  <c r="AS387" i="25"/>
  <c r="AQ387" i="25"/>
  <c r="U388" i="25"/>
  <c r="X387" i="25"/>
  <c r="AJ388" i="25"/>
  <c r="AN387" i="25"/>
  <c r="AS388" i="25" l="1"/>
  <c r="AR388" i="25"/>
  <c r="AQ388" i="25"/>
  <c r="AP388" i="25"/>
  <c r="AO388" i="25"/>
  <c r="AN388" i="25"/>
  <c r="AJ389" i="25"/>
  <c r="U389" i="25"/>
  <c r="X388" i="25"/>
  <c r="AS389" i="25" l="1"/>
  <c r="AP389" i="25"/>
  <c r="AR389" i="25"/>
  <c r="AO389" i="25"/>
  <c r="AQ389" i="25"/>
  <c r="X389" i="25"/>
  <c r="U390" i="25"/>
  <c r="AN389" i="25"/>
  <c r="AJ390" i="25"/>
  <c r="AO390" i="25" l="1"/>
  <c r="AS390" i="25"/>
  <c r="AR390" i="25"/>
  <c r="AQ390" i="25"/>
  <c r="AP390" i="25"/>
  <c r="AJ391" i="25"/>
  <c r="AN390" i="25"/>
  <c r="U391" i="25"/>
  <c r="X390" i="25"/>
  <c r="AP391" i="25" l="1"/>
  <c r="AQ391" i="25"/>
  <c r="AS391" i="25"/>
  <c r="AR391" i="25"/>
  <c r="AO391" i="25"/>
  <c r="U392" i="25"/>
  <c r="X391" i="25"/>
  <c r="AN391" i="25"/>
  <c r="AJ392" i="25"/>
  <c r="AS392" i="25" l="1"/>
  <c r="AQ392" i="25"/>
  <c r="AP392" i="25"/>
  <c r="AR392" i="25"/>
  <c r="AO392" i="25"/>
  <c r="AN392" i="25"/>
  <c r="AJ393" i="25"/>
  <c r="X392" i="25"/>
  <c r="U393" i="25"/>
  <c r="AP393" i="25" l="1"/>
  <c r="AS393" i="25"/>
  <c r="AO393" i="25"/>
  <c r="AQ393" i="25"/>
  <c r="AR393" i="25"/>
  <c r="X393" i="25"/>
  <c r="U394" i="25"/>
  <c r="AJ394" i="25"/>
  <c r="AN393" i="25"/>
  <c r="AR394" i="25" l="1"/>
  <c r="AQ394" i="25"/>
  <c r="AS394" i="25"/>
  <c r="AO394" i="25"/>
  <c r="AP394" i="25"/>
  <c r="AJ395" i="25"/>
  <c r="AN394" i="25"/>
  <c r="U395" i="25"/>
  <c r="X394" i="25"/>
  <c r="AR395" i="25" l="1"/>
  <c r="AP395" i="25"/>
  <c r="AQ395" i="25"/>
  <c r="AO395" i="25"/>
  <c r="AS395" i="25"/>
  <c r="X395" i="25"/>
  <c r="U396" i="25"/>
  <c r="AJ396" i="25"/>
  <c r="AN395" i="25"/>
  <c r="AO396" i="25" l="1"/>
  <c r="AS396" i="25"/>
  <c r="AR396" i="25"/>
  <c r="AP396" i="25"/>
  <c r="AQ396" i="25"/>
  <c r="AJ397" i="25"/>
  <c r="AN396" i="25"/>
  <c r="X396" i="25"/>
  <c r="U397" i="25"/>
  <c r="AS397" i="25" l="1"/>
  <c r="AQ397" i="25"/>
  <c r="AR397" i="25"/>
  <c r="AO397" i="25"/>
  <c r="AP397" i="25"/>
  <c r="U398" i="25"/>
  <c r="X397" i="25"/>
  <c r="AJ398" i="25"/>
  <c r="AN397" i="25"/>
  <c r="AR398" i="25" l="1"/>
  <c r="AS398" i="25"/>
  <c r="AQ398" i="25"/>
  <c r="AP398" i="25"/>
  <c r="AO398" i="25"/>
  <c r="AN398" i="25"/>
  <c r="AJ399" i="25"/>
  <c r="U399" i="25"/>
  <c r="X398" i="25"/>
  <c r="AS399" i="25" l="1"/>
  <c r="AR399" i="25"/>
  <c r="AQ399" i="25"/>
  <c r="AO399" i="25"/>
  <c r="AP399" i="25"/>
  <c r="AJ400" i="25"/>
  <c r="AN399" i="25"/>
  <c r="U400" i="25"/>
  <c r="X399" i="25"/>
  <c r="AO400" i="25" l="1"/>
  <c r="AS400" i="25"/>
  <c r="AP400" i="25"/>
  <c r="AR400" i="25"/>
  <c r="AQ400" i="25"/>
  <c r="U401" i="25"/>
  <c r="X400" i="25"/>
  <c r="AJ401" i="25"/>
  <c r="AN400" i="25"/>
  <c r="AQ401" i="25" l="1"/>
  <c r="AP401" i="25"/>
  <c r="AS401" i="25"/>
  <c r="AR401" i="25"/>
  <c r="AO401" i="25"/>
  <c r="AJ402" i="25"/>
  <c r="AN401" i="25"/>
  <c r="U402" i="25"/>
  <c r="X401" i="25"/>
  <c r="AO402" i="25" l="1"/>
  <c r="AP402" i="25"/>
  <c r="AS402" i="25"/>
  <c r="AQ402" i="25"/>
  <c r="AR402" i="25"/>
  <c r="X402" i="25"/>
  <c r="U403" i="25"/>
  <c r="AJ403" i="25"/>
  <c r="AN402" i="25"/>
  <c r="AP403" i="25" l="1"/>
  <c r="AQ403" i="25"/>
  <c r="AO403" i="25"/>
  <c r="AS403" i="25"/>
  <c r="AR403" i="25"/>
  <c r="AJ404" i="25"/>
  <c r="AN403" i="25"/>
  <c r="U404" i="25"/>
  <c r="X403" i="25"/>
  <c r="AO404" i="25" l="1"/>
  <c r="AS404" i="25"/>
  <c r="AQ404" i="25"/>
  <c r="AR404" i="25"/>
  <c r="AP404" i="25"/>
  <c r="U405" i="25"/>
  <c r="X404" i="25"/>
  <c r="AN404" i="25"/>
  <c r="AJ405" i="25"/>
  <c r="AS405" i="25" l="1"/>
  <c r="AP405" i="25"/>
  <c r="AQ405" i="25"/>
  <c r="AR405" i="25"/>
  <c r="AO405" i="25"/>
  <c r="AN405" i="25"/>
  <c r="AJ406" i="25"/>
  <c r="X405" i="25"/>
  <c r="U406" i="25"/>
  <c r="AP406" i="25" l="1"/>
  <c r="AO406" i="25"/>
  <c r="AS406" i="25"/>
  <c r="AQ406" i="25"/>
  <c r="AR406" i="25"/>
  <c r="U407" i="25"/>
  <c r="X406" i="25"/>
  <c r="AJ407" i="25"/>
  <c r="AN406" i="25"/>
  <c r="AO407" i="25" l="1"/>
  <c r="AR407" i="25"/>
  <c r="AS407" i="25"/>
  <c r="AQ407" i="25"/>
  <c r="AP407" i="25"/>
  <c r="AN407" i="25"/>
  <c r="AJ408" i="25"/>
  <c r="U408" i="25"/>
  <c r="X407" i="25"/>
  <c r="AP408" i="25" l="1"/>
  <c r="AR408" i="25"/>
  <c r="AO408" i="25"/>
  <c r="AS408" i="25"/>
  <c r="AQ408" i="25"/>
  <c r="X408" i="25"/>
  <c r="U409" i="25"/>
  <c r="AN408" i="25"/>
  <c r="AJ409" i="25"/>
  <c r="AP409" i="25" l="1"/>
  <c r="AQ409" i="25"/>
  <c r="AR409" i="25"/>
  <c r="AO409" i="25"/>
  <c r="AS409" i="25"/>
  <c r="AJ410" i="25"/>
  <c r="AN409" i="25"/>
  <c r="X409" i="25"/>
  <c r="U410" i="25"/>
  <c r="AP410" i="25" l="1"/>
  <c r="AR410" i="25"/>
  <c r="AO410" i="25"/>
  <c r="AQ410" i="25"/>
  <c r="AS410" i="25"/>
  <c r="U411" i="25"/>
  <c r="X410" i="25"/>
  <c r="AJ411" i="25"/>
  <c r="AN410" i="25"/>
  <c r="AO411" i="25" l="1"/>
  <c r="AP411" i="25"/>
  <c r="AR411" i="25"/>
  <c r="AS411" i="25"/>
  <c r="AQ411" i="25"/>
  <c r="AJ412" i="25"/>
  <c r="AN411" i="25"/>
  <c r="X411" i="25"/>
  <c r="U412" i="25"/>
  <c r="AQ412" i="25" l="1"/>
  <c r="AO412" i="25"/>
  <c r="AS412" i="25"/>
  <c r="AR412" i="25"/>
  <c r="AP412" i="25"/>
  <c r="X412" i="25"/>
  <c r="U413" i="25"/>
  <c r="AJ413" i="25"/>
  <c r="AN412" i="25"/>
  <c r="AR413" i="25" l="1"/>
  <c r="AS413" i="25"/>
  <c r="AP413" i="25"/>
  <c r="AO413" i="25"/>
  <c r="AQ413" i="25"/>
  <c r="U414" i="25"/>
  <c r="X413" i="25"/>
  <c r="AJ414" i="25"/>
  <c r="AN413" i="25"/>
  <c r="AO414" i="25" l="1"/>
  <c r="AP414" i="25"/>
  <c r="AR414" i="25"/>
  <c r="AQ414" i="25"/>
  <c r="AS414" i="25"/>
  <c r="AJ415" i="25"/>
  <c r="AN414" i="25"/>
  <c r="U415" i="25"/>
  <c r="X414" i="25"/>
  <c r="AO415" i="25" l="1"/>
  <c r="AS415" i="25"/>
  <c r="AP415" i="25"/>
  <c r="AQ415" i="25"/>
  <c r="AR415" i="25"/>
  <c r="U416" i="25"/>
  <c r="X415" i="25"/>
  <c r="AJ416" i="25"/>
  <c r="AN415" i="25"/>
  <c r="AO416" i="25" l="1"/>
  <c r="AP416" i="25"/>
  <c r="AR416" i="25"/>
  <c r="AQ416" i="25"/>
  <c r="AS416" i="25"/>
  <c r="AJ417" i="25"/>
  <c r="AN416" i="25"/>
  <c r="U417" i="25"/>
  <c r="X416" i="25"/>
  <c r="AQ417" i="25" l="1"/>
  <c r="AR417" i="25"/>
  <c r="AO417" i="25"/>
  <c r="AP417" i="25"/>
  <c r="AS417" i="25"/>
  <c r="U418" i="25"/>
  <c r="X417" i="25"/>
  <c r="AJ418" i="25"/>
  <c r="AN417" i="25"/>
  <c r="AQ418" i="25" l="1"/>
  <c r="AO418" i="25"/>
  <c r="AR418" i="25"/>
  <c r="AP418" i="25"/>
  <c r="AS418" i="25"/>
  <c r="X418" i="25"/>
  <c r="U419" i="25"/>
  <c r="AJ419" i="25"/>
  <c r="AN418" i="25"/>
  <c r="AP419" i="25" l="1"/>
  <c r="AS419" i="25"/>
  <c r="AQ419" i="25"/>
  <c r="AR419" i="25"/>
  <c r="AO419" i="25"/>
  <c r="AJ420" i="25"/>
  <c r="AN419" i="25"/>
  <c r="U420" i="25"/>
  <c r="X419" i="25"/>
  <c r="AQ420" i="25" l="1"/>
  <c r="AR420" i="25"/>
  <c r="AO420" i="25"/>
  <c r="AS420" i="25"/>
  <c r="AP420" i="25"/>
  <c r="U421" i="25"/>
  <c r="X420" i="25"/>
  <c r="AN420" i="25"/>
  <c r="AJ421" i="25"/>
  <c r="AO421" i="25" l="1"/>
  <c r="AP421" i="25"/>
  <c r="AR421" i="25"/>
  <c r="AQ421" i="25"/>
  <c r="AS421" i="25"/>
  <c r="AN421" i="25"/>
  <c r="AJ422" i="25"/>
  <c r="X421" i="25"/>
  <c r="U422" i="25"/>
  <c r="AQ422" i="25" l="1"/>
  <c r="AR422" i="25"/>
  <c r="AS422" i="25"/>
  <c r="AO422" i="25"/>
  <c r="AP422" i="25"/>
  <c r="U423" i="25"/>
  <c r="X422" i="25"/>
  <c r="AJ423" i="25"/>
  <c r="AN422" i="25"/>
  <c r="AO423" i="25" l="1"/>
  <c r="AS423" i="25"/>
  <c r="AQ423" i="25"/>
  <c r="AR423" i="25"/>
  <c r="AP423" i="25"/>
  <c r="AN423" i="25"/>
  <c r="AJ424" i="25"/>
  <c r="U424" i="25"/>
  <c r="X423" i="25"/>
  <c r="AP424" i="25" l="1"/>
  <c r="AR424" i="25"/>
  <c r="AO424" i="25"/>
  <c r="AS424" i="25"/>
  <c r="AQ424" i="25"/>
  <c r="X424" i="25"/>
  <c r="U425" i="25"/>
  <c r="AJ425" i="25"/>
  <c r="AN424" i="25"/>
  <c r="AO425" i="25" l="1"/>
  <c r="AR425" i="25"/>
  <c r="AQ425" i="25"/>
  <c r="AP425" i="25"/>
  <c r="AS425" i="25"/>
  <c r="AJ426" i="25"/>
  <c r="AN425" i="25"/>
  <c r="X425" i="25"/>
  <c r="U426" i="25"/>
  <c r="AS426" i="25" l="1"/>
  <c r="AQ426" i="25"/>
  <c r="AR426" i="25"/>
  <c r="AP426" i="25"/>
  <c r="AO426" i="25"/>
  <c r="U427" i="25"/>
  <c r="X426" i="25"/>
  <c r="AJ427" i="25"/>
  <c r="AN426" i="25"/>
  <c r="AR427" i="25" l="1"/>
  <c r="AP427" i="25"/>
  <c r="AS427" i="25"/>
  <c r="AQ427" i="25"/>
  <c r="AO427" i="25"/>
  <c r="AJ428" i="25"/>
  <c r="AN427" i="25"/>
  <c r="X427" i="25"/>
  <c r="U428" i="25"/>
  <c r="AO428" i="25" l="1"/>
  <c r="AS428" i="25"/>
  <c r="AQ428" i="25"/>
  <c r="AR428" i="25"/>
  <c r="AP428" i="25"/>
  <c r="AJ429" i="25"/>
  <c r="AN428" i="25"/>
  <c r="X428" i="25"/>
  <c r="U429" i="25"/>
  <c r="AR429" i="25" l="1"/>
  <c r="AS429" i="25"/>
  <c r="AP429" i="25"/>
  <c r="AO429" i="25"/>
  <c r="AQ429" i="25"/>
  <c r="U430" i="25"/>
  <c r="X429" i="25"/>
  <c r="AJ430" i="25"/>
  <c r="AN429" i="25"/>
  <c r="AP430" i="25" l="1"/>
  <c r="AR430" i="25"/>
  <c r="AS430" i="25"/>
  <c r="AO430" i="25"/>
  <c r="AQ430" i="25"/>
  <c r="AJ431" i="25"/>
  <c r="AN430" i="25"/>
  <c r="U431" i="25"/>
  <c r="X430" i="25"/>
  <c r="AR431" i="25" l="1"/>
  <c r="AQ431" i="25"/>
  <c r="AP431" i="25"/>
  <c r="AO431" i="25"/>
  <c r="AS431" i="25"/>
  <c r="X431" i="25"/>
  <c r="U432" i="25"/>
  <c r="AJ432" i="25"/>
  <c r="AN431" i="25"/>
  <c r="AP432" i="25" l="1"/>
  <c r="AS432" i="25"/>
  <c r="AR432" i="25"/>
  <c r="AQ432" i="25"/>
  <c r="AO432" i="25"/>
  <c r="AN432" i="25"/>
  <c r="AJ433" i="25"/>
  <c r="U433" i="25"/>
  <c r="X432" i="25"/>
  <c r="AO433" i="25" l="1"/>
  <c r="AR433" i="25"/>
  <c r="AP433" i="25"/>
  <c r="AQ433" i="25"/>
  <c r="AS433" i="25"/>
  <c r="U434" i="25"/>
  <c r="X433" i="25"/>
  <c r="AN433" i="25"/>
  <c r="AJ434" i="25"/>
  <c r="AP434" i="25" l="1"/>
  <c r="AO434" i="25"/>
  <c r="AS434" i="25"/>
  <c r="AR434" i="25"/>
  <c r="AQ434" i="25"/>
  <c r="AJ435" i="25"/>
  <c r="AN434" i="25"/>
  <c r="X434" i="25"/>
  <c r="U435" i="25"/>
  <c r="AO435" i="25" l="1"/>
  <c r="AP435" i="25"/>
  <c r="AS435" i="25"/>
  <c r="AQ435" i="25"/>
  <c r="AR435" i="25"/>
  <c r="U436" i="25"/>
  <c r="X435" i="25"/>
  <c r="AJ436" i="25"/>
  <c r="AN435" i="25"/>
  <c r="AR436" i="25" l="1"/>
  <c r="AQ436" i="25"/>
  <c r="AP436" i="25"/>
  <c r="AS436" i="25"/>
  <c r="AO436" i="25"/>
  <c r="AJ437" i="25"/>
  <c r="AN436" i="25"/>
  <c r="X436" i="25"/>
  <c r="U437" i="25"/>
  <c r="AO437" i="25" l="1"/>
  <c r="AQ437" i="25"/>
  <c r="AR437" i="25"/>
  <c r="AP437" i="25"/>
  <c r="AS437" i="25"/>
  <c r="X437" i="25"/>
  <c r="U438" i="25"/>
  <c r="AJ438" i="25"/>
  <c r="AN437" i="25"/>
  <c r="AP438" i="25" l="1"/>
  <c r="AO438" i="25"/>
  <c r="AS438" i="25"/>
  <c r="AQ438" i="25"/>
  <c r="AR438" i="25"/>
  <c r="AJ439" i="25"/>
  <c r="AN438" i="25"/>
  <c r="U439" i="25"/>
  <c r="X438" i="25"/>
  <c r="AR439" i="25" l="1"/>
  <c r="AO439" i="25"/>
  <c r="AS439" i="25"/>
  <c r="AQ439" i="25"/>
  <c r="AP439" i="25"/>
  <c r="U440" i="25"/>
  <c r="X439" i="25"/>
  <c r="AN439" i="25"/>
  <c r="AJ440" i="25"/>
  <c r="AQ440" i="25" l="1"/>
  <c r="AS440" i="25"/>
  <c r="AO440" i="25"/>
  <c r="AP440" i="25"/>
  <c r="AR440" i="25"/>
  <c r="AJ441" i="25"/>
  <c r="AN440" i="25"/>
  <c r="X440" i="25"/>
  <c r="U441" i="25"/>
  <c r="AR441" i="25" l="1"/>
  <c r="AQ441" i="25"/>
  <c r="AP441" i="25"/>
  <c r="AS441" i="25"/>
  <c r="AO441" i="25"/>
  <c r="U442" i="25"/>
  <c r="X441" i="25"/>
  <c r="AJ442" i="25"/>
  <c r="AN441" i="25"/>
  <c r="AR442" i="25" l="1"/>
  <c r="AO442" i="25"/>
  <c r="AQ442" i="25"/>
  <c r="AP442" i="25"/>
  <c r="AS442" i="25"/>
  <c r="AJ443" i="25"/>
  <c r="AN442" i="25"/>
  <c r="U443" i="25"/>
  <c r="X442" i="25"/>
  <c r="AP443" i="25" l="1"/>
  <c r="AQ443" i="25"/>
  <c r="AS443" i="25"/>
  <c r="AO443" i="25"/>
  <c r="AR443" i="25"/>
  <c r="U444" i="25"/>
  <c r="X443" i="25"/>
  <c r="AJ444" i="25"/>
  <c r="AN443" i="25"/>
  <c r="AQ444" i="25" l="1"/>
  <c r="AR444" i="25"/>
  <c r="AO444" i="25"/>
  <c r="AS444" i="25"/>
  <c r="AP444" i="25"/>
  <c r="AJ445" i="25"/>
  <c r="AN444" i="25"/>
  <c r="U445" i="25"/>
  <c r="X444" i="25"/>
  <c r="AS445" i="25" l="1"/>
  <c r="AO445" i="25"/>
  <c r="AR445" i="25"/>
  <c r="AP445" i="25"/>
  <c r="AQ445" i="25"/>
  <c r="U446" i="25"/>
  <c r="X445" i="25"/>
  <c r="AJ446" i="25"/>
  <c r="AN445" i="25"/>
  <c r="AR446" i="25" l="1"/>
  <c r="AP446" i="25"/>
  <c r="AQ446" i="25"/>
  <c r="AS446" i="25"/>
  <c r="AO446" i="25"/>
  <c r="AJ447" i="25"/>
  <c r="AN446" i="25"/>
  <c r="X446" i="25"/>
  <c r="U447" i="25"/>
  <c r="AO447" i="25" l="1"/>
  <c r="AR447" i="25"/>
  <c r="AP447" i="25"/>
  <c r="AS447" i="25"/>
  <c r="AQ447" i="25"/>
  <c r="X447" i="25"/>
  <c r="U448" i="25"/>
  <c r="AJ448" i="25"/>
  <c r="AN447" i="25"/>
  <c r="AR448" i="25" l="1"/>
  <c r="AO448" i="25"/>
  <c r="AS448" i="25"/>
  <c r="AP448" i="25"/>
  <c r="AQ448" i="25"/>
  <c r="AN448" i="25"/>
  <c r="AJ449" i="25"/>
  <c r="U449" i="25"/>
  <c r="X448" i="25"/>
  <c r="AO449" i="25" l="1"/>
  <c r="AP449" i="25"/>
  <c r="AS449" i="25"/>
  <c r="AR449" i="25"/>
  <c r="AQ449" i="25"/>
  <c r="AN449" i="25"/>
  <c r="AJ450" i="25"/>
  <c r="U450" i="25"/>
  <c r="X449" i="25"/>
  <c r="AQ450" i="25" l="1"/>
  <c r="AP450" i="25"/>
  <c r="AO450" i="25"/>
  <c r="AS450" i="25"/>
  <c r="AR450" i="25"/>
  <c r="U451" i="25"/>
  <c r="X450" i="25"/>
  <c r="AJ451" i="25"/>
  <c r="AN450" i="25"/>
  <c r="AP451" i="25" l="1"/>
  <c r="AQ451" i="25"/>
  <c r="AR451" i="25"/>
  <c r="AO451" i="25"/>
  <c r="AS451" i="25"/>
  <c r="AJ452" i="25"/>
  <c r="AN451" i="25"/>
  <c r="U452" i="25"/>
  <c r="X451" i="25"/>
  <c r="AP452" i="25" l="1"/>
  <c r="AR452" i="25"/>
  <c r="AQ452" i="25"/>
  <c r="AS452" i="25"/>
  <c r="AO452" i="25"/>
  <c r="X452" i="25"/>
  <c r="U453" i="25"/>
  <c r="AJ453" i="25"/>
  <c r="AN452" i="25"/>
  <c r="AO453" i="25" l="1"/>
  <c r="AP453" i="25"/>
  <c r="AR453" i="25"/>
  <c r="AQ453" i="25"/>
  <c r="AS453" i="25"/>
  <c r="AJ454" i="25"/>
  <c r="AN453" i="25"/>
  <c r="U454" i="25"/>
  <c r="X453" i="25"/>
  <c r="AR454" i="25" l="1"/>
  <c r="AS454" i="25"/>
  <c r="AO454" i="25"/>
  <c r="AP454" i="25"/>
  <c r="AQ454" i="25"/>
  <c r="U455" i="25"/>
  <c r="X454" i="25"/>
  <c r="AJ455" i="25"/>
  <c r="AN454" i="25"/>
  <c r="AO455" i="25" l="1"/>
  <c r="AS455" i="25"/>
  <c r="AR455" i="25"/>
  <c r="AQ455" i="25"/>
  <c r="AP455" i="25"/>
  <c r="AN455" i="25"/>
  <c r="AJ456" i="25"/>
  <c r="U456" i="25"/>
  <c r="X455" i="25"/>
  <c r="AS456" i="25" l="1"/>
  <c r="AR456" i="25"/>
  <c r="AO456" i="25"/>
  <c r="AQ456" i="25"/>
  <c r="AP456" i="25"/>
  <c r="AJ457" i="25"/>
  <c r="AN456" i="25"/>
  <c r="X456" i="25"/>
  <c r="U457" i="25"/>
  <c r="AO457" i="25" l="1"/>
  <c r="AP457" i="25"/>
  <c r="AQ457" i="25"/>
  <c r="AR457" i="25"/>
  <c r="AS457" i="25"/>
  <c r="U458" i="25"/>
  <c r="X457" i="25"/>
  <c r="AJ458" i="25"/>
  <c r="AN457" i="25"/>
  <c r="AQ458" i="25" l="1"/>
  <c r="AP458" i="25"/>
  <c r="AO458" i="25"/>
  <c r="AS458" i="25"/>
  <c r="AR458" i="25"/>
  <c r="AN458" i="25"/>
  <c r="AJ459" i="25"/>
  <c r="U459" i="25"/>
  <c r="X458" i="25"/>
  <c r="AS459" i="25" l="1"/>
  <c r="AP459" i="25"/>
  <c r="AQ459" i="25"/>
  <c r="AR459" i="25"/>
  <c r="AO459" i="25"/>
  <c r="U460" i="25"/>
  <c r="X459" i="25"/>
  <c r="AN459" i="25"/>
  <c r="AJ460" i="25"/>
  <c r="AR460" i="25" l="1"/>
  <c r="AQ460" i="25"/>
  <c r="AP460" i="25"/>
  <c r="AO460" i="25"/>
  <c r="AS460" i="25"/>
  <c r="AJ461" i="25"/>
  <c r="AN460" i="25"/>
  <c r="U461" i="25"/>
  <c r="X460" i="25"/>
  <c r="AR461" i="25" l="1"/>
  <c r="AS461" i="25"/>
  <c r="AQ461" i="25"/>
  <c r="AP461" i="25"/>
  <c r="AO461" i="25"/>
  <c r="U462" i="25"/>
  <c r="X461" i="25"/>
  <c r="AJ462" i="25"/>
  <c r="AN461" i="25"/>
  <c r="AS462" i="25" l="1"/>
  <c r="AO462" i="25"/>
  <c r="AR462" i="25"/>
  <c r="AP462" i="25"/>
  <c r="AQ462" i="25"/>
  <c r="AJ463" i="25"/>
  <c r="AN462" i="25"/>
  <c r="X462" i="25"/>
  <c r="U463" i="25"/>
  <c r="AS463" i="25" l="1"/>
  <c r="AP463" i="25"/>
  <c r="AR463" i="25"/>
  <c r="AO463" i="25"/>
  <c r="AQ463" i="25"/>
  <c r="X463" i="25"/>
  <c r="U464" i="25"/>
  <c r="AJ464" i="25"/>
  <c r="AN463" i="25"/>
  <c r="AO464" i="25" l="1"/>
  <c r="AS464" i="25"/>
  <c r="AR464" i="25"/>
  <c r="AQ464" i="25"/>
  <c r="AP464" i="25"/>
  <c r="AN464" i="25"/>
  <c r="AJ465" i="25"/>
  <c r="U465" i="25"/>
  <c r="X464" i="25"/>
  <c r="AP465" i="25" l="1"/>
  <c r="AS465" i="25"/>
  <c r="AQ465" i="25"/>
  <c r="AR465" i="25"/>
  <c r="AO465" i="25"/>
  <c r="U466" i="25"/>
  <c r="X465" i="25"/>
  <c r="AN465" i="25"/>
  <c r="AJ466" i="25"/>
  <c r="AQ466" i="25" l="1"/>
  <c r="AP466" i="25"/>
  <c r="AO466" i="25"/>
  <c r="AR466" i="25"/>
  <c r="AS466" i="25"/>
  <c r="AJ467" i="25"/>
  <c r="AN466" i="25"/>
  <c r="U467" i="25"/>
  <c r="X466" i="25"/>
  <c r="AQ467" i="25" l="1"/>
  <c r="AP467" i="25"/>
  <c r="AS467" i="25"/>
  <c r="AO467" i="25"/>
  <c r="AR467" i="25"/>
  <c r="U468" i="25"/>
  <c r="X467" i="25"/>
  <c r="AJ468" i="25"/>
  <c r="AN467" i="25"/>
  <c r="AS468" i="25" l="1"/>
  <c r="AR468" i="25"/>
  <c r="AP468" i="25"/>
  <c r="AO468" i="25"/>
  <c r="AQ468" i="25"/>
  <c r="AJ469" i="25"/>
  <c r="AN468" i="25"/>
  <c r="X468" i="25"/>
  <c r="U469" i="25"/>
  <c r="AS469" i="25" l="1"/>
  <c r="AP469" i="25"/>
  <c r="AR469" i="25"/>
  <c r="AQ469" i="25"/>
  <c r="AO469" i="25"/>
  <c r="X469" i="25"/>
  <c r="U470" i="25"/>
  <c r="AJ470" i="25"/>
  <c r="AN469" i="25"/>
  <c r="AP470" i="25" l="1"/>
  <c r="AR470" i="25"/>
  <c r="AO470" i="25"/>
  <c r="AS470" i="25"/>
  <c r="AQ470" i="25"/>
  <c r="AJ471" i="25"/>
  <c r="AN470" i="25"/>
  <c r="U471" i="25"/>
  <c r="X470" i="25"/>
  <c r="AS471" i="25" l="1"/>
  <c r="AQ471" i="25"/>
  <c r="AP471" i="25"/>
  <c r="AO471" i="25"/>
  <c r="AR471" i="25"/>
  <c r="U472" i="25"/>
  <c r="X471" i="25"/>
  <c r="AN471" i="25"/>
  <c r="AJ472" i="25"/>
  <c r="AS472" i="25" l="1"/>
  <c r="AP472" i="25"/>
  <c r="AR472" i="25"/>
  <c r="AO472" i="25"/>
  <c r="AQ472" i="25"/>
  <c r="AJ473" i="25"/>
  <c r="AN472" i="25"/>
  <c r="X472" i="25"/>
  <c r="U473" i="25"/>
  <c r="AR473" i="25" l="1"/>
  <c r="AO473" i="25"/>
  <c r="AS473" i="25"/>
  <c r="AP473" i="25"/>
  <c r="AQ473" i="25"/>
  <c r="U474" i="25"/>
  <c r="X473" i="25"/>
  <c r="AJ474" i="25"/>
  <c r="AN473" i="25"/>
  <c r="AR474" i="25" l="1"/>
  <c r="AQ474" i="25"/>
  <c r="AO474" i="25"/>
  <c r="AS474" i="25"/>
  <c r="AP474" i="25"/>
  <c r="AJ475" i="25"/>
  <c r="AN474" i="25"/>
  <c r="U475" i="25"/>
  <c r="X474" i="25"/>
  <c r="AP475" i="25" l="1"/>
  <c r="AS475" i="25"/>
  <c r="AR475" i="25"/>
  <c r="AO475" i="25"/>
  <c r="AQ475" i="25"/>
  <c r="U476" i="25"/>
  <c r="X475" i="25"/>
  <c r="AN475" i="25"/>
  <c r="AJ476" i="25"/>
  <c r="AP476" i="25" l="1"/>
  <c r="AO476" i="25"/>
  <c r="AS476" i="25"/>
  <c r="AQ476" i="25"/>
  <c r="AR476" i="25"/>
  <c r="AJ477" i="25"/>
  <c r="AN476" i="25"/>
  <c r="U477" i="25"/>
  <c r="X476" i="25"/>
  <c r="AQ477" i="25" l="1"/>
  <c r="AR477" i="25"/>
  <c r="AO477" i="25"/>
  <c r="AS477" i="25"/>
  <c r="AP477" i="25"/>
  <c r="U478" i="25"/>
  <c r="X477" i="25"/>
  <c r="AJ478" i="25"/>
  <c r="AN477" i="25"/>
  <c r="AQ478" i="25" l="1"/>
  <c r="AO478" i="25"/>
  <c r="AS478" i="25"/>
  <c r="AR478" i="25"/>
  <c r="AP478" i="25"/>
  <c r="AJ479" i="25"/>
  <c r="AN478" i="25"/>
  <c r="X478" i="25"/>
  <c r="U479" i="25"/>
  <c r="AS479" i="25" l="1"/>
  <c r="AR479" i="25"/>
  <c r="AQ479" i="25"/>
  <c r="AO479" i="25"/>
  <c r="AP479" i="25"/>
  <c r="X479" i="25"/>
  <c r="U480" i="25"/>
  <c r="AJ480" i="25"/>
  <c r="AN479" i="25"/>
  <c r="AP480" i="25" l="1"/>
  <c r="AQ480" i="25"/>
  <c r="AO480" i="25"/>
  <c r="AR480" i="25"/>
  <c r="AS480" i="25"/>
  <c r="AN480" i="25"/>
  <c r="AJ481" i="25"/>
  <c r="U481" i="25"/>
  <c r="X480" i="25"/>
  <c r="AR481" i="25" l="1"/>
  <c r="AS481" i="25"/>
  <c r="AQ481" i="25"/>
  <c r="AP481" i="25"/>
  <c r="AO481" i="25"/>
  <c r="U482" i="25"/>
  <c r="X481" i="25"/>
  <c r="AN481" i="25"/>
  <c r="AJ482" i="25"/>
  <c r="AO482" i="25" l="1"/>
  <c r="AP482" i="25"/>
  <c r="AQ482" i="25"/>
  <c r="AR482" i="25"/>
  <c r="AS482" i="25"/>
  <c r="AJ483" i="25"/>
  <c r="AN482" i="25"/>
  <c r="U483" i="25"/>
  <c r="X482" i="25"/>
  <c r="AR483" i="25" l="1"/>
  <c r="AO483" i="25"/>
  <c r="AS483" i="25"/>
  <c r="AQ483" i="25"/>
  <c r="AP483" i="25"/>
  <c r="U484" i="25"/>
  <c r="X483" i="25"/>
  <c r="AJ484" i="25"/>
  <c r="AN483" i="25"/>
  <c r="AR484" i="25" l="1"/>
  <c r="AQ484" i="25"/>
  <c r="AP484" i="25"/>
  <c r="AS484" i="25"/>
  <c r="AO484" i="25"/>
  <c r="AJ485" i="25"/>
  <c r="AN484" i="25"/>
  <c r="U485" i="25"/>
  <c r="X484" i="25"/>
  <c r="AP485" i="25" l="1"/>
  <c r="AQ485" i="25"/>
  <c r="AR485" i="25"/>
  <c r="AS485" i="25"/>
  <c r="AO485" i="25"/>
  <c r="X485" i="25"/>
  <c r="U486" i="25"/>
  <c r="AJ486" i="25"/>
  <c r="AN485" i="25"/>
  <c r="AP486" i="25" l="1"/>
  <c r="AQ486" i="25"/>
  <c r="AR486" i="25"/>
  <c r="AS486" i="25"/>
  <c r="AO486" i="25"/>
  <c r="AJ487" i="25"/>
  <c r="AN486" i="25"/>
  <c r="U487" i="25"/>
  <c r="X486" i="25"/>
  <c r="AO487" i="25" l="1"/>
  <c r="AQ487" i="25"/>
  <c r="AR487" i="25"/>
  <c r="AP487" i="25"/>
  <c r="AS487" i="25"/>
  <c r="U488" i="25"/>
  <c r="X487" i="25"/>
  <c r="AN487" i="25"/>
  <c r="AJ488" i="25"/>
  <c r="AQ488" i="25" l="1"/>
  <c r="AR488" i="25"/>
  <c r="AO488" i="25"/>
  <c r="AS488" i="25"/>
  <c r="AP488" i="25"/>
  <c r="AJ489" i="25"/>
  <c r="AN488" i="25"/>
  <c r="X488" i="25"/>
  <c r="U489" i="25"/>
  <c r="AQ489" i="25" l="1"/>
  <c r="AR489" i="25"/>
  <c r="AP489" i="25"/>
  <c r="AS489" i="25"/>
  <c r="AO489" i="25"/>
  <c r="U490" i="25"/>
  <c r="X489" i="25"/>
  <c r="AJ490" i="25"/>
  <c r="AN489" i="25"/>
  <c r="AP490" i="25" l="1"/>
  <c r="AS490" i="25"/>
  <c r="AR490" i="25"/>
  <c r="AO490" i="25"/>
  <c r="AQ490" i="25"/>
  <c r="AN490" i="25"/>
  <c r="AJ491" i="25"/>
  <c r="U491" i="25"/>
  <c r="X490" i="25"/>
  <c r="AQ491" i="25" l="1"/>
  <c r="AS491" i="25"/>
  <c r="AP491" i="25"/>
  <c r="AR491" i="25"/>
  <c r="AO491" i="25"/>
  <c r="X491" i="25"/>
  <c r="U492" i="25"/>
  <c r="AN491" i="25"/>
  <c r="AJ492" i="25"/>
  <c r="AS492" i="25" l="1"/>
  <c r="AR492" i="25"/>
  <c r="AP492" i="25"/>
  <c r="AO492" i="25"/>
  <c r="AQ492" i="25"/>
  <c r="AJ493" i="25"/>
  <c r="AN492" i="25"/>
  <c r="U493" i="25"/>
  <c r="X492" i="25"/>
  <c r="AP493" i="25" l="1"/>
  <c r="AS493" i="25"/>
  <c r="AQ493" i="25"/>
  <c r="AR493" i="25"/>
  <c r="AO493" i="25"/>
  <c r="U494" i="25"/>
  <c r="X493" i="25"/>
  <c r="AJ494" i="25"/>
  <c r="AN493" i="25"/>
  <c r="AS494" i="25" l="1"/>
  <c r="AP494" i="25"/>
  <c r="AO494" i="25"/>
  <c r="AQ494" i="25"/>
  <c r="AR494" i="25"/>
  <c r="AJ495" i="25"/>
  <c r="AN494" i="25"/>
  <c r="X494" i="25"/>
  <c r="U495" i="25"/>
  <c r="AP495" i="25" l="1"/>
  <c r="AO495" i="25"/>
  <c r="AQ495" i="25"/>
  <c r="AR495" i="25"/>
  <c r="AS495" i="25"/>
  <c r="X495" i="25"/>
  <c r="U496" i="25"/>
  <c r="AJ496" i="25"/>
  <c r="AN495" i="25"/>
  <c r="AS496" i="25" l="1"/>
  <c r="AQ496" i="25"/>
  <c r="AR496" i="25"/>
  <c r="AO496" i="25"/>
  <c r="AP496" i="25"/>
  <c r="AJ497" i="25"/>
  <c r="AN496" i="25"/>
  <c r="U497" i="25"/>
  <c r="X496" i="25"/>
  <c r="AP497" i="25" l="1"/>
  <c r="AS497" i="25"/>
  <c r="AR497" i="25"/>
  <c r="AO497" i="25"/>
  <c r="AQ497" i="25"/>
  <c r="U498" i="25"/>
  <c r="X497" i="25"/>
  <c r="AN497" i="25"/>
  <c r="AJ498" i="25"/>
  <c r="AQ498" i="25" l="1"/>
  <c r="AS498" i="25"/>
  <c r="AP498" i="25"/>
  <c r="AR498" i="25"/>
  <c r="AO498" i="25"/>
  <c r="AJ499" i="25"/>
  <c r="AN498" i="25"/>
  <c r="U499" i="25"/>
  <c r="X498" i="25"/>
  <c r="AR499" i="25" l="1"/>
  <c r="AS499" i="25"/>
  <c r="AQ499" i="25"/>
  <c r="AP499" i="25"/>
  <c r="AO499" i="25"/>
  <c r="U500" i="25"/>
  <c r="X499" i="25"/>
  <c r="AJ500" i="25"/>
  <c r="AN499" i="25"/>
  <c r="AQ500" i="25" l="1"/>
  <c r="AR500" i="25"/>
  <c r="AS500" i="25"/>
  <c r="AO500" i="25"/>
  <c r="AP500" i="25"/>
  <c r="AJ501" i="25"/>
  <c r="AN500" i="25"/>
  <c r="U501" i="25"/>
  <c r="X500" i="25"/>
  <c r="AS501" i="25" l="1"/>
  <c r="AO501" i="25"/>
  <c r="AP501" i="25"/>
  <c r="AR501" i="25"/>
  <c r="AQ501" i="25"/>
  <c r="X501" i="25"/>
  <c r="U502" i="25"/>
  <c r="AJ502" i="25"/>
  <c r="AN501" i="25"/>
  <c r="AP502" i="25" l="1"/>
  <c r="AO502" i="25"/>
  <c r="AR502" i="25"/>
  <c r="AQ502" i="25"/>
  <c r="AS502" i="25"/>
  <c r="AJ503" i="25"/>
  <c r="AN502" i="25"/>
  <c r="U503" i="25"/>
  <c r="X502" i="25"/>
  <c r="AS503" i="25" l="1"/>
  <c r="AO503" i="25"/>
  <c r="AP503" i="25"/>
  <c r="AR503" i="25"/>
  <c r="AQ503" i="25"/>
  <c r="U504" i="25"/>
  <c r="X503" i="25"/>
  <c r="AN503" i="25"/>
  <c r="AJ504" i="25"/>
  <c r="AR504" i="25" l="1"/>
  <c r="AP504" i="25"/>
  <c r="AS504" i="25"/>
  <c r="AQ504" i="25"/>
  <c r="AO504" i="25"/>
  <c r="AJ505" i="25"/>
  <c r="AN504" i="25"/>
  <c r="X504" i="25"/>
  <c r="U505" i="25"/>
  <c r="AS505" i="25" l="1"/>
  <c r="AO505" i="25"/>
  <c r="AQ505" i="25"/>
  <c r="AR505" i="25"/>
  <c r="AP505" i="25"/>
  <c r="U506" i="25"/>
  <c r="X505" i="25"/>
  <c r="AJ506" i="25"/>
  <c r="AN505" i="25"/>
  <c r="AS506" i="25" l="1"/>
  <c r="AR506" i="25"/>
  <c r="AP506" i="25"/>
  <c r="AQ506" i="25"/>
  <c r="AO506" i="25"/>
  <c r="AN506" i="25"/>
  <c r="AJ507" i="25"/>
  <c r="U507" i="25"/>
  <c r="X506" i="25"/>
  <c r="AS507" i="25" l="1"/>
  <c r="AQ507" i="25"/>
  <c r="AP507" i="25"/>
  <c r="AR507" i="25"/>
  <c r="AO507" i="25"/>
  <c r="X507" i="25"/>
  <c r="U508" i="25"/>
  <c r="AN507" i="25"/>
  <c r="AJ508" i="25"/>
  <c r="AS508" i="25" l="1"/>
  <c r="AP508" i="25"/>
  <c r="AO508" i="25"/>
  <c r="AR508" i="25"/>
  <c r="AQ508" i="25"/>
  <c r="AJ509" i="25"/>
  <c r="AN508" i="25"/>
  <c r="U509" i="25"/>
  <c r="X508" i="25"/>
  <c r="AP509" i="25" l="1"/>
  <c r="AS509" i="25"/>
  <c r="AQ509" i="25"/>
  <c r="AR509" i="25"/>
  <c r="AO509" i="25"/>
  <c r="U510" i="25"/>
  <c r="X509" i="25"/>
  <c r="AJ510" i="25"/>
  <c r="AN509" i="25"/>
  <c r="AR510" i="25" l="1"/>
  <c r="AO510" i="25"/>
  <c r="AS510" i="25"/>
  <c r="AQ510" i="25"/>
  <c r="AP510" i="25"/>
  <c r="AJ511" i="25"/>
  <c r="AN510" i="25"/>
  <c r="X510" i="25"/>
  <c r="U511" i="25"/>
  <c r="AP511" i="25" l="1"/>
  <c r="AQ511" i="25"/>
  <c r="AO511" i="25"/>
  <c r="AS511" i="25"/>
  <c r="AR511" i="25"/>
  <c r="AJ512" i="25"/>
  <c r="AN511" i="25"/>
  <c r="X511" i="25"/>
  <c r="U512" i="25"/>
  <c r="AQ512" i="25" l="1"/>
  <c r="AP512" i="25"/>
  <c r="AO512" i="25"/>
  <c r="AR512" i="25"/>
  <c r="AS512" i="25"/>
  <c r="U513" i="25"/>
  <c r="X512" i="25"/>
  <c r="AJ513" i="25"/>
  <c r="AN512" i="25"/>
  <c r="AP513" i="25" l="1"/>
  <c r="AQ513" i="25"/>
  <c r="AS513" i="25"/>
  <c r="AR513" i="25"/>
  <c r="AO513" i="25"/>
  <c r="AN513" i="25"/>
  <c r="AJ514" i="25"/>
  <c r="U514" i="25"/>
  <c r="X513" i="25"/>
  <c r="AS514" i="25" l="1"/>
  <c r="AR514" i="25"/>
  <c r="AO514" i="25"/>
  <c r="AQ514" i="25"/>
  <c r="AP514" i="25"/>
  <c r="U515" i="25"/>
  <c r="X515" i="25" s="1"/>
  <c r="X514" i="25"/>
  <c r="AJ515" i="25"/>
  <c r="AN514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<sst xmlns="http://schemas.openxmlformats.org/spreadsheetml/2006/main" count="868" uniqueCount="63">
  <si>
    <t>Bancos / Merval</t>
  </si>
  <si>
    <t>Merval</t>
  </si>
  <si>
    <t>Indice</t>
  </si>
  <si>
    <t>MERVAL Index</t>
  </si>
  <si>
    <t>Dates</t>
  </si>
  <si>
    <t>End Date</t>
  </si>
  <si>
    <t>Start Date</t>
  </si>
  <si>
    <t>CEPU AR Equity</t>
  </si>
  <si>
    <t>TRAN AR Equity</t>
  </si>
  <si>
    <t>METR AR Equity</t>
  </si>
  <si>
    <t>EDN AR Equity</t>
  </si>
  <si>
    <t>TGNO4 AR EQUITY</t>
  </si>
  <si>
    <t>TGSU2 AR EQUITY</t>
  </si>
  <si>
    <t>TGNO4 AR Equity</t>
  </si>
  <si>
    <t>CURRENT_EV_TO_T12M_EBITDA</t>
  </si>
  <si>
    <t>RETURN_ON_INV_CAPITAL</t>
  </si>
  <si>
    <t>ROC_WACC_RATIO</t>
  </si>
  <si>
    <t>TOT_DEBT_TO_TOT_CAP</t>
  </si>
  <si>
    <t>NET_DEBT_TO_EBITDA</t>
  </si>
  <si>
    <t>TOTAL_PAYOUT_RATIO</t>
  </si>
  <si>
    <t>TRAIL_12M_OPER_MARGIN</t>
  </si>
  <si>
    <t>EBITDA_MARGIN</t>
  </si>
  <si>
    <t>PX_LAST</t>
  </si>
  <si>
    <t>#N/A N/A</t>
  </si>
  <si>
    <t>TGSU2 AR Equity</t>
  </si>
  <si>
    <t>ROIC</t>
  </si>
  <si>
    <t>METR AR EQUITY</t>
  </si>
  <si>
    <t>WACC</t>
  </si>
  <si>
    <t>TRAN AR EQUITY</t>
  </si>
  <si>
    <t>EDN AR EQUITY</t>
  </si>
  <si>
    <t>CEPU AR EQUITY</t>
  </si>
  <si>
    <t>Retornos</t>
  </si>
  <si>
    <t>Ret EW</t>
  </si>
  <si>
    <t>Indice EW</t>
  </si>
  <si>
    <t>Mkt Cap</t>
  </si>
  <si>
    <t>Ret MktCap W</t>
  </si>
  <si>
    <t>Indice MktCap W</t>
  </si>
  <si>
    <t>Fecha</t>
  </si>
  <si>
    <t>Ratio</t>
  </si>
  <si>
    <t>Q10</t>
  </si>
  <si>
    <t>Q25</t>
  </si>
  <si>
    <t>Q50</t>
  </si>
  <si>
    <t>Q75</t>
  </si>
  <si>
    <t>Q90</t>
  </si>
  <si>
    <t>Precios</t>
  </si>
  <si>
    <t>PE_RATIO</t>
  </si>
  <si>
    <t>PX_TO_BOOK_RATIO</t>
  </si>
  <si>
    <t>EV_TO_T12M_EBITDA</t>
  </si>
  <si>
    <t>CURRENT_EV_TO_12M_SALES</t>
  </si>
  <si>
    <t>EV_TO_INVESTED_CAPITAL</t>
  </si>
  <si>
    <t>YPFD AR EQUITY</t>
  </si>
  <si>
    <t>PAMP AR EQUITY</t>
  </si>
  <si>
    <t>min</t>
  </si>
  <si>
    <t>max</t>
  </si>
  <si>
    <t>PE Ratio</t>
  </si>
  <si>
    <t>Price to Book</t>
  </si>
  <si>
    <t>Net Debt to Ebitda</t>
  </si>
  <si>
    <t>EV to Ebitda 12TM</t>
  </si>
  <si>
    <t>EV to Sales 12TM</t>
  </si>
  <si>
    <t>EV to Invested Capital</t>
  </si>
  <si>
    <t>EV/EBITDA Sectorial</t>
  </si>
  <si>
    <t>CUR_MKT_CAP</t>
  </si>
  <si>
    <t>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</si>
</sst>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(* #,##0.0000_);_(* \(#,##0.0000\);_(* &quot;-&quot;??_);_(@_)"/>
    <numFmt numFmtId="167" formatCode="_(* #,##0.0000_);_(* \(#,##0.0000\);_(* &quot;-&quot;????_);_(@_)"/>
    <numFmt numFmtId="168" formatCode="_-* #,##0.0000_-;\-* #,##0.0000_-;_-* &quot;-&quot;??_-;_-@_-"/>
    <numFmt numFmtId="169" formatCode="d/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8C2A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4" fillId="2" borderId="0">
      <alignment horizontal="center"/>
    </xf>
    <xf numFmtId="0" fontId="5" fillId="0" borderId="0">
      <alignment vertical="top" wrapText="1"/>
    </xf>
  </cellStyleXfs>
  <cellXfs count="4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4" fontId="0" fillId="0" borderId="3" xfId="0" applyNumberFormat="1" applyBorder="1"/>
    <xf numFmtId="10" fontId="0" fillId="0" borderId="0" xfId="2" applyNumberFormat="1" applyFont="1"/>
    <xf numFmtId="0" fontId="0" fillId="3" borderId="3" xfId="0" applyFill="1" applyBorder="1"/>
    <xf numFmtId="14" fontId="0" fillId="3" borderId="5" xfId="0" applyNumberFormat="1" applyFill="1" applyBorder="1"/>
    <xf numFmtId="0" fontId="0" fillId="3" borderId="8" xfId="0" applyFill="1" applyBorder="1"/>
    <xf numFmtId="0" fontId="0" fillId="3" borderId="9" xfId="0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0" borderId="0" xfId="0" applyAlignment="1">
      <alignment horizontal="center"/>
    </xf>
    <xf numFmtId="0" fontId="2" fillId="4" borderId="0" xfId="0" applyFont="1" applyFill="1"/>
    <xf numFmtId="0" fontId="2" fillId="3" borderId="0" xfId="0" applyFont="1" applyFill="1"/>
    <xf numFmtId="0" fontId="2" fillId="0" borderId="6" xfId="0" applyFont="1" applyBorder="1"/>
    <xf numFmtId="0" fontId="2" fillId="0" borderId="7" xfId="0" applyFont="1" applyBorder="1"/>
    <xf numFmtId="0" fontId="0" fillId="0" borderId="2" xfId="0" applyBorder="1"/>
    <xf numFmtId="0" fontId="2" fillId="0" borderId="2" xfId="0" applyFont="1" applyBorder="1"/>
    <xf numFmtId="14" fontId="0" fillId="0" borderId="6" xfId="0" applyNumberFormat="1" applyBorder="1"/>
    <xf numFmtId="9" fontId="0" fillId="0" borderId="6" xfId="2" applyFont="1" applyBorder="1"/>
    <xf numFmtId="9" fontId="0" fillId="0" borderId="0" xfId="2" applyFont="1" applyBorder="1"/>
    <xf numFmtId="164" fontId="0" fillId="0" borderId="7" xfId="2" applyNumberFormat="1" applyFont="1" applyBorder="1"/>
    <xf numFmtId="164" fontId="0" fillId="0" borderId="2" xfId="2" applyNumberFormat="1" applyFont="1" applyBorder="1"/>
    <xf numFmtId="165" fontId="0" fillId="0" borderId="0" xfId="1" applyNumberFormat="1" applyFont="1" applyBorder="1"/>
    <xf numFmtId="10" fontId="0" fillId="0" borderId="2" xfId="2" applyNumberFormat="1" applyFont="1" applyFill="1" applyBorder="1"/>
    <xf numFmtId="0" fontId="2" fillId="3" borderId="1" xfId="0" applyFont="1" applyFill="1" applyBorder="1"/>
    <xf numFmtId="166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165" fontId="0" fillId="0" borderId="7" xfId="1" applyNumberFormat="1" applyFont="1" applyBorder="1"/>
    <xf numFmtId="43" fontId="0" fillId="0" borderId="0" xfId="0" applyNumberFormat="1"/>
    <xf numFmtId="168" fontId="0" fillId="0" borderId="0" xfId="1" applyNumberFormat="1" applyFont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9" fontId="0" fillId="0" borderId="0" xfId="0" applyNumberFormat="1"/>
  </cellXfs>
  <cellStyles count="7">
    <cellStyle name="Comma" xfId="1" builtinId="3"/>
    <cellStyle name="defaultsheetstyle" xfId="4" xr:uid="{50475C19-6468-4E3B-A7E2-8DD878F8F5ED}"/>
    <cellStyle name="disclaimer" xfId="6" xr:uid="{F32471C7-FD80-47A5-A1B0-0DE5418CB3CF}"/>
    <cellStyle name="Normal" xfId="0" builtinId="0"/>
    <cellStyle name="Percent" xfId="2" builtinId="5"/>
    <cellStyle name="plainText" xfId="3" xr:uid="{6A267E03-0445-4D5A-9D92-727B35711E26}"/>
    <cellStyle name="tablesubHeader" xfId="5" xr:uid="{B16C45C1-9913-45BD-A21D-9A4093601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Data...4256380081</v>
        <stp/>
        <stp>BDP|18130121732916628627</stp>
        <tr r="C3" s="27"/>
      </tp>
      <tp t="s">
        <v>#N/A Requesting Data...4292464744</v>
        <stp/>
        <stp>BDP|12906453629116487938</stp>
        <tr r="G4" s="27"/>
      </tp>
      <tp t="s">
        <v>#N/A Requesting Data...4286828763</v>
        <stp/>
        <stp>BDP|17581552286528782965</stp>
        <tr r="B8" s="24"/>
      </tp>
      <tp t="s">
        <v>#N/A Requesting Data...4291093812</v>
        <stp/>
        <stp>BDP|14370630988313140144</stp>
        <tr r="C7" s="24"/>
      </tp>
      <tp t="s">
        <v>#N/A Requesting Data...4291979723</v>
        <stp/>
        <stp>BDP|13644470213439671699</stp>
        <tr r="D8" s="27"/>
      </tp>
      <tp t="s">
        <v>#N/A Requesting Data...4294055002</v>
        <stp/>
        <stp>BDP|18383076068875796506</stp>
        <tr r="C8" s="24"/>
      </tp>
    </main>
    <main first="bofaddin.rtdserver">
      <tp t="e">
        <v>#N/A</v>
        <stp/>
        <stp>BDH|15702507260089576075</stp>
        <tr r="AK6" s="17"/>
      </tp>
      <tp t="s">
        <v>#N/A Requesting Data...2639203119</v>
        <stp/>
        <stp>BDP|15411938425823789090</stp>
        <tr r="G6" s="27"/>
      </tp>
      <tp t="s">
        <v>#N/A Requesting Data...3251573541</v>
        <stp/>
        <stp>BDP|16207403267489419018</stp>
        <tr r="G3" s="27"/>
      </tp>
      <tp t="e">
        <v>#N/A</v>
        <stp/>
        <stp>BDH|11637831252397865683</stp>
        <tr r="BH6" s="17"/>
      </tp>
      <tp t="s">
        <v>#N/A Requesting Data...1087055820</v>
        <stp/>
        <stp>BDP|17564190312803145647</stp>
        <tr r="G5" s="27"/>
      </tp>
      <tp t="s">
        <v>#N/A Requesting Data...4180015404</v>
        <stp/>
        <stp>BDP|14290359310395985133</stp>
        <tr r="H4" s="27"/>
      </tp>
      <tp t="s">
        <v>#N/A Requesting Data...2165512933</v>
        <stp/>
        <stp>BDP|17758479718956084665</stp>
        <tr r="D7" s="27"/>
      </tp>
      <tp t="s">
        <v>#N/A Requesting Data...3518284149</v>
        <stp/>
        <stp>BDP|16994132944341701084</stp>
        <tr r="G9" s="27"/>
      </tp>
      <tp t="s">
        <v>#N/A Requesting Data...2040073324</v>
        <stp/>
        <stp>BDP|15859148640877626405</stp>
        <tr r="H3" s="27"/>
      </tp>
      <tp t="e">
        <v>#N/A</v>
        <stp/>
        <stp>BDH|15262866133625310883</stp>
        <tr r="D6" s="25"/>
      </tp>
      <tp t="s">
        <v>#N/A Requesting Data...1721752065</v>
        <stp/>
        <stp>BDP|14283656027989475965</stp>
        <tr r="B4" s="24"/>
      </tp>
      <tp t="e">
        <v>#N/A</v>
        <stp/>
        <stp>BDH|14401587735304437618</stp>
        <tr r="I6" s="25"/>
      </tp>
      <tp t="s">
        <v>#N/A Requesting Data...3553397291</v>
        <stp/>
        <stp>BDP|17056464050510394790</stp>
        <tr r="D9" s="27"/>
      </tp>
      <tp t="e">
        <v>#N/A</v>
        <stp/>
        <stp>BDH|13219010258742540591</stp>
        <tr r="AD6" s="25"/>
      </tp>
      <tp t="e">
        <v>#N/A</v>
        <stp/>
        <stp>BDH|14801754163217635358</stp>
        <tr r="M6" s="17"/>
      </tp>
      <tp t="s">
        <v>#N/A Requesting Data...1432680329</v>
        <stp/>
        <stp>BDP|18335144792035150361</stp>
        <tr r="E9" s="27"/>
      </tp>
      <tp t="s">
        <v>#N/A Requesting Data...1982440468</v>
        <stp/>
        <stp>BDP|16810606116150418602</stp>
        <tr r="F6" s="27"/>
      </tp>
      <tp t="s">
        <v>#N/A Requesting Data...1836077145</v>
        <stp/>
        <stp>BDP|11007615142357811388</stp>
        <tr r="F4" s="27"/>
      </tp>
      <tp t="s">
        <v>#N/A Requesting Data...2057762800</v>
        <stp/>
        <stp>BDP|16404321204482185016</stp>
        <tr r="D4" s="27"/>
      </tp>
      <tp t="e">
        <v>#N/A</v>
        <stp/>
        <stp>BDH|15599878840016274815</stp>
        <tr r="Z6" s="25"/>
      </tp>
      <tp t="e">
        <v>#N/A</v>
        <stp/>
        <stp>BDH|16877254266887926255</stp>
        <tr r="B6" s="25"/>
      </tp>
      <tp t="s">
        <v>#N/A Requesting Data...2890457865</v>
        <stp/>
        <stp>BDP|14885459251594464513</stp>
        <tr r="E8" s="27"/>
      </tp>
      <tp t="s">
        <v>#N/A Requesting Data...3042390620</v>
        <stp/>
        <stp>BDP|11806379011027054014</stp>
        <tr r="F8" s="27"/>
      </tp>
      <tp t="s">
        <v>#N/A Requesting Data...1348743398</v>
        <stp/>
        <stp>BDP|16230629306224258054</stp>
        <tr r="E5" s="27"/>
      </tp>
      <tp t="s">
        <v>#N/A Requesting Data...3252025772</v>
        <stp/>
        <stp>BDP|12398184405216712188</stp>
        <tr r="C5" s="24"/>
      </tp>
      <tp t="e">
        <v>#N/A</v>
        <stp/>
        <stp>BDH|11583471930074317652</stp>
        <tr r="E6" s="25"/>
      </tp>
      <tp t="s">
        <v>#N/A Requesting Data...1892154415</v>
        <stp/>
        <stp>BDP|13295163985827974857</stp>
        <tr r="E3" s="27"/>
      </tp>
      <tp t="s">
        <v>#N/A Requesting Data...1161996163</v>
        <stp/>
        <stp>BDP|10980765522451177119</stp>
        <tr r="G7" s="27"/>
      </tp>
      <tp t="s">
        <v>#N/A Requesting Data...455791605</v>
        <stp/>
        <stp>BDP|15808651474687386654</stp>
        <tr r="C8" s="27"/>
      </tp>
      <tp t="e">
        <v>#N/A</v>
        <stp/>
        <stp>BDH|17252355177594311209</stp>
        <tr r="AF6" s="25"/>
        <tr r="H6" s="25"/>
      </tp>
      <tp t="e">
        <v>#N/A</v>
        <stp/>
        <stp>BDH|17059338468314414399</stp>
        <tr r="AB6" s="25"/>
      </tp>
    </main>
    <main first="bofaddin.rtdserver">
      <tp t="s">
        <v>#N/A Requesting Data...2357177212</v>
        <stp/>
        <stp>BDP|2091835505901053768</stp>
        <tr r="H6" s="27"/>
      </tp>
      <tp t="s">
        <v>#N/A Requesting Data...2010914115</v>
        <stp/>
        <stp>BDP|1785567365227695863</stp>
        <tr r="C6" s="27"/>
      </tp>
      <tp t="e">
        <v>#N/A</v>
        <stp/>
        <stp>BDH|9236905185864090124</stp>
        <tr r="AC6" s="25"/>
      </tp>
      <tp t="s">
        <v>#N/A Requesting Data...2401128659</v>
        <stp/>
        <stp>BDP|3406946174972699198</stp>
        <tr r="H7" s="27"/>
      </tp>
      <tp t="s">
        <v>#N/A Requesting Data...3408171309</v>
        <stp/>
        <stp>BDP|1238239781421578491</stp>
        <tr r="D5" s="27"/>
      </tp>
      <tp t="s">
        <v>#N/A Requesting Data...2755568776</v>
        <stp/>
        <stp>BDP|1848744370086288861</stp>
        <tr r="H5" s="27"/>
      </tp>
      <tp t="e">
        <v>#N/A</v>
        <stp/>
        <stp>BDH|6905628584857648705</stp>
        <tr r="A6" s="17"/>
      </tp>
      <tp t="s">
        <v>#N/A Requesting Data...3107535942</v>
        <stp/>
        <stp>BDP|6466302278902214941</stp>
        <tr r="F9" s="27"/>
      </tp>
      <tp t="s">
        <v>#N/A Requesting Data...2916661114</v>
        <stp/>
        <stp>BDP|6469603324058041390</stp>
        <tr r="B6" s="24"/>
      </tp>
      <tp t="s">
        <v>#N/A Requesting Data...407666950</v>
        <stp/>
        <stp>BDP|4343537110809198029</stp>
        <tr r="C4" s="27"/>
      </tp>
      <tp t="s">
        <v>#N/A Requesting Data...845043048</v>
        <stp/>
        <stp>BDP|2226875546485420265</stp>
        <tr r="C9" s="27"/>
      </tp>
      <tp t="s">
        <v>#N/A Requesting Data...2236526547</v>
        <stp/>
        <stp>BDP|5138550962114000853</stp>
        <tr r="F5" s="27"/>
      </tp>
      <tp t="e">
        <v>#N/A</v>
        <stp/>
        <stp>BDH|8929234821515414660</stp>
        <tr r="AE6" s="25"/>
      </tp>
      <tp t="s">
        <v>#N/A Requesting Data...1646656872</v>
        <stp/>
        <stp>BDP|9654575764494032541</stp>
        <tr r="E6" s="27"/>
      </tp>
      <tp t="s">
        <v>#N/A Requesting Data...2177941267</v>
        <stp/>
        <stp>BDP|7332362457893167960</stp>
        <tr r="F7" s="27"/>
      </tp>
      <tp t="s">
        <v>#N/A Requesting Data...602150618</v>
        <stp/>
        <stp>BDP|6413979758948519606</stp>
        <tr r="E4" s="27"/>
      </tp>
      <tp t="s">
        <v>#N/A Requesting Data...260827004</v>
        <stp/>
        <stp>BDP|7490217511883282358</stp>
        <tr r="E7" s="27"/>
      </tp>
      <tp t="s">
        <v>#N/A Requesting Data...783070676</v>
        <stp/>
        <stp>BDP|7681436702175160208</stp>
        <tr r="F3" s="27"/>
      </tp>
      <tp t="s">
        <v>#N/A Requesting Data...3300676221</v>
        <stp/>
        <stp>BDP|4097018966781745742</stp>
        <tr r="B5" s="24"/>
      </tp>
      <tp t="s">
        <v>#N/A Requesting Data...720438231</v>
        <stp/>
        <stp>BDP|2149583824654905466</stp>
        <tr r="C4" s="24"/>
      </tp>
      <tp t="s">
        <v>#N/A Requesting Data...178948856</v>
        <stp/>
        <stp>BDP|4019026355093454736</stp>
        <tr r="H9" s="27"/>
      </tp>
      <tp t="e">
        <v>#N/A</v>
        <stp/>
        <stp>BDH|7848124598452681858</stp>
        <tr r="G6" s="25"/>
      </tp>
      <tp t="s">
        <v>#N/A Requesting Data...3512399104</v>
        <stp/>
        <stp>BDP|7376458365415660525</stp>
        <tr r="H8" s="27"/>
      </tp>
      <tp t="s">
        <v>#N/A Requesting Data...2368253805</v>
        <stp/>
        <stp>BDP|8644385259270348899</stp>
        <tr r="D6" s="27"/>
      </tp>
      <tp t="s">
        <v>#N/A Requesting Data...2988200043</v>
        <stp/>
        <stp>BDP|2829696290349173257</stp>
        <tr r="D3" s="27"/>
      </tp>
      <tp t="s">
        <v>#N/A Requesting Data...4135406690</v>
        <stp/>
        <stp>BDP|2139194243791828138</stp>
        <tr r="G8" s="27"/>
      </tp>
      <tp t="s">
        <v>#N/A Requesting Data...4041749247</v>
        <stp/>
        <stp>BDP|1107441225825668251</stp>
        <tr r="C6" s="24"/>
      </tp>
      <tp t="s">
        <v>#N/A Requesting Data...4135920706</v>
        <stp/>
        <stp>BDP|4755149742520709166</stp>
        <tr r="B3" s="24"/>
      </tp>
      <tp t="s">
        <v>#N/A Requesting Data...1221572308</v>
        <stp/>
        <stp>BDP|5705148845058333916</stp>
        <tr r="C5" s="27"/>
      </tp>
      <tp t="s">
        <v>#N/A Requesting Data...1203815076</v>
        <stp/>
        <stp>BDP|3295179203391961171</stp>
        <tr r="C7" s="27"/>
      </tp>
      <tp t="e">
        <v>#N/A</v>
        <stp/>
        <stp>BDH|5316053979121468022</stp>
        <tr r="AV6" s="17"/>
      </tp>
      <tp t="s">
        <v>#N/A Requesting Data...2636456388</v>
        <stp/>
        <stp>BDP|4984035842915003641</stp>
        <tr r="B7" s="24"/>
      </tp>
    </main>
    <main first="bofaddin.rtdserver">
      <tp t="e">
        <v>#N/A</v>
        <stp/>
        <stp>BDH|624964849244594927</stp>
        <tr r="F6" s="25"/>
      </tp>
    </main>
    <main first="bofaddin.rtdserver">
      <tp t="s">
        <v>#N/A Requesting Data...2104620670</v>
        <stp/>
        <stp>BDP|217906471611415754</stp>
        <tr r="C3" s="24"/>
      </tp>
      <tp t="e">
        <v>#N/A</v>
        <stp/>
        <stp>BDH|365238692629763815</stp>
        <tr r="Y6" s="1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chartsheet" Target="chartsheets/sheet4.xml"/><Relationship Id="rId12" Type="http://schemas.openxmlformats.org/officeDocument/2006/relationships/chartsheet" Target="chartsheets/sheet8.xml"/><Relationship Id="rId17" Type="http://schemas.openxmlformats.org/officeDocument/2006/relationships/sheetMetadata" Target="metadata.xml"/><Relationship Id="rId2" Type="http://schemas.openxmlformats.org/officeDocument/2006/relationships/chartsheet" Target="chartsheets/sheet2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7.xml"/><Relationship Id="rId5" Type="http://schemas.openxmlformats.org/officeDocument/2006/relationships/worksheet" Target="worksheets/sheet3.xml"/><Relationship Id="rId15" Type="http://schemas.openxmlformats.org/officeDocument/2006/relationships/styles" Target="styles.xml"/><Relationship Id="rId10" Type="http://schemas.openxmlformats.org/officeDocument/2006/relationships/worksheet" Target="worksheets/sheet4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'Indice Utilities'!$AN$5</c:f>
              <c:strCache>
                <c:ptCount val="1"/>
                <c:pt idx="0">
                  <c:v>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'Indice Utilities'!$AM$58:$AM$4000</c:f>
              <c:numCache>
                <c:formatCode>m/d/yyyy</c:formatCode>
                <c:ptCount val="3943"/>
                <c:pt idx="0">
                  <c:v>43105</c:v>
                </c:pt>
                <c:pt idx="1">
                  <c:v>43112</c:v>
                </c:pt>
                <c:pt idx="2">
                  <c:v>43119</c:v>
                </c:pt>
                <c:pt idx="3">
                  <c:v>43126</c:v>
                </c:pt>
                <c:pt idx="4">
                  <c:v>43133</c:v>
                </c:pt>
                <c:pt idx="5">
                  <c:v>43140</c:v>
                </c:pt>
                <c:pt idx="6">
                  <c:v>43147</c:v>
                </c:pt>
                <c:pt idx="7">
                  <c:v>43154</c:v>
                </c:pt>
                <c:pt idx="8">
                  <c:v>43161</c:v>
                </c:pt>
                <c:pt idx="9">
                  <c:v>43168</c:v>
                </c:pt>
                <c:pt idx="10">
                  <c:v>43175</c:v>
                </c:pt>
                <c:pt idx="11">
                  <c:v>43182</c:v>
                </c:pt>
                <c:pt idx="12">
                  <c:v>43189</c:v>
                </c:pt>
                <c:pt idx="13">
                  <c:v>43196</c:v>
                </c:pt>
                <c:pt idx="14">
                  <c:v>43203</c:v>
                </c:pt>
                <c:pt idx="15">
                  <c:v>43210</c:v>
                </c:pt>
                <c:pt idx="16">
                  <c:v>43217</c:v>
                </c:pt>
                <c:pt idx="17">
                  <c:v>43224</c:v>
                </c:pt>
                <c:pt idx="18">
                  <c:v>43231</c:v>
                </c:pt>
                <c:pt idx="19">
                  <c:v>43238</c:v>
                </c:pt>
                <c:pt idx="20">
                  <c:v>43245</c:v>
                </c:pt>
                <c:pt idx="21">
                  <c:v>43252</c:v>
                </c:pt>
                <c:pt idx="22">
                  <c:v>43259</c:v>
                </c:pt>
                <c:pt idx="23">
                  <c:v>43266</c:v>
                </c:pt>
                <c:pt idx="24">
                  <c:v>43273</c:v>
                </c:pt>
                <c:pt idx="25">
                  <c:v>43280</c:v>
                </c:pt>
                <c:pt idx="26">
                  <c:v>43287</c:v>
                </c:pt>
                <c:pt idx="27">
                  <c:v>43294</c:v>
                </c:pt>
                <c:pt idx="28">
                  <c:v>43301</c:v>
                </c:pt>
                <c:pt idx="29">
                  <c:v>43308</c:v>
                </c:pt>
                <c:pt idx="30">
                  <c:v>43315</c:v>
                </c:pt>
                <c:pt idx="31">
                  <c:v>43322</c:v>
                </c:pt>
                <c:pt idx="32">
                  <c:v>43329</c:v>
                </c:pt>
                <c:pt idx="33">
                  <c:v>43336</c:v>
                </c:pt>
                <c:pt idx="34">
                  <c:v>43343</c:v>
                </c:pt>
                <c:pt idx="35">
                  <c:v>43350</c:v>
                </c:pt>
                <c:pt idx="36">
                  <c:v>43357</c:v>
                </c:pt>
                <c:pt idx="37">
                  <c:v>43364</c:v>
                </c:pt>
                <c:pt idx="38">
                  <c:v>43371</c:v>
                </c:pt>
                <c:pt idx="39">
                  <c:v>43378</c:v>
                </c:pt>
                <c:pt idx="40">
                  <c:v>43385</c:v>
                </c:pt>
                <c:pt idx="41">
                  <c:v>43392</c:v>
                </c:pt>
                <c:pt idx="42">
                  <c:v>43399</c:v>
                </c:pt>
                <c:pt idx="43">
                  <c:v>43406</c:v>
                </c:pt>
                <c:pt idx="44">
                  <c:v>43413</c:v>
                </c:pt>
                <c:pt idx="45">
                  <c:v>43420</c:v>
                </c:pt>
                <c:pt idx="46">
                  <c:v>43427</c:v>
                </c:pt>
                <c:pt idx="47">
                  <c:v>43434</c:v>
                </c:pt>
                <c:pt idx="48">
                  <c:v>43441</c:v>
                </c:pt>
                <c:pt idx="49">
                  <c:v>43448</c:v>
                </c:pt>
                <c:pt idx="50">
                  <c:v>43455</c:v>
                </c:pt>
                <c:pt idx="51">
                  <c:v>43462</c:v>
                </c:pt>
                <c:pt idx="52">
                  <c:v>43469</c:v>
                </c:pt>
                <c:pt idx="53">
                  <c:v>43476</c:v>
                </c:pt>
                <c:pt idx="54">
                  <c:v>43483</c:v>
                </c:pt>
                <c:pt idx="55">
                  <c:v>43490</c:v>
                </c:pt>
                <c:pt idx="56">
                  <c:v>43497</c:v>
                </c:pt>
                <c:pt idx="57">
                  <c:v>43504</c:v>
                </c:pt>
                <c:pt idx="58">
                  <c:v>43511</c:v>
                </c:pt>
                <c:pt idx="59">
                  <c:v>43518</c:v>
                </c:pt>
                <c:pt idx="60">
                  <c:v>43525</c:v>
                </c:pt>
                <c:pt idx="61">
                  <c:v>43532</c:v>
                </c:pt>
                <c:pt idx="62">
                  <c:v>43539</c:v>
                </c:pt>
                <c:pt idx="63">
                  <c:v>43546</c:v>
                </c:pt>
                <c:pt idx="64">
                  <c:v>43553</c:v>
                </c:pt>
                <c:pt idx="65">
                  <c:v>43560</c:v>
                </c:pt>
                <c:pt idx="66">
                  <c:v>43567</c:v>
                </c:pt>
                <c:pt idx="67">
                  <c:v>43574</c:v>
                </c:pt>
                <c:pt idx="68">
                  <c:v>43581</c:v>
                </c:pt>
                <c:pt idx="69">
                  <c:v>43588</c:v>
                </c:pt>
                <c:pt idx="70">
                  <c:v>43595</c:v>
                </c:pt>
                <c:pt idx="71">
                  <c:v>43602</c:v>
                </c:pt>
                <c:pt idx="72">
                  <c:v>43609</c:v>
                </c:pt>
                <c:pt idx="73">
                  <c:v>43616</c:v>
                </c:pt>
                <c:pt idx="74">
                  <c:v>43623</c:v>
                </c:pt>
                <c:pt idx="75">
                  <c:v>43630</c:v>
                </c:pt>
                <c:pt idx="76">
                  <c:v>43637</c:v>
                </c:pt>
                <c:pt idx="77">
                  <c:v>43644</c:v>
                </c:pt>
                <c:pt idx="78">
                  <c:v>43651</c:v>
                </c:pt>
                <c:pt idx="79">
                  <c:v>43658</c:v>
                </c:pt>
                <c:pt idx="80">
                  <c:v>43665</c:v>
                </c:pt>
                <c:pt idx="81">
                  <c:v>43672</c:v>
                </c:pt>
                <c:pt idx="82">
                  <c:v>43679</c:v>
                </c:pt>
                <c:pt idx="83">
                  <c:v>43686</c:v>
                </c:pt>
                <c:pt idx="84">
                  <c:v>43693</c:v>
                </c:pt>
                <c:pt idx="85">
                  <c:v>43700</c:v>
                </c:pt>
                <c:pt idx="86">
                  <c:v>43707</c:v>
                </c:pt>
                <c:pt idx="87">
                  <c:v>43714</c:v>
                </c:pt>
                <c:pt idx="88">
                  <c:v>43721</c:v>
                </c:pt>
                <c:pt idx="89">
                  <c:v>43728</c:v>
                </c:pt>
                <c:pt idx="90">
                  <c:v>43735</c:v>
                </c:pt>
                <c:pt idx="91">
                  <c:v>43742</c:v>
                </c:pt>
                <c:pt idx="92">
                  <c:v>43749</c:v>
                </c:pt>
                <c:pt idx="93">
                  <c:v>43756</c:v>
                </c:pt>
                <c:pt idx="94">
                  <c:v>43763</c:v>
                </c:pt>
                <c:pt idx="95">
                  <c:v>43770</c:v>
                </c:pt>
                <c:pt idx="96">
                  <c:v>43777</c:v>
                </c:pt>
                <c:pt idx="97">
                  <c:v>43784</c:v>
                </c:pt>
                <c:pt idx="98">
                  <c:v>43791</c:v>
                </c:pt>
                <c:pt idx="99">
                  <c:v>43798</c:v>
                </c:pt>
                <c:pt idx="100">
                  <c:v>43805</c:v>
                </c:pt>
                <c:pt idx="101">
                  <c:v>43812</c:v>
                </c:pt>
                <c:pt idx="102">
                  <c:v>43819</c:v>
                </c:pt>
                <c:pt idx="103">
                  <c:v>43826</c:v>
                </c:pt>
                <c:pt idx="104">
                  <c:v>43833</c:v>
                </c:pt>
                <c:pt idx="105">
                  <c:v>43840</c:v>
                </c:pt>
                <c:pt idx="106">
                  <c:v>43847</c:v>
                </c:pt>
                <c:pt idx="107">
                  <c:v>43854</c:v>
                </c:pt>
                <c:pt idx="108">
                  <c:v>43861</c:v>
                </c:pt>
                <c:pt idx="109">
                  <c:v>43868</c:v>
                </c:pt>
                <c:pt idx="110">
                  <c:v>43875</c:v>
                </c:pt>
                <c:pt idx="111">
                  <c:v>43882</c:v>
                </c:pt>
                <c:pt idx="112">
                  <c:v>43889</c:v>
                </c:pt>
                <c:pt idx="113">
                  <c:v>43896</c:v>
                </c:pt>
                <c:pt idx="114">
                  <c:v>43903</c:v>
                </c:pt>
                <c:pt idx="115">
                  <c:v>43910</c:v>
                </c:pt>
                <c:pt idx="116">
                  <c:v>43917</c:v>
                </c:pt>
                <c:pt idx="117">
                  <c:v>43924</c:v>
                </c:pt>
                <c:pt idx="118">
                  <c:v>43931</c:v>
                </c:pt>
                <c:pt idx="119">
                  <c:v>43938</c:v>
                </c:pt>
                <c:pt idx="120">
                  <c:v>43945</c:v>
                </c:pt>
                <c:pt idx="121">
                  <c:v>43952</c:v>
                </c:pt>
                <c:pt idx="122">
                  <c:v>43959</c:v>
                </c:pt>
                <c:pt idx="123">
                  <c:v>43966</c:v>
                </c:pt>
                <c:pt idx="124">
                  <c:v>43973</c:v>
                </c:pt>
                <c:pt idx="125">
                  <c:v>43980</c:v>
                </c:pt>
                <c:pt idx="126">
                  <c:v>43987</c:v>
                </c:pt>
                <c:pt idx="127">
                  <c:v>43994</c:v>
                </c:pt>
                <c:pt idx="128">
                  <c:v>44001</c:v>
                </c:pt>
                <c:pt idx="129">
                  <c:v>44008</c:v>
                </c:pt>
                <c:pt idx="130">
                  <c:v>44015</c:v>
                </c:pt>
                <c:pt idx="131">
                  <c:v>44022</c:v>
                </c:pt>
                <c:pt idx="132">
                  <c:v>44029</c:v>
                </c:pt>
                <c:pt idx="133">
                  <c:v>44036</c:v>
                </c:pt>
                <c:pt idx="134">
                  <c:v>44043</c:v>
                </c:pt>
                <c:pt idx="135">
                  <c:v>44050</c:v>
                </c:pt>
                <c:pt idx="136">
                  <c:v>44057</c:v>
                </c:pt>
                <c:pt idx="137">
                  <c:v>44064</c:v>
                </c:pt>
                <c:pt idx="138">
                  <c:v>44071</c:v>
                </c:pt>
                <c:pt idx="139">
                  <c:v>44078</c:v>
                </c:pt>
                <c:pt idx="140">
                  <c:v>44085</c:v>
                </c:pt>
                <c:pt idx="141">
                  <c:v>44092</c:v>
                </c:pt>
                <c:pt idx="142">
                  <c:v>44099</c:v>
                </c:pt>
                <c:pt idx="143">
                  <c:v>44106</c:v>
                </c:pt>
                <c:pt idx="144">
                  <c:v>44113</c:v>
                </c:pt>
                <c:pt idx="145">
                  <c:v>44120</c:v>
                </c:pt>
                <c:pt idx="146">
                  <c:v>44127</c:v>
                </c:pt>
                <c:pt idx="147">
                  <c:v>44134</c:v>
                </c:pt>
                <c:pt idx="148">
                  <c:v>44141</c:v>
                </c:pt>
                <c:pt idx="149">
                  <c:v>44148</c:v>
                </c:pt>
                <c:pt idx="150">
                  <c:v>44155</c:v>
                </c:pt>
                <c:pt idx="151">
                  <c:v>44162</c:v>
                </c:pt>
                <c:pt idx="152">
                  <c:v>44169</c:v>
                </c:pt>
                <c:pt idx="153">
                  <c:v>44176</c:v>
                </c:pt>
                <c:pt idx="154">
                  <c:v>44183</c:v>
                </c:pt>
                <c:pt idx="155">
                  <c:v>44190</c:v>
                </c:pt>
                <c:pt idx="156">
                  <c:v>44197</c:v>
                </c:pt>
                <c:pt idx="157">
                  <c:v>44204</c:v>
                </c:pt>
                <c:pt idx="158">
                  <c:v>44211</c:v>
                </c:pt>
                <c:pt idx="159">
                  <c:v>44218</c:v>
                </c:pt>
                <c:pt idx="160">
                  <c:v>44225</c:v>
                </c:pt>
                <c:pt idx="161">
                  <c:v>44232</c:v>
                </c:pt>
                <c:pt idx="162">
                  <c:v>44239</c:v>
                </c:pt>
                <c:pt idx="163">
                  <c:v>44246</c:v>
                </c:pt>
                <c:pt idx="164">
                  <c:v>44253</c:v>
                </c:pt>
                <c:pt idx="165">
                  <c:v>44260</c:v>
                </c:pt>
                <c:pt idx="166">
                  <c:v>44267</c:v>
                </c:pt>
                <c:pt idx="167">
                  <c:v>44274</c:v>
                </c:pt>
                <c:pt idx="168">
                  <c:v>44281</c:v>
                </c:pt>
                <c:pt idx="169">
                  <c:v>44288</c:v>
                </c:pt>
                <c:pt idx="170">
                  <c:v>44295</c:v>
                </c:pt>
                <c:pt idx="171">
                  <c:v>44302</c:v>
                </c:pt>
                <c:pt idx="172">
                  <c:v>44309</c:v>
                </c:pt>
                <c:pt idx="173">
                  <c:v>44316</c:v>
                </c:pt>
                <c:pt idx="174">
                  <c:v>44323</c:v>
                </c:pt>
                <c:pt idx="175">
                  <c:v>44330</c:v>
                </c:pt>
                <c:pt idx="176">
                  <c:v>44337</c:v>
                </c:pt>
                <c:pt idx="177">
                  <c:v>44344</c:v>
                </c:pt>
                <c:pt idx="178">
                  <c:v>44351</c:v>
                </c:pt>
                <c:pt idx="179">
                  <c:v>44358</c:v>
                </c:pt>
                <c:pt idx="180">
                  <c:v>44365</c:v>
                </c:pt>
                <c:pt idx="181">
                  <c:v>44372</c:v>
                </c:pt>
                <c:pt idx="182">
                  <c:v>44379</c:v>
                </c:pt>
                <c:pt idx="183">
                  <c:v>44386</c:v>
                </c:pt>
                <c:pt idx="184">
                  <c:v>44393</c:v>
                </c:pt>
                <c:pt idx="185">
                  <c:v>44400</c:v>
                </c:pt>
                <c:pt idx="186">
                  <c:v>44407</c:v>
                </c:pt>
                <c:pt idx="187">
                  <c:v>44414</c:v>
                </c:pt>
                <c:pt idx="188">
                  <c:v>44421</c:v>
                </c:pt>
                <c:pt idx="189">
                  <c:v>44428</c:v>
                </c:pt>
                <c:pt idx="190">
                  <c:v>44435</c:v>
                </c:pt>
                <c:pt idx="191">
                  <c:v>44442</c:v>
                </c:pt>
                <c:pt idx="192">
                  <c:v>44449</c:v>
                </c:pt>
                <c:pt idx="193">
                  <c:v>44456</c:v>
                </c:pt>
                <c:pt idx="194">
                  <c:v>44463</c:v>
                </c:pt>
                <c:pt idx="195">
                  <c:v>44470</c:v>
                </c:pt>
                <c:pt idx="196">
                  <c:v>44477</c:v>
                </c:pt>
                <c:pt idx="197">
                  <c:v>44484</c:v>
                </c:pt>
                <c:pt idx="198">
                  <c:v>44491</c:v>
                </c:pt>
                <c:pt idx="199">
                  <c:v>44498</c:v>
                </c:pt>
                <c:pt idx="200">
                  <c:v>44505</c:v>
                </c:pt>
                <c:pt idx="201">
                  <c:v>44512</c:v>
                </c:pt>
                <c:pt idx="202">
                  <c:v>44519</c:v>
                </c:pt>
                <c:pt idx="203">
                  <c:v>44526</c:v>
                </c:pt>
                <c:pt idx="204">
                  <c:v>44533</c:v>
                </c:pt>
                <c:pt idx="205">
                  <c:v>44540</c:v>
                </c:pt>
                <c:pt idx="206">
                  <c:v>44547</c:v>
                </c:pt>
                <c:pt idx="207">
                  <c:v>44554</c:v>
                </c:pt>
                <c:pt idx="208">
                  <c:v>44561</c:v>
                </c:pt>
                <c:pt idx="209">
                  <c:v>44568</c:v>
                </c:pt>
                <c:pt idx="210">
                  <c:v>44575</c:v>
                </c:pt>
                <c:pt idx="211">
                  <c:v>44582</c:v>
                </c:pt>
                <c:pt idx="212">
                  <c:v>44589</c:v>
                </c:pt>
                <c:pt idx="213">
                  <c:v>44596</c:v>
                </c:pt>
                <c:pt idx="214">
                  <c:v>44603</c:v>
                </c:pt>
                <c:pt idx="215">
                  <c:v>44610</c:v>
                </c:pt>
                <c:pt idx="216">
                  <c:v>44617</c:v>
                </c:pt>
                <c:pt idx="217">
                  <c:v>44624</c:v>
                </c:pt>
                <c:pt idx="218">
                  <c:v>44631</c:v>
                </c:pt>
                <c:pt idx="219">
                  <c:v>44638</c:v>
                </c:pt>
                <c:pt idx="220">
                  <c:v>44645</c:v>
                </c:pt>
                <c:pt idx="221">
                  <c:v>44652</c:v>
                </c:pt>
                <c:pt idx="222">
                  <c:v>44659</c:v>
                </c:pt>
                <c:pt idx="223">
                  <c:v>44666</c:v>
                </c:pt>
                <c:pt idx="224">
                  <c:v>44673</c:v>
                </c:pt>
                <c:pt idx="225">
                  <c:v>44680</c:v>
                </c:pt>
                <c:pt idx="226">
                  <c:v>44687</c:v>
                </c:pt>
                <c:pt idx="227">
                  <c:v>44694</c:v>
                </c:pt>
                <c:pt idx="228">
                  <c:v>44701</c:v>
                </c:pt>
                <c:pt idx="229">
                  <c:v>44708</c:v>
                </c:pt>
                <c:pt idx="230">
                  <c:v>44715</c:v>
                </c:pt>
                <c:pt idx="231">
                  <c:v>44722</c:v>
                </c:pt>
                <c:pt idx="232">
                  <c:v>44729</c:v>
                </c:pt>
                <c:pt idx="233">
                  <c:v>44736</c:v>
                </c:pt>
                <c:pt idx="234">
                  <c:v>44743</c:v>
                </c:pt>
                <c:pt idx="235">
                  <c:v>44750</c:v>
                </c:pt>
                <c:pt idx="236">
                  <c:v>44757</c:v>
                </c:pt>
                <c:pt idx="237">
                  <c:v>44764</c:v>
                </c:pt>
                <c:pt idx="238">
                  <c:v>44771</c:v>
                </c:pt>
                <c:pt idx="239">
                  <c:v>44778</c:v>
                </c:pt>
                <c:pt idx="240">
                  <c:v>44785</c:v>
                </c:pt>
                <c:pt idx="241">
                  <c:v>44792</c:v>
                </c:pt>
                <c:pt idx="242">
                  <c:v>44799</c:v>
                </c:pt>
                <c:pt idx="243">
                  <c:v>44806</c:v>
                </c:pt>
                <c:pt idx="244">
                  <c:v>44813</c:v>
                </c:pt>
                <c:pt idx="245">
                  <c:v>44820</c:v>
                </c:pt>
                <c:pt idx="246">
                  <c:v>44827</c:v>
                </c:pt>
                <c:pt idx="247">
                  <c:v>44834</c:v>
                </c:pt>
                <c:pt idx="248">
                  <c:v>44841</c:v>
                </c:pt>
                <c:pt idx="249">
                  <c:v>44848</c:v>
                </c:pt>
                <c:pt idx="250">
                  <c:v>44855</c:v>
                </c:pt>
                <c:pt idx="251">
                  <c:v>44862</c:v>
                </c:pt>
                <c:pt idx="252">
                  <c:v>44869</c:v>
                </c:pt>
                <c:pt idx="253">
                  <c:v>44876</c:v>
                </c:pt>
                <c:pt idx="254">
                  <c:v>44883</c:v>
                </c:pt>
                <c:pt idx="255">
                  <c:v>44890</c:v>
                </c:pt>
                <c:pt idx="256">
                  <c:v>44897</c:v>
                </c:pt>
                <c:pt idx="257">
                  <c:v>44904</c:v>
                </c:pt>
                <c:pt idx="258">
                  <c:v>44911</c:v>
                </c:pt>
                <c:pt idx="259">
                  <c:v>44918</c:v>
                </c:pt>
                <c:pt idx="260">
                  <c:v>44925</c:v>
                </c:pt>
                <c:pt idx="261">
                  <c:v>44932</c:v>
                </c:pt>
                <c:pt idx="262">
                  <c:v>44939</c:v>
                </c:pt>
                <c:pt idx="263">
                  <c:v>44946</c:v>
                </c:pt>
                <c:pt idx="264">
                  <c:v>44953</c:v>
                </c:pt>
                <c:pt idx="265">
                  <c:v>44960</c:v>
                </c:pt>
                <c:pt idx="266">
                  <c:v>44967</c:v>
                </c:pt>
                <c:pt idx="267">
                  <c:v>44974</c:v>
                </c:pt>
                <c:pt idx="268">
                  <c:v>44981</c:v>
                </c:pt>
                <c:pt idx="269">
                  <c:v>44988</c:v>
                </c:pt>
                <c:pt idx="270">
                  <c:v>44995</c:v>
                </c:pt>
                <c:pt idx="271">
                  <c:v>45002</c:v>
                </c:pt>
                <c:pt idx="272">
                  <c:v>45009</c:v>
                </c:pt>
                <c:pt idx="273">
                  <c:v>45016</c:v>
                </c:pt>
                <c:pt idx="274">
                  <c:v>45023</c:v>
                </c:pt>
                <c:pt idx="275">
                  <c:v>45030</c:v>
                </c:pt>
                <c:pt idx="276">
                  <c:v>45037</c:v>
                </c:pt>
                <c:pt idx="277">
                  <c:v>45044</c:v>
                </c:pt>
                <c:pt idx="278">
                  <c:v>45051</c:v>
                </c:pt>
                <c:pt idx="279">
                  <c:v>45058</c:v>
                </c:pt>
                <c:pt idx="280">
                  <c:v>45065</c:v>
                </c:pt>
                <c:pt idx="281">
                  <c:v>45072</c:v>
                </c:pt>
                <c:pt idx="282">
                  <c:v>45079</c:v>
                </c:pt>
                <c:pt idx="283">
                  <c:v>45086</c:v>
                </c:pt>
                <c:pt idx="284">
                  <c:v>45093</c:v>
                </c:pt>
                <c:pt idx="285">
                  <c:v>45100</c:v>
                </c:pt>
                <c:pt idx="286">
                  <c:v>45107</c:v>
                </c:pt>
                <c:pt idx="287">
                  <c:v>45114</c:v>
                </c:pt>
                <c:pt idx="288">
                  <c:v>45121</c:v>
                </c:pt>
                <c:pt idx="289">
                  <c:v>45128</c:v>
                </c:pt>
                <c:pt idx="290">
                  <c:v>45135</c:v>
                </c:pt>
                <c:pt idx="291">
                  <c:v>45142</c:v>
                </c:pt>
                <c:pt idx="292">
                  <c:v>45149</c:v>
                </c:pt>
                <c:pt idx="293">
                  <c:v>45156</c:v>
                </c:pt>
                <c:pt idx="294">
                  <c:v>45163</c:v>
                </c:pt>
                <c:pt idx="295">
                  <c:v>45170</c:v>
                </c:pt>
                <c:pt idx="296">
                  <c:v>45177</c:v>
                </c:pt>
                <c:pt idx="297">
                  <c:v>45184</c:v>
                </c:pt>
                <c:pt idx="298">
                  <c:v>45191</c:v>
                </c:pt>
                <c:pt idx="299">
                  <c:v>45198</c:v>
                </c:pt>
                <c:pt idx="300">
                  <c:v>45205</c:v>
                </c:pt>
                <c:pt idx="301">
                  <c:v>45212</c:v>
                </c:pt>
                <c:pt idx="302">
                  <c:v>45219</c:v>
                </c:pt>
                <c:pt idx="303">
                  <c:v>45226</c:v>
                </c:pt>
                <c:pt idx="304">
                  <c:v>45233</c:v>
                </c:pt>
                <c:pt idx="305">
                  <c:v>45240</c:v>
                </c:pt>
                <c:pt idx="306">
                  <c:v>45247</c:v>
                </c:pt>
                <c:pt idx="307">
                  <c:v>45254</c:v>
                </c:pt>
                <c:pt idx="308">
                  <c:v>45261</c:v>
                </c:pt>
                <c:pt idx="309">
                  <c:v>45268</c:v>
                </c:pt>
                <c:pt idx="310">
                  <c:v>45275</c:v>
                </c:pt>
                <c:pt idx="311">
                  <c:v>45282</c:v>
                </c:pt>
                <c:pt idx="312">
                  <c:v>45289</c:v>
                </c:pt>
                <c:pt idx="313">
                  <c:v>45296</c:v>
                </c:pt>
                <c:pt idx="314">
                  <c:v>45303</c:v>
                </c:pt>
                <c:pt idx="315">
                  <c:v>45310</c:v>
                </c:pt>
                <c:pt idx="316">
                  <c:v>45317</c:v>
                </c:pt>
                <c:pt idx="317">
                  <c:v>45324</c:v>
                </c:pt>
                <c:pt idx="318">
                  <c:v>45331</c:v>
                </c:pt>
                <c:pt idx="319">
                  <c:v>45338</c:v>
                </c:pt>
                <c:pt idx="320">
                  <c:v>45345</c:v>
                </c:pt>
                <c:pt idx="321">
                  <c:v>45352</c:v>
                </c:pt>
                <c:pt idx="322">
                  <c:v>45359</c:v>
                </c:pt>
                <c:pt idx="323">
                  <c:v>45366</c:v>
                </c:pt>
                <c:pt idx="324">
                  <c:v>45373</c:v>
                </c:pt>
                <c:pt idx="325">
                  <c:v>45380</c:v>
                </c:pt>
                <c:pt idx="326">
                  <c:v>45387</c:v>
                </c:pt>
                <c:pt idx="327">
                  <c:v>45394</c:v>
                </c:pt>
                <c:pt idx="328">
                  <c:v>45401</c:v>
                </c:pt>
                <c:pt idx="329">
                  <c:v>45408</c:v>
                </c:pt>
                <c:pt idx="330">
                  <c:v>45415</c:v>
                </c:pt>
                <c:pt idx="331">
                  <c:v>45422</c:v>
                </c:pt>
                <c:pt idx="332">
                  <c:v>45429</c:v>
                </c:pt>
                <c:pt idx="333">
                  <c:v>45436</c:v>
                </c:pt>
                <c:pt idx="334">
                  <c:v>45443</c:v>
                </c:pt>
                <c:pt idx="335">
                  <c:v>45450</c:v>
                </c:pt>
                <c:pt idx="336">
                  <c:v>45457</c:v>
                </c:pt>
                <c:pt idx="337">
                  <c:v>45464</c:v>
                </c:pt>
                <c:pt idx="338">
                  <c:v>45471</c:v>
                </c:pt>
                <c:pt idx="339">
                  <c:v>45478</c:v>
                </c:pt>
                <c:pt idx="340">
                  <c:v>45485</c:v>
                </c:pt>
                <c:pt idx="341">
                  <c:v>45492</c:v>
                </c:pt>
                <c:pt idx="342">
                  <c:v>45499</c:v>
                </c:pt>
                <c:pt idx="343">
                  <c:v>45506</c:v>
                </c:pt>
                <c:pt idx="344">
                  <c:v>45513</c:v>
                </c:pt>
                <c:pt idx="345">
                  <c:v>45520</c:v>
                </c:pt>
                <c:pt idx="346">
                  <c:v>45527</c:v>
                </c:pt>
                <c:pt idx="347">
                  <c:v>45534</c:v>
                </c:pt>
                <c:pt idx="348">
                  <c:v>45541</c:v>
                </c:pt>
                <c:pt idx="349">
                  <c:v>45548</c:v>
                </c:pt>
                <c:pt idx="350">
                  <c:v>45555</c:v>
                </c:pt>
                <c:pt idx="351">
                  <c:v>45562</c:v>
                </c:pt>
                <c:pt idx="352">
                  <c:v>45569</c:v>
                </c:pt>
                <c:pt idx="353">
                  <c:v>45576</c:v>
                </c:pt>
                <c:pt idx="354">
                  <c:v>45583</c:v>
                </c:pt>
                <c:pt idx="355">
                  <c:v>45590</c:v>
                </c:pt>
                <c:pt idx="356">
                  <c:v>45597</c:v>
                </c:pt>
                <c:pt idx="357">
                  <c:v>45604</c:v>
                </c:pt>
                <c:pt idx="358">
                  <c:v>45611</c:v>
                </c:pt>
                <c:pt idx="359">
                  <c:v>45618</c:v>
                </c:pt>
                <c:pt idx="360">
                  <c:v>45625</c:v>
                </c:pt>
                <c:pt idx="361">
                  <c:v>45632</c:v>
                </c:pt>
                <c:pt idx="362">
                  <c:v>45639</c:v>
                </c:pt>
                <c:pt idx="363">
                  <c:v>45646</c:v>
                </c:pt>
                <c:pt idx="364">
                  <c:v>45653</c:v>
                </c:pt>
                <c:pt idx="365">
                  <c:v>45660</c:v>
                </c:pt>
                <c:pt idx="366">
                  <c:v>45667</c:v>
                </c:pt>
                <c:pt idx="367">
                  <c:v>45674</c:v>
                </c:pt>
                <c:pt idx="368">
                  <c:v>45681</c:v>
                </c:pt>
                <c:pt idx="369">
                  <c:v>45688</c:v>
                </c:pt>
                <c:pt idx="370">
                  <c:v>45695</c:v>
                </c:pt>
                <c:pt idx="371">
                  <c:v>45702</c:v>
                </c:pt>
                <c:pt idx="372">
                  <c:v>45709</c:v>
                </c:pt>
                <c:pt idx="373">
                  <c:v>45716</c:v>
                </c:pt>
                <c:pt idx="374">
                  <c:v>45723</c:v>
                </c:pt>
                <c:pt idx="375">
                  <c:v>45730</c:v>
                </c:pt>
                <c:pt idx="376">
                  <c:v>45737</c:v>
                </c:pt>
                <c:pt idx="377">
                  <c:v>45744</c:v>
                </c:pt>
                <c:pt idx="378">
                  <c:v>45751</c:v>
                </c:pt>
                <c:pt idx="379">
                  <c:v>45758</c:v>
                </c:pt>
                <c:pt idx="380">
                  <c:v>45765</c:v>
                </c:pt>
                <c:pt idx="381">
                  <c:v>45772</c:v>
                </c:pt>
                <c:pt idx="382">
                  <c:v>45779</c:v>
                </c:pt>
                <c:pt idx="383">
                  <c:v>45786</c:v>
                </c:pt>
                <c:pt idx="384">
                  <c:v>45793</c:v>
                </c:pt>
                <c:pt idx="385">
                  <c:v>45800</c:v>
                </c:pt>
                <c:pt idx="386">
                  <c:v>45807</c:v>
                </c:pt>
                <c:pt idx="387">
                  <c:v>45814</c:v>
                </c:pt>
                <c:pt idx="388">
                  <c:v>45821</c:v>
                </c:pt>
                <c:pt idx="389">
                  <c:v>45828</c:v>
                </c:pt>
                <c:pt idx="390">
                  <c:v>45835</c:v>
                </c:pt>
                <c:pt idx="391">
                  <c:v>45842</c:v>
                </c:pt>
                <c:pt idx="392">
                  <c:v>45849</c:v>
                </c:pt>
                <c:pt idx="393">
                  <c:v>45856</c:v>
                </c:pt>
                <c:pt idx="394">
                  <c:v>45863</c:v>
                </c:pt>
                <c:pt idx="395">
                  <c:v>45870</c:v>
                </c:pt>
                <c:pt idx="396">
                  <c:v>45877</c:v>
                </c:pt>
                <c:pt idx="397">
                  <c:v>45884</c:v>
                </c:pt>
                <c:pt idx="398">
                  <c:v>45891</c:v>
                </c:pt>
                <c:pt idx="399">
                  <c:v>45898</c:v>
                </c:pt>
                <c:pt idx="400">
                  <c:v>45905</c:v>
                </c:pt>
                <c:pt idx="401">
                  <c:v>45912</c:v>
                </c:pt>
                <c:pt idx="402">
                  <c:v>45919</c:v>
                </c:pt>
                <c:pt idx="403">
                  <c:v>45926</c:v>
                </c:pt>
                <c:pt idx="404">
                  <c:v>45933</c:v>
                </c:pt>
                <c:pt idx="405">
                  <c:v>45940</c:v>
                </c:pt>
                <c:pt idx="406">
                  <c:v>45947</c:v>
                </c:pt>
                <c:pt idx="407">
                  <c:v>45954</c:v>
                </c:pt>
                <c:pt idx="408">
                  <c:v>45961</c:v>
                </c:pt>
                <c:pt idx="409">
                  <c:v>45968</c:v>
                </c:pt>
                <c:pt idx="410">
                  <c:v>45975</c:v>
                </c:pt>
                <c:pt idx="411">
                  <c:v>45982</c:v>
                </c:pt>
                <c:pt idx="412">
                  <c:v>45989</c:v>
                </c:pt>
                <c:pt idx="413">
                  <c:v>45996</c:v>
                </c:pt>
                <c:pt idx="414">
                  <c:v>46003</c:v>
                </c:pt>
                <c:pt idx="415">
                  <c:v>46010</c:v>
                </c:pt>
                <c:pt idx="416">
                  <c:v>46017</c:v>
                </c:pt>
                <c:pt idx="417">
                  <c:v>46024</c:v>
                </c:pt>
                <c:pt idx="418">
                  <c:v>46031</c:v>
                </c:pt>
                <c:pt idx="419">
                  <c:v>46038</c:v>
                </c:pt>
                <c:pt idx="420">
                  <c:v>46045</c:v>
                </c:pt>
                <c:pt idx="421">
                  <c:v>46052</c:v>
                </c:pt>
                <c:pt idx="422">
                  <c:v>46059</c:v>
                </c:pt>
                <c:pt idx="423">
                  <c:v>46066</c:v>
                </c:pt>
                <c:pt idx="424">
                  <c:v>46073</c:v>
                </c:pt>
                <c:pt idx="425">
                  <c:v>46080</c:v>
                </c:pt>
                <c:pt idx="426">
                  <c:v>46087</c:v>
                </c:pt>
                <c:pt idx="427">
                  <c:v>46094</c:v>
                </c:pt>
                <c:pt idx="428">
                  <c:v>46101</c:v>
                </c:pt>
                <c:pt idx="429">
                  <c:v>46108</c:v>
                </c:pt>
                <c:pt idx="430">
                  <c:v>46115</c:v>
                </c:pt>
                <c:pt idx="431">
                  <c:v>46122</c:v>
                </c:pt>
                <c:pt idx="432">
                  <c:v>46129</c:v>
                </c:pt>
                <c:pt idx="433">
                  <c:v>46136</c:v>
                </c:pt>
                <c:pt idx="434">
                  <c:v>46143</c:v>
                </c:pt>
                <c:pt idx="435">
                  <c:v>46150</c:v>
                </c:pt>
                <c:pt idx="436">
                  <c:v>46157</c:v>
                </c:pt>
                <c:pt idx="437">
                  <c:v>46164</c:v>
                </c:pt>
                <c:pt idx="438">
                  <c:v>46171</c:v>
                </c:pt>
                <c:pt idx="439">
                  <c:v>46178</c:v>
                </c:pt>
                <c:pt idx="440">
                  <c:v>46185</c:v>
                </c:pt>
                <c:pt idx="441">
                  <c:v>46192</c:v>
                </c:pt>
                <c:pt idx="442">
                  <c:v>46199</c:v>
                </c:pt>
                <c:pt idx="443">
                  <c:v>46206</c:v>
                </c:pt>
                <c:pt idx="444">
                  <c:v>46213</c:v>
                </c:pt>
                <c:pt idx="445">
                  <c:v>46220</c:v>
                </c:pt>
                <c:pt idx="446">
                  <c:v>46227</c:v>
                </c:pt>
                <c:pt idx="447">
                  <c:v>46234</c:v>
                </c:pt>
                <c:pt idx="448">
                  <c:v>46241</c:v>
                </c:pt>
                <c:pt idx="449">
                  <c:v>46248</c:v>
                </c:pt>
                <c:pt idx="450">
                  <c:v>46255</c:v>
                </c:pt>
                <c:pt idx="451">
                  <c:v>46262</c:v>
                </c:pt>
                <c:pt idx="452">
                  <c:v>46269</c:v>
                </c:pt>
                <c:pt idx="453">
                  <c:v>46276</c:v>
                </c:pt>
                <c:pt idx="454">
                  <c:v>46283</c:v>
                </c:pt>
                <c:pt idx="455">
                  <c:v>46290</c:v>
                </c:pt>
                <c:pt idx="456">
                  <c:v>46297</c:v>
                </c:pt>
              </c:numCache>
            </c:numRef>
          </c:cat>
          <c:val>
            <c:numRef>
              <c:f>'Indice Utilities'!$AN$58:$AN$1000</c:f>
              <c:numCache>
                <c:formatCode>General</c:formatCode>
                <c:ptCount val="943"/>
                <c:pt idx="0">
                  <c:v>1.3485911637108849</c:v>
                </c:pt>
                <c:pt idx="1">
                  <c:v>1.3737331258330303</c:v>
                </c:pt>
                <c:pt idx="2">
                  <c:v>1.3813375932986125</c:v>
                </c:pt>
                <c:pt idx="3">
                  <c:v>1.4044986421969121</c:v>
                </c:pt>
                <c:pt idx="4">
                  <c:v>1.323023777040446</c:v>
                </c:pt>
                <c:pt idx="5">
                  <c:v>1.3500116816487726</c:v>
                </c:pt>
                <c:pt idx="6">
                  <c:v>1.3407926862302963</c:v>
                </c:pt>
                <c:pt idx="7">
                  <c:v>1.3034662373824992</c:v>
                </c:pt>
                <c:pt idx="8">
                  <c:v>1.2963578688294506</c:v>
                </c:pt>
                <c:pt idx="9">
                  <c:v>1.3250282754305647</c:v>
                </c:pt>
                <c:pt idx="10">
                  <c:v>1.3441429665355695</c:v>
                </c:pt>
                <c:pt idx="11">
                  <c:v>1.3206648033215624</c:v>
                </c:pt>
                <c:pt idx="12">
                  <c:v>1.3505472733021266</c:v>
                </c:pt>
                <c:pt idx="13">
                  <c:v>1.3520798614063356</c:v>
                </c:pt>
                <c:pt idx="14">
                  <c:v>1.3449128306941811</c:v>
                </c:pt>
                <c:pt idx="15">
                  <c:v>1.3121930211570163</c:v>
                </c:pt>
                <c:pt idx="16">
                  <c:v>1.3039860632798332</c:v>
                </c:pt>
                <c:pt idx="17">
                  <c:v>1.3104724520609734</c:v>
                </c:pt>
                <c:pt idx="18">
                  <c:v>1.3209838302863441</c:v>
                </c:pt>
                <c:pt idx="19">
                  <c:v>1.3782348857424733</c:v>
                </c:pt>
                <c:pt idx="20">
                  <c:v>1.4390787128052358</c:v>
                </c:pt>
                <c:pt idx="21">
                  <c:v>1.4512836988459894</c:v>
                </c:pt>
                <c:pt idx="22">
                  <c:v>1.4410349367924835</c:v>
                </c:pt>
                <c:pt idx="23">
                  <c:v>1.4309727562241834</c:v>
                </c:pt>
                <c:pt idx="24">
                  <c:v>1.3710919262064858</c:v>
                </c:pt>
                <c:pt idx="25">
                  <c:v>1.2953716833971392</c:v>
                </c:pt>
                <c:pt idx="26">
                  <c:v>1.2974049534731584</c:v>
                </c:pt>
                <c:pt idx="27">
                  <c:v>1.3392017066387505</c:v>
                </c:pt>
                <c:pt idx="28">
                  <c:v>1.3179259645362287</c:v>
                </c:pt>
                <c:pt idx="29">
                  <c:v>1.3703300756032806</c:v>
                </c:pt>
                <c:pt idx="30">
                  <c:v>1.3688329289851371</c:v>
                </c:pt>
                <c:pt idx="31">
                  <c:v>1.4027725500714863</c:v>
                </c:pt>
                <c:pt idx="32">
                  <c:v>1.3917513523823444</c:v>
                </c:pt>
                <c:pt idx="33">
                  <c:v>1.3914444898956071</c:v>
                </c:pt>
                <c:pt idx="34">
                  <c:v>1.4058851782791695</c:v>
                </c:pt>
                <c:pt idx="35">
                  <c:v>1.4802344370662783</c:v>
                </c:pt>
                <c:pt idx="36">
                  <c:v>1.492088140538097</c:v>
                </c:pt>
                <c:pt idx="37">
                  <c:v>1.5183624780326874</c:v>
                </c:pt>
                <c:pt idx="38">
                  <c:v>1.465481597292333</c:v>
                </c:pt>
                <c:pt idx="39">
                  <c:v>1.4045229017859391</c:v>
                </c:pt>
                <c:pt idx="40">
                  <c:v>1.3851040142686348</c:v>
                </c:pt>
                <c:pt idx="41">
                  <c:v>1.4194367970875614</c:v>
                </c:pt>
                <c:pt idx="42">
                  <c:v>1.350165711304808</c:v>
                </c:pt>
                <c:pt idx="43">
                  <c:v>1.3802965888789622</c:v>
                </c:pt>
                <c:pt idx="44">
                  <c:v>1.4126319544388557</c:v>
                </c:pt>
                <c:pt idx="45">
                  <c:v>1.4243435645446954</c:v>
                </c:pt>
                <c:pt idx="46">
                  <c:v>1.3977408879911899</c:v>
                </c:pt>
                <c:pt idx="47">
                  <c:v>1.4144932012400839</c:v>
                </c:pt>
                <c:pt idx="48">
                  <c:v>1.4738429700265097</c:v>
                </c:pt>
                <c:pt idx="49">
                  <c:v>1.477117014108521</c:v>
                </c:pt>
                <c:pt idx="50">
                  <c:v>1.4991787401061576</c:v>
                </c:pt>
                <c:pt idx="51">
                  <c:v>1.4643663175674169</c:v>
                </c:pt>
                <c:pt idx="52">
                  <c:v>1.4310863533858125</c:v>
                </c:pt>
                <c:pt idx="53">
                  <c:v>1.4221445353839981</c:v>
                </c:pt>
                <c:pt idx="54">
                  <c:v>1.425368825004752</c:v>
                </c:pt>
                <c:pt idx="55">
                  <c:v>1.4063241523613372</c:v>
                </c:pt>
                <c:pt idx="56">
                  <c:v>1.4083302842901571</c:v>
                </c:pt>
                <c:pt idx="57">
                  <c:v>1.3926243546279771</c:v>
                </c:pt>
                <c:pt idx="58">
                  <c:v>1.3806024376612629</c:v>
                </c:pt>
                <c:pt idx="59">
                  <c:v>1.3864162432536968</c:v>
                </c:pt>
                <c:pt idx="60">
                  <c:v>1.4220496817503323</c:v>
                </c:pt>
                <c:pt idx="61">
                  <c:v>1.4828546039726709</c:v>
                </c:pt>
                <c:pt idx="62">
                  <c:v>1.4509261407228251</c:v>
                </c:pt>
                <c:pt idx="63">
                  <c:v>1.4311111181047962</c:v>
                </c:pt>
                <c:pt idx="64">
                  <c:v>1.3860796150518246</c:v>
                </c:pt>
                <c:pt idx="65">
                  <c:v>1.3321591831947832</c:v>
                </c:pt>
                <c:pt idx="66">
                  <c:v>1.2934203045798478</c:v>
                </c:pt>
                <c:pt idx="67">
                  <c:v>1.2948448781314481</c:v>
                </c:pt>
                <c:pt idx="68">
                  <c:v>1.3634538499089222</c:v>
                </c:pt>
                <c:pt idx="69">
                  <c:v>1.3653998564372758</c:v>
                </c:pt>
                <c:pt idx="70">
                  <c:v>1.3997328069638555</c:v>
                </c:pt>
                <c:pt idx="71">
                  <c:v>1.3606117388370582</c:v>
                </c:pt>
                <c:pt idx="72">
                  <c:v>1.3562378269977162</c:v>
                </c:pt>
                <c:pt idx="73">
                  <c:v>1.3908638282343861</c:v>
                </c:pt>
                <c:pt idx="74">
                  <c:v>1.3211353283423513</c:v>
                </c:pt>
                <c:pt idx="75">
                  <c:v>1.2829054732293494</c:v>
                </c:pt>
                <c:pt idx="76">
                  <c:v>1.2370071105370046</c:v>
                </c:pt>
                <c:pt idx="77">
                  <c:v>1.1988055572919276</c:v>
                </c:pt>
                <c:pt idx="78">
                  <c:v>1.2170655296385535</c:v>
                </c:pt>
                <c:pt idx="79">
                  <c:v>1.2590139505934808</c:v>
                </c:pt>
                <c:pt idx="80">
                  <c:v>1.2740405577153668</c:v>
                </c:pt>
                <c:pt idx="81">
                  <c:v>1.2574102339781561</c:v>
                </c:pt>
                <c:pt idx="82">
                  <c:v>1.2809240312215269</c:v>
                </c:pt>
                <c:pt idx="83">
                  <c:v>1.2449624377250001</c:v>
                </c:pt>
                <c:pt idx="84">
                  <c:v>1.1554984639800636</c:v>
                </c:pt>
                <c:pt idx="85">
                  <c:v>1.1699732540763061</c:v>
                </c:pt>
                <c:pt idx="86">
                  <c:v>1.1244049123501343</c:v>
                </c:pt>
                <c:pt idx="87">
                  <c:v>1.1260995482374598</c:v>
                </c:pt>
                <c:pt idx="88">
                  <c:v>1.1963502923526295</c:v>
                </c:pt>
                <c:pt idx="89">
                  <c:v>1.2443205335815188</c:v>
                </c:pt>
                <c:pt idx="90">
                  <c:v>1.1639499042595076</c:v>
                </c:pt>
                <c:pt idx="91">
                  <c:v>1.1839625044333926</c:v>
                </c:pt>
                <c:pt idx="92">
                  <c:v>1.1484212732842687</c:v>
                </c:pt>
                <c:pt idx="93">
                  <c:v>1.1294806721781263</c:v>
                </c:pt>
                <c:pt idx="94">
                  <c:v>1.0542671748107291</c:v>
                </c:pt>
                <c:pt idx="95">
                  <c:v>1.0660063695936703</c:v>
                </c:pt>
                <c:pt idx="96">
                  <c:v>1.0337330704724088</c:v>
                </c:pt>
                <c:pt idx="97">
                  <c:v>1.0054543077740394</c:v>
                </c:pt>
                <c:pt idx="98">
                  <c:v>1.0019635062061232</c:v>
                </c:pt>
                <c:pt idx="99">
                  <c:v>0.99006555460226142</c:v>
                </c:pt>
                <c:pt idx="100">
                  <c:v>0.9728316084582197</c:v>
                </c:pt>
                <c:pt idx="101">
                  <c:v>0.98833790501178198</c:v>
                </c:pt>
                <c:pt idx="102">
                  <c:v>0.97765884291670468</c:v>
                </c:pt>
                <c:pt idx="103">
                  <c:v>0.97501066256614</c:v>
                </c:pt>
                <c:pt idx="104">
                  <c:v>0.95045910467361994</c:v>
                </c:pt>
                <c:pt idx="105">
                  <c:v>0.96613929739209814</c:v>
                </c:pt>
                <c:pt idx="106">
                  <c:v>0.96421756743450915</c:v>
                </c:pt>
                <c:pt idx="107">
                  <c:v>0.95304474287433794</c:v>
                </c:pt>
                <c:pt idx="108">
                  <c:v>0.95650993064479173</c:v>
                </c:pt>
                <c:pt idx="109">
                  <c:v>0.92127596094273045</c:v>
                </c:pt>
                <c:pt idx="110">
                  <c:v>0.94247896858055502</c:v>
                </c:pt>
                <c:pt idx="111">
                  <c:v>0.94619747338125482</c:v>
                </c:pt>
                <c:pt idx="112">
                  <c:v>0.94153034810069813</c:v>
                </c:pt>
                <c:pt idx="113">
                  <c:v>0.96439293747155563</c:v>
                </c:pt>
                <c:pt idx="114">
                  <c:v>1.004432324453977</c:v>
                </c:pt>
                <c:pt idx="115">
                  <c:v>1.042267462251746</c:v>
                </c:pt>
                <c:pt idx="116">
                  <c:v>1.0263209473180348</c:v>
                </c:pt>
                <c:pt idx="117">
                  <c:v>1.0462254813863161</c:v>
                </c:pt>
                <c:pt idx="118">
                  <c:v>1.0712452985356868</c:v>
                </c:pt>
                <c:pt idx="119">
                  <c:v>1.0158552692355602</c:v>
                </c:pt>
                <c:pt idx="120">
                  <c:v>1.0380924151606346</c:v>
                </c:pt>
                <c:pt idx="121">
                  <c:v>1.0214920133328274</c:v>
                </c:pt>
                <c:pt idx="122">
                  <c:v>1.0138470413117344</c:v>
                </c:pt>
                <c:pt idx="123">
                  <c:v>1.0743204303894887</c:v>
                </c:pt>
                <c:pt idx="124">
                  <c:v>1.0490684109901525</c:v>
                </c:pt>
                <c:pt idx="125">
                  <c:v>1.0309524072711529</c:v>
                </c:pt>
                <c:pt idx="126">
                  <c:v>0.98617507536306193</c:v>
                </c:pt>
                <c:pt idx="127">
                  <c:v>0.96568527127093917</c:v>
                </c:pt>
                <c:pt idx="128">
                  <c:v>0.95383164588136427</c:v>
                </c:pt>
                <c:pt idx="129">
                  <c:v>0.94666060458700796</c:v>
                </c:pt>
                <c:pt idx="130">
                  <c:v>0.95841974096421145</c:v>
                </c:pt>
                <c:pt idx="131">
                  <c:v>0.99603135880657256</c:v>
                </c:pt>
                <c:pt idx="132">
                  <c:v>0.93767557463494056</c:v>
                </c:pt>
                <c:pt idx="133">
                  <c:v>0.94749766323641949</c:v>
                </c:pt>
                <c:pt idx="134">
                  <c:v>0.91139098944059294</c:v>
                </c:pt>
                <c:pt idx="135">
                  <c:v>0.93012776020447296</c:v>
                </c:pt>
                <c:pt idx="136">
                  <c:v>0.93625952087471298</c:v>
                </c:pt>
                <c:pt idx="137">
                  <c:v>0.92052219092096377</c:v>
                </c:pt>
                <c:pt idx="138">
                  <c:v>0.89779084538019482</c:v>
                </c:pt>
                <c:pt idx="139">
                  <c:v>0.89611698610597013</c:v>
                </c:pt>
                <c:pt idx="140">
                  <c:v>0.88500452355120884</c:v>
                </c:pt>
                <c:pt idx="141">
                  <c:v>0.90413737675352024</c:v>
                </c:pt>
                <c:pt idx="142">
                  <c:v>0.95499335930209761</c:v>
                </c:pt>
                <c:pt idx="143">
                  <c:v>0.96449899530849403</c:v>
                </c:pt>
                <c:pt idx="144">
                  <c:v>0.95260661071767605</c:v>
                </c:pt>
                <c:pt idx="145">
                  <c:v>1.0164168807192675</c:v>
                </c:pt>
                <c:pt idx="146">
                  <c:v>1.0616061365572131</c:v>
                </c:pt>
                <c:pt idx="147">
                  <c:v>1.0630994384521919</c:v>
                </c:pt>
                <c:pt idx="148">
                  <c:v>1.0629840519369314</c:v>
                </c:pt>
                <c:pt idx="149">
                  <c:v>1.004667850865905</c:v>
                </c:pt>
                <c:pt idx="150">
                  <c:v>0.98234197430918857</c:v>
                </c:pt>
                <c:pt idx="151">
                  <c:v>0.95172008895705107</c:v>
                </c:pt>
                <c:pt idx="152">
                  <c:v>0.97439238928129324</c:v>
                </c:pt>
                <c:pt idx="153">
                  <c:v>0.96295379858470254</c:v>
                </c:pt>
                <c:pt idx="154">
                  <c:v>0.96215274566236053</c:v>
                </c:pt>
                <c:pt idx="155">
                  <c:v>0.95603533606070512</c:v>
                </c:pt>
                <c:pt idx="156">
                  <c:v>0.9664193011279758</c:v>
                </c:pt>
                <c:pt idx="157">
                  <c:v>0.96164177653888672</c:v>
                </c:pt>
                <c:pt idx="158">
                  <c:v>0.98301767266277718</c:v>
                </c:pt>
                <c:pt idx="159">
                  <c:v>0.99430492144820681</c:v>
                </c:pt>
                <c:pt idx="160">
                  <c:v>0.99144612760078077</c:v>
                </c:pt>
                <c:pt idx="161">
                  <c:v>0.97716898025056909</c:v>
                </c:pt>
                <c:pt idx="162">
                  <c:v>0.94471555840334087</c:v>
                </c:pt>
                <c:pt idx="163">
                  <c:v>0.95053265714767943</c:v>
                </c:pt>
                <c:pt idx="164">
                  <c:v>0.93400867614558936</c:v>
                </c:pt>
                <c:pt idx="165">
                  <c:v>0.93263427251022657</c:v>
                </c:pt>
                <c:pt idx="166">
                  <c:v>0.91613567610876045</c:v>
                </c:pt>
                <c:pt idx="167">
                  <c:v>0.89362403291302128</c:v>
                </c:pt>
                <c:pt idx="168">
                  <c:v>0.89759797583487233</c:v>
                </c:pt>
                <c:pt idx="169">
                  <c:v>0.91599845230548915</c:v>
                </c:pt>
                <c:pt idx="170">
                  <c:v>0.90755805699252168</c:v>
                </c:pt>
                <c:pt idx="171">
                  <c:v>0.89303454113717318</c:v>
                </c:pt>
                <c:pt idx="172">
                  <c:v>0.91457670241597899</c:v>
                </c:pt>
                <c:pt idx="173">
                  <c:v>0.91424798391245909</c:v>
                </c:pt>
                <c:pt idx="174">
                  <c:v>0.87422033067576355</c:v>
                </c:pt>
                <c:pt idx="175">
                  <c:v>0.84831609902920901</c:v>
                </c:pt>
                <c:pt idx="176">
                  <c:v>0.83229690681682411</c:v>
                </c:pt>
                <c:pt idx="177">
                  <c:v>0.83455165851750635</c:v>
                </c:pt>
                <c:pt idx="178">
                  <c:v>0.88111940924808585</c:v>
                </c:pt>
                <c:pt idx="179">
                  <c:v>0.90671985807794131</c:v>
                </c:pt>
                <c:pt idx="180">
                  <c:v>0.90425705261809919</c:v>
                </c:pt>
                <c:pt idx="181">
                  <c:v>0.90233443426853177</c:v>
                </c:pt>
                <c:pt idx="182">
                  <c:v>0.88616409704267107</c:v>
                </c:pt>
                <c:pt idx="183">
                  <c:v>0.86735234429010499</c:v>
                </c:pt>
                <c:pt idx="184">
                  <c:v>0.87010118985685292</c:v>
                </c:pt>
                <c:pt idx="185">
                  <c:v>0.86013014819959155</c:v>
                </c:pt>
                <c:pt idx="186">
                  <c:v>0.85647440560297783</c:v>
                </c:pt>
                <c:pt idx="187">
                  <c:v>0.88895278731211003</c:v>
                </c:pt>
                <c:pt idx="188">
                  <c:v>0.86663144205113185</c:v>
                </c:pt>
                <c:pt idx="189">
                  <c:v>0.8711208893018878</c:v>
                </c:pt>
                <c:pt idx="190">
                  <c:v>0.91815821115959317</c:v>
                </c:pt>
                <c:pt idx="191">
                  <c:v>0.91705655956688892</c:v>
                </c:pt>
                <c:pt idx="192">
                  <c:v>0.90326717539987511</c:v>
                </c:pt>
                <c:pt idx="193">
                  <c:v>0.98658430003416797</c:v>
                </c:pt>
                <c:pt idx="194">
                  <c:v>0.99020013849145105</c:v>
                </c:pt>
                <c:pt idx="195">
                  <c:v>1.0040870395673838</c:v>
                </c:pt>
                <c:pt idx="196">
                  <c:v>1.0324858319284014</c:v>
                </c:pt>
                <c:pt idx="197">
                  <c:v>1.0551931251201054</c:v>
                </c:pt>
                <c:pt idx="198">
                  <c:v>1.108597534040128</c:v>
                </c:pt>
                <c:pt idx="199">
                  <c:v>1.0552598644284594</c:v>
                </c:pt>
                <c:pt idx="200">
                  <c:v>1.016711843767949</c:v>
                </c:pt>
                <c:pt idx="201">
                  <c:v>0.98542131991479098</c:v>
                </c:pt>
                <c:pt idx="202">
                  <c:v>0.95288352943781696</c:v>
                </c:pt>
                <c:pt idx="203">
                  <c:v>0.96141114447730602</c:v>
                </c:pt>
                <c:pt idx="204">
                  <c:v>0.9652975998059381</c:v>
                </c:pt>
                <c:pt idx="205">
                  <c:v>0.96363904859406546</c:v>
                </c:pt>
                <c:pt idx="206">
                  <c:v>0.92807337591465988</c:v>
                </c:pt>
                <c:pt idx="207">
                  <c:v>0.90845959891335093</c:v>
                </c:pt>
                <c:pt idx="208">
                  <c:v>0.91266913594486554</c:v>
                </c:pt>
                <c:pt idx="209">
                  <c:v>0.90549273189575696</c:v>
                </c:pt>
                <c:pt idx="210">
                  <c:v>0.93059869010656837</c:v>
                </c:pt>
                <c:pt idx="211">
                  <c:v>0.91755981547763987</c:v>
                </c:pt>
                <c:pt idx="212">
                  <c:v>0.91454224177126131</c:v>
                </c:pt>
                <c:pt idx="213">
                  <c:v>0.98072792056691616</c:v>
                </c:pt>
                <c:pt idx="214">
                  <c:v>0.97609673951875919</c:v>
                </c:pt>
                <c:pt idx="215">
                  <c:v>1.0182263663425075</c:v>
                </c:pt>
                <c:pt idx="216">
                  <c:v>1.045930471512978</c:v>
                </c:pt>
                <c:pt idx="217">
                  <c:v>1.0924979288246541</c:v>
                </c:pt>
                <c:pt idx="218">
                  <c:v>1.0688787159122952</c:v>
                </c:pt>
                <c:pt idx="219">
                  <c:v>1.0041467363799377</c:v>
                </c:pt>
                <c:pt idx="220">
                  <c:v>1.038919726432038</c:v>
                </c:pt>
                <c:pt idx="221">
                  <c:v>1.0656027000349695</c:v>
                </c:pt>
                <c:pt idx="222">
                  <c:v>1.0903190438068799</c:v>
                </c:pt>
                <c:pt idx="223">
                  <c:v>1.0862077766834506</c:v>
                </c:pt>
                <c:pt idx="224">
                  <c:v>1.0602687185805004</c:v>
                </c:pt>
                <c:pt idx="225">
                  <c:v>1.0616594947790245</c:v>
                </c:pt>
                <c:pt idx="226">
                  <c:v>1.046752235348311</c:v>
                </c:pt>
                <c:pt idx="227">
                  <c:v>1.0436026604794357</c:v>
                </c:pt>
                <c:pt idx="228">
                  <c:v>1.0509027190485314</c:v>
                </c:pt>
                <c:pt idx="229">
                  <c:v>1.0668586946572038</c:v>
                </c:pt>
                <c:pt idx="230">
                  <c:v>1.0838276939609555</c:v>
                </c:pt>
                <c:pt idx="231">
                  <c:v>1.0778573038461363</c:v>
                </c:pt>
                <c:pt idx="232">
                  <c:v>1.043935719912134</c:v>
                </c:pt>
                <c:pt idx="233">
                  <c:v>1.0503381971918062</c:v>
                </c:pt>
                <c:pt idx="234">
                  <c:v>1.0303715439112606</c:v>
                </c:pt>
                <c:pt idx="235">
                  <c:v>1.0359280121514087</c:v>
                </c:pt>
                <c:pt idx="236">
                  <c:v>1.0192801680292478</c:v>
                </c:pt>
                <c:pt idx="237">
                  <c:v>1.0058902235927025</c:v>
                </c:pt>
                <c:pt idx="238">
                  <c:v>1.0631248616180868</c:v>
                </c:pt>
                <c:pt idx="239">
                  <c:v>1.0981072712215396</c:v>
                </c:pt>
                <c:pt idx="240">
                  <c:v>1.105455904263575</c:v>
                </c:pt>
                <c:pt idx="241">
                  <c:v>1.09794083066415</c:v>
                </c:pt>
                <c:pt idx="242">
                  <c:v>1.1020018036633927</c:v>
                </c:pt>
                <c:pt idx="243">
                  <c:v>1.063599192332263</c:v>
                </c:pt>
                <c:pt idx="244">
                  <c:v>1.094420897577399</c:v>
                </c:pt>
                <c:pt idx="245">
                  <c:v>1.1495315542401057</c:v>
                </c:pt>
                <c:pt idx="246">
                  <c:v>1.1233171527924217</c:v>
                </c:pt>
                <c:pt idx="247">
                  <c:v>1.1830939274273018</c:v>
                </c:pt>
                <c:pt idx="248">
                  <c:v>1.2052144441201889</c:v>
                </c:pt>
                <c:pt idx="249">
                  <c:v>1.185635268922812</c:v>
                </c:pt>
                <c:pt idx="250">
                  <c:v>1.178844087588595</c:v>
                </c:pt>
                <c:pt idx="251">
                  <c:v>1.2268502726215269</c:v>
                </c:pt>
                <c:pt idx="252">
                  <c:v>1.2818930365517678</c:v>
                </c:pt>
                <c:pt idx="253">
                  <c:v>1.2104302030207512</c:v>
                </c:pt>
                <c:pt idx="254">
                  <c:v>1.2805088543205434</c:v>
                </c:pt>
                <c:pt idx="255">
                  <c:v>1.2942791539223151</c:v>
                </c:pt>
                <c:pt idx="256">
                  <c:v>1.3369895848387794</c:v>
                </c:pt>
                <c:pt idx="257">
                  <c:v>1.3385065485119121</c:v>
                </c:pt>
                <c:pt idx="258">
                  <c:v>1.3538826981864771</c:v>
                </c:pt>
                <c:pt idx="259">
                  <c:v>1.3689346408507328</c:v>
                </c:pt>
                <c:pt idx="260">
                  <c:v>1.3926368129369748</c:v>
                </c:pt>
                <c:pt idx="261">
                  <c:v>1.3785441886679057</c:v>
                </c:pt>
                <c:pt idx="262">
                  <c:v>1.2504102781325344</c:v>
                </c:pt>
                <c:pt idx="263">
                  <c:v>1.1595102586041692</c:v>
                </c:pt>
                <c:pt idx="264">
                  <c:v>1.2378261278899763</c:v>
                </c:pt>
                <c:pt idx="265">
                  <c:v>1.2153176323827226</c:v>
                </c:pt>
                <c:pt idx="266">
                  <c:v>1.2795245044767889</c:v>
                </c:pt>
                <c:pt idx="267">
                  <c:v>1.2825189795407876</c:v>
                </c:pt>
                <c:pt idx="268">
                  <c:v>1.263472270446208</c:v>
                </c:pt>
                <c:pt idx="269">
                  <c:v>1.2206628003810251</c:v>
                </c:pt>
                <c:pt idx="270">
                  <c:v>1.2001490184714119</c:v>
                </c:pt>
                <c:pt idx="271">
                  <c:v>1.1947612823046461</c:v>
                </c:pt>
                <c:pt idx="272">
                  <c:v>1.2050217832866637</c:v>
                </c:pt>
                <c:pt idx="273">
                  <c:v>1.2047023751017607</c:v>
                </c:pt>
                <c:pt idx="274">
                  <c:v>1.1894530012135258</c:v>
                </c:pt>
                <c:pt idx="275">
                  <c:v>1.2327412854875244</c:v>
                </c:pt>
                <c:pt idx="276">
                  <c:v>1.216838474544651</c:v>
                </c:pt>
                <c:pt idx="277">
                  <c:v>1.2726211723046692</c:v>
                </c:pt>
                <c:pt idx="278">
                  <c:v>1.2880160834896446</c:v>
                </c:pt>
                <c:pt idx="279">
                  <c:v>1.3296375948412924</c:v>
                </c:pt>
                <c:pt idx="280">
                  <c:v>1.3207456320781981</c:v>
                </c:pt>
                <c:pt idx="281">
                  <c:v>1.3262038669857947</c:v>
                </c:pt>
                <c:pt idx="282">
                  <c:v>1.3404503473997174</c:v>
                </c:pt>
                <c:pt idx="283">
                  <c:v>1.2545486681386564</c:v>
                </c:pt>
                <c:pt idx="284">
                  <c:v>1.2089099167769821</c:v>
                </c:pt>
                <c:pt idx="285">
                  <c:v>1.2232618366036727</c:v>
                </c:pt>
                <c:pt idx="286">
                  <c:v>1.2304227680666142</c:v>
                </c:pt>
                <c:pt idx="287">
                  <c:v>1.234427450500819</c:v>
                </c:pt>
                <c:pt idx="288">
                  <c:v>1.1883119332077787</c:v>
                </c:pt>
                <c:pt idx="289">
                  <c:v>1.1908134194581506</c:v>
                </c:pt>
                <c:pt idx="290">
                  <c:v>1.1588622246722873</c:v>
                </c:pt>
                <c:pt idx="291">
                  <c:v>1.1522980151731874</c:v>
                </c:pt>
                <c:pt idx="292">
                  <c:v>1.1518546312203926</c:v>
                </c:pt>
                <c:pt idx="293">
                  <c:v>1.2019922563352081</c:v>
                </c:pt>
                <c:pt idx="294">
                  <c:v>1.1741577887698234</c:v>
                </c:pt>
                <c:pt idx="295">
                  <c:v>1.1401641085709031</c:v>
                </c:pt>
                <c:pt idx="296">
                  <c:v>1.1349946809804516</c:v>
                </c:pt>
                <c:pt idx="297">
                  <c:v>1.1289199523587619</c:v>
                </c:pt>
                <c:pt idx="298">
                  <c:v>1.1151831211989403</c:v>
                </c:pt>
                <c:pt idx="299">
                  <c:v>1.1360066808590523</c:v>
                </c:pt>
                <c:pt idx="300">
                  <c:v>1.1462481385160765</c:v>
                </c:pt>
                <c:pt idx="301">
                  <c:v>1.134160295848287</c:v>
                </c:pt>
                <c:pt idx="302">
                  <c:v>1.1494135116020947</c:v>
                </c:pt>
                <c:pt idx="303">
                  <c:v>1.134633289674021</c:v>
                </c:pt>
                <c:pt idx="304">
                  <c:v>1.0933289100308532</c:v>
                </c:pt>
                <c:pt idx="305">
                  <c:v>1.0747592894288998</c:v>
                </c:pt>
                <c:pt idx="306">
                  <c:v>1.1214980450687355</c:v>
                </c:pt>
                <c:pt idx="307">
                  <c:v>1.3116776975242015</c:v>
                </c:pt>
                <c:pt idx="308">
                  <c:v>1.1808183149634841</c:v>
                </c:pt>
                <c:pt idx="309">
                  <c:v>1.2284585421971908</c:v>
                </c:pt>
                <c:pt idx="310">
                  <c:v>1.3724165240701665</c:v>
                </c:pt>
                <c:pt idx="311">
                  <c:v>1.3238155512828207</c:v>
                </c:pt>
                <c:pt idx="312">
                  <c:v>1.3632803220966623</c:v>
                </c:pt>
                <c:pt idx="313">
                  <c:v>1.3335808471706332</c:v>
                </c:pt>
                <c:pt idx="314">
                  <c:v>1.3940786046171292</c:v>
                </c:pt>
                <c:pt idx="315">
                  <c:v>1.3986014312324526</c:v>
                </c:pt>
                <c:pt idx="316">
                  <c:v>1.327067100284564</c:v>
                </c:pt>
                <c:pt idx="317">
                  <c:v>1.3108971784168564</c:v>
                </c:pt>
                <c:pt idx="318">
                  <c:v>1.2665032372823424</c:v>
                </c:pt>
                <c:pt idx="319">
                  <c:v>1.2535868493074409</c:v>
                </c:pt>
                <c:pt idx="320">
                  <c:v>1.2366844711490173</c:v>
                </c:pt>
                <c:pt idx="321">
                  <c:v>1.1724897997843231</c:v>
                </c:pt>
                <c:pt idx="322">
                  <c:v>1.1022474704011256</c:v>
                </c:pt>
                <c:pt idx="323">
                  <c:v>1.1077538263963804</c:v>
                </c:pt>
                <c:pt idx="324">
                  <c:v>1.1485960538314843</c:v>
                </c:pt>
                <c:pt idx="325">
                  <c:v>1.1604931529144198</c:v>
                </c:pt>
                <c:pt idx="326">
                  <c:v>1.2863256741002658</c:v>
                </c:pt>
                <c:pt idx="327">
                  <c:v>1.1775726196823613</c:v>
                </c:pt>
                <c:pt idx="328">
                  <c:v>1.1466146615285817</c:v>
                </c:pt>
                <c:pt idx="329">
                  <c:v>1.1653563427017657</c:v>
                </c:pt>
                <c:pt idx="330">
                  <c:v>1.1887699066193316</c:v>
                </c:pt>
                <c:pt idx="331">
                  <c:v>1.1538613803982949</c:v>
                </c:pt>
                <c:pt idx="332">
                  <c:v>1.1524586675114241</c:v>
                </c:pt>
                <c:pt idx="333">
                  <c:v>1.147377044752161</c:v>
                </c:pt>
                <c:pt idx="334">
                  <c:v>1.1549052954590309</c:v>
                </c:pt>
                <c:pt idx="335">
                  <c:v>1.1575438436124679</c:v>
                </c:pt>
                <c:pt idx="336">
                  <c:v>1.1871853614570833</c:v>
                </c:pt>
                <c:pt idx="337">
                  <c:v>1.1906903160684232</c:v>
                </c:pt>
                <c:pt idx="338">
                  <c:v>1.2131618619004345</c:v>
                </c:pt>
                <c:pt idx="339">
                  <c:v>1.1930396854931793</c:v>
                </c:pt>
                <c:pt idx="340">
                  <c:v>1.2192250775652076</c:v>
                </c:pt>
                <c:pt idx="341">
                  <c:v>1.1578681402865807</c:v>
                </c:pt>
                <c:pt idx="342">
                  <c:v>1.1526884101172656</c:v>
                </c:pt>
                <c:pt idx="343">
                  <c:v>1.166340669110687</c:v>
                </c:pt>
                <c:pt idx="344">
                  <c:v>1.1955201865870744</c:v>
                </c:pt>
                <c:pt idx="345">
                  <c:v>1.1569267740607627</c:v>
                </c:pt>
                <c:pt idx="346">
                  <c:v>1.1389255955912847</c:v>
                </c:pt>
                <c:pt idx="347">
                  <c:v>1.1261639861626742</c:v>
                </c:pt>
                <c:pt idx="348">
                  <c:v>1.1453000547358398</c:v>
                </c:pt>
                <c:pt idx="349">
                  <c:v>1.1610048448569166</c:v>
                </c:pt>
                <c:pt idx="350">
                  <c:v>1.1101848464956119</c:v>
                </c:pt>
                <c:pt idx="351">
                  <c:v>1.1299486151980573</c:v>
                </c:pt>
                <c:pt idx="352">
                  <c:v>1.1288350950834485</c:v>
                </c:pt>
                <c:pt idx="353">
                  <c:v>1.1207712178917952</c:v>
                </c:pt>
                <c:pt idx="354">
                  <c:v>1.1020012782341693</c:v>
                </c:pt>
                <c:pt idx="355">
                  <c:v>1.1154683185054599</c:v>
                </c:pt>
                <c:pt idx="356">
                  <c:v>1.1809821409666001</c:v>
                </c:pt>
                <c:pt idx="357">
                  <c:v>1.1451495635279545</c:v>
                </c:pt>
                <c:pt idx="358">
                  <c:v>1.1978168108237861</c:v>
                </c:pt>
                <c:pt idx="359">
                  <c:v>1.1958424093462985</c:v>
                </c:pt>
                <c:pt idx="360">
                  <c:v>1.1815533587203659</c:v>
                </c:pt>
                <c:pt idx="361">
                  <c:v>1.1938647880118736</c:v>
                </c:pt>
                <c:pt idx="362">
                  <c:v>1.2038882848208825</c:v>
                </c:pt>
                <c:pt idx="363">
                  <c:v>1.1410269988926658</c:v>
                </c:pt>
                <c:pt idx="364">
                  <c:v>1.1513012264357423</c:v>
                </c:pt>
                <c:pt idx="365">
                  <c:v>1.161087569852989</c:v>
                </c:pt>
                <c:pt idx="366">
                  <c:v>1.0753533572905618</c:v>
                </c:pt>
                <c:pt idx="367">
                  <c:v>1.0522153802965832</c:v>
                </c:pt>
                <c:pt idx="368">
                  <c:v>1.0690082169544297</c:v>
                </c:pt>
                <c:pt idx="369">
                  <c:v>1.1005725010810921</c:v>
                </c:pt>
                <c:pt idx="370">
                  <c:v>1.0975828225766948</c:v>
                </c:pt>
                <c:pt idx="371">
                  <c:v>1.1495970743273538</c:v>
                </c:pt>
                <c:pt idx="372">
                  <c:v>1.1416354551734449</c:v>
                </c:pt>
                <c:pt idx="373">
                  <c:v>1.1019323113099513</c:v>
                </c:pt>
                <c:pt idx="374">
                  <c:v>1.1243891658828424</c:v>
                </c:pt>
                <c:pt idx="375">
                  <c:v>1.1287930816157601</c:v>
                </c:pt>
                <c:pt idx="376">
                  <c:v>1.1260912329630521</c:v>
                </c:pt>
                <c:pt idx="377">
                  <c:v>1.1176025300348447</c:v>
                </c:pt>
                <c:pt idx="378">
                  <c:v>1.1072478511220183</c:v>
                </c:pt>
                <c:pt idx="379">
                  <c:v>1.0804574224624492</c:v>
                </c:pt>
                <c:pt idx="380">
                  <c:v>1.0954882559976318</c:v>
                </c:pt>
                <c:pt idx="381">
                  <c:v>1.0780292157087537</c:v>
                </c:pt>
                <c:pt idx="382">
                  <c:v>1.0944210375343639</c:v>
                </c:pt>
                <c:pt idx="383">
                  <c:v>1.1582085598807037</c:v>
                </c:pt>
                <c:pt idx="384">
                  <c:v>1.2038756391779819</c:v>
                </c:pt>
                <c:pt idx="385">
                  <c:v>1.1908203043927883</c:v>
                </c:pt>
                <c:pt idx="386">
                  <c:v>1.1856251090153642</c:v>
                </c:pt>
                <c:pt idx="387">
                  <c:v>1.1982669159261892</c:v>
                </c:pt>
                <c:pt idx="388">
                  <c:v>1.1999319638029513</c:v>
                </c:pt>
                <c:pt idx="389">
                  <c:v>1.234110259264106</c:v>
                </c:pt>
                <c:pt idx="390">
                  <c:v>1.1932265595703073</c:v>
                </c:pt>
                <c:pt idx="391">
                  <c:v>1.2169874941314136</c:v>
                </c:pt>
                <c:pt idx="392">
                  <c:v>1.1970983792521053</c:v>
                </c:pt>
                <c:pt idx="393">
                  <c:v>1.2332402930056787</c:v>
                </c:pt>
                <c:pt idx="394">
                  <c:v>1.2414836875907198</c:v>
                </c:pt>
                <c:pt idx="395">
                  <c:v>1.2775604400184797</c:v>
                </c:pt>
                <c:pt idx="396">
                  <c:v>1.2576129091939843</c:v>
                </c:pt>
                <c:pt idx="397">
                  <c:v>1.2770425491691708</c:v>
                </c:pt>
                <c:pt idx="398">
                  <c:v>1.2991630649955632</c:v>
                </c:pt>
                <c:pt idx="399">
                  <c:v>1.3319791493378392</c:v>
                </c:pt>
                <c:pt idx="400">
                  <c:v>1.2936720884981019</c:v>
                </c:pt>
                <c:pt idx="401">
                  <c:v>1.2961176338258995</c:v>
                </c:pt>
                <c:pt idx="402">
                  <c:v>1.2780782186829989</c:v>
                </c:pt>
                <c:pt idx="403">
                  <c:v>1.2656910268618584</c:v>
                </c:pt>
                <c:pt idx="404">
                  <c:v>1.2665320510299298</c:v>
                </c:pt>
                <c:pt idx="405">
                  <c:v>1.2611878996938168</c:v>
                </c:pt>
                <c:pt idx="406">
                  <c:v>1.2619952577860978</c:v>
                </c:pt>
                <c:pt idx="407">
                  <c:v>1.2377555417169885</c:v>
                </c:pt>
                <c:pt idx="408">
                  <c:v>1.2624273415068878</c:v>
                </c:pt>
                <c:pt idx="409">
                  <c:v>1.2325679070104334</c:v>
                </c:pt>
                <c:pt idx="410">
                  <c:v>1.2620838809800545</c:v>
                </c:pt>
                <c:pt idx="411">
                  <c:v>1.310242776707734</c:v>
                </c:pt>
                <c:pt idx="412">
                  <c:v>1.2795199261048922</c:v>
                </c:pt>
                <c:pt idx="413">
                  <c:v>1.3349213257722903</c:v>
                </c:pt>
                <c:pt idx="414">
                  <c:v>1.3466497001116471</c:v>
                </c:pt>
                <c:pt idx="415">
                  <c:v>1.3325730124881678</c:v>
                </c:pt>
                <c:pt idx="416">
                  <c:v>1.3251118810147469</c:v>
                </c:pt>
                <c:pt idx="417">
                  <c:v>1.2846988524942609</c:v>
                </c:pt>
                <c:pt idx="418">
                  <c:v>1.2592509229002491</c:v>
                </c:pt>
                <c:pt idx="419">
                  <c:v>1.2323448049648349</c:v>
                </c:pt>
                <c:pt idx="420">
                  <c:v>1.2437269713982748</c:v>
                </c:pt>
                <c:pt idx="421">
                  <c:v>1.2526877344099243</c:v>
                </c:pt>
                <c:pt idx="422">
                  <c:v>1.2492030884452814</c:v>
                </c:pt>
                <c:pt idx="423">
                  <c:v>1.3028314954680105</c:v>
                </c:pt>
                <c:pt idx="424">
                  <c:v>1.2905099160168603</c:v>
                </c:pt>
                <c:pt idx="425">
                  <c:v>1.3371463224411899</c:v>
                </c:pt>
                <c:pt idx="426">
                  <c:v>1.3500188907717976</c:v>
                </c:pt>
                <c:pt idx="427">
                  <c:v>1.4155082279162079</c:v>
                </c:pt>
                <c:pt idx="428">
                  <c:v>1.3860155643071057</c:v>
                </c:pt>
                <c:pt idx="429">
                  <c:v>1.4009290801462144</c:v>
                </c:pt>
                <c:pt idx="430">
                  <c:v>1.3705280619834093</c:v>
                </c:pt>
                <c:pt idx="431">
                  <c:v>1.3090151824447933</c:v>
                </c:pt>
                <c:pt idx="432">
                  <c:v>1.2675072044681877</c:v>
                </c:pt>
                <c:pt idx="433">
                  <c:v>1.2822390837801469</c:v>
                </c:pt>
                <c:pt idx="434">
                  <c:v>1.2808481847885285</c:v>
                </c:pt>
                <c:pt idx="435">
                  <c:v>1.2814974017459861</c:v>
                </c:pt>
                <c:pt idx="436">
                  <c:v>1.261760498746421</c:v>
                </c:pt>
                <c:pt idx="437">
                  <c:v>1.2292541128895895</c:v>
                </c:pt>
                <c:pt idx="438">
                  <c:v>1.1912028583649255</c:v>
                </c:pt>
                <c:pt idx="439">
                  <c:v>1.1767727684479206</c:v>
                </c:pt>
                <c:pt idx="440">
                  <c:v>1.1706643935705705</c:v>
                </c:pt>
                <c:pt idx="441">
                  <c:v>1.1768192335411918</c:v>
                </c:pt>
                <c:pt idx="442">
                  <c:v>1.1759870763496576</c:v>
                </c:pt>
                <c:pt idx="443">
                  <c:v>1.1534558466048639</c:v>
                </c:pt>
                <c:pt idx="444">
                  <c:v>1.1595037382665498</c:v>
                </c:pt>
                <c:pt idx="445">
                  <c:v>1.1539078229501085</c:v>
                </c:pt>
                <c:pt idx="446">
                  <c:v>1.1728641239013708</c:v>
                </c:pt>
                <c:pt idx="447">
                  <c:v>1.182569399558357</c:v>
                </c:pt>
                <c:pt idx="448">
                  <c:v>1.1713472403235303</c:v>
                </c:pt>
                <c:pt idx="449">
                  <c:v>1.1681461728024323</c:v>
                </c:pt>
                <c:pt idx="450">
                  <c:v>1.175390030086215</c:v>
                </c:pt>
                <c:pt idx="451">
                  <c:v>1.1846939163473666</c:v>
                </c:pt>
                <c:pt idx="452">
                  <c:v>1.1737428136080648</c:v>
                </c:pt>
                <c:pt idx="453">
                  <c:v>1.1882717312061379</c:v>
                </c:pt>
                <c:pt idx="454">
                  <c:v>1.1905050982088767</c:v>
                </c:pt>
                <c:pt idx="455">
                  <c:v>1.1942726222023914</c:v>
                </c:pt>
                <c:pt idx="456">
                  <c:v>1.1724840597631287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0-4761-B07A-7C3C35F3B7DB}"/>
            </c:ext>
          </c:extLst>
        </c:ser>
        <c:ser>
          <c:idx val="1"/>
          <c:order val="1"/>
          <c:tx>
            <c:v>Q10</c:v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'Indice Utilities'!$AM$58:$AM$4000</c:f>
              <c:numCache>
                <c:formatCode>m/d/yyyy</c:formatCode>
                <c:ptCount val="3943"/>
                <c:pt idx="0">
                  <c:v>43105</c:v>
                </c:pt>
                <c:pt idx="1">
                  <c:v>43112</c:v>
                </c:pt>
                <c:pt idx="2">
                  <c:v>43119</c:v>
                </c:pt>
                <c:pt idx="3">
                  <c:v>43126</c:v>
                </c:pt>
                <c:pt idx="4">
                  <c:v>43133</c:v>
                </c:pt>
                <c:pt idx="5">
                  <c:v>43140</c:v>
                </c:pt>
                <c:pt idx="6">
                  <c:v>43147</c:v>
                </c:pt>
                <c:pt idx="7">
                  <c:v>43154</c:v>
                </c:pt>
                <c:pt idx="8">
                  <c:v>43161</c:v>
                </c:pt>
                <c:pt idx="9">
                  <c:v>43168</c:v>
                </c:pt>
                <c:pt idx="10">
                  <c:v>43175</c:v>
                </c:pt>
                <c:pt idx="11">
                  <c:v>43182</c:v>
                </c:pt>
                <c:pt idx="12">
                  <c:v>43189</c:v>
                </c:pt>
                <c:pt idx="13">
                  <c:v>43196</c:v>
                </c:pt>
                <c:pt idx="14">
                  <c:v>43203</c:v>
                </c:pt>
                <c:pt idx="15">
                  <c:v>43210</c:v>
                </c:pt>
                <c:pt idx="16">
                  <c:v>43217</c:v>
                </c:pt>
                <c:pt idx="17">
                  <c:v>43224</c:v>
                </c:pt>
                <c:pt idx="18">
                  <c:v>43231</c:v>
                </c:pt>
                <c:pt idx="19">
                  <c:v>43238</c:v>
                </c:pt>
                <c:pt idx="20">
                  <c:v>43245</c:v>
                </c:pt>
                <c:pt idx="21">
                  <c:v>43252</c:v>
                </c:pt>
                <c:pt idx="22">
                  <c:v>43259</c:v>
                </c:pt>
                <c:pt idx="23">
                  <c:v>43266</c:v>
                </c:pt>
                <c:pt idx="24">
                  <c:v>43273</c:v>
                </c:pt>
                <c:pt idx="25">
                  <c:v>43280</c:v>
                </c:pt>
                <c:pt idx="26">
                  <c:v>43287</c:v>
                </c:pt>
                <c:pt idx="27">
                  <c:v>43294</c:v>
                </c:pt>
                <c:pt idx="28">
                  <c:v>43301</c:v>
                </c:pt>
                <c:pt idx="29">
                  <c:v>43308</c:v>
                </c:pt>
                <c:pt idx="30">
                  <c:v>43315</c:v>
                </c:pt>
                <c:pt idx="31">
                  <c:v>43322</c:v>
                </c:pt>
                <c:pt idx="32">
                  <c:v>43329</c:v>
                </c:pt>
                <c:pt idx="33">
                  <c:v>43336</c:v>
                </c:pt>
                <c:pt idx="34">
                  <c:v>43343</c:v>
                </c:pt>
                <c:pt idx="35">
                  <c:v>43350</c:v>
                </c:pt>
                <c:pt idx="36">
                  <c:v>43357</c:v>
                </c:pt>
                <c:pt idx="37">
                  <c:v>43364</c:v>
                </c:pt>
                <c:pt idx="38">
                  <c:v>43371</c:v>
                </c:pt>
                <c:pt idx="39">
                  <c:v>43378</c:v>
                </c:pt>
                <c:pt idx="40">
                  <c:v>43385</c:v>
                </c:pt>
                <c:pt idx="41">
                  <c:v>43392</c:v>
                </c:pt>
                <c:pt idx="42">
                  <c:v>43399</c:v>
                </c:pt>
                <c:pt idx="43">
                  <c:v>43406</c:v>
                </c:pt>
                <c:pt idx="44">
                  <c:v>43413</c:v>
                </c:pt>
                <c:pt idx="45">
                  <c:v>43420</c:v>
                </c:pt>
                <c:pt idx="46">
                  <c:v>43427</c:v>
                </c:pt>
                <c:pt idx="47">
                  <c:v>43434</c:v>
                </c:pt>
                <c:pt idx="48">
                  <c:v>43441</c:v>
                </c:pt>
                <c:pt idx="49">
                  <c:v>43448</c:v>
                </c:pt>
                <c:pt idx="50">
                  <c:v>43455</c:v>
                </c:pt>
                <c:pt idx="51">
                  <c:v>43462</c:v>
                </c:pt>
                <c:pt idx="52">
                  <c:v>43469</c:v>
                </c:pt>
                <c:pt idx="53">
                  <c:v>43476</c:v>
                </c:pt>
                <c:pt idx="54">
                  <c:v>43483</c:v>
                </c:pt>
                <c:pt idx="55">
                  <c:v>43490</c:v>
                </c:pt>
                <c:pt idx="56">
                  <c:v>43497</c:v>
                </c:pt>
                <c:pt idx="57">
                  <c:v>43504</c:v>
                </c:pt>
                <c:pt idx="58">
                  <c:v>43511</c:v>
                </c:pt>
                <c:pt idx="59">
                  <c:v>43518</c:v>
                </c:pt>
                <c:pt idx="60">
                  <c:v>43525</c:v>
                </c:pt>
                <c:pt idx="61">
                  <c:v>43532</c:v>
                </c:pt>
                <c:pt idx="62">
                  <c:v>43539</c:v>
                </c:pt>
                <c:pt idx="63">
                  <c:v>43546</c:v>
                </c:pt>
                <c:pt idx="64">
                  <c:v>43553</c:v>
                </c:pt>
                <c:pt idx="65">
                  <c:v>43560</c:v>
                </c:pt>
                <c:pt idx="66">
                  <c:v>43567</c:v>
                </c:pt>
                <c:pt idx="67">
                  <c:v>43574</c:v>
                </c:pt>
                <c:pt idx="68">
                  <c:v>43581</c:v>
                </c:pt>
                <c:pt idx="69">
                  <c:v>43588</c:v>
                </c:pt>
                <c:pt idx="70">
                  <c:v>43595</c:v>
                </c:pt>
                <c:pt idx="71">
                  <c:v>43602</c:v>
                </c:pt>
                <c:pt idx="72">
                  <c:v>43609</c:v>
                </c:pt>
                <c:pt idx="73">
                  <c:v>43616</c:v>
                </c:pt>
                <c:pt idx="74">
                  <c:v>43623</c:v>
                </c:pt>
                <c:pt idx="75">
                  <c:v>43630</c:v>
                </c:pt>
                <c:pt idx="76">
                  <c:v>43637</c:v>
                </c:pt>
                <c:pt idx="77">
                  <c:v>43644</c:v>
                </c:pt>
                <c:pt idx="78">
                  <c:v>43651</c:v>
                </c:pt>
                <c:pt idx="79">
                  <c:v>43658</c:v>
                </c:pt>
                <c:pt idx="80">
                  <c:v>43665</c:v>
                </c:pt>
                <c:pt idx="81">
                  <c:v>43672</c:v>
                </c:pt>
                <c:pt idx="82">
                  <c:v>43679</c:v>
                </c:pt>
                <c:pt idx="83">
                  <c:v>43686</c:v>
                </c:pt>
                <c:pt idx="84">
                  <c:v>43693</c:v>
                </c:pt>
                <c:pt idx="85">
                  <c:v>43700</c:v>
                </c:pt>
                <c:pt idx="86">
                  <c:v>43707</c:v>
                </c:pt>
                <c:pt idx="87">
                  <c:v>43714</c:v>
                </c:pt>
                <c:pt idx="88">
                  <c:v>43721</c:v>
                </c:pt>
                <c:pt idx="89">
                  <c:v>43728</c:v>
                </c:pt>
                <c:pt idx="90">
                  <c:v>43735</c:v>
                </c:pt>
                <c:pt idx="91">
                  <c:v>43742</c:v>
                </c:pt>
                <c:pt idx="92">
                  <c:v>43749</c:v>
                </c:pt>
                <c:pt idx="93">
                  <c:v>43756</c:v>
                </c:pt>
                <c:pt idx="94">
                  <c:v>43763</c:v>
                </c:pt>
                <c:pt idx="95">
                  <c:v>43770</c:v>
                </c:pt>
                <c:pt idx="96">
                  <c:v>43777</c:v>
                </c:pt>
                <c:pt idx="97">
                  <c:v>43784</c:v>
                </c:pt>
                <c:pt idx="98">
                  <c:v>43791</c:v>
                </c:pt>
                <c:pt idx="99">
                  <c:v>43798</c:v>
                </c:pt>
                <c:pt idx="100">
                  <c:v>43805</c:v>
                </c:pt>
                <c:pt idx="101">
                  <c:v>43812</c:v>
                </c:pt>
                <c:pt idx="102">
                  <c:v>43819</c:v>
                </c:pt>
                <c:pt idx="103">
                  <c:v>43826</c:v>
                </c:pt>
                <c:pt idx="104">
                  <c:v>43833</c:v>
                </c:pt>
                <c:pt idx="105">
                  <c:v>43840</c:v>
                </c:pt>
                <c:pt idx="106">
                  <c:v>43847</c:v>
                </c:pt>
                <c:pt idx="107">
                  <c:v>43854</c:v>
                </c:pt>
                <c:pt idx="108">
                  <c:v>43861</c:v>
                </c:pt>
                <c:pt idx="109">
                  <c:v>43868</c:v>
                </c:pt>
                <c:pt idx="110">
                  <c:v>43875</c:v>
                </c:pt>
                <c:pt idx="111">
                  <c:v>43882</c:v>
                </c:pt>
                <c:pt idx="112">
                  <c:v>43889</c:v>
                </c:pt>
                <c:pt idx="113">
                  <c:v>43896</c:v>
                </c:pt>
                <c:pt idx="114">
                  <c:v>43903</c:v>
                </c:pt>
                <c:pt idx="115">
                  <c:v>43910</c:v>
                </c:pt>
                <c:pt idx="116">
                  <c:v>43917</c:v>
                </c:pt>
                <c:pt idx="117">
                  <c:v>43924</c:v>
                </c:pt>
                <c:pt idx="118">
                  <c:v>43931</c:v>
                </c:pt>
                <c:pt idx="119">
                  <c:v>43938</c:v>
                </c:pt>
                <c:pt idx="120">
                  <c:v>43945</c:v>
                </c:pt>
                <c:pt idx="121">
                  <c:v>43952</c:v>
                </c:pt>
                <c:pt idx="122">
                  <c:v>43959</c:v>
                </c:pt>
                <c:pt idx="123">
                  <c:v>43966</c:v>
                </c:pt>
                <c:pt idx="124">
                  <c:v>43973</c:v>
                </c:pt>
                <c:pt idx="125">
                  <c:v>43980</c:v>
                </c:pt>
                <c:pt idx="126">
                  <c:v>43987</c:v>
                </c:pt>
                <c:pt idx="127">
                  <c:v>43994</c:v>
                </c:pt>
                <c:pt idx="128">
                  <c:v>44001</c:v>
                </c:pt>
                <c:pt idx="129">
                  <c:v>44008</c:v>
                </c:pt>
                <c:pt idx="130">
                  <c:v>44015</c:v>
                </c:pt>
                <c:pt idx="131">
                  <c:v>44022</c:v>
                </c:pt>
                <c:pt idx="132">
                  <c:v>44029</c:v>
                </c:pt>
                <c:pt idx="133">
                  <c:v>44036</c:v>
                </c:pt>
                <c:pt idx="134">
                  <c:v>44043</c:v>
                </c:pt>
                <c:pt idx="135">
                  <c:v>44050</c:v>
                </c:pt>
                <c:pt idx="136">
                  <c:v>44057</c:v>
                </c:pt>
                <c:pt idx="137">
                  <c:v>44064</c:v>
                </c:pt>
                <c:pt idx="138">
                  <c:v>44071</c:v>
                </c:pt>
                <c:pt idx="139">
                  <c:v>44078</c:v>
                </c:pt>
                <c:pt idx="140">
                  <c:v>44085</c:v>
                </c:pt>
                <c:pt idx="141">
                  <c:v>44092</c:v>
                </c:pt>
                <c:pt idx="142">
                  <c:v>44099</c:v>
                </c:pt>
                <c:pt idx="143">
                  <c:v>44106</c:v>
                </c:pt>
                <c:pt idx="144">
                  <c:v>44113</c:v>
                </c:pt>
                <c:pt idx="145">
                  <c:v>44120</c:v>
                </c:pt>
                <c:pt idx="146">
                  <c:v>44127</c:v>
                </c:pt>
                <c:pt idx="147">
                  <c:v>44134</c:v>
                </c:pt>
                <c:pt idx="148">
                  <c:v>44141</c:v>
                </c:pt>
                <c:pt idx="149">
                  <c:v>44148</c:v>
                </c:pt>
                <c:pt idx="150">
                  <c:v>44155</c:v>
                </c:pt>
                <c:pt idx="151">
                  <c:v>44162</c:v>
                </c:pt>
                <c:pt idx="152">
                  <c:v>44169</c:v>
                </c:pt>
                <c:pt idx="153">
                  <c:v>44176</c:v>
                </c:pt>
                <c:pt idx="154">
                  <c:v>44183</c:v>
                </c:pt>
                <c:pt idx="155">
                  <c:v>44190</c:v>
                </c:pt>
                <c:pt idx="156">
                  <c:v>44197</c:v>
                </c:pt>
                <c:pt idx="157">
                  <c:v>44204</c:v>
                </c:pt>
                <c:pt idx="158">
                  <c:v>44211</c:v>
                </c:pt>
                <c:pt idx="159">
                  <c:v>44218</c:v>
                </c:pt>
                <c:pt idx="160">
                  <c:v>44225</c:v>
                </c:pt>
                <c:pt idx="161">
                  <c:v>44232</c:v>
                </c:pt>
                <c:pt idx="162">
                  <c:v>44239</c:v>
                </c:pt>
                <c:pt idx="163">
                  <c:v>44246</c:v>
                </c:pt>
                <c:pt idx="164">
                  <c:v>44253</c:v>
                </c:pt>
                <c:pt idx="165">
                  <c:v>44260</c:v>
                </c:pt>
                <c:pt idx="166">
                  <c:v>44267</c:v>
                </c:pt>
                <c:pt idx="167">
                  <c:v>44274</c:v>
                </c:pt>
                <c:pt idx="168">
                  <c:v>44281</c:v>
                </c:pt>
                <c:pt idx="169">
                  <c:v>44288</c:v>
                </c:pt>
                <c:pt idx="170">
                  <c:v>44295</c:v>
                </c:pt>
                <c:pt idx="171">
                  <c:v>44302</c:v>
                </c:pt>
                <c:pt idx="172">
                  <c:v>44309</c:v>
                </c:pt>
                <c:pt idx="173">
                  <c:v>44316</c:v>
                </c:pt>
                <c:pt idx="174">
                  <c:v>44323</c:v>
                </c:pt>
                <c:pt idx="175">
                  <c:v>44330</c:v>
                </c:pt>
                <c:pt idx="176">
                  <c:v>44337</c:v>
                </c:pt>
                <c:pt idx="177">
                  <c:v>44344</c:v>
                </c:pt>
                <c:pt idx="178">
                  <c:v>44351</c:v>
                </c:pt>
                <c:pt idx="179">
                  <c:v>44358</c:v>
                </c:pt>
                <c:pt idx="180">
                  <c:v>44365</c:v>
                </c:pt>
                <c:pt idx="181">
                  <c:v>44372</c:v>
                </c:pt>
                <c:pt idx="182">
                  <c:v>44379</c:v>
                </c:pt>
                <c:pt idx="183">
                  <c:v>44386</c:v>
                </c:pt>
                <c:pt idx="184">
                  <c:v>44393</c:v>
                </c:pt>
                <c:pt idx="185">
                  <c:v>44400</c:v>
                </c:pt>
                <c:pt idx="186">
                  <c:v>44407</c:v>
                </c:pt>
                <c:pt idx="187">
                  <c:v>44414</c:v>
                </c:pt>
                <c:pt idx="188">
                  <c:v>44421</c:v>
                </c:pt>
                <c:pt idx="189">
                  <c:v>44428</c:v>
                </c:pt>
                <c:pt idx="190">
                  <c:v>44435</c:v>
                </c:pt>
                <c:pt idx="191">
                  <c:v>44442</c:v>
                </c:pt>
                <c:pt idx="192">
                  <c:v>44449</c:v>
                </c:pt>
                <c:pt idx="193">
                  <c:v>44456</c:v>
                </c:pt>
                <c:pt idx="194">
                  <c:v>44463</c:v>
                </c:pt>
                <c:pt idx="195">
                  <c:v>44470</c:v>
                </c:pt>
                <c:pt idx="196">
                  <c:v>44477</c:v>
                </c:pt>
                <c:pt idx="197">
                  <c:v>44484</c:v>
                </c:pt>
                <c:pt idx="198">
                  <c:v>44491</c:v>
                </c:pt>
                <c:pt idx="199">
                  <c:v>44498</c:v>
                </c:pt>
                <c:pt idx="200">
                  <c:v>44505</c:v>
                </c:pt>
                <c:pt idx="201">
                  <c:v>44512</c:v>
                </c:pt>
                <c:pt idx="202">
                  <c:v>44519</c:v>
                </c:pt>
                <c:pt idx="203">
                  <c:v>44526</c:v>
                </c:pt>
                <c:pt idx="204">
                  <c:v>44533</c:v>
                </c:pt>
                <c:pt idx="205">
                  <c:v>44540</c:v>
                </c:pt>
                <c:pt idx="206">
                  <c:v>44547</c:v>
                </c:pt>
                <c:pt idx="207">
                  <c:v>44554</c:v>
                </c:pt>
                <c:pt idx="208">
                  <c:v>44561</c:v>
                </c:pt>
                <c:pt idx="209">
                  <c:v>44568</c:v>
                </c:pt>
                <c:pt idx="210">
                  <c:v>44575</c:v>
                </c:pt>
                <c:pt idx="211">
                  <c:v>44582</c:v>
                </c:pt>
                <c:pt idx="212">
                  <c:v>44589</c:v>
                </c:pt>
                <c:pt idx="213">
                  <c:v>44596</c:v>
                </c:pt>
                <c:pt idx="214">
                  <c:v>44603</c:v>
                </c:pt>
                <c:pt idx="215">
                  <c:v>44610</c:v>
                </c:pt>
                <c:pt idx="216">
                  <c:v>44617</c:v>
                </c:pt>
                <c:pt idx="217">
                  <c:v>44624</c:v>
                </c:pt>
                <c:pt idx="218">
                  <c:v>44631</c:v>
                </c:pt>
                <c:pt idx="219">
                  <c:v>44638</c:v>
                </c:pt>
                <c:pt idx="220">
                  <c:v>44645</c:v>
                </c:pt>
                <c:pt idx="221">
                  <c:v>44652</c:v>
                </c:pt>
                <c:pt idx="222">
                  <c:v>44659</c:v>
                </c:pt>
                <c:pt idx="223">
                  <c:v>44666</c:v>
                </c:pt>
                <c:pt idx="224">
                  <c:v>44673</c:v>
                </c:pt>
                <c:pt idx="225">
                  <c:v>44680</c:v>
                </c:pt>
                <c:pt idx="226">
                  <c:v>44687</c:v>
                </c:pt>
                <c:pt idx="227">
                  <c:v>44694</c:v>
                </c:pt>
                <c:pt idx="228">
                  <c:v>44701</c:v>
                </c:pt>
                <c:pt idx="229">
                  <c:v>44708</c:v>
                </c:pt>
                <c:pt idx="230">
                  <c:v>44715</c:v>
                </c:pt>
                <c:pt idx="231">
                  <c:v>44722</c:v>
                </c:pt>
                <c:pt idx="232">
                  <c:v>44729</c:v>
                </c:pt>
                <c:pt idx="233">
                  <c:v>44736</c:v>
                </c:pt>
                <c:pt idx="234">
                  <c:v>44743</c:v>
                </c:pt>
                <c:pt idx="235">
                  <c:v>44750</c:v>
                </c:pt>
                <c:pt idx="236">
                  <c:v>44757</c:v>
                </c:pt>
                <c:pt idx="237">
                  <c:v>44764</c:v>
                </c:pt>
                <c:pt idx="238">
                  <c:v>44771</c:v>
                </c:pt>
                <c:pt idx="239">
                  <c:v>44778</c:v>
                </c:pt>
                <c:pt idx="240">
                  <c:v>44785</c:v>
                </c:pt>
                <c:pt idx="241">
                  <c:v>44792</c:v>
                </c:pt>
                <c:pt idx="242">
                  <c:v>44799</c:v>
                </c:pt>
                <c:pt idx="243">
                  <c:v>44806</c:v>
                </c:pt>
                <c:pt idx="244">
                  <c:v>44813</c:v>
                </c:pt>
                <c:pt idx="245">
                  <c:v>44820</c:v>
                </c:pt>
                <c:pt idx="246">
                  <c:v>44827</c:v>
                </c:pt>
                <c:pt idx="247">
                  <c:v>44834</c:v>
                </c:pt>
                <c:pt idx="248">
                  <c:v>44841</c:v>
                </c:pt>
                <c:pt idx="249">
                  <c:v>44848</c:v>
                </c:pt>
                <c:pt idx="250">
                  <c:v>44855</c:v>
                </c:pt>
                <c:pt idx="251">
                  <c:v>44862</c:v>
                </c:pt>
                <c:pt idx="252">
                  <c:v>44869</c:v>
                </c:pt>
                <c:pt idx="253">
                  <c:v>44876</c:v>
                </c:pt>
                <c:pt idx="254">
                  <c:v>44883</c:v>
                </c:pt>
                <c:pt idx="255">
                  <c:v>44890</c:v>
                </c:pt>
                <c:pt idx="256">
                  <c:v>44897</c:v>
                </c:pt>
                <c:pt idx="257">
                  <c:v>44904</c:v>
                </c:pt>
                <c:pt idx="258">
                  <c:v>44911</c:v>
                </c:pt>
                <c:pt idx="259">
                  <c:v>44918</c:v>
                </c:pt>
                <c:pt idx="260">
                  <c:v>44925</c:v>
                </c:pt>
                <c:pt idx="261">
                  <c:v>44932</c:v>
                </c:pt>
                <c:pt idx="262">
                  <c:v>44939</c:v>
                </c:pt>
                <c:pt idx="263">
                  <c:v>44946</c:v>
                </c:pt>
                <c:pt idx="264">
                  <c:v>44953</c:v>
                </c:pt>
                <c:pt idx="265">
                  <c:v>44960</c:v>
                </c:pt>
                <c:pt idx="266">
                  <c:v>44967</c:v>
                </c:pt>
                <c:pt idx="267">
                  <c:v>44974</c:v>
                </c:pt>
                <c:pt idx="268">
                  <c:v>44981</c:v>
                </c:pt>
                <c:pt idx="269">
                  <c:v>44988</c:v>
                </c:pt>
                <c:pt idx="270">
                  <c:v>44995</c:v>
                </c:pt>
                <c:pt idx="271">
                  <c:v>45002</c:v>
                </c:pt>
                <c:pt idx="272">
                  <c:v>45009</c:v>
                </c:pt>
                <c:pt idx="273">
                  <c:v>45016</c:v>
                </c:pt>
                <c:pt idx="274">
                  <c:v>45023</c:v>
                </c:pt>
                <c:pt idx="275">
                  <c:v>45030</c:v>
                </c:pt>
                <c:pt idx="276">
                  <c:v>45037</c:v>
                </c:pt>
                <c:pt idx="277">
                  <c:v>45044</c:v>
                </c:pt>
                <c:pt idx="278">
                  <c:v>45051</c:v>
                </c:pt>
                <c:pt idx="279">
                  <c:v>45058</c:v>
                </c:pt>
                <c:pt idx="280">
                  <c:v>45065</c:v>
                </c:pt>
                <c:pt idx="281">
                  <c:v>45072</c:v>
                </c:pt>
                <c:pt idx="282">
                  <c:v>45079</c:v>
                </c:pt>
                <c:pt idx="283">
                  <c:v>45086</c:v>
                </c:pt>
                <c:pt idx="284">
                  <c:v>45093</c:v>
                </c:pt>
                <c:pt idx="285">
                  <c:v>45100</c:v>
                </c:pt>
                <c:pt idx="286">
                  <c:v>45107</c:v>
                </c:pt>
                <c:pt idx="287">
                  <c:v>45114</c:v>
                </c:pt>
                <c:pt idx="288">
                  <c:v>45121</c:v>
                </c:pt>
                <c:pt idx="289">
                  <c:v>45128</c:v>
                </c:pt>
                <c:pt idx="290">
                  <c:v>45135</c:v>
                </c:pt>
                <c:pt idx="291">
                  <c:v>45142</c:v>
                </c:pt>
                <c:pt idx="292">
                  <c:v>45149</c:v>
                </c:pt>
                <c:pt idx="293">
                  <c:v>45156</c:v>
                </c:pt>
                <c:pt idx="294">
                  <c:v>45163</c:v>
                </c:pt>
                <c:pt idx="295">
                  <c:v>45170</c:v>
                </c:pt>
                <c:pt idx="296">
                  <c:v>45177</c:v>
                </c:pt>
                <c:pt idx="297">
                  <c:v>45184</c:v>
                </c:pt>
                <c:pt idx="298">
                  <c:v>45191</c:v>
                </c:pt>
                <c:pt idx="299">
                  <c:v>45198</c:v>
                </c:pt>
                <c:pt idx="300">
                  <c:v>45205</c:v>
                </c:pt>
                <c:pt idx="301">
                  <c:v>45212</c:v>
                </c:pt>
                <c:pt idx="302">
                  <c:v>45219</c:v>
                </c:pt>
                <c:pt idx="303">
                  <c:v>45226</c:v>
                </c:pt>
                <c:pt idx="304">
                  <c:v>45233</c:v>
                </c:pt>
                <c:pt idx="305">
                  <c:v>45240</c:v>
                </c:pt>
                <c:pt idx="306">
                  <c:v>45247</c:v>
                </c:pt>
                <c:pt idx="307">
                  <c:v>45254</c:v>
                </c:pt>
                <c:pt idx="308">
                  <c:v>45261</c:v>
                </c:pt>
                <c:pt idx="309">
                  <c:v>45268</c:v>
                </c:pt>
                <c:pt idx="310">
                  <c:v>45275</c:v>
                </c:pt>
                <c:pt idx="311">
                  <c:v>45282</c:v>
                </c:pt>
                <c:pt idx="312">
                  <c:v>45289</c:v>
                </c:pt>
                <c:pt idx="313">
                  <c:v>45296</c:v>
                </c:pt>
                <c:pt idx="314">
                  <c:v>45303</c:v>
                </c:pt>
                <c:pt idx="315">
                  <c:v>45310</c:v>
                </c:pt>
                <c:pt idx="316">
                  <c:v>45317</c:v>
                </c:pt>
                <c:pt idx="317">
                  <c:v>45324</c:v>
                </c:pt>
                <c:pt idx="318">
                  <c:v>45331</c:v>
                </c:pt>
                <c:pt idx="319">
                  <c:v>45338</c:v>
                </c:pt>
                <c:pt idx="320">
                  <c:v>45345</c:v>
                </c:pt>
                <c:pt idx="321">
                  <c:v>45352</c:v>
                </c:pt>
                <c:pt idx="322">
                  <c:v>45359</c:v>
                </c:pt>
                <c:pt idx="323">
                  <c:v>45366</c:v>
                </c:pt>
                <c:pt idx="324">
                  <c:v>45373</c:v>
                </c:pt>
                <c:pt idx="325">
                  <c:v>45380</c:v>
                </c:pt>
                <c:pt idx="326">
                  <c:v>45387</c:v>
                </c:pt>
                <c:pt idx="327">
                  <c:v>45394</c:v>
                </c:pt>
                <c:pt idx="328">
                  <c:v>45401</c:v>
                </c:pt>
                <c:pt idx="329">
                  <c:v>45408</c:v>
                </c:pt>
                <c:pt idx="330">
                  <c:v>45415</c:v>
                </c:pt>
                <c:pt idx="331">
                  <c:v>45422</c:v>
                </c:pt>
                <c:pt idx="332">
                  <c:v>45429</c:v>
                </c:pt>
                <c:pt idx="333">
                  <c:v>45436</c:v>
                </c:pt>
                <c:pt idx="334">
                  <c:v>45443</c:v>
                </c:pt>
                <c:pt idx="335">
                  <c:v>45450</c:v>
                </c:pt>
                <c:pt idx="336">
                  <c:v>45457</c:v>
                </c:pt>
                <c:pt idx="337">
                  <c:v>45464</c:v>
                </c:pt>
                <c:pt idx="338">
                  <c:v>45471</c:v>
                </c:pt>
                <c:pt idx="339">
                  <c:v>45478</c:v>
                </c:pt>
                <c:pt idx="340">
                  <c:v>45485</c:v>
                </c:pt>
                <c:pt idx="341">
                  <c:v>45492</c:v>
                </c:pt>
                <c:pt idx="342">
                  <c:v>45499</c:v>
                </c:pt>
                <c:pt idx="343">
                  <c:v>45506</c:v>
                </c:pt>
                <c:pt idx="344">
                  <c:v>45513</c:v>
                </c:pt>
                <c:pt idx="345">
                  <c:v>45520</c:v>
                </c:pt>
                <c:pt idx="346">
                  <c:v>45527</c:v>
                </c:pt>
                <c:pt idx="347">
                  <c:v>45534</c:v>
                </c:pt>
                <c:pt idx="348">
                  <c:v>45541</c:v>
                </c:pt>
                <c:pt idx="349">
                  <c:v>45548</c:v>
                </c:pt>
                <c:pt idx="350">
                  <c:v>45555</c:v>
                </c:pt>
                <c:pt idx="351">
                  <c:v>45562</c:v>
                </c:pt>
                <c:pt idx="352">
                  <c:v>45569</c:v>
                </c:pt>
                <c:pt idx="353">
                  <c:v>45576</c:v>
                </c:pt>
                <c:pt idx="354">
                  <c:v>45583</c:v>
                </c:pt>
                <c:pt idx="355">
                  <c:v>45590</c:v>
                </c:pt>
                <c:pt idx="356">
                  <c:v>45597</c:v>
                </c:pt>
                <c:pt idx="357">
                  <c:v>45604</c:v>
                </c:pt>
                <c:pt idx="358">
                  <c:v>45611</c:v>
                </c:pt>
                <c:pt idx="359">
                  <c:v>45618</c:v>
                </c:pt>
                <c:pt idx="360">
                  <c:v>45625</c:v>
                </c:pt>
                <c:pt idx="361">
                  <c:v>45632</c:v>
                </c:pt>
                <c:pt idx="362">
                  <c:v>45639</c:v>
                </c:pt>
                <c:pt idx="363">
                  <c:v>45646</c:v>
                </c:pt>
                <c:pt idx="364">
                  <c:v>45653</c:v>
                </c:pt>
                <c:pt idx="365">
                  <c:v>45660</c:v>
                </c:pt>
                <c:pt idx="366">
                  <c:v>45667</c:v>
                </c:pt>
                <c:pt idx="367">
                  <c:v>45674</c:v>
                </c:pt>
                <c:pt idx="368">
                  <c:v>45681</c:v>
                </c:pt>
                <c:pt idx="369">
                  <c:v>45688</c:v>
                </c:pt>
                <c:pt idx="370">
                  <c:v>45695</c:v>
                </c:pt>
                <c:pt idx="371">
                  <c:v>45702</c:v>
                </c:pt>
                <c:pt idx="372">
                  <c:v>45709</c:v>
                </c:pt>
                <c:pt idx="373">
                  <c:v>45716</c:v>
                </c:pt>
                <c:pt idx="374">
                  <c:v>45723</c:v>
                </c:pt>
                <c:pt idx="375">
                  <c:v>45730</c:v>
                </c:pt>
                <c:pt idx="376">
                  <c:v>45737</c:v>
                </c:pt>
                <c:pt idx="377">
                  <c:v>45744</c:v>
                </c:pt>
                <c:pt idx="378">
                  <c:v>45751</c:v>
                </c:pt>
                <c:pt idx="379">
                  <c:v>45758</c:v>
                </c:pt>
                <c:pt idx="380">
                  <c:v>45765</c:v>
                </c:pt>
                <c:pt idx="381">
                  <c:v>45772</c:v>
                </c:pt>
                <c:pt idx="382">
                  <c:v>45779</c:v>
                </c:pt>
                <c:pt idx="383">
                  <c:v>45786</c:v>
                </c:pt>
                <c:pt idx="384">
                  <c:v>45793</c:v>
                </c:pt>
                <c:pt idx="385">
                  <c:v>45800</c:v>
                </c:pt>
                <c:pt idx="386">
                  <c:v>45807</c:v>
                </c:pt>
                <c:pt idx="387">
                  <c:v>45814</c:v>
                </c:pt>
                <c:pt idx="388">
                  <c:v>45821</c:v>
                </c:pt>
                <c:pt idx="389">
                  <c:v>45828</c:v>
                </c:pt>
                <c:pt idx="390">
                  <c:v>45835</c:v>
                </c:pt>
                <c:pt idx="391">
                  <c:v>45842</c:v>
                </c:pt>
                <c:pt idx="392">
                  <c:v>45849</c:v>
                </c:pt>
                <c:pt idx="393">
                  <c:v>45856</c:v>
                </c:pt>
                <c:pt idx="394">
                  <c:v>45863</c:v>
                </c:pt>
                <c:pt idx="395">
                  <c:v>45870</c:v>
                </c:pt>
                <c:pt idx="396">
                  <c:v>45877</c:v>
                </c:pt>
                <c:pt idx="397">
                  <c:v>45884</c:v>
                </c:pt>
                <c:pt idx="398">
                  <c:v>45891</c:v>
                </c:pt>
                <c:pt idx="399">
                  <c:v>45898</c:v>
                </c:pt>
                <c:pt idx="400">
                  <c:v>45905</c:v>
                </c:pt>
                <c:pt idx="401">
                  <c:v>45912</c:v>
                </c:pt>
                <c:pt idx="402">
                  <c:v>45919</c:v>
                </c:pt>
                <c:pt idx="403">
                  <c:v>45926</c:v>
                </c:pt>
                <c:pt idx="404">
                  <c:v>45933</c:v>
                </c:pt>
                <c:pt idx="405">
                  <c:v>45940</c:v>
                </c:pt>
                <c:pt idx="406">
                  <c:v>45947</c:v>
                </c:pt>
                <c:pt idx="407">
                  <c:v>45954</c:v>
                </c:pt>
                <c:pt idx="408">
                  <c:v>45961</c:v>
                </c:pt>
                <c:pt idx="409">
                  <c:v>45968</c:v>
                </c:pt>
                <c:pt idx="410">
                  <c:v>45975</c:v>
                </c:pt>
                <c:pt idx="411">
                  <c:v>45982</c:v>
                </c:pt>
                <c:pt idx="412">
                  <c:v>45989</c:v>
                </c:pt>
                <c:pt idx="413">
                  <c:v>45996</c:v>
                </c:pt>
                <c:pt idx="414">
                  <c:v>46003</c:v>
                </c:pt>
                <c:pt idx="415">
                  <c:v>46010</c:v>
                </c:pt>
                <c:pt idx="416">
                  <c:v>46017</c:v>
                </c:pt>
                <c:pt idx="417">
                  <c:v>46024</c:v>
                </c:pt>
                <c:pt idx="418">
                  <c:v>46031</c:v>
                </c:pt>
                <c:pt idx="419">
                  <c:v>46038</c:v>
                </c:pt>
                <c:pt idx="420">
                  <c:v>46045</c:v>
                </c:pt>
                <c:pt idx="421">
                  <c:v>46052</c:v>
                </c:pt>
                <c:pt idx="422">
                  <c:v>46059</c:v>
                </c:pt>
                <c:pt idx="423">
                  <c:v>46066</c:v>
                </c:pt>
                <c:pt idx="424">
                  <c:v>46073</c:v>
                </c:pt>
                <c:pt idx="425">
                  <c:v>46080</c:v>
                </c:pt>
                <c:pt idx="426">
                  <c:v>46087</c:v>
                </c:pt>
                <c:pt idx="427">
                  <c:v>46094</c:v>
                </c:pt>
                <c:pt idx="428">
                  <c:v>46101</c:v>
                </c:pt>
                <c:pt idx="429">
                  <c:v>46108</c:v>
                </c:pt>
                <c:pt idx="430">
                  <c:v>46115</c:v>
                </c:pt>
                <c:pt idx="431">
                  <c:v>46122</c:v>
                </c:pt>
                <c:pt idx="432">
                  <c:v>46129</c:v>
                </c:pt>
                <c:pt idx="433">
                  <c:v>46136</c:v>
                </c:pt>
                <c:pt idx="434">
                  <c:v>46143</c:v>
                </c:pt>
                <c:pt idx="435">
                  <c:v>46150</c:v>
                </c:pt>
                <c:pt idx="436">
                  <c:v>46157</c:v>
                </c:pt>
                <c:pt idx="437">
                  <c:v>46164</c:v>
                </c:pt>
                <c:pt idx="438">
                  <c:v>46171</c:v>
                </c:pt>
                <c:pt idx="439">
                  <c:v>46178</c:v>
                </c:pt>
                <c:pt idx="440">
                  <c:v>46185</c:v>
                </c:pt>
                <c:pt idx="441">
                  <c:v>46192</c:v>
                </c:pt>
                <c:pt idx="442">
                  <c:v>46199</c:v>
                </c:pt>
                <c:pt idx="443">
                  <c:v>46206</c:v>
                </c:pt>
                <c:pt idx="444">
                  <c:v>46213</c:v>
                </c:pt>
                <c:pt idx="445">
                  <c:v>46220</c:v>
                </c:pt>
                <c:pt idx="446">
                  <c:v>46227</c:v>
                </c:pt>
                <c:pt idx="447">
                  <c:v>46234</c:v>
                </c:pt>
                <c:pt idx="448">
                  <c:v>46241</c:v>
                </c:pt>
                <c:pt idx="449">
                  <c:v>46248</c:v>
                </c:pt>
                <c:pt idx="450">
                  <c:v>46255</c:v>
                </c:pt>
                <c:pt idx="451">
                  <c:v>46262</c:v>
                </c:pt>
                <c:pt idx="452">
                  <c:v>46269</c:v>
                </c:pt>
                <c:pt idx="453">
                  <c:v>46276</c:v>
                </c:pt>
                <c:pt idx="454">
                  <c:v>46283</c:v>
                </c:pt>
                <c:pt idx="455">
                  <c:v>46290</c:v>
                </c:pt>
                <c:pt idx="456">
                  <c:v>46297</c:v>
                </c:pt>
              </c:numCache>
            </c:numRef>
          </c:cat>
          <c:val>
            <c:numRef>
              <c:f>'Indice Utilities'!$AO$58:$AO$4000</c:f>
              <c:numCache>
                <c:formatCode>General</c:formatCode>
                <c:ptCount val="3943"/>
                <c:pt idx="0">
                  <c:v>1.0293879214027557</c:v>
                </c:pt>
                <c:pt idx="1">
                  <c:v>1.0313098107920997</c:v>
                </c:pt>
                <c:pt idx="2">
                  <c:v>1.0397484556597365</c:v>
                </c:pt>
                <c:pt idx="3">
                  <c:v>1.0401362787081978</c:v>
                </c:pt>
                <c:pt idx="4">
                  <c:v>1.041618559641327</c:v>
                </c:pt>
                <c:pt idx="5">
                  <c:v>1.0427571829000957</c:v>
                </c:pt>
                <c:pt idx="6">
                  <c:v>1.0592400058291926</c:v>
                </c:pt>
                <c:pt idx="7">
                  <c:v>1.0743321752125576</c:v>
                </c:pt>
                <c:pt idx="8">
                  <c:v>1.0743321752125576</c:v>
                </c:pt>
                <c:pt idx="9">
                  <c:v>1.0752595943731962</c:v>
                </c:pt>
                <c:pt idx="10">
                  <c:v>1.0752595943731962</c:v>
                </c:pt>
                <c:pt idx="11">
                  <c:v>1.0752595943731962</c:v>
                </c:pt>
                <c:pt idx="12">
                  <c:v>1.0761797536257616</c:v>
                </c:pt>
                <c:pt idx="13">
                  <c:v>1.0761797536257616</c:v>
                </c:pt>
                <c:pt idx="14">
                  <c:v>1.0761797536257616</c:v>
                </c:pt>
                <c:pt idx="15">
                  <c:v>1.0761797536257616</c:v>
                </c:pt>
                <c:pt idx="16">
                  <c:v>1.0761797536257616</c:v>
                </c:pt>
                <c:pt idx="17">
                  <c:v>1.0940467370441538</c:v>
                </c:pt>
                <c:pt idx="18">
                  <c:v>1.098016341233415</c:v>
                </c:pt>
                <c:pt idx="19">
                  <c:v>1.1015505000921186</c:v>
                </c:pt>
                <c:pt idx="20">
                  <c:v>1.1189915438594873</c:v>
                </c:pt>
                <c:pt idx="21">
                  <c:v>1.1233122117724967</c:v>
                </c:pt>
                <c:pt idx="22">
                  <c:v>1.1322966763046296</c:v>
                </c:pt>
                <c:pt idx="23">
                  <c:v>1.1363530876396617</c:v>
                </c:pt>
                <c:pt idx="24">
                  <c:v>1.1397862826371301</c:v>
                </c:pt>
                <c:pt idx="25">
                  <c:v>1.1502643447945065</c:v>
                </c:pt>
                <c:pt idx="26">
                  <c:v>1.1604637815218888</c:v>
                </c:pt>
                <c:pt idx="27">
                  <c:v>1.1854352944863178</c:v>
                </c:pt>
                <c:pt idx="28">
                  <c:v>1.1969624342006888</c:v>
                </c:pt>
                <c:pt idx="29">
                  <c:v>1.2020637020459062</c:v>
                </c:pt>
                <c:pt idx="30">
                  <c:v>1.205337174966475</c:v>
                </c:pt>
                <c:pt idx="31">
                  <c:v>1.2134572809814093</c:v>
                </c:pt>
                <c:pt idx="32">
                  <c:v>1.2239833588460776</c:v>
                </c:pt>
                <c:pt idx="33">
                  <c:v>1.2363981946634852</c:v>
                </c:pt>
                <c:pt idx="34">
                  <c:v>1.2401869608091753</c:v>
                </c:pt>
                <c:pt idx="35">
                  <c:v>1.2652832564029022</c:v>
                </c:pt>
                <c:pt idx="36">
                  <c:v>1.2754487944059587</c:v>
                </c:pt>
                <c:pt idx="37">
                  <c:v>1.2820064576028602</c:v>
                </c:pt>
                <c:pt idx="38">
                  <c:v>1.282227315971366</c:v>
                </c:pt>
                <c:pt idx="39">
                  <c:v>1.2841638814915877</c:v>
                </c:pt>
                <c:pt idx="40">
                  <c:v>1.2841638814915877</c:v>
                </c:pt>
                <c:pt idx="41">
                  <c:v>1.2954703019403704</c:v>
                </c:pt>
                <c:pt idx="42">
                  <c:v>1.2964625772938214</c:v>
                </c:pt>
                <c:pt idx="43">
                  <c:v>1.2975887654434861</c:v>
                </c:pt>
                <c:pt idx="44">
                  <c:v>1.2993623552483915</c:v>
                </c:pt>
                <c:pt idx="45">
                  <c:v>1.3007389282446475</c:v>
                </c:pt>
                <c:pt idx="46">
                  <c:v>1.3035182199722326</c:v>
                </c:pt>
                <c:pt idx="47">
                  <c:v>1.3046205722673896</c:v>
                </c:pt>
                <c:pt idx="48">
                  <c:v>1.3103452830459545</c:v>
                </c:pt>
                <c:pt idx="49">
                  <c:v>1.3106445089705776</c:v>
                </c:pt>
                <c:pt idx="50">
                  <c:v>1.3106445089705776</c:v>
                </c:pt>
                <c:pt idx="51">
                  <c:v>1.3106445089705776</c:v>
                </c:pt>
                <c:pt idx="52">
                  <c:v>1.3106445089705776</c:v>
                </c:pt>
                <c:pt idx="53">
                  <c:v>1.3106445089705776</c:v>
                </c:pt>
                <c:pt idx="54">
                  <c:v>1.3106445089705776</c:v>
                </c:pt>
                <c:pt idx="55">
                  <c:v>1.3106445089705776</c:v>
                </c:pt>
                <c:pt idx="56">
                  <c:v>1.3106445089705776</c:v>
                </c:pt>
                <c:pt idx="57">
                  <c:v>1.3106445089705776</c:v>
                </c:pt>
                <c:pt idx="58">
                  <c:v>1.3106445089705776</c:v>
                </c:pt>
                <c:pt idx="59">
                  <c:v>1.3106445089705776</c:v>
                </c:pt>
                <c:pt idx="60">
                  <c:v>1.3127663154949376</c:v>
                </c:pt>
                <c:pt idx="61">
                  <c:v>1.3181998484147621</c:v>
                </c:pt>
                <c:pt idx="62">
                  <c:v>1.3181998484147621</c:v>
                </c:pt>
                <c:pt idx="63">
                  <c:v>1.3181998484147621</c:v>
                </c:pt>
                <c:pt idx="64">
                  <c:v>1.3182317511112402</c:v>
                </c:pt>
                <c:pt idx="65">
                  <c:v>1.3182317511112402</c:v>
                </c:pt>
                <c:pt idx="66">
                  <c:v>1.3182317511112402</c:v>
                </c:pt>
                <c:pt idx="67">
                  <c:v>1.3127663154949376</c:v>
                </c:pt>
                <c:pt idx="68">
                  <c:v>1.3112178033084989</c:v>
                </c:pt>
                <c:pt idx="69">
                  <c:v>1.3182317511112402</c:v>
                </c:pt>
                <c:pt idx="70">
                  <c:v>1.322101365577188</c:v>
                </c:pt>
                <c:pt idx="71">
                  <c:v>1.33286343553918</c:v>
                </c:pt>
                <c:pt idx="72">
                  <c:v>1.33286343553918</c:v>
                </c:pt>
                <c:pt idx="73">
                  <c:v>1.33286343553918</c:v>
                </c:pt>
                <c:pt idx="74">
                  <c:v>1.33286343553918</c:v>
                </c:pt>
                <c:pt idx="75">
                  <c:v>1.3222377138275945</c:v>
                </c:pt>
                <c:pt idx="76">
                  <c:v>1.3182469009168409</c:v>
                </c:pt>
                <c:pt idx="77">
                  <c:v>1.2994570545794655</c:v>
                </c:pt>
                <c:pt idx="78">
                  <c:v>1.2994570545794655</c:v>
                </c:pt>
                <c:pt idx="79">
                  <c:v>1.2971529867719263</c:v>
                </c:pt>
                <c:pt idx="80">
                  <c:v>1.2935627619350079</c:v>
                </c:pt>
                <c:pt idx="81">
                  <c:v>1.2839569563643993</c:v>
                </c:pt>
                <c:pt idx="82">
                  <c:v>1.274927049266765</c:v>
                </c:pt>
                <c:pt idx="83">
                  <c:v>1.2747289050659829</c:v>
                </c:pt>
                <c:pt idx="84">
                  <c:v>1.2605166113056694</c:v>
                </c:pt>
                <c:pt idx="85">
                  <c:v>1.2575706056396885</c:v>
                </c:pt>
                <c:pt idx="86">
                  <c:v>1.2462072173503158</c:v>
                </c:pt>
                <c:pt idx="87">
                  <c:v>1.2378026432558042</c:v>
                </c:pt>
                <c:pt idx="88">
                  <c:v>1.2190596877283986</c:v>
                </c:pt>
                <c:pt idx="89">
                  <c:v>1.2006315545265902</c:v>
                </c:pt>
                <c:pt idx="90">
                  <c:v>1.2006315545265902</c:v>
                </c:pt>
                <c:pt idx="91">
                  <c:v>1.1965958188465593</c:v>
                </c:pt>
                <c:pt idx="92">
                  <c:v>1.1852012832253163</c:v>
                </c:pt>
                <c:pt idx="93">
                  <c:v>1.1713721791120149</c:v>
                </c:pt>
                <c:pt idx="94">
                  <c:v>1.1645522392411876</c:v>
                </c:pt>
                <c:pt idx="95">
                  <c:v>1.1563436080080081</c:v>
                </c:pt>
                <c:pt idx="96">
                  <c:v>1.1491289923538481</c:v>
                </c:pt>
                <c:pt idx="97">
                  <c:v>1.1313747322887406</c:v>
                </c:pt>
                <c:pt idx="98">
                  <c:v>1.1264376606315265</c:v>
                </c:pt>
                <c:pt idx="99">
                  <c:v>1.1245743759388669</c:v>
                </c:pt>
                <c:pt idx="100">
                  <c:v>1.0718462238693167</c:v>
                </c:pt>
                <c:pt idx="101">
                  <c:v>1.0554410942890231</c:v>
                </c:pt>
                <c:pt idx="102">
                  <c:v>1.0357864809062409</c:v>
                </c:pt>
                <c:pt idx="103">
                  <c:v>1.0082821840438765</c:v>
                </c:pt>
                <c:pt idx="104">
                  <c:v>1.0023125863629148</c:v>
                </c:pt>
                <c:pt idx="105">
                  <c:v>0.99125534976264762</c:v>
                </c:pt>
                <c:pt idx="106">
                  <c:v>0.98851066997082992</c:v>
                </c:pt>
                <c:pt idx="107">
                  <c:v>0.97872674912621238</c:v>
                </c:pt>
                <c:pt idx="108">
                  <c:v>0.97527548060119651</c:v>
                </c:pt>
                <c:pt idx="109">
                  <c:v>0.97304951386901173</c:v>
                </c:pt>
                <c:pt idx="110">
                  <c:v>0.96680852849871035</c:v>
                </c:pt>
                <c:pt idx="111">
                  <c:v>0.96440974043026806</c:v>
                </c:pt>
                <c:pt idx="112">
                  <c:v>0.9572806943237635</c:v>
                </c:pt>
                <c:pt idx="113">
                  <c:v>0.95339126165138333</c:v>
                </c:pt>
                <c:pt idx="114">
                  <c:v>0.95339126165138333</c:v>
                </c:pt>
                <c:pt idx="115">
                  <c:v>0.95339126165138333</c:v>
                </c:pt>
                <c:pt idx="116">
                  <c:v>0.95339126165138333</c:v>
                </c:pt>
                <c:pt idx="117">
                  <c:v>0.95339126165138333</c:v>
                </c:pt>
                <c:pt idx="118">
                  <c:v>0.95339126165138333</c:v>
                </c:pt>
                <c:pt idx="119">
                  <c:v>0.95339126165138333</c:v>
                </c:pt>
                <c:pt idx="120">
                  <c:v>0.95339126165138333</c:v>
                </c:pt>
                <c:pt idx="121">
                  <c:v>0.95339126165138333</c:v>
                </c:pt>
                <c:pt idx="122">
                  <c:v>0.95339126165138333</c:v>
                </c:pt>
                <c:pt idx="123">
                  <c:v>0.95339126165138333</c:v>
                </c:pt>
                <c:pt idx="124">
                  <c:v>0.95339126165138333</c:v>
                </c:pt>
                <c:pt idx="125">
                  <c:v>0.95339126165138333</c:v>
                </c:pt>
                <c:pt idx="126">
                  <c:v>0.95339126165138333</c:v>
                </c:pt>
                <c:pt idx="127">
                  <c:v>0.95339126165138333</c:v>
                </c:pt>
                <c:pt idx="128">
                  <c:v>0.95339126165138333</c:v>
                </c:pt>
                <c:pt idx="129">
                  <c:v>0.95312343317504056</c:v>
                </c:pt>
                <c:pt idx="130">
                  <c:v>0.95071766849369177</c:v>
                </c:pt>
                <c:pt idx="131">
                  <c:v>0.95071766849369177</c:v>
                </c:pt>
                <c:pt idx="132">
                  <c:v>0.95071766849369177</c:v>
                </c:pt>
                <c:pt idx="133">
                  <c:v>0.94704045459566921</c:v>
                </c:pt>
                <c:pt idx="134">
                  <c:v>0.94674431045194907</c:v>
                </c:pt>
                <c:pt idx="135">
                  <c:v>0.94624378650183016</c:v>
                </c:pt>
                <c:pt idx="136">
                  <c:v>0.94285081906062496</c:v>
                </c:pt>
                <c:pt idx="137">
                  <c:v>0.94162521014868383</c:v>
                </c:pt>
                <c:pt idx="138">
                  <c:v>0.93806105198151635</c:v>
                </c:pt>
                <c:pt idx="139">
                  <c:v>0.93640112625073579</c:v>
                </c:pt>
                <c:pt idx="140">
                  <c:v>0.93074093627149701</c:v>
                </c:pt>
                <c:pt idx="141">
                  <c:v>0.92216114086890466</c:v>
                </c:pt>
                <c:pt idx="142">
                  <c:v>0.9205975679231404</c:v>
                </c:pt>
                <c:pt idx="143">
                  <c:v>0.9205975679231404</c:v>
                </c:pt>
                <c:pt idx="144">
                  <c:v>0.9205975679231404</c:v>
                </c:pt>
                <c:pt idx="145">
                  <c:v>0.9205975679231404</c:v>
                </c:pt>
                <c:pt idx="146">
                  <c:v>0.9205975679231404</c:v>
                </c:pt>
                <c:pt idx="147">
                  <c:v>0.9205975679231404</c:v>
                </c:pt>
                <c:pt idx="148">
                  <c:v>0.9205975679231404</c:v>
                </c:pt>
                <c:pt idx="149">
                  <c:v>0.9205975679231404</c:v>
                </c:pt>
                <c:pt idx="150">
                  <c:v>0.9205975679231404</c:v>
                </c:pt>
                <c:pt idx="151">
                  <c:v>0.9205975679231404</c:v>
                </c:pt>
                <c:pt idx="152">
                  <c:v>0.9205975679231404</c:v>
                </c:pt>
                <c:pt idx="153">
                  <c:v>0.9205975679231404</c:v>
                </c:pt>
                <c:pt idx="154">
                  <c:v>0.9205975679231404</c:v>
                </c:pt>
                <c:pt idx="155">
                  <c:v>0.9205975679231404</c:v>
                </c:pt>
                <c:pt idx="156">
                  <c:v>0.9205975679231404</c:v>
                </c:pt>
                <c:pt idx="157">
                  <c:v>0.9205975679231404</c:v>
                </c:pt>
                <c:pt idx="158">
                  <c:v>0.9205975679231404</c:v>
                </c:pt>
                <c:pt idx="159">
                  <c:v>0.9205975679231404</c:v>
                </c:pt>
                <c:pt idx="160">
                  <c:v>0.9205975679231404</c:v>
                </c:pt>
                <c:pt idx="161">
                  <c:v>0.9205975679231404</c:v>
                </c:pt>
                <c:pt idx="162">
                  <c:v>0.92148274784931472</c:v>
                </c:pt>
                <c:pt idx="163">
                  <c:v>0.92148274784931472</c:v>
                </c:pt>
                <c:pt idx="164">
                  <c:v>0.92148274784931472</c:v>
                </c:pt>
                <c:pt idx="165">
                  <c:v>0.92148274784931472</c:v>
                </c:pt>
                <c:pt idx="166">
                  <c:v>0.92148274784931472</c:v>
                </c:pt>
                <c:pt idx="167">
                  <c:v>0.91657432758998081</c:v>
                </c:pt>
                <c:pt idx="168">
                  <c:v>0.91186545810740971</c:v>
                </c:pt>
                <c:pt idx="169">
                  <c:v>0.9048627380222275</c:v>
                </c:pt>
                <c:pt idx="170">
                  <c:v>0.9048627380222275</c:v>
                </c:pt>
                <c:pt idx="171">
                  <c:v>0.90447944477742037</c:v>
                </c:pt>
                <c:pt idx="172">
                  <c:v>0.8984254985175274</c:v>
                </c:pt>
                <c:pt idx="173">
                  <c:v>0.8984254985175274</c:v>
                </c:pt>
                <c:pt idx="174">
                  <c:v>0.8984254985175274</c:v>
                </c:pt>
                <c:pt idx="175">
                  <c:v>0.89761726278940457</c:v>
                </c:pt>
                <c:pt idx="176">
                  <c:v>0.89626508507886038</c:v>
                </c:pt>
                <c:pt idx="177">
                  <c:v>0.89387332823231613</c:v>
                </c:pt>
                <c:pt idx="178">
                  <c:v>0.89309349031475804</c:v>
                </c:pt>
                <c:pt idx="179">
                  <c:v>0.88580752530980533</c:v>
                </c:pt>
                <c:pt idx="180">
                  <c:v>0.88580752530980533</c:v>
                </c:pt>
                <c:pt idx="181">
                  <c:v>0.88580752530980533</c:v>
                </c:pt>
                <c:pt idx="182">
                  <c:v>0.88580752530980533</c:v>
                </c:pt>
                <c:pt idx="183">
                  <c:v>0.88512048090035511</c:v>
                </c:pt>
                <c:pt idx="184">
                  <c:v>0.88150792067839812</c:v>
                </c:pt>
                <c:pt idx="185">
                  <c:v>0.87491023853299577</c:v>
                </c:pt>
                <c:pt idx="186">
                  <c:v>0.87051310393874404</c:v>
                </c:pt>
                <c:pt idx="187">
                  <c:v>0.86762722884677979</c:v>
                </c:pt>
                <c:pt idx="188">
                  <c:v>0.86762722884677979</c:v>
                </c:pt>
                <c:pt idx="189">
                  <c:v>0.86670353227502916</c:v>
                </c:pt>
                <c:pt idx="190">
                  <c:v>0.86670353227502916</c:v>
                </c:pt>
                <c:pt idx="191">
                  <c:v>0.86670353227502916</c:v>
                </c:pt>
                <c:pt idx="192">
                  <c:v>0.86670353227502916</c:v>
                </c:pt>
                <c:pt idx="193">
                  <c:v>0.86670353227502916</c:v>
                </c:pt>
                <c:pt idx="194">
                  <c:v>0.86670353227502916</c:v>
                </c:pt>
                <c:pt idx="195">
                  <c:v>0.86670353227502916</c:v>
                </c:pt>
                <c:pt idx="196">
                  <c:v>0.86670353227502916</c:v>
                </c:pt>
                <c:pt idx="197">
                  <c:v>0.86670353227502916</c:v>
                </c:pt>
                <c:pt idx="198">
                  <c:v>0.86670353227502916</c:v>
                </c:pt>
                <c:pt idx="199">
                  <c:v>0.86670353227502916</c:v>
                </c:pt>
                <c:pt idx="200">
                  <c:v>0.86670353227502916</c:v>
                </c:pt>
                <c:pt idx="201">
                  <c:v>0.86670353227502916</c:v>
                </c:pt>
                <c:pt idx="202">
                  <c:v>0.86670353227502916</c:v>
                </c:pt>
                <c:pt idx="203">
                  <c:v>0.86670353227502916</c:v>
                </c:pt>
                <c:pt idx="204">
                  <c:v>0.86670353227502916</c:v>
                </c:pt>
                <c:pt idx="205">
                  <c:v>0.86670353227502916</c:v>
                </c:pt>
                <c:pt idx="206">
                  <c:v>0.86670353227502916</c:v>
                </c:pt>
                <c:pt idx="207">
                  <c:v>0.86670353227502916</c:v>
                </c:pt>
                <c:pt idx="208">
                  <c:v>0.86670353227502916</c:v>
                </c:pt>
                <c:pt idx="209">
                  <c:v>0.86670353227502916</c:v>
                </c:pt>
                <c:pt idx="210">
                  <c:v>0.86670353227502916</c:v>
                </c:pt>
                <c:pt idx="211">
                  <c:v>0.86670353227502916</c:v>
                </c:pt>
                <c:pt idx="212">
                  <c:v>0.86670353227502916</c:v>
                </c:pt>
                <c:pt idx="213">
                  <c:v>0.86670353227502916</c:v>
                </c:pt>
                <c:pt idx="214">
                  <c:v>0.86670353227502916</c:v>
                </c:pt>
                <c:pt idx="215">
                  <c:v>0.86670353227502916</c:v>
                </c:pt>
                <c:pt idx="216">
                  <c:v>0.86670353227502916</c:v>
                </c:pt>
                <c:pt idx="217">
                  <c:v>0.86670353227502916</c:v>
                </c:pt>
                <c:pt idx="218">
                  <c:v>0.86670353227502916</c:v>
                </c:pt>
                <c:pt idx="219">
                  <c:v>0.86670353227502916</c:v>
                </c:pt>
                <c:pt idx="220">
                  <c:v>0.86670353227502916</c:v>
                </c:pt>
                <c:pt idx="221">
                  <c:v>0.86670353227502916</c:v>
                </c:pt>
                <c:pt idx="222">
                  <c:v>0.86670353227502916</c:v>
                </c:pt>
                <c:pt idx="223">
                  <c:v>0.86670353227502916</c:v>
                </c:pt>
                <c:pt idx="224">
                  <c:v>0.86670353227502916</c:v>
                </c:pt>
                <c:pt idx="225">
                  <c:v>0.86670353227502916</c:v>
                </c:pt>
                <c:pt idx="226">
                  <c:v>0.86670353227502916</c:v>
                </c:pt>
                <c:pt idx="227">
                  <c:v>0.86670353227502916</c:v>
                </c:pt>
                <c:pt idx="228">
                  <c:v>0.86762722884677979</c:v>
                </c:pt>
                <c:pt idx="229">
                  <c:v>0.87020315980135643</c:v>
                </c:pt>
                <c:pt idx="230">
                  <c:v>0.87212074129650763</c:v>
                </c:pt>
                <c:pt idx="231">
                  <c:v>0.87262521007596616</c:v>
                </c:pt>
                <c:pt idx="232">
                  <c:v>0.87262521007596616</c:v>
                </c:pt>
                <c:pt idx="233">
                  <c:v>0.87262521007596616</c:v>
                </c:pt>
                <c:pt idx="234">
                  <c:v>0.87262521007596616</c:v>
                </c:pt>
                <c:pt idx="235">
                  <c:v>0.87290407910291001</c:v>
                </c:pt>
                <c:pt idx="236">
                  <c:v>0.89038422612088652</c:v>
                </c:pt>
                <c:pt idx="237">
                  <c:v>0.90348973104946328</c:v>
                </c:pt>
                <c:pt idx="238">
                  <c:v>0.90578941859751638</c:v>
                </c:pt>
                <c:pt idx="239">
                  <c:v>0.90888055261650236</c:v>
                </c:pt>
                <c:pt idx="240">
                  <c:v>0.91285644652750508</c:v>
                </c:pt>
                <c:pt idx="241">
                  <c:v>0.91479367355082408</c:v>
                </c:pt>
                <c:pt idx="242">
                  <c:v>0.91710688515796401</c:v>
                </c:pt>
                <c:pt idx="243">
                  <c:v>0.91710688515796401</c:v>
                </c:pt>
                <c:pt idx="244">
                  <c:v>0.91861117152134186</c:v>
                </c:pt>
                <c:pt idx="245">
                  <c:v>0.92832590733385079</c:v>
                </c:pt>
                <c:pt idx="246">
                  <c:v>0.92832590733385079</c:v>
                </c:pt>
                <c:pt idx="247">
                  <c:v>0.92832590733385079</c:v>
                </c:pt>
                <c:pt idx="248">
                  <c:v>0.92832590733385079</c:v>
                </c:pt>
                <c:pt idx="249">
                  <c:v>0.92832590733385079</c:v>
                </c:pt>
                <c:pt idx="250">
                  <c:v>0.92832590733385079</c:v>
                </c:pt>
                <c:pt idx="251">
                  <c:v>0.92832590733385079</c:v>
                </c:pt>
                <c:pt idx="252">
                  <c:v>0.92832590733385079</c:v>
                </c:pt>
                <c:pt idx="253">
                  <c:v>0.92832590733385079</c:v>
                </c:pt>
                <c:pt idx="254">
                  <c:v>0.92832590733385079</c:v>
                </c:pt>
                <c:pt idx="255">
                  <c:v>0.92832590733385079</c:v>
                </c:pt>
                <c:pt idx="256">
                  <c:v>0.92832590733385079</c:v>
                </c:pt>
                <c:pt idx="257">
                  <c:v>0.92832590733385079</c:v>
                </c:pt>
                <c:pt idx="258">
                  <c:v>0.92832590733385079</c:v>
                </c:pt>
                <c:pt idx="259">
                  <c:v>0.93514849504778752</c:v>
                </c:pt>
                <c:pt idx="260">
                  <c:v>0.97655985762357489</c:v>
                </c:pt>
                <c:pt idx="261">
                  <c:v>0.98306980214821837</c:v>
                </c:pt>
                <c:pt idx="262">
                  <c:v>1.0043210851012141</c:v>
                </c:pt>
                <c:pt idx="263">
                  <c:v>1.007123837867683</c:v>
                </c:pt>
                <c:pt idx="264">
                  <c:v>1.0183317465111816</c:v>
                </c:pt>
                <c:pt idx="265">
                  <c:v>1.0203893056174491</c:v>
                </c:pt>
                <c:pt idx="266">
                  <c:v>1.0309271907352755</c:v>
                </c:pt>
                <c:pt idx="267">
                  <c:v>1.0362271835794716</c:v>
                </c:pt>
                <c:pt idx="268">
                  <c:v>1.0393880198367778</c:v>
                </c:pt>
                <c:pt idx="269">
                  <c:v>1.0393880198367778</c:v>
                </c:pt>
                <c:pt idx="270">
                  <c:v>1.0393880198367778</c:v>
                </c:pt>
                <c:pt idx="271">
                  <c:v>1.0393880198367778</c:v>
                </c:pt>
                <c:pt idx="272">
                  <c:v>1.0436359664227055</c:v>
                </c:pt>
                <c:pt idx="273">
                  <c:v>1.0442173714557517</c:v>
                </c:pt>
                <c:pt idx="274">
                  <c:v>1.0442173714557517</c:v>
                </c:pt>
                <c:pt idx="275">
                  <c:v>1.0442173714557517</c:v>
                </c:pt>
                <c:pt idx="276">
                  <c:v>1.0442173714557517</c:v>
                </c:pt>
                <c:pt idx="277">
                  <c:v>1.0442173714557517</c:v>
                </c:pt>
                <c:pt idx="278">
                  <c:v>1.0442173714557517</c:v>
                </c:pt>
                <c:pt idx="279">
                  <c:v>1.0445759676401012</c:v>
                </c:pt>
                <c:pt idx="280">
                  <c:v>1.0503946493774787</c:v>
                </c:pt>
                <c:pt idx="281">
                  <c:v>1.0516168636344343</c:v>
                </c:pt>
                <c:pt idx="282">
                  <c:v>1.0516168636344343</c:v>
                </c:pt>
                <c:pt idx="283">
                  <c:v>1.0516168636344343</c:v>
                </c:pt>
                <c:pt idx="284">
                  <c:v>1.0516168636344343</c:v>
                </c:pt>
                <c:pt idx="285">
                  <c:v>1.0631722946895044</c:v>
                </c:pt>
                <c:pt idx="286">
                  <c:v>1.0666813628567766</c:v>
                </c:pt>
                <c:pt idx="287">
                  <c:v>1.0947728908860741</c:v>
                </c:pt>
                <c:pt idx="288">
                  <c:v>1.097957474719889</c:v>
                </c:pt>
                <c:pt idx="289">
                  <c:v>1.0984967244657249</c:v>
                </c:pt>
                <c:pt idx="290">
                  <c:v>1.1023472137234109</c:v>
                </c:pt>
                <c:pt idx="291">
                  <c:v>1.1072420291164597</c:v>
                </c:pt>
                <c:pt idx="292">
                  <c:v>1.1259385929371901</c:v>
                </c:pt>
                <c:pt idx="293">
                  <c:v>1.1497638619381343</c:v>
                </c:pt>
                <c:pt idx="294">
                  <c:v>1.1518989696156721</c:v>
                </c:pt>
                <c:pt idx="295">
                  <c:v>1.1529544361230974</c:v>
                </c:pt>
                <c:pt idx="296">
                  <c:v>1.1529544361230974</c:v>
                </c:pt>
                <c:pt idx="297">
                  <c:v>1.1529544361230974</c:v>
                </c:pt>
                <c:pt idx="298">
                  <c:v>1.1529544361230974</c:v>
                </c:pt>
                <c:pt idx="299">
                  <c:v>1.1529544361230974</c:v>
                </c:pt>
                <c:pt idx="300">
                  <c:v>1.1518989696156721</c:v>
                </c:pt>
                <c:pt idx="301">
                  <c:v>1.1468087877865081</c:v>
                </c:pt>
                <c:pt idx="302">
                  <c:v>1.1407725115654204</c:v>
                </c:pt>
                <c:pt idx="303">
                  <c:v>1.1407725115654204</c:v>
                </c:pt>
                <c:pt idx="304">
                  <c:v>1.1364224236302374</c:v>
                </c:pt>
                <c:pt idx="305">
                  <c:v>1.1350958809683118</c:v>
                </c:pt>
                <c:pt idx="306">
                  <c:v>1.1346694288046641</c:v>
                </c:pt>
                <c:pt idx="307">
                  <c:v>1.1342075952308603</c:v>
                </c:pt>
                <c:pt idx="308">
                  <c:v>1.1342075952308603</c:v>
                </c:pt>
                <c:pt idx="309">
                  <c:v>1.1342075952308603</c:v>
                </c:pt>
                <c:pt idx="310">
                  <c:v>1.1342075952308603</c:v>
                </c:pt>
                <c:pt idx="311">
                  <c:v>1.1342075952308603</c:v>
                </c:pt>
                <c:pt idx="312">
                  <c:v>1.1342075952308603</c:v>
                </c:pt>
                <c:pt idx="313">
                  <c:v>1.1342075952308603</c:v>
                </c:pt>
                <c:pt idx="314">
                  <c:v>1.1342075952308603</c:v>
                </c:pt>
                <c:pt idx="315">
                  <c:v>1.1342075952308603</c:v>
                </c:pt>
                <c:pt idx="316">
                  <c:v>1.1342075952308603</c:v>
                </c:pt>
                <c:pt idx="317">
                  <c:v>1.1342075952308603</c:v>
                </c:pt>
                <c:pt idx="318">
                  <c:v>1.1342075952308603</c:v>
                </c:pt>
                <c:pt idx="319">
                  <c:v>1.1342075952308603</c:v>
                </c:pt>
                <c:pt idx="320">
                  <c:v>1.1342075952308603</c:v>
                </c:pt>
                <c:pt idx="321">
                  <c:v>1.1342075952308603</c:v>
                </c:pt>
                <c:pt idx="322">
                  <c:v>1.1342075952308603</c:v>
                </c:pt>
                <c:pt idx="323">
                  <c:v>1.1294439867077144</c:v>
                </c:pt>
                <c:pt idx="324">
                  <c:v>1.1222402357977381</c:v>
                </c:pt>
                <c:pt idx="325">
                  <c:v>1.1222402357977381</c:v>
                </c:pt>
                <c:pt idx="326">
                  <c:v>1.1222402357977381</c:v>
                </c:pt>
                <c:pt idx="327">
                  <c:v>1.1222402357977381</c:v>
                </c:pt>
                <c:pt idx="328">
                  <c:v>1.1222402357977381</c:v>
                </c:pt>
                <c:pt idx="329">
                  <c:v>1.1222402357977381</c:v>
                </c:pt>
                <c:pt idx="330">
                  <c:v>1.1222402357977381</c:v>
                </c:pt>
                <c:pt idx="331">
                  <c:v>1.1222402357977381</c:v>
                </c:pt>
                <c:pt idx="332">
                  <c:v>1.1222402357977381</c:v>
                </c:pt>
                <c:pt idx="333">
                  <c:v>1.1222402357977381</c:v>
                </c:pt>
                <c:pt idx="334">
                  <c:v>1.1222402357977381</c:v>
                </c:pt>
                <c:pt idx="335">
                  <c:v>1.1222402357977381</c:v>
                </c:pt>
                <c:pt idx="336">
                  <c:v>1.1222402357977381</c:v>
                </c:pt>
                <c:pt idx="337">
                  <c:v>1.1222402357977381</c:v>
                </c:pt>
                <c:pt idx="338">
                  <c:v>1.1222402357977381</c:v>
                </c:pt>
                <c:pt idx="339">
                  <c:v>1.1222402357977381</c:v>
                </c:pt>
                <c:pt idx="340">
                  <c:v>1.1222402357977381</c:v>
                </c:pt>
                <c:pt idx="341">
                  <c:v>1.1222402357977381</c:v>
                </c:pt>
                <c:pt idx="342">
                  <c:v>1.1222402357977381</c:v>
                </c:pt>
                <c:pt idx="343">
                  <c:v>1.1222402357977381</c:v>
                </c:pt>
                <c:pt idx="344">
                  <c:v>1.1222402357977381</c:v>
                </c:pt>
                <c:pt idx="345">
                  <c:v>1.1222402357977381</c:v>
                </c:pt>
                <c:pt idx="346">
                  <c:v>1.1222402357977381</c:v>
                </c:pt>
                <c:pt idx="347">
                  <c:v>1.1222402357977381</c:v>
                </c:pt>
                <c:pt idx="348">
                  <c:v>1.1219646391781295</c:v>
                </c:pt>
                <c:pt idx="349">
                  <c:v>1.1219646391781295</c:v>
                </c:pt>
                <c:pt idx="350">
                  <c:v>1.1219646391781295</c:v>
                </c:pt>
                <c:pt idx="351">
                  <c:v>1.1219646391781295</c:v>
                </c:pt>
                <c:pt idx="352">
                  <c:v>1.1219646391781295</c:v>
                </c:pt>
                <c:pt idx="353">
                  <c:v>1.1219646391781295</c:v>
                </c:pt>
                <c:pt idx="354">
                  <c:v>1.1208439006094892</c:v>
                </c:pt>
                <c:pt idx="355">
                  <c:v>1.1112434836352303</c:v>
                </c:pt>
                <c:pt idx="356">
                  <c:v>1.1107131936965966</c:v>
                </c:pt>
                <c:pt idx="357">
                  <c:v>1.1159986084440934</c:v>
                </c:pt>
                <c:pt idx="358">
                  <c:v>1.1208439006094892</c:v>
                </c:pt>
                <c:pt idx="359">
                  <c:v>1.1213104947188832</c:v>
                </c:pt>
                <c:pt idx="360">
                  <c:v>1.1213104947188832</c:v>
                </c:pt>
                <c:pt idx="361">
                  <c:v>1.1213104947188832</c:v>
                </c:pt>
                <c:pt idx="362">
                  <c:v>1.1213104947188832</c:v>
                </c:pt>
                <c:pt idx="363">
                  <c:v>1.1213104947188832</c:v>
                </c:pt>
                <c:pt idx="364">
                  <c:v>1.1213104947188832</c:v>
                </c:pt>
                <c:pt idx="365">
                  <c:v>1.1213104947188832</c:v>
                </c:pt>
                <c:pt idx="366">
                  <c:v>1.1213104947188832</c:v>
                </c:pt>
                <c:pt idx="367">
                  <c:v>1.1159986084440934</c:v>
                </c:pt>
                <c:pt idx="368">
                  <c:v>1.1107131936965966</c:v>
                </c:pt>
                <c:pt idx="369">
                  <c:v>1.1079969284063036</c:v>
                </c:pt>
                <c:pt idx="370">
                  <c:v>1.1027981060006511</c:v>
                </c:pt>
                <c:pt idx="371">
                  <c:v>1.102025897450865</c:v>
                </c:pt>
                <c:pt idx="372">
                  <c:v>1.102025897450865</c:v>
                </c:pt>
                <c:pt idx="373">
                  <c:v>1.102025897450865</c:v>
                </c:pt>
                <c:pt idx="374">
                  <c:v>1.1019392080023731</c:v>
                </c:pt>
                <c:pt idx="375">
                  <c:v>1.1019392080023731</c:v>
                </c:pt>
                <c:pt idx="376">
                  <c:v>1.1019392080023731</c:v>
                </c:pt>
                <c:pt idx="377">
                  <c:v>1.1019392080023731</c:v>
                </c:pt>
                <c:pt idx="378">
                  <c:v>1.1019392080023731</c:v>
                </c:pt>
                <c:pt idx="379">
                  <c:v>1.1019392080023731</c:v>
                </c:pt>
                <c:pt idx="380">
                  <c:v>1.1007084821039781</c:v>
                </c:pt>
                <c:pt idx="381">
                  <c:v>1.0978817904271345</c:v>
                </c:pt>
                <c:pt idx="382">
                  <c:v>1.0956977126555381</c:v>
                </c:pt>
                <c:pt idx="383">
                  <c:v>1.0945277593806908</c:v>
                </c:pt>
                <c:pt idx="384">
                  <c:v>1.0945277593806908</c:v>
                </c:pt>
                <c:pt idx="385">
                  <c:v>1.0945277593806908</c:v>
                </c:pt>
                <c:pt idx="386">
                  <c:v>1.0945277593806908</c:v>
                </c:pt>
                <c:pt idx="387">
                  <c:v>1.0945277593806908</c:v>
                </c:pt>
                <c:pt idx="388">
                  <c:v>1.0945277593806908</c:v>
                </c:pt>
                <c:pt idx="389">
                  <c:v>1.0945277593806908</c:v>
                </c:pt>
                <c:pt idx="390">
                  <c:v>1.0945277593806908</c:v>
                </c:pt>
                <c:pt idx="391">
                  <c:v>1.0945277593806908</c:v>
                </c:pt>
                <c:pt idx="392">
                  <c:v>1.0945277593806908</c:v>
                </c:pt>
                <c:pt idx="393">
                  <c:v>1.0945277593806908</c:v>
                </c:pt>
                <c:pt idx="394">
                  <c:v>1.0945277593806908</c:v>
                </c:pt>
                <c:pt idx="395">
                  <c:v>1.0945277593806908</c:v>
                </c:pt>
                <c:pt idx="396">
                  <c:v>1.0945277593806908</c:v>
                </c:pt>
                <c:pt idx="397">
                  <c:v>1.0945277593806908</c:v>
                </c:pt>
                <c:pt idx="398">
                  <c:v>1.0945277593806908</c:v>
                </c:pt>
                <c:pt idx="399">
                  <c:v>1.0945277593806908</c:v>
                </c:pt>
                <c:pt idx="400">
                  <c:v>1.0945277593806908</c:v>
                </c:pt>
                <c:pt idx="401">
                  <c:v>1.0945277593806908</c:v>
                </c:pt>
                <c:pt idx="402">
                  <c:v>1.0945277593806908</c:v>
                </c:pt>
                <c:pt idx="403">
                  <c:v>1.0945277593806908</c:v>
                </c:pt>
                <c:pt idx="404">
                  <c:v>1.0945277593806908</c:v>
                </c:pt>
                <c:pt idx="405">
                  <c:v>1.0945277593806908</c:v>
                </c:pt>
                <c:pt idx="406">
                  <c:v>1.0945277593806908</c:v>
                </c:pt>
                <c:pt idx="407">
                  <c:v>1.0945277593806908</c:v>
                </c:pt>
                <c:pt idx="408">
                  <c:v>1.0945277593806908</c:v>
                </c:pt>
                <c:pt idx="409">
                  <c:v>1.0945277593806908</c:v>
                </c:pt>
                <c:pt idx="410">
                  <c:v>1.0945277593806908</c:v>
                </c:pt>
                <c:pt idx="411">
                  <c:v>1.0945277593806908</c:v>
                </c:pt>
                <c:pt idx="412">
                  <c:v>1.0945277593806908</c:v>
                </c:pt>
                <c:pt idx="413">
                  <c:v>1.0945277593806908</c:v>
                </c:pt>
                <c:pt idx="414">
                  <c:v>1.0945277593806908</c:v>
                </c:pt>
                <c:pt idx="415">
                  <c:v>1.0945277593806908</c:v>
                </c:pt>
                <c:pt idx="416">
                  <c:v>1.0945277593806908</c:v>
                </c:pt>
                <c:pt idx="417">
                  <c:v>1.0945277593806908</c:v>
                </c:pt>
                <c:pt idx="418">
                  <c:v>1.0945277593806908</c:v>
                </c:pt>
                <c:pt idx="419">
                  <c:v>1.0956977126555381</c:v>
                </c:pt>
                <c:pt idx="420">
                  <c:v>1.0978817904271345</c:v>
                </c:pt>
                <c:pt idx="421">
                  <c:v>1.1007084821039781</c:v>
                </c:pt>
                <c:pt idx="422">
                  <c:v>1.102463865291158</c:v>
                </c:pt>
                <c:pt idx="423">
                  <c:v>1.108283319013301</c:v>
                </c:pt>
                <c:pt idx="424">
                  <c:v>1.108283319013301</c:v>
                </c:pt>
                <c:pt idx="425">
                  <c:v>1.108283319013301</c:v>
                </c:pt>
                <c:pt idx="426">
                  <c:v>1.1182811936196444</c:v>
                </c:pt>
                <c:pt idx="427">
                  <c:v>1.1184514003276653</c:v>
                </c:pt>
                <c:pt idx="428">
                  <c:v>1.1184514003276653</c:v>
                </c:pt>
                <c:pt idx="429">
                  <c:v>1.1216631330194307</c:v>
                </c:pt>
                <c:pt idx="430">
                  <c:v>1.1609502147941697</c:v>
                </c:pt>
                <c:pt idx="431">
                  <c:v>1.1861446285531065</c:v>
                </c:pt>
                <c:pt idx="432">
                  <c:v>1.1910609299105401</c:v>
                </c:pt>
                <c:pt idx="433">
                  <c:v>1.1936137415384871</c:v>
                </c:pt>
                <c:pt idx="434">
                  <c:v>1.1972152329195136</c:v>
                </c:pt>
                <c:pt idx="435">
                  <c:v>1.1984334207138654</c:v>
                </c:pt>
                <c:pt idx="436">
                  <c:v>1.2003263313404544</c:v>
                </c:pt>
                <c:pt idx="437">
                  <c:v>1.2016375168357976</c:v>
                </c:pt>
                <c:pt idx="438">
                  <c:v>1.2182141560072313</c:v>
                </c:pt>
                <c:pt idx="439">
                  <c:v>1.2182141560072313</c:v>
                </c:pt>
                <c:pt idx="440">
                  <c:v>1.2182141560072313</c:v>
                </c:pt>
                <c:pt idx="441">
                  <c:v>1.2182141560072313</c:v>
                </c:pt>
                <c:pt idx="442">
                  <c:v>1.1990872907400361</c:v>
                </c:pt>
                <c:pt idx="443">
                  <c:v>1.1990872907400361</c:v>
                </c:pt>
                <c:pt idx="444">
                  <c:v>1.1917924104536435</c:v>
                </c:pt>
                <c:pt idx="445">
                  <c:v>1.1782575960235651</c:v>
                </c:pt>
                <c:pt idx="446">
                  <c:v>1.1767774149572476</c:v>
                </c:pt>
                <c:pt idx="447">
                  <c:v>1.176065645559484</c:v>
                </c:pt>
                <c:pt idx="448">
                  <c:v>1.176065645559484</c:v>
                </c:pt>
                <c:pt idx="449">
                  <c:v>1.1731764191461995</c:v>
                </c:pt>
                <c:pt idx="450">
                  <c:v>1.1714989286813144</c:v>
                </c:pt>
                <c:pt idx="451">
                  <c:v>1.1714989286813144</c:v>
                </c:pt>
                <c:pt idx="452">
                  <c:v>1.1714989286813144</c:v>
                </c:pt>
                <c:pt idx="453">
                  <c:v>1.1714989286813144</c:v>
                </c:pt>
                <c:pt idx="454">
                  <c:v>1.1714989286813144</c:v>
                </c:pt>
                <c:pt idx="455">
                  <c:v>1.1714989286813144</c:v>
                </c:pt>
                <c:pt idx="456">
                  <c:v>1.1714989286813144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0-4761-B07A-7C3C35F3B7DB}"/>
            </c:ext>
          </c:extLst>
        </c:ser>
        <c:ser>
          <c:idx val="2"/>
          <c:order val="2"/>
          <c:tx>
            <c:v>Q25</c:v>
          </c:tx>
          <c:spPr>
            <a:ln w="28575" cap="rnd">
              <a:solidFill>
                <a:srgbClr val="92D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'Indice Utilities'!$AM$58:$AM$4000</c:f>
              <c:numCache>
                <c:formatCode>m/d/yyyy</c:formatCode>
                <c:ptCount val="3943"/>
                <c:pt idx="0">
                  <c:v>43105</c:v>
                </c:pt>
                <c:pt idx="1">
                  <c:v>43112</c:v>
                </c:pt>
                <c:pt idx="2">
                  <c:v>43119</c:v>
                </c:pt>
                <c:pt idx="3">
                  <c:v>43126</c:v>
                </c:pt>
                <c:pt idx="4">
                  <c:v>43133</c:v>
                </c:pt>
                <c:pt idx="5">
                  <c:v>43140</c:v>
                </c:pt>
                <c:pt idx="6">
                  <c:v>43147</c:v>
                </c:pt>
                <c:pt idx="7">
                  <c:v>43154</c:v>
                </c:pt>
                <c:pt idx="8">
                  <c:v>43161</c:v>
                </c:pt>
                <c:pt idx="9">
                  <c:v>43168</c:v>
                </c:pt>
                <c:pt idx="10">
                  <c:v>43175</c:v>
                </c:pt>
                <c:pt idx="11">
                  <c:v>43182</c:v>
                </c:pt>
                <c:pt idx="12">
                  <c:v>43189</c:v>
                </c:pt>
                <c:pt idx="13">
                  <c:v>43196</c:v>
                </c:pt>
                <c:pt idx="14">
                  <c:v>43203</c:v>
                </c:pt>
                <c:pt idx="15">
                  <c:v>43210</c:v>
                </c:pt>
                <c:pt idx="16">
                  <c:v>43217</c:v>
                </c:pt>
                <c:pt idx="17">
                  <c:v>43224</c:v>
                </c:pt>
                <c:pt idx="18">
                  <c:v>43231</c:v>
                </c:pt>
                <c:pt idx="19">
                  <c:v>43238</c:v>
                </c:pt>
                <c:pt idx="20">
                  <c:v>43245</c:v>
                </c:pt>
                <c:pt idx="21">
                  <c:v>43252</c:v>
                </c:pt>
                <c:pt idx="22">
                  <c:v>43259</c:v>
                </c:pt>
                <c:pt idx="23">
                  <c:v>43266</c:v>
                </c:pt>
                <c:pt idx="24">
                  <c:v>43273</c:v>
                </c:pt>
                <c:pt idx="25">
                  <c:v>43280</c:v>
                </c:pt>
                <c:pt idx="26">
                  <c:v>43287</c:v>
                </c:pt>
                <c:pt idx="27">
                  <c:v>43294</c:v>
                </c:pt>
                <c:pt idx="28">
                  <c:v>43301</c:v>
                </c:pt>
                <c:pt idx="29">
                  <c:v>43308</c:v>
                </c:pt>
                <c:pt idx="30">
                  <c:v>43315</c:v>
                </c:pt>
                <c:pt idx="31">
                  <c:v>43322</c:v>
                </c:pt>
                <c:pt idx="32">
                  <c:v>43329</c:v>
                </c:pt>
                <c:pt idx="33">
                  <c:v>43336</c:v>
                </c:pt>
                <c:pt idx="34">
                  <c:v>43343</c:v>
                </c:pt>
                <c:pt idx="35">
                  <c:v>43350</c:v>
                </c:pt>
                <c:pt idx="36">
                  <c:v>43357</c:v>
                </c:pt>
                <c:pt idx="37">
                  <c:v>43364</c:v>
                </c:pt>
                <c:pt idx="38">
                  <c:v>43371</c:v>
                </c:pt>
                <c:pt idx="39">
                  <c:v>43378</c:v>
                </c:pt>
                <c:pt idx="40">
                  <c:v>43385</c:v>
                </c:pt>
                <c:pt idx="41">
                  <c:v>43392</c:v>
                </c:pt>
                <c:pt idx="42">
                  <c:v>43399</c:v>
                </c:pt>
                <c:pt idx="43">
                  <c:v>43406</c:v>
                </c:pt>
                <c:pt idx="44">
                  <c:v>43413</c:v>
                </c:pt>
                <c:pt idx="45">
                  <c:v>43420</c:v>
                </c:pt>
                <c:pt idx="46">
                  <c:v>43427</c:v>
                </c:pt>
                <c:pt idx="47">
                  <c:v>43434</c:v>
                </c:pt>
                <c:pt idx="48">
                  <c:v>43441</c:v>
                </c:pt>
                <c:pt idx="49">
                  <c:v>43448</c:v>
                </c:pt>
                <c:pt idx="50">
                  <c:v>43455</c:v>
                </c:pt>
                <c:pt idx="51">
                  <c:v>43462</c:v>
                </c:pt>
                <c:pt idx="52">
                  <c:v>43469</c:v>
                </c:pt>
                <c:pt idx="53">
                  <c:v>43476</c:v>
                </c:pt>
                <c:pt idx="54">
                  <c:v>43483</c:v>
                </c:pt>
                <c:pt idx="55">
                  <c:v>43490</c:v>
                </c:pt>
                <c:pt idx="56">
                  <c:v>43497</c:v>
                </c:pt>
                <c:pt idx="57">
                  <c:v>43504</c:v>
                </c:pt>
                <c:pt idx="58">
                  <c:v>43511</c:v>
                </c:pt>
                <c:pt idx="59">
                  <c:v>43518</c:v>
                </c:pt>
                <c:pt idx="60">
                  <c:v>43525</c:v>
                </c:pt>
                <c:pt idx="61">
                  <c:v>43532</c:v>
                </c:pt>
                <c:pt idx="62">
                  <c:v>43539</c:v>
                </c:pt>
                <c:pt idx="63">
                  <c:v>43546</c:v>
                </c:pt>
                <c:pt idx="64">
                  <c:v>43553</c:v>
                </c:pt>
                <c:pt idx="65">
                  <c:v>43560</c:v>
                </c:pt>
                <c:pt idx="66">
                  <c:v>43567</c:v>
                </c:pt>
                <c:pt idx="67">
                  <c:v>43574</c:v>
                </c:pt>
                <c:pt idx="68">
                  <c:v>43581</c:v>
                </c:pt>
                <c:pt idx="69">
                  <c:v>43588</c:v>
                </c:pt>
                <c:pt idx="70">
                  <c:v>43595</c:v>
                </c:pt>
                <c:pt idx="71">
                  <c:v>43602</c:v>
                </c:pt>
                <c:pt idx="72">
                  <c:v>43609</c:v>
                </c:pt>
                <c:pt idx="73">
                  <c:v>43616</c:v>
                </c:pt>
                <c:pt idx="74">
                  <c:v>43623</c:v>
                </c:pt>
                <c:pt idx="75">
                  <c:v>43630</c:v>
                </c:pt>
                <c:pt idx="76">
                  <c:v>43637</c:v>
                </c:pt>
                <c:pt idx="77">
                  <c:v>43644</c:v>
                </c:pt>
                <c:pt idx="78">
                  <c:v>43651</c:v>
                </c:pt>
                <c:pt idx="79">
                  <c:v>43658</c:v>
                </c:pt>
                <c:pt idx="80">
                  <c:v>43665</c:v>
                </c:pt>
                <c:pt idx="81">
                  <c:v>43672</c:v>
                </c:pt>
                <c:pt idx="82">
                  <c:v>43679</c:v>
                </c:pt>
                <c:pt idx="83">
                  <c:v>43686</c:v>
                </c:pt>
                <c:pt idx="84">
                  <c:v>43693</c:v>
                </c:pt>
                <c:pt idx="85">
                  <c:v>43700</c:v>
                </c:pt>
                <c:pt idx="86">
                  <c:v>43707</c:v>
                </c:pt>
                <c:pt idx="87">
                  <c:v>43714</c:v>
                </c:pt>
                <c:pt idx="88">
                  <c:v>43721</c:v>
                </c:pt>
                <c:pt idx="89">
                  <c:v>43728</c:v>
                </c:pt>
                <c:pt idx="90">
                  <c:v>43735</c:v>
                </c:pt>
                <c:pt idx="91">
                  <c:v>43742</c:v>
                </c:pt>
                <c:pt idx="92">
                  <c:v>43749</c:v>
                </c:pt>
                <c:pt idx="93">
                  <c:v>43756</c:v>
                </c:pt>
                <c:pt idx="94">
                  <c:v>43763</c:v>
                </c:pt>
                <c:pt idx="95">
                  <c:v>43770</c:v>
                </c:pt>
                <c:pt idx="96">
                  <c:v>43777</c:v>
                </c:pt>
                <c:pt idx="97">
                  <c:v>43784</c:v>
                </c:pt>
                <c:pt idx="98">
                  <c:v>43791</c:v>
                </c:pt>
                <c:pt idx="99">
                  <c:v>43798</c:v>
                </c:pt>
                <c:pt idx="100">
                  <c:v>43805</c:v>
                </c:pt>
                <c:pt idx="101">
                  <c:v>43812</c:v>
                </c:pt>
                <c:pt idx="102">
                  <c:v>43819</c:v>
                </c:pt>
                <c:pt idx="103">
                  <c:v>43826</c:v>
                </c:pt>
                <c:pt idx="104">
                  <c:v>43833</c:v>
                </c:pt>
                <c:pt idx="105">
                  <c:v>43840</c:v>
                </c:pt>
                <c:pt idx="106">
                  <c:v>43847</c:v>
                </c:pt>
                <c:pt idx="107">
                  <c:v>43854</c:v>
                </c:pt>
                <c:pt idx="108">
                  <c:v>43861</c:v>
                </c:pt>
                <c:pt idx="109">
                  <c:v>43868</c:v>
                </c:pt>
                <c:pt idx="110">
                  <c:v>43875</c:v>
                </c:pt>
                <c:pt idx="111">
                  <c:v>43882</c:v>
                </c:pt>
                <c:pt idx="112">
                  <c:v>43889</c:v>
                </c:pt>
                <c:pt idx="113">
                  <c:v>43896</c:v>
                </c:pt>
                <c:pt idx="114">
                  <c:v>43903</c:v>
                </c:pt>
                <c:pt idx="115">
                  <c:v>43910</c:v>
                </c:pt>
                <c:pt idx="116">
                  <c:v>43917</c:v>
                </c:pt>
                <c:pt idx="117">
                  <c:v>43924</c:v>
                </c:pt>
                <c:pt idx="118">
                  <c:v>43931</c:v>
                </c:pt>
                <c:pt idx="119">
                  <c:v>43938</c:v>
                </c:pt>
                <c:pt idx="120">
                  <c:v>43945</c:v>
                </c:pt>
                <c:pt idx="121">
                  <c:v>43952</c:v>
                </c:pt>
                <c:pt idx="122">
                  <c:v>43959</c:v>
                </c:pt>
                <c:pt idx="123">
                  <c:v>43966</c:v>
                </c:pt>
                <c:pt idx="124">
                  <c:v>43973</c:v>
                </c:pt>
                <c:pt idx="125">
                  <c:v>43980</c:v>
                </c:pt>
                <c:pt idx="126">
                  <c:v>43987</c:v>
                </c:pt>
                <c:pt idx="127">
                  <c:v>43994</c:v>
                </c:pt>
                <c:pt idx="128">
                  <c:v>44001</c:v>
                </c:pt>
                <c:pt idx="129">
                  <c:v>44008</c:v>
                </c:pt>
                <c:pt idx="130">
                  <c:v>44015</c:v>
                </c:pt>
                <c:pt idx="131">
                  <c:v>44022</c:v>
                </c:pt>
                <c:pt idx="132">
                  <c:v>44029</c:v>
                </c:pt>
                <c:pt idx="133">
                  <c:v>44036</c:v>
                </c:pt>
                <c:pt idx="134">
                  <c:v>44043</c:v>
                </c:pt>
                <c:pt idx="135">
                  <c:v>44050</c:v>
                </c:pt>
                <c:pt idx="136">
                  <c:v>44057</c:v>
                </c:pt>
                <c:pt idx="137">
                  <c:v>44064</c:v>
                </c:pt>
                <c:pt idx="138">
                  <c:v>44071</c:v>
                </c:pt>
                <c:pt idx="139">
                  <c:v>44078</c:v>
                </c:pt>
                <c:pt idx="140">
                  <c:v>44085</c:v>
                </c:pt>
                <c:pt idx="141">
                  <c:v>44092</c:v>
                </c:pt>
                <c:pt idx="142">
                  <c:v>44099</c:v>
                </c:pt>
                <c:pt idx="143">
                  <c:v>44106</c:v>
                </c:pt>
                <c:pt idx="144">
                  <c:v>44113</c:v>
                </c:pt>
                <c:pt idx="145">
                  <c:v>44120</c:v>
                </c:pt>
                <c:pt idx="146">
                  <c:v>44127</c:v>
                </c:pt>
                <c:pt idx="147">
                  <c:v>44134</c:v>
                </c:pt>
                <c:pt idx="148">
                  <c:v>44141</c:v>
                </c:pt>
                <c:pt idx="149">
                  <c:v>44148</c:v>
                </c:pt>
                <c:pt idx="150">
                  <c:v>44155</c:v>
                </c:pt>
                <c:pt idx="151">
                  <c:v>44162</c:v>
                </c:pt>
                <c:pt idx="152">
                  <c:v>44169</c:v>
                </c:pt>
                <c:pt idx="153">
                  <c:v>44176</c:v>
                </c:pt>
                <c:pt idx="154">
                  <c:v>44183</c:v>
                </c:pt>
                <c:pt idx="155">
                  <c:v>44190</c:v>
                </c:pt>
                <c:pt idx="156">
                  <c:v>44197</c:v>
                </c:pt>
                <c:pt idx="157">
                  <c:v>44204</c:v>
                </c:pt>
                <c:pt idx="158">
                  <c:v>44211</c:v>
                </c:pt>
                <c:pt idx="159">
                  <c:v>44218</c:v>
                </c:pt>
                <c:pt idx="160">
                  <c:v>44225</c:v>
                </c:pt>
                <c:pt idx="161">
                  <c:v>44232</c:v>
                </c:pt>
                <c:pt idx="162">
                  <c:v>44239</c:v>
                </c:pt>
                <c:pt idx="163">
                  <c:v>44246</c:v>
                </c:pt>
                <c:pt idx="164">
                  <c:v>44253</c:v>
                </c:pt>
                <c:pt idx="165">
                  <c:v>44260</c:v>
                </c:pt>
                <c:pt idx="166">
                  <c:v>44267</c:v>
                </c:pt>
                <c:pt idx="167">
                  <c:v>44274</c:v>
                </c:pt>
                <c:pt idx="168">
                  <c:v>44281</c:v>
                </c:pt>
                <c:pt idx="169">
                  <c:v>44288</c:v>
                </c:pt>
                <c:pt idx="170">
                  <c:v>44295</c:v>
                </c:pt>
                <c:pt idx="171">
                  <c:v>44302</c:v>
                </c:pt>
                <c:pt idx="172">
                  <c:v>44309</c:v>
                </c:pt>
                <c:pt idx="173">
                  <c:v>44316</c:v>
                </c:pt>
                <c:pt idx="174">
                  <c:v>44323</c:v>
                </c:pt>
                <c:pt idx="175">
                  <c:v>44330</c:v>
                </c:pt>
                <c:pt idx="176">
                  <c:v>44337</c:v>
                </c:pt>
                <c:pt idx="177">
                  <c:v>44344</c:v>
                </c:pt>
                <c:pt idx="178">
                  <c:v>44351</c:v>
                </c:pt>
                <c:pt idx="179">
                  <c:v>44358</c:v>
                </c:pt>
                <c:pt idx="180">
                  <c:v>44365</c:v>
                </c:pt>
                <c:pt idx="181">
                  <c:v>44372</c:v>
                </c:pt>
                <c:pt idx="182">
                  <c:v>44379</c:v>
                </c:pt>
                <c:pt idx="183">
                  <c:v>44386</c:v>
                </c:pt>
                <c:pt idx="184">
                  <c:v>44393</c:v>
                </c:pt>
                <c:pt idx="185">
                  <c:v>44400</c:v>
                </c:pt>
                <c:pt idx="186">
                  <c:v>44407</c:v>
                </c:pt>
                <c:pt idx="187">
                  <c:v>44414</c:v>
                </c:pt>
                <c:pt idx="188">
                  <c:v>44421</c:v>
                </c:pt>
                <c:pt idx="189">
                  <c:v>44428</c:v>
                </c:pt>
                <c:pt idx="190">
                  <c:v>44435</c:v>
                </c:pt>
                <c:pt idx="191">
                  <c:v>44442</c:v>
                </c:pt>
                <c:pt idx="192">
                  <c:v>44449</c:v>
                </c:pt>
                <c:pt idx="193">
                  <c:v>44456</c:v>
                </c:pt>
                <c:pt idx="194">
                  <c:v>44463</c:v>
                </c:pt>
                <c:pt idx="195">
                  <c:v>44470</c:v>
                </c:pt>
                <c:pt idx="196">
                  <c:v>44477</c:v>
                </c:pt>
                <c:pt idx="197">
                  <c:v>44484</c:v>
                </c:pt>
                <c:pt idx="198">
                  <c:v>44491</c:v>
                </c:pt>
                <c:pt idx="199">
                  <c:v>44498</c:v>
                </c:pt>
                <c:pt idx="200">
                  <c:v>44505</c:v>
                </c:pt>
                <c:pt idx="201">
                  <c:v>44512</c:v>
                </c:pt>
                <c:pt idx="202">
                  <c:v>44519</c:v>
                </c:pt>
                <c:pt idx="203">
                  <c:v>44526</c:v>
                </c:pt>
                <c:pt idx="204">
                  <c:v>44533</c:v>
                </c:pt>
                <c:pt idx="205">
                  <c:v>44540</c:v>
                </c:pt>
                <c:pt idx="206">
                  <c:v>44547</c:v>
                </c:pt>
                <c:pt idx="207">
                  <c:v>44554</c:v>
                </c:pt>
                <c:pt idx="208">
                  <c:v>44561</c:v>
                </c:pt>
                <c:pt idx="209">
                  <c:v>44568</c:v>
                </c:pt>
                <c:pt idx="210">
                  <c:v>44575</c:v>
                </c:pt>
                <c:pt idx="211">
                  <c:v>44582</c:v>
                </c:pt>
                <c:pt idx="212">
                  <c:v>44589</c:v>
                </c:pt>
                <c:pt idx="213">
                  <c:v>44596</c:v>
                </c:pt>
                <c:pt idx="214">
                  <c:v>44603</c:v>
                </c:pt>
                <c:pt idx="215">
                  <c:v>44610</c:v>
                </c:pt>
                <c:pt idx="216">
                  <c:v>44617</c:v>
                </c:pt>
                <c:pt idx="217">
                  <c:v>44624</c:v>
                </c:pt>
                <c:pt idx="218">
                  <c:v>44631</c:v>
                </c:pt>
                <c:pt idx="219">
                  <c:v>44638</c:v>
                </c:pt>
                <c:pt idx="220">
                  <c:v>44645</c:v>
                </c:pt>
                <c:pt idx="221">
                  <c:v>44652</c:v>
                </c:pt>
                <c:pt idx="222">
                  <c:v>44659</c:v>
                </c:pt>
                <c:pt idx="223">
                  <c:v>44666</c:v>
                </c:pt>
                <c:pt idx="224">
                  <c:v>44673</c:v>
                </c:pt>
                <c:pt idx="225">
                  <c:v>44680</c:v>
                </c:pt>
                <c:pt idx="226">
                  <c:v>44687</c:v>
                </c:pt>
                <c:pt idx="227">
                  <c:v>44694</c:v>
                </c:pt>
                <c:pt idx="228">
                  <c:v>44701</c:v>
                </c:pt>
                <c:pt idx="229">
                  <c:v>44708</c:v>
                </c:pt>
                <c:pt idx="230">
                  <c:v>44715</c:v>
                </c:pt>
                <c:pt idx="231">
                  <c:v>44722</c:v>
                </c:pt>
                <c:pt idx="232">
                  <c:v>44729</c:v>
                </c:pt>
                <c:pt idx="233">
                  <c:v>44736</c:v>
                </c:pt>
                <c:pt idx="234">
                  <c:v>44743</c:v>
                </c:pt>
                <c:pt idx="235">
                  <c:v>44750</c:v>
                </c:pt>
                <c:pt idx="236">
                  <c:v>44757</c:v>
                </c:pt>
                <c:pt idx="237">
                  <c:v>44764</c:v>
                </c:pt>
                <c:pt idx="238">
                  <c:v>44771</c:v>
                </c:pt>
                <c:pt idx="239">
                  <c:v>44778</c:v>
                </c:pt>
                <c:pt idx="240">
                  <c:v>44785</c:v>
                </c:pt>
                <c:pt idx="241">
                  <c:v>44792</c:v>
                </c:pt>
                <c:pt idx="242">
                  <c:v>44799</c:v>
                </c:pt>
                <c:pt idx="243">
                  <c:v>44806</c:v>
                </c:pt>
                <c:pt idx="244">
                  <c:v>44813</c:v>
                </c:pt>
                <c:pt idx="245">
                  <c:v>44820</c:v>
                </c:pt>
                <c:pt idx="246">
                  <c:v>44827</c:v>
                </c:pt>
                <c:pt idx="247">
                  <c:v>44834</c:v>
                </c:pt>
                <c:pt idx="248">
                  <c:v>44841</c:v>
                </c:pt>
                <c:pt idx="249">
                  <c:v>44848</c:v>
                </c:pt>
                <c:pt idx="250">
                  <c:v>44855</c:v>
                </c:pt>
                <c:pt idx="251">
                  <c:v>44862</c:v>
                </c:pt>
                <c:pt idx="252">
                  <c:v>44869</c:v>
                </c:pt>
                <c:pt idx="253">
                  <c:v>44876</c:v>
                </c:pt>
                <c:pt idx="254">
                  <c:v>44883</c:v>
                </c:pt>
                <c:pt idx="255">
                  <c:v>44890</c:v>
                </c:pt>
                <c:pt idx="256">
                  <c:v>44897</c:v>
                </c:pt>
                <c:pt idx="257">
                  <c:v>44904</c:v>
                </c:pt>
                <c:pt idx="258">
                  <c:v>44911</c:v>
                </c:pt>
                <c:pt idx="259">
                  <c:v>44918</c:v>
                </c:pt>
                <c:pt idx="260">
                  <c:v>44925</c:v>
                </c:pt>
                <c:pt idx="261">
                  <c:v>44932</c:v>
                </c:pt>
                <c:pt idx="262">
                  <c:v>44939</c:v>
                </c:pt>
                <c:pt idx="263">
                  <c:v>44946</c:v>
                </c:pt>
                <c:pt idx="264">
                  <c:v>44953</c:v>
                </c:pt>
                <c:pt idx="265">
                  <c:v>44960</c:v>
                </c:pt>
                <c:pt idx="266">
                  <c:v>44967</c:v>
                </c:pt>
                <c:pt idx="267">
                  <c:v>44974</c:v>
                </c:pt>
                <c:pt idx="268">
                  <c:v>44981</c:v>
                </c:pt>
                <c:pt idx="269">
                  <c:v>44988</c:v>
                </c:pt>
                <c:pt idx="270">
                  <c:v>44995</c:v>
                </c:pt>
                <c:pt idx="271">
                  <c:v>45002</c:v>
                </c:pt>
                <c:pt idx="272">
                  <c:v>45009</c:v>
                </c:pt>
                <c:pt idx="273">
                  <c:v>45016</c:v>
                </c:pt>
                <c:pt idx="274">
                  <c:v>45023</c:v>
                </c:pt>
                <c:pt idx="275">
                  <c:v>45030</c:v>
                </c:pt>
                <c:pt idx="276">
                  <c:v>45037</c:v>
                </c:pt>
                <c:pt idx="277">
                  <c:v>45044</c:v>
                </c:pt>
                <c:pt idx="278">
                  <c:v>45051</c:v>
                </c:pt>
                <c:pt idx="279">
                  <c:v>45058</c:v>
                </c:pt>
                <c:pt idx="280">
                  <c:v>45065</c:v>
                </c:pt>
                <c:pt idx="281">
                  <c:v>45072</c:v>
                </c:pt>
                <c:pt idx="282">
                  <c:v>45079</c:v>
                </c:pt>
                <c:pt idx="283">
                  <c:v>45086</c:v>
                </c:pt>
                <c:pt idx="284">
                  <c:v>45093</c:v>
                </c:pt>
                <c:pt idx="285">
                  <c:v>45100</c:v>
                </c:pt>
                <c:pt idx="286">
                  <c:v>45107</c:v>
                </c:pt>
                <c:pt idx="287">
                  <c:v>45114</c:v>
                </c:pt>
                <c:pt idx="288">
                  <c:v>45121</c:v>
                </c:pt>
                <c:pt idx="289">
                  <c:v>45128</c:v>
                </c:pt>
                <c:pt idx="290">
                  <c:v>45135</c:v>
                </c:pt>
                <c:pt idx="291">
                  <c:v>45142</c:v>
                </c:pt>
                <c:pt idx="292">
                  <c:v>45149</c:v>
                </c:pt>
                <c:pt idx="293">
                  <c:v>45156</c:v>
                </c:pt>
                <c:pt idx="294">
                  <c:v>45163</c:v>
                </c:pt>
                <c:pt idx="295">
                  <c:v>45170</c:v>
                </c:pt>
                <c:pt idx="296">
                  <c:v>45177</c:v>
                </c:pt>
                <c:pt idx="297">
                  <c:v>45184</c:v>
                </c:pt>
                <c:pt idx="298">
                  <c:v>45191</c:v>
                </c:pt>
                <c:pt idx="299">
                  <c:v>45198</c:v>
                </c:pt>
                <c:pt idx="300">
                  <c:v>45205</c:v>
                </c:pt>
                <c:pt idx="301">
                  <c:v>45212</c:v>
                </c:pt>
                <c:pt idx="302">
                  <c:v>45219</c:v>
                </c:pt>
                <c:pt idx="303">
                  <c:v>45226</c:v>
                </c:pt>
                <c:pt idx="304">
                  <c:v>45233</c:v>
                </c:pt>
                <c:pt idx="305">
                  <c:v>45240</c:v>
                </c:pt>
                <c:pt idx="306">
                  <c:v>45247</c:v>
                </c:pt>
                <c:pt idx="307">
                  <c:v>45254</c:v>
                </c:pt>
                <c:pt idx="308">
                  <c:v>45261</c:v>
                </c:pt>
                <c:pt idx="309">
                  <c:v>45268</c:v>
                </c:pt>
                <c:pt idx="310">
                  <c:v>45275</c:v>
                </c:pt>
                <c:pt idx="311">
                  <c:v>45282</c:v>
                </c:pt>
                <c:pt idx="312">
                  <c:v>45289</c:v>
                </c:pt>
                <c:pt idx="313">
                  <c:v>45296</c:v>
                </c:pt>
                <c:pt idx="314">
                  <c:v>45303</c:v>
                </c:pt>
                <c:pt idx="315">
                  <c:v>45310</c:v>
                </c:pt>
                <c:pt idx="316">
                  <c:v>45317</c:v>
                </c:pt>
                <c:pt idx="317">
                  <c:v>45324</c:v>
                </c:pt>
                <c:pt idx="318">
                  <c:v>45331</c:v>
                </c:pt>
                <c:pt idx="319">
                  <c:v>45338</c:v>
                </c:pt>
                <c:pt idx="320">
                  <c:v>45345</c:v>
                </c:pt>
                <c:pt idx="321">
                  <c:v>45352</c:v>
                </c:pt>
                <c:pt idx="322">
                  <c:v>45359</c:v>
                </c:pt>
                <c:pt idx="323">
                  <c:v>45366</c:v>
                </c:pt>
                <c:pt idx="324">
                  <c:v>45373</c:v>
                </c:pt>
                <c:pt idx="325">
                  <c:v>45380</c:v>
                </c:pt>
                <c:pt idx="326">
                  <c:v>45387</c:v>
                </c:pt>
                <c:pt idx="327">
                  <c:v>45394</c:v>
                </c:pt>
                <c:pt idx="328">
                  <c:v>45401</c:v>
                </c:pt>
                <c:pt idx="329">
                  <c:v>45408</c:v>
                </c:pt>
                <c:pt idx="330">
                  <c:v>45415</c:v>
                </c:pt>
                <c:pt idx="331">
                  <c:v>45422</c:v>
                </c:pt>
                <c:pt idx="332">
                  <c:v>45429</c:v>
                </c:pt>
                <c:pt idx="333">
                  <c:v>45436</c:v>
                </c:pt>
                <c:pt idx="334">
                  <c:v>45443</c:v>
                </c:pt>
                <c:pt idx="335">
                  <c:v>45450</c:v>
                </c:pt>
                <c:pt idx="336">
                  <c:v>45457</c:v>
                </c:pt>
                <c:pt idx="337">
                  <c:v>45464</c:v>
                </c:pt>
                <c:pt idx="338">
                  <c:v>45471</c:v>
                </c:pt>
                <c:pt idx="339">
                  <c:v>45478</c:v>
                </c:pt>
                <c:pt idx="340">
                  <c:v>45485</c:v>
                </c:pt>
                <c:pt idx="341">
                  <c:v>45492</c:v>
                </c:pt>
                <c:pt idx="342">
                  <c:v>45499</c:v>
                </c:pt>
                <c:pt idx="343">
                  <c:v>45506</c:v>
                </c:pt>
                <c:pt idx="344">
                  <c:v>45513</c:v>
                </c:pt>
                <c:pt idx="345">
                  <c:v>45520</c:v>
                </c:pt>
                <c:pt idx="346">
                  <c:v>45527</c:v>
                </c:pt>
                <c:pt idx="347">
                  <c:v>45534</c:v>
                </c:pt>
                <c:pt idx="348">
                  <c:v>45541</c:v>
                </c:pt>
                <c:pt idx="349">
                  <c:v>45548</c:v>
                </c:pt>
                <c:pt idx="350">
                  <c:v>45555</c:v>
                </c:pt>
                <c:pt idx="351">
                  <c:v>45562</c:v>
                </c:pt>
                <c:pt idx="352">
                  <c:v>45569</c:v>
                </c:pt>
                <c:pt idx="353">
                  <c:v>45576</c:v>
                </c:pt>
                <c:pt idx="354">
                  <c:v>45583</c:v>
                </c:pt>
                <c:pt idx="355">
                  <c:v>45590</c:v>
                </c:pt>
                <c:pt idx="356">
                  <c:v>45597</c:v>
                </c:pt>
                <c:pt idx="357">
                  <c:v>45604</c:v>
                </c:pt>
                <c:pt idx="358">
                  <c:v>45611</c:v>
                </c:pt>
                <c:pt idx="359">
                  <c:v>45618</c:v>
                </c:pt>
                <c:pt idx="360">
                  <c:v>45625</c:v>
                </c:pt>
                <c:pt idx="361">
                  <c:v>45632</c:v>
                </c:pt>
                <c:pt idx="362">
                  <c:v>45639</c:v>
                </c:pt>
                <c:pt idx="363">
                  <c:v>45646</c:v>
                </c:pt>
                <c:pt idx="364">
                  <c:v>45653</c:v>
                </c:pt>
                <c:pt idx="365">
                  <c:v>45660</c:v>
                </c:pt>
                <c:pt idx="366">
                  <c:v>45667</c:v>
                </c:pt>
                <c:pt idx="367">
                  <c:v>45674</c:v>
                </c:pt>
                <c:pt idx="368">
                  <c:v>45681</c:v>
                </c:pt>
                <c:pt idx="369">
                  <c:v>45688</c:v>
                </c:pt>
                <c:pt idx="370">
                  <c:v>45695</c:v>
                </c:pt>
                <c:pt idx="371">
                  <c:v>45702</c:v>
                </c:pt>
                <c:pt idx="372">
                  <c:v>45709</c:v>
                </c:pt>
                <c:pt idx="373">
                  <c:v>45716</c:v>
                </c:pt>
                <c:pt idx="374">
                  <c:v>45723</c:v>
                </c:pt>
                <c:pt idx="375">
                  <c:v>45730</c:v>
                </c:pt>
                <c:pt idx="376">
                  <c:v>45737</c:v>
                </c:pt>
                <c:pt idx="377">
                  <c:v>45744</c:v>
                </c:pt>
                <c:pt idx="378">
                  <c:v>45751</c:v>
                </c:pt>
                <c:pt idx="379">
                  <c:v>45758</c:v>
                </c:pt>
                <c:pt idx="380">
                  <c:v>45765</c:v>
                </c:pt>
                <c:pt idx="381">
                  <c:v>45772</c:v>
                </c:pt>
                <c:pt idx="382">
                  <c:v>45779</c:v>
                </c:pt>
                <c:pt idx="383">
                  <c:v>45786</c:v>
                </c:pt>
                <c:pt idx="384">
                  <c:v>45793</c:v>
                </c:pt>
                <c:pt idx="385">
                  <c:v>45800</c:v>
                </c:pt>
                <c:pt idx="386">
                  <c:v>45807</c:v>
                </c:pt>
                <c:pt idx="387">
                  <c:v>45814</c:v>
                </c:pt>
                <c:pt idx="388">
                  <c:v>45821</c:v>
                </c:pt>
                <c:pt idx="389">
                  <c:v>45828</c:v>
                </c:pt>
                <c:pt idx="390">
                  <c:v>45835</c:v>
                </c:pt>
                <c:pt idx="391">
                  <c:v>45842</c:v>
                </c:pt>
                <c:pt idx="392">
                  <c:v>45849</c:v>
                </c:pt>
                <c:pt idx="393">
                  <c:v>45856</c:v>
                </c:pt>
                <c:pt idx="394">
                  <c:v>45863</c:v>
                </c:pt>
                <c:pt idx="395">
                  <c:v>45870</c:v>
                </c:pt>
                <c:pt idx="396">
                  <c:v>45877</c:v>
                </c:pt>
                <c:pt idx="397">
                  <c:v>45884</c:v>
                </c:pt>
                <c:pt idx="398">
                  <c:v>45891</c:v>
                </c:pt>
                <c:pt idx="399">
                  <c:v>45898</c:v>
                </c:pt>
                <c:pt idx="400">
                  <c:v>45905</c:v>
                </c:pt>
                <c:pt idx="401">
                  <c:v>45912</c:v>
                </c:pt>
                <c:pt idx="402">
                  <c:v>45919</c:v>
                </c:pt>
                <c:pt idx="403">
                  <c:v>45926</c:v>
                </c:pt>
                <c:pt idx="404">
                  <c:v>45933</c:v>
                </c:pt>
                <c:pt idx="405">
                  <c:v>45940</c:v>
                </c:pt>
                <c:pt idx="406">
                  <c:v>45947</c:v>
                </c:pt>
                <c:pt idx="407">
                  <c:v>45954</c:v>
                </c:pt>
                <c:pt idx="408">
                  <c:v>45961</c:v>
                </c:pt>
                <c:pt idx="409">
                  <c:v>45968</c:v>
                </c:pt>
                <c:pt idx="410">
                  <c:v>45975</c:v>
                </c:pt>
                <c:pt idx="411">
                  <c:v>45982</c:v>
                </c:pt>
                <c:pt idx="412">
                  <c:v>45989</c:v>
                </c:pt>
                <c:pt idx="413">
                  <c:v>45996</c:v>
                </c:pt>
                <c:pt idx="414">
                  <c:v>46003</c:v>
                </c:pt>
                <c:pt idx="415">
                  <c:v>46010</c:v>
                </c:pt>
                <c:pt idx="416">
                  <c:v>46017</c:v>
                </c:pt>
                <c:pt idx="417">
                  <c:v>46024</c:v>
                </c:pt>
                <c:pt idx="418">
                  <c:v>46031</c:v>
                </c:pt>
                <c:pt idx="419">
                  <c:v>46038</c:v>
                </c:pt>
                <c:pt idx="420">
                  <c:v>46045</c:v>
                </c:pt>
                <c:pt idx="421">
                  <c:v>46052</c:v>
                </c:pt>
                <c:pt idx="422">
                  <c:v>46059</c:v>
                </c:pt>
                <c:pt idx="423">
                  <c:v>46066</c:v>
                </c:pt>
                <c:pt idx="424">
                  <c:v>46073</c:v>
                </c:pt>
                <c:pt idx="425">
                  <c:v>46080</c:v>
                </c:pt>
                <c:pt idx="426">
                  <c:v>46087</c:v>
                </c:pt>
                <c:pt idx="427">
                  <c:v>46094</c:v>
                </c:pt>
                <c:pt idx="428">
                  <c:v>46101</c:v>
                </c:pt>
                <c:pt idx="429">
                  <c:v>46108</c:v>
                </c:pt>
                <c:pt idx="430">
                  <c:v>46115</c:v>
                </c:pt>
                <c:pt idx="431">
                  <c:v>46122</c:v>
                </c:pt>
                <c:pt idx="432">
                  <c:v>46129</c:v>
                </c:pt>
                <c:pt idx="433">
                  <c:v>46136</c:v>
                </c:pt>
                <c:pt idx="434">
                  <c:v>46143</c:v>
                </c:pt>
                <c:pt idx="435">
                  <c:v>46150</c:v>
                </c:pt>
                <c:pt idx="436">
                  <c:v>46157</c:v>
                </c:pt>
                <c:pt idx="437">
                  <c:v>46164</c:v>
                </c:pt>
                <c:pt idx="438">
                  <c:v>46171</c:v>
                </c:pt>
                <c:pt idx="439">
                  <c:v>46178</c:v>
                </c:pt>
                <c:pt idx="440">
                  <c:v>46185</c:v>
                </c:pt>
                <c:pt idx="441">
                  <c:v>46192</c:v>
                </c:pt>
                <c:pt idx="442">
                  <c:v>46199</c:v>
                </c:pt>
                <c:pt idx="443">
                  <c:v>46206</c:v>
                </c:pt>
                <c:pt idx="444">
                  <c:v>46213</c:v>
                </c:pt>
                <c:pt idx="445">
                  <c:v>46220</c:v>
                </c:pt>
                <c:pt idx="446">
                  <c:v>46227</c:v>
                </c:pt>
                <c:pt idx="447">
                  <c:v>46234</c:v>
                </c:pt>
                <c:pt idx="448">
                  <c:v>46241</c:v>
                </c:pt>
                <c:pt idx="449">
                  <c:v>46248</c:v>
                </c:pt>
                <c:pt idx="450">
                  <c:v>46255</c:v>
                </c:pt>
                <c:pt idx="451">
                  <c:v>46262</c:v>
                </c:pt>
                <c:pt idx="452">
                  <c:v>46269</c:v>
                </c:pt>
                <c:pt idx="453">
                  <c:v>46276</c:v>
                </c:pt>
                <c:pt idx="454">
                  <c:v>46283</c:v>
                </c:pt>
                <c:pt idx="455">
                  <c:v>46290</c:v>
                </c:pt>
                <c:pt idx="456">
                  <c:v>46297</c:v>
                </c:pt>
              </c:numCache>
            </c:numRef>
          </c:cat>
          <c:val>
            <c:numRef>
              <c:f>'Indice Utilities'!$AP$58:$AP$4000</c:f>
              <c:numCache>
                <c:formatCode>General</c:formatCode>
                <c:ptCount val="3943"/>
                <c:pt idx="0">
                  <c:v>1.0749229032063423</c:v>
                </c:pt>
                <c:pt idx="1">
                  <c:v>1.0763583118324958</c:v>
                </c:pt>
                <c:pt idx="2">
                  <c:v>1.0825084851695381</c:v>
                </c:pt>
                <c:pt idx="3">
                  <c:v>1.0913254922815001</c:v>
                </c:pt>
                <c:pt idx="4">
                  <c:v>1.0967822401472165</c:v>
                </c:pt>
                <c:pt idx="5">
                  <c:v>1.0990607992947157</c:v>
                </c:pt>
                <c:pt idx="6">
                  <c:v>1.0995336457076736</c:v>
                </c:pt>
                <c:pt idx="7">
                  <c:v>1.0996293988002339</c:v>
                </c:pt>
                <c:pt idx="8">
                  <c:v>1.1009132847063399</c:v>
                </c:pt>
                <c:pt idx="9">
                  <c:v>1.1065303400910713</c:v>
                </c:pt>
                <c:pt idx="10">
                  <c:v>1.1160285869449129</c:v>
                </c:pt>
                <c:pt idx="11">
                  <c:v>1.121424878626526</c:v>
                </c:pt>
                <c:pt idx="12">
                  <c:v>1.1242367809562592</c:v>
                </c:pt>
                <c:pt idx="13">
                  <c:v>1.1301218750845154</c:v>
                </c:pt>
                <c:pt idx="14">
                  <c:v>1.1319785406692346</c:v>
                </c:pt>
                <c:pt idx="15">
                  <c:v>1.1350367389825575</c:v>
                </c:pt>
                <c:pt idx="16">
                  <c:v>1.1380591972160199</c:v>
                </c:pt>
                <c:pt idx="17">
                  <c:v>1.1467470639334507</c:v>
                </c:pt>
                <c:pt idx="18">
                  <c:v>1.1557247171505667</c:v>
                </c:pt>
                <c:pt idx="19">
                  <c:v>1.177616769045331</c:v>
                </c:pt>
                <c:pt idx="20">
                  <c:v>1.1933732410441258</c:v>
                </c:pt>
                <c:pt idx="21">
                  <c:v>1.2004473233238291</c:v>
                </c:pt>
                <c:pt idx="22">
                  <c:v>1.2038579409315568</c:v>
                </c:pt>
                <c:pt idx="23">
                  <c:v>1.2104665989793157</c:v>
                </c:pt>
                <c:pt idx="24">
                  <c:v>1.2200731539629155</c:v>
                </c:pt>
                <c:pt idx="25">
                  <c:v>1.2328600081328667</c:v>
                </c:pt>
                <c:pt idx="26">
                  <c:v>1.2372047838955322</c:v>
                </c:pt>
                <c:pt idx="27">
                  <c:v>1.2575546376677382</c:v>
                </c:pt>
                <c:pt idx="28">
                  <c:v>1.2721000860350602</c:v>
                </c:pt>
                <c:pt idx="29">
                  <c:v>1.2801733247364031</c:v>
                </c:pt>
                <c:pt idx="30">
                  <c:v>1.2821104954087195</c:v>
                </c:pt>
                <c:pt idx="31">
                  <c:v>1.2827265551139202</c:v>
                </c:pt>
                <c:pt idx="32">
                  <c:v>1.2922584050900414</c:v>
                </c:pt>
                <c:pt idx="33">
                  <c:v>1.2956593246982215</c:v>
                </c:pt>
                <c:pt idx="34">
                  <c:v>1.2962072029050669</c:v>
                </c:pt>
                <c:pt idx="35">
                  <c:v>1.2971431823122315</c:v>
                </c:pt>
                <c:pt idx="36">
                  <c:v>1.2987835432506161</c:v>
                </c:pt>
                <c:pt idx="37">
                  <c:v>1.3001376887161069</c:v>
                </c:pt>
                <c:pt idx="38">
                  <c:v>1.3027086515108737</c:v>
                </c:pt>
                <c:pt idx="39">
                  <c:v>1.3038561068054997</c:v>
                </c:pt>
                <c:pt idx="40">
                  <c:v>1.3087448806865061</c:v>
                </c:pt>
                <c:pt idx="41">
                  <c:v>1.3104371273345792</c:v>
                </c:pt>
                <c:pt idx="42">
                  <c:v>1.3117628788830056</c:v>
                </c:pt>
                <c:pt idx="43">
                  <c:v>1.315050924715609</c:v>
                </c:pt>
                <c:pt idx="44">
                  <c:v>1.3174453632109566</c:v>
                </c:pt>
                <c:pt idx="45">
                  <c:v>1.3199800936252291</c:v>
                </c:pt>
                <c:pt idx="46">
                  <c:v>1.3209040735451487</c:v>
                </c:pt>
                <c:pt idx="47">
                  <c:v>1.3225137903519206</c:v>
                </c:pt>
                <c:pt idx="48">
                  <c:v>1.324527150833035</c:v>
                </c:pt>
                <c:pt idx="49">
                  <c:v>1.3319017015673766</c:v>
                </c:pt>
                <c:pt idx="50">
                  <c:v>1.335658348836704</c:v>
                </c:pt>
                <c:pt idx="51">
                  <c:v>1.335658348836704</c:v>
                </c:pt>
                <c:pt idx="52">
                  <c:v>1.3403949413324099</c:v>
                </c:pt>
                <c:pt idx="53">
                  <c:v>1.3403949413324099</c:v>
                </c:pt>
                <c:pt idx="54">
                  <c:v>1.3403949413324099</c:v>
                </c:pt>
                <c:pt idx="55">
                  <c:v>1.3403949413324099</c:v>
                </c:pt>
                <c:pt idx="56">
                  <c:v>1.3403949413324099</c:v>
                </c:pt>
                <c:pt idx="57">
                  <c:v>1.3433053964592512</c:v>
                </c:pt>
                <c:pt idx="58">
                  <c:v>1.3433053964592512</c:v>
                </c:pt>
                <c:pt idx="59">
                  <c:v>1.3447203646545283</c:v>
                </c:pt>
                <c:pt idx="60">
                  <c:v>1.3488524911521513</c:v>
                </c:pt>
                <c:pt idx="61">
                  <c:v>1.3504518828027969</c:v>
                </c:pt>
                <c:pt idx="62">
                  <c:v>1.3516967143802834</c:v>
                </c:pt>
                <c:pt idx="63">
                  <c:v>1.3646446620904367</c:v>
                </c:pt>
                <c:pt idx="64">
                  <c:v>1.3699557889487446</c:v>
                </c:pt>
                <c:pt idx="65">
                  <c:v>1.3709014635556844</c:v>
                </c:pt>
                <c:pt idx="66">
                  <c:v>1.3709014635556844</c:v>
                </c:pt>
                <c:pt idx="67">
                  <c:v>1.3709014635556844</c:v>
                </c:pt>
                <c:pt idx="68">
                  <c:v>1.3709014635556844</c:v>
                </c:pt>
                <c:pt idx="69">
                  <c:v>1.3709014635556844</c:v>
                </c:pt>
                <c:pt idx="70">
                  <c:v>1.3709014635556844</c:v>
                </c:pt>
                <c:pt idx="71">
                  <c:v>1.3764491458584764</c:v>
                </c:pt>
                <c:pt idx="72">
                  <c:v>1.3709014635556844</c:v>
                </c:pt>
                <c:pt idx="73">
                  <c:v>1.3699557889487446</c:v>
                </c:pt>
                <c:pt idx="74">
                  <c:v>1.3699557889487446</c:v>
                </c:pt>
                <c:pt idx="75">
                  <c:v>1.3679746608481718</c:v>
                </c:pt>
                <c:pt idx="76">
                  <c:v>1.3649133548051875</c:v>
                </c:pt>
                <c:pt idx="77">
                  <c:v>1.3627433221409562</c:v>
                </c:pt>
                <c:pt idx="78">
                  <c:v>1.3627433221409562</c:v>
                </c:pt>
                <c:pt idx="79">
                  <c:v>1.3627433221409562</c:v>
                </c:pt>
                <c:pt idx="80">
                  <c:v>1.3627433221409562</c:v>
                </c:pt>
                <c:pt idx="81">
                  <c:v>1.3627433221409562</c:v>
                </c:pt>
                <c:pt idx="82">
                  <c:v>1.3595182608772227</c:v>
                </c:pt>
                <c:pt idx="83">
                  <c:v>1.3547197980744892</c:v>
                </c:pt>
                <c:pt idx="84">
                  <c:v>1.3456640792773018</c:v>
                </c:pt>
                <c:pt idx="85">
                  <c:v>1.3294032194816752</c:v>
                </c:pt>
                <c:pt idx="86">
                  <c:v>1.3145627157896254</c:v>
                </c:pt>
                <c:pt idx="87">
                  <c:v>1.2944887347435481</c:v>
                </c:pt>
                <c:pt idx="88">
                  <c:v>1.2907915967422232</c:v>
                </c:pt>
                <c:pt idx="89">
                  <c:v>1.2824101127273937</c:v>
                </c:pt>
                <c:pt idx="90">
                  <c:v>1.2792031628449869</c:v>
                </c:pt>
                <c:pt idx="91">
                  <c:v>1.2702839059348954</c:v>
                </c:pt>
                <c:pt idx="92">
                  <c:v>1.2586130214396496</c:v>
                </c:pt>
                <c:pt idx="93">
                  <c:v>1.2542982849148672</c:v>
                </c:pt>
                <c:pt idx="94">
                  <c:v>1.2448019616891299</c:v>
                </c:pt>
                <c:pt idx="95">
                  <c:v>1.2424921778203903</c:v>
                </c:pt>
                <c:pt idx="96">
                  <c:v>1.2320217153123918</c:v>
                </c:pt>
                <c:pt idx="97">
                  <c:v>1.212500536551897</c:v>
                </c:pt>
                <c:pt idx="98">
                  <c:v>1.198191741057103</c:v>
                </c:pt>
                <c:pt idx="99">
                  <c:v>1.1932533453728202</c:v>
                </c:pt>
                <c:pt idx="100">
                  <c:v>1.1804651918441209</c:v>
                </c:pt>
                <c:pt idx="101">
                  <c:v>1.1684674166221065</c:v>
                </c:pt>
                <c:pt idx="102">
                  <c:v>1.1618370441896466</c:v>
                </c:pt>
                <c:pt idx="103">
                  <c:v>1.1537291663061149</c:v>
                </c:pt>
                <c:pt idx="104">
                  <c:v>1.1436861230077331</c:v>
                </c:pt>
                <c:pt idx="105">
                  <c:v>1.1286353911929596</c:v>
                </c:pt>
                <c:pt idx="106">
                  <c:v>1.1256758892656284</c:v>
                </c:pt>
                <c:pt idx="107">
                  <c:v>1.1098052766610182</c:v>
                </c:pt>
                <c:pt idx="108">
                  <c:v>1.063071570897935</c:v>
                </c:pt>
                <c:pt idx="109">
                  <c:v>1.0491336487261491</c:v>
                </c:pt>
                <c:pt idx="110">
                  <c:v>1.0266633797978164</c:v>
                </c:pt>
                <c:pt idx="111">
                  <c:v>1.0045816073820604</c:v>
                </c:pt>
                <c:pt idx="112">
                  <c:v>0.99898901830515774</c:v>
                </c:pt>
                <c:pt idx="113">
                  <c:v>0.98963364220464156</c:v>
                </c:pt>
                <c:pt idx="114">
                  <c:v>0.98566813948801268</c:v>
                </c:pt>
                <c:pt idx="115">
                  <c:v>0.98566813948801268</c:v>
                </c:pt>
                <c:pt idx="116">
                  <c:v>0.98566813948801268</c:v>
                </c:pt>
                <c:pt idx="117">
                  <c:v>0.98566813948801268</c:v>
                </c:pt>
                <c:pt idx="118">
                  <c:v>0.98566813948801268</c:v>
                </c:pt>
                <c:pt idx="119">
                  <c:v>0.98566813948801268</c:v>
                </c:pt>
                <c:pt idx="120">
                  <c:v>0.98566813948801268</c:v>
                </c:pt>
                <c:pt idx="121">
                  <c:v>0.98566813948801268</c:v>
                </c:pt>
                <c:pt idx="122">
                  <c:v>0.98566813948801268</c:v>
                </c:pt>
                <c:pt idx="123">
                  <c:v>0.98566813948801268</c:v>
                </c:pt>
                <c:pt idx="124">
                  <c:v>0.98566813948801268</c:v>
                </c:pt>
                <c:pt idx="125">
                  <c:v>0.98566813948801268</c:v>
                </c:pt>
                <c:pt idx="126">
                  <c:v>0.98566813948801268</c:v>
                </c:pt>
                <c:pt idx="127">
                  <c:v>0.98404601725147267</c:v>
                </c:pt>
                <c:pt idx="128">
                  <c:v>0.97699679782906346</c:v>
                </c:pt>
                <c:pt idx="129">
                  <c:v>0.97446589903915992</c:v>
                </c:pt>
                <c:pt idx="130">
                  <c:v>0.97115853069168934</c:v>
                </c:pt>
                <c:pt idx="131">
                  <c:v>0.9660257908618084</c:v>
                </c:pt>
                <c:pt idx="132">
                  <c:v>0.9660257908618084</c:v>
                </c:pt>
                <c:pt idx="133">
                  <c:v>0.96536218782109329</c:v>
                </c:pt>
                <c:pt idx="134">
                  <c:v>0.96434909496229404</c:v>
                </c:pt>
                <c:pt idx="135">
                  <c:v>0.9627681108169347</c:v>
                </c:pt>
                <c:pt idx="136">
                  <c:v>0.95794228838435647</c:v>
                </c:pt>
                <c:pt idx="137">
                  <c:v>0.95584035945393486</c:v>
                </c:pt>
                <c:pt idx="138">
                  <c:v>0.95363492012960771</c:v>
                </c:pt>
                <c:pt idx="139">
                  <c:v>0.95239833332415846</c:v>
                </c:pt>
                <c:pt idx="140">
                  <c:v>0.9497187443143198</c:v>
                </c:pt>
                <c:pt idx="141">
                  <c:v>0.94728839857406655</c:v>
                </c:pt>
                <c:pt idx="142">
                  <c:v>0.94654482178556965</c:v>
                </c:pt>
                <c:pt idx="143">
                  <c:v>0.94654482178556965</c:v>
                </c:pt>
                <c:pt idx="144">
                  <c:v>0.94654482178556965</c:v>
                </c:pt>
                <c:pt idx="145">
                  <c:v>0.94654482178556965</c:v>
                </c:pt>
                <c:pt idx="146">
                  <c:v>0.94654482178556965</c:v>
                </c:pt>
                <c:pt idx="147">
                  <c:v>0.94654482178556965</c:v>
                </c:pt>
                <c:pt idx="148">
                  <c:v>0.94654482178556965</c:v>
                </c:pt>
                <c:pt idx="149">
                  <c:v>0.94654482178556965</c:v>
                </c:pt>
                <c:pt idx="150">
                  <c:v>0.94654482178556965</c:v>
                </c:pt>
                <c:pt idx="151">
                  <c:v>0.94654482178556965</c:v>
                </c:pt>
                <c:pt idx="152">
                  <c:v>0.94654482178556965</c:v>
                </c:pt>
                <c:pt idx="153">
                  <c:v>0.94654482178556965</c:v>
                </c:pt>
                <c:pt idx="154">
                  <c:v>0.94654482178556965</c:v>
                </c:pt>
                <c:pt idx="155">
                  <c:v>0.94654482178556965</c:v>
                </c:pt>
                <c:pt idx="156">
                  <c:v>0.94654482178556965</c:v>
                </c:pt>
                <c:pt idx="157">
                  <c:v>0.94654482178556965</c:v>
                </c:pt>
                <c:pt idx="158">
                  <c:v>0.94654482178556965</c:v>
                </c:pt>
                <c:pt idx="159">
                  <c:v>0.94654482178556965</c:v>
                </c:pt>
                <c:pt idx="160">
                  <c:v>0.94654482178556965</c:v>
                </c:pt>
                <c:pt idx="161">
                  <c:v>0.94654482178556965</c:v>
                </c:pt>
                <c:pt idx="162">
                  <c:v>0.94728839857406655</c:v>
                </c:pt>
                <c:pt idx="163">
                  <c:v>0.94728839857406655</c:v>
                </c:pt>
                <c:pt idx="164">
                  <c:v>0.94977390866986444</c:v>
                </c:pt>
                <c:pt idx="165">
                  <c:v>0.94977390866986444</c:v>
                </c:pt>
                <c:pt idx="166">
                  <c:v>0.94728839857406655</c:v>
                </c:pt>
                <c:pt idx="167">
                  <c:v>0.94617434304109116</c:v>
                </c:pt>
                <c:pt idx="168">
                  <c:v>0.94295556246124079</c:v>
                </c:pt>
                <c:pt idx="169">
                  <c:v>0.93732156119488363</c:v>
                </c:pt>
                <c:pt idx="170">
                  <c:v>0.93569680969243207</c:v>
                </c:pt>
                <c:pt idx="171">
                  <c:v>0.93366507523674869</c:v>
                </c:pt>
                <c:pt idx="172">
                  <c:v>0.93200764443378814</c:v>
                </c:pt>
                <c:pt idx="173">
                  <c:v>0.92772636788359564</c:v>
                </c:pt>
                <c:pt idx="174">
                  <c:v>0.91942556221791294</c:v>
                </c:pt>
                <c:pt idx="175">
                  <c:v>0.91610137015794257</c:v>
                </c:pt>
                <c:pt idx="176">
                  <c:v>0.91564301483311161</c:v>
                </c:pt>
                <c:pt idx="177">
                  <c:v>0.91449452279009902</c:v>
                </c:pt>
                <c:pt idx="178">
                  <c:v>0.91353373529449255</c:v>
                </c:pt>
                <c:pt idx="179">
                  <c:v>0.91043275632857512</c:v>
                </c:pt>
                <c:pt idx="180">
                  <c:v>0.90734850726387661</c:v>
                </c:pt>
                <c:pt idx="181">
                  <c:v>0.90610415671298083</c:v>
                </c:pt>
                <c:pt idx="182">
                  <c:v>0.90422713365195451</c:v>
                </c:pt>
                <c:pt idx="183">
                  <c:v>0.90368664113227315</c:v>
                </c:pt>
                <c:pt idx="184">
                  <c:v>0.90119853704644748</c:v>
                </c:pt>
                <c:pt idx="185">
                  <c:v>0.89774262799386417</c:v>
                </c:pt>
                <c:pt idx="186">
                  <c:v>0.89722772840264675</c:v>
                </c:pt>
                <c:pt idx="187">
                  <c:v>0.89549374780773294</c:v>
                </c:pt>
                <c:pt idx="188">
                  <c:v>0.89347665996905923</c:v>
                </c:pt>
                <c:pt idx="189">
                  <c:v>0.89201410268090742</c:v>
                </c:pt>
                <c:pt idx="190">
                  <c:v>0.88825561474475023</c:v>
                </c:pt>
                <c:pt idx="191">
                  <c:v>0.88825561474475023</c:v>
                </c:pt>
                <c:pt idx="192">
                  <c:v>0.88825561474475023</c:v>
                </c:pt>
                <c:pt idx="193">
                  <c:v>0.89201410268090742</c:v>
                </c:pt>
                <c:pt idx="194">
                  <c:v>0.89201410268090742</c:v>
                </c:pt>
                <c:pt idx="195">
                  <c:v>0.89201410268090742</c:v>
                </c:pt>
                <c:pt idx="196">
                  <c:v>0.89201410268090742</c:v>
                </c:pt>
                <c:pt idx="197">
                  <c:v>0.89201410268090742</c:v>
                </c:pt>
                <c:pt idx="198">
                  <c:v>0.89201410268090742</c:v>
                </c:pt>
                <c:pt idx="199">
                  <c:v>0.89201410268090742</c:v>
                </c:pt>
                <c:pt idx="200">
                  <c:v>0.89201410268090742</c:v>
                </c:pt>
                <c:pt idx="201">
                  <c:v>0.89201410268090742</c:v>
                </c:pt>
                <c:pt idx="202">
                  <c:v>0.89201410268090742</c:v>
                </c:pt>
                <c:pt idx="203">
                  <c:v>0.89201410268090742</c:v>
                </c:pt>
                <c:pt idx="204">
                  <c:v>0.89201410268090742</c:v>
                </c:pt>
                <c:pt idx="205">
                  <c:v>0.89201410268090742</c:v>
                </c:pt>
                <c:pt idx="206">
                  <c:v>0.89201410268090742</c:v>
                </c:pt>
                <c:pt idx="207">
                  <c:v>0.89201410268090742</c:v>
                </c:pt>
                <c:pt idx="208">
                  <c:v>0.89201410268090742</c:v>
                </c:pt>
                <c:pt idx="209">
                  <c:v>0.89201410268090742</c:v>
                </c:pt>
                <c:pt idx="210">
                  <c:v>0.89201410268090742</c:v>
                </c:pt>
                <c:pt idx="211">
                  <c:v>0.89201410268090742</c:v>
                </c:pt>
                <c:pt idx="212">
                  <c:v>0.89201410268090742</c:v>
                </c:pt>
                <c:pt idx="213">
                  <c:v>0.89201410268090742</c:v>
                </c:pt>
                <c:pt idx="214">
                  <c:v>0.89201410268090742</c:v>
                </c:pt>
                <c:pt idx="215">
                  <c:v>0.89201410268090742</c:v>
                </c:pt>
                <c:pt idx="216">
                  <c:v>0.89201410268090742</c:v>
                </c:pt>
                <c:pt idx="217">
                  <c:v>0.89201410268090742</c:v>
                </c:pt>
                <c:pt idx="218">
                  <c:v>0.89201410268090742</c:v>
                </c:pt>
                <c:pt idx="219">
                  <c:v>0.89201410268090742</c:v>
                </c:pt>
                <c:pt idx="220">
                  <c:v>0.89201410268090742</c:v>
                </c:pt>
                <c:pt idx="221">
                  <c:v>0.89201410268090742</c:v>
                </c:pt>
                <c:pt idx="222">
                  <c:v>0.89201410268090742</c:v>
                </c:pt>
                <c:pt idx="223">
                  <c:v>0.89201410268090742</c:v>
                </c:pt>
                <c:pt idx="224">
                  <c:v>0.89898902252942636</c:v>
                </c:pt>
                <c:pt idx="225">
                  <c:v>0.89898902252942636</c:v>
                </c:pt>
                <c:pt idx="226">
                  <c:v>0.89898902252942636</c:v>
                </c:pt>
                <c:pt idx="227">
                  <c:v>0.90303399011703922</c:v>
                </c:pt>
                <c:pt idx="228">
                  <c:v>0.9040095833135432</c:v>
                </c:pt>
                <c:pt idx="229">
                  <c:v>0.90518381207634246</c:v>
                </c:pt>
                <c:pt idx="230">
                  <c:v>0.90641307653239522</c:v>
                </c:pt>
                <c:pt idx="231">
                  <c:v>0.90802466370449852</c:v>
                </c:pt>
                <c:pt idx="232">
                  <c:v>0.91161675168698686</c:v>
                </c:pt>
                <c:pt idx="233">
                  <c:v>0.91407396531466234</c:v>
                </c:pt>
                <c:pt idx="234">
                  <c:v>0.91642798011798199</c:v>
                </c:pt>
                <c:pt idx="235">
                  <c:v>0.91743400149995213</c:v>
                </c:pt>
                <c:pt idx="236">
                  <c:v>0.9180086122391049</c:v>
                </c:pt>
                <c:pt idx="237">
                  <c:v>0.92559458472589318</c:v>
                </c:pt>
                <c:pt idx="238">
                  <c:v>0.92996736155859128</c:v>
                </c:pt>
                <c:pt idx="239">
                  <c:v>0.94731231960500484</c:v>
                </c:pt>
                <c:pt idx="240">
                  <c:v>0.95927924071743376</c:v>
                </c:pt>
                <c:pt idx="241">
                  <c:v>0.96308207256487566</c:v>
                </c:pt>
                <c:pt idx="242">
                  <c:v>0.96488296200296997</c:v>
                </c:pt>
                <c:pt idx="243">
                  <c:v>0.97339695459055386</c:v>
                </c:pt>
                <c:pt idx="244">
                  <c:v>0.97957012530487697</c:v>
                </c:pt>
                <c:pt idx="245">
                  <c:v>0.98424797007782228</c:v>
                </c:pt>
                <c:pt idx="246">
                  <c:v>0.98424797007782228</c:v>
                </c:pt>
                <c:pt idx="247">
                  <c:v>0.98424797007782228</c:v>
                </c:pt>
                <c:pt idx="248">
                  <c:v>0.98424797007782228</c:v>
                </c:pt>
                <c:pt idx="249">
                  <c:v>0.98424797007782228</c:v>
                </c:pt>
                <c:pt idx="250">
                  <c:v>0.98424797007782228</c:v>
                </c:pt>
                <c:pt idx="251">
                  <c:v>0.98424797007782228</c:v>
                </c:pt>
                <c:pt idx="252">
                  <c:v>0.98424797007782228</c:v>
                </c:pt>
                <c:pt idx="253">
                  <c:v>0.98424797007782228</c:v>
                </c:pt>
                <c:pt idx="254">
                  <c:v>0.9982920324266823</c:v>
                </c:pt>
                <c:pt idx="255">
                  <c:v>1.0054543517895114</c:v>
                </c:pt>
                <c:pt idx="256">
                  <c:v>1.0151423306550562</c:v>
                </c:pt>
                <c:pt idx="257">
                  <c:v>1.0190167176075628</c:v>
                </c:pt>
                <c:pt idx="258">
                  <c:v>1.0275986999407574</c:v>
                </c:pt>
                <c:pt idx="259">
                  <c:v>1.0345388950913716</c:v>
                </c:pt>
                <c:pt idx="260">
                  <c:v>1.0381717978618807</c:v>
                </c:pt>
                <c:pt idx="261">
                  <c:v>1.0424319269675864</c:v>
                </c:pt>
                <c:pt idx="262">
                  <c:v>1.0438524550539594</c:v>
                </c:pt>
                <c:pt idx="263">
                  <c:v>1.0454317836127669</c:v>
                </c:pt>
                <c:pt idx="264">
                  <c:v>1.0465467943894777</c:v>
                </c:pt>
                <c:pt idx="265">
                  <c:v>1.0494417067309323</c:v>
                </c:pt>
                <c:pt idx="266">
                  <c:v>1.0507615885843502</c:v>
                </c:pt>
                <c:pt idx="267">
                  <c:v>1.0579272186975082</c:v>
                </c:pt>
                <c:pt idx="268">
                  <c:v>1.0613118007293936</c:v>
                </c:pt>
                <c:pt idx="269">
                  <c:v>1.0627585199083214</c:v>
                </c:pt>
                <c:pt idx="270">
                  <c:v>1.0627585199083214</c:v>
                </c:pt>
                <c:pt idx="271">
                  <c:v>1.0627585199083214</c:v>
                </c:pt>
                <c:pt idx="272">
                  <c:v>1.0634806096537188</c:v>
                </c:pt>
                <c:pt idx="273">
                  <c:v>1.0651018231092928</c:v>
                </c:pt>
                <c:pt idx="274">
                  <c:v>1.0660438190759687</c:v>
                </c:pt>
                <c:pt idx="275">
                  <c:v>1.0660438190759687</c:v>
                </c:pt>
                <c:pt idx="276">
                  <c:v>1.0660438190759687</c:v>
                </c:pt>
                <c:pt idx="277">
                  <c:v>1.0751076515489033</c:v>
                </c:pt>
                <c:pt idx="278">
                  <c:v>1.0823350964322507</c:v>
                </c:pt>
                <c:pt idx="279">
                  <c:v>1.0917725966732881</c:v>
                </c:pt>
                <c:pt idx="280">
                  <c:v>1.0970608473924623</c:v>
                </c:pt>
                <c:pt idx="281">
                  <c:v>1.0980656610821922</c:v>
                </c:pt>
                <c:pt idx="282">
                  <c:v>1.1010281705529295</c:v>
                </c:pt>
                <c:pt idx="283">
                  <c:v>1.1045923791135295</c:v>
                </c:pt>
                <c:pt idx="284">
                  <c:v>1.1188518406602102</c:v>
                </c:pt>
                <c:pt idx="285">
                  <c:v>1.1429779538781846</c:v>
                </c:pt>
                <c:pt idx="286">
                  <c:v>1.1570155825131534</c:v>
                </c:pt>
                <c:pt idx="287">
                  <c:v>1.1740106303424886</c:v>
                </c:pt>
                <c:pt idx="288">
                  <c:v>1.1820314674676251</c:v>
                </c:pt>
                <c:pt idx="289">
                  <c:v>1.1849999335489345</c:v>
                </c:pt>
                <c:pt idx="290">
                  <c:v>1.187642767136537</c:v>
                </c:pt>
                <c:pt idx="291">
                  <c:v>1.187642767136537</c:v>
                </c:pt>
                <c:pt idx="292">
                  <c:v>1.187642767136537</c:v>
                </c:pt>
                <c:pt idx="293">
                  <c:v>1.187642767136537</c:v>
                </c:pt>
                <c:pt idx="294">
                  <c:v>1.189167734212089</c:v>
                </c:pt>
                <c:pt idx="295">
                  <c:v>1.189167734212089</c:v>
                </c:pt>
                <c:pt idx="296">
                  <c:v>1.189167734212089</c:v>
                </c:pt>
                <c:pt idx="297">
                  <c:v>1.189167734212089</c:v>
                </c:pt>
                <c:pt idx="298">
                  <c:v>1.189167734212089</c:v>
                </c:pt>
                <c:pt idx="299">
                  <c:v>1.189167734212089</c:v>
                </c:pt>
                <c:pt idx="300">
                  <c:v>1.189167734212089</c:v>
                </c:pt>
                <c:pt idx="301">
                  <c:v>1.187642767136537</c:v>
                </c:pt>
                <c:pt idx="302">
                  <c:v>1.1859449718029829</c:v>
                </c:pt>
                <c:pt idx="303">
                  <c:v>1.1847733970982899</c:v>
                </c:pt>
                <c:pt idx="304">
                  <c:v>1.1704959062284099</c:v>
                </c:pt>
                <c:pt idx="305">
                  <c:v>1.1593482501211987</c:v>
                </c:pt>
                <c:pt idx="306">
                  <c:v>1.1572211722975123</c:v>
                </c:pt>
                <c:pt idx="307">
                  <c:v>1.1521871691849888</c:v>
                </c:pt>
                <c:pt idx="308">
                  <c:v>1.1521871691849888</c:v>
                </c:pt>
                <c:pt idx="309">
                  <c:v>1.1521871691849888</c:v>
                </c:pt>
                <c:pt idx="310">
                  <c:v>1.1521871691849888</c:v>
                </c:pt>
                <c:pt idx="311">
                  <c:v>1.1521871691849888</c:v>
                </c:pt>
                <c:pt idx="312">
                  <c:v>1.1521871691849888</c:v>
                </c:pt>
                <c:pt idx="313">
                  <c:v>1.1521871691849888</c:v>
                </c:pt>
                <c:pt idx="314">
                  <c:v>1.1521871691849888</c:v>
                </c:pt>
                <c:pt idx="315">
                  <c:v>1.1521871691849888</c:v>
                </c:pt>
                <c:pt idx="316">
                  <c:v>1.1521871691849888</c:v>
                </c:pt>
                <c:pt idx="317">
                  <c:v>1.1521871691849888</c:v>
                </c:pt>
                <c:pt idx="318">
                  <c:v>1.1521871691849888</c:v>
                </c:pt>
                <c:pt idx="319">
                  <c:v>1.1521871691849888</c:v>
                </c:pt>
                <c:pt idx="320">
                  <c:v>1.1521871691849888</c:v>
                </c:pt>
                <c:pt idx="321">
                  <c:v>1.1521871691849888</c:v>
                </c:pt>
                <c:pt idx="322">
                  <c:v>1.1521871691849888</c:v>
                </c:pt>
                <c:pt idx="323">
                  <c:v>1.1512443513158181</c:v>
                </c:pt>
                <c:pt idx="324">
                  <c:v>1.1486221683305902</c:v>
                </c:pt>
                <c:pt idx="325">
                  <c:v>1.1480090750026324</c:v>
                </c:pt>
                <c:pt idx="326">
                  <c:v>1.1480090750026324</c:v>
                </c:pt>
                <c:pt idx="327">
                  <c:v>1.1480090750026324</c:v>
                </c:pt>
                <c:pt idx="328">
                  <c:v>1.1480090750026324</c:v>
                </c:pt>
                <c:pt idx="329">
                  <c:v>1.1465230307754555</c:v>
                </c:pt>
                <c:pt idx="330">
                  <c:v>1.1465230307754555</c:v>
                </c:pt>
                <c:pt idx="331">
                  <c:v>1.1465230307754555</c:v>
                </c:pt>
                <c:pt idx="332">
                  <c:v>1.1465230307754555</c:v>
                </c:pt>
                <c:pt idx="333">
                  <c:v>1.1465230307754555</c:v>
                </c:pt>
                <c:pt idx="334">
                  <c:v>1.1465230307754555</c:v>
                </c:pt>
                <c:pt idx="335">
                  <c:v>1.1465230307754555</c:v>
                </c:pt>
                <c:pt idx="336">
                  <c:v>1.1465230307754555</c:v>
                </c:pt>
                <c:pt idx="337">
                  <c:v>1.1465230307754555</c:v>
                </c:pt>
                <c:pt idx="338">
                  <c:v>1.1465230307754555</c:v>
                </c:pt>
                <c:pt idx="339">
                  <c:v>1.1465230307754555</c:v>
                </c:pt>
                <c:pt idx="340">
                  <c:v>1.1465230307754555</c:v>
                </c:pt>
                <c:pt idx="341">
                  <c:v>1.1465230307754555</c:v>
                </c:pt>
                <c:pt idx="342">
                  <c:v>1.1465230307754555</c:v>
                </c:pt>
                <c:pt idx="343">
                  <c:v>1.1465230307754555</c:v>
                </c:pt>
                <c:pt idx="344">
                  <c:v>1.1465230307754555</c:v>
                </c:pt>
                <c:pt idx="345">
                  <c:v>1.1465230307754555</c:v>
                </c:pt>
                <c:pt idx="346">
                  <c:v>1.1465230307754555</c:v>
                </c:pt>
                <c:pt idx="347">
                  <c:v>1.1447271310297831</c:v>
                </c:pt>
                <c:pt idx="348">
                  <c:v>1.1444175027848786</c:v>
                </c:pt>
                <c:pt idx="349">
                  <c:v>1.1460111175710175</c:v>
                </c:pt>
                <c:pt idx="350">
                  <c:v>1.1465230307754555</c:v>
                </c:pt>
                <c:pt idx="351">
                  <c:v>1.1465230307754555</c:v>
                </c:pt>
                <c:pt idx="352">
                  <c:v>1.1465230307754555</c:v>
                </c:pt>
                <c:pt idx="353">
                  <c:v>1.1462860098303962</c:v>
                </c:pt>
                <c:pt idx="354">
                  <c:v>1.1462860098303962</c:v>
                </c:pt>
                <c:pt idx="355">
                  <c:v>1.143706439949701</c:v>
                </c:pt>
                <c:pt idx="356">
                  <c:v>1.143706439949701</c:v>
                </c:pt>
                <c:pt idx="357">
                  <c:v>1.1462860098303962</c:v>
                </c:pt>
                <c:pt idx="358">
                  <c:v>1.1462860098303962</c:v>
                </c:pt>
                <c:pt idx="359">
                  <c:v>1.1471864489462662</c:v>
                </c:pt>
                <c:pt idx="360">
                  <c:v>1.1471864489462662</c:v>
                </c:pt>
                <c:pt idx="361">
                  <c:v>1.1471864489462662</c:v>
                </c:pt>
                <c:pt idx="362">
                  <c:v>1.1471864489462662</c:v>
                </c:pt>
                <c:pt idx="363">
                  <c:v>1.1471864489462662</c:v>
                </c:pt>
                <c:pt idx="364">
                  <c:v>1.1462860098303962</c:v>
                </c:pt>
                <c:pt idx="365">
                  <c:v>1.1462860098303962</c:v>
                </c:pt>
                <c:pt idx="366">
                  <c:v>1.1462860098303962</c:v>
                </c:pt>
                <c:pt idx="367">
                  <c:v>1.1452624319338685</c:v>
                </c:pt>
                <c:pt idx="368">
                  <c:v>1.1441189223691324</c:v>
                </c:pt>
                <c:pt idx="369">
                  <c:v>1.1405016480673205</c:v>
                </c:pt>
                <c:pt idx="370">
                  <c:v>1.1366813504929778</c:v>
                </c:pt>
                <c:pt idx="371">
                  <c:v>1.1296702351694052</c:v>
                </c:pt>
                <c:pt idx="372">
                  <c:v>1.1296702351694052</c:v>
                </c:pt>
                <c:pt idx="373">
                  <c:v>1.1296702351694052</c:v>
                </c:pt>
                <c:pt idx="374">
                  <c:v>1.128167317853255</c:v>
                </c:pt>
                <c:pt idx="375">
                  <c:v>1.128167317853255</c:v>
                </c:pt>
                <c:pt idx="376">
                  <c:v>1.1288245917165263</c:v>
                </c:pt>
                <c:pt idx="377">
                  <c:v>1.1281358077524886</c:v>
                </c:pt>
                <c:pt idx="378">
                  <c:v>1.1261457978627687</c:v>
                </c:pt>
                <c:pt idx="379">
                  <c:v>1.1256657161929997</c:v>
                </c:pt>
                <c:pt idx="380">
                  <c:v>1.1234846788850805</c:v>
                </c:pt>
                <c:pt idx="381">
                  <c:v>1.1199790459275576</c:v>
                </c:pt>
                <c:pt idx="382">
                  <c:v>1.1170689771524984</c:v>
                </c:pt>
                <c:pt idx="383">
                  <c:v>1.114147450502998</c:v>
                </c:pt>
                <c:pt idx="384">
                  <c:v>1.114147450502998</c:v>
                </c:pt>
                <c:pt idx="385">
                  <c:v>1.114147450502998</c:v>
                </c:pt>
                <c:pt idx="386">
                  <c:v>1.114147450502998</c:v>
                </c:pt>
                <c:pt idx="387">
                  <c:v>1.114147450502998</c:v>
                </c:pt>
                <c:pt idx="388">
                  <c:v>1.114147450502998</c:v>
                </c:pt>
                <c:pt idx="389">
                  <c:v>1.114147450502998</c:v>
                </c:pt>
                <c:pt idx="390">
                  <c:v>1.114147450502998</c:v>
                </c:pt>
                <c:pt idx="391">
                  <c:v>1.114147450502998</c:v>
                </c:pt>
                <c:pt idx="392">
                  <c:v>1.114147450502998</c:v>
                </c:pt>
                <c:pt idx="393">
                  <c:v>1.114147450502998</c:v>
                </c:pt>
                <c:pt idx="394">
                  <c:v>1.114147450502998</c:v>
                </c:pt>
                <c:pt idx="395">
                  <c:v>1.114147450502998</c:v>
                </c:pt>
                <c:pt idx="396">
                  <c:v>1.114147450502998</c:v>
                </c:pt>
                <c:pt idx="397">
                  <c:v>1.114147450502998</c:v>
                </c:pt>
                <c:pt idx="398">
                  <c:v>1.114147450502998</c:v>
                </c:pt>
                <c:pt idx="399">
                  <c:v>1.114147450502998</c:v>
                </c:pt>
                <c:pt idx="400">
                  <c:v>1.114147450502998</c:v>
                </c:pt>
                <c:pt idx="401">
                  <c:v>1.114147450502998</c:v>
                </c:pt>
                <c:pt idx="402">
                  <c:v>1.114147450502998</c:v>
                </c:pt>
                <c:pt idx="403">
                  <c:v>1.1170689771524984</c:v>
                </c:pt>
                <c:pt idx="404">
                  <c:v>1.1170689771524984</c:v>
                </c:pt>
                <c:pt idx="405">
                  <c:v>1.1170689771524984</c:v>
                </c:pt>
                <c:pt idx="406">
                  <c:v>1.1170689771524984</c:v>
                </c:pt>
                <c:pt idx="407">
                  <c:v>1.1226925069208429</c:v>
                </c:pt>
                <c:pt idx="408">
                  <c:v>1.1256657161929997</c:v>
                </c:pt>
                <c:pt idx="409">
                  <c:v>1.1256657161929997</c:v>
                </c:pt>
                <c:pt idx="410">
                  <c:v>1.1256657161929997</c:v>
                </c:pt>
                <c:pt idx="411">
                  <c:v>1.1256657161929997</c:v>
                </c:pt>
                <c:pt idx="412">
                  <c:v>1.1256657161929997</c:v>
                </c:pt>
                <c:pt idx="413">
                  <c:v>1.1256657161929997</c:v>
                </c:pt>
                <c:pt idx="414">
                  <c:v>1.1256657161929997</c:v>
                </c:pt>
                <c:pt idx="415">
                  <c:v>1.1256657161929997</c:v>
                </c:pt>
                <c:pt idx="416">
                  <c:v>1.1256657161929997</c:v>
                </c:pt>
                <c:pt idx="417">
                  <c:v>1.1256657161929997</c:v>
                </c:pt>
                <c:pt idx="418">
                  <c:v>1.1256657161929997</c:v>
                </c:pt>
                <c:pt idx="419">
                  <c:v>1.128117619452583</c:v>
                </c:pt>
                <c:pt idx="420">
                  <c:v>1.1384248617840238</c:v>
                </c:pt>
                <c:pt idx="421">
                  <c:v>1.1476066695388765</c:v>
                </c:pt>
                <c:pt idx="422">
                  <c:v>1.1560556884923663</c:v>
                </c:pt>
                <c:pt idx="423">
                  <c:v>1.1787709717316992</c:v>
                </c:pt>
                <c:pt idx="424">
                  <c:v>1.1895215055484323</c:v>
                </c:pt>
                <c:pt idx="425">
                  <c:v>1.1926249957759276</c:v>
                </c:pt>
                <c:pt idx="426">
                  <c:v>1.1961304243316557</c:v>
                </c:pt>
                <c:pt idx="427">
                  <c:v>1.1979747817576683</c:v>
                </c:pt>
                <c:pt idx="428">
                  <c:v>1.1995157018337608</c:v>
                </c:pt>
                <c:pt idx="429">
                  <c:v>1.2028897203342241</c:v>
                </c:pt>
                <c:pt idx="430">
                  <c:v>1.2137095303930556</c:v>
                </c:pt>
                <c:pt idx="431">
                  <c:v>1.2285054772564796</c:v>
                </c:pt>
                <c:pt idx="432">
                  <c:v>1.2325121314990337</c:v>
                </c:pt>
                <c:pt idx="433">
                  <c:v>1.2330721965068674</c:v>
                </c:pt>
                <c:pt idx="434">
                  <c:v>1.2338927676994991</c:v>
                </c:pt>
                <c:pt idx="435">
                  <c:v>1.2368442211037678</c:v>
                </c:pt>
                <c:pt idx="436">
                  <c:v>1.2405516511222869</c:v>
                </c:pt>
                <c:pt idx="437">
                  <c:v>1.243166150446386</c:v>
                </c:pt>
                <c:pt idx="438">
                  <c:v>1.243166150446386</c:v>
                </c:pt>
                <c:pt idx="439">
                  <c:v>1.243166150446386</c:v>
                </c:pt>
                <c:pt idx="440">
                  <c:v>1.243166150446386</c:v>
                </c:pt>
                <c:pt idx="441">
                  <c:v>1.243166150446386</c:v>
                </c:pt>
                <c:pt idx="442">
                  <c:v>1.243166150446386</c:v>
                </c:pt>
                <c:pt idx="443">
                  <c:v>1.243166150446386</c:v>
                </c:pt>
                <c:pt idx="444">
                  <c:v>1.243166150446386</c:v>
                </c:pt>
                <c:pt idx="445">
                  <c:v>1.243166150446386</c:v>
                </c:pt>
                <c:pt idx="446">
                  <c:v>1.243166150446386</c:v>
                </c:pt>
                <c:pt idx="447">
                  <c:v>1.2422341139779531</c:v>
                </c:pt>
                <c:pt idx="448">
                  <c:v>1.2364586330403498</c:v>
                </c:pt>
                <c:pt idx="449">
                  <c:v>1.2325121314990337</c:v>
                </c:pt>
                <c:pt idx="450">
                  <c:v>1.2315721319460236</c:v>
                </c:pt>
                <c:pt idx="451">
                  <c:v>1.2197412992584236</c:v>
                </c:pt>
                <c:pt idx="452">
                  <c:v>1.1895756228605356</c:v>
                </c:pt>
                <c:pt idx="453">
                  <c:v>1.1841627871501141</c:v>
                </c:pt>
                <c:pt idx="454">
                  <c:v>1.1841627871501141</c:v>
                </c:pt>
                <c:pt idx="455">
                  <c:v>1.1841627871501141</c:v>
                </c:pt>
                <c:pt idx="456">
                  <c:v>1.1841627871501141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0-4761-B07A-7C3C35F3B7DB}"/>
            </c:ext>
          </c:extLst>
        </c:ser>
        <c:ser>
          <c:idx val="3"/>
          <c:order val="3"/>
          <c:tx>
            <c:v>Q50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'Indice Utilities'!$AM$58:$AM$4000</c:f>
              <c:numCache>
                <c:formatCode>m/d/yyyy</c:formatCode>
                <c:ptCount val="3943"/>
                <c:pt idx="0">
                  <c:v>43105</c:v>
                </c:pt>
                <c:pt idx="1">
                  <c:v>43112</c:v>
                </c:pt>
                <c:pt idx="2">
                  <c:v>43119</c:v>
                </c:pt>
                <c:pt idx="3">
                  <c:v>43126</c:v>
                </c:pt>
                <c:pt idx="4">
                  <c:v>43133</c:v>
                </c:pt>
                <c:pt idx="5">
                  <c:v>43140</c:v>
                </c:pt>
                <c:pt idx="6">
                  <c:v>43147</c:v>
                </c:pt>
                <c:pt idx="7">
                  <c:v>43154</c:v>
                </c:pt>
                <c:pt idx="8">
                  <c:v>43161</c:v>
                </c:pt>
                <c:pt idx="9">
                  <c:v>43168</c:v>
                </c:pt>
                <c:pt idx="10">
                  <c:v>43175</c:v>
                </c:pt>
                <c:pt idx="11">
                  <c:v>43182</c:v>
                </c:pt>
                <c:pt idx="12">
                  <c:v>43189</c:v>
                </c:pt>
                <c:pt idx="13">
                  <c:v>43196</c:v>
                </c:pt>
                <c:pt idx="14">
                  <c:v>43203</c:v>
                </c:pt>
                <c:pt idx="15">
                  <c:v>43210</c:v>
                </c:pt>
                <c:pt idx="16">
                  <c:v>43217</c:v>
                </c:pt>
                <c:pt idx="17">
                  <c:v>43224</c:v>
                </c:pt>
                <c:pt idx="18">
                  <c:v>43231</c:v>
                </c:pt>
                <c:pt idx="19">
                  <c:v>43238</c:v>
                </c:pt>
                <c:pt idx="20">
                  <c:v>43245</c:v>
                </c:pt>
                <c:pt idx="21">
                  <c:v>43252</c:v>
                </c:pt>
                <c:pt idx="22">
                  <c:v>43259</c:v>
                </c:pt>
                <c:pt idx="23">
                  <c:v>43266</c:v>
                </c:pt>
                <c:pt idx="24">
                  <c:v>43273</c:v>
                </c:pt>
                <c:pt idx="25">
                  <c:v>43280</c:v>
                </c:pt>
                <c:pt idx="26">
                  <c:v>43287</c:v>
                </c:pt>
                <c:pt idx="27">
                  <c:v>43294</c:v>
                </c:pt>
                <c:pt idx="28">
                  <c:v>43301</c:v>
                </c:pt>
                <c:pt idx="29">
                  <c:v>43308</c:v>
                </c:pt>
                <c:pt idx="30">
                  <c:v>43315</c:v>
                </c:pt>
                <c:pt idx="31">
                  <c:v>43322</c:v>
                </c:pt>
                <c:pt idx="32">
                  <c:v>43329</c:v>
                </c:pt>
                <c:pt idx="33">
                  <c:v>43336</c:v>
                </c:pt>
                <c:pt idx="34">
                  <c:v>43343</c:v>
                </c:pt>
                <c:pt idx="35">
                  <c:v>43350</c:v>
                </c:pt>
                <c:pt idx="36">
                  <c:v>43357</c:v>
                </c:pt>
                <c:pt idx="37">
                  <c:v>43364</c:v>
                </c:pt>
                <c:pt idx="38">
                  <c:v>43371</c:v>
                </c:pt>
                <c:pt idx="39">
                  <c:v>43378</c:v>
                </c:pt>
                <c:pt idx="40">
                  <c:v>43385</c:v>
                </c:pt>
                <c:pt idx="41">
                  <c:v>43392</c:v>
                </c:pt>
                <c:pt idx="42">
                  <c:v>43399</c:v>
                </c:pt>
                <c:pt idx="43">
                  <c:v>43406</c:v>
                </c:pt>
                <c:pt idx="44">
                  <c:v>43413</c:v>
                </c:pt>
                <c:pt idx="45">
                  <c:v>43420</c:v>
                </c:pt>
                <c:pt idx="46">
                  <c:v>43427</c:v>
                </c:pt>
                <c:pt idx="47">
                  <c:v>43434</c:v>
                </c:pt>
                <c:pt idx="48">
                  <c:v>43441</c:v>
                </c:pt>
                <c:pt idx="49">
                  <c:v>43448</c:v>
                </c:pt>
                <c:pt idx="50">
                  <c:v>43455</c:v>
                </c:pt>
                <c:pt idx="51">
                  <c:v>43462</c:v>
                </c:pt>
                <c:pt idx="52">
                  <c:v>43469</c:v>
                </c:pt>
                <c:pt idx="53">
                  <c:v>43476</c:v>
                </c:pt>
                <c:pt idx="54">
                  <c:v>43483</c:v>
                </c:pt>
                <c:pt idx="55">
                  <c:v>43490</c:v>
                </c:pt>
                <c:pt idx="56">
                  <c:v>43497</c:v>
                </c:pt>
                <c:pt idx="57">
                  <c:v>43504</c:v>
                </c:pt>
                <c:pt idx="58">
                  <c:v>43511</c:v>
                </c:pt>
                <c:pt idx="59">
                  <c:v>43518</c:v>
                </c:pt>
                <c:pt idx="60">
                  <c:v>43525</c:v>
                </c:pt>
                <c:pt idx="61">
                  <c:v>43532</c:v>
                </c:pt>
                <c:pt idx="62">
                  <c:v>43539</c:v>
                </c:pt>
                <c:pt idx="63">
                  <c:v>43546</c:v>
                </c:pt>
                <c:pt idx="64">
                  <c:v>43553</c:v>
                </c:pt>
                <c:pt idx="65">
                  <c:v>43560</c:v>
                </c:pt>
                <c:pt idx="66">
                  <c:v>43567</c:v>
                </c:pt>
                <c:pt idx="67">
                  <c:v>43574</c:v>
                </c:pt>
                <c:pt idx="68">
                  <c:v>43581</c:v>
                </c:pt>
                <c:pt idx="69">
                  <c:v>43588</c:v>
                </c:pt>
                <c:pt idx="70">
                  <c:v>43595</c:v>
                </c:pt>
                <c:pt idx="71">
                  <c:v>43602</c:v>
                </c:pt>
                <c:pt idx="72">
                  <c:v>43609</c:v>
                </c:pt>
                <c:pt idx="73">
                  <c:v>43616</c:v>
                </c:pt>
                <c:pt idx="74">
                  <c:v>43623</c:v>
                </c:pt>
                <c:pt idx="75">
                  <c:v>43630</c:v>
                </c:pt>
                <c:pt idx="76">
                  <c:v>43637</c:v>
                </c:pt>
                <c:pt idx="77">
                  <c:v>43644</c:v>
                </c:pt>
                <c:pt idx="78">
                  <c:v>43651</c:v>
                </c:pt>
                <c:pt idx="79">
                  <c:v>43658</c:v>
                </c:pt>
                <c:pt idx="80">
                  <c:v>43665</c:v>
                </c:pt>
                <c:pt idx="81">
                  <c:v>43672</c:v>
                </c:pt>
                <c:pt idx="82">
                  <c:v>43679</c:v>
                </c:pt>
                <c:pt idx="83">
                  <c:v>43686</c:v>
                </c:pt>
                <c:pt idx="84">
                  <c:v>43693</c:v>
                </c:pt>
                <c:pt idx="85">
                  <c:v>43700</c:v>
                </c:pt>
                <c:pt idx="86">
                  <c:v>43707</c:v>
                </c:pt>
                <c:pt idx="87">
                  <c:v>43714</c:v>
                </c:pt>
                <c:pt idx="88">
                  <c:v>43721</c:v>
                </c:pt>
                <c:pt idx="89">
                  <c:v>43728</c:v>
                </c:pt>
                <c:pt idx="90">
                  <c:v>43735</c:v>
                </c:pt>
                <c:pt idx="91">
                  <c:v>43742</c:v>
                </c:pt>
                <c:pt idx="92">
                  <c:v>43749</c:v>
                </c:pt>
                <c:pt idx="93">
                  <c:v>43756</c:v>
                </c:pt>
                <c:pt idx="94">
                  <c:v>43763</c:v>
                </c:pt>
                <c:pt idx="95">
                  <c:v>43770</c:v>
                </c:pt>
                <c:pt idx="96">
                  <c:v>43777</c:v>
                </c:pt>
                <c:pt idx="97">
                  <c:v>43784</c:v>
                </c:pt>
                <c:pt idx="98">
                  <c:v>43791</c:v>
                </c:pt>
                <c:pt idx="99">
                  <c:v>43798</c:v>
                </c:pt>
                <c:pt idx="100">
                  <c:v>43805</c:v>
                </c:pt>
                <c:pt idx="101">
                  <c:v>43812</c:v>
                </c:pt>
                <c:pt idx="102">
                  <c:v>43819</c:v>
                </c:pt>
                <c:pt idx="103">
                  <c:v>43826</c:v>
                </c:pt>
                <c:pt idx="104">
                  <c:v>43833</c:v>
                </c:pt>
                <c:pt idx="105">
                  <c:v>43840</c:v>
                </c:pt>
                <c:pt idx="106">
                  <c:v>43847</c:v>
                </c:pt>
                <c:pt idx="107">
                  <c:v>43854</c:v>
                </c:pt>
                <c:pt idx="108">
                  <c:v>43861</c:v>
                </c:pt>
                <c:pt idx="109">
                  <c:v>43868</c:v>
                </c:pt>
                <c:pt idx="110">
                  <c:v>43875</c:v>
                </c:pt>
                <c:pt idx="111">
                  <c:v>43882</c:v>
                </c:pt>
                <c:pt idx="112">
                  <c:v>43889</c:v>
                </c:pt>
                <c:pt idx="113">
                  <c:v>43896</c:v>
                </c:pt>
                <c:pt idx="114">
                  <c:v>43903</c:v>
                </c:pt>
                <c:pt idx="115">
                  <c:v>43910</c:v>
                </c:pt>
                <c:pt idx="116">
                  <c:v>43917</c:v>
                </c:pt>
                <c:pt idx="117">
                  <c:v>43924</c:v>
                </c:pt>
                <c:pt idx="118">
                  <c:v>43931</c:v>
                </c:pt>
                <c:pt idx="119">
                  <c:v>43938</c:v>
                </c:pt>
                <c:pt idx="120">
                  <c:v>43945</c:v>
                </c:pt>
                <c:pt idx="121">
                  <c:v>43952</c:v>
                </c:pt>
                <c:pt idx="122">
                  <c:v>43959</c:v>
                </c:pt>
                <c:pt idx="123">
                  <c:v>43966</c:v>
                </c:pt>
                <c:pt idx="124">
                  <c:v>43973</c:v>
                </c:pt>
                <c:pt idx="125">
                  <c:v>43980</c:v>
                </c:pt>
                <c:pt idx="126">
                  <c:v>43987</c:v>
                </c:pt>
                <c:pt idx="127">
                  <c:v>43994</c:v>
                </c:pt>
                <c:pt idx="128">
                  <c:v>44001</c:v>
                </c:pt>
                <c:pt idx="129">
                  <c:v>44008</c:v>
                </c:pt>
                <c:pt idx="130">
                  <c:v>44015</c:v>
                </c:pt>
                <c:pt idx="131">
                  <c:v>44022</c:v>
                </c:pt>
                <c:pt idx="132">
                  <c:v>44029</c:v>
                </c:pt>
                <c:pt idx="133">
                  <c:v>44036</c:v>
                </c:pt>
                <c:pt idx="134">
                  <c:v>44043</c:v>
                </c:pt>
                <c:pt idx="135">
                  <c:v>44050</c:v>
                </c:pt>
                <c:pt idx="136">
                  <c:v>44057</c:v>
                </c:pt>
                <c:pt idx="137">
                  <c:v>44064</c:v>
                </c:pt>
                <c:pt idx="138">
                  <c:v>44071</c:v>
                </c:pt>
                <c:pt idx="139">
                  <c:v>44078</c:v>
                </c:pt>
                <c:pt idx="140">
                  <c:v>44085</c:v>
                </c:pt>
                <c:pt idx="141">
                  <c:v>44092</c:v>
                </c:pt>
                <c:pt idx="142">
                  <c:v>44099</c:v>
                </c:pt>
                <c:pt idx="143">
                  <c:v>44106</c:v>
                </c:pt>
                <c:pt idx="144">
                  <c:v>44113</c:v>
                </c:pt>
                <c:pt idx="145">
                  <c:v>44120</c:v>
                </c:pt>
                <c:pt idx="146">
                  <c:v>44127</c:v>
                </c:pt>
                <c:pt idx="147">
                  <c:v>44134</c:v>
                </c:pt>
                <c:pt idx="148">
                  <c:v>44141</c:v>
                </c:pt>
                <c:pt idx="149">
                  <c:v>44148</c:v>
                </c:pt>
                <c:pt idx="150">
                  <c:v>44155</c:v>
                </c:pt>
                <c:pt idx="151">
                  <c:v>44162</c:v>
                </c:pt>
                <c:pt idx="152">
                  <c:v>44169</c:v>
                </c:pt>
                <c:pt idx="153">
                  <c:v>44176</c:v>
                </c:pt>
                <c:pt idx="154">
                  <c:v>44183</c:v>
                </c:pt>
                <c:pt idx="155">
                  <c:v>44190</c:v>
                </c:pt>
                <c:pt idx="156">
                  <c:v>44197</c:v>
                </c:pt>
                <c:pt idx="157">
                  <c:v>44204</c:v>
                </c:pt>
                <c:pt idx="158">
                  <c:v>44211</c:v>
                </c:pt>
                <c:pt idx="159">
                  <c:v>44218</c:v>
                </c:pt>
                <c:pt idx="160">
                  <c:v>44225</c:v>
                </c:pt>
                <c:pt idx="161">
                  <c:v>44232</c:v>
                </c:pt>
                <c:pt idx="162">
                  <c:v>44239</c:v>
                </c:pt>
                <c:pt idx="163">
                  <c:v>44246</c:v>
                </c:pt>
                <c:pt idx="164">
                  <c:v>44253</c:v>
                </c:pt>
                <c:pt idx="165">
                  <c:v>44260</c:v>
                </c:pt>
                <c:pt idx="166">
                  <c:v>44267</c:v>
                </c:pt>
                <c:pt idx="167">
                  <c:v>44274</c:v>
                </c:pt>
                <c:pt idx="168">
                  <c:v>44281</c:v>
                </c:pt>
                <c:pt idx="169">
                  <c:v>44288</c:v>
                </c:pt>
                <c:pt idx="170">
                  <c:v>44295</c:v>
                </c:pt>
                <c:pt idx="171">
                  <c:v>44302</c:v>
                </c:pt>
                <c:pt idx="172">
                  <c:v>44309</c:v>
                </c:pt>
                <c:pt idx="173">
                  <c:v>44316</c:v>
                </c:pt>
                <c:pt idx="174">
                  <c:v>44323</c:v>
                </c:pt>
                <c:pt idx="175">
                  <c:v>44330</c:v>
                </c:pt>
                <c:pt idx="176">
                  <c:v>44337</c:v>
                </c:pt>
                <c:pt idx="177">
                  <c:v>44344</c:v>
                </c:pt>
                <c:pt idx="178">
                  <c:v>44351</c:v>
                </c:pt>
                <c:pt idx="179">
                  <c:v>44358</c:v>
                </c:pt>
                <c:pt idx="180">
                  <c:v>44365</c:v>
                </c:pt>
                <c:pt idx="181">
                  <c:v>44372</c:v>
                </c:pt>
                <c:pt idx="182">
                  <c:v>44379</c:v>
                </c:pt>
                <c:pt idx="183">
                  <c:v>44386</c:v>
                </c:pt>
                <c:pt idx="184">
                  <c:v>44393</c:v>
                </c:pt>
                <c:pt idx="185">
                  <c:v>44400</c:v>
                </c:pt>
                <c:pt idx="186">
                  <c:v>44407</c:v>
                </c:pt>
                <c:pt idx="187">
                  <c:v>44414</c:v>
                </c:pt>
                <c:pt idx="188">
                  <c:v>44421</c:v>
                </c:pt>
                <c:pt idx="189">
                  <c:v>44428</c:v>
                </c:pt>
                <c:pt idx="190">
                  <c:v>44435</c:v>
                </c:pt>
                <c:pt idx="191">
                  <c:v>44442</c:v>
                </c:pt>
                <c:pt idx="192">
                  <c:v>44449</c:v>
                </c:pt>
                <c:pt idx="193">
                  <c:v>44456</c:v>
                </c:pt>
                <c:pt idx="194">
                  <c:v>44463</c:v>
                </c:pt>
                <c:pt idx="195">
                  <c:v>44470</c:v>
                </c:pt>
                <c:pt idx="196">
                  <c:v>44477</c:v>
                </c:pt>
                <c:pt idx="197">
                  <c:v>44484</c:v>
                </c:pt>
                <c:pt idx="198">
                  <c:v>44491</c:v>
                </c:pt>
                <c:pt idx="199">
                  <c:v>44498</c:v>
                </c:pt>
                <c:pt idx="200">
                  <c:v>44505</c:v>
                </c:pt>
                <c:pt idx="201">
                  <c:v>44512</c:v>
                </c:pt>
                <c:pt idx="202">
                  <c:v>44519</c:v>
                </c:pt>
                <c:pt idx="203">
                  <c:v>44526</c:v>
                </c:pt>
                <c:pt idx="204">
                  <c:v>44533</c:v>
                </c:pt>
                <c:pt idx="205">
                  <c:v>44540</c:v>
                </c:pt>
                <c:pt idx="206">
                  <c:v>44547</c:v>
                </c:pt>
                <c:pt idx="207">
                  <c:v>44554</c:v>
                </c:pt>
                <c:pt idx="208">
                  <c:v>44561</c:v>
                </c:pt>
                <c:pt idx="209">
                  <c:v>44568</c:v>
                </c:pt>
                <c:pt idx="210">
                  <c:v>44575</c:v>
                </c:pt>
                <c:pt idx="211">
                  <c:v>44582</c:v>
                </c:pt>
                <c:pt idx="212">
                  <c:v>44589</c:v>
                </c:pt>
                <c:pt idx="213">
                  <c:v>44596</c:v>
                </c:pt>
                <c:pt idx="214">
                  <c:v>44603</c:v>
                </c:pt>
                <c:pt idx="215">
                  <c:v>44610</c:v>
                </c:pt>
                <c:pt idx="216">
                  <c:v>44617</c:v>
                </c:pt>
                <c:pt idx="217">
                  <c:v>44624</c:v>
                </c:pt>
                <c:pt idx="218">
                  <c:v>44631</c:v>
                </c:pt>
                <c:pt idx="219">
                  <c:v>44638</c:v>
                </c:pt>
                <c:pt idx="220">
                  <c:v>44645</c:v>
                </c:pt>
                <c:pt idx="221">
                  <c:v>44652</c:v>
                </c:pt>
                <c:pt idx="222">
                  <c:v>44659</c:v>
                </c:pt>
                <c:pt idx="223">
                  <c:v>44666</c:v>
                </c:pt>
                <c:pt idx="224">
                  <c:v>44673</c:v>
                </c:pt>
                <c:pt idx="225">
                  <c:v>44680</c:v>
                </c:pt>
                <c:pt idx="226">
                  <c:v>44687</c:v>
                </c:pt>
                <c:pt idx="227">
                  <c:v>44694</c:v>
                </c:pt>
                <c:pt idx="228">
                  <c:v>44701</c:v>
                </c:pt>
                <c:pt idx="229">
                  <c:v>44708</c:v>
                </c:pt>
                <c:pt idx="230">
                  <c:v>44715</c:v>
                </c:pt>
                <c:pt idx="231">
                  <c:v>44722</c:v>
                </c:pt>
                <c:pt idx="232">
                  <c:v>44729</c:v>
                </c:pt>
                <c:pt idx="233">
                  <c:v>44736</c:v>
                </c:pt>
                <c:pt idx="234">
                  <c:v>44743</c:v>
                </c:pt>
                <c:pt idx="235">
                  <c:v>44750</c:v>
                </c:pt>
                <c:pt idx="236">
                  <c:v>44757</c:v>
                </c:pt>
                <c:pt idx="237">
                  <c:v>44764</c:v>
                </c:pt>
                <c:pt idx="238">
                  <c:v>44771</c:v>
                </c:pt>
                <c:pt idx="239">
                  <c:v>44778</c:v>
                </c:pt>
                <c:pt idx="240">
                  <c:v>44785</c:v>
                </c:pt>
                <c:pt idx="241">
                  <c:v>44792</c:v>
                </c:pt>
                <c:pt idx="242">
                  <c:v>44799</c:v>
                </c:pt>
                <c:pt idx="243">
                  <c:v>44806</c:v>
                </c:pt>
                <c:pt idx="244">
                  <c:v>44813</c:v>
                </c:pt>
                <c:pt idx="245">
                  <c:v>44820</c:v>
                </c:pt>
                <c:pt idx="246">
                  <c:v>44827</c:v>
                </c:pt>
                <c:pt idx="247">
                  <c:v>44834</c:v>
                </c:pt>
                <c:pt idx="248">
                  <c:v>44841</c:v>
                </c:pt>
                <c:pt idx="249">
                  <c:v>44848</c:v>
                </c:pt>
                <c:pt idx="250">
                  <c:v>44855</c:v>
                </c:pt>
                <c:pt idx="251">
                  <c:v>44862</c:v>
                </c:pt>
                <c:pt idx="252">
                  <c:v>44869</c:v>
                </c:pt>
                <c:pt idx="253">
                  <c:v>44876</c:v>
                </c:pt>
                <c:pt idx="254">
                  <c:v>44883</c:v>
                </c:pt>
                <c:pt idx="255">
                  <c:v>44890</c:v>
                </c:pt>
                <c:pt idx="256">
                  <c:v>44897</c:v>
                </c:pt>
                <c:pt idx="257">
                  <c:v>44904</c:v>
                </c:pt>
                <c:pt idx="258">
                  <c:v>44911</c:v>
                </c:pt>
                <c:pt idx="259">
                  <c:v>44918</c:v>
                </c:pt>
                <c:pt idx="260">
                  <c:v>44925</c:v>
                </c:pt>
                <c:pt idx="261">
                  <c:v>44932</c:v>
                </c:pt>
                <c:pt idx="262">
                  <c:v>44939</c:v>
                </c:pt>
                <c:pt idx="263">
                  <c:v>44946</c:v>
                </c:pt>
                <c:pt idx="264">
                  <c:v>44953</c:v>
                </c:pt>
                <c:pt idx="265">
                  <c:v>44960</c:v>
                </c:pt>
                <c:pt idx="266">
                  <c:v>44967</c:v>
                </c:pt>
                <c:pt idx="267">
                  <c:v>44974</c:v>
                </c:pt>
                <c:pt idx="268">
                  <c:v>44981</c:v>
                </c:pt>
                <c:pt idx="269">
                  <c:v>44988</c:v>
                </c:pt>
                <c:pt idx="270">
                  <c:v>44995</c:v>
                </c:pt>
                <c:pt idx="271">
                  <c:v>45002</c:v>
                </c:pt>
                <c:pt idx="272">
                  <c:v>45009</c:v>
                </c:pt>
                <c:pt idx="273">
                  <c:v>45016</c:v>
                </c:pt>
                <c:pt idx="274">
                  <c:v>45023</c:v>
                </c:pt>
                <c:pt idx="275">
                  <c:v>45030</c:v>
                </c:pt>
                <c:pt idx="276">
                  <c:v>45037</c:v>
                </c:pt>
                <c:pt idx="277">
                  <c:v>45044</c:v>
                </c:pt>
                <c:pt idx="278">
                  <c:v>45051</c:v>
                </c:pt>
                <c:pt idx="279">
                  <c:v>45058</c:v>
                </c:pt>
                <c:pt idx="280">
                  <c:v>45065</c:v>
                </c:pt>
                <c:pt idx="281">
                  <c:v>45072</c:v>
                </c:pt>
                <c:pt idx="282">
                  <c:v>45079</c:v>
                </c:pt>
                <c:pt idx="283">
                  <c:v>45086</c:v>
                </c:pt>
                <c:pt idx="284">
                  <c:v>45093</c:v>
                </c:pt>
                <c:pt idx="285">
                  <c:v>45100</c:v>
                </c:pt>
                <c:pt idx="286">
                  <c:v>45107</c:v>
                </c:pt>
                <c:pt idx="287">
                  <c:v>45114</c:v>
                </c:pt>
                <c:pt idx="288">
                  <c:v>45121</c:v>
                </c:pt>
                <c:pt idx="289">
                  <c:v>45128</c:v>
                </c:pt>
                <c:pt idx="290">
                  <c:v>45135</c:v>
                </c:pt>
                <c:pt idx="291">
                  <c:v>45142</c:v>
                </c:pt>
                <c:pt idx="292">
                  <c:v>45149</c:v>
                </c:pt>
                <c:pt idx="293">
                  <c:v>45156</c:v>
                </c:pt>
                <c:pt idx="294">
                  <c:v>45163</c:v>
                </c:pt>
                <c:pt idx="295">
                  <c:v>45170</c:v>
                </c:pt>
                <c:pt idx="296">
                  <c:v>45177</c:v>
                </c:pt>
                <c:pt idx="297">
                  <c:v>45184</c:v>
                </c:pt>
                <c:pt idx="298">
                  <c:v>45191</c:v>
                </c:pt>
                <c:pt idx="299">
                  <c:v>45198</c:v>
                </c:pt>
                <c:pt idx="300">
                  <c:v>45205</c:v>
                </c:pt>
                <c:pt idx="301">
                  <c:v>45212</c:v>
                </c:pt>
                <c:pt idx="302">
                  <c:v>45219</c:v>
                </c:pt>
                <c:pt idx="303">
                  <c:v>45226</c:v>
                </c:pt>
                <c:pt idx="304">
                  <c:v>45233</c:v>
                </c:pt>
                <c:pt idx="305">
                  <c:v>45240</c:v>
                </c:pt>
                <c:pt idx="306">
                  <c:v>45247</c:v>
                </c:pt>
                <c:pt idx="307">
                  <c:v>45254</c:v>
                </c:pt>
                <c:pt idx="308">
                  <c:v>45261</c:v>
                </c:pt>
                <c:pt idx="309">
                  <c:v>45268</c:v>
                </c:pt>
                <c:pt idx="310">
                  <c:v>45275</c:v>
                </c:pt>
                <c:pt idx="311">
                  <c:v>45282</c:v>
                </c:pt>
                <c:pt idx="312">
                  <c:v>45289</c:v>
                </c:pt>
                <c:pt idx="313">
                  <c:v>45296</c:v>
                </c:pt>
                <c:pt idx="314">
                  <c:v>45303</c:v>
                </c:pt>
                <c:pt idx="315">
                  <c:v>45310</c:v>
                </c:pt>
                <c:pt idx="316">
                  <c:v>45317</c:v>
                </c:pt>
                <c:pt idx="317">
                  <c:v>45324</c:v>
                </c:pt>
                <c:pt idx="318">
                  <c:v>45331</c:v>
                </c:pt>
                <c:pt idx="319">
                  <c:v>45338</c:v>
                </c:pt>
                <c:pt idx="320">
                  <c:v>45345</c:v>
                </c:pt>
                <c:pt idx="321">
                  <c:v>45352</c:v>
                </c:pt>
                <c:pt idx="322">
                  <c:v>45359</c:v>
                </c:pt>
                <c:pt idx="323">
                  <c:v>45366</c:v>
                </c:pt>
                <c:pt idx="324">
                  <c:v>45373</c:v>
                </c:pt>
                <c:pt idx="325">
                  <c:v>45380</c:v>
                </c:pt>
                <c:pt idx="326">
                  <c:v>45387</c:v>
                </c:pt>
                <c:pt idx="327">
                  <c:v>45394</c:v>
                </c:pt>
                <c:pt idx="328">
                  <c:v>45401</c:v>
                </c:pt>
                <c:pt idx="329">
                  <c:v>45408</c:v>
                </c:pt>
                <c:pt idx="330">
                  <c:v>45415</c:v>
                </c:pt>
                <c:pt idx="331">
                  <c:v>45422</c:v>
                </c:pt>
                <c:pt idx="332">
                  <c:v>45429</c:v>
                </c:pt>
                <c:pt idx="333">
                  <c:v>45436</c:v>
                </c:pt>
                <c:pt idx="334">
                  <c:v>45443</c:v>
                </c:pt>
                <c:pt idx="335">
                  <c:v>45450</c:v>
                </c:pt>
                <c:pt idx="336">
                  <c:v>45457</c:v>
                </c:pt>
                <c:pt idx="337">
                  <c:v>45464</c:v>
                </c:pt>
                <c:pt idx="338">
                  <c:v>45471</c:v>
                </c:pt>
                <c:pt idx="339">
                  <c:v>45478</c:v>
                </c:pt>
                <c:pt idx="340">
                  <c:v>45485</c:v>
                </c:pt>
                <c:pt idx="341">
                  <c:v>45492</c:v>
                </c:pt>
                <c:pt idx="342">
                  <c:v>45499</c:v>
                </c:pt>
                <c:pt idx="343">
                  <c:v>45506</c:v>
                </c:pt>
                <c:pt idx="344">
                  <c:v>45513</c:v>
                </c:pt>
                <c:pt idx="345">
                  <c:v>45520</c:v>
                </c:pt>
                <c:pt idx="346">
                  <c:v>45527</c:v>
                </c:pt>
                <c:pt idx="347">
                  <c:v>45534</c:v>
                </c:pt>
                <c:pt idx="348">
                  <c:v>45541</c:v>
                </c:pt>
                <c:pt idx="349">
                  <c:v>45548</c:v>
                </c:pt>
                <c:pt idx="350">
                  <c:v>45555</c:v>
                </c:pt>
                <c:pt idx="351">
                  <c:v>45562</c:v>
                </c:pt>
                <c:pt idx="352">
                  <c:v>45569</c:v>
                </c:pt>
                <c:pt idx="353">
                  <c:v>45576</c:v>
                </c:pt>
                <c:pt idx="354">
                  <c:v>45583</c:v>
                </c:pt>
                <c:pt idx="355">
                  <c:v>45590</c:v>
                </c:pt>
                <c:pt idx="356">
                  <c:v>45597</c:v>
                </c:pt>
                <c:pt idx="357">
                  <c:v>45604</c:v>
                </c:pt>
                <c:pt idx="358">
                  <c:v>45611</c:v>
                </c:pt>
                <c:pt idx="359">
                  <c:v>45618</c:v>
                </c:pt>
                <c:pt idx="360">
                  <c:v>45625</c:v>
                </c:pt>
                <c:pt idx="361">
                  <c:v>45632</c:v>
                </c:pt>
                <c:pt idx="362">
                  <c:v>45639</c:v>
                </c:pt>
                <c:pt idx="363">
                  <c:v>45646</c:v>
                </c:pt>
                <c:pt idx="364">
                  <c:v>45653</c:v>
                </c:pt>
                <c:pt idx="365">
                  <c:v>45660</c:v>
                </c:pt>
                <c:pt idx="366">
                  <c:v>45667</c:v>
                </c:pt>
                <c:pt idx="367">
                  <c:v>45674</c:v>
                </c:pt>
                <c:pt idx="368">
                  <c:v>45681</c:v>
                </c:pt>
                <c:pt idx="369">
                  <c:v>45688</c:v>
                </c:pt>
                <c:pt idx="370">
                  <c:v>45695</c:v>
                </c:pt>
                <c:pt idx="371">
                  <c:v>45702</c:v>
                </c:pt>
                <c:pt idx="372">
                  <c:v>45709</c:v>
                </c:pt>
                <c:pt idx="373">
                  <c:v>45716</c:v>
                </c:pt>
                <c:pt idx="374">
                  <c:v>45723</c:v>
                </c:pt>
                <c:pt idx="375">
                  <c:v>45730</c:v>
                </c:pt>
                <c:pt idx="376">
                  <c:v>45737</c:v>
                </c:pt>
                <c:pt idx="377">
                  <c:v>45744</c:v>
                </c:pt>
                <c:pt idx="378">
                  <c:v>45751</c:v>
                </c:pt>
                <c:pt idx="379">
                  <c:v>45758</c:v>
                </c:pt>
                <c:pt idx="380">
                  <c:v>45765</c:v>
                </c:pt>
                <c:pt idx="381">
                  <c:v>45772</c:v>
                </c:pt>
                <c:pt idx="382">
                  <c:v>45779</c:v>
                </c:pt>
                <c:pt idx="383">
                  <c:v>45786</c:v>
                </c:pt>
                <c:pt idx="384">
                  <c:v>45793</c:v>
                </c:pt>
                <c:pt idx="385">
                  <c:v>45800</c:v>
                </c:pt>
                <c:pt idx="386">
                  <c:v>45807</c:v>
                </c:pt>
                <c:pt idx="387">
                  <c:v>45814</c:v>
                </c:pt>
                <c:pt idx="388">
                  <c:v>45821</c:v>
                </c:pt>
                <c:pt idx="389">
                  <c:v>45828</c:v>
                </c:pt>
                <c:pt idx="390">
                  <c:v>45835</c:v>
                </c:pt>
                <c:pt idx="391">
                  <c:v>45842</c:v>
                </c:pt>
                <c:pt idx="392">
                  <c:v>45849</c:v>
                </c:pt>
                <c:pt idx="393">
                  <c:v>45856</c:v>
                </c:pt>
                <c:pt idx="394">
                  <c:v>45863</c:v>
                </c:pt>
                <c:pt idx="395">
                  <c:v>45870</c:v>
                </c:pt>
                <c:pt idx="396">
                  <c:v>45877</c:v>
                </c:pt>
                <c:pt idx="397">
                  <c:v>45884</c:v>
                </c:pt>
                <c:pt idx="398">
                  <c:v>45891</c:v>
                </c:pt>
                <c:pt idx="399">
                  <c:v>45898</c:v>
                </c:pt>
                <c:pt idx="400">
                  <c:v>45905</c:v>
                </c:pt>
                <c:pt idx="401">
                  <c:v>45912</c:v>
                </c:pt>
                <c:pt idx="402">
                  <c:v>45919</c:v>
                </c:pt>
                <c:pt idx="403">
                  <c:v>45926</c:v>
                </c:pt>
                <c:pt idx="404">
                  <c:v>45933</c:v>
                </c:pt>
                <c:pt idx="405">
                  <c:v>45940</c:v>
                </c:pt>
                <c:pt idx="406">
                  <c:v>45947</c:v>
                </c:pt>
                <c:pt idx="407">
                  <c:v>45954</c:v>
                </c:pt>
                <c:pt idx="408">
                  <c:v>45961</c:v>
                </c:pt>
                <c:pt idx="409">
                  <c:v>45968</c:v>
                </c:pt>
                <c:pt idx="410">
                  <c:v>45975</c:v>
                </c:pt>
                <c:pt idx="411">
                  <c:v>45982</c:v>
                </c:pt>
                <c:pt idx="412">
                  <c:v>45989</c:v>
                </c:pt>
                <c:pt idx="413">
                  <c:v>45996</c:v>
                </c:pt>
                <c:pt idx="414">
                  <c:v>46003</c:v>
                </c:pt>
                <c:pt idx="415">
                  <c:v>46010</c:v>
                </c:pt>
                <c:pt idx="416">
                  <c:v>46017</c:v>
                </c:pt>
                <c:pt idx="417">
                  <c:v>46024</c:v>
                </c:pt>
                <c:pt idx="418">
                  <c:v>46031</c:v>
                </c:pt>
                <c:pt idx="419">
                  <c:v>46038</c:v>
                </c:pt>
                <c:pt idx="420">
                  <c:v>46045</c:v>
                </c:pt>
                <c:pt idx="421">
                  <c:v>46052</c:v>
                </c:pt>
                <c:pt idx="422">
                  <c:v>46059</c:v>
                </c:pt>
                <c:pt idx="423">
                  <c:v>46066</c:v>
                </c:pt>
                <c:pt idx="424">
                  <c:v>46073</c:v>
                </c:pt>
                <c:pt idx="425">
                  <c:v>46080</c:v>
                </c:pt>
                <c:pt idx="426">
                  <c:v>46087</c:v>
                </c:pt>
                <c:pt idx="427">
                  <c:v>46094</c:v>
                </c:pt>
                <c:pt idx="428">
                  <c:v>46101</c:v>
                </c:pt>
                <c:pt idx="429">
                  <c:v>46108</c:v>
                </c:pt>
                <c:pt idx="430">
                  <c:v>46115</c:v>
                </c:pt>
                <c:pt idx="431">
                  <c:v>46122</c:v>
                </c:pt>
                <c:pt idx="432">
                  <c:v>46129</c:v>
                </c:pt>
                <c:pt idx="433">
                  <c:v>46136</c:v>
                </c:pt>
                <c:pt idx="434">
                  <c:v>46143</c:v>
                </c:pt>
                <c:pt idx="435">
                  <c:v>46150</c:v>
                </c:pt>
                <c:pt idx="436">
                  <c:v>46157</c:v>
                </c:pt>
                <c:pt idx="437">
                  <c:v>46164</c:v>
                </c:pt>
                <c:pt idx="438">
                  <c:v>46171</c:v>
                </c:pt>
                <c:pt idx="439">
                  <c:v>46178</c:v>
                </c:pt>
                <c:pt idx="440">
                  <c:v>46185</c:v>
                </c:pt>
                <c:pt idx="441">
                  <c:v>46192</c:v>
                </c:pt>
                <c:pt idx="442">
                  <c:v>46199</c:v>
                </c:pt>
                <c:pt idx="443">
                  <c:v>46206</c:v>
                </c:pt>
                <c:pt idx="444">
                  <c:v>46213</c:v>
                </c:pt>
                <c:pt idx="445">
                  <c:v>46220</c:v>
                </c:pt>
                <c:pt idx="446">
                  <c:v>46227</c:v>
                </c:pt>
                <c:pt idx="447">
                  <c:v>46234</c:v>
                </c:pt>
                <c:pt idx="448">
                  <c:v>46241</c:v>
                </c:pt>
                <c:pt idx="449">
                  <c:v>46248</c:v>
                </c:pt>
                <c:pt idx="450">
                  <c:v>46255</c:v>
                </c:pt>
                <c:pt idx="451">
                  <c:v>46262</c:v>
                </c:pt>
                <c:pt idx="452">
                  <c:v>46269</c:v>
                </c:pt>
                <c:pt idx="453">
                  <c:v>46276</c:v>
                </c:pt>
                <c:pt idx="454">
                  <c:v>46283</c:v>
                </c:pt>
                <c:pt idx="455">
                  <c:v>46290</c:v>
                </c:pt>
                <c:pt idx="456">
                  <c:v>46297</c:v>
                </c:pt>
              </c:numCache>
            </c:numRef>
          </c:cat>
          <c:val>
            <c:numRef>
              <c:f>'Indice Utilities'!$AQ$58:$AQ$4000</c:f>
              <c:numCache>
                <c:formatCode>General</c:formatCode>
                <c:ptCount val="3943"/>
                <c:pt idx="0">
                  <c:v>1.1283686219686979</c:v>
                </c:pt>
                <c:pt idx="1">
                  <c:v>1.1319440698462673</c:v>
                </c:pt>
                <c:pt idx="2">
                  <c:v>1.1340518103677504</c:v>
                </c:pt>
                <c:pt idx="3">
                  <c:v>1.1374030012251128</c:v>
                </c:pt>
                <c:pt idx="4">
                  <c:v>1.1440698403579428</c:v>
                </c:pt>
                <c:pt idx="5">
                  <c:v>1.1536245739366975</c:v>
                </c:pt>
                <c:pt idx="6">
                  <c:v>1.1710194661516993</c:v>
                </c:pt>
                <c:pt idx="7">
                  <c:v>1.1903201846757381</c:v>
                </c:pt>
                <c:pt idx="8">
                  <c:v>1.1991069813533906</c:v>
                </c:pt>
                <c:pt idx="9">
                  <c:v>1.2031678490524604</c:v>
                </c:pt>
                <c:pt idx="10">
                  <c:v>1.2084937435897616</c:v>
                </c:pt>
                <c:pt idx="11">
                  <c:v>1.2175285874315669</c:v>
                </c:pt>
                <c:pt idx="12">
                  <c:v>1.2294459122533326</c:v>
                </c:pt>
                <c:pt idx="13">
                  <c:v>1.2368945572678218</c:v>
                </c:pt>
                <c:pt idx="14">
                  <c:v>1.2508747619529064</c:v>
                </c:pt>
                <c:pt idx="15">
                  <c:v>1.2694782284842301</c:v>
                </c:pt>
                <c:pt idx="16">
                  <c:v>1.2783561976862323</c:v>
                </c:pt>
                <c:pt idx="17">
                  <c:v>1.2820704808680043</c:v>
                </c:pt>
                <c:pt idx="18">
                  <c:v>1.2825345400590917</c:v>
                </c:pt>
                <c:pt idx="19">
                  <c:v>1.2893368876503322</c:v>
                </c:pt>
                <c:pt idx="20">
                  <c:v>1.2960565369806831</c:v>
                </c:pt>
                <c:pt idx="21">
                  <c:v>1.2978004710029429</c:v>
                </c:pt>
                <c:pt idx="22">
                  <c:v>1.2998394835362164</c:v>
                </c:pt>
                <c:pt idx="23">
                  <c:v>1.3019510656392483</c:v>
                </c:pt>
                <c:pt idx="24">
                  <c:v>1.3037261503311663</c:v>
                </c:pt>
                <c:pt idx="25">
                  <c:v>1.3071586082176152</c:v>
                </c:pt>
                <c:pt idx="26">
                  <c:v>1.3071586082176152</c:v>
                </c:pt>
                <c:pt idx="27">
                  <c:v>1.3071586082176152</c:v>
                </c:pt>
                <c:pt idx="28">
                  <c:v>1.3104018026081852</c:v>
                </c:pt>
                <c:pt idx="29">
                  <c:v>1.3113327366089949</c:v>
                </c:pt>
                <c:pt idx="30">
                  <c:v>1.3140982901960783</c:v>
                </c:pt>
                <c:pt idx="31">
                  <c:v>1.3169647618856843</c:v>
                </c:pt>
                <c:pt idx="32">
                  <c:v>1.3192953839288957</c:v>
                </c:pt>
                <c:pt idx="33">
                  <c:v>1.3208243168039533</c:v>
                </c:pt>
                <c:pt idx="34">
                  <c:v>1.322003803663395</c:v>
                </c:pt>
                <c:pt idx="35">
                  <c:v>1.3240260262355052</c:v>
                </c:pt>
                <c:pt idx="36">
                  <c:v>1.3296105595217727</c:v>
                </c:pt>
                <c:pt idx="37">
                  <c:v>1.3366972751258657</c:v>
                </c:pt>
                <c:pt idx="38">
                  <c:v>1.3399971964345234</c:v>
                </c:pt>
                <c:pt idx="39">
                  <c:v>1.3424678263829328</c:v>
                </c:pt>
                <c:pt idx="40">
                  <c:v>1.3445278986148752</c:v>
                </c:pt>
                <c:pt idx="41">
                  <c:v>1.346751997202533</c:v>
                </c:pt>
                <c:pt idx="42">
                  <c:v>1.3493014226798288</c:v>
                </c:pt>
                <c:pt idx="43">
                  <c:v>1.3500886964767904</c:v>
                </c:pt>
                <c:pt idx="44">
                  <c:v>1.3503564923034674</c:v>
                </c:pt>
                <c:pt idx="45">
                  <c:v>1.3506520258243031</c:v>
                </c:pt>
                <c:pt idx="46">
                  <c:v>1.3514183198764076</c:v>
                </c:pt>
                <c:pt idx="47">
                  <c:v>1.3604563951957362</c:v>
                </c:pt>
                <c:pt idx="48">
                  <c:v>1.3695815022942088</c:v>
                </c:pt>
                <c:pt idx="49">
                  <c:v>1.3707110009048833</c:v>
                </c:pt>
                <c:pt idx="50">
                  <c:v>1.3724125260197582</c:v>
                </c:pt>
                <c:pt idx="51">
                  <c:v>1.3759840057877519</c:v>
                </c:pt>
                <c:pt idx="52">
                  <c:v>1.3792657373107178</c:v>
                </c:pt>
                <c:pt idx="53">
                  <c:v>1.3808170910887874</c:v>
                </c:pt>
                <c:pt idx="54">
                  <c:v>1.3832208037836238</c:v>
                </c:pt>
                <c:pt idx="55">
                  <c:v>1.388274252082121</c:v>
                </c:pt>
                <c:pt idx="56">
                  <c:v>1.388274252082121</c:v>
                </c:pt>
                <c:pt idx="57">
                  <c:v>1.3915979211389757</c:v>
                </c:pt>
                <c:pt idx="58">
                  <c:v>1.3921878535051606</c:v>
                </c:pt>
                <c:pt idx="59">
                  <c:v>1.3921878535051606</c:v>
                </c:pt>
                <c:pt idx="60">
                  <c:v>1.3921878535051606</c:v>
                </c:pt>
                <c:pt idx="61">
                  <c:v>1.3951826213095835</c:v>
                </c:pt>
                <c:pt idx="62">
                  <c:v>1.4002567190313382</c:v>
                </c:pt>
                <c:pt idx="63">
                  <c:v>1.4036477259287126</c:v>
                </c:pt>
                <c:pt idx="64">
                  <c:v>1.4052040400325543</c:v>
                </c:pt>
                <c:pt idx="65">
                  <c:v>1.4052040400325543</c:v>
                </c:pt>
                <c:pt idx="66">
                  <c:v>1.4052040400325543</c:v>
                </c:pt>
                <c:pt idx="67">
                  <c:v>1.4052040400325543</c:v>
                </c:pt>
                <c:pt idx="68">
                  <c:v>1.4052040400325543</c:v>
                </c:pt>
                <c:pt idx="69">
                  <c:v>1.4052040400325543</c:v>
                </c:pt>
                <c:pt idx="70">
                  <c:v>1.4052040400325543</c:v>
                </c:pt>
                <c:pt idx="71">
                  <c:v>1.4052040400325543</c:v>
                </c:pt>
                <c:pt idx="72">
                  <c:v>1.4052040400325543</c:v>
                </c:pt>
                <c:pt idx="73">
                  <c:v>1.4036477259287126</c:v>
                </c:pt>
                <c:pt idx="74">
                  <c:v>1.4012526785176709</c:v>
                </c:pt>
                <c:pt idx="75">
                  <c:v>1.3987368474775228</c:v>
                </c:pt>
                <c:pt idx="76">
                  <c:v>1.3951826213095835</c:v>
                </c:pt>
                <c:pt idx="77">
                  <c:v>1.3951826213095835</c:v>
                </c:pt>
                <c:pt idx="78">
                  <c:v>1.3951826213095835</c:v>
                </c:pt>
                <c:pt idx="79">
                  <c:v>1.3951826213095835</c:v>
                </c:pt>
                <c:pt idx="80">
                  <c:v>1.3951826213095835</c:v>
                </c:pt>
                <c:pt idx="81">
                  <c:v>1.3951826213095835</c:v>
                </c:pt>
                <c:pt idx="82">
                  <c:v>1.3951826213095835</c:v>
                </c:pt>
                <c:pt idx="83">
                  <c:v>1.3951826213095835</c:v>
                </c:pt>
                <c:pt idx="84">
                  <c:v>1.3921878535051606</c:v>
                </c:pt>
                <c:pt idx="85">
                  <c:v>1.392034422261792</c:v>
                </c:pt>
                <c:pt idx="86">
                  <c:v>1.3917440914311816</c:v>
                </c:pt>
                <c:pt idx="87">
                  <c:v>1.3886400357440416</c:v>
                </c:pt>
                <c:pt idx="88">
                  <c:v>1.3862479291527607</c:v>
                </c:pt>
                <c:pt idx="89">
                  <c:v>1.3855918146602297</c:v>
                </c:pt>
                <c:pt idx="90">
                  <c:v>1.3828532259649489</c:v>
                </c:pt>
                <c:pt idx="91">
                  <c:v>1.3804495132701127</c:v>
                </c:pt>
                <c:pt idx="92">
                  <c:v>1.3728482226581189</c:v>
                </c:pt>
                <c:pt idx="93">
                  <c:v>1.364426853173099</c:v>
                </c:pt>
                <c:pt idx="94">
                  <c:v>1.3620327943729902</c:v>
                </c:pt>
                <c:pt idx="95">
                  <c:v>1.3620327943729902</c:v>
                </c:pt>
                <c:pt idx="96">
                  <c:v>1.3584247829173872</c:v>
                </c:pt>
                <c:pt idx="97">
                  <c:v>1.3441985050962497</c:v>
                </c:pt>
                <c:pt idx="98">
                  <c:v>1.3266472557685671</c:v>
                </c:pt>
                <c:pt idx="99">
                  <c:v>1.3079901032368997</c:v>
                </c:pt>
                <c:pt idx="100">
                  <c:v>1.2941325913556478</c:v>
                </c:pt>
                <c:pt idx="101">
                  <c:v>1.2881628889045986</c:v>
                </c:pt>
                <c:pt idx="102">
                  <c:v>1.2819147522254382</c:v>
                </c:pt>
                <c:pt idx="103">
                  <c:v>1.277482294468447</c:v>
                </c:pt>
                <c:pt idx="104">
                  <c:v>1.2665272541544237</c:v>
                </c:pt>
                <c:pt idx="105">
                  <c:v>1.2582120922858184</c:v>
                </c:pt>
                <c:pt idx="106">
                  <c:v>1.2511863358515782</c:v>
                </c:pt>
                <c:pt idx="107">
                  <c:v>1.2446414856532595</c:v>
                </c:pt>
                <c:pt idx="108">
                  <c:v>1.2406638220592616</c:v>
                </c:pt>
                <c:pt idx="109">
                  <c:v>1.227036320087779</c:v>
                </c:pt>
                <c:pt idx="110">
                  <c:v>1.2079355434652406</c:v>
                </c:pt>
                <c:pt idx="111">
                  <c:v>1.1975779248222786</c:v>
                </c:pt>
                <c:pt idx="112">
                  <c:v>1.190156398393011</c:v>
                </c:pt>
                <c:pt idx="113">
                  <c:v>1.1769678792548492</c:v>
                </c:pt>
                <c:pt idx="114">
                  <c:v>1.1669615791679069</c:v>
                </c:pt>
                <c:pt idx="115">
                  <c:v>1.1597241841197856</c:v>
                </c:pt>
                <c:pt idx="116">
                  <c:v>1.1519598686321662</c:v>
                </c:pt>
                <c:pt idx="117">
                  <c:v>1.1389509727311975</c:v>
                </c:pt>
                <c:pt idx="118">
                  <c:v>1.1277901102077932</c:v>
                </c:pt>
                <c:pt idx="119">
                  <c:v>1.1252522302937971</c:v>
                </c:pt>
                <c:pt idx="120">
                  <c:v>1.0978251054429107</c:v>
                </c:pt>
                <c:pt idx="121">
                  <c:v>1.0686258340646786</c:v>
                </c:pt>
                <c:pt idx="122">
                  <c:v>1.0601367722021997</c:v>
                </c:pt>
                <c:pt idx="123">
                  <c:v>1.0502463280985226</c:v>
                </c:pt>
                <c:pt idx="124">
                  <c:v>1.0502463280985226</c:v>
                </c:pt>
                <c:pt idx="125">
                  <c:v>1.0476469461882343</c:v>
                </c:pt>
                <c:pt idx="126">
                  <c:v>1.0442464718190312</c:v>
                </c:pt>
                <c:pt idx="127">
                  <c:v>1.0401799387061903</c:v>
                </c:pt>
                <c:pt idx="128">
                  <c:v>1.0359127428165218</c:v>
                </c:pt>
                <c:pt idx="129">
                  <c:v>1.032342738871781</c:v>
                </c:pt>
                <c:pt idx="130">
                  <c:v>1.0286366772945938</c:v>
                </c:pt>
                <c:pt idx="131">
                  <c:v>1.0239064803254312</c:v>
                </c:pt>
                <c:pt idx="132">
                  <c:v>1.0186736412841939</c:v>
                </c:pt>
                <c:pt idx="133">
                  <c:v>1.0148511552736474</c:v>
                </c:pt>
                <c:pt idx="134">
                  <c:v>1.009650674542887</c:v>
                </c:pt>
                <c:pt idx="135">
                  <c:v>1.0049433161140082</c:v>
                </c:pt>
                <c:pt idx="136">
                  <c:v>1.0031979153300501</c:v>
                </c:pt>
                <c:pt idx="137">
                  <c:v>0.99899743250634787</c:v>
                </c:pt>
                <c:pt idx="138">
                  <c:v>0.99304845670441699</c:v>
                </c:pt>
                <c:pt idx="139">
                  <c:v>0.9892017298070217</c:v>
                </c:pt>
                <c:pt idx="140">
                  <c:v>0.9872564901874219</c:v>
                </c:pt>
                <c:pt idx="141">
                  <c:v>0.98191695913988331</c:v>
                </c:pt>
                <c:pt idx="142">
                  <c:v>0.97633475274142234</c:v>
                </c:pt>
                <c:pt idx="143">
                  <c:v>0.97392113551217985</c:v>
                </c:pt>
                <c:pt idx="144">
                  <c:v>0.96948545292515886</c:v>
                </c:pt>
                <c:pt idx="145">
                  <c:v>0.96591228433151866</c:v>
                </c:pt>
                <c:pt idx="146">
                  <c:v>0.96591228433151866</c:v>
                </c:pt>
                <c:pt idx="147">
                  <c:v>0.96591228433151866</c:v>
                </c:pt>
                <c:pt idx="148">
                  <c:v>0.96591228433151866</c:v>
                </c:pt>
                <c:pt idx="149">
                  <c:v>0.96591228433151866</c:v>
                </c:pt>
                <c:pt idx="150">
                  <c:v>0.96591228433151866</c:v>
                </c:pt>
                <c:pt idx="151">
                  <c:v>0.96591228433151866</c:v>
                </c:pt>
                <c:pt idx="152">
                  <c:v>0.96509213328971666</c:v>
                </c:pt>
                <c:pt idx="153">
                  <c:v>0.96509213328971666</c:v>
                </c:pt>
                <c:pt idx="154">
                  <c:v>0.96444596639002489</c:v>
                </c:pt>
                <c:pt idx="155">
                  <c:v>0.96430525245303245</c:v>
                </c:pt>
                <c:pt idx="156">
                  <c:v>0.9635856830096059</c:v>
                </c:pt>
                <c:pt idx="157">
                  <c:v>0.96430525245303245</c:v>
                </c:pt>
                <c:pt idx="158">
                  <c:v>0.9635856830096059</c:v>
                </c:pt>
                <c:pt idx="159">
                  <c:v>0.96367336802812908</c:v>
                </c:pt>
                <c:pt idx="160">
                  <c:v>0.96444596639002489</c:v>
                </c:pt>
                <c:pt idx="161">
                  <c:v>0.96509213328971666</c:v>
                </c:pt>
                <c:pt idx="162">
                  <c:v>0.96605228619945749</c:v>
                </c:pt>
                <c:pt idx="163">
                  <c:v>0.96605228619945749</c:v>
                </c:pt>
                <c:pt idx="164">
                  <c:v>0.96605228619945749</c:v>
                </c:pt>
                <c:pt idx="165">
                  <c:v>0.96605228619945749</c:v>
                </c:pt>
                <c:pt idx="166">
                  <c:v>0.96605228619945749</c:v>
                </c:pt>
                <c:pt idx="167">
                  <c:v>0.96509213328971666</c:v>
                </c:pt>
                <c:pt idx="168">
                  <c:v>0.96372639694659834</c:v>
                </c:pt>
                <c:pt idx="169">
                  <c:v>0.96255327212353148</c:v>
                </c:pt>
                <c:pt idx="170">
                  <c:v>0.96189726110062357</c:v>
                </c:pt>
                <c:pt idx="171">
                  <c:v>0.96003075875154908</c:v>
                </c:pt>
                <c:pt idx="172">
                  <c:v>0.95722753851245823</c:v>
                </c:pt>
                <c:pt idx="173">
                  <c:v>0.95551434768140142</c:v>
                </c:pt>
                <c:pt idx="174">
                  <c:v>0.95441250259173094</c:v>
                </c:pt>
                <c:pt idx="175">
                  <c:v>0.95321912829952016</c:v>
                </c:pt>
                <c:pt idx="176">
                  <c:v>0.95216334983736362</c:v>
                </c:pt>
                <c:pt idx="177">
                  <c:v>0.95112637305236525</c:v>
                </c:pt>
                <c:pt idx="178">
                  <c:v>0.94901516019204946</c:v>
                </c:pt>
                <c:pt idx="179">
                  <c:v>0.94707913391171372</c:v>
                </c:pt>
                <c:pt idx="180">
                  <c:v>0.94568808149517447</c:v>
                </c:pt>
                <c:pt idx="181">
                  <c:v>0.94119556651914071</c:v>
                </c:pt>
                <c:pt idx="182">
                  <c:v>0.93696754775482671</c:v>
                </c:pt>
                <c:pt idx="183">
                  <c:v>0.93513409851015117</c:v>
                </c:pt>
                <c:pt idx="184">
                  <c:v>0.93332147432790791</c:v>
                </c:pt>
                <c:pt idx="185">
                  <c:v>0.93138101635734971</c:v>
                </c:pt>
                <c:pt idx="186">
                  <c:v>0.92532497556271842</c:v>
                </c:pt>
                <c:pt idx="187">
                  <c:v>0.92532497556271842</c:v>
                </c:pt>
                <c:pt idx="188">
                  <c:v>0.91832893351486211</c:v>
                </c:pt>
                <c:pt idx="189">
                  <c:v>0.9160670642071248</c:v>
                </c:pt>
                <c:pt idx="190">
                  <c:v>0.91528757736073407</c:v>
                </c:pt>
                <c:pt idx="191">
                  <c:v>0.9160670642071248</c:v>
                </c:pt>
                <c:pt idx="192">
                  <c:v>0.91659611783782469</c:v>
                </c:pt>
                <c:pt idx="193">
                  <c:v>0.91659611783782469</c:v>
                </c:pt>
                <c:pt idx="194">
                  <c:v>0.91760738536324105</c:v>
                </c:pt>
                <c:pt idx="195">
                  <c:v>0.91760738536324105</c:v>
                </c:pt>
                <c:pt idx="196">
                  <c:v>0.91760738536324105</c:v>
                </c:pt>
                <c:pt idx="197">
                  <c:v>0.91760738536324105</c:v>
                </c:pt>
                <c:pt idx="198">
                  <c:v>0.91760738536324105</c:v>
                </c:pt>
                <c:pt idx="199">
                  <c:v>0.91760738536324105</c:v>
                </c:pt>
                <c:pt idx="200">
                  <c:v>0.91760738536324105</c:v>
                </c:pt>
                <c:pt idx="201">
                  <c:v>0.91760738536324105</c:v>
                </c:pt>
                <c:pt idx="202">
                  <c:v>0.91760738536324105</c:v>
                </c:pt>
                <c:pt idx="203">
                  <c:v>0.91760738536324105</c:v>
                </c:pt>
                <c:pt idx="204">
                  <c:v>0.91760738536324105</c:v>
                </c:pt>
                <c:pt idx="205">
                  <c:v>0.91760738536324105</c:v>
                </c:pt>
                <c:pt idx="206">
                  <c:v>0.91760738536324105</c:v>
                </c:pt>
                <c:pt idx="207">
                  <c:v>0.91760738536324105</c:v>
                </c:pt>
                <c:pt idx="208">
                  <c:v>0.91659611783782469</c:v>
                </c:pt>
                <c:pt idx="209">
                  <c:v>0.9160670642071248</c:v>
                </c:pt>
                <c:pt idx="210">
                  <c:v>0.91528757736073407</c:v>
                </c:pt>
                <c:pt idx="211">
                  <c:v>0.91528757736073407</c:v>
                </c:pt>
                <c:pt idx="212">
                  <c:v>0.91528757736073407</c:v>
                </c:pt>
                <c:pt idx="213">
                  <c:v>0.9145594720936201</c:v>
                </c:pt>
                <c:pt idx="214">
                  <c:v>0.9145594720936201</c:v>
                </c:pt>
                <c:pt idx="215">
                  <c:v>0.9145594720936201</c:v>
                </c:pt>
                <c:pt idx="216">
                  <c:v>0.9145594720936201</c:v>
                </c:pt>
                <c:pt idx="217">
                  <c:v>0.9145594720936201</c:v>
                </c:pt>
                <c:pt idx="218">
                  <c:v>0.9145594720936201</c:v>
                </c:pt>
                <c:pt idx="219">
                  <c:v>0.9145594720936201</c:v>
                </c:pt>
                <c:pt idx="220">
                  <c:v>0.91528757736073407</c:v>
                </c:pt>
                <c:pt idx="221">
                  <c:v>0.91652750593618904</c:v>
                </c:pt>
                <c:pt idx="222">
                  <c:v>0.9173081875222644</c:v>
                </c:pt>
                <c:pt idx="223">
                  <c:v>0.91785901331861652</c:v>
                </c:pt>
                <c:pt idx="224">
                  <c:v>0.92311579353712658</c:v>
                </c:pt>
                <c:pt idx="225">
                  <c:v>0.92933603301061418</c:v>
                </c:pt>
                <c:pt idx="226">
                  <c:v>0.94174110977219261</c:v>
                </c:pt>
                <c:pt idx="227">
                  <c:v>0.95714733695756149</c:v>
                </c:pt>
                <c:pt idx="228">
                  <c:v>0.96252509653568574</c:v>
                </c:pt>
                <c:pt idx="229">
                  <c:v>0.96446832420000184</c:v>
                </c:pt>
                <c:pt idx="230">
                  <c:v>0.97069716966234865</c:v>
                </c:pt>
                <c:pt idx="231">
                  <c:v>0.97841233004283767</c:v>
                </c:pt>
                <c:pt idx="232">
                  <c:v>0.98307462024085357</c:v>
                </c:pt>
                <c:pt idx="233">
                  <c:v>0.98600280997447953</c:v>
                </c:pt>
                <c:pt idx="234">
                  <c:v>0.98839221926280951</c:v>
                </c:pt>
                <c:pt idx="235">
                  <c:v>0.99714358902941735</c:v>
                </c:pt>
                <c:pt idx="236">
                  <c:v>1.0041168879736606</c:v>
                </c:pt>
                <c:pt idx="237">
                  <c:v>1.0104292900739433</c:v>
                </c:pt>
                <c:pt idx="238">
                  <c:v>1.0113010336803256</c:v>
                </c:pt>
                <c:pt idx="239">
                  <c:v>1.0174691050552283</c:v>
                </c:pt>
                <c:pt idx="240">
                  <c:v>1.0187532671858777</c:v>
                </c:pt>
                <c:pt idx="241">
                  <c:v>1.0248258559702541</c:v>
                </c:pt>
                <c:pt idx="242">
                  <c:v>1.0314286879198309</c:v>
                </c:pt>
                <c:pt idx="243">
                  <c:v>1.0342069220399051</c:v>
                </c:pt>
                <c:pt idx="244">
                  <c:v>1.0374238692917235</c:v>
                </c:pt>
                <c:pt idx="245">
                  <c:v>1.0412611934557368</c:v>
                </c:pt>
                <c:pt idx="246">
                  <c:v>1.0437691901957848</c:v>
                </c:pt>
                <c:pt idx="247">
                  <c:v>1.044933095712556</c:v>
                </c:pt>
                <c:pt idx="248">
                  <c:v>1.0463413534306445</c:v>
                </c:pt>
                <c:pt idx="249">
                  <c:v>1.0485452162700586</c:v>
                </c:pt>
                <c:pt idx="250">
                  <c:v>1.0485452162700586</c:v>
                </c:pt>
                <c:pt idx="251">
                  <c:v>1.0485452162700586</c:v>
                </c:pt>
                <c:pt idx="252">
                  <c:v>1.0485452162700586</c:v>
                </c:pt>
                <c:pt idx="253">
                  <c:v>1.0506204581201688</c:v>
                </c:pt>
                <c:pt idx="254">
                  <c:v>1.0555857188145159</c:v>
                </c:pt>
                <c:pt idx="255">
                  <c:v>1.0609641066797626</c:v>
                </c:pt>
                <c:pt idx="256">
                  <c:v>1.0623921781985557</c:v>
                </c:pt>
                <c:pt idx="257">
                  <c:v>1.0633620269751749</c:v>
                </c:pt>
                <c:pt idx="258">
                  <c:v>1.0646009461836163</c:v>
                </c:pt>
                <c:pt idx="259">
                  <c:v>1.0662306973460867</c:v>
                </c:pt>
                <c:pt idx="260">
                  <c:v>1.0678687052847495</c:v>
                </c:pt>
                <c:pt idx="261">
                  <c:v>1.0733680098792158</c:v>
                </c:pt>
                <c:pt idx="262">
                  <c:v>1.0808424989035459</c:v>
                </c:pt>
                <c:pt idx="263">
                  <c:v>1.085017735322203</c:v>
                </c:pt>
                <c:pt idx="264">
                  <c:v>1.0882634102451654</c:v>
                </c:pt>
                <c:pt idx="265">
                  <c:v>1.0914084863157671</c:v>
                </c:pt>
                <c:pt idx="266">
                  <c:v>1.0934594132010265</c:v>
                </c:pt>
                <c:pt idx="267">
                  <c:v>1.0961808641207744</c:v>
                </c:pt>
                <c:pt idx="268">
                  <c:v>1.0980240509428447</c:v>
                </c:pt>
                <c:pt idx="269">
                  <c:v>1.1000545374424662</c:v>
                </c:pt>
                <c:pt idx="270">
                  <c:v>1.1037288539634837</c:v>
                </c:pt>
                <c:pt idx="271">
                  <c:v>1.1143865285279984</c:v>
                </c:pt>
                <c:pt idx="272">
                  <c:v>1.1364243535162637</c:v>
                </c:pt>
                <c:pt idx="273">
                  <c:v>1.1545209064221376</c:v>
                </c:pt>
                <c:pt idx="274">
                  <c:v>1.169177173096382</c:v>
                </c:pt>
                <c:pt idx="275">
                  <c:v>1.1809690075079484</c:v>
                </c:pt>
                <c:pt idx="276">
                  <c:v>1.184364598175057</c:v>
                </c:pt>
                <c:pt idx="277">
                  <c:v>1.187544135068169</c:v>
                </c:pt>
                <c:pt idx="278">
                  <c:v>1.1921071417590858</c:v>
                </c:pt>
                <c:pt idx="279">
                  <c:v>1.1974551503880289</c:v>
                </c:pt>
                <c:pt idx="280">
                  <c:v>1.2024256967865863</c:v>
                </c:pt>
                <c:pt idx="281">
                  <c:v>1.2048620791942122</c:v>
                </c:pt>
                <c:pt idx="282">
                  <c:v>1.2051181137034264</c:v>
                </c:pt>
                <c:pt idx="283">
                  <c:v>1.2078223235704701</c:v>
                </c:pt>
                <c:pt idx="284">
                  <c:v>1.2128739177017369</c:v>
                </c:pt>
                <c:pt idx="285">
                  <c:v>1.2128739177017369</c:v>
                </c:pt>
                <c:pt idx="286">
                  <c:v>1.2160780534636868</c:v>
                </c:pt>
                <c:pt idx="287">
                  <c:v>1.2187506374628381</c:v>
                </c:pt>
                <c:pt idx="288">
                  <c:v>1.2219623184923489</c:v>
                </c:pt>
                <c:pt idx="289">
                  <c:v>1.2219623184923489</c:v>
                </c:pt>
                <c:pt idx="290">
                  <c:v>1.2219623184923489</c:v>
                </c:pt>
                <c:pt idx="291">
                  <c:v>1.2219623184923489</c:v>
                </c:pt>
                <c:pt idx="292">
                  <c:v>1.2219623184923489</c:v>
                </c:pt>
                <c:pt idx="293">
                  <c:v>1.2219623184923489</c:v>
                </c:pt>
                <c:pt idx="294">
                  <c:v>1.2219623184923489</c:v>
                </c:pt>
                <c:pt idx="295">
                  <c:v>1.2219623184923489</c:v>
                </c:pt>
                <c:pt idx="296">
                  <c:v>1.2219623184923489</c:v>
                </c:pt>
                <c:pt idx="297">
                  <c:v>1.2219623184923489</c:v>
                </c:pt>
                <c:pt idx="298">
                  <c:v>1.2219623184923489</c:v>
                </c:pt>
                <c:pt idx="299">
                  <c:v>1.2219623184923489</c:v>
                </c:pt>
                <c:pt idx="300">
                  <c:v>1.2219623184923489</c:v>
                </c:pt>
                <c:pt idx="301">
                  <c:v>1.2219623184923489</c:v>
                </c:pt>
                <c:pt idx="302">
                  <c:v>1.2219623184923489</c:v>
                </c:pt>
                <c:pt idx="303">
                  <c:v>1.2219623184923489</c:v>
                </c:pt>
                <c:pt idx="304">
                  <c:v>1.2187506374628381</c:v>
                </c:pt>
                <c:pt idx="305">
                  <c:v>1.2160780534636868</c:v>
                </c:pt>
                <c:pt idx="306">
                  <c:v>1.2160780534636868</c:v>
                </c:pt>
                <c:pt idx="307">
                  <c:v>1.2121137745798523</c:v>
                </c:pt>
                <c:pt idx="308">
                  <c:v>1.2121137745798523</c:v>
                </c:pt>
                <c:pt idx="309">
                  <c:v>1.206965850031823</c:v>
                </c:pt>
                <c:pt idx="310">
                  <c:v>1.206965850031823</c:v>
                </c:pt>
                <c:pt idx="311">
                  <c:v>1.206965850031823</c:v>
                </c:pt>
                <c:pt idx="312">
                  <c:v>1.206965850031823</c:v>
                </c:pt>
                <c:pt idx="313">
                  <c:v>1.206965850031823</c:v>
                </c:pt>
                <c:pt idx="314">
                  <c:v>1.206965850031823</c:v>
                </c:pt>
                <c:pt idx="315">
                  <c:v>1.206965850031823</c:v>
                </c:pt>
                <c:pt idx="316">
                  <c:v>1.2121137745798523</c:v>
                </c:pt>
                <c:pt idx="317">
                  <c:v>1.2121137745798523</c:v>
                </c:pt>
                <c:pt idx="318">
                  <c:v>1.2128741956608167</c:v>
                </c:pt>
                <c:pt idx="319">
                  <c:v>1.2128741956608167</c:v>
                </c:pt>
                <c:pt idx="320">
                  <c:v>1.2128741956608167</c:v>
                </c:pt>
                <c:pt idx="321">
                  <c:v>1.2128741956608167</c:v>
                </c:pt>
                <c:pt idx="322">
                  <c:v>1.206965850031823</c:v>
                </c:pt>
                <c:pt idx="323">
                  <c:v>1.206965850031823</c:v>
                </c:pt>
                <c:pt idx="324">
                  <c:v>1.206965850031823</c:v>
                </c:pt>
                <c:pt idx="325">
                  <c:v>1.2068061459393715</c:v>
                </c:pt>
                <c:pt idx="326">
                  <c:v>1.2054510865560952</c:v>
                </c:pt>
                <c:pt idx="327">
                  <c:v>1.2128741956608167</c:v>
                </c:pt>
                <c:pt idx="328">
                  <c:v>1.2054510865560952</c:v>
                </c:pt>
                <c:pt idx="329">
                  <c:v>1.1964028378966793</c:v>
                </c:pt>
                <c:pt idx="330">
                  <c:v>1.1895626763329648</c:v>
                </c:pt>
                <c:pt idx="331">
                  <c:v>1.1885409199135553</c:v>
                </c:pt>
                <c:pt idx="332">
                  <c:v>1.1845651240856314</c:v>
                </c:pt>
                <c:pt idx="333">
                  <c:v>1.1791954673229226</c:v>
                </c:pt>
                <c:pt idx="334">
                  <c:v>1.1758652042260924</c:v>
                </c:pt>
                <c:pt idx="335">
                  <c:v>1.1733237942770733</c:v>
                </c:pt>
                <c:pt idx="336">
                  <c:v>1.1689230712430443</c:v>
                </c:pt>
                <c:pt idx="337">
                  <c:v>1.1689230712430443</c:v>
                </c:pt>
                <c:pt idx="338">
                  <c:v>1.1689230712430443</c:v>
                </c:pt>
                <c:pt idx="339">
                  <c:v>1.1689230712430443</c:v>
                </c:pt>
                <c:pt idx="340">
                  <c:v>1.1689230712430443</c:v>
                </c:pt>
                <c:pt idx="341">
                  <c:v>1.1689230712430443</c:v>
                </c:pt>
                <c:pt idx="342">
                  <c:v>1.1629247478080926</c:v>
                </c:pt>
                <c:pt idx="343">
                  <c:v>1.1629247478080926</c:v>
                </c:pt>
                <c:pt idx="344">
                  <c:v>1.1658485059062262</c:v>
                </c:pt>
                <c:pt idx="345">
                  <c:v>1.1694152344475051</c:v>
                </c:pt>
                <c:pt idx="346">
                  <c:v>1.1658485059062262</c:v>
                </c:pt>
                <c:pt idx="347">
                  <c:v>1.1629247478080926</c:v>
                </c:pt>
                <c:pt idx="348">
                  <c:v>1.1629247478080926</c:v>
                </c:pt>
                <c:pt idx="349">
                  <c:v>1.1629247478080926</c:v>
                </c:pt>
                <c:pt idx="350">
                  <c:v>1.1631805937793411</c:v>
                </c:pt>
                <c:pt idx="351">
                  <c:v>1.1631805937793411</c:v>
                </c:pt>
                <c:pt idx="352">
                  <c:v>1.1631805937793411</c:v>
                </c:pt>
                <c:pt idx="353">
                  <c:v>1.1631805937793411</c:v>
                </c:pt>
                <c:pt idx="354">
                  <c:v>1.1631805937793411</c:v>
                </c:pt>
                <c:pt idx="355">
                  <c:v>1.1631805937793411</c:v>
                </c:pt>
                <c:pt idx="356">
                  <c:v>1.1631805937793411</c:v>
                </c:pt>
                <c:pt idx="357">
                  <c:v>1.1658485059062262</c:v>
                </c:pt>
                <c:pt idx="358">
                  <c:v>1.1658485059062262</c:v>
                </c:pt>
                <c:pt idx="359">
                  <c:v>1.1694152344475051</c:v>
                </c:pt>
                <c:pt idx="360">
                  <c:v>1.1694152344475051</c:v>
                </c:pt>
                <c:pt idx="361">
                  <c:v>1.1694152344475051</c:v>
                </c:pt>
                <c:pt idx="362">
                  <c:v>1.1694152344475051</c:v>
                </c:pt>
                <c:pt idx="363">
                  <c:v>1.1694152344475051</c:v>
                </c:pt>
                <c:pt idx="364">
                  <c:v>1.1658485059062262</c:v>
                </c:pt>
                <c:pt idx="365">
                  <c:v>1.1631805937793411</c:v>
                </c:pt>
                <c:pt idx="366">
                  <c:v>1.1610462073549528</c:v>
                </c:pt>
                <c:pt idx="367">
                  <c:v>1.1607489988856683</c:v>
                </c:pt>
                <c:pt idx="368">
                  <c:v>1.1591806466005004</c:v>
                </c:pt>
                <c:pt idx="369">
                  <c:v>1.1577059919495243</c:v>
                </c:pt>
                <c:pt idx="370">
                  <c:v>1.1572353088366154</c:v>
                </c:pt>
                <c:pt idx="371">
                  <c:v>1.1559160347598967</c:v>
                </c:pt>
                <c:pt idx="372">
                  <c:v>1.154383337928663</c:v>
                </c:pt>
                <c:pt idx="373">
                  <c:v>1.1532748952577803</c:v>
                </c:pt>
                <c:pt idx="374">
                  <c:v>1.152573538814345</c:v>
                </c:pt>
                <c:pt idx="375">
                  <c:v>1.152573538814345</c:v>
                </c:pt>
                <c:pt idx="376">
                  <c:v>1.152573538814345</c:v>
                </c:pt>
                <c:pt idx="377">
                  <c:v>1.152573538814345</c:v>
                </c:pt>
                <c:pt idx="378">
                  <c:v>1.1518799469735832</c:v>
                </c:pt>
                <c:pt idx="379">
                  <c:v>1.1504491503815482</c:v>
                </c:pt>
                <c:pt idx="380">
                  <c:v>1.1484870595397574</c:v>
                </c:pt>
                <c:pt idx="381">
                  <c:v>1.1484870595397574</c:v>
                </c:pt>
                <c:pt idx="382">
                  <c:v>1.1463385497440004</c:v>
                </c:pt>
                <c:pt idx="383">
                  <c:v>1.1452248091318973</c:v>
                </c:pt>
                <c:pt idx="384">
                  <c:v>1.1452248091318973</c:v>
                </c:pt>
                <c:pt idx="385">
                  <c:v>1.1452248091318973</c:v>
                </c:pt>
                <c:pt idx="386">
                  <c:v>1.1452248091318973</c:v>
                </c:pt>
                <c:pt idx="387">
                  <c:v>1.1452248091318973</c:v>
                </c:pt>
                <c:pt idx="388">
                  <c:v>1.1452248091318973</c:v>
                </c:pt>
                <c:pt idx="389">
                  <c:v>1.1452248091318973</c:v>
                </c:pt>
                <c:pt idx="390">
                  <c:v>1.1452248091318973</c:v>
                </c:pt>
                <c:pt idx="391">
                  <c:v>1.1452248091318973</c:v>
                </c:pt>
                <c:pt idx="392">
                  <c:v>1.1452248091318973</c:v>
                </c:pt>
                <c:pt idx="393">
                  <c:v>1.1452248091318973</c:v>
                </c:pt>
                <c:pt idx="394">
                  <c:v>1.1452248091318973</c:v>
                </c:pt>
                <c:pt idx="395">
                  <c:v>1.1452248091318973</c:v>
                </c:pt>
                <c:pt idx="396">
                  <c:v>1.1452248091318973</c:v>
                </c:pt>
                <c:pt idx="397">
                  <c:v>1.1452248091318973</c:v>
                </c:pt>
                <c:pt idx="398">
                  <c:v>1.1452248091318973</c:v>
                </c:pt>
                <c:pt idx="399">
                  <c:v>1.1474485645315968</c:v>
                </c:pt>
                <c:pt idx="400">
                  <c:v>1.1504491503815482</c:v>
                </c:pt>
                <c:pt idx="401">
                  <c:v>1.154754893158223</c:v>
                </c:pt>
                <c:pt idx="402">
                  <c:v>1.154754893158223</c:v>
                </c:pt>
                <c:pt idx="403">
                  <c:v>1.1596480648668464</c:v>
                </c:pt>
                <c:pt idx="404">
                  <c:v>1.1710348554097947</c:v>
                </c:pt>
                <c:pt idx="405">
                  <c:v>1.1812677498434829</c:v>
                </c:pt>
                <c:pt idx="406">
                  <c:v>1.1835892338678651</c:v>
                </c:pt>
                <c:pt idx="407">
                  <c:v>1.1882227067040763</c:v>
                </c:pt>
                <c:pt idx="408">
                  <c:v>1.1920234319815477</c:v>
                </c:pt>
                <c:pt idx="409">
                  <c:v>1.1935456737910903</c:v>
                </c:pt>
                <c:pt idx="410">
                  <c:v>1.194853598679086</c:v>
                </c:pt>
                <c:pt idx="411">
                  <c:v>1.194853598679086</c:v>
                </c:pt>
                <c:pt idx="412">
                  <c:v>1.1954815836319894</c:v>
                </c:pt>
                <c:pt idx="413">
                  <c:v>1.1976826475891471</c:v>
                </c:pt>
                <c:pt idx="414">
                  <c:v>1.1990994398645702</c:v>
                </c:pt>
                <c:pt idx="415">
                  <c:v>1.1990994398645702</c:v>
                </c:pt>
                <c:pt idx="416">
                  <c:v>1.2019038014904666</c:v>
                </c:pt>
                <c:pt idx="417">
                  <c:v>1.2104315666546976</c:v>
                </c:pt>
                <c:pt idx="418">
                  <c:v>1.2247777005709235</c:v>
                </c:pt>
                <c:pt idx="419">
                  <c:v>1.2329041000080561</c:v>
                </c:pt>
                <c:pt idx="420">
                  <c:v>1.2329041000080561</c:v>
                </c:pt>
                <c:pt idx="421">
                  <c:v>1.2336752761348924</c:v>
                </c:pt>
                <c:pt idx="422">
                  <c:v>1.2359329004905473</c:v>
                </c:pt>
                <c:pt idx="423">
                  <c:v>1.2396196146538543</c:v>
                </c:pt>
                <c:pt idx="424">
                  <c:v>1.2426053294944972</c:v>
                </c:pt>
                <c:pt idx="425">
                  <c:v>1.2464650299217781</c:v>
                </c:pt>
                <c:pt idx="426">
                  <c:v>1.2509454114276028</c:v>
                </c:pt>
                <c:pt idx="427">
                  <c:v>1.2551503218019544</c:v>
                </c:pt>
                <c:pt idx="428">
                  <c:v>1.2584319160471167</c:v>
                </c:pt>
                <c:pt idx="429">
                  <c:v>1.2602194112970331</c:v>
                </c:pt>
                <c:pt idx="430">
                  <c:v>1.2615915787399574</c:v>
                </c:pt>
                <c:pt idx="431">
                  <c:v>1.2620395693830762</c:v>
                </c:pt>
                <c:pt idx="432">
                  <c:v>1.2622556112434711</c:v>
                </c:pt>
                <c:pt idx="433">
                  <c:v>1.2640591841843731</c:v>
                </c:pt>
                <c:pt idx="434">
                  <c:v>1.2661115389458941</c:v>
                </c:pt>
                <c:pt idx="435">
                  <c:v>1.2670196277490589</c:v>
                </c:pt>
                <c:pt idx="436">
                  <c:v>1.2722748768186793</c:v>
                </c:pt>
                <c:pt idx="437">
                  <c:v>1.2722748768186793</c:v>
                </c:pt>
                <c:pt idx="438">
                  <c:v>1.2722748768186793</c:v>
                </c:pt>
                <c:pt idx="439">
                  <c:v>1.2722748768186793</c:v>
                </c:pt>
                <c:pt idx="440">
                  <c:v>1.2722748768186793</c:v>
                </c:pt>
                <c:pt idx="441">
                  <c:v>1.2722748768186793</c:v>
                </c:pt>
                <c:pt idx="442">
                  <c:v>1.2722748768186793</c:v>
                </c:pt>
                <c:pt idx="443">
                  <c:v>1.2722748768186793</c:v>
                </c:pt>
                <c:pt idx="444">
                  <c:v>1.2722748768186793</c:v>
                </c:pt>
                <c:pt idx="445">
                  <c:v>1.2722748768186793</c:v>
                </c:pt>
                <c:pt idx="446">
                  <c:v>1.2722748768186793</c:v>
                </c:pt>
                <c:pt idx="447">
                  <c:v>1.2722748768186793</c:v>
                </c:pt>
                <c:pt idx="448">
                  <c:v>1.2670196277490589</c:v>
                </c:pt>
                <c:pt idx="449">
                  <c:v>1.2670196277490589</c:v>
                </c:pt>
                <c:pt idx="450">
                  <c:v>1.2661115389458941</c:v>
                </c:pt>
                <c:pt idx="451">
                  <c:v>1.2640591841843731</c:v>
                </c:pt>
                <c:pt idx="452">
                  <c:v>1.2622556112434711</c:v>
                </c:pt>
                <c:pt idx="453">
                  <c:v>1.2620395693830762</c:v>
                </c:pt>
                <c:pt idx="454">
                  <c:v>1.2618778782662594</c:v>
                </c:pt>
                <c:pt idx="455">
                  <c:v>1.2614741992201188</c:v>
                </c:pt>
                <c:pt idx="456">
                  <c:v>1.2602194112970331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E0-4761-B07A-7C3C35F3B7DB}"/>
            </c:ext>
          </c:extLst>
        </c:ser>
        <c:ser>
          <c:idx val="4"/>
          <c:order val="4"/>
          <c:tx>
            <c:v>Q75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'Indice Utilities'!$AM$58:$AM$4000</c:f>
              <c:numCache>
                <c:formatCode>m/d/yyyy</c:formatCode>
                <c:ptCount val="3943"/>
                <c:pt idx="0">
                  <c:v>43105</c:v>
                </c:pt>
                <c:pt idx="1">
                  <c:v>43112</c:v>
                </c:pt>
                <c:pt idx="2">
                  <c:v>43119</c:v>
                </c:pt>
                <c:pt idx="3">
                  <c:v>43126</c:v>
                </c:pt>
                <c:pt idx="4">
                  <c:v>43133</c:v>
                </c:pt>
                <c:pt idx="5">
                  <c:v>43140</c:v>
                </c:pt>
                <c:pt idx="6">
                  <c:v>43147</c:v>
                </c:pt>
                <c:pt idx="7">
                  <c:v>43154</c:v>
                </c:pt>
                <c:pt idx="8">
                  <c:v>43161</c:v>
                </c:pt>
                <c:pt idx="9">
                  <c:v>43168</c:v>
                </c:pt>
                <c:pt idx="10">
                  <c:v>43175</c:v>
                </c:pt>
                <c:pt idx="11">
                  <c:v>43182</c:v>
                </c:pt>
                <c:pt idx="12">
                  <c:v>43189</c:v>
                </c:pt>
                <c:pt idx="13">
                  <c:v>43196</c:v>
                </c:pt>
                <c:pt idx="14">
                  <c:v>43203</c:v>
                </c:pt>
                <c:pt idx="15">
                  <c:v>43210</c:v>
                </c:pt>
                <c:pt idx="16">
                  <c:v>43217</c:v>
                </c:pt>
                <c:pt idx="17">
                  <c:v>43224</c:v>
                </c:pt>
                <c:pt idx="18">
                  <c:v>43231</c:v>
                </c:pt>
                <c:pt idx="19">
                  <c:v>43238</c:v>
                </c:pt>
                <c:pt idx="20">
                  <c:v>43245</c:v>
                </c:pt>
                <c:pt idx="21">
                  <c:v>43252</c:v>
                </c:pt>
                <c:pt idx="22">
                  <c:v>43259</c:v>
                </c:pt>
                <c:pt idx="23">
                  <c:v>43266</c:v>
                </c:pt>
                <c:pt idx="24">
                  <c:v>43273</c:v>
                </c:pt>
                <c:pt idx="25">
                  <c:v>43280</c:v>
                </c:pt>
                <c:pt idx="26">
                  <c:v>43287</c:v>
                </c:pt>
                <c:pt idx="27">
                  <c:v>43294</c:v>
                </c:pt>
                <c:pt idx="28">
                  <c:v>43301</c:v>
                </c:pt>
                <c:pt idx="29">
                  <c:v>43308</c:v>
                </c:pt>
                <c:pt idx="30">
                  <c:v>43315</c:v>
                </c:pt>
                <c:pt idx="31">
                  <c:v>43322</c:v>
                </c:pt>
                <c:pt idx="32">
                  <c:v>43329</c:v>
                </c:pt>
                <c:pt idx="33">
                  <c:v>43336</c:v>
                </c:pt>
                <c:pt idx="34">
                  <c:v>43343</c:v>
                </c:pt>
                <c:pt idx="35">
                  <c:v>43350</c:v>
                </c:pt>
                <c:pt idx="36">
                  <c:v>43357</c:v>
                </c:pt>
                <c:pt idx="37">
                  <c:v>43364</c:v>
                </c:pt>
                <c:pt idx="38">
                  <c:v>43371</c:v>
                </c:pt>
                <c:pt idx="39">
                  <c:v>43378</c:v>
                </c:pt>
                <c:pt idx="40">
                  <c:v>43385</c:v>
                </c:pt>
                <c:pt idx="41">
                  <c:v>43392</c:v>
                </c:pt>
                <c:pt idx="42">
                  <c:v>43399</c:v>
                </c:pt>
                <c:pt idx="43">
                  <c:v>43406</c:v>
                </c:pt>
                <c:pt idx="44">
                  <c:v>43413</c:v>
                </c:pt>
                <c:pt idx="45">
                  <c:v>43420</c:v>
                </c:pt>
                <c:pt idx="46">
                  <c:v>43427</c:v>
                </c:pt>
                <c:pt idx="47">
                  <c:v>43434</c:v>
                </c:pt>
                <c:pt idx="48">
                  <c:v>43441</c:v>
                </c:pt>
                <c:pt idx="49">
                  <c:v>43448</c:v>
                </c:pt>
                <c:pt idx="50">
                  <c:v>43455</c:v>
                </c:pt>
                <c:pt idx="51">
                  <c:v>43462</c:v>
                </c:pt>
                <c:pt idx="52">
                  <c:v>43469</c:v>
                </c:pt>
                <c:pt idx="53">
                  <c:v>43476</c:v>
                </c:pt>
                <c:pt idx="54">
                  <c:v>43483</c:v>
                </c:pt>
                <c:pt idx="55">
                  <c:v>43490</c:v>
                </c:pt>
                <c:pt idx="56">
                  <c:v>43497</c:v>
                </c:pt>
                <c:pt idx="57">
                  <c:v>43504</c:v>
                </c:pt>
                <c:pt idx="58">
                  <c:v>43511</c:v>
                </c:pt>
                <c:pt idx="59">
                  <c:v>43518</c:v>
                </c:pt>
                <c:pt idx="60">
                  <c:v>43525</c:v>
                </c:pt>
                <c:pt idx="61">
                  <c:v>43532</c:v>
                </c:pt>
                <c:pt idx="62">
                  <c:v>43539</c:v>
                </c:pt>
                <c:pt idx="63">
                  <c:v>43546</c:v>
                </c:pt>
                <c:pt idx="64">
                  <c:v>43553</c:v>
                </c:pt>
                <c:pt idx="65">
                  <c:v>43560</c:v>
                </c:pt>
                <c:pt idx="66">
                  <c:v>43567</c:v>
                </c:pt>
                <c:pt idx="67">
                  <c:v>43574</c:v>
                </c:pt>
                <c:pt idx="68">
                  <c:v>43581</c:v>
                </c:pt>
                <c:pt idx="69">
                  <c:v>43588</c:v>
                </c:pt>
                <c:pt idx="70">
                  <c:v>43595</c:v>
                </c:pt>
                <c:pt idx="71">
                  <c:v>43602</c:v>
                </c:pt>
                <c:pt idx="72">
                  <c:v>43609</c:v>
                </c:pt>
                <c:pt idx="73">
                  <c:v>43616</c:v>
                </c:pt>
                <c:pt idx="74">
                  <c:v>43623</c:v>
                </c:pt>
                <c:pt idx="75">
                  <c:v>43630</c:v>
                </c:pt>
                <c:pt idx="76">
                  <c:v>43637</c:v>
                </c:pt>
                <c:pt idx="77">
                  <c:v>43644</c:v>
                </c:pt>
                <c:pt idx="78">
                  <c:v>43651</c:v>
                </c:pt>
                <c:pt idx="79">
                  <c:v>43658</c:v>
                </c:pt>
                <c:pt idx="80">
                  <c:v>43665</c:v>
                </c:pt>
                <c:pt idx="81">
                  <c:v>43672</c:v>
                </c:pt>
                <c:pt idx="82">
                  <c:v>43679</c:v>
                </c:pt>
                <c:pt idx="83">
                  <c:v>43686</c:v>
                </c:pt>
                <c:pt idx="84">
                  <c:v>43693</c:v>
                </c:pt>
                <c:pt idx="85">
                  <c:v>43700</c:v>
                </c:pt>
                <c:pt idx="86">
                  <c:v>43707</c:v>
                </c:pt>
                <c:pt idx="87">
                  <c:v>43714</c:v>
                </c:pt>
                <c:pt idx="88">
                  <c:v>43721</c:v>
                </c:pt>
                <c:pt idx="89">
                  <c:v>43728</c:v>
                </c:pt>
                <c:pt idx="90">
                  <c:v>43735</c:v>
                </c:pt>
                <c:pt idx="91">
                  <c:v>43742</c:v>
                </c:pt>
                <c:pt idx="92">
                  <c:v>43749</c:v>
                </c:pt>
                <c:pt idx="93">
                  <c:v>43756</c:v>
                </c:pt>
                <c:pt idx="94">
                  <c:v>43763</c:v>
                </c:pt>
                <c:pt idx="95">
                  <c:v>43770</c:v>
                </c:pt>
                <c:pt idx="96">
                  <c:v>43777</c:v>
                </c:pt>
                <c:pt idx="97">
                  <c:v>43784</c:v>
                </c:pt>
                <c:pt idx="98">
                  <c:v>43791</c:v>
                </c:pt>
                <c:pt idx="99">
                  <c:v>43798</c:v>
                </c:pt>
                <c:pt idx="100">
                  <c:v>43805</c:v>
                </c:pt>
                <c:pt idx="101">
                  <c:v>43812</c:v>
                </c:pt>
                <c:pt idx="102">
                  <c:v>43819</c:v>
                </c:pt>
                <c:pt idx="103">
                  <c:v>43826</c:v>
                </c:pt>
                <c:pt idx="104">
                  <c:v>43833</c:v>
                </c:pt>
                <c:pt idx="105">
                  <c:v>43840</c:v>
                </c:pt>
                <c:pt idx="106">
                  <c:v>43847</c:v>
                </c:pt>
                <c:pt idx="107">
                  <c:v>43854</c:v>
                </c:pt>
                <c:pt idx="108">
                  <c:v>43861</c:v>
                </c:pt>
                <c:pt idx="109">
                  <c:v>43868</c:v>
                </c:pt>
                <c:pt idx="110">
                  <c:v>43875</c:v>
                </c:pt>
                <c:pt idx="111">
                  <c:v>43882</c:v>
                </c:pt>
                <c:pt idx="112">
                  <c:v>43889</c:v>
                </c:pt>
                <c:pt idx="113">
                  <c:v>43896</c:v>
                </c:pt>
                <c:pt idx="114">
                  <c:v>43903</c:v>
                </c:pt>
                <c:pt idx="115">
                  <c:v>43910</c:v>
                </c:pt>
                <c:pt idx="116">
                  <c:v>43917</c:v>
                </c:pt>
                <c:pt idx="117">
                  <c:v>43924</c:v>
                </c:pt>
                <c:pt idx="118">
                  <c:v>43931</c:v>
                </c:pt>
                <c:pt idx="119">
                  <c:v>43938</c:v>
                </c:pt>
                <c:pt idx="120">
                  <c:v>43945</c:v>
                </c:pt>
                <c:pt idx="121">
                  <c:v>43952</c:v>
                </c:pt>
                <c:pt idx="122">
                  <c:v>43959</c:v>
                </c:pt>
                <c:pt idx="123">
                  <c:v>43966</c:v>
                </c:pt>
                <c:pt idx="124">
                  <c:v>43973</c:v>
                </c:pt>
                <c:pt idx="125">
                  <c:v>43980</c:v>
                </c:pt>
                <c:pt idx="126">
                  <c:v>43987</c:v>
                </c:pt>
                <c:pt idx="127">
                  <c:v>43994</c:v>
                </c:pt>
                <c:pt idx="128">
                  <c:v>44001</c:v>
                </c:pt>
                <c:pt idx="129">
                  <c:v>44008</c:v>
                </c:pt>
                <c:pt idx="130">
                  <c:v>44015</c:v>
                </c:pt>
                <c:pt idx="131">
                  <c:v>44022</c:v>
                </c:pt>
                <c:pt idx="132">
                  <c:v>44029</c:v>
                </c:pt>
                <c:pt idx="133">
                  <c:v>44036</c:v>
                </c:pt>
                <c:pt idx="134">
                  <c:v>44043</c:v>
                </c:pt>
                <c:pt idx="135">
                  <c:v>44050</c:v>
                </c:pt>
                <c:pt idx="136">
                  <c:v>44057</c:v>
                </c:pt>
                <c:pt idx="137">
                  <c:v>44064</c:v>
                </c:pt>
                <c:pt idx="138">
                  <c:v>44071</c:v>
                </c:pt>
                <c:pt idx="139">
                  <c:v>44078</c:v>
                </c:pt>
                <c:pt idx="140">
                  <c:v>44085</c:v>
                </c:pt>
                <c:pt idx="141">
                  <c:v>44092</c:v>
                </c:pt>
                <c:pt idx="142">
                  <c:v>44099</c:v>
                </c:pt>
                <c:pt idx="143">
                  <c:v>44106</c:v>
                </c:pt>
                <c:pt idx="144">
                  <c:v>44113</c:v>
                </c:pt>
                <c:pt idx="145">
                  <c:v>44120</c:v>
                </c:pt>
                <c:pt idx="146">
                  <c:v>44127</c:v>
                </c:pt>
                <c:pt idx="147">
                  <c:v>44134</c:v>
                </c:pt>
                <c:pt idx="148">
                  <c:v>44141</c:v>
                </c:pt>
                <c:pt idx="149">
                  <c:v>44148</c:v>
                </c:pt>
                <c:pt idx="150">
                  <c:v>44155</c:v>
                </c:pt>
                <c:pt idx="151">
                  <c:v>44162</c:v>
                </c:pt>
                <c:pt idx="152">
                  <c:v>44169</c:v>
                </c:pt>
                <c:pt idx="153">
                  <c:v>44176</c:v>
                </c:pt>
                <c:pt idx="154">
                  <c:v>44183</c:v>
                </c:pt>
                <c:pt idx="155">
                  <c:v>44190</c:v>
                </c:pt>
                <c:pt idx="156">
                  <c:v>44197</c:v>
                </c:pt>
                <c:pt idx="157">
                  <c:v>44204</c:v>
                </c:pt>
                <c:pt idx="158">
                  <c:v>44211</c:v>
                </c:pt>
                <c:pt idx="159">
                  <c:v>44218</c:v>
                </c:pt>
                <c:pt idx="160">
                  <c:v>44225</c:v>
                </c:pt>
                <c:pt idx="161">
                  <c:v>44232</c:v>
                </c:pt>
                <c:pt idx="162">
                  <c:v>44239</c:v>
                </c:pt>
                <c:pt idx="163">
                  <c:v>44246</c:v>
                </c:pt>
                <c:pt idx="164">
                  <c:v>44253</c:v>
                </c:pt>
                <c:pt idx="165">
                  <c:v>44260</c:v>
                </c:pt>
                <c:pt idx="166">
                  <c:v>44267</c:v>
                </c:pt>
                <c:pt idx="167">
                  <c:v>44274</c:v>
                </c:pt>
                <c:pt idx="168">
                  <c:v>44281</c:v>
                </c:pt>
                <c:pt idx="169">
                  <c:v>44288</c:v>
                </c:pt>
                <c:pt idx="170">
                  <c:v>44295</c:v>
                </c:pt>
                <c:pt idx="171">
                  <c:v>44302</c:v>
                </c:pt>
                <c:pt idx="172">
                  <c:v>44309</c:v>
                </c:pt>
                <c:pt idx="173">
                  <c:v>44316</c:v>
                </c:pt>
                <c:pt idx="174">
                  <c:v>44323</c:v>
                </c:pt>
                <c:pt idx="175">
                  <c:v>44330</c:v>
                </c:pt>
                <c:pt idx="176">
                  <c:v>44337</c:v>
                </c:pt>
                <c:pt idx="177">
                  <c:v>44344</c:v>
                </c:pt>
                <c:pt idx="178">
                  <c:v>44351</c:v>
                </c:pt>
                <c:pt idx="179">
                  <c:v>44358</c:v>
                </c:pt>
                <c:pt idx="180">
                  <c:v>44365</c:v>
                </c:pt>
                <c:pt idx="181">
                  <c:v>44372</c:v>
                </c:pt>
                <c:pt idx="182">
                  <c:v>44379</c:v>
                </c:pt>
                <c:pt idx="183">
                  <c:v>44386</c:v>
                </c:pt>
                <c:pt idx="184">
                  <c:v>44393</c:v>
                </c:pt>
                <c:pt idx="185">
                  <c:v>44400</c:v>
                </c:pt>
                <c:pt idx="186">
                  <c:v>44407</c:v>
                </c:pt>
                <c:pt idx="187">
                  <c:v>44414</c:v>
                </c:pt>
                <c:pt idx="188">
                  <c:v>44421</c:v>
                </c:pt>
                <c:pt idx="189">
                  <c:v>44428</c:v>
                </c:pt>
                <c:pt idx="190">
                  <c:v>44435</c:v>
                </c:pt>
                <c:pt idx="191">
                  <c:v>44442</c:v>
                </c:pt>
                <c:pt idx="192">
                  <c:v>44449</c:v>
                </c:pt>
                <c:pt idx="193">
                  <c:v>44456</c:v>
                </c:pt>
                <c:pt idx="194">
                  <c:v>44463</c:v>
                </c:pt>
                <c:pt idx="195">
                  <c:v>44470</c:v>
                </c:pt>
                <c:pt idx="196">
                  <c:v>44477</c:v>
                </c:pt>
                <c:pt idx="197">
                  <c:v>44484</c:v>
                </c:pt>
                <c:pt idx="198">
                  <c:v>44491</c:v>
                </c:pt>
                <c:pt idx="199">
                  <c:v>44498</c:v>
                </c:pt>
                <c:pt idx="200">
                  <c:v>44505</c:v>
                </c:pt>
                <c:pt idx="201">
                  <c:v>44512</c:v>
                </c:pt>
                <c:pt idx="202">
                  <c:v>44519</c:v>
                </c:pt>
                <c:pt idx="203">
                  <c:v>44526</c:v>
                </c:pt>
                <c:pt idx="204">
                  <c:v>44533</c:v>
                </c:pt>
                <c:pt idx="205">
                  <c:v>44540</c:v>
                </c:pt>
                <c:pt idx="206">
                  <c:v>44547</c:v>
                </c:pt>
                <c:pt idx="207">
                  <c:v>44554</c:v>
                </c:pt>
                <c:pt idx="208">
                  <c:v>44561</c:v>
                </c:pt>
                <c:pt idx="209">
                  <c:v>44568</c:v>
                </c:pt>
                <c:pt idx="210">
                  <c:v>44575</c:v>
                </c:pt>
                <c:pt idx="211">
                  <c:v>44582</c:v>
                </c:pt>
                <c:pt idx="212">
                  <c:v>44589</c:v>
                </c:pt>
                <c:pt idx="213">
                  <c:v>44596</c:v>
                </c:pt>
                <c:pt idx="214">
                  <c:v>44603</c:v>
                </c:pt>
                <c:pt idx="215">
                  <c:v>44610</c:v>
                </c:pt>
                <c:pt idx="216">
                  <c:v>44617</c:v>
                </c:pt>
                <c:pt idx="217">
                  <c:v>44624</c:v>
                </c:pt>
                <c:pt idx="218">
                  <c:v>44631</c:v>
                </c:pt>
                <c:pt idx="219">
                  <c:v>44638</c:v>
                </c:pt>
                <c:pt idx="220">
                  <c:v>44645</c:v>
                </c:pt>
                <c:pt idx="221">
                  <c:v>44652</c:v>
                </c:pt>
                <c:pt idx="222">
                  <c:v>44659</c:v>
                </c:pt>
                <c:pt idx="223">
                  <c:v>44666</c:v>
                </c:pt>
                <c:pt idx="224">
                  <c:v>44673</c:v>
                </c:pt>
                <c:pt idx="225">
                  <c:v>44680</c:v>
                </c:pt>
                <c:pt idx="226">
                  <c:v>44687</c:v>
                </c:pt>
                <c:pt idx="227">
                  <c:v>44694</c:v>
                </c:pt>
                <c:pt idx="228">
                  <c:v>44701</c:v>
                </c:pt>
                <c:pt idx="229">
                  <c:v>44708</c:v>
                </c:pt>
                <c:pt idx="230">
                  <c:v>44715</c:v>
                </c:pt>
                <c:pt idx="231">
                  <c:v>44722</c:v>
                </c:pt>
                <c:pt idx="232">
                  <c:v>44729</c:v>
                </c:pt>
                <c:pt idx="233">
                  <c:v>44736</c:v>
                </c:pt>
                <c:pt idx="234">
                  <c:v>44743</c:v>
                </c:pt>
                <c:pt idx="235">
                  <c:v>44750</c:v>
                </c:pt>
                <c:pt idx="236">
                  <c:v>44757</c:v>
                </c:pt>
                <c:pt idx="237">
                  <c:v>44764</c:v>
                </c:pt>
                <c:pt idx="238">
                  <c:v>44771</c:v>
                </c:pt>
                <c:pt idx="239">
                  <c:v>44778</c:v>
                </c:pt>
                <c:pt idx="240">
                  <c:v>44785</c:v>
                </c:pt>
                <c:pt idx="241">
                  <c:v>44792</c:v>
                </c:pt>
                <c:pt idx="242">
                  <c:v>44799</c:v>
                </c:pt>
                <c:pt idx="243">
                  <c:v>44806</c:v>
                </c:pt>
                <c:pt idx="244">
                  <c:v>44813</c:v>
                </c:pt>
                <c:pt idx="245">
                  <c:v>44820</c:v>
                </c:pt>
                <c:pt idx="246">
                  <c:v>44827</c:v>
                </c:pt>
                <c:pt idx="247">
                  <c:v>44834</c:v>
                </c:pt>
                <c:pt idx="248">
                  <c:v>44841</c:v>
                </c:pt>
                <c:pt idx="249">
                  <c:v>44848</c:v>
                </c:pt>
                <c:pt idx="250">
                  <c:v>44855</c:v>
                </c:pt>
                <c:pt idx="251">
                  <c:v>44862</c:v>
                </c:pt>
                <c:pt idx="252">
                  <c:v>44869</c:v>
                </c:pt>
                <c:pt idx="253">
                  <c:v>44876</c:v>
                </c:pt>
                <c:pt idx="254">
                  <c:v>44883</c:v>
                </c:pt>
                <c:pt idx="255">
                  <c:v>44890</c:v>
                </c:pt>
                <c:pt idx="256">
                  <c:v>44897</c:v>
                </c:pt>
                <c:pt idx="257">
                  <c:v>44904</c:v>
                </c:pt>
                <c:pt idx="258">
                  <c:v>44911</c:v>
                </c:pt>
                <c:pt idx="259">
                  <c:v>44918</c:v>
                </c:pt>
                <c:pt idx="260">
                  <c:v>44925</c:v>
                </c:pt>
                <c:pt idx="261">
                  <c:v>44932</c:v>
                </c:pt>
                <c:pt idx="262">
                  <c:v>44939</c:v>
                </c:pt>
                <c:pt idx="263">
                  <c:v>44946</c:v>
                </c:pt>
                <c:pt idx="264">
                  <c:v>44953</c:v>
                </c:pt>
                <c:pt idx="265">
                  <c:v>44960</c:v>
                </c:pt>
                <c:pt idx="266">
                  <c:v>44967</c:v>
                </c:pt>
                <c:pt idx="267">
                  <c:v>44974</c:v>
                </c:pt>
                <c:pt idx="268">
                  <c:v>44981</c:v>
                </c:pt>
                <c:pt idx="269">
                  <c:v>44988</c:v>
                </c:pt>
                <c:pt idx="270">
                  <c:v>44995</c:v>
                </c:pt>
                <c:pt idx="271">
                  <c:v>45002</c:v>
                </c:pt>
                <c:pt idx="272">
                  <c:v>45009</c:v>
                </c:pt>
                <c:pt idx="273">
                  <c:v>45016</c:v>
                </c:pt>
                <c:pt idx="274">
                  <c:v>45023</c:v>
                </c:pt>
                <c:pt idx="275">
                  <c:v>45030</c:v>
                </c:pt>
                <c:pt idx="276">
                  <c:v>45037</c:v>
                </c:pt>
                <c:pt idx="277">
                  <c:v>45044</c:v>
                </c:pt>
                <c:pt idx="278">
                  <c:v>45051</c:v>
                </c:pt>
                <c:pt idx="279">
                  <c:v>45058</c:v>
                </c:pt>
                <c:pt idx="280">
                  <c:v>45065</c:v>
                </c:pt>
                <c:pt idx="281">
                  <c:v>45072</c:v>
                </c:pt>
                <c:pt idx="282">
                  <c:v>45079</c:v>
                </c:pt>
                <c:pt idx="283">
                  <c:v>45086</c:v>
                </c:pt>
                <c:pt idx="284">
                  <c:v>45093</c:v>
                </c:pt>
                <c:pt idx="285">
                  <c:v>45100</c:v>
                </c:pt>
                <c:pt idx="286">
                  <c:v>45107</c:v>
                </c:pt>
                <c:pt idx="287">
                  <c:v>45114</c:v>
                </c:pt>
                <c:pt idx="288">
                  <c:v>45121</c:v>
                </c:pt>
                <c:pt idx="289">
                  <c:v>45128</c:v>
                </c:pt>
                <c:pt idx="290">
                  <c:v>45135</c:v>
                </c:pt>
                <c:pt idx="291">
                  <c:v>45142</c:v>
                </c:pt>
                <c:pt idx="292">
                  <c:v>45149</c:v>
                </c:pt>
                <c:pt idx="293">
                  <c:v>45156</c:v>
                </c:pt>
                <c:pt idx="294">
                  <c:v>45163</c:v>
                </c:pt>
                <c:pt idx="295">
                  <c:v>45170</c:v>
                </c:pt>
                <c:pt idx="296">
                  <c:v>45177</c:v>
                </c:pt>
                <c:pt idx="297">
                  <c:v>45184</c:v>
                </c:pt>
                <c:pt idx="298">
                  <c:v>45191</c:v>
                </c:pt>
                <c:pt idx="299">
                  <c:v>45198</c:v>
                </c:pt>
                <c:pt idx="300">
                  <c:v>45205</c:v>
                </c:pt>
                <c:pt idx="301">
                  <c:v>45212</c:v>
                </c:pt>
                <c:pt idx="302">
                  <c:v>45219</c:v>
                </c:pt>
                <c:pt idx="303">
                  <c:v>45226</c:v>
                </c:pt>
                <c:pt idx="304">
                  <c:v>45233</c:v>
                </c:pt>
                <c:pt idx="305">
                  <c:v>45240</c:v>
                </c:pt>
                <c:pt idx="306">
                  <c:v>45247</c:v>
                </c:pt>
                <c:pt idx="307">
                  <c:v>45254</c:v>
                </c:pt>
                <c:pt idx="308">
                  <c:v>45261</c:v>
                </c:pt>
                <c:pt idx="309">
                  <c:v>45268</c:v>
                </c:pt>
                <c:pt idx="310">
                  <c:v>45275</c:v>
                </c:pt>
                <c:pt idx="311">
                  <c:v>45282</c:v>
                </c:pt>
                <c:pt idx="312">
                  <c:v>45289</c:v>
                </c:pt>
                <c:pt idx="313">
                  <c:v>45296</c:v>
                </c:pt>
                <c:pt idx="314">
                  <c:v>45303</c:v>
                </c:pt>
                <c:pt idx="315">
                  <c:v>45310</c:v>
                </c:pt>
                <c:pt idx="316">
                  <c:v>45317</c:v>
                </c:pt>
                <c:pt idx="317">
                  <c:v>45324</c:v>
                </c:pt>
                <c:pt idx="318">
                  <c:v>45331</c:v>
                </c:pt>
                <c:pt idx="319">
                  <c:v>45338</c:v>
                </c:pt>
                <c:pt idx="320">
                  <c:v>45345</c:v>
                </c:pt>
                <c:pt idx="321">
                  <c:v>45352</c:v>
                </c:pt>
                <c:pt idx="322">
                  <c:v>45359</c:v>
                </c:pt>
                <c:pt idx="323">
                  <c:v>45366</c:v>
                </c:pt>
                <c:pt idx="324">
                  <c:v>45373</c:v>
                </c:pt>
                <c:pt idx="325">
                  <c:v>45380</c:v>
                </c:pt>
                <c:pt idx="326">
                  <c:v>45387</c:v>
                </c:pt>
                <c:pt idx="327">
                  <c:v>45394</c:v>
                </c:pt>
                <c:pt idx="328">
                  <c:v>45401</c:v>
                </c:pt>
                <c:pt idx="329">
                  <c:v>45408</c:v>
                </c:pt>
                <c:pt idx="330">
                  <c:v>45415</c:v>
                </c:pt>
                <c:pt idx="331">
                  <c:v>45422</c:v>
                </c:pt>
                <c:pt idx="332">
                  <c:v>45429</c:v>
                </c:pt>
                <c:pt idx="333">
                  <c:v>45436</c:v>
                </c:pt>
                <c:pt idx="334">
                  <c:v>45443</c:v>
                </c:pt>
                <c:pt idx="335">
                  <c:v>45450</c:v>
                </c:pt>
                <c:pt idx="336">
                  <c:v>45457</c:v>
                </c:pt>
                <c:pt idx="337">
                  <c:v>45464</c:v>
                </c:pt>
                <c:pt idx="338">
                  <c:v>45471</c:v>
                </c:pt>
                <c:pt idx="339">
                  <c:v>45478</c:v>
                </c:pt>
                <c:pt idx="340">
                  <c:v>45485</c:v>
                </c:pt>
                <c:pt idx="341">
                  <c:v>45492</c:v>
                </c:pt>
                <c:pt idx="342">
                  <c:v>45499</c:v>
                </c:pt>
                <c:pt idx="343">
                  <c:v>45506</c:v>
                </c:pt>
                <c:pt idx="344">
                  <c:v>45513</c:v>
                </c:pt>
                <c:pt idx="345">
                  <c:v>45520</c:v>
                </c:pt>
                <c:pt idx="346">
                  <c:v>45527</c:v>
                </c:pt>
                <c:pt idx="347">
                  <c:v>45534</c:v>
                </c:pt>
                <c:pt idx="348">
                  <c:v>45541</c:v>
                </c:pt>
                <c:pt idx="349">
                  <c:v>45548</c:v>
                </c:pt>
                <c:pt idx="350">
                  <c:v>45555</c:v>
                </c:pt>
                <c:pt idx="351">
                  <c:v>45562</c:v>
                </c:pt>
                <c:pt idx="352">
                  <c:v>45569</c:v>
                </c:pt>
                <c:pt idx="353">
                  <c:v>45576</c:v>
                </c:pt>
                <c:pt idx="354">
                  <c:v>45583</c:v>
                </c:pt>
                <c:pt idx="355">
                  <c:v>45590</c:v>
                </c:pt>
                <c:pt idx="356">
                  <c:v>45597</c:v>
                </c:pt>
                <c:pt idx="357">
                  <c:v>45604</c:v>
                </c:pt>
                <c:pt idx="358">
                  <c:v>45611</c:v>
                </c:pt>
                <c:pt idx="359">
                  <c:v>45618</c:v>
                </c:pt>
                <c:pt idx="360">
                  <c:v>45625</c:v>
                </c:pt>
                <c:pt idx="361">
                  <c:v>45632</c:v>
                </c:pt>
                <c:pt idx="362">
                  <c:v>45639</c:v>
                </c:pt>
                <c:pt idx="363">
                  <c:v>45646</c:v>
                </c:pt>
                <c:pt idx="364">
                  <c:v>45653</c:v>
                </c:pt>
                <c:pt idx="365">
                  <c:v>45660</c:v>
                </c:pt>
                <c:pt idx="366">
                  <c:v>45667</c:v>
                </c:pt>
                <c:pt idx="367">
                  <c:v>45674</c:v>
                </c:pt>
                <c:pt idx="368">
                  <c:v>45681</c:v>
                </c:pt>
                <c:pt idx="369">
                  <c:v>45688</c:v>
                </c:pt>
                <c:pt idx="370">
                  <c:v>45695</c:v>
                </c:pt>
                <c:pt idx="371">
                  <c:v>45702</c:v>
                </c:pt>
                <c:pt idx="372">
                  <c:v>45709</c:v>
                </c:pt>
                <c:pt idx="373">
                  <c:v>45716</c:v>
                </c:pt>
                <c:pt idx="374">
                  <c:v>45723</c:v>
                </c:pt>
                <c:pt idx="375">
                  <c:v>45730</c:v>
                </c:pt>
                <c:pt idx="376">
                  <c:v>45737</c:v>
                </c:pt>
                <c:pt idx="377">
                  <c:v>45744</c:v>
                </c:pt>
                <c:pt idx="378">
                  <c:v>45751</c:v>
                </c:pt>
                <c:pt idx="379">
                  <c:v>45758</c:v>
                </c:pt>
                <c:pt idx="380">
                  <c:v>45765</c:v>
                </c:pt>
                <c:pt idx="381">
                  <c:v>45772</c:v>
                </c:pt>
                <c:pt idx="382">
                  <c:v>45779</c:v>
                </c:pt>
                <c:pt idx="383">
                  <c:v>45786</c:v>
                </c:pt>
                <c:pt idx="384">
                  <c:v>45793</c:v>
                </c:pt>
                <c:pt idx="385">
                  <c:v>45800</c:v>
                </c:pt>
                <c:pt idx="386">
                  <c:v>45807</c:v>
                </c:pt>
                <c:pt idx="387">
                  <c:v>45814</c:v>
                </c:pt>
                <c:pt idx="388">
                  <c:v>45821</c:v>
                </c:pt>
                <c:pt idx="389">
                  <c:v>45828</c:v>
                </c:pt>
                <c:pt idx="390">
                  <c:v>45835</c:v>
                </c:pt>
                <c:pt idx="391">
                  <c:v>45842</c:v>
                </c:pt>
                <c:pt idx="392">
                  <c:v>45849</c:v>
                </c:pt>
                <c:pt idx="393">
                  <c:v>45856</c:v>
                </c:pt>
                <c:pt idx="394">
                  <c:v>45863</c:v>
                </c:pt>
                <c:pt idx="395">
                  <c:v>45870</c:v>
                </c:pt>
                <c:pt idx="396">
                  <c:v>45877</c:v>
                </c:pt>
                <c:pt idx="397">
                  <c:v>45884</c:v>
                </c:pt>
                <c:pt idx="398">
                  <c:v>45891</c:v>
                </c:pt>
                <c:pt idx="399">
                  <c:v>45898</c:v>
                </c:pt>
                <c:pt idx="400">
                  <c:v>45905</c:v>
                </c:pt>
                <c:pt idx="401">
                  <c:v>45912</c:v>
                </c:pt>
                <c:pt idx="402">
                  <c:v>45919</c:v>
                </c:pt>
                <c:pt idx="403">
                  <c:v>45926</c:v>
                </c:pt>
                <c:pt idx="404">
                  <c:v>45933</c:v>
                </c:pt>
                <c:pt idx="405">
                  <c:v>45940</c:v>
                </c:pt>
                <c:pt idx="406">
                  <c:v>45947</c:v>
                </c:pt>
                <c:pt idx="407">
                  <c:v>45954</c:v>
                </c:pt>
                <c:pt idx="408">
                  <c:v>45961</c:v>
                </c:pt>
                <c:pt idx="409">
                  <c:v>45968</c:v>
                </c:pt>
                <c:pt idx="410">
                  <c:v>45975</c:v>
                </c:pt>
                <c:pt idx="411">
                  <c:v>45982</c:v>
                </c:pt>
                <c:pt idx="412">
                  <c:v>45989</c:v>
                </c:pt>
                <c:pt idx="413">
                  <c:v>45996</c:v>
                </c:pt>
                <c:pt idx="414">
                  <c:v>46003</c:v>
                </c:pt>
                <c:pt idx="415">
                  <c:v>46010</c:v>
                </c:pt>
                <c:pt idx="416">
                  <c:v>46017</c:v>
                </c:pt>
                <c:pt idx="417">
                  <c:v>46024</c:v>
                </c:pt>
                <c:pt idx="418">
                  <c:v>46031</c:v>
                </c:pt>
                <c:pt idx="419">
                  <c:v>46038</c:v>
                </c:pt>
                <c:pt idx="420">
                  <c:v>46045</c:v>
                </c:pt>
                <c:pt idx="421">
                  <c:v>46052</c:v>
                </c:pt>
                <c:pt idx="422">
                  <c:v>46059</c:v>
                </c:pt>
                <c:pt idx="423">
                  <c:v>46066</c:v>
                </c:pt>
                <c:pt idx="424">
                  <c:v>46073</c:v>
                </c:pt>
                <c:pt idx="425">
                  <c:v>46080</c:v>
                </c:pt>
                <c:pt idx="426">
                  <c:v>46087</c:v>
                </c:pt>
                <c:pt idx="427">
                  <c:v>46094</c:v>
                </c:pt>
                <c:pt idx="428">
                  <c:v>46101</c:v>
                </c:pt>
                <c:pt idx="429">
                  <c:v>46108</c:v>
                </c:pt>
                <c:pt idx="430">
                  <c:v>46115</c:v>
                </c:pt>
                <c:pt idx="431">
                  <c:v>46122</c:v>
                </c:pt>
                <c:pt idx="432">
                  <c:v>46129</c:v>
                </c:pt>
                <c:pt idx="433">
                  <c:v>46136</c:v>
                </c:pt>
                <c:pt idx="434">
                  <c:v>46143</c:v>
                </c:pt>
                <c:pt idx="435">
                  <c:v>46150</c:v>
                </c:pt>
                <c:pt idx="436">
                  <c:v>46157</c:v>
                </c:pt>
                <c:pt idx="437">
                  <c:v>46164</c:v>
                </c:pt>
                <c:pt idx="438">
                  <c:v>46171</c:v>
                </c:pt>
                <c:pt idx="439">
                  <c:v>46178</c:v>
                </c:pt>
                <c:pt idx="440">
                  <c:v>46185</c:v>
                </c:pt>
                <c:pt idx="441">
                  <c:v>46192</c:v>
                </c:pt>
                <c:pt idx="442">
                  <c:v>46199</c:v>
                </c:pt>
                <c:pt idx="443">
                  <c:v>46206</c:v>
                </c:pt>
                <c:pt idx="444">
                  <c:v>46213</c:v>
                </c:pt>
                <c:pt idx="445">
                  <c:v>46220</c:v>
                </c:pt>
                <c:pt idx="446">
                  <c:v>46227</c:v>
                </c:pt>
                <c:pt idx="447">
                  <c:v>46234</c:v>
                </c:pt>
                <c:pt idx="448">
                  <c:v>46241</c:v>
                </c:pt>
                <c:pt idx="449">
                  <c:v>46248</c:v>
                </c:pt>
                <c:pt idx="450">
                  <c:v>46255</c:v>
                </c:pt>
                <c:pt idx="451">
                  <c:v>46262</c:v>
                </c:pt>
                <c:pt idx="452">
                  <c:v>46269</c:v>
                </c:pt>
                <c:pt idx="453">
                  <c:v>46276</c:v>
                </c:pt>
                <c:pt idx="454">
                  <c:v>46283</c:v>
                </c:pt>
                <c:pt idx="455">
                  <c:v>46290</c:v>
                </c:pt>
                <c:pt idx="456">
                  <c:v>46297</c:v>
                </c:pt>
              </c:numCache>
            </c:numRef>
          </c:cat>
          <c:val>
            <c:numRef>
              <c:f>'Indice Utilities'!$AR$58:$AR$4000</c:f>
              <c:numCache>
                <c:formatCode>General</c:formatCode>
                <c:ptCount val="3943"/>
                <c:pt idx="0">
                  <c:v>1.2365843306401114</c:v>
                </c:pt>
                <c:pt idx="1">
                  <c:v>1.2441948862380745</c:v>
                </c:pt>
                <c:pt idx="2">
                  <c:v>1.2668563709334002</c:v>
                </c:pt>
                <c:pt idx="3">
                  <c:v>1.2765390706360613</c:v>
                </c:pt>
                <c:pt idx="4">
                  <c:v>1.2820304663272892</c:v>
                </c:pt>
                <c:pt idx="5">
                  <c:v>1.282342525004263</c:v>
                </c:pt>
                <c:pt idx="6">
                  <c:v>1.2861277289095403</c:v>
                </c:pt>
                <c:pt idx="7">
                  <c:v>1.2966271721430456</c:v>
                </c:pt>
                <c:pt idx="8">
                  <c:v>1.2995412783563258</c:v>
                </c:pt>
                <c:pt idx="9">
                  <c:v>1.2995412783563258</c:v>
                </c:pt>
                <c:pt idx="10">
                  <c:v>1.301193479767623</c:v>
                </c:pt>
                <c:pt idx="11">
                  <c:v>1.3051824663257237</c:v>
                </c:pt>
                <c:pt idx="12">
                  <c:v>1.3117492546753327</c:v>
                </c:pt>
                <c:pt idx="13">
                  <c:v>1.3171688702567457</c:v>
                </c:pt>
                <c:pt idx="14">
                  <c:v>1.3212545467512833</c:v>
                </c:pt>
                <c:pt idx="15">
                  <c:v>1.3235249016379758</c:v>
                </c:pt>
                <c:pt idx="16">
                  <c:v>1.3235249016379758</c:v>
                </c:pt>
                <c:pt idx="17">
                  <c:v>1.3235249016379758</c:v>
                </c:pt>
                <c:pt idx="18">
                  <c:v>1.3235249016379758</c:v>
                </c:pt>
                <c:pt idx="19">
                  <c:v>1.3235249016379758</c:v>
                </c:pt>
                <c:pt idx="20">
                  <c:v>1.3273194174761687</c:v>
                </c:pt>
                <c:pt idx="21">
                  <c:v>1.3358428042673096</c:v>
                </c:pt>
                <c:pt idx="22">
                  <c:v>1.3416302563066147</c:v>
                </c:pt>
                <c:pt idx="23">
                  <c:v>1.3443354325752224</c:v>
                </c:pt>
                <c:pt idx="24">
                  <c:v>1.3458324139483571</c:v>
                </c:pt>
                <c:pt idx="25">
                  <c:v>1.3489462931953569</c:v>
                </c:pt>
                <c:pt idx="26">
                  <c:v>1.3489462931953569</c:v>
                </c:pt>
                <c:pt idx="27">
                  <c:v>1.3489462931953569</c:v>
                </c:pt>
                <c:pt idx="28">
                  <c:v>1.3489462931953569</c:v>
                </c:pt>
                <c:pt idx="29">
                  <c:v>1.3489462931953569</c:v>
                </c:pt>
                <c:pt idx="30">
                  <c:v>1.3501455795621111</c:v>
                </c:pt>
                <c:pt idx="31">
                  <c:v>1.3505996495632149</c:v>
                </c:pt>
                <c:pt idx="32">
                  <c:v>1.3510875491114436</c:v>
                </c:pt>
                <c:pt idx="33">
                  <c:v>1.356268128301036</c:v>
                </c:pt>
                <c:pt idx="34">
                  <c:v>1.3692072156396731</c:v>
                </c:pt>
                <c:pt idx="35">
                  <c:v>1.3705205382540819</c:v>
                </c:pt>
                <c:pt idx="36">
                  <c:v>1.3717522261131219</c:v>
                </c:pt>
                <c:pt idx="37">
                  <c:v>1.3748585658103911</c:v>
                </c:pt>
                <c:pt idx="38">
                  <c:v>1.3790105626315081</c:v>
                </c:pt>
                <c:pt idx="39">
                  <c:v>1.3838643174478611</c:v>
                </c:pt>
                <c:pt idx="40">
                  <c:v>1.3915212055172914</c:v>
                </c:pt>
                <c:pt idx="41">
                  <c:v>1.3915212055172914</c:v>
                </c:pt>
                <c:pt idx="42">
                  <c:v>1.3945066518046298</c:v>
                </c:pt>
                <c:pt idx="43">
                  <c:v>1.3945066518046298</c:v>
                </c:pt>
                <c:pt idx="44">
                  <c:v>1.3945066518046298</c:v>
                </c:pt>
                <c:pt idx="45">
                  <c:v>1.4032040731028428</c:v>
                </c:pt>
                <c:pt idx="46">
                  <c:v>1.4045047070941687</c:v>
                </c:pt>
                <c:pt idx="47">
                  <c:v>1.4045047070941687</c:v>
                </c:pt>
                <c:pt idx="48">
                  <c:v>1.4048634709092467</c:v>
                </c:pt>
                <c:pt idx="49">
                  <c:v>1.4075718723190911</c:v>
                </c:pt>
                <c:pt idx="50">
                  <c:v>1.4130972661391628</c:v>
                </c:pt>
                <c:pt idx="51">
                  <c:v>1.4157291002019532</c:v>
                </c:pt>
                <c:pt idx="52">
                  <c:v>1.420663488951845</c:v>
                </c:pt>
                <c:pt idx="53">
                  <c:v>1.4260008624645675</c:v>
                </c:pt>
                <c:pt idx="54">
                  <c:v>1.4260008624645675</c:v>
                </c:pt>
                <c:pt idx="55">
                  <c:v>1.4267698078096098</c:v>
                </c:pt>
                <c:pt idx="56">
                  <c:v>1.4267698078096098</c:v>
                </c:pt>
                <c:pt idx="57">
                  <c:v>1.4267698078096098</c:v>
                </c:pt>
                <c:pt idx="58">
                  <c:v>1.4267698078096098</c:v>
                </c:pt>
                <c:pt idx="59">
                  <c:v>1.4267698078096098</c:v>
                </c:pt>
                <c:pt idx="60">
                  <c:v>1.4267698078096098</c:v>
                </c:pt>
                <c:pt idx="61">
                  <c:v>1.4267698078096098</c:v>
                </c:pt>
                <c:pt idx="62">
                  <c:v>1.4310011555145907</c:v>
                </c:pt>
                <c:pt idx="63">
                  <c:v>1.4330844432406682</c:v>
                </c:pt>
                <c:pt idx="64">
                  <c:v>1.4331030167799061</c:v>
                </c:pt>
                <c:pt idx="65">
                  <c:v>1.4331030167799061</c:v>
                </c:pt>
                <c:pt idx="66">
                  <c:v>1.4331030167799061</c:v>
                </c:pt>
                <c:pt idx="67">
                  <c:v>1.4331030167799061</c:v>
                </c:pt>
                <c:pt idx="68">
                  <c:v>1.4331030167799061</c:v>
                </c:pt>
                <c:pt idx="69">
                  <c:v>1.4331030167799061</c:v>
                </c:pt>
                <c:pt idx="70">
                  <c:v>1.4331030167799061</c:v>
                </c:pt>
                <c:pt idx="71">
                  <c:v>1.4331030167799061</c:v>
                </c:pt>
                <c:pt idx="72">
                  <c:v>1.4331030167799061</c:v>
                </c:pt>
                <c:pt idx="73">
                  <c:v>1.4310925445655585</c:v>
                </c:pt>
                <c:pt idx="74">
                  <c:v>1.4310011555145907</c:v>
                </c:pt>
                <c:pt idx="75">
                  <c:v>1.4267698078096098</c:v>
                </c:pt>
                <c:pt idx="76">
                  <c:v>1.4245998796597095</c:v>
                </c:pt>
                <c:pt idx="77">
                  <c:v>1.4245998796597095</c:v>
                </c:pt>
                <c:pt idx="78">
                  <c:v>1.4245998796597095</c:v>
                </c:pt>
                <c:pt idx="79">
                  <c:v>1.4245998796597095</c:v>
                </c:pt>
                <c:pt idx="80">
                  <c:v>1.4245998796597095</c:v>
                </c:pt>
                <c:pt idx="81">
                  <c:v>1.4245998796597095</c:v>
                </c:pt>
                <c:pt idx="82">
                  <c:v>1.4245998796597095</c:v>
                </c:pt>
                <c:pt idx="83">
                  <c:v>1.4245998796597095</c:v>
                </c:pt>
                <c:pt idx="84">
                  <c:v>1.4245998796597095</c:v>
                </c:pt>
                <c:pt idx="85">
                  <c:v>1.4245998796597095</c:v>
                </c:pt>
                <c:pt idx="86">
                  <c:v>1.4245998796597095</c:v>
                </c:pt>
                <c:pt idx="87">
                  <c:v>1.4245998796597095</c:v>
                </c:pt>
                <c:pt idx="88">
                  <c:v>1.4226942926741724</c:v>
                </c:pt>
                <c:pt idx="89">
                  <c:v>1.4220733951587488</c:v>
                </c:pt>
                <c:pt idx="90">
                  <c:v>1.4200900182532541</c:v>
                </c:pt>
                <c:pt idx="91">
                  <c:v>1.4157291002019532</c:v>
                </c:pt>
                <c:pt idx="92">
                  <c:v>1.4157291002019532</c:v>
                </c:pt>
                <c:pt idx="93">
                  <c:v>1.4157291002019532</c:v>
                </c:pt>
                <c:pt idx="94">
                  <c:v>1.4130972661391628</c:v>
                </c:pt>
                <c:pt idx="95">
                  <c:v>1.4130972661391628</c:v>
                </c:pt>
                <c:pt idx="96">
                  <c:v>1.4130972661391628</c:v>
                </c:pt>
                <c:pt idx="97">
                  <c:v>1.4098710135276389</c:v>
                </c:pt>
                <c:pt idx="98">
                  <c:v>1.4068256853435421</c:v>
                </c:pt>
                <c:pt idx="99">
                  <c:v>1.4068256853435421</c:v>
                </c:pt>
                <c:pt idx="100">
                  <c:v>1.4013806433132259</c:v>
                </c:pt>
                <c:pt idx="101">
                  <c:v>1.3944014677119467</c:v>
                </c:pt>
                <c:pt idx="102">
                  <c:v>1.3913039598327839</c:v>
                </c:pt>
                <c:pt idx="103">
                  <c:v>1.3875281394988692</c:v>
                </c:pt>
                <c:pt idx="104">
                  <c:v>1.3861637721022926</c:v>
                </c:pt>
                <c:pt idx="105">
                  <c:v>1.3819717320089033</c:v>
                </c:pt>
                <c:pt idx="106">
                  <c:v>1.3692005017432725</c:v>
                </c:pt>
                <c:pt idx="107">
                  <c:v>1.3639403515410105</c:v>
                </c:pt>
                <c:pt idx="108">
                  <c:v>1.3613222666050242</c:v>
                </c:pt>
                <c:pt idx="109">
                  <c:v>1.3573313049575517</c:v>
                </c:pt>
                <c:pt idx="110">
                  <c:v>1.3381788441455165</c:v>
                </c:pt>
                <c:pt idx="111">
                  <c:v>1.3238912920554593</c:v>
                </c:pt>
                <c:pt idx="112">
                  <c:v>1.301417490684174</c:v>
                </c:pt>
                <c:pt idx="113">
                  <c:v>1.2937764479677478</c:v>
                </c:pt>
                <c:pt idx="114">
                  <c:v>1.285534181066974</c:v>
                </c:pt>
                <c:pt idx="115">
                  <c:v>1.2814193917234826</c:v>
                </c:pt>
                <c:pt idx="116">
                  <c:v>1.2757614260919068</c:v>
                </c:pt>
                <c:pt idx="117">
                  <c:v>1.2627706023739522</c:v>
                </c:pt>
                <c:pt idx="118">
                  <c:v>1.2578111631319873</c:v>
                </c:pt>
                <c:pt idx="119">
                  <c:v>1.2480743867882891</c:v>
                </c:pt>
                <c:pt idx="120">
                  <c:v>1.2444810096173891</c:v>
                </c:pt>
                <c:pt idx="121">
                  <c:v>1.2388354662981331</c:v>
                </c:pt>
                <c:pt idx="122">
                  <c:v>1.2220509248631664</c:v>
                </c:pt>
                <c:pt idx="123">
                  <c:v>1.2033705503785841</c:v>
                </c:pt>
                <c:pt idx="124">
                  <c:v>1.1969641085874541</c:v>
                </c:pt>
                <c:pt idx="125">
                  <c:v>1.1870594514132018</c:v>
                </c:pt>
                <c:pt idx="126">
                  <c:v>1.1734705666655778</c:v>
                </c:pt>
                <c:pt idx="127">
                  <c:v>1.1654557417137072</c:v>
                </c:pt>
                <c:pt idx="128">
                  <c:v>1.1576113240499246</c:v>
                </c:pt>
                <c:pt idx="129">
                  <c:v>1.1501905709582174</c:v>
                </c:pt>
                <c:pt idx="130">
                  <c:v>1.1342158224546619</c:v>
                </c:pt>
                <c:pt idx="131">
                  <c:v>1.1269448292226265</c:v>
                </c:pt>
                <c:pt idx="132">
                  <c:v>1.1248285713219657</c:v>
                </c:pt>
                <c:pt idx="133">
                  <c:v>1.0868415508796501</c:v>
                </c:pt>
                <c:pt idx="134">
                  <c:v>1.0720140814991372</c:v>
                </c:pt>
                <c:pt idx="135">
                  <c:v>1.0673161018291744</c:v>
                </c:pt>
                <c:pt idx="136">
                  <c:v>1.0572019735064644</c:v>
                </c:pt>
                <c:pt idx="137">
                  <c:v>1.0503681019452966</c:v>
                </c:pt>
                <c:pt idx="138">
                  <c:v>1.0469362137872751</c:v>
                </c:pt>
                <c:pt idx="139">
                  <c:v>1.0432569670353886</c:v>
                </c:pt>
                <c:pt idx="140">
                  <c:v>1.0391361769334124</c:v>
                </c:pt>
                <c:pt idx="141">
                  <c:v>1.0348229066444652</c:v>
                </c:pt>
                <c:pt idx="142">
                  <c:v>1.0316475730714669</c:v>
                </c:pt>
                <c:pt idx="143">
                  <c:v>1.0274788123063143</c:v>
                </c:pt>
                <c:pt idx="144">
                  <c:v>1.0226992468291292</c:v>
                </c:pt>
                <c:pt idx="145">
                  <c:v>1.0172644552598771</c:v>
                </c:pt>
                <c:pt idx="146">
                  <c:v>1.0159956721064871</c:v>
                </c:pt>
                <c:pt idx="147">
                  <c:v>1.0159956721064871</c:v>
                </c:pt>
                <c:pt idx="148">
                  <c:v>1.0159956721064871</c:v>
                </c:pt>
                <c:pt idx="149">
                  <c:v>1.0159956721064871</c:v>
                </c:pt>
                <c:pt idx="150">
                  <c:v>1.0159956721064871</c:v>
                </c:pt>
                <c:pt idx="151">
                  <c:v>1.0159956721064871</c:v>
                </c:pt>
                <c:pt idx="152">
                  <c:v>1.0159956721064871</c:v>
                </c:pt>
                <c:pt idx="153">
                  <c:v>1.0159956721064871</c:v>
                </c:pt>
                <c:pt idx="154">
                  <c:v>1.0159956721064871</c:v>
                </c:pt>
                <c:pt idx="155">
                  <c:v>1.0159956721064871</c:v>
                </c:pt>
                <c:pt idx="156">
                  <c:v>1.0159956721064871</c:v>
                </c:pt>
                <c:pt idx="157">
                  <c:v>1.0159956721064871</c:v>
                </c:pt>
                <c:pt idx="158">
                  <c:v>1.0159956721064871</c:v>
                </c:pt>
                <c:pt idx="159">
                  <c:v>1.0159956721064871</c:v>
                </c:pt>
                <c:pt idx="160">
                  <c:v>1.0159956721064871</c:v>
                </c:pt>
                <c:pt idx="161">
                  <c:v>1.0159956721064871</c:v>
                </c:pt>
                <c:pt idx="162">
                  <c:v>1.0159956721064871</c:v>
                </c:pt>
                <c:pt idx="163">
                  <c:v>1.0159956721064871</c:v>
                </c:pt>
                <c:pt idx="164">
                  <c:v>1.0159956721064871</c:v>
                </c:pt>
                <c:pt idx="165">
                  <c:v>1.0159956721064871</c:v>
                </c:pt>
                <c:pt idx="166">
                  <c:v>1.0159956721064871</c:v>
                </c:pt>
                <c:pt idx="167">
                  <c:v>1.0159956721064871</c:v>
                </c:pt>
                <c:pt idx="168">
                  <c:v>1.0143490982926908</c:v>
                </c:pt>
                <c:pt idx="169">
                  <c:v>1.0069626484773624</c:v>
                </c:pt>
                <c:pt idx="170">
                  <c:v>0.99819048182140568</c:v>
                </c:pt>
                <c:pt idx="171">
                  <c:v>0.99473653078779822</c:v>
                </c:pt>
                <c:pt idx="172">
                  <c:v>0.99216082606263734</c:v>
                </c:pt>
                <c:pt idx="173">
                  <c:v>0.98749283842249169</c:v>
                </c:pt>
                <c:pt idx="174">
                  <c:v>0.98380702333784842</c:v>
                </c:pt>
                <c:pt idx="175">
                  <c:v>0.98251089889758569</c:v>
                </c:pt>
                <c:pt idx="176">
                  <c:v>0.97846222876522393</c:v>
                </c:pt>
                <c:pt idx="177">
                  <c:v>0.97508653702361214</c:v>
                </c:pt>
                <c:pt idx="178">
                  <c:v>0.96841257316630514</c:v>
                </c:pt>
                <c:pt idx="179">
                  <c:v>0.96586877873519827</c:v>
                </c:pt>
                <c:pt idx="180">
                  <c:v>0.9649790717633645</c:v>
                </c:pt>
                <c:pt idx="181">
                  <c:v>0.9649790717633645</c:v>
                </c:pt>
                <c:pt idx="182">
                  <c:v>0.9649790717633645</c:v>
                </c:pt>
                <c:pt idx="183">
                  <c:v>0.9649790717633645</c:v>
                </c:pt>
                <c:pt idx="184">
                  <c:v>0.96334009776565044</c:v>
                </c:pt>
                <c:pt idx="185">
                  <c:v>0.96334009776565044</c:v>
                </c:pt>
                <c:pt idx="186">
                  <c:v>0.96334009776565044</c:v>
                </c:pt>
                <c:pt idx="187">
                  <c:v>0.96334009776565044</c:v>
                </c:pt>
                <c:pt idx="188">
                  <c:v>0.96334009776565044</c:v>
                </c:pt>
                <c:pt idx="189">
                  <c:v>0.96334009776565044</c:v>
                </c:pt>
                <c:pt idx="190">
                  <c:v>0.96334009776565044</c:v>
                </c:pt>
                <c:pt idx="191">
                  <c:v>0.96334009776565044</c:v>
                </c:pt>
                <c:pt idx="192">
                  <c:v>0.96334009776565044</c:v>
                </c:pt>
                <c:pt idx="193">
                  <c:v>0.96334009776565044</c:v>
                </c:pt>
                <c:pt idx="194">
                  <c:v>0.9649790717633645</c:v>
                </c:pt>
                <c:pt idx="195">
                  <c:v>0.96841257316630514</c:v>
                </c:pt>
                <c:pt idx="196">
                  <c:v>0.97508653702361214</c:v>
                </c:pt>
                <c:pt idx="197">
                  <c:v>0.97846222876522393</c:v>
                </c:pt>
                <c:pt idx="198">
                  <c:v>0.97846222876522393</c:v>
                </c:pt>
                <c:pt idx="199">
                  <c:v>0.97846222876522393</c:v>
                </c:pt>
                <c:pt idx="200">
                  <c:v>0.97846222876522393</c:v>
                </c:pt>
                <c:pt idx="201">
                  <c:v>0.97846222876522393</c:v>
                </c:pt>
                <c:pt idx="202">
                  <c:v>0.97846222876522393</c:v>
                </c:pt>
                <c:pt idx="203">
                  <c:v>0.97508653702361214</c:v>
                </c:pt>
                <c:pt idx="204">
                  <c:v>0.97508653702361214</c:v>
                </c:pt>
                <c:pt idx="205">
                  <c:v>0.96910672090862415</c:v>
                </c:pt>
                <c:pt idx="206">
                  <c:v>0.96910672090862415</c:v>
                </c:pt>
                <c:pt idx="207">
                  <c:v>0.96910672090862415</c:v>
                </c:pt>
                <c:pt idx="208">
                  <c:v>0.96910672090862415</c:v>
                </c:pt>
                <c:pt idx="209">
                  <c:v>0.96826544491709587</c:v>
                </c:pt>
                <c:pt idx="210">
                  <c:v>0.96826544491709587</c:v>
                </c:pt>
                <c:pt idx="211">
                  <c:v>0.96405368639703359</c:v>
                </c:pt>
                <c:pt idx="212">
                  <c:v>0.96196812050649583</c:v>
                </c:pt>
                <c:pt idx="213">
                  <c:v>0.95501543319768922</c:v>
                </c:pt>
                <c:pt idx="214">
                  <c:v>0.95501543319768922</c:v>
                </c:pt>
                <c:pt idx="215">
                  <c:v>0.96196812050649583</c:v>
                </c:pt>
                <c:pt idx="216">
                  <c:v>0.96405368639703359</c:v>
                </c:pt>
                <c:pt idx="217">
                  <c:v>0.96799738473414343</c:v>
                </c:pt>
                <c:pt idx="218">
                  <c:v>0.97725453478079838</c:v>
                </c:pt>
                <c:pt idx="219">
                  <c:v>0.98190127040388486</c:v>
                </c:pt>
                <c:pt idx="220">
                  <c:v>0.98571206494463526</c:v>
                </c:pt>
                <c:pt idx="221">
                  <c:v>0.98748825964848874</c:v>
                </c:pt>
                <c:pt idx="222">
                  <c:v>0.99367186376043426</c:v>
                </c:pt>
                <c:pt idx="223">
                  <c:v>1.0041019637705222</c:v>
                </c:pt>
                <c:pt idx="224">
                  <c:v>1.0072880132269404</c:v>
                </c:pt>
                <c:pt idx="225">
                  <c:v>1.0170904744115887</c:v>
                </c:pt>
                <c:pt idx="226">
                  <c:v>1.0217912327389809</c:v>
                </c:pt>
                <c:pt idx="227">
                  <c:v>1.0340943055543106</c:v>
                </c:pt>
                <c:pt idx="228">
                  <c:v>1.0400904599438874</c:v>
                </c:pt>
                <c:pt idx="229">
                  <c:v>1.0441846132378214</c:v>
                </c:pt>
                <c:pt idx="230">
                  <c:v>1.0461359124718113</c:v>
                </c:pt>
                <c:pt idx="231">
                  <c:v>1.0477898562733661</c:v>
                </c:pt>
                <c:pt idx="232">
                  <c:v>1.0519753205664248</c:v>
                </c:pt>
                <c:pt idx="233">
                  <c:v>1.0519753205664248</c:v>
                </c:pt>
                <c:pt idx="234">
                  <c:v>1.0519753205664248</c:v>
                </c:pt>
                <c:pt idx="235">
                  <c:v>1.0519753205664248</c:v>
                </c:pt>
                <c:pt idx="236">
                  <c:v>1.0519753205664248</c:v>
                </c:pt>
                <c:pt idx="237">
                  <c:v>1.0519753205664248</c:v>
                </c:pt>
                <c:pt idx="238">
                  <c:v>1.0519753205664248</c:v>
                </c:pt>
                <c:pt idx="239">
                  <c:v>1.0552098099471938</c:v>
                </c:pt>
                <c:pt idx="240">
                  <c:v>1.0565120779664696</c:v>
                </c:pt>
                <c:pt idx="241">
                  <c:v>1.0606164126301314</c:v>
                </c:pt>
                <c:pt idx="242">
                  <c:v>1.06202583648879</c:v>
                </c:pt>
                <c:pt idx="243">
                  <c:v>1.0637443212223074</c:v>
                </c:pt>
                <c:pt idx="244">
                  <c:v>1.0641000692579397</c:v>
                </c:pt>
                <c:pt idx="245">
                  <c:v>1.0659166986905282</c:v>
                </c:pt>
                <c:pt idx="246">
                  <c:v>1.0673636999709766</c:v>
                </c:pt>
                <c:pt idx="247">
                  <c:v>1.0711233628957555</c:v>
                </c:pt>
                <c:pt idx="248">
                  <c:v>1.0793499013748411</c:v>
                </c:pt>
                <c:pt idx="249">
                  <c:v>1.0844227146415792</c:v>
                </c:pt>
                <c:pt idx="250">
                  <c:v>1.0872355934643079</c:v>
                </c:pt>
                <c:pt idx="251">
                  <c:v>1.0872355934643079</c:v>
                </c:pt>
                <c:pt idx="252">
                  <c:v>1.0908637650613235</c:v>
                </c:pt>
                <c:pt idx="253">
                  <c:v>1.0929786710128404</c:v>
                </c:pt>
                <c:pt idx="254">
                  <c:v>1.0953008808490867</c:v>
                </c:pt>
                <c:pt idx="255">
                  <c:v>1.0979824408034975</c:v>
                </c:pt>
                <c:pt idx="256">
                  <c:v>1.0990809043320029</c:v>
                </c:pt>
                <c:pt idx="257">
                  <c:v>1.1028653288134382</c:v>
                </c:pt>
                <c:pt idx="258">
                  <c:v>1.1099212163957866</c:v>
                </c:pt>
                <c:pt idx="259">
                  <c:v>1.1298707531543428</c:v>
                </c:pt>
                <c:pt idx="260">
                  <c:v>1.1568596875772279</c:v>
                </c:pt>
                <c:pt idx="261">
                  <c:v>1.1799065475482717</c:v>
                </c:pt>
                <c:pt idx="262">
                  <c:v>1.1837292628011793</c:v>
                </c:pt>
                <c:pt idx="263">
                  <c:v>1.1905300627221562</c:v>
                </c:pt>
                <c:pt idx="264">
                  <c:v>1.1905300627221562</c:v>
                </c:pt>
                <c:pt idx="265">
                  <c:v>1.2065183838453295</c:v>
                </c:pt>
                <c:pt idx="266">
                  <c:v>1.211652060361244</c:v>
                </c:pt>
                <c:pt idx="267">
                  <c:v>1.2182007924424236</c:v>
                </c:pt>
                <c:pt idx="268">
                  <c:v>1.2295942364386392</c:v>
                </c:pt>
                <c:pt idx="269">
                  <c:v>1.2409721654506158</c:v>
                </c:pt>
                <c:pt idx="270">
                  <c:v>1.2409721654506158</c:v>
                </c:pt>
                <c:pt idx="271">
                  <c:v>1.2409721654506158</c:v>
                </c:pt>
                <c:pt idx="272">
                  <c:v>1.2409721654506158</c:v>
                </c:pt>
                <c:pt idx="273">
                  <c:v>1.2409721654506158</c:v>
                </c:pt>
                <c:pt idx="274">
                  <c:v>1.2409721654506158</c:v>
                </c:pt>
                <c:pt idx="275">
                  <c:v>1.2409721654506158</c:v>
                </c:pt>
                <c:pt idx="276">
                  <c:v>1.2409721654506158</c:v>
                </c:pt>
                <c:pt idx="277">
                  <c:v>1.2409721654506158</c:v>
                </c:pt>
                <c:pt idx="278">
                  <c:v>1.2536757762109527</c:v>
                </c:pt>
                <c:pt idx="279">
                  <c:v>1.2657594959108234</c:v>
                </c:pt>
                <c:pt idx="280">
                  <c:v>1.2743470053476991</c:v>
                </c:pt>
                <c:pt idx="281">
                  <c:v>1.2797705919377276</c:v>
                </c:pt>
                <c:pt idx="282">
                  <c:v>1.2808548998783496</c:v>
                </c:pt>
                <c:pt idx="283">
                  <c:v>1.2820495222990227</c:v>
                </c:pt>
                <c:pt idx="284">
                  <c:v>1.2820495222990227</c:v>
                </c:pt>
                <c:pt idx="285">
                  <c:v>1.2820495222990227</c:v>
                </c:pt>
                <c:pt idx="286">
                  <c:v>1.2820495222990227</c:v>
                </c:pt>
                <c:pt idx="287">
                  <c:v>1.2820495222990227</c:v>
                </c:pt>
                <c:pt idx="288">
                  <c:v>1.2820495222990227</c:v>
                </c:pt>
                <c:pt idx="289">
                  <c:v>1.2820495222990227</c:v>
                </c:pt>
                <c:pt idx="290">
                  <c:v>1.2820495222990227</c:v>
                </c:pt>
                <c:pt idx="291">
                  <c:v>1.2820495222990227</c:v>
                </c:pt>
                <c:pt idx="292">
                  <c:v>1.2820495222990227</c:v>
                </c:pt>
                <c:pt idx="293">
                  <c:v>1.2820495222990227</c:v>
                </c:pt>
                <c:pt idx="294">
                  <c:v>1.2820495222990227</c:v>
                </c:pt>
                <c:pt idx="295">
                  <c:v>1.2820495222990227</c:v>
                </c:pt>
                <c:pt idx="296">
                  <c:v>1.2820495222990227</c:v>
                </c:pt>
                <c:pt idx="297">
                  <c:v>1.2820495222990227</c:v>
                </c:pt>
                <c:pt idx="298">
                  <c:v>1.2820495222990227</c:v>
                </c:pt>
                <c:pt idx="299">
                  <c:v>1.2820495222990227</c:v>
                </c:pt>
                <c:pt idx="300">
                  <c:v>1.2820495222990227</c:v>
                </c:pt>
                <c:pt idx="301">
                  <c:v>1.2820495222990227</c:v>
                </c:pt>
                <c:pt idx="302">
                  <c:v>1.2820495222990227</c:v>
                </c:pt>
                <c:pt idx="303">
                  <c:v>1.2820495222990227</c:v>
                </c:pt>
                <c:pt idx="304">
                  <c:v>1.2820495222990227</c:v>
                </c:pt>
                <c:pt idx="305">
                  <c:v>1.2810113856256045</c:v>
                </c:pt>
                <c:pt idx="306">
                  <c:v>1.2810113856256045</c:v>
                </c:pt>
                <c:pt idx="307">
                  <c:v>1.2802731232427886</c:v>
                </c:pt>
                <c:pt idx="308">
                  <c:v>1.2802731232427886</c:v>
                </c:pt>
                <c:pt idx="309">
                  <c:v>1.2743470053476991</c:v>
                </c:pt>
                <c:pt idx="310">
                  <c:v>1.2657594959108234</c:v>
                </c:pt>
                <c:pt idx="311">
                  <c:v>1.2657594959108234</c:v>
                </c:pt>
                <c:pt idx="312">
                  <c:v>1.2657594959108234</c:v>
                </c:pt>
                <c:pt idx="313">
                  <c:v>1.2657594959108234</c:v>
                </c:pt>
                <c:pt idx="314">
                  <c:v>1.2657594959108234</c:v>
                </c:pt>
                <c:pt idx="315">
                  <c:v>1.2743470053476991</c:v>
                </c:pt>
                <c:pt idx="316">
                  <c:v>1.2802731232427886</c:v>
                </c:pt>
                <c:pt idx="317">
                  <c:v>1.2838932555280018</c:v>
                </c:pt>
                <c:pt idx="318">
                  <c:v>1.2937363572214475</c:v>
                </c:pt>
                <c:pt idx="319">
                  <c:v>1.2937363572214475</c:v>
                </c:pt>
                <c:pt idx="320">
                  <c:v>1.2937363572214475</c:v>
                </c:pt>
                <c:pt idx="321">
                  <c:v>1.2937363572214475</c:v>
                </c:pt>
                <c:pt idx="322">
                  <c:v>1.2937363572214475</c:v>
                </c:pt>
                <c:pt idx="323">
                  <c:v>1.2937363572214475</c:v>
                </c:pt>
                <c:pt idx="324">
                  <c:v>1.2937363572214475</c:v>
                </c:pt>
                <c:pt idx="325">
                  <c:v>1.2937363572214475</c:v>
                </c:pt>
                <c:pt idx="326">
                  <c:v>1.2937363572214475</c:v>
                </c:pt>
                <c:pt idx="327">
                  <c:v>1.2937363572214475</c:v>
                </c:pt>
                <c:pt idx="328">
                  <c:v>1.2937363572214475</c:v>
                </c:pt>
                <c:pt idx="329">
                  <c:v>1.2937363572214475</c:v>
                </c:pt>
                <c:pt idx="330">
                  <c:v>1.2937363572214475</c:v>
                </c:pt>
                <c:pt idx="331">
                  <c:v>1.2924685501794135</c:v>
                </c:pt>
                <c:pt idx="332">
                  <c:v>1.2714588464868233</c:v>
                </c:pt>
                <c:pt idx="333">
                  <c:v>1.2575373104245779</c:v>
                </c:pt>
                <c:pt idx="334">
                  <c:v>1.2538273040152448</c:v>
                </c:pt>
                <c:pt idx="335">
                  <c:v>1.2409100656886232</c:v>
                </c:pt>
                <c:pt idx="336">
                  <c:v>1.2349917056628685</c:v>
                </c:pt>
                <c:pt idx="337">
                  <c:v>1.2349917056628685</c:v>
                </c:pt>
                <c:pt idx="338">
                  <c:v>1.2349917056628685</c:v>
                </c:pt>
                <c:pt idx="339">
                  <c:v>1.2349917056628685</c:v>
                </c:pt>
                <c:pt idx="340">
                  <c:v>1.2305150244351473</c:v>
                </c:pt>
                <c:pt idx="341">
                  <c:v>1.2305150244351473</c:v>
                </c:pt>
                <c:pt idx="342">
                  <c:v>1.2305150244351473</c:v>
                </c:pt>
                <c:pt idx="343">
                  <c:v>1.2305150244351473</c:v>
                </c:pt>
                <c:pt idx="344">
                  <c:v>1.2305150244351473</c:v>
                </c:pt>
                <c:pt idx="345">
                  <c:v>1.2305150244351473</c:v>
                </c:pt>
                <c:pt idx="346">
                  <c:v>1.2305150244351473</c:v>
                </c:pt>
                <c:pt idx="347">
                  <c:v>1.2305150244351473</c:v>
                </c:pt>
                <c:pt idx="348">
                  <c:v>1.2305150244351473</c:v>
                </c:pt>
                <c:pt idx="349">
                  <c:v>1.2305150244351473</c:v>
                </c:pt>
                <c:pt idx="350">
                  <c:v>1.2305150244351473</c:v>
                </c:pt>
                <c:pt idx="351">
                  <c:v>1.2305150244351473</c:v>
                </c:pt>
                <c:pt idx="352">
                  <c:v>1.2305150244351473</c:v>
                </c:pt>
                <c:pt idx="353">
                  <c:v>1.2305150244351473</c:v>
                </c:pt>
                <c:pt idx="354">
                  <c:v>1.2305150244351473</c:v>
                </c:pt>
                <c:pt idx="355">
                  <c:v>1.2305150244351473</c:v>
                </c:pt>
                <c:pt idx="356">
                  <c:v>1.2305150244351473</c:v>
                </c:pt>
                <c:pt idx="357">
                  <c:v>1.2305150244351473</c:v>
                </c:pt>
                <c:pt idx="358">
                  <c:v>1.2305150244351473</c:v>
                </c:pt>
                <c:pt idx="359">
                  <c:v>1.2305150244351473</c:v>
                </c:pt>
                <c:pt idx="360">
                  <c:v>1.2215334437232035</c:v>
                </c:pt>
                <c:pt idx="361">
                  <c:v>1.2215334437232035</c:v>
                </c:pt>
                <c:pt idx="362">
                  <c:v>1.2146776658166278</c:v>
                </c:pt>
                <c:pt idx="363">
                  <c:v>1.2062066790907706</c:v>
                </c:pt>
                <c:pt idx="364">
                  <c:v>1.1993346793230601</c:v>
                </c:pt>
                <c:pt idx="365">
                  <c:v>1.1963360097156703</c:v>
                </c:pt>
                <c:pt idx="366">
                  <c:v>1.1956007422768804</c:v>
                </c:pt>
                <c:pt idx="367">
                  <c:v>1.1942786376556738</c:v>
                </c:pt>
                <c:pt idx="368">
                  <c:v>1.193245961122853</c:v>
                </c:pt>
                <c:pt idx="369">
                  <c:v>1.1912776584246123</c:v>
                </c:pt>
                <c:pt idx="370">
                  <c:v>1.1892500089816045</c:v>
                </c:pt>
                <c:pt idx="371">
                  <c:v>1.1875814977476453</c:v>
                </c:pt>
                <c:pt idx="372">
                  <c:v>1.1829613594045454</c:v>
                </c:pt>
                <c:pt idx="373">
                  <c:v>1.1811249454050416</c:v>
                </c:pt>
                <c:pt idx="374">
                  <c:v>1.1811249454050416</c:v>
                </c:pt>
                <c:pt idx="375">
                  <c:v>1.1811249454050416</c:v>
                </c:pt>
                <c:pt idx="376">
                  <c:v>1.1811249454050416</c:v>
                </c:pt>
                <c:pt idx="377">
                  <c:v>1.1811249454050416</c:v>
                </c:pt>
                <c:pt idx="378">
                  <c:v>1.1811249454050416</c:v>
                </c:pt>
                <c:pt idx="379">
                  <c:v>1.1784250000034211</c:v>
                </c:pt>
                <c:pt idx="380">
                  <c:v>1.1700010370746652</c:v>
                </c:pt>
                <c:pt idx="381">
                  <c:v>1.1700010370746652</c:v>
                </c:pt>
                <c:pt idx="382">
                  <c:v>1.1700010370746652</c:v>
                </c:pt>
                <c:pt idx="383">
                  <c:v>1.1624008446674134</c:v>
                </c:pt>
                <c:pt idx="384">
                  <c:v>1.1624008446674134</c:v>
                </c:pt>
                <c:pt idx="385">
                  <c:v>1.1700010370746652</c:v>
                </c:pt>
                <c:pt idx="386">
                  <c:v>1.1811249454050416</c:v>
                </c:pt>
                <c:pt idx="387">
                  <c:v>1.1825712962941155</c:v>
                </c:pt>
                <c:pt idx="388">
                  <c:v>1.1860151721257939</c:v>
                </c:pt>
                <c:pt idx="389">
                  <c:v>1.186891410778629</c:v>
                </c:pt>
                <c:pt idx="390">
                  <c:v>1.1869239078597202</c:v>
                </c:pt>
                <c:pt idx="391">
                  <c:v>1.1869239078597202</c:v>
                </c:pt>
                <c:pt idx="392">
                  <c:v>1.1869239078597202</c:v>
                </c:pt>
                <c:pt idx="393">
                  <c:v>1.1869239078597202</c:v>
                </c:pt>
                <c:pt idx="394">
                  <c:v>1.191421868187168</c:v>
                </c:pt>
                <c:pt idx="395">
                  <c:v>1.1933861166806989</c:v>
                </c:pt>
                <c:pt idx="396">
                  <c:v>1.1942786376556738</c:v>
                </c:pt>
                <c:pt idx="397">
                  <c:v>1.1943591933454798</c:v>
                </c:pt>
                <c:pt idx="398">
                  <c:v>1.1961564018227502</c:v>
                </c:pt>
                <c:pt idx="399">
                  <c:v>1.1972779871450254</c:v>
                </c:pt>
                <c:pt idx="400">
                  <c:v>1.1979293370993869</c:v>
                </c:pt>
                <c:pt idx="401">
                  <c:v>1.1986831778953797</c:v>
                </c:pt>
                <c:pt idx="402">
                  <c:v>1.2009178826467091</c:v>
                </c:pt>
                <c:pt idx="403">
                  <c:v>1.2038788005887071</c:v>
                </c:pt>
                <c:pt idx="404">
                  <c:v>1.2071630871485153</c:v>
                </c:pt>
                <c:pt idx="405">
                  <c:v>1.2210506938499799</c:v>
                </c:pt>
                <c:pt idx="406">
                  <c:v>1.2334577845702857</c:v>
                </c:pt>
                <c:pt idx="407">
                  <c:v>1.2359536163457594</c:v>
                </c:pt>
                <c:pt idx="408">
                  <c:v>1.2386875781854214</c:v>
                </c:pt>
                <c:pt idx="409">
                  <c:v>1.2455159929915358</c:v>
                </c:pt>
                <c:pt idx="410">
                  <c:v>1.2455159929915358</c:v>
                </c:pt>
                <c:pt idx="411">
                  <c:v>1.2585066568189425</c:v>
                </c:pt>
                <c:pt idx="412">
                  <c:v>1.2613897392168871</c:v>
                </c:pt>
                <c:pt idx="413">
                  <c:v>1.262017413584587</c:v>
                </c:pt>
                <c:pt idx="414">
                  <c:v>1.2621697461117629</c:v>
                </c:pt>
                <c:pt idx="415">
                  <c:v>1.2632432628456305</c:v>
                </c:pt>
                <c:pt idx="416">
                  <c:v>1.2659012829038763</c:v>
                </c:pt>
                <c:pt idx="417">
                  <c:v>1.2691596755647401</c:v>
                </c:pt>
                <c:pt idx="418">
                  <c:v>1.2771720218814981</c:v>
                </c:pt>
                <c:pt idx="419">
                  <c:v>1.2771720218814981</c:v>
                </c:pt>
                <c:pt idx="420">
                  <c:v>1.2771720218814981</c:v>
                </c:pt>
                <c:pt idx="421">
                  <c:v>1.2771720218814981</c:v>
                </c:pt>
                <c:pt idx="422">
                  <c:v>1.2771720218814981</c:v>
                </c:pt>
                <c:pt idx="423">
                  <c:v>1.2771720218814981</c:v>
                </c:pt>
                <c:pt idx="424">
                  <c:v>1.2776898846846094</c:v>
                </c:pt>
                <c:pt idx="425">
                  <c:v>1.2784386455384722</c:v>
                </c:pt>
                <c:pt idx="426">
                  <c:v>1.2808146577022343</c:v>
                </c:pt>
                <c:pt idx="427">
                  <c:v>1.2861516183749107</c:v>
                </c:pt>
                <c:pt idx="428">
                  <c:v>1.2913004591371706</c:v>
                </c:pt>
                <c:pt idx="429">
                  <c:v>1.2942834748300514</c:v>
                </c:pt>
                <c:pt idx="430">
                  <c:v>1.2968789916183154</c:v>
                </c:pt>
                <c:pt idx="431">
                  <c:v>1.300080172613675</c:v>
                </c:pt>
                <c:pt idx="432">
                  <c:v>1.3043774172122062</c:v>
                </c:pt>
                <c:pt idx="433">
                  <c:v>1.3043774172122062</c:v>
                </c:pt>
                <c:pt idx="434">
                  <c:v>1.3043774172122062</c:v>
                </c:pt>
                <c:pt idx="435">
                  <c:v>1.3043774172122062</c:v>
                </c:pt>
                <c:pt idx="436">
                  <c:v>1.3043774172122062</c:v>
                </c:pt>
                <c:pt idx="437">
                  <c:v>1.3043774172122062</c:v>
                </c:pt>
                <c:pt idx="438">
                  <c:v>1.3043774172122062</c:v>
                </c:pt>
                <c:pt idx="439">
                  <c:v>1.3043774172122062</c:v>
                </c:pt>
                <c:pt idx="440">
                  <c:v>1.3043774172122062</c:v>
                </c:pt>
                <c:pt idx="441">
                  <c:v>1.3043774172122062</c:v>
                </c:pt>
                <c:pt idx="442">
                  <c:v>1.3043774172122062</c:v>
                </c:pt>
                <c:pt idx="443">
                  <c:v>1.3043774172122062</c:v>
                </c:pt>
                <c:pt idx="444">
                  <c:v>1.3043774172122062</c:v>
                </c:pt>
                <c:pt idx="445">
                  <c:v>1.3043774172122062</c:v>
                </c:pt>
                <c:pt idx="446">
                  <c:v>1.3043774172122062</c:v>
                </c:pt>
                <c:pt idx="447">
                  <c:v>1.3043774172122062</c:v>
                </c:pt>
                <c:pt idx="448">
                  <c:v>1.3043774172122062</c:v>
                </c:pt>
                <c:pt idx="449">
                  <c:v>1.3043774172122062</c:v>
                </c:pt>
                <c:pt idx="450">
                  <c:v>1.3043774172122062</c:v>
                </c:pt>
                <c:pt idx="451">
                  <c:v>1.3043774172122062</c:v>
                </c:pt>
                <c:pt idx="452">
                  <c:v>1.2977960992364272</c:v>
                </c:pt>
                <c:pt idx="453">
                  <c:v>1.2977960992364272</c:v>
                </c:pt>
                <c:pt idx="454">
                  <c:v>1.2935903108796478</c:v>
                </c:pt>
                <c:pt idx="455">
                  <c:v>1.2935903108796478</c:v>
                </c:pt>
                <c:pt idx="456">
                  <c:v>1.2935903108796478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E0-4761-B07A-7C3C35F3B7DB}"/>
            </c:ext>
          </c:extLst>
        </c:ser>
        <c:ser>
          <c:idx val="5"/>
          <c:order val="5"/>
          <c:tx>
            <c:v>Q90</c:v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'Indice Utilities'!$AM$58:$AM$4000</c:f>
              <c:numCache>
                <c:formatCode>m/d/yyyy</c:formatCode>
                <c:ptCount val="3943"/>
                <c:pt idx="0">
                  <c:v>43105</c:v>
                </c:pt>
                <c:pt idx="1">
                  <c:v>43112</c:v>
                </c:pt>
                <c:pt idx="2">
                  <c:v>43119</c:v>
                </c:pt>
                <c:pt idx="3">
                  <c:v>43126</c:v>
                </c:pt>
                <c:pt idx="4">
                  <c:v>43133</c:v>
                </c:pt>
                <c:pt idx="5">
                  <c:v>43140</c:v>
                </c:pt>
                <c:pt idx="6">
                  <c:v>43147</c:v>
                </c:pt>
                <c:pt idx="7">
                  <c:v>43154</c:v>
                </c:pt>
                <c:pt idx="8">
                  <c:v>43161</c:v>
                </c:pt>
                <c:pt idx="9">
                  <c:v>43168</c:v>
                </c:pt>
                <c:pt idx="10">
                  <c:v>43175</c:v>
                </c:pt>
                <c:pt idx="11">
                  <c:v>43182</c:v>
                </c:pt>
                <c:pt idx="12">
                  <c:v>43189</c:v>
                </c:pt>
                <c:pt idx="13">
                  <c:v>43196</c:v>
                </c:pt>
                <c:pt idx="14">
                  <c:v>43203</c:v>
                </c:pt>
                <c:pt idx="15">
                  <c:v>43210</c:v>
                </c:pt>
                <c:pt idx="16">
                  <c:v>43217</c:v>
                </c:pt>
                <c:pt idx="17">
                  <c:v>43224</c:v>
                </c:pt>
                <c:pt idx="18">
                  <c:v>43231</c:v>
                </c:pt>
                <c:pt idx="19">
                  <c:v>43238</c:v>
                </c:pt>
                <c:pt idx="20">
                  <c:v>43245</c:v>
                </c:pt>
                <c:pt idx="21">
                  <c:v>43252</c:v>
                </c:pt>
                <c:pt idx="22">
                  <c:v>43259</c:v>
                </c:pt>
                <c:pt idx="23">
                  <c:v>43266</c:v>
                </c:pt>
                <c:pt idx="24">
                  <c:v>43273</c:v>
                </c:pt>
                <c:pt idx="25">
                  <c:v>43280</c:v>
                </c:pt>
                <c:pt idx="26">
                  <c:v>43287</c:v>
                </c:pt>
                <c:pt idx="27">
                  <c:v>43294</c:v>
                </c:pt>
                <c:pt idx="28">
                  <c:v>43301</c:v>
                </c:pt>
                <c:pt idx="29">
                  <c:v>43308</c:v>
                </c:pt>
                <c:pt idx="30">
                  <c:v>43315</c:v>
                </c:pt>
                <c:pt idx="31">
                  <c:v>43322</c:v>
                </c:pt>
                <c:pt idx="32">
                  <c:v>43329</c:v>
                </c:pt>
                <c:pt idx="33">
                  <c:v>43336</c:v>
                </c:pt>
                <c:pt idx="34">
                  <c:v>43343</c:v>
                </c:pt>
                <c:pt idx="35">
                  <c:v>43350</c:v>
                </c:pt>
                <c:pt idx="36">
                  <c:v>43357</c:v>
                </c:pt>
                <c:pt idx="37">
                  <c:v>43364</c:v>
                </c:pt>
                <c:pt idx="38">
                  <c:v>43371</c:v>
                </c:pt>
                <c:pt idx="39">
                  <c:v>43378</c:v>
                </c:pt>
                <c:pt idx="40">
                  <c:v>43385</c:v>
                </c:pt>
                <c:pt idx="41">
                  <c:v>43392</c:v>
                </c:pt>
                <c:pt idx="42">
                  <c:v>43399</c:v>
                </c:pt>
                <c:pt idx="43">
                  <c:v>43406</c:v>
                </c:pt>
                <c:pt idx="44">
                  <c:v>43413</c:v>
                </c:pt>
                <c:pt idx="45">
                  <c:v>43420</c:v>
                </c:pt>
                <c:pt idx="46">
                  <c:v>43427</c:v>
                </c:pt>
                <c:pt idx="47">
                  <c:v>43434</c:v>
                </c:pt>
                <c:pt idx="48">
                  <c:v>43441</c:v>
                </c:pt>
                <c:pt idx="49">
                  <c:v>43448</c:v>
                </c:pt>
                <c:pt idx="50">
                  <c:v>43455</c:v>
                </c:pt>
                <c:pt idx="51">
                  <c:v>43462</c:v>
                </c:pt>
                <c:pt idx="52">
                  <c:v>43469</c:v>
                </c:pt>
                <c:pt idx="53">
                  <c:v>43476</c:v>
                </c:pt>
                <c:pt idx="54">
                  <c:v>43483</c:v>
                </c:pt>
                <c:pt idx="55">
                  <c:v>43490</c:v>
                </c:pt>
                <c:pt idx="56">
                  <c:v>43497</c:v>
                </c:pt>
                <c:pt idx="57">
                  <c:v>43504</c:v>
                </c:pt>
                <c:pt idx="58">
                  <c:v>43511</c:v>
                </c:pt>
                <c:pt idx="59">
                  <c:v>43518</c:v>
                </c:pt>
                <c:pt idx="60">
                  <c:v>43525</c:v>
                </c:pt>
                <c:pt idx="61">
                  <c:v>43532</c:v>
                </c:pt>
                <c:pt idx="62">
                  <c:v>43539</c:v>
                </c:pt>
                <c:pt idx="63">
                  <c:v>43546</c:v>
                </c:pt>
                <c:pt idx="64">
                  <c:v>43553</c:v>
                </c:pt>
                <c:pt idx="65">
                  <c:v>43560</c:v>
                </c:pt>
                <c:pt idx="66">
                  <c:v>43567</c:v>
                </c:pt>
                <c:pt idx="67">
                  <c:v>43574</c:v>
                </c:pt>
                <c:pt idx="68">
                  <c:v>43581</c:v>
                </c:pt>
                <c:pt idx="69">
                  <c:v>43588</c:v>
                </c:pt>
                <c:pt idx="70">
                  <c:v>43595</c:v>
                </c:pt>
                <c:pt idx="71">
                  <c:v>43602</c:v>
                </c:pt>
                <c:pt idx="72">
                  <c:v>43609</c:v>
                </c:pt>
                <c:pt idx="73">
                  <c:v>43616</c:v>
                </c:pt>
                <c:pt idx="74">
                  <c:v>43623</c:v>
                </c:pt>
                <c:pt idx="75">
                  <c:v>43630</c:v>
                </c:pt>
                <c:pt idx="76">
                  <c:v>43637</c:v>
                </c:pt>
                <c:pt idx="77">
                  <c:v>43644</c:v>
                </c:pt>
                <c:pt idx="78">
                  <c:v>43651</c:v>
                </c:pt>
                <c:pt idx="79">
                  <c:v>43658</c:v>
                </c:pt>
                <c:pt idx="80">
                  <c:v>43665</c:v>
                </c:pt>
                <c:pt idx="81">
                  <c:v>43672</c:v>
                </c:pt>
                <c:pt idx="82">
                  <c:v>43679</c:v>
                </c:pt>
                <c:pt idx="83">
                  <c:v>43686</c:v>
                </c:pt>
                <c:pt idx="84">
                  <c:v>43693</c:v>
                </c:pt>
                <c:pt idx="85">
                  <c:v>43700</c:v>
                </c:pt>
                <c:pt idx="86">
                  <c:v>43707</c:v>
                </c:pt>
                <c:pt idx="87">
                  <c:v>43714</c:v>
                </c:pt>
                <c:pt idx="88">
                  <c:v>43721</c:v>
                </c:pt>
                <c:pt idx="89">
                  <c:v>43728</c:v>
                </c:pt>
                <c:pt idx="90">
                  <c:v>43735</c:v>
                </c:pt>
                <c:pt idx="91">
                  <c:v>43742</c:v>
                </c:pt>
                <c:pt idx="92">
                  <c:v>43749</c:v>
                </c:pt>
                <c:pt idx="93">
                  <c:v>43756</c:v>
                </c:pt>
                <c:pt idx="94">
                  <c:v>43763</c:v>
                </c:pt>
                <c:pt idx="95">
                  <c:v>43770</c:v>
                </c:pt>
                <c:pt idx="96">
                  <c:v>43777</c:v>
                </c:pt>
                <c:pt idx="97">
                  <c:v>43784</c:v>
                </c:pt>
                <c:pt idx="98">
                  <c:v>43791</c:v>
                </c:pt>
                <c:pt idx="99">
                  <c:v>43798</c:v>
                </c:pt>
                <c:pt idx="100">
                  <c:v>43805</c:v>
                </c:pt>
                <c:pt idx="101">
                  <c:v>43812</c:v>
                </c:pt>
                <c:pt idx="102">
                  <c:v>43819</c:v>
                </c:pt>
                <c:pt idx="103">
                  <c:v>43826</c:v>
                </c:pt>
                <c:pt idx="104">
                  <c:v>43833</c:v>
                </c:pt>
                <c:pt idx="105">
                  <c:v>43840</c:v>
                </c:pt>
                <c:pt idx="106">
                  <c:v>43847</c:v>
                </c:pt>
                <c:pt idx="107">
                  <c:v>43854</c:v>
                </c:pt>
                <c:pt idx="108">
                  <c:v>43861</c:v>
                </c:pt>
                <c:pt idx="109">
                  <c:v>43868</c:v>
                </c:pt>
                <c:pt idx="110">
                  <c:v>43875</c:v>
                </c:pt>
                <c:pt idx="111">
                  <c:v>43882</c:v>
                </c:pt>
                <c:pt idx="112">
                  <c:v>43889</c:v>
                </c:pt>
                <c:pt idx="113">
                  <c:v>43896</c:v>
                </c:pt>
                <c:pt idx="114">
                  <c:v>43903</c:v>
                </c:pt>
                <c:pt idx="115">
                  <c:v>43910</c:v>
                </c:pt>
                <c:pt idx="116">
                  <c:v>43917</c:v>
                </c:pt>
                <c:pt idx="117">
                  <c:v>43924</c:v>
                </c:pt>
                <c:pt idx="118">
                  <c:v>43931</c:v>
                </c:pt>
                <c:pt idx="119">
                  <c:v>43938</c:v>
                </c:pt>
                <c:pt idx="120">
                  <c:v>43945</c:v>
                </c:pt>
                <c:pt idx="121">
                  <c:v>43952</c:v>
                </c:pt>
                <c:pt idx="122">
                  <c:v>43959</c:v>
                </c:pt>
                <c:pt idx="123">
                  <c:v>43966</c:v>
                </c:pt>
                <c:pt idx="124">
                  <c:v>43973</c:v>
                </c:pt>
                <c:pt idx="125">
                  <c:v>43980</c:v>
                </c:pt>
                <c:pt idx="126">
                  <c:v>43987</c:v>
                </c:pt>
                <c:pt idx="127">
                  <c:v>43994</c:v>
                </c:pt>
                <c:pt idx="128">
                  <c:v>44001</c:v>
                </c:pt>
                <c:pt idx="129">
                  <c:v>44008</c:v>
                </c:pt>
                <c:pt idx="130">
                  <c:v>44015</c:v>
                </c:pt>
                <c:pt idx="131">
                  <c:v>44022</c:v>
                </c:pt>
                <c:pt idx="132">
                  <c:v>44029</c:v>
                </c:pt>
                <c:pt idx="133">
                  <c:v>44036</c:v>
                </c:pt>
                <c:pt idx="134">
                  <c:v>44043</c:v>
                </c:pt>
                <c:pt idx="135">
                  <c:v>44050</c:v>
                </c:pt>
                <c:pt idx="136">
                  <c:v>44057</c:v>
                </c:pt>
                <c:pt idx="137">
                  <c:v>44064</c:v>
                </c:pt>
                <c:pt idx="138">
                  <c:v>44071</c:v>
                </c:pt>
                <c:pt idx="139">
                  <c:v>44078</c:v>
                </c:pt>
                <c:pt idx="140">
                  <c:v>44085</c:v>
                </c:pt>
                <c:pt idx="141">
                  <c:v>44092</c:v>
                </c:pt>
                <c:pt idx="142">
                  <c:v>44099</c:v>
                </c:pt>
                <c:pt idx="143">
                  <c:v>44106</c:v>
                </c:pt>
                <c:pt idx="144">
                  <c:v>44113</c:v>
                </c:pt>
                <c:pt idx="145">
                  <c:v>44120</c:v>
                </c:pt>
                <c:pt idx="146">
                  <c:v>44127</c:v>
                </c:pt>
                <c:pt idx="147">
                  <c:v>44134</c:v>
                </c:pt>
                <c:pt idx="148">
                  <c:v>44141</c:v>
                </c:pt>
                <c:pt idx="149">
                  <c:v>44148</c:v>
                </c:pt>
                <c:pt idx="150">
                  <c:v>44155</c:v>
                </c:pt>
                <c:pt idx="151">
                  <c:v>44162</c:v>
                </c:pt>
                <c:pt idx="152">
                  <c:v>44169</c:v>
                </c:pt>
                <c:pt idx="153">
                  <c:v>44176</c:v>
                </c:pt>
                <c:pt idx="154">
                  <c:v>44183</c:v>
                </c:pt>
                <c:pt idx="155">
                  <c:v>44190</c:v>
                </c:pt>
                <c:pt idx="156">
                  <c:v>44197</c:v>
                </c:pt>
                <c:pt idx="157">
                  <c:v>44204</c:v>
                </c:pt>
                <c:pt idx="158">
                  <c:v>44211</c:v>
                </c:pt>
                <c:pt idx="159">
                  <c:v>44218</c:v>
                </c:pt>
                <c:pt idx="160">
                  <c:v>44225</c:v>
                </c:pt>
                <c:pt idx="161">
                  <c:v>44232</c:v>
                </c:pt>
                <c:pt idx="162">
                  <c:v>44239</c:v>
                </c:pt>
                <c:pt idx="163">
                  <c:v>44246</c:v>
                </c:pt>
                <c:pt idx="164">
                  <c:v>44253</c:v>
                </c:pt>
                <c:pt idx="165">
                  <c:v>44260</c:v>
                </c:pt>
                <c:pt idx="166">
                  <c:v>44267</c:v>
                </c:pt>
                <c:pt idx="167">
                  <c:v>44274</c:v>
                </c:pt>
                <c:pt idx="168">
                  <c:v>44281</c:v>
                </c:pt>
                <c:pt idx="169">
                  <c:v>44288</c:v>
                </c:pt>
                <c:pt idx="170">
                  <c:v>44295</c:v>
                </c:pt>
                <c:pt idx="171">
                  <c:v>44302</c:v>
                </c:pt>
                <c:pt idx="172">
                  <c:v>44309</c:v>
                </c:pt>
                <c:pt idx="173">
                  <c:v>44316</c:v>
                </c:pt>
                <c:pt idx="174">
                  <c:v>44323</c:v>
                </c:pt>
                <c:pt idx="175">
                  <c:v>44330</c:v>
                </c:pt>
                <c:pt idx="176">
                  <c:v>44337</c:v>
                </c:pt>
                <c:pt idx="177">
                  <c:v>44344</c:v>
                </c:pt>
                <c:pt idx="178">
                  <c:v>44351</c:v>
                </c:pt>
                <c:pt idx="179">
                  <c:v>44358</c:v>
                </c:pt>
                <c:pt idx="180">
                  <c:v>44365</c:v>
                </c:pt>
                <c:pt idx="181">
                  <c:v>44372</c:v>
                </c:pt>
                <c:pt idx="182">
                  <c:v>44379</c:v>
                </c:pt>
                <c:pt idx="183">
                  <c:v>44386</c:v>
                </c:pt>
                <c:pt idx="184">
                  <c:v>44393</c:v>
                </c:pt>
                <c:pt idx="185">
                  <c:v>44400</c:v>
                </c:pt>
                <c:pt idx="186">
                  <c:v>44407</c:v>
                </c:pt>
                <c:pt idx="187">
                  <c:v>44414</c:v>
                </c:pt>
                <c:pt idx="188">
                  <c:v>44421</c:v>
                </c:pt>
                <c:pt idx="189">
                  <c:v>44428</c:v>
                </c:pt>
                <c:pt idx="190">
                  <c:v>44435</c:v>
                </c:pt>
                <c:pt idx="191">
                  <c:v>44442</c:v>
                </c:pt>
                <c:pt idx="192">
                  <c:v>44449</c:v>
                </c:pt>
                <c:pt idx="193">
                  <c:v>44456</c:v>
                </c:pt>
                <c:pt idx="194">
                  <c:v>44463</c:v>
                </c:pt>
                <c:pt idx="195">
                  <c:v>44470</c:v>
                </c:pt>
                <c:pt idx="196">
                  <c:v>44477</c:v>
                </c:pt>
                <c:pt idx="197">
                  <c:v>44484</c:v>
                </c:pt>
                <c:pt idx="198">
                  <c:v>44491</c:v>
                </c:pt>
                <c:pt idx="199">
                  <c:v>44498</c:v>
                </c:pt>
                <c:pt idx="200">
                  <c:v>44505</c:v>
                </c:pt>
                <c:pt idx="201">
                  <c:v>44512</c:v>
                </c:pt>
                <c:pt idx="202">
                  <c:v>44519</c:v>
                </c:pt>
                <c:pt idx="203">
                  <c:v>44526</c:v>
                </c:pt>
                <c:pt idx="204">
                  <c:v>44533</c:v>
                </c:pt>
                <c:pt idx="205">
                  <c:v>44540</c:v>
                </c:pt>
                <c:pt idx="206">
                  <c:v>44547</c:v>
                </c:pt>
                <c:pt idx="207">
                  <c:v>44554</c:v>
                </c:pt>
                <c:pt idx="208">
                  <c:v>44561</c:v>
                </c:pt>
                <c:pt idx="209">
                  <c:v>44568</c:v>
                </c:pt>
                <c:pt idx="210">
                  <c:v>44575</c:v>
                </c:pt>
                <c:pt idx="211">
                  <c:v>44582</c:v>
                </c:pt>
                <c:pt idx="212">
                  <c:v>44589</c:v>
                </c:pt>
                <c:pt idx="213">
                  <c:v>44596</c:v>
                </c:pt>
                <c:pt idx="214">
                  <c:v>44603</c:v>
                </c:pt>
                <c:pt idx="215">
                  <c:v>44610</c:v>
                </c:pt>
                <c:pt idx="216">
                  <c:v>44617</c:v>
                </c:pt>
                <c:pt idx="217">
                  <c:v>44624</c:v>
                </c:pt>
                <c:pt idx="218">
                  <c:v>44631</c:v>
                </c:pt>
                <c:pt idx="219">
                  <c:v>44638</c:v>
                </c:pt>
                <c:pt idx="220">
                  <c:v>44645</c:v>
                </c:pt>
                <c:pt idx="221">
                  <c:v>44652</c:v>
                </c:pt>
                <c:pt idx="222">
                  <c:v>44659</c:v>
                </c:pt>
                <c:pt idx="223">
                  <c:v>44666</c:v>
                </c:pt>
                <c:pt idx="224">
                  <c:v>44673</c:v>
                </c:pt>
                <c:pt idx="225">
                  <c:v>44680</c:v>
                </c:pt>
                <c:pt idx="226">
                  <c:v>44687</c:v>
                </c:pt>
                <c:pt idx="227">
                  <c:v>44694</c:v>
                </c:pt>
                <c:pt idx="228">
                  <c:v>44701</c:v>
                </c:pt>
                <c:pt idx="229">
                  <c:v>44708</c:v>
                </c:pt>
                <c:pt idx="230">
                  <c:v>44715</c:v>
                </c:pt>
                <c:pt idx="231">
                  <c:v>44722</c:v>
                </c:pt>
                <c:pt idx="232">
                  <c:v>44729</c:v>
                </c:pt>
                <c:pt idx="233">
                  <c:v>44736</c:v>
                </c:pt>
                <c:pt idx="234">
                  <c:v>44743</c:v>
                </c:pt>
                <c:pt idx="235">
                  <c:v>44750</c:v>
                </c:pt>
                <c:pt idx="236">
                  <c:v>44757</c:v>
                </c:pt>
                <c:pt idx="237">
                  <c:v>44764</c:v>
                </c:pt>
                <c:pt idx="238">
                  <c:v>44771</c:v>
                </c:pt>
                <c:pt idx="239">
                  <c:v>44778</c:v>
                </c:pt>
                <c:pt idx="240">
                  <c:v>44785</c:v>
                </c:pt>
                <c:pt idx="241">
                  <c:v>44792</c:v>
                </c:pt>
                <c:pt idx="242">
                  <c:v>44799</c:v>
                </c:pt>
                <c:pt idx="243">
                  <c:v>44806</c:v>
                </c:pt>
                <c:pt idx="244">
                  <c:v>44813</c:v>
                </c:pt>
                <c:pt idx="245">
                  <c:v>44820</c:v>
                </c:pt>
                <c:pt idx="246">
                  <c:v>44827</c:v>
                </c:pt>
                <c:pt idx="247">
                  <c:v>44834</c:v>
                </c:pt>
                <c:pt idx="248">
                  <c:v>44841</c:v>
                </c:pt>
                <c:pt idx="249">
                  <c:v>44848</c:v>
                </c:pt>
                <c:pt idx="250">
                  <c:v>44855</c:v>
                </c:pt>
                <c:pt idx="251">
                  <c:v>44862</c:v>
                </c:pt>
                <c:pt idx="252">
                  <c:v>44869</c:v>
                </c:pt>
                <c:pt idx="253">
                  <c:v>44876</c:v>
                </c:pt>
                <c:pt idx="254">
                  <c:v>44883</c:v>
                </c:pt>
                <c:pt idx="255">
                  <c:v>44890</c:v>
                </c:pt>
                <c:pt idx="256">
                  <c:v>44897</c:v>
                </c:pt>
                <c:pt idx="257">
                  <c:v>44904</c:v>
                </c:pt>
                <c:pt idx="258">
                  <c:v>44911</c:v>
                </c:pt>
                <c:pt idx="259">
                  <c:v>44918</c:v>
                </c:pt>
                <c:pt idx="260">
                  <c:v>44925</c:v>
                </c:pt>
                <c:pt idx="261">
                  <c:v>44932</c:v>
                </c:pt>
                <c:pt idx="262">
                  <c:v>44939</c:v>
                </c:pt>
                <c:pt idx="263">
                  <c:v>44946</c:v>
                </c:pt>
                <c:pt idx="264">
                  <c:v>44953</c:v>
                </c:pt>
                <c:pt idx="265">
                  <c:v>44960</c:v>
                </c:pt>
                <c:pt idx="266">
                  <c:v>44967</c:v>
                </c:pt>
                <c:pt idx="267">
                  <c:v>44974</c:v>
                </c:pt>
                <c:pt idx="268">
                  <c:v>44981</c:v>
                </c:pt>
                <c:pt idx="269">
                  <c:v>44988</c:v>
                </c:pt>
                <c:pt idx="270">
                  <c:v>44995</c:v>
                </c:pt>
                <c:pt idx="271">
                  <c:v>45002</c:v>
                </c:pt>
                <c:pt idx="272">
                  <c:v>45009</c:v>
                </c:pt>
                <c:pt idx="273">
                  <c:v>45016</c:v>
                </c:pt>
                <c:pt idx="274">
                  <c:v>45023</c:v>
                </c:pt>
                <c:pt idx="275">
                  <c:v>45030</c:v>
                </c:pt>
                <c:pt idx="276">
                  <c:v>45037</c:v>
                </c:pt>
                <c:pt idx="277">
                  <c:v>45044</c:v>
                </c:pt>
                <c:pt idx="278">
                  <c:v>45051</c:v>
                </c:pt>
                <c:pt idx="279">
                  <c:v>45058</c:v>
                </c:pt>
                <c:pt idx="280">
                  <c:v>45065</c:v>
                </c:pt>
                <c:pt idx="281">
                  <c:v>45072</c:v>
                </c:pt>
                <c:pt idx="282">
                  <c:v>45079</c:v>
                </c:pt>
                <c:pt idx="283">
                  <c:v>45086</c:v>
                </c:pt>
                <c:pt idx="284">
                  <c:v>45093</c:v>
                </c:pt>
                <c:pt idx="285">
                  <c:v>45100</c:v>
                </c:pt>
                <c:pt idx="286">
                  <c:v>45107</c:v>
                </c:pt>
                <c:pt idx="287">
                  <c:v>45114</c:v>
                </c:pt>
                <c:pt idx="288">
                  <c:v>45121</c:v>
                </c:pt>
                <c:pt idx="289">
                  <c:v>45128</c:v>
                </c:pt>
                <c:pt idx="290">
                  <c:v>45135</c:v>
                </c:pt>
                <c:pt idx="291">
                  <c:v>45142</c:v>
                </c:pt>
                <c:pt idx="292">
                  <c:v>45149</c:v>
                </c:pt>
                <c:pt idx="293">
                  <c:v>45156</c:v>
                </c:pt>
                <c:pt idx="294">
                  <c:v>45163</c:v>
                </c:pt>
                <c:pt idx="295">
                  <c:v>45170</c:v>
                </c:pt>
                <c:pt idx="296">
                  <c:v>45177</c:v>
                </c:pt>
                <c:pt idx="297">
                  <c:v>45184</c:v>
                </c:pt>
                <c:pt idx="298">
                  <c:v>45191</c:v>
                </c:pt>
                <c:pt idx="299">
                  <c:v>45198</c:v>
                </c:pt>
                <c:pt idx="300">
                  <c:v>45205</c:v>
                </c:pt>
                <c:pt idx="301">
                  <c:v>45212</c:v>
                </c:pt>
                <c:pt idx="302">
                  <c:v>45219</c:v>
                </c:pt>
                <c:pt idx="303">
                  <c:v>45226</c:v>
                </c:pt>
                <c:pt idx="304">
                  <c:v>45233</c:v>
                </c:pt>
                <c:pt idx="305">
                  <c:v>45240</c:v>
                </c:pt>
                <c:pt idx="306">
                  <c:v>45247</c:v>
                </c:pt>
                <c:pt idx="307">
                  <c:v>45254</c:v>
                </c:pt>
                <c:pt idx="308">
                  <c:v>45261</c:v>
                </c:pt>
                <c:pt idx="309">
                  <c:v>45268</c:v>
                </c:pt>
                <c:pt idx="310">
                  <c:v>45275</c:v>
                </c:pt>
                <c:pt idx="311">
                  <c:v>45282</c:v>
                </c:pt>
                <c:pt idx="312">
                  <c:v>45289</c:v>
                </c:pt>
                <c:pt idx="313">
                  <c:v>45296</c:v>
                </c:pt>
                <c:pt idx="314">
                  <c:v>45303</c:v>
                </c:pt>
                <c:pt idx="315">
                  <c:v>45310</c:v>
                </c:pt>
                <c:pt idx="316">
                  <c:v>45317</c:v>
                </c:pt>
                <c:pt idx="317">
                  <c:v>45324</c:v>
                </c:pt>
                <c:pt idx="318">
                  <c:v>45331</c:v>
                </c:pt>
                <c:pt idx="319">
                  <c:v>45338</c:v>
                </c:pt>
                <c:pt idx="320">
                  <c:v>45345</c:v>
                </c:pt>
                <c:pt idx="321">
                  <c:v>45352</c:v>
                </c:pt>
                <c:pt idx="322">
                  <c:v>45359</c:v>
                </c:pt>
                <c:pt idx="323">
                  <c:v>45366</c:v>
                </c:pt>
                <c:pt idx="324">
                  <c:v>45373</c:v>
                </c:pt>
                <c:pt idx="325">
                  <c:v>45380</c:v>
                </c:pt>
                <c:pt idx="326">
                  <c:v>45387</c:v>
                </c:pt>
                <c:pt idx="327">
                  <c:v>45394</c:v>
                </c:pt>
                <c:pt idx="328">
                  <c:v>45401</c:v>
                </c:pt>
                <c:pt idx="329">
                  <c:v>45408</c:v>
                </c:pt>
                <c:pt idx="330">
                  <c:v>45415</c:v>
                </c:pt>
                <c:pt idx="331">
                  <c:v>45422</c:v>
                </c:pt>
                <c:pt idx="332">
                  <c:v>45429</c:v>
                </c:pt>
                <c:pt idx="333">
                  <c:v>45436</c:v>
                </c:pt>
                <c:pt idx="334">
                  <c:v>45443</c:v>
                </c:pt>
                <c:pt idx="335">
                  <c:v>45450</c:v>
                </c:pt>
                <c:pt idx="336">
                  <c:v>45457</c:v>
                </c:pt>
                <c:pt idx="337">
                  <c:v>45464</c:v>
                </c:pt>
                <c:pt idx="338">
                  <c:v>45471</c:v>
                </c:pt>
                <c:pt idx="339">
                  <c:v>45478</c:v>
                </c:pt>
                <c:pt idx="340">
                  <c:v>45485</c:v>
                </c:pt>
                <c:pt idx="341">
                  <c:v>45492</c:v>
                </c:pt>
                <c:pt idx="342">
                  <c:v>45499</c:v>
                </c:pt>
                <c:pt idx="343">
                  <c:v>45506</c:v>
                </c:pt>
                <c:pt idx="344">
                  <c:v>45513</c:v>
                </c:pt>
                <c:pt idx="345">
                  <c:v>45520</c:v>
                </c:pt>
                <c:pt idx="346">
                  <c:v>45527</c:v>
                </c:pt>
                <c:pt idx="347">
                  <c:v>45534</c:v>
                </c:pt>
                <c:pt idx="348">
                  <c:v>45541</c:v>
                </c:pt>
                <c:pt idx="349">
                  <c:v>45548</c:v>
                </c:pt>
                <c:pt idx="350">
                  <c:v>45555</c:v>
                </c:pt>
                <c:pt idx="351">
                  <c:v>45562</c:v>
                </c:pt>
                <c:pt idx="352">
                  <c:v>45569</c:v>
                </c:pt>
                <c:pt idx="353">
                  <c:v>45576</c:v>
                </c:pt>
                <c:pt idx="354">
                  <c:v>45583</c:v>
                </c:pt>
                <c:pt idx="355">
                  <c:v>45590</c:v>
                </c:pt>
                <c:pt idx="356">
                  <c:v>45597</c:v>
                </c:pt>
                <c:pt idx="357">
                  <c:v>45604</c:v>
                </c:pt>
                <c:pt idx="358">
                  <c:v>45611</c:v>
                </c:pt>
                <c:pt idx="359">
                  <c:v>45618</c:v>
                </c:pt>
                <c:pt idx="360">
                  <c:v>45625</c:v>
                </c:pt>
                <c:pt idx="361">
                  <c:v>45632</c:v>
                </c:pt>
                <c:pt idx="362">
                  <c:v>45639</c:v>
                </c:pt>
                <c:pt idx="363">
                  <c:v>45646</c:v>
                </c:pt>
                <c:pt idx="364">
                  <c:v>45653</c:v>
                </c:pt>
                <c:pt idx="365">
                  <c:v>45660</c:v>
                </c:pt>
                <c:pt idx="366">
                  <c:v>45667</c:v>
                </c:pt>
                <c:pt idx="367">
                  <c:v>45674</c:v>
                </c:pt>
                <c:pt idx="368">
                  <c:v>45681</c:v>
                </c:pt>
                <c:pt idx="369">
                  <c:v>45688</c:v>
                </c:pt>
                <c:pt idx="370">
                  <c:v>45695</c:v>
                </c:pt>
                <c:pt idx="371">
                  <c:v>45702</c:v>
                </c:pt>
                <c:pt idx="372">
                  <c:v>45709</c:v>
                </c:pt>
                <c:pt idx="373">
                  <c:v>45716</c:v>
                </c:pt>
                <c:pt idx="374">
                  <c:v>45723</c:v>
                </c:pt>
                <c:pt idx="375">
                  <c:v>45730</c:v>
                </c:pt>
                <c:pt idx="376">
                  <c:v>45737</c:v>
                </c:pt>
                <c:pt idx="377">
                  <c:v>45744</c:v>
                </c:pt>
                <c:pt idx="378">
                  <c:v>45751</c:v>
                </c:pt>
                <c:pt idx="379">
                  <c:v>45758</c:v>
                </c:pt>
                <c:pt idx="380">
                  <c:v>45765</c:v>
                </c:pt>
                <c:pt idx="381">
                  <c:v>45772</c:v>
                </c:pt>
                <c:pt idx="382">
                  <c:v>45779</c:v>
                </c:pt>
                <c:pt idx="383">
                  <c:v>45786</c:v>
                </c:pt>
                <c:pt idx="384">
                  <c:v>45793</c:v>
                </c:pt>
                <c:pt idx="385">
                  <c:v>45800</c:v>
                </c:pt>
                <c:pt idx="386">
                  <c:v>45807</c:v>
                </c:pt>
                <c:pt idx="387">
                  <c:v>45814</c:v>
                </c:pt>
                <c:pt idx="388">
                  <c:v>45821</c:v>
                </c:pt>
                <c:pt idx="389">
                  <c:v>45828</c:v>
                </c:pt>
                <c:pt idx="390">
                  <c:v>45835</c:v>
                </c:pt>
                <c:pt idx="391">
                  <c:v>45842</c:v>
                </c:pt>
                <c:pt idx="392">
                  <c:v>45849</c:v>
                </c:pt>
                <c:pt idx="393">
                  <c:v>45856</c:v>
                </c:pt>
                <c:pt idx="394">
                  <c:v>45863</c:v>
                </c:pt>
                <c:pt idx="395">
                  <c:v>45870</c:v>
                </c:pt>
                <c:pt idx="396">
                  <c:v>45877</c:v>
                </c:pt>
                <c:pt idx="397">
                  <c:v>45884</c:v>
                </c:pt>
                <c:pt idx="398">
                  <c:v>45891</c:v>
                </c:pt>
                <c:pt idx="399">
                  <c:v>45898</c:v>
                </c:pt>
                <c:pt idx="400">
                  <c:v>45905</c:v>
                </c:pt>
                <c:pt idx="401">
                  <c:v>45912</c:v>
                </c:pt>
                <c:pt idx="402">
                  <c:v>45919</c:v>
                </c:pt>
                <c:pt idx="403">
                  <c:v>45926</c:v>
                </c:pt>
                <c:pt idx="404">
                  <c:v>45933</c:v>
                </c:pt>
                <c:pt idx="405">
                  <c:v>45940</c:v>
                </c:pt>
                <c:pt idx="406">
                  <c:v>45947</c:v>
                </c:pt>
                <c:pt idx="407">
                  <c:v>45954</c:v>
                </c:pt>
                <c:pt idx="408">
                  <c:v>45961</c:v>
                </c:pt>
                <c:pt idx="409">
                  <c:v>45968</c:v>
                </c:pt>
                <c:pt idx="410">
                  <c:v>45975</c:v>
                </c:pt>
                <c:pt idx="411">
                  <c:v>45982</c:v>
                </c:pt>
                <c:pt idx="412">
                  <c:v>45989</c:v>
                </c:pt>
                <c:pt idx="413">
                  <c:v>45996</c:v>
                </c:pt>
                <c:pt idx="414">
                  <c:v>46003</c:v>
                </c:pt>
                <c:pt idx="415">
                  <c:v>46010</c:v>
                </c:pt>
                <c:pt idx="416">
                  <c:v>46017</c:v>
                </c:pt>
                <c:pt idx="417">
                  <c:v>46024</c:v>
                </c:pt>
                <c:pt idx="418">
                  <c:v>46031</c:v>
                </c:pt>
                <c:pt idx="419">
                  <c:v>46038</c:v>
                </c:pt>
                <c:pt idx="420">
                  <c:v>46045</c:v>
                </c:pt>
                <c:pt idx="421">
                  <c:v>46052</c:v>
                </c:pt>
                <c:pt idx="422">
                  <c:v>46059</c:v>
                </c:pt>
                <c:pt idx="423">
                  <c:v>46066</c:v>
                </c:pt>
                <c:pt idx="424">
                  <c:v>46073</c:v>
                </c:pt>
                <c:pt idx="425">
                  <c:v>46080</c:v>
                </c:pt>
                <c:pt idx="426">
                  <c:v>46087</c:v>
                </c:pt>
                <c:pt idx="427">
                  <c:v>46094</c:v>
                </c:pt>
                <c:pt idx="428">
                  <c:v>46101</c:v>
                </c:pt>
                <c:pt idx="429">
                  <c:v>46108</c:v>
                </c:pt>
                <c:pt idx="430">
                  <c:v>46115</c:v>
                </c:pt>
                <c:pt idx="431">
                  <c:v>46122</c:v>
                </c:pt>
                <c:pt idx="432">
                  <c:v>46129</c:v>
                </c:pt>
                <c:pt idx="433">
                  <c:v>46136</c:v>
                </c:pt>
                <c:pt idx="434">
                  <c:v>46143</c:v>
                </c:pt>
                <c:pt idx="435">
                  <c:v>46150</c:v>
                </c:pt>
                <c:pt idx="436">
                  <c:v>46157</c:v>
                </c:pt>
                <c:pt idx="437">
                  <c:v>46164</c:v>
                </c:pt>
                <c:pt idx="438">
                  <c:v>46171</c:v>
                </c:pt>
                <c:pt idx="439">
                  <c:v>46178</c:v>
                </c:pt>
                <c:pt idx="440">
                  <c:v>46185</c:v>
                </c:pt>
                <c:pt idx="441">
                  <c:v>46192</c:v>
                </c:pt>
                <c:pt idx="442">
                  <c:v>46199</c:v>
                </c:pt>
                <c:pt idx="443">
                  <c:v>46206</c:v>
                </c:pt>
                <c:pt idx="444">
                  <c:v>46213</c:v>
                </c:pt>
                <c:pt idx="445">
                  <c:v>46220</c:v>
                </c:pt>
                <c:pt idx="446">
                  <c:v>46227</c:v>
                </c:pt>
                <c:pt idx="447">
                  <c:v>46234</c:v>
                </c:pt>
                <c:pt idx="448">
                  <c:v>46241</c:v>
                </c:pt>
                <c:pt idx="449">
                  <c:v>46248</c:v>
                </c:pt>
                <c:pt idx="450">
                  <c:v>46255</c:v>
                </c:pt>
                <c:pt idx="451">
                  <c:v>46262</c:v>
                </c:pt>
                <c:pt idx="452">
                  <c:v>46269</c:v>
                </c:pt>
                <c:pt idx="453">
                  <c:v>46276</c:v>
                </c:pt>
                <c:pt idx="454">
                  <c:v>46283</c:v>
                </c:pt>
                <c:pt idx="455">
                  <c:v>46290</c:v>
                </c:pt>
                <c:pt idx="456">
                  <c:v>46297</c:v>
                </c:pt>
              </c:numCache>
            </c:numRef>
          </c:cat>
          <c:val>
            <c:numRef>
              <c:f>'Indice Utilities'!$AS$58:$AS$1000</c:f>
              <c:numCache>
                <c:formatCode>General</c:formatCode>
                <c:ptCount val="943"/>
                <c:pt idx="0">
                  <c:v>1.2988942863719832</c:v>
                </c:pt>
                <c:pt idx="1">
                  <c:v>1.3003166118240412</c:v>
                </c:pt>
                <c:pt idx="2">
                  <c:v>1.3093416272294569</c:v>
                </c:pt>
                <c:pt idx="3">
                  <c:v>1.3154363186271656</c:v>
                </c:pt>
                <c:pt idx="4">
                  <c:v>1.3323739151751965</c:v>
                </c:pt>
                <c:pt idx="5">
                  <c:v>1.3330759369557272</c:v>
                </c:pt>
                <c:pt idx="6">
                  <c:v>1.3471513317010946</c:v>
                </c:pt>
                <c:pt idx="7">
                  <c:v>1.347811315962826</c:v>
                </c:pt>
                <c:pt idx="8">
                  <c:v>1.347811315962826</c:v>
                </c:pt>
                <c:pt idx="9">
                  <c:v>1.347811315962826</c:v>
                </c:pt>
                <c:pt idx="10">
                  <c:v>1.347811315962826</c:v>
                </c:pt>
                <c:pt idx="11">
                  <c:v>1.3481463439933534</c:v>
                </c:pt>
                <c:pt idx="12">
                  <c:v>1.3481463439933534</c:v>
                </c:pt>
                <c:pt idx="13">
                  <c:v>1.3498696298549839</c:v>
                </c:pt>
                <c:pt idx="14">
                  <c:v>1.3504937141367912</c:v>
                </c:pt>
                <c:pt idx="15">
                  <c:v>1.3504937141367912</c:v>
                </c:pt>
                <c:pt idx="16">
                  <c:v>1.3504937141367912</c:v>
                </c:pt>
                <c:pt idx="17">
                  <c:v>1.3504937141367912</c:v>
                </c:pt>
                <c:pt idx="18">
                  <c:v>1.3504937141367912</c:v>
                </c:pt>
                <c:pt idx="19">
                  <c:v>1.3504937141367912</c:v>
                </c:pt>
                <c:pt idx="20">
                  <c:v>1.3507358278420443</c:v>
                </c:pt>
                <c:pt idx="21">
                  <c:v>1.35194755310035</c:v>
                </c:pt>
                <c:pt idx="22">
                  <c:v>1.3715677993903608</c:v>
                </c:pt>
                <c:pt idx="23">
                  <c:v>1.377784709751529</c:v>
                </c:pt>
                <c:pt idx="24">
                  <c:v>1.3810273225429985</c:v>
                </c:pt>
                <c:pt idx="25">
                  <c:v>1.3810273225429985</c:v>
                </c:pt>
                <c:pt idx="26">
                  <c:v>1.3810273225429985</c:v>
                </c:pt>
                <c:pt idx="27">
                  <c:v>1.3810273225429985</c:v>
                </c:pt>
                <c:pt idx="28">
                  <c:v>1.3810273225429985</c:v>
                </c:pt>
                <c:pt idx="29">
                  <c:v>1.3810273225429985</c:v>
                </c:pt>
                <c:pt idx="30">
                  <c:v>1.3810273225429985</c:v>
                </c:pt>
                <c:pt idx="31">
                  <c:v>1.3810273225429985</c:v>
                </c:pt>
                <c:pt idx="32">
                  <c:v>1.4006290543941988</c:v>
                </c:pt>
                <c:pt idx="33">
                  <c:v>1.401670430302572</c:v>
                </c:pt>
                <c:pt idx="34">
                  <c:v>1.401670430302572</c:v>
                </c:pt>
                <c:pt idx="35">
                  <c:v>1.4043260329843694</c:v>
                </c:pt>
                <c:pt idx="36">
                  <c:v>1.4057465246709437</c:v>
                </c:pt>
                <c:pt idx="37">
                  <c:v>1.4284639984296821</c:v>
                </c:pt>
                <c:pt idx="38">
                  <c:v>1.4382681171471305</c:v>
                </c:pt>
                <c:pt idx="39">
                  <c:v>1.4408393143937588</c:v>
                </c:pt>
                <c:pt idx="40">
                  <c:v>1.4408393143937588</c:v>
                </c:pt>
                <c:pt idx="41">
                  <c:v>1.4408393143937588</c:v>
                </c:pt>
                <c:pt idx="42">
                  <c:v>1.4408393143937588</c:v>
                </c:pt>
                <c:pt idx="43">
                  <c:v>1.4408393143937588</c:v>
                </c:pt>
                <c:pt idx="44">
                  <c:v>1.4408393143937588</c:v>
                </c:pt>
                <c:pt idx="45">
                  <c:v>1.4408393143937588</c:v>
                </c:pt>
                <c:pt idx="46">
                  <c:v>1.4408393143937588</c:v>
                </c:pt>
                <c:pt idx="47">
                  <c:v>1.4408393143937588</c:v>
                </c:pt>
                <c:pt idx="48">
                  <c:v>1.4408393143937588</c:v>
                </c:pt>
                <c:pt idx="49">
                  <c:v>1.4502588226406388</c:v>
                </c:pt>
                <c:pt idx="50">
                  <c:v>1.4640618074476985</c:v>
                </c:pt>
                <c:pt idx="51">
                  <c:v>1.4730068327530921</c:v>
                </c:pt>
                <c:pt idx="52">
                  <c:v>1.4730068327530921</c:v>
                </c:pt>
                <c:pt idx="53">
                  <c:v>1.4730068327530921</c:v>
                </c:pt>
                <c:pt idx="54">
                  <c:v>1.4730068327530921</c:v>
                </c:pt>
                <c:pt idx="55">
                  <c:v>1.4730068327530921</c:v>
                </c:pt>
                <c:pt idx="56">
                  <c:v>1.4730068327530921</c:v>
                </c:pt>
                <c:pt idx="57">
                  <c:v>1.4730068327530921</c:v>
                </c:pt>
                <c:pt idx="58">
                  <c:v>1.4730068327530921</c:v>
                </c:pt>
                <c:pt idx="59">
                  <c:v>1.4730068327530921</c:v>
                </c:pt>
                <c:pt idx="60">
                  <c:v>1.4730068327530921</c:v>
                </c:pt>
                <c:pt idx="61">
                  <c:v>1.4730068327530921</c:v>
                </c:pt>
                <c:pt idx="62">
                  <c:v>1.4767896097003199</c:v>
                </c:pt>
                <c:pt idx="63">
                  <c:v>1.4767896097003199</c:v>
                </c:pt>
                <c:pt idx="64">
                  <c:v>1.4767896097003199</c:v>
                </c:pt>
                <c:pt idx="65">
                  <c:v>1.4767896097003199</c:v>
                </c:pt>
                <c:pt idx="66">
                  <c:v>1.4767896097003199</c:v>
                </c:pt>
                <c:pt idx="67">
                  <c:v>1.4767896097003199</c:v>
                </c:pt>
                <c:pt idx="68">
                  <c:v>1.4767896097003199</c:v>
                </c:pt>
                <c:pt idx="69">
                  <c:v>1.4767896097003199</c:v>
                </c:pt>
                <c:pt idx="70">
                  <c:v>1.4767896097003199</c:v>
                </c:pt>
                <c:pt idx="71">
                  <c:v>1.4767896097003199</c:v>
                </c:pt>
                <c:pt idx="72">
                  <c:v>1.4767896097003199</c:v>
                </c:pt>
                <c:pt idx="73">
                  <c:v>1.4767896097003199</c:v>
                </c:pt>
                <c:pt idx="74">
                  <c:v>1.4767896097003199</c:v>
                </c:pt>
                <c:pt idx="75">
                  <c:v>1.4767896097003199</c:v>
                </c:pt>
                <c:pt idx="76">
                  <c:v>1.4767896097003199</c:v>
                </c:pt>
                <c:pt idx="77">
                  <c:v>1.4767896097003199</c:v>
                </c:pt>
                <c:pt idx="78">
                  <c:v>1.4767896097003199</c:v>
                </c:pt>
                <c:pt idx="79">
                  <c:v>1.4767896097003199</c:v>
                </c:pt>
                <c:pt idx="80">
                  <c:v>1.4767896097003199</c:v>
                </c:pt>
                <c:pt idx="81">
                  <c:v>1.4767896097003199</c:v>
                </c:pt>
                <c:pt idx="82">
                  <c:v>1.4767896097003199</c:v>
                </c:pt>
                <c:pt idx="83">
                  <c:v>1.4767896097003199</c:v>
                </c:pt>
                <c:pt idx="84">
                  <c:v>1.4767896097003199</c:v>
                </c:pt>
                <c:pt idx="85">
                  <c:v>1.4767896097003199</c:v>
                </c:pt>
                <c:pt idx="86">
                  <c:v>1.4767896097003199</c:v>
                </c:pt>
                <c:pt idx="87">
                  <c:v>1.4767896097003199</c:v>
                </c:pt>
                <c:pt idx="88">
                  <c:v>1.4730068327530921</c:v>
                </c:pt>
                <c:pt idx="89">
                  <c:v>1.4653700693198413</c:v>
                </c:pt>
                <c:pt idx="90">
                  <c:v>1.4630222998829576</c:v>
                </c:pt>
                <c:pt idx="91">
                  <c:v>1.4489446384610223</c:v>
                </c:pt>
                <c:pt idx="92">
                  <c:v>1.4489446384610223</c:v>
                </c:pt>
                <c:pt idx="93">
                  <c:v>1.4489446384610223</c:v>
                </c:pt>
                <c:pt idx="94">
                  <c:v>1.4489446384610223</c:v>
                </c:pt>
                <c:pt idx="95">
                  <c:v>1.4489446384610223</c:v>
                </c:pt>
                <c:pt idx="96">
                  <c:v>1.4489446384610223</c:v>
                </c:pt>
                <c:pt idx="97">
                  <c:v>1.4489446384610223</c:v>
                </c:pt>
                <c:pt idx="98">
                  <c:v>1.4489446384610223</c:v>
                </c:pt>
                <c:pt idx="99">
                  <c:v>1.4489446384610223</c:v>
                </c:pt>
                <c:pt idx="100">
                  <c:v>1.4489446384610223</c:v>
                </c:pt>
                <c:pt idx="101">
                  <c:v>1.4311086416328977</c:v>
                </c:pt>
                <c:pt idx="102">
                  <c:v>1.4305146005477065</c:v>
                </c:pt>
                <c:pt idx="103">
                  <c:v>1.4250463960426767</c:v>
                </c:pt>
                <c:pt idx="104">
                  <c:v>1.4221350500206316</c:v>
                </c:pt>
                <c:pt idx="105">
                  <c:v>1.4206777420043148</c:v>
                </c:pt>
                <c:pt idx="106">
                  <c:v>1.408129671097275</c:v>
                </c:pt>
                <c:pt idx="107">
                  <c:v>1.405665017821589</c:v>
                </c:pt>
                <c:pt idx="108">
                  <c:v>1.3990219617302677</c:v>
                </c:pt>
                <c:pt idx="109">
                  <c:v>1.392448301988618</c:v>
                </c:pt>
                <c:pt idx="110">
                  <c:v>1.3904190697363172</c:v>
                </c:pt>
                <c:pt idx="111">
                  <c:v>1.3904190697363172</c:v>
                </c:pt>
                <c:pt idx="112">
                  <c:v>1.3903854069161299</c:v>
                </c:pt>
                <c:pt idx="113">
                  <c:v>1.3840116391903696</c:v>
                </c:pt>
                <c:pt idx="114">
                  <c:v>1.3652052557844405</c:v>
                </c:pt>
                <c:pt idx="115">
                  <c:v>1.3631696388017358</c:v>
                </c:pt>
                <c:pt idx="116">
                  <c:v>1.3601743476531241</c:v>
                </c:pt>
                <c:pt idx="117">
                  <c:v>1.3538299626174228</c:v>
                </c:pt>
                <c:pt idx="118">
                  <c:v>1.3527275771321796</c:v>
                </c:pt>
                <c:pt idx="119">
                  <c:v>1.3527275771321796</c:v>
                </c:pt>
                <c:pt idx="120">
                  <c:v>1.3527275771321796</c:v>
                </c:pt>
                <c:pt idx="121">
                  <c:v>1.3173123428310509</c:v>
                </c:pt>
                <c:pt idx="122">
                  <c:v>1.2827073290285671</c:v>
                </c:pt>
                <c:pt idx="123">
                  <c:v>1.2802356838709108</c:v>
                </c:pt>
                <c:pt idx="124">
                  <c:v>1.2725378970031782</c:v>
                </c:pt>
                <c:pt idx="125">
                  <c:v>1.2588535789319484</c:v>
                </c:pt>
                <c:pt idx="126">
                  <c:v>1.2561654543528404</c:v>
                </c:pt>
                <c:pt idx="127">
                  <c:v>1.244898247310652</c:v>
                </c:pt>
                <c:pt idx="128">
                  <c:v>1.2435891912770674</c:v>
                </c:pt>
                <c:pt idx="129">
                  <c:v>1.2415950331872223</c:v>
                </c:pt>
                <c:pt idx="130">
                  <c:v>1.2415950331872223</c:v>
                </c:pt>
                <c:pt idx="131">
                  <c:v>1.2395235094586299</c:v>
                </c:pt>
                <c:pt idx="132">
                  <c:v>1.1951115135607058</c:v>
                </c:pt>
                <c:pt idx="133">
                  <c:v>1.1825635793976839</c:v>
                </c:pt>
                <c:pt idx="134">
                  <c:v>1.1693709190946262</c:v>
                </c:pt>
                <c:pt idx="135">
                  <c:v>1.1631047602315632</c:v>
                </c:pt>
                <c:pt idx="136">
                  <c:v>1.1547907449104842</c:v>
                </c:pt>
                <c:pt idx="137">
                  <c:v>1.1465272131736544</c:v>
                </c:pt>
                <c:pt idx="138">
                  <c:v>1.1291425597840596</c:v>
                </c:pt>
                <c:pt idx="139">
                  <c:v>1.1291425597840596</c:v>
                </c:pt>
                <c:pt idx="140">
                  <c:v>1.1239646479992624</c:v>
                </c:pt>
                <c:pt idx="141">
                  <c:v>1.0740129172041084</c:v>
                </c:pt>
                <c:pt idx="142">
                  <c:v>1.0707214056414851</c:v>
                </c:pt>
                <c:pt idx="143">
                  <c:v>1.0648324501153763</c:v>
                </c:pt>
                <c:pt idx="144">
                  <c:v>1.0537472984286713</c:v>
                </c:pt>
                <c:pt idx="145">
                  <c:v>1.0487841180297688</c:v>
                </c:pt>
                <c:pt idx="146">
                  <c:v>1.045829679472859</c:v>
                </c:pt>
                <c:pt idx="147">
                  <c:v>1.045829679472859</c:v>
                </c:pt>
                <c:pt idx="148">
                  <c:v>1.045829679472859</c:v>
                </c:pt>
                <c:pt idx="149">
                  <c:v>1.0487841180297688</c:v>
                </c:pt>
                <c:pt idx="150">
                  <c:v>1.0487841180297688</c:v>
                </c:pt>
                <c:pt idx="151">
                  <c:v>1.0487841180297688</c:v>
                </c:pt>
                <c:pt idx="152">
                  <c:v>1.0487841180297688</c:v>
                </c:pt>
                <c:pt idx="153">
                  <c:v>1.0487841180297688</c:v>
                </c:pt>
                <c:pt idx="154">
                  <c:v>1.0487841180297688</c:v>
                </c:pt>
                <c:pt idx="155">
                  <c:v>1.0487841180297688</c:v>
                </c:pt>
                <c:pt idx="156">
                  <c:v>1.0487841180297688</c:v>
                </c:pt>
                <c:pt idx="157">
                  <c:v>1.0487841180297688</c:v>
                </c:pt>
                <c:pt idx="158">
                  <c:v>1.0487841180297688</c:v>
                </c:pt>
                <c:pt idx="159">
                  <c:v>1.0487841180297688</c:v>
                </c:pt>
                <c:pt idx="160">
                  <c:v>1.0487841180297688</c:v>
                </c:pt>
                <c:pt idx="161">
                  <c:v>1.0487841180297688</c:v>
                </c:pt>
                <c:pt idx="162">
                  <c:v>1.0487841180297688</c:v>
                </c:pt>
                <c:pt idx="163">
                  <c:v>1.0487841180297688</c:v>
                </c:pt>
                <c:pt idx="164">
                  <c:v>1.0487841180297688</c:v>
                </c:pt>
                <c:pt idx="165">
                  <c:v>1.0487841180297688</c:v>
                </c:pt>
                <c:pt idx="166">
                  <c:v>1.0487841180297688</c:v>
                </c:pt>
                <c:pt idx="167">
                  <c:v>1.0487841180297688</c:v>
                </c:pt>
                <c:pt idx="168">
                  <c:v>1.0487841180297688</c:v>
                </c:pt>
                <c:pt idx="169">
                  <c:v>1.0487841180297688</c:v>
                </c:pt>
                <c:pt idx="170">
                  <c:v>1.0479708114072006</c:v>
                </c:pt>
                <c:pt idx="171">
                  <c:v>1.0373784143716864</c:v>
                </c:pt>
                <c:pt idx="172">
                  <c:v>1.0373784143716864</c:v>
                </c:pt>
                <c:pt idx="173">
                  <c:v>1.0300063678773204</c:v>
                </c:pt>
                <c:pt idx="174">
                  <c:v>1.0294988546159642</c:v>
                </c:pt>
                <c:pt idx="175">
                  <c:v>1.0294988546159642</c:v>
                </c:pt>
                <c:pt idx="176">
                  <c:v>1.0152419777339312</c:v>
                </c:pt>
                <c:pt idx="177">
                  <c:v>1.0038042016599718</c:v>
                </c:pt>
                <c:pt idx="178">
                  <c:v>0.99585871507073598</c:v>
                </c:pt>
                <c:pt idx="179">
                  <c:v>0.99585871507073598</c:v>
                </c:pt>
                <c:pt idx="180">
                  <c:v>0.99585871507073598</c:v>
                </c:pt>
                <c:pt idx="181">
                  <c:v>0.99585871507073598</c:v>
                </c:pt>
                <c:pt idx="182">
                  <c:v>0.99585871507073598</c:v>
                </c:pt>
                <c:pt idx="183">
                  <c:v>0.99585871507073598</c:v>
                </c:pt>
                <c:pt idx="184">
                  <c:v>0.99401904206346425</c:v>
                </c:pt>
                <c:pt idx="185">
                  <c:v>0.99401904206346425</c:v>
                </c:pt>
                <c:pt idx="186">
                  <c:v>0.99401904206346425</c:v>
                </c:pt>
                <c:pt idx="187">
                  <c:v>0.99401904206346425</c:v>
                </c:pt>
                <c:pt idx="188">
                  <c:v>0.99401904206346425</c:v>
                </c:pt>
                <c:pt idx="189">
                  <c:v>0.99401904206346425</c:v>
                </c:pt>
                <c:pt idx="190">
                  <c:v>0.99401904206346425</c:v>
                </c:pt>
                <c:pt idx="191">
                  <c:v>0.99401904206346425</c:v>
                </c:pt>
                <c:pt idx="192">
                  <c:v>0.99401904206346425</c:v>
                </c:pt>
                <c:pt idx="193">
                  <c:v>0.99401904206346425</c:v>
                </c:pt>
                <c:pt idx="194">
                  <c:v>0.99401904206346425</c:v>
                </c:pt>
                <c:pt idx="195">
                  <c:v>0.99401904206346425</c:v>
                </c:pt>
                <c:pt idx="196">
                  <c:v>1.0031088277554661</c:v>
                </c:pt>
                <c:pt idx="197">
                  <c:v>1.004609769736053</c:v>
                </c:pt>
                <c:pt idx="198">
                  <c:v>1.004609769736053</c:v>
                </c:pt>
                <c:pt idx="199">
                  <c:v>1.004609769736053</c:v>
                </c:pt>
                <c:pt idx="200">
                  <c:v>1.004609769736053</c:v>
                </c:pt>
                <c:pt idx="201">
                  <c:v>1.004609769736053</c:v>
                </c:pt>
                <c:pt idx="202">
                  <c:v>1.0031088277554661</c:v>
                </c:pt>
                <c:pt idx="203">
                  <c:v>1.0031088277554661</c:v>
                </c:pt>
                <c:pt idx="204">
                  <c:v>1.0031088277554661</c:v>
                </c:pt>
                <c:pt idx="205">
                  <c:v>1.0031088277554661</c:v>
                </c:pt>
                <c:pt idx="206">
                  <c:v>1.0031088277554661</c:v>
                </c:pt>
                <c:pt idx="207">
                  <c:v>1.0031088277554661</c:v>
                </c:pt>
                <c:pt idx="208">
                  <c:v>1.0031088277554661</c:v>
                </c:pt>
                <c:pt idx="209">
                  <c:v>1.0031088277554661</c:v>
                </c:pt>
                <c:pt idx="210">
                  <c:v>1.0031088277554661</c:v>
                </c:pt>
                <c:pt idx="211">
                  <c:v>1.0031088277554661</c:v>
                </c:pt>
                <c:pt idx="212">
                  <c:v>1.0028229483707234</c:v>
                </c:pt>
                <c:pt idx="213">
                  <c:v>1.0026983494597905</c:v>
                </c:pt>
                <c:pt idx="214">
                  <c:v>1.0026983494597905</c:v>
                </c:pt>
                <c:pt idx="215">
                  <c:v>1.0026983494597905</c:v>
                </c:pt>
                <c:pt idx="216">
                  <c:v>1.0154493633478925</c:v>
                </c:pt>
                <c:pt idx="217">
                  <c:v>1.0180749140850516</c:v>
                </c:pt>
                <c:pt idx="218">
                  <c:v>1.0310598853698121</c:v>
                </c:pt>
                <c:pt idx="219">
                  <c:v>1.0445860075545204</c:v>
                </c:pt>
                <c:pt idx="220">
                  <c:v>1.0445860075545204</c:v>
                </c:pt>
                <c:pt idx="221">
                  <c:v>1.045229397004884</c:v>
                </c:pt>
                <c:pt idx="222">
                  <c:v>1.0542668597593927</c:v>
                </c:pt>
                <c:pt idx="223">
                  <c:v>1.0552531904976241</c:v>
                </c:pt>
                <c:pt idx="224">
                  <c:v>1.0645684164743185</c:v>
                </c:pt>
                <c:pt idx="225">
                  <c:v>1.0650693018895225</c:v>
                </c:pt>
                <c:pt idx="226">
                  <c:v>1.065208379509375</c:v>
                </c:pt>
                <c:pt idx="227">
                  <c:v>1.065208379509375</c:v>
                </c:pt>
                <c:pt idx="228">
                  <c:v>1.065208379509375</c:v>
                </c:pt>
                <c:pt idx="229">
                  <c:v>1.065208379509375</c:v>
                </c:pt>
                <c:pt idx="230">
                  <c:v>1.0667330951949805</c:v>
                </c:pt>
                <c:pt idx="231">
                  <c:v>1.0686767137867861</c:v>
                </c:pt>
                <c:pt idx="232">
                  <c:v>1.0769594450527522</c:v>
                </c:pt>
                <c:pt idx="233">
                  <c:v>1.0769594450527522</c:v>
                </c:pt>
                <c:pt idx="234">
                  <c:v>1.0769594450527522</c:v>
                </c:pt>
                <c:pt idx="235">
                  <c:v>1.0769594450527522</c:v>
                </c:pt>
                <c:pt idx="236">
                  <c:v>1.0769594450527522</c:v>
                </c:pt>
                <c:pt idx="237">
                  <c:v>1.0769594450527522</c:v>
                </c:pt>
                <c:pt idx="238">
                  <c:v>1.0769594450527522</c:v>
                </c:pt>
                <c:pt idx="239">
                  <c:v>1.0769594450527522</c:v>
                </c:pt>
                <c:pt idx="240">
                  <c:v>1.0832306549494735</c:v>
                </c:pt>
                <c:pt idx="241">
                  <c:v>1.0859697684112011</c:v>
                </c:pt>
                <c:pt idx="242">
                  <c:v>1.0899079170945369</c:v>
                </c:pt>
                <c:pt idx="243">
                  <c:v>1.0922800403228767</c:v>
                </c:pt>
                <c:pt idx="244">
                  <c:v>1.0922800403228767</c:v>
                </c:pt>
                <c:pt idx="245">
                  <c:v>1.0942286007021245</c:v>
                </c:pt>
                <c:pt idx="246">
                  <c:v>1.097588837355475</c:v>
                </c:pt>
                <c:pt idx="247">
                  <c:v>1.0980906271658006</c:v>
                </c:pt>
                <c:pt idx="248">
                  <c:v>1.1016123504192075</c:v>
                </c:pt>
                <c:pt idx="249">
                  <c:v>1.1051104942035568</c:v>
                </c:pt>
                <c:pt idx="250">
                  <c:v>1.1082833710624727</c:v>
                </c:pt>
                <c:pt idx="251">
                  <c:v>1.121531027939537</c:v>
                </c:pt>
                <c:pt idx="252">
                  <c:v>1.1469101140953373</c:v>
                </c:pt>
                <c:pt idx="253">
                  <c:v>1.1759128342537462</c:v>
                </c:pt>
                <c:pt idx="254">
                  <c:v>1.1826689434434312</c:v>
                </c:pt>
                <c:pt idx="255">
                  <c:v>1.185381134773261</c:v>
                </c:pt>
                <c:pt idx="256">
                  <c:v>1.2032565266004511</c:v>
                </c:pt>
                <c:pt idx="257">
                  <c:v>1.2099086271306949</c:v>
                </c:pt>
                <c:pt idx="258">
                  <c:v>1.2252082656614494</c:v>
                </c:pt>
                <c:pt idx="259">
                  <c:v>1.2751429961506417</c:v>
                </c:pt>
                <c:pt idx="260">
                  <c:v>1.2817546183286452</c:v>
                </c:pt>
                <c:pt idx="261">
                  <c:v>1.2930405421852604</c:v>
                </c:pt>
                <c:pt idx="262">
                  <c:v>1.332718541747133</c:v>
                </c:pt>
                <c:pt idx="263">
                  <c:v>1.332718541747133</c:v>
                </c:pt>
                <c:pt idx="264">
                  <c:v>1.332718541747133</c:v>
                </c:pt>
                <c:pt idx="265">
                  <c:v>1.332718541747133</c:v>
                </c:pt>
                <c:pt idx="266">
                  <c:v>1.332718541747133</c:v>
                </c:pt>
                <c:pt idx="267">
                  <c:v>1.332718541747133</c:v>
                </c:pt>
                <c:pt idx="268">
                  <c:v>1.332718541747133</c:v>
                </c:pt>
                <c:pt idx="269">
                  <c:v>1.332718541747133</c:v>
                </c:pt>
                <c:pt idx="270">
                  <c:v>1.332718541747133</c:v>
                </c:pt>
                <c:pt idx="271">
                  <c:v>1.332718541747133</c:v>
                </c:pt>
                <c:pt idx="272">
                  <c:v>1.332718541747133</c:v>
                </c:pt>
                <c:pt idx="273">
                  <c:v>1.332718541747133</c:v>
                </c:pt>
                <c:pt idx="274">
                  <c:v>1.332718541747133</c:v>
                </c:pt>
                <c:pt idx="275">
                  <c:v>1.332718541747133</c:v>
                </c:pt>
                <c:pt idx="276">
                  <c:v>1.332718541747133</c:v>
                </c:pt>
                <c:pt idx="277">
                  <c:v>1.332718541747133</c:v>
                </c:pt>
                <c:pt idx="278">
                  <c:v>1.332718541747133</c:v>
                </c:pt>
                <c:pt idx="279">
                  <c:v>1.332718541747133</c:v>
                </c:pt>
                <c:pt idx="280">
                  <c:v>1.3362543858390308</c:v>
                </c:pt>
                <c:pt idx="281">
                  <c:v>1.3362543858390308</c:v>
                </c:pt>
                <c:pt idx="282">
                  <c:v>1.3362543858390308</c:v>
                </c:pt>
                <c:pt idx="283">
                  <c:v>1.3383548521445987</c:v>
                </c:pt>
                <c:pt idx="284">
                  <c:v>1.3383548521445987</c:v>
                </c:pt>
                <c:pt idx="285">
                  <c:v>1.3383548521445987</c:v>
                </c:pt>
                <c:pt idx="286">
                  <c:v>1.3383548521445987</c:v>
                </c:pt>
                <c:pt idx="287">
                  <c:v>1.3383548521445987</c:v>
                </c:pt>
                <c:pt idx="288">
                  <c:v>1.3383548521445987</c:v>
                </c:pt>
                <c:pt idx="289">
                  <c:v>1.3383548521445987</c:v>
                </c:pt>
                <c:pt idx="290">
                  <c:v>1.3383548521445987</c:v>
                </c:pt>
                <c:pt idx="291">
                  <c:v>1.3383548521445987</c:v>
                </c:pt>
                <c:pt idx="292">
                  <c:v>1.3383548521445987</c:v>
                </c:pt>
                <c:pt idx="293">
                  <c:v>1.3383548521445987</c:v>
                </c:pt>
                <c:pt idx="294">
                  <c:v>1.3383548521445987</c:v>
                </c:pt>
                <c:pt idx="295">
                  <c:v>1.3383548521445987</c:v>
                </c:pt>
                <c:pt idx="296">
                  <c:v>1.3383548521445987</c:v>
                </c:pt>
                <c:pt idx="297">
                  <c:v>1.3383548521445987</c:v>
                </c:pt>
                <c:pt idx="298">
                  <c:v>1.3383548521445987</c:v>
                </c:pt>
                <c:pt idx="299">
                  <c:v>1.3383548521445987</c:v>
                </c:pt>
                <c:pt idx="300">
                  <c:v>1.3383548521445987</c:v>
                </c:pt>
                <c:pt idx="301">
                  <c:v>1.3383548521445987</c:v>
                </c:pt>
                <c:pt idx="302">
                  <c:v>1.3383548521445987</c:v>
                </c:pt>
                <c:pt idx="303">
                  <c:v>1.3383548521445987</c:v>
                </c:pt>
                <c:pt idx="304">
                  <c:v>1.3383548521445987</c:v>
                </c:pt>
                <c:pt idx="305">
                  <c:v>1.3383548521445987</c:v>
                </c:pt>
                <c:pt idx="306">
                  <c:v>1.3383548521445987</c:v>
                </c:pt>
                <c:pt idx="307">
                  <c:v>1.3383548521445987</c:v>
                </c:pt>
                <c:pt idx="308">
                  <c:v>1.3383548521445987</c:v>
                </c:pt>
                <c:pt idx="309">
                  <c:v>1.3376196531448501</c:v>
                </c:pt>
                <c:pt idx="310">
                  <c:v>1.3292942220557427</c:v>
                </c:pt>
                <c:pt idx="311">
                  <c:v>1.3292942220557427</c:v>
                </c:pt>
                <c:pt idx="312">
                  <c:v>1.3259650354154973</c:v>
                </c:pt>
                <c:pt idx="313">
                  <c:v>1.3259650354154973</c:v>
                </c:pt>
                <c:pt idx="314">
                  <c:v>1.3259650354154973</c:v>
                </c:pt>
                <c:pt idx="315">
                  <c:v>1.3292942220557427</c:v>
                </c:pt>
                <c:pt idx="316">
                  <c:v>1.333186521937699</c:v>
                </c:pt>
                <c:pt idx="317">
                  <c:v>1.333186521937699</c:v>
                </c:pt>
                <c:pt idx="318">
                  <c:v>1.333186521937699</c:v>
                </c:pt>
                <c:pt idx="319">
                  <c:v>1.333186521937699</c:v>
                </c:pt>
                <c:pt idx="320">
                  <c:v>1.333186521937699</c:v>
                </c:pt>
                <c:pt idx="321">
                  <c:v>1.333186521937699</c:v>
                </c:pt>
                <c:pt idx="322">
                  <c:v>1.333186521937699</c:v>
                </c:pt>
                <c:pt idx="323">
                  <c:v>1.333186521937699</c:v>
                </c:pt>
                <c:pt idx="324">
                  <c:v>1.333186521937699</c:v>
                </c:pt>
                <c:pt idx="325">
                  <c:v>1.333186521937699</c:v>
                </c:pt>
                <c:pt idx="326">
                  <c:v>1.333186521937699</c:v>
                </c:pt>
                <c:pt idx="327">
                  <c:v>1.333186521937699</c:v>
                </c:pt>
                <c:pt idx="328">
                  <c:v>1.333186521937699</c:v>
                </c:pt>
                <c:pt idx="329">
                  <c:v>1.333186521937699</c:v>
                </c:pt>
                <c:pt idx="330">
                  <c:v>1.333186521937699</c:v>
                </c:pt>
                <c:pt idx="331">
                  <c:v>1.333186521937699</c:v>
                </c:pt>
                <c:pt idx="332">
                  <c:v>1.3329294724820262</c:v>
                </c:pt>
                <c:pt idx="333">
                  <c:v>1.3329294724820262</c:v>
                </c:pt>
                <c:pt idx="334">
                  <c:v>1.3329294724820262</c:v>
                </c:pt>
                <c:pt idx="335">
                  <c:v>1.3267419453843896</c:v>
                </c:pt>
                <c:pt idx="336">
                  <c:v>1.3267419453843896</c:v>
                </c:pt>
                <c:pt idx="337">
                  <c:v>1.3267419453843896</c:v>
                </c:pt>
                <c:pt idx="338">
                  <c:v>1.3267419453843896</c:v>
                </c:pt>
                <c:pt idx="339">
                  <c:v>1.3267419453843896</c:v>
                </c:pt>
                <c:pt idx="340">
                  <c:v>1.3267419453843896</c:v>
                </c:pt>
                <c:pt idx="341">
                  <c:v>1.3267419453843896</c:v>
                </c:pt>
                <c:pt idx="342">
                  <c:v>1.3267419453843896</c:v>
                </c:pt>
                <c:pt idx="343">
                  <c:v>1.3267419453843896</c:v>
                </c:pt>
                <c:pt idx="344">
                  <c:v>1.3267419453843896</c:v>
                </c:pt>
                <c:pt idx="345">
                  <c:v>1.3267419453843896</c:v>
                </c:pt>
                <c:pt idx="346">
                  <c:v>1.3267419453843896</c:v>
                </c:pt>
                <c:pt idx="347">
                  <c:v>1.3267419453843896</c:v>
                </c:pt>
                <c:pt idx="348">
                  <c:v>1.3267419453843896</c:v>
                </c:pt>
                <c:pt idx="349">
                  <c:v>1.3267419453843896</c:v>
                </c:pt>
                <c:pt idx="350">
                  <c:v>1.3267419453843896</c:v>
                </c:pt>
                <c:pt idx="351">
                  <c:v>1.3267419453843896</c:v>
                </c:pt>
                <c:pt idx="352">
                  <c:v>1.3267419453843896</c:v>
                </c:pt>
                <c:pt idx="353">
                  <c:v>1.3267419453843896</c:v>
                </c:pt>
                <c:pt idx="354">
                  <c:v>1.3267419453843896</c:v>
                </c:pt>
                <c:pt idx="355">
                  <c:v>1.3267419453843896</c:v>
                </c:pt>
                <c:pt idx="356">
                  <c:v>1.3267419453843896</c:v>
                </c:pt>
                <c:pt idx="357">
                  <c:v>1.3267419453843896</c:v>
                </c:pt>
                <c:pt idx="358">
                  <c:v>1.3267419453843896</c:v>
                </c:pt>
                <c:pt idx="359">
                  <c:v>1.3267419453843896</c:v>
                </c:pt>
                <c:pt idx="360">
                  <c:v>1.3267419453843896</c:v>
                </c:pt>
                <c:pt idx="361">
                  <c:v>1.3267419453843896</c:v>
                </c:pt>
                <c:pt idx="362">
                  <c:v>1.3267419453843896</c:v>
                </c:pt>
                <c:pt idx="363">
                  <c:v>1.3225237139962243</c:v>
                </c:pt>
                <c:pt idx="364">
                  <c:v>1.3084400279851973</c:v>
                </c:pt>
                <c:pt idx="365">
                  <c:v>1.2843434304184733</c:v>
                </c:pt>
                <c:pt idx="366">
                  <c:v>1.2652115984848522</c:v>
                </c:pt>
                <c:pt idx="367">
                  <c:v>1.2518966114915986</c:v>
                </c:pt>
                <c:pt idx="368">
                  <c:v>1.2349385317906363</c:v>
                </c:pt>
                <c:pt idx="369">
                  <c:v>1.2186187559987303</c:v>
                </c:pt>
                <c:pt idx="370">
                  <c:v>1.2122345041924794</c:v>
                </c:pt>
                <c:pt idx="371">
                  <c:v>1.2032811374211729</c:v>
                </c:pt>
                <c:pt idx="372">
                  <c:v>1.1976193706760374</c:v>
                </c:pt>
                <c:pt idx="373">
                  <c:v>1.1958101870703761</c:v>
                </c:pt>
                <c:pt idx="374">
                  <c:v>1.1958101870703761</c:v>
                </c:pt>
                <c:pt idx="375">
                  <c:v>1.1958101870703761</c:v>
                </c:pt>
                <c:pt idx="376">
                  <c:v>1.1958101870703761</c:v>
                </c:pt>
                <c:pt idx="377">
                  <c:v>1.1958101870703761</c:v>
                </c:pt>
                <c:pt idx="378">
                  <c:v>1.1958101870703761</c:v>
                </c:pt>
                <c:pt idx="379">
                  <c:v>1.1953546467295544</c:v>
                </c:pt>
                <c:pt idx="380">
                  <c:v>1.1953546467295544</c:v>
                </c:pt>
                <c:pt idx="381">
                  <c:v>1.1953546467295544</c:v>
                </c:pt>
                <c:pt idx="382">
                  <c:v>1.1953546467295544</c:v>
                </c:pt>
                <c:pt idx="383">
                  <c:v>1.1953546467295544</c:v>
                </c:pt>
                <c:pt idx="384">
                  <c:v>1.1953546467295544</c:v>
                </c:pt>
                <c:pt idx="385">
                  <c:v>1.1958101870703761</c:v>
                </c:pt>
                <c:pt idx="386">
                  <c:v>1.1958101870703761</c:v>
                </c:pt>
                <c:pt idx="387">
                  <c:v>1.1958101870703761</c:v>
                </c:pt>
                <c:pt idx="388">
                  <c:v>1.1976193706760374</c:v>
                </c:pt>
                <c:pt idx="389">
                  <c:v>1.1982219054159489</c:v>
                </c:pt>
                <c:pt idx="390">
                  <c:v>1.1997654590152751</c:v>
                </c:pt>
                <c:pt idx="391">
                  <c:v>1.1982219054159489</c:v>
                </c:pt>
                <c:pt idx="392">
                  <c:v>1.1997654590152751</c:v>
                </c:pt>
                <c:pt idx="393">
                  <c:v>1.1982219054159489</c:v>
                </c:pt>
                <c:pt idx="394">
                  <c:v>1.1997654590152751</c:v>
                </c:pt>
                <c:pt idx="395">
                  <c:v>1.2034812716404788</c:v>
                </c:pt>
                <c:pt idx="396">
                  <c:v>1.2038870202565923</c:v>
                </c:pt>
                <c:pt idx="397">
                  <c:v>1.2156775732003604</c:v>
                </c:pt>
                <c:pt idx="398">
                  <c:v>1.2316150131182522</c:v>
                </c:pt>
                <c:pt idx="399">
                  <c:v>1.2340232626382632</c:v>
                </c:pt>
                <c:pt idx="400">
                  <c:v>1.2407463447580585</c:v>
                </c:pt>
                <c:pt idx="401">
                  <c:v>1.2559999870336578</c:v>
                </c:pt>
                <c:pt idx="402">
                  <c:v>1.2750995851716522</c:v>
                </c:pt>
                <c:pt idx="403">
                  <c:v>1.2775086509335487</c:v>
                </c:pt>
                <c:pt idx="404">
                  <c:v>1.2775086509335487</c:v>
                </c:pt>
                <c:pt idx="405">
                  <c:v>1.2775086509335487</c:v>
                </c:pt>
                <c:pt idx="406">
                  <c:v>1.2775086509335487</c:v>
                </c:pt>
                <c:pt idx="407">
                  <c:v>1.2775086509335487</c:v>
                </c:pt>
                <c:pt idx="408">
                  <c:v>1.2775086509335487</c:v>
                </c:pt>
                <c:pt idx="409">
                  <c:v>1.2775086509335487</c:v>
                </c:pt>
                <c:pt idx="410">
                  <c:v>1.2775086509335487</c:v>
                </c:pt>
                <c:pt idx="411">
                  <c:v>1.2775086509335487</c:v>
                </c:pt>
                <c:pt idx="412">
                  <c:v>1.2780264408165469</c:v>
                </c:pt>
                <c:pt idx="413">
                  <c:v>1.2793757553627028</c:v>
                </c:pt>
                <c:pt idx="414">
                  <c:v>1.2922568722587808</c:v>
                </c:pt>
                <c:pt idx="415">
                  <c:v>1.2958730792931197</c:v>
                </c:pt>
                <c:pt idx="416">
                  <c:v>1.2988585218785969</c:v>
                </c:pt>
                <c:pt idx="417">
                  <c:v>1.3091348055365168</c:v>
                </c:pt>
                <c:pt idx="418">
                  <c:v>1.3091348055365168</c:v>
                </c:pt>
                <c:pt idx="419">
                  <c:v>1.3091348055365168</c:v>
                </c:pt>
                <c:pt idx="420">
                  <c:v>1.3091348055365168</c:v>
                </c:pt>
                <c:pt idx="421">
                  <c:v>1.3091348055365168</c:v>
                </c:pt>
                <c:pt idx="422">
                  <c:v>1.3091348055365168</c:v>
                </c:pt>
                <c:pt idx="423">
                  <c:v>1.3091348055365168</c:v>
                </c:pt>
                <c:pt idx="424">
                  <c:v>1.3095016485837616</c:v>
                </c:pt>
                <c:pt idx="425">
                  <c:v>1.3095016485837616</c:v>
                </c:pt>
                <c:pt idx="426">
                  <c:v>1.3236249705840455</c:v>
                </c:pt>
                <c:pt idx="427">
                  <c:v>1.33129242250553</c:v>
                </c:pt>
                <c:pt idx="428">
                  <c:v>1.332513626173135</c:v>
                </c:pt>
                <c:pt idx="429">
                  <c:v>1.3346864944438781</c:v>
                </c:pt>
                <c:pt idx="430">
                  <c:v>1.3369238227742999</c:v>
                </c:pt>
                <c:pt idx="431">
                  <c:v>1.3456993623446014</c:v>
                </c:pt>
                <c:pt idx="432">
                  <c:v>1.3456993623446014</c:v>
                </c:pt>
                <c:pt idx="433">
                  <c:v>1.3456993623446014</c:v>
                </c:pt>
                <c:pt idx="434">
                  <c:v>1.3456993623446014</c:v>
                </c:pt>
                <c:pt idx="435">
                  <c:v>1.3456993623446014</c:v>
                </c:pt>
                <c:pt idx="436">
                  <c:v>1.3456993623446014</c:v>
                </c:pt>
                <c:pt idx="437">
                  <c:v>1.3456993623446014</c:v>
                </c:pt>
                <c:pt idx="438">
                  <c:v>1.3456993623446014</c:v>
                </c:pt>
                <c:pt idx="439">
                  <c:v>1.3456993623446014</c:v>
                </c:pt>
                <c:pt idx="440">
                  <c:v>1.3456993623446014</c:v>
                </c:pt>
                <c:pt idx="441">
                  <c:v>1.3456993623446014</c:v>
                </c:pt>
                <c:pt idx="442">
                  <c:v>1.3456993623446014</c:v>
                </c:pt>
                <c:pt idx="443">
                  <c:v>1.3456993623446014</c:v>
                </c:pt>
                <c:pt idx="444">
                  <c:v>1.3456993623446014</c:v>
                </c:pt>
                <c:pt idx="445">
                  <c:v>1.3456993623446014</c:v>
                </c:pt>
                <c:pt idx="446">
                  <c:v>1.3456993623446014</c:v>
                </c:pt>
                <c:pt idx="447">
                  <c:v>1.3456993623446014</c:v>
                </c:pt>
                <c:pt idx="448">
                  <c:v>1.3456993623446014</c:v>
                </c:pt>
                <c:pt idx="449">
                  <c:v>1.3456993623446014</c:v>
                </c:pt>
                <c:pt idx="450">
                  <c:v>1.3456993623446014</c:v>
                </c:pt>
                <c:pt idx="451">
                  <c:v>1.3456993623446014</c:v>
                </c:pt>
                <c:pt idx="452">
                  <c:v>1.3456993623446014</c:v>
                </c:pt>
                <c:pt idx="453">
                  <c:v>1.3456993623446014</c:v>
                </c:pt>
                <c:pt idx="454">
                  <c:v>1.3456993623446014</c:v>
                </c:pt>
                <c:pt idx="455">
                  <c:v>1.3456993623446014</c:v>
                </c:pt>
                <c:pt idx="456">
                  <c:v>1.3456993623446014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E0-4761-B07A-7C3C35F3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996367"/>
        <c:axId val="537195407"/>
      </c:lineChart>
      <c:dateAx>
        <c:axId val="2029996367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7195407"/>
        <c:crosses val="autoZero"/>
        <c:auto val="1"/>
        <c:lblOffset val="100"/>
        <c:baseTimeUnit val="days"/>
      </c:dateAx>
      <c:valAx>
        <c:axId val="537195407"/>
        <c:scaling>
          <c:orientation val="minMax"/>
          <c:max val="1.55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2999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EV/EBITDA Utilities - ZScore-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Base!$CG$6</c:f>
              <c:strCache>
                <c:ptCount val="1"/>
                <c:pt idx="0">
                  <c:v>Z Score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Base!$CE$59:$CE$390</c:f>
              <c:numCache>
                <c:formatCode>m/d/yyyy</c:formatCode>
                <c:ptCount val="332"/>
                <c:pt idx="0">
                  <c:v>44022</c:v>
                </c:pt>
                <c:pt idx="1">
                  <c:v>44029</c:v>
                </c:pt>
                <c:pt idx="2">
                  <c:v>44036</c:v>
                </c:pt>
                <c:pt idx="3">
                  <c:v>44043</c:v>
                </c:pt>
                <c:pt idx="4">
                  <c:v>44050</c:v>
                </c:pt>
                <c:pt idx="5">
                  <c:v>44057</c:v>
                </c:pt>
                <c:pt idx="6">
                  <c:v>44064</c:v>
                </c:pt>
                <c:pt idx="7">
                  <c:v>44071</c:v>
                </c:pt>
                <c:pt idx="8">
                  <c:v>44078</c:v>
                </c:pt>
                <c:pt idx="9">
                  <c:v>44085</c:v>
                </c:pt>
                <c:pt idx="10">
                  <c:v>44092</c:v>
                </c:pt>
                <c:pt idx="11">
                  <c:v>44099</c:v>
                </c:pt>
                <c:pt idx="12">
                  <c:v>44106</c:v>
                </c:pt>
                <c:pt idx="13">
                  <c:v>44113</c:v>
                </c:pt>
                <c:pt idx="14">
                  <c:v>44120</c:v>
                </c:pt>
                <c:pt idx="15">
                  <c:v>44127</c:v>
                </c:pt>
                <c:pt idx="16">
                  <c:v>44134</c:v>
                </c:pt>
                <c:pt idx="17">
                  <c:v>44141</c:v>
                </c:pt>
                <c:pt idx="18">
                  <c:v>44148</c:v>
                </c:pt>
                <c:pt idx="19">
                  <c:v>44155</c:v>
                </c:pt>
                <c:pt idx="20">
                  <c:v>44162</c:v>
                </c:pt>
                <c:pt idx="21">
                  <c:v>44169</c:v>
                </c:pt>
                <c:pt idx="22">
                  <c:v>44176</c:v>
                </c:pt>
                <c:pt idx="23">
                  <c:v>44183</c:v>
                </c:pt>
                <c:pt idx="24">
                  <c:v>44190</c:v>
                </c:pt>
                <c:pt idx="25">
                  <c:v>44197</c:v>
                </c:pt>
                <c:pt idx="26">
                  <c:v>44204</c:v>
                </c:pt>
                <c:pt idx="27">
                  <c:v>44211</c:v>
                </c:pt>
                <c:pt idx="28">
                  <c:v>44218</c:v>
                </c:pt>
                <c:pt idx="29">
                  <c:v>44225</c:v>
                </c:pt>
                <c:pt idx="30">
                  <c:v>44232</c:v>
                </c:pt>
                <c:pt idx="31">
                  <c:v>44239</c:v>
                </c:pt>
                <c:pt idx="32">
                  <c:v>44246</c:v>
                </c:pt>
                <c:pt idx="33">
                  <c:v>44253</c:v>
                </c:pt>
                <c:pt idx="34">
                  <c:v>44260</c:v>
                </c:pt>
                <c:pt idx="35">
                  <c:v>44267</c:v>
                </c:pt>
                <c:pt idx="36">
                  <c:v>44274</c:v>
                </c:pt>
                <c:pt idx="37">
                  <c:v>44281</c:v>
                </c:pt>
                <c:pt idx="38">
                  <c:v>44288</c:v>
                </c:pt>
                <c:pt idx="39">
                  <c:v>44295</c:v>
                </c:pt>
                <c:pt idx="40">
                  <c:v>44302</c:v>
                </c:pt>
                <c:pt idx="41">
                  <c:v>44309</c:v>
                </c:pt>
                <c:pt idx="42">
                  <c:v>44316</c:v>
                </c:pt>
                <c:pt idx="43">
                  <c:v>44323</c:v>
                </c:pt>
                <c:pt idx="44">
                  <c:v>44330</c:v>
                </c:pt>
                <c:pt idx="45">
                  <c:v>44337</c:v>
                </c:pt>
                <c:pt idx="46">
                  <c:v>44344</c:v>
                </c:pt>
                <c:pt idx="47">
                  <c:v>44351</c:v>
                </c:pt>
                <c:pt idx="48">
                  <c:v>44358</c:v>
                </c:pt>
                <c:pt idx="49">
                  <c:v>44365</c:v>
                </c:pt>
                <c:pt idx="50">
                  <c:v>44372</c:v>
                </c:pt>
                <c:pt idx="51">
                  <c:v>44379</c:v>
                </c:pt>
                <c:pt idx="52">
                  <c:v>44386</c:v>
                </c:pt>
                <c:pt idx="53">
                  <c:v>44393</c:v>
                </c:pt>
                <c:pt idx="54">
                  <c:v>44400</c:v>
                </c:pt>
                <c:pt idx="55">
                  <c:v>44407</c:v>
                </c:pt>
                <c:pt idx="56">
                  <c:v>44414</c:v>
                </c:pt>
                <c:pt idx="57">
                  <c:v>44421</c:v>
                </c:pt>
                <c:pt idx="58">
                  <c:v>44428</c:v>
                </c:pt>
                <c:pt idx="59">
                  <c:v>44435</c:v>
                </c:pt>
                <c:pt idx="60">
                  <c:v>44442</c:v>
                </c:pt>
                <c:pt idx="61">
                  <c:v>44449</c:v>
                </c:pt>
                <c:pt idx="62">
                  <c:v>44456</c:v>
                </c:pt>
                <c:pt idx="63">
                  <c:v>44463</c:v>
                </c:pt>
                <c:pt idx="64">
                  <c:v>44470</c:v>
                </c:pt>
                <c:pt idx="65">
                  <c:v>44477</c:v>
                </c:pt>
                <c:pt idx="66">
                  <c:v>44484</c:v>
                </c:pt>
                <c:pt idx="67">
                  <c:v>44491</c:v>
                </c:pt>
                <c:pt idx="68">
                  <c:v>44498</c:v>
                </c:pt>
                <c:pt idx="69">
                  <c:v>44505</c:v>
                </c:pt>
                <c:pt idx="70">
                  <c:v>44512</c:v>
                </c:pt>
                <c:pt idx="71">
                  <c:v>44519</c:v>
                </c:pt>
                <c:pt idx="72">
                  <c:v>44526</c:v>
                </c:pt>
                <c:pt idx="73">
                  <c:v>44533</c:v>
                </c:pt>
                <c:pt idx="74">
                  <c:v>44540</c:v>
                </c:pt>
                <c:pt idx="75">
                  <c:v>44547</c:v>
                </c:pt>
                <c:pt idx="76">
                  <c:v>44554</c:v>
                </c:pt>
                <c:pt idx="77">
                  <c:v>44561</c:v>
                </c:pt>
                <c:pt idx="78">
                  <c:v>44568</c:v>
                </c:pt>
                <c:pt idx="79">
                  <c:v>44575</c:v>
                </c:pt>
                <c:pt idx="80">
                  <c:v>44582</c:v>
                </c:pt>
                <c:pt idx="81">
                  <c:v>44589</c:v>
                </c:pt>
                <c:pt idx="82">
                  <c:v>44596</c:v>
                </c:pt>
                <c:pt idx="83">
                  <c:v>44603</c:v>
                </c:pt>
                <c:pt idx="84">
                  <c:v>44610</c:v>
                </c:pt>
                <c:pt idx="85">
                  <c:v>44617</c:v>
                </c:pt>
                <c:pt idx="86">
                  <c:v>44624</c:v>
                </c:pt>
                <c:pt idx="87">
                  <c:v>44631</c:v>
                </c:pt>
                <c:pt idx="88">
                  <c:v>44638</c:v>
                </c:pt>
                <c:pt idx="89">
                  <c:v>44645</c:v>
                </c:pt>
                <c:pt idx="90">
                  <c:v>44652</c:v>
                </c:pt>
                <c:pt idx="91">
                  <c:v>44659</c:v>
                </c:pt>
                <c:pt idx="92">
                  <c:v>44666</c:v>
                </c:pt>
                <c:pt idx="93">
                  <c:v>44673</c:v>
                </c:pt>
                <c:pt idx="94">
                  <c:v>44680</c:v>
                </c:pt>
                <c:pt idx="95">
                  <c:v>44687</c:v>
                </c:pt>
                <c:pt idx="96">
                  <c:v>44694</c:v>
                </c:pt>
                <c:pt idx="97">
                  <c:v>44701</c:v>
                </c:pt>
                <c:pt idx="98">
                  <c:v>44708</c:v>
                </c:pt>
                <c:pt idx="99">
                  <c:v>44715</c:v>
                </c:pt>
                <c:pt idx="100">
                  <c:v>44722</c:v>
                </c:pt>
                <c:pt idx="101">
                  <c:v>44729</c:v>
                </c:pt>
                <c:pt idx="102">
                  <c:v>44736</c:v>
                </c:pt>
                <c:pt idx="103">
                  <c:v>44743</c:v>
                </c:pt>
                <c:pt idx="104">
                  <c:v>44750</c:v>
                </c:pt>
                <c:pt idx="105">
                  <c:v>44757</c:v>
                </c:pt>
                <c:pt idx="106">
                  <c:v>44764</c:v>
                </c:pt>
                <c:pt idx="107">
                  <c:v>44771</c:v>
                </c:pt>
                <c:pt idx="108">
                  <c:v>44778</c:v>
                </c:pt>
                <c:pt idx="109">
                  <c:v>44785</c:v>
                </c:pt>
                <c:pt idx="110">
                  <c:v>44792</c:v>
                </c:pt>
                <c:pt idx="111">
                  <c:v>44799</c:v>
                </c:pt>
                <c:pt idx="112">
                  <c:v>44806</c:v>
                </c:pt>
                <c:pt idx="113">
                  <c:v>44813</c:v>
                </c:pt>
                <c:pt idx="114">
                  <c:v>44820</c:v>
                </c:pt>
                <c:pt idx="115">
                  <c:v>44827</c:v>
                </c:pt>
                <c:pt idx="116">
                  <c:v>44834</c:v>
                </c:pt>
                <c:pt idx="117">
                  <c:v>44841</c:v>
                </c:pt>
                <c:pt idx="118">
                  <c:v>44848</c:v>
                </c:pt>
                <c:pt idx="119">
                  <c:v>44855</c:v>
                </c:pt>
                <c:pt idx="120">
                  <c:v>44862</c:v>
                </c:pt>
                <c:pt idx="121">
                  <c:v>44869</c:v>
                </c:pt>
                <c:pt idx="122">
                  <c:v>44876</c:v>
                </c:pt>
                <c:pt idx="123">
                  <c:v>44883</c:v>
                </c:pt>
                <c:pt idx="124">
                  <c:v>44890</c:v>
                </c:pt>
                <c:pt idx="125">
                  <c:v>44897</c:v>
                </c:pt>
                <c:pt idx="126">
                  <c:v>44904</c:v>
                </c:pt>
                <c:pt idx="127">
                  <c:v>44911</c:v>
                </c:pt>
                <c:pt idx="128">
                  <c:v>44918</c:v>
                </c:pt>
                <c:pt idx="129">
                  <c:v>44925</c:v>
                </c:pt>
                <c:pt idx="130">
                  <c:v>44932</c:v>
                </c:pt>
                <c:pt idx="131">
                  <c:v>44939</c:v>
                </c:pt>
                <c:pt idx="132">
                  <c:v>44946</c:v>
                </c:pt>
                <c:pt idx="133">
                  <c:v>44953</c:v>
                </c:pt>
                <c:pt idx="134">
                  <c:v>44960</c:v>
                </c:pt>
                <c:pt idx="135">
                  <c:v>44967</c:v>
                </c:pt>
                <c:pt idx="136">
                  <c:v>44974</c:v>
                </c:pt>
                <c:pt idx="137">
                  <c:v>44981</c:v>
                </c:pt>
                <c:pt idx="138">
                  <c:v>44988</c:v>
                </c:pt>
                <c:pt idx="139">
                  <c:v>44995</c:v>
                </c:pt>
                <c:pt idx="140">
                  <c:v>45002</c:v>
                </c:pt>
                <c:pt idx="141">
                  <c:v>45009</c:v>
                </c:pt>
                <c:pt idx="142">
                  <c:v>45016</c:v>
                </c:pt>
                <c:pt idx="143">
                  <c:v>45023</c:v>
                </c:pt>
                <c:pt idx="144">
                  <c:v>45030</c:v>
                </c:pt>
                <c:pt idx="145">
                  <c:v>45037</c:v>
                </c:pt>
                <c:pt idx="146">
                  <c:v>45044</c:v>
                </c:pt>
                <c:pt idx="147">
                  <c:v>45051</c:v>
                </c:pt>
                <c:pt idx="148">
                  <c:v>45058</c:v>
                </c:pt>
                <c:pt idx="149">
                  <c:v>45065</c:v>
                </c:pt>
                <c:pt idx="150">
                  <c:v>45072</c:v>
                </c:pt>
                <c:pt idx="151">
                  <c:v>45079</c:v>
                </c:pt>
                <c:pt idx="152">
                  <c:v>45086</c:v>
                </c:pt>
                <c:pt idx="153">
                  <c:v>45093</c:v>
                </c:pt>
                <c:pt idx="154">
                  <c:v>45100</c:v>
                </c:pt>
                <c:pt idx="155">
                  <c:v>45107</c:v>
                </c:pt>
                <c:pt idx="156">
                  <c:v>45114</c:v>
                </c:pt>
                <c:pt idx="157">
                  <c:v>45121</c:v>
                </c:pt>
                <c:pt idx="158">
                  <c:v>45128</c:v>
                </c:pt>
                <c:pt idx="159">
                  <c:v>45135</c:v>
                </c:pt>
                <c:pt idx="160">
                  <c:v>45142</c:v>
                </c:pt>
                <c:pt idx="161">
                  <c:v>45149</c:v>
                </c:pt>
                <c:pt idx="162">
                  <c:v>45156</c:v>
                </c:pt>
                <c:pt idx="163">
                  <c:v>45163</c:v>
                </c:pt>
                <c:pt idx="164">
                  <c:v>45170</c:v>
                </c:pt>
                <c:pt idx="165">
                  <c:v>45177</c:v>
                </c:pt>
                <c:pt idx="166">
                  <c:v>45184</c:v>
                </c:pt>
                <c:pt idx="167">
                  <c:v>45191</c:v>
                </c:pt>
                <c:pt idx="168">
                  <c:v>45198</c:v>
                </c:pt>
                <c:pt idx="169">
                  <c:v>45205</c:v>
                </c:pt>
                <c:pt idx="170">
                  <c:v>45212</c:v>
                </c:pt>
                <c:pt idx="171">
                  <c:v>45219</c:v>
                </c:pt>
                <c:pt idx="172">
                  <c:v>45226</c:v>
                </c:pt>
                <c:pt idx="173">
                  <c:v>45233</c:v>
                </c:pt>
                <c:pt idx="174">
                  <c:v>45240</c:v>
                </c:pt>
                <c:pt idx="175">
                  <c:v>45247</c:v>
                </c:pt>
                <c:pt idx="176">
                  <c:v>45254</c:v>
                </c:pt>
                <c:pt idx="177">
                  <c:v>45261</c:v>
                </c:pt>
                <c:pt idx="178">
                  <c:v>45268</c:v>
                </c:pt>
                <c:pt idx="179">
                  <c:v>45275</c:v>
                </c:pt>
                <c:pt idx="180">
                  <c:v>45282</c:v>
                </c:pt>
                <c:pt idx="181">
                  <c:v>45289</c:v>
                </c:pt>
                <c:pt idx="182">
                  <c:v>45296</c:v>
                </c:pt>
                <c:pt idx="183">
                  <c:v>45303</c:v>
                </c:pt>
                <c:pt idx="184">
                  <c:v>45310</c:v>
                </c:pt>
                <c:pt idx="185">
                  <c:v>45317</c:v>
                </c:pt>
                <c:pt idx="186">
                  <c:v>45324</c:v>
                </c:pt>
                <c:pt idx="187">
                  <c:v>45331</c:v>
                </c:pt>
                <c:pt idx="188">
                  <c:v>45338</c:v>
                </c:pt>
                <c:pt idx="189">
                  <c:v>45345</c:v>
                </c:pt>
                <c:pt idx="190">
                  <c:v>45352</c:v>
                </c:pt>
                <c:pt idx="191">
                  <c:v>45359</c:v>
                </c:pt>
                <c:pt idx="192">
                  <c:v>45366</c:v>
                </c:pt>
                <c:pt idx="193">
                  <c:v>45373</c:v>
                </c:pt>
                <c:pt idx="194">
                  <c:v>45380</c:v>
                </c:pt>
                <c:pt idx="195">
                  <c:v>45387</c:v>
                </c:pt>
                <c:pt idx="196">
                  <c:v>45394</c:v>
                </c:pt>
                <c:pt idx="197">
                  <c:v>45401</c:v>
                </c:pt>
                <c:pt idx="198">
                  <c:v>45408</c:v>
                </c:pt>
                <c:pt idx="199">
                  <c:v>45415</c:v>
                </c:pt>
                <c:pt idx="200">
                  <c:v>45422</c:v>
                </c:pt>
                <c:pt idx="201">
                  <c:v>45429</c:v>
                </c:pt>
                <c:pt idx="202">
                  <c:v>45436</c:v>
                </c:pt>
                <c:pt idx="203">
                  <c:v>45443</c:v>
                </c:pt>
                <c:pt idx="204">
                  <c:v>45450</c:v>
                </c:pt>
                <c:pt idx="205">
                  <c:v>45457</c:v>
                </c:pt>
                <c:pt idx="206">
                  <c:v>45464</c:v>
                </c:pt>
                <c:pt idx="207">
                  <c:v>45471</c:v>
                </c:pt>
                <c:pt idx="208">
                  <c:v>45478</c:v>
                </c:pt>
                <c:pt idx="209">
                  <c:v>45485</c:v>
                </c:pt>
                <c:pt idx="210">
                  <c:v>45492</c:v>
                </c:pt>
                <c:pt idx="211">
                  <c:v>45499</c:v>
                </c:pt>
                <c:pt idx="212">
                  <c:v>45506</c:v>
                </c:pt>
                <c:pt idx="213">
                  <c:v>45513</c:v>
                </c:pt>
                <c:pt idx="214">
                  <c:v>45520</c:v>
                </c:pt>
                <c:pt idx="215">
                  <c:v>45527</c:v>
                </c:pt>
                <c:pt idx="216">
                  <c:v>45534</c:v>
                </c:pt>
                <c:pt idx="217">
                  <c:v>45541</c:v>
                </c:pt>
                <c:pt idx="218">
                  <c:v>45548</c:v>
                </c:pt>
                <c:pt idx="219">
                  <c:v>45555</c:v>
                </c:pt>
                <c:pt idx="220">
                  <c:v>45562</c:v>
                </c:pt>
                <c:pt idx="221">
                  <c:v>45569</c:v>
                </c:pt>
                <c:pt idx="222">
                  <c:v>45576</c:v>
                </c:pt>
                <c:pt idx="223">
                  <c:v>45583</c:v>
                </c:pt>
                <c:pt idx="224">
                  <c:v>45590</c:v>
                </c:pt>
                <c:pt idx="225">
                  <c:v>45597</c:v>
                </c:pt>
                <c:pt idx="226">
                  <c:v>45604</c:v>
                </c:pt>
                <c:pt idx="227">
                  <c:v>45611</c:v>
                </c:pt>
                <c:pt idx="228">
                  <c:v>45618</c:v>
                </c:pt>
                <c:pt idx="229">
                  <c:v>45625</c:v>
                </c:pt>
                <c:pt idx="230">
                  <c:v>45632</c:v>
                </c:pt>
                <c:pt idx="231">
                  <c:v>45639</c:v>
                </c:pt>
                <c:pt idx="232">
                  <c:v>45646</c:v>
                </c:pt>
                <c:pt idx="233">
                  <c:v>45653</c:v>
                </c:pt>
                <c:pt idx="234">
                  <c:v>45660</c:v>
                </c:pt>
                <c:pt idx="235">
                  <c:v>45667</c:v>
                </c:pt>
                <c:pt idx="236">
                  <c:v>45674</c:v>
                </c:pt>
                <c:pt idx="237">
                  <c:v>45681</c:v>
                </c:pt>
                <c:pt idx="238">
                  <c:v>45688</c:v>
                </c:pt>
                <c:pt idx="239">
                  <c:v>45695</c:v>
                </c:pt>
                <c:pt idx="240">
                  <c:v>45702</c:v>
                </c:pt>
                <c:pt idx="241">
                  <c:v>45709</c:v>
                </c:pt>
                <c:pt idx="242">
                  <c:v>45716</c:v>
                </c:pt>
                <c:pt idx="243">
                  <c:v>45723</c:v>
                </c:pt>
                <c:pt idx="244">
                  <c:v>45730</c:v>
                </c:pt>
                <c:pt idx="245">
                  <c:v>45737</c:v>
                </c:pt>
                <c:pt idx="246">
                  <c:v>45744</c:v>
                </c:pt>
                <c:pt idx="247">
                  <c:v>45751</c:v>
                </c:pt>
                <c:pt idx="248">
                  <c:v>45758</c:v>
                </c:pt>
                <c:pt idx="249">
                  <c:v>45765</c:v>
                </c:pt>
                <c:pt idx="250">
                  <c:v>45772</c:v>
                </c:pt>
                <c:pt idx="251">
                  <c:v>45779</c:v>
                </c:pt>
                <c:pt idx="252">
                  <c:v>45786</c:v>
                </c:pt>
                <c:pt idx="253">
                  <c:v>45793</c:v>
                </c:pt>
                <c:pt idx="254">
                  <c:v>45800</c:v>
                </c:pt>
                <c:pt idx="255">
                  <c:v>45807</c:v>
                </c:pt>
                <c:pt idx="256">
                  <c:v>45814</c:v>
                </c:pt>
                <c:pt idx="257">
                  <c:v>45821</c:v>
                </c:pt>
                <c:pt idx="258">
                  <c:v>45828</c:v>
                </c:pt>
                <c:pt idx="259">
                  <c:v>45835</c:v>
                </c:pt>
                <c:pt idx="260">
                  <c:v>45842</c:v>
                </c:pt>
                <c:pt idx="261">
                  <c:v>45849</c:v>
                </c:pt>
                <c:pt idx="262">
                  <c:v>45856</c:v>
                </c:pt>
                <c:pt idx="263">
                  <c:v>45863</c:v>
                </c:pt>
                <c:pt idx="264">
                  <c:v>45870</c:v>
                </c:pt>
                <c:pt idx="265">
                  <c:v>45877</c:v>
                </c:pt>
                <c:pt idx="266">
                  <c:v>45884</c:v>
                </c:pt>
                <c:pt idx="267">
                  <c:v>45891</c:v>
                </c:pt>
                <c:pt idx="268">
                  <c:v>45898</c:v>
                </c:pt>
                <c:pt idx="269">
                  <c:v>45905</c:v>
                </c:pt>
                <c:pt idx="270">
                  <c:v>45912</c:v>
                </c:pt>
                <c:pt idx="271">
                  <c:v>45919</c:v>
                </c:pt>
                <c:pt idx="272">
                  <c:v>45926</c:v>
                </c:pt>
                <c:pt idx="273">
                  <c:v>45933</c:v>
                </c:pt>
                <c:pt idx="274">
                  <c:v>45940</c:v>
                </c:pt>
                <c:pt idx="275">
                  <c:v>45947</c:v>
                </c:pt>
                <c:pt idx="276">
                  <c:v>45954</c:v>
                </c:pt>
                <c:pt idx="277">
                  <c:v>45961</c:v>
                </c:pt>
                <c:pt idx="278">
                  <c:v>45968</c:v>
                </c:pt>
                <c:pt idx="279">
                  <c:v>45975</c:v>
                </c:pt>
                <c:pt idx="280">
                  <c:v>45982</c:v>
                </c:pt>
                <c:pt idx="281">
                  <c:v>45989</c:v>
                </c:pt>
                <c:pt idx="282">
                  <c:v>45996</c:v>
                </c:pt>
                <c:pt idx="283">
                  <c:v>46003</c:v>
                </c:pt>
                <c:pt idx="284">
                  <c:v>46010</c:v>
                </c:pt>
                <c:pt idx="285">
                  <c:v>46017</c:v>
                </c:pt>
                <c:pt idx="286">
                  <c:v>46024</c:v>
                </c:pt>
                <c:pt idx="287">
                  <c:v>46031</c:v>
                </c:pt>
                <c:pt idx="288">
                  <c:v>46038</c:v>
                </c:pt>
                <c:pt idx="289">
                  <c:v>46045</c:v>
                </c:pt>
                <c:pt idx="290">
                  <c:v>46052</c:v>
                </c:pt>
                <c:pt idx="291">
                  <c:v>46059</c:v>
                </c:pt>
                <c:pt idx="292">
                  <c:v>46066</c:v>
                </c:pt>
                <c:pt idx="293">
                  <c:v>46073</c:v>
                </c:pt>
                <c:pt idx="294">
                  <c:v>46080</c:v>
                </c:pt>
                <c:pt idx="295">
                  <c:v>46087</c:v>
                </c:pt>
                <c:pt idx="296">
                  <c:v>46094</c:v>
                </c:pt>
                <c:pt idx="297">
                  <c:v>46101</c:v>
                </c:pt>
                <c:pt idx="298">
                  <c:v>46108</c:v>
                </c:pt>
                <c:pt idx="299">
                  <c:v>46115</c:v>
                </c:pt>
                <c:pt idx="300">
                  <c:v>46122</c:v>
                </c:pt>
                <c:pt idx="301">
                  <c:v>46129</c:v>
                </c:pt>
                <c:pt idx="302">
                  <c:v>46136</c:v>
                </c:pt>
                <c:pt idx="303">
                  <c:v>46143</c:v>
                </c:pt>
                <c:pt idx="304">
                  <c:v>46150</c:v>
                </c:pt>
                <c:pt idx="305">
                  <c:v>46157</c:v>
                </c:pt>
                <c:pt idx="306">
                  <c:v>46164</c:v>
                </c:pt>
                <c:pt idx="307">
                  <c:v>46171</c:v>
                </c:pt>
                <c:pt idx="308">
                  <c:v>46178</c:v>
                </c:pt>
                <c:pt idx="309">
                  <c:v>46185</c:v>
                </c:pt>
                <c:pt idx="310">
                  <c:v>46192</c:v>
                </c:pt>
                <c:pt idx="311">
                  <c:v>46199</c:v>
                </c:pt>
                <c:pt idx="312">
                  <c:v>46206</c:v>
                </c:pt>
                <c:pt idx="313">
                  <c:v>46213</c:v>
                </c:pt>
                <c:pt idx="314">
                  <c:v>46220</c:v>
                </c:pt>
                <c:pt idx="315">
                  <c:v>46227</c:v>
                </c:pt>
                <c:pt idx="316">
                  <c:v>46234</c:v>
                </c:pt>
                <c:pt idx="317">
                  <c:v>46241</c:v>
                </c:pt>
                <c:pt idx="318">
                  <c:v>46248</c:v>
                </c:pt>
                <c:pt idx="319">
                  <c:v>46255</c:v>
                </c:pt>
                <c:pt idx="320">
                  <c:v>46262</c:v>
                </c:pt>
                <c:pt idx="321">
                  <c:v>46269</c:v>
                </c:pt>
                <c:pt idx="322">
                  <c:v>46276</c:v>
                </c:pt>
                <c:pt idx="323">
                  <c:v>46283</c:v>
                </c:pt>
                <c:pt idx="324">
                  <c:v>46290</c:v>
                </c:pt>
                <c:pt idx="325">
                  <c:v>46297</c:v>
                </c:pt>
                <c:pt idx="326">
                  <c:v>46304</c:v>
                </c:pt>
              </c:numCache>
            </c:numRef>
          </c:cat>
          <c:val>
            <c:numRef>
              <c:f>Base!$CG$59:$CG$390</c:f>
              <c:numCache>
                <c:formatCode>_-* #,##0.0000_-;\-* #,##0.0000_-;_-* "-"??_-;_-@_-</c:formatCode>
                <c:ptCount val="332"/>
                <c:pt idx="0">
                  <c:v>-1.0221975439623421</c:v>
                </c:pt>
                <c:pt idx="1">
                  <c:v>-1.0380840137949934</c:v>
                </c:pt>
                <c:pt idx="2">
                  <c:v>-0.93237578609273386</c:v>
                </c:pt>
                <c:pt idx="3">
                  <c:v>-0.94630480139371898</c:v>
                </c:pt>
                <c:pt idx="4">
                  <c:v>-0.8580864877811325</c:v>
                </c:pt>
                <c:pt idx="5">
                  <c:v>-0.99890307516760735</c:v>
                </c:pt>
                <c:pt idx="6">
                  <c:v>-1.028643737566775</c:v>
                </c:pt>
                <c:pt idx="7">
                  <c:v>-1.1019645674548089</c:v>
                </c:pt>
                <c:pt idx="8">
                  <c:v>-1.1002768809326502</c:v>
                </c:pt>
                <c:pt idx="9">
                  <c:v>-1.1060811389052627</c:v>
                </c:pt>
                <c:pt idx="10">
                  <c:v>-1.1581130708863578</c:v>
                </c:pt>
                <c:pt idx="11">
                  <c:v>-1.1158086863008394</c:v>
                </c:pt>
                <c:pt idx="12">
                  <c:v>-1.1538576336225594</c:v>
                </c:pt>
                <c:pt idx="13">
                  <c:v>-1.1086612790554242</c:v>
                </c:pt>
                <c:pt idx="14">
                  <c:v>-0.94676227156251502</c:v>
                </c:pt>
                <c:pt idx="15">
                  <c:v>-0.84016533119494585</c:v>
                </c:pt>
                <c:pt idx="16">
                  <c:v>-0.97910717228937127</c:v>
                </c:pt>
                <c:pt idx="17">
                  <c:v>-0.93674847227501645</c:v>
                </c:pt>
                <c:pt idx="18">
                  <c:v>-0.94560830109868865</c:v>
                </c:pt>
                <c:pt idx="19">
                  <c:v>-0.92425914855203273</c:v>
                </c:pt>
                <c:pt idx="20">
                  <c:v>-0.90010707371217347</c:v>
                </c:pt>
                <c:pt idx="21">
                  <c:v>-0.87919618816161305</c:v>
                </c:pt>
                <c:pt idx="22">
                  <c:v>-0.92074199019615433</c:v>
                </c:pt>
                <c:pt idx="23">
                  <c:v>-0.94859500218278936</c:v>
                </c:pt>
                <c:pt idx="24">
                  <c:v>-0.98021730983438082</c:v>
                </c:pt>
                <c:pt idx="25">
                  <c:v>-0.59677837151312529</c:v>
                </c:pt>
                <c:pt idx="26">
                  <c:v>-0.58191260968163594</c:v>
                </c:pt>
                <c:pt idx="27">
                  <c:v>-0.56417695780267929</c:v>
                </c:pt>
                <c:pt idx="28">
                  <c:v>-0.59349618356471467</c:v>
                </c:pt>
                <c:pt idx="29">
                  <c:v>-0.61644268633372024</c:v>
                </c:pt>
                <c:pt idx="30">
                  <c:v>-0.57822933865842241</c:v>
                </c:pt>
                <c:pt idx="31">
                  <c:v>-0.62199399287633028</c:v>
                </c:pt>
                <c:pt idx="32">
                  <c:v>-0.62674281034530033</c:v>
                </c:pt>
                <c:pt idx="33">
                  <c:v>-0.68910429953644226</c:v>
                </c:pt>
                <c:pt idx="34">
                  <c:v>-0.69828297138359974</c:v>
                </c:pt>
                <c:pt idx="35">
                  <c:v>-0.68741047366870467</c:v>
                </c:pt>
                <c:pt idx="36">
                  <c:v>-0.70748108693699341</c:v>
                </c:pt>
                <c:pt idx="37">
                  <c:v>-0.72872343857043587</c:v>
                </c:pt>
                <c:pt idx="38">
                  <c:v>-0.93957797897807216</c:v>
                </c:pt>
                <c:pt idx="39">
                  <c:v>-0.9431809366011229</c:v>
                </c:pt>
                <c:pt idx="40">
                  <c:v>-0.98608502453145719</c:v>
                </c:pt>
                <c:pt idx="41">
                  <c:v>-0.97707363337411901</c:v>
                </c:pt>
                <c:pt idx="42">
                  <c:v>-0.94743554908722083</c:v>
                </c:pt>
                <c:pt idx="43">
                  <c:v>-0.94891703886342826</c:v>
                </c:pt>
                <c:pt idx="44">
                  <c:v>-0.90792157858047073</c:v>
                </c:pt>
                <c:pt idx="45">
                  <c:v>-0.89428061420360605</c:v>
                </c:pt>
                <c:pt idx="46">
                  <c:v>-0.87606114552187098</c:v>
                </c:pt>
                <c:pt idx="47">
                  <c:v>-0.73329122220943421</c:v>
                </c:pt>
                <c:pt idx="48">
                  <c:v>-0.71074872305290582</c:v>
                </c:pt>
                <c:pt idx="49">
                  <c:v>-0.75212006497579575</c:v>
                </c:pt>
                <c:pt idx="50">
                  <c:v>-0.77304883002963032</c:v>
                </c:pt>
                <c:pt idx="51">
                  <c:v>0.1223204787144206</c:v>
                </c:pt>
                <c:pt idx="52">
                  <c:v>0.13269150891040707</c:v>
                </c:pt>
                <c:pt idx="53">
                  <c:v>0.19837230589762717</c:v>
                </c:pt>
                <c:pt idx="54">
                  <c:v>0.15946220149198717</c:v>
                </c:pt>
                <c:pt idx="55">
                  <c:v>0.19660909995219503</c:v>
                </c:pt>
                <c:pt idx="56">
                  <c:v>0.16968510422166114</c:v>
                </c:pt>
                <c:pt idx="57">
                  <c:v>0.16347388763685483</c:v>
                </c:pt>
                <c:pt idx="58">
                  <c:v>0.17022159959912431</c:v>
                </c:pt>
                <c:pt idx="59">
                  <c:v>0.2882071001412857</c:v>
                </c:pt>
                <c:pt idx="60">
                  <c:v>0.40716644597586932</c:v>
                </c:pt>
                <c:pt idx="61">
                  <c:v>0.41811798253311677</c:v>
                </c:pt>
                <c:pt idx="62">
                  <c:v>0.5697660866929728</c:v>
                </c:pt>
                <c:pt idx="63">
                  <c:v>0.5570196929424277</c:v>
                </c:pt>
                <c:pt idx="64">
                  <c:v>1.273188956631762</c:v>
                </c:pt>
                <c:pt idx="65">
                  <c:v>1.1259322998230954</c:v>
                </c:pt>
                <c:pt idx="66">
                  <c:v>1.1171639554486934</c:v>
                </c:pt>
                <c:pt idx="67">
                  <c:v>1.5842947303735317</c:v>
                </c:pt>
                <c:pt idx="68">
                  <c:v>1.58531606799203</c:v>
                </c:pt>
                <c:pt idx="69">
                  <c:v>1.5154504817602852</c:v>
                </c:pt>
                <c:pt idx="70">
                  <c:v>1.3791938510597437</c:v>
                </c:pt>
                <c:pt idx="71">
                  <c:v>1.1358609113809337</c:v>
                </c:pt>
                <c:pt idx="72">
                  <c:v>0.96577550371551124</c:v>
                </c:pt>
                <c:pt idx="73">
                  <c:v>1.429917639197321</c:v>
                </c:pt>
                <c:pt idx="74">
                  <c:v>1.3419447043884407</c:v>
                </c:pt>
                <c:pt idx="75">
                  <c:v>1.2318071706893616</c:v>
                </c:pt>
                <c:pt idx="76">
                  <c:v>1.2047565600086694</c:v>
                </c:pt>
                <c:pt idx="77">
                  <c:v>1.1270657511619169</c:v>
                </c:pt>
                <c:pt idx="78">
                  <c:v>1.0578399699070467</c:v>
                </c:pt>
                <c:pt idx="79">
                  <c:v>0.95288131189786207</c:v>
                </c:pt>
                <c:pt idx="80">
                  <c:v>0.93082573888521769</c:v>
                </c:pt>
                <c:pt idx="81">
                  <c:v>1.0427280427591303</c:v>
                </c:pt>
                <c:pt idx="82">
                  <c:v>1.1894267859274621</c:v>
                </c:pt>
                <c:pt idx="83">
                  <c:v>1.2169784608702909</c:v>
                </c:pt>
                <c:pt idx="84">
                  <c:v>1.2874295945092995</c:v>
                </c:pt>
                <c:pt idx="85">
                  <c:v>1.3567003148280159</c:v>
                </c:pt>
                <c:pt idx="86">
                  <c:v>1.3232263471749899</c:v>
                </c:pt>
                <c:pt idx="87">
                  <c:v>1.3065914565331402</c:v>
                </c:pt>
                <c:pt idx="88">
                  <c:v>1.1701834307529071</c:v>
                </c:pt>
                <c:pt idx="89">
                  <c:v>1.1524102231838609</c:v>
                </c:pt>
                <c:pt idx="90">
                  <c:v>-0.84746581256903164</c:v>
                </c:pt>
                <c:pt idx="91">
                  <c:v>-0.82531982777933044</c:v>
                </c:pt>
                <c:pt idx="92">
                  <c:v>-0.85038858119904759</c:v>
                </c:pt>
                <c:pt idx="93">
                  <c:v>-0.87218333833474748</c:v>
                </c:pt>
                <c:pt idx="94">
                  <c:v>-0.91769146876894281</c:v>
                </c:pt>
                <c:pt idx="95">
                  <c:v>-0.95254063893432372</c:v>
                </c:pt>
                <c:pt idx="96">
                  <c:v>-0.92458398443118084</c:v>
                </c:pt>
                <c:pt idx="97">
                  <c:v>-0.92458309329309918</c:v>
                </c:pt>
                <c:pt idx="98">
                  <c:v>-0.84151518960087623</c:v>
                </c:pt>
                <c:pt idx="99">
                  <c:v>-0.84067854333456793</c:v>
                </c:pt>
                <c:pt idx="100">
                  <c:v>-0.89435866443366008</c:v>
                </c:pt>
                <c:pt idx="101">
                  <c:v>-0.94467522483955679</c:v>
                </c:pt>
                <c:pt idx="102">
                  <c:v>-0.9954633566991371</c:v>
                </c:pt>
                <c:pt idx="103">
                  <c:v>-1.2498295106764861</c:v>
                </c:pt>
                <c:pt idx="104">
                  <c:v>-1.1048567309177788</c:v>
                </c:pt>
                <c:pt idx="105">
                  <c:v>-1.1382473802430062</c:v>
                </c:pt>
                <c:pt idx="106">
                  <c:v>-1.0809350464091874</c:v>
                </c:pt>
                <c:pt idx="107">
                  <c:v>-0.95808957629661273</c:v>
                </c:pt>
                <c:pt idx="108">
                  <c:v>-0.94617382638741565</c:v>
                </c:pt>
                <c:pt idx="109">
                  <c:v>-0.88898655694234963</c:v>
                </c:pt>
                <c:pt idx="110">
                  <c:v>-0.85458845468684463</c:v>
                </c:pt>
                <c:pt idx="111">
                  <c:v>-0.73119198933446128</c:v>
                </c:pt>
                <c:pt idx="112">
                  <c:v>-0.83527843589991524</c:v>
                </c:pt>
                <c:pt idx="113">
                  <c:v>-0.71639651518208969</c:v>
                </c:pt>
                <c:pt idx="114">
                  <c:v>-0.64054759222992497</c:v>
                </c:pt>
                <c:pt idx="115">
                  <c:v>-0.69549573260240494</c:v>
                </c:pt>
                <c:pt idx="116">
                  <c:v>-0.93451589040479199</c:v>
                </c:pt>
                <c:pt idx="117">
                  <c:v>-0.8534497622027446</c:v>
                </c:pt>
                <c:pt idx="118">
                  <c:v>-0.93341084952967968</c:v>
                </c:pt>
                <c:pt idx="119">
                  <c:v>-0.91754246113043691</c:v>
                </c:pt>
                <c:pt idx="120">
                  <c:v>-0.81585795516942372</c:v>
                </c:pt>
                <c:pt idx="121">
                  <c:v>-0.7151840452016498</c:v>
                </c:pt>
                <c:pt idx="122">
                  <c:v>-0.80376697389872398</c:v>
                </c:pt>
                <c:pt idx="123">
                  <c:v>-0.68792200316897578</c:v>
                </c:pt>
                <c:pt idx="124">
                  <c:v>-0.59942225110080849</c:v>
                </c:pt>
                <c:pt idx="125">
                  <c:v>-0.49108369409833574</c:v>
                </c:pt>
                <c:pt idx="126">
                  <c:v>-0.47519136039290466</c:v>
                </c:pt>
                <c:pt idx="127">
                  <c:v>-0.53342491562067607</c:v>
                </c:pt>
                <c:pt idx="128">
                  <c:v>-0.28643010272552405</c:v>
                </c:pt>
                <c:pt idx="129">
                  <c:v>-0.53815493776075529</c:v>
                </c:pt>
                <c:pt idx="130">
                  <c:v>-0.48921393200194629</c:v>
                </c:pt>
                <c:pt idx="131">
                  <c:v>-0.4646122908278118</c:v>
                </c:pt>
                <c:pt idx="132">
                  <c:v>-0.52784265148244736</c:v>
                </c:pt>
                <c:pt idx="133">
                  <c:v>-0.40301962169538813</c:v>
                </c:pt>
                <c:pt idx="134">
                  <c:v>-0.49811333851090106</c:v>
                </c:pt>
                <c:pt idx="135">
                  <c:v>-0.36197456832046099</c:v>
                </c:pt>
                <c:pt idx="136">
                  <c:v>-0.38303665349293259</c:v>
                </c:pt>
                <c:pt idx="137">
                  <c:v>-0.40901049708286985</c:v>
                </c:pt>
                <c:pt idx="138">
                  <c:v>-0.46855636369420661</c:v>
                </c:pt>
                <c:pt idx="139">
                  <c:v>-0.54107800574162057</c:v>
                </c:pt>
                <c:pt idx="140">
                  <c:v>-0.62016988901996095</c:v>
                </c:pt>
                <c:pt idx="141">
                  <c:v>-0.63796973594756101</c:v>
                </c:pt>
                <c:pt idx="142">
                  <c:v>-1.059070154607705</c:v>
                </c:pt>
                <c:pt idx="143">
                  <c:v>-1.0514181671356841</c:v>
                </c:pt>
                <c:pt idx="144">
                  <c:v>-0.93750541918493413</c:v>
                </c:pt>
                <c:pt idx="145">
                  <c:v>-0.89074752046791938</c:v>
                </c:pt>
                <c:pt idx="146">
                  <c:v>-0.81416280400965246</c:v>
                </c:pt>
                <c:pt idx="147">
                  <c:v>-0.76803313040417265</c:v>
                </c:pt>
                <c:pt idx="148">
                  <c:v>-0.61941832098738114</c:v>
                </c:pt>
                <c:pt idx="149">
                  <c:v>-0.55619719547069713</c:v>
                </c:pt>
                <c:pt idx="150">
                  <c:v>-0.5496975254344314</c:v>
                </c:pt>
                <c:pt idx="151">
                  <c:v>-0.50122077717773506</c:v>
                </c:pt>
                <c:pt idx="152">
                  <c:v>-0.50184485195519268</c:v>
                </c:pt>
                <c:pt idx="153">
                  <c:v>-0.43279610057835033</c:v>
                </c:pt>
                <c:pt idx="154">
                  <c:v>-0.4221558893650233</c:v>
                </c:pt>
                <c:pt idx="155">
                  <c:v>-0.85915975148374468</c:v>
                </c:pt>
                <c:pt idx="156">
                  <c:v>-0.8613584050606613</c:v>
                </c:pt>
                <c:pt idx="157">
                  <c:v>-0.86250421736933247</c:v>
                </c:pt>
                <c:pt idx="158">
                  <c:v>-0.79126175742898497</c:v>
                </c:pt>
                <c:pt idx="159">
                  <c:v>-0.87683869033587514</c:v>
                </c:pt>
                <c:pt idx="160">
                  <c:v>-0.89611989972843309</c:v>
                </c:pt>
                <c:pt idx="161">
                  <c:v>-0.79382052400762704</c:v>
                </c:pt>
                <c:pt idx="162">
                  <c:v>-0.45010258257705194</c:v>
                </c:pt>
                <c:pt idx="163">
                  <c:v>-0.37233145906689097</c:v>
                </c:pt>
                <c:pt idx="164">
                  <c:v>-0.39283355783265755</c:v>
                </c:pt>
                <c:pt idx="165">
                  <c:v>-0.66796330603234721</c:v>
                </c:pt>
                <c:pt idx="166">
                  <c:v>-0.61220832385315294</c:v>
                </c:pt>
                <c:pt idx="167">
                  <c:v>-0.67005314157226936</c:v>
                </c:pt>
                <c:pt idx="168">
                  <c:v>-0.88321660608027486</c:v>
                </c:pt>
                <c:pt idx="169">
                  <c:v>-0.72091080704511945</c:v>
                </c:pt>
                <c:pt idx="170">
                  <c:v>-0.42286673615338283</c:v>
                </c:pt>
                <c:pt idx="171">
                  <c:v>-0.26356067780924025</c:v>
                </c:pt>
                <c:pt idx="172">
                  <c:v>-0.66385831188913769</c:v>
                </c:pt>
                <c:pt idx="173">
                  <c:v>-0.7693917293636473</c:v>
                </c:pt>
                <c:pt idx="174">
                  <c:v>-0.74966691384730233</c:v>
                </c:pt>
                <c:pt idx="175">
                  <c:v>-0.71859339181109438</c:v>
                </c:pt>
                <c:pt idx="176">
                  <c:v>0.17455602392378691</c:v>
                </c:pt>
                <c:pt idx="177">
                  <c:v>-0.17070001932487888</c:v>
                </c:pt>
                <c:pt idx="178">
                  <c:v>0.13197549203448566</c:v>
                </c:pt>
                <c:pt idx="179">
                  <c:v>0.27410859182683117</c:v>
                </c:pt>
                <c:pt idx="180">
                  <c:v>0.30698232228227823</c:v>
                </c:pt>
                <c:pt idx="181">
                  <c:v>0.63561588047734785</c:v>
                </c:pt>
                <c:pt idx="182">
                  <c:v>0.8264273499812026</c:v>
                </c:pt>
                <c:pt idx="183">
                  <c:v>1.1798231783970081</c:v>
                </c:pt>
                <c:pt idx="184">
                  <c:v>1.3191401975281596</c:v>
                </c:pt>
                <c:pt idx="185">
                  <c:v>1.3409738741978847</c:v>
                </c:pt>
                <c:pt idx="186">
                  <c:v>1.4676965229179613</c:v>
                </c:pt>
                <c:pt idx="187">
                  <c:v>0.8715076686629728</c:v>
                </c:pt>
                <c:pt idx="188">
                  <c:v>0.76289995489425111</c:v>
                </c:pt>
                <c:pt idx="189">
                  <c:v>0.78503305097845899</c:v>
                </c:pt>
                <c:pt idx="190">
                  <c:v>0.56531861947687811</c:v>
                </c:pt>
                <c:pt idx="191">
                  <c:v>0.28744144309189545</c:v>
                </c:pt>
                <c:pt idx="192">
                  <c:v>0.52570808586634776</c:v>
                </c:pt>
                <c:pt idx="193">
                  <c:v>0.86856872323244216</c:v>
                </c:pt>
                <c:pt idx="194">
                  <c:v>1.5764597086130612</c:v>
                </c:pt>
                <c:pt idx="195">
                  <c:v>2.1285148242823344</c:v>
                </c:pt>
                <c:pt idx="196">
                  <c:v>1.750759259498234</c:v>
                </c:pt>
                <c:pt idx="197">
                  <c:v>1.3670382924606856</c:v>
                </c:pt>
                <c:pt idx="198">
                  <c:v>1.7723941383577007</c:v>
                </c:pt>
                <c:pt idx="199">
                  <c:v>2.4685740274438288</c:v>
                </c:pt>
                <c:pt idx="200">
                  <c:v>2.1967821926258435</c:v>
                </c:pt>
                <c:pt idx="201">
                  <c:v>2.6739502609782386</c:v>
                </c:pt>
                <c:pt idx="202">
                  <c:v>2.7201314989538572</c:v>
                </c:pt>
                <c:pt idx="203">
                  <c:v>3.2934186799830392</c:v>
                </c:pt>
                <c:pt idx="204">
                  <c:v>2.7784376873567953</c:v>
                </c:pt>
                <c:pt idx="205">
                  <c:v>3.1887605165104835</c:v>
                </c:pt>
                <c:pt idx="206">
                  <c:v>3.1986401862820038</c:v>
                </c:pt>
                <c:pt idx="207">
                  <c:v>1.4734816165125126</c:v>
                </c:pt>
                <c:pt idx="208">
                  <c:v>1.4681820300298298</c:v>
                </c:pt>
                <c:pt idx="209">
                  <c:v>1.797858681041651</c:v>
                </c:pt>
                <c:pt idx="210">
                  <c:v>1.333602927465269</c:v>
                </c:pt>
                <c:pt idx="211">
                  <c:v>1.1767541886281854</c:v>
                </c:pt>
                <c:pt idx="212">
                  <c:v>1.0175034717081324</c:v>
                </c:pt>
                <c:pt idx="213">
                  <c:v>1.3738563631535328</c:v>
                </c:pt>
                <c:pt idx="214">
                  <c:v>1.3795182346428183</c:v>
                </c:pt>
                <c:pt idx="215">
                  <c:v>1.2555307633999768</c:v>
                </c:pt>
                <c:pt idx="216">
                  <c:v>1.4989625048019382</c:v>
                </c:pt>
                <c:pt idx="217">
                  <c:v>1.5990768663289465</c:v>
                </c:pt>
                <c:pt idx="218">
                  <c:v>1.8907316308809448</c:v>
                </c:pt>
                <c:pt idx="219">
                  <c:v>1.741688119894651</c:v>
                </c:pt>
                <c:pt idx="220">
                  <c:v>1.7186993680285336</c:v>
                </c:pt>
                <c:pt idx="221">
                  <c:v>0.66519603770659652</c:v>
                </c:pt>
                <c:pt idx="222">
                  <c:v>0.68184840500504185</c:v>
                </c:pt>
                <c:pt idx="223">
                  <c:v>0.67792502812494859</c:v>
                </c:pt>
                <c:pt idx="224">
                  <c:v>0.82088526088246361</c:v>
                </c:pt>
                <c:pt idx="225">
                  <c:v>1.1571123039312283</c:v>
                </c:pt>
                <c:pt idx="226">
                  <c:v>1.1970211659328513</c:v>
                </c:pt>
                <c:pt idx="227">
                  <c:v>1.4765944421783106</c:v>
                </c:pt>
                <c:pt idx="228">
                  <c:v>1.7599523417645806</c:v>
                </c:pt>
                <c:pt idx="229">
                  <c:v>1.8830967947592938</c:v>
                </c:pt>
                <c:pt idx="230">
                  <c:v>2.0595566457986929</c:v>
                </c:pt>
                <c:pt idx="231">
                  <c:v>2.4705445500135967</c:v>
                </c:pt>
                <c:pt idx="232">
                  <c:v>2.2796089328579745</c:v>
                </c:pt>
                <c:pt idx="233">
                  <c:v>2.503594268287233</c:v>
                </c:pt>
                <c:pt idx="234">
                  <c:v>1.2348824583953288</c:v>
                </c:pt>
                <c:pt idx="235">
                  <c:v>1.0653768215915829</c:v>
                </c:pt>
                <c:pt idx="236">
                  <c:v>0.62112651466821012</c:v>
                </c:pt>
                <c:pt idx="237">
                  <c:v>0.76355844853784915</c:v>
                </c:pt>
                <c:pt idx="238">
                  <c:v>0.85215564752728445</c:v>
                </c:pt>
                <c:pt idx="239">
                  <c:v>0.66172867535594404</c:v>
                </c:pt>
                <c:pt idx="240">
                  <c:v>0.77008686852529062</c:v>
                </c:pt>
                <c:pt idx="241">
                  <c:v>0.69855696826700309</c:v>
                </c:pt>
                <c:pt idx="242">
                  <c:v>0.39881331522043989</c:v>
                </c:pt>
                <c:pt idx="243">
                  <c:v>0.53321074909601263</c:v>
                </c:pt>
                <c:pt idx="244">
                  <c:v>0.59568160376484736</c:v>
                </c:pt>
                <c:pt idx="245">
                  <c:v>0.71812997555246982</c:v>
                </c:pt>
                <c:pt idx="246">
                  <c:v>0.61088334256306442</c:v>
                </c:pt>
                <c:pt idx="247">
                  <c:v>-2.2572905636185546E-2</c:v>
                </c:pt>
                <c:pt idx="248">
                  <c:v>0.12305194018833701</c:v>
                </c:pt>
                <c:pt idx="249">
                  <c:v>2.0428705540583066E-2</c:v>
                </c:pt>
                <c:pt idx="250">
                  <c:v>8.7902440094085287E-3</c:v>
                </c:pt>
                <c:pt idx="251">
                  <c:v>-8.7974361889780126E-2</c:v>
                </c:pt>
                <c:pt idx="252">
                  <c:v>6.1248781127361207E-2</c:v>
                </c:pt>
                <c:pt idx="253">
                  <c:v>0.35523539723521314</c:v>
                </c:pt>
                <c:pt idx="254">
                  <c:v>0.38248439644568782</c:v>
                </c:pt>
                <c:pt idx="255">
                  <c:v>0.30114462566431077</c:v>
                </c:pt>
                <c:pt idx="256">
                  <c:v>0.15464112133878272</c:v>
                </c:pt>
                <c:pt idx="257">
                  <c:v>0.12482173355177552</c:v>
                </c:pt>
                <c:pt idx="258">
                  <c:v>0.11709181624863467</c:v>
                </c:pt>
                <c:pt idx="259">
                  <c:v>3.6863050826103506E-2</c:v>
                </c:pt>
                <c:pt idx="260">
                  <c:v>5.0645563781442346E-2</c:v>
                </c:pt>
                <c:pt idx="261">
                  <c:v>-5.053603414144605E-2</c:v>
                </c:pt>
                <c:pt idx="262">
                  <c:v>8.0262305280854304E-2</c:v>
                </c:pt>
                <c:pt idx="263">
                  <c:v>0.22353298440316485</c:v>
                </c:pt>
                <c:pt idx="264">
                  <c:v>0.39060394068074628</c:v>
                </c:pt>
                <c:pt idx="265">
                  <c:v>0.38148106681909677</c:v>
                </c:pt>
                <c:pt idx="266">
                  <c:v>0.258513313996585</c:v>
                </c:pt>
                <c:pt idx="267">
                  <c:v>0.19226934267419793</c:v>
                </c:pt>
                <c:pt idx="268">
                  <c:v>0.14450941057690062</c:v>
                </c:pt>
                <c:pt idx="269">
                  <c:v>9.0587763824886064E-2</c:v>
                </c:pt>
                <c:pt idx="270">
                  <c:v>-0.18802464186021339</c:v>
                </c:pt>
                <c:pt idx="271">
                  <c:v>-0.21620772863048279</c:v>
                </c:pt>
                <c:pt idx="272">
                  <c:v>-0.16322101363611377</c:v>
                </c:pt>
                <c:pt idx="273">
                  <c:v>-0.28579102233931342</c:v>
                </c:pt>
                <c:pt idx="274">
                  <c:v>-0.16451809293595335</c:v>
                </c:pt>
                <c:pt idx="275">
                  <c:v>-4.1135698985556059E-2</c:v>
                </c:pt>
                <c:pt idx="276">
                  <c:v>1.012390055108133E-2</c:v>
                </c:pt>
                <c:pt idx="277">
                  <c:v>1.0342477177363725</c:v>
                </c:pt>
                <c:pt idx="278">
                  <c:v>0.76226320117074087</c:v>
                </c:pt>
                <c:pt idx="279">
                  <c:v>0.96429507047326524</c:v>
                </c:pt>
                <c:pt idx="280">
                  <c:v>0.80179774550652583</c:v>
                </c:pt>
                <c:pt idx="281">
                  <c:v>1.0882790683035166</c:v>
                </c:pt>
                <c:pt idx="282">
                  <c:v>1.2776726967934946</c:v>
                </c:pt>
                <c:pt idx="283">
                  <c:v>1.1770158931174772</c:v>
                </c:pt>
                <c:pt idx="284">
                  <c:v>1.3577034038177835</c:v>
                </c:pt>
                <c:pt idx="285">
                  <c:v>1.3446874086345242</c:v>
                </c:pt>
                <c:pt idx="286">
                  <c:v>0.91858656415352846</c:v>
                </c:pt>
                <c:pt idx="287">
                  <c:v>0.78765351614249968</c:v>
                </c:pt>
                <c:pt idx="288">
                  <c:v>0.57293560119114506</c:v>
                </c:pt>
                <c:pt idx="289">
                  <c:v>0.86072652096183289</c:v>
                </c:pt>
                <c:pt idx="290">
                  <c:v>0.96473677226249954</c:v>
                </c:pt>
                <c:pt idx="291">
                  <c:v>0.72212206945830004</c:v>
                </c:pt>
                <c:pt idx="292">
                  <c:v>0.64898479675449328</c:v>
                </c:pt>
                <c:pt idx="293">
                  <c:v>0.69931941372305839</c:v>
                </c:pt>
                <c:pt idx="294">
                  <c:v>0.60543308644307725</c:v>
                </c:pt>
                <c:pt idx="295">
                  <c:v>0.56344835473066979</c:v>
                </c:pt>
                <c:pt idx="296">
                  <c:v>0.69836585557913344</c:v>
                </c:pt>
                <c:pt idx="297">
                  <c:v>0.77482875044712396</c:v>
                </c:pt>
                <c:pt idx="298">
                  <c:v>0.87735736169655187</c:v>
                </c:pt>
                <c:pt idx="299">
                  <c:v>0.83011213961653074</c:v>
                </c:pt>
                <c:pt idx="300">
                  <c:v>0.71385406097383231</c:v>
                </c:pt>
                <c:pt idx="301">
                  <c:v>0.49105500691535109</c:v>
                </c:pt>
                <c:pt idx="302">
                  <c:v>0.48878269882689784</c:v>
                </c:pt>
                <c:pt idx="303">
                  <c:v>0.48660768222470291</c:v>
                </c:pt>
                <c:pt idx="304">
                  <c:v>0.41401380541066879</c:v>
                </c:pt>
                <c:pt idx="305">
                  <c:v>0.3576055334906586</c:v>
                </c:pt>
                <c:pt idx="306">
                  <c:v>0.37910628963324344</c:v>
                </c:pt>
                <c:pt idx="307">
                  <c:v>0.58469535198005729</c:v>
                </c:pt>
                <c:pt idx="308">
                  <c:v>0.48116232718515095</c:v>
                </c:pt>
                <c:pt idx="309">
                  <c:v>0.71701611665273601</c:v>
                </c:pt>
                <c:pt idx="310">
                  <c:v>0.69021863082165824</c:v>
                </c:pt>
                <c:pt idx="311">
                  <c:v>0.54228099382396866</c:v>
                </c:pt>
                <c:pt idx="312">
                  <c:v>0.21998488791194318</c:v>
                </c:pt>
                <c:pt idx="313">
                  <c:v>0.30927809081206131</c:v>
                </c:pt>
                <c:pt idx="314">
                  <c:v>0.22892980826563919</c:v>
                </c:pt>
                <c:pt idx="315">
                  <c:v>0.34211208305882806</c:v>
                </c:pt>
                <c:pt idx="316">
                  <c:v>0.39215996910216627</c:v>
                </c:pt>
                <c:pt idx="317">
                  <c:v>0.17136602465340531</c:v>
                </c:pt>
                <c:pt idx="318">
                  <c:v>8.1710089744864697E-2</c:v>
                </c:pt>
                <c:pt idx="319">
                  <c:v>8.5355289949142862E-2</c:v>
                </c:pt>
                <c:pt idx="320">
                  <c:v>0.1324006275816261</c:v>
                </c:pt>
                <c:pt idx="321">
                  <c:v>0.17389941748420018</c:v>
                </c:pt>
                <c:pt idx="322">
                  <c:v>0.24481490840876691</c:v>
                </c:pt>
                <c:pt idx="323">
                  <c:v>0.12319509259725127</c:v>
                </c:pt>
                <c:pt idx="324">
                  <c:v>3.0389465140933845E-2</c:v>
                </c:pt>
                <c:pt idx="325">
                  <c:v>-0.11113391093748527</c:v>
                </c:pt>
                <c:pt idx="326">
                  <c:v>-2.8898666725015027E-2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E-430B-A46F-3B08228680B8}"/>
            </c:ext>
          </c:extLst>
        </c:ser>
        <c:ser>
          <c:idx val="1"/>
          <c:order val="1"/>
          <c:tx>
            <c:strRef>
              <c:f>Base!$CH$6</c:f>
              <c:strCache>
                <c:ptCount val="1"/>
                <c:pt idx="0">
                  <c:v>Q90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Base!$CE$59:$CE$390</c:f>
              <c:numCache>
                <c:formatCode>m/d/yyyy</c:formatCode>
                <c:ptCount val="332"/>
                <c:pt idx="0">
                  <c:v>44022</c:v>
                </c:pt>
                <c:pt idx="1">
                  <c:v>44029</c:v>
                </c:pt>
                <c:pt idx="2">
                  <c:v>44036</c:v>
                </c:pt>
                <c:pt idx="3">
                  <c:v>44043</c:v>
                </c:pt>
                <c:pt idx="4">
                  <c:v>44050</c:v>
                </c:pt>
                <c:pt idx="5">
                  <c:v>44057</c:v>
                </c:pt>
                <c:pt idx="6">
                  <c:v>44064</c:v>
                </c:pt>
                <c:pt idx="7">
                  <c:v>44071</c:v>
                </c:pt>
                <c:pt idx="8">
                  <c:v>44078</c:v>
                </c:pt>
                <c:pt idx="9">
                  <c:v>44085</c:v>
                </c:pt>
                <c:pt idx="10">
                  <c:v>44092</c:v>
                </c:pt>
                <c:pt idx="11">
                  <c:v>44099</c:v>
                </c:pt>
                <c:pt idx="12">
                  <c:v>44106</c:v>
                </c:pt>
                <c:pt idx="13">
                  <c:v>44113</c:v>
                </c:pt>
                <c:pt idx="14">
                  <c:v>44120</c:v>
                </c:pt>
                <c:pt idx="15">
                  <c:v>44127</c:v>
                </c:pt>
                <c:pt idx="16">
                  <c:v>44134</c:v>
                </c:pt>
                <c:pt idx="17">
                  <c:v>44141</c:v>
                </c:pt>
                <c:pt idx="18">
                  <c:v>44148</c:v>
                </c:pt>
                <c:pt idx="19">
                  <c:v>44155</c:v>
                </c:pt>
                <c:pt idx="20">
                  <c:v>44162</c:v>
                </c:pt>
                <c:pt idx="21">
                  <c:v>44169</c:v>
                </c:pt>
                <c:pt idx="22">
                  <c:v>44176</c:v>
                </c:pt>
                <c:pt idx="23">
                  <c:v>44183</c:v>
                </c:pt>
                <c:pt idx="24">
                  <c:v>44190</c:v>
                </c:pt>
                <c:pt idx="25">
                  <c:v>44197</c:v>
                </c:pt>
                <c:pt idx="26">
                  <c:v>44204</c:v>
                </c:pt>
                <c:pt idx="27">
                  <c:v>44211</c:v>
                </c:pt>
                <c:pt idx="28">
                  <c:v>44218</c:v>
                </c:pt>
                <c:pt idx="29">
                  <c:v>44225</c:v>
                </c:pt>
                <c:pt idx="30">
                  <c:v>44232</c:v>
                </c:pt>
                <c:pt idx="31">
                  <c:v>44239</c:v>
                </c:pt>
                <c:pt idx="32">
                  <c:v>44246</c:v>
                </c:pt>
                <c:pt idx="33">
                  <c:v>44253</c:v>
                </c:pt>
                <c:pt idx="34">
                  <c:v>44260</c:v>
                </c:pt>
                <c:pt idx="35">
                  <c:v>44267</c:v>
                </c:pt>
                <c:pt idx="36">
                  <c:v>44274</c:v>
                </c:pt>
                <c:pt idx="37">
                  <c:v>44281</c:v>
                </c:pt>
                <c:pt idx="38">
                  <c:v>44288</c:v>
                </c:pt>
                <c:pt idx="39">
                  <c:v>44295</c:v>
                </c:pt>
                <c:pt idx="40">
                  <c:v>44302</c:v>
                </c:pt>
                <c:pt idx="41">
                  <c:v>44309</c:v>
                </c:pt>
                <c:pt idx="42">
                  <c:v>44316</c:v>
                </c:pt>
                <c:pt idx="43">
                  <c:v>44323</c:v>
                </c:pt>
                <c:pt idx="44">
                  <c:v>44330</c:v>
                </c:pt>
                <c:pt idx="45">
                  <c:v>44337</c:v>
                </c:pt>
                <c:pt idx="46">
                  <c:v>44344</c:v>
                </c:pt>
                <c:pt idx="47">
                  <c:v>44351</c:v>
                </c:pt>
                <c:pt idx="48">
                  <c:v>44358</c:v>
                </c:pt>
                <c:pt idx="49">
                  <c:v>44365</c:v>
                </c:pt>
                <c:pt idx="50">
                  <c:v>44372</c:v>
                </c:pt>
                <c:pt idx="51">
                  <c:v>44379</c:v>
                </c:pt>
                <c:pt idx="52">
                  <c:v>44386</c:v>
                </c:pt>
                <c:pt idx="53">
                  <c:v>44393</c:v>
                </c:pt>
                <c:pt idx="54">
                  <c:v>44400</c:v>
                </c:pt>
                <c:pt idx="55">
                  <c:v>44407</c:v>
                </c:pt>
                <c:pt idx="56">
                  <c:v>44414</c:v>
                </c:pt>
                <c:pt idx="57">
                  <c:v>44421</c:v>
                </c:pt>
                <c:pt idx="58">
                  <c:v>44428</c:v>
                </c:pt>
                <c:pt idx="59">
                  <c:v>44435</c:v>
                </c:pt>
                <c:pt idx="60">
                  <c:v>44442</c:v>
                </c:pt>
                <c:pt idx="61">
                  <c:v>44449</c:v>
                </c:pt>
                <c:pt idx="62">
                  <c:v>44456</c:v>
                </c:pt>
                <c:pt idx="63">
                  <c:v>44463</c:v>
                </c:pt>
                <c:pt idx="64">
                  <c:v>44470</c:v>
                </c:pt>
                <c:pt idx="65">
                  <c:v>44477</c:v>
                </c:pt>
                <c:pt idx="66">
                  <c:v>44484</c:v>
                </c:pt>
                <c:pt idx="67">
                  <c:v>44491</c:v>
                </c:pt>
                <c:pt idx="68">
                  <c:v>44498</c:v>
                </c:pt>
                <c:pt idx="69">
                  <c:v>44505</c:v>
                </c:pt>
                <c:pt idx="70">
                  <c:v>44512</c:v>
                </c:pt>
                <c:pt idx="71">
                  <c:v>44519</c:v>
                </c:pt>
                <c:pt idx="72">
                  <c:v>44526</c:v>
                </c:pt>
                <c:pt idx="73">
                  <c:v>44533</c:v>
                </c:pt>
                <c:pt idx="74">
                  <c:v>44540</c:v>
                </c:pt>
                <c:pt idx="75">
                  <c:v>44547</c:v>
                </c:pt>
                <c:pt idx="76">
                  <c:v>44554</c:v>
                </c:pt>
                <c:pt idx="77">
                  <c:v>44561</c:v>
                </c:pt>
                <c:pt idx="78">
                  <c:v>44568</c:v>
                </c:pt>
                <c:pt idx="79">
                  <c:v>44575</c:v>
                </c:pt>
                <c:pt idx="80">
                  <c:v>44582</c:v>
                </c:pt>
                <c:pt idx="81">
                  <c:v>44589</c:v>
                </c:pt>
                <c:pt idx="82">
                  <c:v>44596</c:v>
                </c:pt>
                <c:pt idx="83">
                  <c:v>44603</c:v>
                </c:pt>
                <c:pt idx="84">
                  <c:v>44610</c:v>
                </c:pt>
                <c:pt idx="85">
                  <c:v>44617</c:v>
                </c:pt>
                <c:pt idx="86">
                  <c:v>44624</c:v>
                </c:pt>
                <c:pt idx="87">
                  <c:v>44631</c:v>
                </c:pt>
                <c:pt idx="88">
                  <c:v>44638</c:v>
                </c:pt>
                <c:pt idx="89">
                  <c:v>44645</c:v>
                </c:pt>
                <c:pt idx="90">
                  <c:v>44652</c:v>
                </c:pt>
                <c:pt idx="91">
                  <c:v>44659</c:v>
                </c:pt>
                <c:pt idx="92">
                  <c:v>44666</c:v>
                </c:pt>
                <c:pt idx="93">
                  <c:v>44673</c:v>
                </c:pt>
                <c:pt idx="94">
                  <c:v>44680</c:v>
                </c:pt>
                <c:pt idx="95">
                  <c:v>44687</c:v>
                </c:pt>
                <c:pt idx="96">
                  <c:v>44694</c:v>
                </c:pt>
                <c:pt idx="97">
                  <c:v>44701</c:v>
                </c:pt>
                <c:pt idx="98">
                  <c:v>44708</c:v>
                </c:pt>
                <c:pt idx="99">
                  <c:v>44715</c:v>
                </c:pt>
                <c:pt idx="100">
                  <c:v>44722</c:v>
                </c:pt>
                <c:pt idx="101">
                  <c:v>44729</c:v>
                </c:pt>
                <c:pt idx="102">
                  <c:v>44736</c:v>
                </c:pt>
                <c:pt idx="103">
                  <c:v>44743</c:v>
                </c:pt>
                <c:pt idx="104">
                  <c:v>44750</c:v>
                </c:pt>
                <c:pt idx="105">
                  <c:v>44757</c:v>
                </c:pt>
                <c:pt idx="106">
                  <c:v>44764</c:v>
                </c:pt>
                <c:pt idx="107">
                  <c:v>44771</c:v>
                </c:pt>
                <c:pt idx="108">
                  <c:v>44778</c:v>
                </c:pt>
                <c:pt idx="109">
                  <c:v>44785</c:v>
                </c:pt>
                <c:pt idx="110">
                  <c:v>44792</c:v>
                </c:pt>
                <c:pt idx="111">
                  <c:v>44799</c:v>
                </c:pt>
                <c:pt idx="112">
                  <c:v>44806</c:v>
                </c:pt>
                <c:pt idx="113">
                  <c:v>44813</c:v>
                </c:pt>
                <c:pt idx="114">
                  <c:v>44820</c:v>
                </c:pt>
                <c:pt idx="115">
                  <c:v>44827</c:v>
                </c:pt>
                <c:pt idx="116">
                  <c:v>44834</c:v>
                </c:pt>
                <c:pt idx="117">
                  <c:v>44841</c:v>
                </c:pt>
                <c:pt idx="118">
                  <c:v>44848</c:v>
                </c:pt>
                <c:pt idx="119">
                  <c:v>44855</c:v>
                </c:pt>
                <c:pt idx="120">
                  <c:v>44862</c:v>
                </c:pt>
                <c:pt idx="121">
                  <c:v>44869</c:v>
                </c:pt>
                <c:pt idx="122">
                  <c:v>44876</c:v>
                </c:pt>
                <c:pt idx="123">
                  <c:v>44883</c:v>
                </c:pt>
                <c:pt idx="124">
                  <c:v>44890</c:v>
                </c:pt>
                <c:pt idx="125">
                  <c:v>44897</c:v>
                </c:pt>
                <c:pt idx="126">
                  <c:v>44904</c:v>
                </c:pt>
                <c:pt idx="127">
                  <c:v>44911</c:v>
                </c:pt>
                <c:pt idx="128">
                  <c:v>44918</c:v>
                </c:pt>
                <c:pt idx="129">
                  <c:v>44925</c:v>
                </c:pt>
                <c:pt idx="130">
                  <c:v>44932</c:v>
                </c:pt>
                <c:pt idx="131">
                  <c:v>44939</c:v>
                </c:pt>
                <c:pt idx="132">
                  <c:v>44946</c:v>
                </c:pt>
                <c:pt idx="133">
                  <c:v>44953</c:v>
                </c:pt>
                <c:pt idx="134">
                  <c:v>44960</c:v>
                </c:pt>
                <c:pt idx="135">
                  <c:v>44967</c:v>
                </c:pt>
                <c:pt idx="136">
                  <c:v>44974</c:v>
                </c:pt>
                <c:pt idx="137">
                  <c:v>44981</c:v>
                </c:pt>
                <c:pt idx="138">
                  <c:v>44988</c:v>
                </c:pt>
                <c:pt idx="139">
                  <c:v>44995</c:v>
                </c:pt>
                <c:pt idx="140">
                  <c:v>45002</c:v>
                </c:pt>
                <c:pt idx="141">
                  <c:v>45009</c:v>
                </c:pt>
                <c:pt idx="142">
                  <c:v>45016</c:v>
                </c:pt>
                <c:pt idx="143">
                  <c:v>45023</c:v>
                </c:pt>
                <c:pt idx="144">
                  <c:v>45030</c:v>
                </c:pt>
                <c:pt idx="145">
                  <c:v>45037</c:v>
                </c:pt>
                <c:pt idx="146">
                  <c:v>45044</c:v>
                </c:pt>
                <c:pt idx="147">
                  <c:v>45051</c:v>
                </c:pt>
                <c:pt idx="148">
                  <c:v>45058</c:v>
                </c:pt>
                <c:pt idx="149">
                  <c:v>45065</c:v>
                </c:pt>
                <c:pt idx="150">
                  <c:v>45072</c:v>
                </c:pt>
                <c:pt idx="151">
                  <c:v>45079</c:v>
                </c:pt>
                <c:pt idx="152">
                  <c:v>45086</c:v>
                </c:pt>
                <c:pt idx="153">
                  <c:v>45093</c:v>
                </c:pt>
                <c:pt idx="154">
                  <c:v>45100</c:v>
                </c:pt>
                <c:pt idx="155">
                  <c:v>45107</c:v>
                </c:pt>
                <c:pt idx="156">
                  <c:v>45114</c:v>
                </c:pt>
                <c:pt idx="157">
                  <c:v>45121</c:v>
                </c:pt>
                <c:pt idx="158">
                  <c:v>45128</c:v>
                </c:pt>
                <c:pt idx="159">
                  <c:v>45135</c:v>
                </c:pt>
                <c:pt idx="160">
                  <c:v>45142</c:v>
                </c:pt>
                <c:pt idx="161">
                  <c:v>45149</c:v>
                </c:pt>
                <c:pt idx="162">
                  <c:v>45156</c:v>
                </c:pt>
                <c:pt idx="163">
                  <c:v>45163</c:v>
                </c:pt>
                <c:pt idx="164">
                  <c:v>45170</c:v>
                </c:pt>
                <c:pt idx="165">
                  <c:v>45177</c:v>
                </c:pt>
                <c:pt idx="166">
                  <c:v>45184</c:v>
                </c:pt>
                <c:pt idx="167">
                  <c:v>45191</c:v>
                </c:pt>
                <c:pt idx="168">
                  <c:v>45198</c:v>
                </c:pt>
                <c:pt idx="169">
                  <c:v>45205</c:v>
                </c:pt>
                <c:pt idx="170">
                  <c:v>45212</c:v>
                </c:pt>
                <c:pt idx="171">
                  <c:v>45219</c:v>
                </c:pt>
                <c:pt idx="172">
                  <c:v>45226</c:v>
                </c:pt>
                <c:pt idx="173">
                  <c:v>45233</c:v>
                </c:pt>
                <c:pt idx="174">
                  <c:v>45240</c:v>
                </c:pt>
                <c:pt idx="175">
                  <c:v>45247</c:v>
                </c:pt>
                <c:pt idx="176">
                  <c:v>45254</c:v>
                </c:pt>
                <c:pt idx="177">
                  <c:v>45261</c:v>
                </c:pt>
                <c:pt idx="178">
                  <c:v>45268</c:v>
                </c:pt>
                <c:pt idx="179">
                  <c:v>45275</c:v>
                </c:pt>
                <c:pt idx="180">
                  <c:v>45282</c:v>
                </c:pt>
                <c:pt idx="181">
                  <c:v>45289</c:v>
                </c:pt>
                <c:pt idx="182">
                  <c:v>45296</c:v>
                </c:pt>
                <c:pt idx="183">
                  <c:v>45303</c:v>
                </c:pt>
                <c:pt idx="184">
                  <c:v>45310</c:v>
                </c:pt>
                <c:pt idx="185">
                  <c:v>45317</c:v>
                </c:pt>
                <c:pt idx="186">
                  <c:v>45324</c:v>
                </c:pt>
                <c:pt idx="187">
                  <c:v>45331</c:v>
                </c:pt>
                <c:pt idx="188">
                  <c:v>45338</c:v>
                </c:pt>
                <c:pt idx="189">
                  <c:v>45345</c:v>
                </c:pt>
                <c:pt idx="190">
                  <c:v>45352</c:v>
                </c:pt>
                <c:pt idx="191">
                  <c:v>45359</c:v>
                </c:pt>
                <c:pt idx="192">
                  <c:v>45366</c:v>
                </c:pt>
                <c:pt idx="193">
                  <c:v>45373</c:v>
                </c:pt>
                <c:pt idx="194">
                  <c:v>45380</c:v>
                </c:pt>
                <c:pt idx="195">
                  <c:v>45387</c:v>
                </c:pt>
                <c:pt idx="196">
                  <c:v>45394</c:v>
                </c:pt>
                <c:pt idx="197">
                  <c:v>45401</c:v>
                </c:pt>
                <c:pt idx="198">
                  <c:v>45408</c:v>
                </c:pt>
                <c:pt idx="199">
                  <c:v>45415</c:v>
                </c:pt>
                <c:pt idx="200">
                  <c:v>45422</c:v>
                </c:pt>
                <c:pt idx="201">
                  <c:v>45429</c:v>
                </c:pt>
                <c:pt idx="202">
                  <c:v>45436</c:v>
                </c:pt>
                <c:pt idx="203">
                  <c:v>45443</c:v>
                </c:pt>
                <c:pt idx="204">
                  <c:v>45450</c:v>
                </c:pt>
                <c:pt idx="205">
                  <c:v>45457</c:v>
                </c:pt>
                <c:pt idx="206">
                  <c:v>45464</c:v>
                </c:pt>
                <c:pt idx="207">
                  <c:v>45471</c:v>
                </c:pt>
                <c:pt idx="208">
                  <c:v>45478</c:v>
                </c:pt>
                <c:pt idx="209">
                  <c:v>45485</c:v>
                </c:pt>
                <c:pt idx="210">
                  <c:v>45492</c:v>
                </c:pt>
                <c:pt idx="211">
                  <c:v>45499</c:v>
                </c:pt>
                <c:pt idx="212">
                  <c:v>45506</c:v>
                </c:pt>
                <c:pt idx="213">
                  <c:v>45513</c:v>
                </c:pt>
                <c:pt idx="214">
                  <c:v>45520</c:v>
                </c:pt>
                <c:pt idx="215">
                  <c:v>45527</c:v>
                </c:pt>
                <c:pt idx="216">
                  <c:v>45534</c:v>
                </c:pt>
                <c:pt idx="217">
                  <c:v>45541</c:v>
                </c:pt>
                <c:pt idx="218">
                  <c:v>45548</c:v>
                </c:pt>
                <c:pt idx="219">
                  <c:v>45555</c:v>
                </c:pt>
                <c:pt idx="220">
                  <c:v>45562</c:v>
                </c:pt>
                <c:pt idx="221">
                  <c:v>45569</c:v>
                </c:pt>
                <c:pt idx="222">
                  <c:v>45576</c:v>
                </c:pt>
                <c:pt idx="223">
                  <c:v>45583</c:v>
                </c:pt>
                <c:pt idx="224">
                  <c:v>45590</c:v>
                </c:pt>
                <c:pt idx="225">
                  <c:v>45597</c:v>
                </c:pt>
                <c:pt idx="226">
                  <c:v>45604</c:v>
                </c:pt>
                <c:pt idx="227">
                  <c:v>45611</c:v>
                </c:pt>
                <c:pt idx="228">
                  <c:v>45618</c:v>
                </c:pt>
                <c:pt idx="229">
                  <c:v>45625</c:v>
                </c:pt>
                <c:pt idx="230">
                  <c:v>45632</c:v>
                </c:pt>
                <c:pt idx="231">
                  <c:v>45639</c:v>
                </c:pt>
                <c:pt idx="232">
                  <c:v>45646</c:v>
                </c:pt>
                <c:pt idx="233">
                  <c:v>45653</c:v>
                </c:pt>
                <c:pt idx="234">
                  <c:v>45660</c:v>
                </c:pt>
                <c:pt idx="235">
                  <c:v>45667</c:v>
                </c:pt>
                <c:pt idx="236">
                  <c:v>45674</c:v>
                </c:pt>
                <c:pt idx="237">
                  <c:v>45681</c:v>
                </c:pt>
                <c:pt idx="238">
                  <c:v>45688</c:v>
                </c:pt>
                <c:pt idx="239">
                  <c:v>45695</c:v>
                </c:pt>
                <c:pt idx="240">
                  <c:v>45702</c:v>
                </c:pt>
                <c:pt idx="241">
                  <c:v>45709</c:v>
                </c:pt>
                <c:pt idx="242">
                  <c:v>45716</c:v>
                </c:pt>
                <c:pt idx="243">
                  <c:v>45723</c:v>
                </c:pt>
                <c:pt idx="244">
                  <c:v>45730</c:v>
                </c:pt>
                <c:pt idx="245">
                  <c:v>45737</c:v>
                </c:pt>
                <c:pt idx="246">
                  <c:v>45744</c:v>
                </c:pt>
                <c:pt idx="247">
                  <c:v>45751</c:v>
                </c:pt>
                <c:pt idx="248">
                  <c:v>45758</c:v>
                </c:pt>
                <c:pt idx="249">
                  <c:v>45765</c:v>
                </c:pt>
                <c:pt idx="250">
                  <c:v>45772</c:v>
                </c:pt>
                <c:pt idx="251">
                  <c:v>45779</c:v>
                </c:pt>
                <c:pt idx="252">
                  <c:v>45786</c:v>
                </c:pt>
                <c:pt idx="253">
                  <c:v>45793</c:v>
                </c:pt>
                <c:pt idx="254">
                  <c:v>45800</c:v>
                </c:pt>
                <c:pt idx="255">
                  <c:v>45807</c:v>
                </c:pt>
                <c:pt idx="256">
                  <c:v>45814</c:v>
                </c:pt>
                <c:pt idx="257">
                  <c:v>45821</c:v>
                </c:pt>
                <c:pt idx="258">
                  <c:v>45828</c:v>
                </c:pt>
                <c:pt idx="259">
                  <c:v>45835</c:v>
                </c:pt>
                <c:pt idx="260">
                  <c:v>45842</c:v>
                </c:pt>
                <c:pt idx="261">
                  <c:v>45849</c:v>
                </c:pt>
                <c:pt idx="262">
                  <c:v>45856</c:v>
                </c:pt>
                <c:pt idx="263">
                  <c:v>45863</c:v>
                </c:pt>
                <c:pt idx="264">
                  <c:v>45870</c:v>
                </c:pt>
                <c:pt idx="265">
                  <c:v>45877</c:v>
                </c:pt>
                <c:pt idx="266">
                  <c:v>45884</c:v>
                </c:pt>
                <c:pt idx="267">
                  <c:v>45891</c:v>
                </c:pt>
                <c:pt idx="268">
                  <c:v>45898</c:v>
                </c:pt>
                <c:pt idx="269">
                  <c:v>45905</c:v>
                </c:pt>
                <c:pt idx="270">
                  <c:v>45912</c:v>
                </c:pt>
                <c:pt idx="271">
                  <c:v>45919</c:v>
                </c:pt>
                <c:pt idx="272">
                  <c:v>45926</c:v>
                </c:pt>
                <c:pt idx="273">
                  <c:v>45933</c:v>
                </c:pt>
                <c:pt idx="274">
                  <c:v>45940</c:v>
                </c:pt>
                <c:pt idx="275">
                  <c:v>45947</c:v>
                </c:pt>
                <c:pt idx="276">
                  <c:v>45954</c:v>
                </c:pt>
                <c:pt idx="277">
                  <c:v>45961</c:v>
                </c:pt>
                <c:pt idx="278">
                  <c:v>45968</c:v>
                </c:pt>
                <c:pt idx="279">
                  <c:v>45975</c:v>
                </c:pt>
                <c:pt idx="280">
                  <c:v>45982</c:v>
                </c:pt>
                <c:pt idx="281">
                  <c:v>45989</c:v>
                </c:pt>
                <c:pt idx="282">
                  <c:v>45996</c:v>
                </c:pt>
                <c:pt idx="283">
                  <c:v>46003</c:v>
                </c:pt>
                <c:pt idx="284">
                  <c:v>46010</c:v>
                </c:pt>
                <c:pt idx="285">
                  <c:v>46017</c:v>
                </c:pt>
                <c:pt idx="286">
                  <c:v>46024</c:v>
                </c:pt>
                <c:pt idx="287">
                  <c:v>46031</c:v>
                </c:pt>
                <c:pt idx="288">
                  <c:v>46038</c:v>
                </c:pt>
                <c:pt idx="289">
                  <c:v>46045</c:v>
                </c:pt>
                <c:pt idx="290">
                  <c:v>46052</c:v>
                </c:pt>
                <c:pt idx="291">
                  <c:v>46059</c:v>
                </c:pt>
                <c:pt idx="292">
                  <c:v>46066</c:v>
                </c:pt>
                <c:pt idx="293">
                  <c:v>46073</c:v>
                </c:pt>
                <c:pt idx="294">
                  <c:v>46080</c:v>
                </c:pt>
                <c:pt idx="295">
                  <c:v>46087</c:v>
                </c:pt>
                <c:pt idx="296">
                  <c:v>46094</c:v>
                </c:pt>
                <c:pt idx="297">
                  <c:v>46101</c:v>
                </c:pt>
                <c:pt idx="298">
                  <c:v>46108</c:v>
                </c:pt>
                <c:pt idx="299">
                  <c:v>46115</c:v>
                </c:pt>
                <c:pt idx="300">
                  <c:v>46122</c:v>
                </c:pt>
                <c:pt idx="301">
                  <c:v>46129</c:v>
                </c:pt>
                <c:pt idx="302">
                  <c:v>46136</c:v>
                </c:pt>
                <c:pt idx="303">
                  <c:v>46143</c:v>
                </c:pt>
                <c:pt idx="304">
                  <c:v>46150</c:v>
                </c:pt>
                <c:pt idx="305">
                  <c:v>46157</c:v>
                </c:pt>
                <c:pt idx="306">
                  <c:v>46164</c:v>
                </c:pt>
                <c:pt idx="307">
                  <c:v>46171</c:v>
                </c:pt>
                <c:pt idx="308">
                  <c:v>46178</c:v>
                </c:pt>
                <c:pt idx="309">
                  <c:v>46185</c:v>
                </c:pt>
                <c:pt idx="310">
                  <c:v>46192</c:v>
                </c:pt>
                <c:pt idx="311">
                  <c:v>46199</c:v>
                </c:pt>
                <c:pt idx="312">
                  <c:v>46206</c:v>
                </c:pt>
                <c:pt idx="313">
                  <c:v>46213</c:v>
                </c:pt>
                <c:pt idx="314">
                  <c:v>46220</c:v>
                </c:pt>
                <c:pt idx="315">
                  <c:v>46227</c:v>
                </c:pt>
                <c:pt idx="316">
                  <c:v>46234</c:v>
                </c:pt>
                <c:pt idx="317">
                  <c:v>46241</c:v>
                </c:pt>
                <c:pt idx="318">
                  <c:v>46248</c:v>
                </c:pt>
                <c:pt idx="319">
                  <c:v>46255</c:v>
                </c:pt>
                <c:pt idx="320">
                  <c:v>46262</c:v>
                </c:pt>
                <c:pt idx="321">
                  <c:v>46269</c:v>
                </c:pt>
                <c:pt idx="322">
                  <c:v>46276</c:v>
                </c:pt>
                <c:pt idx="323">
                  <c:v>46283</c:v>
                </c:pt>
                <c:pt idx="324">
                  <c:v>46290</c:v>
                </c:pt>
                <c:pt idx="325">
                  <c:v>46297</c:v>
                </c:pt>
                <c:pt idx="326">
                  <c:v>46304</c:v>
                </c:pt>
              </c:numCache>
            </c:numRef>
          </c:cat>
          <c:val>
            <c:numRef>
              <c:f>Base!$CH$59:$CH$390</c:f>
              <c:numCache>
                <c:formatCode>General</c:formatCode>
                <c:ptCount val="332"/>
                <c:pt idx="0">
                  <c:v>-0.85236612408522583</c:v>
                </c:pt>
                <c:pt idx="1">
                  <c:v>-0.85495522365529786</c:v>
                </c:pt>
                <c:pt idx="2">
                  <c:v>-0.87316726079238627</c:v>
                </c:pt>
                <c:pt idx="3">
                  <c:v>-0.88219136561317546</c:v>
                </c:pt>
                <c:pt idx="4">
                  <c:v>-0.89005947515614481</c:v>
                </c:pt>
                <c:pt idx="5">
                  <c:v>-0.89005947515614481</c:v>
                </c:pt>
                <c:pt idx="6">
                  <c:v>-0.89005947515614481</c:v>
                </c:pt>
                <c:pt idx="7">
                  <c:v>-0.89005947515614481</c:v>
                </c:pt>
                <c:pt idx="8">
                  <c:v>-0.89005947515614481</c:v>
                </c:pt>
                <c:pt idx="9">
                  <c:v>-0.89005947515614481</c:v>
                </c:pt>
                <c:pt idx="10">
                  <c:v>-0.89005947515614481</c:v>
                </c:pt>
                <c:pt idx="11">
                  <c:v>-0.91021705231680339</c:v>
                </c:pt>
                <c:pt idx="12">
                  <c:v>-0.91021705231680339</c:v>
                </c:pt>
                <c:pt idx="13">
                  <c:v>-0.93280902464886872</c:v>
                </c:pt>
                <c:pt idx="14">
                  <c:v>-0.93766783462804593</c:v>
                </c:pt>
                <c:pt idx="15">
                  <c:v>-0.94635054841059862</c:v>
                </c:pt>
                <c:pt idx="16">
                  <c:v>-0.94635054841059862</c:v>
                </c:pt>
                <c:pt idx="17">
                  <c:v>-0.94999676163520075</c:v>
                </c:pt>
                <c:pt idx="18">
                  <c:v>-0.94635054841059862</c:v>
                </c:pt>
                <c:pt idx="19">
                  <c:v>-0.94567795112819164</c:v>
                </c:pt>
                <c:pt idx="20">
                  <c:v>-0.93763445515738364</c:v>
                </c:pt>
                <c:pt idx="21">
                  <c:v>-0.93671220171617564</c:v>
                </c:pt>
                <c:pt idx="22">
                  <c:v>-0.93280902464886872</c:v>
                </c:pt>
                <c:pt idx="23">
                  <c:v>-0.92507081230610289</c:v>
                </c:pt>
                <c:pt idx="24">
                  <c:v>-0.92507081230610289</c:v>
                </c:pt>
                <c:pt idx="25">
                  <c:v>-0.92507081230610289</c:v>
                </c:pt>
                <c:pt idx="26">
                  <c:v>-0.92109370603174212</c:v>
                </c:pt>
                <c:pt idx="27">
                  <c:v>-0.90217056536057161</c:v>
                </c:pt>
                <c:pt idx="28">
                  <c:v>-0.88128727671666907</c:v>
                </c:pt>
                <c:pt idx="29">
                  <c:v>-0.86019745781918056</c:v>
                </c:pt>
                <c:pt idx="30">
                  <c:v>-0.84195744685356455</c:v>
                </c:pt>
                <c:pt idx="31">
                  <c:v>-0.63881495081984307</c:v>
                </c:pt>
                <c:pt idx="32">
                  <c:v>-0.61699781698798128</c:v>
                </c:pt>
                <c:pt idx="33">
                  <c:v>-0.61699781698798128</c:v>
                </c:pt>
                <c:pt idx="34">
                  <c:v>-0.61699781698798128</c:v>
                </c:pt>
                <c:pt idx="35">
                  <c:v>-0.61699781698798128</c:v>
                </c:pt>
                <c:pt idx="36">
                  <c:v>-0.61699781698798128</c:v>
                </c:pt>
                <c:pt idx="37">
                  <c:v>-0.61699781698798128</c:v>
                </c:pt>
                <c:pt idx="38">
                  <c:v>-0.61699781698798128</c:v>
                </c:pt>
                <c:pt idx="39">
                  <c:v>-0.61699781698798128</c:v>
                </c:pt>
                <c:pt idx="40">
                  <c:v>-0.61699781698798128</c:v>
                </c:pt>
                <c:pt idx="41">
                  <c:v>-0.61699781698798128</c:v>
                </c:pt>
                <c:pt idx="42">
                  <c:v>-0.61699781698798128</c:v>
                </c:pt>
                <c:pt idx="43">
                  <c:v>-0.61699781698798128</c:v>
                </c:pt>
                <c:pt idx="44">
                  <c:v>-0.61699781698798128</c:v>
                </c:pt>
                <c:pt idx="45">
                  <c:v>-0.61699781698798128</c:v>
                </c:pt>
                <c:pt idx="46">
                  <c:v>-0.61699781698798128</c:v>
                </c:pt>
                <c:pt idx="47">
                  <c:v>-0.61699781698798128</c:v>
                </c:pt>
                <c:pt idx="48">
                  <c:v>-0.61699781698798128</c:v>
                </c:pt>
                <c:pt idx="49">
                  <c:v>-0.61699781698798128</c:v>
                </c:pt>
                <c:pt idx="50">
                  <c:v>-0.61699781698798128</c:v>
                </c:pt>
                <c:pt idx="51">
                  <c:v>-0.61699781698798128</c:v>
                </c:pt>
                <c:pt idx="52">
                  <c:v>-0.59874480299518484</c:v>
                </c:pt>
                <c:pt idx="53">
                  <c:v>-0.59382440235955569</c:v>
                </c:pt>
                <c:pt idx="54">
                  <c:v>-0.58307096706994388</c:v>
                </c:pt>
                <c:pt idx="55">
                  <c:v>-0.57859766576074378</c:v>
                </c:pt>
                <c:pt idx="56">
                  <c:v>-0.56558219588825365</c:v>
                </c:pt>
                <c:pt idx="57">
                  <c:v>5.3670735062709696E-2</c:v>
                </c:pt>
                <c:pt idx="58">
                  <c:v>0.1316544058908084</c:v>
                </c:pt>
                <c:pt idx="59">
                  <c:v>0.15678513223382912</c:v>
                </c:pt>
                <c:pt idx="60">
                  <c:v>0.16307271902236806</c:v>
                </c:pt>
                <c:pt idx="61">
                  <c:v>0.1690639825631805</c:v>
                </c:pt>
                <c:pt idx="62">
                  <c:v>0.170167950061378</c:v>
                </c:pt>
                <c:pt idx="63">
                  <c:v>0.19397034991688791</c:v>
                </c:pt>
                <c:pt idx="64">
                  <c:v>0.19819598530308394</c:v>
                </c:pt>
                <c:pt idx="65">
                  <c:v>0.27922362071691975</c:v>
                </c:pt>
                <c:pt idx="66">
                  <c:v>0.39527051139241076</c:v>
                </c:pt>
                <c:pt idx="67">
                  <c:v>0.417022828877392</c:v>
                </c:pt>
                <c:pt idx="68">
                  <c:v>0.54312952190149644</c:v>
                </c:pt>
                <c:pt idx="69">
                  <c:v>0.56849144731791823</c:v>
                </c:pt>
                <c:pt idx="70">
                  <c:v>1.0624241685731206</c:v>
                </c:pt>
                <c:pt idx="71">
                  <c:v>1.1250554653856553</c:v>
                </c:pt>
                <c:pt idx="72">
                  <c:v>1.1348680502251498</c:v>
                </c:pt>
                <c:pt idx="73">
                  <c:v>1.1348680502251498</c:v>
                </c:pt>
                <c:pt idx="74">
                  <c:v>1.2594561521066789</c:v>
                </c:pt>
                <c:pt idx="75">
                  <c:v>1.3350691296127728</c:v>
                </c:pt>
                <c:pt idx="76">
                  <c:v>1.3350691296127728</c:v>
                </c:pt>
                <c:pt idx="77">
                  <c:v>1.3350691296127728</c:v>
                </c:pt>
                <c:pt idx="78">
                  <c:v>1.3350691296127728</c:v>
                </c:pt>
                <c:pt idx="79">
                  <c:v>1.3350691296127728</c:v>
                </c:pt>
                <c:pt idx="80">
                  <c:v>1.3350691296127728</c:v>
                </c:pt>
                <c:pt idx="81">
                  <c:v>1.3350691296127728</c:v>
                </c:pt>
                <c:pt idx="82">
                  <c:v>1.3350691296127728</c:v>
                </c:pt>
                <c:pt idx="83">
                  <c:v>1.3350691296127728</c:v>
                </c:pt>
                <c:pt idx="84">
                  <c:v>1.3350691296127728</c:v>
                </c:pt>
                <c:pt idx="85">
                  <c:v>1.3364931934005264</c:v>
                </c:pt>
                <c:pt idx="86">
                  <c:v>1.3552247537840583</c:v>
                </c:pt>
                <c:pt idx="87">
                  <c:v>1.3552247537840583</c:v>
                </c:pt>
                <c:pt idx="88">
                  <c:v>1.3552247537840583</c:v>
                </c:pt>
                <c:pt idx="89">
                  <c:v>1.3552247537840583</c:v>
                </c:pt>
                <c:pt idx="90">
                  <c:v>1.3552247537840583</c:v>
                </c:pt>
                <c:pt idx="91">
                  <c:v>1.3552247537840583</c:v>
                </c:pt>
                <c:pt idx="92">
                  <c:v>1.3552247537840583</c:v>
                </c:pt>
                <c:pt idx="93">
                  <c:v>1.3552247537840583</c:v>
                </c:pt>
                <c:pt idx="94">
                  <c:v>1.3552247537840583</c:v>
                </c:pt>
                <c:pt idx="95">
                  <c:v>1.3552247537840583</c:v>
                </c:pt>
                <c:pt idx="96">
                  <c:v>1.3552247537840583</c:v>
                </c:pt>
                <c:pt idx="97">
                  <c:v>1.3552247537840583</c:v>
                </c:pt>
                <c:pt idx="98">
                  <c:v>1.3552247537840583</c:v>
                </c:pt>
                <c:pt idx="99">
                  <c:v>1.3552247537840583</c:v>
                </c:pt>
                <c:pt idx="100">
                  <c:v>1.3552247537840583</c:v>
                </c:pt>
                <c:pt idx="101">
                  <c:v>1.3552247537840583</c:v>
                </c:pt>
                <c:pt idx="102">
                  <c:v>1.3552247537840583</c:v>
                </c:pt>
                <c:pt idx="103">
                  <c:v>1.3552247537840583</c:v>
                </c:pt>
                <c:pt idx="104">
                  <c:v>1.3552247537840583</c:v>
                </c:pt>
                <c:pt idx="105">
                  <c:v>1.3552247537840583</c:v>
                </c:pt>
                <c:pt idx="106">
                  <c:v>1.3552247537840583</c:v>
                </c:pt>
                <c:pt idx="107">
                  <c:v>1.3552247537840583</c:v>
                </c:pt>
                <c:pt idx="108">
                  <c:v>1.3552247537840583</c:v>
                </c:pt>
                <c:pt idx="109">
                  <c:v>1.3552247537840583</c:v>
                </c:pt>
                <c:pt idx="110">
                  <c:v>1.3552247537840583</c:v>
                </c:pt>
                <c:pt idx="111">
                  <c:v>1.3552247537840583</c:v>
                </c:pt>
                <c:pt idx="112">
                  <c:v>1.3552247537840583</c:v>
                </c:pt>
                <c:pt idx="113">
                  <c:v>1.3552247537840583</c:v>
                </c:pt>
                <c:pt idx="114">
                  <c:v>1.3552247537840583</c:v>
                </c:pt>
                <c:pt idx="115">
                  <c:v>1.3552247537840583</c:v>
                </c:pt>
                <c:pt idx="116">
                  <c:v>1.3552247537840583</c:v>
                </c:pt>
                <c:pt idx="117">
                  <c:v>1.3552247537840583</c:v>
                </c:pt>
                <c:pt idx="118">
                  <c:v>1.3552247537840583</c:v>
                </c:pt>
                <c:pt idx="119">
                  <c:v>1.3552247537840583</c:v>
                </c:pt>
                <c:pt idx="120">
                  <c:v>1.3400728686670955</c:v>
                </c:pt>
                <c:pt idx="121">
                  <c:v>1.321562858110805</c:v>
                </c:pt>
                <c:pt idx="122">
                  <c:v>1.304675270330756</c:v>
                </c:pt>
                <c:pt idx="123">
                  <c:v>1.2818673521273056</c:v>
                </c:pt>
                <c:pt idx="124">
                  <c:v>1.2818673521273056</c:v>
                </c:pt>
                <c:pt idx="125">
                  <c:v>1.2818673521273056</c:v>
                </c:pt>
                <c:pt idx="126">
                  <c:v>1.2303242997074546</c:v>
                </c:pt>
                <c:pt idx="127">
                  <c:v>1.2157562707841287</c:v>
                </c:pt>
                <c:pt idx="128">
                  <c:v>1.2032235826005486</c:v>
                </c:pt>
                <c:pt idx="129">
                  <c:v>1.1875024504100065</c:v>
                </c:pt>
                <c:pt idx="130">
                  <c:v>1.1875024504100065</c:v>
                </c:pt>
                <c:pt idx="131">
                  <c:v>1.1875024504100065</c:v>
                </c:pt>
                <c:pt idx="132">
                  <c:v>1.1875024504100065</c:v>
                </c:pt>
                <c:pt idx="133">
                  <c:v>1.1875024504100065</c:v>
                </c:pt>
                <c:pt idx="134">
                  <c:v>1.1875024504100065</c:v>
                </c:pt>
                <c:pt idx="135">
                  <c:v>1.1684061099960024</c:v>
                </c:pt>
                <c:pt idx="136">
                  <c:v>1.0085261905929204</c:v>
                </c:pt>
                <c:pt idx="137">
                  <c:v>-0.29398454928501783</c:v>
                </c:pt>
                <c:pt idx="138">
                  <c:v>-0.36408077683770818</c:v>
                </c:pt>
                <c:pt idx="139">
                  <c:v>-0.38503495031317819</c:v>
                </c:pt>
                <c:pt idx="140">
                  <c:v>-0.40361870923413629</c:v>
                </c:pt>
                <c:pt idx="141">
                  <c:v>-0.41457067645736412</c:v>
                </c:pt>
                <c:pt idx="142">
                  <c:v>-0.46500669811445128</c:v>
                </c:pt>
                <c:pt idx="143">
                  <c:v>-0.46500669811445128</c:v>
                </c:pt>
                <c:pt idx="144">
                  <c:v>-0.46500669811445128</c:v>
                </c:pt>
                <c:pt idx="145">
                  <c:v>-0.46500669811445128</c:v>
                </c:pt>
                <c:pt idx="146">
                  <c:v>-0.46500669811445128</c:v>
                </c:pt>
                <c:pt idx="147">
                  <c:v>-0.46500669811445128</c:v>
                </c:pt>
                <c:pt idx="148">
                  <c:v>-0.46500669811445128</c:v>
                </c:pt>
                <c:pt idx="149">
                  <c:v>-0.46500669811445128</c:v>
                </c:pt>
                <c:pt idx="150">
                  <c:v>-0.46500669811445128</c:v>
                </c:pt>
                <c:pt idx="151">
                  <c:v>-0.46500669811445128</c:v>
                </c:pt>
                <c:pt idx="152">
                  <c:v>-0.46500669811445128</c:v>
                </c:pt>
                <c:pt idx="153">
                  <c:v>-0.46500669811445128</c:v>
                </c:pt>
                <c:pt idx="154">
                  <c:v>-0.43597771960329651</c:v>
                </c:pt>
                <c:pt idx="155">
                  <c:v>-0.42321991048635599</c:v>
                </c:pt>
                <c:pt idx="156">
                  <c:v>-0.42321991048635599</c:v>
                </c:pt>
                <c:pt idx="157">
                  <c:v>-0.42321991048635599</c:v>
                </c:pt>
                <c:pt idx="158">
                  <c:v>-0.42321991048635599</c:v>
                </c:pt>
                <c:pt idx="159">
                  <c:v>-0.42321991048635599</c:v>
                </c:pt>
                <c:pt idx="160">
                  <c:v>-0.42321991048635599</c:v>
                </c:pt>
                <c:pt idx="161">
                  <c:v>-0.42321991048635599</c:v>
                </c:pt>
                <c:pt idx="162">
                  <c:v>-0.42321991048635599</c:v>
                </c:pt>
                <c:pt idx="163">
                  <c:v>-0.42321991048635599</c:v>
                </c:pt>
                <c:pt idx="164">
                  <c:v>-0.41032503631108519</c:v>
                </c:pt>
                <c:pt idx="165">
                  <c:v>-0.40361870923413629</c:v>
                </c:pt>
                <c:pt idx="166">
                  <c:v>-0.40361870923413629</c:v>
                </c:pt>
                <c:pt idx="167">
                  <c:v>-0.40361870923413629</c:v>
                </c:pt>
                <c:pt idx="168">
                  <c:v>-0.40361870923413629</c:v>
                </c:pt>
                <c:pt idx="169">
                  <c:v>-0.40361870923413629</c:v>
                </c:pt>
                <c:pt idx="170">
                  <c:v>-0.40361870923413629</c:v>
                </c:pt>
                <c:pt idx="171">
                  <c:v>-0.40361870923413629</c:v>
                </c:pt>
                <c:pt idx="172">
                  <c:v>-0.3938521642189306</c:v>
                </c:pt>
                <c:pt idx="173">
                  <c:v>-0.3938521642189306</c:v>
                </c:pt>
                <c:pt idx="174">
                  <c:v>-0.3938521642189306</c:v>
                </c:pt>
                <c:pt idx="175">
                  <c:v>-0.3938521642189306</c:v>
                </c:pt>
                <c:pt idx="176">
                  <c:v>-0.3938521642189306</c:v>
                </c:pt>
                <c:pt idx="177">
                  <c:v>-0.38401634392690509</c:v>
                </c:pt>
                <c:pt idx="178">
                  <c:v>-0.37340197850949514</c:v>
                </c:pt>
                <c:pt idx="179">
                  <c:v>-0.36301025739510401</c:v>
                </c:pt>
                <c:pt idx="180">
                  <c:v>-0.29398454928501783</c:v>
                </c:pt>
                <c:pt idx="181">
                  <c:v>-0.27340206686036245</c:v>
                </c:pt>
                <c:pt idx="182">
                  <c:v>-0.17998608517331516</c:v>
                </c:pt>
                <c:pt idx="183">
                  <c:v>0.10170794089854879</c:v>
                </c:pt>
                <c:pt idx="184">
                  <c:v>0.17029797073485672</c:v>
                </c:pt>
                <c:pt idx="185">
                  <c:v>0.2641533350365266</c:v>
                </c:pt>
                <c:pt idx="186">
                  <c:v>0.30369494923673346</c:v>
                </c:pt>
                <c:pt idx="187">
                  <c:v>0.60275252465784046</c:v>
                </c:pt>
                <c:pt idx="188">
                  <c:v>0.80734620303081683</c:v>
                </c:pt>
                <c:pt idx="189">
                  <c:v>0.8200746104725074</c:v>
                </c:pt>
                <c:pt idx="190">
                  <c:v>0.82228792008092821</c:v>
                </c:pt>
                <c:pt idx="191">
                  <c:v>0.82228792008092821</c:v>
                </c:pt>
                <c:pt idx="192">
                  <c:v>0.82228792008092821</c:v>
                </c:pt>
                <c:pt idx="193">
                  <c:v>0.82228792008092821</c:v>
                </c:pt>
                <c:pt idx="194">
                  <c:v>0.86435458590731817</c:v>
                </c:pt>
                <c:pt idx="195">
                  <c:v>0.87121377411991974</c:v>
                </c:pt>
                <c:pt idx="196">
                  <c:v>1.1489916274236043</c:v>
                </c:pt>
                <c:pt idx="197">
                  <c:v>1.3052084956150443</c:v>
                </c:pt>
                <c:pt idx="198">
                  <c:v>1.3387905065309122</c:v>
                </c:pt>
                <c:pt idx="199">
                  <c:v>1.3644318506344055</c:v>
                </c:pt>
                <c:pt idx="200">
                  <c:v>1.4576306998722335</c:v>
                </c:pt>
                <c:pt idx="201">
                  <c:v>1.565583390043551</c:v>
                </c:pt>
                <c:pt idx="202">
                  <c:v>1.7333293044097164</c:v>
                </c:pt>
                <c:pt idx="203">
                  <c:v>1.770230650471754</c:v>
                </c:pt>
                <c:pt idx="204">
                  <c:v>2.0929027556898703</c:v>
                </c:pt>
                <c:pt idx="205">
                  <c:v>2.1899554557914924</c:v>
                </c:pt>
                <c:pt idx="206">
                  <c:v>2.4413948439620299</c:v>
                </c:pt>
                <c:pt idx="207">
                  <c:v>2.6534126376247973</c:v>
                </c:pt>
                <c:pt idx="208">
                  <c:v>2.6534126376247973</c:v>
                </c:pt>
                <c:pt idx="209">
                  <c:v>2.6534126376247973</c:v>
                </c:pt>
                <c:pt idx="210">
                  <c:v>2.6534126376247973</c:v>
                </c:pt>
                <c:pt idx="211">
                  <c:v>2.6534126376247973</c:v>
                </c:pt>
                <c:pt idx="212">
                  <c:v>2.6534126376247973</c:v>
                </c:pt>
                <c:pt idx="213">
                  <c:v>2.6534126376247973</c:v>
                </c:pt>
                <c:pt idx="214">
                  <c:v>2.6534126376247973</c:v>
                </c:pt>
                <c:pt idx="215">
                  <c:v>2.6534126376247973</c:v>
                </c:pt>
                <c:pt idx="216">
                  <c:v>2.6534126376247973</c:v>
                </c:pt>
                <c:pt idx="217">
                  <c:v>2.6534126376247973</c:v>
                </c:pt>
                <c:pt idx="218">
                  <c:v>2.6534126376247973</c:v>
                </c:pt>
                <c:pt idx="219">
                  <c:v>2.6534126376247973</c:v>
                </c:pt>
                <c:pt idx="220">
                  <c:v>2.6534126376247973</c:v>
                </c:pt>
                <c:pt idx="221">
                  <c:v>2.6534126376247973</c:v>
                </c:pt>
                <c:pt idx="222">
                  <c:v>2.6534126376247973</c:v>
                </c:pt>
                <c:pt idx="223">
                  <c:v>2.6534126376247973</c:v>
                </c:pt>
                <c:pt idx="224">
                  <c:v>2.6534126376247973</c:v>
                </c:pt>
                <c:pt idx="225">
                  <c:v>2.6534126376247973</c:v>
                </c:pt>
                <c:pt idx="226">
                  <c:v>2.6534126376247973</c:v>
                </c:pt>
                <c:pt idx="227">
                  <c:v>2.6534126376247973</c:v>
                </c:pt>
                <c:pt idx="228">
                  <c:v>2.6534126376247973</c:v>
                </c:pt>
                <c:pt idx="229">
                  <c:v>2.6534126376247973</c:v>
                </c:pt>
                <c:pt idx="230">
                  <c:v>2.6534126376247973</c:v>
                </c:pt>
                <c:pt idx="231">
                  <c:v>2.6534126376247973</c:v>
                </c:pt>
                <c:pt idx="232">
                  <c:v>2.6536096898817743</c:v>
                </c:pt>
                <c:pt idx="233">
                  <c:v>2.6536096898817743</c:v>
                </c:pt>
                <c:pt idx="234">
                  <c:v>2.6569146617091377</c:v>
                </c:pt>
                <c:pt idx="235">
                  <c:v>2.6569146617091377</c:v>
                </c:pt>
                <c:pt idx="236">
                  <c:v>2.6569146617091377</c:v>
                </c:pt>
                <c:pt idx="237">
                  <c:v>2.6569146617091377</c:v>
                </c:pt>
                <c:pt idx="238">
                  <c:v>2.6569146617091377</c:v>
                </c:pt>
                <c:pt idx="239">
                  <c:v>2.6569146617091377</c:v>
                </c:pt>
                <c:pt idx="240">
                  <c:v>2.6569146617091377</c:v>
                </c:pt>
                <c:pt idx="241">
                  <c:v>2.6569146617091377</c:v>
                </c:pt>
                <c:pt idx="242">
                  <c:v>2.6569146617091377</c:v>
                </c:pt>
                <c:pt idx="243">
                  <c:v>2.6569146617091377</c:v>
                </c:pt>
                <c:pt idx="244">
                  <c:v>2.6569146617091377</c:v>
                </c:pt>
                <c:pt idx="245">
                  <c:v>2.6569146617091377</c:v>
                </c:pt>
                <c:pt idx="246">
                  <c:v>2.6569146617091377</c:v>
                </c:pt>
                <c:pt idx="247">
                  <c:v>2.6569146617091377</c:v>
                </c:pt>
                <c:pt idx="248">
                  <c:v>2.6569146617091377</c:v>
                </c:pt>
                <c:pt idx="249">
                  <c:v>2.6569146617091377</c:v>
                </c:pt>
                <c:pt idx="250">
                  <c:v>2.6569146617091377</c:v>
                </c:pt>
                <c:pt idx="251">
                  <c:v>2.6569146617091377</c:v>
                </c:pt>
                <c:pt idx="252">
                  <c:v>2.6569146617091377</c:v>
                </c:pt>
                <c:pt idx="253">
                  <c:v>2.6569146617091377</c:v>
                </c:pt>
                <c:pt idx="254">
                  <c:v>2.5002892964598691</c:v>
                </c:pt>
                <c:pt idx="255">
                  <c:v>2.4514509882980344</c:v>
                </c:pt>
                <c:pt idx="256">
                  <c:v>2.257603704152046</c:v>
                </c:pt>
                <c:pt idx="257">
                  <c:v>2.0426741443069178</c:v>
                </c:pt>
                <c:pt idx="258">
                  <c:v>1.8899681472687797</c:v>
                </c:pt>
                <c:pt idx="259">
                  <c:v>1.8745729833875293</c:v>
                </c:pt>
                <c:pt idx="260">
                  <c:v>1.8745729833875293</c:v>
                </c:pt>
                <c:pt idx="261">
                  <c:v>1.8745729833875293</c:v>
                </c:pt>
                <c:pt idx="262">
                  <c:v>1.8707823494598224</c:v>
                </c:pt>
                <c:pt idx="263">
                  <c:v>1.8707823494598224</c:v>
                </c:pt>
                <c:pt idx="264">
                  <c:v>1.8707823494598224</c:v>
                </c:pt>
                <c:pt idx="265">
                  <c:v>1.8707823494598224</c:v>
                </c:pt>
                <c:pt idx="266">
                  <c:v>1.8707823494598224</c:v>
                </c:pt>
                <c:pt idx="267">
                  <c:v>1.8707823494598224</c:v>
                </c:pt>
                <c:pt idx="268">
                  <c:v>1.8707823494598224</c:v>
                </c:pt>
                <c:pt idx="269">
                  <c:v>1.8707823494598224</c:v>
                </c:pt>
                <c:pt idx="270">
                  <c:v>1.8707823494598224</c:v>
                </c:pt>
                <c:pt idx="271">
                  <c:v>1.7581259195775876</c:v>
                </c:pt>
                <c:pt idx="272">
                  <c:v>1.7558270443909758</c:v>
                </c:pt>
                <c:pt idx="273">
                  <c:v>1.7316165518059532</c:v>
                </c:pt>
                <c:pt idx="274">
                  <c:v>1.7316165518059532</c:v>
                </c:pt>
                <c:pt idx="275">
                  <c:v>1.7316165518059532</c:v>
                </c:pt>
                <c:pt idx="276">
                  <c:v>1.7316165518059532</c:v>
                </c:pt>
                <c:pt idx="277">
                  <c:v>1.7316165518059532</c:v>
                </c:pt>
                <c:pt idx="278">
                  <c:v>1.7316165518059532</c:v>
                </c:pt>
                <c:pt idx="279">
                  <c:v>1.7316165518059532</c:v>
                </c:pt>
                <c:pt idx="280">
                  <c:v>1.7074453534276546</c:v>
                </c:pt>
                <c:pt idx="281">
                  <c:v>1.217931894714954</c:v>
                </c:pt>
                <c:pt idx="282">
                  <c:v>1.0859888436323233</c:v>
                </c:pt>
                <c:pt idx="283">
                  <c:v>1.0859888436323233</c:v>
                </c:pt>
                <c:pt idx="284">
                  <c:v>1.0859888436323233</c:v>
                </c:pt>
                <c:pt idx="285">
                  <c:v>1.0859888436323233</c:v>
                </c:pt>
                <c:pt idx="286">
                  <c:v>1.0859888436323233</c:v>
                </c:pt>
                <c:pt idx="287">
                  <c:v>1.0622639112060619</c:v>
                </c:pt>
                <c:pt idx="288">
                  <c:v>1.0272524530100617</c:v>
                </c:pt>
                <c:pt idx="289">
                  <c:v>1.0272524530100617</c:v>
                </c:pt>
                <c:pt idx="290">
                  <c:v>1.0272524530100617</c:v>
                </c:pt>
                <c:pt idx="291">
                  <c:v>1.0272966231889851</c:v>
                </c:pt>
                <c:pt idx="292">
                  <c:v>1.0272966231889851</c:v>
                </c:pt>
                <c:pt idx="293">
                  <c:v>1.0272966231889851</c:v>
                </c:pt>
                <c:pt idx="294">
                  <c:v>1.0272966231889851</c:v>
                </c:pt>
                <c:pt idx="295">
                  <c:v>1.0272966231889851</c:v>
                </c:pt>
                <c:pt idx="296">
                  <c:v>1.0272966231889851</c:v>
                </c:pt>
                <c:pt idx="297">
                  <c:v>1.0272966231889851</c:v>
                </c:pt>
                <c:pt idx="298">
                  <c:v>1.0272966231889851</c:v>
                </c:pt>
                <c:pt idx="299">
                  <c:v>1.0272966231889851</c:v>
                </c:pt>
                <c:pt idx="300">
                  <c:v>1.0272966231889851</c:v>
                </c:pt>
                <c:pt idx="301">
                  <c:v>1.0272966231889851</c:v>
                </c:pt>
                <c:pt idx="302">
                  <c:v>1.0272966231889851</c:v>
                </c:pt>
                <c:pt idx="303">
                  <c:v>1.0272966231889851</c:v>
                </c:pt>
                <c:pt idx="304">
                  <c:v>1.0272966231889851</c:v>
                </c:pt>
                <c:pt idx="305">
                  <c:v>1.0272966231889851</c:v>
                </c:pt>
                <c:pt idx="306">
                  <c:v>1.0272966231889851</c:v>
                </c:pt>
                <c:pt idx="307">
                  <c:v>1.0272966231889851</c:v>
                </c:pt>
                <c:pt idx="308">
                  <c:v>1.0272966231889851</c:v>
                </c:pt>
                <c:pt idx="309">
                  <c:v>1.0272966231889851</c:v>
                </c:pt>
                <c:pt idx="310">
                  <c:v>1.0272966231889851</c:v>
                </c:pt>
                <c:pt idx="311">
                  <c:v>1.0272966231889851</c:v>
                </c:pt>
                <c:pt idx="312">
                  <c:v>1.0272966231889851</c:v>
                </c:pt>
                <c:pt idx="313">
                  <c:v>1.0272966231889851</c:v>
                </c:pt>
                <c:pt idx="314">
                  <c:v>1.0272966231889851</c:v>
                </c:pt>
                <c:pt idx="315">
                  <c:v>1.0272966231889851</c:v>
                </c:pt>
                <c:pt idx="316">
                  <c:v>1.0272966231889851</c:v>
                </c:pt>
                <c:pt idx="317">
                  <c:v>1.0272966231889851</c:v>
                </c:pt>
                <c:pt idx="318">
                  <c:v>1.0272966231889851</c:v>
                </c:pt>
                <c:pt idx="319">
                  <c:v>1.0272966231889851</c:v>
                </c:pt>
                <c:pt idx="320">
                  <c:v>1.0272966231889851</c:v>
                </c:pt>
                <c:pt idx="321">
                  <c:v>1.0272966231889851</c:v>
                </c:pt>
                <c:pt idx="322">
                  <c:v>1.0272966231889851</c:v>
                </c:pt>
                <c:pt idx="323">
                  <c:v>1.0272966231889851</c:v>
                </c:pt>
                <c:pt idx="324">
                  <c:v>1.0272966231889851</c:v>
                </c:pt>
                <c:pt idx="325">
                  <c:v>1.0272966231889851</c:v>
                </c:pt>
                <c:pt idx="326">
                  <c:v>1.0272966231889851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6E-430B-A46F-3B08228680B8}"/>
            </c:ext>
          </c:extLst>
        </c:ser>
        <c:ser>
          <c:idx val="2"/>
          <c:order val="2"/>
          <c:tx>
            <c:strRef>
              <c:f>Base!$CI$6</c:f>
              <c:strCache>
                <c:ptCount val="1"/>
                <c:pt idx="0">
                  <c:v>Q75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Base!$CE$59:$CE$390</c:f>
              <c:numCache>
                <c:formatCode>m/d/yyyy</c:formatCode>
                <c:ptCount val="332"/>
                <c:pt idx="0">
                  <c:v>44022</c:v>
                </c:pt>
                <c:pt idx="1">
                  <c:v>44029</c:v>
                </c:pt>
                <c:pt idx="2">
                  <c:v>44036</c:v>
                </c:pt>
                <c:pt idx="3">
                  <c:v>44043</c:v>
                </c:pt>
                <c:pt idx="4">
                  <c:v>44050</c:v>
                </c:pt>
                <c:pt idx="5">
                  <c:v>44057</c:v>
                </c:pt>
                <c:pt idx="6">
                  <c:v>44064</c:v>
                </c:pt>
                <c:pt idx="7">
                  <c:v>44071</c:v>
                </c:pt>
                <c:pt idx="8">
                  <c:v>44078</c:v>
                </c:pt>
                <c:pt idx="9">
                  <c:v>44085</c:v>
                </c:pt>
                <c:pt idx="10">
                  <c:v>44092</c:v>
                </c:pt>
                <c:pt idx="11">
                  <c:v>44099</c:v>
                </c:pt>
                <c:pt idx="12">
                  <c:v>44106</c:v>
                </c:pt>
                <c:pt idx="13">
                  <c:v>44113</c:v>
                </c:pt>
                <c:pt idx="14">
                  <c:v>44120</c:v>
                </c:pt>
                <c:pt idx="15">
                  <c:v>44127</c:v>
                </c:pt>
                <c:pt idx="16">
                  <c:v>44134</c:v>
                </c:pt>
                <c:pt idx="17">
                  <c:v>44141</c:v>
                </c:pt>
                <c:pt idx="18">
                  <c:v>44148</c:v>
                </c:pt>
                <c:pt idx="19">
                  <c:v>44155</c:v>
                </c:pt>
                <c:pt idx="20">
                  <c:v>44162</c:v>
                </c:pt>
                <c:pt idx="21">
                  <c:v>44169</c:v>
                </c:pt>
                <c:pt idx="22">
                  <c:v>44176</c:v>
                </c:pt>
                <c:pt idx="23">
                  <c:v>44183</c:v>
                </c:pt>
                <c:pt idx="24">
                  <c:v>44190</c:v>
                </c:pt>
                <c:pt idx="25">
                  <c:v>44197</c:v>
                </c:pt>
                <c:pt idx="26">
                  <c:v>44204</c:v>
                </c:pt>
                <c:pt idx="27">
                  <c:v>44211</c:v>
                </c:pt>
                <c:pt idx="28">
                  <c:v>44218</c:v>
                </c:pt>
                <c:pt idx="29">
                  <c:v>44225</c:v>
                </c:pt>
                <c:pt idx="30">
                  <c:v>44232</c:v>
                </c:pt>
                <c:pt idx="31">
                  <c:v>44239</c:v>
                </c:pt>
                <c:pt idx="32">
                  <c:v>44246</c:v>
                </c:pt>
                <c:pt idx="33">
                  <c:v>44253</c:v>
                </c:pt>
                <c:pt idx="34">
                  <c:v>44260</c:v>
                </c:pt>
                <c:pt idx="35">
                  <c:v>44267</c:v>
                </c:pt>
                <c:pt idx="36">
                  <c:v>44274</c:v>
                </c:pt>
                <c:pt idx="37">
                  <c:v>44281</c:v>
                </c:pt>
                <c:pt idx="38">
                  <c:v>44288</c:v>
                </c:pt>
                <c:pt idx="39">
                  <c:v>44295</c:v>
                </c:pt>
                <c:pt idx="40">
                  <c:v>44302</c:v>
                </c:pt>
                <c:pt idx="41">
                  <c:v>44309</c:v>
                </c:pt>
                <c:pt idx="42">
                  <c:v>44316</c:v>
                </c:pt>
                <c:pt idx="43">
                  <c:v>44323</c:v>
                </c:pt>
                <c:pt idx="44">
                  <c:v>44330</c:v>
                </c:pt>
                <c:pt idx="45">
                  <c:v>44337</c:v>
                </c:pt>
                <c:pt idx="46">
                  <c:v>44344</c:v>
                </c:pt>
                <c:pt idx="47">
                  <c:v>44351</c:v>
                </c:pt>
                <c:pt idx="48">
                  <c:v>44358</c:v>
                </c:pt>
                <c:pt idx="49">
                  <c:v>44365</c:v>
                </c:pt>
                <c:pt idx="50">
                  <c:v>44372</c:v>
                </c:pt>
                <c:pt idx="51">
                  <c:v>44379</c:v>
                </c:pt>
                <c:pt idx="52">
                  <c:v>44386</c:v>
                </c:pt>
                <c:pt idx="53">
                  <c:v>44393</c:v>
                </c:pt>
                <c:pt idx="54">
                  <c:v>44400</c:v>
                </c:pt>
                <c:pt idx="55">
                  <c:v>44407</c:v>
                </c:pt>
                <c:pt idx="56">
                  <c:v>44414</c:v>
                </c:pt>
                <c:pt idx="57">
                  <c:v>44421</c:v>
                </c:pt>
                <c:pt idx="58">
                  <c:v>44428</c:v>
                </c:pt>
                <c:pt idx="59">
                  <c:v>44435</c:v>
                </c:pt>
                <c:pt idx="60">
                  <c:v>44442</c:v>
                </c:pt>
                <c:pt idx="61">
                  <c:v>44449</c:v>
                </c:pt>
                <c:pt idx="62">
                  <c:v>44456</c:v>
                </c:pt>
                <c:pt idx="63">
                  <c:v>44463</c:v>
                </c:pt>
                <c:pt idx="64">
                  <c:v>44470</c:v>
                </c:pt>
                <c:pt idx="65">
                  <c:v>44477</c:v>
                </c:pt>
                <c:pt idx="66">
                  <c:v>44484</c:v>
                </c:pt>
                <c:pt idx="67">
                  <c:v>44491</c:v>
                </c:pt>
                <c:pt idx="68">
                  <c:v>44498</c:v>
                </c:pt>
                <c:pt idx="69">
                  <c:v>44505</c:v>
                </c:pt>
                <c:pt idx="70">
                  <c:v>44512</c:v>
                </c:pt>
                <c:pt idx="71">
                  <c:v>44519</c:v>
                </c:pt>
                <c:pt idx="72">
                  <c:v>44526</c:v>
                </c:pt>
                <c:pt idx="73">
                  <c:v>44533</c:v>
                </c:pt>
                <c:pt idx="74">
                  <c:v>44540</c:v>
                </c:pt>
                <c:pt idx="75">
                  <c:v>44547</c:v>
                </c:pt>
                <c:pt idx="76">
                  <c:v>44554</c:v>
                </c:pt>
                <c:pt idx="77">
                  <c:v>44561</c:v>
                </c:pt>
                <c:pt idx="78">
                  <c:v>44568</c:v>
                </c:pt>
                <c:pt idx="79">
                  <c:v>44575</c:v>
                </c:pt>
                <c:pt idx="80">
                  <c:v>44582</c:v>
                </c:pt>
                <c:pt idx="81">
                  <c:v>44589</c:v>
                </c:pt>
                <c:pt idx="82">
                  <c:v>44596</c:v>
                </c:pt>
                <c:pt idx="83">
                  <c:v>44603</c:v>
                </c:pt>
                <c:pt idx="84">
                  <c:v>44610</c:v>
                </c:pt>
                <c:pt idx="85">
                  <c:v>44617</c:v>
                </c:pt>
                <c:pt idx="86">
                  <c:v>44624</c:v>
                </c:pt>
                <c:pt idx="87">
                  <c:v>44631</c:v>
                </c:pt>
                <c:pt idx="88">
                  <c:v>44638</c:v>
                </c:pt>
                <c:pt idx="89">
                  <c:v>44645</c:v>
                </c:pt>
                <c:pt idx="90">
                  <c:v>44652</c:v>
                </c:pt>
                <c:pt idx="91">
                  <c:v>44659</c:v>
                </c:pt>
                <c:pt idx="92">
                  <c:v>44666</c:v>
                </c:pt>
                <c:pt idx="93">
                  <c:v>44673</c:v>
                </c:pt>
                <c:pt idx="94">
                  <c:v>44680</c:v>
                </c:pt>
                <c:pt idx="95">
                  <c:v>44687</c:v>
                </c:pt>
                <c:pt idx="96">
                  <c:v>44694</c:v>
                </c:pt>
                <c:pt idx="97">
                  <c:v>44701</c:v>
                </c:pt>
                <c:pt idx="98">
                  <c:v>44708</c:v>
                </c:pt>
                <c:pt idx="99">
                  <c:v>44715</c:v>
                </c:pt>
                <c:pt idx="100">
                  <c:v>44722</c:v>
                </c:pt>
                <c:pt idx="101">
                  <c:v>44729</c:v>
                </c:pt>
                <c:pt idx="102">
                  <c:v>44736</c:v>
                </c:pt>
                <c:pt idx="103">
                  <c:v>44743</c:v>
                </c:pt>
                <c:pt idx="104">
                  <c:v>44750</c:v>
                </c:pt>
                <c:pt idx="105">
                  <c:v>44757</c:v>
                </c:pt>
                <c:pt idx="106">
                  <c:v>44764</c:v>
                </c:pt>
                <c:pt idx="107">
                  <c:v>44771</c:v>
                </c:pt>
                <c:pt idx="108">
                  <c:v>44778</c:v>
                </c:pt>
                <c:pt idx="109">
                  <c:v>44785</c:v>
                </c:pt>
                <c:pt idx="110">
                  <c:v>44792</c:v>
                </c:pt>
                <c:pt idx="111">
                  <c:v>44799</c:v>
                </c:pt>
                <c:pt idx="112">
                  <c:v>44806</c:v>
                </c:pt>
                <c:pt idx="113">
                  <c:v>44813</c:v>
                </c:pt>
                <c:pt idx="114">
                  <c:v>44820</c:v>
                </c:pt>
                <c:pt idx="115">
                  <c:v>44827</c:v>
                </c:pt>
                <c:pt idx="116">
                  <c:v>44834</c:v>
                </c:pt>
                <c:pt idx="117">
                  <c:v>44841</c:v>
                </c:pt>
                <c:pt idx="118">
                  <c:v>44848</c:v>
                </c:pt>
                <c:pt idx="119">
                  <c:v>44855</c:v>
                </c:pt>
                <c:pt idx="120">
                  <c:v>44862</c:v>
                </c:pt>
                <c:pt idx="121">
                  <c:v>44869</c:v>
                </c:pt>
                <c:pt idx="122">
                  <c:v>44876</c:v>
                </c:pt>
                <c:pt idx="123">
                  <c:v>44883</c:v>
                </c:pt>
                <c:pt idx="124">
                  <c:v>44890</c:v>
                </c:pt>
                <c:pt idx="125">
                  <c:v>44897</c:v>
                </c:pt>
                <c:pt idx="126">
                  <c:v>44904</c:v>
                </c:pt>
                <c:pt idx="127">
                  <c:v>44911</c:v>
                </c:pt>
                <c:pt idx="128">
                  <c:v>44918</c:v>
                </c:pt>
                <c:pt idx="129">
                  <c:v>44925</c:v>
                </c:pt>
                <c:pt idx="130">
                  <c:v>44932</c:v>
                </c:pt>
                <c:pt idx="131">
                  <c:v>44939</c:v>
                </c:pt>
                <c:pt idx="132">
                  <c:v>44946</c:v>
                </c:pt>
                <c:pt idx="133">
                  <c:v>44953</c:v>
                </c:pt>
                <c:pt idx="134">
                  <c:v>44960</c:v>
                </c:pt>
                <c:pt idx="135">
                  <c:v>44967</c:v>
                </c:pt>
                <c:pt idx="136">
                  <c:v>44974</c:v>
                </c:pt>
                <c:pt idx="137">
                  <c:v>44981</c:v>
                </c:pt>
                <c:pt idx="138">
                  <c:v>44988</c:v>
                </c:pt>
                <c:pt idx="139">
                  <c:v>44995</c:v>
                </c:pt>
                <c:pt idx="140">
                  <c:v>45002</c:v>
                </c:pt>
                <c:pt idx="141">
                  <c:v>45009</c:v>
                </c:pt>
                <c:pt idx="142">
                  <c:v>45016</c:v>
                </c:pt>
                <c:pt idx="143">
                  <c:v>45023</c:v>
                </c:pt>
                <c:pt idx="144">
                  <c:v>45030</c:v>
                </c:pt>
                <c:pt idx="145">
                  <c:v>45037</c:v>
                </c:pt>
                <c:pt idx="146">
                  <c:v>45044</c:v>
                </c:pt>
                <c:pt idx="147">
                  <c:v>45051</c:v>
                </c:pt>
                <c:pt idx="148">
                  <c:v>45058</c:v>
                </c:pt>
                <c:pt idx="149">
                  <c:v>45065</c:v>
                </c:pt>
                <c:pt idx="150">
                  <c:v>45072</c:v>
                </c:pt>
                <c:pt idx="151">
                  <c:v>45079</c:v>
                </c:pt>
                <c:pt idx="152">
                  <c:v>45086</c:v>
                </c:pt>
                <c:pt idx="153">
                  <c:v>45093</c:v>
                </c:pt>
                <c:pt idx="154">
                  <c:v>45100</c:v>
                </c:pt>
                <c:pt idx="155">
                  <c:v>45107</c:v>
                </c:pt>
                <c:pt idx="156">
                  <c:v>45114</c:v>
                </c:pt>
                <c:pt idx="157">
                  <c:v>45121</c:v>
                </c:pt>
                <c:pt idx="158">
                  <c:v>45128</c:v>
                </c:pt>
                <c:pt idx="159">
                  <c:v>45135</c:v>
                </c:pt>
                <c:pt idx="160">
                  <c:v>45142</c:v>
                </c:pt>
                <c:pt idx="161">
                  <c:v>45149</c:v>
                </c:pt>
                <c:pt idx="162">
                  <c:v>45156</c:v>
                </c:pt>
                <c:pt idx="163">
                  <c:v>45163</c:v>
                </c:pt>
                <c:pt idx="164">
                  <c:v>45170</c:v>
                </c:pt>
                <c:pt idx="165">
                  <c:v>45177</c:v>
                </c:pt>
                <c:pt idx="166">
                  <c:v>45184</c:v>
                </c:pt>
                <c:pt idx="167">
                  <c:v>45191</c:v>
                </c:pt>
                <c:pt idx="168">
                  <c:v>45198</c:v>
                </c:pt>
                <c:pt idx="169">
                  <c:v>45205</c:v>
                </c:pt>
                <c:pt idx="170">
                  <c:v>45212</c:v>
                </c:pt>
                <c:pt idx="171">
                  <c:v>45219</c:v>
                </c:pt>
                <c:pt idx="172">
                  <c:v>45226</c:v>
                </c:pt>
                <c:pt idx="173">
                  <c:v>45233</c:v>
                </c:pt>
                <c:pt idx="174">
                  <c:v>45240</c:v>
                </c:pt>
                <c:pt idx="175">
                  <c:v>45247</c:v>
                </c:pt>
                <c:pt idx="176">
                  <c:v>45254</c:v>
                </c:pt>
                <c:pt idx="177">
                  <c:v>45261</c:v>
                </c:pt>
                <c:pt idx="178">
                  <c:v>45268</c:v>
                </c:pt>
                <c:pt idx="179">
                  <c:v>45275</c:v>
                </c:pt>
                <c:pt idx="180">
                  <c:v>45282</c:v>
                </c:pt>
                <c:pt idx="181">
                  <c:v>45289</c:v>
                </c:pt>
                <c:pt idx="182">
                  <c:v>45296</c:v>
                </c:pt>
                <c:pt idx="183">
                  <c:v>45303</c:v>
                </c:pt>
                <c:pt idx="184">
                  <c:v>45310</c:v>
                </c:pt>
                <c:pt idx="185">
                  <c:v>45317</c:v>
                </c:pt>
                <c:pt idx="186">
                  <c:v>45324</c:v>
                </c:pt>
                <c:pt idx="187">
                  <c:v>45331</c:v>
                </c:pt>
                <c:pt idx="188">
                  <c:v>45338</c:v>
                </c:pt>
                <c:pt idx="189">
                  <c:v>45345</c:v>
                </c:pt>
                <c:pt idx="190">
                  <c:v>45352</c:v>
                </c:pt>
                <c:pt idx="191">
                  <c:v>45359</c:v>
                </c:pt>
                <c:pt idx="192">
                  <c:v>45366</c:v>
                </c:pt>
                <c:pt idx="193">
                  <c:v>45373</c:v>
                </c:pt>
                <c:pt idx="194">
                  <c:v>45380</c:v>
                </c:pt>
                <c:pt idx="195">
                  <c:v>45387</c:v>
                </c:pt>
                <c:pt idx="196">
                  <c:v>45394</c:v>
                </c:pt>
                <c:pt idx="197">
                  <c:v>45401</c:v>
                </c:pt>
                <c:pt idx="198">
                  <c:v>45408</c:v>
                </c:pt>
                <c:pt idx="199">
                  <c:v>45415</c:v>
                </c:pt>
                <c:pt idx="200">
                  <c:v>45422</c:v>
                </c:pt>
                <c:pt idx="201">
                  <c:v>45429</c:v>
                </c:pt>
                <c:pt idx="202">
                  <c:v>45436</c:v>
                </c:pt>
                <c:pt idx="203">
                  <c:v>45443</c:v>
                </c:pt>
                <c:pt idx="204">
                  <c:v>45450</c:v>
                </c:pt>
                <c:pt idx="205">
                  <c:v>45457</c:v>
                </c:pt>
                <c:pt idx="206">
                  <c:v>45464</c:v>
                </c:pt>
                <c:pt idx="207">
                  <c:v>45471</c:v>
                </c:pt>
                <c:pt idx="208">
                  <c:v>45478</c:v>
                </c:pt>
                <c:pt idx="209">
                  <c:v>45485</c:v>
                </c:pt>
                <c:pt idx="210">
                  <c:v>45492</c:v>
                </c:pt>
                <c:pt idx="211">
                  <c:v>45499</c:v>
                </c:pt>
                <c:pt idx="212">
                  <c:v>45506</c:v>
                </c:pt>
                <c:pt idx="213">
                  <c:v>45513</c:v>
                </c:pt>
                <c:pt idx="214">
                  <c:v>45520</c:v>
                </c:pt>
                <c:pt idx="215">
                  <c:v>45527</c:v>
                </c:pt>
                <c:pt idx="216">
                  <c:v>45534</c:v>
                </c:pt>
                <c:pt idx="217">
                  <c:v>45541</c:v>
                </c:pt>
                <c:pt idx="218">
                  <c:v>45548</c:v>
                </c:pt>
                <c:pt idx="219">
                  <c:v>45555</c:v>
                </c:pt>
                <c:pt idx="220">
                  <c:v>45562</c:v>
                </c:pt>
                <c:pt idx="221">
                  <c:v>45569</c:v>
                </c:pt>
                <c:pt idx="222">
                  <c:v>45576</c:v>
                </c:pt>
                <c:pt idx="223">
                  <c:v>45583</c:v>
                </c:pt>
                <c:pt idx="224">
                  <c:v>45590</c:v>
                </c:pt>
                <c:pt idx="225">
                  <c:v>45597</c:v>
                </c:pt>
                <c:pt idx="226">
                  <c:v>45604</c:v>
                </c:pt>
                <c:pt idx="227">
                  <c:v>45611</c:v>
                </c:pt>
                <c:pt idx="228">
                  <c:v>45618</c:v>
                </c:pt>
                <c:pt idx="229">
                  <c:v>45625</c:v>
                </c:pt>
                <c:pt idx="230">
                  <c:v>45632</c:v>
                </c:pt>
                <c:pt idx="231">
                  <c:v>45639</c:v>
                </c:pt>
                <c:pt idx="232">
                  <c:v>45646</c:v>
                </c:pt>
                <c:pt idx="233">
                  <c:v>45653</c:v>
                </c:pt>
                <c:pt idx="234">
                  <c:v>45660</c:v>
                </c:pt>
                <c:pt idx="235">
                  <c:v>45667</c:v>
                </c:pt>
                <c:pt idx="236">
                  <c:v>45674</c:v>
                </c:pt>
                <c:pt idx="237">
                  <c:v>45681</c:v>
                </c:pt>
                <c:pt idx="238">
                  <c:v>45688</c:v>
                </c:pt>
                <c:pt idx="239">
                  <c:v>45695</c:v>
                </c:pt>
                <c:pt idx="240">
                  <c:v>45702</c:v>
                </c:pt>
                <c:pt idx="241">
                  <c:v>45709</c:v>
                </c:pt>
                <c:pt idx="242">
                  <c:v>45716</c:v>
                </c:pt>
                <c:pt idx="243">
                  <c:v>45723</c:v>
                </c:pt>
                <c:pt idx="244">
                  <c:v>45730</c:v>
                </c:pt>
                <c:pt idx="245">
                  <c:v>45737</c:v>
                </c:pt>
                <c:pt idx="246">
                  <c:v>45744</c:v>
                </c:pt>
                <c:pt idx="247">
                  <c:v>45751</c:v>
                </c:pt>
                <c:pt idx="248">
                  <c:v>45758</c:v>
                </c:pt>
                <c:pt idx="249">
                  <c:v>45765</c:v>
                </c:pt>
                <c:pt idx="250">
                  <c:v>45772</c:v>
                </c:pt>
                <c:pt idx="251">
                  <c:v>45779</c:v>
                </c:pt>
                <c:pt idx="252">
                  <c:v>45786</c:v>
                </c:pt>
                <c:pt idx="253">
                  <c:v>45793</c:v>
                </c:pt>
                <c:pt idx="254">
                  <c:v>45800</c:v>
                </c:pt>
                <c:pt idx="255">
                  <c:v>45807</c:v>
                </c:pt>
                <c:pt idx="256">
                  <c:v>45814</c:v>
                </c:pt>
                <c:pt idx="257">
                  <c:v>45821</c:v>
                </c:pt>
                <c:pt idx="258">
                  <c:v>45828</c:v>
                </c:pt>
                <c:pt idx="259">
                  <c:v>45835</c:v>
                </c:pt>
                <c:pt idx="260">
                  <c:v>45842</c:v>
                </c:pt>
                <c:pt idx="261">
                  <c:v>45849</c:v>
                </c:pt>
                <c:pt idx="262">
                  <c:v>45856</c:v>
                </c:pt>
                <c:pt idx="263">
                  <c:v>45863</c:v>
                </c:pt>
                <c:pt idx="264">
                  <c:v>45870</c:v>
                </c:pt>
                <c:pt idx="265">
                  <c:v>45877</c:v>
                </c:pt>
                <c:pt idx="266">
                  <c:v>45884</c:v>
                </c:pt>
                <c:pt idx="267">
                  <c:v>45891</c:v>
                </c:pt>
                <c:pt idx="268">
                  <c:v>45898</c:v>
                </c:pt>
                <c:pt idx="269">
                  <c:v>45905</c:v>
                </c:pt>
                <c:pt idx="270">
                  <c:v>45912</c:v>
                </c:pt>
                <c:pt idx="271">
                  <c:v>45919</c:v>
                </c:pt>
                <c:pt idx="272">
                  <c:v>45926</c:v>
                </c:pt>
                <c:pt idx="273">
                  <c:v>45933</c:v>
                </c:pt>
                <c:pt idx="274">
                  <c:v>45940</c:v>
                </c:pt>
                <c:pt idx="275">
                  <c:v>45947</c:v>
                </c:pt>
                <c:pt idx="276">
                  <c:v>45954</c:v>
                </c:pt>
                <c:pt idx="277">
                  <c:v>45961</c:v>
                </c:pt>
                <c:pt idx="278">
                  <c:v>45968</c:v>
                </c:pt>
                <c:pt idx="279">
                  <c:v>45975</c:v>
                </c:pt>
                <c:pt idx="280">
                  <c:v>45982</c:v>
                </c:pt>
                <c:pt idx="281">
                  <c:v>45989</c:v>
                </c:pt>
                <c:pt idx="282">
                  <c:v>45996</c:v>
                </c:pt>
                <c:pt idx="283">
                  <c:v>46003</c:v>
                </c:pt>
                <c:pt idx="284">
                  <c:v>46010</c:v>
                </c:pt>
                <c:pt idx="285">
                  <c:v>46017</c:v>
                </c:pt>
                <c:pt idx="286">
                  <c:v>46024</c:v>
                </c:pt>
                <c:pt idx="287">
                  <c:v>46031</c:v>
                </c:pt>
                <c:pt idx="288">
                  <c:v>46038</c:v>
                </c:pt>
                <c:pt idx="289">
                  <c:v>46045</c:v>
                </c:pt>
                <c:pt idx="290">
                  <c:v>46052</c:v>
                </c:pt>
                <c:pt idx="291">
                  <c:v>46059</c:v>
                </c:pt>
                <c:pt idx="292">
                  <c:v>46066</c:v>
                </c:pt>
                <c:pt idx="293">
                  <c:v>46073</c:v>
                </c:pt>
                <c:pt idx="294">
                  <c:v>46080</c:v>
                </c:pt>
                <c:pt idx="295">
                  <c:v>46087</c:v>
                </c:pt>
                <c:pt idx="296">
                  <c:v>46094</c:v>
                </c:pt>
                <c:pt idx="297">
                  <c:v>46101</c:v>
                </c:pt>
                <c:pt idx="298">
                  <c:v>46108</c:v>
                </c:pt>
                <c:pt idx="299">
                  <c:v>46115</c:v>
                </c:pt>
                <c:pt idx="300">
                  <c:v>46122</c:v>
                </c:pt>
                <c:pt idx="301">
                  <c:v>46129</c:v>
                </c:pt>
                <c:pt idx="302">
                  <c:v>46136</c:v>
                </c:pt>
                <c:pt idx="303">
                  <c:v>46143</c:v>
                </c:pt>
                <c:pt idx="304">
                  <c:v>46150</c:v>
                </c:pt>
                <c:pt idx="305">
                  <c:v>46157</c:v>
                </c:pt>
                <c:pt idx="306">
                  <c:v>46164</c:v>
                </c:pt>
                <c:pt idx="307">
                  <c:v>46171</c:v>
                </c:pt>
                <c:pt idx="308">
                  <c:v>46178</c:v>
                </c:pt>
                <c:pt idx="309">
                  <c:v>46185</c:v>
                </c:pt>
                <c:pt idx="310">
                  <c:v>46192</c:v>
                </c:pt>
                <c:pt idx="311">
                  <c:v>46199</c:v>
                </c:pt>
                <c:pt idx="312">
                  <c:v>46206</c:v>
                </c:pt>
                <c:pt idx="313">
                  <c:v>46213</c:v>
                </c:pt>
                <c:pt idx="314">
                  <c:v>46220</c:v>
                </c:pt>
                <c:pt idx="315">
                  <c:v>46227</c:v>
                </c:pt>
                <c:pt idx="316">
                  <c:v>46234</c:v>
                </c:pt>
                <c:pt idx="317">
                  <c:v>46241</c:v>
                </c:pt>
                <c:pt idx="318">
                  <c:v>46248</c:v>
                </c:pt>
                <c:pt idx="319">
                  <c:v>46255</c:v>
                </c:pt>
                <c:pt idx="320">
                  <c:v>46262</c:v>
                </c:pt>
                <c:pt idx="321">
                  <c:v>46269</c:v>
                </c:pt>
                <c:pt idx="322">
                  <c:v>46276</c:v>
                </c:pt>
                <c:pt idx="323">
                  <c:v>46283</c:v>
                </c:pt>
                <c:pt idx="324">
                  <c:v>46290</c:v>
                </c:pt>
                <c:pt idx="325">
                  <c:v>46297</c:v>
                </c:pt>
                <c:pt idx="326">
                  <c:v>46304</c:v>
                </c:pt>
              </c:numCache>
            </c:numRef>
          </c:cat>
          <c:val>
            <c:numRef>
              <c:f>Base!$CI$59:$CI$390</c:f>
              <c:numCache>
                <c:formatCode>General</c:formatCode>
                <c:ptCount val="332"/>
                <c:pt idx="0">
                  <c:v>-0.96078350814469093</c:v>
                </c:pt>
                <c:pt idx="1">
                  <c:v>-0.96998959871055668</c:v>
                </c:pt>
                <c:pt idx="2">
                  <c:v>-0.98768089520142122</c:v>
                </c:pt>
                <c:pt idx="3">
                  <c:v>-0.98768089520142122</c:v>
                </c:pt>
                <c:pt idx="4">
                  <c:v>-0.98768089520142122</c:v>
                </c:pt>
                <c:pt idx="5">
                  <c:v>-0.98768089520142122</c:v>
                </c:pt>
                <c:pt idx="6">
                  <c:v>-0.99753899992801265</c:v>
                </c:pt>
                <c:pt idx="7">
                  <c:v>-0.99753899992801265</c:v>
                </c:pt>
                <c:pt idx="8">
                  <c:v>-0.99753899992801265</c:v>
                </c:pt>
                <c:pt idx="9">
                  <c:v>-0.99753899992801265</c:v>
                </c:pt>
                <c:pt idx="10">
                  <c:v>-0.9990769395281488</c:v>
                </c:pt>
                <c:pt idx="11">
                  <c:v>-1.0024508242705752</c:v>
                </c:pt>
                <c:pt idx="12">
                  <c:v>-1.0055955658015061</c:v>
                </c:pt>
                <c:pt idx="13">
                  <c:v>-1.013021702091587</c:v>
                </c:pt>
                <c:pt idx="14">
                  <c:v>-1.0204657773092229</c:v>
                </c:pt>
                <c:pt idx="15">
                  <c:v>-1.0204657773092229</c:v>
                </c:pt>
                <c:pt idx="16">
                  <c:v>-1.0204657773092229</c:v>
                </c:pt>
                <c:pt idx="17">
                  <c:v>-1.0204657773092229</c:v>
                </c:pt>
                <c:pt idx="18">
                  <c:v>-1.0204657773092229</c:v>
                </c:pt>
                <c:pt idx="19">
                  <c:v>-1.013021702091587</c:v>
                </c:pt>
                <c:pt idx="20">
                  <c:v>-1.0055955658015061</c:v>
                </c:pt>
                <c:pt idx="21">
                  <c:v>-1.0023928694837281</c:v>
                </c:pt>
                <c:pt idx="22">
                  <c:v>-0.99753899992801265</c:v>
                </c:pt>
                <c:pt idx="23">
                  <c:v>-0.98986187372926404</c:v>
                </c:pt>
                <c:pt idx="24">
                  <c:v>-0.97147912976272577</c:v>
                </c:pt>
                <c:pt idx="25">
                  <c:v>-0.97147912976272577</c:v>
                </c:pt>
                <c:pt idx="26">
                  <c:v>-0.94813681952772078</c:v>
                </c:pt>
                <c:pt idx="27">
                  <c:v>-0.94664790402031596</c:v>
                </c:pt>
                <c:pt idx="28">
                  <c:v>-0.94613067631996139</c:v>
                </c:pt>
                <c:pt idx="29">
                  <c:v>-0.94339334389277063</c:v>
                </c:pt>
                <c:pt idx="30">
                  <c:v>-0.93673839711978291</c:v>
                </c:pt>
                <c:pt idx="31">
                  <c:v>-0.93562507526374517</c:v>
                </c:pt>
                <c:pt idx="32">
                  <c:v>-0.93034662670755863</c:v>
                </c:pt>
                <c:pt idx="33">
                  <c:v>-0.92337985896306307</c:v>
                </c:pt>
                <c:pt idx="34">
                  <c:v>-0.91558326107515908</c:v>
                </c:pt>
                <c:pt idx="35">
                  <c:v>-0.89487935232453331</c:v>
                </c:pt>
                <c:pt idx="36">
                  <c:v>-0.87391876306649285</c:v>
                </c:pt>
                <c:pt idx="37">
                  <c:v>-0.85360619863458587</c:v>
                </c:pt>
                <c:pt idx="38">
                  <c:v>-0.81230485803881836</c:v>
                </c:pt>
                <c:pt idx="39">
                  <c:v>-0.81230485803881836</c:v>
                </c:pt>
                <c:pt idx="40">
                  <c:v>-0.81230485803881836</c:v>
                </c:pt>
                <c:pt idx="41">
                  <c:v>-0.81230485803881836</c:v>
                </c:pt>
                <c:pt idx="42">
                  <c:v>-0.81230485803881836</c:v>
                </c:pt>
                <c:pt idx="43">
                  <c:v>-0.81230485803881836</c:v>
                </c:pt>
                <c:pt idx="44">
                  <c:v>-0.81230485803881836</c:v>
                </c:pt>
                <c:pt idx="45">
                  <c:v>-0.81230485803881836</c:v>
                </c:pt>
                <c:pt idx="46">
                  <c:v>-0.81230485803881836</c:v>
                </c:pt>
                <c:pt idx="47">
                  <c:v>-0.81230485803881836</c:v>
                </c:pt>
                <c:pt idx="48">
                  <c:v>-0.73214927629968463</c:v>
                </c:pt>
                <c:pt idx="49">
                  <c:v>-0.72422975969105341</c:v>
                </c:pt>
                <c:pt idx="50">
                  <c:v>-0.72422975969105341</c:v>
                </c:pt>
                <c:pt idx="51">
                  <c:v>-0.72422975969105341</c:v>
                </c:pt>
                <c:pt idx="52">
                  <c:v>-0.70993181402392769</c:v>
                </c:pt>
                <c:pt idx="53">
                  <c:v>-0.70518155804864502</c:v>
                </c:pt>
                <c:pt idx="54">
                  <c:v>-0.69598830342181039</c:v>
                </c:pt>
                <c:pt idx="55">
                  <c:v>-0.68868084306950783</c:v>
                </c:pt>
                <c:pt idx="56">
                  <c:v>-0.67224355783785361</c:v>
                </c:pt>
                <c:pt idx="57">
                  <c:v>-0.62555560597805782</c:v>
                </c:pt>
                <c:pt idx="58">
                  <c:v>-0.62060616624067777</c:v>
                </c:pt>
                <c:pt idx="59">
                  <c:v>-0.61152660762857147</c:v>
                </c:pt>
                <c:pt idx="60">
                  <c:v>-0.59595782452602264</c:v>
                </c:pt>
                <c:pt idx="61">
                  <c:v>-0.59060029009394499</c:v>
                </c:pt>
                <c:pt idx="62">
                  <c:v>-0.5809917919258325</c:v>
                </c:pt>
                <c:pt idx="63">
                  <c:v>-0.57471624344448657</c:v>
                </c:pt>
                <c:pt idx="64">
                  <c:v>-0.39255259867340431</c:v>
                </c:pt>
                <c:pt idx="65">
                  <c:v>0.12491323626341722</c:v>
                </c:pt>
                <c:pt idx="66">
                  <c:v>0.13938418205580211</c:v>
                </c:pt>
                <c:pt idx="67">
                  <c:v>0.16046512302820409</c:v>
                </c:pt>
                <c:pt idx="68">
                  <c:v>0.1650266917830564</c:v>
                </c:pt>
                <c:pt idx="69">
                  <c:v>0.16981922806602692</c:v>
                </c:pt>
                <c:pt idx="70">
                  <c:v>0.17681847468739198</c:v>
                </c:pt>
                <c:pt idx="71">
                  <c:v>0.19704990143855305</c:v>
                </c:pt>
                <c:pt idx="72">
                  <c:v>0.22083100445854181</c:v>
                </c:pt>
                <c:pt idx="73">
                  <c:v>0.31794693659993162</c:v>
                </c:pt>
                <c:pt idx="74">
                  <c:v>0.40990433011518118</c:v>
                </c:pt>
                <c:pt idx="75">
                  <c:v>0.45284341013544449</c:v>
                </c:pt>
                <c:pt idx="76">
                  <c:v>0.56020629138006395</c:v>
                </c:pt>
                <c:pt idx="77">
                  <c:v>0.66876844094860743</c:v>
                </c:pt>
                <c:pt idx="78">
                  <c:v>1.0036226166488067</c:v>
                </c:pt>
                <c:pt idx="79">
                  <c:v>1.0726709662924583</c:v>
                </c:pt>
                <c:pt idx="80">
                  <c:v>1.0726709662924583</c:v>
                </c:pt>
                <c:pt idx="81">
                  <c:v>1.0726709662924583</c:v>
                </c:pt>
                <c:pt idx="82">
                  <c:v>1.0726709662924583</c:v>
                </c:pt>
                <c:pt idx="83">
                  <c:v>1.1193560415422938</c:v>
                </c:pt>
                <c:pt idx="84">
                  <c:v>1.1262156626578008</c:v>
                </c:pt>
                <c:pt idx="85">
                  <c:v>1.1292645412166711</c:v>
                </c:pt>
                <c:pt idx="86">
                  <c:v>1.1492523800175658</c:v>
                </c:pt>
                <c:pt idx="87">
                  <c:v>1.193259229447764</c:v>
                </c:pt>
                <c:pt idx="88">
                  <c:v>1.2078120352240749</c:v>
                </c:pt>
                <c:pt idx="89">
                  <c:v>1.2078120352240749</c:v>
                </c:pt>
                <c:pt idx="90">
                  <c:v>1.2078120352240749</c:v>
                </c:pt>
                <c:pt idx="91">
                  <c:v>1.2078120352240749</c:v>
                </c:pt>
                <c:pt idx="92">
                  <c:v>1.2078120352240749</c:v>
                </c:pt>
                <c:pt idx="93">
                  <c:v>1.2078120352240749</c:v>
                </c:pt>
                <c:pt idx="94">
                  <c:v>1.2078120352240749</c:v>
                </c:pt>
                <c:pt idx="95">
                  <c:v>1.2078120352240749</c:v>
                </c:pt>
                <c:pt idx="96">
                  <c:v>1.2078120352240749</c:v>
                </c:pt>
                <c:pt idx="97">
                  <c:v>1.2078120352240749</c:v>
                </c:pt>
                <c:pt idx="98">
                  <c:v>1.2078120352240749</c:v>
                </c:pt>
                <c:pt idx="99">
                  <c:v>1.2078120352240749</c:v>
                </c:pt>
                <c:pt idx="100">
                  <c:v>1.2078120352240749</c:v>
                </c:pt>
                <c:pt idx="101">
                  <c:v>1.2078120352240749</c:v>
                </c:pt>
                <c:pt idx="102">
                  <c:v>1.2078120352240749</c:v>
                </c:pt>
                <c:pt idx="103">
                  <c:v>1.2078120352240749</c:v>
                </c:pt>
                <c:pt idx="104">
                  <c:v>1.2078120352240749</c:v>
                </c:pt>
                <c:pt idx="105">
                  <c:v>1.2078120352240749</c:v>
                </c:pt>
                <c:pt idx="106">
                  <c:v>1.2078120352240749</c:v>
                </c:pt>
                <c:pt idx="107">
                  <c:v>1.2078120352240749</c:v>
                </c:pt>
                <c:pt idx="108">
                  <c:v>1.2078120352240749</c:v>
                </c:pt>
                <c:pt idx="109">
                  <c:v>1.2078120352240749</c:v>
                </c:pt>
                <c:pt idx="110">
                  <c:v>1.2078120352240749</c:v>
                </c:pt>
                <c:pt idx="111">
                  <c:v>1.2078120352240749</c:v>
                </c:pt>
                <c:pt idx="112">
                  <c:v>1.2078120352240749</c:v>
                </c:pt>
                <c:pt idx="113">
                  <c:v>1.2078120352240749</c:v>
                </c:pt>
                <c:pt idx="114">
                  <c:v>1.2078120352240749</c:v>
                </c:pt>
                <c:pt idx="115">
                  <c:v>1.2078120352240749</c:v>
                </c:pt>
                <c:pt idx="116">
                  <c:v>1.2078120352240749</c:v>
                </c:pt>
                <c:pt idx="117">
                  <c:v>1.193259229447764</c:v>
                </c:pt>
                <c:pt idx="118">
                  <c:v>1.193259229447764</c:v>
                </c:pt>
                <c:pt idx="119">
                  <c:v>1.193259229447764</c:v>
                </c:pt>
                <c:pt idx="120">
                  <c:v>1.1749942695465458</c:v>
                </c:pt>
                <c:pt idx="121">
                  <c:v>1.1568535250761225</c:v>
                </c:pt>
                <c:pt idx="122">
                  <c:v>1.1399982393316654</c:v>
                </c:pt>
                <c:pt idx="123">
                  <c:v>1.1292645412166711</c:v>
                </c:pt>
                <c:pt idx="124">
                  <c:v>1.0751464152207642</c:v>
                </c:pt>
                <c:pt idx="125">
                  <c:v>1.0751464152207642</c:v>
                </c:pt>
                <c:pt idx="126">
                  <c:v>1.0465060245461095</c:v>
                </c:pt>
                <c:pt idx="127">
                  <c:v>0.97534299461317908</c:v>
                </c:pt>
                <c:pt idx="128">
                  <c:v>0.93633963213837879</c:v>
                </c:pt>
                <c:pt idx="129">
                  <c:v>1.7883857677161386E-2</c:v>
                </c:pt>
                <c:pt idx="130">
                  <c:v>-0.42800104597605948</c:v>
                </c:pt>
                <c:pt idx="131">
                  <c:v>-0.48570828909968589</c:v>
                </c:pt>
                <c:pt idx="132">
                  <c:v>-0.48570828909968589</c:v>
                </c:pt>
                <c:pt idx="133">
                  <c:v>-0.49061625357423838</c:v>
                </c:pt>
                <c:pt idx="134">
                  <c:v>-0.49061625357423838</c:v>
                </c:pt>
                <c:pt idx="135">
                  <c:v>-0.49635592740775974</c:v>
                </c:pt>
                <c:pt idx="136">
                  <c:v>-0.49635592740775974</c:v>
                </c:pt>
                <c:pt idx="137">
                  <c:v>-0.49635592740775974</c:v>
                </c:pt>
                <c:pt idx="138">
                  <c:v>-0.49635592740775974</c:v>
                </c:pt>
                <c:pt idx="139">
                  <c:v>-0.49635592740775974</c:v>
                </c:pt>
                <c:pt idx="140">
                  <c:v>-0.52041032323956082</c:v>
                </c:pt>
                <c:pt idx="141">
                  <c:v>-0.53202934958611892</c:v>
                </c:pt>
                <c:pt idx="142">
                  <c:v>-0.53697243222573543</c:v>
                </c:pt>
                <c:pt idx="143">
                  <c:v>-0.53697243222573543</c:v>
                </c:pt>
                <c:pt idx="144">
                  <c:v>-0.53697243222573543</c:v>
                </c:pt>
                <c:pt idx="145">
                  <c:v>-0.53697243222573543</c:v>
                </c:pt>
                <c:pt idx="146">
                  <c:v>-0.53697243222573543</c:v>
                </c:pt>
                <c:pt idx="147">
                  <c:v>-0.53697243222573543</c:v>
                </c:pt>
                <c:pt idx="148">
                  <c:v>-0.53697243222573543</c:v>
                </c:pt>
                <c:pt idx="149">
                  <c:v>-0.53697243222573543</c:v>
                </c:pt>
                <c:pt idx="150">
                  <c:v>-0.53697243222573543</c:v>
                </c:pt>
                <c:pt idx="151">
                  <c:v>-0.53697243222573543</c:v>
                </c:pt>
                <c:pt idx="152">
                  <c:v>-0.53202934958611892</c:v>
                </c:pt>
                <c:pt idx="153">
                  <c:v>-0.52134320160063363</c:v>
                </c:pt>
                <c:pt idx="154">
                  <c:v>-0.50168883326082825</c:v>
                </c:pt>
                <c:pt idx="155">
                  <c:v>-0.50044391751102657</c:v>
                </c:pt>
                <c:pt idx="156">
                  <c:v>-0.50044391751102657</c:v>
                </c:pt>
                <c:pt idx="157">
                  <c:v>-0.50044391751102657</c:v>
                </c:pt>
                <c:pt idx="158">
                  <c:v>-0.50044391751102657</c:v>
                </c:pt>
                <c:pt idx="159">
                  <c:v>-0.50044391751102657</c:v>
                </c:pt>
                <c:pt idx="160">
                  <c:v>-0.50044391751102657</c:v>
                </c:pt>
                <c:pt idx="161">
                  <c:v>-0.50044391751102657</c:v>
                </c:pt>
                <c:pt idx="162">
                  <c:v>-0.50044391751102657</c:v>
                </c:pt>
                <c:pt idx="163">
                  <c:v>-0.49635592740775974</c:v>
                </c:pt>
                <c:pt idx="164">
                  <c:v>-0.49061625357423838</c:v>
                </c:pt>
                <c:pt idx="165">
                  <c:v>-0.48570828909968589</c:v>
                </c:pt>
                <c:pt idx="166">
                  <c:v>-0.48570828909968589</c:v>
                </c:pt>
                <c:pt idx="167">
                  <c:v>-0.48570828909968589</c:v>
                </c:pt>
                <c:pt idx="168">
                  <c:v>-0.48570828909968589</c:v>
                </c:pt>
                <c:pt idx="169">
                  <c:v>-0.48570828909968589</c:v>
                </c:pt>
                <c:pt idx="170">
                  <c:v>-0.48570828909968589</c:v>
                </c:pt>
                <c:pt idx="171">
                  <c:v>-0.47353261121823015</c:v>
                </c:pt>
                <c:pt idx="172">
                  <c:v>-0.4675703454776079</c:v>
                </c:pt>
                <c:pt idx="173">
                  <c:v>-0.4675703454776079</c:v>
                </c:pt>
                <c:pt idx="174">
                  <c:v>-0.4675703454776079</c:v>
                </c:pt>
                <c:pt idx="175">
                  <c:v>-0.4675703454776079</c:v>
                </c:pt>
                <c:pt idx="176">
                  <c:v>-0.4675703454776079</c:v>
                </c:pt>
                <c:pt idx="177">
                  <c:v>-0.46098486376512182</c:v>
                </c:pt>
                <c:pt idx="178">
                  <c:v>-0.44577596207737652</c:v>
                </c:pt>
                <c:pt idx="179">
                  <c:v>-0.43031375947210848</c:v>
                </c:pt>
                <c:pt idx="180">
                  <c:v>-0.42268902445629297</c:v>
                </c:pt>
                <c:pt idx="181">
                  <c:v>-0.42268902445629297</c:v>
                </c:pt>
                <c:pt idx="182">
                  <c:v>-0.41886954129448495</c:v>
                </c:pt>
                <c:pt idx="183">
                  <c:v>-0.40751277823599941</c:v>
                </c:pt>
                <c:pt idx="184">
                  <c:v>-0.40047310572970551</c:v>
                </c:pt>
                <c:pt idx="185">
                  <c:v>-0.3903843317477263</c:v>
                </c:pt>
                <c:pt idx="186">
                  <c:v>-0.38036035488642217</c:v>
                </c:pt>
                <c:pt idx="187">
                  <c:v>-0.36974223638028347</c:v>
                </c:pt>
                <c:pt idx="188">
                  <c:v>-0.34513876375247832</c:v>
                </c:pt>
                <c:pt idx="189">
                  <c:v>-0.2403455131881499</c:v>
                </c:pt>
                <c:pt idx="190">
                  <c:v>-9.5031141485037746E-2</c:v>
                </c:pt>
                <c:pt idx="191">
                  <c:v>0.14262062500681097</c:v>
                </c:pt>
                <c:pt idx="192">
                  <c:v>0.19944416589954797</c:v>
                </c:pt>
                <c:pt idx="193">
                  <c:v>0.27744180464309726</c:v>
                </c:pt>
                <c:pt idx="194">
                  <c:v>0.29232666288949116</c:v>
                </c:pt>
                <c:pt idx="195">
                  <c:v>0.36166376317829563</c:v>
                </c:pt>
                <c:pt idx="196">
                  <c:v>0.5356107192689803</c:v>
                </c:pt>
                <c:pt idx="197">
                  <c:v>0.58289293472699555</c:v>
                </c:pt>
                <c:pt idx="198">
                  <c:v>0.66743689908157366</c:v>
                </c:pt>
                <c:pt idx="199">
                  <c:v>0.76843322891530308</c:v>
                </c:pt>
                <c:pt idx="200">
                  <c:v>0.79538162572914484</c:v>
                </c:pt>
                <c:pt idx="201">
                  <c:v>0.83696269329401252</c:v>
                </c:pt>
                <c:pt idx="202">
                  <c:v>0.86930345959007482</c:v>
                </c:pt>
                <c:pt idx="203">
                  <c:v>0.94858654609648163</c:v>
                </c:pt>
                <c:pt idx="204">
                  <c:v>1.2146524331797961</c:v>
                </c:pt>
                <c:pt idx="205">
                  <c:v>1.324598616695591</c:v>
                </c:pt>
                <c:pt idx="206">
                  <c:v>1.347489978763585</c:v>
                </c:pt>
                <c:pt idx="207">
                  <c:v>1.3922028500750045</c:v>
                </c:pt>
                <c:pt idx="208">
                  <c:v>1.4691427963165991</c:v>
                </c:pt>
                <c:pt idx="209">
                  <c:v>1.4695069266505005</c:v>
                </c:pt>
                <c:pt idx="210">
                  <c:v>1.4992261395376498</c:v>
                </c:pt>
                <c:pt idx="211">
                  <c:v>1.4992261395376498</c:v>
                </c:pt>
                <c:pt idx="212">
                  <c:v>1.4992261395376498</c:v>
                </c:pt>
                <c:pt idx="213">
                  <c:v>1.4992261395376498</c:v>
                </c:pt>
                <c:pt idx="214">
                  <c:v>1.4992261395376498</c:v>
                </c:pt>
                <c:pt idx="215">
                  <c:v>1.4992261395376498</c:v>
                </c:pt>
                <c:pt idx="216">
                  <c:v>1.4992261395376498</c:v>
                </c:pt>
                <c:pt idx="217">
                  <c:v>1.5183368057547189</c:v>
                </c:pt>
                <c:pt idx="218">
                  <c:v>1.5821139980420325</c:v>
                </c:pt>
                <c:pt idx="219">
                  <c:v>1.6369974646212684</c:v>
                </c:pt>
                <c:pt idx="220">
                  <c:v>1.7439559047955466</c:v>
                </c:pt>
                <c:pt idx="221">
                  <c:v>1.7439559047955466</c:v>
                </c:pt>
                <c:pt idx="222">
                  <c:v>1.7439559047955466</c:v>
                </c:pt>
                <c:pt idx="223">
                  <c:v>1.7439559047955466</c:v>
                </c:pt>
                <c:pt idx="224">
                  <c:v>1.7439559047955466</c:v>
                </c:pt>
                <c:pt idx="225">
                  <c:v>1.7439559047955466</c:v>
                </c:pt>
                <c:pt idx="226">
                  <c:v>1.7439559047955466</c:v>
                </c:pt>
                <c:pt idx="227">
                  <c:v>1.7439559047955466</c:v>
                </c:pt>
                <c:pt idx="228">
                  <c:v>1.7439559047955466</c:v>
                </c:pt>
                <c:pt idx="229">
                  <c:v>1.7530575300648206</c:v>
                </c:pt>
                <c:pt idx="230">
                  <c:v>1.7630627909128607</c:v>
                </c:pt>
                <c:pt idx="231">
                  <c:v>1.7787602740286883</c:v>
                </c:pt>
                <c:pt idx="232">
                  <c:v>1.8191682094710617</c:v>
                </c:pt>
                <c:pt idx="233">
                  <c:v>1.8850055037897064</c:v>
                </c:pt>
                <c:pt idx="234">
                  <c:v>1.9329378846103817</c:v>
                </c:pt>
                <c:pt idx="235">
                  <c:v>1.9329378846103817</c:v>
                </c:pt>
                <c:pt idx="236">
                  <c:v>1.9329378846103817</c:v>
                </c:pt>
                <c:pt idx="237">
                  <c:v>1.9329378846103817</c:v>
                </c:pt>
                <c:pt idx="238">
                  <c:v>1.9329378846103817</c:v>
                </c:pt>
                <c:pt idx="239">
                  <c:v>1.9329378846103817</c:v>
                </c:pt>
                <c:pt idx="240">
                  <c:v>1.9329378846103817</c:v>
                </c:pt>
                <c:pt idx="241">
                  <c:v>1.9329378846103817</c:v>
                </c:pt>
                <c:pt idx="242">
                  <c:v>1.9329378846103817</c:v>
                </c:pt>
                <c:pt idx="243">
                  <c:v>1.9329378846103817</c:v>
                </c:pt>
                <c:pt idx="244">
                  <c:v>1.9329378846103817</c:v>
                </c:pt>
                <c:pt idx="245">
                  <c:v>1.9329378846103817</c:v>
                </c:pt>
                <c:pt idx="246">
                  <c:v>1.9329378846103817</c:v>
                </c:pt>
                <c:pt idx="247">
                  <c:v>1.9329378846103817</c:v>
                </c:pt>
                <c:pt idx="248">
                  <c:v>1.8850055037897064</c:v>
                </c:pt>
                <c:pt idx="249">
                  <c:v>1.8850055037897064</c:v>
                </c:pt>
                <c:pt idx="250">
                  <c:v>1.8850055037897064</c:v>
                </c:pt>
                <c:pt idx="251">
                  <c:v>1.8850055037897064</c:v>
                </c:pt>
                <c:pt idx="252">
                  <c:v>1.8191682094710617</c:v>
                </c:pt>
                <c:pt idx="253">
                  <c:v>1.7694289265838483</c:v>
                </c:pt>
                <c:pt idx="254">
                  <c:v>1.7462541753621335</c:v>
                </c:pt>
                <c:pt idx="255">
                  <c:v>1.724446555995063</c:v>
                </c:pt>
                <c:pt idx="256">
                  <c:v>1.6289824917538434</c:v>
                </c:pt>
                <c:pt idx="257">
                  <c:v>1.5239910951836904</c:v>
                </c:pt>
                <c:pt idx="258">
                  <c:v>1.4821864578342174</c:v>
                </c:pt>
                <c:pt idx="259">
                  <c:v>1.4742598229289621</c:v>
                </c:pt>
                <c:pt idx="260">
                  <c:v>1.47028513306695</c:v>
                </c:pt>
                <c:pt idx="261">
                  <c:v>1.4037872865266914</c:v>
                </c:pt>
                <c:pt idx="262">
                  <c:v>1.375271831025854</c:v>
                </c:pt>
                <c:pt idx="263">
                  <c:v>1.375271831025854</c:v>
                </c:pt>
                <c:pt idx="264">
                  <c:v>1.375271831025854</c:v>
                </c:pt>
                <c:pt idx="265">
                  <c:v>1.375271831025854</c:v>
                </c:pt>
                <c:pt idx="266">
                  <c:v>1.2865276312106873</c:v>
                </c:pt>
                <c:pt idx="267">
                  <c:v>1.2400445346464908</c:v>
                </c:pt>
                <c:pt idx="268">
                  <c:v>1.2064864890484708</c:v>
                </c:pt>
                <c:pt idx="269">
                  <c:v>1.167089519431634</c:v>
                </c:pt>
                <c:pt idx="270">
                  <c:v>1.0883106921764942</c:v>
                </c:pt>
                <c:pt idx="271">
                  <c:v>0.90546094104335906</c:v>
                </c:pt>
                <c:pt idx="272">
                  <c:v>0.82870285754366879</c:v>
                </c:pt>
                <c:pt idx="273">
                  <c:v>0.78278646661458384</c:v>
                </c:pt>
                <c:pt idx="274">
                  <c:v>0.78278646661458384</c:v>
                </c:pt>
                <c:pt idx="275">
                  <c:v>0.78278646661458384</c:v>
                </c:pt>
                <c:pt idx="276">
                  <c:v>0.78278646661458384</c:v>
                </c:pt>
                <c:pt idx="277">
                  <c:v>0.76519055353470955</c:v>
                </c:pt>
                <c:pt idx="278">
                  <c:v>0.76519055353470955</c:v>
                </c:pt>
                <c:pt idx="279">
                  <c:v>0.76258701301251797</c:v>
                </c:pt>
                <c:pt idx="280">
                  <c:v>0.76258701301251797</c:v>
                </c:pt>
                <c:pt idx="281">
                  <c:v>0.76258701301251797</c:v>
                </c:pt>
                <c:pt idx="282">
                  <c:v>0.76258701301251797</c:v>
                </c:pt>
                <c:pt idx="283">
                  <c:v>0.76258701301251797</c:v>
                </c:pt>
                <c:pt idx="284">
                  <c:v>0.76258701301251797</c:v>
                </c:pt>
                <c:pt idx="285">
                  <c:v>0.76258701301251797</c:v>
                </c:pt>
                <c:pt idx="286">
                  <c:v>0.76258701301251797</c:v>
                </c:pt>
                <c:pt idx="287">
                  <c:v>0.76258701301251797</c:v>
                </c:pt>
                <c:pt idx="288">
                  <c:v>0.76258701301251797</c:v>
                </c:pt>
                <c:pt idx="289">
                  <c:v>0.76258701301251797</c:v>
                </c:pt>
                <c:pt idx="290">
                  <c:v>0.76421911800937825</c:v>
                </c:pt>
                <c:pt idx="291">
                  <c:v>0.76421911800937825</c:v>
                </c:pt>
                <c:pt idx="292">
                  <c:v>0.76421911800937825</c:v>
                </c:pt>
                <c:pt idx="293">
                  <c:v>0.73215735238641022</c:v>
                </c:pt>
                <c:pt idx="294">
                  <c:v>0.73215735238641022</c:v>
                </c:pt>
                <c:pt idx="295">
                  <c:v>0.73215735238641022</c:v>
                </c:pt>
                <c:pt idx="296">
                  <c:v>0.73215735238641022</c:v>
                </c:pt>
                <c:pt idx="297">
                  <c:v>0.73215735238641022</c:v>
                </c:pt>
                <c:pt idx="298">
                  <c:v>0.76540458848983661</c:v>
                </c:pt>
                <c:pt idx="299">
                  <c:v>0.77803494187096789</c:v>
                </c:pt>
                <c:pt idx="300">
                  <c:v>0.79118957348350616</c:v>
                </c:pt>
                <c:pt idx="301">
                  <c:v>0.79118957348350616</c:v>
                </c:pt>
                <c:pt idx="302">
                  <c:v>0.79118957348350616</c:v>
                </c:pt>
                <c:pt idx="303">
                  <c:v>0.79118957348350616</c:v>
                </c:pt>
                <c:pt idx="304">
                  <c:v>0.79118957348350616</c:v>
                </c:pt>
                <c:pt idx="305">
                  <c:v>0.79118957348350616</c:v>
                </c:pt>
                <c:pt idx="306">
                  <c:v>0.79118957348350616</c:v>
                </c:pt>
                <c:pt idx="307">
                  <c:v>0.79118957348350616</c:v>
                </c:pt>
                <c:pt idx="308">
                  <c:v>0.79118957348350616</c:v>
                </c:pt>
                <c:pt idx="309">
                  <c:v>0.79118957348350616</c:v>
                </c:pt>
                <c:pt idx="310">
                  <c:v>0.79118957348350616</c:v>
                </c:pt>
                <c:pt idx="311">
                  <c:v>0.79118957348350616</c:v>
                </c:pt>
                <c:pt idx="312">
                  <c:v>0.79118957348350616</c:v>
                </c:pt>
                <c:pt idx="313">
                  <c:v>0.79118957348350616</c:v>
                </c:pt>
                <c:pt idx="314">
                  <c:v>0.79118957348350616</c:v>
                </c:pt>
                <c:pt idx="315">
                  <c:v>0.79118957348350616</c:v>
                </c:pt>
                <c:pt idx="316">
                  <c:v>0.79118957348350616</c:v>
                </c:pt>
                <c:pt idx="317">
                  <c:v>0.79118957348350616</c:v>
                </c:pt>
                <c:pt idx="318">
                  <c:v>0.79118957348350616</c:v>
                </c:pt>
                <c:pt idx="319">
                  <c:v>0.79118957348350616</c:v>
                </c:pt>
                <c:pt idx="320">
                  <c:v>0.79118957348350616</c:v>
                </c:pt>
                <c:pt idx="321">
                  <c:v>0.79118957348350616</c:v>
                </c:pt>
                <c:pt idx="322">
                  <c:v>0.79118957348350616</c:v>
                </c:pt>
                <c:pt idx="323">
                  <c:v>0.79118957348350616</c:v>
                </c:pt>
                <c:pt idx="324">
                  <c:v>0.79118957348350616</c:v>
                </c:pt>
                <c:pt idx="325">
                  <c:v>0.79118957348350616</c:v>
                </c:pt>
                <c:pt idx="326">
                  <c:v>0.79118957348350616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6E-430B-A46F-3B08228680B8}"/>
            </c:ext>
          </c:extLst>
        </c:ser>
        <c:ser>
          <c:idx val="3"/>
          <c:order val="3"/>
          <c:tx>
            <c:strRef>
              <c:f>Base!$CJ$6</c:f>
              <c:strCache>
                <c:ptCount val="1"/>
                <c:pt idx="0">
                  <c:v>Q50</c:v>
                </c:pt>
              </c:strCache>
            </c:strRef>
          </c:tx>
          <c:spPr>
            <a:ln w="2222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Base!$CE$59:$CE$390</c:f>
              <c:numCache>
                <c:formatCode>m/d/yyyy</c:formatCode>
                <c:ptCount val="332"/>
                <c:pt idx="0">
                  <c:v>44022</c:v>
                </c:pt>
                <c:pt idx="1">
                  <c:v>44029</c:v>
                </c:pt>
                <c:pt idx="2">
                  <c:v>44036</c:v>
                </c:pt>
                <c:pt idx="3">
                  <c:v>44043</c:v>
                </c:pt>
                <c:pt idx="4">
                  <c:v>44050</c:v>
                </c:pt>
                <c:pt idx="5">
                  <c:v>44057</c:v>
                </c:pt>
                <c:pt idx="6">
                  <c:v>44064</c:v>
                </c:pt>
                <c:pt idx="7">
                  <c:v>44071</c:v>
                </c:pt>
                <c:pt idx="8">
                  <c:v>44078</c:v>
                </c:pt>
                <c:pt idx="9">
                  <c:v>44085</c:v>
                </c:pt>
                <c:pt idx="10">
                  <c:v>44092</c:v>
                </c:pt>
                <c:pt idx="11">
                  <c:v>44099</c:v>
                </c:pt>
                <c:pt idx="12">
                  <c:v>44106</c:v>
                </c:pt>
                <c:pt idx="13">
                  <c:v>44113</c:v>
                </c:pt>
                <c:pt idx="14">
                  <c:v>44120</c:v>
                </c:pt>
                <c:pt idx="15">
                  <c:v>44127</c:v>
                </c:pt>
                <c:pt idx="16">
                  <c:v>44134</c:v>
                </c:pt>
                <c:pt idx="17">
                  <c:v>44141</c:v>
                </c:pt>
                <c:pt idx="18">
                  <c:v>44148</c:v>
                </c:pt>
                <c:pt idx="19">
                  <c:v>44155</c:v>
                </c:pt>
                <c:pt idx="20">
                  <c:v>44162</c:v>
                </c:pt>
                <c:pt idx="21">
                  <c:v>44169</c:v>
                </c:pt>
                <c:pt idx="22">
                  <c:v>44176</c:v>
                </c:pt>
                <c:pt idx="23">
                  <c:v>44183</c:v>
                </c:pt>
                <c:pt idx="24">
                  <c:v>44190</c:v>
                </c:pt>
                <c:pt idx="25">
                  <c:v>44197</c:v>
                </c:pt>
                <c:pt idx="26">
                  <c:v>44204</c:v>
                </c:pt>
                <c:pt idx="27">
                  <c:v>44211</c:v>
                </c:pt>
                <c:pt idx="28">
                  <c:v>44218</c:v>
                </c:pt>
                <c:pt idx="29">
                  <c:v>44225</c:v>
                </c:pt>
                <c:pt idx="30">
                  <c:v>44232</c:v>
                </c:pt>
                <c:pt idx="31">
                  <c:v>44239</c:v>
                </c:pt>
                <c:pt idx="32">
                  <c:v>44246</c:v>
                </c:pt>
                <c:pt idx="33">
                  <c:v>44253</c:v>
                </c:pt>
                <c:pt idx="34">
                  <c:v>44260</c:v>
                </c:pt>
                <c:pt idx="35">
                  <c:v>44267</c:v>
                </c:pt>
                <c:pt idx="36">
                  <c:v>44274</c:v>
                </c:pt>
                <c:pt idx="37">
                  <c:v>44281</c:v>
                </c:pt>
                <c:pt idx="38">
                  <c:v>44288</c:v>
                </c:pt>
                <c:pt idx="39">
                  <c:v>44295</c:v>
                </c:pt>
                <c:pt idx="40">
                  <c:v>44302</c:v>
                </c:pt>
                <c:pt idx="41">
                  <c:v>44309</c:v>
                </c:pt>
                <c:pt idx="42">
                  <c:v>44316</c:v>
                </c:pt>
                <c:pt idx="43">
                  <c:v>44323</c:v>
                </c:pt>
                <c:pt idx="44">
                  <c:v>44330</c:v>
                </c:pt>
                <c:pt idx="45">
                  <c:v>44337</c:v>
                </c:pt>
                <c:pt idx="46">
                  <c:v>44344</c:v>
                </c:pt>
                <c:pt idx="47">
                  <c:v>44351</c:v>
                </c:pt>
                <c:pt idx="48">
                  <c:v>44358</c:v>
                </c:pt>
                <c:pt idx="49">
                  <c:v>44365</c:v>
                </c:pt>
                <c:pt idx="50">
                  <c:v>44372</c:v>
                </c:pt>
                <c:pt idx="51">
                  <c:v>44379</c:v>
                </c:pt>
                <c:pt idx="52">
                  <c:v>44386</c:v>
                </c:pt>
                <c:pt idx="53">
                  <c:v>44393</c:v>
                </c:pt>
                <c:pt idx="54">
                  <c:v>44400</c:v>
                </c:pt>
                <c:pt idx="55">
                  <c:v>44407</c:v>
                </c:pt>
                <c:pt idx="56">
                  <c:v>44414</c:v>
                </c:pt>
                <c:pt idx="57">
                  <c:v>44421</c:v>
                </c:pt>
                <c:pt idx="58">
                  <c:v>44428</c:v>
                </c:pt>
                <c:pt idx="59">
                  <c:v>44435</c:v>
                </c:pt>
                <c:pt idx="60">
                  <c:v>44442</c:v>
                </c:pt>
                <c:pt idx="61">
                  <c:v>44449</c:v>
                </c:pt>
                <c:pt idx="62">
                  <c:v>44456</c:v>
                </c:pt>
                <c:pt idx="63">
                  <c:v>44463</c:v>
                </c:pt>
                <c:pt idx="64">
                  <c:v>44470</c:v>
                </c:pt>
                <c:pt idx="65">
                  <c:v>44477</c:v>
                </c:pt>
                <c:pt idx="66">
                  <c:v>44484</c:v>
                </c:pt>
                <c:pt idx="67">
                  <c:v>44491</c:v>
                </c:pt>
                <c:pt idx="68">
                  <c:v>44498</c:v>
                </c:pt>
                <c:pt idx="69">
                  <c:v>44505</c:v>
                </c:pt>
                <c:pt idx="70">
                  <c:v>44512</c:v>
                </c:pt>
                <c:pt idx="71">
                  <c:v>44519</c:v>
                </c:pt>
                <c:pt idx="72">
                  <c:v>44526</c:v>
                </c:pt>
                <c:pt idx="73">
                  <c:v>44533</c:v>
                </c:pt>
                <c:pt idx="74">
                  <c:v>44540</c:v>
                </c:pt>
                <c:pt idx="75">
                  <c:v>44547</c:v>
                </c:pt>
                <c:pt idx="76">
                  <c:v>44554</c:v>
                </c:pt>
                <c:pt idx="77">
                  <c:v>44561</c:v>
                </c:pt>
                <c:pt idx="78">
                  <c:v>44568</c:v>
                </c:pt>
                <c:pt idx="79">
                  <c:v>44575</c:v>
                </c:pt>
                <c:pt idx="80">
                  <c:v>44582</c:v>
                </c:pt>
                <c:pt idx="81">
                  <c:v>44589</c:v>
                </c:pt>
                <c:pt idx="82">
                  <c:v>44596</c:v>
                </c:pt>
                <c:pt idx="83">
                  <c:v>44603</c:v>
                </c:pt>
                <c:pt idx="84">
                  <c:v>44610</c:v>
                </c:pt>
                <c:pt idx="85">
                  <c:v>44617</c:v>
                </c:pt>
                <c:pt idx="86">
                  <c:v>44624</c:v>
                </c:pt>
                <c:pt idx="87">
                  <c:v>44631</c:v>
                </c:pt>
                <c:pt idx="88">
                  <c:v>44638</c:v>
                </c:pt>
                <c:pt idx="89">
                  <c:v>44645</c:v>
                </c:pt>
                <c:pt idx="90">
                  <c:v>44652</c:v>
                </c:pt>
                <c:pt idx="91">
                  <c:v>44659</c:v>
                </c:pt>
                <c:pt idx="92">
                  <c:v>44666</c:v>
                </c:pt>
                <c:pt idx="93">
                  <c:v>44673</c:v>
                </c:pt>
                <c:pt idx="94">
                  <c:v>44680</c:v>
                </c:pt>
                <c:pt idx="95">
                  <c:v>44687</c:v>
                </c:pt>
                <c:pt idx="96">
                  <c:v>44694</c:v>
                </c:pt>
                <c:pt idx="97">
                  <c:v>44701</c:v>
                </c:pt>
                <c:pt idx="98">
                  <c:v>44708</c:v>
                </c:pt>
                <c:pt idx="99">
                  <c:v>44715</c:v>
                </c:pt>
                <c:pt idx="100">
                  <c:v>44722</c:v>
                </c:pt>
                <c:pt idx="101">
                  <c:v>44729</c:v>
                </c:pt>
                <c:pt idx="102">
                  <c:v>44736</c:v>
                </c:pt>
                <c:pt idx="103">
                  <c:v>44743</c:v>
                </c:pt>
                <c:pt idx="104">
                  <c:v>44750</c:v>
                </c:pt>
                <c:pt idx="105">
                  <c:v>44757</c:v>
                </c:pt>
                <c:pt idx="106">
                  <c:v>44764</c:v>
                </c:pt>
                <c:pt idx="107">
                  <c:v>44771</c:v>
                </c:pt>
                <c:pt idx="108">
                  <c:v>44778</c:v>
                </c:pt>
                <c:pt idx="109">
                  <c:v>44785</c:v>
                </c:pt>
                <c:pt idx="110">
                  <c:v>44792</c:v>
                </c:pt>
                <c:pt idx="111">
                  <c:v>44799</c:v>
                </c:pt>
                <c:pt idx="112">
                  <c:v>44806</c:v>
                </c:pt>
                <c:pt idx="113">
                  <c:v>44813</c:v>
                </c:pt>
                <c:pt idx="114">
                  <c:v>44820</c:v>
                </c:pt>
                <c:pt idx="115">
                  <c:v>44827</c:v>
                </c:pt>
                <c:pt idx="116">
                  <c:v>44834</c:v>
                </c:pt>
                <c:pt idx="117">
                  <c:v>44841</c:v>
                </c:pt>
                <c:pt idx="118">
                  <c:v>44848</c:v>
                </c:pt>
                <c:pt idx="119">
                  <c:v>44855</c:v>
                </c:pt>
                <c:pt idx="120">
                  <c:v>44862</c:v>
                </c:pt>
                <c:pt idx="121">
                  <c:v>44869</c:v>
                </c:pt>
                <c:pt idx="122">
                  <c:v>44876</c:v>
                </c:pt>
                <c:pt idx="123">
                  <c:v>44883</c:v>
                </c:pt>
                <c:pt idx="124">
                  <c:v>44890</c:v>
                </c:pt>
                <c:pt idx="125">
                  <c:v>44897</c:v>
                </c:pt>
                <c:pt idx="126">
                  <c:v>44904</c:v>
                </c:pt>
                <c:pt idx="127">
                  <c:v>44911</c:v>
                </c:pt>
                <c:pt idx="128">
                  <c:v>44918</c:v>
                </c:pt>
                <c:pt idx="129">
                  <c:v>44925</c:v>
                </c:pt>
                <c:pt idx="130">
                  <c:v>44932</c:v>
                </c:pt>
                <c:pt idx="131">
                  <c:v>44939</c:v>
                </c:pt>
                <c:pt idx="132">
                  <c:v>44946</c:v>
                </c:pt>
                <c:pt idx="133">
                  <c:v>44953</c:v>
                </c:pt>
                <c:pt idx="134">
                  <c:v>44960</c:v>
                </c:pt>
                <c:pt idx="135">
                  <c:v>44967</c:v>
                </c:pt>
                <c:pt idx="136">
                  <c:v>44974</c:v>
                </c:pt>
                <c:pt idx="137">
                  <c:v>44981</c:v>
                </c:pt>
                <c:pt idx="138">
                  <c:v>44988</c:v>
                </c:pt>
                <c:pt idx="139">
                  <c:v>44995</c:v>
                </c:pt>
                <c:pt idx="140">
                  <c:v>45002</c:v>
                </c:pt>
                <c:pt idx="141">
                  <c:v>45009</c:v>
                </c:pt>
                <c:pt idx="142">
                  <c:v>45016</c:v>
                </c:pt>
                <c:pt idx="143">
                  <c:v>45023</c:v>
                </c:pt>
                <c:pt idx="144">
                  <c:v>45030</c:v>
                </c:pt>
                <c:pt idx="145">
                  <c:v>45037</c:v>
                </c:pt>
                <c:pt idx="146">
                  <c:v>45044</c:v>
                </c:pt>
                <c:pt idx="147">
                  <c:v>45051</c:v>
                </c:pt>
                <c:pt idx="148">
                  <c:v>45058</c:v>
                </c:pt>
                <c:pt idx="149">
                  <c:v>45065</c:v>
                </c:pt>
                <c:pt idx="150">
                  <c:v>45072</c:v>
                </c:pt>
                <c:pt idx="151">
                  <c:v>45079</c:v>
                </c:pt>
                <c:pt idx="152">
                  <c:v>45086</c:v>
                </c:pt>
                <c:pt idx="153">
                  <c:v>45093</c:v>
                </c:pt>
                <c:pt idx="154">
                  <c:v>45100</c:v>
                </c:pt>
                <c:pt idx="155">
                  <c:v>45107</c:v>
                </c:pt>
                <c:pt idx="156">
                  <c:v>45114</c:v>
                </c:pt>
                <c:pt idx="157">
                  <c:v>45121</c:v>
                </c:pt>
                <c:pt idx="158">
                  <c:v>45128</c:v>
                </c:pt>
                <c:pt idx="159">
                  <c:v>45135</c:v>
                </c:pt>
                <c:pt idx="160">
                  <c:v>45142</c:v>
                </c:pt>
                <c:pt idx="161">
                  <c:v>45149</c:v>
                </c:pt>
                <c:pt idx="162">
                  <c:v>45156</c:v>
                </c:pt>
                <c:pt idx="163">
                  <c:v>45163</c:v>
                </c:pt>
                <c:pt idx="164">
                  <c:v>45170</c:v>
                </c:pt>
                <c:pt idx="165">
                  <c:v>45177</c:v>
                </c:pt>
                <c:pt idx="166">
                  <c:v>45184</c:v>
                </c:pt>
                <c:pt idx="167">
                  <c:v>45191</c:v>
                </c:pt>
                <c:pt idx="168">
                  <c:v>45198</c:v>
                </c:pt>
                <c:pt idx="169">
                  <c:v>45205</c:v>
                </c:pt>
                <c:pt idx="170">
                  <c:v>45212</c:v>
                </c:pt>
                <c:pt idx="171">
                  <c:v>45219</c:v>
                </c:pt>
                <c:pt idx="172">
                  <c:v>45226</c:v>
                </c:pt>
                <c:pt idx="173">
                  <c:v>45233</c:v>
                </c:pt>
                <c:pt idx="174">
                  <c:v>45240</c:v>
                </c:pt>
                <c:pt idx="175">
                  <c:v>45247</c:v>
                </c:pt>
                <c:pt idx="176">
                  <c:v>45254</c:v>
                </c:pt>
                <c:pt idx="177">
                  <c:v>45261</c:v>
                </c:pt>
                <c:pt idx="178">
                  <c:v>45268</c:v>
                </c:pt>
                <c:pt idx="179">
                  <c:v>45275</c:v>
                </c:pt>
                <c:pt idx="180">
                  <c:v>45282</c:v>
                </c:pt>
                <c:pt idx="181">
                  <c:v>45289</c:v>
                </c:pt>
                <c:pt idx="182">
                  <c:v>45296</c:v>
                </c:pt>
                <c:pt idx="183">
                  <c:v>45303</c:v>
                </c:pt>
                <c:pt idx="184">
                  <c:v>45310</c:v>
                </c:pt>
                <c:pt idx="185">
                  <c:v>45317</c:v>
                </c:pt>
                <c:pt idx="186">
                  <c:v>45324</c:v>
                </c:pt>
                <c:pt idx="187">
                  <c:v>45331</c:v>
                </c:pt>
                <c:pt idx="188">
                  <c:v>45338</c:v>
                </c:pt>
                <c:pt idx="189">
                  <c:v>45345</c:v>
                </c:pt>
                <c:pt idx="190">
                  <c:v>45352</c:v>
                </c:pt>
                <c:pt idx="191">
                  <c:v>45359</c:v>
                </c:pt>
                <c:pt idx="192">
                  <c:v>45366</c:v>
                </c:pt>
                <c:pt idx="193">
                  <c:v>45373</c:v>
                </c:pt>
                <c:pt idx="194">
                  <c:v>45380</c:v>
                </c:pt>
                <c:pt idx="195">
                  <c:v>45387</c:v>
                </c:pt>
                <c:pt idx="196">
                  <c:v>45394</c:v>
                </c:pt>
                <c:pt idx="197">
                  <c:v>45401</c:v>
                </c:pt>
                <c:pt idx="198">
                  <c:v>45408</c:v>
                </c:pt>
                <c:pt idx="199">
                  <c:v>45415</c:v>
                </c:pt>
                <c:pt idx="200">
                  <c:v>45422</c:v>
                </c:pt>
                <c:pt idx="201">
                  <c:v>45429</c:v>
                </c:pt>
                <c:pt idx="202">
                  <c:v>45436</c:v>
                </c:pt>
                <c:pt idx="203">
                  <c:v>45443</c:v>
                </c:pt>
                <c:pt idx="204">
                  <c:v>45450</c:v>
                </c:pt>
                <c:pt idx="205">
                  <c:v>45457</c:v>
                </c:pt>
                <c:pt idx="206">
                  <c:v>45464</c:v>
                </c:pt>
                <c:pt idx="207">
                  <c:v>45471</c:v>
                </c:pt>
                <c:pt idx="208">
                  <c:v>45478</c:v>
                </c:pt>
                <c:pt idx="209">
                  <c:v>45485</c:v>
                </c:pt>
                <c:pt idx="210">
                  <c:v>45492</c:v>
                </c:pt>
                <c:pt idx="211">
                  <c:v>45499</c:v>
                </c:pt>
                <c:pt idx="212">
                  <c:v>45506</c:v>
                </c:pt>
                <c:pt idx="213">
                  <c:v>45513</c:v>
                </c:pt>
                <c:pt idx="214">
                  <c:v>45520</c:v>
                </c:pt>
                <c:pt idx="215">
                  <c:v>45527</c:v>
                </c:pt>
                <c:pt idx="216">
                  <c:v>45534</c:v>
                </c:pt>
                <c:pt idx="217">
                  <c:v>45541</c:v>
                </c:pt>
                <c:pt idx="218">
                  <c:v>45548</c:v>
                </c:pt>
                <c:pt idx="219">
                  <c:v>45555</c:v>
                </c:pt>
                <c:pt idx="220">
                  <c:v>45562</c:v>
                </c:pt>
                <c:pt idx="221">
                  <c:v>45569</c:v>
                </c:pt>
                <c:pt idx="222">
                  <c:v>45576</c:v>
                </c:pt>
                <c:pt idx="223">
                  <c:v>45583</c:v>
                </c:pt>
                <c:pt idx="224">
                  <c:v>45590</c:v>
                </c:pt>
                <c:pt idx="225">
                  <c:v>45597</c:v>
                </c:pt>
                <c:pt idx="226">
                  <c:v>45604</c:v>
                </c:pt>
                <c:pt idx="227">
                  <c:v>45611</c:v>
                </c:pt>
                <c:pt idx="228">
                  <c:v>45618</c:v>
                </c:pt>
                <c:pt idx="229">
                  <c:v>45625</c:v>
                </c:pt>
                <c:pt idx="230">
                  <c:v>45632</c:v>
                </c:pt>
                <c:pt idx="231">
                  <c:v>45639</c:v>
                </c:pt>
                <c:pt idx="232">
                  <c:v>45646</c:v>
                </c:pt>
                <c:pt idx="233">
                  <c:v>45653</c:v>
                </c:pt>
                <c:pt idx="234">
                  <c:v>45660</c:v>
                </c:pt>
                <c:pt idx="235">
                  <c:v>45667</c:v>
                </c:pt>
                <c:pt idx="236">
                  <c:v>45674</c:v>
                </c:pt>
                <c:pt idx="237">
                  <c:v>45681</c:v>
                </c:pt>
                <c:pt idx="238">
                  <c:v>45688</c:v>
                </c:pt>
                <c:pt idx="239">
                  <c:v>45695</c:v>
                </c:pt>
                <c:pt idx="240">
                  <c:v>45702</c:v>
                </c:pt>
                <c:pt idx="241">
                  <c:v>45709</c:v>
                </c:pt>
                <c:pt idx="242">
                  <c:v>45716</c:v>
                </c:pt>
                <c:pt idx="243">
                  <c:v>45723</c:v>
                </c:pt>
                <c:pt idx="244">
                  <c:v>45730</c:v>
                </c:pt>
                <c:pt idx="245">
                  <c:v>45737</c:v>
                </c:pt>
                <c:pt idx="246">
                  <c:v>45744</c:v>
                </c:pt>
                <c:pt idx="247">
                  <c:v>45751</c:v>
                </c:pt>
                <c:pt idx="248">
                  <c:v>45758</c:v>
                </c:pt>
                <c:pt idx="249">
                  <c:v>45765</c:v>
                </c:pt>
                <c:pt idx="250">
                  <c:v>45772</c:v>
                </c:pt>
                <c:pt idx="251">
                  <c:v>45779</c:v>
                </c:pt>
                <c:pt idx="252">
                  <c:v>45786</c:v>
                </c:pt>
                <c:pt idx="253">
                  <c:v>45793</c:v>
                </c:pt>
                <c:pt idx="254">
                  <c:v>45800</c:v>
                </c:pt>
                <c:pt idx="255">
                  <c:v>45807</c:v>
                </c:pt>
                <c:pt idx="256">
                  <c:v>45814</c:v>
                </c:pt>
                <c:pt idx="257">
                  <c:v>45821</c:v>
                </c:pt>
                <c:pt idx="258">
                  <c:v>45828</c:v>
                </c:pt>
                <c:pt idx="259">
                  <c:v>45835</c:v>
                </c:pt>
                <c:pt idx="260">
                  <c:v>45842</c:v>
                </c:pt>
                <c:pt idx="261">
                  <c:v>45849</c:v>
                </c:pt>
                <c:pt idx="262">
                  <c:v>45856</c:v>
                </c:pt>
                <c:pt idx="263">
                  <c:v>45863</c:v>
                </c:pt>
                <c:pt idx="264">
                  <c:v>45870</c:v>
                </c:pt>
                <c:pt idx="265">
                  <c:v>45877</c:v>
                </c:pt>
                <c:pt idx="266">
                  <c:v>45884</c:v>
                </c:pt>
                <c:pt idx="267">
                  <c:v>45891</c:v>
                </c:pt>
                <c:pt idx="268">
                  <c:v>45898</c:v>
                </c:pt>
                <c:pt idx="269">
                  <c:v>45905</c:v>
                </c:pt>
                <c:pt idx="270">
                  <c:v>45912</c:v>
                </c:pt>
                <c:pt idx="271">
                  <c:v>45919</c:v>
                </c:pt>
                <c:pt idx="272">
                  <c:v>45926</c:v>
                </c:pt>
                <c:pt idx="273">
                  <c:v>45933</c:v>
                </c:pt>
                <c:pt idx="274">
                  <c:v>45940</c:v>
                </c:pt>
                <c:pt idx="275">
                  <c:v>45947</c:v>
                </c:pt>
                <c:pt idx="276">
                  <c:v>45954</c:v>
                </c:pt>
                <c:pt idx="277">
                  <c:v>45961</c:v>
                </c:pt>
                <c:pt idx="278">
                  <c:v>45968</c:v>
                </c:pt>
                <c:pt idx="279">
                  <c:v>45975</c:v>
                </c:pt>
                <c:pt idx="280">
                  <c:v>45982</c:v>
                </c:pt>
                <c:pt idx="281">
                  <c:v>45989</c:v>
                </c:pt>
                <c:pt idx="282">
                  <c:v>45996</c:v>
                </c:pt>
                <c:pt idx="283">
                  <c:v>46003</c:v>
                </c:pt>
                <c:pt idx="284">
                  <c:v>46010</c:v>
                </c:pt>
                <c:pt idx="285">
                  <c:v>46017</c:v>
                </c:pt>
                <c:pt idx="286">
                  <c:v>46024</c:v>
                </c:pt>
                <c:pt idx="287">
                  <c:v>46031</c:v>
                </c:pt>
                <c:pt idx="288">
                  <c:v>46038</c:v>
                </c:pt>
                <c:pt idx="289">
                  <c:v>46045</c:v>
                </c:pt>
                <c:pt idx="290">
                  <c:v>46052</c:v>
                </c:pt>
                <c:pt idx="291">
                  <c:v>46059</c:v>
                </c:pt>
                <c:pt idx="292">
                  <c:v>46066</c:v>
                </c:pt>
                <c:pt idx="293">
                  <c:v>46073</c:v>
                </c:pt>
                <c:pt idx="294">
                  <c:v>46080</c:v>
                </c:pt>
                <c:pt idx="295">
                  <c:v>46087</c:v>
                </c:pt>
                <c:pt idx="296">
                  <c:v>46094</c:v>
                </c:pt>
                <c:pt idx="297">
                  <c:v>46101</c:v>
                </c:pt>
                <c:pt idx="298">
                  <c:v>46108</c:v>
                </c:pt>
                <c:pt idx="299">
                  <c:v>46115</c:v>
                </c:pt>
                <c:pt idx="300">
                  <c:v>46122</c:v>
                </c:pt>
                <c:pt idx="301">
                  <c:v>46129</c:v>
                </c:pt>
                <c:pt idx="302">
                  <c:v>46136</c:v>
                </c:pt>
                <c:pt idx="303">
                  <c:v>46143</c:v>
                </c:pt>
                <c:pt idx="304">
                  <c:v>46150</c:v>
                </c:pt>
                <c:pt idx="305">
                  <c:v>46157</c:v>
                </c:pt>
                <c:pt idx="306">
                  <c:v>46164</c:v>
                </c:pt>
                <c:pt idx="307">
                  <c:v>46171</c:v>
                </c:pt>
                <c:pt idx="308">
                  <c:v>46178</c:v>
                </c:pt>
                <c:pt idx="309">
                  <c:v>46185</c:v>
                </c:pt>
                <c:pt idx="310">
                  <c:v>46192</c:v>
                </c:pt>
                <c:pt idx="311">
                  <c:v>46199</c:v>
                </c:pt>
                <c:pt idx="312">
                  <c:v>46206</c:v>
                </c:pt>
                <c:pt idx="313">
                  <c:v>46213</c:v>
                </c:pt>
                <c:pt idx="314">
                  <c:v>46220</c:v>
                </c:pt>
                <c:pt idx="315">
                  <c:v>46227</c:v>
                </c:pt>
                <c:pt idx="316">
                  <c:v>46234</c:v>
                </c:pt>
                <c:pt idx="317">
                  <c:v>46241</c:v>
                </c:pt>
                <c:pt idx="318">
                  <c:v>46248</c:v>
                </c:pt>
                <c:pt idx="319">
                  <c:v>46255</c:v>
                </c:pt>
                <c:pt idx="320">
                  <c:v>46262</c:v>
                </c:pt>
                <c:pt idx="321">
                  <c:v>46269</c:v>
                </c:pt>
                <c:pt idx="322">
                  <c:v>46276</c:v>
                </c:pt>
                <c:pt idx="323">
                  <c:v>46283</c:v>
                </c:pt>
                <c:pt idx="324">
                  <c:v>46290</c:v>
                </c:pt>
                <c:pt idx="325">
                  <c:v>46297</c:v>
                </c:pt>
                <c:pt idx="326">
                  <c:v>46304</c:v>
                </c:pt>
              </c:numCache>
            </c:numRef>
          </c:cat>
          <c:val>
            <c:numRef>
              <c:f>Base!$CJ$59:$CJ$390</c:f>
              <c:numCache>
                <c:formatCode>General</c:formatCode>
                <c:ptCount val="332"/>
                <c:pt idx="0">
                  <c:v>-1.0648472954437058</c:v>
                </c:pt>
                <c:pt idx="1">
                  <c:v>-1.0648472954437058</c:v>
                </c:pt>
                <c:pt idx="2">
                  <c:v>-1.0648472954437058</c:v>
                </c:pt>
                <c:pt idx="3">
                  <c:v>-1.0648472954437058</c:v>
                </c:pt>
                <c:pt idx="4">
                  <c:v>-1.0648472954437058</c:v>
                </c:pt>
                <c:pt idx="5">
                  <c:v>-1.0648472954437058</c:v>
                </c:pt>
                <c:pt idx="6">
                  <c:v>-1.0648472954437058</c:v>
                </c:pt>
                <c:pt idx="7">
                  <c:v>-1.0613924772140209</c:v>
                </c:pt>
                <c:pt idx="8">
                  <c:v>-1.0613924772140209</c:v>
                </c:pt>
                <c:pt idx="9">
                  <c:v>-1.0648472954437058</c:v>
                </c:pt>
                <c:pt idx="10">
                  <c:v>-1.0679141797955685</c:v>
                </c:pt>
                <c:pt idx="11">
                  <c:v>-1.0710347874970498</c:v>
                </c:pt>
                <c:pt idx="12">
                  <c:v>-1.0735660242432616</c:v>
                </c:pt>
                <c:pt idx="13">
                  <c:v>-1.0744234010874778</c:v>
                </c:pt>
                <c:pt idx="14">
                  <c:v>-1.0786464558074529</c:v>
                </c:pt>
                <c:pt idx="15">
                  <c:v>-1.0786464558074529</c:v>
                </c:pt>
                <c:pt idx="16">
                  <c:v>-1.0786464558074529</c:v>
                </c:pt>
                <c:pt idx="17">
                  <c:v>-1.0786464558074529</c:v>
                </c:pt>
                <c:pt idx="18">
                  <c:v>-1.0786464558074529</c:v>
                </c:pt>
                <c:pt idx="19">
                  <c:v>-1.0744234010874778</c:v>
                </c:pt>
                <c:pt idx="20">
                  <c:v>-1.0735660242432616</c:v>
                </c:pt>
                <c:pt idx="21">
                  <c:v>-1.0710347874970498</c:v>
                </c:pt>
                <c:pt idx="22">
                  <c:v>-1.0679141797955685</c:v>
                </c:pt>
                <c:pt idx="23">
                  <c:v>-1.0648472954437058</c:v>
                </c:pt>
                <c:pt idx="24">
                  <c:v>-1.0648472954437058</c:v>
                </c:pt>
                <c:pt idx="25">
                  <c:v>-1.0648472954437058</c:v>
                </c:pt>
                <c:pt idx="26">
                  <c:v>-1.0648472954437058</c:v>
                </c:pt>
                <c:pt idx="27">
                  <c:v>-1.0648472954437058</c:v>
                </c:pt>
                <c:pt idx="28">
                  <c:v>-1.0648472954437058</c:v>
                </c:pt>
                <c:pt idx="29">
                  <c:v>-1.0503246167430338</c:v>
                </c:pt>
                <c:pt idx="30">
                  <c:v>-1.0360896099322674</c:v>
                </c:pt>
                <c:pt idx="31">
                  <c:v>-1.0313694718181583</c:v>
                </c:pt>
                <c:pt idx="32">
                  <c:v>-1.0267854922473347</c:v>
                </c:pt>
                <c:pt idx="33">
                  <c:v>-1.0235623954451181</c:v>
                </c:pt>
                <c:pt idx="34">
                  <c:v>-1.014236460139547</c:v>
                </c:pt>
                <c:pt idx="35">
                  <c:v>-1.0025892257421796</c:v>
                </c:pt>
                <c:pt idx="36">
                  <c:v>-0.98956019250099403</c:v>
                </c:pt>
                <c:pt idx="37">
                  <c:v>-0.97966224106187605</c:v>
                </c:pt>
                <c:pt idx="38">
                  <c:v>-0.96385108723608037</c:v>
                </c:pt>
                <c:pt idx="39">
                  <c:v>-0.94767863687265219</c:v>
                </c:pt>
                <c:pt idx="40">
                  <c:v>-0.946533536478117</c:v>
                </c:pt>
                <c:pt idx="41">
                  <c:v>-0.946533536478117</c:v>
                </c:pt>
                <c:pt idx="42">
                  <c:v>-0.946533536478117</c:v>
                </c:pt>
                <c:pt idx="43">
                  <c:v>-0.946533536478117</c:v>
                </c:pt>
                <c:pt idx="44">
                  <c:v>-0.946533536478117</c:v>
                </c:pt>
                <c:pt idx="45">
                  <c:v>-0.94595655124620381</c:v>
                </c:pt>
                <c:pt idx="46">
                  <c:v>-0.94439461884990572</c:v>
                </c:pt>
                <c:pt idx="47">
                  <c:v>-0.94137945778959753</c:v>
                </c:pt>
                <c:pt idx="48">
                  <c:v>-0.94137945778959753</c:v>
                </c:pt>
                <c:pt idx="49">
                  <c:v>-0.93816322562654431</c:v>
                </c:pt>
                <c:pt idx="50">
                  <c:v>-0.93456212918387516</c:v>
                </c:pt>
                <c:pt idx="51">
                  <c:v>-0.92831746732238329</c:v>
                </c:pt>
                <c:pt idx="52">
                  <c:v>-0.92250056937409353</c:v>
                </c:pt>
                <c:pt idx="53">
                  <c:v>-0.91433178438831253</c:v>
                </c:pt>
                <c:pt idx="54">
                  <c:v>-0.90401432614632204</c:v>
                </c:pt>
                <c:pt idx="55">
                  <c:v>-0.8971938439578897</c:v>
                </c:pt>
                <c:pt idx="56">
                  <c:v>-0.8867384011826096</c:v>
                </c:pt>
                <c:pt idx="57">
                  <c:v>-0.8867384011826096</c:v>
                </c:pt>
                <c:pt idx="58">
                  <c:v>-0.87762866684174201</c:v>
                </c:pt>
                <c:pt idx="59">
                  <c:v>-0.85811323835840847</c:v>
                </c:pt>
                <c:pt idx="60">
                  <c:v>-0.80660708061228803</c:v>
                </c:pt>
                <c:pt idx="61">
                  <c:v>-0.76258444750271304</c:v>
                </c:pt>
                <c:pt idx="62">
                  <c:v>-0.74270564359261493</c:v>
                </c:pt>
                <c:pt idx="63">
                  <c:v>-0.73100733038993504</c:v>
                </c:pt>
                <c:pt idx="64">
                  <c:v>-0.71973608081167084</c:v>
                </c:pt>
                <c:pt idx="65">
                  <c:v>-0.70911490499494967</c:v>
                </c:pt>
                <c:pt idx="66">
                  <c:v>-0.70288202916029663</c:v>
                </c:pt>
                <c:pt idx="67">
                  <c:v>-0.69369363546002094</c:v>
                </c:pt>
                <c:pt idx="68">
                  <c:v>-0.68825738660257341</c:v>
                </c:pt>
                <c:pt idx="69">
                  <c:v>-0.65707664200700244</c:v>
                </c:pt>
                <c:pt idx="70">
                  <c:v>-0.6243684016108153</c:v>
                </c:pt>
                <c:pt idx="71">
                  <c:v>-0.61921833960502526</c:v>
                </c:pt>
                <c:pt idx="72">
                  <c:v>-0.60661052892342271</c:v>
                </c:pt>
                <c:pt idx="73">
                  <c:v>-0.59513727753891998</c:v>
                </c:pt>
                <c:pt idx="74">
                  <c:v>-0.58770439662317531</c:v>
                </c:pt>
                <c:pt idx="75">
                  <c:v>-0.58007097417002917</c:v>
                </c:pt>
                <c:pt idx="76">
                  <c:v>-0.57120314823055085</c:v>
                </c:pt>
                <c:pt idx="77">
                  <c:v>-0.22092823954412932</c:v>
                </c:pt>
                <c:pt idx="78">
                  <c:v>0.12750599381241384</c:v>
                </c:pt>
                <c:pt idx="79">
                  <c:v>0.14607685520119712</c:v>
                </c:pt>
                <c:pt idx="80">
                  <c:v>0.16146804456442099</c:v>
                </c:pt>
                <c:pt idx="81">
                  <c:v>0.16657949592925797</c:v>
                </c:pt>
                <c:pt idx="82">
                  <c:v>0.16995335191039274</c:v>
                </c:pt>
                <c:pt idx="83">
                  <c:v>0.18341534977565965</c:v>
                </c:pt>
                <c:pt idx="84">
                  <c:v>0.19749070292491111</c:v>
                </c:pt>
                <c:pt idx="85">
                  <c:v>0.24328970301945643</c:v>
                </c:pt>
                <c:pt idx="86">
                  <c:v>0.34768677305857754</c:v>
                </c:pt>
                <c:pt idx="87">
                  <c:v>0.41264221425449304</c:v>
                </c:pt>
                <c:pt idx="88">
                  <c:v>0.48756883773777226</c:v>
                </c:pt>
                <c:pt idx="89">
                  <c:v>0.5633928898177003</c:v>
                </c:pt>
                <c:pt idx="90">
                  <c:v>0.75029591278909524</c:v>
                </c:pt>
                <c:pt idx="91">
                  <c:v>0.75029591278909524</c:v>
                </c:pt>
                <c:pt idx="92">
                  <c:v>0.75029591278909524</c:v>
                </c:pt>
                <c:pt idx="93">
                  <c:v>0.75029591278909524</c:v>
                </c:pt>
                <c:pt idx="94">
                  <c:v>0.75029591278909524</c:v>
                </c:pt>
                <c:pt idx="95">
                  <c:v>0.75029591278909524</c:v>
                </c:pt>
                <c:pt idx="96">
                  <c:v>0.75029591278909524</c:v>
                </c:pt>
                <c:pt idx="97">
                  <c:v>0.75029591278909524</c:v>
                </c:pt>
                <c:pt idx="98">
                  <c:v>0.75029591278909524</c:v>
                </c:pt>
                <c:pt idx="99">
                  <c:v>0.75029591278909524</c:v>
                </c:pt>
                <c:pt idx="100">
                  <c:v>0.75029591278909524</c:v>
                </c:pt>
                <c:pt idx="101">
                  <c:v>0.75029591278909524</c:v>
                </c:pt>
                <c:pt idx="102">
                  <c:v>0.75029591278909524</c:v>
                </c:pt>
                <c:pt idx="103">
                  <c:v>0.75029591278909524</c:v>
                </c:pt>
                <c:pt idx="104">
                  <c:v>0.75029591278909524</c:v>
                </c:pt>
                <c:pt idx="105">
                  <c:v>0.75029591278909524</c:v>
                </c:pt>
                <c:pt idx="106">
                  <c:v>0.75029591278909524</c:v>
                </c:pt>
                <c:pt idx="107">
                  <c:v>0.75029591278909524</c:v>
                </c:pt>
                <c:pt idx="108">
                  <c:v>0.75029591278909524</c:v>
                </c:pt>
                <c:pt idx="109">
                  <c:v>0.75029591278909524</c:v>
                </c:pt>
                <c:pt idx="110">
                  <c:v>0.75029591278909524</c:v>
                </c:pt>
                <c:pt idx="111">
                  <c:v>0.75029591278909524</c:v>
                </c:pt>
                <c:pt idx="112">
                  <c:v>0.75029591278909524</c:v>
                </c:pt>
                <c:pt idx="113">
                  <c:v>0.75029591278909524</c:v>
                </c:pt>
                <c:pt idx="114">
                  <c:v>0.75029591278909524</c:v>
                </c:pt>
                <c:pt idx="115">
                  <c:v>0.74392271591382264</c:v>
                </c:pt>
                <c:pt idx="116">
                  <c:v>0.14513907332764642</c:v>
                </c:pt>
                <c:pt idx="117">
                  <c:v>-0.66802166241616501</c:v>
                </c:pt>
                <c:pt idx="118">
                  <c:v>-0.70594612389224731</c:v>
                </c:pt>
                <c:pt idx="119">
                  <c:v>-0.72379425225827543</c:v>
                </c:pt>
                <c:pt idx="120">
                  <c:v>-0.77825590855689586</c:v>
                </c:pt>
                <c:pt idx="121">
                  <c:v>-0.82058889147437708</c:v>
                </c:pt>
                <c:pt idx="122">
                  <c:v>-0.82058889147437708</c:v>
                </c:pt>
                <c:pt idx="123">
                  <c:v>-0.82058889147437708</c:v>
                </c:pt>
                <c:pt idx="124">
                  <c:v>-0.82058889147437708</c:v>
                </c:pt>
                <c:pt idx="125">
                  <c:v>-0.82058889147437708</c:v>
                </c:pt>
                <c:pt idx="126">
                  <c:v>-0.82058889147437708</c:v>
                </c:pt>
                <c:pt idx="127">
                  <c:v>-0.82058889147437708</c:v>
                </c:pt>
                <c:pt idx="128">
                  <c:v>-0.82058889147437708</c:v>
                </c:pt>
                <c:pt idx="129">
                  <c:v>-0.82058889147437708</c:v>
                </c:pt>
                <c:pt idx="130">
                  <c:v>-0.82058889147437708</c:v>
                </c:pt>
                <c:pt idx="131">
                  <c:v>-0.82058889147437708</c:v>
                </c:pt>
                <c:pt idx="132">
                  <c:v>-0.82058889147437708</c:v>
                </c:pt>
                <c:pt idx="133">
                  <c:v>-0.82058889147437708</c:v>
                </c:pt>
                <c:pt idx="134">
                  <c:v>-0.82058889147437708</c:v>
                </c:pt>
                <c:pt idx="135">
                  <c:v>-0.82058889147437708</c:v>
                </c:pt>
                <c:pt idx="136">
                  <c:v>-0.82058889147437708</c:v>
                </c:pt>
                <c:pt idx="137">
                  <c:v>-0.82058889147437708</c:v>
                </c:pt>
                <c:pt idx="138">
                  <c:v>-0.82058889147437708</c:v>
                </c:pt>
                <c:pt idx="139">
                  <c:v>-0.82058889147437708</c:v>
                </c:pt>
                <c:pt idx="140">
                  <c:v>-0.82058889147437708</c:v>
                </c:pt>
                <c:pt idx="141">
                  <c:v>-0.82058889147437708</c:v>
                </c:pt>
                <c:pt idx="142">
                  <c:v>-0.82058889147437708</c:v>
                </c:pt>
                <c:pt idx="143">
                  <c:v>-0.82058889147437708</c:v>
                </c:pt>
                <c:pt idx="144">
                  <c:v>-0.82556819553466942</c:v>
                </c:pt>
                <c:pt idx="145">
                  <c:v>-0.82556819553466942</c:v>
                </c:pt>
                <c:pt idx="146">
                  <c:v>-0.82556819553466942</c:v>
                </c:pt>
                <c:pt idx="147">
                  <c:v>-0.81501037958953804</c:v>
                </c:pt>
                <c:pt idx="148">
                  <c:v>-0.80896488895418828</c:v>
                </c:pt>
                <c:pt idx="149">
                  <c:v>-0.78590005215144831</c:v>
                </c:pt>
                <c:pt idx="150">
                  <c:v>-0.74961255986931696</c:v>
                </c:pt>
                <c:pt idx="151">
                  <c:v>-0.72379425225827543</c:v>
                </c:pt>
                <c:pt idx="152">
                  <c:v>-0.71579028019186974</c:v>
                </c:pt>
                <c:pt idx="153">
                  <c:v>-0.70533988890202737</c:v>
                </c:pt>
                <c:pt idx="154">
                  <c:v>-0.69170886788569041</c:v>
                </c:pt>
                <c:pt idx="155">
                  <c:v>-0.66423479769945037</c:v>
                </c:pt>
                <c:pt idx="156">
                  <c:v>-0.66423479769945037</c:v>
                </c:pt>
                <c:pt idx="157">
                  <c:v>-0.66423479769945037</c:v>
                </c:pt>
                <c:pt idx="158">
                  <c:v>-0.66423479769945037</c:v>
                </c:pt>
                <c:pt idx="159">
                  <c:v>-0.66423479769945037</c:v>
                </c:pt>
                <c:pt idx="160">
                  <c:v>-0.66423479769945037</c:v>
                </c:pt>
                <c:pt idx="161">
                  <c:v>-0.66423479769945037</c:v>
                </c:pt>
                <c:pt idx="162">
                  <c:v>-0.66423479769945037</c:v>
                </c:pt>
                <c:pt idx="163">
                  <c:v>-0.63925866408874299</c:v>
                </c:pt>
                <c:pt idx="164">
                  <c:v>-0.62906981248376104</c:v>
                </c:pt>
                <c:pt idx="165">
                  <c:v>-0.61979410500367105</c:v>
                </c:pt>
                <c:pt idx="166">
                  <c:v>-0.61979410500367105</c:v>
                </c:pt>
                <c:pt idx="167">
                  <c:v>-0.6158133224202671</c:v>
                </c:pt>
                <c:pt idx="168">
                  <c:v>-0.6158133224202671</c:v>
                </c:pt>
                <c:pt idx="169">
                  <c:v>-0.6158133224202671</c:v>
                </c:pt>
                <c:pt idx="170">
                  <c:v>-0.6158133224202671</c:v>
                </c:pt>
                <c:pt idx="171">
                  <c:v>-0.60581528747698066</c:v>
                </c:pt>
                <c:pt idx="172">
                  <c:v>-0.57780972328575286</c:v>
                </c:pt>
                <c:pt idx="173">
                  <c:v>-0.57780972328575286</c:v>
                </c:pt>
                <c:pt idx="174">
                  <c:v>-0.57780972328575286</c:v>
                </c:pt>
                <c:pt idx="175">
                  <c:v>-0.57780972328575286</c:v>
                </c:pt>
                <c:pt idx="176">
                  <c:v>-0.57780972328575286</c:v>
                </c:pt>
                <c:pt idx="177">
                  <c:v>-0.55294736045256432</c:v>
                </c:pt>
                <c:pt idx="178">
                  <c:v>-0.55294736045256432</c:v>
                </c:pt>
                <c:pt idx="179">
                  <c:v>-0.55294736045256432</c:v>
                </c:pt>
                <c:pt idx="180">
                  <c:v>-0.55294736045256432</c:v>
                </c:pt>
                <c:pt idx="181">
                  <c:v>-0.55294736045256432</c:v>
                </c:pt>
                <c:pt idx="182">
                  <c:v>-0.55294736045256432</c:v>
                </c:pt>
                <c:pt idx="183">
                  <c:v>-0.55294736045256432</c:v>
                </c:pt>
                <c:pt idx="184">
                  <c:v>-0.55294736045256432</c:v>
                </c:pt>
                <c:pt idx="185">
                  <c:v>-0.55294736045256432</c:v>
                </c:pt>
                <c:pt idx="186">
                  <c:v>-0.55294736045256432</c:v>
                </c:pt>
                <c:pt idx="187">
                  <c:v>-0.55294736045256432</c:v>
                </c:pt>
                <c:pt idx="188">
                  <c:v>-0.55294736045256432</c:v>
                </c:pt>
                <c:pt idx="189">
                  <c:v>-0.55294736045256432</c:v>
                </c:pt>
                <c:pt idx="190">
                  <c:v>-0.55294736045256432</c:v>
                </c:pt>
                <c:pt idx="191">
                  <c:v>-0.55294736045256432</c:v>
                </c:pt>
                <c:pt idx="192">
                  <c:v>-0.55294736045256432</c:v>
                </c:pt>
                <c:pt idx="193">
                  <c:v>-0.52577118869481199</c:v>
                </c:pt>
                <c:pt idx="194">
                  <c:v>-0.50153281456646392</c:v>
                </c:pt>
                <c:pt idx="195">
                  <c:v>-0.4756616798773935</c:v>
                </c:pt>
                <c:pt idx="196">
                  <c:v>-0.4414493415777011</c:v>
                </c:pt>
                <c:pt idx="197">
                  <c:v>-0.42783141836586658</c:v>
                </c:pt>
                <c:pt idx="198">
                  <c:v>-0.42251131275920306</c:v>
                </c:pt>
                <c:pt idx="199">
                  <c:v>-0.40749472359884042</c:v>
                </c:pt>
                <c:pt idx="200">
                  <c:v>-0.38258250844977426</c:v>
                </c:pt>
                <c:pt idx="201">
                  <c:v>-0.31794606843806561</c:v>
                </c:pt>
                <c:pt idx="202">
                  <c:v>-0.21713034856705957</c:v>
                </c:pt>
                <c:pt idx="203">
                  <c:v>-1.9362263645196609E-2</c:v>
                </c:pt>
                <c:pt idx="204">
                  <c:v>0.15326575797913627</c:v>
                </c:pt>
                <c:pt idx="205">
                  <c:v>0.22433230787530906</c:v>
                </c:pt>
                <c:pt idx="206">
                  <c:v>0.28077501745936329</c:v>
                </c:pt>
                <c:pt idx="207">
                  <c:v>0.29721188268708687</c:v>
                </c:pt>
                <c:pt idx="208">
                  <c:v>0.41634520407431297</c:v>
                </c:pt>
                <c:pt idx="209">
                  <c:v>0.54551335267161294</c:v>
                </c:pt>
                <c:pt idx="210">
                  <c:v>0.60046724997711298</c:v>
                </c:pt>
                <c:pt idx="211">
                  <c:v>0.69925791768579948</c:v>
                </c:pt>
                <c:pt idx="212">
                  <c:v>0.77396650293635505</c:v>
                </c:pt>
                <c:pt idx="213">
                  <c:v>0.80573020047983079</c:v>
                </c:pt>
                <c:pt idx="214">
                  <c:v>0.84749803660682232</c:v>
                </c:pt>
                <c:pt idx="215">
                  <c:v>0.87003819594770748</c:v>
                </c:pt>
                <c:pt idx="216">
                  <c:v>0.94450557018555259</c:v>
                </c:pt>
                <c:pt idx="217">
                  <c:v>1.0971288301681588</c:v>
                </c:pt>
                <c:pt idx="218">
                  <c:v>1.1782886835125967</c:v>
                </c:pt>
                <c:pt idx="219">
                  <c:v>1.2176769708984925</c:v>
                </c:pt>
                <c:pt idx="220">
                  <c:v>1.2873354804640682</c:v>
                </c:pt>
                <c:pt idx="221">
                  <c:v>1.3263715624967143</c:v>
                </c:pt>
                <c:pt idx="222">
                  <c:v>1.3263715624967143</c:v>
                </c:pt>
                <c:pt idx="223">
                  <c:v>1.3263715624967143</c:v>
                </c:pt>
                <c:pt idx="224">
                  <c:v>1.3263715624967143</c:v>
                </c:pt>
                <c:pt idx="225">
                  <c:v>1.3263715624967143</c:v>
                </c:pt>
                <c:pt idx="226">
                  <c:v>1.3263715624967143</c:v>
                </c:pt>
                <c:pt idx="227">
                  <c:v>1.3263715624967143</c:v>
                </c:pt>
                <c:pt idx="228">
                  <c:v>1.3372884008315769</c:v>
                </c:pt>
                <c:pt idx="229">
                  <c:v>1.3540060833292853</c:v>
                </c:pt>
                <c:pt idx="230">
                  <c:v>1.3704473278071092</c:v>
                </c:pt>
                <c:pt idx="231">
                  <c:v>1.3766872988981755</c:v>
                </c:pt>
                <c:pt idx="232">
                  <c:v>1.4236073787803898</c:v>
                </c:pt>
                <c:pt idx="233">
                  <c:v>1.4679392764738957</c:v>
                </c:pt>
                <c:pt idx="234">
                  <c:v>1.4708318232711712</c:v>
                </c:pt>
                <c:pt idx="235">
                  <c:v>1.4708318232711712</c:v>
                </c:pt>
                <c:pt idx="236">
                  <c:v>1.4708318232711712</c:v>
                </c:pt>
                <c:pt idx="237">
                  <c:v>1.4708318232711712</c:v>
                </c:pt>
                <c:pt idx="238">
                  <c:v>1.4708318232711712</c:v>
                </c:pt>
                <c:pt idx="239">
                  <c:v>1.4708318232711712</c:v>
                </c:pt>
                <c:pt idx="240">
                  <c:v>1.4708318232711712</c:v>
                </c:pt>
                <c:pt idx="241">
                  <c:v>1.4708318232711712</c:v>
                </c:pt>
                <c:pt idx="242">
                  <c:v>1.4708318232711712</c:v>
                </c:pt>
                <c:pt idx="243">
                  <c:v>1.4708318232711712</c:v>
                </c:pt>
                <c:pt idx="244">
                  <c:v>1.4708318232711712</c:v>
                </c:pt>
                <c:pt idx="245">
                  <c:v>1.4708318232711712</c:v>
                </c:pt>
                <c:pt idx="246">
                  <c:v>1.4708318232711712</c:v>
                </c:pt>
                <c:pt idx="247">
                  <c:v>1.423850132336324</c:v>
                </c:pt>
                <c:pt idx="248">
                  <c:v>1.3766872988981755</c:v>
                </c:pt>
                <c:pt idx="249">
                  <c:v>1.3704473278071092</c:v>
                </c:pt>
                <c:pt idx="250">
                  <c:v>1.353729645309401</c:v>
                </c:pt>
                <c:pt idx="251">
                  <c:v>1.2945668454326229</c:v>
                </c:pt>
                <c:pt idx="252">
                  <c:v>1.2452066108976529</c:v>
                </c:pt>
                <c:pt idx="253">
                  <c:v>1.2159518121640902</c:v>
                </c:pt>
                <c:pt idx="254">
                  <c:v>1.1868876772805184</c:v>
                </c:pt>
                <c:pt idx="255">
                  <c:v>1.1669332462797068</c:v>
                </c:pt>
                <c:pt idx="256">
                  <c:v>1.1112445627614056</c:v>
                </c:pt>
                <c:pt idx="257">
                  <c:v>1.0414401466498577</c:v>
                </c:pt>
                <c:pt idx="258">
                  <c:v>0.93482955961770842</c:v>
                </c:pt>
                <c:pt idx="259">
                  <c:v>0.83652045420487409</c:v>
                </c:pt>
                <c:pt idx="260">
                  <c:v>0.79548606470387706</c:v>
                </c:pt>
                <c:pt idx="261">
                  <c:v>0.76682265853156983</c:v>
                </c:pt>
                <c:pt idx="262">
                  <c:v>0.74084421204515949</c:v>
                </c:pt>
                <c:pt idx="263">
                  <c:v>0.70834347190973646</c:v>
                </c:pt>
                <c:pt idx="264">
                  <c:v>0.69020268663602247</c:v>
                </c:pt>
                <c:pt idx="265">
                  <c:v>0.67988671656499522</c:v>
                </c:pt>
                <c:pt idx="266">
                  <c:v>0.67156053291577256</c:v>
                </c:pt>
                <c:pt idx="267">
                  <c:v>0.66346235653127028</c:v>
                </c:pt>
                <c:pt idx="268">
                  <c:v>0.64142759501207713</c:v>
                </c:pt>
                <c:pt idx="269">
                  <c:v>0.61600492861563727</c:v>
                </c:pt>
                <c:pt idx="270">
                  <c:v>0.60328247316395589</c:v>
                </c:pt>
                <c:pt idx="271">
                  <c:v>0.56444617643043005</c:v>
                </c:pt>
                <c:pt idx="272">
                  <c:v>0.46601203215822629</c:v>
                </c:pt>
                <c:pt idx="273">
                  <c:v>0.39470862795059308</c:v>
                </c:pt>
                <c:pt idx="274">
                  <c:v>0.38654416856321705</c:v>
                </c:pt>
                <c:pt idx="275">
                  <c:v>0.38198273163239227</c:v>
                </c:pt>
                <c:pt idx="276">
                  <c:v>0.36835823202715495</c:v>
                </c:pt>
                <c:pt idx="277">
                  <c:v>0.32819001144976195</c:v>
                </c:pt>
                <c:pt idx="278">
                  <c:v>0.32819001144976195</c:v>
                </c:pt>
                <c:pt idx="279">
                  <c:v>0.32819001144976195</c:v>
                </c:pt>
                <c:pt idx="280">
                  <c:v>0.32819001144976195</c:v>
                </c:pt>
                <c:pt idx="281">
                  <c:v>0.32819001144976195</c:v>
                </c:pt>
                <c:pt idx="282">
                  <c:v>0.32819001144976195</c:v>
                </c:pt>
                <c:pt idx="283">
                  <c:v>0.32819001144976195</c:v>
                </c:pt>
                <c:pt idx="284">
                  <c:v>0.32819001144976195</c:v>
                </c:pt>
                <c:pt idx="285">
                  <c:v>0.32819001144976195</c:v>
                </c:pt>
                <c:pt idx="286">
                  <c:v>0.32819001144976195</c:v>
                </c:pt>
                <c:pt idx="287">
                  <c:v>0.32819001144976195</c:v>
                </c:pt>
                <c:pt idx="288">
                  <c:v>0.32819001144976195</c:v>
                </c:pt>
                <c:pt idx="289">
                  <c:v>0.32819001144976195</c:v>
                </c:pt>
                <c:pt idx="290">
                  <c:v>0.32819001144976195</c:v>
                </c:pt>
                <c:pt idx="291">
                  <c:v>0.32819001144976195</c:v>
                </c:pt>
                <c:pt idx="292">
                  <c:v>0.32819001144976195</c:v>
                </c:pt>
                <c:pt idx="293">
                  <c:v>0.32819001144976195</c:v>
                </c:pt>
                <c:pt idx="294">
                  <c:v>0.32819001144976195</c:v>
                </c:pt>
                <c:pt idx="295">
                  <c:v>0.32819001144976195</c:v>
                </c:pt>
                <c:pt idx="296">
                  <c:v>0.32819001144976195</c:v>
                </c:pt>
                <c:pt idx="297">
                  <c:v>0.32819001144976195</c:v>
                </c:pt>
                <c:pt idx="298">
                  <c:v>0.32819001144976195</c:v>
                </c:pt>
                <c:pt idx="299">
                  <c:v>0.32819001144976195</c:v>
                </c:pt>
                <c:pt idx="300">
                  <c:v>0.36835823202715495</c:v>
                </c:pt>
                <c:pt idx="301">
                  <c:v>0.38198273163239227</c:v>
                </c:pt>
                <c:pt idx="302">
                  <c:v>0.38654416856321705</c:v>
                </c:pt>
                <c:pt idx="303">
                  <c:v>0.43969331975382209</c:v>
                </c:pt>
                <c:pt idx="304">
                  <c:v>0.48769519052580035</c:v>
                </c:pt>
                <c:pt idx="305">
                  <c:v>0.48769519052580035</c:v>
                </c:pt>
                <c:pt idx="306">
                  <c:v>0.48769519052580035</c:v>
                </c:pt>
                <c:pt idx="307">
                  <c:v>0.48769519052580035</c:v>
                </c:pt>
                <c:pt idx="308">
                  <c:v>0.48991885287112447</c:v>
                </c:pt>
                <c:pt idx="309">
                  <c:v>0.48991885287112447</c:v>
                </c:pt>
                <c:pt idx="310">
                  <c:v>0.52725168082301044</c:v>
                </c:pt>
                <c:pt idx="311">
                  <c:v>0.56819197796090748</c:v>
                </c:pt>
                <c:pt idx="312">
                  <c:v>0.56819197796090748</c:v>
                </c:pt>
                <c:pt idx="313">
                  <c:v>0.56819197796090748</c:v>
                </c:pt>
                <c:pt idx="314">
                  <c:v>0.56819197796090748</c:v>
                </c:pt>
                <c:pt idx="315">
                  <c:v>0.56819197796090748</c:v>
                </c:pt>
                <c:pt idx="316">
                  <c:v>0.56819197796090748</c:v>
                </c:pt>
                <c:pt idx="317">
                  <c:v>0.56819197796090748</c:v>
                </c:pt>
                <c:pt idx="318">
                  <c:v>0.56819197796090748</c:v>
                </c:pt>
                <c:pt idx="319">
                  <c:v>0.56819197796090748</c:v>
                </c:pt>
                <c:pt idx="320">
                  <c:v>0.56819197796090748</c:v>
                </c:pt>
                <c:pt idx="321">
                  <c:v>0.56819197796090748</c:v>
                </c:pt>
                <c:pt idx="322">
                  <c:v>0.56819197796090748</c:v>
                </c:pt>
                <c:pt idx="323">
                  <c:v>0.56819197796090748</c:v>
                </c:pt>
                <c:pt idx="324">
                  <c:v>0.56819197796090748</c:v>
                </c:pt>
                <c:pt idx="325">
                  <c:v>0.56819197796090748</c:v>
                </c:pt>
                <c:pt idx="326">
                  <c:v>0.56819197796090748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6E-430B-A46F-3B08228680B8}"/>
            </c:ext>
          </c:extLst>
        </c:ser>
        <c:ser>
          <c:idx val="4"/>
          <c:order val="4"/>
          <c:tx>
            <c:strRef>
              <c:f>Base!$CK$6</c:f>
              <c:strCache>
                <c:ptCount val="1"/>
                <c:pt idx="0">
                  <c:v>Q25</c:v>
                </c:pt>
              </c:strCache>
            </c:strRef>
          </c:tx>
          <c:spPr>
            <a:ln w="2222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Base!$CE$59:$CE$390</c:f>
              <c:numCache>
                <c:formatCode>m/d/yyyy</c:formatCode>
                <c:ptCount val="332"/>
                <c:pt idx="0">
                  <c:v>44022</c:v>
                </c:pt>
                <c:pt idx="1">
                  <c:v>44029</c:v>
                </c:pt>
                <c:pt idx="2">
                  <c:v>44036</c:v>
                </c:pt>
                <c:pt idx="3">
                  <c:v>44043</c:v>
                </c:pt>
                <c:pt idx="4">
                  <c:v>44050</c:v>
                </c:pt>
                <c:pt idx="5">
                  <c:v>44057</c:v>
                </c:pt>
                <c:pt idx="6">
                  <c:v>44064</c:v>
                </c:pt>
                <c:pt idx="7">
                  <c:v>44071</c:v>
                </c:pt>
                <c:pt idx="8">
                  <c:v>44078</c:v>
                </c:pt>
                <c:pt idx="9">
                  <c:v>44085</c:v>
                </c:pt>
                <c:pt idx="10">
                  <c:v>44092</c:v>
                </c:pt>
                <c:pt idx="11">
                  <c:v>44099</c:v>
                </c:pt>
                <c:pt idx="12">
                  <c:v>44106</c:v>
                </c:pt>
                <c:pt idx="13">
                  <c:v>44113</c:v>
                </c:pt>
                <c:pt idx="14">
                  <c:v>44120</c:v>
                </c:pt>
                <c:pt idx="15">
                  <c:v>44127</c:v>
                </c:pt>
                <c:pt idx="16">
                  <c:v>44134</c:v>
                </c:pt>
                <c:pt idx="17">
                  <c:v>44141</c:v>
                </c:pt>
                <c:pt idx="18">
                  <c:v>44148</c:v>
                </c:pt>
                <c:pt idx="19">
                  <c:v>44155</c:v>
                </c:pt>
                <c:pt idx="20">
                  <c:v>44162</c:v>
                </c:pt>
                <c:pt idx="21">
                  <c:v>44169</c:v>
                </c:pt>
                <c:pt idx="22">
                  <c:v>44176</c:v>
                </c:pt>
                <c:pt idx="23">
                  <c:v>44183</c:v>
                </c:pt>
                <c:pt idx="24">
                  <c:v>44190</c:v>
                </c:pt>
                <c:pt idx="25">
                  <c:v>44197</c:v>
                </c:pt>
                <c:pt idx="26">
                  <c:v>44204</c:v>
                </c:pt>
                <c:pt idx="27">
                  <c:v>44211</c:v>
                </c:pt>
                <c:pt idx="28">
                  <c:v>44218</c:v>
                </c:pt>
                <c:pt idx="29">
                  <c:v>44225</c:v>
                </c:pt>
                <c:pt idx="30">
                  <c:v>44232</c:v>
                </c:pt>
                <c:pt idx="31">
                  <c:v>44239</c:v>
                </c:pt>
                <c:pt idx="32">
                  <c:v>44246</c:v>
                </c:pt>
                <c:pt idx="33">
                  <c:v>44253</c:v>
                </c:pt>
                <c:pt idx="34">
                  <c:v>44260</c:v>
                </c:pt>
                <c:pt idx="35">
                  <c:v>44267</c:v>
                </c:pt>
                <c:pt idx="36">
                  <c:v>44274</c:v>
                </c:pt>
                <c:pt idx="37">
                  <c:v>44281</c:v>
                </c:pt>
                <c:pt idx="38">
                  <c:v>44288</c:v>
                </c:pt>
                <c:pt idx="39">
                  <c:v>44295</c:v>
                </c:pt>
                <c:pt idx="40">
                  <c:v>44302</c:v>
                </c:pt>
                <c:pt idx="41">
                  <c:v>44309</c:v>
                </c:pt>
                <c:pt idx="42">
                  <c:v>44316</c:v>
                </c:pt>
                <c:pt idx="43">
                  <c:v>44323</c:v>
                </c:pt>
                <c:pt idx="44">
                  <c:v>44330</c:v>
                </c:pt>
                <c:pt idx="45">
                  <c:v>44337</c:v>
                </c:pt>
                <c:pt idx="46">
                  <c:v>44344</c:v>
                </c:pt>
                <c:pt idx="47">
                  <c:v>44351</c:v>
                </c:pt>
                <c:pt idx="48">
                  <c:v>44358</c:v>
                </c:pt>
                <c:pt idx="49">
                  <c:v>44365</c:v>
                </c:pt>
                <c:pt idx="50">
                  <c:v>44372</c:v>
                </c:pt>
                <c:pt idx="51">
                  <c:v>44379</c:v>
                </c:pt>
                <c:pt idx="52">
                  <c:v>44386</c:v>
                </c:pt>
                <c:pt idx="53">
                  <c:v>44393</c:v>
                </c:pt>
                <c:pt idx="54">
                  <c:v>44400</c:v>
                </c:pt>
                <c:pt idx="55">
                  <c:v>44407</c:v>
                </c:pt>
                <c:pt idx="56">
                  <c:v>44414</c:v>
                </c:pt>
                <c:pt idx="57">
                  <c:v>44421</c:v>
                </c:pt>
                <c:pt idx="58">
                  <c:v>44428</c:v>
                </c:pt>
                <c:pt idx="59">
                  <c:v>44435</c:v>
                </c:pt>
                <c:pt idx="60">
                  <c:v>44442</c:v>
                </c:pt>
                <c:pt idx="61">
                  <c:v>44449</c:v>
                </c:pt>
                <c:pt idx="62">
                  <c:v>44456</c:v>
                </c:pt>
                <c:pt idx="63">
                  <c:v>44463</c:v>
                </c:pt>
                <c:pt idx="64">
                  <c:v>44470</c:v>
                </c:pt>
                <c:pt idx="65">
                  <c:v>44477</c:v>
                </c:pt>
                <c:pt idx="66">
                  <c:v>44484</c:v>
                </c:pt>
                <c:pt idx="67">
                  <c:v>44491</c:v>
                </c:pt>
                <c:pt idx="68">
                  <c:v>44498</c:v>
                </c:pt>
                <c:pt idx="69">
                  <c:v>44505</c:v>
                </c:pt>
                <c:pt idx="70">
                  <c:v>44512</c:v>
                </c:pt>
                <c:pt idx="71">
                  <c:v>44519</c:v>
                </c:pt>
                <c:pt idx="72">
                  <c:v>44526</c:v>
                </c:pt>
                <c:pt idx="73">
                  <c:v>44533</c:v>
                </c:pt>
                <c:pt idx="74">
                  <c:v>44540</c:v>
                </c:pt>
                <c:pt idx="75">
                  <c:v>44547</c:v>
                </c:pt>
                <c:pt idx="76">
                  <c:v>44554</c:v>
                </c:pt>
                <c:pt idx="77">
                  <c:v>44561</c:v>
                </c:pt>
                <c:pt idx="78">
                  <c:v>44568</c:v>
                </c:pt>
                <c:pt idx="79">
                  <c:v>44575</c:v>
                </c:pt>
                <c:pt idx="80">
                  <c:v>44582</c:v>
                </c:pt>
                <c:pt idx="81">
                  <c:v>44589</c:v>
                </c:pt>
                <c:pt idx="82">
                  <c:v>44596</c:v>
                </c:pt>
                <c:pt idx="83">
                  <c:v>44603</c:v>
                </c:pt>
                <c:pt idx="84">
                  <c:v>44610</c:v>
                </c:pt>
                <c:pt idx="85">
                  <c:v>44617</c:v>
                </c:pt>
                <c:pt idx="86">
                  <c:v>44624</c:v>
                </c:pt>
                <c:pt idx="87">
                  <c:v>44631</c:v>
                </c:pt>
                <c:pt idx="88">
                  <c:v>44638</c:v>
                </c:pt>
                <c:pt idx="89">
                  <c:v>44645</c:v>
                </c:pt>
                <c:pt idx="90">
                  <c:v>44652</c:v>
                </c:pt>
                <c:pt idx="91">
                  <c:v>44659</c:v>
                </c:pt>
                <c:pt idx="92">
                  <c:v>44666</c:v>
                </c:pt>
                <c:pt idx="93">
                  <c:v>44673</c:v>
                </c:pt>
                <c:pt idx="94">
                  <c:v>44680</c:v>
                </c:pt>
                <c:pt idx="95">
                  <c:v>44687</c:v>
                </c:pt>
                <c:pt idx="96">
                  <c:v>44694</c:v>
                </c:pt>
                <c:pt idx="97">
                  <c:v>44701</c:v>
                </c:pt>
                <c:pt idx="98">
                  <c:v>44708</c:v>
                </c:pt>
                <c:pt idx="99">
                  <c:v>44715</c:v>
                </c:pt>
                <c:pt idx="100">
                  <c:v>44722</c:v>
                </c:pt>
                <c:pt idx="101">
                  <c:v>44729</c:v>
                </c:pt>
                <c:pt idx="102">
                  <c:v>44736</c:v>
                </c:pt>
                <c:pt idx="103">
                  <c:v>44743</c:v>
                </c:pt>
                <c:pt idx="104">
                  <c:v>44750</c:v>
                </c:pt>
                <c:pt idx="105">
                  <c:v>44757</c:v>
                </c:pt>
                <c:pt idx="106">
                  <c:v>44764</c:v>
                </c:pt>
                <c:pt idx="107">
                  <c:v>44771</c:v>
                </c:pt>
                <c:pt idx="108">
                  <c:v>44778</c:v>
                </c:pt>
                <c:pt idx="109">
                  <c:v>44785</c:v>
                </c:pt>
                <c:pt idx="110">
                  <c:v>44792</c:v>
                </c:pt>
                <c:pt idx="111">
                  <c:v>44799</c:v>
                </c:pt>
                <c:pt idx="112">
                  <c:v>44806</c:v>
                </c:pt>
                <c:pt idx="113">
                  <c:v>44813</c:v>
                </c:pt>
                <c:pt idx="114">
                  <c:v>44820</c:v>
                </c:pt>
                <c:pt idx="115">
                  <c:v>44827</c:v>
                </c:pt>
                <c:pt idx="116">
                  <c:v>44834</c:v>
                </c:pt>
                <c:pt idx="117">
                  <c:v>44841</c:v>
                </c:pt>
                <c:pt idx="118">
                  <c:v>44848</c:v>
                </c:pt>
                <c:pt idx="119">
                  <c:v>44855</c:v>
                </c:pt>
                <c:pt idx="120">
                  <c:v>44862</c:v>
                </c:pt>
                <c:pt idx="121">
                  <c:v>44869</c:v>
                </c:pt>
                <c:pt idx="122">
                  <c:v>44876</c:v>
                </c:pt>
                <c:pt idx="123">
                  <c:v>44883</c:v>
                </c:pt>
                <c:pt idx="124">
                  <c:v>44890</c:v>
                </c:pt>
                <c:pt idx="125">
                  <c:v>44897</c:v>
                </c:pt>
                <c:pt idx="126">
                  <c:v>44904</c:v>
                </c:pt>
                <c:pt idx="127">
                  <c:v>44911</c:v>
                </c:pt>
                <c:pt idx="128">
                  <c:v>44918</c:v>
                </c:pt>
                <c:pt idx="129">
                  <c:v>44925</c:v>
                </c:pt>
                <c:pt idx="130">
                  <c:v>44932</c:v>
                </c:pt>
                <c:pt idx="131">
                  <c:v>44939</c:v>
                </c:pt>
                <c:pt idx="132">
                  <c:v>44946</c:v>
                </c:pt>
                <c:pt idx="133">
                  <c:v>44953</c:v>
                </c:pt>
                <c:pt idx="134">
                  <c:v>44960</c:v>
                </c:pt>
                <c:pt idx="135">
                  <c:v>44967</c:v>
                </c:pt>
                <c:pt idx="136">
                  <c:v>44974</c:v>
                </c:pt>
                <c:pt idx="137">
                  <c:v>44981</c:v>
                </c:pt>
                <c:pt idx="138">
                  <c:v>44988</c:v>
                </c:pt>
                <c:pt idx="139">
                  <c:v>44995</c:v>
                </c:pt>
                <c:pt idx="140">
                  <c:v>45002</c:v>
                </c:pt>
                <c:pt idx="141">
                  <c:v>45009</c:v>
                </c:pt>
                <c:pt idx="142">
                  <c:v>45016</c:v>
                </c:pt>
                <c:pt idx="143">
                  <c:v>45023</c:v>
                </c:pt>
                <c:pt idx="144">
                  <c:v>45030</c:v>
                </c:pt>
                <c:pt idx="145">
                  <c:v>45037</c:v>
                </c:pt>
                <c:pt idx="146">
                  <c:v>45044</c:v>
                </c:pt>
                <c:pt idx="147">
                  <c:v>45051</c:v>
                </c:pt>
                <c:pt idx="148">
                  <c:v>45058</c:v>
                </c:pt>
                <c:pt idx="149">
                  <c:v>45065</c:v>
                </c:pt>
                <c:pt idx="150">
                  <c:v>45072</c:v>
                </c:pt>
                <c:pt idx="151">
                  <c:v>45079</c:v>
                </c:pt>
                <c:pt idx="152">
                  <c:v>45086</c:v>
                </c:pt>
                <c:pt idx="153">
                  <c:v>45093</c:v>
                </c:pt>
                <c:pt idx="154">
                  <c:v>45100</c:v>
                </c:pt>
                <c:pt idx="155">
                  <c:v>45107</c:v>
                </c:pt>
                <c:pt idx="156">
                  <c:v>45114</c:v>
                </c:pt>
                <c:pt idx="157">
                  <c:v>45121</c:v>
                </c:pt>
                <c:pt idx="158">
                  <c:v>45128</c:v>
                </c:pt>
                <c:pt idx="159">
                  <c:v>45135</c:v>
                </c:pt>
                <c:pt idx="160">
                  <c:v>45142</c:v>
                </c:pt>
                <c:pt idx="161">
                  <c:v>45149</c:v>
                </c:pt>
                <c:pt idx="162">
                  <c:v>45156</c:v>
                </c:pt>
                <c:pt idx="163">
                  <c:v>45163</c:v>
                </c:pt>
                <c:pt idx="164">
                  <c:v>45170</c:v>
                </c:pt>
                <c:pt idx="165">
                  <c:v>45177</c:v>
                </c:pt>
                <c:pt idx="166">
                  <c:v>45184</c:v>
                </c:pt>
                <c:pt idx="167">
                  <c:v>45191</c:v>
                </c:pt>
                <c:pt idx="168">
                  <c:v>45198</c:v>
                </c:pt>
                <c:pt idx="169">
                  <c:v>45205</c:v>
                </c:pt>
                <c:pt idx="170">
                  <c:v>45212</c:v>
                </c:pt>
                <c:pt idx="171">
                  <c:v>45219</c:v>
                </c:pt>
                <c:pt idx="172">
                  <c:v>45226</c:v>
                </c:pt>
                <c:pt idx="173">
                  <c:v>45233</c:v>
                </c:pt>
                <c:pt idx="174">
                  <c:v>45240</c:v>
                </c:pt>
                <c:pt idx="175">
                  <c:v>45247</c:v>
                </c:pt>
                <c:pt idx="176">
                  <c:v>45254</c:v>
                </c:pt>
                <c:pt idx="177">
                  <c:v>45261</c:v>
                </c:pt>
                <c:pt idx="178">
                  <c:v>45268</c:v>
                </c:pt>
                <c:pt idx="179">
                  <c:v>45275</c:v>
                </c:pt>
                <c:pt idx="180">
                  <c:v>45282</c:v>
                </c:pt>
                <c:pt idx="181">
                  <c:v>45289</c:v>
                </c:pt>
                <c:pt idx="182">
                  <c:v>45296</c:v>
                </c:pt>
                <c:pt idx="183">
                  <c:v>45303</c:v>
                </c:pt>
                <c:pt idx="184">
                  <c:v>45310</c:v>
                </c:pt>
                <c:pt idx="185">
                  <c:v>45317</c:v>
                </c:pt>
                <c:pt idx="186">
                  <c:v>45324</c:v>
                </c:pt>
                <c:pt idx="187">
                  <c:v>45331</c:v>
                </c:pt>
                <c:pt idx="188">
                  <c:v>45338</c:v>
                </c:pt>
                <c:pt idx="189">
                  <c:v>45345</c:v>
                </c:pt>
                <c:pt idx="190">
                  <c:v>45352</c:v>
                </c:pt>
                <c:pt idx="191">
                  <c:v>45359</c:v>
                </c:pt>
                <c:pt idx="192">
                  <c:v>45366</c:v>
                </c:pt>
                <c:pt idx="193">
                  <c:v>45373</c:v>
                </c:pt>
                <c:pt idx="194">
                  <c:v>45380</c:v>
                </c:pt>
                <c:pt idx="195">
                  <c:v>45387</c:v>
                </c:pt>
                <c:pt idx="196">
                  <c:v>45394</c:v>
                </c:pt>
                <c:pt idx="197">
                  <c:v>45401</c:v>
                </c:pt>
                <c:pt idx="198">
                  <c:v>45408</c:v>
                </c:pt>
                <c:pt idx="199">
                  <c:v>45415</c:v>
                </c:pt>
                <c:pt idx="200">
                  <c:v>45422</c:v>
                </c:pt>
                <c:pt idx="201">
                  <c:v>45429</c:v>
                </c:pt>
                <c:pt idx="202">
                  <c:v>45436</c:v>
                </c:pt>
                <c:pt idx="203">
                  <c:v>45443</c:v>
                </c:pt>
                <c:pt idx="204">
                  <c:v>45450</c:v>
                </c:pt>
                <c:pt idx="205">
                  <c:v>45457</c:v>
                </c:pt>
                <c:pt idx="206">
                  <c:v>45464</c:v>
                </c:pt>
                <c:pt idx="207">
                  <c:v>45471</c:v>
                </c:pt>
                <c:pt idx="208">
                  <c:v>45478</c:v>
                </c:pt>
                <c:pt idx="209">
                  <c:v>45485</c:v>
                </c:pt>
                <c:pt idx="210">
                  <c:v>45492</c:v>
                </c:pt>
                <c:pt idx="211">
                  <c:v>45499</c:v>
                </c:pt>
                <c:pt idx="212">
                  <c:v>45506</c:v>
                </c:pt>
                <c:pt idx="213">
                  <c:v>45513</c:v>
                </c:pt>
                <c:pt idx="214">
                  <c:v>45520</c:v>
                </c:pt>
                <c:pt idx="215">
                  <c:v>45527</c:v>
                </c:pt>
                <c:pt idx="216">
                  <c:v>45534</c:v>
                </c:pt>
                <c:pt idx="217">
                  <c:v>45541</c:v>
                </c:pt>
                <c:pt idx="218">
                  <c:v>45548</c:v>
                </c:pt>
                <c:pt idx="219">
                  <c:v>45555</c:v>
                </c:pt>
                <c:pt idx="220">
                  <c:v>45562</c:v>
                </c:pt>
                <c:pt idx="221">
                  <c:v>45569</c:v>
                </c:pt>
                <c:pt idx="222">
                  <c:v>45576</c:v>
                </c:pt>
                <c:pt idx="223">
                  <c:v>45583</c:v>
                </c:pt>
                <c:pt idx="224">
                  <c:v>45590</c:v>
                </c:pt>
                <c:pt idx="225">
                  <c:v>45597</c:v>
                </c:pt>
                <c:pt idx="226">
                  <c:v>45604</c:v>
                </c:pt>
                <c:pt idx="227">
                  <c:v>45611</c:v>
                </c:pt>
                <c:pt idx="228">
                  <c:v>45618</c:v>
                </c:pt>
                <c:pt idx="229">
                  <c:v>45625</c:v>
                </c:pt>
                <c:pt idx="230">
                  <c:v>45632</c:v>
                </c:pt>
                <c:pt idx="231">
                  <c:v>45639</c:v>
                </c:pt>
                <c:pt idx="232">
                  <c:v>45646</c:v>
                </c:pt>
                <c:pt idx="233">
                  <c:v>45653</c:v>
                </c:pt>
                <c:pt idx="234">
                  <c:v>45660</c:v>
                </c:pt>
                <c:pt idx="235">
                  <c:v>45667</c:v>
                </c:pt>
                <c:pt idx="236">
                  <c:v>45674</c:v>
                </c:pt>
                <c:pt idx="237">
                  <c:v>45681</c:v>
                </c:pt>
                <c:pt idx="238">
                  <c:v>45688</c:v>
                </c:pt>
                <c:pt idx="239">
                  <c:v>45695</c:v>
                </c:pt>
                <c:pt idx="240">
                  <c:v>45702</c:v>
                </c:pt>
                <c:pt idx="241">
                  <c:v>45709</c:v>
                </c:pt>
                <c:pt idx="242">
                  <c:v>45716</c:v>
                </c:pt>
                <c:pt idx="243">
                  <c:v>45723</c:v>
                </c:pt>
                <c:pt idx="244">
                  <c:v>45730</c:v>
                </c:pt>
                <c:pt idx="245">
                  <c:v>45737</c:v>
                </c:pt>
                <c:pt idx="246">
                  <c:v>45744</c:v>
                </c:pt>
                <c:pt idx="247">
                  <c:v>45751</c:v>
                </c:pt>
                <c:pt idx="248">
                  <c:v>45758</c:v>
                </c:pt>
                <c:pt idx="249">
                  <c:v>45765</c:v>
                </c:pt>
                <c:pt idx="250">
                  <c:v>45772</c:v>
                </c:pt>
                <c:pt idx="251">
                  <c:v>45779</c:v>
                </c:pt>
                <c:pt idx="252">
                  <c:v>45786</c:v>
                </c:pt>
                <c:pt idx="253">
                  <c:v>45793</c:v>
                </c:pt>
                <c:pt idx="254">
                  <c:v>45800</c:v>
                </c:pt>
                <c:pt idx="255">
                  <c:v>45807</c:v>
                </c:pt>
                <c:pt idx="256">
                  <c:v>45814</c:v>
                </c:pt>
                <c:pt idx="257">
                  <c:v>45821</c:v>
                </c:pt>
                <c:pt idx="258">
                  <c:v>45828</c:v>
                </c:pt>
                <c:pt idx="259">
                  <c:v>45835</c:v>
                </c:pt>
                <c:pt idx="260">
                  <c:v>45842</c:v>
                </c:pt>
                <c:pt idx="261">
                  <c:v>45849</c:v>
                </c:pt>
                <c:pt idx="262">
                  <c:v>45856</c:v>
                </c:pt>
                <c:pt idx="263">
                  <c:v>45863</c:v>
                </c:pt>
                <c:pt idx="264">
                  <c:v>45870</c:v>
                </c:pt>
                <c:pt idx="265">
                  <c:v>45877</c:v>
                </c:pt>
                <c:pt idx="266">
                  <c:v>45884</c:v>
                </c:pt>
                <c:pt idx="267">
                  <c:v>45891</c:v>
                </c:pt>
                <c:pt idx="268">
                  <c:v>45898</c:v>
                </c:pt>
                <c:pt idx="269">
                  <c:v>45905</c:v>
                </c:pt>
                <c:pt idx="270">
                  <c:v>45912</c:v>
                </c:pt>
                <c:pt idx="271">
                  <c:v>45919</c:v>
                </c:pt>
                <c:pt idx="272">
                  <c:v>45926</c:v>
                </c:pt>
                <c:pt idx="273">
                  <c:v>45933</c:v>
                </c:pt>
                <c:pt idx="274">
                  <c:v>45940</c:v>
                </c:pt>
                <c:pt idx="275">
                  <c:v>45947</c:v>
                </c:pt>
                <c:pt idx="276">
                  <c:v>45954</c:v>
                </c:pt>
                <c:pt idx="277">
                  <c:v>45961</c:v>
                </c:pt>
                <c:pt idx="278">
                  <c:v>45968</c:v>
                </c:pt>
                <c:pt idx="279">
                  <c:v>45975</c:v>
                </c:pt>
                <c:pt idx="280">
                  <c:v>45982</c:v>
                </c:pt>
                <c:pt idx="281">
                  <c:v>45989</c:v>
                </c:pt>
                <c:pt idx="282">
                  <c:v>45996</c:v>
                </c:pt>
                <c:pt idx="283">
                  <c:v>46003</c:v>
                </c:pt>
                <c:pt idx="284">
                  <c:v>46010</c:v>
                </c:pt>
                <c:pt idx="285">
                  <c:v>46017</c:v>
                </c:pt>
                <c:pt idx="286">
                  <c:v>46024</c:v>
                </c:pt>
                <c:pt idx="287">
                  <c:v>46031</c:v>
                </c:pt>
                <c:pt idx="288">
                  <c:v>46038</c:v>
                </c:pt>
                <c:pt idx="289">
                  <c:v>46045</c:v>
                </c:pt>
                <c:pt idx="290">
                  <c:v>46052</c:v>
                </c:pt>
                <c:pt idx="291">
                  <c:v>46059</c:v>
                </c:pt>
                <c:pt idx="292">
                  <c:v>46066</c:v>
                </c:pt>
                <c:pt idx="293">
                  <c:v>46073</c:v>
                </c:pt>
                <c:pt idx="294">
                  <c:v>46080</c:v>
                </c:pt>
                <c:pt idx="295">
                  <c:v>46087</c:v>
                </c:pt>
                <c:pt idx="296">
                  <c:v>46094</c:v>
                </c:pt>
                <c:pt idx="297">
                  <c:v>46101</c:v>
                </c:pt>
                <c:pt idx="298">
                  <c:v>46108</c:v>
                </c:pt>
                <c:pt idx="299">
                  <c:v>46115</c:v>
                </c:pt>
                <c:pt idx="300">
                  <c:v>46122</c:v>
                </c:pt>
                <c:pt idx="301">
                  <c:v>46129</c:v>
                </c:pt>
                <c:pt idx="302">
                  <c:v>46136</c:v>
                </c:pt>
                <c:pt idx="303">
                  <c:v>46143</c:v>
                </c:pt>
                <c:pt idx="304">
                  <c:v>46150</c:v>
                </c:pt>
                <c:pt idx="305">
                  <c:v>46157</c:v>
                </c:pt>
                <c:pt idx="306">
                  <c:v>46164</c:v>
                </c:pt>
                <c:pt idx="307">
                  <c:v>46171</c:v>
                </c:pt>
                <c:pt idx="308">
                  <c:v>46178</c:v>
                </c:pt>
                <c:pt idx="309">
                  <c:v>46185</c:v>
                </c:pt>
                <c:pt idx="310">
                  <c:v>46192</c:v>
                </c:pt>
                <c:pt idx="311">
                  <c:v>46199</c:v>
                </c:pt>
                <c:pt idx="312">
                  <c:v>46206</c:v>
                </c:pt>
                <c:pt idx="313">
                  <c:v>46213</c:v>
                </c:pt>
                <c:pt idx="314">
                  <c:v>46220</c:v>
                </c:pt>
                <c:pt idx="315">
                  <c:v>46227</c:v>
                </c:pt>
                <c:pt idx="316">
                  <c:v>46234</c:v>
                </c:pt>
                <c:pt idx="317">
                  <c:v>46241</c:v>
                </c:pt>
                <c:pt idx="318">
                  <c:v>46248</c:v>
                </c:pt>
                <c:pt idx="319">
                  <c:v>46255</c:v>
                </c:pt>
                <c:pt idx="320">
                  <c:v>46262</c:v>
                </c:pt>
                <c:pt idx="321">
                  <c:v>46269</c:v>
                </c:pt>
                <c:pt idx="322">
                  <c:v>46276</c:v>
                </c:pt>
                <c:pt idx="323">
                  <c:v>46283</c:v>
                </c:pt>
                <c:pt idx="324">
                  <c:v>46290</c:v>
                </c:pt>
                <c:pt idx="325">
                  <c:v>46297</c:v>
                </c:pt>
                <c:pt idx="326">
                  <c:v>46304</c:v>
                </c:pt>
              </c:numCache>
            </c:numRef>
          </c:cat>
          <c:val>
            <c:numRef>
              <c:f>Base!$CK$59:$CK$390</c:f>
              <c:numCache>
                <c:formatCode>General</c:formatCode>
                <c:ptCount val="332"/>
                <c:pt idx="0">
                  <c:v>-1.1288192205059286</c:v>
                </c:pt>
                <c:pt idx="1">
                  <c:v>-1.1288192205059286</c:v>
                </c:pt>
                <c:pt idx="2">
                  <c:v>-1.1288192205059286</c:v>
                </c:pt>
                <c:pt idx="3">
                  <c:v>-1.1288192205059286</c:v>
                </c:pt>
                <c:pt idx="4">
                  <c:v>-1.1288192205059286</c:v>
                </c:pt>
                <c:pt idx="5">
                  <c:v>-1.1288192205059286</c:v>
                </c:pt>
                <c:pt idx="6">
                  <c:v>-1.1288192205059286</c:v>
                </c:pt>
                <c:pt idx="7">
                  <c:v>-1.1288192205059286</c:v>
                </c:pt>
                <c:pt idx="8">
                  <c:v>-1.1288192205059286</c:v>
                </c:pt>
                <c:pt idx="9">
                  <c:v>-1.1288192205059286</c:v>
                </c:pt>
                <c:pt idx="10">
                  <c:v>-1.1288192205059286</c:v>
                </c:pt>
                <c:pt idx="11">
                  <c:v>-1.1322621492279676</c:v>
                </c:pt>
                <c:pt idx="12">
                  <c:v>-1.1322621492279676</c:v>
                </c:pt>
                <c:pt idx="13">
                  <c:v>-1.1368259959984415</c:v>
                </c:pt>
                <c:pt idx="14">
                  <c:v>-1.1368259959984415</c:v>
                </c:pt>
                <c:pt idx="15">
                  <c:v>-1.1368259959984415</c:v>
                </c:pt>
                <c:pt idx="16">
                  <c:v>-1.1368259959984415</c:v>
                </c:pt>
                <c:pt idx="17">
                  <c:v>-1.1368259959984415</c:v>
                </c:pt>
                <c:pt idx="18">
                  <c:v>-1.1368259959984415</c:v>
                </c:pt>
                <c:pt idx="19">
                  <c:v>-1.1368259959984415</c:v>
                </c:pt>
                <c:pt idx="20">
                  <c:v>-1.1368259959984415</c:v>
                </c:pt>
                <c:pt idx="21">
                  <c:v>-1.1231909224919554</c:v>
                </c:pt>
                <c:pt idx="22">
                  <c:v>-1.1231909224919554</c:v>
                </c:pt>
                <c:pt idx="23">
                  <c:v>-1.1231909224919554</c:v>
                </c:pt>
                <c:pt idx="24">
                  <c:v>-1.1231909224919554</c:v>
                </c:pt>
                <c:pt idx="25">
                  <c:v>-1.1231909224919554</c:v>
                </c:pt>
                <c:pt idx="26">
                  <c:v>-1.1231909224919554</c:v>
                </c:pt>
                <c:pt idx="27">
                  <c:v>-1.1231909224919554</c:v>
                </c:pt>
                <c:pt idx="28">
                  <c:v>-1.1231909224919554</c:v>
                </c:pt>
                <c:pt idx="29">
                  <c:v>-1.1231909224919554</c:v>
                </c:pt>
                <c:pt idx="30">
                  <c:v>-1.1231909224919554</c:v>
                </c:pt>
                <c:pt idx="31">
                  <c:v>-1.1231909224919554</c:v>
                </c:pt>
                <c:pt idx="32">
                  <c:v>-1.1231909224919554</c:v>
                </c:pt>
                <c:pt idx="33">
                  <c:v>-1.1231909224919554</c:v>
                </c:pt>
                <c:pt idx="34">
                  <c:v>-1.1152556020727893</c:v>
                </c:pt>
                <c:pt idx="35">
                  <c:v>-1.110263769457428</c:v>
                </c:pt>
                <c:pt idx="36">
                  <c:v>-1.1067261739428031</c:v>
                </c:pt>
                <c:pt idx="37">
                  <c:v>-1.1029937103174223</c:v>
                </c:pt>
                <c:pt idx="38">
                  <c:v>-1.1006988025631899</c:v>
                </c:pt>
                <c:pt idx="39">
                  <c:v>-1.0992218619964134</c:v>
                </c:pt>
                <c:pt idx="40">
                  <c:v>-1.0916924371113503</c:v>
                </c:pt>
                <c:pt idx="41">
                  <c:v>-1.0786389685014441</c:v>
                </c:pt>
                <c:pt idx="42">
                  <c:v>-1.0473343454181783</c:v>
                </c:pt>
                <c:pt idx="43">
                  <c:v>-1.0350924080009045</c:v>
                </c:pt>
                <c:pt idx="44">
                  <c:v>-1.0300066046924665</c:v>
                </c:pt>
                <c:pt idx="45">
                  <c:v>-1.0258563695876144</c:v>
                </c:pt>
                <c:pt idx="46">
                  <c:v>-1.0258563695876144</c:v>
                </c:pt>
                <c:pt idx="47">
                  <c:v>-1.0228799697037301</c:v>
                </c:pt>
                <c:pt idx="48">
                  <c:v>-1.0228799697037301</c:v>
                </c:pt>
                <c:pt idx="49">
                  <c:v>-1.004726692366291</c:v>
                </c:pt>
                <c:pt idx="50">
                  <c:v>-0.98928953719049473</c:v>
                </c:pt>
                <c:pt idx="51">
                  <c:v>-0.98168423850864994</c:v>
                </c:pt>
                <c:pt idx="52">
                  <c:v>-0.97938470667562361</c:v>
                </c:pt>
                <c:pt idx="53">
                  <c:v>-0.9775820181029321</c:v>
                </c:pt>
                <c:pt idx="54">
                  <c:v>-0.95595618749110089</c:v>
                </c:pt>
                <c:pt idx="55">
                  <c:v>-0.95595618749110089</c:v>
                </c:pt>
                <c:pt idx="56">
                  <c:v>-0.95595618749110089</c:v>
                </c:pt>
                <c:pt idx="57">
                  <c:v>-0.95595618749110089</c:v>
                </c:pt>
                <c:pt idx="58">
                  <c:v>-0.94867551135294903</c:v>
                </c:pt>
                <c:pt idx="59">
                  <c:v>-0.94772541236111296</c:v>
                </c:pt>
                <c:pt idx="60">
                  <c:v>-0.94693059094369147</c:v>
                </c:pt>
                <c:pt idx="61">
                  <c:v>-0.94589679371464519</c:v>
                </c:pt>
                <c:pt idx="62">
                  <c:v>-0.94378777772551437</c:v>
                </c:pt>
                <c:pt idx="63">
                  <c:v>-0.94047871838383479</c:v>
                </c:pt>
                <c:pt idx="64">
                  <c:v>-0.93745584895078038</c:v>
                </c:pt>
                <c:pt idx="65">
                  <c:v>-0.9273814794827786</c:v>
                </c:pt>
                <c:pt idx="66">
                  <c:v>-0.92162127978512398</c:v>
                </c:pt>
                <c:pt idx="67">
                  <c:v>-0.91112668148439169</c:v>
                </c:pt>
                <c:pt idx="68">
                  <c:v>-0.91112668148439169</c:v>
                </c:pt>
                <c:pt idx="69">
                  <c:v>-0.90206069992924776</c:v>
                </c:pt>
                <c:pt idx="70">
                  <c:v>-0.89573722908074793</c:v>
                </c:pt>
                <c:pt idx="71">
                  <c:v>-0.88296729467211132</c:v>
                </c:pt>
                <c:pt idx="72">
                  <c:v>-0.87684490618180644</c:v>
                </c:pt>
                <c:pt idx="73">
                  <c:v>-0.79880190890269054</c:v>
                </c:pt>
                <c:pt idx="74">
                  <c:v>-0.7573522562392544</c:v>
                </c:pt>
                <c:pt idx="75">
                  <c:v>-0.73799843290102463</c:v>
                </c:pt>
                <c:pt idx="76">
                  <c:v>-0.72986538448018545</c:v>
                </c:pt>
                <c:pt idx="77">
                  <c:v>-0.71524240193228827</c:v>
                </c:pt>
                <c:pt idx="78">
                  <c:v>-0.71524240193228827</c:v>
                </c:pt>
                <c:pt idx="79">
                  <c:v>-0.71524240193228827</c:v>
                </c:pt>
                <c:pt idx="80">
                  <c:v>-0.71524240193228827</c:v>
                </c:pt>
                <c:pt idx="81">
                  <c:v>-0.71524240193228827</c:v>
                </c:pt>
                <c:pt idx="82">
                  <c:v>-0.71524240193228827</c:v>
                </c:pt>
                <c:pt idx="83">
                  <c:v>-0.71524240193228827</c:v>
                </c:pt>
                <c:pt idx="84">
                  <c:v>-0.71524240193228827</c:v>
                </c:pt>
                <c:pt idx="85">
                  <c:v>-0.71524240193228827</c:v>
                </c:pt>
                <c:pt idx="86">
                  <c:v>-0.71524240193228827</c:v>
                </c:pt>
                <c:pt idx="87">
                  <c:v>-0.71524240193228827</c:v>
                </c:pt>
                <c:pt idx="88">
                  <c:v>-0.71524240193228827</c:v>
                </c:pt>
                <c:pt idx="89">
                  <c:v>-0.71524240193228827</c:v>
                </c:pt>
                <c:pt idx="90">
                  <c:v>-8.5946821727410971E-2</c:v>
                </c:pt>
                <c:pt idx="91">
                  <c:v>-8.5946821727410971E-2</c:v>
                </c:pt>
                <c:pt idx="92">
                  <c:v>-8.5946821727410971E-2</c:v>
                </c:pt>
                <c:pt idx="93">
                  <c:v>-8.5946821727410971E-2</c:v>
                </c:pt>
                <c:pt idx="94">
                  <c:v>-8.5946821727410971E-2</c:v>
                </c:pt>
                <c:pt idx="95">
                  <c:v>-8.5946821727410971E-2</c:v>
                </c:pt>
                <c:pt idx="96">
                  <c:v>-8.5946821727410971E-2</c:v>
                </c:pt>
                <c:pt idx="97">
                  <c:v>-8.5946821727410971E-2</c:v>
                </c:pt>
                <c:pt idx="98">
                  <c:v>-8.5946821727410971E-2</c:v>
                </c:pt>
                <c:pt idx="99">
                  <c:v>-8.5946821727410971E-2</c:v>
                </c:pt>
                <c:pt idx="100">
                  <c:v>-8.5946821727410971E-2</c:v>
                </c:pt>
                <c:pt idx="101">
                  <c:v>-9.6289657208133428E-2</c:v>
                </c:pt>
                <c:pt idx="102">
                  <c:v>-0.10152184847159207</c:v>
                </c:pt>
                <c:pt idx="103">
                  <c:v>-0.11458959790901713</c:v>
                </c:pt>
                <c:pt idx="104">
                  <c:v>-0.82915950666813987</c:v>
                </c:pt>
                <c:pt idx="105">
                  <c:v>-0.84088770490114495</c:v>
                </c:pt>
                <c:pt idx="106">
                  <c:v>-0.84300284534291503</c:v>
                </c:pt>
                <c:pt idx="107">
                  <c:v>-0.84819650472653563</c:v>
                </c:pt>
                <c:pt idx="108">
                  <c:v>-0.85583727048297253</c:v>
                </c:pt>
                <c:pt idx="109">
                  <c:v>-0.87772716985947563</c:v>
                </c:pt>
                <c:pt idx="110">
                  <c:v>-0.89032958381517724</c:v>
                </c:pt>
                <c:pt idx="111">
                  <c:v>-0.89032958381517724</c:v>
                </c:pt>
                <c:pt idx="112">
                  <c:v>-0.89032958381517724</c:v>
                </c:pt>
                <c:pt idx="113">
                  <c:v>-0.89032958381517724</c:v>
                </c:pt>
                <c:pt idx="114">
                  <c:v>-0.89032958381517724</c:v>
                </c:pt>
                <c:pt idx="115">
                  <c:v>-0.89032958381517724</c:v>
                </c:pt>
                <c:pt idx="116">
                  <c:v>-0.89032958381517724</c:v>
                </c:pt>
                <c:pt idx="117">
                  <c:v>-0.90019186551748076</c:v>
                </c:pt>
                <c:pt idx="118">
                  <c:v>-0.90019186551748076</c:v>
                </c:pt>
                <c:pt idx="119">
                  <c:v>-0.9194143748999819</c:v>
                </c:pt>
                <c:pt idx="120">
                  <c:v>-0.9194143748999819</c:v>
                </c:pt>
                <c:pt idx="121">
                  <c:v>-0.9194143748999819</c:v>
                </c:pt>
                <c:pt idx="122">
                  <c:v>-0.9194143748999819</c:v>
                </c:pt>
                <c:pt idx="123">
                  <c:v>-0.9194143748999819</c:v>
                </c:pt>
                <c:pt idx="124">
                  <c:v>-0.9194143748999819</c:v>
                </c:pt>
                <c:pt idx="125">
                  <c:v>-0.9194143748999819</c:v>
                </c:pt>
                <c:pt idx="126">
                  <c:v>-0.9194143748999819</c:v>
                </c:pt>
                <c:pt idx="127">
                  <c:v>-0.9194143748999819</c:v>
                </c:pt>
                <c:pt idx="128">
                  <c:v>-0.9194143748999819</c:v>
                </c:pt>
                <c:pt idx="129">
                  <c:v>-0.9194143748999819</c:v>
                </c:pt>
                <c:pt idx="130">
                  <c:v>-0.9194143748999819</c:v>
                </c:pt>
                <c:pt idx="131">
                  <c:v>-0.9194143748999819</c:v>
                </c:pt>
                <c:pt idx="132">
                  <c:v>-0.9194143748999819</c:v>
                </c:pt>
                <c:pt idx="133">
                  <c:v>-0.9194143748999819</c:v>
                </c:pt>
                <c:pt idx="134">
                  <c:v>-0.9194143748999819</c:v>
                </c:pt>
                <c:pt idx="135">
                  <c:v>-0.9194143748999819</c:v>
                </c:pt>
                <c:pt idx="136">
                  <c:v>-0.9194143748999819</c:v>
                </c:pt>
                <c:pt idx="137">
                  <c:v>-0.9194143748999819</c:v>
                </c:pt>
                <c:pt idx="138">
                  <c:v>-0.9194143748999819</c:v>
                </c:pt>
                <c:pt idx="139">
                  <c:v>-0.9194143748999819</c:v>
                </c:pt>
                <c:pt idx="140">
                  <c:v>-0.9194143748999819</c:v>
                </c:pt>
                <c:pt idx="141">
                  <c:v>-0.9194143748999819</c:v>
                </c:pt>
                <c:pt idx="142">
                  <c:v>-0.9194143748999819</c:v>
                </c:pt>
                <c:pt idx="143">
                  <c:v>-0.92458331607761957</c:v>
                </c:pt>
                <c:pt idx="144">
                  <c:v>-0.9267907007058056</c:v>
                </c:pt>
                <c:pt idx="145">
                  <c:v>-0.93368710974845781</c:v>
                </c:pt>
                <c:pt idx="146">
                  <c:v>-0.93368710974845781</c:v>
                </c:pt>
                <c:pt idx="147">
                  <c:v>-0.93368710974845781</c:v>
                </c:pt>
                <c:pt idx="148">
                  <c:v>-0.9267907007058056</c:v>
                </c:pt>
                <c:pt idx="149">
                  <c:v>-0.92679003235224433</c:v>
                </c:pt>
                <c:pt idx="150">
                  <c:v>-0.92150955823024761</c:v>
                </c:pt>
                <c:pt idx="151">
                  <c:v>-0.92150955823024761</c:v>
                </c:pt>
                <c:pt idx="152">
                  <c:v>-0.92150955823024761</c:v>
                </c:pt>
                <c:pt idx="153">
                  <c:v>-0.92150955823024761</c:v>
                </c:pt>
                <c:pt idx="154">
                  <c:v>-0.89744625563354874</c:v>
                </c:pt>
                <c:pt idx="155">
                  <c:v>-0.88942679782374201</c:v>
                </c:pt>
                <c:pt idx="156">
                  <c:v>-0.86661645284839595</c:v>
                </c:pt>
                <c:pt idx="157">
                  <c:v>-0.85970941487797381</c:v>
                </c:pt>
                <c:pt idx="158">
                  <c:v>-0.85970941487797381</c:v>
                </c:pt>
                <c:pt idx="159">
                  <c:v>-0.85573127888606959</c:v>
                </c:pt>
                <c:pt idx="160">
                  <c:v>-0.85573127888606959</c:v>
                </c:pt>
                <c:pt idx="161">
                  <c:v>-0.85573127888606959</c:v>
                </c:pt>
                <c:pt idx="162">
                  <c:v>-0.85373443532376958</c:v>
                </c:pt>
                <c:pt idx="163">
                  <c:v>-0.83982126747562258</c:v>
                </c:pt>
                <c:pt idx="164">
                  <c:v>-0.83982126747562258</c:v>
                </c:pt>
                <c:pt idx="165">
                  <c:v>-0.82525590692775397</c:v>
                </c:pt>
                <c:pt idx="166">
                  <c:v>-0.82525590692775397</c:v>
                </c:pt>
                <c:pt idx="167">
                  <c:v>-0.82525590692775397</c:v>
                </c:pt>
                <c:pt idx="168">
                  <c:v>-0.82525590692775397</c:v>
                </c:pt>
                <c:pt idx="169">
                  <c:v>-0.82525590692775397</c:v>
                </c:pt>
                <c:pt idx="170">
                  <c:v>-0.81458659179959525</c:v>
                </c:pt>
                <c:pt idx="171">
                  <c:v>-0.80636593142645607</c:v>
                </c:pt>
                <c:pt idx="172">
                  <c:v>-0.7963071364804013</c:v>
                </c:pt>
                <c:pt idx="173">
                  <c:v>-0.79190144907364546</c:v>
                </c:pt>
                <c:pt idx="174">
                  <c:v>-0.79190144907364546</c:v>
                </c:pt>
                <c:pt idx="175">
                  <c:v>-0.77485923637998178</c:v>
                </c:pt>
                <c:pt idx="176">
                  <c:v>-0.77485923637998178</c:v>
                </c:pt>
                <c:pt idx="177">
                  <c:v>-0.77485923637998178</c:v>
                </c:pt>
                <c:pt idx="178">
                  <c:v>-0.77485923637998178</c:v>
                </c:pt>
                <c:pt idx="179">
                  <c:v>-0.77485923637998178</c:v>
                </c:pt>
                <c:pt idx="180">
                  <c:v>-0.77485923637998178</c:v>
                </c:pt>
                <c:pt idx="181">
                  <c:v>-0.77485923637998178</c:v>
                </c:pt>
                <c:pt idx="182">
                  <c:v>-0.77485923637998178</c:v>
                </c:pt>
                <c:pt idx="183">
                  <c:v>-0.77485923637998178</c:v>
                </c:pt>
                <c:pt idx="184">
                  <c:v>-0.77485923637998178</c:v>
                </c:pt>
                <c:pt idx="185">
                  <c:v>-0.77485923637998178</c:v>
                </c:pt>
                <c:pt idx="186">
                  <c:v>-0.77485923637998178</c:v>
                </c:pt>
                <c:pt idx="187">
                  <c:v>-0.77485923637998178</c:v>
                </c:pt>
                <c:pt idx="188">
                  <c:v>-0.77485923637998178</c:v>
                </c:pt>
                <c:pt idx="189">
                  <c:v>-0.77485923637998178</c:v>
                </c:pt>
                <c:pt idx="190">
                  <c:v>-0.77485923637998178</c:v>
                </c:pt>
                <c:pt idx="191">
                  <c:v>-0.77485923637998178</c:v>
                </c:pt>
                <c:pt idx="192">
                  <c:v>-0.77485923637998178</c:v>
                </c:pt>
                <c:pt idx="193">
                  <c:v>-0.77485923637998178</c:v>
                </c:pt>
                <c:pt idx="194">
                  <c:v>-0.77485923637998178</c:v>
                </c:pt>
                <c:pt idx="195">
                  <c:v>-0.76837278014404131</c:v>
                </c:pt>
                <c:pt idx="196">
                  <c:v>-0.75425846798651985</c:v>
                </c:pt>
                <c:pt idx="197">
                  <c:v>-0.72809983374566523</c:v>
                </c:pt>
                <c:pt idx="198">
                  <c:v>-0.71917274561960065</c:v>
                </c:pt>
                <c:pt idx="199">
                  <c:v>-0.68218820413197556</c:v>
                </c:pt>
                <c:pt idx="200">
                  <c:v>-0.6684857649173277</c:v>
                </c:pt>
                <c:pt idx="201">
                  <c:v>-0.6684857649173277</c:v>
                </c:pt>
                <c:pt idx="202">
                  <c:v>-0.6684857649173277</c:v>
                </c:pt>
                <c:pt idx="203">
                  <c:v>-0.6684857649173277</c:v>
                </c:pt>
                <c:pt idx="204">
                  <c:v>-0.6684857649173277</c:v>
                </c:pt>
                <c:pt idx="205">
                  <c:v>-0.6684857649173277</c:v>
                </c:pt>
                <c:pt idx="206">
                  <c:v>-0.6684857649173277</c:v>
                </c:pt>
                <c:pt idx="207">
                  <c:v>-0.6684857649173277</c:v>
                </c:pt>
                <c:pt idx="208">
                  <c:v>-0.66488456042494004</c:v>
                </c:pt>
                <c:pt idx="209">
                  <c:v>-0.62512082086214915</c:v>
                </c:pt>
                <c:pt idx="210">
                  <c:v>-0.49062901789607716</c:v>
                </c:pt>
                <c:pt idx="211">
                  <c:v>-0.42967569775930009</c:v>
                </c:pt>
                <c:pt idx="212">
                  <c:v>-0.40034185241283887</c:v>
                </c:pt>
                <c:pt idx="213">
                  <c:v>-0.37745698375833259</c:v>
                </c:pt>
                <c:pt idx="214">
                  <c:v>-0.2907533731236529</c:v>
                </c:pt>
                <c:pt idx="215">
                  <c:v>-0.19391518394596924</c:v>
                </c:pt>
                <c:pt idx="216">
                  <c:v>5.6306614194644528E-2</c:v>
                </c:pt>
                <c:pt idx="217">
                  <c:v>0.16391089095146161</c:v>
                </c:pt>
                <c:pt idx="218">
                  <c:v>0.24922044985107011</c:v>
                </c:pt>
                <c:pt idx="219">
                  <c:v>0.28410823027562937</c:v>
                </c:pt>
                <c:pt idx="220">
                  <c:v>0.30209710248468252</c:v>
                </c:pt>
                <c:pt idx="221">
                  <c:v>0.47102664497033037</c:v>
                </c:pt>
                <c:pt idx="222">
                  <c:v>0.55541598607424558</c:v>
                </c:pt>
                <c:pt idx="223">
                  <c:v>0.61804156522723042</c:v>
                </c:pt>
                <c:pt idx="224">
                  <c:v>0.6578009983992843</c:v>
                </c:pt>
                <c:pt idx="225">
                  <c:v>0.67474278052036052</c:v>
                </c:pt>
                <c:pt idx="226">
                  <c:v>0.68086756078501853</c:v>
                </c:pt>
                <c:pt idx="227">
                  <c:v>0.74263706742194879</c:v>
                </c:pt>
                <c:pt idx="228">
                  <c:v>0.77949977695740702</c:v>
                </c:pt>
                <c:pt idx="229">
                  <c:v>0.81192220840646245</c:v>
                </c:pt>
                <c:pt idx="230">
                  <c:v>0.82504182770651791</c:v>
                </c:pt>
                <c:pt idx="231">
                  <c:v>0.85803337991963224</c:v>
                </c:pt>
                <c:pt idx="232">
                  <c:v>0.87077293230534014</c:v>
                </c:pt>
                <c:pt idx="233">
                  <c:v>0.98100452094684254</c:v>
                </c:pt>
                <c:pt idx="234">
                  <c:v>1.1222100958754544</c:v>
                </c:pt>
                <c:pt idx="235">
                  <c:v>1.171843717453946</c:v>
                </c:pt>
                <c:pt idx="236">
                  <c:v>1.134178433346317</c:v>
                </c:pt>
                <c:pt idx="237">
                  <c:v>1.0534084841207203</c:v>
                </c:pt>
                <c:pt idx="238">
                  <c:v>0.98100452094684254</c:v>
                </c:pt>
                <c:pt idx="239">
                  <c:v>0.87077293230534014</c:v>
                </c:pt>
                <c:pt idx="240">
                  <c:v>0.86446545430615274</c:v>
                </c:pt>
                <c:pt idx="241">
                  <c:v>0.86446545430615274</c:v>
                </c:pt>
                <c:pt idx="242">
                  <c:v>0.86446545430615274</c:v>
                </c:pt>
                <c:pt idx="243">
                  <c:v>0.86446545430615274</c:v>
                </c:pt>
                <c:pt idx="244">
                  <c:v>0.86446545430615274</c:v>
                </c:pt>
                <c:pt idx="245">
                  <c:v>0.86446545430615274</c:v>
                </c:pt>
                <c:pt idx="246">
                  <c:v>0.84433805086607927</c:v>
                </c:pt>
                <c:pt idx="247">
                  <c:v>0.80818566279317039</c:v>
                </c:pt>
                <c:pt idx="248">
                  <c:v>0.76845476352843023</c:v>
                </c:pt>
                <c:pt idx="249">
                  <c:v>0.75220133029150427</c:v>
                </c:pt>
                <c:pt idx="250">
                  <c:v>0.71323672373110314</c:v>
                </c:pt>
                <c:pt idx="251">
                  <c:v>0.69437982745151272</c:v>
                </c:pt>
                <c:pt idx="252">
                  <c:v>0.68086756078501853</c:v>
                </c:pt>
                <c:pt idx="253">
                  <c:v>0.67474278052036052</c:v>
                </c:pt>
                <c:pt idx="254">
                  <c:v>0.66432919711893335</c:v>
                </c:pt>
                <c:pt idx="255">
                  <c:v>0.65157813518401053</c:v>
                </c:pt>
                <c:pt idx="256">
                  <c:v>0.61856572164192369</c:v>
                </c:pt>
                <c:pt idx="257">
                  <c:v>0.60708290786351016</c:v>
                </c:pt>
                <c:pt idx="258">
                  <c:v>0.5800638900976387</c:v>
                </c:pt>
                <c:pt idx="259">
                  <c:v>0.49961139062711946</c:v>
                </c:pt>
                <c:pt idx="260">
                  <c:v>0.39473108552675185</c:v>
                </c:pt>
                <c:pt idx="261">
                  <c:v>0.37567214664306914</c:v>
                </c:pt>
                <c:pt idx="262">
                  <c:v>0.34171270434248757</c:v>
                </c:pt>
                <c:pt idx="263">
                  <c:v>0.26451874958292876</c:v>
                </c:pt>
                <c:pt idx="264">
                  <c:v>0.20631001863706933</c:v>
                </c:pt>
                <c:pt idx="265">
                  <c:v>0.20631001863706933</c:v>
                </c:pt>
                <c:pt idx="266">
                  <c:v>0.20631001863706933</c:v>
                </c:pt>
                <c:pt idx="267">
                  <c:v>0.20631001863706933</c:v>
                </c:pt>
                <c:pt idx="268">
                  <c:v>0.18286228734034413</c:v>
                </c:pt>
                <c:pt idx="269">
                  <c:v>0.15210819364831218</c:v>
                </c:pt>
                <c:pt idx="270">
                  <c:v>0.13958749132061934</c:v>
                </c:pt>
                <c:pt idx="271">
                  <c:v>0.12437928521091589</c:v>
                </c:pt>
                <c:pt idx="272">
                  <c:v>0.12156190920341142</c:v>
                </c:pt>
                <c:pt idx="273">
                  <c:v>0.11046580314269752</c:v>
                </c:pt>
                <c:pt idx="274">
                  <c:v>8.8006399188878121E-2</c:v>
                </c:pt>
                <c:pt idx="275">
                  <c:v>7.5508924242481026E-2</c:v>
                </c:pt>
                <c:pt idx="276">
                  <c:v>5.8597976790881495E-2</c:v>
                </c:pt>
                <c:pt idx="277">
                  <c:v>4.7199935542607638E-2</c:v>
                </c:pt>
                <c:pt idx="278">
                  <c:v>4.7199935542607638E-2</c:v>
                </c:pt>
                <c:pt idx="279">
                  <c:v>4.7199935542607638E-2</c:v>
                </c:pt>
                <c:pt idx="280">
                  <c:v>4.7199935542607638E-2</c:v>
                </c:pt>
                <c:pt idx="281">
                  <c:v>4.7199935542607638E-2</c:v>
                </c:pt>
                <c:pt idx="282">
                  <c:v>4.7199935542607638E-2</c:v>
                </c:pt>
                <c:pt idx="283">
                  <c:v>4.7199935542607638E-2</c:v>
                </c:pt>
                <c:pt idx="284">
                  <c:v>4.7199935542607638E-2</c:v>
                </c:pt>
                <c:pt idx="285">
                  <c:v>4.7199935542607638E-2</c:v>
                </c:pt>
                <c:pt idx="286">
                  <c:v>4.7199935542607638E-2</c:v>
                </c:pt>
                <c:pt idx="287">
                  <c:v>4.7199935542607638E-2</c:v>
                </c:pt>
                <c:pt idx="288">
                  <c:v>4.7199935542607638E-2</c:v>
                </c:pt>
                <c:pt idx="289">
                  <c:v>4.7199935542607638E-2</c:v>
                </c:pt>
                <c:pt idx="290">
                  <c:v>4.7199935542607638E-2</c:v>
                </c:pt>
                <c:pt idx="291">
                  <c:v>4.7199935542607638E-2</c:v>
                </c:pt>
                <c:pt idx="292">
                  <c:v>4.7199935542607638E-2</c:v>
                </c:pt>
                <c:pt idx="293">
                  <c:v>4.7199935542607638E-2</c:v>
                </c:pt>
                <c:pt idx="294">
                  <c:v>4.7199935542607638E-2</c:v>
                </c:pt>
                <c:pt idx="295">
                  <c:v>4.7199935542607638E-2</c:v>
                </c:pt>
                <c:pt idx="296">
                  <c:v>4.7199935542607638E-2</c:v>
                </c:pt>
                <c:pt idx="297">
                  <c:v>4.7199935542607638E-2</c:v>
                </c:pt>
                <c:pt idx="298">
                  <c:v>4.7199935542607638E-2</c:v>
                </c:pt>
                <c:pt idx="299">
                  <c:v>4.7199935542607638E-2</c:v>
                </c:pt>
                <c:pt idx="300">
                  <c:v>5.8597976790881495E-2</c:v>
                </c:pt>
                <c:pt idx="301">
                  <c:v>5.8597976790881495E-2</c:v>
                </c:pt>
                <c:pt idx="302">
                  <c:v>7.5508924242481026E-2</c:v>
                </c:pt>
                <c:pt idx="303">
                  <c:v>8.8006399188878121E-2</c:v>
                </c:pt>
                <c:pt idx="304">
                  <c:v>0.11046580314269752</c:v>
                </c:pt>
                <c:pt idx="305">
                  <c:v>0.12288925422599031</c:v>
                </c:pt>
                <c:pt idx="306">
                  <c:v>0.12288925422599031</c:v>
                </c:pt>
                <c:pt idx="307">
                  <c:v>0.12288925422599031</c:v>
                </c:pt>
                <c:pt idx="308">
                  <c:v>0.12288925422599031</c:v>
                </c:pt>
                <c:pt idx="309">
                  <c:v>0.12288925422599031</c:v>
                </c:pt>
                <c:pt idx="310">
                  <c:v>0.13765501199483413</c:v>
                </c:pt>
                <c:pt idx="311">
                  <c:v>0.18032935964987359</c:v>
                </c:pt>
                <c:pt idx="312">
                  <c:v>0.21571707397092313</c:v>
                </c:pt>
                <c:pt idx="313">
                  <c:v>0.22264596028035943</c:v>
                </c:pt>
                <c:pt idx="314">
                  <c:v>0.24976823159822997</c:v>
                </c:pt>
                <c:pt idx="315">
                  <c:v>0.25111743756384852</c:v>
                </c:pt>
                <c:pt idx="316">
                  <c:v>0.29658689660819226</c:v>
                </c:pt>
                <c:pt idx="317">
                  <c:v>0.29658689660819226</c:v>
                </c:pt>
                <c:pt idx="318">
                  <c:v>0.25111743756384852</c:v>
                </c:pt>
                <c:pt idx="319">
                  <c:v>0.22669357817721519</c:v>
                </c:pt>
                <c:pt idx="320">
                  <c:v>0.22669357817721519</c:v>
                </c:pt>
                <c:pt idx="321">
                  <c:v>0.22669357817721519</c:v>
                </c:pt>
                <c:pt idx="322">
                  <c:v>0.22669357817721519</c:v>
                </c:pt>
                <c:pt idx="323">
                  <c:v>0.24084363337298498</c:v>
                </c:pt>
                <c:pt idx="324">
                  <c:v>0.24084363337298498</c:v>
                </c:pt>
                <c:pt idx="325">
                  <c:v>0.24084363337298498</c:v>
                </c:pt>
                <c:pt idx="326">
                  <c:v>0.24084363337298498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6E-430B-A46F-3B08228680B8}"/>
            </c:ext>
          </c:extLst>
        </c:ser>
        <c:ser>
          <c:idx val="5"/>
          <c:order val="5"/>
          <c:tx>
            <c:strRef>
              <c:f>Base!$CL$6</c:f>
              <c:strCache>
                <c:ptCount val="1"/>
                <c:pt idx="0">
                  <c:v>Q10</c:v>
                </c:pt>
              </c:strCache>
            </c:strRef>
          </c:tx>
          <c:spPr>
            <a:ln w="2222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Base!$CE$59:$CE$390</c:f>
              <c:numCache>
                <c:formatCode>m/d/yyyy</c:formatCode>
                <c:ptCount val="332"/>
                <c:pt idx="0">
                  <c:v>44022</c:v>
                </c:pt>
                <c:pt idx="1">
                  <c:v>44029</c:v>
                </c:pt>
                <c:pt idx="2">
                  <c:v>44036</c:v>
                </c:pt>
                <c:pt idx="3">
                  <c:v>44043</c:v>
                </c:pt>
                <c:pt idx="4">
                  <c:v>44050</c:v>
                </c:pt>
                <c:pt idx="5">
                  <c:v>44057</c:v>
                </c:pt>
                <c:pt idx="6">
                  <c:v>44064</c:v>
                </c:pt>
                <c:pt idx="7">
                  <c:v>44071</c:v>
                </c:pt>
                <c:pt idx="8">
                  <c:v>44078</c:v>
                </c:pt>
                <c:pt idx="9">
                  <c:v>44085</c:v>
                </c:pt>
                <c:pt idx="10">
                  <c:v>44092</c:v>
                </c:pt>
                <c:pt idx="11">
                  <c:v>44099</c:v>
                </c:pt>
                <c:pt idx="12">
                  <c:v>44106</c:v>
                </c:pt>
                <c:pt idx="13">
                  <c:v>44113</c:v>
                </c:pt>
                <c:pt idx="14">
                  <c:v>44120</c:v>
                </c:pt>
                <c:pt idx="15">
                  <c:v>44127</c:v>
                </c:pt>
                <c:pt idx="16">
                  <c:v>44134</c:v>
                </c:pt>
                <c:pt idx="17">
                  <c:v>44141</c:v>
                </c:pt>
                <c:pt idx="18">
                  <c:v>44148</c:v>
                </c:pt>
                <c:pt idx="19">
                  <c:v>44155</c:v>
                </c:pt>
                <c:pt idx="20">
                  <c:v>44162</c:v>
                </c:pt>
                <c:pt idx="21">
                  <c:v>44169</c:v>
                </c:pt>
                <c:pt idx="22">
                  <c:v>44176</c:v>
                </c:pt>
                <c:pt idx="23">
                  <c:v>44183</c:v>
                </c:pt>
                <c:pt idx="24">
                  <c:v>44190</c:v>
                </c:pt>
                <c:pt idx="25">
                  <c:v>44197</c:v>
                </c:pt>
                <c:pt idx="26">
                  <c:v>44204</c:v>
                </c:pt>
                <c:pt idx="27">
                  <c:v>44211</c:v>
                </c:pt>
                <c:pt idx="28">
                  <c:v>44218</c:v>
                </c:pt>
                <c:pt idx="29">
                  <c:v>44225</c:v>
                </c:pt>
                <c:pt idx="30">
                  <c:v>44232</c:v>
                </c:pt>
                <c:pt idx="31">
                  <c:v>44239</c:v>
                </c:pt>
                <c:pt idx="32">
                  <c:v>44246</c:v>
                </c:pt>
                <c:pt idx="33">
                  <c:v>44253</c:v>
                </c:pt>
                <c:pt idx="34">
                  <c:v>44260</c:v>
                </c:pt>
                <c:pt idx="35">
                  <c:v>44267</c:v>
                </c:pt>
                <c:pt idx="36">
                  <c:v>44274</c:v>
                </c:pt>
                <c:pt idx="37">
                  <c:v>44281</c:v>
                </c:pt>
                <c:pt idx="38">
                  <c:v>44288</c:v>
                </c:pt>
                <c:pt idx="39">
                  <c:v>44295</c:v>
                </c:pt>
                <c:pt idx="40">
                  <c:v>44302</c:v>
                </c:pt>
                <c:pt idx="41">
                  <c:v>44309</c:v>
                </c:pt>
                <c:pt idx="42">
                  <c:v>44316</c:v>
                </c:pt>
                <c:pt idx="43">
                  <c:v>44323</c:v>
                </c:pt>
                <c:pt idx="44">
                  <c:v>44330</c:v>
                </c:pt>
                <c:pt idx="45">
                  <c:v>44337</c:v>
                </c:pt>
                <c:pt idx="46">
                  <c:v>44344</c:v>
                </c:pt>
                <c:pt idx="47">
                  <c:v>44351</c:v>
                </c:pt>
                <c:pt idx="48">
                  <c:v>44358</c:v>
                </c:pt>
                <c:pt idx="49">
                  <c:v>44365</c:v>
                </c:pt>
                <c:pt idx="50">
                  <c:v>44372</c:v>
                </c:pt>
                <c:pt idx="51">
                  <c:v>44379</c:v>
                </c:pt>
                <c:pt idx="52">
                  <c:v>44386</c:v>
                </c:pt>
                <c:pt idx="53">
                  <c:v>44393</c:v>
                </c:pt>
                <c:pt idx="54">
                  <c:v>44400</c:v>
                </c:pt>
                <c:pt idx="55">
                  <c:v>44407</c:v>
                </c:pt>
                <c:pt idx="56">
                  <c:v>44414</c:v>
                </c:pt>
                <c:pt idx="57">
                  <c:v>44421</c:v>
                </c:pt>
                <c:pt idx="58">
                  <c:v>44428</c:v>
                </c:pt>
                <c:pt idx="59">
                  <c:v>44435</c:v>
                </c:pt>
                <c:pt idx="60">
                  <c:v>44442</c:v>
                </c:pt>
                <c:pt idx="61">
                  <c:v>44449</c:v>
                </c:pt>
                <c:pt idx="62">
                  <c:v>44456</c:v>
                </c:pt>
                <c:pt idx="63">
                  <c:v>44463</c:v>
                </c:pt>
                <c:pt idx="64">
                  <c:v>44470</c:v>
                </c:pt>
                <c:pt idx="65">
                  <c:v>44477</c:v>
                </c:pt>
                <c:pt idx="66">
                  <c:v>44484</c:v>
                </c:pt>
                <c:pt idx="67">
                  <c:v>44491</c:v>
                </c:pt>
                <c:pt idx="68">
                  <c:v>44498</c:v>
                </c:pt>
                <c:pt idx="69">
                  <c:v>44505</c:v>
                </c:pt>
                <c:pt idx="70">
                  <c:v>44512</c:v>
                </c:pt>
                <c:pt idx="71">
                  <c:v>44519</c:v>
                </c:pt>
                <c:pt idx="72">
                  <c:v>44526</c:v>
                </c:pt>
                <c:pt idx="73">
                  <c:v>44533</c:v>
                </c:pt>
                <c:pt idx="74">
                  <c:v>44540</c:v>
                </c:pt>
                <c:pt idx="75">
                  <c:v>44547</c:v>
                </c:pt>
                <c:pt idx="76">
                  <c:v>44554</c:v>
                </c:pt>
                <c:pt idx="77">
                  <c:v>44561</c:v>
                </c:pt>
                <c:pt idx="78">
                  <c:v>44568</c:v>
                </c:pt>
                <c:pt idx="79">
                  <c:v>44575</c:v>
                </c:pt>
                <c:pt idx="80">
                  <c:v>44582</c:v>
                </c:pt>
                <c:pt idx="81">
                  <c:v>44589</c:v>
                </c:pt>
                <c:pt idx="82">
                  <c:v>44596</c:v>
                </c:pt>
                <c:pt idx="83">
                  <c:v>44603</c:v>
                </c:pt>
                <c:pt idx="84">
                  <c:v>44610</c:v>
                </c:pt>
                <c:pt idx="85">
                  <c:v>44617</c:v>
                </c:pt>
                <c:pt idx="86">
                  <c:v>44624</c:v>
                </c:pt>
                <c:pt idx="87">
                  <c:v>44631</c:v>
                </c:pt>
                <c:pt idx="88">
                  <c:v>44638</c:v>
                </c:pt>
                <c:pt idx="89">
                  <c:v>44645</c:v>
                </c:pt>
                <c:pt idx="90">
                  <c:v>44652</c:v>
                </c:pt>
                <c:pt idx="91">
                  <c:v>44659</c:v>
                </c:pt>
                <c:pt idx="92">
                  <c:v>44666</c:v>
                </c:pt>
                <c:pt idx="93">
                  <c:v>44673</c:v>
                </c:pt>
                <c:pt idx="94">
                  <c:v>44680</c:v>
                </c:pt>
                <c:pt idx="95">
                  <c:v>44687</c:v>
                </c:pt>
                <c:pt idx="96">
                  <c:v>44694</c:v>
                </c:pt>
                <c:pt idx="97">
                  <c:v>44701</c:v>
                </c:pt>
                <c:pt idx="98">
                  <c:v>44708</c:v>
                </c:pt>
                <c:pt idx="99">
                  <c:v>44715</c:v>
                </c:pt>
                <c:pt idx="100">
                  <c:v>44722</c:v>
                </c:pt>
                <c:pt idx="101">
                  <c:v>44729</c:v>
                </c:pt>
                <c:pt idx="102">
                  <c:v>44736</c:v>
                </c:pt>
                <c:pt idx="103">
                  <c:v>44743</c:v>
                </c:pt>
                <c:pt idx="104">
                  <c:v>44750</c:v>
                </c:pt>
                <c:pt idx="105">
                  <c:v>44757</c:v>
                </c:pt>
                <c:pt idx="106">
                  <c:v>44764</c:v>
                </c:pt>
                <c:pt idx="107">
                  <c:v>44771</c:v>
                </c:pt>
                <c:pt idx="108">
                  <c:v>44778</c:v>
                </c:pt>
                <c:pt idx="109">
                  <c:v>44785</c:v>
                </c:pt>
                <c:pt idx="110">
                  <c:v>44792</c:v>
                </c:pt>
                <c:pt idx="111">
                  <c:v>44799</c:v>
                </c:pt>
                <c:pt idx="112">
                  <c:v>44806</c:v>
                </c:pt>
                <c:pt idx="113">
                  <c:v>44813</c:v>
                </c:pt>
                <c:pt idx="114">
                  <c:v>44820</c:v>
                </c:pt>
                <c:pt idx="115">
                  <c:v>44827</c:v>
                </c:pt>
                <c:pt idx="116">
                  <c:v>44834</c:v>
                </c:pt>
                <c:pt idx="117">
                  <c:v>44841</c:v>
                </c:pt>
                <c:pt idx="118">
                  <c:v>44848</c:v>
                </c:pt>
                <c:pt idx="119">
                  <c:v>44855</c:v>
                </c:pt>
                <c:pt idx="120">
                  <c:v>44862</c:v>
                </c:pt>
                <c:pt idx="121">
                  <c:v>44869</c:v>
                </c:pt>
                <c:pt idx="122">
                  <c:v>44876</c:v>
                </c:pt>
                <c:pt idx="123">
                  <c:v>44883</c:v>
                </c:pt>
                <c:pt idx="124">
                  <c:v>44890</c:v>
                </c:pt>
                <c:pt idx="125">
                  <c:v>44897</c:v>
                </c:pt>
                <c:pt idx="126">
                  <c:v>44904</c:v>
                </c:pt>
                <c:pt idx="127">
                  <c:v>44911</c:v>
                </c:pt>
                <c:pt idx="128">
                  <c:v>44918</c:v>
                </c:pt>
                <c:pt idx="129">
                  <c:v>44925</c:v>
                </c:pt>
                <c:pt idx="130">
                  <c:v>44932</c:v>
                </c:pt>
                <c:pt idx="131">
                  <c:v>44939</c:v>
                </c:pt>
                <c:pt idx="132">
                  <c:v>44946</c:v>
                </c:pt>
                <c:pt idx="133">
                  <c:v>44953</c:v>
                </c:pt>
                <c:pt idx="134">
                  <c:v>44960</c:v>
                </c:pt>
                <c:pt idx="135">
                  <c:v>44967</c:v>
                </c:pt>
                <c:pt idx="136">
                  <c:v>44974</c:v>
                </c:pt>
                <c:pt idx="137">
                  <c:v>44981</c:v>
                </c:pt>
                <c:pt idx="138">
                  <c:v>44988</c:v>
                </c:pt>
                <c:pt idx="139">
                  <c:v>44995</c:v>
                </c:pt>
                <c:pt idx="140">
                  <c:v>45002</c:v>
                </c:pt>
                <c:pt idx="141">
                  <c:v>45009</c:v>
                </c:pt>
                <c:pt idx="142">
                  <c:v>45016</c:v>
                </c:pt>
                <c:pt idx="143">
                  <c:v>45023</c:v>
                </c:pt>
                <c:pt idx="144">
                  <c:v>45030</c:v>
                </c:pt>
                <c:pt idx="145">
                  <c:v>45037</c:v>
                </c:pt>
                <c:pt idx="146">
                  <c:v>45044</c:v>
                </c:pt>
                <c:pt idx="147">
                  <c:v>45051</c:v>
                </c:pt>
                <c:pt idx="148">
                  <c:v>45058</c:v>
                </c:pt>
                <c:pt idx="149">
                  <c:v>45065</c:v>
                </c:pt>
                <c:pt idx="150">
                  <c:v>45072</c:v>
                </c:pt>
                <c:pt idx="151">
                  <c:v>45079</c:v>
                </c:pt>
                <c:pt idx="152">
                  <c:v>45086</c:v>
                </c:pt>
                <c:pt idx="153">
                  <c:v>45093</c:v>
                </c:pt>
                <c:pt idx="154">
                  <c:v>45100</c:v>
                </c:pt>
                <c:pt idx="155">
                  <c:v>45107</c:v>
                </c:pt>
                <c:pt idx="156">
                  <c:v>45114</c:v>
                </c:pt>
                <c:pt idx="157">
                  <c:v>45121</c:v>
                </c:pt>
                <c:pt idx="158">
                  <c:v>45128</c:v>
                </c:pt>
                <c:pt idx="159">
                  <c:v>45135</c:v>
                </c:pt>
                <c:pt idx="160">
                  <c:v>45142</c:v>
                </c:pt>
                <c:pt idx="161">
                  <c:v>45149</c:v>
                </c:pt>
                <c:pt idx="162">
                  <c:v>45156</c:v>
                </c:pt>
                <c:pt idx="163">
                  <c:v>45163</c:v>
                </c:pt>
                <c:pt idx="164">
                  <c:v>45170</c:v>
                </c:pt>
                <c:pt idx="165">
                  <c:v>45177</c:v>
                </c:pt>
                <c:pt idx="166">
                  <c:v>45184</c:v>
                </c:pt>
                <c:pt idx="167">
                  <c:v>45191</c:v>
                </c:pt>
                <c:pt idx="168">
                  <c:v>45198</c:v>
                </c:pt>
                <c:pt idx="169">
                  <c:v>45205</c:v>
                </c:pt>
                <c:pt idx="170">
                  <c:v>45212</c:v>
                </c:pt>
                <c:pt idx="171">
                  <c:v>45219</c:v>
                </c:pt>
                <c:pt idx="172">
                  <c:v>45226</c:v>
                </c:pt>
                <c:pt idx="173">
                  <c:v>45233</c:v>
                </c:pt>
                <c:pt idx="174">
                  <c:v>45240</c:v>
                </c:pt>
                <c:pt idx="175">
                  <c:v>45247</c:v>
                </c:pt>
                <c:pt idx="176">
                  <c:v>45254</c:v>
                </c:pt>
                <c:pt idx="177">
                  <c:v>45261</c:v>
                </c:pt>
                <c:pt idx="178">
                  <c:v>45268</c:v>
                </c:pt>
                <c:pt idx="179">
                  <c:v>45275</c:v>
                </c:pt>
                <c:pt idx="180">
                  <c:v>45282</c:v>
                </c:pt>
                <c:pt idx="181">
                  <c:v>45289</c:v>
                </c:pt>
                <c:pt idx="182">
                  <c:v>45296</c:v>
                </c:pt>
                <c:pt idx="183">
                  <c:v>45303</c:v>
                </c:pt>
                <c:pt idx="184">
                  <c:v>45310</c:v>
                </c:pt>
                <c:pt idx="185">
                  <c:v>45317</c:v>
                </c:pt>
                <c:pt idx="186">
                  <c:v>45324</c:v>
                </c:pt>
                <c:pt idx="187">
                  <c:v>45331</c:v>
                </c:pt>
                <c:pt idx="188">
                  <c:v>45338</c:v>
                </c:pt>
                <c:pt idx="189">
                  <c:v>45345</c:v>
                </c:pt>
                <c:pt idx="190">
                  <c:v>45352</c:v>
                </c:pt>
                <c:pt idx="191">
                  <c:v>45359</c:v>
                </c:pt>
                <c:pt idx="192">
                  <c:v>45366</c:v>
                </c:pt>
                <c:pt idx="193">
                  <c:v>45373</c:v>
                </c:pt>
                <c:pt idx="194">
                  <c:v>45380</c:v>
                </c:pt>
                <c:pt idx="195">
                  <c:v>45387</c:v>
                </c:pt>
                <c:pt idx="196">
                  <c:v>45394</c:v>
                </c:pt>
                <c:pt idx="197">
                  <c:v>45401</c:v>
                </c:pt>
                <c:pt idx="198">
                  <c:v>45408</c:v>
                </c:pt>
                <c:pt idx="199">
                  <c:v>45415</c:v>
                </c:pt>
                <c:pt idx="200">
                  <c:v>45422</c:v>
                </c:pt>
                <c:pt idx="201">
                  <c:v>45429</c:v>
                </c:pt>
                <c:pt idx="202">
                  <c:v>45436</c:v>
                </c:pt>
                <c:pt idx="203">
                  <c:v>45443</c:v>
                </c:pt>
                <c:pt idx="204">
                  <c:v>45450</c:v>
                </c:pt>
                <c:pt idx="205">
                  <c:v>45457</c:v>
                </c:pt>
                <c:pt idx="206">
                  <c:v>45464</c:v>
                </c:pt>
                <c:pt idx="207">
                  <c:v>45471</c:v>
                </c:pt>
                <c:pt idx="208">
                  <c:v>45478</c:v>
                </c:pt>
                <c:pt idx="209">
                  <c:v>45485</c:v>
                </c:pt>
                <c:pt idx="210">
                  <c:v>45492</c:v>
                </c:pt>
                <c:pt idx="211">
                  <c:v>45499</c:v>
                </c:pt>
                <c:pt idx="212">
                  <c:v>45506</c:v>
                </c:pt>
                <c:pt idx="213">
                  <c:v>45513</c:v>
                </c:pt>
                <c:pt idx="214">
                  <c:v>45520</c:v>
                </c:pt>
                <c:pt idx="215">
                  <c:v>45527</c:v>
                </c:pt>
                <c:pt idx="216">
                  <c:v>45534</c:v>
                </c:pt>
                <c:pt idx="217">
                  <c:v>45541</c:v>
                </c:pt>
                <c:pt idx="218">
                  <c:v>45548</c:v>
                </c:pt>
                <c:pt idx="219">
                  <c:v>45555</c:v>
                </c:pt>
                <c:pt idx="220">
                  <c:v>45562</c:v>
                </c:pt>
                <c:pt idx="221">
                  <c:v>45569</c:v>
                </c:pt>
                <c:pt idx="222">
                  <c:v>45576</c:v>
                </c:pt>
                <c:pt idx="223">
                  <c:v>45583</c:v>
                </c:pt>
                <c:pt idx="224">
                  <c:v>45590</c:v>
                </c:pt>
                <c:pt idx="225">
                  <c:v>45597</c:v>
                </c:pt>
                <c:pt idx="226">
                  <c:v>45604</c:v>
                </c:pt>
                <c:pt idx="227">
                  <c:v>45611</c:v>
                </c:pt>
                <c:pt idx="228">
                  <c:v>45618</c:v>
                </c:pt>
                <c:pt idx="229">
                  <c:v>45625</c:v>
                </c:pt>
                <c:pt idx="230">
                  <c:v>45632</c:v>
                </c:pt>
                <c:pt idx="231">
                  <c:v>45639</c:v>
                </c:pt>
                <c:pt idx="232">
                  <c:v>45646</c:v>
                </c:pt>
                <c:pt idx="233">
                  <c:v>45653</c:v>
                </c:pt>
                <c:pt idx="234">
                  <c:v>45660</c:v>
                </c:pt>
                <c:pt idx="235">
                  <c:v>45667</c:v>
                </c:pt>
                <c:pt idx="236">
                  <c:v>45674</c:v>
                </c:pt>
                <c:pt idx="237">
                  <c:v>45681</c:v>
                </c:pt>
                <c:pt idx="238">
                  <c:v>45688</c:v>
                </c:pt>
                <c:pt idx="239">
                  <c:v>45695</c:v>
                </c:pt>
                <c:pt idx="240">
                  <c:v>45702</c:v>
                </c:pt>
                <c:pt idx="241">
                  <c:v>45709</c:v>
                </c:pt>
                <c:pt idx="242">
                  <c:v>45716</c:v>
                </c:pt>
                <c:pt idx="243">
                  <c:v>45723</c:v>
                </c:pt>
                <c:pt idx="244">
                  <c:v>45730</c:v>
                </c:pt>
                <c:pt idx="245">
                  <c:v>45737</c:v>
                </c:pt>
                <c:pt idx="246">
                  <c:v>45744</c:v>
                </c:pt>
                <c:pt idx="247">
                  <c:v>45751</c:v>
                </c:pt>
                <c:pt idx="248">
                  <c:v>45758</c:v>
                </c:pt>
                <c:pt idx="249">
                  <c:v>45765</c:v>
                </c:pt>
                <c:pt idx="250">
                  <c:v>45772</c:v>
                </c:pt>
                <c:pt idx="251">
                  <c:v>45779</c:v>
                </c:pt>
                <c:pt idx="252">
                  <c:v>45786</c:v>
                </c:pt>
                <c:pt idx="253">
                  <c:v>45793</c:v>
                </c:pt>
                <c:pt idx="254">
                  <c:v>45800</c:v>
                </c:pt>
                <c:pt idx="255">
                  <c:v>45807</c:v>
                </c:pt>
                <c:pt idx="256">
                  <c:v>45814</c:v>
                </c:pt>
                <c:pt idx="257">
                  <c:v>45821</c:v>
                </c:pt>
                <c:pt idx="258">
                  <c:v>45828</c:v>
                </c:pt>
                <c:pt idx="259">
                  <c:v>45835</c:v>
                </c:pt>
                <c:pt idx="260">
                  <c:v>45842</c:v>
                </c:pt>
                <c:pt idx="261">
                  <c:v>45849</c:v>
                </c:pt>
                <c:pt idx="262">
                  <c:v>45856</c:v>
                </c:pt>
                <c:pt idx="263">
                  <c:v>45863</c:v>
                </c:pt>
                <c:pt idx="264">
                  <c:v>45870</c:v>
                </c:pt>
                <c:pt idx="265">
                  <c:v>45877</c:v>
                </c:pt>
                <c:pt idx="266">
                  <c:v>45884</c:v>
                </c:pt>
                <c:pt idx="267">
                  <c:v>45891</c:v>
                </c:pt>
                <c:pt idx="268">
                  <c:v>45898</c:v>
                </c:pt>
                <c:pt idx="269">
                  <c:v>45905</c:v>
                </c:pt>
                <c:pt idx="270">
                  <c:v>45912</c:v>
                </c:pt>
                <c:pt idx="271">
                  <c:v>45919</c:v>
                </c:pt>
                <c:pt idx="272">
                  <c:v>45926</c:v>
                </c:pt>
                <c:pt idx="273">
                  <c:v>45933</c:v>
                </c:pt>
                <c:pt idx="274">
                  <c:v>45940</c:v>
                </c:pt>
                <c:pt idx="275">
                  <c:v>45947</c:v>
                </c:pt>
                <c:pt idx="276">
                  <c:v>45954</c:v>
                </c:pt>
                <c:pt idx="277">
                  <c:v>45961</c:v>
                </c:pt>
                <c:pt idx="278">
                  <c:v>45968</c:v>
                </c:pt>
                <c:pt idx="279">
                  <c:v>45975</c:v>
                </c:pt>
                <c:pt idx="280">
                  <c:v>45982</c:v>
                </c:pt>
                <c:pt idx="281">
                  <c:v>45989</c:v>
                </c:pt>
                <c:pt idx="282">
                  <c:v>45996</c:v>
                </c:pt>
                <c:pt idx="283">
                  <c:v>46003</c:v>
                </c:pt>
                <c:pt idx="284">
                  <c:v>46010</c:v>
                </c:pt>
                <c:pt idx="285">
                  <c:v>46017</c:v>
                </c:pt>
                <c:pt idx="286">
                  <c:v>46024</c:v>
                </c:pt>
                <c:pt idx="287">
                  <c:v>46031</c:v>
                </c:pt>
                <c:pt idx="288">
                  <c:v>46038</c:v>
                </c:pt>
                <c:pt idx="289">
                  <c:v>46045</c:v>
                </c:pt>
                <c:pt idx="290">
                  <c:v>46052</c:v>
                </c:pt>
                <c:pt idx="291">
                  <c:v>46059</c:v>
                </c:pt>
                <c:pt idx="292">
                  <c:v>46066</c:v>
                </c:pt>
                <c:pt idx="293">
                  <c:v>46073</c:v>
                </c:pt>
                <c:pt idx="294">
                  <c:v>46080</c:v>
                </c:pt>
                <c:pt idx="295">
                  <c:v>46087</c:v>
                </c:pt>
                <c:pt idx="296">
                  <c:v>46094</c:v>
                </c:pt>
                <c:pt idx="297">
                  <c:v>46101</c:v>
                </c:pt>
                <c:pt idx="298">
                  <c:v>46108</c:v>
                </c:pt>
                <c:pt idx="299">
                  <c:v>46115</c:v>
                </c:pt>
                <c:pt idx="300">
                  <c:v>46122</c:v>
                </c:pt>
                <c:pt idx="301">
                  <c:v>46129</c:v>
                </c:pt>
                <c:pt idx="302">
                  <c:v>46136</c:v>
                </c:pt>
                <c:pt idx="303">
                  <c:v>46143</c:v>
                </c:pt>
                <c:pt idx="304">
                  <c:v>46150</c:v>
                </c:pt>
                <c:pt idx="305">
                  <c:v>46157</c:v>
                </c:pt>
                <c:pt idx="306">
                  <c:v>46164</c:v>
                </c:pt>
                <c:pt idx="307">
                  <c:v>46171</c:v>
                </c:pt>
                <c:pt idx="308">
                  <c:v>46178</c:v>
                </c:pt>
                <c:pt idx="309">
                  <c:v>46185</c:v>
                </c:pt>
                <c:pt idx="310">
                  <c:v>46192</c:v>
                </c:pt>
                <c:pt idx="311">
                  <c:v>46199</c:v>
                </c:pt>
                <c:pt idx="312">
                  <c:v>46206</c:v>
                </c:pt>
                <c:pt idx="313">
                  <c:v>46213</c:v>
                </c:pt>
                <c:pt idx="314">
                  <c:v>46220</c:v>
                </c:pt>
                <c:pt idx="315">
                  <c:v>46227</c:v>
                </c:pt>
                <c:pt idx="316">
                  <c:v>46234</c:v>
                </c:pt>
                <c:pt idx="317">
                  <c:v>46241</c:v>
                </c:pt>
                <c:pt idx="318">
                  <c:v>46248</c:v>
                </c:pt>
                <c:pt idx="319">
                  <c:v>46255</c:v>
                </c:pt>
                <c:pt idx="320">
                  <c:v>46262</c:v>
                </c:pt>
                <c:pt idx="321">
                  <c:v>46269</c:v>
                </c:pt>
                <c:pt idx="322">
                  <c:v>46276</c:v>
                </c:pt>
                <c:pt idx="323">
                  <c:v>46283</c:v>
                </c:pt>
                <c:pt idx="324">
                  <c:v>46290</c:v>
                </c:pt>
                <c:pt idx="325">
                  <c:v>46297</c:v>
                </c:pt>
                <c:pt idx="326">
                  <c:v>46304</c:v>
                </c:pt>
              </c:numCache>
            </c:numRef>
          </c:cat>
          <c:val>
            <c:numRef>
              <c:f>Base!$CL$59:$CL$390</c:f>
              <c:numCache>
                <c:formatCode>General</c:formatCode>
                <c:ptCount val="332"/>
                <c:pt idx="0">
                  <c:v>-1.2752146981256607</c:v>
                </c:pt>
                <c:pt idx="1">
                  <c:v>-1.2752146981256607</c:v>
                </c:pt>
                <c:pt idx="2">
                  <c:v>-1.2752146981256607</c:v>
                </c:pt>
                <c:pt idx="3">
                  <c:v>-1.2752146981256607</c:v>
                </c:pt>
                <c:pt idx="4">
                  <c:v>-1.2752146981256607</c:v>
                </c:pt>
                <c:pt idx="5">
                  <c:v>-1.2752146981256607</c:v>
                </c:pt>
                <c:pt idx="6">
                  <c:v>-1.2752146981256607</c:v>
                </c:pt>
                <c:pt idx="7">
                  <c:v>-1.2752146981256607</c:v>
                </c:pt>
                <c:pt idx="8">
                  <c:v>-1.2752146981256607</c:v>
                </c:pt>
                <c:pt idx="9">
                  <c:v>-1.2752146981256607</c:v>
                </c:pt>
                <c:pt idx="10">
                  <c:v>-1.2752146981256607</c:v>
                </c:pt>
                <c:pt idx="11">
                  <c:v>-1.2752146981256607</c:v>
                </c:pt>
                <c:pt idx="12">
                  <c:v>-1.2752146981256607</c:v>
                </c:pt>
                <c:pt idx="13">
                  <c:v>-1.2752146981256607</c:v>
                </c:pt>
                <c:pt idx="14">
                  <c:v>-1.2752146981256607</c:v>
                </c:pt>
                <c:pt idx="15">
                  <c:v>-1.2752146981256607</c:v>
                </c:pt>
                <c:pt idx="16">
                  <c:v>-1.2752146981256607</c:v>
                </c:pt>
                <c:pt idx="17">
                  <c:v>-1.2752146981256607</c:v>
                </c:pt>
                <c:pt idx="18">
                  <c:v>-1.2752146981256607</c:v>
                </c:pt>
                <c:pt idx="19">
                  <c:v>-1.2752146981256607</c:v>
                </c:pt>
                <c:pt idx="20">
                  <c:v>-1.2752146981256607</c:v>
                </c:pt>
                <c:pt idx="21">
                  <c:v>-1.2752146981256607</c:v>
                </c:pt>
                <c:pt idx="22">
                  <c:v>-1.2752146981256607</c:v>
                </c:pt>
                <c:pt idx="23">
                  <c:v>-1.2752146981256607</c:v>
                </c:pt>
                <c:pt idx="24">
                  <c:v>-1.2752146981256607</c:v>
                </c:pt>
                <c:pt idx="25">
                  <c:v>-1.2752146981256607</c:v>
                </c:pt>
                <c:pt idx="26">
                  <c:v>-1.2752146981256607</c:v>
                </c:pt>
                <c:pt idx="27">
                  <c:v>-1.2752146981256607</c:v>
                </c:pt>
                <c:pt idx="28">
                  <c:v>-1.2752146981256607</c:v>
                </c:pt>
                <c:pt idx="29">
                  <c:v>-1.2752146981256607</c:v>
                </c:pt>
                <c:pt idx="30">
                  <c:v>-1.2752146981256607</c:v>
                </c:pt>
                <c:pt idx="31">
                  <c:v>-1.2752146981256607</c:v>
                </c:pt>
                <c:pt idx="32">
                  <c:v>-1.2752146981256607</c:v>
                </c:pt>
                <c:pt idx="33">
                  <c:v>-1.2752146981256607</c:v>
                </c:pt>
                <c:pt idx="34">
                  <c:v>-1.2752146981256607</c:v>
                </c:pt>
                <c:pt idx="35">
                  <c:v>-1.2752146981256607</c:v>
                </c:pt>
                <c:pt idx="36">
                  <c:v>-1.2744335306013153</c:v>
                </c:pt>
                <c:pt idx="37">
                  <c:v>-1.2157329271047472</c:v>
                </c:pt>
                <c:pt idx="38">
                  <c:v>-1.1604416629966448</c:v>
                </c:pt>
                <c:pt idx="39">
                  <c:v>-1.157687527159978</c:v>
                </c:pt>
                <c:pt idx="40">
                  <c:v>-1.1500527388903874</c:v>
                </c:pt>
                <c:pt idx="41">
                  <c:v>-1.1157349417370994</c:v>
                </c:pt>
                <c:pt idx="42">
                  <c:v>-1.1144302445026375</c:v>
                </c:pt>
                <c:pt idx="43">
                  <c:v>-1.1084032650404081</c:v>
                </c:pt>
                <c:pt idx="44">
                  <c:v>-1.1056694817602173</c:v>
                </c:pt>
                <c:pt idx="45">
                  <c:v>-1.1056694817602173</c:v>
                </c:pt>
                <c:pt idx="46">
                  <c:v>-1.1056694817602173</c:v>
                </c:pt>
                <c:pt idx="47">
                  <c:v>-1.1056694817602173</c:v>
                </c:pt>
                <c:pt idx="48">
                  <c:v>-1.1056694817602173</c:v>
                </c:pt>
                <c:pt idx="49">
                  <c:v>-1.1056694817602173</c:v>
                </c:pt>
                <c:pt idx="50">
                  <c:v>-1.1056694817602173</c:v>
                </c:pt>
                <c:pt idx="51">
                  <c:v>-1.1056694817602173</c:v>
                </c:pt>
                <c:pt idx="52">
                  <c:v>-1.101795798802593</c:v>
                </c:pt>
                <c:pt idx="53">
                  <c:v>-1.101795798802593</c:v>
                </c:pt>
                <c:pt idx="54">
                  <c:v>-1.101795798802593</c:v>
                </c:pt>
                <c:pt idx="55">
                  <c:v>-1.101795798802593</c:v>
                </c:pt>
                <c:pt idx="56">
                  <c:v>-1.101795798802593</c:v>
                </c:pt>
                <c:pt idx="57">
                  <c:v>-1.101795798802593</c:v>
                </c:pt>
                <c:pt idx="58">
                  <c:v>-1.101795798802593</c:v>
                </c:pt>
                <c:pt idx="59">
                  <c:v>-1.101795798802593</c:v>
                </c:pt>
                <c:pt idx="60">
                  <c:v>-1.0888576952925308</c:v>
                </c:pt>
                <c:pt idx="61">
                  <c:v>-0.98549825306174954</c:v>
                </c:pt>
                <c:pt idx="62">
                  <c:v>-0.98010629607987987</c:v>
                </c:pt>
                <c:pt idx="63">
                  <c:v>-0.97890381839784602</c:v>
                </c:pt>
                <c:pt idx="64">
                  <c:v>-0.97425797392304991</c:v>
                </c:pt>
                <c:pt idx="65">
                  <c:v>-0.94888483519536437</c:v>
                </c:pt>
                <c:pt idx="66">
                  <c:v>-0.94847905687323253</c:v>
                </c:pt>
                <c:pt idx="67">
                  <c:v>-0.94847905687323253</c:v>
                </c:pt>
                <c:pt idx="68">
                  <c:v>-0.94847905687323253</c:v>
                </c:pt>
                <c:pt idx="69">
                  <c:v>-0.94725282428836766</c:v>
                </c:pt>
                <c:pt idx="70">
                  <c:v>-0.94725282428836766</c:v>
                </c:pt>
                <c:pt idx="71">
                  <c:v>-0.94701008783861107</c:v>
                </c:pt>
                <c:pt idx="72">
                  <c:v>-0.94701008783861107</c:v>
                </c:pt>
                <c:pt idx="73">
                  <c:v>-0.94701008783861107</c:v>
                </c:pt>
                <c:pt idx="74">
                  <c:v>-0.94701008783861107</c:v>
                </c:pt>
                <c:pt idx="75">
                  <c:v>-0.94701008783861107</c:v>
                </c:pt>
                <c:pt idx="76">
                  <c:v>-0.94282064083881778</c:v>
                </c:pt>
                <c:pt idx="77">
                  <c:v>-0.93641233893831199</c:v>
                </c:pt>
                <c:pt idx="78">
                  <c:v>-0.93641233893831199</c:v>
                </c:pt>
                <c:pt idx="79">
                  <c:v>-0.93641233893831199</c:v>
                </c:pt>
                <c:pt idx="80">
                  <c:v>-0.93641233893831199</c:v>
                </c:pt>
                <c:pt idx="81">
                  <c:v>-0.93641233893831199</c:v>
                </c:pt>
                <c:pt idx="82">
                  <c:v>-0.93641233893831199</c:v>
                </c:pt>
                <c:pt idx="83">
                  <c:v>-0.93641233893831199</c:v>
                </c:pt>
                <c:pt idx="84">
                  <c:v>-0.93641233893831199</c:v>
                </c:pt>
                <c:pt idx="85">
                  <c:v>-0.93641233893831199</c:v>
                </c:pt>
                <c:pt idx="86">
                  <c:v>-0.93641233893831199</c:v>
                </c:pt>
                <c:pt idx="87">
                  <c:v>-0.93641233893831199</c:v>
                </c:pt>
                <c:pt idx="88">
                  <c:v>-0.93641233893831199</c:v>
                </c:pt>
                <c:pt idx="89">
                  <c:v>-0.93641233893831199</c:v>
                </c:pt>
                <c:pt idx="90">
                  <c:v>-0.93641233893831199</c:v>
                </c:pt>
                <c:pt idx="91">
                  <c:v>-0.90655748214278431</c:v>
                </c:pt>
                <c:pt idx="92">
                  <c:v>-0.89245866733543255</c:v>
                </c:pt>
                <c:pt idx="93">
                  <c:v>-0.87349388908958858</c:v>
                </c:pt>
                <c:pt idx="94">
                  <c:v>-0.87000386262117746</c:v>
                </c:pt>
                <c:pt idx="95">
                  <c:v>-0.87000386262117746</c:v>
                </c:pt>
                <c:pt idx="96">
                  <c:v>-0.87000386262117746</c:v>
                </c:pt>
                <c:pt idx="97">
                  <c:v>-0.87000386262117746</c:v>
                </c:pt>
                <c:pt idx="98">
                  <c:v>-0.87000386262117746</c:v>
                </c:pt>
                <c:pt idx="99">
                  <c:v>-0.85009630433604599</c:v>
                </c:pt>
                <c:pt idx="100">
                  <c:v>-0.85009630433604599</c:v>
                </c:pt>
                <c:pt idx="101">
                  <c:v>-0.87000386262117746</c:v>
                </c:pt>
                <c:pt idx="102">
                  <c:v>-0.89214113182376875</c:v>
                </c:pt>
                <c:pt idx="103">
                  <c:v>-0.91535818833541449</c:v>
                </c:pt>
                <c:pt idx="104">
                  <c:v>-0.9238939308406835</c:v>
                </c:pt>
                <c:pt idx="105">
                  <c:v>-0.92458389531737262</c:v>
                </c:pt>
                <c:pt idx="106">
                  <c:v>-0.94266610079871915</c:v>
                </c:pt>
                <c:pt idx="107">
                  <c:v>-0.95175409752484708</c:v>
                </c:pt>
                <c:pt idx="108">
                  <c:v>-0.95753468256038388</c:v>
                </c:pt>
                <c:pt idx="109">
                  <c:v>-0.95753468256038388</c:v>
                </c:pt>
                <c:pt idx="110">
                  <c:v>-0.95753468256038388</c:v>
                </c:pt>
                <c:pt idx="111">
                  <c:v>-0.95753468256038388</c:v>
                </c:pt>
                <c:pt idx="112">
                  <c:v>-0.95753468256038388</c:v>
                </c:pt>
                <c:pt idx="113">
                  <c:v>-0.95753468256038388</c:v>
                </c:pt>
                <c:pt idx="114">
                  <c:v>-0.95753468256038388</c:v>
                </c:pt>
                <c:pt idx="115">
                  <c:v>-0.95753468256038388</c:v>
                </c:pt>
                <c:pt idx="116">
                  <c:v>-0.95753468256038388</c:v>
                </c:pt>
                <c:pt idx="117">
                  <c:v>-0.95753468256038388</c:v>
                </c:pt>
                <c:pt idx="118">
                  <c:v>-0.95753468256038388</c:v>
                </c:pt>
                <c:pt idx="119">
                  <c:v>-0.95753468256038388</c:v>
                </c:pt>
                <c:pt idx="120">
                  <c:v>-0.95753468256038388</c:v>
                </c:pt>
                <c:pt idx="121">
                  <c:v>-0.95753468256038388</c:v>
                </c:pt>
                <c:pt idx="122">
                  <c:v>-0.95753468256038388</c:v>
                </c:pt>
                <c:pt idx="123">
                  <c:v>-0.95753468256038388</c:v>
                </c:pt>
                <c:pt idx="124">
                  <c:v>-0.95753468256038388</c:v>
                </c:pt>
                <c:pt idx="125">
                  <c:v>-0.95753468256038388</c:v>
                </c:pt>
                <c:pt idx="126">
                  <c:v>-0.95753468256038388</c:v>
                </c:pt>
                <c:pt idx="127">
                  <c:v>-0.95753468256038388</c:v>
                </c:pt>
                <c:pt idx="128">
                  <c:v>-0.95753468256038388</c:v>
                </c:pt>
                <c:pt idx="129">
                  <c:v>-0.95753468256038388</c:v>
                </c:pt>
                <c:pt idx="130">
                  <c:v>-0.95753468256038388</c:v>
                </c:pt>
                <c:pt idx="131">
                  <c:v>-0.95753468256038388</c:v>
                </c:pt>
                <c:pt idx="132">
                  <c:v>-0.95753468256038388</c:v>
                </c:pt>
                <c:pt idx="133">
                  <c:v>-0.95753468256038388</c:v>
                </c:pt>
                <c:pt idx="134">
                  <c:v>-0.95753468256038388</c:v>
                </c:pt>
                <c:pt idx="135">
                  <c:v>-0.95753468256038388</c:v>
                </c:pt>
                <c:pt idx="136">
                  <c:v>-0.95753468256038388</c:v>
                </c:pt>
                <c:pt idx="137">
                  <c:v>-0.95753468256038388</c:v>
                </c:pt>
                <c:pt idx="138">
                  <c:v>-0.95753468256038388</c:v>
                </c:pt>
                <c:pt idx="139">
                  <c:v>-0.95753468256038388</c:v>
                </c:pt>
                <c:pt idx="140">
                  <c:v>-0.95753468256038388</c:v>
                </c:pt>
                <c:pt idx="141">
                  <c:v>-0.95753468256038388</c:v>
                </c:pt>
                <c:pt idx="142">
                  <c:v>-0.95753468256038388</c:v>
                </c:pt>
                <c:pt idx="143">
                  <c:v>-0.99172597865888468</c:v>
                </c:pt>
                <c:pt idx="144">
                  <c:v>-1.0458226860920294</c:v>
                </c:pt>
                <c:pt idx="145">
                  <c:v>-1.0458226860920294</c:v>
                </c:pt>
                <c:pt idx="146">
                  <c:v>-1.0458226860920294</c:v>
                </c:pt>
                <c:pt idx="147">
                  <c:v>-1.0458226860920294</c:v>
                </c:pt>
                <c:pt idx="148">
                  <c:v>-1.0458226860920294</c:v>
                </c:pt>
                <c:pt idx="149">
                  <c:v>-1.0458226860920294</c:v>
                </c:pt>
                <c:pt idx="150">
                  <c:v>-1.0458226860920294</c:v>
                </c:pt>
                <c:pt idx="151">
                  <c:v>-1.0458226860920294</c:v>
                </c:pt>
                <c:pt idx="152">
                  <c:v>-1.0458226860920294</c:v>
                </c:pt>
                <c:pt idx="153">
                  <c:v>-1.0458226860920294</c:v>
                </c:pt>
                <c:pt idx="154">
                  <c:v>-1.0458226860920294</c:v>
                </c:pt>
                <c:pt idx="155">
                  <c:v>-1.0420853080517769</c:v>
                </c:pt>
                <c:pt idx="156">
                  <c:v>-0.95689800130569302</c:v>
                </c:pt>
                <c:pt idx="157">
                  <c:v>-0.94530698566716753</c:v>
                </c:pt>
                <c:pt idx="158">
                  <c:v>-0.93720646630691995</c:v>
                </c:pt>
                <c:pt idx="159">
                  <c:v>-0.93440538631728076</c:v>
                </c:pt>
                <c:pt idx="160">
                  <c:v>-0.9318240106897554</c:v>
                </c:pt>
                <c:pt idx="161">
                  <c:v>-0.91540020499023655</c:v>
                </c:pt>
                <c:pt idx="162">
                  <c:v>-0.91540020499023655</c:v>
                </c:pt>
                <c:pt idx="163">
                  <c:v>-0.91540020499023655</c:v>
                </c:pt>
                <c:pt idx="164">
                  <c:v>-0.91540020499023655</c:v>
                </c:pt>
                <c:pt idx="165">
                  <c:v>-0.91540020499023655</c:v>
                </c:pt>
                <c:pt idx="166">
                  <c:v>-0.91540020499023655</c:v>
                </c:pt>
                <c:pt idx="167">
                  <c:v>-0.91540020499023655</c:v>
                </c:pt>
                <c:pt idx="168">
                  <c:v>-0.91540020499023655</c:v>
                </c:pt>
                <c:pt idx="169">
                  <c:v>-0.89558266180238166</c:v>
                </c:pt>
                <c:pt idx="170">
                  <c:v>-0.89558266180238166</c:v>
                </c:pt>
                <c:pt idx="171">
                  <c:v>-0.88999442902915493</c:v>
                </c:pt>
                <c:pt idx="172">
                  <c:v>-0.88257881450583486</c:v>
                </c:pt>
                <c:pt idx="173">
                  <c:v>-0.88257881450583486</c:v>
                </c:pt>
                <c:pt idx="174">
                  <c:v>-0.88257881450583486</c:v>
                </c:pt>
                <c:pt idx="175">
                  <c:v>-0.88257881450583486</c:v>
                </c:pt>
                <c:pt idx="176">
                  <c:v>-0.88257881450583486</c:v>
                </c:pt>
                <c:pt idx="177">
                  <c:v>-0.88257881450583486</c:v>
                </c:pt>
                <c:pt idx="178">
                  <c:v>-0.88257881450583486</c:v>
                </c:pt>
                <c:pt idx="179">
                  <c:v>-0.88257881450583486</c:v>
                </c:pt>
                <c:pt idx="180">
                  <c:v>-0.88257881450583486</c:v>
                </c:pt>
                <c:pt idx="181">
                  <c:v>-0.88257881450583486</c:v>
                </c:pt>
                <c:pt idx="182">
                  <c:v>-0.88257881450583486</c:v>
                </c:pt>
                <c:pt idx="183">
                  <c:v>-0.88257881450583486</c:v>
                </c:pt>
                <c:pt idx="184">
                  <c:v>-0.88257881450583486</c:v>
                </c:pt>
                <c:pt idx="185">
                  <c:v>-0.88257881450583486</c:v>
                </c:pt>
                <c:pt idx="186">
                  <c:v>-0.88257881450583486</c:v>
                </c:pt>
                <c:pt idx="187">
                  <c:v>-0.88257881450583486</c:v>
                </c:pt>
                <c:pt idx="188">
                  <c:v>-0.88257881450583486</c:v>
                </c:pt>
                <c:pt idx="189">
                  <c:v>-0.88257881450583486</c:v>
                </c:pt>
                <c:pt idx="190">
                  <c:v>-0.88257881450583486</c:v>
                </c:pt>
                <c:pt idx="191">
                  <c:v>-0.88257881450583486</c:v>
                </c:pt>
                <c:pt idx="192">
                  <c:v>-0.88257881450583486</c:v>
                </c:pt>
                <c:pt idx="193">
                  <c:v>-0.88257881450583486</c:v>
                </c:pt>
                <c:pt idx="194">
                  <c:v>-0.88257881450583486</c:v>
                </c:pt>
                <c:pt idx="195">
                  <c:v>-0.87540524303922085</c:v>
                </c:pt>
                <c:pt idx="196">
                  <c:v>-0.86238963613846531</c:v>
                </c:pt>
                <c:pt idx="197">
                  <c:v>-0.86113853970296961</c:v>
                </c:pt>
                <c:pt idx="198">
                  <c:v>-0.85466005673633538</c:v>
                </c:pt>
                <c:pt idx="199">
                  <c:v>-0.85262582873613291</c:v>
                </c:pt>
                <c:pt idx="200">
                  <c:v>-0.85262582873613291</c:v>
                </c:pt>
                <c:pt idx="201">
                  <c:v>-0.85262582873613291</c:v>
                </c:pt>
                <c:pt idx="202">
                  <c:v>-0.85262582873613291</c:v>
                </c:pt>
                <c:pt idx="203">
                  <c:v>-0.85262582873613291</c:v>
                </c:pt>
                <c:pt idx="204">
                  <c:v>-0.85262582873613291</c:v>
                </c:pt>
                <c:pt idx="205">
                  <c:v>-0.85262582873613291</c:v>
                </c:pt>
                <c:pt idx="206">
                  <c:v>-0.85262582873613291</c:v>
                </c:pt>
                <c:pt idx="207">
                  <c:v>-0.85262582873613291</c:v>
                </c:pt>
                <c:pt idx="208">
                  <c:v>-0.79356464734976284</c:v>
                </c:pt>
                <c:pt idx="209">
                  <c:v>-0.78907475462245114</c:v>
                </c:pt>
                <c:pt idx="210">
                  <c:v>-0.76741924781201276</c:v>
                </c:pt>
                <c:pt idx="211">
                  <c:v>-0.74679130316708398</c:v>
                </c:pt>
                <c:pt idx="212">
                  <c:v>-0.7206790655217169</c:v>
                </c:pt>
                <c:pt idx="213">
                  <c:v>-0.71373936678721184</c:v>
                </c:pt>
                <c:pt idx="214">
                  <c:v>-0.66984415801827712</c:v>
                </c:pt>
                <c:pt idx="215">
                  <c:v>-0.66984415801827712</c:v>
                </c:pt>
                <c:pt idx="216">
                  <c:v>-0.66984415801827712</c:v>
                </c:pt>
                <c:pt idx="217">
                  <c:v>-0.66984415801827712</c:v>
                </c:pt>
                <c:pt idx="218">
                  <c:v>-0.66943365860395621</c:v>
                </c:pt>
                <c:pt idx="219">
                  <c:v>-0.66943365860395621</c:v>
                </c:pt>
                <c:pt idx="220">
                  <c:v>-0.63975915431556207</c:v>
                </c:pt>
                <c:pt idx="221">
                  <c:v>-0.40693613031896847</c:v>
                </c:pt>
                <c:pt idx="222">
                  <c:v>-0.25427461196080409</c:v>
                </c:pt>
                <c:pt idx="223">
                  <c:v>-0.14043246818894226</c:v>
                </c:pt>
                <c:pt idx="224">
                  <c:v>0.13623354522341583</c:v>
                </c:pt>
                <c:pt idx="225">
                  <c:v>0.1845112807140914</c:v>
                </c:pt>
                <c:pt idx="226">
                  <c:v>0.27544187695333761</c:v>
                </c:pt>
                <c:pt idx="227">
                  <c:v>0.28939553101093374</c:v>
                </c:pt>
                <c:pt idx="228">
                  <c:v>0.32885489864068529</c:v>
                </c:pt>
                <c:pt idx="229">
                  <c:v>0.52966913922740078</c:v>
                </c:pt>
                <c:pt idx="230">
                  <c:v>0.57234834557692515</c:v>
                </c:pt>
                <c:pt idx="231">
                  <c:v>0.63857389620027272</c:v>
                </c:pt>
                <c:pt idx="232">
                  <c:v>0.66646893674843177</c:v>
                </c:pt>
                <c:pt idx="233">
                  <c:v>0.67831736581295787</c:v>
                </c:pt>
                <c:pt idx="234">
                  <c:v>0.6899535599939628</c:v>
                </c:pt>
                <c:pt idx="235">
                  <c:v>0.6899535599939628</c:v>
                </c:pt>
                <c:pt idx="236">
                  <c:v>0.6899535599939628</c:v>
                </c:pt>
                <c:pt idx="237">
                  <c:v>0.67831736581295787</c:v>
                </c:pt>
                <c:pt idx="238">
                  <c:v>0.67831736581295787</c:v>
                </c:pt>
                <c:pt idx="239">
                  <c:v>0.67831736581295787</c:v>
                </c:pt>
                <c:pt idx="240">
                  <c:v>0.66646893674843177</c:v>
                </c:pt>
                <c:pt idx="241">
                  <c:v>0.66646893674843177</c:v>
                </c:pt>
                <c:pt idx="242">
                  <c:v>0.66646893674843177</c:v>
                </c:pt>
                <c:pt idx="243">
                  <c:v>0.66646893674843177</c:v>
                </c:pt>
                <c:pt idx="244">
                  <c:v>0.66646893674843177</c:v>
                </c:pt>
                <c:pt idx="245">
                  <c:v>0.66646893674843177</c:v>
                </c:pt>
                <c:pt idx="246">
                  <c:v>0.66646893674843177</c:v>
                </c:pt>
                <c:pt idx="247">
                  <c:v>0.66207541159100924</c:v>
                </c:pt>
                <c:pt idx="248">
                  <c:v>0.6251867307369835</c:v>
                </c:pt>
                <c:pt idx="249">
                  <c:v>0.61190765977357897</c:v>
                </c:pt>
                <c:pt idx="250">
                  <c:v>0.59720177764466909</c:v>
                </c:pt>
                <c:pt idx="251">
                  <c:v>0.53945783456289609</c:v>
                </c:pt>
                <c:pt idx="252">
                  <c:v>0.41225305860799721</c:v>
                </c:pt>
                <c:pt idx="253">
                  <c:v>0.15062807769154746</c:v>
                </c:pt>
                <c:pt idx="254">
                  <c:v>0.14627028589302474</c:v>
                </c:pt>
                <c:pt idx="255">
                  <c:v>0.14627028589302474</c:v>
                </c:pt>
                <c:pt idx="256">
                  <c:v>0.1408612087359345</c:v>
                </c:pt>
                <c:pt idx="257">
                  <c:v>0.12621085830338161</c:v>
                </c:pt>
                <c:pt idx="258">
                  <c:v>0.12322891952468086</c:v>
                </c:pt>
                <c:pt idx="259">
                  <c:v>0.11768782864260491</c:v>
                </c:pt>
                <c:pt idx="260">
                  <c:v>6.6833084639488588E-2</c:v>
                </c:pt>
                <c:pt idx="261">
                  <c:v>5.1705885516034236E-2</c:v>
                </c:pt>
                <c:pt idx="262">
                  <c:v>3.8241302121637399E-2</c:v>
                </c:pt>
                <c:pt idx="263">
                  <c:v>3.8241302121637399E-2</c:v>
                </c:pt>
                <c:pt idx="264">
                  <c:v>3.8241302121637399E-2</c:v>
                </c:pt>
                <c:pt idx="265">
                  <c:v>3.8241302121637399E-2</c:v>
                </c:pt>
                <c:pt idx="266">
                  <c:v>3.8241302121637399E-2</c:v>
                </c:pt>
                <c:pt idx="267">
                  <c:v>3.8241302121637399E-2</c:v>
                </c:pt>
                <c:pt idx="268">
                  <c:v>3.8241302121637399E-2</c:v>
                </c:pt>
                <c:pt idx="269">
                  <c:v>3.8241302121637399E-2</c:v>
                </c:pt>
                <c:pt idx="270">
                  <c:v>3.8241302121637399E-2</c:v>
                </c:pt>
                <c:pt idx="271">
                  <c:v>2.2072140069135118E-2</c:v>
                </c:pt>
                <c:pt idx="272">
                  <c:v>9.954090162525988E-3</c:v>
                </c:pt>
                <c:pt idx="273">
                  <c:v>-1.9436590671626123E-2</c:v>
                </c:pt>
                <c:pt idx="274">
                  <c:v>-4.7739721290919981E-2</c:v>
                </c:pt>
                <c:pt idx="275">
                  <c:v>-8.4230529114946703E-2</c:v>
                </c:pt>
                <c:pt idx="276">
                  <c:v>-8.4230529114946703E-2</c:v>
                </c:pt>
                <c:pt idx="277">
                  <c:v>-8.4230529114946703E-2</c:v>
                </c:pt>
                <c:pt idx="278">
                  <c:v>-8.4230529114946703E-2</c:v>
                </c:pt>
                <c:pt idx="279">
                  <c:v>-8.4230529114946703E-2</c:v>
                </c:pt>
                <c:pt idx="280">
                  <c:v>-8.4230529114946703E-2</c:v>
                </c:pt>
                <c:pt idx="281">
                  <c:v>-8.4230529114946703E-2</c:v>
                </c:pt>
                <c:pt idx="282">
                  <c:v>-8.4230529114946703E-2</c:v>
                </c:pt>
                <c:pt idx="283">
                  <c:v>-8.4230529114946703E-2</c:v>
                </c:pt>
                <c:pt idx="284">
                  <c:v>-8.4230529114946703E-2</c:v>
                </c:pt>
                <c:pt idx="285">
                  <c:v>-8.4230529114946703E-2</c:v>
                </c:pt>
                <c:pt idx="286">
                  <c:v>-8.4230529114946703E-2</c:v>
                </c:pt>
                <c:pt idx="287">
                  <c:v>-8.4230529114946703E-2</c:v>
                </c:pt>
                <c:pt idx="288">
                  <c:v>-8.4230529114946703E-2</c:v>
                </c:pt>
                <c:pt idx="289">
                  <c:v>-8.4230529114946703E-2</c:v>
                </c:pt>
                <c:pt idx="290">
                  <c:v>-8.4230529114946703E-2</c:v>
                </c:pt>
                <c:pt idx="291">
                  <c:v>-8.4230529114946703E-2</c:v>
                </c:pt>
                <c:pt idx="292">
                  <c:v>-8.4230529114946703E-2</c:v>
                </c:pt>
                <c:pt idx="293">
                  <c:v>-8.4230529114946703E-2</c:v>
                </c:pt>
                <c:pt idx="294">
                  <c:v>-8.4230529114946703E-2</c:v>
                </c:pt>
                <c:pt idx="295">
                  <c:v>-8.4230529114946703E-2</c:v>
                </c:pt>
                <c:pt idx="296">
                  <c:v>-8.4230529114946703E-2</c:v>
                </c:pt>
                <c:pt idx="297">
                  <c:v>-8.4230529114946703E-2</c:v>
                </c:pt>
                <c:pt idx="298">
                  <c:v>-8.4230529114946703E-2</c:v>
                </c:pt>
                <c:pt idx="299">
                  <c:v>-8.4230529114946703E-2</c:v>
                </c:pt>
                <c:pt idx="300">
                  <c:v>-8.4230529114946703E-2</c:v>
                </c:pt>
                <c:pt idx="301">
                  <c:v>-8.4230529114946703E-2</c:v>
                </c:pt>
                <c:pt idx="302">
                  <c:v>-8.4230529114946703E-2</c:v>
                </c:pt>
                <c:pt idx="303">
                  <c:v>-8.4230529114946703E-2</c:v>
                </c:pt>
                <c:pt idx="304">
                  <c:v>-4.9596000625857048E-2</c:v>
                </c:pt>
                <c:pt idx="305">
                  <c:v>-4.9596000625857048E-2</c:v>
                </c:pt>
                <c:pt idx="306">
                  <c:v>-4.9596000625857048E-2</c:v>
                </c:pt>
                <c:pt idx="307">
                  <c:v>-4.9596000625857048E-2</c:v>
                </c:pt>
                <c:pt idx="308">
                  <c:v>-4.9596000625857048E-2</c:v>
                </c:pt>
                <c:pt idx="309">
                  <c:v>-4.9596000625857048E-2</c:v>
                </c:pt>
                <c:pt idx="310">
                  <c:v>-4.9596000625857048E-2</c:v>
                </c:pt>
                <c:pt idx="311">
                  <c:v>-4.9596000625857048E-2</c:v>
                </c:pt>
                <c:pt idx="312">
                  <c:v>-4.9596000625857048E-2</c:v>
                </c:pt>
                <c:pt idx="313">
                  <c:v>-4.9596000625857048E-2</c:v>
                </c:pt>
                <c:pt idx="314">
                  <c:v>-3.6009739031892293E-2</c:v>
                </c:pt>
                <c:pt idx="315">
                  <c:v>-3.6009739031892293E-2</c:v>
                </c:pt>
                <c:pt idx="316">
                  <c:v>-3.6009739031892293E-2</c:v>
                </c:pt>
                <c:pt idx="317">
                  <c:v>-3.6009739031892293E-2</c:v>
                </c:pt>
                <c:pt idx="318">
                  <c:v>-3.6009739031892293E-2</c:v>
                </c:pt>
                <c:pt idx="319">
                  <c:v>-3.6009739031892293E-2</c:v>
                </c:pt>
                <c:pt idx="320">
                  <c:v>-3.6009739031892293E-2</c:v>
                </c:pt>
                <c:pt idx="321">
                  <c:v>-3.6009739031892293E-2</c:v>
                </c:pt>
                <c:pt idx="322">
                  <c:v>-3.6009739031892293E-2</c:v>
                </c:pt>
                <c:pt idx="323">
                  <c:v>1.7282519470459706E-2</c:v>
                </c:pt>
                <c:pt idx="324">
                  <c:v>8.2074609765292517E-2</c:v>
                </c:pt>
                <c:pt idx="325">
                  <c:v>8.2074609765292517E-2</c:v>
                </c:pt>
                <c:pt idx="326">
                  <c:v>8.2074609765292517E-2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6E-430B-A46F-3B082286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615183"/>
        <c:axId val="1732614703"/>
      </c:lineChart>
      <c:dateAx>
        <c:axId val="173261518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2614703"/>
        <c:crosses val="autoZero"/>
        <c:auto val="1"/>
        <c:lblOffset val="100"/>
        <c:baseTimeUnit val="days"/>
        <c:majorUnit val="3"/>
        <c:majorTimeUnit val="months"/>
      </c:dateAx>
      <c:valAx>
        <c:axId val="17326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26151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032561919607766"/>
          <c:y val="0.16200776129339231"/>
          <c:w val="0.37514120379622595"/>
          <c:h val="0.60493429655794917"/>
        </c:manualLayout>
      </c:layout>
      <c:radarChart>
        <c:radarStyle val="marker"/>
        <c:varyColors val="0"/>
        <c:ser>
          <c:idx val="0"/>
          <c:order val="0"/>
          <c:tx>
            <c:strRef>
              <c:f>Valuación!$B$16</c:f>
              <c:strCache>
                <c:ptCount val="1"/>
                <c:pt idx="0">
                  <c:v>TGSU2 AR EQUITY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Valuación!$C$16:$H$16</c:f>
              <c:numCache>
                <c:formatCode>_(* #,##0.0000_);_(* \(#,##0.0000\);_(* "-"????_);_(@_)</c:formatCode>
                <c:ptCount val="6"/>
                <c:pt idx="0">
                  <c:v>1</c:v>
                </c:pt>
                <c:pt idx="1">
                  <c:v>0.52125024287883315</c:v>
                </c:pt>
                <c:pt idx="2">
                  <c:v>0.2677497449857883</c:v>
                </c:pt>
                <c:pt idx="3">
                  <c:v>0.55642484776135792</c:v>
                </c:pt>
                <c:pt idx="4">
                  <c:v>1</c:v>
                </c:pt>
                <c:pt idx="5">
                  <c:v>0.54501357202476119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6-49AA-AADE-53D7085EE011}"/>
            </c:ext>
          </c:extLst>
        </c:ser>
        <c:ser>
          <c:idx val="1"/>
          <c:order val="1"/>
          <c:tx>
            <c:strRef>
              <c:f>Valuación!$B$17</c:f>
              <c:strCache>
                <c:ptCount val="1"/>
                <c:pt idx="0">
                  <c:v>TGNO4 AR EQUITY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Valuación!$C$17:$H$17</c:f>
              <c:numCache>
                <c:formatCode>_(* #,##0.0000_);_(* \(#,##0.0000\);_(* "-"????_);_(@_)</c:formatCode>
                <c:ptCount val="6"/>
                <c:pt idx="0">
                  <c:v>0.52589741016206848</c:v>
                </c:pt>
                <c:pt idx="1">
                  <c:v>7.5796366340529497E-2</c:v>
                </c:pt>
                <c:pt idx="2">
                  <c:v>0</c:v>
                </c:pt>
                <c:pt idx="3">
                  <c:v>0.1342459913010618</c:v>
                </c:pt>
                <c:pt idx="4">
                  <c:v>0.29091984595354442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6-49AA-AADE-53D7085EE011}"/>
            </c:ext>
          </c:extLst>
        </c:ser>
        <c:ser>
          <c:idx val="2"/>
          <c:order val="2"/>
          <c:tx>
            <c:strRef>
              <c:f>Valuación!$B$18</c:f>
              <c:strCache>
                <c:ptCount val="1"/>
                <c:pt idx="0">
                  <c:v>YPFD AR EQUITY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Valuación!$C$18:$H$18</c:f>
              <c:numCache>
                <c:formatCode>_(* #,##0.0000_);_(* \(#,##0.0000\);_(* "-"????_);_(@_)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0.93390804167910546</c:v>
                </c:pt>
                <c:pt idx="3">
                  <c:v>0.21784156126562809</c:v>
                </c:pt>
                <c:pt idx="4">
                  <c:v>0.30987733656763278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6-49AA-AADE-53D7085EE011}"/>
            </c:ext>
          </c:extLst>
        </c:ser>
        <c:ser>
          <c:idx val="3"/>
          <c:order val="3"/>
          <c:tx>
            <c:strRef>
              <c:f>Valuación!$B$19</c:f>
              <c:strCache>
                <c:ptCount val="1"/>
                <c:pt idx="0">
                  <c:v>PAMP AR EQUITY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Valuación!$C$19:$H$19</c:f>
              <c:numCache>
                <c:formatCode>_(* #,##0.0000_);_(* \(#,##0.0000\);_(* "-"????_);_(@_)</c:formatCode>
                <c:ptCount val="6"/>
                <c:pt idx="0">
                  <c:v>0.67514453549358544</c:v>
                </c:pt>
                <c:pt idx="1">
                  <c:v>0.14932169296290518</c:v>
                </c:pt>
                <c:pt idx="2">
                  <c:v>1</c:v>
                </c:pt>
                <c:pt idx="3">
                  <c:v>0.81507368229436061</c:v>
                </c:pt>
                <c:pt idx="4">
                  <c:v>0.74120001477615038</c:v>
                </c:pt>
                <c:pt idx="5">
                  <c:v>0.21849744232753648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46-49AA-AADE-53D7085EE011}"/>
            </c:ext>
          </c:extLst>
        </c:ser>
        <c:ser>
          <c:idx val="4"/>
          <c:order val="4"/>
          <c:tx>
            <c:strRef>
              <c:f>Valuación!$B$20</c:f>
              <c:strCache>
                <c:ptCount val="1"/>
                <c:pt idx="0">
                  <c:v>CEPU AR EQUITY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Valuación!$C$20:$H$20</c:f>
              <c:numCache>
                <c:formatCode>_(* #,##0.0000_);_(* \(#,##0.0000\);_(* "-"????_);_(@_)</c:formatCode>
                <c:ptCount val="6"/>
                <c:pt idx="0">
                  <c:v>0.54371764205748385</c:v>
                </c:pt>
                <c:pt idx="1">
                  <c:v>4.0011812112624882E-2</c:v>
                </c:pt>
                <c:pt idx="2">
                  <c:v>0.92691573742785005</c:v>
                </c:pt>
                <c:pt idx="3">
                  <c:v>1</c:v>
                </c:pt>
                <c:pt idx="4">
                  <c:v>0.70265673038341148</c:v>
                </c:pt>
                <c:pt idx="5">
                  <c:v>0.47526107117941152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46-49AA-AADE-53D7085EE011}"/>
            </c:ext>
          </c:extLst>
        </c:ser>
        <c:ser>
          <c:idx val="5"/>
          <c:order val="5"/>
          <c:tx>
            <c:strRef>
              <c:f>Valuación!$B$21</c:f>
              <c:strCache>
                <c:ptCount val="1"/>
                <c:pt idx="0">
                  <c:v>TRAN AR EQUITY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Valuación!$C$21:$H$21</c:f>
              <c:numCache>
                <c:formatCode>_(* #,##0.0000_);_(* \(#,##0.0000\);_(* "-"????_);_(@_)</c:formatCode>
                <c:ptCount val="6"/>
                <c:pt idx="0">
                  <c:v>0.36078765754629422</c:v>
                </c:pt>
                <c:pt idx="1">
                  <c:v>0</c:v>
                </c:pt>
                <c:pt idx="2">
                  <c:v>0.26932462790285944</c:v>
                </c:pt>
                <c:pt idx="3">
                  <c:v>2.3923639157407632E-2</c:v>
                </c:pt>
                <c:pt idx="4">
                  <c:v>0.2339524601259636</c:v>
                </c:pt>
                <c:pt idx="5">
                  <c:v>0.14555987080505234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46-49AA-AADE-53D7085EE011}"/>
            </c:ext>
          </c:extLst>
        </c:ser>
        <c:ser>
          <c:idx val="6"/>
          <c:order val="6"/>
          <c:tx>
            <c:strRef>
              <c:f>Valuación!$B$22</c:f>
              <c:strCache>
                <c:ptCount val="1"/>
                <c:pt idx="0">
                  <c:v>METR AR EQUITY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Valuación!$C$22:$H$22</c:f>
              <c:numCache>
                <c:formatCode>_(* #,##0.0000_);_(* \(#,##0.0000\);_(* "-"????_);_(@_)</c:formatCode>
                <c:ptCount val="6"/>
                <c:pt idx="0">
                  <c:v>0.79723336434049552</c:v>
                </c:pt>
                <c:pt idx="1">
                  <c:v>0.11280453995664587</c:v>
                </c:pt>
                <c:pt idx="2">
                  <c:v>0.32485196185409759</c:v>
                </c:pt>
                <c:pt idx="3">
                  <c:v>0</c:v>
                </c:pt>
                <c:pt idx="4">
                  <c:v>0</c:v>
                </c:pt>
                <c:pt idx="5">
                  <c:v>0.38504791711527886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46-49AA-AADE-53D7085EE011}"/>
            </c:ext>
          </c:extLst>
        </c:ser>
        <c:ser>
          <c:idx val="7"/>
          <c:order val="7"/>
          <c:tx>
            <c:strRef>
              <c:f>Valuación!$B$23</c:f>
              <c:strCache>
                <c:ptCount val="1"/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Valuación!$C$15:$H$15</c:f>
              <c:strCache>
                <c:ptCount val="6"/>
                <c:pt idx="0">
                  <c:v>PE Ratio</c:v>
                </c:pt>
                <c:pt idx="1">
                  <c:v>Price to Book</c:v>
                </c:pt>
                <c:pt idx="2">
                  <c:v>Net Debt to Ebitda</c:v>
                </c:pt>
                <c:pt idx="3">
                  <c:v>EV to Ebitda 12TM</c:v>
                </c:pt>
                <c:pt idx="4">
                  <c:v>EV to Sales 12TM</c:v>
                </c:pt>
                <c:pt idx="5">
                  <c:v>EV to Invested Capital</c:v>
                </c:pt>
              </c:strCache>
            </c:strRef>
          </c:cat>
          <c:val>
            <c:numRef>
              <c:f>Valuación!$C$23:$H$23</c:f>
              <c:numCache>
                <c:formatCode>_(* #,##0.0000_);_(* \(#,##0.0000\);_(* "-"????_);_(@_)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6146-49AA-AADE-53D7085EE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817391"/>
        <c:axId val="1717817871"/>
      </c:radarChart>
      <c:catAx>
        <c:axId val="171781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7817871"/>
        <c:crosses val="autoZero"/>
        <c:auto val="1"/>
        <c:lblAlgn val="ctr"/>
        <c:lblOffset val="100"/>
        <c:noMultiLvlLbl val="0"/>
      </c:catAx>
      <c:valAx>
        <c:axId val="17178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781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25421124389913"/>
          <c:y val="0.85356896605558485"/>
          <c:w val="0.81074578875610093"/>
          <c:h val="0.117326899868315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DEBT</a:t>
            </a:r>
            <a:r>
              <a:rPr lang="en-US" baseline="0"/>
              <a:t> / EBITDA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767330554268949E-2"/>
          <c:y val="0.11802707810173657"/>
          <c:w val="0.93924001852709571"/>
          <c:h val="0.71866279497679264"/>
        </c:manualLayout>
      </c:layout>
      <c:lineChart>
        <c:grouping val="standard"/>
        <c:varyColors val="0"/>
        <c:ser>
          <c:idx val="0"/>
          <c:order val="0"/>
          <c:tx>
            <c:strRef>
              <c:f>Base!$B$4</c:f>
              <c:strCache>
                <c:ptCount val="1"/>
                <c:pt idx="0">
                  <c:v>CEPU AR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Base!$F$6:$F$2000</c:f>
              <c:numCache>
                <c:formatCode>General</c:formatCode>
                <c:ptCount val="1995"/>
                <c:pt idx="0">
                  <c:v>0.84550000000000003</c:v>
                </c:pt>
                <c:pt idx="1">
                  <c:v>0.84550000000000003</c:v>
                </c:pt>
                <c:pt idx="2">
                  <c:v>0.84550000000000003</c:v>
                </c:pt>
                <c:pt idx="3">
                  <c:v>0.84550000000000003</c:v>
                </c:pt>
                <c:pt idx="4">
                  <c:v>0.84550000000000003</c:v>
                </c:pt>
                <c:pt idx="5">
                  <c:v>0.84550000000000003</c:v>
                </c:pt>
                <c:pt idx="6">
                  <c:v>0.84550000000000003</c:v>
                </c:pt>
                <c:pt idx="7">
                  <c:v>0.84550000000000003</c:v>
                </c:pt>
                <c:pt idx="8">
                  <c:v>0.84550000000000003</c:v>
                </c:pt>
                <c:pt idx="9">
                  <c:v>0.84550000000000003</c:v>
                </c:pt>
                <c:pt idx="10">
                  <c:v>0.84550000000000003</c:v>
                </c:pt>
                <c:pt idx="11">
                  <c:v>0.84550000000000003</c:v>
                </c:pt>
                <c:pt idx="12">
                  <c:v>0.84550000000000003</c:v>
                </c:pt>
                <c:pt idx="13">
                  <c:v>0.56340000000000001</c:v>
                </c:pt>
                <c:pt idx="14">
                  <c:v>0.56340000000000001</c:v>
                </c:pt>
                <c:pt idx="15">
                  <c:v>0.56340000000000001</c:v>
                </c:pt>
                <c:pt idx="16">
                  <c:v>0.56340000000000001</c:v>
                </c:pt>
                <c:pt idx="17">
                  <c:v>0.56340000000000001</c:v>
                </c:pt>
                <c:pt idx="18">
                  <c:v>0.56340000000000001</c:v>
                </c:pt>
                <c:pt idx="19">
                  <c:v>0.56340000000000001</c:v>
                </c:pt>
                <c:pt idx="20">
                  <c:v>0.56340000000000001</c:v>
                </c:pt>
                <c:pt idx="21">
                  <c:v>0.56340000000000001</c:v>
                </c:pt>
                <c:pt idx="22">
                  <c:v>0.56340000000000001</c:v>
                </c:pt>
                <c:pt idx="23">
                  <c:v>0.56340000000000001</c:v>
                </c:pt>
                <c:pt idx="24">
                  <c:v>0.56340000000000001</c:v>
                </c:pt>
                <c:pt idx="25">
                  <c:v>0.56340000000000001</c:v>
                </c:pt>
                <c:pt idx="26">
                  <c:v>0.59940000000000004</c:v>
                </c:pt>
                <c:pt idx="27">
                  <c:v>0.59940000000000004</c:v>
                </c:pt>
                <c:pt idx="28">
                  <c:v>0.59940000000000004</c:v>
                </c:pt>
                <c:pt idx="29">
                  <c:v>0.59940000000000004</c:v>
                </c:pt>
                <c:pt idx="30">
                  <c:v>0.59940000000000004</c:v>
                </c:pt>
                <c:pt idx="31">
                  <c:v>0.59940000000000004</c:v>
                </c:pt>
                <c:pt idx="32">
                  <c:v>0.59940000000000004</c:v>
                </c:pt>
                <c:pt idx="33">
                  <c:v>0.59940000000000004</c:v>
                </c:pt>
                <c:pt idx="34">
                  <c:v>0.59940000000000004</c:v>
                </c:pt>
                <c:pt idx="35">
                  <c:v>0.59940000000000004</c:v>
                </c:pt>
                <c:pt idx="36">
                  <c:v>0.59940000000000004</c:v>
                </c:pt>
                <c:pt idx="37">
                  <c:v>0.59940000000000004</c:v>
                </c:pt>
                <c:pt idx="38">
                  <c:v>0.59940000000000004</c:v>
                </c:pt>
                <c:pt idx="39">
                  <c:v>0.67700000000000005</c:v>
                </c:pt>
                <c:pt idx="40">
                  <c:v>0.67700000000000005</c:v>
                </c:pt>
                <c:pt idx="41">
                  <c:v>0.67700000000000005</c:v>
                </c:pt>
                <c:pt idx="42">
                  <c:v>0.67700000000000005</c:v>
                </c:pt>
                <c:pt idx="43">
                  <c:v>0.67700000000000005</c:v>
                </c:pt>
                <c:pt idx="44">
                  <c:v>0.67700000000000005</c:v>
                </c:pt>
                <c:pt idx="45">
                  <c:v>0.67700000000000005</c:v>
                </c:pt>
                <c:pt idx="46">
                  <c:v>0.67700000000000005</c:v>
                </c:pt>
                <c:pt idx="47">
                  <c:v>0.67700000000000005</c:v>
                </c:pt>
                <c:pt idx="48">
                  <c:v>0.67700000000000005</c:v>
                </c:pt>
                <c:pt idx="49">
                  <c:v>0.67700000000000005</c:v>
                </c:pt>
                <c:pt idx="50">
                  <c:v>0.67700000000000005</c:v>
                </c:pt>
                <c:pt idx="51">
                  <c:v>0.67700000000000005</c:v>
                </c:pt>
                <c:pt idx="52">
                  <c:v>0.57509999999999994</c:v>
                </c:pt>
                <c:pt idx="53">
                  <c:v>0.57509999999999994</c:v>
                </c:pt>
                <c:pt idx="54">
                  <c:v>0.57509999999999994</c:v>
                </c:pt>
                <c:pt idx="55">
                  <c:v>0.57509999999999994</c:v>
                </c:pt>
                <c:pt idx="56">
                  <c:v>0.57509999999999994</c:v>
                </c:pt>
                <c:pt idx="57">
                  <c:v>0.57509999999999994</c:v>
                </c:pt>
                <c:pt idx="58">
                  <c:v>0.57509999999999994</c:v>
                </c:pt>
                <c:pt idx="59">
                  <c:v>0.57509999999999994</c:v>
                </c:pt>
                <c:pt idx="60">
                  <c:v>0.57509999999999994</c:v>
                </c:pt>
                <c:pt idx="61">
                  <c:v>0.57509999999999994</c:v>
                </c:pt>
                <c:pt idx="62">
                  <c:v>0.57509999999999994</c:v>
                </c:pt>
                <c:pt idx="63">
                  <c:v>0.57509999999999994</c:v>
                </c:pt>
                <c:pt idx="64">
                  <c:v>0.57509999999999994</c:v>
                </c:pt>
                <c:pt idx="65">
                  <c:v>0.73450000000000004</c:v>
                </c:pt>
                <c:pt idx="66">
                  <c:v>0.73450000000000004</c:v>
                </c:pt>
                <c:pt idx="67">
                  <c:v>0.73450000000000004</c:v>
                </c:pt>
                <c:pt idx="68">
                  <c:v>0.73450000000000004</c:v>
                </c:pt>
                <c:pt idx="69">
                  <c:v>0.73450000000000004</c:v>
                </c:pt>
                <c:pt idx="70">
                  <c:v>0.73450000000000004</c:v>
                </c:pt>
                <c:pt idx="71">
                  <c:v>0.73450000000000004</c:v>
                </c:pt>
                <c:pt idx="72">
                  <c:v>0.73450000000000004</c:v>
                </c:pt>
                <c:pt idx="73">
                  <c:v>0.73450000000000004</c:v>
                </c:pt>
                <c:pt idx="74">
                  <c:v>0.73450000000000004</c:v>
                </c:pt>
                <c:pt idx="75">
                  <c:v>0.73450000000000004</c:v>
                </c:pt>
                <c:pt idx="76">
                  <c:v>0.73450000000000004</c:v>
                </c:pt>
                <c:pt idx="77">
                  <c:v>0.73450000000000004</c:v>
                </c:pt>
                <c:pt idx="78">
                  <c:v>1.2421</c:v>
                </c:pt>
                <c:pt idx="79">
                  <c:v>1.2421</c:v>
                </c:pt>
                <c:pt idx="80">
                  <c:v>1.2421</c:v>
                </c:pt>
                <c:pt idx="81">
                  <c:v>1.2421</c:v>
                </c:pt>
                <c:pt idx="82">
                  <c:v>1.2421</c:v>
                </c:pt>
                <c:pt idx="83">
                  <c:v>1.2421</c:v>
                </c:pt>
                <c:pt idx="84">
                  <c:v>1.2421</c:v>
                </c:pt>
                <c:pt idx="85">
                  <c:v>1.2421</c:v>
                </c:pt>
                <c:pt idx="86">
                  <c:v>1.2421</c:v>
                </c:pt>
                <c:pt idx="87">
                  <c:v>1.2421</c:v>
                </c:pt>
                <c:pt idx="88">
                  <c:v>1.2421</c:v>
                </c:pt>
                <c:pt idx="89">
                  <c:v>1.2421</c:v>
                </c:pt>
                <c:pt idx="90">
                  <c:v>1.2421</c:v>
                </c:pt>
                <c:pt idx="91">
                  <c:v>0.93989999999999996</c:v>
                </c:pt>
                <c:pt idx="92">
                  <c:v>0.93989999999999996</c:v>
                </c:pt>
                <c:pt idx="93">
                  <c:v>0.93989999999999996</c:v>
                </c:pt>
                <c:pt idx="94">
                  <c:v>0.93989999999999996</c:v>
                </c:pt>
                <c:pt idx="95">
                  <c:v>0.93989999999999996</c:v>
                </c:pt>
                <c:pt idx="96">
                  <c:v>0.93989999999999996</c:v>
                </c:pt>
                <c:pt idx="97">
                  <c:v>0.93989999999999996</c:v>
                </c:pt>
                <c:pt idx="98">
                  <c:v>0.93989999999999996</c:v>
                </c:pt>
                <c:pt idx="99">
                  <c:v>0.93989999999999996</c:v>
                </c:pt>
                <c:pt idx="100">
                  <c:v>0.93989999999999996</c:v>
                </c:pt>
                <c:pt idx="101">
                  <c:v>0.93989999999999996</c:v>
                </c:pt>
                <c:pt idx="102">
                  <c:v>0.93989999999999996</c:v>
                </c:pt>
                <c:pt idx="103">
                  <c:v>0.93989999999999996</c:v>
                </c:pt>
                <c:pt idx="104">
                  <c:v>1.3402000000000001</c:v>
                </c:pt>
                <c:pt idx="105">
                  <c:v>1.3402000000000001</c:v>
                </c:pt>
                <c:pt idx="106">
                  <c:v>1.3402000000000001</c:v>
                </c:pt>
                <c:pt idx="107">
                  <c:v>1.3402000000000001</c:v>
                </c:pt>
                <c:pt idx="108">
                  <c:v>1.3402000000000001</c:v>
                </c:pt>
                <c:pt idx="109">
                  <c:v>1.3402000000000001</c:v>
                </c:pt>
                <c:pt idx="110">
                  <c:v>1.3402000000000001</c:v>
                </c:pt>
                <c:pt idx="111">
                  <c:v>1.3402000000000001</c:v>
                </c:pt>
                <c:pt idx="112">
                  <c:v>1.3402000000000001</c:v>
                </c:pt>
                <c:pt idx="113">
                  <c:v>1.3402000000000001</c:v>
                </c:pt>
                <c:pt idx="114">
                  <c:v>1.3402000000000001</c:v>
                </c:pt>
                <c:pt idx="115">
                  <c:v>1.3402000000000001</c:v>
                </c:pt>
                <c:pt idx="116">
                  <c:v>1.3402000000000001</c:v>
                </c:pt>
                <c:pt idx="117">
                  <c:v>0.8931</c:v>
                </c:pt>
                <c:pt idx="118">
                  <c:v>0.8931</c:v>
                </c:pt>
                <c:pt idx="119">
                  <c:v>0.8931</c:v>
                </c:pt>
                <c:pt idx="120">
                  <c:v>0.8931</c:v>
                </c:pt>
                <c:pt idx="121">
                  <c:v>0.8931</c:v>
                </c:pt>
                <c:pt idx="122">
                  <c:v>0.8931</c:v>
                </c:pt>
                <c:pt idx="123">
                  <c:v>0.8931</c:v>
                </c:pt>
                <c:pt idx="124">
                  <c:v>0.8931</c:v>
                </c:pt>
                <c:pt idx="125">
                  <c:v>0.8931</c:v>
                </c:pt>
                <c:pt idx="126">
                  <c:v>0.8931</c:v>
                </c:pt>
                <c:pt idx="127">
                  <c:v>0.8931</c:v>
                </c:pt>
                <c:pt idx="128">
                  <c:v>0.8931</c:v>
                </c:pt>
                <c:pt idx="129">
                  <c:v>0.8931</c:v>
                </c:pt>
                <c:pt idx="130">
                  <c:v>0.63239999999999996</c:v>
                </c:pt>
                <c:pt idx="131">
                  <c:v>0.63239999999999996</c:v>
                </c:pt>
                <c:pt idx="132">
                  <c:v>0.63239999999999996</c:v>
                </c:pt>
                <c:pt idx="133">
                  <c:v>0.63239999999999996</c:v>
                </c:pt>
                <c:pt idx="134">
                  <c:v>0.63239999999999996</c:v>
                </c:pt>
                <c:pt idx="135">
                  <c:v>0.63239999999999996</c:v>
                </c:pt>
                <c:pt idx="136">
                  <c:v>0.63239999999999996</c:v>
                </c:pt>
                <c:pt idx="137">
                  <c:v>0.63239999999999996</c:v>
                </c:pt>
                <c:pt idx="138">
                  <c:v>0.63239999999999996</c:v>
                </c:pt>
                <c:pt idx="139">
                  <c:v>0.63239999999999996</c:v>
                </c:pt>
                <c:pt idx="140">
                  <c:v>0.63239999999999996</c:v>
                </c:pt>
                <c:pt idx="141">
                  <c:v>0.63239999999999996</c:v>
                </c:pt>
                <c:pt idx="142">
                  <c:v>0.63239999999999996</c:v>
                </c:pt>
                <c:pt idx="143">
                  <c:v>0.41749999999999998</c:v>
                </c:pt>
                <c:pt idx="144">
                  <c:v>0.41749999999999998</c:v>
                </c:pt>
                <c:pt idx="145">
                  <c:v>0.41749999999999998</c:v>
                </c:pt>
                <c:pt idx="146">
                  <c:v>0.41749999999999998</c:v>
                </c:pt>
                <c:pt idx="147">
                  <c:v>0.41749999999999998</c:v>
                </c:pt>
                <c:pt idx="148">
                  <c:v>0.41749999999999998</c:v>
                </c:pt>
                <c:pt idx="149">
                  <c:v>0.41749999999999998</c:v>
                </c:pt>
                <c:pt idx="150">
                  <c:v>0.41749999999999998</c:v>
                </c:pt>
                <c:pt idx="151">
                  <c:v>0.41749999999999998</c:v>
                </c:pt>
                <c:pt idx="152">
                  <c:v>0.41749999999999998</c:v>
                </c:pt>
                <c:pt idx="153">
                  <c:v>0.41749999999999998</c:v>
                </c:pt>
                <c:pt idx="154">
                  <c:v>0.41749999999999998</c:v>
                </c:pt>
                <c:pt idx="155">
                  <c:v>0.41749999999999998</c:v>
                </c:pt>
                <c:pt idx="156">
                  <c:v>0.2482</c:v>
                </c:pt>
                <c:pt idx="157">
                  <c:v>0.2482</c:v>
                </c:pt>
                <c:pt idx="158">
                  <c:v>0.2482</c:v>
                </c:pt>
                <c:pt idx="159">
                  <c:v>0.2482</c:v>
                </c:pt>
                <c:pt idx="160">
                  <c:v>0.2482</c:v>
                </c:pt>
                <c:pt idx="161">
                  <c:v>0.2482</c:v>
                </c:pt>
                <c:pt idx="162">
                  <c:v>0.2482</c:v>
                </c:pt>
                <c:pt idx="163">
                  <c:v>0.2482</c:v>
                </c:pt>
                <c:pt idx="164">
                  <c:v>0.2482</c:v>
                </c:pt>
                <c:pt idx="165">
                  <c:v>0.2482</c:v>
                </c:pt>
                <c:pt idx="166">
                  <c:v>0.2482</c:v>
                </c:pt>
                <c:pt idx="167">
                  <c:v>0.2482</c:v>
                </c:pt>
                <c:pt idx="168">
                  <c:v>0.2482</c:v>
                </c:pt>
                <c:pt idx="169">
                  <c:v>5.8599999999999999E-2</c:v>
                </c:pt>
                <c:pt idx="170">
                  <c:v>5.8599999999999999E-2</c:v>
                </c:pt>
                <c:pt idx="171">
                  <c:v>5.8599999999999999E-2</c:v>
                </c:pt>
                <c:pt idx="172">
                  <c:v>5.8599999999999999E-2</c:v>
                </c:pt>
                <c:pt idx="173">
                  <c:v>5.8599999999999999E-2</c:v>
                </c:pt>
                <c:pt idx="174">
                  <c:v>5.8599999999999999E-2</c:v>
                </c:pt>
                <c:pt idx="175">
                  <c:v>5.8599999999999999E-2</c:v>
                </c:pt>
                <c:pt idx="176">
                  <c:v>5.8599999999999999E-2</c:v>
                </c:pt>
                <c:pt idx="177">
                  <c:v>5.8599999999999999E-2</c:v>
                </c:pt>
                <c:pt idx="178">
                  <c:v>5.8599999999999999E-2</c:v>
                </c:pt>
                <c:pt idx="179">
                  <c:v>5.8599999999999999E-2</c:v>
                </c:pt>
                <c:pt idx="180">
                  <c:v>5.8599999999999999E-2</c:v>
                </c:pt>
                <c:pt idx="181">
                  <c:v>5.8599999999999999E-2</c:v>
                </c:pt>
                <c:pt idx="182">
                  <c:v>1.4984</c:v>
                </c:pt>
                <c:pt idx="183">
                  <c:v>1.4984</c:v>
                </c:pt>
                <c:pt idx="184">
                  <c:v>1.4984</c:v>
                </c:pt>
                <c:pt idx="185">
                  <c:v>1.4984</c:v>
                </c:pt>
                <c:pt idx="186">
                  <c:v>1.4984</c:v>
                </c:pt>
                <c:pt idx="187">
                  <c:v>1.4984</c:v>
                </c:pt>
                <c:pt idx="188">
                  <c:v>1.4984</c:v>
                </c:pt>
                <c:pt idx="189">
                  <c:v>1.4984</c:v>
                </c:pt>
                <c:pt idx="190">
                  <c:v>1.4984</c:v>
                </c:pt>
                <c:pt idx="191">
                  <c:v>1.4984</c:v>
                </c:pt>
                <c:pt idx="192">
                  <c:v>1.4984</c:v>
                </c:pt>
                <c:pt idx="193">
                  <c:v>1.4984</c:v>
                </c:pt>
                <c:pt idx="194">
                  <c:v>1.4984</c:v>
                </c:pt>
                <c:pt idx="195">
                  <c:v>0.21149999999999999</c:v>
                </c:pt>
                <c:pt idx="196">
                  <c:v>0.21149999999999999</c:v>
                </c:pt>
                <c:pt idx="197">
                  <c:v>0.21149999999999999</c:v>
                </c:pt>
                <c:pt idx="198">
                  <c:v>0.21149999999999999</c:v>
                </c:pt>
                <c:pt idx="199">
                  <c:v>0.21149999999999999</c:v>
                </c:pt>
                <c:pt idx="200">
                  <c:v>0.21149999999999999</c:v>
                </c:pt>
                <c:pt idx="201">
                  <c:v>0.21149999999999999</c:v>
                </c:pt>
                <c:pt idx="202">
                  <c:v>0.21149999999999999</c:v>
                </c:pt>
                <c:pt idx="203">
                  <c:v>0.21149999999999999</c:v>
                </c:pt>
                <c:pt idx="204">
                  <c:v>0.21149999999999999</c:v>
                </c:pt>
                <c:pt idx="205">
                  <c:v>0.21149999999999999</c:v>
                </c:pt>
                <c:pt idx="206">
                  <c:v>0.21149999999999999</c:v>
                </c:pt>
                <c:pt idx="207">
                  <c:v>0.21149999999999999</c:v>
                </c:pt>
                <c:pt idx="208">
                  <c:v>0.1075</c:v>
                </c:pt>
                <c:pt idx="209">
                  <c:v>0.1075</c:v>
                </c:pt>
                <c:pt idx="210">
                  <c:v>0.1075</c:v>
                </c:pt>
                <c:pt idx="211">
                  <c:v>0.1075</c:v>
                </c:pt>
                <c:pt idx="212">
                  <c:v>0.1075</c:v>
                </c:pt>
                <c:pt idx="213">
                  <c:v>0.1075</c:v>
                </c:pt>
                <c:pt idx="214">
                  <c:v>0.1075</c:v>
                </c:pt>
                <c:pt idx="215">
                  <c:v>0.1075</c:v>
                </c:pt>
                <c:pt idx="216">
                  <c:v>0.1075</c:v>
                </c:pt>
                <c:pt idx="217">
                  <c:v>0.1075</c:v>
                </c:pt>
                <c:pt idx="218">
                  <c:v>0.1075</c:v>
                </c:pt>
                <c:pt idx="219">
                  <c:v>0.1075</c:v>
                </c:pt>
                <c:pt idx="220">
                  <c:v>0.1075</c:v>
                </c:pt>
                <c:pt idx="221">
                  <c:v>4.48E-2</c:v>
                </c:pt>
                <c:pt idx="222">
                  <c:v>4.48E-2</c:v>
                </c:pt>
                <c:pt idx="223">
                  <c:v>4.48E-2</c:v>
                </c:pt>
                <c:pt idx="224">
                  <c:v>4.48E-2</c:v>
                </c:pt>
                <c:pt idx="225">
                  <c:v>4.48E-2</c:v>
                </c:pt>
                <c:pt idx="226">
                  <c:v>4.48E-2</c:v>
                </c:pt>
                <c:pt idx="227">
                  <c:v>4.48E-2</c:v>
                </c:pt>
                <c:pt idx="228">
                  <c:v>4.48E-2</c:v>
                </c:pt>
                <c:pt idx="229">
                  <c:v>4.48E-2</c:v>
                </c:pt>
                <c:pt idx="230">
                  <c:v>4.48E-2</c:v>
                </c:pt>
                <c:pt idx="231">
                  <c:v>4.48E-2</c:v>
                </c:pt>
                <c:pt idx="232">
                  <c:v>4.48E-2</c:v>
                </c:pt>
                <c:pt idx="233">
                  <c:v>4.48E-2</c:v>
                </c:pt>
                <c:pt idx="234">
                  <c:v>1.6415</c:v>
                </c:pt>
                <c:pt idx="235">
                  <c:v>1.6415</c:v>
                </c:pt>
                <c:pt idx="236">
                  <c:v>1.6415</c:v>
                </c:pt>
                <c:pt idx="237">
                  <c:v>1.6415</c:v>
                </c:pt>
                <c:pt idx="238">
                  <c:v>1.6415</c:v>
                </c:pt>
                <c:pt idx="239">
                  <c:v>1.6415</c:v>
                </c:pt>
                <c:pt idx="240">
                  <c:v>1.6415</c:v>
                </c:pt>
                <c:pt idx="241">
                  <c:v>1.6415</c:v>
                </c:pt>
                <c:pt idx="242">
                  <c:v>1.6415</c:v>
                </c:pt>
                <c:pt idx="243">
                  <c:v>1.6415</c:v>
                </c:pt>
                <c:pt idx="244">
                  <c:v>1.6415</c:v>
                </c:pt>
                <c:pt idx="245">
                  <c:v>1.6415</c:v>
                </c:pt>
                <c:pt idx="246">
                  <c:v>1.6415</c:v>
                </c:pt>
                <c:pt idx="247">
                  <c:v>0.54149999999999998</c:v>
                </c:pt>
                <c:pt idx="248">
                  <c:v>0.54149999999999998</c:v>
                </c:pt>
                <c:pt idx="249">
                  <c:v>0.54149999999999998</c:v>
                </c:pt>
                <c:pt idx="250">
                  <c:v>0.54149999999999998</c:v>
                </c:pt>
                <c:pt idx="251">
                  <c:v>0.54149999999999998</c:v>
                </c:pt>
                <c:pt idx="252">
                  <c:v>0.54149999999999998</c:v>
                </c:pt>
                <c:pt idx="253">
                  <c:v>0.54149999999999998</c:v>
                </c:pt>
                <c:pt idx="254">
                  <c:v>0.54149999999999998</c:v>
                </c:pt>
                <c:pt idx="255">
                  <c:v>0.54149999999999998</c:v>
                </c:pt>
                <c:pt idx="256">
                  <c:v>0.54149999999999998</c:v>
                </c:pt>
                <c:pt idx="257">
                  <c:v>0.54149999999999998</c:v>
                </c:pt>
                <c:pt idx="258">
                  <c:v>0.54149999999999998</c:v>
                </c:pt>
                <c:pt idx="259">
                  <c:v>0.54149999999999998</c:v>
                </c:pt>
                <c:pt idx="260">
                  <c:v>0.42949999999999999</c:v>
                </c:pt>
                <c:pt idx="261">
                  <c:v>0.42949999999999999</c:v>
                </c:pt>
                <c:pt idx="262">
                  <c:v>0.42949999999999999</c:v>
                </c:pt>
                <c:pt idx="263">
                  <c:v>0.42949999999999999</c:v>
                </c:pt>
                <c:pt idx="264">
                  <c:v>0.42949999999999999</c:v>
                </c:pt>
                <c:pt idx="265">
                  <c:v>0.42949999999999999</c:v>
                </c:pt>
                <c:pt idx="266">
                  <c:v>0.42949999999999999</c:v>
                </c:pt>
                <c:pt idx="267">
                  <c:v>0.42949999999999999</c:v>
                </c:pt>
                <c:pt idx="268">
                  <c:v>0.42949999999999999</c:v>
                </c:pt>
                <c:pt idx="269">
                  <c:v>0.42949999999999999</c:v>
                </c:pt>
                <c:pt idx="270">
                  <c:v>0.42949999999999999</c:v>
                </c:pt>
                <c:pt idx="271">
                  <c:v>0.42949999999999999</c:v>
                </c:pt>
                <c:pt idx="272">
                  <c:v>0.42949999999999999</c:v>
                </c:pt>
                <c:pt idx="273">
                  <c:v>0.42949999999999999</c:v>
                </c:pt>
                <c:pt idx="274">
                  <c:v>0.28089999999999998</c:v>
                </c:pt>
                <c:pt idx="275">
                  <c:v>0.28089999999999998</c:v>
                </c:pt>
                <c:pt idx="276">
                  <c:v>0.28089999999999998</c:v>
                </c:pt>
                <c:pt idx="277">
                  <c:v>0.28089999999999998</c:v>
                </c:pt>
                <c:pt idx="278">
                  <c:v>0.28089999999999998</c:v>
                </c:pt>
                <c:pt idx="279">
                  <c:v>0.28089999999999998</c:v>
                </c:pt>
                <c:pt idx="280">
                  <c:v>0.28089999999999998</c:v>
                </c:pt>
                <c:pt idx="281">
                  <c:v>0.28089999999999998</c:v>
                </c:pt>
                <c:pt idx="282">
                  <c:v>0.28089999999999998</c:v>
                </c:pt>
                <c:pt idx="283">
                  <c:v>0.28089999999999998</c:v>
                </c:pt>
                <c:pt idx="284">
                  <c:v>0.28089999999999998</c:v>
                </c:pt>
                <c:pt idx="285">
                  <c:v>0.28089999999999998</c:v>
                </c:pt>
                <c:pt idx="286">
                  <c:v>0.28089999999999998</c:v>
                </c:pt>
                <c:pt idx="287">
                  <c:v>0.58350000000000002</c:v>
                </c:pt>
                <c:pt idx="288">
                  <c:v>0.58350000000000002</c:v>
                </c:pt>
                <c:pt idx="289">
                  <c:v>0.58350000000000002</c:v>
                </c:pt>
                <c:pt idx="290">
                  <c:v>0.58350000000000002</c:v>
                </c:pt>
                <c:pt idx="291">
                  <c:v>0.58350000000000002</c:v>
                </c:pt>
                <c:pt idx="292">
                  <c:v>0.58350000000000002</c:v>
                </c:pt>
                <c:pt idx="293">
                  <c:v>0.58350000000000002</c:v>
                </c:pt>
                <c:pt idx="294">
                  <c:v>0.58350000000000002</c:v>
                </c:pt>
                <c:pt idx="295">
                  <c:v>0.58350000000000002</c:v>
                </c:pt>
                <c:pt idx="296">
                  <c:v>0.58350000000000002</c:v>
                </c:pt>
                <c:pt idx="297">
                  <c:v>0.58350000000000002</c:v>
                </c:pt>
                <c:pt idx="298">
                  <c:v>0.58350000000000002</c:v>
                </c:pt>
                <c:pt idx="299">
                  <c:v>0.58350000000000002</c:v>
                </c:pt>
                <c:pt idx="300">
                  <c:v>0.5232</c:v>
                </c:pt>
                <c:pt idx="301">
                  <c:v>0.5232</c:v>
                </c:pt>
                <c:pt idx="302">
                  <c:v>0.5232</c:v>
                </c:pt>
                <c:pt idx="303">
                  <c:v>0.5232</c:v>
                </c:pt>
                <c:pt idx="304">
                  <c:v>0.5232</c:v>
                </c:pt>
                <c:pt idx="305">
                  <c:v>0.5232</c:v>
                </c:pt>
                <c:pt idx="306">
                  <c:v>0.5232</c:v>
                </c:pt>
                <c:pt idx="307">
                  <c:v>0.5232</c:v>
                </c:pt>
                <c:pt idx="308">
                  <c:v>0.5232</c:v>
                </c:pt>
                <c:pt idx="309">
                  <c:v>0.5232</c:v>
                </c:pt>
                <c:pt idx="310">
                  <c:v>0.5232</c:v>
                </c:pt>
                <c:pt idx="311">
                  <c:v>0.5232</c:v>
                </c:pt>
                <c:pt idx="312">
                  <c:v>0.5232</c:v>
                </c:pt>
                <c:pt idx="313">
                  <c:v>0.61599999999999999</c:v>
                </c:pt>
                <c:pt idx="314">
                  <c:v>0.61599999999999999</c:v>
                </c:pt>
                <c:pt idx="315">
                  <c:v>0.61599999999999999</c:v>
                </c:pt>
                <c:pt idx="316">
                  <c:v>0.61599999999999999</c:v>
                </c:pt>
                <c:pt idx="317">
                  <c:v>0.61599999999999999</c:v>
                </c:pt>
                <c:pt idx="318">
                  <c:v>0.61599999999999999</c:v>
                </c:pt>
                <c:pt idx="319">
                  <c:v>0.61599999999999999</c:v>
                </c:pt>
                <c:pt idx="320">
                  <c:v>0.61599999999999999</c:v>
                </c:pt>
                <c:pt idx="321">
                  <c:v>0.61599999999999999</c:v>
                </c:pt>
                <c:pt idx="322">
                  <c:v>0.61599999999999999</c:v>
                </c:pt>
                <c:pt idx="323">
                  <c:v>0.61599999999999999</c:v>
                </c:pt>
                <c:pt idx="324">
                  <c:v>0.61599999999999999</c:v>
                </c:pt>
                <c:pt idx="325">
                  <c:v>0.61599999999999999</c:v>
                </c:pt>
                <c:pt idx="326">
                  <c:v>0.69059999999999999</c:v>
                </c:pt>
                <c:pt idx="327">
                  <c:v>0.69059999999999999</c:v>
                </c:pt>
                <c:pt idx="328">
                  <c:v>0.69059999999999999</c:v>
                </c:pt>
                <c:pt idx="329">
                  <c:v>0.69059999999999999</c:v>
                </c:pt>
                <c:pt idx="330">
                  <c:v>0.69059999999999999</c:v>
                </c:pt>
                <c:pt idx="331">
                  <c:v>0.69059999999999999</c:v>
                </c:pt>
                <c:pt idx="332">
                  <c:v>0.69059999999999999</c:v>
                </c:pt>
                <c:pt idx="333">
                  <c:v>0.69059999999999999</c:v>
                </c:pt>
                <c:pt idx="334">
                  <c:v>0.69059999999999999</c:v>
                </c:pt>
                <c:pt idx="335">
                  <c:v>0.69059999999999999</c:v>
                </c:pt>
                <c:pt idx="336">
                  <c:v>0.69059999999999999</c:v>
                </c:pt>
                <c:pt idx="337">
                  <c:v>0.69059999999999999</c:v>
                </c:pt>
                <c:pt idx="338">
                  <c:v>0.69059999999999999</c:v>
                </c:pt>
                <c:pt idx="339">
                  <c:v>0.36059999999999998</c:v>
                </c:pt>
                <c:pt idx="340">
                  <c:v>0.36059999999999998</c:v>
                </c:pt>
                <c:pt idx="341">
                  <c:v>0.36059999999999998</c:v>
                </c:pt>
                <c:pt idx="342">
                  <c:v>0.36059999999999998</c:v>
                </c:pt>
                <c:pt idx="343">
                  <c:v>0.36059999999999998</c:v>
                </c:pt>
                <c:pt idx="344">
                  <c:v>0.36059999999999998</c:v>
                </c:pt>
                <c:pt idx="345">
                  <c:v>0.36059999999999998</c:v>
                </c:pt>
                <c:pt idx="346">
                  <c:v>0.36059999999999998</c:v>
                </c:pt>
                <c:pt idx="347">
                  <c:v>0.36059999999999998</c:v>
                </c:pt>
                <c:pt idx="348">
                  <c:v>0.36059999999999998</c:v>
                </c:pt>
                <c:pt idx="349">
                  <c:v>0.36059999999999998</c:v>
                </c:pt>
                <c:pt idx="350">
                  <c:v>0.36059999999999998</c:v>
                </c:pt>
                <c:pt idx="351">
                  <c:v>0.36059999999999998</c:v>
                </c:pt>
                <c:pt idx="352">
                  <c:v>1.0841000000000001</c:v>
                </c:pt>
                <c:pt idx="353">
                  <c:v>1.0841000000000001</c:v>
                </c:pt>
                <c:pt idx="354">
                  <c:v>1.0841000000000001</c:v>
                </c:pt>
                <c:pt idx="355">
                  <c:v>1.0841000000000001</c:v>
                </c:pt>
                <c:pt idx="356">
                  <c:v>1.0841000000000001</c:v>
                </c:pt>
                <c:pt idx="357">
                  <c:v>1.0841000000000001</c:v>
                </c:pt>
                <c:pt idx="358">
                  <c:v>1.0841000000000001</c:v>
                </c:pt>
                <c:pt idx="359">
                  <c:v>1.0841000000000001</c:v>
                </c:pt>
                <c:pt idx="360">
                  <c:v>1.0841000000000001</c:v>
                </c:pt>
                <c:pt idx="361">
                  <c:v>1.0841000000000001</c:v>
                </c:pt>
                <c:pt idx="362">
                  <c:v>1.0841000000000001</c:v>
                </c:pt>
                <c:pt idx="363">
                  <c:v>1.0841000000000001</c:v>
                </c:pt>
                <c:pt idx="364">
                  <c:v>1.0841000000000001</c:v>
                </c:pt>
                <c:pt idx="365">
                  <c:v>1.1685000000000001</c:v>
                </c:pt>
                <c:pt idx="366">
                  <c:v>1.1685000000000001</c:v>
                </c:pt>
                <c:pt idx="367">
                  <c:v>1.1685000000000001</c:v>
                </c:pt>
                <c:pt idx="368">
                  <c:v>1.1685000000000001</c:v>
                </c:pt>
                <c:pt idx="369">
                  <c:v>1.1685000000000001</c:v>
                </c:pt>
                <c:pt idx="370">
                  <c:v>1.1685000000000001</c:v>
                </c:pt>
                <c:pt idx="371">
                  <c:v>1.1685000000000001</c:v>
                </c:pt>
                <c:pt idx="372">
                  <c:v>1.1685000000000001</c:v>
                </c:pt>
                <c:pt idx="373">
                  <c:v>1.1685000000000001</c:v>
                </c:pt>
                <c:pt idx="374">
                  <c:v>1.1685000000000001</c:v>
                </c:pt>
                <c:pt idx="375">
                  <c:v>1.1685000000000001</c:v>
                </c:pt>
                <c:pt idx="376">
                  <c:v>1.1685000000000001</c:v>
                </c:pt>
                <c:pt idx="377">
                  <c:v>1.1685000000000001</c:v>
                </c:pt>
                <c:pt idx="378">
                  <c:v>1.1685000000000001</c:v>
                </c:pt>
                <c:pt idx="379">
                  <c:v>1.1685000000000001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1-4801-9DBC-A9A6DDA9E89B}"/>
            </c:ext>
          </c:extLst>
        </c:ser>
        <c:ser>
          <c:idx val="3"/>
          <c:order val="1"/>
          <c:tx>
            <c:strRef>
              <c:f>Base!$Y$4</c:f>
              <c:strCache>
                <c:ptCount val="1"/>
                <c:pt idx="0">
                  <c:v>TGNO4 AR Equity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Base!$AC$6:$AC$2000</c:f>
              <c:numCache>
                <c:formatCode>General</c:formatCode>
                <c:ptCount val="1995"/>
                <c:pt idx="0">
                  <c:v>0.24959999999999999</c:v>
                </c:pt>
                <c:pt idx="1">
                  <c:v>0.24959999999999999</c:v>
                </c:pt>
                <c:pt idx="2">
                  <c:v>0.24959999999999999</c:v>
                </c:pt>
                <c:pt idx="3">
                  <c:v>0.24959999999999999</c:v>
                </c:pt>
                <c:pt idx="4">
                  <c:v>0.24959999999999999</c:v>
                </c:pt>
                <c:pt idx="5">
                  <c:v>0.24959999999999999</c:v>
                </c:pt>
                <c:pt idx="6">
                  <c:v>0.24959999999999999</c:v>
                </c:pt>
                <c:pt idx="7">
                  <c:v>0.24959999999999999</c:v>
                </c:pt>
                <c:pt idx="8">
                  <c:v>0.24959999999999999</c:v>
                </c:pt>
                <c:pt idx="9">
                  <c:v>0.24959999999999999</c:v>
                </c:pt>
                <c:pt idx="10">
                  <c:v>0.24959999999999999</c:v>
                </c:pt>
                <c:pt idx="11">
                  <c:v>0.24959999999999999</c:v>
                </c:pt>
                <c:pt idx="12">
                  <c:v>0.24959999999999999</c:v>
                </c:pt>
                <c:pt idx="13">
                  <c:v>0.25850000000000001</c:v>
                </c:pt>
                <c:pt idx="14">
                  <c:v>0.25850000000000001</c:v>
                </c:pt>
                <c:pt idx="15">
                  <c:v>0.25850000000000001</c:v>
                </c:pt>
                <c:pt idx="16">
                  <c:v>0.25850000000000001</c:v>
                </c:pt>
                <c:pt idx="17">
                  <c:v>0.25850000000000001</c:v>
                </c:pt>
                <c:pt idx="18">
                  <c:v>0.25850000000000001</c:v>
                </c:pt>
                <c:pt idx="19">
                  <c:v>0.25850000000000001</c:v>
                </c:pt>
                <c:pt idx="20">
                  <c:v>0.25850000000000001</c:v>
                </c:pt>
                <c:pt idx="21">
                  <c:v>0.25850000000000001</c:v>
                </c:pt>
                <c:pt idx="22">
                  <c:v>0.25850000000000001</c:v>
                </c:pt>
                <c:pt idx="23">
                  <c:v>0.25850000000000001</c:v>
                </c:pt>
                <c:pt idx="24">
                  <c:v>0.25850000000000001</c:v>
                </c:pt>
                <c:pt idx="25">
                  <c:v>0.25850000000000001</c:v>
                </c:pt>
                <c:pt idx="26">
                  <c:v>0.23730000000000001</c:v>
                </c:pt>
                <c:pt idx="27">
                  <c:v>0.23730000000000001</c:v>
                </c:pt>
                <c:pt idx="28">
                  <c:v>0.23730000000000001</c:v>
                </c:pt>
                <c:pt idx="29">
                  <c:v>0.23730000000000001</c:v>
                </c:pt>
                <c:pt idx="30">
                  <c:v>0.23730000000000001</c:v>
                </c:pt>
                <c:pt idx="31">
                  <c:v>0.23730000000000001</c:v>
                </c:pt>
                <c:pt idx="32">
                  <c:v>0.23730000000000001</c:v>
                </c:pt>
                <c:pt idx="33">
                  <c:v>0.23730000000000001</c:v>
                </c:pt>
                <c:pt idx="34">
                  <c:v>0.23730000000000001</c:v>
                </c:pt>
                <c:pt idx="35">
                  <c:v>0.23730000000000001</c:v>
                </c:pt>
                <c:pt idx="36">
                  <c:v>0.23730000000000001</c:v>
                </c:pt>
                <c:pt idx="37">
                  <c:v>0.23730000000000001</c:v>
                </c:pt>
                <c:pt idx="38">
                  <c:v>0.23730000000000001</c:v>
                </c:pt>
                <c:pt idx="39">
                  <c:v>0.1229</c:v>
                </c:pt>
                <c:pt idx="40">
                  <c:v>0.1229</c:v>
                </c:pt>
                <c:pt idx="41">
                  <c:v>0.1229</c:v>
                </c:pt>
                <c:pt idx="42">
                  <c:v>0.1229</c:v>
                </c:pt>
                <c:pt idx="43">
                  <c:v>0.1229</c:v>
                </c:pt>
                <c:pt idx="44">
                  <c:v>0.1229</c:v>
                </c:pt>
                <c:pt idx="45">
                  <c:v>0.1229</c:v>
                </c:pt>
                <c:pt idx="46">
                  <c:v>0.1229</c:v>
                </c:pt>
                <c:pt idx="47">
                  <c:v>0.1229</c:v>
                </c:pt>
                <c:pt idx="48">
                  <c:v>0.1229</c:v>
                </c:pt>
                <c:pt idx="49">
                  <c:v>0.1229</c:v>
                </c:pt>
                <c:pt idx="50">
                  <c:v>0.1229</c:v>
                </c:pt>
                <c:pt idx="51">
                  <c:v>0.1229</c:v>
                </c:pt>
                <c:pt idx="52">
                  <c:v>4.0399999999999998E-2</c:v>
                </c:pt>
                <c:pt idx="53">
                  <c:v>4.0399999999999998E-2</c:v>
                </c:pt>
                <c:pt idx="54">
                  <c:v>4.0399999999999998E-2</c:v>
                </c:pt>
                <c:pt idx="55">
                  <c:v>4.0399999999999998E-2</c:v>
                </c:pt>
                <c:pt idx="56">
                  <c:v>4.0399999999999998E-2</c:v>
                </c:pt>
                <c:pt idx="57">
                  <c:v>4.0399999999999998E-2</c:v>
                </c:pt>
                <c:pt idx="58">
                  <c:v>4.0399999999999998E-2</c:v>
                </c:pt>
                <c:pt idx="59">
                  <c:v>4.0399999999999998E-2</c:v>
                </c:pt>
                <c:pt idx="60">
                  <c:v>4.0399999999999998E-2</c:v>
                </c:pt>
                <c:pt idx="61">
                  <c:v>4.0399999999999998E-2</c:v>
                </c:pt>
                <c:pt idx="62">
                  <c:v>4.0399999999999998E-2</c:v>
                </c:pt>
                <c:pt idx="63">
                  <c:v>4.0399999999999998E-2</c:v>
                </c:pt>
                <c:pt idx="64">
                  <c:v>4.0399999999999998E-2</c:v>
                </c:pt>
                <c:pt idx="65">
                  <c:v>-7.0300000000000001E-2</c:v>
                </c:pt>
                <c:pt idx="66">
                  <c:v>-7.0300000000000001E-2</c:v>
                </c:pt>
                <c:pt idx="67">
                  <c:v>-7.0300000000000001E-2</c:v>
                </c:pt>
                <c:pt idx="68">
                  <c:v>-7.0300000000000001E-2</c:v>
                </c:pt>
                <c:pt idx="69">
                  <c:v>-7.0300000000000001E-2</c:v>
                </c:pt>
                <c:pt idx="70">
                  <c:v>-7.0300000000000001E-2</c:v>
                </c:pt>
                <c:pt idx="71">
                  <c:v>-7.0300000000000001E-2</c:v>
                </c:pt>
                <c:pt idx="72">
                  <c:v>-7.0300000000000001E-2</c:v>
                </c:pt>
                <c:pt idx="73">
                  <c:v>-7.0300000000000001E-2</c:v>
                </c:pt>
                <c:pt idx="74">
                  <c:v>-7.0300000000000001E-2</c:v>
                </c:pt>
                <c:pt idx="75">
                  <c:v>-7.0300000000000001E-2</c:v>
                </c:pt>
                <c:pt idx="76">
                  <c:v>-7.0300000000000001E-2</c:v>
                </c:pt>
                <c:pt idx="77">
                  <c:v>-7.0300000000000001E-2</c:v>
                </c:pt>
                <c:pt idx="78">
                  <c:v>0.1368</c:v>
                </c:pt>
                <c:pt idx="79">
                  <c:v>0.1368</c:v>
                </c:pt>
                <c:pt idx="80">
                  <c:v>0.1368</c:v>
                </c:pt>
                <c:pt idx="81">
                  <c:v>0.1368</c:v>
                </c:pt>
                <c:pt idx="82">
                  <c:v>0.1368</c:v>
                </c:pt>
                <c:pt idx="83">
                  <c:v>0.1368</c:v>
                </c:pt>
                <c:pt idx="84">
                  <c:v>0.1368</c:v>
                </c:pt>
                <c:pt idx="85">
                  <c:v>0.1368</c:v>
                </c:pt>
                <c:pt idx="86">
                  <c:v>0.1368</c:v>
                </c:pt>
                <c:pt idx="87">
                  <c:v>0.1368</c:v>
                </c:pt>
                <c:pt idx="88">
                  <c:v>0.1368</c:v>
                </c:pt>
                <c:pt idx="89">
                  <c:v>0.1368</c:v>
                </c:pt>
                <c:pt idx="90">
                  <c:v>0.1368</c:v>
                </c:pt>
                <c:pt idx="91">
                  <c:v>4.3299999999999998E-2</c:v>
                </c:pt>
                <c:pt idx="92">
                  <c:v>4.3299999999999998E-2</c:v>
                </c:pt>
                <c:pt idx="93">
                  <c:v>4.3299999999999998E-2</c:v>
                </c:pt>
                <c:pt idx="94">
                  <c:v>4.3299999999999998E-2</c:v>
                </c:pt>
                <c:pt idx="95">
                  <c:v>4.3299999999999998E-2</c:v>
                </c:pt>
                <c:pt idx="96">
                  <c:v>4.3299999999999998E-2</c:v>
                </c:pt>
                <c:pt idx="97">
                  <c:v>4.3299999999999998E-2</c:v>
                </c:pt>
                <c:pt idx="98">
                  <c:v>4.3299999999999998E-2</c:v>
                </c:pt>
                <c:pt idx="99">
                  <c:v>4.3299999999999998E-2</c:v>
                </c:pt>
                <c:pt idx="100">
                  <c:v>4.3299999999999998E-2</c:v>
                </c:pt>
                <c:pt idx="101">
                  <c:v>4.3299999999999998E-2</c:v>
                </c:pt>
                <c:pt idx="102">
                  <c:v>4.3299999999999998E-2</c:v>
                </c:pt>
                <c:pt idx="103">
                  <c:v>4.3299999999999998E-2</c:v>
                </c:pt>
                <c:pt idx="104">
                  <c:v>8.9899999999999994E-2</c:v>
                </c:pt>
                <c:pt idx="105">
                  <c:v>8.9899999999999994E-2</c:v>
                </c:pt>
                <c:pt idx="106">
                  <c:v>8.9899999999999994E-2</c:v>
                </c:pt>
                <c:pt idx="107">
                  <c:v>8.9899999999999994E-2</c:v>
                </c:pt>
                <c:pt idx="108">
                  <c:v>8.9899999999999994E-2</c:v>
                </c:pt>
                <c:pt idx="109">
                  <c:v>8.9899999999999994E-2</c:v>
                </c:pt>
                <c:pt idx="110">
                  <c:v>8.9899999999999994E-2</c:v>
                </c:pt>
                <c:pt idx="111">
                  <c:v>8.9899999999999994E-2</c:v>
                </c:pt>
                <c:pt idx="112">
                  <c:v>8.9899999999999994E-2</c:v>
                </c:pt>
                <c:pt idx="113">
                  <c:v>8.9899999999999994E-2</c:v>
                </c:pt>
                <c:pt idx="114">
                  <c:v>8.9899999999999994E-2</c:v>
                </c:pt>
                <c:pt idx="115">
                  <c:v>8.9899999999999994E-2</c:v>
                </c:pt>
                <c:pt idx="116">
                  <c:v>8.9899999999999994E-2</c:v>
                </c:pt>
                <c:pt idx="117">
                  <c:v>-9.1300000000000006E-2</c:v>
                </c:pt>
                <c:pt idx="118">
                  <c:v>-9.1300000000000006E-2</c:v>
                </c:pt>
                <c:pt idx="119">
                  <c:v>-9.1300000000000006E-2</c:v>
                </c:pt>
                <c:pt idx="120">
                  <c:v>-9.1300000000000006E-2</c:v>
                </c:pt>
                <c:pt idx="121">
                  <c:v>-9.1300000000000006E-2</c:v>
                </c:pt>
                <c:pt idx="122">
                  <c:v>-9.1300000000000006E-2</c:v>
                </c:pt>
                <c:pt idx="123">
                  <c:v>-9.1300000000000006E-2</c:v>
                </c:pt>
                <c:pt idx="124">
                  <c:v>-9.1300000000000006E-2</c:v>
                </c:pt>
                <c:pt idx="125">
                  <c:v>-9.1300000000000006E-2</c:v>
                </c:pt>
                <c:pt idx="126">
                  <c:v>-9.1300000000000006E-2</c:v>
                </c:pt>
                <c:pt idx="127">
                  <c:v>-9.1300000000000006E-2</c:v>
                </c:pt>
                <c:pt idx="128">
                  <c:v>-9.1300000000000006E-2</c:v>
                </c:pt>
                <c:pt idx="129">
                  <c:v>-9.1300000000000006E-2</c:v>
                </c:pt>
                <c:pt idx="130">
                  <c:v>-0.95630000000000004</c:v>
                </c:pt>
                <c:pt idx="131">
                  <c:v>-0.95630000000000004</c:v>
                </c:pt>
                <c:pt idx="132">
                  <c:v>-0.95630000000000004</c:v>
                </c:pt>
                <c:pt idx="133">
                  <c:v>-0.95630000000000004</c:v>
                </c:pt>
                <c:pt idx="134">
                  <c:v>-0.95630000000000004</c:v>
                </c:pt>
                <c:pt idx="135">
                  <c:v>-0.95630000000000004</c:v>
                </c:pt>
                <c:pt idx="136">
                  <c:v>-0.95630000000000004</c:v>
                </c:pt>
                <c:pt idx="137">
                  <c:v>-0.95630000000000004</c:v>
                </c:pt>
                <c:pt idx="138">
                  <c:v>-0.95630000000000004</c:v>
                </c:pt>
                <c:pt idx="139">
                  <c:v>-0.95630000000000004</c:v>
                </c:pt>
                <c:pt idx="140">
                  <c:v>-0.95630000000000004</c:v>
                </c:pt>
                <c:pt idx="141">
                  <c:v>-0.95630000000000004</c:v>
                </c:pt>
                <c:pt idx="142">
                  <c:v>-0.95630000000000004</c:v>
                </c:pt>
                <c:pt idx="143">
                  <c:v>-0.44750000000000001</c:v>
                </c:pt>
                <c:pt idx="144">
                  <c:v>-0.44750000000000001</c:v>
                </c:pt>
                <c:pt idx="145">
                  <c:v>-0.44750000000000001</c:v>
                </c:pt>
                <c:pt idx="146">
                  <c:v>-0.44750000000000001</c:v>
                </c:pt>
                <c:pt idx="147">
                  <c:v>-0.44750000000000001</c:v>
                </c:pt>
                <c:pt idx="148">
                  <c:v>-0.44750000000000001</c:v>
                </c:pt>
                <c:pt idx="149">
                  <c:v>-0.44750000000000001</c:v>
                </c:pt>
                <c:pt idx="150">
                  <c:v>-0.44750000000000001</c:v>
                </c:pt>
                <c:pt idx="151">
                  <c:v>-0.44750000000000001</c:v>
                </c:pt>
                <c:pt idx="152">
                  <c:v>-0.44750000000000001</c:v>
                </c:pt>
                <c:pt idx="153">
                  <c:v>-0.44750000000000001</c:v>
                </c:pt>
                <c:pt idx="154">
                  <c:v>-0.44750000000000001</c:v>
                </c:pt>
                <c:pt idx="155">
                  <c:v>-0.44750000000000001</c:v>
                </c:pt>
                <c:pt idx="156">
                  <c:v>-0.47889999999999999</c:v>
                </c:pt>
                <c:pt idx="157">
                  <c:v>-0.47889999999999999</c:v>
                </c:pt>
                <c:pt idx="158">
                  <c:v>-0.47889999999999999</c:v>
                </c:pt>
                <c:pt idx="159">
                  <c:v>-0.47889999999999999</c:v>
                </c:pt>
                <c:pt idx="160">
                  <c:v>-0.47889999999999999</c:v>
                </c:pt>
                <c:pt idx="161">
                  <c:v>-0.47889999999999999</c:v>
                </c:pt>
                <c:pt idx="162">
                  <c:v>-0.47889999999999999</c:v>
                </c:pt>
                <c:pt idx="163">
                  <c:v>-0.47889999999999999</c:v>
                </c:pt>
                <c:pt idx="164">
                  <c:v>-0.47889999999999999</c:v>
                </c:pt>
                <c:pt idx="165">
                  <c:v>-0.47889999999999999</c:v>
                </c:pt>
                <c:pt idx="166">
                  <c:v>-0.47889999999999999</c:v>
                </c:pt>
                <c:pt idx="167">
                  <c:v>-0.47889999999999999</c:v>
                </c:pt>
                <c:pt idx="168">
                  <c:v>-0.47889999999999999</c:v>
                </c:pt>
                <c:pt idx="169">
                  <c:v>-0.1646</c:v>
                </c:pt>
                <c:pt idx="170">
                  <c:v>-0.1646</c:v>
                </c:pt>
                <c:pt idx="171">
                  <c:v>-0.1646</c:v>
                </c:pt>
                <c:pt idx="172">
                  <c:v>-0.1646</c:v>
                </c:pt>
                <c:pt idx="173">
                  <c:v>-0.1646</c:v>
                </c:pt>
                <c:pt idx="174">
                  <c:v>-0.1646</c:v>
                </c:pt>
                <c:pt idx="175">
                  <c:v>-0.1646</c:v>
                </c:pt>
                <c:pt idx="176">
                  <c:v>-0.1646</c:v>
                </c:pt>
                <c:pt idx="177">
                  <c:v>-0.1646</c:v>
                </c:pt>
                <c:pt idx="178">
                  <c:v>-0.1646</c:v>
                </c:pt>
                <c:pt idx="179">
                  <c:v>-0.1646</c:v>
                </c:pt>
                <c:pt idx="180">
                  <c:v>-0.1646</c:v>
                </c:pt>
                <c:pt idx="181">
                  <c:v>-0.1646</c:v>
                </c:pt>
                <c:pt idx="182">
                  <c:v>-0.45800000000000002</c:v>
                </c:pt>
                <c:pt idx="183">
                  <c:v>-0.45800000000000002</c:v>
                </c:pt>
                <c:pt idx="184">
                  <c:v>-0.45800000000000002</c:v>
                </c:pt>
                <c:pt idx="185">
                  <c:v>-0.45800000000000002</c:v>
                </c:pt>
                <c:pt idx="186">
                  <c:v>-0.45800000000000002</c:v>
                </c:pt>
                <c:pt idx="187">
                  <c:v>-0.45800000000000002</c:v>
                </c:pt>
                <c:pt idx="188">
                  <c:v>-0.45800000000000002</c:v>
                </c:pt>
                <c:pt idx="189">
                  <c:v>-0.45800000000000002</c:v>
                </c:pt>
                <c:pt idx="190">
                  <c:v>-0.45800000000000002</c:v>
                </c:pt>
                <c:pt idx="191">
                  <c:v>-0.45800000000000002</c:v>
                </c:pt>
                <c:pt idx="192">
                  <c:v>-0.45800000000000002</c:v>
                </c:pt>
                <c:pt idx="193">
                  <c:v>-0.45800000000000002</c:v>
                </c:pt>
                <c:pt idx="194">
                  <c:v>-0.45800000000000002</c:v>
                </c:pt>
                <c:pt idx="195">
                  <c:v>-4.3799999999999999E-2</c:v>
                </c:pt>
                <c:pt idx="196">
                  <c:v>-4.3799999999999999E-2</c:v>
                </c:pt>
                <c:pt idx="197">
                  <c:v>-4.3799999999999999E-2</c:v>
                </c:pt>
                <c:pt idx="198">
                  <c:v>-4.3799999999999999E-2</c:v>
                </c:pt>
                <c:pt idx="199">
                  <c:v>-4.3799999999999999E-2</c:v>
                </c:pt>
                <c:pt idx="200">
                  <c:v>-4.3799999999999999E-2</c:v>
                </c:pt>
                <c:pt idx="201">
                  <c:v>-4.3799999999999999E-2</c:v>
                </c:pt>
                <c:pt idx="202">
                  <c:v>-4.3799999999999999E-2</c:v>
                </c:pt>
                <c:pt idx="203">
                  <c:v>-4.3799999999999999E-2</c:v>
                </c:pt>
                <c:pt idx="204">
                  <c:v>-4.3799999999999999E-2</c:v>
                </c:pt>
                <c:pt idx="205">
                  <c:v>-4.3799999999999999E-2</c:v>
                </c:pt>
                <c:pt idx="206">
                  <c:v>-4.3799999999999999E-2</c:v>
                </c:pt>
                <c:pt idx="207">
                  <c:v>-4.3799999999999999E-2</c:v>
                </c:pt>
                <c:pt idx="208">
                  <c:v>-6.7199999999999996E-2</c:v>
                </c:pt>
                <c:pt idx="209">
                  <c:v>-6.7199999999999996E-2</c:v>
                </c:pt>
                <c:pt idx="210">
                  <c:v>-6.7199999999999996E-2</c:v>
                </c:pt>
                <c:pt idx="211">
                  <c:v>-6.7199999999999996E-2</c:v>
                </c:pt>
                <c:pt idx="212">
                  <c:v>-6.7199999999999996E-2</c:v>
                </c:pt>
                <c:pt idx="213">
                  <c:v>-6.7199999999999996E-2</c:v>
                </c:pt>
                <c:pt idx="214">
                  <c:v>-6.7199999999999996E-2</c:v>
                </c:pt>
                <c:pt idx="215">
                  <c:v>-6.7199999999999996E-2</c:v>
                </c:pt>
                <c:pt idx="216">
                  <c:v>-6.7199999999999996E-2</c:v>
                </c:pt>
                <c:pt idx="217">
                  <c:v>-6.7199999999999996E-2</c:v>
                </c:pt>
                <c:pt idx="218">
                  <c:v>-6.7199999999999996E-2</c:v>
                </c:pt>
                <c:pt idx="219">
                  <c:v>-6.7199999999999996E-2</c:v>
                </c:pt>
                <c:pt idx="220">
                  <c:v>-6.7199999999999996E-2</c:v>
                </c:pt>
                <c:pt idx="221">
                  <c:v>-0.1053</c:v>
                </c:pt>
                <c:pt idx="222">
                  <c:v>-0.1053</c:v>
                </c:pt>
                <c:pt idx="223">
                  <c:v>-0.1053</c:v>
                </c:pt>
                <c:pt idx="224">
                  <c:v>-0.1053</c:v>
                </c:pt>
                <c:pt idx="225">
                  <c:v>-0.1053</c:v>
                </c:pt>
                <c:pt idx="226">
                  <c:v>-0.1053</c:v>
                </c:pt>
                <c:pt idx="227">
                  <c:v>-0.1053</c:v>
                </c:pt>
                <c:pt idx="228">
                  <c:v>-0.1053</c:v>
                </c:pt>
                <c:pt idx="229">
                  <c:v>-0.1053</c:v>
                </c:pt>
                <c:pt idx="230">
                  <c:v>-0.1053</c:v>
                </c:pt>
                <c:pt idx="231">
                  <c:v>-0.1053</c:v>
                </c:pt>
                <c:pt idx="232">
                  <c:v>-0.1053</c:v>
                </c:pt>
                <c:pt idx="233">
                  <c:v>-0.1053</c:v>
                </c:pt>
                <c:pt idx="234">
                  <c:v>-0.81</c:v>
                </c:pt>
                <c:pt idx="235">
                  <c:v>-0.81</c:v>
                </c:pt>
                <c:pt idx="236">
                  <c:v>-0.81</c:v>
                </c:pt>
                <c:pt idx="237">
                  <c:v>-0.81</c:v>
                </c:pt>
                <c:pt idx="238">
                  <c:v>-0.81</c:v>
                </c:pt>
                <c:pt idx="239">
                  <c:v>-0.81</c:v>
                </c:pt>
                <c:pt idx="240">
                  <c:v>-0.81</c:v>
                </c:pt>
                <c:pt idx="241">
                  <c:v>-0.81</c:v>
                </c:pt>
                <c:pt idx="242">
                  <c:v>-0.81</c:v>
                </c:pt>
                <c:pt idx="243">
                  <c:v>-0.81</c:v>
                </c:pt>
                <c:pt idx="244">
                  <c:v>-0.81</c:v>
                </c:pt>
                <c:pt idx="245">
                  <c:v>-0.81</c:v>
                </c:pt>
                <c:pt idx="246">
                  <c:v>-0.81</c:v>
                </c:pt>
                <c:pt idx="247">
                  <c:v>-2.8668</c:v>
                </c:pt>
                <c:pt idx="248">
                  <c:v>-2.8668</c:v>
                </c:pt>
                <c:pt idx="249">
                  <c:v>-2.8668</c:v>
                </c:pt>
                <c:pt idx="250">
                  <c:v>-2.8668</c:v>
                </c:pt>
                <c:pt idx="251">
                  <c:v>-2.8668</c:v>
                </c:pt>
                <c:pt idx="252">
                  <c:v>-2.8668</c:v>
                </c:pt>
                <c:pt idx="253">
                  <c:v>-2.8668</c:v>
                </c:pt>
                <c:pt idx="254">
                  <c:v>-2.8668</c:v>
                </c:pt>
                <c:pt idx="255">
                  <c:v>-2.8668</c:v>
                </c:pt>
                <c:pt idx="256">
                  <c:v>-2.8668</c:v>
                </c:pt>
                <c:pt idx="257">
                  <c:v>-2.8668</c:v>
                </c:pt>
                <c:pt idx="258">
                  <c:v>-2.8668</c:v>
                </c:pt>
                <c:pt idx="259">
                  <c:v>-2.8668</c:v>
                </c:pt>
                <c:pt idx="260">
                  <c:v>-1.0081</c:v>
                </c:pt>
                <c:pt idx="261">
                  <c:v>-1.0081</c:v>
                </c:pt>
                <c:pt idx="262">
                  <c:v>-1.0081</c:v>
                </c:pt>
                <c:pt idx="263">
                  <c:v>-1.0081</c:v>
                </c:pt>
                <c:pt idx="264">
                  <c:v>-1.0081</c:v>
                </c:pt>
                <c:pt idx="265">
                  <c:v>-1.0081</c:v>
                </c:pt>
                <c:pt idx="266">
                  <c:v>-1.0081</c:v>
                </c:pt>
                <c:pt idx="267">
                  <c:v>-1.0081</c:v>
                </c:pt>
                <c:pt idx="268">
                  <c:v>-1.0081</c:v>
                </c:pt>
                <c:pt idx="269">
                  <c:v>-1.0081</c:v>
                </c:pt>
                <c:pt idx="270">
                  <c:v>-1.0081</c:v>
                </c:pt>
                <c:pt idx="271">
                  <c:v>-1.0081</c:v>
                </c:pt>
                <c:pt idx="272">
                  <c:v>-1.0081</c:v>
                </c:pt>
                <c:pt idx="273">
                  <c:v>-1.0081</c:v>
                </c:pt>
                <c:pt idx="274">
                  <c:v>-0.45700000000000002</c:v>
                </c:pt>
                <c:pt idx="275">
                  <c:v>-0.45700000000000002</c:v>
                </c:pt>
                <c:pt idx="276">
                  <c:v>-0.45700000000000002</c:v>
                </c:pt>
                <c:pt idx="277">
                  <c:v>-0.45700000000000002</c:v>
                </c:pt>
                <c:pt idx="278">
                  <c:v>-0.45700000000000002</c:v>
                </c:pt>
                <c:pt idx="279">
                  <c:v>-0.45700000000000002</c:v>
                </c:pt>
                <c:pt idx="280">
                  <c:v>-0.45700000000000002</c:v>
                </c:pt>
                <c:pt idx="281">
                  <c:v>-0.45700000000000002</c:v>
                </c:pt>
                <c:pt idx="282">
                  <c:v>-0.45700000000000002</c:v>
                </c:pt>
                <c:pt idx="283">
                  <c:v>-0.45700000000000002</c:v>
                </c:pt>
                <c:pt idx="284">
                  <c:v>-0.45700000000000002</c:v>
                </c:pt>
                <c:pt idx="285">
                  <c:v>-0.45700000000000002</c:v>
                </c:pt>
                <c:pt idx="286">
                  <c:v>-0.45700000000000002</c:v>
                </c:pt>
                <c:pt idx="287">
                  <c:v>-0.6976</c:v>
                </c:pt>
                <c:pt idx="288">
                  <c:v>-0.6976</c:v>
                </c:pt>
                <c:pt idx="289">
                  <c:v>-0.6976</c:v>
                </c:pt>
                <c:pt idx="290">
                  <c:v>-0.6976</c:v>
                </c:pt>
                <c:pt idx="291">
                  <c:v>-0.6976</c:v>
                </c:pt>
                <c:pt idx="292">
                  <c:v>-0.6976</c:v>
                </c:pt>
                <c:pt idx="293">
                  <c:v>-0.6976</c:v>
                </c:pt>
                <c:pt idx="294">
                  <c:v>-0.6976</c:v>
                </c:pt>
                <c:pt idx="295">
                  <c:v>-0.6976</c:v>
                </c:pt>
                <c:pt idx="296">
                  <c:v>-0.6976</c:v>
                </c:pt>
                <c:pt idx="297">
                  <c:v>-0.6976</c:v>
                </c:pt>
                <c:pt idx="298">
                  <c:v>-0.6976</c:v>
                </c:pt>
                <c:pt idx="299">
                  <c:v>-0.6976</c:v>
                </c:pt>
                <c:pt idx="300">
                  <c:v>-0.68430000000000002</c:v>
                </c:pt>
                <c:pt idx="301">
                  <c:v>-0.68430000000000002</c:v>
                </c:pt>
                <c:pt idx="302">
                  <c:v>-0.68430000000000002</c:v>
                </c:pt>
                <c:pt idx="303">
                  <c:v>-0.68430000000000002</c:v>
                </c:pt>
                <c:pt idx="304">
                  <c:v>-0.68430000000000002</c:v>
                </c:pt>
                <c:pt idx="305">
                  <c:v>-0.68430000000000002</c:v>
                </c:pt>
                <c:pt idx="306">
                  <c:v>-0.68430000000000002</c:v>
                </c:pt>
                <c:pt idx="307">
                  <c:v>-0.68430000000000002</c:v>
                </c:pt>
                <c:pt idx="308">
                  <c:v>-0.68430000000000002</c:v>
                </c:pt>
                <c:pt idx="309">
                  <c:v>-0.68430000000000002</c:v>
                </c:pt>
                <c:pt idx="310">
                  <c:v>-0.68430000000000002</c:v>
                </c:pt>
                <c:pt idx="311">
                  <c:v>-0.68430000000000002</c:v>
                </c:pt>
                <c:pt idx="312">
                  <c:v>-0.68430000000000002</c:v>
                </c:pt>
                <c:pt idx="313">
                  <c:v>-0.40479999999999999</c:v>
                </c:pt>
                <c:pt idx="314">
                  <c:v>-0.40479999999999999</c:v>
                </c:pt>
                <c:pt idx="315">
                  <c:v>-0.40479999999999999</c:v>
                </c:pt>
                <c:pt idx="316">
                  <c:v>-0.40479999999999999</c:v>
                </c:pt>
                <c:pt idx="317">
                  <c:v>-0.40479999999999999</c:v>
                </c:pt>
                <c:pt idx="318">
                  <c:v>-0.40479999999999999</c:v>
                </c:pt>
                <c:pt idx="319">
                  <c:v>-0.40479999999999999</c:v>
                </c:pt>
                <c:pt idx="320">
                  <c:v>-0.40479999999999999</c:v>
                </c:pt>
                <c:pt idx="321">
                  <c:v>-0.40479999999999999</c:v>
                </c:pt>
                <c:pt idx="322">
                  <c:v>-0.40479999999999999</c:v>
                </c:pt>
                <c:pt idx="323">
                  <c:v>-0.40479999999999999</c:v>
                </c:pt>
                <c:pt idx="324">
                  <c:v>-0.40479999999999999</c:v>
                </c:pt>
                <c:pt idx="325">
                  <c:v>-0.40479999999999999</c:v>
                </c:pt>
                <c:pt idx="326">
                  <c:v>-0.37809999999999999</c:v>
                </c:pt>
                <c:pt idx="327">
                  <c:v>-0.37809999999999999</c:v>
                </c:pt>
                <c:pt idx="328">
                  <c:v>-0.37809999999999999</c:v>
                </c:pt>
                <c:pt idx="329">
                  <c:v>-0.37809999999999999</c:v>
                </c:pt>
                <c:pt idx="330">
                  <c:v>-0.37809999999999999</c:v>
                </c:pt>
                <c:pt idx="331">
                  <c:v>-0.37809999999999999</c:v>
                </c:pt>
                <c:pt idx="332">
                  <c:v>-0.37809999999999999</c:v>
                </c:pt>
                <c:pt idx="333">
                  <c:v>-0.37809999999999999</c:v>
                </c:pt>
                <c:pt idx="334">
                  <c:v>-0.37809999999999999</c:v>
                </c:pt>
                <c:pt idx="335">
                  <c:v>-0.37809999999999999</c:v>
                </c:pt>
                <c:pt idx="336">
                  <c:v>-0.37809999999999999</c:v>
                </c:pt>
                <c:pt idx="337">
                  <c:v>-0.37809999999999999</c:v>
                </c:pt>
                <c:pt idx="338">
                  <c:v>-0.37809999999999999</c:v>
                </c:pt>
                <c:pt idx="339">
                  <c:v>-0.57010000000000005</c:v>
                </c:pt>
                <c:pt idx="340">
                  <c:v>-0.57010000000000005</c:v>
                </c:pt>
                <c:pt idx="341">
                  <c:v>-0.57010000000000005</c:v>
                </c:pt>
                <c:pt idx="342">
                  <c:v>-0.57010000000000005</c:v>
                </c:pt>
                <c:pt idx="343">
                  <c:v>-0.57010000000000005</c:v>
                </c:pt>
                <c:pt idx="344">
                  <c:v>-0.57010000000000005</c:v>
                </c:pt>
                <c:pt idx="345">
                  <c:v>-0.57010000000000005</c:v>
                </c:pt>
                <c:pt idx="346">
                  <c:v>-0.57010000000000005</c:v>
                </c:pt>
                <c:pt idx="347">
                  <c:v>-0.57010000000000005</c:v>
                </c:pt>
                <c:pt idx="348">
                  <c:v>-0.57010000000000005</c:v>
                </c:pt>
                <c:pt idx="349">
                  <c:v>-0.57010000000000005</c:v>
                </c:pt>
                <c:pt idx="350">
                  <c:v>-0.57010000000000005</c:v>
                </c:pt>
                <c:pt idx="351">
                  <c:v>-0.57010000000000005</c:v>
                </c:pt>
                <c:pt idx="352">
                  <c:v>-1.1536999999999999</c:v>
                </c:pt>
                <c:pt idx="353">
                  <c:v>-1.1536999999999999</c:v>
                </c:pt>
                <c:pt idx="354">
                  <c:v>-1.1536999999999999</c:v>
                </c:pt>
                <c:pt idx="355">
                  <c:v>-1.1536999999999999</c:v>
                </c:pt>
                <c:pt idx="356">
                  <c:v>-1.1536999999999999</c:v>
                </c:pt>
                <c:pt idx="357">
                  <c:v>-1.1536999999999999</c:v>
                </c:pt>
                <c:pt idx="358">
                  <c:v>-1.1536999999999999</c:v>
                </c:pt>
                <c:pt idx="359">
                  <c:v>-1.1536999999999999</c:v>
                </c:pt>
                <c:pt idx="360">
                  <c:v>-1.1536999999999999</c:v>
                </c:pt>
                <c:pt idx="361">
                  <c:v>-1.1536999999999999</c:v>
                </c:pt>
                <c:pt idx="362">
                  <c:v>-1.1536999999999999</c:v>
                </c:pt>
                <c:pt idx="363">
                  <c:v>-1.1536999999999999</c:v>
                </c:pt>
                <c:pt idx="364">
                  <c:v>-1.1536999999999999</c:v>
                </c:pt>
                <c:pt idx="365">
                  <c:v>-1.0999000000000001</c:v>
                </c:pt>
                <c:pt idx="366">
                  <c:v>-1.0999000000000001</c:v>
                </c:pt>
                <c:pt idx="367">
                  <c:v>-1.0999000000000001</c:v>
                </c:pt>
                <c:pt idx="368">
                  <c:v>-1.0999000000000001</c:v>
                </c:pt>
                <c:pt idx="369">
                  <c:v>-1.0999000000000001</c:v>
                </c:pt>
                <c:pt idx="370">
                  <c:v>-1.0999000000000001</c:v>
                </c:pt>
                <c:pt idx="371">
                  <c:v>-1.0999000000000001</c:v>
                </c:pt>
                <c:pt idx="372">
                  <c:v>-1.0999000000000001</c:v>
                </c:pt>
                <c:pt idx="373">
                  <c:v>-1.0999000000000001</c:v>
                </c:pt>
                <c:pt idx="374">
                  <c:v>-1.0999000000000001</c:v>
                </c:pt>
                <c:pt idx="375">
                  <c:v>-1.0999000000000001</c:v>
                </c:pt>
                <c:pt idx="376">
                  <c:v>-1.0999000000000001</c:v>
                </c:pt>
                <c:pt idx="377">
                  <c:v>-1.0999000000000001</c:v>
                </c:pt>
                <c:pt idx="378">
                  <c:v>-1.0999000000000001</c:v>
                </c:pt>
                <c:pt idx="379">
                  <c:v>-1.0999000000000001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E1-4801-9DBC-A9A6DDA9E89B}"/>
            </c:ext>
          </c:extLst>
        </c:ser>
        <c:ser>
          <c:idx val="5"/>
          <c:order val="2"/>
          <c:tx>
            <c:strRef>
              <c:f>Base!$AV$4</c:f>
              <c:strCache>
                <c:ptCount val="1"/>
                <c:pt idx="0">
                  <c:v>EDN AR Equity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Base!$AZ$6:$AZ$2000</c:f>
              <c:numCache>
                <c:formatCode>General</c:formatCode>
                <c:ptCount val="1995"/>
                <c:pt idx="0">
                  <c:v>0.68959999999999999</c:v>
                </c:pt>
                <c:pt idx="1">
                  <c:v>0.68959999999999999</c:v>
                </c:pt>
                <c:pt idx="2">
                  <c:v>0.68959999999999999</c:v>
                </c:pt>
                <c:pt idx="3">
                  <c:v>0.68959999999999999</c:v>
                </c:pt>
                <c:pt idx="4">
                  <c:v>0.68959999999999999</c:v>
                </c:pt>
                <c:pt idx="5">
                  <c:v>0.68959999999999999</c:v>
                </c:pt>
                <c:pt idx="6">
                  <c:v>0.68959999999999999</c:v>
                </c:pt>
                <c:pt idx="7">
                  <c:v>0.68959999999999999</c:v>
                </c:pt>
                <c:pt idx="8">
                  <c:v>0.68959999999999999</c:v>
                </c:pt>
                <c:pt idx="9">
                  <c:v>0.68959999999999999</c:v>
                </c:pt>
                <c:pt idx="10">
                  <c:v>0.68959999999999999</c:v>
                </c:pt>
                <c:pt idx="11">
                  <c:v>0.68959999999999999</c:v>
                </c:pt>
                <c:pt idx="12">
                  <c:v>0.68959999999999999</c:v>
                </c:pt>
                <c:pt idx="13">
                  <c:v>0.89429999999999998</c:v>
                </c:pt>
                <c:pt idx="14">
                  <c:v>0.89429999999999998</c:v>
                </c:pt>
                <c:pt idx="15">
                  <c:v>0.89429999999999998</c:v>
                </c:pt>
                <c:pt idx="16">
                  <c:v>0.89429999999999998</c:v>
                </c:pt>
                <c:pt idx="17">
                  <c:v>0.89429999999999998</c:v>
                </c:pt>
                <c:pt idx="18">
                  <c:v>0.89429999999999998</c:v>
                </c:pt>
                <c:pt idx="19">
                  <c:v>0.89429999999999998</c:v>
                </c:pt>
                <c:pt idx="20">
                  <c:v>0.89429999999999998</c:v>
                </c:pt>
                <c:pt idx="21">
                  <c:v>0.89429999999999998</c:v>
                </c:pt>
                <c:pt idx="22">
                  <c:v>0.89429999999999998</c:v>
                </c:pt>
                <c:pt idx="23">
                  <c:v>0.89429999999999998</c:v>
                </c:pt>
                <c:pt idx="24">
                  <c:v>0.89429999999999998</c:v>
                </c:pt>
                <c:pt idx="25">
                  <c:v>0.89429999999999998</c:v>
                </c:pt>
                <c:pt idx="26">
                  <c:v>0.59909999999999997</c:v>
                </c:pt>
                <c:pt idx="27">
                  <c:v>0.59909999999999997</c:v>
                </c:pt>
                <c:pt idx="28">
                  <c:v>0.59909999999999997</c:v>
                </c:pt>
                <c:pt idx="29">
                  <c:v>0.59909999999999997</c:v>
                </c:pt>
                <c:pt idx="30">
                  <c:v>0.59909999999999997</c:v>
                </c:pt>
                <c:pt idx="31">
                  <c:v>0.59909999999999997</c:v>
                </c:pt>
                <c:pt idx="32">
                  <c:v>0.59909999999999997</c:v>
                </c:pt>
                <c:pt idx="33">
                  <c:v>0.59909999999999997</c:v>
                </c:pt>
                <c:pt idx="34">
                  <c:v>0.59909999999999997</c:v>
                </c:pt>
                <c:pt idx="35">
                  <c:v>0.59909999999999997</c:v>
                </c:pt>
                <c:pt idx="36">
                  <c:v>0.59909999999999997</c:v>
                </c:pt>
                <c:pt idx="37">
                  <c:v>0.59909999999999997</c:v>
                </c:pt>
                <c:pt idx="38">
                  <c:v>0.59909999999999997</c:v>
                </c:pt>
                <c:pt idx="39">
                  <c:v>0.43419999999999997</c:v>
                </c:pt>
                <c:pt idx="40">
                  <c:v>0.43419999999999997</c:v>
                </c:pt>
                <c:pt idx="41">
                  <c:v>0.43419999999999997</c:v>
                </c:pt>
                <c:pt idx="42">
                  <c:v>0.43419999999999997</c:v>
                </c:pt>
                <c:pt idx="43">
                  <c:v>0.43419999999999997</c:v>
                </c:pt>
                <c:pt idx="44">
                  <c:v>0.43419999999999997</c:v>
                </c:pt>
                <c:pt idx="45">
                  <c:v>0.43419999999999997</c:v>
                </c:pt>
                <c:pt idx="46">
                  <c:v>0.43419999999999997</c:v>
                </c:pt>
                <c:pt idx="47">
                  <c:v>0.43419999999999997</c:v>
                </c:pt>
                <c:pt idx="48">
                  <c:v>0.43419999999999997</c:v>
                </c:pt>
                <c:pt idx="49">
                  <c:v>0.43419999999999997</c:v>
                </c:pt>
                <c:pt idx="50">
                  <c:v>0.43419999999999997</c:v>
                </c:pt>
                <c:pt idx="51">
                  <c:v>0.43419999999999997</c:v>
                </c:pt>
                <c:pt idx="52">
                  <c:v>0.52070000000000005</c:v>
                </c:pt>
                <c:pt idx="53">
                  <c:v>0.52070000000000005</c:v>
                </c:pt>
                <c:pt idx="54">
                  <c:v>0.52070000000000005</c:v>
                </c:pt>
                <c:pt idx="55">
                  <c:v>0.52070000000000005</c:v>
                </c:pt>
                <c:pt idx="56">
                  <c:v>0.52070000000000005</c:v>
                </c:pt>
                <c:pt idx="57">
                  <c:v>0.52070000000000005</c:v>
                </c:pt>
                <c:pt idx="58">
                  <c:v>0.52070000000000005</c:v>
                </c:pt>
                <c:pt idx="59">
                  <c:v>0.52070000000000005</c:v>
                </c:pt>
                <c:pt idx="60">
                  <c:v>0.52070000000000005</c:v>
                </c:pt>
                <c:pt idx="61">
                  <c:v>0.52070000000000005</c:v>
                </c:pt>
                <c:pt idx="62">
                  <c:v>0.52070000000000005</c:v>
                </c:pt>
                <c:pt idx="63">
                  <c:v>0.52070000000000005</c:v>
                </c:pt>
                <c:pt idx="64">
                  <c:v>0.52070000000000005</c:v>
                </c:pt>
                <c:pt idx="65">
                  <c:v>5.1999999999999998E-3</c:v>
                </c:pt>
                <c:pt idx="66">
                  <c:v>5.1999999999999998E-3</c:v>
                </c:pt>
                <c:pt idx="67">
                  <c:v>5.1999999999999998E-3</c:v>
                </c:pt>
                <c:pt idx="68">
                  <c:v>5.1999999999999998E-3</c:v>
                </c:pt>
                <c:pt idx="69">
                  <c:v>5.1999999999999998E-3</c:v>
                </c:pt>
                <c:pt idx="70">
                  <c:v>5.1999999999999998E-3</c:v>
                </c:pt>
                <c:pt idx="71">
                  <c:v>5.1999999999999998E-3</c:v>
                </c:pt>
                <c:pt idx="72">
                  <c:v>5.1999999999999998E-3</c:v>
                </c:pt>
                <c:pt idx="73">
                  <c:v>5.1999999999999998E-3</c:v>
                </c:pt>
                <c:pt idx="74">
                  <c:v>5.1999999999999998E-3</c:v>
                </c:pt>
                <c:pt idx="75">
                  <c:v>5.1999999999999998E-3</c:v>
                </c:pt>
                <c:pt idx="76">
                  <c:v>5.1999999999999998E-3</c:v>
                </c:pt>
                <c:pt idx="77">
                  <c:v>5.1999999999999998E-3</c:v>
                </c:pt>
                <c:pt idx="78">
                  <c:v>5.1999999999999998E-3</c:v>
                </c:pt>
                <c:pt idx="79">
                  <c:v>5.1999999999999998E-3</c:v>
                </c:pt>
                <c:pt idx="80">
                  <c:v>5.1999999999999998E-3</c:v>
                </c:pt>
                <c:pt idx="81">
                  <c:v>5.1999999999999998E-3</c:v>
                </c:pt>
                <c:pt idx="82">
                  <c:v>5.1999999999999998E-3</c:v>
                </c:pt>
                <c:pt idx="83">
                  <c:v>5.1999999999999998E-3</c:v>
                </c:pt>
                <c:pt idx="84">
                  <c:v>5.1999999999999998E-3</c:v>
                </c:pt>
                <c:pt idx="85">
                  <c:v>5.1999999999999998E-3</c:v>
                </c:pt>
                <c:pt idx="86">
                  <c:v>5.1999999999999998E-3</c:v>
                </c:pt>
                <c:pt idx="87">
                  <c:v>5.1999999999999998E-3</c:v>
                </c:pt>
                <c:pt idx="88">
                  <c:v>5.1999999999999998E-3</c:v>
                </c:pt>
                <c:pt idx="89">
                  <c:v>5.1999999999999998E-3</c:v>
                </c:pt>
                <c:pt idx="90">
                  <c:v>5.1999999999999998E-3</c:v>
                </c:pt>
                <c:pt idx="91">
                  <c:v>5.1999999999999998E-3</c:v>
                </c:pt>
                <c:pt idx="92">
                  <c:v>5.1999999999999998E-3</c:v>
                </c:pt>
                <c:pt idx="93">
                  <c:v>5.1999999999999998E-3</c:v>
                </c:pt>
                <c:pt idx="94">
                  <c:v>5.1999999999999998E-3</c:v>
                </c:pt>
                <c:pt idx="95">
                  <c:v>5.1999999999999998E-3</c:v>
                </c:pt>
                <c:pt idx="96">
                  <c:v>5.1999999999999998E-3</c:v>
                </c:pt>
                <c:pt idx="97">
                  <c:v>5.1999999999999998E-3</c:v>
                </c:pt>
                <c:pt idx="98">
                  <c:v>5.1999999999999998E-3</c:v>
                </c:pt>
                <c:pt idx="99">
                  <c:v>5.1999999999999998E-3</c:v>
                </c:pt>
                <c:pt idx="100">
                  <c:v>5.1999999999999998E-3</c:v>
                </c:pt>
                <c:pt idx="101">
                  <c:v>5.1999999999999998E-3</c:v>
                </c:pt>
                <c:pt idx="102">
                  <c:v>5.1999999999999998E-3</c:v>
                </c:pt>
                <c:pt idx="103">
                  <c:v>5.1999999999999998E-3</c:v>
                </c:pt>
                <c:pt idx="104">
                  <c:v>5.1999999999999998E-3</c:v>
                </c:pt>
                <c:pt idx="105">
                  <c:v>5.1999999999999998E-3</c:v>
                </c:pt>
                <c:pt idx="106">
                  <c:v>5.1999999999999998E-3</c:v>
                </c:pt>
                <c:pt idx="107">
                  <c:v>5.1999999999999998E-3</c:v>
                </c:pt>
                <c:pt idx="108">
                  <c:v>5.1999999999999998E-3</c:v>
                </c:pt>
                <c:pt idx="109">
                  <c:v>5.1999999999999998E-3</c:v>
                </c:pt>
                <c:pt idx="110">
                  <c:v>5.1999999999999998E-3</c:v>
                </c:pt>
                <c:pt idx="111">
                  <c:v>5.1999999999999998E-3</c:v>
                </c:pt>
                <c:pt idx="112">
                  <c:v>5.1999999999999998E-3</c:v>
                </c:pt>
                <c:pt idx="113">
                  <c:v>5.1999999999999998E-3</c:v>
                </c:pt>
                <c:pt idx="114">
                  <c:v>5.1999999999999998E-3</c:v>
                </c:pt>
                <c:pt idx="115">
                  <c:v>5.1999999999999998E-3</c:v>
                </c:pt>
                <c:pt idx="116">
                  <c:v>5.1999999999999998E-3</c:v>
                </c:pt>
                <c:pt idx="117">
                  <c:v>5.1999999999999998E-3</c:v>
                </c:pt>
                <c:pt idx="118">
                  <c:v>5.1999999999999998E-3</c:v>
                </c:pt>
                <c:pt idx="119">
                  <c:v>5.1999999999999998E-3</c:v>
                </c:pt>
                <c:pt idx="120">
                  <c:v>5.1999999999999998E-3</c:v>
                </c:pt>
                <c:pt idx="121">
                  <c:v>5.1999999999999998E-3</c:v>
                </c:pt>
                <c:pt idx="122">
                  <c:v>5.1999999999999998E-3</c:v>
                </c:pt>
                <c:pt idx="123">
                  <c:v>5.1999999999999998E-3</c:v>
                </c:pt>
                <c:pt idx="124">
                  <c:v>5.1999999999999998E-3</c:v>
                </c:pt>
                <c:pt idx="125">
                  <c:v>5.1999999999999998E-3</c:v>
                </c:pt>
                <c:pt idx="126">
                  <c:v>5.1999999999999998E-3</c:v>
                </c:pt>
                <c:pt idx="127">
                  <c:v>5.1999999999999998E-3</c:v>
                </c:pt>
                <c:pt idx="128">
                  <c:v>5.1999999999999998E-3</c:v>
                </c:pt>
                <c:pt idx="129">
                  <c:v>5.1999999999999998E-3</c:v>
                </c:pt>
                <c:pt idx="130">
                  <c:v>-1.5127999999999999</c:v>
                </c:pt>
                <c:pt idx="131">
                  <c:v>-1.5127999999999999</c:v>
                </c:pt>
                <c:pt idx="132">
                  <c:v>-1.5127999999999999</c:v>
                </c:pt>
                <c:pt idx="133">
                  <c:v>-1.5127999999999999</c:v>
                </c:pt>
                <c:pt idx="134">
                  <c:v>-1.5127999999999999</c:v>
                </c:pt>
                <c:pt idx="135">
                  <c:v>-1.5127999999999999</c:v>
                </c:pt>
                <c:pt idx="136">
                  <c:v>-1.5127999999999999</c:v>
                </c:pt>
                <c:pt idx="137">
                  <c:v>-1.5127999999999999</c:v>
                </c:pt>
                <c:pt idx="138">
                  <c:v>-1.5127999999999999</c:v>
                </c:pt>
                <c:pt idx="139">
                  <c:v>-1.5127999999999999</c:v>
                </c:pt>
                <c:pt idx="140">
                  <c:v>-1.5127999999999999</c:v>
                </c:pt>
                <c:pt idx="141">
                  <c:v>-1.5127999999999999</c:v>
                </c:pt>
                <c:pt idx="142">
                  <c:v>-1.5127999999999999</c:v>
                </c:pt>
                <c:pt idx="143">
                  <c:v>-0.85670000000000002</c:v>
                </c:pt>
                <c:pt idx="144">
                  <c:v>-0.85670000000000002</c:v>
                </c:pt>
                <c:pt idx="145">
                  <c:v>-0.85670000000000002</c:v>
                </c:pt>
                <c:pt idx="146">
                  <c:v>-0.85670000000000002</c:v>
                </c:pt>
                <c:pt idx="147">
                  <c:v>-0.85670000000000002</c:v>
                </c:pt>
                <c:pt idx="148">
                  <c:v>-0.85670000000000002</c:v>
                </c:pt>
                <c:pt idx="149">
                  <c:v>-0.85670000000000002</c:v>
                </c:pt>
                <c:pt idx="150">
                  <c:v>-0.85670000000000002</c:v>
                </c:pt>
                <c:pt idx="151">
                  <c:v>-0.85670000000000002</c:v>
                </c:pt>
                <c:pt idx="152">
                  <c:v>-0.85670000000000002</c:v>
                </c:pt>
                <c:pt idx="153">
                  <c:v>-0.85670000000000002</c:v>
                </c:pt>
                <c:pt idx="154">
                  <c:v>-0.85670000000000002</c:v>
                </c:pt>
                <c:pt idx="155">
                  <c:v>-0.85670000000000002</c:v>
                </c:pt>
                <c:pt idx="156">
                  <c:v>-0.85670000000000002</c:v>
                </c:pt>
                <c:pt idx="157">
                  <c:v>-0.85670000000000002</c:v>
                </c:pt>
                <c:pt idx="158">
                  <c:v>-0.85670000000000002</c:v>
                </c:pt>
                <c:pt idx="159">
                  <c:v>-0.85670000000000002</c:v>
                </c:pt>
                <c:pt idx="160">
                  <c:v>-0.85670000000000002</c:v>
                </c:pt>
                <c:pt idx="161">
                  <c:v>-0.85670000000000002</c:v>
                </c:pt>
                <c:pt idx="162">
                  <c:v>-0.85670000000000002</c:v>
                </c:pt>
                <c:pt idx="163">
                  <c:v>-0.85670000000000002</c:v>
                </c:pt>
                <c:pt idx="164">
                  <c:v>-0.85670000000000002</c:v>
                </c:pt>
                <c:pt idx="165">
                  <c:v>-0.85670000000000002</c:v>
                </c:pt>
                <c:pt idx="166">
                  <c:v>-0.85670000000000002</c:v>
                </c:pt>
                <c:pt idx="167">
                  <c:v>-0.85670000000000002</c:v>
                </c:pt>
                <c:pt idx="168">
                  <c:v>-0.85670000000000002</c:v>
                </c:pt>
                <c:pt idx="169">
                  <c:v>-0.85670000000000002</c:v>
                </c:pt>
                <c:pt idx="170">
                  <c:v>-0.85670000000000002</c:v>
                </c:pt>
                <c:pt idx="171">
                  <c:v>-0.85670000000000002</c:v>
                </c:pt>
                <c:pt idx="172">
                  <c:v>-0.85670000000000002</c:v>
                </c:pt>
                <c:pt idx="173">
                  <c:v>-0.85670000000000002</c:v>
                </c:pt>
                <c:pt idx="174">
                  <c:v>-0.85670000000000002</c:v>
                </c:pt>
                <c:pt idx="175">
                  <c:v>-0.85670000000000002</c:v>
                </c:pt>
                <c:pt idx="176">
                  <c:v>-0.85670000000000002</c:v>
                </c:pt>
                <c:pt idx="177">
                  <c:v>-0.85670000000000002</c:v>
                </c:pt>
                <c:pt idx="178">
                  <c:v>-0.85670000000000002</c:v>
                </c:pt>
                <c:pt idx="179">
                  <c:v>-0.85670000000000002</c:v>
                </c:pt>
                <c:pt idx="180">
                  <c:v>-0.85670000000000002</c:v>
                </c:pt>
                <c:pt idx="181">
                  <c:v>-0.85670000000000002</c:v>
                </c:pt>
                <c:pt idx="182">
                  <c:v>-0.85670000000000002</c:v>
                </c:pt>
                <c:pt idx="183">
                  <c:v>-0.85670000000000002</c:v>
                </c:pt>
                <c:pt idx="184">
                  <c:v>-0.85670000000000002</c:v>
                </c:pt>
                <c:pt idx="185">
                  <c:v>-0.85670000000000002</c:v>
                </c:pt>
                <c:pt idx="186">
                  <c:v>-0.85670000000000002</c:v>
                </c:pt>
                <c:pt idx="187">
                  <c:v>-0.85670000000000002</c:v>
                </c:pt>
                <c:pt idx="188">
                  <c:v>-0.85670000000000002</c:v>
                </c:pt>
                <c:pt idx="189">
                  <c:v>-0.85670000000000002</c:v>
                </c:pt>
                <c:pt idx="190">
                  <c:v>-0.85670000000000002</c:v>
                </c:pt>
                <c:pt idx="191">
                  <c:v>-0.85670000000000002</c:v>
                </c:pt>
                <c:pt idx="192">
                  <c:v>-0.85670000000000002</c:v>
                </c:pt>
                <c:pt idx="193">
                  <c:v>-0.85670000000000002</c:v>
                </c:pt>
                <c:pt idx="194">
                  <c:v>-0.85670000000000002</c:v>
                </c:pt>
                <c:pt idx="195">
                  <c:v>-0.85670000000000002</c:v>
                </c:pt>
                <c:pt idx="196">
                  <c:v>-0.85670000000000002</c:v>
                </c:pt>
                <c:pt idx="197">
                  <c:v>-0.85670000000000002</c:v>
                </c:pt>
                <c:pt idx="198">
                  <c:v>-0.85670000000000002</c:v>
                </c:pt>
                <c:pt idx="199">
                  <c:v>-0.85670000000000002</c:v>
                </c:pt>
                <c:pt idx="200">
                  <c:v>-0.85670000000000002</c:v>
                </c:pt>
                <c:pt idx="201">
                  <c:v>-0.85670000000000002</c:v>
                </c:pt>
                <c:pt idx="202">
                  <c:v>-0.85670000000000002</c:v>
                </c:pt>
                <c:pt idx="203">
                  <c:v>-0.85670000000000002</c:v>
                </c:pt>
                <c:pt idx="204">
                  <c:v>-0.85670000000000002</c:v>
                </c:pt>
                <c:pt idx="205">
                  <c:v>-0.85670000000000002</c:v>
                </c:pt>
                <c:pt idx="206">
                  <c:v>-0.85670000000000002</c:v>
                </c:pt>
                <c:pt idx="207">
                  <c:v>-0.85670000000000002</c:v>
                </c:pt>
                <c:pt idx="208">
                  <c:v>-0.85670000000000002</c:v>
                </c:pt>
                <c:pt idx="209">
                  <c:v>-0.85670000000000002</c:v>
                </c:pt>
                <c:pt idx="210">
                  <c:v>-0.85670000000000002</c:v>
                </c:pt>
                <c:pt idx="211">
                  <c:v>-0.85670000000000002</c:v>
                </c:pt>
                <c:pt idx="212">
                  <c:v>-0.85670000000000002</c:v>
                </c:pt>
                <c:pt idx="213">
                  <c:v>-0.85670000000000002</c:v>
                </c:pt>
                <c:pt idx="214">
                  <c:v>-0.85670000000000002</c:v>
                </c:pt>
                <c:pt idx="215">
                  <c:v>-0.85670000000000002</c:v>
                </c:pt>
                <c:pt idx="216">
                  <c:v>-0.85670000000000002</c:v>
                </c:pt>
                <c:pt idx="217">
                  <c:v>-0.85670000000000002</c:v>
                </c:pt>
                <c:pt idx="218">
                  <c:v>-0.85670000000000002</c:v>
                </c:pt>
                <c:pt idx="219">
                  <c:v>-0.85670000000000002</c:v>
                </c:pt>
                <c:pt idx="220">
                  <c:v>-0.85670000000000002</c:v>
                </c:pt>
                <c:pt idx="221">
                  <c:v>-0.85670000000000002</c:v>
                </c:pt>
                <c:pt idx="222">
                  <c:v>-0.85670000000000002</c:v>
                </c:pt>
                <c:pt idx="223">
                  <c:v>-0.85670000000000002</c:v>
                </c:pt>
                <c:pt idx="224">
                  <c:v>-0.85670000000000002</c:v>
                </c:pt>
                <c:pt idx="225">
                  <c:v>-0.85670000000000002</c:v>
                </c:pt>
                <c:pt idx="226">
                  <c:v>-0.85670000000000002</c:v>
                </c:pt>
                <c:pt idx="227">
                  <c:v>-0.85670000000000002</c:v>
                </c:pt>
                <c:pt idx="228">
                  <c:v>-0.85670000000000002</c:v>
                </c:pt>
                <c:pt idx="229">
                  <c:v>-0.85670000000000002</c:v>
                </c:pt>
                <c:pt idx="230">
                  <c:v>-0.85670000000000002</c:v>
                </c:pt>
                <c:pt idx="231">
                  <c:v>-0.85670000000000002</c:v>
                </c:pt>
                <c:pt idx="232">
                  <c:v>-0.85670000000000002</c:v>
                </c:pt>
                <c:pt idx="233">
                  <c:v>-0.85670000000000002</c:v>
                </c:pt>
                <c:pt idx="234">
                  <c:v>-0.85670000000000002</c:v>
                </c:pt>
                <c:pt idx="235">
                  <c:v>-0.85670000000000002</c:v>
                </c:pt>
                <c:pt idx="236">
                  <c:v>-0.85670000000000002</c:v>
                </c:pt>
                <c:pt idx="237">
                  <c:v>-0.85670000000000002</c:v>
                </c:pt>
                <c:pt idx="238">
                  <c:v>-0.85670000000000002</c:v>
                </c:pt>
                <c:pt idx="239">
                  <c:v>-0.85670000000000002</c:v>
                </c:pt>
                <c:pt idx="240">
                  <c:v>-0.85670000000000002</c:v>
                </c:pt>
                <c:pt idx="241">
                  <c:v>-0.85670000000000002</c:v>
                </c:pt>
                <c:pt idx="242">
                  <c:v>-0.85670000000000002</c:v>
                </c:pt>
                <c:pt idx="243">
                  <c:v>-0.85670000000000002</c:v>
                </c:pt>
                <c:pt idx="244">
                  <c:v>-0.85670000000000002</c:v>
                </c:pt>
                <c:pt idx="245">
                  <c:v>-0.85670000000000002</c:v>
                </c:pt>
                <c:pt idx="246">
                  <c:v>-0.85670000000000002</c:v>
                </c:pt>
                <c:pt idx="247">
                  <c:v>-0.85670000000000002</c:v>
                </c:pt>
                <c:pt idx="248">
                  <c:v>-0.85670000000000002</c:v>
                </c:pt>
                <c:pt idx="249">
                  <c:v>-0.85670000000000002</c:v>
                </c:pt>
                <c:pt idx="250">
                  <c:v>-0.85670000000000002</c:v>
                </c:pt>
                <c:pt idx="251">
                  <c:v>-0.85670000000000002</c:v>
                </c:pt>
                <c:pt idx="252">
                  <c:v>-0.85670000000000002</c:v>
                </c:pt>
                <c:pt idx="253">
                  <c:v>-0.85670000000000002</c:v>
                </c:pt>
                <c:pt idx="254">
                  <c:v>-0.85670000000000002</c:v>
                </c:pt>
                <c:pt idx="255">
                  <c:v>-0.85670000000000002</c:v>
                </c:pt>
                <c:pt idx="256">
                  <c:v>-0.85670000000000002</c:v>
                </c:pt>
                <c:pt idx="257">
                  <c:v>-0.85670000000000002</c:v>
                </c:pt>
                <c:pt idx="258">
                  <c:v>-0.85670000000000002</c:v>
                </c:pt>
                <c:pt idx="259">
                  <c:v>-0.85670000000000002</c:v>
                </c:pt>
                <c:pt idx="260">
                  <c:v>0.3836</c:v>
                </c:pt>
                <c:pt idx="261">
                  <c:v>0.3836</c:v>
                </c:pt>
                <c:pt idx="262">
                  <c:v>0.3836</c:v>
                </c:pt>
                <c:pt idx="263">
                  <c:v>0.3836</c:v>
                </c:pt>
                <c:pt idx="264">
                  <c:v>0.3836</c:v>
                </c:pt>
                <c:pt idx="265">
                  <c:v>0.3836</c:v>
                </c:pt>
                <c:pt idx="266">
                  <c:v>0.3836</c:v>
                </c:pt>
                <c:pt idx="267">
                  <c:v>0.3836</c:v>
                </c:pt>
                <c:pt idx="268">
                  <c:v>0.3836</c:v>
                </c:pt>
                <c:pt idx="269">
                  <c:v>0.3836</c:v>
                </c:pt>
                <c:pt idx="270">
                  <c:v>0.3836</c:v>
                </c:pt>
                <c:pt idx="271">
                  <c:v>0.3836</c:v>
                </c:pt>
                <c:pt idx="272">
                  <c:v>0.3836</c:v>
                </c:pt>
                <c:pt idx="273">
                  <c:v>0.3836</c:v>
                </c:pt>
                <c:pt idx="274">
                  <c:v>0.6411</c:v>
                </c:pt>
                <c:pt idx="275">
                  <c:v>0.6411</c:v>
                </c:pt>
                <c:pt idx="276">
                  <c:v>0.6411</c:v>
                </c:pt>
                <c:pt idx="277">
                  <c:v>0.6411</c:v>
                </c:pt>
                <c:pt idx="278">
                  <c:v>0.6411</c:v>
                </c:pt>
                <c:pt idx="279">
                  <c:v>0.6411</c:v>
                </c:pt>
                <c:pt idx="280">
                  <c:v>0.6411</c:v>
                </c:pt>
                <c:pt idx="281">
                  <c:v>0.6411</c:v>
                </c:pt>
                <c:pt idx="282">
                  <c:v>0.6411</c:v>
                </c:pt>
                <c:pt idx="283">
                  <c:v>0.6411</c:v>
                </c:pt>
                <c:pt idx="284">
                  <c:v>0.6411</c:v>
                </c:pt>
                <c:pt idx="285">
                  <c:v>0.6411</c:v>
                </c:pt>
                <c:pt idx="286">
                  <c:v>0.6411</c:v>
                </c:pt>
                <c:pt idx="287">
                  <c:v>0.34060000000000001</c:v>
                </c:pt>
                <c:pt idx="288">
                  <c:v>0.34060000000000001</c:v>
                </c:pt>
                <c:pt idx="289">
                  <c:v>0.34060000000000001</c:v>
                </c:pt>
                <c:pt idx="290">
                  <c:v>0.34060000000000001</c:v>
                </c:pt>
                <c:pt idx="291">
                  <c:v>0.34060000000000001</c:v>
                </c:pt>
                <c:pt idx="292">
                  <c:v>0.34060000000000001</c:v>
                </c:pt>
                <c:pt idx="293">
                  <c:v>0.34060000000000001</c:v>
                </c:pt>
                <c:pt idx="294">
                  <c:v>0.34060000000000001</c:v>
                </c:pt>
                <c:pt idx="295">
                  <c:v>0.34060000000000001</c:v>
                </c:pt>
                <c:pt idx="296">
                  <c:v>0.34060000000000001</c:v>
                </c:pt>
                <c:pt idx="297">
                  <c:v>0.34060000000000001</c:v>
                </c:pt>
                <c:pt idx="298">
                  <c:v>0.34060000000000001</c:v>
                </c:pt>
                <c:pt idx="299">
                  <c:v>0.34060000000000001</c:v>
                </c:pt>
                <c:pt idx="300">
                  <c:v>0.22950000000000001</c:v>
                </c:pt>
                <c:pt idx="301">
                  <c:v>0.22950000000000001</c:v>
                </c:pt>
                <c:pt idx="302">
                  <c:v>0.22950000000000001</c:v>
                </c:pt>
                <c:pt idx="303">
                  <c:v>0.22950000000000001</c:v>
                </c:pt>
                <c:pt idx="304">
                  <c:v>0.22950000000000001</c:v>
                </c:pt>
                <c:pt idx="305">
                  <c:v>0.22950000000000001</c:v>
                </c:pt>
                <c:pt idx="306">
                  <c:v>0.22950000000000001</c:v>
                </c:pt>
                <c:pt idx="307">
                  <c:v>0.22950000000000001</c:v>
                </c:pt>
                <c:pt idx="308">
                  <c:v>0.22950000000000001</c:v>
                </c:pt>
                <c:pt idx="309">
                  <c:v>0.22950000000000001</c:v>
                </c:pt>
                <c:pt idx="310">
                  <c:v>0.22950000000000001</c:v>
                </c:pt>
                <c:pt idx="311">
                  <c:v>0.22950000000000001</c:v>
                </c:pt>
                <c:pt idx="312">
                  <c:v>0.22950000000000001</c:v>
                </c:pt>
                <c:pt idx="313">
                  <c:v>0.45</c:v>
                </c:pt>
                <c:pt idx="314">
                  <c:v>0.45</c:v>
                </c:pt>
                <c:pt idx="315">
                  <c:v>0.45</c:v>
                </c:pt>
                <c:pt idx="316">
                  <c:v>0.45</c:v>
                </c:pt>
                <c:pt idx="317">
                  <c:v>0.45</c:v>
                </c:pt>
                <c:pt idx="318">
                  <c:v>0.45</c:v>
                </c:pt>
                <c:pt idx="319">
                  <c:v>0.45</c:v>
                </c:pt>
                <c:pt idx="320">
                  <c:v>0.45</c:v>
                </c:pt>
                <c:pt idx="321">
                  <c:v>0.45</c:v>
                </c:pt>
                <c:pt idx="322">
                  <c:v>0.45</c:v>
                </c:pt>
                <c:pt idx="323">
                  <c:v>0.45</c:v>
                </c:pt>
                <c:pt idx="324">
                  <c:v>0.45</c:v>
                </c:pt>
                <c:pt idx="325">
                  <c:v>0.45</c:v>
                </c:pt>
                <c:pt idx="326">
                  <c:v>0.72940000000000005</c:v>
                </c:pt>
                <c:pt idx="327">
                  <c:v>0.72940000000000005</c:v>
                </c:pt>
                <c:pt idx="328">
                  <c:v>0.72940000000000005</c:v>
                </c:pt>
                <c:pt idx="329">
                  <c:v>0.72940000000000005</c:v>
                </c:pt>
                <c:pt idx="330">
                  <c:v>0.72940000000000005</c:v>
                </c:pt>
                <c:pt idx="331">
                  <c:v>0.72940000000000005</c:v>
                </c:pt>
                <c:pt idx="332">
                  <c:v>0.72940000000000005</c:v>
                </c:pt>
                <c:pt idx="333">
                  <c:v>0.72940000000000005</c:v>
                </c:pt>
                <c:pt idx="334">
                  <c:v>0.72940000000000005</c:v>
                </c:pt>
                <c:pt idx="335">
                  <c:v>0.72940000000000005</c:v>
                </c:pt>
                <c:pt idx="336">
                  <c:v>0.72940000000000005</c:v>
                </c:pt>
                <c:pt idx="337">
                  <c:v>0.72940000000000005</c:v>
                </c:pt>
                <c:pt idx="338">
                  <c:v>0.72940000000000005</c:v>
                </c:pt>
                <c:pt idx="339">
                  <c:v>1.0438000000000001</c:v>
                </c:pt>
                <c:pt idx="340">
                  <c:v>1.0438000000000001</c:v>
                </c:pt>
                <c:pt idx="341">
                  <c:v>1.0438000000000001</c:v>
                </c:pt>
                <c:pt idx="342">
                  <c:v>1.0438000000000001</c:v>
                </c:pt>
                <c:pt idx="343">
                  <c:v>1.0438000000000001</c:v>
                </c:pt>
                <c:pt idx="344">
                  <c:v>1.0438000000000001</c:v>
                </c:pt>
                <c:pt idx="345">
                  <c:v>1.0438000000000001</c:v>
                </c:pt>
                <c:pt idx="346">
                  <c:v>1.0438000000000001</c:v>
                </c:pt>
                <c:pt idx="347">
                  <c:v>1.0438000000000001</c:v>
                </c:pt>
                <c:pt idx="348">
                  <c:v>1.0438000000000001</c:v>
                </c:pt>
                <c:pt idx="349">
                  <c:v>1.0438000000000001</c:v>
                </c:pt>
                <c:pt idx="350">
                  <c:v>1.0438000000000001</c:v>
                </c:pt>
                <c:pt idx="351">
                  <c:v>1.0438000000000001</c:v>
                </c:pt>
                <c:pt idx="352">
                  <c:v>0.7036</c:v>
                </c:pt>
                <c:pt idx="353">
                  <c:v>0.7036</c:v>
                </c:pt>
                <c:pt idx="354">
                  <c:v>0.7036</c:v>
                </c:pt>
                <c:pt idx="355">
                  <c:v>0.7036</c:v>
                </c:pt>
                <c:pt idx="356">
                  <c:v>0.7036</c:v>
                </c:pt>
                <c:pt idx="357">
                  <c:v>0.7036</c:v>
                </c:pt>
                <c:pt idx="358">
                  <c:v>0.7036</c:v>
                </c:pt>
                <c:pt idx="359">
                  <c:v>0.7036</c:v>
                </c:pt>
                <c:pt idx="360">
                  <c:v>0.7036</c:v>
                </c:pt>
                <c:pt idx="361">
                  <c:v>0.7036</c:v>
                </c:pt>
                <c:pt idx="362">
                  <c:v>0.7036</c:v>
                </c:pt>
                <c:pt idx="363">
                  <c:v>0.7036</c:v>
                </c:pt>
                <c:pt idx="364">
                  <c:v>0.7036</c:v>
                </c:pt>
                <c:pt idx="365">
                  <c:v>0.81299999999999994</c:v>
                </c:pt>
                <c:pt idx="366">
                  <c:v>0.81299999999999994</c:v>
                </c:pt>
                <c:pt idx="367">
                  <c:v>0.81299999999999994</c:v>
                </c:pt>
                <c:pt idx="368">
                  <c:v>0.81299999999999994</c:v>
                </c:pt>
                <c:pt idx="369">
                  <c:v>0.81299999999999994</c:v>
                </c:pt>
                <c:pt idx="370">
                  <c:v>0.81299999999999994</c:v>
                </c:pt>
                <c:pt idx="371">
                  <c:v>0.81299999999999994</c:v>
                </c:pt>
                <c:pt idx="372">
                  <c:v>0.81299999999999994</c:v>
                </c:pt>
                <c:pt idx="373">
                  <c:v>0.81299999999999994</c:v>
                </c:pt>
                <c:pt idx="374">
                  <c:v>0.81299999999999994</c:v>
                </c:pt>
                <c:pt idx="375">
                  <c:v>0.81299999999999994</c:v>
                </c:pt>
                <c:pt idx="376">
                  <c:v>0.81299999999999994</c:v>
                </c:pt>
                <c:pt idx="377">
                  <c:v>0.81299999999999994</c:v>
                </c:pt>
                <c:pt idx="378">
                  <c:v>0.81299999999999994</c:v>
                </c:pt>
                <c:pt idx="379">
                  <c:v>0.81299999999999994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E1-4801-9DBC-A9A6DDA9E89B}"/>
            </c:ext>
          </c:extLst>
        </c:ser>
        <c:ser>
          <c:idx val="4"/>
          <c:order val="3"/>
          <c:tx>
            <c:strRef>
              <c:f>Base!$BH$4</c:f>
              <c:strCache>
                <c:ptCount val="1"/>
                <c:pt idx="0">
                  <c:v>METR AR Equity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Base!$BL$6:$BL$2000</c:f>
              <c:numCache>
                <c:formatCode>General</c:formatCode>
                <c:ptCount val="1995"/>
                <c:pt idx="0">
                  <c:v>0.94879999999999998</c:v>
                </c:pt>
                <c:pt idx="1">
                  <c:v>0.94879999999999998</c:v>
                </c:pt>
                <c:pt idx="2">
                  <c:v>0.94879999999999998</c:v>
                </c:pt>
                <c:pt idx="3">
                  <c:v>0.94879999999999998</c:v>
                </c:pt>
                <c:pt idx="4">
                  <c:v>0.94879999999999998</c:v>
                </c:pt>
                <c:pt idx="5">
                  <c:v>0.94879999999999998</c:v>
                </c:pt>
                <c:pt idx="6">
                  <c:v>0.94879999999999998</c:v>
                </c:pt>
                <c:pt idx="7">
                  <c:v>0.94879999999999998</c:v>
                </c:pt>
                <c:pt idx="8">
                  <c:v>0.94879999999999998</c:v>
                </c:pt>
                <c:pt idx="9">
                  <c:v>0.94879999999999998</c:v>
                </c:pt>
                <c:pt idx="10">
                  <c:v>0.94879999999999998</c:v>
                </c:pt>
                <c:pt idx="11">
                  <c:v>0.94879999999999998</c:v>
                </c:pt>
                <c:pt idx="12">
                  <c:v>0.94879999999999998</c:v>
                </c:pt>
                <c:pt idx="13">
                  <c:v>0.98380000000000001</c:v>
                </c:pt>
                <c:pt idx="14">
                  <c:v>0.98380000000000001</c:v>
                </c:pt>
                <c:pt idx="15">
                  <c:v>0.98380000000000001</c:v>
                </c:pt>
                <c:pt idx="16">
                  <c:v>0.98380000000000001</c:v>
                </c:pt>
                <c:pt idx="17">
                  <c:v>0.98380000000000001</c:v>
                </c:pt>
                <c:pt idx="18">
                  <c:v>0.98380000000000001</c:v>
                </c:pt>
                <c:pt idx="19">
                  <c:v>0.98380000000000001</c:v>
                </c:pt>
                <c:pt idx="20">
                  <c:v>0.98380000000000001</c:v>
                </c:pt>
                <c:pt idx="21">
                  <c:v>0.98380000000000001</c:v>
                </c:pt>
                <c:pt idx="22">
                  <c:v>0.98380000000000001</c:v>
                </c:pt>
                <c:pt idx="23">
                  <c:v>0.98380000000000001</c:v>
                </c:pt>
                <c:pt idx="24">
                  <c:v>0.98380000000000001</c:v>
                </c:pt>
                <c:pt idx="25">
                  <c:v>0.98380000000000001</c:v>
                </c:pt>
                <c:pt idx="26">
                  <c:v>1.0452999999999999</c:v>
                </c:pt>
                <c:pt idx="27">
                  <c:v>1.0452999999999999</c:v>
                </c:pt>
                <c:pt idx="28">
                  <c:v>1.0452999999999999</c:v>
                </c:pt>
                <c:pt idx="29">
                  <c:v>1.0452999999999999</c:v>
                </c:pt>
                <c:pt idx="30">
                  <c:v>1.0452999999999999</c:v>
                </c:pt>
                <c:pt idx="31">
                  <c:v>1.0452999999999999</c:v>
                </c:pt>
                <c:pt idx="32">
                  <c:v>1.0452999999999999</c:v>
                </c:pt>
                <c:pt idx="33">
                  <c:v>1.0452999999999999</c:v>
                </c:pt>
                <c:pt idx="34">
                  <c:v>1.0452999999999999</c:v>
                </c:pt>
                <c:pt idx="35">
                  <c:v>1.0452999999999999</c:v>
                </c:pt>
                <c:pt idx="36">
                  <c:v>1.0452999999999999</c:v>
                </c:pt>
                <c:pt idx="37">
                  <c:v>1.0452999999999999</c:v>
                </c:pt>
                <c:pt idx="38">
                  <c:v>1.0452999999999999</c:v>
                </c:pt>
                <c:pt idx="39">
                  <c:v>0.6583</c:v>
                </c:pt>
                <c:pt idx="40">
                  <c:v>0.6583</c:v>
                </c:pt>
                <c:pt idx="41">
                  <c:v>0.6583</c:v>
                </c:pt>
                <c:pt idx="42">
                  <c:v>0.6583</c:v>
                </c:pt>
                <c:pt idx="43">
                  <c:v>0.6583</c:v>
                </c:pt>
                <c:pt idx="44">
                  <c:v>0.6583</c:v>
                </c:pt>
                <c:pt idx="45">
                  <c:v>0.6583</c:v>
                </c:pt>
                <c:pt idx="46">
                  <c:v>0.6583</c:v>
                </c:pt>
                <c:pt idx="47">
                  <c:v>0.6583</c:v>
                </c:pt>
                <c:pt idx="48">
                  <c:v>0.6583</c:v>
                </c:pt>
                <c:pt idx="49">
                  <c:v>0.6583</c:v>
                </c:pt>
                <c:pt idx="50">
                  <c:v>0.6583</c:v>
                </c:pt>
                <c:pt idx="51">
                  <c:v>0.6583</c:v>
                </c:pt>
                <c:pt idx="52">
                  <c:v>1.2363999999999999</c:v>
                </c:pt>
                <c:pt idx="53">
                  <c:v>1.2363999999999999</c:v>
                </c:pt>
                <c:pt idx="54">
                  <c:v>1.2363999999999999</c:v>
                </c:pt>
                <c:pt idx="55">
                  <c:v>1.2363999999999999</c:v>
                </c:pt>
                <c:pt idx="56">
                  <c:v>1.2363999999999999</c:v>
                </c:pt>
                <c:pt idx="57">
                  <c:v>1.2363999999999999</c:v>
                </c:pt>
                <c:pt idx="58">
                  <c:v>1.2363999999999999</c:v>
                </c:pt>
                <c:pt idx="59">
                  <c:v>1.2363999999999999</c:v>
                </c:pt>
                <c:pt idx="60">
                  <c:v>1.2363999999999999</c:v>
                </c:pt>
                <c:pt idx="61">
                  <c:v>1.2363999999999999</c:v>
                </c:pt>
                <c:pt idx="62">
                  <c:v>1.2363999999999999</c:v>
                </c:pt>
                <c:pt idx="63">
                  <c:v>1.2363999999999999</c:v>
                </c:pt>
                <c:pt idx="64">
                  <c:v>1.2363999999999999</c:v>
                </c:pt>
                <c:pt idx="65">
                  <c:v>1.1578999999999999</c:v>
                </c:pt>
                <c:pt idx="66">
                  <c:v>1.1578999999999999</c:v>
                </c:pt>
                <c:pt idx="67">
                  <c:v>1.1578999999999999</c:v>
                </c:pt>
                <c:pt idx="68">
                  <c:v>1.1578999999999999</c:v>
                </c:pt>
                <c:pt idx="69">
                  <c:v>1.1578999999999999</c:v>
                </c:pt>
                <c:pt idx="70">
                  <c:v>1.1578999999999999</c:v>
                </c:pt>
                <c:pt idx="71">
                  <c:v>1.1578999999999999</c:v>
                </c:pt>
                <c:pt idx="72">
                  <c:v>1.1578999999999999</c:v>
                </c:pt>
                <c:pt idx="73">
                  <c:v>1.1578999999999999</c:v>
                </c:pt>
                <c:pt idx="74">
                  <c:v>1.1578999999999999</c:v>
                </c:pt>
                <c:pt idx="75">
                  <c:v>1.1578999999999999</c:v>
                </c:pt>
                <c:pt idx="76">
                  <c:v>1.1578999999999999</c:v>
                </c:pt>
                <c:pt idx="77">
                  <c:v>1.1578999999999999</c:v>
                </c:pt>
                <c:pt idx="78">
                  <c:v>5.0805999999999996</c:v>
                </c:pt>
                <c:pt idx="79">
                  <c:v>5.0805999999999996</c:v>
                </c:pt>
                <c:pt idx="80">
                  <c:v>5.0805999999999996</c:v>
                </c:pt>
                <c:pt idx="81">
                  <c:v>5.0805999999999996</c:v>
                </c:pt>
                <c:pt idx="82">
                  <c:v>5.0805999999999996</c:v>
                </c:pt>
                <c:pt idx="83">
                  <c:v>5.0805999999999996</c:v>
                </c:pt>
                <c:pt idx="84">
                  <c:v>5.0805999999999996</c:v>
                </c:pt>
                <c:pt idx="85">
                  <c:v>5.0805999999999996</c:v>
                </c:pt>
                <c:pt idx="86">
                  <c:v>5.0805999999999996</c:v>
                </c:pt>
                <c:pt idx="87">
                  <c:v>5.0805999999999996</c:v>
                </c:pt>
                <c:pt idx="88">
                  <c:v>5.0805999999999996</c:v>
                </c:pt>
                <c:pt idx="89">
                  <c:v>5.0805999999999996</c:v>
                </c:pt>
                <c:pt idx="90">
                  <c:v>5.0805999999999996</c:v>
                </c:pt>
                <c:pt idx="91">
                  <c:v>5.0805999999999996</c:v>
                </c:pt>
                <c:pt idx="92">
                  <c:v>5.0805999999999996</c:v>
                </c:pt>
                <c:pt idx="93">
                  <c:v>5.0805999999999996</c:v>
                </c:pt>
                <c:pt idx="94">
                  <c:v>5.0805999999999996</c:v>
                </c:pt>
                <c:pt idx="95">
                  <c:v>5.0805999999999996</c:v>
                </c:pt>
                <c:pt idx="96">
                  <c:v>5.0805999999999996</c:v>
                </c:pt>
                <c:pt idx="97">
                  <c:v>5.0805999999999996</c:v>
                </c:pt>
                <c:pt idx="98">
                  <c:v>5.0805999999999996</c:v>
                </c:pt>
                <c:pt idx="99">
                  <c:v>5.0805999999999996</c:v>
                </c:pt>
                <c:pt idx="100">
                  <c:v>5.0805999999999996</c:v>
                </c:pt>
                <c:pt idx="101">
                  <c:v>5.0805999999999996</c:v>
                </c:pt>
                <c:pt idx="102">
                  <c:v>5.0805999999999996</c:v>
                </c:pt>
                <c:pt idx="103">
                  <c:v>5.0805999999999996</c:v>
                </c:pt>
                <c:pt idx="104">
                  <c:v>19.987100000000002</c:v>
                </c:pt>
                <c:pt idx="105">
                  <c:v>19.987100000000002</c:v>
                </c:pt>
                <c:pt idx="106">
                  <c:v>19.987100000000002</c:v>
                </c:pt>
                <c:pt idx="107">
                  <c:v>19.987100000000002</c:v>
                </c:pt>
                <c:pt idx="108">
                  <c:v>19.987100000000002</c:v>
                </c:pt>
                <c:pt idx="109">
                  <c:v>19.987100000000002</c:v>
                </c:pt>
                <c:pt idx="110">
                  <c:v>19.987100000000002</c:v>
                </c:pt>
                <c:pt idx="111">
                  <c:v>19.987100000000002</c:v>
                </c:pt>
                <c:pt idx="112">
                  <c:v>19.987100000000002</c:v>
                </c:pt>
                <c:pt idx="113">
                  <c:v>19.987100000000002</c:v>
                </c:pt>
                <c:pt idx="114">
                  <c:v>19.987100000000002</c:v>
                </c:pt>
                <c:pt idx="115">
                  <c:v>19.987100000000002</c:v>
                </c:pt>
                <c:pt idx="116">
                  <c:v>19.987100000000002</c:v>
                </c:pt>
                <c:pt idx="117">
                  <c:v>27.727499999999999</c:v>
                </c:pt>
                <c:pt idx="118">
                  <c:v>27.727499999999999</c:v>
                </c:pt>
                <c:pt idx="119">
                  <c:v>27.727499999999999</c:v>
                </c:pt>
                <c:pt idx="120">
                  <c:v>27.727499999999999</c:v>
                </c:pt>
                <c:pt idx="121">
                  <c:v>27.727499999999999</c:v>
                </c:pt>
                <c:pt idx="122">
                  <c:v>27.727499999999999</c:v>
                </c:pt>
                <c:pt idx="123">
                  <c:v>27.727499999999999</c:v>
                </c:pt>
                <c:pt idx="124">
                  <c:v>27.727499999999999</c:v>
                </c:pt>
                <c:pt idx="125">
                  <c:v>27.727499999999999</c:v>
                </c:pt>
                <c:pt idx="126">
                  <c:v>27.727499999999999</c:v>
                </c:pt>
                <c:pt idx="127">
                  <c:v>27.727499999999999</c:v>
                </c:pt>
                <c:pt idx="128">
                  <c:v>27.727499999999999</c:v>
                </c:pt>
                <c:pt idx="129">
                  <c:v>27.727499999999999</c:v>
                </c:pt>
                <c:pt idx="130">
                  <c:v>27.727499999999999</c:v>
                </c:pt>
                <c:pt idx="131">
                  <c:v>27.727499999999999</c:v>
                </c:pt>
                <c:pt idx="132">
                  <c:v>27.727499999999999</c:v>
                </c:pt>
                <c:pt idx="133">
                  <c:v>27.727499999999999</c:v>
                </c:pt>
                <c:pt idx="134">
                  <c:v>27.727499999999999</c:v>
                </c:pt>
                <c:pt idx="135">
                  <c:v>27.727499999999999</c:v>
                </c:pt>
                <c:pt idx="136">
                  <c:v>27.727499999999999</c:v>
                </c:pt>
                <c:pt idx="137">
                  <c:v>27.727499999999999</c:v>
                </c:pt>
                <c:pt idx="138">
                  <c:v>27.727499999999999</c:v>
                </c:pt>
                <c:pt idx="139">
                  <c:v>27.727499999999999</c:v>
                </c:pt>
                <c:pt idx="140">
                  <c:v>27.727499999999999</c:v>
                </c:pt>
                <c:pt idx="141">
                  <c:v>27.727499999999999</c:v>
                </c:pt>
                <c:pt idx="142">
                  <c:v>27.727499999999999</c:v>
                </c:pt>
                <c:pt idx="143">
                  <c:v>1.3237000000000001</c:v>
                </c:pt>
                <c:pt idx="144">
                  <c:v>1.3237000000000001</c:v>
                </c:pt>
                <c:pt idx="145">
                  <c:v>1.3237000000000001</c:v>
                </c:pt>
                <c:pt idx="146">
                  <c:v>1.3237000000000001</c:v>
                </c:pt>
                <c:pt idx="147">
                  <c:v>1.3237000000000001</c:v>
                </c:pt>
                <c:pt idx="148">
                  <c:v>1.3237000000000001</c:v>
                </c:pt>
                <c:pt idx="149">
                  <c:v>1.3237000000000001</c:v>
                </c:pt>
                <c:pt idx="150">
                  <c:v>1.3237000000000001</c:v>
                </c:pt>
                <c:pt idx="151">
                  <c:v>1.3237000000000001</c:v>
                </c:pt>
                <c:pt idx="152">
                  <c:v>1.3237000000000001</c:v>
                </c:pt>
                <c:pt idx="153">
                  <c:v>1.3237000000000001</c:v>
                </c:pt>
                <c:pt idx="154">
                  <c:v>1.3237000000000001</c:v>
                </c:pt>
                <c:pt idx="155">
                  <c:v>1.3237000000000001</c:v>
                </c:pt>
                <c:pt idx="156">
                  <c:v>0.79420000000000002</c:v>
                </c:pt>
                <c:pt idx="157">
                  <c:v>0.79420000000000002</c:v>
                </c:pt>
                <c:pt idx="158">
                  <c:v>0.79420000000000002</c:v>
                </c:pt>
                <c:pt idx="159">
                  <c:v>0.79420000000000002</c:v>
                </c:pt>
                <c:pt idx="160">
                  <c:v>0.79420000000000002</c:v>
                </c:pt>
                <c:pt idx="161">
                  <c:v>0.79420000000000002</c:v>
                </c:pt>
                <c:pt idx="162">
                  <c:v>0.79420000000000002</c:v>
                </c:pt>
                <c:pt idx="163">
                  <c:v>0.79420000000000002</c:v>
                </c:pt>
                <c:pt idx="164">
                  <c:v>0.79420000000000002</c:v>
                </c:pt>
                <c:pt idx="165">
                  <c:v>0.79420000000000002</c:v>
                </c:pt>
                <c:pt idx="166">
                  <c:v>0.79420000000000002</c:v>
                </c:pt>
                <c:pt idx="167">
                  <c:v>0.79420000000000002</c:v>
                </c:pt>
                <c:pt idx="168">
                  <c:v>0.79420000000000002</c:v>
                </c:pt>
                <c:pt idx="169">
                  <c:v>0.3024</c:v>
                </c:pt>
                <c:pt idx="170">
                  <c:v>0.3024</c:v>
                </c:pt>
                <c:pt idx="171">
                  <c:v>0.3024</c:v>
                </c:pt>
                <c:pt idx="172">
                  <c:v>0.3024</c:v>
                </c:pt>
                <c:pt idx="173">
                  <c:v>0.3024</c:v>
                </c:pt>
                <c:pt idx="174">
                  <c:v>0.3024</c:v>
                </c:pt>
                <c:pt idx="175">
                  <c:v>0.3024</c:v>
                </c:pt>
                <c:pt idx="176">
                  <c:v>0.3024</c:v>
                </c:pt>
                <c:pt idx="177">
                  <c:v>0.3024</c:v>
                </c:pt>
                <c:pt idx="178">
                  <c:v>0.3024</c:v>
                </c:pt>
                <c:pt idx="179">
                  <c:v>0.3024</c:v>
                </c:pt>
                <c:pt idx="180">
                  <c:v>0.3024</c:v>
                </c:pt>
                <c:pt idx="181">
                  <c:v>0.3024</c:v>
                </c:pt>
                <c:pt idx="182">
                  <c:v>0.74419999999999997</c:v>
                </c:pt>
                <c:pt idx="183">
                  <c:v>0.74419999999999997</c:v>
                </c:pt>
                <c:pt idx="184">
                  <c:v>0.74419999999999997</c:v>
                </c:pt>
                <c:pt idx="185">
                  <c:v>0.74419999999999997</c:v>
                </c:pt>
                <c:pt idx="186">
                  <c:v>0.74419999999999997</c:v>
                </c:pt>
                <c:pt idx="187">
                  <c:v>0.74419999999999997</c:v>
                </c:pt>
                <c:pt idx="188">
                  <c:v>0.74419999999999997</c:v>
                </c:pt>
                <c:pt idx="189">
                  <c:v>0.74419999999999997</c:v>
                </c:pt>
                <c:pt idx="190">
                  <c:v>0.74419999999999997</c:v>
                </c:pt>
                <c:pt idx="191">
                  <c:v>0.74419999999999997</c:v>
                </c:pt>
                <c:pt idx="192">
                  <c:v>0.74419999999999997</c:v>
                </c:pt>
                <c:pt idx="193">
                  <c:v>0.74419999999999997</c:v>
                </c:pt>
                <c:pt idx="194">
                  <c:v>0.74419999999999997</c:v>
                </c:pt>
                <c:pt idx="195">
                  <c:v>0.54310000000000003</c:v>
                </c:pt>
                <c:pt idx="196">
                  <c:v>0.54310000000000003</c:v>
                </c:pt>
                <c:pt idx="197">
                  <c:v>0.54310000000000003</c:v>
                </c:pt>
                <c:pt idx="198">
                  <c:v>0.54310000000000003</c:v>
                </c:pt>
                <c:pt idx="199">
                  <c:v>0.54310000000000003</c:v>
                </c:pt>
                <c:pt idx="200">
                  <c:v>0.54310000000000003</c:v>
                </c:pt>
                <c:pt idx="201">
                  <c:v>0.54310000000000003</c:v>
                </c:pt>
                <c:pt idx="202">
                  <c:v>0.54310000000000003</c:v>
                </c:pt>
                <c:pt idx="203">
                  <c:v>0.54310000000000003</c:v>
                </c:pt>
                <c:pt idx="204">
                  <c:v>0.54310000000000003</c:v>
                </c:pt>
                <c:pt idx="205">
                  <c:v>0.54310000000000003</c:v>
                </c:pt>
                <c:pt idx="206">
                  <c:v>0.54310000000000003</c:v>
                </c:pt>
                <c:pt idx="207">
                  <c:v>0.54310000000000003</c:v>
                </c:pt>
                <c:pt idx="208">
                  <c:v>0.32769999999999999</c:v>
                </c:pt>
                <c:pt idx="209">
                  <c:v>0.32769999999999999</c:v>
                </c:pt>
                <c:pt idx="210">
                  <c:v>0.32769999999999999</c:v>
                </c:pt>
                <c:pt idx="211">
                  <c:v>0.32769999999999999</c:v>
                </c:pt>
                <c:pt idx="212">
                  <c:v>0.32769999999999999</c:v>
                </c:pt>
                <c:pt idx="213">
                  <c:v>0.32769999999999999</c:v>
                </c:pt>
                <c:pt idx="214">
                  <c:v>0.32769999999999999</c:v>
                </c:pt>
                <c:pt idx="215">
                  <c:v>0.32769999999999999</c:v>
                </c:pt>
                <c:pt idx="216">
                  <c:v>0.32769999999999999</c:v>
                </c:pt>
                <c:pt idx="217">
                  <c:v>0.32769999999999999</c:v>
                </c:pt>
                <c:pt idx="218">
                  <c:v>0.32769999999999999</c:v>
                </c:pt>
                <c:pt idx="219">
                  <c:v>0.32769999999999999</c:v>
                </c:pt>
                <c:pt idx="220">
                  <c:v>0.32769999999999999</c:v>
                </c:pt>
                <c:pt idx="221">
                  <c:v>-4.2099999999999999E-2</c:v>
                </c:pt>
                <c:pt idx="222">
                  <c:v>-4.2099999999999999E-2</c:v>
                </c:pt>
                <c:pt idx="223">
                  <c:v>-4.2099999999999999E-2</c:v>
                </c:pt>
                <c:pt idx="224">
                  <c:v>-4.2099999999999999E-2</c:v>
                </c:pt>
                <c:pt idx="225">
                  <c:v>-4.2099999999999999E-2</c:v>
                </c:pt>
                <c:pt idx="226">
                  <c:v>-4.2099999999999999E-2</c:v>
                </c:pt>
                <c:pt idx="227">
                  <c:v>-4.2099999999999999E-2</c:v>
                </c:pt>
                <c:pt idx="228">
                  <c:v>-4.2099999999999999E-2</c:v>
                </c:pt>
                <c:pt idx="229">
                  <c:v>-4.2099999999999999E-2</c:v>
                </c:pt>
                <c:pt idx="230">
                  <c:v>-4.2099999999999999E-2</c:v>
                </c:pt>
                <c:pt idx="231">
                  <c:v>-4.2099999999999999E-2</c:v>
                </c:pt>
                <c:pt idx="232">
                  <c:v>-4.2099999999999999E-2</c:v>
                </c:pt>
                <c:pt idx="233">
                  <c:v>-4.2099999999999999E-2</c:v>
                </c:pt>
                <c:pt idx="234">
                  <c:v>-0.2742</c:v>
                </c:pt>
                <c:pt idx="235">
                  <c:v>-0.2742</c:v>
                </c:pt>
                <c:pt idx="236">
                  <c:v>-0.2742</c:v>
                </c:pt>
                <c:pt idx="237">
                  <c:v>-0.2742</c:v>
                </c:pt>
                <c:pt idx="238">
                  <c:v>-0.2742</c:v>
                </c:pt>
                <c:pt idx="239">
                  <c:v>-0.2742</c:v>
                </c:pt>
                <c:pt idx="240">
                  <c:v>-0.2742</c:v>
                </c:pt>
                <c:pt idx="241">
                  <c:v>-0.2742</c:v>
                </c:pt>
                <c:pt idx="242">
                  <c:v>-0.2742</c:v>
                </c:pt>
                <c:pt idx="243">
                  <c:v>-0.2742</c:v>
                </c:pt>
                <c:pt idx="244">
                  <c:v>-0.2742</c:v>
                </c:pt>
                <c:pt idx="245">
                  <c:v>-0.2742</c:v>
                </c:pt>
                <c:pt idx="246">
                  <c:v>-0.2742</c:v>
                </c:pt>
                <c:pt idx="247">
                  <c:v>-1.2999999999999999E-2</c:v>
                </c:pt>
                <c:pt idx="248">
                  <c:v>-1.2999999999999999E-2</c:v>
                </c:pt>
                <c:pt idx="249">
                  <c:v>-1.2999999999999999E-2</c:v>
                </c:pt>
                <c:pt idx="250">
                  <c:v>-1.2999999999999999E-2</c:v>
                </c:pt>
                <c:pt idx="251">
                  <c:v>-1.2999999999999999E-2</c:v>
                </c:pt>
                <c:pt idx="252">
                  <c:v>-1.2999999999999999E-2</c:v>
                </c:pt>
                <c:pt idx="253">
                  <c:v>-1.2999999999999999E-2</c:v>
                </c:pt>
                <c:pt idx="254">
                  <c:v>-1.2999999999999999E-2</c:v>
                </c:pt>
                <c:pt idx="255">
                  <c:v>-1.2999999999999999E-2</c:v>
                </c:pt>
                <c:pt idx="256">
                  <c:v>-1.2999999999999999E-2</c:v>
                </c:pt>
                <c:pt idx="257">
                  <c:v>-1.2999999999999999E-2</c:v>
                </c:pt>
                <c:pt idx="258">
                  <c:v>-1.2999999999999999E-2</c:v>
                </c:pt>
                <c:pt idx="259">
                  <c:v>-1.2999999999999999E-2</c:v>
                </c:pt>
                <c:pt idx="260">
                  <c:v>-0.1012</c:v>
                </c:pt>
                <c:pt idx="261">
                  <c:v>-0.1012</c:v>
                </c:pt>
                <c:pt idx="262">
                  <c:v>-0.1012</c:v>
                </c:pt>
                <c:pt idx="263">
                  <c:v>-0.1012</c:v>
                </c:pt>
                <c:pt idx="264">
                  <c:v>-0.1012</c:v>
                </c:pt>
                <c:pt idx="265">
                  <c:v>-0.1012</c:v>
                </c:pt>
                <c:pt idx="266">
                  <c:v>-0.1012</c:v>
                </c:pt>
                <c:pt idx="267">
                  <c:v>-0.1012</c:v>
                </c:pt>
                <c:pt idx="268">
                  <c:v>-0.1012</c:v>
                </c:pt>
                <c:pt idx="269">
                  <c:v>-0.1012</c:v>
                </c:pt>
                <c:pt idx="270">
                  <c:v>-0.1012</c:v>
                </c:pt>
                <c:pt idx="271">
                  <c:v>-0.1012</c:v>
                </c:pt>
                <c:pt idx="272">
                  <c:v>-0.1012</c:v>
                </c:pt>
                <c:pt idx="273">
                  <c:v>-0.1012</c:v>
                </c:pt>
                <c:pt idx="274">
                  <c:v>-0.40720000000000001</c:v>
                </c:pt>
                <c:pt idx="275">
                  <c:v>-0.40720000000000001</c:v>
                </c:pt>
                <c:pt idx="276">
                  <c:v>-0.40720000000000001</c:v>
                </c:pt>
                <c:pt idx="277">
                  <c:v>-0.40720000000000001</c:v>
                </c:pt>
                <c:pt idx="278">
                  <c:v>-0.40720000000000001</c:v>
                </c:pt>
                <c:pt idx="279">
                  <c:v>-0.40720000000000001</c:v>
                </c:pt>
                <c:pt idx="280">
                  <c:v>-0.40720000000000001</c:v>
                </c:pt>
                <c:pt idx="281">
                  <c:v>-0.40720000000000001</c:v>
                </c:pt>
                <c:pt idx="282">
                  <c:v>-0.40720000000000001</c:v>
                </c:pt>
                <c:pt idx="283">
                  <c:v>-0.40720000000000001</c:v>
                </c:pt>
                <c:pt idx="284">
                  <c:v>-0.40720000000000001</c:v>
                </c:pt>
                <c:pt idx="285">
                  <c:v>-0.40720000000000001</c:v>
                </c:pt>
                <c:pt idx="286">
                  <c:v>-0.40720000000000001</c:v>
                </c:pt>
                <c:pt idx="287">
                  <c:v>-0.50460000000000005</c:v>
                </c:pt>
                <c:pt idx="288">
                  <c:v>-0.50460000000000005</c:v>
                </c:pt>
                <c:pt idx="289">
                  <c:v>-0.50460000000000005</c:v>
                </c:pt>
                <c:pt idx="290">
                  <c:v>-0.50460000000000005</c:v>
                </c:pt>
                <c:pt idx="291">
                  <c:v>-0.50460000000000005</c:v>
                </c:pt>
                <c:pt idx="292">
                  <c:v>-0.50460000000000005</c:v>
                </c:pt>
                <c:pt idx="293">
                  <c:v>-0.50460000000000005</c:v>
                </c:pt>
                <c:pt idx="294">
                  <c:v>-0.50460000000000005</c:v>
                </c:pt>
                <c:pt idx="295">
                  <c:v>-0.50460000000000005</c:v>
                </c:pt>
                <c:pt idx="296">
                  <c:v>-0.50460000000000005</c:v>
                </c:pt>
                <c:pt idx="297">
                  <c:v>-0.50460000000000005</c:v>
                </c:pt>
                <c:pt idx="298">
                  <c:v>-0.50460000000000005</c:v>
                </c:pt>
                <c:pt idx="299">
                  <c:v>-0.50460000000000005</c:v>
                </c:pt>
                <c:pt idx="300">
                  <c:v>-0.22650000000000001</c:v>
                </c:pt>
                <c:pt idx="301">
                  <c:v>-0.22650000000000001</c:v>
                </c:pt>
                <c:pt idx="302">
                  <c:v>-0.22650000000000001</c:v>
                </c:pt>
                <c:pt idx="303">
                  <c:v>-0.22650000000000001</c:v>
                </c:pt>
                <c:pt idx="304">
                  <c:v>-0.22650000000000001</c:v>
                </c:pt>
                <c:pt idx="305">
                  <c:v>-0.22650000000000001</c:v>
                </c:pt>
                <c:pt idx="306">
                  <c:v>-0.22650000000000001</c:v>
                </c:pt>
                <c:pt idx="307">
                  <c:v>-0.22650000000000001</c:v>
                </c:pt>
                <c:pt idx="308">
                  <c:v>-0.22650000000000001</c:v>
                </c:pt>
                <c:pt idx="309">
                  <c:v>-0.22650000000000001</c:v>
                </c:pt>
                <c:pt idx="310">
                  <c:v>-0.22650000000000001</c:v>
                </c:pt>
                <c:pt idx="311">
                  <c:v>-0.22650000000000001</c:v>
                </c:pt>
                <c:pt idx="312">
                  <c:v>-0.22650000000000001</c:v>
                </c:pt>
                <c:pt idx="313">
                  <c:v>-0.11360000000000001</c:v>
                </c:pt>
                <c:pt idx="314">
                  <c:v>-0.11360000000000001</c:v>
                </c:pt>
                <c:pt idx="315">
                  <c:v>-0.11360000000000001</c:v>
                </c:pt>
                <c:pt idx="316">
                  <c:v>-0.11360000000000001</c:v>
                </c:pt>
                <c:pt idx="317">
                  <c:v>-0.11360000000000001</c:v>
                </c:pt>
                <c:pt idx="318">
                  <c:v>-0.11360000000000001</c:v>
                </c:pt>
                <c:pt idx="319">
                  <c:v>-0.11360000000000001</c:v>
                </c:pt>
                <c:pt idx="320">
                  <c:v>-0.11360000000000001</c:v>
                </c:pt>
                <c:pt idx="321">
                  <c:v>-0.11360000000000001</c:v>
                </c:pt>
                <c:pt idx="322">
                  <c:v>-0.11360000000000001</c:v>
                </c:pt>
                <c:pt idx="323">
                  <c:v>-0.11360000000000001</c:v>
                </c:pt>
                <c:pt idx="324">
                  <c:v>-0.11360000000000001</c:v>
                </c:pt>
                <c:pt idx="325">
                  <c:v>-0.11360000000000001</c:v>
                </c:pt>
                <c:pt idx="326">
                  <c:v>-6.6600000000000006E-2</c:v>
                </c:pt>
                <c:pt idx="327">
                  <c:v>-6.6600000000000006E-2</c:v>
                </c:pt>
                <c:pt idx="328">
                  <c:v>-6.6600000000000006E-2</c:v>
                </c:pt>
                <c:pt idx="329">
                  <c:v>-6.6600000000000006E-2</c:v>
                </c:pt>
                <c:pt idx="330">
                  <c:v>-6.6600000000000006E-2</c:v>
                </c:pt>
                <c:pt idx="331">
                  <c:v>-6.6600000000000006E-2</c:v>
                </c:pt>
                <c:pt idx="332">
                  <c:v>-6.6600000000000006E-2</c:v>
                </c:pt>
                <c:pt idx="333">
                  <c:v>-6.6600000000000006E-2</c:v>
                </c:pt>
                <c:pt idx="334">
                  <c:v>-6.6600000000000006E-2</c:v>
                </c:pt>
                <c:pt idx="335">
                  <c:v>-6.6600000000000006E-2</c:v>
                </c:pt>
                <c:pt idx="336">
                  <c:v>-6.6600000000000006E-2</c:v>
                </c:pt>
                <c:pt idx="337">
                  <c:v>-6.6600000000000006E-2</c:v>
                </c:pt>
                <c:pt idx="338">
                  <c:v>-6.6600000000000006E-2</c:v>
                </c:pt>
                <c:pt idx="339">
                  <c:v>-0.1321</c:v>
                </c:pt>
                <c:pt idx="340">
                  <c:v>-0.1321</c:v>
                </c:pt>
                <c:pt idx="341">
                  <c:v>-0.1321</c:v>
                </c:pt>
                <c:pt idx="342">
                  <c:v>-0.1321</c:v>
                </c:pt>
                <c:pt idx="343">
                  <c:v>-0.1321</c:v>
                </c:pt>
                <c:pt idx="344">
                  <c:v>-0.1321</c:v>
                </c:pt>
                <c:pt idx="345">
                  <c:v>-0.1321</c:v>
                </c:pt>
                <c:pt idx="346">
                  <c:v>-0.1321</c:v>
                </c:pt>
                <c:pt idx="347">
                  <c:v>-0.1321</c:v>
                </c:pt>
                <c:pt idx="348">
                  <c:v>-0.1321</c:v>
                </c:pt>
                <c:pt idx="349">
                  <c:v>-0.1321</c:v>
                </c:pt>
                <c:pt idx="350">
                  <c:v>-0.1321</c:v>
                </c:pt>
                <c:pt idx="351">
                  <c:v>-0.1321</c:v>
                </c:pt>
                <c:pt idx="352">
                  <c:v>-0.16869999999999999</c:v>
                </c:pt>
                <c:pt idx="353">
                  <c:v>-0.16869999999999999</c:v>
                </c:pt>
                <c:pt idx="354">
                  <c:v>-0.16869999999999999</c:v>
                </c:pt>
                <c:pt idx="355">
                  <c:v>-0.16869999999999999</c:v>
                </c:pt>
                <c:pt idx="356">
                  <c:v>-0.16869999999999999</c:v>
                </c:pt>
                <c:pt idx="357">
                  <c:v>-0.16869999999999999</c:v>
                </c:pt>
                <c:pt idx="358">
                  <c:v>-0.16869999999999999</c:v>
                </c:pt>
                <c:pt idx="359">
                  <c:v>-0.16869999999999999</c:v>
                </c:pt>
                <c:pt idx="360">
                  <c:v>-0.16869999999999999</c:v>
                </c:pt>
                <c:pt idx="361">
                  <c:v>-0.16869999999999999</c:v>
                </c:pt>
                <c:pt idx="362">
                  <c:v>-0.16869999999999999</c:v>
                </c:pt>
                <c:pt idx="363">
                  <c:v>-0.16869999999999999</c:v>
                </c:pt>
                <c:pt idx="364">
                  <c:v>-0.16869999999999999</c:v>
                </c:pt>
                <c:pt idx="365">
                  <c:v>-0.3049</c:v>
                </c:pt>
                <c:pt idx="366">
                  <c:v>-0.3049</c:v>
                </c:pt>
                <c:pt idx="367">
                  <c:v>-0.3049</c:v>
                </c:pt>
                <c:pt idx="368">
                  <c:v>-0.3049</c:v>
                </c:pt>
                <c:pt idx="369">
                  <c:v>-0.3049</c:v>
                </c:pt>
                <c:pt idx="370">
                  <c:v>-0.3049</c:v>
                </c:pt>
                <c:pt idx="371">
                  <c:v>-0.3049</c:v>
                </c:pt>
                <c:pt idx="372">
                  <c:v>-0.3049</c:v>
                </c:pt>
                <c:pt idx="373">
                  <c:v>-0.3049</c:v>
                </c:pt>
                <c:pt idx="374">
                  <c:v>-0.3049</c:v>
                </c:pt>
                <c:pt idx="375">
                  <c:v>-0.3049</c:v>
                </c:pt>
                <c:pt idx="376">
                  <c:v>-0.3049</c:v>
                </c:pt>
                <c:pt idx="377">
                  <c:v>-0.3049</c:v>
                </c:pt>
                <c:pt idx="378">
                  <c:v>-0.3049</c:v>
                </c:pt>
                <c:pt idx="379">
                  <c:v>-0.3049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E1-4801-9DBC-A9A6DDA9E89B}"/>
            </c:ext>
          </c:extLst>
        </c:ser>
        <c:ser>
          <c:idx val="1"/>
          <c:order val="4"/>
          <c:tx>
            <c:strRef>
              <c:f>Base!$N$4</c:f>
              <c:strCache>
                <c:ptCount val="1"/>
                <c:pt idx="0">
                  <c:v>TGSU2 AR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Base!$R$6:$R$2000</c:f>
              <c:numCache>
                <c:formatCode>General</c:formatCode>
                <c:ptCount val="1995"/>
                <c:pt idx="0">
                  <c:v>0.48270000000000002</c:v>
                </c:pt>
                <c:pt idx="1">
                  <c:v>0.48270000000000002</c:v>
                </c:pt>
                <c:pt idx="2">
                  <c:v>0.48270000000000002</c:v>
                </c:pt>
                <c:pt idx="3">
                  <c:v>0.48270000000000002</c:v>
                </c:pt>
                <c:pt idx="4">
                  <c:v>0.48270000000000002</c:v>
                </c:pt>
                <c:pt idx="5">
                  <c:v>0.48270000000000002</c:v>
                </c:pt>
                <c:pt idx="6">
                  <c:v>0.48270000000000002</c:v>
                </c:pt>
                <c:pt idx="7">
                  <c:v>0.48270000000000002</c:v>
                </c:pt>
                <c:pt idx="8">
                  <c:v>0.48270000000000002</c:v>
                </c:pt>
                <c:pt idx="9">
                  <c:v>0.48270000000000002</c:v>
                </c:pt>
                <c:pt idx="10">
                  <c:v>0.48270000000000002</c:v>
                </c:pt>
                <c:pt idx="11">
                  <c:v>0.48270000000000002</c:v>
                </c:pt>
                <c:pt idx="12">
                  <c:v>0.48270000000000002</c:v>
                </c:pt>
                <c:pt idx="13">
                  <c:v>0.76629999999999998</c:v>
                </c:pt>
                <c:pt idx="14">
                  <c:v>0.76629999999999998</c:v>
                </c:pt>
                <c:pt idx="15">
                  <c:v>0.76629999999999998</c:v>
                </c:pt>
                <c:pt idx="16">
                  <c:v>0.76629999999999998</c:v>
                </c:pt>
                <c:pt idx="17">
                  <c:v>0.76629999999999998</c:v>
                </c:pt>
                <c:pt idx="18">
                  <c:v>0.76629999999999998</c:v>
                </c:pt>
                <c:pt idx="19">
                  <c:v>0.76629999999999998</c:v>
                </c:pt>
                <c:pt idx="20">
                  <c:v>0.76629999999999998</c:v>
                </c:pt>
                <c:pt idx="21">
                  <c:v>0.76629999999999998</c:v>
                </c:pt>
                <c:pt idx="22">
                  <c:v>0.76629999999999998</c:v>
                </c:pt>
                <c:pt idx="23">
                  <c:v>0.76629999999999998</c:v>
                </c:pt>
                <c:pt idx="24">
                  <c:v>0.76629999999999998</c:v>
                </c:pt>
                <c:pt idx="25">
                  <c:v>0.76629999999999998</c:v>
                </c:pt>
                <c:pt idx="26">
                  <c:v>1.0148999999999999</c:v>
                </c:pt>
                <c:pt idx="27">
                  <c:v>1.0148999999999999</c:v>
                </c:pt>
                <c:pt idx="28">
                  <c:v>1.0148999999999999</c:v>
                </c:pt>
                <c:pt idx="29">
                  <c:v>1.0148999999999999</c:v>
                </c:pt>
                <c:pt idx="30">
                  <c:v>1.0148999999999999</c:v>
                </c:pt>
                <c:pt idx="31">
                  <c:v>1.0148999999999999</c:v>
                </c:pt>
                <c:pt idx="32">
                  <c:v>1.0148999999999999</c:v>
                </c:pt>
                <c:pt idx="33">
                  <c:v>1.0148999999999999</c:v>
                </c:pt>
                <c:pt idx="34">
                  <c:v>1.0148999999999999</c:v>
                </c:pt>
                <c:pt idx="35">
                  <c:v>1.0148999999999999</c:v>
                </c:pt>
                <c:pt idx="36">
                  <c:v>1.0148999999999999</c:v>
                </c:pt>
                <c:pt idx="37">
                  <c:v>1.0148999999999999</c:v>
                </c:pt>
                <c:pt idx="38">
                  <c:v>1.0148999999999999</c:v>
                </c:pt>
                <c:pt idx="39">
                  <c:v>0.73170000000000002</c:v>
                </c:pt>
                <c:pt idx="40">
                  <c:v>0.73170000000000002</c:v>
                </c:pt>
                <c:pt idx="41">
                  <c:v>0.73170000000000002</c:v>
                </c:pt>
                <c:pt idx="42">
                  <c:v>0.73170000000000002</c:v>
                </c:pt>
                <c:pt idx="43">
                  <c:v>0.73170000000000002</c:v>
                </c:pt>
                <c:pt idx="44">
                  <c:v>0.73170000000000002</c:v>
                </c:pt>
                <c:pt idx="45">
                  <c:v>0.73170000000000002</c:v>
                </c:pt>
                <c:pt idx="46">
                  <c:v>0.73170000000000002</c:v>
                </c:pt>
                <c:pt idx="47">
                  <c:v>0.73170000000000002</c:v>
                </c:pt>
                <c:pt idx="48">
                  <c:v>0.73170000000000002</c:v>
                </c:pt>
                <c:pt idx="49">
                  <c:v>0.73170000000000002</c:v>
                </c:pt>
                <c:pt idx="50">
                  <c:v>0.73170000000000002</c:v>
                </c:pt>
                <c:pt idx="51">
                  <c:v>0.73170000000000002</c:v>
                </c:pt>
                <c:pt idx="52">
                  <c:v>0.62819999999999998</c:v>
                </c:pt>
                <c:pt idx="53">
                  <c:v>0.62819999999999998</c:v>
                </c:pt>
                <c:pt idx="54">
                  <c:v>0.62819999999999998</c:v>
                </c:pt>
                <c:pt idx="55">
                  <c:v>0.62819999999999998</c:v>
                </c:pt>
                <c:pt idx="56">
                  <c:v>0.62819999999999998</c:v>
                </c:pt>
                <c:pt idx="57">
                  <c:v>0.62819999999999998</c:v>
                </c:pt>
                <c:pt idx="58">
                  <c:v>0.62819999999999998</c:v>
                </c:pt>
                <c:pt idx="59">
                  <c:v>0.62819999999999998</c:v>
                </c:pt>
                <c:pt idx="60">
                  <c:v>0.62819999999999998</c:v>
                </c:pt>
                <c:pt idx="61">
                  <c:v>0.62819999999999998</c:v>
                </c:pt>
                <c:pt idx="62">
                  <c:v>0.62819999999999998</c:v>
                </c:pt>
                <c:pt idx="63">
                  <c:v>0.62819999999999998</c:v>
                </c:pt>
                <c:pt idx="64">
                  <c:v>0.62819999999999998</c:v>
                </c:pt>
                <c:pt idx="65">
                  <c:v>0.66010000000000002</c:v>
                </c:pt>
                <c:pt idx="66">
                  <c:v>0.66010000000000002</c:v>
                </c:pt>
                <c:pt idx="67">
                  <c:v>0.66010000000000002</c:v>
                </c:pt>
                <c:pt idx="68">
                  <c:v>0.66010000000000002</c:v>
                </c:pt>
                <c:pt idx="69">
                  <c:v>0.66010000000000002</c:v>
                </c:pt>
                <c:pt idx="70">
                  <c:v>0.66010000000000002</c:v>
                </c:pt>
                <c:pt idx="71">
                  <c:v>0.66010000000000002</c:v>
                </c:pt>
                <c:pt idx="72">
                  <c:v>0.66010000000000002</c:v>
                </c:pt>
                <c:pt idx="73">
                  <c:v>0.66010000000000002</c:v>
                </c:pt>
                <c:pt idx="74">
                  <c:v>0.66010000000000002</c:v>
                </c:pt>
                <c:pt idx="75">
                  <c:v>0.66010000000000002</c:v>
                </c:pt>
                <c:pt idx="76">
                  <c:v>0.66010000000000002</c:v>
                </c:pt>
                <c:pt idx="77">
                  <c:v>0.66010000000000002</c:v>
                </c:pt>
                <c:pt idx="78">
                  <c:v>1.0853999999999999</c:v>
                </c:pt>
                <c:pt idx="79">
                  <c:v>1.0853999999999999</c:v>
                </c:pt>
                <c:pt idx="80">
                  <c:v>1.0853999999999999</c:v>
                </c:pt>
                <c:pt idx="81">
                  <c:v>1.0853999999999999</c:v>
                </c:pt>
                <c:pt idx="82">
                  <c:v>1.0853999999999999</c:v>
                </c:pt>
                <c:pt idx="83">
                  <c:v>1.0853999999999999</c:v>
                </c:pt>
                <c:pt idx="84">
                  <c:v>1.0853999999999999</c:v>
                </c:pt>
                <c:pt idx="85">
                  <c:v>1.0853999999999999</c:v>
                </c:pt>
                <c:pt idx="86">
                  <c:v>1.0853999999999999</c:v>
                </c:pt>
                <c:pt idx="87">
                  <c:v>1.0853999999999999</c:v>
                </c:pt>
                <c:pt idx="88">
                  <c:v>1.0853999999999999</c:v>
                </c:pt>
                <c:pt idx="89">
                  <c:v>1.0853999999999999</c:v>
                </c:pt>
                <c:pt idx="90">
                  <c:v>1.0853999999999999</c:v>
                </c:pt>
                <c:pt idx="91">
                  <c:v>0.61229999999999996</c:v>
                </c:pt>
                <c:pt idx="92">
                  <c:v>0.61229999999999996</c:v>
                </c:pt>
                <c:pt idx="93">
                  <c:v>0.61229999999999996</c:v>
                </c:pt>
                <c:pt idx="94">
                  <c:v>0.61229999999999996</c:v>
                </c:pt>
                <c:pt idx="95">
                  <c:v>0.61229999999999996</c:v>
                </c:pt>
                <c:pt idx="96">
                  <c:v>0.61229999999999996</c:v>
                </c:pt>
                <c:pt idx="97">
                  <c:v>0.61229999999999996</c:v>
                </c:pt>
                <c:pt idx="98">
                  <c:v>0.61229999999999996</c:v>
                </c:pt>
                <c:pt idx="99">
                  <c:v>0.61229999999999996</c:v>
                </c:pt>
                <c:pt idx="100">
                  <c:v>0.61229999999999996</c:v>
                </c:pt>
                <c:pt idx="101">
                  <c:v>0.61229999999999996</c:v>
                </c:pt>
                <c:pt idx="102">
                  <c:v>0.61229999999999996</c:v>
                </c:pt>
                <c:pt idx="103">
                  <c:v>0.61229999999999996</c:v>
                </c:pt>
                <c:pt idx="104">
                  <c:v>1.0089999999999999</c:v>
                </c:pt>
                <c:pt idx="105">
                  <c:v>1.0089999999999999</c:v>
                </c:pt>
                <c:pt idx="106">
                  <c:v>1.0089999999999999</c:v>
                </c:pt>
                <c:pt idx="107">
                  <c:v>1.0089999999999999</c:v>
                </c:pt>
                <c:pt idx="108">
                  <c:v>1.0089999999999999</c:v>
                </c:pt>
                <c:pt idx="109">
                  <c:v>1.0089999999999999</c:v>
                </c:pt>
                <c:pt idx="110">
                  <c:v>1.0089999999999999</c:v>
                </c:pt>
                <c:pt idx="111">
                  <c:v>1.0089999999999999</c:v>
                </c:pt>
                <c:pt idx="112">
                  <c:v>1.0089999999999999</c:v>
                </c:pt>
                <c:pt idx="113">
                  <c:v>1.0089999999999999</c:v>
                </c:pt>
                <c:pt idx="114">
                  <c:v>1.0089999999999999</c:v>
                </c:pt>
                <c:pt idx="115">
                  <c:v>1.0089999999999999</c:v>
                </c:pt>
                <c:pt idx="116">
                  <c:v>1.0089999999999999</c:v>
                </c:pt>
                <c:pt idx="117">
                  <c:v>0.97509999999999997</c:v>
                </c:pt>
                <c:pt idx="118">
                  <c:v>0.97509999999999997</c:v>
                </c:pt>
                <c:pt idx="119">
                  <c:v>0.97509999999999997</c:v>
                </c:pt>
                <c:pt idx="120">
                  <c:v>0.97509999999999997</c:v>
                </c:pt>
                <c:pt idx="121">
                  <c:v>0.97509999999999997</c:v>
                </c:pt>
                <c:pt idx="122">
                  <c:v>0.97509999999999997</c:v>
                </c:pt>
                <c:pt idx="123">
                  <c:v>0.97509999999999997</c:v>
                </c:pt>
                <c:pt idx="124">
                  <c:v>0.97509999999999997</c:v>
                </c:pt>
                <c:pt idx="125">
                  <c:v>0.97509999999999997</c:v>
                </c:pt>
                <c:pt idx="126">
                  <c:v>0.97509999999999997</c:v>
                </c:pt>
                <c:pt idx="127">
                  <c:v>0.97509999999999997</c:v>
                </c:pt>
                <c:pt idx="128">
                  <c:v>0.97509999999999997</c:v>
                </c:pt>
                <c:pt idx="129">
                  <c:v>0.97509999999999997</c:v>
                </c:pt>
                <c:pt idx="130">
                  <c:v>0.89900000000000002</c:v>
                </c:pt>
                <c:pt idx="131">
                  <c:v>0.89900000000000002</c:v>
                </c:pt>
                <c:pt idx="132">
                  <c:v>0.89900000000000002</c:v>
                </c:pt>
                <c:pt idx="133">
                  <c:v>0.89900000000000002</c:v>
                </c:pt>
                <c:pt idx="134">
                  <c:v>0.89900000000000002</c:v>
                </c:pt>
                <c:pt idx="135">
                  <c:v>0.89900000000000002</c:v>
                </c:pt>
                <c:pt idx="136">
                  <c:v>0.89900000000000002</c:v>
                </c:pt>
                <c:pt idx="137">
                  <c:v>0.89900000000000002</c:v>
                </c:pt>
                <c:pt idx="138">
                  <c:v>0.89900000000000002</c:v>
                </c:pt>
                <c:pt idx="139">
                  <c:v>0.89900000000000002</c:v>
                </c:pt>
                <c:pt idx="140">
                  <c:v>0.89900000000000002</c:v>
                </c:pt>
                <c:pt idx="141">
                  <c:v>0.89900000000000002</c:v>
                </c:pt>
                <c:pt idx="142">
                  <c:v>0.89900000000000002</c:v>
                </c:pt>
                <c:pt idx="143">
                  <c:v>0.56820000000000004</c:v>
                </c:pt>
                <c:pt idx="144">
                  <c:v>0.56820000000000004</c:v>
                </c:pt>
                <c:pt idx="145">
                  <c:v>0.56820000000000004</c:v>
                </c:pt>
                <c:pt idx="146">
                  <c:v>0.56820000000000004</c:v>
                </c:pt>
                <c:pt idx="147">
                  <c:v>0.56820000000000004</c:v>
                </c:pt>
                <c:pt idx="148">
                  <c:v>0.56820000000000004</c:v>
                </c:pt>
                <c:pt idx="149">
                  <c:v>0.56820000000000004</c:v>
                </c:pt>
                <c:pt idx="150">
                  <c:v>0.56820000000000004</c:v>
                </c:pt>
                <c:pt idx="151">
                  <c:v>0.56820000000000004</c:v>
                </c:pt>
                <c:pt idx="152">
                  <c:v>0.56820000000000004</c:v>
                </c:pt>
                <c:pt idx="153">
                  <c:v>0.56820000000000004</c:v>
                </c:pt>
                <c:pt idx="154">
                  <c:v>0.56820000000000004</c:v>
                </c:pt>
                <c:pt idx="155">
                  <c:v>0.56820000000000004</c:v>
                </c:pt>
                <c:pt idx="156">
                  <c:v>0.37819999999999998</c:v>
                </c:pt>
                <c:pt idx="157">
                  <c:v>0.37819999999999998</c:v>
                </c:pt>
                <c:pt idx="158">
                  <c:v>0.37819999999999998</c:v>
                </c:pt>
                <c:pt idx="159">
                  <c:v>0.37819999999999998</c:v>
                </c:pt>
                <c:pt idx="160">
                  <c:v>0.37819999999999998</c:v>
                </c:pt>
                <c:pt idx="161">
                  <c:v>0.37819999999999998</c:v>
                </c:pt>
                <c:pt idx="162">
                  <c:v>0.37819999999999998</c:v>
                </c:pt>
                <c:pt idx="163">
                  <c:v>0.37819999999999998</c:v>
                </c:pt>
                <c:pt idx="164">
                  <c:v>0.37819999999999998</c:v>
                </c:pt>
                <c:pt idx="165">
                  <c:v>0.37819999999999998</c:v>
                </c:pt>
                <c:pt idx="166">
                  <c:v>0.37819999999999998</c:v>
                </c:pt>
                <c:pt idx="167">
                  <c:v>0.37819999999999998</c:v>
                </c:pt>
                <c:pt idx="168">
                  <c:v>0.37819999999999998</c:v>
                </c:pt>
                <c:pt idx="169">
                  <c:v>0.33310000000000001</c:v>
                </c:pt>
                <c:pt idx="170">
                  <c:v>0.33310000000000001</c:v>
                </c:pt>
                <c:pt idx="171">
                  <c:v>0.33310000000000001</c:v>
                </c:pt>
                <c:pt idx="172">
                  <c:v>0.33310000000000001</c:v>
                </c:pt>
                <c:pt idx="173">
                  <c:v>0.33310000000000001</c:v>
                </c:pt>
                <c:pt idx="174">
                  <c:v>0.33310000000000001</c:v>
                </c:pt>
                <c:pt idx="175">
                  <c:v>0.33310000000000001</c:v>
                </c:pt>
                <c:pt idx="176">
                  <c:v>0.33310000000000001</c:v>
                </c:pt>
                <c:pt idx="177">
                  <c:v>0.33310000000000001</c:v>
                </c:pt>
                <c:pt idx="178">
                  <c:v>0.33310000000000001</c:v>
                </c:pt>
                <c:pt idx="179">
                  <c:v>0.33310000000000001</c:v>
                </c:pt>
                <c:pt idx="180">
                  <c:v>0.33310000000000001</c:v>
                </c:pt>
                <c:pt idx="181">
                  <c:v>0.33310000000000001</c:v>
                </c:pt>
                <c:pt idx="182">
                  <c:v>0.81289999999999996</c:v>
                </c:pt>
                <c:pt idx="183">
                  <c:v>0.81289999999999996</c:v>
                </c:pt>
                <c:pt idx="184">
                  <c:v>0.81289999999999996</c:v>
                </c:pt>
                <c:pt idx="185">
                  <c:v>0.81289999999999996</c:v>
                </c:pt>
                <c:pt idx="186">
                  <c:v>0.81289999999999996</c:v>
                </c:pt>
                <c:pt idx="187">
                  <c:v>0.81289999999999996</c:v>
                </c:pt>
                <c:pt idx="188">
                  <c:v>0.81289999999999996</c:v>
                </c:pt>
                <c:pt idx="189">
                  <c:v>0.81289999999999996</c:v>
                </c:pt>
                <c:pt idx="190">
                  <c:v>0.81289999999999996</c:v>
                </c:pt>
                <c:pt idx="191">
                  <c:v>0.81289999999999996</c:v>
                </c:pt>
                <c:pt idx="192">
                  <c:v>0.81289999999999996</c:v>
                </c:pt>
                <c:pt idx="193">
                  <c:v>0.81289999999999996</c:v>
                </c:pt>
                <c:pt idx="194">
                  <c:v>0.81289999999999996</c:v>
                </c:pt>
                <c:pt idx="195">
                  <c:v>0.28010000000000002</c:v>
                </c:pt>
                <c:pt idx="196">
                  <c:v>0.28010000000000002</c:v>
                </c:pt>
                <c:pt idx="197">
                  <c:v>0.28010000000000002</c:v>
                </c:pt>
                <c:pt idx="198">
                  <c:v>0.28010000000000002</c:v>
                </c:pt>
                <c:pt idx="199">
                  <c:v>0.28010000000000002</c:v>
                </c:pt>
                <c:pt idx="200">
                  <c:v>0.28010000000000002</c:v>
                </c:pt>
                <c:pt idx="201">
                  <c:v>0.28010000000000002</c:v>
                </c:pt>
                <c:pt idx="202">
                  <c:v>0.28010000000000002</c:v>
                </c:pt>
                <c:pt idx="203">
                  <c:v>0.28010000000000002</c:v>
                </c:pt>
                <c:pt idx="204">
                  <c:v>0.28010000000000002</c:v>
                </c:pt>
                <c:pt idx="205">
                  <c:v>0.28010000000000002</c:v>
                </c:pt>
                <c:pt idx="206">
                  <c:v>0.28010000000000002</c:v>
                </c:pt>
                <c:pt idx="207">
                  <c:v>0.28010000000000002</c:v>
                </c:pt>
                <c:pt idx="208">
                  <c:v>7.3300000000000004E-2</c:v>
                </c:pt>
                <c:pt idx="209">
                  <c:v>7.3300000000000004E-2</c:v>
                </c:pt>
                <c:pt idx="210">
                  <c:v>7.3300000000000004E-2</c:v>
                </c:pt>
                <c:pt idx="211">
                  <c:v>7.3300000000000004E-2</c:v>
                </c:pt>
                <c:pt idx="212">
                  <c:v>7.3300000000000004E-2</c:v>
                </c:pt>
                <c:pt idx="213">
                  <c:v>7.3300000000000004E-2</c:v>
                </c:pt>
                <c:pt idx="214">
                  <c:v>7.3300000000000004E-2</c:v>
                </c:pt>
                <c:pt idx="215">
                  <c:v>7.3300000000000004E-2</c:v>
                </c:pt>
                <c:pt idx="216">
                  <c:v>7.3300000000000004E-2</c:v>
                </c:pt>
                <c:pt idx="217">
                  <c:v>7.3300000000000004E-2</c:v>
                </c:pt>
                <c:pt idx="218">
                  <c:v>7.3300000000000004E-2</c:v>
                </c:pt>
                <c:pt idx="219">
                  <c:v>7.3300000000000004E-2</c:v>
                </c:pt>
                <c:pt idx="220">
                  <c:v>7.3300000000000004E-2</c:v>
                </c:pt>
                <c:pt idx="221">
                  <c:v>0.1014</c:v>
                </c:pt>
                <c:pt idx="222">
                  <c:v>0.1014</c:v>
                </c:pt>
                <c:pt idx="223">
                  <c:v>0.1014</c:v>
                </c:pt>
                <c:pt idx="224">
                  <c:v>0.1014</c:v>
                </c:pt>
                <c:pt idx="225">
                  <c:v>0.1014</c:v>
                </c:pt>
                <c:pt idx="226">
                  <c:v>0.1014</c:v>
                </c:pt>
                <c:pt idx="227">
                  <c:v>0.1014</c:v>
                </c:pt>
                <c:pt idx="228">
                  <c:v>0.1014</c:v>
                </c:pt>
                <c:pt idx="229">
                  <c:v>0.1014</c:v>
                </c:pt>
                <c:pt idx="230">
                  <c:v>0.1014</c:v>
                </c:pt>
                <c:pt idx="231">
                  <c:v>0.1014</c:v>
                </c:pt>
                <c:pt idx="232">
                  <c:v>0.1014</c:v>
                </c:pt>
                <c:pt idx="233">
                  <c:v>0.1014</c:v>
                </c:pt>
                <c:pt idx="234">
                  <c:v>1.4941</c:v>
                </c:pt>
                <c:pt idx="235">
                  <c:v>1.4941</c:v>
                </c:pt>
                <c:pt idx="236">
                  <c:v>1.4941</c:v>
                </c:pt>
                <c:pt idx="237">
                  <c:v>1.4941</c:v>
                </c:pt>
                <c:pt idx="238">
                  <c:v>1.4941</c:v>
                </c:pt>
                <c:pt idx="239">
                  <c:v>1.4941</c:v>
                </c:pt>
                <c:pt idx="240">
                  <c:v>1.4941</c:v>
                </c:pt>
                <c:pt idx="241">
                  <c:v>1.4941</c:v>
                </c:pt>
                <c:pt idx="242">
                  <c:v>1.4941</c:v>
                </c:pt>
                <c:pt idx="243">
                  <c:v>1.4941</c:v>
                </c:pt>
                <c:pt idx="244">
                  <c:v>1.4941</c:v>
                </c:pt>
                <c:pt idx="245">
                  <c:v>1.4941</c:v>
                </c:pt>
                <c:pt idx="246">
                  <c:v>1.4941</c:v>
                </c:pt>
                <c:pt idx="247">
                  <c:v>0.14219999999999999</c:v>
                </c:pt>
                <c:pt idx="248">
                  <c:v>0.14219999999999999</c:v>
                </c:pt>
                <c:pt idx="249">
                  <c:v>0.14219999999999999</c:v>
                </c:pt>
                <c:pt idx="250">
                  <c:v>0.14219999999999999</c:v>
                </c:pt>
                <c:pt idx="251">
                  <c:v>0.14219999999999999</c:v>
                </c:pt>
                <c:pt idx="252">
                  <c:v>0.14219999999999999</c:v>
                </c:pt>
                <c:pt idx="253">
                  <c:v>0.14219999999999999</c:v>
                </c:pt>
                <c:pt idx="254">
                  <c:v>0.14219999999999999</c:v>
                </c:pt>
                <c:pt idx="255">
                  <c:v>0.14219999999999999</c:v>
                </c:pt>
                <c:pt idx="256">
                  <c:v>0.14219999999999999</c:v>
                </c:pt>
                <c:pt idx="257">
                  <c:v>0.14219999999999999</c:v>
                </c:pt>
                <c:pt idx="258">
                  <c:v>0.14219999999999999</c:v>
                </c:pt>
                <c:pt idx="259">
                  <c:v>0.14219999999999999</c:v>
                </c:pt>
                <c:pt idx="260">
                  <c:v>-5.8799999999999998E-2</c:v>
                </c:pt>
                <c:pt idx="261">
                  <c:v>-5.8799999999999998E-2</c:v>
                </c:pt>
                <c:pt idx="262">
                  <c:v>-5.8799999999999998E-2</c:v>
                </c:pt>
                <c:pt idx="263">
                  <c:v>-5.8799999999999998E-2</c:v>
                </c:pt>
                <c:pt idx="264">
                  <c:v>-5.8799999999999998E-2</c:v>
                </c:pt>
                <c:pt idx="265">
                  <c:v>-5.8799999999999998E-2</c:v>
                </c:pt>
                <c:pt idx="266">
                  <c:v>-5.8799999999999998E-2</c:v>
                </c:pt>
                <c:pt idx="267">
                  <c:v>-5.8799999999999998E-2</c:v>
                </c:pt>
                <c:pt idx="268">
                  <c:v>-5.8799999999999998E-2</c:v>
                </c:pt>
                <c:pt idx="269">
                  <c:v>-5.8799999999999998E-2</c:v>
                </c:pt>
                <c:pt idx="270">
                  <c:v>-5.8799999999999998E-2</c:v>
                </c:pt>
                <c:pt idx="271">
                  <c:v>-5.8799999999999998E-2</c:v>
                </c:pt>
                <c:pt idx="272">
                  <c:v>-5.8799999999999998E-2</c:v>
                </c:pt>
                <c:pt idx="273">
                  <c:v>-5.8799999999999998E-2</c:v>
                </c:pt>
                <c:pt idx="274">
                  <c:v>-0.13950000000000001</c:v>
                </c:pt>
                <c:pt idx="275">
                  <c:v>-0.13950000000000001</c:v>
                </c:pt>
                <c:pt idx="276">
                  <c:v>-0.13950000000000001</c:v>
                </c:pt>
                <c:pt idx="277">
                  <c:v>-0.13950000000000001</c:v>
                </c:pt>
                <c:pt idx="278">
                  <c:v>-0.13950000000000001</c:v>
                </c:pt>
                <c:pt idx="279">
                  <c:v>-0.13950000000000001</c:v>
                </c:pt>
                <c:pt idx="280">
                  <c:v>-0.13950000000000001</c:v>
                </c:pt>
                <c:pt idx="281">
                  <c:v>-0.13950000000000001</c:v>
                </c:pt>
                <c:pt idx="282">
                  <c:v>-0.13950000000000001</c:v>
                </c:pt>
                <c:pt idx="283">
                  <c:v>-0.13950000000000001</c:v>
                </c:pt>
                <c:pt idx="284">
                  <c:v>-0.13950000000000001</c:v>
                </c:pt>
                <c:pt idx="285">
                  <c:v>-0.13950000000000001</c:v>
                </c:pt>
                <c:pt idx="286">
                  <c:v>-0.13950000000000001</c:v>
                </c:pt>
                <c:pt idx="287">
                  <c:v>-0.32229999999999998</c:v>
                </c:pt>
                <c:pt idx="288">
                  <c:v>-0.32229999999999998</c:v>
                </c:pt>
                <c:pt idx="289">
                  <c:v>-0.32229999999999998</c:v>
                </c:pt>
                <c:pt idx="290">
                  <c:v>-0.32229999999999998</c:v>
                </c:pt>
                <c:pt idx="291">
                  <c:v>-0.32229999999999998</c:v>
                </c:pt>
                <c:pt idx="292">
                  <c:v>-0.32229999999999998</c:v>
                </c:pt>
                <c:pt idx="293">
                  <c:v>-0.32229999999999998</c:v>
                </c:pt>
                <c:pt idx="294">
                  <c:v>-0.32229999999999998</c:v>
                </c:pt>
                <c:pt idx="295">
                  <c:v>-0.32229999999999998</c:v>
                </c:pt>
                <c:pt idx="296">
                  <c:v>-0.32229999999999998</c:v>
                </c:pt>
                <c:pt idx="297">
                  <c:v>-0.32229999999999998</c:v>
                </c:pt>
                <c:pt idx="298">
                  <c:v>-0.32229999999999998</c:v>
                </c:pt>
                <c:pt idx="299">
                  <c:v>-0.32229999999999998</c:v>
                </c:pt>
                <c:pt idx="300">
                  <c:v>-8.1000000000000003E-2</c:v>
                </c:pt>
                <c:pt idx="301">
                  <c:v>-8.1000000000000003E-2</c:v>
                </c:pt>
                <c:pt idx="302">
                  <c:v>-8.1000000000000003E-2</c:v>
                </c:pt>
                <c:pt idx="303">
                  <c:v>-8.1000000000000003E-2</c:v>
                </c:pt>
                <c:pt idx="304">
                  <c:v>-8.1000000000000003E-2</c:v>
                </c:pt>
                <c:pt idx="305">
                  <c:v>-8.1000000000000003E-2</c:v>
                </c:pt>
                <c:pt idx="306">
                  <c:v>-8.1000000000000003E-2</c:v>
                </c:pt>
                <c:pt idx="307">
                  <c:v>-8.1000000000000003E-2</c:v>
                </c:pt>
                <c:pt idx="308">
                  <c:v>-8.1000000000000003E-2</c:v>
                </c:pt>
                <c:pt idx="309">
                  <c:v>-8.1000000000000003E-2</c:v>
                </c:pt>
                <c:pt idx="310">
                  <c:v>-8.1000000000000003E-2</c:v>
                </c:pt>
                <c:pt idx="311">
                  <c:v>-8.1000000000000003E-2</c:v>
                </c:pt>
                <c:pt idx="312">
                  <c:v>-8.1000000000000003E-2</c:v>
                </c:pt>
                <c:pt idx="313">
                  <c:v>-2.3E-3</c:v>
                </c:pt>
                <c:pt idx="314">
                  <c:v>-2.3E-3</c:v>
                </c:pt>
                <c:pt idx="315">
                  <c:v>-2.3E-3</c:v>
                </c:pt>
                <c:pt idx="316">
                  <c:v>-2.3E-3</c:v>
                </c:pt>
                <c:pt idx="317">
                  <c:v>-2.3E-3</c:v>
                </c:pt>
                <c:pt idx="318">
                  <c:v>-2.3E-3</c:v>
                </c:pt>
                <c:pt idx="319">
                  <c:v>-2.3E-3</c:v>
                </c:pt>
                <c:pt idx="320">
                  <c:v>-2.3E-3</c:v>
                </c:pt>
                <c:pt idx="321">
                  <c:v>-2.3E-3</c:v>
                </c:pt>
                <c:pt idx="322">
                  <c:v>-2.3E-3</c:v>
                </c:pt>
                <c:pt idx="323">
                  <c:v>-2.3E-3</c:v>
                </c:pt>
                <c:pt idx="324">
                  <c:v>-2.3E-3</c:v>
                </c:pt>
                <c:pt idx="325">
                  <c:v>-2.3E-3</c:v>
                </c:pt>
                <c:pt idx="326">
                  <c:v>-8.5999999999999993E-2</c:v>
                </c:pt>
                <c:pt idx="327">
                  <c:v>-8.5999999999999993E-2</c:v>
                </c:pt>
                <c:pt idx="328">
                  <c:v>-8.5999999999999993E-2</c:v>
                </c:pt>
                <c:pt idx="329">
                  <c:v>-8.5999999999999993E-2</c:v>
                </c:pt>
                <c:pt idx="330">
                  <c:v>-8.5999999999999993E-2</c:v>
                </c:pt>
                <c:pt idx="331">
                  <c:v>-8.5999999999999993E-2</c:v>
                </c:pt>
                <c:pt idx="332">
                  <c:v>-8.5999999999999993E-2</c:v>
                </c:pt>
                <c:pt idx="333">
                  <c:v>-8.5999999999999993E-2</c:v>
                </c:pt>
                <c:pt idx="334">
                  <c:v>-8.5999999999999993E-2</c:v>
                </c:pt>
                <c:pt idx="335">
                  <c:v>-8.5999999999999993E-2</c:v>
                </c:pt>
                <c:pt idx="336">
                  <c:v>-8.5999999999999993E-2</c:v>
                </c:pt>
                <c:pt idx="337">
                  <c:v>-8.5999999999999993E-2</c:v>
                </c:pt>
                <c:pt idx="338">
                  <c:v>-8.5999999999999993E-2</c:v>
                </c:pt>
                <c:pt idx="339">
                  <c:v>-0.12039999999999999</c:v>
                </c:pt>
                <c:pt idx="340">
                  <c:v>-0.12039999999999999</c:v>
                </c:pt>
                <c:pt idx="341">
                  <c:v>-0.12039999999999999</c:v>
                </c:pt>
                <c:pt idx="342">
                  <c:v>-0.12039999999999999</c:v>
                </c:pt>
                <c:pt idx="343">
                  <c:v>-0.12039999999999999</c:v>
                </c:pt>
                <c:pt idx="344">
                  <c:v>-0.12039999999999999</c:v>
                </c:pt>
                <c:pt idx="345">
                  <c:v>-0.12039999999999999</c:v>
                </c:pt>
                <c:pt idx="346">
                  <c:v>-0.12039999999999999</c:v>
                </c:pt>
                <c:pt idx="347">
                  <c:v>-0.12039999999999999</c:v>
                </c:pt>
                <c:pt idx="348">
                  <c:v>-0.12039999999999999</c:v>
                </c:pt>
                <c:pt idx="349">
                  <c:v>-0.12039999999999999</c:v>
                </c:pt>
                <c:pt idx="350">
                  <c:v>-0.12039999999999999</c:v>
                </c:pt>
                <c:pt idx="351">
                  <c:v>-0.12039999999999999</c:v>
                </c:pt>
                <c:pt idx="352">
                  <c:v>7.0900000000000005E-2</c:v>
                </c:pt>
                <c:pt idx="353">
                  <c:v>7.0900000000000005E-2</c:v>
                </c:pt>
                <c:pt idx="354">
                  <c:v>7.0900000000000005E-2</c:v>
                </c:pt>
                <c:pt idx="355">
                  <c:v>7.0900000000000005E-2</c:v>
                </c:pt>
                <c:pt idx="356">
                  <c:v>7.0900000000000005E-2</c:v>
                </c:pt>
                <c:pt idx="357">
                  <c:v>7.0900000000000005E-2</c:v>
                </c:pt>
                <c:pt idx="358">
                  <c:v>7.0900000000000005E-2</c:v>
                </c:pt>
                <c:pt idx="359">
                  <c:v>7.0900000000000005E-2</c:v>
                </c:pt>
                <c:pt idx="360">
                  <c:v>7.0900000000000005E-2</c:v>
                </c:pt>
                <c:pt idx="361">
                  <c:v>7.0900000000000005E-2</c:v>
                </c:pt>
                <c:pt idx="362">
                  <c:v>7.0900000000000005E-2</c:v>
                </c:pt>
                <c:pt idx="363">
                  <c:v>7.0900000000000005E-2</c:v>
                </c:pt>
                <c:pt idx="364">
                  <c:v>7.0900000000000005E-2</c:v>
                </c:pt>
                <c:pt idx="365">
                  <c:v>-0.4446</c:v>
                </c:pt>
                <c:pt idx="366">
                  <c:v>-0.4446</c:v>
                </c:pt>
                <c:pt idx="367">
                  <c:v>-0.4446</c:v>
                </c:pt>
                <c:pt idx="368">
                  <c:v>-0.4446</c:v>
                </c:pt>
                <c:pt idx="369">
                  <c:v>-0.4446</c:v>
                </c:pt>
                <c:pt idx="370">
                  <c:v>-0.4446</c:v>
                </c:pt>
                <c:pt idx="371">
                  <c:v>-0.4446</c:v>
                </c:pt>
                <c:pt idx="372">
                  <c:v>-0.4446</c:v>
                </c:pt>
                <c:pt idx="373">
                  <c:v>-0.4446</c:v>
                </c:pt>
                <c:pt idx="374">
                  <c:v>-0.4446</c:v>
                </c:pt>
                <c:pt idx="375">
                  <c:v>-0.4446</c:v>
                </c:pt>
                <c:pt idx="376">
                  <c:v>-0.4446</c:v>
                </c:pt>
                <c:pt idx="377">
                  <c:v>-0.4446</c:v>
                </c:pt>
                <c:pt idx="378">
                  <c:v>-0.4446</c:v>
                </c:pt>
                <c:pt idx="379">
                  <c:v>-0.4446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0E-4071-9F40-13B0A20AFFB6}"/>
            </c:ext>
          </c:extLst>
        </c:ser>
        <c:ser>
          <c:idx val="2"/>
          <c:order val="5"/>
          <c:tx>
            <c:strRef>
              <c:f>Base!$AK$4</c:f>
              <c:strCache>
                <c:ptCount val="1"/>
                <c:pt idx="0">
                  <c:v>TRAN AR Equity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Base!$AP$6:$AP$2000</c:f>
              <c:numCache>
                <c:formatCode>General</c:formatCode>
                <c:ptCount val="1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246.3931</c:v>
                </c:pt>
                <c:pt idx="314">
                  <c:v>246.3931</c:v>
                </c:pt>
                <c:pt idx="315">
                  <c:v>246.3931</c:v>
                </c:pt>
                <c:pt idx="316">
                  <c:v>246.3931</c:v>
                </c:pt>
                <c:pt idx="317">
                  <c:v>246.3931</c:v>
                </c:pt>
                <c:pt idx="318">
                  <c:v>246.3931</c:v>
                </c:pt>
                <c:pt idx="319">
                  <c:v>246.3931</c:v>
                </c:pt>
                <c:pt idx="320">
                  <c:v>246.3931</c:v>
                </c:pt>
                <c:pt idx="321">
                  <c:v>246.3931</c:v>
                </c:pt>
                <c:pt idx="322">
                  <c:v>246.3931</c:v>
                </c:pt>
                <c:pt idx="323">
                  <c:v>246.3931</c:v>
                </c:pt>
                <c:pt idx="324">
                  <c:v>246.3931</c:v>
                </c:pt>
                <c:pt idx="325">
                  <c:v>246.3931</c:v>
                </c:pt>
                <c:pt idx="326">
                  <c:v>246.3931</c:v>
                </c:pt>
                <c:pt idx="327">
                  <c:v>246.3931</c:v>
                </c:pt>
                <c:pt idx="328">
                  <c:v>246.3931</c:v>
                </c:pt>
                <c:pt idx="329">
                  <c:v>246.3931</c:v>
                </c:pt>
                <c:pt idx="330">
                  <c:v>246.3931</c:v>
                </c:pt>
                <c:pt idx="331">
                  <c:v>246.3931</c:v>
                </c:pt>
                <c:pt idx="332">
                  <c:v>246.3931</c:v>
                </c:pt>
                <c:pt idx="333">
                  <c:v>246.3931</c:v>
                </c:pt>
                <c:pt idx="334">
                  <c:v>246.3931</c:v>
                </c:pt>
                <c:pt idx="335">
                  <c:v>246.3931</c:v>
                </c:pt>
                <c:pt idx="336">
                  <c:v>246.3931</c:v>
                </c:pt>
                <c:pt idx="337">
                  <c:v>246.3931</c:v>
                </c:pt>
                <c:pt idx="338">
                  <c:v>246.3931</c:v>
                </c:pt>
                <c:pt idx="339">
                  <c:v>246.3931</c:v>
                </c:pt>
                <c:pt idx="340">
                  <c:v>246.3931</c:v>
                </c:pt>
                <c:pt idx="341">
                  <c:v>246.3931</c:v>
                </c:pt>
                <c:pt idx="342">
                  <c:v>246.3931</c:v>
                </c:pt>
                <c:pt idx="343">
                  <c:v>246.3931</c:v>
                </c:pt>
                <c:pt idx="344">
                  <c:v>246.3931</c:v>
                </c:pt>
                <c:pt idx="345">
                  <c:v>246.3931</c:v>
                </c:pt>
                <c:pt idx="346">
                  <c:v>246.3931</c:v>
                </c:pt>
                <c:pt idx="347">
                  <c:v>246.3931</c:v>
                </c:pt>
                <c:pt idx="348">
                  <c:v>246.3931</c:v>
                </c:pt>
                <c:pt idx="349">
                  <c:v>246.3931</c:v>
                </c:pt>
                <c:pt idx="350">
                  <c:v>246.3931</c:v>
                </c:pt>
                <c:pt idx="351">
                  <c:v>246.3931</c:v>
                </c:pt>
                <c:pt idx="352">
                  <c:v>246.3931</c:v>
                </c:pt>
                <c:pt idx="353">
                  <c:v>246.3931</c:v>
                </c:pt>
                <c:pt idx="354">
                  <c:v>246.3931</c:v>
                </c:pt>
                <c:pt idx="355">
                  <c:v>246.3931</c:v>
                </c:pt>
                <c:pt idx="356">
                  <c:v>246.3931</c:v>
                </c:pt>
                <c:pt idx="357">
                  <c:v>246.3931</c:v>
                </c:pt>
                <c:pt idx="358">
                  <c:v>246.3931</c:v>
                </c:pt>
                <c:pt idx="359">
                  <c:v>246.3931</c:v>
                </c:pt>
                <c:pt idx="360">
                  <c:v>246.3931</c:v>
                </c:pt>
                <c:pt idx="361">
                  <c:v>246.3931</c:v>
                </c:pt>
                <c:pt idx="362">
                  <c:v>246.3931</c:v>
                </c:pt>
                <c:pt idx="363">
                  <c:v>246.3931</c:v>
                </c:pt>
                <c:pt idx="364">
                  <c:v>246.3931</c:v>
                </c:pt>
                <c:pt idx="365">
                  <c:v>246.3931</c:v>
                </c:pt>
                <c:pt idx="366">
                  <c:v>246.3931</c:v>
                </c:pt>
                <c:pt idx="367">
                  <c:v>246.3931</c:v>
                </c:pt>
                <c:pt idx="368">
                  <c:v>246.3931</c:v>
                </c:pt>
                <c:pt idx="369">
                  <c:v>246.3931</c:v>
                </c:pt>
                <c:pt idx="370">
                  <c:v>246.3931</c:v>
                </c:pt>
                <c:pt idx="371">
                  <c:v>246.3931</c:v>
                </c:pt>
                <c:pt idx="372">
                  <c:v>246.3931</c:v>
                </c:pt>
                <c:pt idx="373">
                  <c:v>246.3931</c:v>
                </c:pt>
                <c:pt idx="374">
                  <c:v>246.3931</c:v>
                </c:pt>
                <c:pt idx="375">
                  <c:v>246.3931</c:v>
                </c:pt>
                <c:pt idx="376">
                  <c:v>246.3931</c:v>
                </c:pt>
                <c:pt idx="377">
                  <c:v>246.3931</c:v>
                </c:pt>
                <c:pt idx="378">
                  <c:v>246.3931</c:v>
                </c:pt>
                <c:pt idx="379">
                  <c:v>246.3931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3-4D33-9193-C16717A9C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242703"/>
        <c:axId val="1154243663"/>
      </c:lineChart>
      <c:dateAx>
        <c:axId val="1154242703"/>
        <c:scaling>
          <c:orientation val="minMax"/>
          <c:min val="45473"/>
        </c:scaling>
        <c:delete val="0"/>
        <c:axPos val="b"/>
        <c:numFmt formatCode="mmm/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4243663"/>
        <c:crosses val="autoZero"/>
        <c:auto val="1"/>
        <c:lblOffset val="100"/>
        <c:baseTimeUnit val="days"/>
      </c:dateAx>
      <c:valAx>
        <c:axId val="115424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424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261008443545376"/>
          <c:y val="0.90672167036266071"/>
          <c:w val="0.63242034275928349"/>
          <c:h val="9.32783296373393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Base!$B$4</c:f>
              <c:strCache>
                <c:ptCount val="1"/>
                <c:pt idx="0">
                  <c:v>CEPU AR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Base!$A$7:$A$2000</c:f>
              <c:numCache>
                <c:formatCode>m/d/yyyy</c:formatCode>
                <c:ptCount val="1994"/>
                <c:pt idx="0">
                  <c:v>43658</c:v>
                </c:pt>
                <c:pt idx="1">
                  <c:v>43665</c:v>
                </c:pt>
                <c:pt idx="2">
                  <c:v>43672</c:v>
                </c:pt>
                <c:pt idx="3">
                  <c:v>43679</c:v>
                </c:pt>
                <c:pt idx="4">
                  <c:v>43686</c:v>
                </c:pt>
                <c:pt idx="5">
                  <c:v>43693</c:v>
                </c:pt>
                <c:pt idx="6">
                  <c:v>43700</c:v>
                </c:pt>
                <c:pt idx="7">
                  <c:v>43707</c:v>
                </c:pt>
                <c:pt idx="8">
                  <c:v>43714</c:v>
                </c:pt>
                <c:pt idx="9">
                  <c:v>43721</c:v>
                </c:pt>
                <c:pt idx="10">
                  <c:v>43728</c:v>
                </c:pt>
                <c:pt idx="11">
                  <c:v>43735</c:v>
                </c:pt>
                <c:pt idx="12">
                  <c:v>43742</c:v>
                </c:pt>
                <c:pt idx="13">
                  <c:v>43749</c:v>
                </c:pt>
                <c:pt idx="14">
                  <c:v>43756</c:v>
                </c:pt>
                <c:pt idx="15">
                  <c:v>43763</c:v>
                </c:pt>
                <c:pt idx="16">
                  <c:v>43770</c:v>
                </c:pt>
                <c:pt idx="17">
                  <c:v>43777</c:v>
                </c:pt>
                <c:pt idx="18">
                  <c:v>43784</c:v>
                </c:pt>
                <c:pt idx="19">
                  <c:v>43791</c:v>
                </c:pt>
                <c:pt idx="20">
                  <c:v>43798</c:v>
                </c:pt>
                <c:pt idx="21">
                  <c:v>43805</c:v>
                </c:pt>
                <c:pt idx="22">
                  <c:v>43812</c:v>
                </c:pt>
                <c:pt idx="23">
                  <c:v>43819</c:v>
                </c:pt>
                <c:pt idx="24">
                  <c:v>43826</c:v>
                </c:pt>
                <c:pt idx="25">
                  <c:v>43833</c:v>
                </c:pt>
                <c:pt idx="26">
                  <c:v>43840</c:v>
                </c:pt>
                <c:pt idx="27">
                  <c:v>43847</c:v>
                </c:pt>
                <c:pt idx="28">
                  <c:v>43854</c:v>
                </c:pt>
                <c:pt idx="29">
                  <c:v>43861</c:v>
                </c:pt>
                <c:pt idx="30">
                  <c:v>43868</c:v>
                </c:pt>
                <c:pt idx="31">
                  <c:v>43875</c:v>
                </c:pt>
                <c:pt idx="32">
                  <c:v>43882</c:v>
                </c:pt>
                <c:pt idx="33">
                  <c:v>43889</c:v>
                </c:pt>
                <c:pt idx="34">
                  <c:v>43896</c:v>
                </c:pt>
                <c:pt idx="35">
                  <c:v>43903</c:v>
                </c:pt>
                <c:pt idx="36">
                  <c:v>43910</c:v>
                </c:pt>
                <c:pt idx="37">
                  <c:v>43917</c:v>
                </c:pt>
                <c:pt idx="38">
                  <c:v>43924</c:v>
                </c:pt>
                <c:pt idx="39">
                  <c:v>43931</c:v>
                </c:pt>
                <c:pt idx="40">
                  <c:v>43938</c:v>
                </c:pt>
                <c:pt idx="41">
                  <c:v>43945</c:v>
                </c:pt>
                <c:pt idx="42">
                  <c:v>43952</c:v>
                </c:pt>
                <c:pt idx="43">
                  <c:v>43959</c:v>
                </c:pt>
                <c:pt idx="44">
                  <c:v>43966</c:v>
                </c:pt>
                <c:pt idx="45">
                  <c:v>43973</c:v>
                </c:pt>
                <c:pt idx="46">
                  <c:v>43980</c:v>
                </c:pt>
                <c:pt idx="47">
                  <c:v>43987</c:v>
                </c:pt>
                <c:pt idx="48">
                  <c:v>43994</c:v>
                </c:pt>
                <c:pt idx="49">
                  <c:v>44001</c:v>
                </c:pt>
                <c:pt idx="50">
                  <c:v>44008</c:v>
                </c:pt>
                <c:pt idx="51">
                  <c:v>44015</c:v>
                </c:pt>
                <c:pt idx="52">
                  <c:v>44022</c:v>
                </c:pt>
                <c:pt idx="53">
                  <c:v>44029</c:v>
                </c:pt>
                <c:pt idx="54">
                  <c:v>44036</c:v>
                </c:pt>
                <c:pt idx="55">
                  <c:v>44043</c:v>
                </c:pt>
                <c:pt idx="56">
                  <c:v>44050</c:v>
                </c:pt>
                <c:pt idx="57">
                  <c:v>44057</c:v>
                </c:pt>
                <c:pt idx="58">
                  <c:v>44064</c:v>
                </c:pt>
                <c:pt idx="59">
                  <c:v>44071</c:v>
                </c:pt>
                <c:pt idx="60">
                  <c:v>44078</c:v>
                </c:pt>
                <c:pt idx="61">
                  <c:v>44085</c:v>
                </c:pt>
                <c:pt idx="62">
                  <c:v>44092</c:v>
                </c:pt>
                <c:pt idx="63">
                  <c:v>44099</c:v>
                </c:pt>
                <c:pt idx="64">
                  <c:v>44106</c:v>
                </c:pt>
                <c:pt idx="65">
                  <c:v>44113</c:v>
                </c:pt>
                <c:pt idx="66">
                  <c:v>44120</c:v>
                </c:pt>
                <c:pt idx="67">
                  <c:v>44127</c:v>
                </c:pt>
                <c:pt idx="68">
                  <c:v>44134</c:v>
                </c:pt>
                <c:pt idx="69">
                  <c:v>44141</c:v>
                </c:pt>
                <c:pt idx="70">
                  <c:v>44148</c:v>
                </c:pt>
                <c:pt idx="71">
                  <c:v>44155</c:v>
                </c:pt>
                <c:pt idx="72">
                  <c:v>44162</c:v>
                </c:pt>
                <c:pt idx="73">
                  <c:v>44169</c:v>
                </c:pt>
                <c:pt idx="74">
                  <c:v>44176</c:v>
                </c:pt>
                <c:pt idx="75">
                  <c:v>44183</c:v>
                </c:pt>
                <c:pt idx="76">
                  <c:v>44190</c:v>
                </c:pt>
                <c:pt idx="77">
                  <c:v>44197</c:v>
                </c:pt>
                <c:pt idx="78">
                  <c:v>44204</c:v>
                </c:pt>
                <c:pt idx="79">
                  <c:v>44211</c:v>
                </c:pt>
                <c:pt idx="80">
                  <c:v>44218</c:v>
                </c:pt>
                <c:pt idx="81">
                  <c:v>44225</c:v>
                </c:pt>
                <c:pt idx="82">
                  <c:v>44232</c:v>
                </c:pt>
                <c:pt idx="83">
                  <c:v>44239</c:v>
                </c:pt>
                <c:pt idx="84">
                  <c:v>44246</c:v>
                </c:pt>
                <c:pt idx="85">
                  <c:v>44253</c:v>
                </c:pt>
                <c:pt idx="86">
                  <c:v>44260</c:v>
                </c:pt>
                <c:pt idx="87">
                  <c:v>44267</c:v>
                </c:pt>
                <c:pt idx="88">
                  <c:v>44274</c:v>
                </c:pt>
                <c:pt idx="89">
                  <c:v>44281</c:v>
                </c:pt>
                <c:pt idx="90">
                  <c:v>44288</c:v>
                </c:pt>
                <c:pt idx="91">
                  <c:v>44295</c:v>
                </c:pt>
                <c:pt idx="92">
                  <c:v>44302</c:v>
                </c:pt>
                <c:pt idx="93">
                  <c:v>44309</c:v>
                </c:pt>
                <c:pt idx="94">
                  <c:v>44316</c:v>
                </c:pt>
                <c:pt idx="95">
                  <c:v>44323</c:v>
                </c:pt>
                <c:pt idx="96">
                  <c:v>44330</c:v>
                </c:pt>
                <c:pt idx="97">
                  <c:v>44337</c:v>
                </c:pt>
                <c:pt idx="98">
                  <c:v>44344</c:v>
                </c:pt>
                <c:pt idx="99">
                  <c:v>44351</c:v>
                </c:pt>
                <c:pt idx="100">
                  <c:v>44358</c:v>
                </c:pt>
                <c:pt idx="101">
                  <c:v>44365</c:v>
                </c:pt>
                <c:pt idx="102">
                  <c:v>44372</c:v>
                </c:pt>
                <c:pt idx="103">
                  <c:v>44379</c:v>
                </c:pt>
                <c:pt idx="104">
                  <c:v>44386</c:v>
                </c:pt>
                <c:pt idx="105">
                  <c:v>44393</c:v>
                </c:pt>
                <c:pt idx="106">
                  <c:v>44400</c:v>
                </c:pt>
                <c:pt idx="107">
                  <c:v>44407</c:v>
                </c:pt>
                <c:pt idx="108">
                  <c:v>44414</c:v>
                </c:pt>
                <c:pt idx="109">
                  <c:v>44421</c:v>
                </c:pt>
                <c:pt idx="110">
                  <c:v>44428</c:v>
                </c:pt>
                <c:pt idx="111">
                  <c:v>44435</c:v>
                </c:pt>
                <c:pt idx="112">
                  <c:v>44442</c:v>
                </c:pt>
                <c:pt idx="113">
                  <c:v>44449</c:v>
                </c:pt>
                <c:pt idx="114">
                  <c:v>44456</c:v>
                </c:pt>
                <c:pt idx="115">
                  <c:v>44463</c:v>
                </c:pt>
                <c:pt idx="116">
                  <c:v>44470</c:v>
                </c:pt>
                <c:pt idx="117">
                  <c:v>44477</c:v>
                </c:pt>
                <c:pt idx="118">
                  <c:v>44484</c:v>
                </c:pt>
                <c:pt idx="119">
                  <c:v>44491</c:v>
                </c:pt>
                <c:pt idx="120">
                  <c:v>44498</c:v>
                </c:pt>
                <c:pt idx="121">
                  <c:v>44505</c:v>
                </c:pt>
                <c:pt idx="122">
                  <c:v>44512</c:v>
                </c:pt>
                <c:pt idx="123">
                  <c:v>44519</c:v>
                </c:pt>
                <c:pt idx="124">
                  <c:v>44526</c:v>
                </c:pt>
                <c:pt idx="125">
                  <c:v>44533</c:v>
                </c:pt>
                <c:pt idx="126">
                  <c:v>44540</c:v>
                </c:pt>
                <c:pt idx="127">
                  <c:v>44547</c:v>
                </c:pt>
                <c:pt idx="128">
                  <c:v>44554</c:v>
                </c:pt>
                <c:pt idx="129">
                  <c:v>44561</c:v>
                </c:pt>
                <c:pt idx="130">
                  <c:v>44568</c:v>
                </c:pt>
                <c:pt idx="131">
                  <c:v>44575</c:v>
                </c:pt>
                <c:pt idx="132">
                  <c:v>44582</c:v>
                </c:pt>
                <c:pt idx="133">
                  <c:v>44589</c:v>
                </c:pt>
                <c:pt idx="134">
                  <c:v>44596</c:v>
                </c:pt>
                <c:pt idx="135">
                  <c:v>44603</c:v>
                </c:pt>
                <c:pt idx="136">
                  <c:v>44610</c:v>
                </c:pt>
                <c:pt idx="137">
                  <c:v>44617</c:v>
                </c:pt>
                <c:pt idx="138">
                  <c:v>44624</c:v>
                </c:pt>
                <c:pt idx="139">
                  <c:v>44631</c:v>
                </c:pt>
                <c:pt idx="140">
                  <c:v>44638</c:v>
                </c:pt>
                <c:pt idx="141">
                  <c:v>44645</c:v>
                </c:pt>
                <c:pt idx="142">
                  <c:v>44652</c:v>
                </c:pt>
                <c:pt idx="143">
                  <c:v>44659</c:v>
                </c:pt>
                <c:pt idx="144">
                  <c:v>44666</c:v>
                </c:pt>
                <c:pt idx="145">
                  <c:v>44673</c:v>
                </c:pt>
                <c:pt idx="146">
                  <c:v>44680</c:v>
                </c:pt>
                <c:pt idx="147">
                  <c:v>44687</c:v>
                </c:pt>
                <c:pt idx="148">
                  <c:v>44694</c:v>
                </c:pt>
                <c:pt idx="149">
                  <c:v>44701</c:v>
                </c:pt>
                <c:pt idx="150">
                  <c:v>44708</c:v>
                </c:pt>
                <c:pt idx="151">
                  <c:v>44715</c:v>
                </c:pt>
                <c:pt idx="152">
                  <c:v>44722</c:v>
                </c:pt>
                <c:pt idx="153">
                  <c:v>44729</c:v>
                </c:pt>
                <c:pt idx="154">
                  <c:v>44736</c:v>
                </c:pt>
                <c:pt idx="155">
                  <c:v>44743</c:v>
                </c:pt>
                <c:pt idx="156">
                  <c:v>44750</c:v>
                </c:pt>
                <c:pt idx="157">
                  <c:v>44757</c:v>
                </c:pt>
                <c:pt idx="158">
                  <c:v>44764</c:v>
                </c:pt>
                <c:pt idx="159">
                  <c:v>44771</c:v>
                </c:pt>
                <c:pt idx="160">
                  <c:v>44778</c:v>
                </c:pt>
                <c:pt idx="161">
                  <c:v>44785</c:v>
                </c:pt>
                <c:pt idx="162">
                  <c:v>44792</c:v>
                </c:pt>
                <c:pt idx="163">
                  <c:v>44799</c:v>
                </c:pt>
                <c:pt idx="164">
                  <c:v>44806</c:v>
                </c:pt>
                <c:pt idx="165">
                  <c:v>44813</c:v>
                </c:pt>
                <c:pt idx="166">
                  <c:v>44820</c:v>
                </c:pt>
                <c:pt idx="167">
                  <c:v>44827</c:v>
                </c:pt>
                <c:pt idx="168">
                  <c:v>44834</c:v>
                </c:pt>
                <c:pt idx="169">
                  <c:v>44841</c:v>
                </c:pt>
                <c:pt idx="170">
                  <c:v>44848</c:v>
                </c:pt>
                <c:pt idx="171">
                  <c:v>44855</c:v>
                </c:pt>
                <c:pt idx="172">
                  <c:v>44862</c:v>
                </c:pt>
                <c:pt idx="173">
                  <c:v>44869</c:v>
                </c:pt>
                <c:pt idx="174">
                  <c:v>44876</c:v>
                </c:pt>
                <c:pt idx="175">
                  <c:v>44883</c:v>
                </c:pt>
                <c:pt idx="176">
                  <c:v>44890</c:v>
                </c:pt>
                <c:pt idx="177">
                  <c:v>44897</c:v>
                </c:pt>
                <c:pt idx="178">
                  <c:v>44904</c:v>
                </c:pt>
                <c:pt idx="179">
                  <c:v>44911</c:v>
                </c:pt>
                <c:pt idx="180">
                  <c:v>44918</c:v>
                </c:pt>
                <c:pt idx="181">
                  <c:v>44925</c:v>
                </c:pt>
                <c:pt idx="182">
                  <c:v>44932</c:v>
                </c:pt>
                <c:pt idx="183">
                  <c:v>44939</c:v>
                </c:pt>
                <c:pt idx="184">
                  <c:v>44946</c:v>
                </c:pt>
                <c:pt idx="185">
                  <c:v>44953</c:v>
                </c:pt>
                <c:pt idx="186">
                  <c:v>44960</c:v>
                </c:pt>
                <c:pt idx="187">
                  <c:v>44967</c:v>
                </c:pt>
                <c:pt idx="188">
                  <c:v>44974</c:v>
                </c:pt>
                <c:pt idx="189">
                  <c:v>44981</c:v>
                </c:pt>
                <c:pt idx="190">
                  <c:v>44988</c:v>
                </c:pt>
                <c:pt idx="191">
                  <c:v>44995</c:v>
                </c:pt>
                <c:pt idx="192">
                  <c:v>45002</c:v>
                </c:pt>
                <c:pt idx="193">
                  <c:v>45009</c:v>
                </c:pt>
                <c:pt idx="194">
                  <c:v>45016</c:v>
                </c:pt>
                <c:pt idx="195">
                  <c:v>45023</c:v>
                </c:pt>
                <c:pt idx="196">
                  <c:v>45030</c:v>
                </c:pt>
                <c:pt idx="197">
                  <c:v>45037</c:v>
                </c:pt>
                <c:pt idx="198">
                  <c:v>45044</c:v>
                </c:pt>
                <c:pt idx="199">
                  <c:v>45051</c:v>
                </c:pt>
                <c:pt idx="200">
                  <c:v>45058</c:v>
                </c:pt>
                <c:pt idx="201">
                  <c:v>45065</c:v>
                </c:pt>
                <c:pt idx="202">
                  <c:v>45072</c:v>
                </c:pt>
                <c:pt idx="203">
                  <c:v>45079</c:v>
                </c:pt>
                <c:pt idx="204">
                  <c:v>45086</c:v>
                </c:pt>
                <c:pt idx="205">
                  <c:v>45093</c:v>
                </c:pt>
                <c:pt idx="206">
                  <c:v>45100</c:v>
                </c:pt>
                <c:pt idx="207">
                  <c:v>45107</c:v>
                </c:pt>
                <c:pt idx="208">
                  <c:v>45114</c:v>
                </c:pt>
                <c:pt idx="209">
                  <c:v>45121</c:v>
                </c:pt>
                <c:pt idx="210">
                  <c:v>45128</c:v>
                </c:pt>
                <c:pt idx="211">
                  <c:v>45135</c:v>
                </c:pt>
                <c:pt idx="212">
                  <c:v>45142</c:v>
                </c:pt>
                <c:pt idx="213">
                  <c:v>45149</c:v>
                </c:pt>
                <c:pt idx="214">
                  <c:v>45156</c:v>
                </c:pt>
                <c:pt idx="215">
                  <c:v>45163</c:v>
                </c:pt>
                <c:pt idx="216">
                  <c:v>45170</c:v>
                </c:pt>
                <c:pt idx="217">
                  <c:v>45177</c:v>
                </c:pt>
                <c:pt idx="218">
                  <c:v>45184</c:v>
                </c:pt>
                <c:pt idx="219">
                  <c:v>45191</c:v>
                </c:pt>
                <c:pt idx="220">
                  <c:v>45198</c:v>
                </c:pt>
                <c:pt idx="221">
                  <c:v>45205</c:v>
                </c:pt>
                <c:pt idx="222">
                  <c:v>45212</c:v>
                </c:pt>
                <c:pt idx="223">
                  <c:v>45219</c:v>
                </c:pt>
                <c:pt idx="224">
                  <c:v>45226</c:v>
                </c:pt>
                <c:pt idx="225">
                  <c:v>45233</c:v>
                </c:pt>
                <c:pt idx="226">
                  <c:v>45240</c:v>
                </c:pt>
                <c:pt idx="227">
                  <c:v>45247</c:v>
                </c:pt>
                <c:pt idx="228">
                  <c:v>45254</c:v>
                </c:pt>
                <c:pt idx="229">
                  <c:v>45261</c:v>
                </c:pt>
                <c:pt idx="230">
                  <c:v>45268</c:v>
                </c:pt>
                <c:pt idx="231">
                  <c:v>45275</c:v>
                </c:pt>
                <c:pt idx="232">
                  <c:v>45282</c:v>
                </c:pt>
                <c:pt idx="233">
                  <c:v>45289</c:v>
                </c:pt>
                <c:pt idx="234">
                  <c:v>45296</c:v>
                </c:pt>
                <c:pt idx="235">
                  <c:v>45303</c:v>
                </c:pt>
                <c:pt idx="236">
                  <c:v>45310</c:v>
                </c:pt>
                <c:pt idx="237">
                  <c:v>45317</c:v>
                </c:pt>
                <c:pt idx="238">
                  <c:v>45324</c:v>
                </c:pt>
                <c:pt idx="239">
                  <c:v>45331</c:v>
                </c:pt>
                <c:pt idx="240">
                  <c:v>45338</c:v>
                </c:pt>
                <c:pt idx="241">
                  <c:v>45345</c:v>
                </c:pt>
                <c:pt idx="242">
                  <c:v>45352</c:v>
                </c:pt>
                <c:pt idx="243">
                  <c:v>45359</c:v>
                </c:pt>
                <c:pt idx="244">
                  <c:v>45366</c:v>
                </c:pt>
                <c:pt idx="245">
                  <c:v>45373</c:v>
                </c:pt>
                <c:pt idx="246">
                  <c:v>45380</c:v>
                </c:pt>
                <c:pt idx="247">
                  <c:v>45387</c:v>
                </c:pt>
                <c:pt idx="248">
                  <c:v>45394</c:v>
                </c:pt>
                <c:pt idx="249">
                  <c:v>45401</c:v>
                </c:pt>
                <c:pt idx="250">
                  <c:v>45408</c:v>
                </c:pt>
                <c:pt idx="251">
                  <c:v>45415</c:v>
                </c:pt>
                <c:pt idx="252">
                  <c:v>45422</c:v>
                </c:pt>
                <c:pt idx="253">
                  <c:v>45429</c:v>
                </c:pt>
                <c:pt idx="254">
                  <c:v>45436</c:v>
                </c:pt>
                <c:pt idx="255">
                  <c:v>45443</c:v>
                </c:pt>
                <c:pt idx="256">
                  <c:v>45450</c:v>
                </c:pt>
                <c:pt idx="257">
                  <c:v>45457</c:v>
                </c:pt>
                <c:pt idx="258">
                  <c:v>45464</c:v>
                </c:pt>
                <c:pt idx="259">
                  <c:v>45471</c:v>
                </c:pt>
                <c:pt idx="260">
                  <c:v>45478</c:v>
                </c:pt>
                <c:pt idx="261">
                  <c:v>45485</c:v>
                </c:pt>
                <c:pt idx="262">
                  <c:v>45492</c:v>
                </c:pt>
                <c:pt idx="263">
                  <c:v>45499</c:v>
                </c:pt>
                <c:pt idx="264">
                  <c:v>45506</c:v>
                </c:pt>
                <c:pt idx="265">
                  <c:v>45513</c:v>
                </c:pt>
                <c:pt idx="266">
                  <c:v>45520</c:v>
                </c:pt>
                <c:pt idx="267">
                  <c:v>45527</c:v>
                </c:pt>
                <c:pt idx="268">
                  <c:v>45534</c:v>
                </c:pt>
                <c:pt idx="269">
                  <c:v>45541</c:v>
                </c:pt>
                <c:pt idx="270">
                  <c:v>45548</c:v>
                </c:pt>
                <c:pt idx="271">
                  <c:v>45555</c:v>
                </c:pt>
                <c:pt idx="272">
                  <c:v>45562</c:v>
                </c:pt>
                <c:pt idx="273">
                  <c:v>45569</c:v>
                </c:pt>
                <c:pt idx="274">
                  <c:v>45576</c:v>
                </c:pt>
                <c:pt idx="275">
                  <c:v>45583</c:v>
                </c:pt>
                <c:pt idx="276">
                  <c:v>45590</c:v>
                </c:pt>
                <c:pt idx="277">
                  <c:v>45597</c:v>
                </c:pt>
                <c:pt idx="278">
                  <c:v>45604</c:v>
                </c:pt>
                <c:pt idx="279">
                  <c:v>45611</c:v>
                </c:pt>
                <c:pt idx="280">
                  <c:v>45618</c:v>
                </c:pt>
                <c:pt idx="281">
                  <c:v>45625</c:v>
                </c:pt>
                <c:pt idx="282">
                  <c:v>45632</c:v>
                </c:pt>
                <c:pt idx="283">
                  <c:v>45639</c:v>
                </c:pt>
                <c:pt idx="284">
                  <c:v>45646</c:v>
                </c:pt>
                <c:pt idx="285">
                  <c:v>45653</c:v>
                </c:pt>
                <c:pt idx="286">
                  <c:v>45660</c:v>
                </c:pt>
                <c:pt idx="287">
                  <c:v>45667</c:v>
                </c:pt>
                <c:pt idx="288">
                  <c:v>45674</c:v>
                </c:pt>
                <c:pt idx="289">
                  <c:v>45681</c:v>
                </c:pt>
                <c:pt idx="290">
                  <c:v>45688</c:v>
                </c:pt>
                <c:pt idx="291">
                  <c:v>45695</c:v>
                </c:pt>
                <c:pt idx="292">
                  <c:v>45702</c:v>
                </c:pt>
                <c:pt idx="293">
                  <c:v>45709</c:v>
                </c:pt>
                <c:pt idx="294">
                  <c:v>45716</c:v>
                </c:pt>
                <c:pt idx="295">
                  <c:v>45723</c:v>
                </c:pt>
                <c:pt idx="296">
                  <c:v>45730</c:v>
                </c:pt>
                <c:pt idx="297">
                  <c:v>45737</c:v>
                </c:pt>
                <c:pt idx="298">
                  <c:v>45744</c:v>
                </c:pt>
                <c:pt idx="299">
                  <c:v>45751</c:v>
                </c:pt>
                <c:pt idx="300">
                  <c:v>45758</c:v>
                </c:pt>
                <c:pt idx="301">
                  <c:v>45765</c:v>
                </c:pt>
                <c:pt idx="302">
                  <c:v>45772</c:v>
                </c:pt>
                <c:pt idx="303">
                  <c:v>45779</c:v>
                </c:pt>
                <c:pt idx="304">
                  <c:v>45786</c:v>
                </c:pt>
                <c:pt idx="305">
                  <c:v>45793</c:v>
                </c:pt>
                <c:pt idx="306">
                  <c:v>45800</c:v>
                </c:pt>
                <c:pt idx="307">
                  <c:v>45807</c:v>
                </c:pt>
                <c:pt idx="308">
                  <c:v>45814</c:v>
                </c:pt>
                <c:pt idx="309">
                  <c:v>45821</c:v>
                </c:pt>
                <c:pt idx="310">
                  <c:v>45828</c:v>
                </c:pt>
                <c:pt idx="311">
                  <c:v>45835</c:v>
                </c:pt>
                <c:pt idx="312">
                  <c:v>45842</c:v>
                </c:pt>
                <c:pt idx="313">
                  <c:v>45849</c:v>
                </c:pt>
                <c:pt idx="314">
                  <c:v>45856</c:v>
                </c:pt>
                <c:pt idx="315">
                  <c:v>45863</c:v>
                </c:pt>
                <c:pt idx="316">
                  <c:v>45870</c:v>
                </c:pt>
                <c:pt idx="317">
                  <c:v>45877</c:v>
                </c:pt>
                <c:pt idx="318">
                  <c:v>45884</c:v>
                </c:pt>
                <c:pt idx="319">
                  <c:v>45891</c:v>
                </c:pt>
                <c:pt idx="320">
                  <c:v>45898</c:v>
                </c:pt>
                <c:pt idx="321">
                  <c:v>45905</c:v>
                </c:pt>
                <c:pt idx="322">
                  <c:v>45912</c:v>
                </c:pt>
                <c:pt idx="323">
                  <c:v>45919</c:v>
                </c:pt>
                <c:pt idx="324">
                  <c:v>45926</c:v>
                </c:pt>
                <c:pt idx="325">
                  <c:v>45933</c:v>
                </c:pt>
                <c:pt idx="326">
                  <c:v>45940</c:v>
                </c:pt>
                <c:pt idx="327">
                  <c:v>45947</c:v>
                </c:pt>
                <c:pt idx="328">
                  <c:v>45954</c:v>
                </c:pt>
                <c:pt idx="329">
                  <c:v>45961</c:v>
                </c:pt>
                <c:pt idx="330">
                  <c:v>45968</c:v>
                </c:pt>
                <c:pt idx="331">
                  <c:v>45975</c:v>
                </c:pt>
                <c:pt idx="332">
                  <c:v>45982</c:v>
                </c:pt>
                <c:pt idx="333">
                  <c:v>45989</c:v>
                </c:pt>
                <c:pt idx="334">
                  <c:v>45996</c:v>
                </c:pt>
                <c:pt idx="335">
                  <c:v>46003</c:v>
                </c:pt>
                <c:pt idx="336">
                  <c:v>46010</c:v>
                </c:pt>
                <c:pt idx="337">
                  <c:v>46017</c:v>
                </c:pt>
                <c:pt idx="338">
                  <c:v>46024</c:v>
                </c:pt>
                <c:pt idx="339">
                  <c:v>46031</c:v>
                </c:pt>
                <c:pt idx="340">
                  <c:v>46038</c:v>
                </c:pt>
                <c:pt idx="341">
                  <c:v>46045</c:v>
                </c:pt>
                <c:pt idx="342">
                  <c:v>46052</c:v>
                </c:pt>
                <c:pt idx="343">
                  <c:v>46059</c:v>
                </c:pt>
                <c:pt idx="344">
                  <c:v>46066</c:v>
                </c:pt>
                <c:pt idx="345">
                  <c:v>46073</c:v>
                </c:pt>
                <c:pt idx="346">
                  <c:v>46080</c:v>
                </c:pt>
                <c:pt idx="347">
                  <c:v>46087</c:v>
                </c:pt>
                <c:pt idx="348">
                  <c:v>46094</c:v>
                </c:pt>
                <c:pt idx="349">
                  <c:v>46101</c:v>
                </c:pt>
                <c:pt idx="350">
                  <c:v>46108</c:v>
                </c:pt>
                <c:pt idx="351">
                  <c:v>46115</c:v>
                </c:pt>
                <c:pt idx="352">
                  <c:v>46122</c:v>
                </c:pt>
                <c:pt idx="353">
                  <c:v>46129</c:v>
                </c:pt>
                <c:pt idx="354">
                  <c:v>46136</c:v>
                </c:pt>
                <c:pt idx="355">
                  <c:v>46143</c:v>
                </c:pt>
                <c:pt idx="356">
                  <c:v>46150</c:v>
                </c:pt>
                <c:pt idx="357">
                  <c:v>46157</c:v>
                </c:pt>
                <c:pt idx="358">
                  <c:v>46164</c:v>
                </c:pt>
                <c:pt idx="359">
                  <c:v>46171</c:v>
                </c:pt>
                <c:pt idx="360">
                  <c:v>46178</c:v>
                </c:pt>
                <c:pt idx="361">
                  <c:v>46185</c:v>
                </c:pt>
                <c:pt idx="362">
                  <c:v>46192</c:v>
                </c:pt>
                <c:pt idx="363">
                  <c:v>46199</c:v>
                </c:pt>
                <c:pt idx="364">
                  <c:v>46206</c:v>
                </c:pt>
                <c:pt idx="365">
                  <c:v>46213</c:v>
                </c:pt>
                <c:pt idx="366">
                  <c:v>46220</c:v>
                </c:pt>
                <c:pt idx="367">
                  <c:v>46227</c:v>
                </c:pt>
                <c:pt idx="368">
                  <c:v>46234</c:v>
                </c:pt>
                <c:pt idx="369">
                  <c:v>46241</c:v>
                </c:pt>
                <c:pt idx="370">
                  <c:v>46248</c:v>
                </c:pt>
                <c:pt idx="371">
                  <c:v>46255</c:v>
                </c:pt>
                <c:pt idx="372">
                  <c:v>46262</c:v>
                </c:pt>
                <c:pt idx="373">
                  <c:v>46269</c:v>
                </c:pt>
                <c:pt idx="374">
                  <c:v>46276</c:v>
                </c:pt>
                <c:pt idx="375">
                  <c:v>46283</c:v>
                </c:pt>
                <c:pt idx="376">
                  <c:v>46290</c:v>
                </c:pt>
                <c:pt idx="377">
                  <c:v>46297</c:v>
                </c:pt>
                <c:pt idx="378">
                  <c:v>46304</c:v>
                </c:pt>
              </c:numCache>
            </c:numRef>
          </c:cat>
          <c:val>
            <c:numRef>
              <c:f>Base!$B$7:$B$2000</c:f>
              <c:numCache>
                <c:formatCode>General</c:formatCode>
                <c:ptCount val="1994"/>
                <c:pt idx="0">
                  <c:v>3.1606999999999998</c:v>
                </c:pt>
                <c:pt idx="1">
                  <c:v>3.0488</c:v>
                </c:pt>
                <c:pt idx="2">
                  <c:v>3.0878999999999999</c:v>
                </c:pt>
                <c:pt idx="3">
                  <c:v>3.0991</c:v>
                </c:pt>
                <c:pt idx="4">
                  <c:v>3.1410999999999998</c:v>
                </c:pt>
                <c:pt idx="5">
                  <c:v>2.1255999999999999</c:v>
                </c:pt>
                <c:pt idx="6">
                  <c:v>2.0165000000000002</c:v>
                </c:pt>
                <c:pt idx="7">
                  <c:v>1.8290999999999999</c:v>
                </c:pt>
                <c:pt idx="8">
                  <c:v>1.9550000000000001</c:v>
                </c:pt>
                <c:pt idx="9">
                  <c:v>2.1032999999999999</c:v>
                </c:pt>
                <c:pt idx="10">
                  <c:v>2.1116000000000001</c:v>
                </c:pt>
                <c:pt idx="11">
                  <c:v>1.9157999999999999</c:v>
                </c:pt>
                <c:pt idx="12">
                  <c:v>1.2665</c:v>
                </c:pt>
                <c:pt idx="13">
                  <c:v>1.2730999999999999</c:v>
                </c:pt>
                <c:pt idx="14">
                  <c:v>1.2599</c:v>
                </c:pt>
                <c:pt idx="15">
                  <c:v>1.3145</c:v>
                </c:pt>
                <c:pt idx="16">
                  <c:v>1.4619</c:v>
                </c:pt>
                <c:pt idx="17">
                  <c:v>1.4205000000000001</c:v>
                </c:pt>
                <c:pt idx="18">
                  <c:v>1.3939999999999999</c:v>
                </c:pt>
                <c:pt idx="19">
                  <c:v>1.4933000000000001</c:v>
                </c:pt>
                <c:pt idx="20">
                  <c:v>1.5397000000000001</c:v>
                </c:pt>
                <c:pt idx="21">
                  <c:v>1.6009</c:v>
                </c:pt>
                <c:pt idx="22">
                  <c:v>1.6538999999999999</c:v>
                </c:pt>
                <c:pt idx="23">
                  <c:v>1.7417</c:v>
                </c:pt>
                <c:pt idx="24">
                  <c:v>1.788</c:v>
                </c:pt>
                <c:pt idx="25">
                  <c:v>1.6217999999999999</c:v>
                </c:pt>
                <c:pt idx="26">
                  <c:v>1.718</c:v>
                </c:pt>
                <c:pt idx="27">
                  <c:v>1.6466000000000001</c:v>
                </c:pt>
                <c:pt idx="28">
                  <c:v>1.5673999999999999</c:v>
                </c:pt>
                <c:pt idx="29">
                  <c:v>1.5923</c:v>
                </c:pt>
                <c:pt idx="30">
                  <c:v>1.5705</c:v>
                </c:pt>
                <c:pt idx="31">
                  <c:v>1.5347999999999999</c:v>
                </c:pt>
                <c:pt idx="32">
                  <c:v>1.5038</c:v>
                </c:pt>
                <c:pt idx="33">
                  <c:v>1.4292</c:v>
                </c:pt>
                <c:pt idx="34">
                  <c:v>1.4540999999999999</c:v>
                </c:pt>
                <c:pt idx="35">
                  <c:v>1.2770999999999999</c:v>
                </c:pt>
                <c:pt idx="36">
                  <c:v>1.2336</c:v>
                </c:pt>
                <c:pt idx="37">
                  <c:v>1.2289000000000001</c:v>
                </c:pt>
                <c:pt idx="38">
                  <c:v>1.3431</c:v>
                </c:pt>
                <c:pt idx="39">
                  <c:v>1.3791</c:v>
                </c:pt>
                <c:pt idx="40">
                  <c:v>1.4241999999999999</c:v>
                </c:pt>
                <c:pt idx="41">
                  <c:v>1.4092</c:v>
                </c:pt>
                <c:pt idx="42">
                  <c:v>1.4947999999999999</c:v>
                </c:pt>
                <c:pt idx="43">
                  <c:v>1.5472999999999999</c:v>
                </c:pt>
                <c:pt idx="44">
                  <c:v>1.7605999999999999</c:v>
                </c:pt>
                <c:pt idx="45">
                  <c:v>1.7906</c:v>
                </c:pt>
                <c:pt idx="46">
                  <c:v>1.5953999999999999</c:v>
                </c:pt>
                <c:pt idx="47">
                  <c:v>1.6645000000000001</c:v>
                </c:pt>
                <c:pt idx="48">
                  <c:v>1.5909</c:v>
                </c:pt>
                <c:pt idx="49">
                  <c:v>1.5367999999999999</c:v>
                </c:pt>
                <c:pt idx="50">
                  <c:v>1.5458000000000001</c:v>
                </c:pt>
                <c:pt idx="51">
                  <c:v>1.2357</c:v>
                </c:pt>
                <c:pt idx="52">
                  <c:v>1.31</c:v>
                </c:pt>
                <c:pt idx="53">
                  <c:v>1.3405</c:v>
                </c:pt>
                <c:pt idx="54">
                  <c:v>1.4075</c:v>
                </c:pt>
                <c:pt idx="55">
                  <c:v>1.3685</c:v>
                </c:pt>
                <c:pt idx="56">
                  <c:v>1.4234</c:v>
                </c:pt>
                <c:pt idx="57">
                  <c:v>1.4220999999999999</c:v>
                </c:pt>
                <c:pt idx="58">
                  <c:v>1.3551</c:v>
                </c:pt>
                <c:pt idx="59">
                  <c:v>1.3794999999999999</c:v>
                </c:pt>
                <c:pt idx="60">
                  <c:v>1.3088</c:v>
                </c:pt>
                <c:pt idx="61">
                  <c:v>1.3149</c:v>
                </c:pt>
                <c:pt idx="62">
                  <c:v>1.26</c:v>
                </c:pt>
                <c:pt idx="63">
                  <c:v>1.3283</c:v>
                </c:pt>
                <c:pt idx="64">
                  <c:v>1.7126999999999999</c:v>
                </c:pt>
                <c:pt idx="65">
                  <c:v>1.7710999999999999</c:v>
                </c:pt>
                <c:pt idx="66">
                  <c:v>1.8418000000000001</c:v>
                </c:pt>
                <c:pt idx="67">
                  <c:v>1.9971000000000001</c:v>
                </c:pt>
                <c:pt idx="68">
                  <c:v>1.7848999999999999</c:v>
                </c:pt>
                <c:pt idx="69">
                  <c:v>1.9187000000000001</c:v>
                </c:pt>
                <c:pt idx="70">
                  <c:v>1.8480000000000001</c:v>
                </c:pt>
                <c:pt idx="71">
                  <c:v>1.8787</c:v>
                </c:pt>
                <c:pt idx="72">
                  <c:v>1.9356</c:v>
                </c:pt>
                <c:pt idx="73">
                  <c:v>1.9571000000000001</c:v>
                </c:pt>
                <c:pt idx="74">
                  <c:v>1.9263999999999999</c:v>
                </c:pt>
                <c:pt idx="75">
                  <c:v>1.8925000000000001</c:v>
                </c:pt>
                <c:pt idx="76">
                  <c:v>1.8895</c:v>
                </c:pt>
                <c:pt idx="77">
                  <c:v>2.468</c:v>
                </c:pt>
                <c:pt idx="78">
                  <c:v>2.4952999999999999</c:v>
                </c:pt>
                <c:pt idx="79">
                  <c:v>2.4748000000000001</c:v>
                </c:pt>
                <c:pt idx="80">
                  <c:v>2.4323000000000001</c:v>
                </c:pt>
                <c:pt idx="81">
                  <c:v>2.4016999999999999</c:v>
                </c:pt>
                <c:pt idx="82">
                  <c:v>2.4849999999999999</c:v>
                </c:pt>
                <c:pt idx="83">
                  <c:v>2.4390999999999998</c:v>
                </c:pt>
                <c:pt idx="84">
                  <c:v>2.4136000000000002</c:v>
                </c:pt>
                <c:pt idx="85">
                  <c:v>2.3370000000000002</c:v>
                </c:pt>
                <c:pt idx="86">
                  <c:v>2.3166000000000002</c:v>
                </c:pt>
                <c:pt idx="87">
                  <c:v>2.3591000000000002</c:v>
                </c:pt>
                <c:pt idx="88">
                  <c:v>2.3353000000000002</c:v>
                </c:pt>
                <c:pt idx="89">
                  <c:v>2.2673000000000001</c:v>
                </c:pt>
                <c:pt idx="90">
                  <c:v>2.1392000000000002</c:v>
                </c:pt>
                <c:pt idx="91">
                  <c:v>2.1448</c:v>
                </c:pt>
                <c:pt idx="92">
                  <c:v>2.1152000000000002</c:v>
                </c:pt>
                <c:pt idx="93">
                  <c:v>2.0966999999999998</c:v>
                </c:pt>
                <c:pt idx="94">
                  <c:v>2.1410999999999998</c:v>
                </c:pt>
                <c:pt idx="95">
                  <c:v>2.1429</c:v>
                </c:pt>
                <c:pt idx="96">
                  <c:v>2.1448</c:v>
                </c:pt>
                <c:pt idx="97">
                  <c:v>2.1410999999999998</c:v>
                </c:pt>
                <c:pt idx="98">
                  <c:v>2.2706</c:v>
                </c:pt>
                <c:pt idx="99">
                  <c:v>2.5464000000000002</c:v>
                </c:pt>
                <c:pt idx="100">
                  <c:v>2.5981999999999998</c:v>
                </c:pt>
                <c:pt idx="101">
                  <c:v>2.5352999999999999</c:v>
                </c:pt>
                <c:pt idx="102">
                  <c:v>2.5019999999999998</c:v>
                </c:pt>
                <c:pt idx="103">
                  <c:v>3.4832000000000001</c:v>
                </c:pt>
                <c:pt idx="104">
                  <c:v>3.3752</c:v>
                </c:pt>
                <c:pt idx="105">
                  <c:v>3.3877000000000002</c:v>
                </c:pt>
                <c:pt idx="106">
                  <c:v>3.3902999999999999</c:v>
                </c:pt>
                <c:pt idx="107">
                  <c:v>3.5861999999999998</c:v>
                </c:pt>
                <c:pt idx="108">
                  <c:v>3.5007999999999999</c:v>
                </c:pt>
                <c:pt idx="109">
                  <c:v>3.6389</c:v>
                </c:pt>
                <c:pt idx="110">
                  <c:v>3.5760999999999998</c:v>
                </c:pt>
                <c:pt idx="111">
                  <c:v>3.7494000000000001</c:v>
                </c:pt>
                <c:pt idx="112">
                  <c:v>3.7193000000000001</c:v>
                </c:pt>
                <c:pt idx="113">
                  <c:v>3.7995999999999999</c:v>
                </c:pt>
                <c:pt idx="114">
                  <c:v>4.4245000000000001</c:v>
                </c:pt>
                <c:pt idx="115">
                  <c:v>4.3021000000000003</c:v>
                </c:pt>
                <c:pt idx="116">
                  <c:v>3.6162999999999998</c:v>
                </c:pt>
                <c:pt idx="117">
                  <c:v>3.7101000000000002</c:v>
                </c:pt>
                <c:pt idx="118">
                  <c:v>4.1588000000000003</c:v>
                </c:pt>
                <c:pt idx="119">
                  <c:v>4.6410999999999998</c:v>
                </c:pt>
                <c:pt idx="120">
                  <c:v>4.1543999999999999</c:v>
                </c:pt>
                <c:pt idx="121">
                  <c:v>4.6210000000000004</c:v>
                </c:pt>
                <c:pt idx="122">
                  <c:v>4.5785999999999998</c:v>
                </c:pt>
                <c:pt idx="123">
                  <c:v>3.9758</c:v>
                </c:pt>
                <c:pt idx="124">
                  <c:v>3.8216999999999999</c:v>
                </c:pt>
                <c:pt idx="125">
                  <c:v>4.0785</c:v>
                </c:pt>
                <c:pt idx="126">
                  <c:v>4.0873999999999997</c:v>
                </c:pt>
                <c:pt idx="127">
                  <c:v>3.7681</c:v>
                </c:pt>
                <c:pt idx="128">
                  <c:v>3.8708</c:v>
                </c:pt>
                <c:pt idx="129">
                  <c:v>3.3254000000000001</c:v>
                </c:pt>
                <c:pt idx="130">
                  <c:v>3.3628999999999998</c:v>
                </c:pt>
                <c:pt idx="131">
                  <c:v>3.5834000000000001</c:v>
                </c:pt>
                <c:pt idx="132">
                  <c:v>3.3712</c:v>
                </c:pt>
                <c:pt idx="133">
                  <c:v>3.4689999999999999</c:v>
                </c:pt>
                <c:pt idx="134">
                  <c:v>3.6833</c:v>
                </c:pt>
                <c:pt idx="135">
                  <c:v>3.6728999999999998</c:v>
                </c:pt>
                <c:pt idx="136">
                  <c:v>3.8248000000000002</c:v>
                </c:pt>
                <c:pt idx="137">
                  <c:v>3.6854</c:v>
                </c:pt>
                <c:pt idx="138">
                  <c:v>3.8206000000000002</c:v>
                </c:pt>
                <c:pt idx="139">
                  <c:v>3.8559999999999999</c:v>
                </c:pt>
                <c:pt idx="140">
                  <c:v>3.7624</c:v>
                </c:pt>
                <c:pt idx="141">
                  <c:v>3.7541000000000002</c:v>
                </c:pt>
                <c:pt idx="142">
                  <c:v>3.2431000000000001</c:v>
                </c:pt>
                <c:pt idx="143">
                  <c:v>3.3748</c:v>
                </c:pt>
                <c:pt idx="144">
                  <c:v>3.2610999999999999</c:v>
                </c:pt>
                <c:pt idx="145">
                  <c:v>3.2016</c:v>
                </c:pt>
                <c:pt idx="146">
                  <c:v>3.16</c:v>
                </c:pt>
                <c:pt idx="147">
                  <c:v>3.0590000000000002</c:v>
                </c:pt>
                <c:pt idx="148">
                  <c:v>3.133</c:v>
                </c:pt>
                <c:pt idx="149">
                  <c:v>3.1655000000000002</c:v>
                </c:pt>
                <c:pt idx="150">
                  <c:v>3.3748</c:v>
                </c:pt>
                <c:pt idx="151">
                  <c:v>3.3675999999999999</c:v>
                </c:pt>
                <c:pt idx="152">
                  <c:v>3.1619000000000002</c:v>
                </c:pt>
                <c:pt idx="153">
                  <c:v>3.2016</c:v>
                </c:pt>
                <c:pt idx="154">
                  <c:v>3.1076999999999999</c:v>
                </c:pt>
                <c:pt idx="155">
                  <c:v>2.1194000000000002</c:v>
                </c:pt>
                <c:pt idx="156">
                  <c:v>2.5853000000000002</c:v>
                </c:pt>
                <c:pt idx="157">
                  <c:v>2.5461999999999998</c:v>
                </c:pt>
                <c:pt idx="158">
                  <c:v>2.6232000000000002</c:v>
                </c:pt>
                <c:pt idx="159">
                  <c:v>3.0413999999999999</c:v>
                </c:pt>
                <c:pt idx="160">
                  <c:v>3.0341</c:v>
                </c:pt>
                <c:pt idx="161">
                  <c:v>3.0255000000000001</c:v>
                </c:pt>
                <c:pt idx="162">
                  <c:v>3.0830000000000002</c:v>
                </c:pt>
                <c:pt idx="163">
                  <c:v>3.4645000000000001</c:v>
                </c:pt>
                <c:pt idx="164">
                  <c:v>3.2566999999999999</c:v>
                </c:pt>
                <c:pt idx="165">
                  <c:v>3.5526</c:v>
                </c:pt>
                <c:pt idx="166">
                  <c:v>3.6553</c:v>
                </c:pt>
                <c:pt idx="167">
                  <c:v>3.5257000000000001</c:v>
                </c:pt>
                <c:pt idx="168">
                  <c:v>2.7677</c:v>
                </c:pt>
                <c:pt idx="169">
                  <c:v>2.7881999999999998</c:v>
                </c:pt>
                <c:pt idx="170">
                  <c:v>2.6181999999999999</c:v>
                </c:pt>
                <c:pt idx="171">
                  <c:v>2.5948000000000002</c:v>
                </c:pt>
                <c:pt idx="172">
                  <c:v>2.9268999999999998</c:v>
                </c:pt>
                <c:pt idx="173">
                  <c:v>3.1240000000000001</c:v>
                </c:pt>
                <c:pt idx="174">
                  <c:v>2.9316</c:v>
                </c:pt>
                <c:pt idx="175">
                  <c:v>3.1669999999999998</c:v>
                </c:pt>
                <c:pt idx="176">
                  <c:v>3.4796</c:v>
                </c:pt>
                <c:pt idx="177">
                  <c:v>3.5485000000000002</c:v>
                </c:pt>
                <c:pt idx="178">
                  <c:v>3.6032000000000002</c:v>
                </c:pt>
                <c:pt idx="179">
                  <c:v>3.5485000000000002</c:v>
                </c:pt>
                <c:pt idx="180">
                  <c:v>3.9089</c:v>
                </c:pt>
                <c:pt idx="181">
                  <c:v>4.3304999999999998</c:v>
                </c:pt>
                <c:pt idx="182">
                  <c:v>4.3666</c:v>
                </c:pt>
                <c:pt idx="183">
                  <c:v>4.5156000000000001</c:v>
                </c:pt>
                <c:pt idx="184">
                  <c:v>4.4821999999999997</c:v>
                </c:pt>
                <c:pt idx="185">
                  <c:v>4.6866000000000003</c:v>
                </c:pt>
                <c:pt idx="186">
                  <c:v>4.4207000000000001</c:v>
                </c:pt>
                <c:pt idx="187">
                  <c:v>4.5823999999999998</c:v>
                </c:pt>
                <c:pt idx="188">
                  <c:v>4.6345000000000001</c:v>
                </c:pt>
                <c:pt idx="189">
                  <c:v>4.5683999999999996</c:v>
                </c:pt>
                <c:pt idx="190">
                  <c:v>4.4808000000000003</c:v>
                </c:pt>
                <c:pt idx="191">
                  <c:v>4.3612000000000002</c:v>
                </c:pt>
                <c:pt idx="192">
                  <c:v>4.3017000000000003</c:v>
                </c:pt>
                <c:pt idx="193">
                  <c:v>4.1748000000000003</c:v>
                </c:pt>
                <c:pt idx="194">
                  <c:v>2.3441999999999998</c:v>
                </c:pt>
                <c:pt idx="195">
                  <c:v>2.4039999999999999</c:v>
                </c:pt>
                <c:pt idx="196">
                  <c:v>2.7029000000000001</c:v>
                </c:pt>
                <c:pt idx="197">
                  <c:v>2.8687999999999998</c:v>
                </c:pt>
                <c:pt idx="198">
                  <c:v>2.8967999999999998</c:v>
                </c:pt>
                <c:pt idx="199">
                  <c:v>2.8731</c:v>
                </c:pt>
                <c:pt idx="200">
                  <c:v>3.0596999999999999</c:v>
                </c:pt>
                <c:pt idx="201">
                  <c:v>3.2121</c:v>
                </c:pt>
                <c:pt idx="202">
                  <c:v>3.3832</c:v>
                </c:pt>
                <c:pt idx="203">
                  <c:v>3.5910000000000002</c:v>
                </c:pt>
                <c:pt idx="204">
                  <c:v>3.6671999999999998</c:v>
                </c:pt>
                <c:pt idx="205">
                  <c:v>3.7786</c:v>
                </c:pt>
                <c:pt idx="206">
                  <c:v>3.6604999999999999</c:v>
                </c:pt>
                <c:pt idx="207">
                  <c:v>2.4798</c:v>
                </c:pt>
                <c:pt idx="208">
                  <c:v>2.4140000000000001</c:v>
                </c:pt>
                <c:pt idx="209">
                  <c:v>2.5390999999999999</c:v>
                </c:pt>
                <c:pt idx="210">
                  <c:v>2.6966999999999999</c:v>
                </c:pt>
                <c:pt idx="211">
                  <c:v>2.5945999999999998</c:v>
                </c:pt>
                <c:pt idx="212">
                  <c:v>2.5314000000000001</c:v>
                </c:pt>
                <c:pt idx="213">
                  <c:v>2.8416999999999999</c:v>
                </c:pt>
                <c:pt idx="214">
                  <c:v>3.4373999999999998</c:v>
                </c:pt>
                <c:pt idx="215">
                  <c:v>3.8170000000000002</c:v>
                </c:pt>
                <c:pt idx="216">
                  <c:v>3.7884000000000002</c:v>
                </c:pt>
                <c:pt idx="217">
                  <c:v>3.0869</c:v>
                </c:pt>
                <c:pt idx="218">
                  <c:v>3.2092999999999998</c:v>
                </c:pt>
                <c:pt idx="219">
                  <c:v>3.1421000000000001</c:v>
                </c:pt>
                <c:pt idx="220">
                  <c:v>2.6040999999999999</c:v>
                </c:pt>
                <c:pt idx="221">
                  <c:v>2.9451000000000001</c:v>
                </c:pt>
                <c:pt idx="222">
                  <c:v>3.5831</c:v>
                </c:pt>
                <c:pt idx="223">
                  <c:v>3.8435000000000001</c:v>
                </c:pt>
                <c:pt idx="224">
                  <c:v>2.9813000000000001</c:v>
                </c:pt>
                <c:pt idx="225">
                  <c:v>2.9125000000000001</c:v>
                </c:pt>
                <c:pt idx="226">
                  <c:v>2.9695</c:v>
                </c:pt>
                <c:pt idx="227">
                  <c:v>3.0729000000000002</c:v>
                </c:pt>
                <c:pt idx="228">
                  <c:v>4.7874999999999996</c:v>
                </c:pt>
                <c:pt idx="229">
                  <c:v>4.1734999999999998</c:v>
                </c:pt>
                <c:pt idx="230">
                  <c:v>4.6966999999999999</c:v>
                </c:pt>
                <c:pt idx="231">
                  <c:v>5.0343999999999998</c:v>
                </c:pt>
                <c:pt idx="232">
                  <c:v>5.0121000000000002</c:v>
                </c:pt>
                <c:pt idx="233">
                  <c:v>4.9233000000000002</c:v>
                </c:pt>
                <c:pt idx="234">
                  <c:v>5.415</c:v>
                </c:pt>
                <c:pt idx="235">
                  <c:v>5.5190000000000001</c:v>
                </c:pt>
                <c:pt idx="236">
                  <c:v>5.9513999999999996</c:v>
                </c:pt>
                <c:pt idx="237">
                  <c:v>5.9691000000000001</c:v>
                </c:pt>
                <c:pt idx="238">
                  <c:v>6.2404000000000002</c:v>
                </c:pt>
                <c:pt idx="239">
                  <c:v>5.4215</c:v>
                </c:pt>
                <c:pt idx="240">
                  <c:v>5.0650000000000004</c:v>
                </c:pt>
                <c:pt idx="241">
                  <c:v>5.0987999999999998</c:v>
                </c:pt>
                <c:pt idx="242">
                  <c:v>4.8324999999999996</c:v>
                </c:pt>
                <c:pt idx="243">
                  <c:v>4.6521999999999997</c:v>
                </c:pt>
                <c:pt idx="244">
                  <c:v>4.7489999999999997</c:v>
                </c:pt>
                <c:pt idx="245">
                  <c:v>5.4785000000000004</c:v>
                </c:pt>
                <c:pt idx="246">
                  <c:v>3.5720999999999998</c:v>
                </c:pt>
                <c:pt idx="247">
                  <c:v>3.8292000000000002</c:v>
                </c:pt>
                <c:pt idx="248">
                  <c:v>3.7423999999999999</c:v>
                </c:pt>
                <c:pt idx="249">
                  <c:v>3.4348000000000001</c:v>
                </c:pt>
                <c:pt idx="250">
                  <c:v>3.8079000000000001</c:v>
                </c:pt>
                <c:pt idx="251">
                  <c:v>4.1786000000000003</c:v>
                </c:pt>
                <c:pt idx="252">
                  <c:v>3.8645</c:v>
                </c:pt>
                <c:pt idx="253">
                  <c:v>3.9832000000000001</c:v>
                </c:pt>
                <c:pt idx="254">
                  <c:v>4.0462999999999996</c:v>
                </c:pt>
                <c:pt idx="255">
                  <c:v>4.2386999999999997</c:v>
                </c:pt>
                <c:pt idx="256">
                  <c:v>3.9647999999999999</c:v>
                </c:pt>
                <c:pt idx="257">
                  <c:v>4.1524000000000001</c:v>
                </c:pt>
                <c:pt idx="258">
                  <c:v>4.1437999999999997</c:v>
                </c:pt>
                <c:pt idx="259">
                  <c:v>4.3636999999999997</c:v>
                </c:pt>
                <c:pt idx="260">
                  <c:v>4.4029999999999996</c:v>
                </c:pt>
                <c:pt idx="261">
                  <c:v>4.6266999999999996</c:v>
                </c:pt>
                <c:pt idx="262">
                  <c:v>3.9925000000000002</c:v>
                </c:pt>
                <c:pt idx="263">
                  <c:v>3.9460999999999999</c:v>
                </c:pt>
                <c:pt idx="264">
                  <c:v>3.6831</c:v>
                </c:pt>
                <c:pt idx="265">
                  <c:v>4.1007999999999996</c:v>
                </c:pt>
                <c:pt idx="266">
                  <c:v>4.2709000000000001</c:v>
                </c:pt>
                <c:pt idx="267">
                  <c:v>4.0544000000000002</c:v>
                </c:pt>
                <c:pt idx="268">
                  <c:v>4.2089999999999996</c:v>
                </c:pt>
                <c:pt idx="269">
                  <c:v>4.1780999999999997</c:v>
                </c:pt>
                <c:pt idx="270">
                  <c:v>4.5492999999999997</c:v>
                </c:pt>
                <c:pt idx="271">
                  <c:v>4.3792</c:v>
                </c:pt>
                <c:pt idx="272">
                  <c:v>4.24</c:v>
                </c:pt>
                <c:pt idx="273">
                  <c:v>3.9346000000000001</c:v>
                </c:pt>
                <c:pt idx="274">
                  <c:v>3.9782000000000002</c:v>
                </c:pt>
                <c:pt idx="275">
                  <c:v>3.9636999999999998</c:v>
                </c:pt>
                <c:pt idx="276">
                  <c:v>4.1818999999999997</c:v>
                </c:pt>
                <c:pt idx="277">
                  <c:v>4.2255000000000003</c:v>
                </c:pt>
                <c:pt idx="278">
                  <c:v>4.2981999999999996</c:v>
                </c:pt>
                <c:pt idx="279">
                  <c:v>4.7054999999999998</c:v>
                </c:pt>
                <c:pt idx="280">
                  <c:v>4.9236000000000004</c:v>
                </c:pt>
                <c:pt idx="281">
                  <c:v>4.7927</c:v>
                </c:pt>
                <c:pt idx="282">
                  <c:v>4.8217999999999996</c:v>
                </c:pt>
                <c:pt idx="283">
                  <c:v>5.2582000000000004</c:v>
                </c:pt>
                <c:pt idx="284">
                  <c:v>5.0690999999999997</c:v>
                </c:pt>
                <c:pt idx="285">
                  <c:v>5.3891</c:v>
                </c:pt>
                <c:pt idx="286">
                  <c:v>10.087300000000001</c:v>
                </c:pt>
                <c:pt idx="287">
                  <c:v>9.6974999999999998</c:v>
                </c:pt>
                <c:pt idx="288">
                  <c:v>8.3086000000000002</c:v>
                </c:pt>
                <c:pt idx="289">
                  <c:v>8.7471999999999994</c:v>
                </c:pt>
                <c:pt idx="290">
                  <c:v>9.2102000000000004</c:v>
                </c:pt>
                <c:pt idx="291">
                  <c:v>8.7471999999999994</c:v>
                </c:pt>
                <c:pt idx="292">
                  <c:v>8.7471999999999994</c:v>
                </c:pt>
                <c:pt idx="293">
                  <c:v>8.5035000000000007</c:v>
                </c:pt>
                <c:pt idx="294">
                  <c:v>7.7237999999999998</c:v>
                </c:pt>
                <c:pt idx="295">
                  <c:v>8.1379999999999999</c:v>
                </c:pt>
                <c:pt idx="296">
                  <c:v>8.3330000000000002</c:v>
                </c:pt>
                <c:pt idx="297">
                  <c:v>8.7715999999999994</c:v>
                </c:pt>
                <c:pt idx="298">
                  <c:v>8.2111000000000001</c:v>
                </c:pt>
                <c:pt idx="299">
                  <c:v>8.1204999999999998</c:v>
                </c:pt>
                <c:pt idx="300">
                  <c:v>8.6731999999999996</c:v>
                </c:pt>
                <c:pt idx="301">
                  <c:v>8.01</c:v>
                </c:pt>
                <c:pt idx="302">
                  <c:v>8.01</c:v>
                </c:pt>
                <c:pt idx="303">
                  <c:v>7.6783999999999999</c:v>
                </c:pt>
                <c:pt idx="304">
                  <c:v>8.2864000000000004</c:v>
                </c:pt>
                <c:pt idx="305">
                  <c:v>9.2258999999999993</c:v>
                </c:pt>
                <c:pt idx="306">
                  <c:v>9.4746000000000006</c:v>
                </c:pt>
                <c:pt idx="307">
                  <c:v>9.3641000000000005</c:v>
                </c:pt>
                <c:pt idx="308">
                  <c:v>8.9496000000000002</c:v>
                </c:pt>
                <c:pt idx="309">
                  <c:v>8.8114000000000008</c:v>
                </c:pt>
                <c:pt idx="310">
                  <c:v>8.6731999999999996</c:v>
                </c:pt>
                <c:pt idx="311">
                  <c:v>8.5902999999999992</c:v>
                </c:pt>
                <c:pt idx="312">
                  <c:v>8.0762999999999998</c:v>
                </c:pt>
                <c:pt idx="313">
                  <c:v>7.9230999999999998</c:v>
                </c:pt>
                <c:pt idx="314">
                  <c:v>8.3316999999999997</c:v>
                </c:pt>
                <c:pt idx="315">
                  <c:v>8.7912999999999997</c:v>
                </c:pt>
                <c:pt idx="316">
                  <c:v>9.2254000000000005</c:v>
                </c:pt>
                <c:pt idx="317">
                  <c:v>9.3529999999999998</c:v>
                </c:pt>
                <c:pt idx="318">
                  <c:v>8.7401999999999997</c:v>
                </c:pt>
                <c:pt idx="319">
                  <c:v>8.2551000000000005</c:v>
                </c:pt>
                <c:pt idx="320">
                  <c:v>8.1783999999999999</c:v>
                </c:pt>
                <c:pt idx="321">
                  <c:v>7.9230999999999998</c:v>
                </c:pt>
                <c:pt idx="322">
                  <c:v>7.2336999999999998</c:v>
                </c:pt>
                <c:pt idx="323">
                  <c:v>6.9425999999999997</c:v>
                </c:pt>
                <c:pt idx="324">
                  <c:v>7.2949999999999999</c:v>
                </c:pt>
                <c:pt idx="325">
                  <c:v>6.6355000000000004</c:v>
                </c:pt>
                <c:pt idx="326">
                  <c:v>7.1102999999999996</c:v>
                </c:pt>
                <c:pt idx="327">
                  <c:v>7.9032</c:v>
                </c:pt>
                <c:pt idx="328">
                  <c:v>7.9886999999999997</c:v>
                </c:pt>
                <c:pt idx="329">
                  <c:v>12.0007</c:v>
                </c:pt>
                <c:pt idx="330">
                  <c:v>11.0084</c:v>
                </c:pt>
                <c:pt idx="331">
                  <c:v>11.601900000000001</c:v>
                </c:pt>
                <c:pt idx="332">
                  <c:v>10.8659</c:v>
                </c:pt>
                <c:pt idx="333">
                  <c:v>12.428000000000001</c:v>
                </c:pt>
                <c:pt idx="334">
                  <c:v>13.299300000000001</c:v>
                </c:pt>
                <c:pt idx="335">
                  <c:v>12.5989</c:v>
                </c:pt>
                <c:pt idx="336">
                  <c:v>13.584099999999999</c:v>
                </c:pt>
                <c:pt idx="337">
                  <c:v>13.750299999999999</c:v>
                </c:pt>
                <c:pt idx="338">
                  <c:v>9.9314999999999998</c:v>
                </c:pt>
                <c:pt idx="339">
                  <c:v>9.4687999999999999</c:v>
                </c:pt>
                <c:pt idx="340">
                  <c:v>8.5922000000000001</c:v>
                </c:pt>
                <c:pt idx="341">
                  <c:v>9.2256</c:v>
                </c:pt>
                <c:pt idx="342">
                  <c:v>9.4736999999999991</c:v>
                </c:pt>
                <c:pt idx="343">
                  <c:v>8.8034999999999997</c:v>
                </c:pt>
                <c:pt idx="344">
                  <c:v>8.5502000000000002</c:v>
                </c:pt>
                <c:pt idx="345">
                  <c:v>8.8315999999999999</c:v>
                </c:pt>
                <c:pt idx="346">
                  <c:v>8.6732999999999993</c:v>
                </c:pt>
                <c:pt idx="347">
                  <c:v>8.1068999999999996</c:v>
                </c:pt>
                <c:pt idx="348">
                  <c:v>8.3636999999999997</c:v>
                </c:pt>
                <c:pt idx="349">
                  <c:v>8.3848000000000003</c:v>
                </c:pt>
                <c:pt idx="350">
                  <c:v>8.2721999999999998</c:v>
                </c:pt>
                <c:pt idx="351">
                  <c:v>8.7469000000000001</c:v>
                </c:pt>
                <c:pt idx="352">
                  <c:v>8.7012999999999998</c:v>
                </c:pt>
                <c:pt idx="353">
                  <c:v>8.0236000000000001</c:v>
                </c:pt>
                <c:pt idx="354">
                  <c:v>7.8442999999999996</c:v>
                </c:pt>
                <c:pt idx="355">
                  <c:v>7.7256999999999998</c:v>
                </c:pt>
                <c:pt idx="356">
                  <c:v>7.6254</c:v>
                </c:pt>
                <c:pt idx="357">
                  <c:v>7.4522000000000004</c:v>
                </c:pt>
                <c:pt idx="358">
                  <c:v>7.5373000000000001</c:v>
                </c:pt>
                <c:pt idx="359">
                  <c:v>8.3853000000000009</c:v>
                </c:pt>
                <c:pt idx="360">
                  <c:v>7.9901</c:v>
                </c:pt>
                <c:pt idx="361">
                  <c:v>8.4307999999999996</c:v>
                </c:pt>
                <c:pt idx="362">
                  <c:v>8.4977</c:v>
                </c:pt>
                <c:pt idx="363">
                  <c:v>8.1359999999999992</c:v>
                </c:pt>
                <c:pt idx="364">
                  <c:v>6.7229000000000001</c:v>
                </c:pt>
                <c:pt idx="365">
                  <c:v>6.8926999999999996</c:v>
                </c:pt>
                <c:pt idx="366">
                  <c:v>6.5857000000000001</c:v>
                </c:pt>
                <c:pt idx="367">
                  <c:v>6.8205999999999998</c:v>
                </c:pt>
                <c:pt idx="368">
                  <c:v>6.8926999999999996</c:v>
                </c:pt>
                <c:pt idx="369">
                  <c:v>6.4554</c:v>
                </c:pt>
                <c:pt idx="370">
                  <c:v>6.1390000000000002</c:v>
                </c:pt>
                <c:pt idx="371">
                  <c:v>6.1367000000000003</c:v>
                </c:pt>
                <c:pt idx="372">
                  <c:v>6.2995000000000001</c:v>
                </c:pt>
                <c:pt idx="373">
                  <c:v>6.4832999999999998</c:v>
                </c:pt>
                <c:pt idx="374">
                  <c:v>6.5601000000000003</c:v>
                </c:pt>
                <c:pt idx="375">
                  <c:v>6.1529999999999996</c:v>
                </c:pt>
                <c:pt idx="376">
                  <c:v>6.0204000000000004</c:v>
                </c:pt>
                <c:pt idx="377">
                  <c:v>5.7226999999999997</c:v>
                </c:pt>
                <c:pt idx="378">
                  <c:v>6.0506000000000002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1-403E-9372-8D36C83E3BC5}"/>
            </c:ext>
          </c:extLst>
        </c:ser>
        <c:ser>
          <c:idx val="1"/>
          <c:order val="1"/>
          <c:tx>
            <c:strRef>
              <c:f>Base!$N$4</c:f>
              <c:strCache>
                <c:ptCount val="1"/>
                <c:pt idx="0">
                  <c:v>TGSU2 AR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Base!$A$7:$A$2000</c:f>
              <c:numCache>
                <c:formatCode>m/d/yyyy</c:formatCode>
                <c:ptCount val="1994"/>
                <c:pt idx="0">
                  <c:v>43658</c:v>
                </c:pt>
                <c:pt idx="1">
                  <c:v>43665</c:v>
                </c:pt>
                <c:pt idx="2">
                  <c:v>43672</c:v>
                </c:pt>
                <c:pt idx="3">
                  <c:v>43679</c:v>
                </c:pt>
                <c:pt idx="4">
                  <c:v>43686</c:v>
                </c:pt>
                <c:pt idx="5">
                  <c:v>43693</c:v>
                </c:pt>
                <c:pt idx="6">
                  <c:v>43700</c:v>
                </c:pt>
                <c:pt idx="7">
                  <c:v>43707</c:v>
                </c:pt>
                <c:pt idx="8">
                  <c:v>43714</c:v>
                </c:pt>
                <c:pt idx="9">
                  <c:v>43721</c:v>
                </c:pt>
                <c:pt idx="10">
                  <c:v>43728</c:v>
                </c:pt>
                <c:pt idx="11">
                  <c:v>43735</c:v>
                </c:pt>
                <c:pt idx="12">
                  <c:v>43742</c:v>
                </c:pt>
                <c:pt idx="13">
                  <c:v>43749</c:v>
                </c:pt>
                <c:pt idx="14">
                  <c:v>43756</c:v>
                </c:pt>
                <c:pt idx="15">
                  <c:v>43763</c:v>
                </c:pt>
                <c:pt idx="16">
                  <c:v>43770</c:v>
                </c:pt>
                <c:pt idx="17">
                  <c:v>43777</c:v>
                </c:pt>
                <c:pt idx="18">
                  <c:v>43784</c:v>
                </c:pt>
                <c:pt idx="19">
                  <c:v>43791</c:v>
                </c:pt>
                <c:pt idx="20">
                  <c:v>43798</c:v>
                </c:pt>
                <c:pt idx="21">
                  <c:v>43805</c:v>
                </c:pt>
                <c:pt idx="22">
                  <c:v>43812</c:v>
                </c:pt>
                <c:pt idx="23">
                  <c:v>43819</c:v>
                </c:pt>
                <c:pt idx="24">
                  <c:v>43826</c:v>
                </c:pt>
                <c:pt idx="25">
                  <c:v>43833</c:v>
                </c:pt>
                <c:pt idx="26">
                  <c:v>43840</c:v>
                </c:pt>
                <c:pt idx="27">
                  <c:v>43847</c:v>
                </c:pt>
                <c:pt idx="28">
                  <c:v>43854</c:v>
                </c:pt>
                <c:pt idx="29">
                  <c:v>43861</c:v>
                </c:pt>
                <c:pt idx="30">
                  <c:v>43868</c:v>
                </c:pt>
                <c:pt idx="31">
                  <c:v>43875</c:v>
                </c:pt>
                <c:pt idx="32">
                  <c:v>43882</c:v>
                </c:pt>
                <c:pt idx="33">
                  <c:v>43889</c:v>
                </c:pt>
                <c:pt idx="34">
                  <c:v>43896</c:v>
                </c:pt>
                <c:pt idx="35">
                  <c:v>43903</c:v>
                </c:pt>
                <c:pt idx="36">
                  <c:v>43910</c:v>
                </c:pt>
                <c:pt idx="37">
                  <c:v>43917</c:v>
                </c:pt>
                <c:pt idx="38">
                  <c:v>43924</c:v>
                </c:pt>
                <c:pt idx="39">
                  <c:v>43931</c:v>
                </c:pt>
                <c:pt idx="40">
                  <c:v>43938</c:v>
                </c:pt>
                <c:pt idx="41">
                  <c:v>43945</c:v>
                </c:pt>
                <c:pt idx="42">
                  <c:v>43952</c:v>
                </c:pt>
                <c:pt idx="43">
                  <c:v>43959</c:v>
                </c:pt>
                <c:pt idx="44">
                  <c:v>43966</c:v>
                </c:pt>
                <c:pt idx="45">
                  <c:v>43973</c:v>
                </c:pt>
                <c:pt idx="46">
                  <c:v>43980</c:v>
                </c:pt>
                <c:pt idx="47">
                  <c:v>43987</c:v>
                </c:pt>
                <c:pt idx="48">
                  <c:v>43994</c:v>
                </c:pt>
                <c:pt idx="49">
                  <c:v>44001</c:v>
                </c:pt>
                <c:pt idx="50">
                  <c:v>44008</c:v>
                </c:pt>
                <c:pt idx="51">
                  <c:v>44015</c:v>
                </c:pt>
                <c:pt idx="52">
                  <c:v>44022</c:v>
                </c:pt>
                <c:pt idx="53">
                  <c:v>44029</c:v>
                </c:pt>
                <c:pt idx="54">
                  <c:v>44036</c:v>
                </c:pt>
                <c:pt idx="55">
                  <c:v>44043</c:v>
                </c:pt>
                <c:pt idx="56">
                  <c:v>44050</c:v>
                </c:pt>
                <c:pt idx="57">
                  <c:v>44057</c:v>
                </c:pt>
                <c:pt idx="58">
                  <c:v>44064</c:v>
                </c:pt>
                <c:pt idx="59">
                  <c:v>44071</c:v>
                </c:pt>
                <c:pt idx="60">
                  <c:v>44078</c:v>
                </c:pt>
                <c:pt idx="61">
                  <c:v>44085</c:v>
                </c:pt>
                <c:pt idx="62">
                  <c:v>44092</c:v>
                </c:pt>
                <c:pt idx="63">
                  <c:v>44099</c:v>
                </c:pt>
                <c:pt idx="64">
                  <c:v>44106</c:v>
                </c:pt>
                <c:pt idx="65">
                  <c:v>44113</c:v>
                </c:pt>
                <c:pt idx="66">
                  <c:v>44120</c:v>
                </c:pt>
                <c:pt idx="67">
                  <c:v>44127</c:v>
                </c:pt>
                <c:pt idx="68">
                  <c:v>44134</c:v>
                </c:pt>
                <c:pt idx="69">
                  <c:v>44141</c:v>
                </c:pt>
                <c:pt idx="70">
                  <c:v>44148</c:v>
                </c:pt>
                <c:pt idx="71">
                  <c:v>44155</c:v>
                </c:pt>
                <c:pt idx="72">
                  <c:v>44162</c:v>
                </c:pt>
                <c:pt idx="73">
                  <c:v>44169</c:v>
                </c:pt>
                <c:pt idx="74">
                  <c:v>44176</c:v>
                </c:pt>
                <c:pt idx="75">
                  <c:v>44183</c:v>
                </c:pt>
                <c:pt idx="76">
                  <c:v>44190</c:v>
                </c:pt>
                <c:pt idx="77">
                  <c:v>44197</c:v>
                </c:pt>
                <c:pt idx="78">
                  <c:v>44204</c:v>
                </c:pt>
                <c:pt idx="79">
                  <c:v>44211</c:v>
                </c:pt>
                <c:pt idx="80">
                  <c:v>44218</c:v>
                </c:pt>
                <c:pt idx="81">
                  <c:v>44225</c:v>
                </c:pt>
                <c:pt idx="82">
                  <c:v>44232</c:v>
                </c:pt>
                <c:pt idx="83">
                  <c:v>44239</c:v>
                </c:pt>
                <c:pt idx="84">
                  <c:v>44246</c:v>
                </c:pt>
                <c:pt idx="85">
                  <c:v>44253</c:v>
                </c:pt>
                <c:pt idx="86">
                  <c:v>44260</c:v>
                </c:pt>
                <c:pt idx="87">
                  <c:v>44267</c:v>
                </c:pt>
                <c:pt idx="88">
                  <c:v>44274</c:v>
                </c:pt>
                <c:pt idx="89">
                  <c:v>44281</c:v>
                </c:pt>
                <c:pt idx="90">
                  <c:v>44288</c:v>
                </c:pt>
                <c:pt idx="91">
                  <c:v>44295</c:v>
                </c:pt>
                <c:pt idx="92">
                  <c:v>44302</c:v>
                </c:pt>
                <c:pt idx="93">
                  <c:v>44309</c:v>
                </c:pt>
                <c:pt idx="94">
                  <c:v>44316</c:v>
                </c:pt>
                <c:pt idx="95">
                  <c:v>44323</c:v>
                </c:pt>
                <c:pt idx="96">
                  <c:v>44330</c:v>
                </c:pt>
                <c:pt idx="97">
                  <c:v>44337</c:v>
                </c:pt>
                <c:pt idx="98">
                  <c:v>44344</c:v>
                </c:pt>
                <c:pt idx="99">
                  <c:v>44351</c:v>
                </c:pt>
                <c:pt idx="100">
                  <c:v>44358</c:v>
                </c:pt>
                <c:pt idx="101">
                  <c:v>44365</c:v>
                </c:pt>
                <c:pt idx="102">
                  <c:v>44372</c:v>
                </c:pt>
                <c:pt idx="103">
                  <c:v>44379</c:v>
                </c:pt>
                <c:pt idx="104">
                  <c:v>44386</c:v>
                </c:pt>
                <c:pt idx="105">
                  <c:v>44393</c:v>
                </c:pt>
                <c:pt idx="106">
                  <c:v>44400</c:v>
                </c:pt>
                <c:pt idx="107">
                  <c:v>44407</c:v>
                </c:pt>
                <c:pt idx="108">
                  <c:v>44414</c:v>
                </c:pt>
                <c:pt idx="109">
                  <c:v>44421</c:v>
                </c:pt>
                <c:pt idx="110">
                  <c:v>44428</c:v>
                </c:pt>
                <c:pt idx="111">
                  <c:v>44435</c:v>
                </c:pt>
                <c:pt idx="112">
                  <c:v>44442</c:v>
                </c:pt>
                <c:pt idx="113">
                  <c:v>44449</c:v>
                </c:pt>
                <c:pt idx="114">
                  <c:v>44456</c:v>
                </c:pt>
                <c:pt idx="115">
                  <c:v>44463</c:v>
                </c:pt>
                <c:pt idx="116">
                  <c:v>44470</c:v>
                </c:pt>
                <c:pt idx="117">
                  <c:v>44477</c:v>
                </c:pt>
                <c:pt idx="118">
                  <c:v>44484</c:v>
                </c:pt>
                <c:pt idx="119">
                  <c:v>44491</c:v>
                </c:pt>
                <c:pt idx="120">
                  <c:v>44498</c:v>
                </c:pt>
                <c:pt idx="121">
                  <c:v>44505</c:v>
                </c:pt>
                <c:pt idx="122">
                  <c:v>44512</c:v>
                </c:pt>
                <c:pt idx="123">
                  <c:v>44519</c:v>
                </c:pt>
                <c:pt idx="124">
                  <c:v>44526</c:v>
                </c:pt>
                <c:pt idx="125">
                  <c:v>44533</c:v>
                </c:pt>
                <c:pt idx="126">
                  <c:v>44540</c:v>
                </c:pt>
                <c:pt idx="127">
                  <c:v>44547</c:v>
                </c:pt>
                <c:pt idx="128">
                  <c:v>44554</c:v>
                </c:pt>
                <c:pt idx="129">
                  <c:v>44561</c:v>
                </c:pt>
                <c:pt idx="130">
                  <c:v>44568</c:v>
                </c:pt>
                <c:pt idx="131">
                  <c:v>44575</c:v>
                </c:pt>
                <c:pt idx="132">
                  <c:v>44582</c:v>
                </c:pt>
                <c:pt idx="133">
                  <c:v>44589</c:v>
                </c:pt>
                <c:pt idx="134">
                  <c:v>44596</c:v>
                </c:pt>
                <c:pt idx="135">
                  <c:v>44603</c:v>
                </c:pt>
                <c:pt idx="136">
                  <c:v>44610</c:v>
                </c:pt>
                <c:pt idx="137">
                  <c:v>44617</c:v>
                </c:pt>
                <c:pt idx="138">
                  <c:v>44624</c:v>
                </c:pt>
                <c:pt idx="139">
                  <c:v>44631</c:v>
                </c:pt>
                <c:pt idx="140">
                  <c:v>44638</c:v>
                </c:pt>
                <c:pt idx="141">
                  <c:v>44645</c:v>
                </c:pt>
                <c:pt idx="142">
                  <c:v>44652</c:v>
                </c:pt>
                <c:pt idx="143">
                  <c:v>44659</c:v>
                </c:pt>
                <c:pt idx="144">
                  <c:v>44666</c:v>
                </c:pt>
                <c:pt idx="145">
                  <c:v>44673</c:v>
                </c:pt>
                <c:pt idx="146">
                  <c:v>44680</c:v>
                </c:pt>
                <c:pt idx="147">
                  <c:v>44687</c:v>
                </c:pt>
                <c:pt idx="148">
                  <c:v>44694</c:v>
                </c:pt>
                <c:pt idx="149">
                  <c:v>44701</c:v>
                </c:pt>
                <c:pt idx="150">
                  <c:v>44708</c:v>
                </c:pt>
                <c:pt idx="151">
                  <c:v>44715</c:v>
                </c:pt>
                <c:pt idx="152">
                  <c:v>44722</c:v>
                </c:pt>
                <c:pt idx="153">
                  <c:v>44729</c:v>
                </c:pt>
                <c:pt idx="154">
                  <c:v>44736</c:v>
                </c:pt>
                <c:pt idx="155">
                  <c:v>44743</c:v>
                </c:pt>
                <c:pt idx="156">
                  <c:v>44750</c:v>
                </c:pt>
                <c:pt idx="157">
                  <c:v>44757</c:v>
                </c:pt>
                <c:pt idx="158">
                  <c:v>44764</c:v>
                </c:pt>
                <c:pt idx="159">
                  <c:v>44771</c:v>
                </c:pt>
                <c:pt idx="160">
                  <c:v>44778</c:v>
                </c:pt>
                <c:pt idx="161">
                  <c:v>44785</c:v>
                </c:pt>
                <c:pt idx="162">
                  <c:v>44792</c:v>
                </c:pt>
                <c:pt idx="163">
                  <c:v>44799</c:v>
                </c:pt>
                <c:pt idx="164">
                  <c:v>44806</c:v>
                </c:pt>
                <c:pt idx="165">
                  <c:v>44813</c:v>
                </c:pt>
                <c:pt idx="166">
                  <c:v>44820</c:v>
                </c:pt>
                <c:pt idx="167">
                  <c:v>44827</c:v>
                </c:pt>
                <c:pt idx="168">
                  <c:v>44834</c:v>
                </c:pt>
                <c:pt idx="169">
                  <c:v>44841</c:v>
                </c:pt>
                <c:pt idx="170">
                  <c:v>44848</c:v>
                </c:pt>
                <c:pt idx="171">
                  <c:v>44855</c:v>
                </c:pt>
                <c:pt idx="172">
                  <c:v>44862</c:v>
                </c:pt>
                <c:pt idx="173">
                  <c:v>44869</c:v>
                </c:pt>
                <c:pt idx="174">
                  <c:v>44876</c:v>
                </c:pt>
                <c:pt idx="175">
                  <c:v>44883</c:v>
                </c:pt>
                <c:pt idx="176">
                  <c:v>44890</c:v>
                </c:pt>
                <c:pt idx="177">
                  <c:v>44897</c:v>
                </c:pt>
                <c:pt idx="178">
                  <c:v>44904</c:v>
                </c:pt>
                <c:pt idx="179">
                  <c:v>44911</c:v>
                </c:pt>
                <c:pt idx="180">
                  <c:v>44918</c:v>
                </c:pt>
                <c:pt idx="181">
                  <c:v>44925</c:v>
                </c:pt>
                <c:pt idx="182">
                  <c:v>44932</c:v>
                </c:pt>
                <c:pt idx="183">
                  <c:v>44939</c:v>
                </c:pt>
                <c:pt idx="184">
                  <c:v>44946</c:v>
                </c:pt>
                <c:pt idx="185">
                  <c:v>44953</c:v>
                </c:pt>
                <c:pt idx="186">
                  <c:v>44960</c:v>
                </c:pt>
                <c:pt idx="187">
                  <c:v>44967</c:v>
                </c:pt>
                <c:pt idx="188">
                  <c:v>44974</c:v>
                </c:pt>
                <c:pt idx="189">
                  <c:v>44981</c:v>
                </c:pt>
                <c:pt idx="190">
                  <c:v>44988</c:v>
                </c:pt>
                <c:pt idx="191">
                  <c:v>44995</c:v>
                </c:pt>
                <c:pt idx="192">
                  <c:v>45002</c:v>
                </c:pt>
                <c:pt idx="193">
                  <c:v>45009</c:v>
                </c:pt>
                <c:pt idx="194">
                  <c:v>45016</c:v>
                </c:pt>
                <c:pt idx="195">
                  <c:v>45023</c:v>
                </c:pt>
                <c:pt idx="196">
                  <c:v>45030</c:v>
                </c:pt>
                <c:pt idx="197">
                  <c:v>45037</c:v>
                </c:pt>
                <c:pt idx="198">
                  <c:v>45044</c:v>
                </c:pt>
                <c:pt idx="199">
                  <c:v>45051</c:v>
                </c:pt>
                <c:pt idx="200">
                  <c:v>45058</c:v>
                </c:pt>
                <c:pt idx="201">
                  <c:v>45065</c:v>
                </c:pt>
                <c:pt idx="202">
                  <c:v>45072</c:v>
                </c:pt>
                <c:pt idx="203">
                  <c:v>45079</c:v>
                </c:pt>
                <c:pt idx="204">
                  <c:v>45086</c:v>
                </c:pt>
                <c:pt idx="205">
                  <c:v>45093</c:v>
                </c:pt>
                <c:pt idx="206">
                  <c:v>45100</c:v>
                </c:pt>
                <c:pt idx="207">
                  <c:v>45107</c:v>
                </c:pt>
                <c:pt idx="208">
                  <c:v>45114</c:v>
                </c:pt>
                <c:pt idx="209">
                  <c:v>45121</c:v>
                </c:pt>
                <c:pt idx="210">
                  <c:v>45128</c:v>
                </c:pt>
                <c:pt idx="211">
                  <c:v>45135</c:v>
                </c:pt>
                <c:pt idx="212">
                  <c:v>45142</c:v>
                </c:pt>
                <c:pt idx="213">
                  <c:v>45149</c:v>
                </c:pt>
                <c:pt idx="214">
                  <c:v>45156</c:v>
                </c:pt>
                <c:pt idx="215">
                  <c:v>45163</c:v>
                </c:pt>
                <c:pt idx="216">
                  <c:v>45170</c:v>
                </c:pt>
                <c:pt idx="217">
                  <c:v>45177</c:v>
                </c:pt>
                <c:pt idx="218">
                  <c:v>45184</c:v>
                </c:pt>
                <c:pt idx="219">
                  <c:v>45191</c:v>
                </c:pt>
                <c:pt idx="220">
                  <c:v>45198</c:v>
                </c:pt>
                <c:pt idx="221">
                  <c:v>45205</c:v>
                </c:pt>
                <c:pt idx="222">
                  <c:v>45212</c:v>
                </c:pt>
                <c:pt idx="223">
                  <c:v>45219</c:v>
                </c:pt>
                <c:pt idx="224">
                  <c:v>45226</c:v>
                </c:pt>
                <c:pt idx="225">
                  <c:v>45233</c:v>
                </c:pt>
                <c:pt idx="226">
                  <c:v>45240</c:v>
                </c:pt>
                <c:pt idx="227">
                  <c:v>45247</c:v>
                </c:pt>
                <c:pt idx="228">
                  <c:v>45254</c:v>
                </c:pt>
                <c:pt idx="229">
                  <c:v>45261</c:v>
                </c:pt>
                <c:pt idx="230">
                  <c:v>45268</c:v>
                </c:pt>
                <c:pt idx="231">
                  <c:v>45275</c:v>
                </c:pt>
                <c:pt idx="232">
                  <c:v>45282</c:v>
                </c:pt>
                <c:pt idx="233">
                  <c:v>45289</c:v>
                </c:pt>
                <c:pt idx="234">
                  <c:v>45296</c:v>
                </c:pt>
                <c:pt idx="235">
                  <c:v>45303</c:v>
                </c:pt>
                <c:pt idx="236">
                  <c:v>45310</c:v>
                </c:pt>
                <c:pt idx="237">
                  <c:v>45317</c:v>
                </c:pt>
                <c:pt idx="238">
                  <c:v>45324</c:v>
                </c:pt>
                <c:pt idx="239">
                  <c:v>45331</c:v>
                </c:pt>
                <c:pt idx="240">
                  <c:v>45338</c:v>
                </c:pt>
                <c:pt idx="241">
                  <c:v>45345</c:v>
                </c:pt>
                <c:pt idx="242">
                  <c:v>45352</c:v>
                </c:pt>
                <c:pt idx="243">
                  <c:v>45359</c:v>
                </c:pt>
                <c:pt idx="244">
                  <c:v>45366</c:v>
                </c:pt>
                <c:pt idx="245">
                  <c:v>45373</c:v>
                </c:pt>
                <c:pt idx="246">
                  <c:v>45380</c:v>
                </c:pt>
                <c:pt idx="247">
                  <c:v>45387</c:v>
                </c:pt>
                <c:pt idx="248">
                  <c:v>45394</c:v>
                </c:pt>
                <c:pt idx="249">
                  <c:v>45401</c:v>
                </c:pt>
                <c:pt idx="250">
                  <c:v>45408</c:v>
                </c:pt>
                <c:pt idx="251">
                  <c:v>45415</c:v>
                </c:pt>
                <c:pt idx="252">
                  <c:v>45422</c:v>
                </c:pt>
                <c:pt idx="253">
                  <c:v>45429</c:v>
                </c:pt>
                <c:pt idx="254">
                  <c:v>45436</c:v>
                </c:pt>
                <c:pt idx="255">
                  <c:v>45443</c:v>
                </c:pt>
                <c:pt idx="256">
                  <c:v>45450</c:v>
                </c:pt>
                <c:pt idx="257">
                  <c:v>45457</c:v>
                </c:pt>
                <c:pt idx="258">
                  <c:v>45464</c:v>
                </c:pt>
                <c:pt idx="259">
                  <c:v>45471</c:v>
                </c:pt>
                <c:pt idx="260">
                  <c:v>45478</c:v>
                </c:pt>
                <c:pt idx="261">
                  <c:v>45485</c:v>
                </c:pt>
                <c:pt idx="262">
                  <c:v>45492</c:v>
                </c:pt>
                <c:pt idx="263">
                  <c:v>45499</c:v>
                </c:pt>
                <c:pt idx="264">
                  <c:v>45506</c:v>
                </c:pt>
                <c:pt idx="265">
                  <c:v>45513</c:v>
                </c:pt>
                <c:pt idx="266">
                  <c:v>45520</c:v>
                </c:pt>
                <c:pt idx="267">
                  <c:v>45527</c:v>
                </c:pt>
                <c:pt idx="268">
                  <c:v>45534</c:v>
                </c:pt>
                <c:pt idx="269">
                  <c:v>45541</c:v>
                </c:pt>
                <c:pt idx="270">
                  <c:v>45548</c:v>
                </c:pt>
                <c:pt idx="271">
                  <c:v>45555</c:v>
                </c:pt>
                <c:pt idx="272">
                  <c:v>45562</c:v>
                </c:pt>
                <c:pt idx="273">
                  <c:v>45569</c:v>
                </c:pt>
                <c:pt idx="274">
                  <c:v>45576</c:v>
                </c:pt>
                <c:pt idx="275">
                  <c:v>45583</c:v>
                </c:pt>
                <c:pt idx="276">
                  <c:v>45590</c:v>
                </c:pt>
                <c:pt idx="277">
                  <c:v>45597</c:v>
                </c:pt>
                <c:pt idx="278">
                  <c:v>45604</c:v>
                </c:pt>
                <c:pt idx="279">
                  <c:v>45611</c:v>
                </c:pt>
                <c:pt idx="280">
                  <c:v>45618</c:v>
                </c:pt>
                <c:pt idx="281">
                  <c:v>45625</c:v>
                </c:pt>
                <c:pt idx="282">
                  <c:v>45632</c:v>
                </c:pt>
                <c:pt idx="283">
                  <c:v>45639</c:v>
                </c:pt>
                <c:pt idx="284">
                  <c:v>45646</c:v>
                </c:pt>
                <c:pt idx="285">
                  <c:v>45653</c:v>
                </c:pt>
                <c:pt idx="286">
                  <c:v>45660</c:v>
                </c:pt>
                <c:pt idx="287">
                  <c:v>45667</c:v>
                </c:pt>
                <c:pt idx="288">
                  <c:v>45674</c:v>
                </c:pt>
                <c:pt idx="289">
                  <c:v>45681</c:v>
                </c:pt>
                <c:pt idx="290">
                  <c:v>45688</c:v>
                </c:pt>
                <c:pt idx="291">
                  <c:v>45695</c:v>
                </c:pt>
                <c:pt idx="292">
                  <c:v>45702</c:v>
                </c:pt>
                <c:pt idx="293">
                  <c:v>45709</c:v>
                </c:pt>
                <c:pt idx="294">
                  <c:v>45716</c:v>
                </c:pt>
                <c:pt idx="295">
                  <c:v>45723</c:v>
                </c:pt>
                <c:pt idx="296">
                  <c:v>45730</c:v>
                </c:pt>
                <c:pt idx="297">
                  <c:v>45737</c:v>
                </c:pt>
                <c:pt idx="298">
                  <c:v>45744</c:v>
                </c:pt>
                <c:pt idx="299">
                  <c:v>45751</c:v>
                </c:pt>
                <c:pt idx="300">
                  <c:v>45758</c:v>
                </c:pt>
                <c:pt idx="301">
                  <c:v>45765</c:v>
                </c:pt>
                <c:pt idx="302">
                  <c:v>45772</c:v>
                </c:pt>
                <c:pt idx="303">
                  <c:v>45779</c:v>
                </c:pt>
                <c:pt idx="304">
                  <c:v>45786</c:v>
                </c:pt>
                <c:pt idx="305">
                  <c:v>45793</c:v>
                </c:pt>
                <c:pt idx="306">
                  <c:v>45800</c:v>
                </c:pt>
                <c:pt idx="307">
                  <c:v>45807</c:v>
                </c:pt>
                <c:pt idx="308">
                  <c:v>45814</c:v>
                </c:pt>
                <c:pt idx="309">
                  <c:v>45821</c:v>
                </c:pt>
                <c:pt idx="310">
                  <c:v>45828</c:v>
                </c:pt>
                <c:pt idx="311">
                  <c:v>45835</c:v>
                </c:pt>
                <c:pt idx="312">
                  <c:v>45842</c:v>
                </c:pt>
                <c:pt idx="313">
                  <c:v>45849</c:v>
                </c:pt>
                <c:pt idx="314">
                  <c:v>45856</c:v>
                </c:pt>
                <c:pt idx="315">
                  <c:v>45863</c:v>
                </c:pt>
                <c:pt idx="316">
                  <c:v>45870</c:v>
                </c:pt>
                <c:pt idx="317">
                  <c:v>45877</c:v>
                </c:pt>
                <c:pt idx="318">
                  <c:v>45884</c:v>
                </c:pt>
                <c:pt idx="319">
                  <c:v>45891</c:v>
                </c:pt>
                <c:pt idx="320">
                  <c:v>45898</c:v>
                </c:pt>
                <c:pt idx="321">
                  <c:v>45905</c:v>
                </c:pt>
                <c:pt idx="322">
                  <c:v>45912</c:v>
                </c:pt>
                <c:pt idx="323">
                  <c:v>45919</c:v>
                </c:pt>
                <c:pt idx="324">
                  <c:v>45926</c:v>
                </c:pt>
                <c:pt idx="325">
                  <c:v>45933</c:v>
                </c:pt>
                <c:pt idx="326">
                  <c:v>45940</c:v>
                </c:pt>
                <c:pt idx="327">
                  <c:v>45947</c:v>
                </c:pt>
                <c:pt idx="328">
                  <c:v>45954</c:v>
                </c:pt>
                <c:pt idx="329">
                  <c:v>45961</c:v>
                </c:pt>
                <c:pt idx="330">
                  <c:v>45968</c:v>
                </c:pt>
                <c:pt idx="331">
                  <c:v>45975</c:v>
                </c:pt>
                <c:pt idx="332">
                  <c:v>45982</c:v>
                </c:pt>
                <c:pt idx="333">
                  <c:v>45989</c:v>
                </c:pt>
                <c:pt idx="334">
                  <c:v>45996</c:v>
                </c:pt>
                <c:pt idx="335">
                  <c:v>46003</c:v>
                </c:pt>
                <c:pt idx="336">
                  <c:v>46010</c:v>
                </c:pt>
                <c:pt idx="337">
                  <c:v>46017</c:v>
                </c:pt>
                <c:pt idx="338">
                  <c:v>46024</c:v>
                </c:pt>
                <c:pt idx="339">
                  <c:v>46031</c:v>
                </c:pt>
                <c:pt idx="340">
                  <c:v>46038</c:v>
                </c:pt>
                <c:pt idx="341">
                  <c:v>46045</c:v>
                </c:pt>
                <c:pt idx="342">
                  <c:v>46052</c:v>
                </c:pt>
                <c:pt idx="343">
                  <c:v>46059</c:v>
                </c:pt>
                <c:pt idx="344">
                  <c:v>46066</c:v>
                </c:pt>
                <c:pt idx="345">
                  <c:v>46073</c:v>
                </c:pt>
                <c:pt idx="346">
                  <c:v>46080</c:v>
                </c:pt>
                <c:pt idx="347">
                  <c:v>46087</c:v>
                </c:pt>
                <c:pt idx="348">
                  <c:v>46094</c:v>
                </c:pt>
                <c:pt idx="349">
                  <c:v>46101</c:v>
                </c:pt>
                <c:pt idx="350">
                  <c:v>46108</c:v>
                </c:pt>
                <c:pt idx="351">
                  <c:v>46115</c:v>
                </c:pt>
                <c:pt idx="352">
                  <c:v>46122</c:v>
                </c:pt>
                <c:pt idx="353">
                  <c:v>46129</c:v>
                </c:pt>
                <c:pt idx="354">
                  <c:v>46136</c:v>
                </c:pt>
                <c:pt idx="355">
                  <c:v>46143</c:v>
                </c:pt>
                <c:pt idx="356">
                  <c:v>46150</c:v>
                </c:pt>
                <c:pt idx="357">
                  <c:v>46157</c:v>
                </c:pt>
                <c:pt idx="358">
                  <c:v>46164</c:v>
                </c:pt>
                <c:pt idx="359">
                  <c:v>46171</c:v>
                </c:pt>
                <c:pt idx="360">
                  <c:v>46178</c:v>
                </c:pt>
                <c:pt idx="361">
                  <c:v>46185</c:v>
                </c:pt>
                <c:pt idx="362">
                  <c:v>46192</c:v>
                </c:pt>
                <c:pt idx="363">
                  <c:v>46199</c:v>
                </c:pt>
                <c:pt idx="364">
                  <c:v>46206</c:v>
                </c:pt>
                <c:pt idx="365">
                  <c:v>46213</c:v>
                </c:pt>
                <c:pt idx="366">
                  <c:v>46220</c:v>
                </c:pt>
                <c:pt idx="367">
                  <c:v>46227</c:v>
                </c:pt>
                <c:pt idx="368">
                  <c:v>46234</c:v>
                </c:pt>
                <c:pt idx="369">
                  <c:v>46241</c:v>
                </c:pt>
                <c:pt idx="370">
                  <c:v>46248</c:v>
                </c:pt>
                <c:pt idx="371">
                  <c:v>46255</c:v>
                </c:pt>
                <c:pt idx="372">
                  <c:v>46262</c:v>
                </c:pt>
                <c:pt idx="373">
                  <c:v>46269</c:v>
                </c:pt>
                <c:pt idx="374">
                  <c:v>46276</c:v>
                </c:pt>
                <c:pt idx="375">
                  <c:v>46283</c:v>
                </c:pt>
                <c:pt idx="376">
                  <c:v>46290</c:v>
                </c:pt>
                <c:pt idx="377">
                  <c:v>46297</c:v>
                </c:pt>
                <c:pt idx="378">
                  <c:v>46304</c:v>
                </c:pt>
              </c:numCache>
            </c:numRef>
          </c:cat>
          <c:val>
            <c:numRef>
              <c:f>Base!$N$7:$N$2000</c:f>
              <c:numCache>
                <c:formatCode>General</c:formatCode>
                <c:ptCount val="1994"/>
                <c:pt idx="0">
                  <c:v>4.2133000000000003</c:v>
                </c:pt>
                <c:pt idx="1">
                  <c:v>4.0388000000000002</c:v>
                </c:pt>
                <c:pt idx="2">
                  <c:v>4.1459999999999999</c:v>
                </c:pt>
                <c:pt idx="3">
                  <c:v>4.1405000000000003</c:v>
                </c:pt>
                <c:pt idx="4">
                  <c:v>4.4151999999999996</c:v>
                </c:pt>
                <c:pt idx="5">
                  <c:v>3.4771000000000001</c:v>
                </c:pt>
                <c:pt idx="6">
                  <c:v>3.1762999999999999</c:v>
                </c:pt>
                <c:pt idx="7">
                  <c:v>3.0773999999999999</c:v>
                </c:pt>
                <c:pt idx="8">
                  <c:v>3.3273999999999999</c:v>
                </c:pt>
                <c:pt idx="9">
                  <c:v>3.5636000000000001</c:v>
                </c:pt>
                <c:pt idx="10">
                  <c:v>3.6968000000000001</c:v>
                </c:pt>
                <c:pt idx="11">
                  <c:v>3.4729000000000001</c:v>
                </c:pt>
                <c:pt idx="12">
                  <c:v>4.1688000000000001</c:v>
                </c:pt>
                <c:pt idx="13">
                  <c:v>3.9946000000000002</c:v>
                </c:pt>
                <c:pt idx="14">
                  <c:v>4.0852000000000004</c:v>
                </c:pt>
                <c:pt idx="15">
                  <c:v>4.1858000000000004</c:v>
                </c:pt>
                <c:pt idx="16">
                  <c:v>4.1475</c:v>
                </c:pt>
                <c:pt idx="17">
                  <c:v>3.8176000000000001</c:v>
                </c:pt>
                <c:pt idx="18">
                  <c:v>3.4113000000000002</c:v>
                </c:pt>
                <c:pt idx="19">
                  <c:v>3.3858000000000001</c:v>
                </c:pt>
                <c:pt idx="20">
                  <c:v>3.3631000000000002</c:v>
                </c:pt>
                <c:pt idx="21">
                  <c:v>3.4622000000000002</c:v>
                </c:pt>
                <c:pt idx="22">
                  <c:v>3.5358999999999998</c:v>
                </c:pt>
                <c:pt idx="23">
                  <c:v>3.5911</c:v>
                </c:pt>
                <c:pt idx="24">
                  <c:v>3.7566999999999999</c:v>
                </c:pt>
                <c:pt idx="25">
                  <c:v>3.7665999999999999</c:v>
                </c:pt>
                <c:pt idx="26">
                  <c:v>3.9304999999999999</c:v>
                </c:pt>
                <c:pt idx="27">
                  <c:v>3.8914</c:v>
                </c:pt>
                <c:pt idx="28">
                  <c:v>3.7067999999999999</c:v>
                </c:pt>
                <c:pt idx="29">
                  <c:v>3.7275999999999998</c:v>
                </c:pt>
                <c:pt idx="30">
                  <c:v>3.7341000000000002</c:v>
                </c:pt>
                <c:pt idx="31">
                  <c:v>3.6938</c:v>
                </c:pt>
                <c:pt idx="32">
                  <c:v>3.7172000000000001</c:v>
                </c:pt>
                <c:pt idx="33">
                  <c:v>3.4376000000000002</c:v>
                </c:pt>
                <c:pt idx="34">
                  <c:v>3.4830999999999999</c:v>
                </c:pt>
                <c:pt idx="35">
                  <c:v>3.1762000000000001</c:v>
                </c:pt>
                <c:pt idx="36">
                  <c:v>2.9018000000000002</c:v>
                </c:pt>
                <c:pt idx="37">
                  <c:v>2.8965999999999998</c:v>
                </c:pt>
                <c:pt idx="38">
                  <c:v>2.7648000000000001</c:v>
                </c:pt>
                <c:pt idx="39">
                  <c:v>2.9321999999999999</c:v>
                </c:pt>
                <c:pt idx="40">
                  <c:v>2.9213</c:v>
                </c:pt>
                <c:pt idx="41">
                  <c:v>3.0049999999999999</c:v>
                </c:pt>
                <c:pt idx="42">
                  <c:v>3.2014999999999998</c:v>
                </c:pt>
                <c:pt idx="43">
                  <c:v>3.4114</c:v>
                </c:pt>
                <c:pt idx="44">
                  <c:v>3.8081</c:v>
                </c:pt>
                <c:pt idx="45">
                  <c:v>3.8917999999999999</c:v>
                </c:pt>
                <c:pt idx="46">
                  <c:v>3.6795</c:v>
                </c:pt>
                <c:pt idx="47">
                  <c:v>4.1199000000000003</c:v>
                </c:pt>
                <c:pt idx="48">
                  <c:v>3.8323999999999998</c:v>
                </c:pt>
                <c:pt idx="49">
                  <c:v>3.6345999999999998</c:v>
                </c:pt>
                <c:pt idx="50">
                  <c:v>3.597</c:v>
                </c:pt>
                <c:pt idx="51">
                  <c:v>3.4066000000000001</c:v>
                </c:pt>
                <c:pt idx="52">
                  <c:v>3.714</c:v>
                </c:pt>
                <c:pt idx="53">
                  <c:v>3.661</c:v>
                </c:pt>
                <c:pt idx="54">
                  <c:v>4.0190999999999999</c:v>
                </c:pt>
                <c:pt idx="55">
                  <c:v>3.9578000000000002</c:v>
                </c:pt>
                <c:pt idx="56">
                  <c:v>4.2074999999999996</c:v>
                </c:pt>
                <c:pt idx="57">
                  <c:v>3.8</c:v>
                </c:pt>
                <c:pt idx="58">
                  <c:v>3.7058</c:v>
                </c:pt>
                <c:pt idx="59">
                  <c:v>3.4761000000000002</c:v>
                </c:pt>
                <c:pt idx="60">
                  <c:v>3.4878999999999998</c:v>
                </c:pt>
                <c:pt idx="61">
                  <c:v>3.4714</c:v>
                </c:pt>
                <c:pt idx="62">
                  <c:v>3.2877000000000001</c:v>
                </c:pt>
                <c:pt idx="63">
                  <c:v>3.4243000000000001</c:v>
                </c:pt>
                <c:pt idx="64">
                  <c:v>3.2616000000000001</c:v>
                </c:pt>
                <c:pt idx="65">
                  <c:v>3.4093</c:v>
                </c:pt>
                <c:pt idx="66">
                  <c:v>3.9089</c:v>
                </c:pt>
                <c:pt idx="67">
                  <c:v>4.2218</c:v>
                </c:pt>
                <c:pt idx="68">
                  <c:v>3.7980999999999998</c:v>
                </c:pt>
                <c:pt idx="69">
                  <c:v>3.9426999999999999</c:v>
                </c:pt>
                <c:pt idx="70">
                  <c:v>3.9026999999999998</c:v>
                </c:pt>
                <c:pt idx="71">
                  <c:v>3.9735</c:v>
                </c:pt>
                <c:pt idx="72">
                  <c:v>4.0525000000000002</c:v>
                </c:pt>
                <c:pt idx="73">
                  <c:v>4.1170999999999998</c:v>
                </c:pt>
                <c:pt idx="74">
                  <c:v>3.9929999999999999</c:v>
                </c:pt>
                <c:pt idx="75">
                  <c:v>3.9079000000000002</c:v>
                </c:pt>
                <c:pt idx="76">
                  <c:v>3.8052999999999999</c:v>
                </c:pt>
                <c:pt idx="77">
                  <c:v>4.4545000000000003</c:v>
                </c:pt>
                <c:pt idx="78">
                  <c:v>4.5106000000000002</c:v>
                </c:pt>
                <c:pt idx="79">
                  <c:v>4.5513000000000003</c:v>
                </c:pt>
                <c:pt idx="80">
                  <c:v>4.4676999999999998</c:v>
                </c:pt>
                <c:pt idx="81">
                  <c:v>4.4215</c:v>
                </c:pt>
                <c:pt idx="82">
                  <c:v>4.5392000000000001</c:v>
                </c:pt>
                <c:pt idx="83">
                  <c:v>4.4028</c:v>
                </c:pt>
                <c:pt idx="84">
                  <c:v>4.3841000000000001</c:v>
                </c:pt>
                <c:pt idx="85">
                  <c:v>4.1398999999999999</c:v>
                </c:pt>
                <c:pt idx="86">
                  <c:v>4.1002999999999998</c:v>
                </c:pt>
                <c:pt idx="87">
                  <c:v>4.1608000000000001</c:v>
                </c:pt>
                <c:pt idx="88">
                  <c:v>4.0804999999999998</c:v>
                </c:pt>
                <c:pt idx="89">
                  <c:v>3.9639000000000002</c:v>
                </c:pt>
                <c:pt idx="90">
                  <c:v>3.1665999999999999</c:v>
                </c:pt>
                <c:pt idx="91">
                  <c:v>3.1575000000000002</c:v>
                </c:pt>
                <c:pt idx="92">
                  <c:v>3.0196999999999998</c:v>
                </c:pt>
                <c:pt idx="93">
                  <c:v>3.0802999999999998</c:v>
                </c:pt>
                <c:pt idx="94">
                  <c:v>3.1711999999999998</c:v>
                </c:pt>
                <c:pt idx="95">
                  <c:v>3.1812999999999998</c:v>
                </c:pt>
                <c:pt idx="96">
                  <c:v>3.3264</c:v>
                </c:pt>
                <c:pt idx="97">
                  <c:v>3.3668</c:v>
                </c:pt>
                <c:pt idx="98">
                  <c:v>3.4218999999999999</c:v>
                </c:pt>
                <c:pt idx="99">
                  <c:v>3.8892000000000002</c:v>
                </c:pt>
                <c:pt idx="100">
                  <c:v>3.8561999999999999</c:v>
                </c:pt>
                <c:pt idx="101">
                  <c:v>3.746</c:v>
                </c:pt>
                <c:pt idx="102">
                  <c:v>3.7166000000000001</c:v>
                </c:pt>
                <c:pt idx="103">
                  <c:v>3.7069000000000001</c:v>
                </c:pt>
                <c:pt idx="104">
                  <c:v>3.6398000000000001</c:v>
                </c:pt>
                <c:pt idx="105">
                  <c:v>3.6661999999999999</c:v>
                </c:pt>
                <c:pt idx="106">
                  <c:v>3.7078000000000002</c:v>
                </c:pt>
                <c:pt idx="107">
                  <c:v>3.7094999999999998</c:v>
                </c:pt>
                <c:pt idx="108">
                  <c:v>3.9268000000000001</c:v>
                </c:pt>
                <c:pt idx="109">
                  <c:v>3.9209000000000001</c:v>
                </c:pt>
                <c:pt idx="110">
                  <c:v>3.8647999999999998</c:v>
                </c:pt>
                <c:pt idx="111">
                  <c:v>4.1322000000000001</c:v>
                </c:pt>
                <c:pt idx="112">
                  <c:v>4.0898000000000003</c:v>
                </c:pt>
                <c:pt idx="113">
                  <c:v>4.1119000000000003</c:v>
                </c:pt>
                <c:pt idx="114">
                  <c:v>4.0993000000000004</c:v>
                </c:pt>
                <c:pt idx="115">
                  <c:v>3.9376000000000002</c:v>
                </c:pt>
                <c:pt idx="116">
                  <c:v>3.8860999999999999</c:v>
                </c:pt>
                <c:pt idx="117">
                  <c:v>3.9801000000000002</c:v>
                </c:pt>
                <c:pt idx="118">
                  <c:v>4.1673999999999998</c:v>
                </c:pt>
                <c:pt idx="119">
                  <c:v>4.4221000000000004</c:v>
                </c:pt>
                <c:pt idx="120">
                  <c:v>4.1925999999999997</c:v>
                </c:pt>
                <c:pt idx="121">
                  <c:v>4.3680000000000003</c:v>
                </c:pt>
                <c:pt idx="122">
                  <c:v>4.4546000000000001</c:v>
                </c:pt>
                <c:pt idx="123">
                  <c:v>4.0349000000000004</c:v>
                </c:pt>
                <c:pt idx="124">
                  <c:v>3.7713000000000001</c:v>
                </c:pt>
                <c:pt idx="125">
                  <c:v>3.9542000000000002</c:v>
                </c:pt>
                <c:pt idx="126">
                  <c:v>3.9098000000000002</c:v>
                </c:pt>
                <c:pt idx="127">
                  <c:v>3.7439</c:v>
                </c:pt>
                <c:pt idx="128">
                  <c:v>3.7587000000000002</c:v>
                </c:pt>
                <c:pt idx="129">
                  <c:v>2.7027000000000001</c:v>
                </c:pt>
                <c:pt idx="130">
                  <c:v>2.7450000000000001</c:v>
                </c:pt>
                <c:pt idx="131">
                  <c:v>2.871</c:v>
                </c:pt>
                <c:pt idx="132">
                  <c:v>2.8504999999999998</c:v>
                </c:pt>
                <c:pt idx="133">
                  <c:v>3.0019</c:v>
                </c:pt>
                <c:pt idx="134">
                  <c:v>2.9984000000000002</c:v>
                </c:pt>
                <c:pt idx="135">
                  <c:v>2.9940000000000002</c:v>
                </c:pt>
                <c:pt idx="136">
                  <c:v>3.0979999999999999</c:v>
                </c:pt>
                <c:pt idx="137">
                  <c:v>3.2155999999999998</c:v>
                </c:pt>
                <c:pt idx="138">
                  <c:v>3.4571000000000001</c:v>
                </c:pt>
                <c:pt idx="139">
                  <c:v>3.3525</c:v>
                </c:pt>
                <c:pt idx="140">
                  <c:v>3.1726999999999999</c:v>
                </c:pt>
                <c:pt idx="141">
                  <c:v>3.5133000000000001</c:v>
                </c:pt>
                <c:pt idx="142">
                  <c:v>2.8012000000000001</c:v>
                </c:pt>
                <c:pt idx="143">
                  <c:v>2.8256999999999999</c:v>
                </c:pt>
                <c:pt idx="144">
                  <c:v>2.8378000000000001</c:v>
                </c:pt>
                <c:pt idx="145">
                  <c:v>2.8372999999999999</c:v>
                </c:pt>
                <c:pt idx="146">
                  <c:v>2.7484000000000002</c:v>
                </c:pt>
                <c:pt idx="147">
                  <c:v>2.6533000000000002</c:v>
                </c:pt>
                <c:pt idx="148">
                  <c:v>2.7256</c:v>
                </c:pt>
                <c:pt idx="149">
                  <c:v>2.7454999999999998</c:v>
                </c:pt>
                <c:pt idx="150">
                  <c:v>2.9083999999999999</c:v>
                </c:pt>
                <c:pt idx="151">
                  <c:v>2.8469000000000002</c:v>
                </c:pt>
                <c:pt idx="152">
                  <c:v>2.8889</c:v>
                </c:pt>
                <c:pt idx="153">
                  <c:v>2.6823999999999999</c:v>
                </c:pt>
                <c:pt idx="154">
                  <c:v>2.5842999999999998</c:v>
                </c:pt>
                <c:pt idx="155">
                  <c:v>2.2509000000000001</c:v>
                </c:pt>
                <c:pt idx="156">
                  <c:v>2.5712999999999999</c:v>
                </c:pt>
                <c:pt idx="157">
                  <c:v>2.4419</c:v>
                </c:pt>
                <c:pt idx="158">
                  <c:v>2.5832999999999999</c:v>
                </c:pt>
                <c:pt idx="159">
                  <c:v>2.8380000000000001</c:v>
                </c:pt>
                <c:pt idx="160">
                  <c:v>2.7650999999999999</c:v>
                </c:pt>
                <c:pt idx="161">
                  <c:v>3.0348999999999999</c:v>
                </c:pt>
                <c:pt idx="162">
                  <c:v>3.1217999999999999</c:v>
                </c:pt>
                <c:pt idx="163">
                  <c:v>3.3540000000000001</c:v>
                </c:pt>
                <c:pt idx="164">
                  <c:v>3.0796000000000001</c:v>
                </c:pt>
                <c:pt idx="165">
                  <c:v>3.3845999999999998</c:v>
                </c:pt>
                <c:pt idx="166">
                  <c:v>3.6528999999999998</c:v>
                </c:pt>
                <c:pt idx="167">
                  <c:v>3.5478000000000001</c:v>
                </c:pt>
                <c:pt idx="168">
                  <c:v>3.0943000000000001</c:v>
                </c:pt>
                <c:pt idx="169">
                  <c:v>3.4131</c:v>
                </c:pt>
                <c:pt idx="170">
                  <c:v>3.1991000000000001</c:v>
                </c:pt>
                <c:pt idx="171">
                  <c:v>3.2902999999999998</c:v>
                </c:pt>
                <c:pt idx="172">
                  <c:v>3.4821</c:v>
                </c:pt>
                <c:pt idx="173">
                  <c:v>3.7972999999999999</c:v>
                </c:pt>
                <c:pt idx="174">
                  <c:v>3.5253999999999999</c:v>
                </c:pt>
                <c:pt idx="175">
                  <c:v>3.8014999999999999</c:v>
                </c:pt>
                <c:pt idx="176">
                  <c:v>3.9578000000000002</c:v>
                </c:pt>
                <c:pt idx="177">
                  <c:v>4.2107000000000001</c:v>
                </c:pt>
                <c:pt idx="178">
                  <c:v>4.2241999999999997</c:v>
                </c:pt>
                <c:pt idx="179">
                  <c:v>3.9822000000000002</c:v>
                </c:pt>
                <c:pt idx="180">
                  <c:v>4.7096</c:v>
                </c:pt>
                <c:pt idx="181">
                  <c:v>3.8582999999999998</c:v>
                </c:pt>
                <c:pt idx="182">
                  <c:v>3.9245999999999999</c:v>
                </c:pt>
                <c:pt idx="183">
                  <c:v>3.9477000000000002</c:v>
                </c:pt>
                <c:pt idx="184">
                  <c:v>3.6715</c:v>
                </c:pt>
                <c:pt idx="185">
                  <c:v>3.9190999999999998</c:v>
                </c:pt>
                <c:pt idx="186">
                  <c:v>3.7046999999999999</c:v>
                </c:pt>
                <c:pt idx="187">
                  <c:v>3.9735999999999998</c:v>
                </c:pt>
                <c:pt idx="188">
                  <c:v>3.9630000000000001</c:v>
                </c:pt>
                <c:pt idx="189">
                  <c:v>3.9679000000000002</c:v>
                </c:pt>
                <c:pt idx="190">
                  <c:v>3.8056999999999999</c:v>
                </c:pt>
                <c:pt idx="191">
                  <c:v>3.7383000000000002</c:v>
                </c:pt>
                <c:pt idx="192">
                  <c:v>3.4710000000000001</c:v>
                </c:pt>
                <c:pt idx="193">
                  <c:v>3.4716999999999998</c:v>
                </c:pt>
                <c:pt idx="194">
                  <c:v>2.8031999999999999</c:v>
                </c:pt>
                <c:pt idx="195">
                  <c:v>2.8201999999999998</c:v>
                </c:pt>
                <c:pt idx="196">
                  <c:v>3.0863999999999998</c:v>
                </c:pt>
                <c:pt idx="197">
                  <c:v>3.1516999999999999</c:v>
                </c:pt>
                <c:pt idx="198">
                  <c:v>3.4552999999999998</c:v>
                </c:pt>
                <c:pt idx="199">
                  <c:v>3.5695999999999999</c:v>
                </c:pt>
                <c:pt idx="200">
                  <c:v>4.0465</c:v>
                </c:pt>
                <c:pt idx="201">
                  <c:v>4.0785999999999998</c:v>
                </c:pt>
                <c:pt idx="202">
                  <c:v>4.1375000000000002</c:v>
                </c:pt>
                <c:pt idx="203">
                  <c:v>4.1733000000000002</c:v>
                </c:pt>
                <c:pt idx="204">
                  <c:v>4.1840000000000002</c:v>
                </c:pt>
                <c:pt idx="205">
                  <c:v>4.4271000000000003</c:v>
                </c:pt>
                <c:pt idx="206">
                  <c:v>4.4733000000000001</c:v>
                </c:pt>
                <c:pt idx="207">
                  <c:v>3.5785999999999998</c:v>
                </c:pt>
                <c:pt idx="208">
                  <c:v>3.6034000000000002</c:v>
                </c:pt>
                <c:pt idx="209">
                  <c:v>3.5367000000000002</c:v>
                </c:pt>
                <c:pt idx="210">
                  <c:v>3.7444999999999999</c:v>
                </c:pt>
                <c:pt idx="211">
                  <c:v>3.4493999999999998</c:v>
                </c:pt>
                <c:pt idx="212">
                  <c:v>3.4329000000000001</c:v>
                </c:pt>
                <c:pt idx="213">
                  <c:v>3.7664</c:v>
                </c:pt>
                <c:pt idx="214">
                  <c:v>4.8563000000000001</c:v>
                </c:pt>
                <c:pt idx="215">
                  <c:v>5.0194000000000001</c:v>
                </c:pt>
                <c:pt idx="216">
                  <c:v>4.8429000000000002</c:v>
                </c:pt>
                <c:pt idx="217">
                  <c:v>4.0670999999999999</c:v>
                </c:pt>
                <c:pt idx="218">
                  <c:v>4.2407000000000004</c:v>
                </c:pt>
                <c:pt idx="219">
                  <c:v>4.1212</c:v>
                </c:pt>
                <c:pt idx="220">
                  <c:v>3.5941999999999998</c:v>
                </c:pt>
                <c:pt idx="221">
                  <c:v>4.0788000000000002</c:v>
                </c:pt>
                <c:pt idx="222">
                  <c:v>4.9974999999999996</c:v>
                </c:pt>
                <c:pt idx="223">
                  <c:v>5.5132000000000003</c:v>
                </c:pt>
                <c:pt idx="224">
                  <c:v>4.2721</c:v>
                </c:pt>
                <c:pt idx="225">
                  <c:v>3.8771</c:v>
                </c:pt>
                <c:pt idx="226">
                  <c:v>3.8988999999999998</c:v>
                </c:pt>
                <c:pt idx="227">
                  <c:v>4.0514000000000001</c:v>
                </c:pt>
                <c:pt idx="228">
                  <c:v>6.8136999999999999</c:v>
                </c:pt>
                <c:pt idx="229">
                  <c:v>5.4417</c:v>
                </c:pt>
                <c:pt idx="230">
                  <c:v>5.8840000000000003</c:v>
                </c:pt>
                <c:pt idx="231">
                  <c:v>6.44</c:v>
                </c:pt>
                <c:pt idx="232">
                  <c:v>6.2126000000000001</c:v>
                </c:pt>
                <c:pt idx="233">
                  <c:v>7.6626000000000003</c:v>
                </c:pt>
                <c:pt idx="234">
                  <c:v>8.2510999999999992</c:v>
                </c:pt>
                <c:pt idx="235">
                  <c:v>8.4126999999999992</c:v>
                </c:pt>
                <c:pt idx="236">
                  <c:v>9.3315999999999999</c:v>
                </c:pt>
                <c:pt idx="237">
                  <c:v>9.4313000000000002</c:v>
                </c:pt>
                <c:pt idx="238">
                  <c:v>9.7499000000000002</c:v>
                </c:pt>
                <c:pt idx="239">
                  <c:v>8.3313000000000006</c:v>
                </c:pt>
                <c:pt idx="240">
                  <c:v>7.8133999999999997</c:v>
                </c:pt>
                <c:pt idx="241">
                  <c:v>8.2196999999999996</c:v>
                </c:pt>
                <c:pt idx="242">
                  <c:v>7.5468999999999999</c:v>
                </c:pt>
                <c:pt idx="243">
                  <c:v>6.8365</c:v>
                </c:pt>
                <c:pt idx="244">
                  <c:v>7.2089999999999996</c:v>
                </c:pt>
                <c:pt idx="245">
                  <c:v>8.3063000000000002</c:v>
                </c:pt>
                <c:pt idx="246">
                  <c:v>6.0008999999999997</c:v>
                </c:pt>
                <c:pt idx="247">
                  <c:v>6.8086000000000002</c:v>
                </c:pt>
                <c:pt idx="248">
                  <c:v>6.3876999999999997</c:v>
                </c:pt>
                <c:pt idx="249">
                  <c:v>6.2110000000000003</c:v>
                </c:pt>
                <c:pt idx="250">
                  <c:v>6.6227999999999998</c:v>
                </c:pt>
                <c:pt idx="251">
                  <c:v>7.8048000000000002</c:v>
                </c:pt>
                <c:pt idx="252">
                  <c:v>7.3102999999999998</c:v>
                </c:pt>
                <c:pt idx="253">
                  <c:v>7.6234000000000002</c:v>
                </c:pt>
                <c:pt idx="254">
                  <c:v>8.0952999999999999</c:v>
                </c:pt>
                <c:pt idx="255">
                  <c:v>8.8962000000000003</c:v>
                </c:pt>
                <c:pt idx="256">
                  <c:v>8.1164000000000005</c:v>
                </c:pt>
                <c:pt idx="257">
                  <c:v>8.7863000000000007</c:v>
                </c:pt>
                <c:pt idx="258">
                  <c:v>8.7749000000000006</c:v>
                </c:pt>
                <c:pt idx="259">
                  <c:v>7.0174000000000003</c:v>
                </c:pt>
                <c:pt idx="260">
                  <c:v>6.8369</c:v>
                </c:pt>
                <c:pt idx="261">
                  <c:v>7.3259999999999996</c:v>
                </c:pt>
                <c:pt idx="262">
                  <c:v>6.2367999999999997</c:v>
                </c:pt>
                <c:pt idx="263">
                  <c:v>6.2435999999999998</c:v>
                </c:pt>
                <c:pt idx="264">
                  <c:v>5.8052000000000001</c:v>
                </c:pt>
                <c:pt idx="265">
                  <c:v>6.8327</c:v>
                </c:pt>
                <c:pt idx="266">
                  <c:v>6.819</c:v>
                </c:pt>
                <c:pt idx="267">
                  <c:v>6.4901999999999997</c:v>
                </c:pt>
                <c:pt idx="268">
                  <c:v>6.7847999999999997</c:v>
                </c:pt>
                <c:pt idx="269">
                  <c:v>6.9423000000000004</c:v>
                </c:pt>
                <c:pt idx="270">
                  <c:v>7.2027000000000001</c:v>
                </c:pt>
                <c:pt idx="271">
                  <c:v>6.8327</c:v>
                </c:pt>
                <c:pt idx="272">
                  <c:v>6.2984</c:v>
                </c:pt>
                <c:pt idx="273">
                  <c:v>5.5168999999999997</c:v>
                </c:pt>
                <c:pt idx="274">
                  <c:v>5.6284000000000001</c:v>
                </c:pt>
                <c:pt idx="275">
                  <c:v>5.7751000000000001</c:v>
                </c:pt>
                <c:pt idx="276">
                  <c:v>5.9512</c:v>
                </c:pt>
                <c:pt idx="277">
                  <c:v>6.0803000000000003</c:v>
                </c:pt>
                <c:pt idx="278">
                  <c:v>6.1976000000000004</c:v>
                </c:pt>
                <c:pt idx="279">
                  <c:v>7.0308000000000002</c:v>
                </c:pt>
                <c:pt idx="280">
                  <c:v>7.5823999999999998</c:v>
                </c:pt>
                <c:pt idx="281">
                  <c:v>7.6059000000000001</c:v>
                </c:pt>
                <c:pt idx="282">
                  <c:v>7.0073999999999996</c:v>
                </c:pt>
                <c:pt idx="283">
                  <c:v>7.4767999999999999</c:v>
                </c:pt>
                <c:pt idx="284">
                  <c:v>7.6059000000000001</c:v>
                </c:pt>
                <c:pt idx="285">
                  <c:v>8.1692</c:v>
                </c:pt>
                <c:pt idx="286">
                  <c:v>6.2904</c:v>
                </c:pt>
                <c:pt idx="287">
                  <c:v>6.1966999999999999</c:v>
                </c:pt>
                <c:pt idx="288">
                  <c:v>5.4042000000000003</c:v>
                </c:pt>
                <c:pt idx="289">
                  <c:v>5.4298000000000002</c:v>
                </c:pt>
                <c:pt idx="290">
                  <c:v>5.4298000000000002</c:v>
                </c:pt>
                <c:pt idx="291">
                  <c:v>5.0548000000000002</c:v>
                </c:pt>
                <c:pt idx="292">
                  <c:v>5.319</c:v>
                </c:pt>
                <c:pt idx="293">
                  <c:v>5.3274999999999997</c:v>
                </c:pt>
                <c:pt idx="294">
                  <c:v>4.8418000000000001</c:v>
                </c:pt>
                <c:pt idx="295">
                  <c:v>4.9099000000000004</c:v>
                </c:pt>
                <c:pt idx="296">
                  <c:v>5.4638</c:v>
                </c:pt>
                <c:pt idx="297">
                  <c:v>5.7365000000000004</c:v>
                </c:pt>
                <c:pt idx="298">
                  <c:v>5.7450999999999999</c:v>
                </c:pt>
                <c:pt idx="299">
                  <c:v>4.6801000000000004</c:v>
                </c:pt>
                <c:pt idx="300">
                  <c:v>5.0157999999999996</c:v>
                </c:pt>
                <c:pt idx="301">
                  <c:v>4.7717000000000001</c:v>
                </c:pt>
                <c:pt idx="302">
                  <c:v>4.6877000000000004</c:v>
                </c:pt>
                <c:pt idx="303">
                  <c:v>4.5274999999999999</c:v>
                </c:pt>
                <c:pt idx="304">
                  <c:v>4.8479999999999999</c:v>
                </c:pt>
                <c:pt idx="305">
                  <c:v>5.4202000000000004</c:v>
                </c:pt>
                <c:pt idx="306">
                  <c:v>5.4202000000000004</c:v>
                </c:pt>
                <c:pt idx="307">
                  <c:v>5.0692000000000004</c:v>
                </c:pt>
                <c:pt idx="308">
                  <c:v>4.7945000000000002</c:v>
                </c:pt>
                <c:pt idx="309">
                  <c:v>4.8022</c:v>
                </c:pt>
                <c:pt idx="310">
                  <c:v>4.97</c:v>
                </c:pt>
                <c:pt idx="311">
                  <c:v>4.7106000000000003</c:v>
                </c:pt>
                <c:pt idx="312">
                  <c:v>5.0933000000000002</c:v>
                </c:pt>
                <c:pt idx="313">
                  <c:v>4.7389999999999999</c:v>
                </c:pt>
                <c:pt idx="314">
                  <c:v>5.0707000000000004</c:v>
                </c:pt>
                <c:pt idx="315">
                  <c:v>5.3872</c:v>
                </c:pt>
                <c:pt idx="316">
                  <c:v>5.8094000000000001</c:v>
                </c:pt>
                <c:pt idx="317">
                  <c:v>5.6887999999999996</c:v>
                </c:pt>
                <c:pt idx="318">
                  <c:v>5.5380000000000003</c:v>
                </c:pt>
                <c:pt idx="319">
                  <c:v>5.5907999999999998</c:v>
                </c:pt>
                <c:pt idx="320">
                  <c:v>5.5454999999999997</c:v>
                </c:pt>
                <c:pt idx="321">
                  <c:v>5.4776999999999996</c:v>
                </c:pt>
                <c:pt idx="322">
                  <c:v>4.7427999999999999</c:v>
                </c:pt>
                <c:pt idx="323">
                  <c:v>4.8144</c:v>
                </c:pt>
                <c:pt idx="324">
                  <c:v>4.8483000000000001</c:v>
                </c:pt>
                <c:pt idx="325">
                  <c:v>4.5609000000000002</c:v>
                </c:pt>
                <c:pt idx="326">
                  <c:v>4.7598000000000003</c:v>
                </c:pt>
                <c:pt idx="327">
                  <c:v>4.8574000000000002</c:v>
                </c:pt>
                <c:pt idx="328">
                  <c:v>5.0129000000000001</c:v>
                </c:pt>
                <c:pt idx="329">
                  <c:v>6.7053000000000003</c:v>
                </c:pt>
                <c:pt idx="330">
                  <c:v>6.0110000000000001</c:v>
                </c:pt>
                <c:pt idx="331">
                  <c:v>6.5750999999999999</c:v>
                </c:pt>
                <c:pt idx="332">
                  <c:v>6.3798000000000004</c:v>
                </c:pt>
                <c:pt idx="333">
                  <c:v>6.5498000000000003</c:v>
                </c:pt>
                <c:pt idx="334">
                  <c:v>6.7884000000000002</c:v>
                </c:pt>
                <c:pt idx="335">
                  <c:v>6.8643999999999998</c:v>
                </c:pt>
                <c:pt idx="336">
                  <c:v>6.9259000000000004</c:v>
                </c:pt>
                <c:pt idx="337">
                  <c:v>6.7704000000000004</c:v>
                </c:pt>
                <c:pt idx="338">
                  <c:v>7.0612000000000004</c:v>
                </c:pt>
                <c:pt idx="339">
                  <c:v>6.8007999999999997</c:v>
                </c:pt>
                <c:pt idx="340">
                  <c:v>6.4649000000000001</c:v>
                </c:pt>
                <c:pt idx="341">
                  <c:v>7.3198999999999996</c:v>
                </c:pt>
                <c:pt idx="342">
                  <c:v>7.5708000000000002</c:v>
                </c:pt>
                <c:pt idx="343">
                  <c:v>6.9414999999999996</c:v>
                </c:pt>
                <c:pt idx="344">
                  <c:v>6.7423999999999999</c:v>
                </c:pt>
                <c:pt idx="345">
                  <c:v>6.8697999999999997</c:v>
                </c:pt>
                <c:pt idx="346">
                  <c:v>6.6946000000000003</c:v>
                </c:pt>
                <c:pt idx="347">
                  <c:v>6.7542999999999997</c:v>
                </c:pt>
                <c:pt idx="348">
                  <c:v>7.1087999999999996</c:v>
                </c:pt>
                <c:pt idx="349">
                  <c:v>7.5030999999999999</c:v>
                </c:pt>
                <c:pt idx="350">
                  <c:v>7.9492000000000003</c:v>
                </c:pt>
                <c:pt idx="351">
                  <c:v>7.6917999999999997</c:v>
                </c:pt>
                <c:pt idx="352">
                  <c:v>7.2697000000000003</c:v>
                </c:pt>
                <c:pt idx="353">
                  <c:v>6.7092999999999998</c:v>
                </c:pt>
                <c:pt idx="354">
                  <c:v>6.8326000000000002</c:v>
                </c:pt>
                <c:pt idx="355">
                  <c:v>6.9184999999999999</c:v>
                </c:pt>
                <c:pt idx="356">
                  <c:v>6.6421000000000001</c:v>
                </c:pt>
                <c:pt idx="357">
                  <c:v>6.6083999999999996</c:v>
                </c:pt>
                <c:pt idx="358">
                  <c:v>6.5598999999999998</c:v>
                </c:pt>
                <c:pt idx="359">
                  <c:v>6.8960999999999997</c:v>
                </c:pt>
                <c:pt idx="360">
                  <c:v>6.7466999999999997</c:v>
                </c:pt>
                <c:pt idx="361">
                  <c:v>7.4602000000000004</c:v>
                </c:pt>
                <c:pt idx="362">
                  <c:v>7.3406000000000002</c:v>
                </c:pt>
                <c:pt idx="363">
                  <c:v>6.9596</c:v>
                </c:pt>
                <c:pt idx="364">
                  <c:v>6.0831</c:v>
                </c:pt>
                <c:pt idx="365">
                  <c:v>6.3670999999999998</c:v>
                </c:pt>
                <c:pt idx="366">
                  <c:v>6.2073999999999998</c:v>
                </c:pt>
                <c:pt idx="367">
                  <c:v>6.4878</c:v>
                </c:pt>
                <c:pt idx="368">
                  <c:v>6.6901000000000002</c:v>
                </c:pt>
                <c:pt idx="369">
                  <c:v>6.0406000000000004</c:v>
                </c:pt>
                <c:pt idx="370">
                  <c:v>5.8524000000000003</c:v>
                </c:pt>
                <c:pt idx="371">
                  <c:v>5.8986000000000001</c:v>
                </c:pt>
                <c:pt idx="372">
                  <c:v>5.9518000000000004</c:v>
                </c:pt>
                <c:pt idx="373">
                  <c:v>6.0583</c:v>
                </c:pt>
                <c:pt idx="374">
                  <c:v>6.3102999999999998</c:v>
                </c:pt>
                <c:pt idx="375">
                  <c:v>5.9837999999999996</c:v>
                </c:pt>
                <c:pt idx="376">
                  <c:v>5.6890999999999998</c:v>
                </c:pt>
                <c:pt idx="377">
                  <c:v>5.3093000000000004</c:v>
                </c:pt>
                <c:pt idx="378">
                  <c:v>5.4762000000000004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1-403E-9372-8D36C83E3BC5}"/>
            </c:ext>
          </c:extLst>
        </c:ser>
        <c:ser>
          <c:idx val="3"/>
          <c:order val="2"/>
          <c:tx>
            <c:strRef>
              <c:f>Base!$AK$4</c:f>
              <c:strCache>
                <c:ptCount val="1"/>
                <c:pt idx="0">
                  <c:v>TRAN AR Equity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Base!$A$7:$A$2000</c:f>
              <c:numCache>
                <c:formatCode>m/d/yyyy</c:formatCode>
                <c:ptCount val="1994"/>
                <c:pt idx="0">
                  <c:v>43658</c:v>
                </c:pt>
                <c:pt idx="1">
                  <c:v>43665</c:v>
                </c:pt>
                <c:pt idx="2">
                  <c:v>43672</c:v>
                </c:pt>
                <c:pt idx="3">
                  <c:v>43679</c:v>
                </c:pt>
                <c:pt idx="4">
                  <c:v>43686</c:v>
                </c:pt>
                <c:pt idx="5">
                  <c:v>43693</c:v>
                </c:pt>
                <c:pt idx="6">
                  <c:v>43700</c:v>
                </c:pt>
                <c:pt idx="7">
                  <c:v>43707</c:v>
                </c:pt>
                <c:pt idx="8">
                  <c:v>43714</c:v>
                </c:pt>
                <c:pt idx="9">
                  <c:v>43721</c:v>
                </c:pt>
                <c:pt idx="10">
                  <c:v>43728</c:v>
                </c:pt>
                <c:pt idx="11">
                  <c:v>43735</c:v>
                </c:pt>
                <c:pt idx="12">
                  <c:v>43742</c:v>
                </c:pt>
                <c:pt idx="13">
                  <c:v>43749</c:v>
                </c:pt>
                <c:pt idx="14">
                  <c:v>43756</c:v>
                </c:pt>
                <c:pt idx="15">
                  <c:v>43763</c:v>
                </c:pt>
                <c:pt idx="16">
                  <c:v>43770</c:v>
                </c:pt>
                <c:pt idx="17">
                  <c:v>43777</c:v>
                </c:pt>
                <c:pt idx="18">
                  <c:v>43784</c:v>
                </c:pt>
                <c:pt idx="19">
                  <c:v>43791</c:v>
                </c:pt>
                <c:pt idx="20">
                  <c:v>43798</c:v>
                </c:pt>
                <c:pt idx="21">
                  <c:v>43805</c:v>
                </c:pt>
                <c:pt idx="22">
                  <c:v>43812</c:v>
                </c:pt>
                <c:pt idx="23">
                  <c:v>43819</c:v>
                </c:pt>
                <c:pt idx="24">
                  <c:v>43826</c:v>
                </c:pt>
                <c:pt idx="25">
                  <c:v>43833</c:v>
                </c:pt>
                <c:pt idx="26">
                  <c:v>43840</c:v>
                </c:pt>
                <c:pt idx="27">
                  <c:v>43847</c:v>
                </c:pt>
                <c:pt idx="28">
                  <c:v>43854</c:v>
                </c:pt>
                <c:pt idx="29">
                  <c:v>43861</c:v>
                </c:pt>
                <c:pt idx="30">
                  <c:v>43868</c:v>
                </c:pt>
                <c:pt idx="31">
                  <c:v>43875</c:v>
                </c:pt>
                <c:pt idx="32">
                  <c:v>43882</c:v>
                </c:pt>
                <c:pt idx="33">
                  <c:v>43889</c:v>
                </c:pt>
                <c:pt idx="34">
                  <c:v>43896</c:v>
                </c:pt>
                <c:pt idx="35">
                  <c:v>43903</c:v>
                </c:pt>
                <c:pt idx="36">
                  <c:v>43910</c:v>
                </c:pt>
                <c:pt idx="37">
                  <c:v>43917</c:v>
                </c:pt>
                <c:pt idx="38">
                  <c:v>43924</c:v>
                </c:pt>
                <c:pt idx="39">
                  <c:v>43931</c:v>
                </c:pt>
                <c:pt idx="40">
                  <c:v>43938</c:v>
                </c:pt>
                <c:pt idx="41">
                  <c:v>43945</c:v>
                </c:pt>
                <c:pt idx="42">
                  <c:v>43952</c:v>
                </c:pt>
                <c:pt idx="43">
                  <c:v>43959</c:v>
                </c:pt>
                <c:pt idx="44">
                  <c:v>43966</c:v>
                </c:pt>
                <c:pt idx="45">
                  <c:v>43973</c:v>
                </c:pt>
                <c:pt idx="46">
                  <c:v>43980</c:v>
                </c:pt>
                <c:pt idx="47">
                  <c:v>43987</c:v>
                </c:pt>
                <c:pt idx="48">
                  <c:v>43994</c:v>
                </c:pt>
                <c:pt idx="49">
                  <c:v>44001</c:v>
                </c:pt>
                <c:pt idx="50">
                  <c:v>44008</c:v>
                </c:pt>
                <c:pt idx="51">
                  <c:v>44015</c:v>
                </c:pt>
                <c:pt idx="52">
                  <c:v>44022</c:v>
                </c:pt>
                <c:pt idx="53">
                  <c:v>44029</c:v>
                </c:pt>
                <c:pt idx="54">
                  <c:v>44036</c:v>
                </c:pt>
                <c:pt idx="55">
                  <c:v>44043</c:v>
                </c:pt>
                <c:pt idx="56">
                  <c:v>44050</c:v>
                </c:pt>
                <c:pt idx="57">
                  <c:v>44057</c:v>
                </c:pt>
                <c:pt idx="58">
                  <c:v>44064</c:v>
                </c:pt>
                <c:pt idx="59">
                  <c:v>44071</c:v>
                </c:pt>
                <c:pt idx="60">
                  <c:v>44078</c:v>
                </c:pt>
                <c:pt idx="61">
                  <c:v>44085</c:v>
                </c:pt>
                <c:pt idx="62">
                  <c:v>44092</c:v>
                </c:pt>
                <c:pt idx="63">
                  <c:v>44099</c:v>
                </c:pt>
                <c:pt idx="64">
                  <c:v>44106</c:v>
                </c:pt>
                <c:pt idx="65">
                  <c:v>44113</c:v>
                </c:pt>
                <c:pt idx="66">
                  <c:v>44120</c:v>
                </c:pt>
                <c:pt idx="67">
                  <c:v>44127</c:v>
                </c:pt>
                <c:pt idx="68">
                  <c:v>44134</c:v>
                </c:pt>
                <c:pt idx="69">
                  <c:v>44141</c:v>
                </c:pt>
                <c:pt idx="70">
                  <c:v>44148</c:v>
                </c:pt>
                <c:pt idx="71">
                  <c:v>44155</c:v>
                </c:pt>
                <c:pt idx="72">
                  <c:v>44162</c:v>
                </c:pt>
                <c:pt idx="73">
                  <c:v>44169</c:v>
                </c:pt>
                <c:pt idx="74">
                  <c:v>44176</c:v>
                </c:pt>
                <c:pt idx="75">
                  <c:v>44183</c:v>
                </c:pt>
                <c:pt idx="76">
                  <c:v>44190</c:v>
                </c:pt>
                <c:pt idx="77">
                  <c:v>44197</c:v>
                </c:pt>
                <c:pt idx="78">
                  <c:v>44204</c:v>
                </c:pt>
                <c:pt idx="79">
                  <c:v>44211</c:v>
                </c:pt>
                <c:pt idx="80">
                  <c:v>44218</c:v>
                </c:pt>
                <c:pt idx="81">
                  <c:v>44225</c:v>
                </c:pt>
                <c:pt idx="82">
                  <c:v>44232</c:v>
                </c:pt>
                <c:pt idx="83">
                  <c:v>44239</c:v>
                </c:pt>
                <c:pt idx="84">
                  <c:v>44246</c:v>
                </c:pt>
                <c:pt idx="85">
                  <c:v>44253</c:v>
                </c:pt>
                <c:pt idx="86">
                  <c:v>44260</c:v>
                </c:pt>
                <c:pt idx="87">
                  <c:v>44267</c:v>
                </c:pt>
                <c:pt idx="88">
                  <c:v>44274</c:v>
                </c:pt>
                <c:pt idx="89">
                  <c:v>44281</c:v>
                </c:pt>
                <c:pt idx="90">
                  <c:v>44288</c:v>
                </c:pt>
                <c:pt idx="91">
                  <c:v>44295</c:v>
                </c:pt>
                <c:pt idx="92">
                  <c:v>44302</c:v>
                </c:pt>
                <c:pt idx="93">
                  <c:v>44309</c:v>
                </c:pt>
                <c:pt idx="94">
                  <c:v>44316</c:v>
                </c:pt>
                <c:pt idx="95">
                  <c:v>44323</c:v>
                </c:pt>
                <c:pt idx="96">
                  <c:v>44330</c:v>
                </c:pt>
                <c:pt idx="97">
                  <c:v>44337</c:v>
                </c:pt>
                <c:pt idx="98">
                  <c:v>44344</c:v>
                </c:pt>
                <c:pt idx="99">
                  <c:v>44351</c:v>
                </c:pt>
                <c:pt idx="100">
                  <c:v>44358</c:v>
                </c:pt>
                <c:pt idx="101">
                  <c:v>44365</c:v>
                </c:pt>
                <c:pt idx="102">
                  <c:v>44372</c:v>
                </c:pt>
                <c:pt idx="103">
                  <c:v>44379</c:v>
                </c:pt>
                <c:pt idx="104">
                  <c:v>44386</c:v>
                </c:pt>
                <c:pt idx="105">
                  <c:v>44393</c:v>
                </c:pt>
                <c:pt idx="106">
                  <c:v>44400</c:v>
                </c:pt>
                <c:pt idx="107">
                  <c:v>44407</c:v>
                </c:pt>
                <c:pt idx="108">
                  <c:v>44414</c:v>
                </c:pt>
                <c:pt idx="109">
                  <c:v>44421</c:v>
                </c:pt>
                <c:pt idx="110">
                  <c:v>44428</c:v>
                </c:pt>
                <c:pt idx="111">
                  <c:v>44435</c:v>
                </c:pt>
                <c:pt idx="112">
                  <c:v>44442</c:v>
                </c:pt>
                <c:pt idx="113">
                  <c:v>44449</c:v>
                </c:pt>
                <c:pt idx="114">
                  <c:v>44456</c:v>
                </c:pt>
                <c:pt idx="115">
                  <c:v>44463</c:v>
                </c:pt>
                <c:pt idx="116">
                  <c:v>44470</c:v>
                </c:pt>
                <c:pt idx="117">
                  <c:v>44477</c:v>
                </c:pt>
                <c:pt idx="118">
                  <c:v>44484</c:v>
                </c:pt>
                <c:pt idx="119">
                  <c:v>44491</c:v>
                </c:pt>
                <c:pt idx="120">
                  <c:v>44498</c:v>
                </c:pt>
                <c:pt idx="121">
                  <c:v>44505</c:v>
                </c:pt>
                <c:pt idx="122">
                  <c:v>44512</c:v>
                </c:pt>
                <c:pt idx="123">
                  <c:v>44519</c:v>
                </c:pt>
                <c:pt idx="124">
                  <c:v>44526</c:v>
                </c:pt>
                <c:pt idx="125">
                  <c:v>44533</c:v>
                </c:pt>
                <c:pt idx="126">
                  <c:v>44540</c:v>
                </c:pt>
                <c:pt idx="127">
                  <c:v>44547</c:v>
                </c:pt>
                <c:pt idx="128">
                  <c:v>44554</c:v>
                </c:pt>
                <c:pt idx="129">
                  <c:v>44561</c:v>
                </c:pt>
                <c:pt idx="130">
                  <c:v>44568</c:v>
                </c:pt>
                <c:pt idx="131">
                  <c:v>44575</c:v>
                </c:pt>
                <c:pt idx="132">
                  <c:v>44582</c:v>
                </c:pt>
                <c:pt idx="133">
                  <c:v>44589</c:v>
                </c:pt>
                <c:pt idx="134">
                  <c:v>44596</c:v>
                </c:pt>
                <c:pt idx="135">
                  <c:v>44603</c:v>
                </c:pt>
                <c:pt idx="136">
                  <c:v>44610</c:v>
                </c:pt>
                <c:pt idx="137">
                  <c:v>44617</c:v>
                </c:pt>
                <c:pt idx="138">
                  <c:v>44624</c:v>
                </c:pt>
                <c:pt idx="139">
                  <c:v>44631</c:v>
                </c:pt>
                <c:pt idx="140">
                  <c:v>44638</c:v>
                </c:pt>
                <c:pt idx="141">
                  <c:v>44645</c:v>
                </c:pt>
                <c:pt idx="142">
                  <c:v>44652</c:v>
                </c:pt>
                <c:pt idx="143">
                  <c:v>44659</c:v>
                </c:pt>
                <c:pt idx="144">
                  <c:v>44666</c:v>
                </c:pt>
                <c:pt idx="145">
                  <c:v>44673</c:v>
                </c:pt>
                <c:pt idx="146">
                  <c:v>44680</c:v>
                </c:pt>
                <c:pt idx="147">
                  <c:v>44687</c:v>
                </c:pt>
                <c:pt idx="148">
                  <c:v>44694</c:v>
                </c:pt>
                <c:pt idx="149">
                  <c:v>44701</c:v>
                </c:pt>
                <c:pt idx="150">
                  <c:v>44708</c:v>
                </c:pt>
                <c:pt idx="151">
                  <c:v>44715</c:v>
                </c:pt>
                <c:pt idx="152">
                  <c:v>44722</c:v>
                </c:pt>
                <c:pt idx="153">
                  <c:v>44729</c:v>
                </c:pt>
                <c:pt idx="154">
                  <c:v>44736</c:v>
                </c:pt>
                <c:pt idx="155">
                  <c:v>44743</c:v>
                </c:pt>
                <c:pt idx="156">
                  <c:v>44750</c:v>
                </c:pt>
                <c:pt idx="157">
                  <c:v>44757</c:v>
                </c:pt>
                <c:pt idx="158">
                  <c:v>44764</c:v>
                </c:pt>
                <c:pt idx="159">
                  <c:v>44771</c:v>
                </c:pt>
                <c:pt idx="160">
                  <c:v>44778</c:v>
                </c:pt>
                <c:pt idx="161">
                  <c:v>44785</c:v>
                </c:pt>
                <c:pt idx="162">
                  <c:v>44792</c:v>
                </c:pt>
                <c:pt idx="163">
                  <c:v>44799</c:v>
                </c:pt>
                <c:pt idx="164">
                  <c:v>44806</c:v>
                </c:pt>
                <c:pt idx="165">
                  <c:v>44813</c:v>
                </c:pt>
                <c:pt idx="166">
                  <c:v>44820</c:v>
                </c:pt>
                <c:pt idx="167">
                  <c:v>44827</c:v>
                </c:pt>
                <c:pt idx="168">
                  <c:v>44834</c:v>
                </c:pt>
                <c:pt idx="169">
                  <c:v>44841</c:v>
                </c:pt>
                <c:pt idx="170">
                  <c:v>44848</c:v>
                </c:pt>
                <c:pt idx="171">
                  <c:v>44855</c:v>
                </c:pt>
                <c:pt idx="172">
                  <c:v>44862</c:v>
                </c:pt>
                <c:pt idx="173">
                  <c:v>44869</c:v>
                </c:pt>
                <c:pt idx="174">
                  <c:v>44876</c:v>
                </c:pt>
                <c:pt idx="175">
                  <c:v>44883</c:v>
                </c:pt>
                <c:pt idx="176">
                  <c:v>44890</c:v>
                </c:pt>
                <c:pt idx="177">
                  <c:v>44897</c:v>
                </c:pt>
                <c:pt idx="178">
                  <c:v>44904</c:v>
                </c:pt>
                <c:pt idx="179">
                  <c:v>44911</c:v>
                </c:pt>
                <c:pt idx="180">
                  <c:v>44918</c:v>
                </c:pt>
                <c:pt idx="181">
                  <c:v>44925</c:v>
                </c:pt>
                <c:pt idx="182">
                  <c:v>44932</c:v>
                </c:pt>
                <c:pt idx="183">
                  <c:v>44939</c:v>
                </c:pt>
                <c:pt idx="184">
                  <c:v>44946</c:v>
                </c:pt>
                <c:pt idx="185">
                  <c:v>44953</c:v>
                </c:pt>
                <c:pt idx="186">
                  <c:v>44960</c:v>
                </c:pt>
                <c:pt idx="187">
                  <c:v>44967</c:v>
                </c:pt>
                <c:pt idx="188">
                  <c:v>44974</c:v>
                </c:pt>
                <c:pt idx="189">
                  <c:v>44981</c:v>
                </c:pt>
                <c:pt idx="190">
                  <c:v>44988</c:v>
                </c:pt>
                <c:pt idx="191">
                  <c:v>44995</c:v>
                </c:pt>
                <c:pt idx="192">
                  <c:v>45002</c:v>
                </c:pt>
                <c:pt idx="193">
                  <c:v>45009</c:v>
                </c:pt>
                <c:pt idx="194">
                  <c:v>45016</c:v>
                </c:pt>
                <c:pt idx="195">
                  <c:v>45023</c:v>
                </c:pt>
                <c:pt idx="196">
                  <c:v>45030</c:v>
                </c:pt>
                <c:pt idx="197">
                  <c:v>45037</c:v>
                </c:pt>
                <c:pt idx="198">
                  <c:v>45044</c:v>
                </c:pt>
                <c:pt idx="199">
                  <c:v>45051</c:v>
                </c:pt>
                <c:pt idx="200">
                  <c:v>45058</c:v>
                </c:pt>
                <c:pt idx="201">
                  <c:v>45065</c:v>
                </c:pt>
                <c:pt idx="202">
                  <c:v>45072</c:v>
                </c:pt>
                <c:pt idx="203">
                  <c:v>45079</c:v>
                </c:pt>
                <c:pt idx="204">
                  <c:v>45086</c:v>
                </c:pt>
                <c:pt idx="205">
                  <c:v>45093</c:v>
                </c:pt>
                <c:pt idx="206">
                  <c:v>45100</c:v>
                </c:pt>
                <c:pt idx="207">
                  <c:v>45107</c:v>
                </c:pt>
                <c:pt idx="208">
                  <c:v>45114</c:v>
                </c:pt>
                <c:pt idx="209">
                  <c:v>45121</c:v>
                </c:pt>
                <c:pt idx="210">
                  <c:v>45128</c:v>
                </c:pt>
                <c:pt idx="211">
                  <c:v>45135</c:v>
                </c:pt>
                <c:pt idx="212">
                  <c:v>45142</c:v>
                </c:pt>
                <c:pt idx="213">
                  <c:v>45149</c:v>
                </c:pt>
                <c:pt idx="214">
                  <c:v>45156</c:v>
                </c:pt>
                <c:pt idx="215">
                  <c:v>45163</c:v>
                </c:pt>
                <c:pt idx="216">
                  <c:v>45170</c:v>
                </c:pt>
                <c:pt idx="217">
                  <c:v>45177</c:v>
                </c:pt>
                <c:pt idx="218">
                  <c:v>45184</c:v>
                </c:pt>
                <c:pt idx="219">
                  <c:v>45191</c:v>
                </c:pt>
                <c:pt idx="220">
                  <c:v>45198</c:v>
                </c:pt>
                <c:pt idx="221">
                  <c:v>45205</c:v>
                </c:pt>
                <c:pt idx="222">
                  <c:v>45212</c:v>
                </c:pt>
                <c:pt idx="223">
                  <c:v>45219</c:v>
                </c:pt>
                <c:pt idx="224">
                  <c:v>45226</c:v>
                </c:pt>
                <c:pt idx="225">
                  <c:v>45233</c:v>
                </c:pt>
                <c:pt idx="226">
                  <c:v>45240</c:v>
                </c:pt>
                <c:pt idx="227">
                  <c:v>45247</c:v>
                </c:pt>
                <c:pt idx="228">
                  <c:v>45254</c:v>
                </c:pt>
                <c:pt idx="229">
                  <c:v>45261</c:v>
                </c:pt>
                <c:pt idx="230">
                  <c:v>45268</c:v>
                </c:pt>
                <c:pt idx="231">
                  <c:v>45275</c:v>
                </c:pt>
                <c:pt idx="232">
                  <c:v>45282</c:v>
                </c:pt>
                <c:pt idx="233">
                  <c:v>45289</c:v>
                </c:pt>
                <c:pt idx="234">
                  <c:v>45296</c:v>
                </c:pt>
                <c:pt idx="235">
                  <c:v>45303</c:v>
                </c:pt>
                <c:pt idx="236">
                  <c:v>45310</c:v>
                </c:pt>
                <c:pt idx="237">
                  <c:v>45317</c:v>
                </c:pt>
                <c:pt idx="238">
                  <c:v>45324</c:v>
                </c:pt>
                <c:pt idx="239">
                  <c:v>45331</c:v>
                </c:pt>
                <c:pt idx="240">
                  <c:v>45338</c:v>
                </c:pt>
                <c:pt idx="241">
                  <c:v>45345</c:v>
                </c:pt>
                <c:pt idx="242">
                  <c:v>45352</c:v>
                </c:pt>
                <c:pt idx="243">
                  <c:v>45359</c:v>
                </c:pt>
                <c:pt idx="244">
                  <c:v>45366</c:v>
                </c:pt>
                <c:pt idx="245">
                  <c:v>45373</c:v>
                </c:pt>
                <c:pt idx="246">
                  <c:v>45380</c:v>
                </c:pt>
                <c:pt idx="247">
                  <c:v>45387</c:v>
                </c:pt>
                <c:pt idx="248">
                  <c:v>45394</c:v>
                </c:pt>
                <c:pt idx="249">
                  <c:v>45401</c:v>
                </c:pt>
                <c:pt idx="250">
                  <c:v>45408</c:v>
                </c:pt>
                <c:pt idx="251">
                  <c:v>45415</c:v>
                </c:pt>
                <c:pt idx="252">
                  <c:v>45422</c:v>
                </c:pt>
                <c:pt idx="253">
                  <c:v>45429</c:v>
                </c:pt>
                <c:pt idx="254">
                  <c:v>45436</c:v>
                </c:pt>
                <c:pt idx="255">
                  <c:v>45443</c:v>
                </c:pt>
                <c:pt idx="256">
                  <c:v>45450</c:v>
                </c:pt>
                <c:pt idx="257">
                  <c:v>45457</c:v>
                </c:pt>
                <c:pt idx="258">
                  <c:v>45464</c:v>
                </c:pt>
                <c:pt idx="259">
                  <c:v>45471</c:v>
                </c:pt>
                <c:pt idx="260">
                  <c:v>45478</c:v>
                </c:pt>
                <c:pt idx="261">
                  <c:v>45485</c:v>
                </c:pt>
                <c:pt idx="262">
                  <c:v>45492</c:v>
                </c:pt>
                <c:pt idx="263">
                  <c:v>45499</c:v>
                </c:pt>
                <c:pt idx="264">
                  <c:v>45506</c:v>
                </c:pt>
                <c:pt idx="265">
                  <c:v>45513</c:v>
                </c:pt>
                <c:pt idx="266">
                  <c:v>45520</c:v>
                </c:pt>
                <c:pt idx="267">
                  <c:v>45527</c:v>
                </c:pt>
                <c:pt idx="268">
                  <c:v>45534</c:v>
                </c:pt>
                <c:pt idx="269">
                  <c:v>45541</c:v>
                </c:pt>
                <c:pt idx="270">
                  <c:v>45548</c:v>
                </c:pt>
                <c:pt idx="271">
                  <c:v>45555</c:v>
                </c:pt>
                <c:pt idx="272">
                  <c:v>45562</c:v>
                </c:pt>
                <c:pt idx="273">
                  <c:v>45569</c:v>
                </c:pt>
                <c:pt idx="274">
                  <c:v>45576</c:v>
                </c:pt>
                <c:pt idx="275">
                  <c:v>45583</c:v>
                </c:pt>
                <c:pt idx="276">
                  <c:v>45590</c:v>
                </c:pt>
                <c:pt idx="277">
                  <c:v>45597</c:v>
                </c:pt>
                <c:pt idx="278">
                  <c:v>45604</c:v>
                </c:pt>
                <c:pt idx="279">
                  <c:v>45611</c:v>
                </c:pt>
                <c:pt idx="280">
                  <c:v>45618</c:v>
                </c:pt>
                <c:pt idx="281">
                  <c:v>45625</c:v>
                </c:pt>
                <c:pt idx="282">
                  <c:v>45632</c:v>
                </c:pt>
                <c:pt idx="283">
                  <c:v>45639</c:v>
                </c:pt>
                <c:pt idx="284">
                  <c:v>45646</c:v>
                </c:pt>
                <c:pt idx="285">
                  <c:v>45653</c:v>
                </c:pt>
                <c:pt idx="286">
                  <c:v>45660</c:v>
                </c:pt>
                <c:pt idx="287">
                  <c:v>45667</c:v>
                </c:pt>
                <c:pt idx="288">
                  <c:v>45674</c:v>
                </c:pt>
                <c:pt idx="289">
                  <c:v>45681</c:v>
                </c:pt>
                <c:pt idx="290">
                  <c:v>45688</c:v>
                </c:pt>
                <c:pt idx="291">
                  <c:v>45695</c:v>
                </c:pt>
                <c:pt idx="292">
                  <c:v>45702</c:v>
                </c:pt>
                <c:pt idx="293">
                  <c:v>45709</c:v>
                </c:pt>
                <c:pt idx="294">
                  <c:v>45716</c:v>
                </c:pt>
                <c:pt idx="295">
                  <c:v>45723</c:v>
                </c:pt>
                <c:pt idx="296">
                  <c:v>45730</c:v>
                </c:pt>
                <c:pt idx="297">
                  <c:v>45737</c:v>
                </c:pt>
                <c:pt idx="298">
                  <c:v>45744</c:v>
                </c:pt>
                <c:pt idx="299">
                  <c:v>45751</c:v>
                </c:pt>
                <c:pt idx="300">
                  <c:v>45758</c:v>
                </c:pt>
                <c:pt idx="301">
                  <c:v>45765</c:v>
                </c:pt>
                <c:pt idx="302">
                  <c:v>45772</c:v>
                </c:pt>
                <c:pt idx="303">
                  <c:v>45779</c:v>
                </c:pt>
                <c:pt idx="304">
                  <c:v>45786</c:v>
                </c:pt>
                <c:pt idx="305">
                  <c:v>45793</c:v>
                </c:pt>
                <c:pt idx="306">
                  <c:v>45800</c:v>
                </c:pt>
                <c:pt idx="307">
                  <c:v>45807</c:v>
                </c:pt>
                <c:pt idx="308">
                  <c:v>45814</c:v>
                </c:pt>
                <c:pt idx="309">
                  <c:v>45821</c:v>
                </c:pt>
                <c:pt idx="310">
                  <c:v>45828</c:v>
                </c:pt>
                <c:pt idx="311">
                  <c:v>45835</c:v>
                </c:pt>
                <c:pt idx="312">
                  <c:v>45842</c:v>
                </c:pt>
                <c:pt idx="313">
                  <c:v>45849</c:v>
                </c:pt>
                <c:pt idx="314">
                  <c:v>45856</c:v>
                </c:pt>
                <c:pt idx="315">
                  <c:v>45863</c:v>
                </c:pt>
                <c:pt idx="316">
                  <c:v>45870</c:v>
                </c:pt>
                <c:pt idx="317">
                  <c:v>45877</c:v>
                </c:pt>
                <c:pt idx="318">
                  <c:v>45884</c:v>
                </c:pt>
                <c:pt idx="319">
                  <c:v>45891</c:v>
                </c:pt>
                <c:pt idx="320">
                  <c:v>45898</c:v>
                </c:pt>
                <c:pt idx="321">
                  <c:v>45905</c:v>
                </c:pt>
                <c:pt idx="322">
                  <c:v>45912</c:v>
                </c:pt>
                <c:pt idx="323">
                  <c:v>45919</c:v>
                </c:pt>
                <c:pt idx="324">
                  <c:v>45926</c:v>
                </c:pt>
                <c:pt idx="325">
                  <c:v>45933</c:v>
                </c:pt>
                <c:pt idx="326">
                  <c:v>45940</c:v>
                </c:pt>
                <c:pt idx="327">
                  <c:v>45947</c:v>
                </c:pt>
                <c:pt idx="328">
                  <c:v>45954</c:v>
                </c:pt>
                <c:pt idx="329">
                  <c:v>45961</c:v>
                </c:pt>
                <c:pt idx="330">
                  <c:v>45968</c:v>
                </c:pt>
                <c:pt idx="331">
                  <c:v>45975</c:v>
                </c:pt>
                <c:pt idx="332">
                  <c:v>45982</c:v>
                </c:pt>
                <c:pt idx="333">
                  <c:v>45989</c:v>
                </c:pt>
                <c:pt idx="334">
                  <c:v>45996</c:v>
                </c:pt>
                <c:pt idx="335">
                  <c:v>46003</c:v>
                </c:pt>
                <c:pt idx="336">
                  <c:v>46010</c:v>
                </c:pt>
                <c:pt idx="337">
                  <c:v>46017</c:v>
                </c:pt>
                <c:pt idx="338">
                  <c:v>46024</c:v>
                </c:pt>
                <c:pt idx="339">
                  <c:v>46031</c:v>
                </c:pt>
                <c:pt idx="340">
                  <c:v>46038</c:v>
                </c:pt>
                <c:pt idx="341">
                  <c:v>46045</c:v>
                </c:pt>
                <c:pt idx="342">
                  <c:v>46052</c:v>
                </c:pt>
                <c:pt idx="343">
                  <c:v>46059</c:v>
                </c:pt>
                <c:pt idx="344">
                  <c:v>46066</c:v>
                </c:pt>
                <c:pt idx="345">
                  <c:v>46073</c:v>
                </c:pt>
                <c:pt idx="346">
                  <c:v>46080</c:v>
                </c:pt>
                <c:pt idx="347">
                  <c:v>46087</c:v>
                </c:pt>
                <c:pt idx="348">
                  <c:v>46094</c:v>
                </c:pt>
                <c:pt idx="349">
                  <c:v>46101</c:v>
                </c:pt>
                <c:pt idx="350">
                  <c:v>46108</c:v>
                </c:pt>
                <c:pt idx="351">
                  <c:v>46115</c:v>
                </c:pt>
                <c:pt idx="352">
                  <c:v>46122</c:v>
                </c:pt>
                <c:pt idx="353">
                  <c:v>46129</c:v>
                </c:pt>
                <c:pt idx="354">
                  <c:v>46136</c:v>
                </c:pt>
                <c:pt idx="355">
                  <c:v>46143</c:v>
                </c:pt>
                <c:pt idx="356">
                  <c:v>46150</c:v>
                </c:pt>
                <c:pt idx="357">
                  <c:v>46157</c:v>
                </c:pt>
                <c:pt idx="358">
                  <c:v>46164</c:v>
                </c:pt>
                <c:pt idx="359">
                  <c:v>46171</c:v>
                </c:pt>
                <c:pt idx="360">
                  <c:v>46178</c:v>
                </c:pt>
                <c:pt idx="361">
                  <c:v>46185</c:v>
                </c:pt>
                <c:pt idx="362">
                  <c:v>46192</c:v>
                </c:pt>
                <c:pt idx="363">
                  <c:v>46199</c:v>
                </c:pt>
                <c:pt idx="364">
                  <c:v>46206</c:v>
                </c:pt>
                <c:pt idx="365">
                  <c:v>46213</c:v>
                </c:pt>
                <c:pt idx="366">
                  <c:v>46220</c:v>
                </c:pt>
                <c:pt idx="367">
                  <c:v>46227</c:v>
                </c:pt>
                <c:pt idx="368">
                  <c:v>46234</c:v>
                </c:pt>
                <c:pt idx="369">
                  <c:v>46241</c:v>
                </c:pt>
                <c:pt idx="370">
                  <c:v>46248</c:v>
                </c:pt>
                <c:pt idx="371">
                  <c:v>46255</c:v>
                </c:pt>
                <c:pt idx="372">
                  <c:v>46262</c:v>
                </c:pt>
                <c:pt idx="373">
                  <c:v>46269</c:v>
                </c:pt>
                <c:pt idx="374">
                  <c:v>46276</c:v>
                </c:pt>
                <c:pt idx="375">
                  <c:v>46283</c:v>
                </c:pt>
                <c:pt idx="376">
                  <c:v>46290</c:v>
                </c:pt>
                <c:pt idx="377">
                  <c:v>46297</c:v>
                </c:pt>
                <c:pt idx="378">
                  <c:v>46304</c:v>
                </c:pt>
              </c:numCache>
            </c:numRef>
          </c:cat>
          <c:val>
            <c:numRef>
              <c:f>Base!$AK$7:$AK$2000</c:f>
              <c:numCache>
                <c:formatCode>General</c:formatCode>
                <c:ptCount val="1994"/>
                <c:pt idx="0">
                  <c:v>2.2212000000000001</c:v>
                </c:pt>
                <c:pt idx="1">
                  <c:v>2.1101000000000001</c:v>
                </c:pt>
                <c:pt idx="2">
                  <c:v>2.2033999999999998</c:v>
                </c:pt>
                <c:pt idx="3">
                  <c:v>2.2389999999999999</c:v>
                </c:pt>
                <c:pt idx="4">
                  <c:v>2.2812000000000001</c:v>
                </c:pt>
                <c:pt idx="5">
                  <c:v>1.2053</c:v>
                </c:pt>
                <c:pt idx="6">
                  <c:v>1.0808</c:v>
                </c:pt>
                <c:pt idx="7">
                  <c:v>0.9274</c:v>
                </c:pt>
                <c:pt idx="8">
                  <c:v>0.97629999999999995</c:v>
                </c:pt>
                <c:pt idx="9">
                  <c:v>1.2253000000000001</c:v>
                </c:pt>
                <c:pt idx="10">
                  <c:v>1.2208000000000001</c:v>
                </c:pt>
                <c:pt idx="11">
                  <c:v>1.1253</c:v>
                </c:pt>
                <c:pt idx="12">
                  <c:v>1.0521</c:v>
                </c:pt>
                <c:pt idx="13">
                  <c:v>1.0338000000000001</c:v>
                </c:pt>
                <c:pt idx="14">
                  <c:v>0.96450000000000002</c:v>
                </c:pt>
                <c:pt idx="15">
                  <c:v>0.93600000000000005</c:v>
                </c:pt>
                <c:pt idx="16">
                  <c:v>1.0134000000000001</c:v>
                </c:pt>
                <c:pt idx="17">
                  <c:v>1.0215000000000001</c:v>
                </c:pt>
                <c:pt idx="18">
                  <c:v>0.91769999999999996</c:v>
                </c:pt>
                <c:pt idx="19">
                  <c:v>0.9829</c:v>
                </c:pt>
                <c:pt idx="20">
                  <c:v>1.0582</c:v>
                </c:pt>
                <c:pt idx="21">
                  <c:v>1.0765</c:v>
                </c:pt>
                <c:pt idx="22">
                  <c:v>1.0256000000000001</c:v>
                </c:pt>
                <c:pt idx="23">
                  <c:v>1.0561</c:v>
                </c:pt>
                <c:pt idx="24">
                  <c:v>1.2068000000000001</c:v>
                </c:pt>
                <c:pt idx="25">
                  <c:v>1.1049</c:v>
                </c:pt>
                <c:pt idx="26">
                  <c:v>1.1483000000000001</c:v>
                </c:pt>
                <c:pt idx="27">
                  <c:v>1.2824</c:v>
                </c:pt>
                <c:pt idx="28">
                  <c:v>1.2445999999999999</c:v>
                </c:pt>
                <c:pt idx="29">
                  <c:v>1.2692000000000001</c:v>
                </c:pt>
                <c:pt idx="30">
                  <c:v>1.2143999999999999</c:v>
                </c:pt>
                <c:pt idx="31">
                  <c:v>1.0954999999999999</c:v>
                </c:pt>
                <c:pt idx="32">
                  <c:v>1.1144000000000001</c:v>
                </c:pt>
                <c:pt idx="33">
                  <c:v>1.0218</c:v>
                </c:pt>
                <c:pt idx="34">
                  <c:v>1.069</c:v>
                </c:pt>
                <c:pt idx="35">
                  <c:v>0.90859999999999996</c:v>
                </c:pt>
                <c:pt idx="36">
                  <c:v>0.77829999999999999</c:v>
                </c:pt>
                <c:pt idx="37">
                  <c:v>0.79339999999999999</c:v>
                </c:pt>
                <c:pt idx="38">
                  <c:v>0.81410000000000005</c:v>
                </c:pt>
                <c:pt idx="39">
                  <c:v>0.87919999999999998</c:v>
                </c:pt>
                <c:pt idx="40">
                  <c:v>0.86990000000000001</c:v>
                </c:pt>
                <c:pt idx="41">
                  <c:v>0.84570000000000001</c:v>
                </c:pt>
                <c:pt idx="42">
                  <c:v>0.97970000000000002</c:v>
                </c:pt>
                <c:pt idx="43">
                  <c:v>1.1359999999999999</c:v>
                </c:pt>
                <c:pt idx="44">
                  <c:v>1.2178</c:v>
                </c:pt>
                <c:pt idx="45">
                  <c:v>1.1546000000000001</c:v>
                </c:pt>
                <c:pt idx="46">
                  <c:v>1.0857000000000001</c:v>
                </c:pt>
                <c:pt idx="47">
                  <c:v>1.1527000000000001</c:v>
                </c:pt>
                <c:pt idx="48">
                  <c:v>1.0893999999999999</c:v>
                </c:pt>
                <c:pt idx="49">
                  <c:v>1.0448</c:v>
                </c:pt>
                <c:pt idx="50">
                  <c:v>0.98150000000000004</c:v>
                </c:pt>
                <c:pt idx="51">
                  <c:v>0.90249999999999997</c:v>
                </c:pt>
                <c:pt idx="52">
                  <c:v>1.0434000000000001</c:v>
                </c:pt>
                <c:pt idx="53">
                  <c:v>1.0611999999999999</c:v>
                </c:pt>
                <c:pt idx="54">
                  <c:v>1.0701000000000001</c:v>
                </c:pt>
                <c:pt idx="55">
                  <c:v>1.038</c:v>
                </c:pt>
                <c:pt idx="56">
                  <c:v>1.0754999999999999</c:v>
                </c:pt>
                <c:pt idx="57">
                  <c:v>1.0451999999999999</c:v>
                </c:pt>
                <c:pt idx="58">
                  <c:v>1.0434000000000001</c:v>
                </c:pt>
                <c:pt idx="59">
                  <c:v>0.95779999999999998</c:v>
                </c:pt>
                <c:pt idx="60">
                  <c:v>0.92390000000000005</c:v>
                </c:pt>
                <c:pt idx="61">
                  <c:v>0.98809999999999998</c:v>
                </c:pt>
                <c:pt idx="62">
                  <c:v>0.90600000000000003</c:v>
                </c:pt>
                <c:pt idx="63">
                  <c:v>0.97560000000000002</c:v>
                </c:pt>
                <c:pt idx="64">
                  <c:v>0.92569999999999997</c:v>
                </c:pt>
                <c:pt idx="65">
                  <c:v>0.87990000000000002</c:v>
                </c:pt>
                <c:pt idx="66">
                  <c:v>0.94330000000000003</c:v>
                </c:pt>
                <c:pt idx="67">
                  <c:v>1.1035999999999999</c:v>
                </c:pt>
                <c:pt idx="68">
                  <c:v>0.9345</c:v>
                </c:pt>
                <c:pt idx="69">
                  <c:v>1.0331999999999999</c:v>
                </c:pt>
                <c:pt idx="70">
                  <c:v>0.99439999999999995</c:v>
                </c:pt>
                <c:pt idx="71">
                  <c:v>0.94330000000000003</c:v>
                </c:pt>
                <c:pt idx="72">
                  <c:v>1.042</c:v>
                </c:pt>
                <c:pt idx="73">
                  <c:v>1.079</c:v>
                </c:pt>
                <c:pt idx="74">
                  <c:v>1.0684</c:v>
                </c:pt>
                <c:pt idx="75">
                  <c:v>1.0085</c:v>
                </c:pt>
                <c:pt idx="76">
                  <c:v>0.95209999999999995</c:v>
                </c:pt>
                <c:pt idx="77">
                  <c:v>1.1036999999999999</c:v>
                </c:pt>
                <c:pt idx="78">
                  <c:v>1.0478000000000001</c:v>
                </c:pt>
                <c:pt idx="79">
                  <c:v>1.0279</c:v>
                </c:pt>
                <c:pt idx="80">
                  <c:v>1.0199</c:v>
                </c:pt>
                <c:pt idx="81">
                  <c:v>0.99</c:v>
                </c:pt>
                <c:pt idx="82">
                  <c:v>1.0299</c:v>
                </c:pt>
                <c:pt idx="83">
                  <c:v>1.0638000000000001</c:v>
                </c:pt>
                <c:pt idx="84">
                  <c:v>1.0638000000000001</c:v>
                </c:pt>
                <c:pt idx="85">
                  <c:v>0.98799999999999999</c:v>
                </c:pt>
                <c:pt idx="86">
                  <c:v>0.87639999999999996</c:v>
                </c:pt>
                <c:pt idx="87">
                  <c:v>0.93220000000000003</c:v>
                </c:pt>
                <c:pt idx="88">
                  <c:v>0.84250000000000003</c:v>
                </c:pt>
                <c:pt idx="89">
                  <c:v>0.8165</c:v>
                </c:pt>
                <c:pt idx="90">
                  <c:v>0.92330000000000001</c:v>
                </c:pt>
                <c:pt idx="91">
                  <c:v>0.94369999999999998</c:v>
                </c:pt>
                <c:pt idx="92">
                  <c:v>0.91520000000000001</c:v>
                </c:pt>
                <c:pt idx="93">
                  <c:v>0.94579999999999997</c:v>
                </c:pt>
                <c:pt idx="94">
                  <c:v>0.98460000000000003</c:v>
                </c:pt>
                <c:pt idx="95">
                  <c:v>0.99270000000000003</c:v>
                </c:pt>
                <c:pt idx="96">
                  <c:v>1.0008999999999999</c:v>
                </c:pt>
                <c:pt idx="97">
                  <c:v>0.99270000000000003</c:v>
                </c:pt>
                <c:pt idx="98">
                  <c:v>1.0927</c:v>
                </c:pt>
                <c:pt idx="99">
                  <c:v>1.2152000000000001</c:v>
                </c:pt>
                <c:pt idx="100">
                  <c:v>1.2947</c:v>
                </c:pt>
                <c:pt idx="101">
                  <c:v>1.3416999999999999</c:v>
                </c:pt>
                <c:pt idx="102">
                  <c:v>1.3028999999999999</c:v>
                </c:pt>
                <c:pt idx="103">
                  <c:v>1.4695</c:v>
                </c:pt>
                <c:pt idx="104">
                  <c:v>1.4071</c:v>
                </c:pt>
                <c:pt idx="105">
                  <c:v>1.5051000000000001</c:v>
                </c:pt>
                <c:pt idx="106">
                  <c:v>1.5674999999999999</c:v>
                </c:pt>
                <c:pt idx="107">
                  <c:v>1.4805999999999999</c:v>
                </c:pt>
                <c:pt idx="108">
                  <c:v>1.4917</c:v>
                </c:pt>
                <c:pt idx="109">
                  <c:v>1.5385</c:v>
                </c:pt>
                <c:pt idx="110">
                  <c:v>1.4672000000000001</c:v>
                </c:pt>
                <c:pt idx="111">
                  <c:v>1.7924</c:v>
                </c:pt>
                <c:pt idx="112">
                  <c:v>1.857</c:v>
                </c:pt>
                <c:pt idx="113">
                  <c:v>1.8413999999999999</c:v>
                </c:pt>
                <c:pt idx="114">
                  <c:v>2.3557999999999999</c:v>
                </c:pt>
                <c:pt idx="115">
                  <c:v>2.1909999999999998</c:v>
                </c:pt>
                <c:pt idx="116">
                  <c:v>2.1215999999999999</c:v>
                </c:pt>
                <c:pt idx="117">
                  <c:v>2.2050999999999998</c:v>
                </c:pt>
                <c:pt idx="118">
                  <c:v>2.3675999999999999</c:v>
                </c:pt>
                <c:pt idx="119">
                  <c:v>2.9289999999999998</c:v>
                </c:pt>
                <c:pt idx="120">
                  <c:v>2.6274000000000002</c:v>
                </c:pt>
                <c:pt idx="121">
                  <c:v>2.8037999999999998</c:v>
                </c:pt>
                <c:pt idx="122">
                  <c:v>2.6181000000000001</c:v>
                </c:pt>
                <c:pt idx="123">
                  <c:v>2.3815</c:v>
                </c:pt>
                <c:pt idx="124">
                  <c:v>2.3165</c:v>
                </c:pt>
                <c:pt idx="125">
                  <c:v>2.5392000000000001</c:v>
                </c:pt>
                <c:pt idx="126">
                  <c:v>2.5996000000000001</c:v>
                </c:pt>
                <c:pt idx="127">
                  <c:v>2.4047000000000001</c:v>
                </c:pt>
                <c:pt idx="128">
                  <c:v>2.3304</c:v>
                </c:pt>
                <c:pt idx="129">
                  <c:v>1.8354999999999999</c:v>
                </c:pt>
                <c:pt idx="130">
                  <c:v>1.7809999999999999</c:v>
                </c:pt>
                <c:pt idx="131">
                  <c:v>1.7765</c:v>
                </c:pt>
                <c:pt idx="132">
                  <c:v>1.6108</c:v>
                </c:pt>
                <c:pt idx="133">
                  <c:v>1.6948000000000001</c:v>
                </c:pt>
                <c:pt idx="134">
                  <c:v>2.0125999999999999</c:v>
                </c:pt>
                <c:pt idx="135">
                  <c:v>2.0625</c:v>
                </c:pt>
                <c:pt idx="136">
                  <c:v>2.2576999999999998</c:v>
                </c:pt>
                <c:pt idx="137">
                  <c:v>2.2532000000000001</c:v>
                </c:pt>
                <c:pt idx="138">
                  <c:v>2.2759</c:v>
                </c:pt>
                <c:pt idx="139">
                  <c:v>2.2031999999999998</c:v>
                </c:pt>
                <c:pt idx="140">
                  <c:v>1.9672000000000001</c:v>
                </c:pt>
                <c:pt idx="141">
                  <c:v>2.0489000000000002</c:v>
                </c:pt>
                <c:pt idx="142">
                  <c:v>2.5211000000000001</c:v>
                </c:pt>
                <c:pt idx="143">
                  <c:v>2.6303000000000001</c:v>
                </c:pt>
                <c:pt idx="144">
                  <c:v>2.4973000000000001</c:v>
                </c:pt>
                <c:pt idx="145">
                  <c:v>2.3214999999999999</c:v>
                </c:pt>
                <c:pt idx="146">
                  <c:v>2.2313000000000001</c:v>
                </c:pt>
                <c:pt idx="147">
                  <c:v>2.1743000000000001</c:v>
                </c:pt>
                <c:pt idx="148">
                  <c:v>2.2692999999999999</c:v>
                </c:pt>
                <c:pt idx="149">
                  <c:v>2.2099000000000002</c:v>
                </c:pt>
                <c:pt idx="150">
                  <c:v>2.5068000000000001</c:v>
                </c:pt>
                <c:pt idx="151">
                  <c:v>2.6825999999999999</c:v>
                </c:pt>
                <c:pt idx="152">
                  <c:v>2.4687999999999999</c:v>
                </c:pt>
                <c:pt idx="153">
                  <c:v>2.331</c:v>
                </c:pt>
                <c:pt idx="154">
                  <c:v>2.1838000000000002</c:v>
                </c:pt>
                <c:pt idx="155">
                  <c:v>1.5507</c:v>
                </c:pt>
                <c:pt idx="156">
                  <c:v>1.8142</c:v>
                </c:pt>
                <c:pt idx="157">
                  <c:v>1.7747999999999999</c:v>
                </c:pt>
                <c:pt idx="158">
                  <c:v>2.0352999999999999</c:v>
                </c:pt>
                <c:pt idx="159">
                  <c:v>2.2050000000000001</c:v>
                </c:pt>
                <c:pt idx="160">
                  <c:v>2.4352</c:v>
                </c:pt>
                <c:pt idx="161">
                  <c:v>2.4624000000000001</c:v>
                </c:pt>
                <c:pt idx="162">
                  <c:v>2.5411999999999999</c:v>
                </c:pt>
                <c:pt idx="163">
                  <c:v>2.8016999999999999</c:v>
                </c:pt>
                <c:pt idx="164">
                  <c:v>2.5897000000000001</c:v>
                </c:pt>
                <c:pt idx="165">
                  <c:v>2.7654000000000001</c:v>
                </c:pt>
                <c:pt idx="166">
                  <c:v>3.0137</c:v>
                </c:pt>
                <c:pt idx="167">
                  <c:v>2.7593000000000001</c:v>
                </c:pt>
                <c:pt idx="168">
                  <c:v>2.1526999999999998</c:v>
                </c:pt>
                <c:pt idx="169">
                  <c:v>2.1343999999999999</c:v>
                </c:pt>
                <c:pt idx="170">
                  <c:v>2.0586000000000002</c:v>
                </c:pt>
                <c:pt idx="171">
                  <c:v>1.9933000000000001</c:v>
                </c:pt>
                <c:pt idx="172">
                  <c:v>2.3226</c:v>
                </c:pt>
                <c:pt idx="173">
                  <c:v>2.4009999999999998</c:v>
                </c:pt>
                <c:pt idx="174">
                  <c:v>2.4140000000000001</c:v>
                </c:pt>
                <c:pt idx="175">
                  <c:v>2.8778999999999999</c:v>
                </c:pt>
                <c:pt idx="176">
                  <c:v>2.9106000000000001</c:v>
                </c:pt>
                <c:pt idx="177">
                  <c:v>3.6162000000000001</c:v>
                </c:pt>
                <c:pt idx="178">
                  <c:v>3.7338</c:v>
                </c:pt>
                <c:pt idx="179">
                  <c:v>3.8252999999999999</c:v>
                </c:pt>
                <c:pt idx="180">
                  <c:v>4.1585000000000001</c:v>
                </c:pt>
                <c:pt idx="181">
                  <c:v>3.1271</c:v>
                </c:pt>
                <c:pt idx="182">
                  <c:v>3.4786999999999999</c:v>
                </c:pt>
                <c:pt idx="183">
                  <c:v>3.6463999999999999</c:v>
                </c:pt>
                <c:pt idx="184">
                  <c:v>3.6573000000000002</c:v>
                </c:pt>
                <c:pt idx="185">
                  <c:v>4.4795999999999996</c:v>
                </c:pt>
                <c:pt idx="186">
                  <c:v>4.2956000000000003</c:v>
                </c:pt>
                <c:pt idx="187">
                  <c:v>4.4795999999999996</c:v>
                </c:pt>
                <c:pt idx="188">
                  <c:v>4.4038000000000004</c:v>
                </c:pt>
                <c:pt idx="189">
                  <c:v>3.9601999999999999</c:v>
                </c:pt>
                <c:pt idx="190">
                  <c:v>4.3064</c:v>
                </c:pt>
                <c:pt idx="191">
                  <c:v>3.7222</c:v>
                </c:pt>
                <c:pt idx="192">
                  <c:v>3.2353000000000001</c:v>
                </c:pt>
                <c:pt idx="193">
                  <c:v>3.1379000000000001</c:v>
                </c:pt>
                <c:pt idx="194">
                  <c:v>1.7949999999999999</c:v>
                </c:pt>
                <c:pt idx="195">
                  <c:v>1.7949999999999999</c:v>
                </c:pt>
                <c:pt idx="196">
                  <c:v>2.1591999999999998</c:v>
                </c:pt>
                <c:pt idx="197">
                  <c:v>2.1749999999999998</c:v>
                </c:pt>
                <c:pt idx="198">
                  <c:v>2.2292999999999998</c:v>
                </c:pt>
                <c:pt idx="199">
                  <c:v>2.2542</c:v>
                </c:pt>
                <c:pt idx="200">
                  <c:v>2.5663</c:v>
                </c:pt>
                <c:pt idx="201">
                  <c:v>2.7427000000000001</c:v>
                </c:pt>
                <c:pt idx="202">
                  <c:v>2.5844</c:v>
                </c:pt>
                <c:pt idx="203">
                  <c:v>2.7563</c:v>
                </c:pt>
                <c:pt idx="204">
                  <c:v>2.8151000000000002</c:v>
                </c:pt>
                <c:pt idx="205">
                  <c:v>2.7246000000000001</c:v>
                </c:pt>
                <c:pt idx="206">
                  <c:v>3.0819999999999999</c:v>
                </c:pt>
                <c:pt idx="207">
                  <c:v>2.1981999999999999</c:v>
                </c:pt>
                <c:pt idx="208">
                  <c:v>2.3931</c:v>
                </c:pt>
                <c:pt idx="209">
                  <c:v>2.3534999999999999</c:v>
                </c:pt>
                <c:pt idx="210">
                  <c:v>2.4361000000000002</c:v>
                </c:pt>
                <c:pt idx="211">
                  <c:v>2.3105000000000002</c:v>
                </c:pt>
                <c:pt idx="212">
                  <c:v>2.1486000000000001</c:v>
                </c:pt>
                <c:pt idx="213">
                  <c:v>2.1551999999999998</c:v>
                </c:pt>
                <c:pt idx="214">
                  <c:v>2.8062</c:v>
                </c:pt>
                <c:pt idx="215">
                  <c:v>2.8227000000000002</c:v>
                </c:pt>
                <c:pt idx="216">
                  <c:v>2.9053</c:v>
                </c:pt>
                <c:pt idx="217">
                  <c:v>2.5749</c:v>
                </c:pt>
                <c:pt idx="218">
                  <c:v>2.7433999999999998</c:v>
                </c:pt>
                <c:pt idx="219">
                  <c:v>2.5682999999999998</c:v>
                </c:pt>
                <c:pt idx="220">
                  <c:v>2.3452999999999999</c:v>
                </c:pt>
                <c:pt idx="221">
                  <c:v>2.6918000000000002</c:v>
                </c:pt>
                <c:pt idx="222">
                  <c:v>3.0526</c:v>
                </c:pt>
                <c:pt idx="223">
                  <c:v>3.2172999999999998</c:v>
                </c:pt>
                <c:pt idx="224">
                  <c:v>2.9672999999999998</c:v>
                </c:pt>
                <c:pt idx="225">
                  <c:v>2.7315999999999998</c:v>
                </c:pt>
                <c:pt idx="226">
                  <c:v>3.0013999999999998</c:v>
                </c:pt>
                <c:pt idx="227">
                  <c:v>2.7145000000000001</c:v>
                </c:pt>
                <c:pt idx="228">
                  <c:v>4.5808</c:v>
                </c:pt>
                <c:pt idx="229">
                  <c:v>4.7085999999999997</c:v>
                </c:pt>
                <c:pt idx="230">
                  <c:v>5.7766000000000002</c:v>
                </c:pt>
                <c:pt idx="231">
                  <c:v>6.1571999999999996</c:v>
                </c:pt>
                <c:pt idx="232">
                  <c:v>6.4896000000000003</c:v>
                </c:pt>
                <c:pt idx="233">
                  <c:v>9.2199000000000009</c:v>
                </c:pt>
                <c:pt idx="234">
                  <c:v>9.0157000000000007</c:v>
                </c:pt>
                <c:pt idx="235">
                  <c:v>9.5547000000000004</c:v>
                </c:pt>
                <c:pt idx="236">
                  <c:v>10.763299999999999</c:v>
                </c:pt>
                <c:pt idx="237">
                  <c:v>11.5799</c:v>
                </c:pt>
                <c:pt idx="238">
                  <c:v>11.849399999999999</c:v>
                </c:pt>
                <c:pt idx="239">
                  <c:v>9.2157999999999998</c:v>
                </c:pt>
                <c:pt idx="240">
                  <c:v>9.5751000000000008</c:v>
                </c:pt>
                <c:pt idx="241">
                  <c:v>9.6159999999999997</c:v>
                </c:pt>
                <c:pt idx="242">
                  <c:v>8.5911000000000008</c:v>
                </c:pt>
                <c:pt idx="243">
                  <c:v>6.7864000000000004</c:v>
                </c:pt>
                <c:pt idx="244">
                  <c:v>8.0317000000000007</c:v>
                </c:pt>
                <c:pt idx="245">
                  <c:v>9.1341999999999999</c:v>
                </c:pt>
                <c:pt idx="246">
                  <c:v>12.6714</c:v>
                </c:pt>
                <c:pt idx="247">
                  <c:v>13.722200000000001</c:v>
                </c:pt>
                <c:pt idx="248">
                  <c:v>12.666399999999999</c:v>
                </c:pt>
                <c:pt idx="249">
                  <c:v>11.057399999999999</c:v>
                </c:pt>
                <c:pt idx="250">
                  <c:v>12.3194</c:v>
                </c:pt>
                <c:pt idx="251">
                  <c:v>14.260199999999999</c:v>
                </c:pt>
                <c:pt idx="252">
                  <c:v>13.3803</c:v>
                </c:pt>
                <c:pt idx="253">
                  <c:v>14.808299999999999</c:v>
                </c:pt>
                <c:pt idx="254">
                  <c:v>15.5625</c:v>
                </c:pt>
                <c:pt idx="255">
                  <c:v>16.251300000000001</c:v>
                </c:pt>
                <c:pt idx="256">
                  <c:v>15.396599999999999</c:v>
                </c:pt>
                <c:pt idx="257">
                  <c:v>16.351900000000001</c:v>
                </c:pt>
                <c:pt idx="258">
                  <c:v>16.854700000000001</c:v>
                </c:pt>
                <c:pt idx="259">
                  <c:v>12.193300000000001</c:v>
                </c:pt>
                <c:pt idx="260">
                  <c:v>12.7447</c:v>
                </c:pt>
                <c:pt idx="261">
                  <c:v>13.004200000000001</c:v>
                </c:pt>
                <c:pt idx="262">
                  <c:v>11.094099999999999</c:v>
                </c:pt>
                <c:pt idx="263">
                  <c:v>10.3733</c:v>
                </c:pt>
                <c:pt idx="264">
                  <c:v>10.6617</c:v>
                </c:pt>
                <c:pt idx="265">
                  <c:v>11.959</c:v>
                </c:pt>
                <c:pt idx="266">
                  <c:v>11.3103</c:v>
                </c:pt>
                <c:pt idx="267">
                  <c:v>10.5175</c:v>
                </c:pt>
                <c:pt idx="268">
                  <c:v>11.850899999999999</c:v>
                </c:pt>
                <c:pt idx="269">
                  <c:v>11.5626</c:v>
                </c:pt>
                <c:pt idx="270">
                  <c:v>12.643800000000001</c:v>
                </c:pt>
                <c:pt idx="271">
                  <c:v>11.995100000000001</c:v>
                </c:pt>
                <c:pt idx="272">
                  <c:v>12.355499999999999</c:v>
                </c:pt>
                <c:pt idx="273">
                  <c:v>7.9821999999999997</c:v>
                </c:pt>
                <c:pt idx="274">
                  <c:v>7.6634000000000002</c:v>
                </c:pt>
                <c:pt idx="275">
                  <c:v>7.5723000000000003</c:v>
                </c:pt>
                <c:pt idx="276">
                  <c:v>7.7317</c:v>
                </c:pt>
                <c:pt idx="277">
                  <c:v>8.9388000000000005</c:v>
                </c:pt>
                <c:pt idx="278">
                  <c:v>8.5744000000000007</c:v>
                </c:pt>
                <c:pt idx="279">
                  <c:v>9.1892999999999994</c:v>
                </c:pt>
                <c:pt idx="280">
                  <c:v>9.0982000000000003</c:v>
                </c:pt>
                <c:pt idx="281">
                  <c:v>9.3942999999999994</c:v>
                </c:pt>
                <c:pt idx="282">
                  <c:v>9.5992999999999995</c:v>
                </c:pt>
                <c:pt idx="283">
                  <c:v>11.876899999999999</c:v>
                </c:pt>
                <c:pt idx="284">
                  <c:v>12.036300000000001</c:v>
                </c:pt>
                <c:pt idx="285">
                  <c:v>12.3551</c:v>
                </c:pt>
                <c:pt idx="286">
                  <c:v>6.1729000000000003</c:v>
                </c:pt>
                <c:pt idx="287">
                  <c:v>6.1851000000000003</c:v>
                </c:pt>
                <c:pt idx="288">
                  <c:v>5.3201999999999998</c:v>
                </c:pt>
                <c:pt idx="289">
                  <c:v>5.8318000000000003</c:v>
                </c:pt>
                <c:pt idx="290">
                  <c:v>6.0632999999999999</c:v>
                </c:pt>
                <c:pt idx="291">
                  <c:v>5.6003999999999996</c:v>
                </c:pt>
                <c:pt idx="292">
                  <c:v>5.6124999999999998</c:v>
                </c:pt>
                <c:pt idx="293">
                  <c:v>5.3201999999999998</c:v>
                </c:pt>
                <c:pt idx="294">
                  <c:v>4.1506999999999996</c:v>
                </c:pt>
                <c:pt idx="295">
                  <c:v>5.0887000000000002</c:v>
                </c:pt>
                <c:pt idx="296">
                  <c:v>4.7354000000000003</c:v>
                </c:pt>
                <c:pt idx="297">
                  <c:v>4.6135999999999999</c:v>
                </c:pt>
                <c:pt idx="298">
                  <c:v>4.4065000000000003</c:v>
                </c:pt>
                <c:pt idx="299">
                  <c:v>2.9973000000000001</c:v>
                </c:pt>
                <c:pt idx="300">
                  <c:v>2.5663</c:v>
                </c:pt>
                <c:pt idx="301">
                  <c:v>2.9781</c:v>
                </c:pt>
                <c:pt idx="302">
                  <c:v>3.6389999999999998</c:v>
                </c:pt>
                <c:pt idx="303">
                  <c:v>3.4666000000000001</c:v>
                </c:pt>
                <c:pt idx="304">
                  <c:v>3.4666000000000001</c:v>
                </c:pt>
                <c:pt idx="305">
                  <c:v>4.7117000000000004</c:v>
                </c:pt>
                <c:pt idx="306">
                  <c:v>4.2710999999999997</c:v>
                </c:pt>
                <c:pt idx="307">
                  <c:v>4.6158999999999999</c:v>
                </c:pt>
                <c:pt idx="308">
                  <c:v>3.9838</c:v>
                </c:pt>
                <c:pt idx="309">
                  <c:v>4.3860999999999999</c:v>
                </c:pt>
                <c:pt idx="310">
                  <c:v>4.07</c:v>
                </c:pt>
                <c:pt idx="311">
                  <c:v>3.4762</c:v>
                </c:pt>
                <c:pt idx="312">
                  <c:v>2.9590000000000001</c:v>
                </c:pt>
                <c:pt idx="313">
                  <c:v>2.9039000000000001</c:v>
                </c:pt>
                <c:pt idx="314">
                  <c:v>3.2105000000000001</c:v>
                </c:pt>
                <c:pt idx="315">
                  <c:v>3.4621</c:v>
                </c:pt>
                <c:pt idx="316">
                  <c:v>3.6743999999999999</c:v>
                </c:pt>
                <c:pt idx="317">
                  <c:v>3.5171999999999999</c:v>
                </c:pt>
                <c:pt idx="318">
                  <c:v>3.4070999999999998</c:v>
                </c:pt>
                <c:pt idx="319">
                  <c:v>3.5878999999999999</c:v>
                </c:pt>
                <c:pt idx="320">
                  <c:v>3.2027000000000001</c:v>
                </c:pt>
                <c:pt idx="321">
                  <c:v>2.4792999999999998</c:v>
                </c:pt>
                <c:pt idx="322">
                  <c:v>2.4573</c:v>
                </c:pt>
                <c:pt idx="323">
                  <c:v>1.7796000000000001</c:v>
                </c:pt>
                <c:pt idx="324">
                  <c:v>2.3834</c:v>
                </c:pt>
                <c:pt idx="325">
                  <c:v>2.4251</c:v>
                </c:pt>
                <c:pt idx="326">
                  <c:v>2.6343000000000001</c:v>
                </c:pt>
                <c:pt idx="327">
                  <c:v>2.4698000000000002</c:v>
                </c:pt>
                <c:pt idx="328">
                  <c:v>2.3652000000000002</c:v>
                </c:pt>
                <c:pt idx="329">
                  <c:v>3.7479</c:v>
                </c:pt>
                <c:pt idx="330">
                  <c:v>4.0999999999999996</c:v>
                </c:pt>
                <c:pt idx="331">
                  <c:v>4.6021000000000001</c:v>
                </c:pt>
                <c:pt idx="332">
                  <c:v>4.4522000000000004</c:v>
                </c:pt>
                <c:pt idx="333">
                  <c:v>4.5533000000000001</c:v>
                </c:pt>
                <c:pt idx="334">
                  <c:v>5.2541000000000002</c:v>
                </c:pt>
                <c:pt idx="335">
                  <c:v>5.3795999999999999</c:v>
                </c:pt>
                <c:pt idx="336">
                  <c:v>5.7526000000000002</c:v>
                </c:pt>
                <c:pt idx="337">
                  <c:v>5.5644</c:v>
                </c:pt>
                <c:pt idx="338">
                  <c:v>3.7749000000000001</c:v>
                </c:pt>
                <c:pt idx="339">
                  <c:v>4.1618000000000004</c:v>
                </c:pt>
                <c:pt idx="340">
                  <c:v>3.5487000000000002</c:v>
                </c:pt>
                <c:pt idx="341">
                  <c:v>3.7719</c:v>
                </c:pt>
                <c:pt idx="342">
                  <c:v>4.2213000000000003</c:v>
                </c:pt>
                <c:pt idx="343">
                  <c:v>4.4058000000000002</c:v>
                </c:pt>
                <c:pt idx="344">
                  <c:v>4.3819999999999997</c:v>
                </c:pt>
                <c:pt idx="345">
                  <c:v>4.4146999999999998</c:v>
                </c:pt>
                <c:pt idx="346">
                  <c:v>4.0396999999999998</c:v>
                </c:pt>
                <c:pt idx="347">
                  <c:v>4.4207000000000001</c:v>
                </c:pt>
                <c:pt idx="348">
                  <c:v>4.6677</c:v>
                </c:pt>
                <c:pt idx="349">
                  <c:v>4.0427</c:v>
                </c:pt>
                <c:pt idx="350">
                  <c:v>4.2838000000000003</c:v>
                </c:pt>
                <c:pt idx="351">
                  <c:v>4.0495000000000001</c:v>
                </c:pt>
                <c:pt idx="352">
                  <c:v>3.7021000000000002</c:v>
                </c:pt>
                <c:pt idx="353">
                  <c:v>3.7258</c:v>
                </c:pt>
                <c:pt idx="354">
                  <c:v>3.6074000000000002</c:v>
                </c:pt>
                <c:pt idx="355">
                  <c:v>3.6758000000000002</c:v>
                </c:pt>
                <c:pt idx="356">
                  <c:v>3.86</c:v>
                </c:pt>
                <c:pt idx="357">
                  <c:v>3.4310999999999998</c:v>
                </c:pt>
                <c:pt idx="358">
                  <c:v>3.6863999999999999</c:v>
                </c:pt>
                <c:pt idx="359">
                  <c:v>3.8020999999999998</c:v>
                </c:pt>
                <c:pt idx="360">
                  <c:v>3.7153</c:v>
                </c:pt>
                <c:pt idx="361">
                  <c:v>3.7968999999999999</c:v>
                </c:pt>
                <c:pt idx="362">
                  <c:v>3.6574</c:v>
                </c:pt>
                <c:pt idx="363">
                  <c:v>3.5337000000000001</c:v>
                </c:pt>
                <c:pt idx="364">
                  <c:v>3.1393</c:v>
                </c:pt>
                <c:pt idx="365">
                  <c:v>3.1934</c:v>
                </c:pt>
                <c:pt idx="366">
                  <c:v>3.1417000000000002</c:v>
                </c:pt>
                <c:pt idx="367">
                  <c:v>3.1465999999999998</c:v>
                </c:pt>
                <c:pt idx="368">
                  <c:v>3.0065</c:v>
                </c:pt>
                <c:pt idx="369">
                  <c:v>3.1539999999999999</c:v>
                </c:pt>
                <c:pt idx="370">
                  <c:v>2.9180000000000001</c:v>
                </c:pt>
                <c:pt idx="371">
                  <c:v>2.7532000000000001</c:v>
                </c:pt>
                <c:pt idx="372">
                  <c:v>3.2475000000000001</c:v>
                </c:pt>
                <c:pt idx="373">
                  <c:v>2.5762</c:v>
                </c:pt>
                <c:pt idx="374">
                  <c:v>2.7212999999999998</c:v>
                </c:pt>
                <c:pt idx="375">
                  <c:v>2.6696</c:v>
                </c:pt>
                <c:pt idx="376">
                  <c:v>2.5417999999999998</c:v>
                </c:pt>
                <c:pt idx="377">
                  <c:v>2.4777999999999998</c:v>
                </c:pt>
                <c:pt idx="378">
                  <c:v>2.2909999999999999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B1-403E-9372-8D36C83E3BC5}"/>
            </c:ext>
          </c:extLst>
        </c:ser>
        <c:ser>
          <c:idx val="4"/>
          <c:order val="3"/>
          <c:tx>
            <c:strRef>
              <c:f>Base!$AV$4</c:f>
              <c:strCache>
                <c:ptCount val="1"/>
                <c:pt idx="0">
                  <c:v>EDN AR Equity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Base!$A$7:$A$2000</c:f>
              <c:numCache>
                <c:formatCode>m/d/yyyy</c:formatCode>
                <c:ptCount val="1994"/>
                <c:pt idx="0">
                  <c:v>43658</c:v>
                </c:pt>
                <c:pt idx="1">
                  <c:v>43665</c:v>
                </c:pt>
                <c:pt idx="2">
                  <c:v>43672</c:v>
                </c:pt>
                <c:pt idx="3">
                  <c:v>43679</c:v>
                </c:pt>
                <c:pt idx="4">
                  <c:v>43686</c:v>
                </c:pt>
                <c:pt idx="5">
                  <c:v>43693</c:v>
                </c:pt>
                <c:pt idx="6">
                  <c:v>43700</c:v>
                </c:pt>
                <c:pt idx="7">
                  <c:v>43707</c:v>
                </c:pt>
                <c:pt idx="8">
                  <c:v>43714</c:v>
                </c:pt>
                <c:pt idx="9">
                  <c:v>43721</c:v>
                </c:pt>
                <c:pt idx="10">
                  <c:v>43728</c:v>
                </c:pt>
                <c:pt idx="11">
                  <c:v>43735</c:v>
                </c:pt>
                <c:pt idx="12">
                  <c:v>43742</c:v>
                </c:pt>
                <c:pt idx="13">
                  <c:v>43749</c:v>
                </c:pt>
                <c:pt idx="14">
                  <c:v>43756</c:v>
                </c:pt>
                <c:pt idx="15">
                  <c:v>43763</c:v>
                </c:pt>
                <c:pt idx="16">
                  <c:v>43770</c:v>
                </c:pt>
                <c:pt idx="17">
                  <c:v>43777</c:v>
                </c:pt>
                <c:pt idx="18">
                  <c:v>43784</c:v>
                </c:pt>
                <c:pt idx="19">
                  <c:v>43791</c:v>
                </c:pt>
                <c:pt idx="20">
                  <c:v>43798</c:v>
                </c:pt>
                <c:pt idx="21">
                  <c:v>43805</c:v>
                </c:pt>
                <c:pt idx="22">
                  <c:v>43812</c:v>
                </c:pt>
                <c:pt idx="23">
                  <c:v>43819</c:v>
                </c:pt>
                <c:pt idx="24">
                  <c:v>43826</c:v>
                </c:pt>
                <c:pt idx="25">
                  <c:v>43833</c:v>
                </c:pt>
                <c:pt idx="26">
                  <c:v>43840</c:v>
                </c:pt>
                <c:pt idx="27">
                  <c:v>43847</c:v>
                </c:pt>
                <c:pt idx="28">
                  <c:v>43854</c:v>
                </c:pt>
                <c:pt idx="29">
                  <c:v>43861</c:v>
                </c:pt>
                <c:pt idx="30">
                  <c:v>43868</c:v>
                </c:pt>
                <c:pt idx="31">
                  <c:v>43875</c:v>
                </c:pt>
                <c:pt idx="32">
                  <c:v>43882</c:v>
                </c:pt>
                <c:pt idx="33">
                  <c:v>43889</c:v>
                </c:pt>
                <c:pt idx="34">
                  <c:v>43896</c:v>
                </c:pt>
                <c:pt idx="35">
                  <c:v>43903</c:v>
                </c:pt>
                <c:pt idx="36">
                  <c:v>43910</c:v>
                </c:pt>
                <c:pt idx="37">
                  <c:v>43917</c:v>
                </c:pt>
                <c:pt idx="38">
                  <c:v>43924</c:v>
                </c:pt>
                <c:pt idx="39">
                  <c:v>43931</c:v>
                </c:pt>
                <c:pt idx="40">
                  <c:v>43938</c:v>
                </c:pt>
                <c:pt idx="41">
                  <c:v>43945</c:v>
                </c:pt>
                <c:pt idx="42">
                  <c:v>43952</c:v>
                </c:pt>
                <c:pt idx="43">
                  <c:v>43959</c:v>
                </c:pt>
                <c:pt idx="44">
                  <c:v>43966</c:v>
                </c:pt>
                <c:pt idx="45">
                  <c:v>43973</c:v>
                </c:pt>
                <c:pt idx="46">
                  <c:v>43980</c:v>
                </c:pt>
                <c:pt idx="47">
                  <c:v>43987</c:v>
                </c:pt>
                <c:pt idx="48">
                  <c:v>43994</c:v>
                </c:pt>
                <c:pt idx="49">
                  <c:v>44001</c:v>
                </c:pt>
                <c:pt idx="50">
                  <c:v>44008</c:v>
                </c:pt>
                <c:pt idx="51">
                  <c:v>44015</c:v>
                </c:pt>
                <c:pt idx="52">
                  <c:v>44022</c:v>
                </c:pt>
                <c:pt idx="53">
                  <c:v>44029</c:v>
                </c:pt>
                <c:pt idx="54">
                  <c:v>44036</c:v>
                </c:pt>
                <c:pt idx="55">
                  <c:v>44043</c:v>
                </c:pt>
                <c:pt idx="56">
                  <c:v>44050</c:v>
                </c:pt>
                <c:pt idx="57">
                  <c:v>44057</c:v>
                </c:pt>
                <c:pt idx="58">
                  <c:v>44064</c:v>
                </c:pt>
                <c:pt idx="59">
                  <c:v>44071</c:v>
                </c:pt>
                <c:pt idx="60">
                  <c:v>44078</c:v>
                </c:pt>
                <c:pt idx="61">
                  <c:v>44085</c:v>
                </c:pt>
                <c:pt idx="62">
                  <c:v>44092</c:v>
                </c:pt>
                <c:pt idx="63">
                  <c:v>44099</c:v>
                </c:pt>
                <c:pt idx="64">
                  <c:v>44106</c:v>
                </c:pt>
                <c:pt idx="65">
                  <c:v>44113</c:v>
                </c:pt>
                <c:pt idx="66">
                  <c:v>44120</c:v>
                </c:pt>
                <c:pt idx="67">
                  <c:v>44127</c:v>
                </c:pt>
                <c:pt idx="68">
                  <c:v>44134</c:v>
                </c:pt>
                <c:pt idx="69">
                  <c:v>44141</c:v>
                </c:pt>
                <c:pt idx="70">
                  <c:v>44148</c:v>
                </c:pt>
                <c:pt idx="71">
                  <c:v>44155</c:v>
                </c:pt>
                <c:pt idx="72">
                  <c:v>44162</c:v>
                </c:pt>
                <c:pt idx="73">
                  <c:v>44169</c:v>
                </c:pt>
                <c:pt idx="74">
                  <c:v>44176</c:v>
                </c:pt>
                <c:pt idx="75">
                  <c:v>44183</c:v>
                </c:pt>
                <c:pt idx="76">
                  <c:v>44190</c:v>
                </c:pt>
                <c:pt idx="77">
                  <c:v>44197</c:v>
                </c:pt>
                <c:pt idx="78">
                  <c:v>44204</c:v>
                </c:pt>
                <c:pt idx="79">
                  <c:v>44211</c:v>
                </c:pt>
                <c:pt idx="80">
                  <c:v>44218</c:v>
                </c:pt>
                <c:pt idx="81">
                  <c:v>44225</c:v>
                </c:pt>
                <c:pt idx="82">
                  <c:v>44232</c:v>
                </c:pt>
                <c:pt idx="83">
                  <c:v>44239</c:v>
                </c:pt>
                <c:pt idx="84">
                  <c:v>44246</c:v>
                </c:pt>
                <c:pt idx="85">
                  <c:v>44253</c:v>
                </c:pt>
                <c:pt idx="86">
                  <c:v>44260</c:v>
                </c:pt>
                <c:pt idx="87">
                  <c:v>44267</c:v>
                </c:pt>
                <c:pt idx="88">
                  <c:v>44274</c:v>
                </c:pt>
                <c:pt idx="89">
                  <c:v>44281</c:v>
                </c:pt>
                <c:pt idx="90">
                  <c:v>44288</c:v>
                </c:pt>
                <c:pt idx="91">
                  <c:v>44295</c:v>
                </c:pt>
                <c:pt idx="92">
                  <c:v>44302</c:v>
                </c:pt>
                <c:pt idx="93">
                  <c:v>44309</c:v>
                </c:pt>
                <c:pt idx="94">
                  <c:v>44316</c:v>
                </c:pt>
                <c:pt idx="95">
                  <c:v>44323</c:v>
                </c:pt>
                <c:pt idx="96">
                  <c:v>44330</c:v>
                </c:pt>
                <c:pt idx="97">
                  <c:v>44337</c:v>
                </c:pt>
                <c:pt idx="98">
                  <c:v>44344</c:v>
                </c:pt>
                <c:pt idx="99">
                  <c:v>44351</c:v>
                </c:pt>
                <c:pt idx="100">
                  <c:v>44358</c:v>
                </c:pt>
                <c:pt idx="101">
                  <c:v>44365</c:v>
                </c:pt>
                <c:pt idx="102">
                  <c:v>44372</c:v>
                </c:pt>
                <c:pt idx="103">
                  <c:v>44379</c:v>
                </c:pt>
                <c:pt idx="104">
                  <c:v>44386</c:v>
                </c:pt>
                <c:pt idx="105">
                  <c:v>44393</c:v>
                </c:pt>
                <c:pt idx="106">
                  <c:v>44400</c:v>
                </c:pt>
                <c:pt idx="107">
                  <c:v>44407</c:v>
                </c:pt>
                <c:pt idx="108">
                  <c:v>44414</c:v>
                </c:pt>
                <c:pt idx="109">
                  <c:v>44421</c:v>
                </c:pt>
                <c:pt idx="110">
                  <c:v>44428</c:v>
                </c:pt>
                <c:pt idx="111">
                  <c:v>44435</c:v>
                </c:pt>
                <c:pt idx="112">
                  <c:v>44442</c:v>
                </c:pt>
                <c:pt idx="113">
                  <c:v>44449</c:v>
                </c:pt>
                <c:pt idx="114">
                  <c:v>44456</c:v>
                </c:pt>
                <c:pt idx="115">
                  <c:v>44463</c:v>
                </c:pt>
                <c:pt idx="116">
                  <c:v>44470</c:v>
                </c:pt>
                <c:pt idx="117">
                  <c:v>44477</c:v>
                </c:pt>
                <c:pt idx="118">
                  <c:v>44484</c:v>
                </c:pt>
                <c:pt idx="119">
                  <c:v>44491</c:v>
                </c:pt>
                <c:pt idx="120">
                  <c:v>44498</c:v>
                </c:pt>
                <c:pt idx="121">
                  <c:v>44505</c:v>
                </c:pt>
                <c:pt idx="122">
                  <c:v>44512</c:v>
                </c:pt>
                <c:pt idx="123">
                  <c:v>44519</c:v>
                </c:pt>
                <c:pt idx="124">
                  <c:v>44526</c:v>
                </c:pt>
                <c:pt idx="125">
                  <c:v>44533</c:v>
                </c:pt>
                <c:pt idx="126">
                  <c:v>44540</c:v>
                </c:pt>
                <c:pt idx="127">
                  <c:v>44547</c:v>
                </c:pt>
                <c:pt idx="128">
                  <c:v>44554</c:v>
                </c:pt>
                <c:pt idx="129">
                  <c:v>44561</c:v>
                </c:pt>
                <c:pt idx="130">
                  <c:v>44568</c:v>
                </c:pt>
                <c:pt idx="131">
                  <c:v>44575</c:v>
                </c:pt>
                <c:pt idx="132">
                  <c:v>44582</c:v>
                </c:pt>
                <c:pt idx="133">
                  <c:v>44589</c:v>
                </c:pt>
                <c:pt idx="134">
                  <c:v>44596</c:v>
                </c:pt>
                <c:pt idx="135">
                  <c:v>44603</c:v>
                </c:pt>
                <c:pt idx="136">
                  <c:v>44610</c:v>
                </c:pt>
                <c:pt idx="137">
                  <c:v>44617</c:v>
                </c:pt>
                <c:pt idx="138">
                  <c:v>44624</c:v>
                </c:pt>
                <c:pt idx="139">
                  <c:v>44631</c:v>
                </c:pt>
                <c:pt idx="140">
                  <c:v>44638</c:v>
                </c:pt>
                <c:pt idx="141">
                  <c:v>44645</c:v>
                </c:pt>
                <c:pt idx="142">
                  <c:v>44652</c:v>
                </c:pt>
                <c:pt idx="143">
                  <c:v>44659</c:v>
                </c:pt>
                <c:pt idx="144">
                  <c:v>44666</c:v>
                </c:pt>
                <c:pt idx="145">
                  <c:v>44673</c:v>
                </c:pt>
                <c:pt idx="146">
                  <c:v>44680</c:v>
                </c:pt>
                <c:pt idx="147">
                  <c:v>44687</c:v>
                </c:pt>
                <c:pt idx="148">
                  <c:v>44694</c:v>
                </c:pt>
                <c:pt idx="149">
                  <c:v>44701</c:v>
                </c:pt>
                <c:pt idx="150">
                  <c:v>44708</c:v>
                </c:pt>
                <c:pt idx="151">
                  <c:v>44715</c:v>
                </c:pt>
                <c:pt idx="152">
                  <c:v>44722</c:v>
                </c:pt>
                <c:pt idx="153">
                  <c:v>44729</c:v>
                </c:pt>
                <c:pt idx="154">
                  <c:v>44736</c:v>
                </c:pt>
                <c:pt idx="155">
                  <c:v>44743</c:v>
                </c:pt>
                <c:pt idx="156">
                  <c:v>44750</c:v>
                </c:pt>
                <c:pt idx="157">
                  <c:v>44757</c:v>
                </c:pt>
                <c:pt idx="158">
                  <c:v>44764</c:v>
                </c:pt>
                <c:pt idx="159">
                  <c:v>44771</c:v>
                </c:pt>
                <c:pt idx="160">
                  <c:v>44778</c:v>
                </c:pt>
                <c:pt idx="161">
                  <c:v>44785</c:v>
                </c:pt>
                <c:pt idx="162">
                  <c:v>44792</c:v>
                </c:pt>
                <c:pt idx="163">
                  <c:v>44799</c:v>
                </c:pt>
                <c:pt idx="164">
                  <c:v>44806</c:v>
                </c:pt>
                <c:pt idx="165">
                  <c:v>44813</c:v>
                </c:pt>
                <c:pt idx="166">
                  <c:v>44820</c:v>
                </c:pt>
                <c:pt idx="167">
                  <c:v>44827</c:v>
                </c:pt>
                <c:pt idx="168">
                  <c:v>44834</c:v>
                </c:pt>
                <c:pt idx="169">
                  <c:v>44841</c:v>
                </c:pt>
                <c:pt idx="170">
                  <c:v>44848</c:v>
                </c:pt>
                <c:pt idx="171">
                  <c:v>44855</c:v>
                </c:pt>
                <c:pt idx="172">
                  <c:v>44862</c:v>
                </c:pt>
                <c:pt idx="173">
                  <c:v>44869</c:v>
                </c:pt>
                <c:pt idx="174">
                  <c:v>44876</c:v>
                </c:pt>
                <c:pt idx="175">
                  <c:v>44883</c:v>
                </c:pt>
                <c:pt idx="176">
                  <c:v>44890</c:v>
                </c:pt>
                <c:pt idx="177">
                  <c:v>44897</c:v>
                </c:pt>
                <c:pt idx="178">
                  <c:v>44904</c:v>
                </c:pt>
                <c:pt idx="179">
                  <c:v>44911</c:v>
                </c:pt>
                <c:pt idx="180">
                  <c:v>44918</c:v>
                </c:pt>
                <c:pt idx="181">
                  <c:v>44925</c:v>
                </c:pt>
                <c:pt idx="182">
                  <c:v>44932</c:v>
                </c:pt>
                <c:pt idx="183">
                  <c:v>44939</c:v>
                </c:pt>
                <c:pt idx="184">
                  <c:v>44946</c:v>
                </c:pt>
                <c:pt idx="185">
                  <c:v>44953</c:v>
                </c:pt>
                <c:pt idx="186">
                  <c:v>44960</c:v>
                </c:pt>
                <c:pt idx="187">
                  <c:v>44967</c:v>
                </c:pt>
                <c:pt idx="188">
                  <c:v>44974</c:v>
                </c:pt>
                <c:pt idx="189">
                  <c:v>44981</c:v>
                </c:pt>
                <c:pt idx="190">
                  <c:v>44988</c:v>
                </c:pt>
                <c:pt idx="191">
                  <c:v>44995</c:v>
                </c:pt>
                <c:pt idx="192">
                  <c:v>45002</c:v>
                </c:pt>
                <c:pt idx="193">
                  <c:v>45009</c:v>
                </c:pt>
                <c:pt idx="194">
                  <c:v>45016</c:v>
                </c:pt>
                <c:pt idx="195">
                  <c:v>45023</c:v>
                </c:pt>
                <c:pt idx="196">
                  <c:v>45030</c:v>
                </c:pt>
                <c:pt idx="197">
                  <c:v>45037</c:v>
                </c:pt>
                <c:pt idx="198">
                  <c:v>45044</c:v>
                </c:pt>
                <c:pt idx="199">
                  <c:v>45051</c:v>
                </c:pt>
                <c:pt idx="200">
                  <c:v>45058</c:v>
                </c:pt>
                <c:pt idx="201">
                  <c:v>45065</c:v>
                </c:pt>
                <c:pt idx="202">
                  <c:v>45072</c:v>
                </c:pt>
                <c:pt idx="203">
                  <c:v>45079</c:v>
                </c:pt>
                <c:pt idx="204">
                  <c:v>45086</c:v>
                </c:pt>
                <c:pt idx="205">
                  <c:v>45093</c:v>
                </c:pt>
                <c:pt idx="206">
                  <c:v>45100</c:v>
                </c:pt>
                <c:pt idx="207">
                  <c:v>45107</c:v>
                </c:pt>
                <c:pt idx="208">
                  <c:v>45114</c:v>
                </c:pt>
                <c:pt idx="209">
                  <c:v>45121</c:v>
                </c:pt>
                <c:pt idx="210">
                  <c:v>45128</c:v>
                </c:pt>
                <c:pt idx="211">
                  <c:v>45135</c:v>
                </c:pt>
                <c:pt idx="212">
                  <c:v>45142</c:v>
                </c:pt>
                <c:pt idx="213">
                  <c:v>45149</c:v>
                </c:pt>
                <c:pt idx="214">
                  <c:v>45156</c:v>
                </c:pt>
                <c:pt idx="215">
                  <c:v>45163</c:v>
                </c:pt>
                <c:pt idx="216">
                  <c:v>45170</c:v>
                </c:pt>
                <c:pt idx="217">
                  <c:v>45177</c:v>
                </c:pt>
                <c:pt idx="218">
                  <c:v>45184</c:v>
                </c:pt>
                <c:pt idx="219">
                  <c:v>45191</c:v>
                </c:pt>
                <c:pt idx="220">
                  <c:v>45198</c:v>
                </c:pt>
                <c:pt idx="221">
                  <c:v>45205</c:v>
                </c:pt>
                <c:pt idx="222">
                  <c:v>45212</c:v>
                </c:pt>
                <c:pt idx="223">
                  <c:v>45219</c:v>
                </c:pt>
                <c:pt idx="224">
                  <c:v>45226</c:v>
                </c:pt>
                <c:pt idx="225">
                  <c:v>45233</c:v>
                </c:pt>
                <c:pt idx="226">
                  <c:v>45240</c:v>
                </c:pt>
                <c:pt idx="227">
                  <c:v>45247</c:v>
                </c:pt>
                <c:pt idx="228">
                  <c:v>45254</c:v>
                </c:pt>
                <c:pt idx="229">
                  <c:v>45261</c:v>
                </c:pt>
                <c:pt idx="230">
                  <c:v>45268</c:v>
                </c:pt>
                <c:pt idx="231">
                  <c:v>45275</c:v>
                </c:pt>
                <c:pt idx="232">
                  <c:v>45282</c:v>
                </c:pt>
                <c:pt idx="233">
                  <c:v>45289</c:v>
                </c:pt>
                <c:pt idx="234">
                  <c:v>45296</c:v>
                </c:pt>
                <c:pt idx="235">
                  <c:v>45303</c:v>
                </c:pt>
                <c:pt idx="236">
                  <c:v>45310</c:v>
                </c:pt>
                <c:pt idx="237">
                  <c:v>45317</c:v>
                </c:pt>
                <c:pt idx="238">
                  <c:v>45324</c:v>
                </c:pt>
                <c:pt idx="239">
                  <c:v>45331</c:v>
                </c:pt>
                <c:pt idx="240">
                  <c:v>45338</c:v>
                </c:pt>
                <c:pt idx="241">
                  <c:v>45345</c:v>
                </c:pt>
                <c:pt idx="242">
                  <c:v>45352</c:v>
                </c:pt>
                <c:pt idx="243">
                  <c:v>45359</c:v>
                </c:pt>
                <c:pt idx="244">
                  <c:v>45366</c:v>
                </c:pt>
                <c:pt idx="245">
                  <c:v>45373</c:v>
                </c:pt>
                <c:pt idx="246">
                  <c:v>45380</c:v>
                </c:pt>
                <c:pt idx="247">
                  <c:v>45387</c:v>
                </c:pt>
                <c:pt idx="248">
                  <c:v>45394</c:v>
                </c:pt>
                <c:pt idx="249">
                  <c:v>45401</c:v>
                </c:pt>
                <c:pt idx="250">
                  <c:v>45408</c:v>
                </c:pt>
                <c:pt idx="251">
                  <c:v>45415</c:v>
                </c:pt>
                <c:pt idx="252">
                  <c:v>45422</c:v>
                </c:pt>
                <c:pt idx="253">
                  <c:v>45429</c:v>
                </c:pt>
                <c:pt idx="254">
                  <c:v>45436</c:v>
                </c:pt>
                <c:pt idx="255">
                  <c:v>45443</c:v>
                </c:pt>
                <c:pt idx="256">
                  <c:v>45450</c:v>
                </c:pt>
                <c:pt idx="257">
                  <c:v>45457</c:v>
                </c:pt>
                <c:pt idx="258">
                  <c:v>45464</c:v>
                </c:pt>
                <c:pt idx="259">
                  <c:v>45471</c:v>
                </c:pt>
                <c:pt idx="260">
                  <c:v>45478</c:v>
                </c:pt>
                <c:pt idx="261">
                  <c:v>45485</c:v>
                </c:pt>
                <c:pt idx="262">
                  <c:v>45492</c:v>
                </c:pt>
                <c:pt idx="263">
                  <c:v>45499</c:v>
                </c:pt>
                <c:pt idx="264">
                  <c:v>45506</c:v>
                </c:pt>
                <c:pt idx="265">
                  <c:v>45513</c:v>
                </c:pt>
                <c:pt idx="266">
                  <c:v>45520</c:v>
                </c:pt>
                <c:pt idx="267">
                  <c:v>45527</c:v>
                </c:pt>
                <c:pt idx="268">
                  <c:v>45534</c:v>
                </c:pt>
                <c:pt idx="269">
                  <c:v>45541</c:v>
                </c:pt>
                <c:pt idx="270">
                  <c:v>45548</c:v>
                </c:pt>
                <c:pt idx="271">
                  <c:v>45555</c:v>
                </c:pt>
                <c:pt idx="272">
                  <c:v>45562</c:v>
                </c:pt>
                <c:pt idx="273">
                  <c:v>45569</c:v>
                </c:pt>
                <c:pt idx="274">
                  <c:v>45576</c:v>
                </c:pt>
                <c:pt idx="275">
                  <c:v>45583</c:v>
                </c:pt>
                <c:pt idx="276">
                  <c:v>45590</c:v>
                </c:pt>
                <c:pt idx="277">
                  <c:v>45597</c:v>
                </c:pt>
                <c:pt idx="278">
                  <c:v>45604</c:v>
                </c:pt>
                <c:pt idx="279">
                  <c:v>45611</c:v>
                </c:pt>
                <c:pt idx="280">
                  <c:v>45618</c:v>
                </c:pt>
                <c:pt idx="281">
                  <c:v>45625</c:v>
                </c:pt>
                <c:pt idx="282">
                  <c:v>45632</c:v>
                </c:pt>
                <c:pt idx="283">
                  <c:v>45639</c:v>
                </c:pt>
                <c:pt idx="284">
                  <c:v>45646</c:v>
                </c:pt>
                <c:pt idx="285">
                  <c:v>45653</c:v>
                </c:pt>
                <c:pt idx="286">
                  <c:v>45660</c:v>
                </c:pt>
                <c:pt idx="287">
                  <c:v>45667</c:v>
                </c:pt>
                <c:pt idx="288">
                  <c:v>45674</c:v>
                </c:pt>
                <c:pt idx="289">
                  <c:v>45681</c:v>
                </c:pt>
                <c:pt idx="290">
                  <c:v>45688</c:v>
                </c:pt>
                <c:pt idx="291">
                  <c:v>45695</c:v>
                </c:pt>
                <c:pt idx="292">
                  <c:v>45702</c:v>
                </c:pt>
                <c:pt idx="293">
                  <c:v>45709</c:v>
                </c:pt>
                <c:pt idx="294">
                  <c:v>45716</c:v>
                </c:pt>
                <c:pt idx="295">
                  <c:v>45723</c:v>
                </c:pt>
                <c:pt idx="296">
                  <c:v>45730</c:v>
                </c:pt>
                <c:pt idx="297">
                  <c:v>45737</c:v>
                </c:pt>
                <c:pt idx="298">
                  <c:v>45744</c:v>
                </c:pt>
                <c:pt idx="299">
                  <c:v>45751</c:v>
                </c:pt>
                <c:pt idx="300">
                  <c:v>45758</c:v>
                </c:pt>
                <c:pt idx="301">
                  <c:v>45765</c:v>
                </c:pt>
                <c:pt idx="302">
                  <c:v>45772</c:v>
                </c:pt>
                <c:pt idx="303">
                  <c:v>45779</c:v>
                </c:pt>
                <c:pt idx="304">
                  <c:v>45786</c:v>
                </c:pt>
                <c:pt idx="305">
                  <c:v>45793</c:v>
                </c:pt>
                <c:pt idx="306">
                  <c:v>45800</c:v>
                </c:pt>
                <c:pt idx="307">
                  <c:v>45807</c:v>
                </c:pt>
                <c:pt idx="308">
                  <c:v>45814</c:v>
                </c:pt>
                <c:pt idx="309">
                  <c:v>45821</c:v>
                </c:pt>
                <c:pt idx="310">
                  <c:v>45828</c:v>
                </c:pt>
                <c:pt idx="311">
                  <c:v>45835</c:v>
                </c:pt>
                <c:pt idx="312">
                  <c:v>45842</c:v>
                </c:pt>
                <c:pt idx="313">
                  <c:v>45849</c:v>
                </c:pt>
                <c:pt idx="314">
                  <c:v>45856</c:v>
                </c:pt>
                <c:pt idx="315">
                  <c:v>45863</c:v>
                </c:pt>
                <c:pt idx="316">
                  <c:v>45870</c:v>
                </c:pt>
                <c:pt idx="317">
                  <c:v>45877</c:v>
                </c:pt>
                <c:pt idx="318">
                  <c:v>45884</c:v>
                </c:pt>
                <c:pt idx="319">
                  <c:v>45891</c:v>
                </c:pt>
                <c:pt idx="320">
                  <c:v>45898</c:v>
                </c:pt>
                <c:pt idx="321">
                  <c:v>45905</c:v>
                </c:pt>
                <c:pt idx="322">
                  <c:v>45912</c:v>
                </c:pt>
                <c:pt idx="323">
                  <c:v>45919</c:v>
                </c:pt>
                <c:pt idx="324">
                  <c:v>45926</c:v>
                </c:pt>
                <c:pt idx="325">
                  <c:v>45933</c:v>
                </c:pt>
                <c:pt idx="326">
                  <c:v>45940</c:v>
                </c:pt>
                <c:pt idx="327">
                  <c:v>45947</c:v>
                </c:pt>
                <c:pt idx="328">
                  <c:v>45954</c:v>
                </c:pt>
                <c:pt idx="329">
                  <c:v>45961</c:v>
                </c:pt>
                <c:pt idx="330">
                  <c:v>45968</c:v>
                </c:pt>
                <c:pt idx="331">
                  <c:v>45975</c:v>
                </c:pt>
                <c:pt idx="332">
                  <c:v>45982</c:v>
                </c:pt>
                <c:pt idx="333">
                  <c:v>45989</c:v>
                </c:pt>
                <c:pt idx="334">
                  <c:v>45996</c:v>
                </c:pt>
                <c:pt idx="335">
                  <c:v>46003</c:v>
                </c:pt>
                <c:pt idx="336">
                  <c:v>46010</c:v>
                </c:pt>
                <c:pt idx="337">
                  <c:v>46017</c:v>
                </c:pt>
                <c:pt idx="338">
                  <c:v>46024</c:v>
                </c:pt>
                <c:pt idx="339">
                  <c:v>46031</c:v>
                </c:pt>
                <c:pt idx="340">
                  <c:v>46038</c:v>
                </c:pt>
                <c:pt idx="341">
                  <c:v>46045</c:v>
                </c:pt>
                <c:pt idx="342">
                  <c:v>46052</c:v>
                </c:pt>
                <c:pt idx="343">
                  <c:v>46059</c:v>
                </c:pt>
                <c:pt idx="344">
                  <c:v>46066</c:v>
                </c:pt>
                <c:pt idx="345">
                  <c:v>46073</c:v>
                </c:pt>
                <c:pt idx="346">
                  <c:v>46080</c:v>
                </c:pt>
                <c:pt idx="347">
                  <c:v>46087</c:v>
                </c:pt>
                <c:pt idx="348">
                  <c:v>46094</c:v>
                </c:pt>
                <c:pt idx="349">
                  <c:v>46101</c:v>
                </c:pt>
                <c:pt idx="350">
                  <c:v>46108</c:v>
                </c:pt>
                <c:pt idx="351">
                  <c:v>46115</c:v>
                </c:pt>
                <c:pt idx="352">
                  <c:v>46122</c:v>
                </c:pt>
                <c:pt idx="353">
                  <c:v>46129</c:v>
                </c:pt>
                <c:pt idx="354">
                  <c:v>46136</c:v>
                </c:pt>
                <c:pt idx="355">
                  <c:v>46143</c:v>
                </c:pt>
                <c:pt idx="356">
                  <c:v>46150</c:v>
                </c:pt>
                <c:pt idx="357">
                  <c:v>46157</c:v>
                </c:pt>
                <c:pt idx="358">
                  <c:v>46164</c:v>
                </c:pt>
                <c:pt idx="359">
                  <c:v>46171</c:v>
                </c:pt>
                <c:pt idx="360">
                  <c:v>46178</c:v>
                </c:pt>
                <c:pt idx="361">
                  <c:v>46185</c:v>
                </c:pt>
                <c:pt idx="362">
                  <c:v>46192</c:v>
                </c:pt>
                <c:pt idx="363">
                  <c:v>46199</c:v>
                </c:pt>
                <c:pt idx="364">
                  <c:v>46206</c:v>
                </c:pt>
                <c:pt idx="365">
                  <c:v>46213</c:v>
                </c:pt>
                <c:pt idx="366">
                  <c:v>46220</c:v>
                </c:pt>
                <c:pt idx="367">
                  <c:v>46227</c:v>
                </c:pt>
                <c:pt idx="368">
                  <c:v>46234</c:v>
                </c:pt>
                <c:pt idx="369">
                  <c:v>46241</c:v>
                </c:pt>
                <c:pt idx="370">
                  <c:v>46248</c:v>
                </c:pt>
                <c:pt idx="371">
                  <c:v>46255</c:v>
                </c:pt>
                <c:pt idx="372">
                  <c:v>46262</c:v>
                </c:pt>
                <c:pt idx="373">
                  <c:v>46269</c:v>
                </c:pt>
                <c:pt idx="374">
                  <c:v>46276</c:v>
                </c:pt>
                <c:pt idx="375">
                  <c:v>46283</c:v>
                </c:pt>
                <c:pt idx="376">
                  <c:v>46290</c:v>
                </c:pt>
                <c:pt idx="377">
                  <c:v>46297</c:v>
                </c:pt>
                <c:pt idx="378">
                  <c:v>46304</c:v>
                </c:pt>
              </c:numCache>
            </c:numRef>
          </c:cat>
          <c:val>
            <c:numRef>
              <c:f>Base!$AV$7:$AV$2000</c:f>
              <c:numCache>
                <c:formatCode>General</c:formatCode>
                <c:ptCount val="1994"/>
                <c:pt idx="0">
                  <c:v>5.8318000000000003</c:v>
                </c:pt>
                <c:pt idx="1">
                  <c:v>5.4429999999999996</c:v>
                </c:pt>
                <c:pt idx="2">
                  <c:v>5.5705999999999998</c:v>
                </c:pt>
                <c:pt idx="3">
                  <c:v>5.4488000000000003</c:v>
                </c:pt>
                <c:pt idx="4">
                  <c:v>5.5997000000000003</c:v>
                </c:pt>
                <c:pt idx="5">
                  <c:v>3.1795</c:v>
                </c:pt>
                <c:pt idx="6">
                  <c:v>2.7557999999999998</c:v>
                </c:pt>
                <c:pt idx="7">
                  <c:v>2.6629</c:v>
                </c:pt>
                <c:pt idx="8">
                  <c:v>3.0112000000000001</c:v>
                </c:pt>
                <c:pt idx="9">
                  <c:v>3.5219</c:v>
                </c:pt>
                <c:pt idx="10">
                  <c:v>3.7307999999999999</c:v>
                </c:pt>
                <c:pt idx="11">
                  <c:v>3.3014000000000001</c:v>
                </c:pt>
                <c:pt idx="12">
                  <c:v>3.1543000000000001</c:v>
                </c:pt>
                <c:pt idx="13">
                  <c:v>3.1589999999999998</c:v>
                </c:pt>
                <c:pt idx="14">
                  <c:v>3.0790000000000002</c:v>
                </c:pt>
                <c:pt idx="15">
                  <c:v>3.0507</c:v>
                </c:pt>
                <c:pt idx="16">
                  <c:v>2.9565999999999999</c:v>
                </c:pt>
                <c:pt idx="17">
                  <c:v>2.7259000000000002</c:v>
                </c:pt>
                <c:pt idx="18">
                  <c:v>2.4716</c:v>
                </c:pt>
                <c:pt idx="19">
                  <c:v>2.7259000000000002</c:v>
                </c:pt>
                <c:pt idx="20">
                  <c:v>2.7446999999999999</c:v>
                </c:pt>
                <c:pt idx="21">
                  <c:v>2.8624000000000001</c:v>
                </c:pt>
                <c:pt idx="22">
                  <c:v>2.7682000000000002</c:v>
                </c:pt>
                <c:pt idx="23">
                  <c:v>2.8530000000000002</c:v>
                </c:pt>
                <c:pt idx="24">
                  <c:v>3.2296999999999998</c:v>
                </c:pt>
                <c:pt idx="25">
                  <c:v>2.3384</c:v>
                </c:pt>
                <c:pt idx="26">
                  <c:v>2.4742999999999999</c:v>
                </c:pt>
                <c:pt idx="27">
                  <c:v>2.4943</c:v>
                </c:pt>
                <c:pt idx="28">
                  <c:v>2.3702999999999999</c:v>
                </c:pt>
                <c:pt idx="29">
                  <c:v>2.3582999999999998</c:v>
                </c:pt>
                <c:pt idx="30">
                  <c:v>2.3942999999999999</c:v>
                </c:pt>
                <c:pt idx="31">
                  <c:v>2.3104</c:v>
                </c:pt>
                <c:pt idx="32">
                  <c:v>2.3024</c:v>
                </c:pt>
                <c:pt idx="33">
                  <c:v>2.1105</c:v>
                </c:pt>
                <c:pt idx="34">
                  <c:v>2.1383999999999999</c:v>
                </c:pt>
                <c:pt idx="35">
                  <c:v>2.0225</c:v>
                </c:pt>
                <c:pt idx="36">
                  <c:v>1.7465999999999999</c:v>
                </c:pt>
                <c:pt idx="37">
                  <c:v>1.6706000000000001</c:v>
                </c:pt>
                <c:pt idx="38">
                  <c:v>1.3072999999999999</c:v>
                </c:pt>
                <c:pt idx="39">
                  <c:v>1.4153</c:v>
                </c:pt>
                <c:pt idx="40">
                  <c:v>1.4431</c:v>
                </c:pt>
                <c:pt idx="41">
                  <c:v>1.403</c:v>
                </c:pt>
                <c:pt idx="42">
                  <c:v>1.4678</c:v>
                </c:pt>
                <c:pt idx="43">
                  <c:v>1.5819000000000001</c:v>
                </c:pt>
                <c:pt idx="44">
                  <c:v>1.6838</c:v>
                </c:pt>
                <c:pt idx="45">
                  <c:v>1.6652</c:v>
                </c:pt>
                <c:pt idx="46">
                  <c:v>1.5911999999999999</c:v>
                </c:pt>
                <c:pt idx="47">
                  <c:v>1.9181999999999999</c:v>
                </c:pt>
                <c:pt idx="48">
                  <c:v>2.0076999999999998</c:v>
                </c:pt>
                <c:pt idx="49">
                  <c:v>1.8132999999999999</c:v>
                </c:pt>
                <c:pt idx="50">
                  <c:v>1.7794000000000001</c:v>
                </c:pt>
                <c:pt idx="51">
                  <c:v>2.4841000000000002</c:v>
                </c:pt>
                <c:pt idx="52">
                  <c:v>2.6717</c:v>
                </c:pt>
                <c:pt idx="53">
                  <c:v>2.7174999999999998</c:v>
                </c:pt>
                <c:pt idx="54">
                  <c:v>2.7037</c:v>
                </c:pt>
                <c:pt idx="55">
                  <c:v>2.69</c:v>
                </c:pt>
                <c:pt idx="56">
                  <c:v>3.0836000000000001</c:v>
                </c:pt>
                <c:pt idx="57">
                  <c:v>2.8090000000000002</c:v>
                </c:pt>
                <c:pt idx="58">
                  <c:v>2.722</c:v>
                </c:pt>
                <c:pt idx="59">
                  <c:v>2.6168</c:v>
                </c:pt>
                <c:pt idx="60">
                  <c:v>2.4931999999999999</c:v>
                </c:pt>
                <c:pt idx="61">
                  <c:v>2.5251999999999999</c:v>
                </c:pt>
                <c:pt idx="62">
                  <c:v>2.4428999999999998</c:v>
                </c:pt>
                <c:pt idx="63">
                  <c:v>2.5802</c:v>
                </c:pt>
                <c:pt idx="64">
                  <c:v>1.6922999999999999</c:v>
                </c:pt>
                <c:pt idx="65">
                  <c:v>1.6164000000000001</c:v>
                </c:pt>
                <c:pt idx="66">
                  <c:v>1.9126000000000001</c:v>
                </c:pt>
                <c:pt idx="67">
                  <c:v>2.2124999999999999</c:v>
                </c:pt>
                <c:pt idx="68">
                  <c:v>1.9161999999999999</c:v>
                </c:pt>
                <c:pt idx="69">
                  <c:v>1.9547000000000001</c:v>
                </c:pt>
                <c:pt idx="70">
                  <c:v>1.9849000000000001</c:v>
                </c:pt>
                <c:pt idx="71">
                  <c:v>1.8801000000000001</c:v>
                </c:pt>
                <c:pt idx="72">
                  <c:v>1.9849000000000001</c:v>
                </c:pt>
                <c:pt idx="73">
                  <c:v>1.956</c:v>
                </c:pt>
                <c:pt idx="74">
                  <c:v>1.8946000000000001</c:v>
                </c:pt>
                <c:pt idx="75">
                  <c:v>1.8584000000000001</c:v>
                </c:pt>
                <c:pt idx="76">
                  <c:v>1.8656999999999999</c:v>
                </c:pt>
                <c:pt idx="77">
                  <c:v>2.1511</c:v>
                </c:pt>
                <c:pt idx="78">
                  <c:v>2.1511</c:v>
                </c:pt>
                <c:pt idx="79">
                  <c:v>2.1511</c:v>
                </c:pt>
                <c:pt idx="80">
                  <c:v>2.1511</c:v>
                </c:pt>
                <c:pt idx="81">
                  <c:v>2.1511</c:v>
                </c:pt>
                <c:pt idx="82">
                  <c:v>2.1511</c:v>
                </c:pt>
                <c:pt idx="83">
                  <c:v>2.1511</c:v>
                </c:pt>
                <c:pt idx="84">
                  <c:v>2.1511</c:v>
                </c:pt>
                <c:pt idx="85">
                  <c:v>2.1511</c:v>
                </c:pt>
                <c:pt idx="86">
                  <c:v>2.1511</c:v>
                </c:pt>
                <c:pt idx="87">
                  <c:v>2.1511</c:v>
                </c:pt>
                <c:pt idx="88">
                  <c:v>2.1511</c:v>
                </c:pt>
                <c:pt idx="89">
                  <c:v>2.1511</c:v>
                </c:pt>
                <c:pt idx="90">
                  <c:v>2.1511</c:v>
                </c:pt>
                <c:pt idx="91">
                  <c:v>2.1511</c:v>
                </c:pt>
                <c:pt idx="92">
                  <c:v>2.1511</c:v>
                </c:pt>
                <c:pt idx="93">
                  <c:v>2.1511</c:v>
                </c:pt>
                <c:pt idx="94">
                  <c:v>2.1511</c:v>
                </c:pt>
                <c:pt idx="95">
                  <c:v>2.1511</c:v>
                </c:pt>
                <c:pt idx="96">
                  <c:v>2.1511</c:v>
                </c:pt>
                <c:pt idx="97">
                  <c:v>2.1511</c:v>
                </c:pt>
                <c:pt idx="98">
                  <c:v>2.1511</c:v>
                </c:pt>
                <c:pt idx="99">
                  <c:v>2.1511</c:v>
                </c:pt>
                <c:pt idx="100">
                  <c:v>2.1511</c:v>
                </c:pt>
                <c:pt idx="101">
                  <c:v>2.1511</c:v>
                </c:pt>
                <c:pt idx="102">
                  <c:v>2.1511</c:v>
                </c:pt>
                <c:pt idx="103">
                  <c:v>2.1511</c:v>
                </c:pt>
                <c:pt idx="104">
                  <c:v>2.1511</c:v>
                </c:pt>
                <c:pt idx="105">
                  <c:v>2.1511</c:v>
                </c:pt>
                <c:pt idx="106">
                  <c:v>2.1511</c:v>
                </c:pt>
                <c:pt idx="107">
                  <c:v>2.1511</c:v>
                </c:pt>
                <c:pt idx="108">
                  <c:v>2.1511</c:v>
                </c:pt>
                <c:pt idx="109">
                  <c:v>2.1511</c:v>
                </c:pt>
                <c:pt idx="110">
                  <c:v>2.1511</c:v>
                </c:pt>
                <c:pt idx="111">
                  <c:v>2.1511</c:v>
                </c:pt>
                <c:pt idx="112">
                  <c:v>2.1511</c:v>
                </c:pt>
                <c:pt idx="113">
                  <c:v>2.1511</c:v>
                </c:pt>
                <c:pt idx="114">
                  <c:v>2.1511</c:v>
                </c:pt>
                <c:pt idx="115">
                  <c:v>2.1511</c:v>
                </c:pt>
                <c:pt idx="116">
                  <c:v>2.1511</c:v>
                </c:pt>
                <c:pt idx="117">
                  <c:v>2.1511</c:v>
                </c:pt>
                <c:pt idx="118">
                  <c:v>2.1511</c:v>
                </c:pt>
                <c:pt idx="119">
                  <c:v>2.1511</c:v>
                </c:pt>
                <c:pt idx="120">
                  <c:v>2.1511</c:v>
                </c:pt>
                <c:pt idx="121">
                  <c:v>2.1511</c:v>
                </c:pt>
                <c:pt idx="122">
                  <c:v>2.1511</c:v>
                </c:pt>
                <c:pt idx="123">
                  <c:v>2.1511</c:v>
                </c:pt>
                <c:pt idx="124">
                  <c:v>2.1511</c:v>
                </c:pt>
                <c:pt idx="125">
                  <c:v>2.1511</c:v>
                </c:pt>
                <c:pt idx="126">
                  <c:v>2.1511</c:v>
                </c:pt>
                <c:pt idx="127">
                  <c:v>2.1511</c:v>
                </c:pt>
                <c:pt idx="128">
                  <c:v>2.1511</c:v>
                </c:pt>
                <c:pt idx="129">
                  <c:v>3.0752999999999999</c:v>
                </c:pt>
                <c:pt idx="130">
                  <c:v>2.8944000000000001</c:v>
                </c:pt>
                <c:pt idx="131">
                  <c:v>2.7174999999999998</c:v>
                </c:pt>
                <c:pt idx="132">
                  <c:v>2.7738</c:v>
                </c:pt>
                <c:pt idx="133">
                  <c:v>2.8944000000000001</c:v>
                </c:pt>
                <c:pt idx="134">
                  <c:v>3.8393999999999999</c:v>
                </c:pt>
                <c:pt idx="135">
                  <c:v>3.6463000000000001</c:v>
                </c:pt>
                <c:pt idx="136">
                  <c:v>3.6945999999999999</c:v>
                </c:pt>
                <c:pt idx="137">
                  <c:v>3.9721000000000002</c:v>
                </c:pt>
                <c:pt idx="138">
                  <c:v>4.0766</c:v>
                </c:pt>
                <c:pt idx="139">
                  <c:v>3.8715000000000002</c:v>
                </c:pt>
                <c:pt idx="140">
                  <c:v>3.4975999999999998</c:v>
                </c:pt>
                <c:pt idx="141">
                  <c:v>3.7227000000000001</c:v>
                </c:pt>
                <c:pt idx="142">
                  <c:v>3.8050000000000002</c:v>
                </c:pt>
                <c:pt idx="143">
                  <c:v>3.7509999999999999</c:v>
                </c:pt>
                <c:pt idx="144">
                  <c:v>3.6358000000000001</c:v>
                </c:pt>
                <c:pt idx="145">
                  <c:v>3.6753999999999998</c:v>
                </c:pt>
                <c:pt idx="146">
                  <c:v>3.3801999999999999</c:v>
                </c:pt>
                <c:pt idx="147">
                  <c:v>3.3801999999999999</c:v>
                </c:pt>
                <c:pt idx="148">
                  <c:v>3.4594</c:v>
                </c:pt>
                <c:pt idx="149">
                  <c:v>3.3730000000000002</c:v>
                </c:pt>
                <c:pt idx="150">
                  <c:v>3.5350000000000001</c:v>
                </c:pt>
                <c:pt idx="151">
                  <c:v>3.6753999999999998</c:v>
                </c:pt>
                <c:pt idx="152">
                  <c:v>3.3117999999999999</c:v>
                </c:pt>
                <c:pt idx="153">
                  <c:v>3.2290000000000001</c:v>
                </c:pt>
                <c:pt idx="154">
                  <c:v>3.0958000000000001</c:v>
                </c:pt>
                <c:pt idx="155">
                  <c:v>3.0777999999999999</c:v>
                </c:pt>
                <c:pt idx="156">
                  <c:v>3.0777999999999999</c:v>
                </c:pt>
                <c:pt idx="157">
                  <c:v>3.0777999999999999</c:v>
                </c:pt>
                <c:pt idx="158">
                  <c:v>3.0777999999999999</c:v>
                </c:pt>
                <c:pt idx="159">
                  <c:v>3.0777999999999999</c:v>
                </c:pt>
                <c:pt idx="160">
                  <c:v>3.0777999999999999</c:v>
                </c:pt>
                <c:pt idx="161">
                  <c:v>3.0777999999999999</c:v>
                </c:pt>
                <c:pt idx="162">
                  <c:v>3.0777999999999999</c:v>
                </c:pt>
                <c:pt idx="163">
                  <c:v>3.0777999999999999</c:v>
                </c:pt>
                <c:pt idx="164">
                  <c:v>3.0777999999999999</c:v>
                </c:pt>
                <c:pt idx="165">
                  <c:v>3.0777999999999999</c:v>
                </c:pt>
                <c:pt idx="166">
                  <c:v>3.0777999999999999</c:v>
                </c:pt>
                <c:pt idx="167">
                  <c:v>3.0777999999999999</c:v>
                </c:pt>
                <c:pt idx="168">
                  <c:v>3.0777999999999999</c:v>
                </c:pt>
                <c:pt idx="169">
                  <c:v>3.0777999999999999</c:v>
                </c:pt>
                <c:pt idx="170">
                  <c:v>3.0777999999999999</c:v>
                </c:pt>
                <c:pt idx="171">
                  <c:v>3.0777999999999999</c:v>
                </c:pt>
                <c:pt idx="172">
                  <c:v>3.0777999999999999</c:v>
                </c:pt>
                <c:pt idx="173">
                  <c:v>3.0777999999999999</c:v>
                </c:pt>
                <c:pt idx="174">
                  <c:v>3.0777999999999999</c:v>
                </c:pt>
                <c:pt idx="175">
                  <c:v>3.0777999999999999</c:v>
                </c:pt>
                <c:pt idx="176">
                  <c:v>3.0777999999999999</c:v>
                </c:pt>
                <c:pt idx="177">
                  <c:v>3.0777999999999999</c:v>
                </c:pt>
                <c:pt idx="178">
                  <c:v>3.0777999999999999</c:v>
                </c:pt>
                <c:pt idx="179">
                  <c:v>3.0777999999999999</c:v>
                </c:pt>
                <c:pt idx="180">
                  <c:v>3.0777999999999999</c:v>
                </c:pt>
                <c:pt idx="181">
                  <c:v>3.0777999999999999</c:v>
                </c:pt>
                <c:pt idx="182">
                  <c:v>3.0777999999999999</c:v>
                </c:pt>
                <c:pt idx="183">
                  <c:v>3.0777999999999999</c:v>
                </c:pt>
                <c:pt idx="184">
                  <c:v>3.0777999999999999</c:v>
                </c:pt>
                <c:pt idx="185">
                  <c:v>3.0777999999999999</c:v>
                </c:pt>
                <c:pt idx="186">
                  <c:v>3.0777999999999999</c:v>
                </c:pt>
                <c:pt idx="187">
                  <c:v>3.0777999999999999</c:v>
                </c:pt>
                <c:pt idx="188">
                  <c:v>3.0777999999999999</c:v>
                </c:pt>
                <c:pt idx="189">
                  <c:v>3.0777999999999999</c:v>
                </c:pt>
                <c:pt idx="190">
                  <c:v>3.0777999999999999</c:v>
                </c:pt>
                <c:pt idx="191">
                  <c:v>3.0777999999999999</c:v>
                </c:pt>
                <c:pt idx="192">
                  <c:v>3.0777999999999999</c:v>
                </c:pt>
                <c:pt idx="193">
                  <c:v>3.0777999999999999</c:v>
                </c:pt>
                <c:pt idx="194">
                  <c:v>3.0777999999999999</c:v>
                </c:pt>
                <c:pt idx="195">
                  <c:v>3.0777999999999999</c:v>
                </c:pt>
                <c:pt idx="196">
                  <c:v>3.0777999999999999</c:v>
                </c:pt>
                <c:pt idx="197">
                  <c:v>3.0777999999999999</c:v>
                </c:pt>
                <c:pt idx="198">
                  <c:v>3.0777999999999999</c:v>
                </c:pt>
                <c:pt idx="199">
                  <c:v>3.0777999999999999</c:v>
                </c:pt>
                <c:pt idx="200">
                  <c:v>3.0777999999999999</c:v>
                </c:pt>
                <c:pt idx="201">
                  <c:v>3.0777999999999999</c:v>
                </c:pt>
                <c:pt idx="202">
                  <c:v>3.0777999999999999</c:v>
                </c:pt>
                <c:pt idx="203">
                  <c:v>3.0777999999999999</c:v>
                </c:pt>
                <c:pt idx="204">
                  <c:v>3.0777999999999999</c:v>
                </c:pt>
                <c:pt idx="205">
                  <c:v>3.0777999999999999</c:v>
                </c:pt>
                <c:pt idx="206">
                  <c:v>3.0777999999999999</c:v>
                </c:pt>
                <c:pt idx="207">
                  <c:v>3.0777999999999999</c:v>
                </c:pt>
                <c:pt idx="208">
                  <c:v>3.0777999999999999</c:v>
                </c:pt>
                <c:pt idx="209">
                  <c:v>3.0777999999999999</c:v>
                </c:pt>
                <c:pt idx="210">
                  <c:v>3.0777999999999999</c:v>
                </c:pt>
                <c:pt idx="211">
                  <c:v>3.0777999999999999</c:v>
                </c:pt>
                <c:pt idx="212">
                  <c:v>3.0777999999999999</c:v>
                </c:pt>
                <c:pt idx="213">
                  <c:v>3.0777999999999999</c:v>
                </c:pt>
                <c:pt idx="214">
                  <c:v>3.0777999999999999</c:v>
                </c:pt>
                <c:pt idx="215">
                  <c:v>3.0777999999999999</c:v>
                </c:pt>
                <c:pt idx="216">
                  <c:v>3.0777999999999999</c:v>
                </c:pt>
                <c:pt idx="217">
                  <c:v>3.0777999999999999</c:v>
                </c:pt>
                <c:pt idx="218">
                  <c:v>3.0777999999999999</c:v>
                </c:pt>
                <c:pt idx="219">
                  <c:v>3.0777999999999999</c:v>
                </c:pt>
                <c:pt idx="220">
                  <c:v>3.0777999999999999</c:v>
                </c:pt>
                <c:pt idx="221">
                  <c:v>3.0777999999999999</c:v>
                </c:pt>
                <c:pt idx="222">
                  <c:v>3.0777999999999999</c:v>
                </c:pt>
                <c:pt idx="223">
                  <c:v>3.0777999999999999</c:v>
                </c:pt>
                <c:pt idx="224">
                  <c:v>3.0777999999999999</c:v>
                </c:pt>
                <c:pt idx="225">
                  <c:v>3.0777999999999999</c:v>
                </c:pt>
                <c:pt idx="226">
                  <c:v>3.0777999999999999</c:v>
                </c:pt>
                <c:pt idx="227">
                  <c:v>3.0777999999999999</c:v>
                </c:pt>
                <c:pt idx="228">
                  <c:v>3.0777999999999999</c:v>
                </c:pt>
                <c:pt idx="229">
                  <c:v>3.0777999999999999</c:v>
                </c:pt>
                <c:pt idx="230">
                  <c:v>3.0777999999999999</c:v>
                </c:pt>
                <c:pt idx="231">
                  <c:v>3.0777999999999999</c:v>
                </c:pt>
                <c:pt idx="232">
                  <c:v>3.0777999999999999</c:v>
                </c:pt>
                <c:pt idx="233">
                  <c:v>3.0777999999999999</c:v>
                </c:pt>
                <c:pt idx="234">
                  <c:v>3.0777999999999999</c:v>
                </c:pt>
                <c:pt idx="235">
                  <c:v>3.0777999999999999</c:v>
                </c:pt>
                <c:pt idx="236">
                  <c:v>3.0777999999999999</c:v>
                </c:pt>
                <c:pt idx="237">
                  <c:v>3.0777999999999999</c:v>
                </c:pt>
                <c:pt idx="238">
                  <c:v>3.0777999999999999</c:v>
                </c:pt>
                <c:pt idx="239">
                  <c:v>3.0777999999999999</c:v>
                </c:pt>
                <c:pt idx="240">
                  <c:v>3.0777999999999999</c:v>
                </c:pt>
                <c:pt idx="241">
                  <c:v>3.0777999999999999</c:v>
                </c:pt>
                <c:pt idx="242">
                  <c:v>3.0777999999999999</c:v>
                </c:pt>
                <c:pt idx="243">
                  <c:v>3.0777999999999999</c:v>
                </c:pt>
                <c:pt idx="244">
                  <c:v>3.0777999999999999</c:v>
                </c:pt>
                <c:pt idx="245">
                  <c:v>3.0777999999999999</c:v>
                </c:pt>
                <c:pt idx="246">
                  <c:v>3.0777999999999999</c:v>
                </c:pt>
                <c:pt idx="247">
                  <c:v>3.0777999999999999</c:v>
                </c:pt>
                <c:pt idx="248">
                  <c:v>3.0777999999999999</c:v>
                </c:pt>
                <c:pt idx="249">
                  <c:v>3.0777999999999999</c:v>
                </c:pt>
                <c:pt idx="250">
                  <c:v>3.0777999999999999</c:v>
                </c:pt>
                <c:pt idx="251">
                  <c:v>3.0777999999999999</c:v>
                </c:pt>
                <c:pt idx="252">
                  <c:v>3.0777999999999999</c:v>
                </c:pt>
                <c:pt idx="253">
                  <c:v>3.0777999999999999</c:v>
                </c:pt>
                <c:pt idx="254">
                  <c:v>3.0777999999999999</c:v>
                </c:pt>
                <c:pt idx="255">
                  <c:v>3.0777999999999999</c:v>
                </c:pt>
                <c:pt idx="256">
                  <c:v>3.0777999999999999</c:v>
                </c:pt>
                <c:pt idx="257">
                  <c:v>3.0777999999999999</c:v>
                </c:pt>
                <c:pt idx="258">
                  <c:v>3.0777999999999999</c:v>
                </c:pt>
                <c:pt idx="259">
                  <c:v>9.2936999999999994</c:v>
                </c:pt>
                <c:pt idx="260">
                  <c:v>9.1633999999999993</c:v>
                </c:pt>
                <c:pt idx="261">
                  <c:v>10.173500000000001</c:v>
                </c:pt>
                <c:pt idx="262">
                  <c:v>9.2026000000000003</c:v>
                </c:pt>
                <c:pt idx="263">
                  <c:v>9.1622000000000003</c:v>
                </c:pt>
                <c:pt idx="264">
                  <c:v>8.6767000000000003</c:v>
                </c:pt>
                <c:pt idx="265">
                  <c:v>9.3239999999999998</c:v>
                </c:pt>
                <c:pt idx="266">
                  <c:v>9.4048999999999996</c:v>
                </c:pt>
                <c:pt idx="267">
                  <c:v>9.7690000000000001</c:v>
                </c:pt>
                <c:pt idx="268">
                  <c:v>10.578099999999999</c:v>
                </c:pt>
                <c:pt idx="269">
                  <c:v>11.2658</c:v>
                </c:pt>
                <c:pt idx="270">
                  <c:v>12.843500000000001</c:v>
                </c:pt>
                <c:pt idx="271">
                  <c:v>12.4794</c:v>
                </c:pt>
                <c:pt idx="272">
                  <c:v>11.751300000000001</c:v>
                </c:pt>
                <c:pt idx="273">
                  <c:v>10.793799999999999</c:v>
                </c:pt>
                <c:pt idx="274">
                  <c:v>11.052199999999999</c:v>
                </c:pt>
                <c:pt idx="275">
                  <c:v>10.7569</c:v>
                </c:pt>
                <c:pt idx="276">
                  <c:v>12.0121</c:v>
                </c:pt>
                <c:pt idx="277">
                  <c:v>14.079499999999999</c:v>
                </c:pt>
                <c:pt idx="278">
                  <c:v>14.2272</c:v>
                </c:pt>
                <c:pt idx="279">
                  <c:v>14.7072</c:v>
                </c:pt>
                <c:pt idx="280">
                  <c:v>15.667</c:v>
                </c:pt>
                <c:pt idx="281">
                  <c:v>16.59</c:v>
                </c:pt>
                <c:pt idx="282">
                  <c:v>19.026599999999998</c:v>
                </c:pt>
                <c:pt idx="283">
                  <c:v>20.614100000000001</c:v>
                </c:pt>
                <c:pt idx="284">
                  <c:v>18.805099999999999</c:v>
                </c:pt>
                <c:pt idx="285">
                  <c:v>19.912700000000001</c:v>
                </c:pt>
                <c:pt idx="286">
                  <c:v>8.7094000000000005</c:v>
                </c:pt>
                <c:pt idx="287">
                  <c:v>7.4390000000000001</c:v>
                </c:pt>
                <c:pt idx="288">
                  <c:v>6.5655999999999999</c:v>
                </c:pt>
                <c:pt idx="289">
                  <c:v>7.1214000000000004</c:v>
                </c:pt>
                <c:pt idx="290">
                  <c:v>7.6612999999999998</c:v>
                </c:pt>
                <c:pt idx="291">
                  <c:v>7.5978000000000003</c:v>
                </c:pt>
                <c:pt idx="292">
                  <c:v>7.9154</c:v>
                </c:pt>
                <c:pt idx="293">
                  <c:v>7.5025000000000004</c:v>
                </c:pt>
                <c:pt idx="294">
                  <c:v>6.9466999999999999</c:v>
                </c:pt>
                <c:pt idx="295">
                  <c:v>7.2643000000000004</c:v>
                </c:pt>
                <c:pt idx="296">
                  <c:v>6.8356000000000003</c:v>
                </c:pt>
                <c:pt idx="297">
                  <c:v>7.1532</c:v>
                </c:pt>
                <c:pt idx="298">
                  <c:v>6.8513999999999999</c:v>
                </c:pt>
                <c:pt idx="299">
                  <c:v>4.6481000000000003</c:v>
                </c:pt>
                <c:pt idx="300">
                  <c:v>5.0205000000000002</c:v>
                </c:pt>
                <c:pt idx="301">
                  <c:v>5.1818</c:v>
                </c:pt>
                <c:pt idx="302">
                  <c:v>4.9088000000000003</c:v>
                </c:pt>
                <c:pt idx="303">
                  <c:v>4.673</c:v>
                </c:pt>
                <c:pt idx="304">
                  <c:v>4.8467000000000002</c:v>
                </c:pt>
                <c:pt idx="305">
                  <c:v>5.2314999999999996</c:v>
                </c:pt>
                <c:pt idx="306">
                  <c:v>5.4672999999999998</c:v>
                </c:pt>
                <c:pt idx="307">
                  <c:v>5.157</c:v>
                </c:pt>
                <c:pt idx="308">
                  <c:v>4.9355000000000002</c:v>
                </c:pt>
                <c:pt idx="309">
                  <c:v>4.5506000000000002</c:v>
                </c:pt>
                <c:pt idx="310">
                  <c:v>4.4389000000000003</c:v>
                </c:pt>
                <c:pt idx="311">
                  <c:v>4.3643999999999998</c:v>
                </c:pt>
                <c:pt idx="312">
                  <c:v>4.2935999999999996</c:v>
                </c:pt>
                <c:pt idx="313">
                  <c:v>4.1993</c:v>
                </c:pt>
                <c:pt idx="314">
                  <c:v>4.2817999999999996</c:v>
                </c:pt>
                <c:pt idx="315">
                  <c:v>4.4939999999999998</c:v>
                </c:pt>
                <c:pt idx="316">
                  <c:v>5.0010000000000003</c:v>
                </c:pt>
                <c:pt idx="317">
                  <c:v>4.9184000000000001</c:v>
                </c:pt>
                <c:pt idx="318">
                  <c:v>4.7061999999999999</c:v>
                </c:pt>
                <c:pt idx="319">
                  <c:v>4.1638999999999999</c:v>
                </c:pt>
                <c:pt idx="320">
                  <c:v>3.8809</c:v>
                </c:pt>
                <c:pt idx="321">
                  <c:v>4.0224000000000002</c:v>
                </c:pt>
                <c:pt idx="322">
                  <c:v>3.3927999999999998</c:v>
                </c:pt>
                <c:pt idx="323">
                  <c:v>3.2229999999999999</c:v>
                </c:pt>
                <c:pt idx="324">
                  <c:v>3.3056000000000001</c:v>
                </c:pt>
                <c:pt idx="325">
                  <c:v>3.1945999999999999</c:v>
                </c:pt>
                <c:pt idx="326">
                  <c:v>3.4782000000000002</c:v>
                </c:pt>
                <c:pt idx="327">
                  <c:v>3.6976</c:v>
                </c:pt>
                <c:pt idx="328">
                  <c:v>3.8527999999999998</c:v>
                </c:pt>
                <c:pt idx="329">
                  <c:v>5.9092000000000002</c:v>
                </c:pt>
                <c:pt idx="330">
                  <c:v>5.6680999999999999</c:v>
                </c:pt>
                <c:pt idx="331">
                  <c:v>5.7633000000000001</c:v>
                </c:pt>
                <c:pt idx="332">
                  <c:v>5.3968999999999996</c:v>
                </c:pt>
                <c:pt idx="333">
                  <c:v>6.0541</c:v>
                </c:pt>
                <c:pt idx="334">
                  <c:v>5.9143999999999997</c:v>
                </c:pt>
                <c:pt idx="335">
                  <c:v>5.5293999999999999</c:v>
                </c:pt>
                <c:pt idx="336">
                  <c:v>5.7798999999999996</c:v>
                </c:pt>
                <c:pt idx="337">
                  <c:v>5.7385000000000002</c:v>
                </c:pt>
                <c:pt idx="338">
                  <c:v>5.6227</c:v>
                </c:pt>
                <c:pt idx="339">
                  <c:v>5.4233000000000002</c:v>
                </c:pt>
                <c:pt idx="340">
                  <c:v>5.0701000000000001</c:v>
                </c:pt>
                <c:pt idx="341">
                  <c:v>5.6242000000000001</c:v>
                </c:pt>
                <c:pt idx="342">
                  <c:v>5.8490000000000002</c:v>
                </c:pt>
                <c:pt idx="343">
                  <c:v>5.3075999999999999</c:v>
                </c:pt>
                <c:pt idx="344">
                  <c:v>5.2973999999999997</c:v>
                </c:pt>
                <c:pt idx="345">
                  <c:v>5.1482000000000001</c:v>
                </c:pt>
                <c:pt idx="346">
                  <c:v>4.7866</c:v>
                </c:pt>
                <c:pt idx="347">
                  <c:v>4.9031000000000002</c:v>
                </c:pt>
                <c:pt idx="348">
                  <c:v>4.9847999999999999</c:v>
                </c:pt>
                <c:pt idx="349">
                  <c:v>5.2298999999999998</c:v>
                </c:pt>
                <c:pt idx="350">
                  <c:v>5.2115999999999998</c:v>
                </c:pt>
                <c:pt idx="351">
                  <c:v>4.4965000000000002</c:v>
                </c:pt>
                <c:pt idx="352">
                  <c:v>4.2050000000000001</c:v>
                </c:pt>
                <c:pt idx="353">
                  <c:v>3.9611999999999998</c:v>
                </c:pt>
                <c:pt idx="354">
                  <c:v>3.8410000000000002</c:v>
                </c:pt>
                <c:pt idx="355">
                  <c:v>3.8064</c:v>
                </c:pt>
                <c:pt idx="356">
                  <c:v>3.5922999999999998</c:v>
                </c:pt>
                <c:pt idx="357">
                  <c:v>3.4489999999999998</c:v>
                </c:pt>
                <c:pt idx="358">
                  <c:v>3.6714000000000002</c:v>
                </c:pt>
                <c:pt idx="359">
                  <c:v>4.0995999999999997</c:v>
                </c:pt>
                <c:pt idx="360">
                  <c:v>3.9579</c:v>
                </c:pt>
                <c:pt idx="361">
                  <c:v>4.1226000000000003</c:v>
                </c:pt>
                <c:pt idx="362">
                  <c:v>4.1159999999999997</c:v>
                </c:pt>
                <c:pt idx="363">
                  <c:v>3.8178999999999998</c:v>
                </c:pt>
                <c:pt idx="364">
                  <c:v>4.1256000000000004</c:v>
                </c:pt>
                <c:pt idx="365">
                  <c:v>4.1764000000000001</c:v>
                </c:pt>
                <c:pt idx="366">
                  <c:v>4.1052</c:v>
                </c:pt>
                <c:pt idx="367">
                  <c:v>4.3202999999999996</c:v>
                </c:pt>
                <c:pt idx="368">
                  <c:v>4.4050000000000002</c:v>
                </c:pt>
                <c:pt idx="369">
                  <c:v>4.0697000000000001</c:v>
                </c:pt>
                <c:pt idx="370">
                  <c:v>3.9104999999999999</c:v>
                </c:pt>
                <c:pt idx="371">
                  <c:v>3.819</c:v>
                </c:pt>
                <c:pt idx="372">
                  <c:v>3.9731000000000001</c:v>
                </c:pt>
                <c:pt idx="373">
                  <c:v>4.0951000000000004</c:v>
                </c:pt>
                <c:pt idx="374">
                  <c:v>4.1222000000000003</c:v>
                </c:pt>
                <c:pt idx="375">
                  <c:v>3.9984999999999999</c:v>
                </c:pt>
                <c:pt idx="376">
                  <c:v>3.7530000000000001</c:v>
                </c:pt>
                <c:pt idx="377">
                  <c:v>3.5497999999999998</c:v>
                </c:pt>
                <c:pt idx="378">
                  <c:v>3.5684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B1-403E-9372-8D36C83E3BC5}"/>
            </c:ext>
          </c:extLst>
        </c:ser>
        <c:ser>
          <c:idx val="2"/>
          <c:order val="4"/>
          <c:tx>
            <c:strRef>
              <c:f>Base!$BH$4</c:f>
              <c:strCache>
                <c:ptCount val="1"/>
                <c:pt idx="0">
                  <c:v>METR AR Equity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Base!$A$7:$A$2000</c:f>
              <c:numCache>
                <c:formatCode>m/d/yyyy</c:formatCode>
                <c:ptCount val="1994"/>
                <c:pt idx="0">
                  <c:v>43658</c:v>
                </c:pt>
                <c:pt idx="1">
                  <c:v>43665</c:v>
                </c:pt>
                <c:pt idx="2">
                  <c:v>43672</c:v>
                </c:pt>
                <c:pt idx="3">
                  <c:v>43679</c:v>
                </c:pt>
                <c:pt idx="4">
                  <c:v>43686</c:v>
                </c:pt>
                <c:pt idx="5">
                  <c:v>43693</c:v>
                </c:pt>
                <c:pt idx="6">
                  <c:v>43700</c:v>
                </c:pt>
                <c:pt idx="7">
                  <c:v>43707</c:v>
                </c:pt>
                <c:pt idx="8">
                  <c:v>43714</c:v>
                </c:pt>
                <c:pt idx="9">
                  <c:v>43721</c:v>
                </c:pt>
                <c:pt idx="10">
                  <c:v>43728</c:v>
                </c:pt>
                <c:pt idx="11">
                  <c:v>43735</c:v>
                </c:pt>
                <c:pt idx="12">
                  <c:v>43742</c:v>
                </c:pt>
                <c:pt idx="13">
                  <c:v>43749</c:v>
                </c:pt>
                <c:pt idx="14">
                  <c:v>43756</c:v>
                </c:pt>
                <c:pt idx="15">
                  <c:v>43763</c:v>
                </c:pt>
                <c:pt idx="16">
                  <c:v>43770</c:v>
                </c:pt>
                <c:pt idx="17">
                  <c:v>43777</c:v>
                </c:pt>
                <c:pt idx="18">
                  <c:v>43784</c:v>
                </c:pt>
                <c:pt idx="19">
                  <c:v>43791</c:v>
                </c:pt>
                <c:pt idx="20">
                  <c:v>43798</c:v>
                </c:pt>
                <c:pt idx="21">
                  <c:v>43805</c:v>
                </c:pt>
                <c:pt idx="22">
                  <c:v>43812</c:v>
                </c:pt>
                <c:pt idx="23">
                  <c:v>43819</c:v>
                </c:pt>
                <c:pt idx="24">
                  <c:v>43826</c:v>
                </c:pt>
                <c:pt idx="25">
                  <c:v>43833</c:v>
                </c:pt>
                <c:pt idx="26">
                  <c:v>43840</c:v>
                </c:pt>
                <c:pt idx="27">
                  <c:v>43847</c:v>
                </c:pt>
                <c:pt idx="28">
                  <c:v>43854</c:v>
                </c:pt>
                <c:pt idx="29">
                  <c:v>43861</c:v>
                </c:pt>
                <c:pt idx="30">
                  <c:v>43868</c:v>
                </c:pt>
                <c:pt idx="31">
                  <c:v>43875</c:v>
                </c:pt>
                <c:pt idx="32">
                  <c:v>43882</c:v>
                </c:pt>
                <c:pt idx="33">
                  <c:v>43889</c:v>
                </c:pt>
                <c:pt idx="34">
                  <c:v>43896</c:v>
                </c:pt>
                <c:pt idx="35">
                  <c:v>43903</c:v>
                </c:pt>
                <c:pt idx="36">
                  <c:v>43910</c:v>
                </c:pt>
                <c:pt idx="37">
                  <c:v>43917</c:v>
                </c:pt>
                <c:pt idx="38">
                  <c:v>43924</c:v>
                </c:pt>
                <c:pt idx="39">
                  <c:v>43931</c:v>
                </c:pt>
                <c:pt idx="40">
                  <c:v>43938</c:v>
                </c:pt>
                <c:pt idx="41">
                  <c:v>43945</c:v>
                </c:pt>
                <c:pt idx="42">
                  <c:v>43952</c:v>
                </c:pt>
                <c:pt idx="43">
                  <c:v>43959</c:v>
                </c:pt>
                <c:pt idx="44">
                  <c:v>43966</c:v>
                </c:pt>
                <c:pt idx="45">
                  <c:v>43973</c:v>
                </c:pt>
                <c:pt idx="46">
                  <c:v>43980</c:v>
                </c:pt>
                <c:pt idx="47">
                  <c:v>43987</c:v>
                </c:pt>
                <c:pt idx="48">
                  <c:v>43994</c:v>
                </c:pt>
                <c:pt idx="49">
                  <c:v>44001</c:v>
                </c:pt>
                <c:pt idx="50">
                  <c:v>44008</c:v>
                </c:pt>
                <c:pt idx="51">
                  <c:v>44015</c:v>
                </c:pt>
                <c:pt idx="52">
                  <c:v>44022</c:v>
                </c:pt>
                <c:pt idx="53">
                  <c:v>44029</c:v>
                </c:pt>
                <c:pt idx="54">
                  <c:v>44036</c:v>
                </c:pt>
                <c:pt idx="55">
                  <c:v>44043</c:v>
                </c:pt>
                <c:pt idx="56">
                  <c:v>44050</c:v>
                </c:pt>
                <c:pt idx="57">
                  <c:v>44057</c:v>
                </c:pt>
                <c:pt idx="58">
                  <c:v>44064</c:v>
                </c:pt>
                <c:pt idx="59">
                  <c:v>44071</c:v>
                </c:pt>
                <c:pt idx="60">
                  <c:v>44078</c:v>
                </c:pt>
                <c:pt idx="61">
                  <c:v>44085</c:v>
                </c:pt>
                <c:pt idx="62">
                  <c:v>44092</c:v>
                </c:pt>
                <c:pt idx="63">
                  <c:v>44099</c:v>
                </c:pt>
                <c:pt idx="64">
                  <c:v>44106</c:v>
                </c:pt>
                <c:pt idx="65">
                  <c:v>44113</c:v>
                </c:pt>
                <c:pt idx="66">
                  <c:v>44120</c:v>
                </c:pt>
                <c:pt idx="67">
                  <c:v>44127</c:v>
                </c:pt>
                <c:pt idx="68">
                  <c:v>44134</c:v>
                </c:pt>
                <c:pt idx="69">
                  <c:v>44141</c:v>
                </c:pt>
                <c:pt idx="70">
                  <c:v>44148</c:v>
                </c:pt>
                <c:pt idx="71">
                  <c:v>44155</c:v>
                </c:pt>
                <c:pt idx="72">
                  <c:v>44162</c:v>
                </c:pt>
                <c:pt idx="73">
                  <c:v>44169</c:v>
                </c:pt>
                <c:pt idx="74">
                  <c:v>44176</c:v>
                </c:pt>
                <c:pt idx="75">
                  <c:v>44183</c:v>
                </c:pt>
                <c:pt idx="76">
                  <c:v>44190</c:v>
                </c:pt>
                <c:pt idx="77">
                  <c:v>44197</c:v>
                </c:pt>
                <c:pt idx="78">
                  <c:v>44204</c:v>
                </c:pt>
                <c:pt idx="79">
                  <c:v>44211</c:v>
                </c:pt>
                <c:pt idx="80">
                  <c:v>44218</c:v>
                </c:pt>
                <c:pt idx="81">
                  <c:v>44225</c:v>
                </c:pt>
                <c:pt idx="82">
                  <c:v>44232</c:v>
                </c:pt>
                <c:pt idx="83">
                  <c:v>44239</c:v>
                </c:pt>
                <c:pt idx="84">
                  <c:v>44246</c:v>
                </c:pt>
                <c:pt idx="85">
                  <c:v>44253</c:v>
                </c:pt>
                <c:pt idx="86">
                  <c:v>44260</c:v>
                </c:pt>
                <c:pt idx="87">
                  <c:v>44267</c:v>
                </c:pt>
                <c:pt idx="88">
                  <c:v>44274</c:v>
                </c:pt>
                <c:pt idx="89">
                  <c:v>44281</c:v>
                </c:pt>
                <c:pt idx="90">
                  <c:v>44288</c:v>
                </c:pt>
                <c:pt idx="91">
                  <c:v>44295</c:v>
                </c:pt>
                <c:pt idx="92">
                  <c:v>44302</c:v>
                </c:pt>
                <c:pt idx="93">
                  <c:v>44309</c:v>
                </c:pt>
                <c:pt idx="94">
                  <c:v>44316</c:v>
                </c:pt>
                <c:pt idx="95">
                  <c:v>44323</c:v>
                </c:pt>
                <c:pt idx="96">
                  <c:v>44330</c:v>
                </c:pt>
                <c:pt idx="97">
                  <c:v>44337</c:v>
                </c:pt>
                <c:pt idx="98">
                  <c:v>44344</c:v>
                </c:pt>
                <c:pt idx="99">
                  <c:v>44351</c:v>
                </c:pt>
                <c:pt idx="100">
                  <c:v>44358</c:v>
                </c:pt>
                <c:pt idx="101">
                  <c:v>44365</c:v>
                </c:pt>
                <c:pt idx="102">
                  <c:v>44372</c:v>
                </c:pt>
                <c:pt idx="103">
                  <c:v>44379</c:v>
                </c:pt>
                <c:pt idx="104">
                  <c:v>44386</c:v>
                </c:pt>
                <c:pt idx="105">
                  <c:v>44393</c:v>
                </c:pt>
                <c:pt idx="106">
                  <c:v>44400</c:v>
                </c:pt>
                <c:pt idx="107">
                  <c:v>44407</c:v>
                </c:pt>
                <c:pt idx="108">
                  <c:v>44414</c:v>
                </c:pt>
                <c:pt idx="109">
                  <c:v>44421</c:v>
                </c:pt>
                <c:pt idx="110">
                  <c:v>44428</c:v>
                </c:pt>
                <c:pt idx="111">
                  <c:v>44435</c:v>
                </c:pt>
                <c:pt idx="112">
                  <c:v>44442</c:v>
                </c:pt>
                <c:pt idx="113">
                  <c:v>44449</c:v>
                </c:pt>
                <c:pt idx="114">
                  <c:v>44456</c:v>
                </c:pt>
                <c:pt idx="115">
                  <c:v>44463</c:v>
                </c:pt>
                <c:pt idx="116">
                  <c:v>44470</c:v>
                </c:pt>
                <c:pt idx="117">
                  <c:v>44477</c:v>
                </c:pt>
                <c:pt idx="118">
                  <c:v>44484</c:v>
                </c:pt>
                <c:pt idx="119">
                  <c:v>44491</c:v>
                </c:pt>
                <c:pt idx="120">
                  <c:v>44498</c:v>
                </c:pt>
                <c:pt idx="121">
                  <c:v>44505</c:v>
                </c:pt>
                <c:pt idx="122">
                  <c:v>44512</c:v>
                </c:pt>
                <c:pt idx="123">
                  <c:v>44519</c:v>
                </c:pt>
                <c:pt idx="124">
                  <c:v>44526</c:v>
                </c:pt>
                <c:pt idx="125">
                  <c:v>44533</c:v>
                </c:pt>
                <c:pt idx="126">
                  <c:v>44540</c:v>
                </c:pt>
                <c:pt idx="127">
                  <c:v>44547</c:v>
                </c:pt>
                <c:pt idx="128">
                  <c:v>44554</c:v>
                </c:pt>
                <c:pt idx="129">
                  <c:v>44561</c:v>
                </c:pt>
                <c:pt idx="130">
                  <c:v>44568</c:v>
                </c:pt>
                <c:pt idx="131">
                  <c:v>44575</c:v>
                </c:pt>
                <c:pt idx="132">
                  <c:v>44582</c:v>
                </c:pt>
                <c:pt idx="133">
                  <c:v>44589</c:v>
                </c:pt>
                <c:pt idx="134">
                  <c:v>44596</c:v>
                </c:pt>
                <c:pt idx="135">
                  <c:v>44603</c:v>
                </c:pt>
                <c:pt idx="136">
                  <c:v>44610</c:v>
                </c:pt>
                <c:pt idx="137">
                  <c:v>44617</c:v>
                </c:pt>
                <c:pt idx="138">
                  <c:v>44624</c:v>
                </c:pt>
                <c:pt idx="139">
                  <c:v>44631</c:v>
                </c:pt>
                <c:pt idx="140">
                  <c:v>44638</c:v>
                </c:pt>
                <c:pt idx="141">
                  <c:v>44645</c:v>
                </c:pt>
                <c:pt idx="142">
                  <c:v>44652</c:v>
                </c:pt>
                <c:pt idx="143">
                  <c:v>44659</c:v>
                </c:pt>
                <c:pt idx="144">
                  <c:v>44666</c:v>
                </c:pt>
                <c:pt idx="145">
                  <c:v>44673</c:v>
                </c:pt>
                <c:pt idx="146">
                  <c:v>44680</c:v>
                </c:pt>
                <c:pt idx="147">
                  <c:v>44687</c:v>
                </c:pt>
                <c:pt idx="148">
                  <c:v>44694</c:v>
                </c:pt>
                <c:pt idx="149">
                  <c:v>44701</c:v>
                </c:pt>
                <c:pt idx="150">
                  <c:v>44708</c:v>
                </c:pt>
                <c:pt idx="151">
                  <c:v>44715</c:v>
                </c:pt>
                <c:pt idx="152">
                  <c:v>44722</c:v>
                </c:pt>
                <c:pt idx="153">
                  <c:v>44729</c:v>
                </c:pt>
                <c:pt idx="154">
                  <c:v>44736</c:v>
                </c:pt>
                <c:pt idx="155">
                  <c:v>44743</c:v>
                </c:pt>
                <c:pt idx="156">
                  <c:v>44750</c:v>
                </c:pt>
                <c:pt idx="157">
                  <c:v>44757</c:v>
                </c:pt>
                <c:pt idx="158">
                  <c:v>44764</c:v>
                </c:pt>
                <c:pt idx="159">
                  <c:v>44771</c:v>
                </c:pt>
                <c:pt idx="160">
                  <c:v>44778</c:v>
                </c:pt>
                <c:pt idx="161">
                  <c:v>44785</c:v>
                </c:pt>
                <c:pt idx="162">
                  <c:v>44792</c:v>
                </c:pt>
                <c:pt idx="163">
                  <c:v>44799</c:v>
                </c:pt>
                <c:pt idx="164">
                  <c:v>44806</c:v>
                </c:pt>
                <c:pt idx="165">
                  <c:v>44813</c:v>
                </c:pt>
                <c:pt idx="166">
                  <c:v>44820</c:v>
                </c:pt>
                <c:pt idx="167">
                  <c:v>44827</c:v>
                </c:pt>
                <c:pt idx="168">
                  <c:v>44834</c:v>
                </c:pt>
                <c:pt idx="169">
                  <c:v>44841</c:v>
                </c:pt>
                <c:pt idx="170">
                  <c:v>44848</c:v>
                </c:pt>
                <c:pt idx="171">
                  <c:v>44855</c:v>
                </c:pt>
                <c:pt idx="172">
                  <c:v>44862</c:v>
                </c:pt>
                <c:pt idx="173">
                  <c:v>44869</c:v>
                </c:pt>
                <c:pt idx="174">
                  <c:v>44876</c:v>
                </c:pt>
                <c:pt idx="175">
                  <c:v>44883</c:v>
                </c:pt>
                <c:pt idx="176">
                  <c:v>44890</c:v>
                </c:pt>
                <c:pt idx="177">
                  <c:v>44897</c:v>
                </c:pt>
                <c:pt idx="178">
                  <c:v>44904</c:v>
                </c:pt>
                <c:pt idx="179">
                  <c:v>44911</c:v>
                </c:pt>
                <c:pt idx="180">
                  <c:v>44918</c:v>
                </c:pt>
                <c:pt idx="181">
                  <c:v>44925</c:v>
                </c:pt>
                <c:pt idx="182">
                  <c:v>44932</c:v>
                </c:pt>
                <c:pt idx="183">
                  <c:v>44939</c:v>
                </c:pt>
                <c:pt idx="184">
                  <c:v>44946</c:v>
                </c:pt>
                <c:pt idx="185">
                  <c:v>44953</c:v>
                </c:pt>
                <c:pt idx="186">
                  <c:v>44960</c:v>
                </c:pt>
                <c:pt idx="187">
                  <c:v>44967</c:v>
                </c:pt>
                <c:pt idx="188">
                  <c:v>44974</c:v>
                </c:pt>
                <c:pt idx="189">
                  <c:v>44981</c:v>
                </c:pt>
                <c:pt idx="190">
                  <c:v>44988</c:v>
                </c:pt>
                <c:pt idx="191">
                  <c:v>44995</c:v>
                </c:pt>
                <c:pt idx="192">
                  <c:v>45002</c:v>
                </c:pt>
                <c:pt idx="193">
                  <c:v>45009</c:v>
                </c:pt>
                <c:pt idx="194">
                  <c:v>45016</c:v>
                </c:pt>
                <c:pt idx="195">
                  <c:v>45023</c:v>
                </c:pt>
                <c:pt idx="196">
                  <c:v>45030</c:v>
                </c:pt>
                <c:pt idx="197">
                  <c:v>45037</c:v>
                </c:pt>
                <c:pt idx="198">
                  <c:v>45044</c:v>
                </c:pt>
                <c:pt idx="199">
                  <c:v>45051</c:v>
                </c:pt>
                <c:pt idx="200">
                  <c:v>45058</c:v>
                </c:pt>
                <c:pt idx="201">
                  <c:v>45065</c:v>
                </c:pt>
                <c:pt idx="202">
                  <c:v>45072</c:v>
                </c:pt>
                <c:pt idx="203">
                  <c:v>45079</c:v>
                </c:pt>
                <c:pt idx="204">
                  <c:v>45086</c:v>
                </c:pt>
                <c:pt idx="205">
                  <c:v>45093</c:v>
                </c:pt>
                <c:pt idx="206">
                  <c:v>45100</c:v>
                </c:pt>
                <c:pt idx="207">
                  <c:v>45107</c:v>
                </c:pt>
                <c:pt idx="208">
                  <c:v>45114</c:v>
                </c:pt>
                <c:pt idx="209">
                  <c:v>45121</c:v>
                </c:pt>
                <c:pt idx="210">
                  <c:v>45128</c:v>
                </c:pt>
                <c:pt idx="211">
                  <c:v>45135</c:v>
                </c:pt>
                <c:pt idx="212">
                  <c:v>45142</c:v>
                </c:pt>
                <c:pt idx="213">
                  <c:v>45149</c:v>
                </c:pt>
                <c:pt idx="214">
                  <c:v>45156</c:v>
                </c:pt>
                <c:pt idx="215">
                  <c:v>45163</c:v>
                </c:pt>
                <c:pt idx="216">
                  <c:v>45170</c:v>
                </c:pt>
                <c:pt idx="217">
                  <c:v>45177</c:v>
                </c:pt>
                <c:pt idx="218">
                  <c:v>45184</c:v>
                </c:pt>
                <c:pt idx="219">
                  <c:v>45191</c:v>
                </c:pt>
                <c:pt idx="220">
                  <c:v>45198</c:v>
                </c:pt>
                <c:pt idx="221">
                  <c:v>45205</c:v>
                </c:pt>
                <c:pt idx="222">
                  <c:v>45212</c:v>
                </c:pt>
                <c:pt idx="223">
                  <c:v>45219</c:v>
                </c:pt>
                <c:pt idx="224">
                  <c:v>45226</c:v>
                </c:pt>
                <c:pt idx="225">
                  <c:v>45233</c:v>
                </c:pt>
                <c:pt idx="226">
                  <c:v>45240</c:v>
                </c:pt>
                <c:pt idx="227">
                  <c:v>45247</c:v>
                </c:pt>
                <c:pt idx="228">
                  <c:v>45254</c:v>
                </c:pt>
                <c:pt idx="229">
                  <c:v>45261</c:v>
                </c:pt>
                <c:pt idx="230">
                  <c:v>45268</c:v>
                </c:pt>
                <c:pt idx="231">
                  <c:v>45275</c:v>
                </c:pt>
                <c:pt idx="232">
                  <c:v>45282</c:v>
                </c:pt>
                <c:pt idx="233">
                  <c:v>45289</c:v>
                </c:pt>
                <c:pt idx="234">
                  <c:v>45296</c:v>
                </c:pt>
                <c:pt idx="235">
                  <c:v>45303</c:v>
                </c:pt>
                <c:pt idx="236">
                  <c:v>45310</c:v>
                </c:pt>
                <c:pt idx="237">
                  <c:v>45317</c:v>
                </c:pt>
                <c:pt idx="238">
                  <c:v>45324</c:v>
                </c:pt>
                <c:pt idx="239">
                  <c:v>45331</c:v>
                </c:pt>
                <c:pt idx="240">
                  <c:v>45338</c:v>
                </c:pt>
                <c:pt idx="241">
                  <c:v>45345</c:v>
                </c:pt>
                <c:pt idx="242">
                  <c:v>45352</c:v>
                </c:pt>
                <c:pt idx="243">
                  <c:v>45359</c:v>
                </c:pt>
                <c:pt idx="244">
                  <c:v>45366</c:v>
                </c:pt>
                <c:pt idx="245">
                  <c:v>45373</c:v>
                </c:pt>
                <c:pt idx="246">
                  <c:v>45380</c:v>
                </c:pt>
                <c:pt idx="247">
                  <c:v>45387</c:v>
                </c:pt>
                <c:pt idx="248">
                  <c:v>45394</c:v>
                </c:pt>
                <c:pt idx="249">
                  <c:v>45401</c:v>
                </c:pt>
                <c:pt idx="250">
                  <c:v>45408</c:v>
                </c:pt>
                <c:pt idx="251">
                  <c:v>45415</c:v>
                </c:pt>
                <c:pt idx="252">
                  <c:v>45422</c:v>
                </c:pt>
                <c:pt idx="253">
                  <c:v>45429</c:v>
                </c:pt>
                <c:pt idx="254">
                  <c:v>45436</c:v>
                </c:pt>
                <c:pt idx="255">
                  <c:v>45443</c:v>
                </c:pt>
                <c:pt idx="256">
                  <c:v>45450</c:v>
                </c:pt>
                <c:pt idx="257">
                  <c:v>45457</c:v>
                </c:pt>
                <c:pt idx="258">
                  <c:v>45464</c:v>
                </c:pt>
                <c:pt idx="259">
                  <c:v>45471</c:v>
                </c:pt>
                <c:pt idx="260">
                  <c:v>45478</c:v>
                </c:pt>
                <c:pt idx="261">
                  <c:v>45485</c:v>
                </c:pt>
                <c:pt idx="262">
                  <c:v>45492</c:v>
                </c:pt>
                <c:pt idx="263">
                  <c:v>45499</c:v>
                </c:pt>
                <c:pt idx="264">
                  <c:v>45506</c:v>
                </c:pt>
                <c:pt idx="265">
                  <c:v>45513</c:v>
                </c:pt>
                <c:pt idx="266">
                  <c:v>45520</c:v>
                </c:pt>
                <c:pt idx="267">
                  <c:v>45527</c:v>
                </c:pt>
                <c:pt idx="268">
                  <c:v>45534</c:v>
                </c:pt>
                <c:pt idx="269">
                  <c:v>45541</c:v>
                </c:pt>
                <c:pt idx="270">
                  <c:v>45548</c:v>
                </c:pt>
                <c:pt idx="271">
                  <c:v>45555</c:v>
                </c:pt>
                <c:pt idx="272">
                  <c:v>45562</c:v>
                </c:pt>
                <c:pt idx="273">
                  <c:v>45569</c:v>
                </c:pt>
                <c:pt idx="274">
                  <c:v>45576</c:v>
                </c:pt>
                <c:pt idx="275">
                  <c:v>45583</c:v>
                </c:pt>
                <c:pt idx="276">
                  <c:v>45590</c:v>
                </c:pt>
                <c:pt idx="277">
                  <c:v>45597</c:v>
                </c:pt>
                <c:pt idx="278">
                  <c:v>45604</c:v>
                </c:pt>
                <c:pt idx="279">
                  <c:v>45611</c:v>
                </c:pt>
                <c:pt idx="280">
                  <c:v>45618</c:v>
                </c:pt>
                <c:pt idx="281">
                  <c:v>45625</c:v>
                </c:pt>
                <c:pt idx="282">
                  <c:v>45632</c:v>
                </c:pt>
                <c:pt idx="283">
                  <c:v>45639</c:v>
                </c:pt>
                <c:pt idx="284">
                  <c:v>45646</c:v>
                </c:pt>
                <c:pt idx="285">
                  <c:v>45653</c:v>
                </c:pt>
                <c:pt idx="286">
                  <c:v>45660</c:v>
                </c:pt>
                <c:pt idx="287">
                  <c:v>45667</c:v>
                </c:pt>
                <c:pt idx="288">
                  <c:v>45674</c:v>
                </c:pt>
                <c:pt idx="289">
                  <c:v>45681</c:v>
                </c:pt>
                <c:pt idx="290">
                  <c:v>45688</c:v>
                </c:pt>
                <c:pt idx="291">
                  <c:v>45695</c:v>
                </c:pt>
                <c:pt idx="292">
                  <c:v>45702</c:v>
                </c:pt>
                <c:pt idx="293">
                  <c:v>45709</c:v>
                </c:pt>
                <c:pt idx="294">
                  <c:v>45716</c:v>
                </c:pt>
                <c:pt idx="295">
                  <c:v>45723</c:v>
                </c:pt>
                <c:pt idx="296">
                  <c:v>45730</c:v>
                </c:pt>
                <c:pt idx="297">
                  <c:v>45737</c:v>
                </c:pt>
                <c:pt idx="298">
                  <c:v>45744</c:v>
                </c:pt>
                <c:pt idx="299">
                  <c:v>45751</c:v>
                </c:pt>
                <c:pt idx="300">
                  <c:v>45758</c:v>
                </c:pt>
                <c:pt idx="301">
                  <c:v>45765</c:v>
                </c:pt>
                <c:pt idx="302">
                  <c:v>45772</c:v>
                </c:pt>
                <c:pt idx="303">
                  <c:v>45779</c:v>
                </c:pt>
                <c:pt idx="304">
                  <c:v>45786</c:v>
                </c:pt>
                <c:pt idx="305">
                  <c:v>45793</c:v>
                </c:pt>
                <c:pt idx="306">
                  <c:v>45800</c:v>
                </c:pt>
                <c:pt idx="307">
                  <c:v>45807</c:v>
                </c:pt>
                <c:pt idx="308">
                  <c:v>45814</c:v>
                </c:pt>
                <c:pt idx="309">
                  <c:v>45821</c:v>
                </c:pt>
                <c:pt idx="310">
                  <c:v>45828</c:v>
                </c:pt>
                <c:pt idx="311">
                  <c:v>45835</c:v>
                </c:pt>
                <c:pt idx="312">
                  <c:v>45842</c:v>
                </c:pt>
                <c:pt idx="313">
                  <c:v>45849</c:v>
                </c:pt>
                <c:pt idx="314">
                  <c:v>45856</c:v>
                </c:pt>
                <c:pt idx="315">
                  <c:v>45863</c:v>
                </c:pt>
                <c:pt idx="316">
                  <c:v>45870</c:v>
                </c:pt>
                <c:pt idx="317">
                  <c:v>45877</c:v>
                </c:pt>
                <c:pt idx="318">
                  <c:v>45884</c:v>
                </c:pt>
                <c:pt idx="319">
                  <c:v>45891</c:v>
                </c:pt>
                <c:pt idx="320">
                  <c:v>45898</c:v>
                </c:pt>
                <c:pt idx="321">
                  <c:v>45905</c:v>
                </c:pt>
                <c:pt idx="322">
                  <c:v>45912</c:v>
                </c:pt>
                <c:pt idx="323">
                  <c:v>45919</c:v>
                </c:pt>
                <c:pt idx="324">
                  <c:v>45926</c:v>
                </c:pt>
                <c:pt idx="325">
                  <c:v>45933</c:v>
                </c:pt>
                <c:pt idx="326">
                  <c:v>45940</c:v>
                </c:pt>
                <c:pt idx="327">
                  <c:v>45947</c:v>
                </c:pt>
                <c:pt idx="328">
                  <c:v>45954</c:v>
                </c:pt>
                <c:pt idx="329">
                  <c:v>45961</c:v>
                </c:pt>
                <c:pt idx="330">
                  <c:v>45968</c:v>
                </c:pt>
                <c:pt idx="331">
                  <c:v>45975</c:v>
                </c:pt>
                <c:pt idx="332">
                  <c:v>45982</c:v>
                </c:pt>
                <c:pt idx="333">
                  <c:v>45989</c:v>
                </c:pt>
                <c:pt idx="334">
                  <c:v>45996</c:v>
                </c:pt>
                <c:pt idx="335">
                  <c:v>46003</c:v>
                </c:pt>
                <c:pt idx="336">
                  <c:v>46010</c:v>
                </c:pt>
                <c:pt idx="337">
                  <c:v>46017</c:v>
                </c:pt>
                <c:pt idx="338">
                  <c:v>46024</c:v>
                </c:pt>
                <c:pt idx="339">
                  <c:v>46031</c:v>
                </c:pt>
                <c:pt idx="340">
                  <c:v>46038</c:v>
                </c:pt>
                <c:pt idx="341">
                  <c:v>46045</c:v>
                </c:pt>
                <c:pt idx="342">
                  <c:v>46052</c:v>
                </c:pt>
                <c:pt idx="343">
                  <c:v>46059</c:v>
                </c:pt>
                <c:pt idx="344">
                  <c:v>46066</c:v>
                </c:pt>
                <c:pt idx="345">
                  <c:v>46073</c:v>
                </c:pt>
                <c:pt idx="346">
                  <c:v>46080</c:v>
                </c:pt>
                <c:pt idx="347">
                  <c:v>46087</c:v>
                </c:pt>
                <c:pt idx="348">
                  <c:v>46094</c:v>
                </c:pt>
                <c:pt idx="349">
                  <c:v>46101</c:v>
                </c:pt>
                <c:pt idx="350">
                  <c:v>46108</c:v>
                </c:pt>
                <c:pt idx="351">
                  <c:v>46115</c:v>
                </c:pt>
                <c:pt idx="352">
                  <c:v>46122</c:v>
                </c:pt>
                <c:pt idx="353">
                  <c:v>46129</c:v>
                </c:pt>
                <c:pt idx="354">
                  <c:v>46136</c:v>
                </c:pt>
                <c:pt idx="355">
                  <c:v>46143</c:v>
                </c:pt>
                <c:pt idx="356">
                  <c:v>46150</c:v>
                </c:pt>
                <c:pt idx="357">
                  <c:v>46157</c:v>
                </c:pt>
                <c:pt idx="358">
                  <c:v>46164</c:v>
                </c:pt>
                <c:pt idx="359">
                  <c:v>46171</c:v>
                </c:pt>
                <c:pt idx="360">
                  <c:v>46178</c:v>
                </c:pt>
                <c:pt idx="361">
                  <c:v>46185</c:v>
                </c:pt>
                <c:pt idx="362">
                  <c:v>46192</c:v>
                </c:pt>
                <c:pt idx="363">
                  <c:v>46199</c:v>
                </c:pt>
                <c:pt idx="364">
                  <c:v>46206</c:v>
                </c:pt>
                <c:pt idx="365">
                  <c:v>46213</c:v>
                </c:pt>
                <c:pt idx="366">
                  <c:v>46220</c:v>
                </c:pt>
                <c:pt idx="367">
                  <c:v>46227</c:v>
                </c:pt>
                <c:pt idx="368">
                  <c:v>46234</c:v>
                </c:pt>
                <c:pt idx="369">
                  <c:v>46241</c:v>
                </c:pt>
                <c:pt idx="370">
                  <c:v>46248</c:v>
                </c:pt>
                <c:pt idx="371">
                  <c:v>46255</c:v>
                </c:pt>
                <c:pt idx="372">
                  <c:v>46262</c:v>
                </c:pt>
                <c:pt idx="373">
                  <c:v>46269</c:v>
                </c:pt>
                <c:pt idx="374">
                  <c:v>46276</c:v>
                </c:pt>
                <c:pt idx="375">
                  <c:v>46283</c:v>
                </c:pt>
                <c:pt idx="376">
                  <c:v>46290</c:v>
                </c:pt>
                <c:pt idx="377">
                  <c:v>46297</c:v>
                </c:pt>
                <c:pt idx="378">
                  <c:v>46304</c:v>
                </c:pt>
              </c:numCache>
            </c:numRef>
          </c:cat>
          <c:val>
            <c:numRef>
              <c:f>Base!$BH$7:$BH$2000</c:f>
              <c:numCache>
                <c:formatCode>General</c:formatCode>
                <c:ptCount val="1994"/>
                <c:pt idx="0">
                  <c:v>2.5106999999999999</c:v>
                </c:pt>
                <c:pt idx="1">
                  <c:v>2.2869999999999999</c:v>
                </c:pt>
                <c:pt idx="2">
                  <c:v>2.3071000000000002</c:v>
                </c:pt>
                <c:pt idx="3">
                  <c:v>2.3437999999999999</c:v>
                </c:pt>
                <c:pt idx="4">
                  <c:v>2.2770000000000001</c:v>
                </c:pt>
                <c:pt idx="5">
                  <c:v>1.8797999999999999</c:v>
                </c:pt>
                <c:pt idx="6">
                  <c:v>1.823</c:v>
                </c:pt>
                <c:pt idx="7">
                  <c:v>1.7128000000000001</c:v>
                </c:pt>
                <c:pt idx="8">
                  <c:v>1.9899</c:v>
                </c:pt>
                <c:pt idx="9">
                  <c:v>2.1267999999999998</c:v>
                </c:pt>
                <c:pt idx="10">
                  <c:v>2.0800999999999998</c:v>
                </c:pt>
                <c:pt idx="11">
                  <c:v>1.9031</c:v>
                </c:pt>
                <c:pt idx="12">
                  <c:v>2.0253000000000001</c:v>
                </c:pt>
                <c:pt idx="13">
                  <c:v>1.9729000000000001</c:v>
                </c:pt>
                <c:pt idx="14">
                  <c:v>1.8974</c:v>
                </c:pt>
                <c:pt idx="15">
                  <c:v>1.8318000000000001</c:v>
                </c:pt>
                <c:pt idx="16">
                  <c:v>1.9466000000000001</c:v>
                </c:pt>
                <c:pt idx="17">
                  <c:v>1.9072</c:v>
                </c:pt>
                <c:pt idx="18">
                  <c:v>1.8088</c:v>
                </c:pt>
                <c:pt idx="19">
                  <c:v>1.8940999999999999</c:v>
                </c:pt>
                <c:pt idx="20">
                  <c:v>1.9072</c:v>
                </c:pt>
                <c:pt idx="21">
                  <c:v>1.9368000000000001</c:v>
                </c:pt>
                <c:pt idx="22">
                  <c:v>1.9301999999999999</c:v>
                </c:pt>
                <c:pt idx="23">
                  <c:v>1.9301999999999999</c:v>
                </c:pt>
                <c:pt idx="24">
                  <c:v>2.0482999999999998</c:v>
                </c:pt>
                <c:pt idx="25">
                  <c:v>1.9762</c:v>
                </c:pt>
                <c:pt idx="26">
                  <c:v>2.0135000000000001</c:v>
                </c:pt>
                <c:pt idx="27">
                  <c:v>2.1456</c:v>
                </c:pt>
                <c:pt idx="28">
                  <c:v>2.0680999999999998</c:v>
                </c:pt>
                <c:pt idx="29">
                  <c:v>2.0882000000000001</c:v>
                </c:pt>
                <c:pt idx="30">
                  <c:v>2.0623999999999998</c:v>
                </c:pt>
                <c:pt idx="31">
                  <c:v>2.0164</c:v>
                </c:pt>
                <c:pt idx="32">
                  <c:v>2.0335999999999999</c:v>
                </c:pt>
                <c:pt idx="33">
                  <c:v>1.9359999999999999</c:v>
                </c:pt>
                <c:pt idx="34">
                  <c:v>1.9819</c:v>
                </c:pt>
                <c:pt idx="35">
                  <c:v>1.9073</c:v>
                </c:pt>
                <c:pt idx="36">
                  <c:v>1.7808999999999999</c:v>
                </c:pt>
                <c:pt idx="37">
                  <c:v>1.7838000000000001</c:v>
                </c:pt>
                <c:pt idx="38">
                  <c:v>1.3813</c:v>
                </c:pt>
                <c:pt idx="39">
                  <c:v>1.4238</c:v>
                </c:pt>
                <c:pt idx="40">
                  <c:v>1.4502999999999999</c:v>
                </c:pt>
                <c:pt idx="41">
                  <c:v>1.4211</c:v>
                </c:pt>
                <c:pt idx="42">
                  <c:v>1.4822</c:v>
                </c:pt>
                <c:pt idx="43">
                  <c:v>1.6016999999999999</c:v>
                </c:pt>
                <c:pt idx="44">
                  <c:v>1.6123000000000001</c:v>
                </c:pt>
                <c:pt idx="45">
                  <c:v>1.5936999999999999</c:v>
                </c:pt>
                <c:pt idx="46">
                  <c:v>1.5432999999999999</c:v>
                </c:pt>
                <c:pt idx="47">
                  <c:v>1.7263999999999999</c:v>
                </c:pt>
                <c:pt idx="48">
                  <c:v>1.6574</c:v>
                </c:pt>
                <c:pt idx="49">
                  <c:v>1.6574</c:v>
                </c:pt>
                <c:pt idx="50">
                  <c:v>1.6734</c:v>
                </c:pt>
                <c:pt idx="51">
                  <c:v>2.5611000000000002</c:v>
                </c:pt>
                <c:pt idx="52">
                  <c:v>2.6421999999999999</c:v>
                </c:pt>
                <c:pt idx="53">
                  <c:v>2.6421999999999999</c:v>
                </c:pt>
                <c:pt idx="54">
                  <c:v>2.6459000000000001</c:v>
                </c:pt>
                <c:pt idx="55">
                  <c:v>2.7012</c:v>
                </c:pt>
                <c:pt idx="56">
                  <c:v>2.6974999999999998</c:v>
                </c:pt>
                <c:pt idx="57">
                  <c:v>2.7012</c:v>
                </c:pt>
                <c:pt idx="58">
                  <c:v>2.6349</c:v>
                </c:pt>
                <c:pt idx="59">
                  <c:v>2.5979999999999999</c:v>
                </c:pt>
                <c:pt idx="60">
                  <c:v>2.5722</c:v>
                </c:pt>
                <c:pt idx="61">
                  <c:v>2.5427</c:v>
                </c:pt>
                <c:pt idx="62">
                  <c:v>2.4763000000000002</c:v>
                </c:pt>
                <c:pt idx="63">
                  <c:v>2.5463</c:v>
                </c:pt>
                <c:pt idx="64">
                  <c:v>2.4700000000000002</c:v>
                </c:pt>
                <c:pt idx="65">
                  <c:v>2.4518</c:v>
                </c:pt>
                <c:pt idx="66">
                  <c:v>2.4481000000000002</c:v>
                </c:pt>
                <c:pt idx="67">
                  <c:v>2.7113</c:v>
                </c:pt>
                <c:pt idx="68">
                  <c:v>2.5613999999999999</c:v>
                </c:pt>
                <c:pt idx="69">
                  <c:v>2.4112</c:v>
                </c:pt>
                <c:pt idx="70">
                  <c:v>2.5613999999999999</c:v>
                </c:pt>
                <c:pt idx="71">
                  <c:v>2.5249000000000001</c:v>
                </c:pt>
                <c:pt idx="72">
                  <c:v>2.5907</c:v>
                </c:pt>
                <c:pt idx="73">
                  <c:v>2.5613999999999999</c:v>
                </c:pt>
                <c:pt idx="74">
                  <c:v>2.5613999999999999</c:v>
                </c:pt>
                <c:pt idx="75">
                  <c:v>2.4544000000000001</c:v>
                </c:pt>
                <c:pt idx="76">
                  <c:v>2.4278</c:v>
                </c:pt>
                <c:pt idx="77">
                  <c:v>9.0330999999999992</c:v>
                </c:pt>
                <c:pt idx="78">
                  <c:v>8.8642000000000003</c:v>
                </c:pt>
                <c:pt idx="79">
                  <c:v>8.9337999999999997</c:v>
                </c:pt>
                <c:pt idx="80">
                  <c:v>8.7548999999999992</c:v>
                </c:pt>
                <c:pt idx="81">
                  <c:v>8.6555999999999997</c:v>
                </c:pt>
                <c:pt idx="82">
                  <c:v>8.7848000000000006</c:v>
                </c:pt>
                <c:pt idx="83">
                  <c:v>8.7947000000000006</c:v>
                </c:pt>
                <c:pt idx="84">
                  <c:v>8.8642000000000003</c:v>
                </c:pt>
                <c:pt idx="85">
                  <c:v>8.9138999999999999</c:v>
                </c:pt>
                <c:pt idx="86">
                  <c:v>8.8046000000000006</c:v>
                </c:pt>
                <c:pt idx="87">
                  <c:v>8.6853999999999996</c:v>
                </c:pt>
                <c:pt idx="88">
                  <c:v>8.6654999999999998</c:v>
                </c:pt>
                <c:pt idx="89">
                  <c:v>8.7649000000000008</c:v>
                </c:pt>
                <c:pt idx="90">
                  <c:v>8.6555999999999997</c:v>
                </c:pt>
                <c:pt idx="91">
                  <c:v>8.6555999999999997</c:v>
                </c:pt>
                <c:pt idx="92">
                  <c:v>8.6555999999999997</c:v>
                </c:pt>
                <c:pt idx="93">
                  <c:v>8.6555999999999997</c:v>
                </c:pt>
                <c:pt idx="94">
                  <c:v>8.6555999999999997</c:v>
                </c:pt>
                <c:pt idx="95">
                  <c:v>8.6555999999999997</c:v>
                </c:pt>
                <c:pt idx="96">
                  <c:v>8.6555999999999997</c:v>
                </c:pt>
                <c:pt idx="97">
                  <c:v>8.6555999999999997</c:v>
                </c:pt>
                <c:pt idx="98">
                  <c:v>8.6555999999999997</c:v>
                </c:pt>
                <c:pt idx="99">
                  <c:v>8.6555999999999997</c:v>
                </c:pt>
                <c:pt idx="100">
                  <c:v>8.6555999999999997</c:v>
                </c:pt>
                <c:pt idx="101">
                  <c:v>8.6555999999999997</c:v>
                </c:pt>
                <c:pt idx="102">
                  <c:v>8.6555999999999997</c:v>
                </c:pt>
                <c:pt idx="103">
                  <c:v>40.285800000000002</c:v>
                </c:pt>
                <c:pt idx="104">
                  <c:v>40.364600000000003</c:v>
                </c:pt>
                <c:pt idx="105">
                  <c:v>41.390099999999997</c:v>
                </c:pt>
                <c:pt idx="106">
                  <c:v>40.916800000000002</c:v>
                </c:pt>
                <c:pt idx="107">
                  <c:v>41.271799999999999</c:v>
                </c:pt>
                <c:pt idx="108">
                  <c:v>40.680199999999999</c:v>
                </c:pt>
                <c:pt idx="109">
                  <c:v>40.759099999999997</c:v>
                </c:pt>
                <c:pt idx="110">
                  <c:v>40.916800000000002</c:v>
                </c:pt>
                <c:pt idx="111">
                  <c:v>43.441000000000003</c:v>
                </c:pt>
                <c:pt idx="112">
                  <c:v>46.043999999999997</c:v>
                </c:pt>
                <c:pt idx="113">
                  <c:v>45.846800000000002</c:v>
                </c:pt>
                <c:pt idx="114">
                  <c:v>48.252699999999997</c:v>
                </c:pt>
                <c:pt idx="115">
                  <c:v>48.015999999999998</c:v>
                </c:pt>
                <c:pt idx="116">
                  <c:v>78.446299999999994</c:v>
                </c:pt>
                <c:pt idx="117">
                  <c:v>76.282399999999996</c:v>
                </c:pt>
                <c:pt idx="118">
                  <c:v>76.485200000000006</c:v>
                </c:pt>
                <c:pt idx="119">
                  <c:v>85.682100000000005</c:v>
                </c:pt>
                <c:pt idx="120">
                  <c:v>84.870699999999999</c:v>
                </c:pt>
                <c:pt idx="121">
                  <c:v>84.126800000000003</c:v>
                </c:pt>
                <c:pt idx="122">
                  <c:v>81.286600000000007</c:v>
                </c:pt>
                <c:pt idx="123">
                  <c:v>76.079499999999996</c:v>
                </c:pt>
                <c:pt idx="124">
                  <c:v>73.103999999999999</c:v>
                </c:pt>
                <c:pt idx="125">
                  <c:v>81.421800000000005</c:v>
                </c:pt>
                <c:pt idx="126">
                  <c:v>79.663600000000002</c:v>
                </c:pt>
                <c:pt idx="127">
                  <c:v>77.229100000000003</c:v>
                </c:pt>
                <c:pt idx="128">
                  <c:v>76.552899999999994</c:v>
                </c:pt>
                <c:pt idx="129">
                  <c:v>77.837699999999998</c:v>
                </c:pt>
                <c:pt idx="130">
                  <c:v>77.837699999999998</c:v>
                </c:pt>
                <c:pt idx="131">
                  <c:v>77.837699999999998</c:v>
                </c:pt>
                <c:pt idx="132">
                  <c:v>77.837699999999998</c:v>
                </c:pt>
                <c:pt idx="133">
                  <c:v>77.837699999999998</c:v>
                </c:pt>
                <c:pt idx="134">
                  <c:v>77.837699999999998</c:v>
                </c:pt>
                <c:pt idx="135">
                  <c:v>77.837699999999998</c:v>
                </c:pt>
                <c:pt idx="136">
                  <c:v>77.837699999999998</c:v>
                </c:pt>
                <c:pt idx="137">
                  <c:v>77.837699999999998</c:v>
                </c:pt>
                <c:pt idx="138">
                  <c:v>77.837699999999998</c:v>
                </c:pt>
                <c:pt idx="139">
                  <c:v>77.837699999999998</c:v>
                </c:pt>
                <c:pt idx="140">
                  <c:v>77.837699999999998</c:v>
                </c:pt>
                <c:pt idx="141">
                  <c:v>77.837699999999998</c:v>
                </c:pt>
                <c:pt idx="142">
                  <c:v>3.9209000000000001</c:v>
                </c:pt>
                <c:pt idx="143">
                  <c:v>3.9239999999999999</c:v>
                </c:pt>
                <c:pt idx="144">
                  <c:v>3.8837999999999999</c:v>
                </c:pt>
                <c:pt idx="145">
                  <c:v>3.6888999999999998</c:v>
                </c:pt>
                <c:pt idx="146">
                  <c:v>3.7105000000000001</c:v>
                </c:pt>
                <c:pt idx="147">
                  <c:v>3.6888999999999998</c:v>
                </c:pt>
                <c:pt idx="148">
                  <c:v>3.7073999999999998</c:v>
                </c:pt>
                <c:pt idx="149">
                  <c:v>3.726</c:v>
                </c:pt>
                <c:pt idx="150">
                  <c:v>3.7414999999999998</c:v>
                </c:pt>
                <c:pt idx="151">
                  <c:v>3.7724000000000002</c:v>
                </c:pt>
                <c:pt idx="152">
                  <c:v>3.6734</c:v>
                </c:pt>
                <c:pt idx="153">
                  <c:v>3.6208</c:v>
                </c:pt>
                <c:pt idx="154">
                  <c:v>3.4476</c:v>
                </c:pt>
                <c:pt idx="155">
                  <c:v>2.1821000000000002</c:v>
                </c:pt>
                <c:pt idx="156">
                  <c:v>2.3851</c:v>
                </c:pt>
                <c:pt idx="157">
                  <c:v>2.3569</c:v>
                </c:pt>
                <c:pt idx="158">
                  <c:v>2.5598999999999998</c:v>
                </c:pt>
                <c:pt idx="159">
                  <c:v>2.714</c:v>
                </c:pt>
                <c:pt idx="160">
                  <c:v>3.2139000000000002</c:v>
                </c:pt>
                <c:pt idx="161">
                  <c:v>3.3641999999999999</c:v>
                </c:pt>
                <c:pt idx="162">
                  <c:v>3.4319000000000002</c:v>
                </c:pt>
                <c:pt idx="163">
                  <c:v>3.7776999999999998</c:v>
                </c:pt>
                <c:pt idx="164">
                  <c:v>3.4468999999999999</c:v>
                </c:pt>
                <c:pt idx="165">
                  <c:v>3.4845000000000002</c:v>
                </c:pt>
                <c:pt idx="166">
                  <c:v>3.3904999999999998</c:v>
                </c:pt>
                <c:pt idx="167">
                  <c:v>3.3378999999999999</c:v>
                </c:pt>
                <c:pt idx="168">
                  <c:v>2.9855999999999998</c:v>
                </c:pt>
                <c:pt idx="169">
                  <c:v>3.0941999999999998</c:v>
                </c:pt>
                <c:pt idx="170">
                  <c:v>2.8925000000000001</c:v>
                </c:pt>
                <c:pt idx="171">
                  <c:v>2.8033000000000001</c:v>
                </c:pt>
                <c:pt idx="172">
                  <c:v>3.1408</c:v>
                </c:pt>
                <c:pt idx="173">
                  <c:v>3.0165999999999999</c:v>
                </c:pt>
                <c:pt idx="174">
                  <c:v>3.0476999999999999</c:v>
                </c:pt>
                <c:pt idx="175">
                  <c:v>3.2376999999999998</c:v>
                </c:pt>
                <c:pt idx="176">
                  <c:v>3.645</c:v>
                </c:pt>
                <c:pt idx="177">
                  <c:v>3.9514</c:v>
                </c:pt>
                <c:pt idx="178">
                  <c:v>3.9203999999999999</c:v>
                </c:pt>
                <c:pt idx="179">
                  <c:v>3.8506</c:v>
                </c:pt>
                <c:pt idx="180">
                  <c:v>4.2656000000000001</c:v>
                </c:pt>
                <c:pt idx="181">
                  <c:v>3.4963000000000002</c:v>
                </c:pt>
                <c:pt idx="182">
                  <c:v>4.0368000000000004</c:v>
                </c:pt>
                <c:pt idx="183">
                  <c:v>4.0098000000000003</c:v>
                </c:pt>
                <c:pt idx="184">
                  <c:v>3.8475999999999999</c:v>
                </c:pt>
                <c:pt idx="185">
                  <c:v>4.2125000000000004</c:v>
                </c:pt>
                <c:pt idx="186">
                  <c:v>4.0098000000000003</c:v>
                </c:pt>
                <c:pt idx="187">
                  <c:v>4.2801</c:v>
                </c:pt>
                <c:pt idx="188">
                  <c:v>4.0030999999999999</c:v>
                </c:pt>
                <c:pt idx="189">
                  <c:v>3.9828000000000001</c:v>
                </c:pt>
                <c:pt idx="190">
                  <c:v>3.7936000000000001</c:v>
                </c:pt>
                <c:pt idx="191">
                  <c:v>3.6381999999999999</c:v>
                </c:pt>
                <c:pt idx="192">
                  <c:v>3.6314000000000002</c:v>
                </c:pt>
                <c:pt idx="193">
                  <c:v>3.6855000000000002</c:v>
                </c:pt>
                <c:pt idx="194">
                  <c:v>5.8369</c:v>
                </c:pt>
                <c:pt idx="195">
                  <c:v>5.8369</c:v>
                </c:pt>
                <c:pt idx="196">
                  <c:v>6.3872999999999998</c:v>
                </c:pt>
                <c:pt idx="197">
                  <c:v>6.8918999999999997</c:v>
                </c:pt>
                <c:pt idx="198">
                  <c:v>7.1441999999999997</c:v>
                </c:pt>
                <c:pt idx="199">
                  <c:v>7.7290000000000001</c:v>
                </c:pt>
                <c:pt idx="200">
                  <c:v>8.2222000000000008</c:v>
                </c:pt>
                <c:pt idx="201">
                  <c:v>9.3345000000000002</c:v>
                </c:pt>
                <c:pt idx="202">
                  <c:v>8.8185000000000002</c:v>
                </c:pt>
                <c:pt idx="203">
                  <c:v>9.4147999999999996</c:v>
                </c:pt>
                <c:pt idx="204">
                  <c:v>9.1510999999999996</c:v>
                </c:pt>
                <c:pt idx="205">
                  <c:v>9.3001000000000005</c:v>
                </c:pt>
                <c:pt idx="206">
                  <c:v>9.7818000000000005</c:v>
                </c:pt>
                <c:pt idx="207">
                  <c:v>4.4684999999999997</c:v>
                </c:pt>
                <c:pt idx="208">
                  <c:v>4.2591000000000001</c:v>
                </c:pt>
                <c:pt idx="209">
                  <c:v>4.4238999999999997</c:v>
                </c:pt>
                <c:pt idx="210">
                  <c:v>4.6913</c:v>
                </c:pt>
                <c:pt idx="211">
                  <c:v>4.4283999999999999</c:v>
                </c:pt>
                <c:pt idx="212">
                  <c:v>4.2367999999999997</c:v>
                </c:pt>
                <c:pt idx="213">
                  <c:v>4.1788999999999996</c:v>
                </c:pt>
                <c:pt idx="214">
                  <c:v>4.9675000000000002</c:v>
                </c:pt>
                <c:pt idx="215">
                  <c:v>5.1635999999999997</c:v>
                </c:pt>
                <c:pt idx="216">
                  <c:v>5.9032</c:v>
                </c:pt>
                <c:pt idx="217">
                  <c:v>5.0655999999999999</c:v>
                </c:pt>
                <c:pt idx="218">
                  <c:v>5.1547000000000001</c:v>
                </c:pt>
                <c:pt idx="219">
                  <c:v>4.4329000000000001</c:v>
                </c:pt>
                <c:pt idx="220">
                  <c:v>2.1957</c:v>
                </c:pt>
                <c:pt idx="221">
                  <c:v>2.5327000000000002</c:v>
                </c:pt>
                <c:pt idx="222">
                  <c:v>2.8721000000000001</c:v>
                </c:pt>
                <c:pt idx="223">
                  <c:v>2.8022999999999998</c:v>
                </c:pt>
                <c:pt idx="224">
                  <c:v>2.4828000000000001</c:v>
                </c:pt>
                <c:pt idx="225">
                  <c:v>2.5626000000000002</c:v>
                </c:pt>
                <c:pt idx="226">
                  <c:v>2.4828000000000001</c:v>
                </c:pt>
                <c:pt idx="227">
                  <c:v>2.343</c:v>
                </c:pt>
                <c:pt idx="228">
                  <c:v>4.4146000000000001</c:v>
                </c:pt>
                <c:pt idx="229">
                  <c:v>5.0087000000000002</c:v>
                </c:pt>
                <c:pt idx="230">
                  <c:v>7.7191999999999998</c:v>
                </c:pt>
                <c:pt idx="231">
                  <c:v>7.2949000000000002</c:v>
                </c:pt>
                <c:pt idx="232">
                  <c:v>8.6277000000000008</c:v>
                </c:pt>
                <c:pt idx="233">
                  <c:v>8.5055999999999994</c:v>
                </c:pt>
                <c:pt idx="234">
                  <c:v>9.2017000000000007</c:v>
                </c:pt>
                <c:pt idx="235">
                  <c:v>14.496499999999999</c:v>
                </c:pt>
                <c:pt idx="236">
                  <c:v>12.9902</c:v>
                </c:pt>
                <c:pt idx="237">
                  <c:v>12.2599</c:v>
                </c:pt>
                <c:pt idx="238">
                  <c:v>12.859</c:v>
                </c:pt>
                <c:pt idx="239">
                  <c:v>10.211600000000001</c:v>
                </c:pt>
                <c:pt idx="240">
                  <c:v>10.2972</c:v>
                </c:pt>
                <c:pt idx="241">
                  <c:v>9.2873000000000001</c:v>
                </c:pt>
                <c:pt idx="242">
                  <c:v>8.6196999999999999</c:v>
                </c:pt>
                <c:pt idx="243">
                  <c:v>7.7125000000000004</c:v>
                </c:pt>
                <c:pt idx="244">
                  <c:v>9.0305</c:v>
                </c:pt>
                <c:pt idx="245">
                  <c:v>9.9262999999999995</c:v>
                </c:pt>
                <c:pt idx="246">
                  <c:v>11.329599999999999</c:v>
                </c:pt>
                <c:pt idx="247">
                  <c:v>12.0975</c:v>
                </c:pt>
                <c:pt idx="248">
                  <c:v>10.5745</c:v>
                </c:pt>
                <c:pt idx="249">
                  <c:v>9.8576999999999995</c:v>
                </c:pt>
                <c:pt idx="250">
                  <c:v>9.5378000000000007</c:v>
                </c:pt>
                <c:pt idx="251">
                  <c:v>11.316800000000001</c:v>
                </c:pt>
                <c:pt idx="252">
                  <c:v>13.7165</c:v>
                </c:pt>
                <c:pt idx="253">
                  <c:v>14.548400000000001</c:v>
                </c:pt>
                <c:pt idx="254">
                  <c:v>13.7293</c:v>
                </c:pt>
                <c:pt idx="255">
                  <c:v>14.1388</c:v>
                </c:pt>
                <c:pt idx="256">
                  <c:v>12.8142</c:v>
                </c:pt>
                <c:pt idx="257">
                  <c:v>13.434900000000001</c:v>
                </c:pt>
                <c:pt idx="258">
                  <c:v>13.338900000000001</c:v>
                </c:pt>
                <c:pt idx="259">
                  <c:v>6.9717000000000002</c:v>
                </c:pt>
                <c:pt idx="260">
                  <c:v>6.6761999999999997</c:v>
                </c:pt>
                <c:pt idx="261">
                  <c:v>7.4608999999999996</c:v>
                </c:pt>
                <c:pt idx="262">
                  <c:v>6.2461000000000002</c:v>
                </c:pt>
                <c:pt idx="263">
                  <c:v>5.9572000000000003</c:v>
                </c:pt>
                <c:pt idx="264">
                  <c:v>5.8586999999999998</c:v>
                </c:pt>
                <c:pt idx="265">
                  <c:v>5.9244000000000003</c:v>
                </c:pt>
                <c:pt idx="266">
                  <c:v>6.6401000000000003</c:v>
                </c:pt>
                <c:pt idx="267">
                  <c:v>6.6073000000000004</c:v>
                </c:pt>
                <c:pt idx="268">
                  <c:v>7.2640000000000002</c:v>
                </c:pt>
                <c:pt idx="269">
                  <c:v>7.3296000000000001</c:v>
                </c:pt>
                <c:pt idx="270">
                  <c:v>8.0518999999999998</c:v>
                </c:pt>
                <c:pt idx="271">
                  <c:v>7.5922999999999998</c:v>
                </c:pt>
                <c:pt idx="272">
                  <c:v>7.2310999999999996</c:v>
                </c:pt>
                <c:pt idx="273">
                  <c:v>3.1627000000000001</c:v>
                </c:pt>
                <c:pt idx="274">
                  <c:v>3.3973</c:v>
                </c:pt>
                <c:pt idx="275">
                  <c:v>3.2565</c:v>
                </c:pt>
                <c:pt idx="276">
                  <c:v>3.5066999999999999</c:v>
                </c:pt>
                <c:pt idx="277">
                  <c:v>4.2573999999999996</c:v>
                </c:pt>
                <c:pt idx="278">
                  <c:v>4.7577999999999996</c:v>
                </c:pt>
                <c:pt idx="279">
                  <c:v>5.399</c:v>
                </c:pt>
                <c:pt idx="280">
                  <c:v>6.3685999999999998</c:v>
                </c:pt>
                <c:pt idx="281">
                  <c:v>6.7751999999999999</c:v>
                </c:pt>
                <c:pt idx="282">
                  <c:v>7.4945000000000004</c:v>
                </c:pt>
                <c:pt idx="283">
                  <c:v>8.6987000000000005</c:v>
                </c:pt>
                <c:pt idx="284">
                  <c:v>8.1669999999999998</c:v>
                </c:pt>
                <c:pt idx="285">
                  <c:v>8.6517999999999997</c:v>
                </c:pt>
                <c:pt idx="286">
                  <c:v>5.9978999999999996</c:v>
                </c:pt>
                <c:pt idx="287">
                  <c:v>6.2282999999999999</c:v>
                </c:pt>
                <c:pt idx="288">
                  <c:v>5.0995999999999997</c:v>
                </c:pt>
                <c:pt idx="289">
                  <c:v>5.6524000000000001</c:v>
                </c:pt>
                <c:pt idx="290">
                  <c:v>5.2492999999999999</c:v>
                </c:pt>
                <c:pt idx="291">
                  <c:v>4.6388999999999996</c:v>
                </c:pt>
                <c:pt idx="292">
                  <c:v>5.3299000000000003</c:v>
                </c:pt>
                <c:pt idx="293">
                  <c:v>5.0534999999999997</c:v>
                </c:pt>
                <c:pt idx="294">
                  <c:v>4.3739999999999997</c:v>
                </c:pt>
                <c:pt idx="295">
                  <c:v>4.6965000000000003</c:v>
                </c:pt>
                <c:pt idx="296">
                  <c:v>4.3739999999999997</c:v>
                </c:pt>
                <c:pt idx="297">
                  <c:v>4.4775999999999998</c:v>
                </c:pt>
                <c:pt idx="298">
                  <c:v>4.3855000000000004</c:v>
                </c:pt>
                <c:pt idx="299">
                  <c:v>3.0270999999999999</c:v>
                </c:pt>
                <c:pt idx="300">
                  <c:v>2.8761999999999999</c:v>
                </c:pt>
                <c:pt idx="301">
                  <c:v>3.1779000000000002</c:v>
                </c:pt>
                <c:pt idx="302">
                  <c:v>3.3466</c:v>
                </c:pt>
                <c:pt idx="303">
                  <c:v>3.1423999999999999</c:v>
                </c:pt>
                <c:pt idx="304">
                  <c:v>3.1867999999999999</c:v>
                </c:pt>
                <c:pt idx="305">
                  <c:v>3.8258000000000001</c:v>
                </c:pt>
                <c:pt idx="306">
                  <c:v>3.8347000000000002</c:v>
                </c:pt>
                <c:pt idx="307">
                  <c:v>3.8525</c:v>
                </c:pt>
                <c:pt idx="308">
                  <c:v>3.5063</c:v>
                </c:pt>
                <c:pt idx="309">
                  <c:v>3.3820999999999999</c:v>
                </c:pt>
                <c:pt idx="310">
                  <c:v>3.2401</c:v>
                </c:pt>
                <c:pt idx="311">
                  <c:v>3.2667000000000002</c:v>
                </c:pt>
                <c:pt idx="312">
                  <c:v>3.3020999999999998</c:v>
                </c:pt>
                <c:pt idx="313">
                  <c:v>3.1816</c:v>
                </c:pt>
                <c:pt idx="314">
                  <c:v>3.2332000000000001</c:v>
                </c:pt>
                <c:pt idx="315">
                  <c:v>3.4140000000000001</c:v>
                </c:pt>
                <c:pt idx="316">
                  <c:v>3.4828999999999999</c:v>
                </c:pt>
                <c:pt idx="317">
                  <c:v>3.6722999999999999</c:v>
                </c:pt>
                <c:pt idx="318">
                  <c:v>3.2677</c:v>
                </c:pt>
                <c:pt idx="319">
                  <c:v>3.1299000000000001</c:v>
                </c:pt>
                <c:pt idx="320">
                  <c:v>2.6478000000000002</c:v>
                </c:pt>
                <c:pt idx="321">
                  <c:v>2.5101</c:v>
                </c:pt>
                <c:pt idx="322">
                  <c:v>2.0762</c:v>
                </c:pt>
                <c:pt idx="323">
                  <c:v>1.7301</c:v>
                </c:pt>
                <c:pt idx="324">
                  <c:v>2.1949999999999998</c:v>
                </c:pt>
                <c:pt idx="325">
                  <c:v>2.4940000000000002</c:v>
                </c:pt>
                <c:pt idx="326">
                  <c:v>2.9411999999999998</c:v>
                </c:pt>
                <c:pt idx="327">
                  <c:v>2.7683</c:v>
                </c:pt>
                <c:pt idx="328">
                  <c:v>2.8378000000000001</c:v>
                </c:pt>
                <c:pt idx="329">
                  <c:v>4.5305</c:v>
                </c:pt>
                <c:pt idx="330">
                  <c:v>4.4177999999999997</c:v>
                </c:pt>
                <c:pt idx="331">
                  <c:v>4.6527000000000003</c:v>
                </c:pt>
                <c:pt idx="332">
                  <c:v>4.1680000000000001</c:v>
                </c:pt>
                <c:pt idx="333">
                  <c:v>4.6113</c:v>
                </c:pt>
                <c:pt idx="334">
                  <c:v>5.0425000000000004</c:v>
                </c:pt>
                <c:pt idx="335">
                  <c:v>4.6901999999999999</c:v>
                </c:pt>
                <c:pt idx="336">
                  <c:v>4.8404999999999996</c:v>
                </c:pt>
                <c:pt idx="337">
                  <c:v>5.0143000000000004</c:v>
                </c:pt>
                <c:pt idx="338">
                  <c:v>4.9570999999999996</c:v>
                </c:pt>
                <c:pt idx="339">
                  <c:v>4.5796000000000001</c:v>
                </c:pt>
                <c:pt idx="340">
                  <c:v>4.4394</c:v>
                </c:pt>
                <c:pt idx="341">
                  <c:v>4.6456999999999997</c:v>
                </c:pt>
                <c:pt idx="342">
                  <c:v>4.6737000000000002</c:v>
                </c:pt>
                <c:pt idx="343">
                  <c:v>4.5194999999999999</c:v>
                </c:pt>
                <c:pt idx="344">
                  <c:v>4.2691999999999997</c:v>
                </c:pt>
                <c:pt idx="345">
                  <c:v>3.9767999999999999</c:v>
                </c:pt>
                <c:pt idx="346">
                  <c:v>3.5162</c:v>
                </c:pt>
                <c:pt idx="347">
                  <c:v>3.5202</c:v>
                </c:pt>
                <c:pt idx="348">
                  <c:v>3.8226</c:v>
                </c:pt>
                <c:pt idx="349">
                  <c:v>3.8405999999999998</c:v>
                </c:pt>
                <c:pt idx="350">
                  <c:v>3.7305000000000001</c:v>
                </c:pt>
                <c:pt idx="351">
                  <c:v>4.0968999999999998</c:v>
                </c:pt>
                <c:pt idx="352">
                  <c:v>4.0522</c:v>
                </c:pt>
                <c:pt idx="353">
                  <c:v>3.8896000000000002</c:v>
                </c:pt>
                <c:pt idx="354">
                  <c:v>3.7189999999999999</c:v>
                </c:pt>
                <c:pt idx="355">
                  <c:v>3.5991</c:v>
                </c:pt>
                <c:pt idx="356">
                  <c:v>3.528</c:v>
                </c:pt>
                <c:pt idx="357">
                  <c:v>3.2658</c:v>
                </c:pt>
                <c:pt idx="358">
                  <c:v>3.6884999999999999</c:v>
                </c:pt>
                <c:pt idx="359">
                  <c:v>4.1050000000000004</c:v>
                </c:pt>
                <c:pt idx="360">
                  <c:v>3.6985999999999999</c:v>
                </c:pt>
                <c:pt idx="361">
                  <c:v>3.8368000000000002</c:v>
                </c:pt>
                <c:pt idx="362">
                  <c:v>3.8083999999999998</c:v>
                </c:pt>
                <c:pt idx="363">
                  <c:v>3.4994999999999998</c:v>
                </c:pt>
                <c:pt idx="364">
                  <c:v>3.2877999999999998</c:v>
                </c:pt>
                <c:pt idx="365">
                  <c:v>3.2440000000000002</c:v>
                </c:pt>
                <c:pt idx="366">
                  <c:v>3.2092999999999998</c:v>
                </c:pt>
                <c:pt idx="367">
                  <c:v>3.5908000000000002</c:v>
                </c:pt>
                <c:pt idx="368">
                  <c:v>3.5232999999999999</c:v>
                </c:pt>
                <c:pt idx="369">
                  <c:v>3.2768999999999999</c:v>
                </c:pt>
                <c:pt idx="370">
                  <c:v>3.9028999999999998</c:v>
                </c:pt>
                <c:pt idx="371">
                  <c:v>3.8517999999999999</c:v>
                </c:pt>
                <c:pt idx="372">
                  <c:v>3.9704000000000002</c:v>
                </c:pt>
                <c:pt idx="373">
                  <c:v>4.0561999999999996</c:v>
                </c:pt>
                <c:pt idx="374">
                  <c:v>4.0324999999999998</c:v>
                </c:pt>
                <c:pt idx="375">
                  <c:v>4.069</c:v>
                </c:pt>
                <c:pt idx="376">
                  <c:v>4.0251999999999999</c:v>
                </c:pt>
                <c:pt idx="377">
                  <c:v>3.8736999999999999</c:v>
                </c:pt>
                <c:pt idx="378">
                  <c:v>4.0415999999999999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5-4887-840C-3FC67E39BEAD}"/>
            </c:ext>
          </c:extLst>
        </c:ser>
        <c:ser>
          <c:idx val="5"/>
          <c:order val="5"/>
          <c:tx>
            <c:strRef>
              <c:f>Base!$Y$4</c:f>
              <c:strCache>
                <c:ptCount val="1"/>
                <c:pt idx="0">
                  <c:v>TGNO4 AR Equity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Base!$A$7:$A$2000</c:f>
              <c:numCache>
                <c:formatCode>m/d/yyyy</c:formatCode>
                <c:ptCount val="1994"/>
                <c:pt idx="0">
                  <c:v>43658</c:v>
                </c:pt>
                <c:pt idx="1">
                  <c:v>43665</c:v>
                </c:pt>
                <c:pt idx="2">
                  <c:v>43672</c:v>
                </c:pt>
                <c:pt idx="3">
                  <c:v>43679</c:v>
                </c:pt>
                <c:pt idx="4">
                  <c:v>43686</c:v>
                </c:pt>
                <c:pt idx="5">
                  <c:v>43693</c:v>
                </c:pt>
                <c:pt idx="6">
                  <c:v>43700</c:v>
                </c:pt>
                <c:pt idx="7">
                  <c:v>43707</c:v>
                </c:pt>
                <c:pt idx="8">
                  <c:v>43714</c:v>
                </c:pt>
                <c:pt idx="9">
                  <c:v>43721</c:v>
                </c:pt>
                <c:pt idx="10">
                  <c:v>43728</c:v>
                </c:pt>
                <c:pt idx="11">
                  <c:v>43735</c:v>
                </c:pt>
                <c:pt idx="12">
                  <c:v>43742</c:v>
                </c:pt>
                <c:pt idx="13">
                  <c:v>43749</c:v>
                </c:pt>
                <c:pt idx="14">
                  <c:v>43756</c:v>
                </c:pt>
                <c:pt idx="15">
                  <c:v>43763</c:v>
                </c:pt>
                <c:pt idx="16">
                  <c:v>43770</c:v>
                </c:pt>
                <c:pt idx="17">
                  <c:v>43777</c:v>
                </c:pt>
                <c:pt idx="18">
                  <c:v>43784</c:v>
                </c:pt>
                <c:pt idx="19">
                  <c:v>43791</c:v>
                </c:pt>
                <c:pt idx="20">
                  <c:v>43798</c:v>
                </c:pt>
                <c:pt idx="21">
                  <c:v>43805</c:v>
                </c:pt>
                <c:pt idx="22">
                  <c:v>43812</c:v>
                </c:pt>
                <c:pt idx="23">
                  <c:v>43819</c:v>
                </c:pt>
                <c:pt idx="24">
                  <c:v>43826</c:v>
                </c:pt>
                <c:pt idx="25">
                  <c:v>43833</c:v>
                </c:pt>
                <c:pt idx="26">
                  <c:v>43840</c:v>
                </c:pt>
                <c:pt idx="27">
                  <c:v>43847</c:v>
                </c:pt>
                <c:pt idx="28">
                  <c:v>43854</c:v>
                </c:pt>
                <c:pt idx="29">
                  <c:v>43861</c:v>
                </c:pt>
                <c:pt idx="30">
                  <c:v>43868</c:v>
                </c:pt>
                <c:pt idx="31">
                  <c:v>43875</c:v>
                </c:pt>
                <c:pt idx="32">
                  <c:v>43882</c:v>
                </c:pt>
                <c:pt idx="33">
                  <c:v>43889</c:v>
                </c:pt>
                <c:pt idx="34">
                  <c:v>43896</c:v>
                </c:pt>
                <c:pt idx="35">
                  <c:v>43903</c:v>
                </c:pt>
                <c:pt idx="36">
                  <c:v>43910</c:v>
                </c:pt>
                <c:pt idx="37">
                  <c:v>43917</c:v>
                </c:pt>
                <c:pt idx="38">
                  <c:v>43924</c:v>
                </c:pt>
                <c:pt idx="39">
                  <c:v>43931</c:v>
                </c:pt>
                <c:pt idx="40">
                  <c:v>43938</c:v>
                </c:pt>
                <c:pt idx="41">
                  <c:v>43945</c:v>
                </c:pt>
                <c:pt idx="42">
                  <c:v>43952</c:v>
                </c:pt>
                <c:pt idx="43">
                  <c:v>43959</c:v>
                </c:pt>
                <c:pt idx="44">
                  <c:v>43966</c:v>
                </c:pt>
                <c:pt idx="45">
                  <c:v>43973</c:v>
                </c:pt>
                <c:pt idx="46">
                  <c:v>43980</c:v>
                </c:pt>
                <c:pt idx="47">
                  <c:v>43987</c:v>
                </c:pt>
                <c:pt idx="48">
                  <c:v>43994</c:v>
                </c:pt>
                <c:pt idx="49">
                  <c:v>44001</c:v>
                </c:pt>
                <c:pt idx="50">
                  <c:v>44008</c:v>
                </c:pt>
                <c:pt idx="51">
                  <c:v>44015</c:v>
                </c:pt>
                <c:pt idx="52">
                  <c:v>44022</c:v>
                </c:pt>
                <c:pt idx="53">
                  <c:v>44029</c:v>
                </c:pt>
                <c:pt idx="54">
                  <c:v>44036</c:v>
                </c:pt>
                <c:pt idx="55">
                  <c:v>44043</c:v>
                </c:pt>
                <c:pt idx="56">
                  <c:v>44050</c:v>
                </c:pt>
                <c:pt idx="57">
                  <c:v>44057</c:v>
                </c:pt>
                <c:pt idx="58">
                  <c:v>44064</c:v>
                </c:pt>
                <c:pt idx="59">
                  <c:v>44071</c:v>
                </c:pt>
                <c:pt idx="60">
                  <c:v>44078</c:v>
                </c:pt>
                <c:pt idx="61">
                  <c:v>44085</c:v>
                </c:pt>
                <c:pt idx="62">
                  <c:v>44092</c:v>
                </c:pt>
                <c:pt idx="63">
                  <c:v>44099</c:v>
                </c:pt>
                <c:pt idx="64">
                  <c:v>44106</c:v>
                </c:pt>
                <c:pt idx="65">
                  <c:v>44113</c:v>
                </c:pt>
                <c:pt idx="66">
                  <c:v>44120</c:v>
                </c:pt>
                <c:pt idx="67">
                  <c:v>44127</c:v>
                </c:pt>
                <c:pt idx="68">
                  <c:v>44134</c:v>
                </c:pt>
                <c:pt idx="69">
                  <c:v>44141</c:v>
                </c:pt>
                <c:pt idx="70">
                  <c:v>44148</c:v>
                </c:pt>
                <c:pt idx="71">
                  <c:v>44155</c:v>
                </c:pt>
                <c:pt idx="72">
                  <c:v>44162</c:v>
                </c:pt>
                <c:pt idx="73">
                  <c:v>44169</c:v>
                </c:pt>
                <c:pt idx="74">
                  <c:v>44176</c:v>
                </c:pt>
                <c:pt idx="75">
                  <c:v>44183</c:v>
                </c:pt>
                <c:pt idx="76">
                  <c:v>44190</c:v>
                </c:pt>
                <c:pt idx="77">
                  <c:v>44197</c:v>
                </c:pt>
                <c:pt idx="78">
                  <c:v>44204</c:v>
                </c:pt>
                <c:pt idx="79">
                  <c:v>44211</c:v>
                </c:pt>
                <c:pt idx="80">
                  <c:v>44218</c:v>
                </c:pt>
                <c:pt idx="81">
                  <c:v>44225</c:v>
                </c:pt>
                <c:pt idx="82">
                  <c:v>44232</c:v>
                </c:pt>
                <c:pt idx="83">
                  <c:v>44239</c:v>
                </c:pt>
                <c:pt idx="84">
                  <c:v>44246</c:v>
                </c:pt>
                <c:pt idx="85">
                  <c:v>44253</c:v>
                </c:pt>
                <c:pt idx="86">
                  <c:v>44260</c:v>
                </c:pt>
                <c:pt idx="87">
                  <c:v>44267</c:v>
                </c:pt>
                <c:pt idx="88">
                  <c:v>44274</c:v>
                </c:pt>
                <c:pt idx="89">
                  <c:v>44281</c:v>
                </c:pt>
                <c:pt idx="90">
                  <c:v>44288</c:v>
                </c:pt>
                <c:pt idx="91">
                  <c:v>44295</c:v>
                </c:pt>
                <c:pt idx="92">
                  <c:v>44302</c:v>
                </c:pt>
                <c:pt idx="93">
                  <c:v>44309</c:v>
                </c:pt>
                <c:pt idx="94">
                  <c:v>44316</c:v>
                </c:pt>
                <c:pt idx="95">
                  <c:v>44323</c:v>
                </c:pt>
                <c:pt idx="96">
                  <c:v>44330</c:v>
                </c:pt>
                <c:pt idx="97">
                  <c:v>44337</c:v>
                </c:pt>
                <c:pt idx="98">
                  <c:v>44344</c:v>
                </c:pt>
                <c:pt idx="99">
                  <c:v>44351</c:v>
                </c:pt>
                <c:pt idx="100">
                  <c:v>44358</c:v>
                </c:pt>
                <c:pt idx="101">
                  <c:v>44365</c:v>
                </c:pt>
                <c:pt idx="102">
                  <c:v>44372</c:v>
                </c:pt>
                <c:pt idx="103">
                  <c:v>44379</c:v>
                </c:pt>
                <c:pt idx="104">
                  <c:v>44386</c:v>
                </c:pt>
                <c:pt idx="105">
                  <c:v>44393</c:v>
                </c:pt>
                <c:pt idx="106">
                  <c:v>44400</c:v>
                </c:pt>
                <c:pt idx="107">
                  <c:v>44407</c:v>
                </c:pt>
                <c:pt idx="108">
                  <c:v>44414</c:v>
                </c:pt>
                <c:pt idx="109">
                  <c:v>44421</c:v>
                </c:pt>
                <c:pt idx="110">
                  <c:v>44428</c:v>
                </c:pt>
                <c:pt idx="111">
                  <c:v>44435</c:v>
                </c:pt>
                <c:pt idx="112">
                  <c:v>44442</c:v>
                </c:pt>
                <c:pt idx="113">
                  <c:v>44449</c:v>
                </c:pt>
                <c:pt idx="114">
                  <c:v>44456</c:v>
                </c:pt>
                <c:pt idx="115">
                  <c:v>44463</c:v>
                </c:pt>
                <c:pt idx="116">
                  <c:v>44470</c:v>
                </c:pt>
                <c:pt idx="117">
                  <c:v>44477</c:v>
                </c:pt>
                <c:pt idx="118">
                  <c:v>44484</c:v>
                </c:pt>
                <c:pt idx="119">
                  <c:v>44491</c:v>
                </c:pt>
                <c:pt idx="120">
                  <c:v>44498</c:v>
                </c:pt>
                <c:pt idx="121">
                  <c:v>44505</c:v>
                </c:pt>
                <c:pt idx="122">
                  <c:v>44512</c:v>
                </c:pt>
                <c:pt idx="123">
                  <c:v>44519</c:v>
                </c:pt>
                <c:pt idx="124">
                  <c:v>44526</c:v>
                </c:pt>
                <c:pt idx="125">
                  <c:v>44533</c:v>
                </c:pt>
                <c:pt idx="126">
                  <c:v>44540</c:v>
                </c:pt>
                <c:pt idx="127">
                  <c:v>44547</c:v>
                </c:pt>
                <c:pt idx="128">
                  <c:v>44554</c:v>
                </c:pt>
                <c:pt idx="129">
                  <c:v>44561</c:v>
                </c:pt>
                <c:pt idx="130">
                  <c:v>44568</c:v>
                </c:pt>
                <c:pt idx="131">
                  <c:v>44575</c:v>
                </c:pt>
                <c:pt idx="132">
                  <c:v>44582</c:v>
                </c:pt>
                <c:pt idx="133">
                  <c:v>44589</c:v>
                </c:pt>
                <c:pt idx="134">
                  <c:v>44596</c:v>
                </c:pt>
                <c:pt idx="135">
                  <c:v>44603</c:v>
                </c:pt>
                <c:pt idx="136">
                  <c:v>44610</c:v>
                </c:pt>
                <c:pt idx="137">
                  <c:v>44617</c:v>
                </c:pt>
                <c:pt idx="138">
                  <c:v>44624</c:v>
                </c:pt>
                <c:pt idx="139">
                  <c:v>44631</c:v>
                </c:pt>
                <c:pt idx="140">
                  <c:v>44638</c:v>
                </c:pt>
                <c:pt idx="141">
                  <c:v>44645</c:v>
                </c:pt>
                <c:pt idx="142">
                  <c:v>44652</c:v>
                </c:pt>
                <c:pt idx="143">
                  <c:v>44659</c:v>
                </c:pt>
                <c:pt idx="144">
                  <c:v>44666</c:v>
                </c:pt>
                <c:pt idx="145">
                  <c:v>44673</c:v>
                </c:pt>
                <c:pt idx="146">
                  <c:v>44680</c:v>
                </c:pt>
                <c:pt idx="147">
                  <c:v>44687</c:v>
                </c:pt>
                <c:pt idx="148">
                  <c:v>44694</c:v>
                </c:pt>
                <c:pt idx="149">
                  <c:v>44701</c:v>
                </c:pt>
                <c:pt idx="150">
                  <c:v>44708</c:v>
                </c:pt>
                <c:pt idx="151">
                  <c:v>44715</c:v>
                </c:pt>
                <c:pt idx="152">
                  <c:v>44722</c:v>
                </c:pt>
                <c:pt idx="153">
                  <c:v>44729</c:v>
                </c:pt>
                <c:pt idx="154">
                  <c:v>44736</c:v>
                </c:pt>
                <c:pt idx="155">
                  <c:v>44743</c:v>
                </c:pt>
                <c:pt idx="156">
                  <c:v>44750</c:v>
                </c:pt>
                <c:pt idx="157">
                  <c:v>44757</c:v>
                </c:pt>
                <c:pt idx="158">
                  <c:v>44764</c:v>
                </c:pt>
                <c:pt idx="159">
                  <c:v>44771</c:v>
                </c:pt>
                <c:pt idx="160">
                  <c:v>44778</c:v>
                </c:pt>
                <c:pt idx="161">
                  <c:v>44785</c:v>
                </c:pt>
                <c:pt idx="162">
                  <c:v>44792</c:v>
                </c:pt>
                <c:pt idx="163">
                  <c:v>44799</c:v>
                </c:pt>
                <c:pt idx="164">
                  <c:v>44806</c:v>
                </c:pt>
                <c:pt idx="165">
                  <c:v>44813</c:v>
                </c:pt>
                <c:pt idx="166">
                  <c:v>44820</c:v>
                </c:pt>
                <c:pt idx="167">
                  <c:v>44827</c:v>
                </c:pt>
                <c:pt idx="168">
                  <c:v>44834</c:v>
                </c:pt>
                <c:pt idx="169">
                  <c:v>44841</c:v>
                </c:pt>
                <c:pt idx="170">
                  <c:v>44848</c:v>
                </c:pt>
                <c:pt idx="171">
                  <c:v>44855</c:v>
                </c:pt>
                <c:pt idx="172">
                  <c:v>44862</c:v>
                </c:pt>
                <c:pt idx="173">
                  <c:v>44869</c:v>
                </c:pt>
                <c:pt idx="174">
                  <c:v>44876</c:v>
                </c:pt>
                <c:pt idx="175">
                  <c:v>44883</c:v>
                </c:pt>
                <c:pt idx="176">
                  <c:v>44890</c:v>
                </c:pt>
                <c:pt idx="177">
                  <c:v>44897</c:v>
                </c:pt>
                <c:pt idx="178">
                  <c:v>44904</c:v>
                </c:pt>
                <c:pt idx="179">
                  <c:v>44911</c:v>
                </c:pt>
                <c:pt idx="180">
                  <c:v>44918</c:v>
                </c:pt>
                <c:pt idx="181">
                  <c:v>44925</c:v>
                </c:pt>
                <c:pt idx="182">
                  <c:v>44932</c:v>
                </c:pt>
                <c:pt idx="183">
                  <c:v>44939</c:v>
                </c:pt>
                <c:pt idx="184">
                  <c:v>44946</c:v>
                </c:pt>
                <c:pt idx="185">
                  <c:v>44953</c:v>
                </c:pt>
                <c:pt idx="186">
                  <c:v>44960</c:v>
                </c:pt>
                <c:pt idx="187">
                  <c:v>44967</c:v>
                </c:pt>
                <c:pt idx="188">
                  <c:v>44974</c:v>
                </c:pt>
                <c:pt idx="189">
                  <c:v>44981</c:v>
                </c:pt>
                <c:pt idx="190">
                  <c:v>44988</c:v>
                </c:pt>
                <c:pt idx="191">
                  <c:v>44995</c:v>
                </c:pt>
                <c:pt idx="192">
                  <c:v>45002</c:v>
                </c:pt>
                <c:pt idx="193">
                  <c:v>45009</c:v>
                </c:pt>
                <c:pt idx="194">
                  <c:v>45016</c:v>
                </c:pt>
                <c:pt idx="195">
                  <c:v>45023</c:v>
                </c:pt>
                <c:pt idx="196">
                  <c:v>45030</c:v>
                </c:pt>
                <c:pt idx="197">
                  <c:v>45037</c:v>
                </c:pt>
                <c:pt idx="198">
                  <c:v>45044</c:v>
                </c:pt>
                <c:pt idx="199">
                  <c:v>45051</c:v>
                </c:pt>
                <c:pt idx="200">
                  <c:v>45058</c:v>
                </c:pt>
                <c:pt idx="201">
                  <c:v>45065</c:v>
                </c:pt>
                <c:pt idx="202">
                  <c:v>45072</c:v>
                </c:pt>
                <c:pt idx="203">
                  <c:v>45079</c:v>
                </c:pt>
                <c:pt idx="204">
                  <c:v>45086</c:v>
                </c:pt>
                <c:pt idx="205">
                  <c:v>45093</c:v>
                </c:pt>
                <c:pt idx="206">
                  <c:v>45100</c:v>
                </c:pt>
                <c:pt idx="207">
                  <c:v>45107</c:v>
                </c:pt>
                <c:pt idx="208">
                  <c:v>45114</c:v>
                </c:pt>
                <c:pt idx="209">
                  <c:v>45121</c:v>
                </c:pt>
                <c:pt idx="210">
                  <c:v>45128</c:v>
                </c:pt>
                <c:pt idx="211">
                  <c:v>45135</c:v>
                </c:pt>
                <c:pt idx="212">
                  <c:v>45142</c:v>
                </c:pt>
                <c:pt idx="213">
                  <c:v>45149</c:v>
                </c:pt>
                <c:pt idx="214">
                  <c:v>45156</c:v>
                </c:pt>
                <c:pt idx="215">
                  <c:v>45163</c:v>
                </c:pt>
                <c:pt idx="216">
                  <c:v>45170</c:v>
                </c:pt>
                <c:pt idx="217">
                  <c:v>45177</c:v>
                </c:pt>
                <c:pt idx="218">
                  <c:v>45184</c:v>
                </c:pt>
                <c:pt idx="219">
                  <c:v>45191</c:v>
                </c:pt>
                <c:pt idx="220">
                  <c:v>45198</c:v>
                </c:pt>
                <c:pt idx="221">
                  <c:v>45205</c:v>
                </c:pt>
                <c:pt idx="222">
                  <c:v>45212</c:v>
                </c:pt>
                <c:pt idx="223">
                  <c:v>45219</c:v>
                </c:pt>
                <c:pt idx="224">
                  <c:v>45226</c:v>
                </c:pt>
                <c:pt idx="225">
                  <c:v>45233</c:v>
                </c:pt>
                <c:pt idx="226">
                  <c:v>45240</c:v>
                </c:pt>
                <c:pt idx="227">
                  <c:v>45247</c:v>
                </c:pt>
                <c:pt idx="228">
                  <c:v>45254</c:v>
                </c:pt>
                <c:pt idx="229">
                  <c:v>45261</c:v>
                </c:pt>
                <c:pt idx="230">
                  <c:v>45268</c:v>
                </c:pt>
                <c:pt idx="231">
                  <c:v>45275</c:v>
                </c:pt>
                <c:pt idx="232">
                  <c:v>45282</c:v>
                </c:pt>
                <c:pt idx="233">
                  <c:v>45289</c:v>
                </c:pt>
                <c:pt idx="234">
                  <c:v>45296</c:v>
                </c:pt>
                <c:pt idx="235">
                  <c:v>45303</c:v>
                </c:pt>
                <c:pt idx="236">
                  <c:v>45310</c:v>
                </c:pt>
                <c:pt idx="237">
                  <c:v>45317</c:v>
                </c:pt>
                <c:pt idx="238">
                  <c:v>45324</c:v>
                </c:pt>
                <c:pt idx="239">
                  <c:v>45331</c:v>
                </c:pt>
                <c:pt idx="240">
                  <c:v>45338</c:v>
                </c:pt>
                <c:pt idx="241">
                  <c:v>45345</c:v>
                </c:pt>
                <c:pt idx="242">
                  <c:v>45352</c:v>
                </c:pt>
                <c:pt idx="243">
                  <c:v>45359</c:v>
                </c:pt>
                <c:pt idx="244">
                  <c:v>45366</c:v>
                </c:pt>
                <c:pt idx="245">
                  <c:v>45373</c:v>
                </c:pt>
                <c:pt idx="246">
                  <c:v>45380</c:v>
                </c:pt>
                <c:pt idx="247">
                  <c:v>45387</c:v>
                </c:pt>
                <c:pt idx="248">
                  <c:v>45394</c:v>
                </c:pt>
                <c:pt idx="249">
                  <c:v>45401</c:v>
                </c:pt>
                <c:pt idx="250">
                  <c:v>45408</c:v>
                </c:pt>
                <c:pt idx="251">
                  <c:v>45415</c:v>
                </c:pt>
                <c:pt idx="252">
                  <c:v>45422</c:v>
                </c:pt>
                <c:pt idx="253">
                  <c:v>45429</c:v>
                </c:pt>
                <c:pt idx="254">
                  <c:v>45436</c:v>
                </c:pt>
                <c:pt idx="255">
                  <c:v>45443</c:v>
                </c:pt>
                <c:pt idx="256">
                  <c:v>45450</c:v>
                </c:pt>
                <c:pt idx="257">
                  <c:v>45457</c:v>
                </c:pt>
                <c:pt idx="258">
                  <c:v>45464</c:v>
                </c:pt>
                <c:pt idx="259">
                  <c:v>45471</c:v>
                </c:pt>
                <c:pt idx="260">
                  <c:v>45478</c:v>
                </c:pt>
                <c:pt idx="261">
                  <c:v>45485</c:v>
                </c:pt>
                <c:pt idx="262">
                  <c:v>45492</c:v>
                </c:pt>
                <c:pt idx="263">
                  <c:v>45499</c:v>
                </c:pt>
                <c:pt idx="264">
                  <c:v>45506</c:v>
                </c:pt>
                <c:pt idx="265">
                  <c:v>45513</c:v>
                </c:pt>
                <c:pt idx="266">
                  <c:v>45520</c:v>
                </c:pt>
                <c:pt idx="267">
                  <c:v>45527</c:v>
                </c:pt>
                <c:pt idx="268">
                  <c:v>45534</c:v>
                </c:pt>
                <c:pt idx="269">
                  <c:v>45541</c:v>
                </c:pt>
                <c:pt idx="270">
                  <c:v>45548</c:v>
                </c:pt>
                <c:pt idx="271">
                  <c:v>45555</c:v>
                </c:pt>
                <c:pt idx="272">
                  <c:v>45562</c:v>
                </c:pt>
                <c:pt idx="273">
                  <c:v>45569</c:v>
                </c:pt>
                <c:pt idx="274">
                  <c:v>45576</c:v>
                </c:pt>
                <c:pt idx="275">
                  <c:v>45583</c:v>
                </c:pt>
                <c:pt idx="276">
                  <c:v>45590</c:v>
                </c:pt>
                <c:pt idx="277">
                  <c:v>45597</c:v>
                </c:pt>
                <c:pt idx="278">
                  <c:v>45604</c:v>
                </c:pt>
                <c:pt idx="279">
                  <c:v>45611</c:v>
                </c:pt>
                <c:pt idx="280">
                  <c:v>45618</c:v>
                </c:pt>
                <c:pt idx="281">
                  <c:v>45625</c:v>
                </c:pt>
                <c:pt idx="282">
                  <c:v>45632</c:v>
                </c:pt>
                <c:pt idx="283">
                  <c:v>45639</c:v>
                </c:pt>
                <c:pt idx="284">
                  <c:v>45646</c:v>
                </c:pt>
                <c:pt idx="285">
                  <c:v>45653</c:v>
                </c:pt>
                <c:pt idx="286">
                  <c:v>45660</c:v>
                </c:pt>
                <c:pt idx="287">
                  <c:v>45667</c:v>
                </c:pt>
                <c:pt idx="288">
                  <c:v>45674</c:v>
                </c:pt>
                <c:pt idx="289">
                  <c:v>45681</c:v>
                </c:pt>
                <c:pt idx="290">
                  <c:v>45688</c:v>
                </c:pt>
                <c:pt idx="291">
                  <c:v>45695</c:v>
                </c:pt>
                <c:pt idx="292">
                  <c:v>45702</c:v>
                </c:pt>
                <c:pt idx="293">
                  <c:v>45709</c:v>
                </c:pt>
                <c:pt idx="294">
                  <c:v>45716</c:v>
                </c:pt>
                <c:pt idx="295">
                  <c:v>45723</c:v>
                </c:pt>
                <c:pt idx="296">
                  <c:v>45730</c:v>
                </c:pt>
                <c:pt idx="297">
                  <c:v>45737</c:v>
                </c:pt>
                <c:pt idx="298">
                  <c:v>45744</c:v>
                </c:pt>
                <c:pt idx="299">
                  <c:v>45751</c:v>
                </c:pt>
                <c:pt idx="300">
                  <c:v>45758</c:v>
                </c:pt>
                <c:pt idx="301">
                  <c:v>45765</c:v>
                </c:pt>
                <c:pt idx="302">
                  <c:v>45772</c:v>
                </c:pt>
                <c:pt idx="303">
                  <c:v>45779</c:v>
                </c:pt>
                <c:pt idx="304">
                  <c:v>45786</c:v>
                </c:pt>
                <c:pt idx="305">
                  <c:v>45793</c:v>
                </c:pt>
                <c:pt idx="306">
                  <c:v>45800</c:v>
                </c:pt>
                <c:pt idx="307">
                  <c:v>45807</c:v>
                </c:pt>
                <c:pt idx="308">
                  <c:v>45814</c:v>
                </c:pt>
                <c:pt idx="309">
                  <c:v>45821</c:v>
                </c:pt>
                <c:pt idx="310">
                  <c:v>45828</c:v>
                </c:pt>
                <c:pt idx="311">
                  <c:v>45835</c:v>
                </c:pt>
                <c:pt idx="312">
                  <c:v>45842</c:v>
                </c:pt>
                <c:pt idx="313">
                  <c:v>45849</c:v>
                </c:pt>
                <c:pt idx="314">
                  <c:v>45856</c:v>
                </c:pt>
                <c:pt idx="315">
                  <c:v>45863</c:v>
                </c:pt>
                <c:pt idx="316">
                  <c:v>45870</c:v>
                </c:pt>
                <c:pt idx="317">
                  <c:v>45877</c:v>
                </c:pt>
                <c:pt idx="318">
                  <c:v>45884</c:v>
                </c:pt>
                <c:pt idx="319">
                  <c:v>45891</c:v>
                </c:pt>
                <c:pt idx="320">
                  <c:v>45898</c:v>
                </c:pt>
                <c:pt idx="321">
                  <c:v>45905</c:v>
                </c:pt>
                <c:pt idx="322">
                  <c:v>45912</c:v>
                </c:pt>
                <c:pt idx="323">
                  <c:v>45919</c:v>
                </c:pt>
                <c:pt idx="324">
                  <c:v>45926</c:v>
                </c:pt>
                <c:pt idx="325">
                  <c:v>45933</c:v>
                </c:pt>
                <c:pt idx="326">
                  <c:v>45940</c:v>
                </c:pt>
                <c:pt idx="327">
                  <c:v>45947</c:v>
                </c:pt>
                <c:pt idx="328">
                  <c:v>45954</c:v>
                </c:pt>
                <c:pt idx="329">
                  <c:v>45961</c:v>
                </c:pt>
                <c:pt idx="330">
                  <c:v>45968</c:v>
                </c:pt>
                <c:pt idx="331">
                  <c:v>45975</c:v>
                </c:pt>
                <c:pt idx="332">
                  <c:v>45982</c:v>
                </c:pt>
                <c:pt idx="333">
                  <c:v>45989</c:v>
                </c:pt>
                <c:pt idx="334">
                  <c:v>45996</c:v>
                </c:pt>
                <c:pt idx="335">
                  <c:v>46003</c:v>
                </c:pt>
                <c:pt idx="336">
                  <c:v>46010</c:v>
                </c:pt>
                <c:pt idx="337">
                  <c:v>46017</c:v>
                </c:pt>
                <c:pt idx="338">
                  <c:v>46024</c:v>
                </c:pt>
                <c:pt idx="339">
                  <c:v>46031</c:v>
                </c:pt>
                <c:pt idx="340">
                  <c:v>46038</c:v>
                </c:pt>
                <c:pt idx="341">
                  <c:v>46045</c:v>
                </c:pt>
                <c:pt idx="342">
                  <c:v>46052</c:v>
                </c:pt>
                <c:pt idx="343">
                  <c:v>46059</c:v>
                </c:pt>
                <c:pt idx="344">
                  <c:v>46066</c:v>
                </c:pt>
                <c:pt idx="345">
                  <c:v>46073</c:v>
                </c:pt>
                <c:pt idx="346">
                  <c:v>46080</c:v>
                </c:pt>
                <c:pt idx="347">
                  <c:v>46087</c:v>
                </c:pt>
                <c:pt idx="348">
                  <c:v>46094</c:v>
                </c:pt>
                <c:pt idx="349">
                  <c:v>46101</c:v>
                </c:pt>
                <c:pt idx="350">
                  <c:v>46108</c:v>
                </c:pt>
                <c:pt idx="351">
                  <c:v>46115</c:v>
                </c:pt>
                <c:pt idx="352">
                  <c:v>46122</c:v>
                </c:pt>
                <c:pt idx="353">
                  <c:v>46129</c:v>
                </c:pt>
                <c:pt idx="354">
                  <c:v>46136</c:v>
                </c:pt>
                <c:pt idx="355">
                  <c:v>46143</c:v>
                </c:pt>
                <c:pt idx="356">
                  <c:v>46150</c:v>
                </c:pt>
                <c:pt idx="357">
                  <c:v>46157</c:v>
                </c:pt>
                <c:pt idx="358">
                  <c:v>46164</c:v>
                </c:pt>
                <c:pt idx="359">
                  <c:v>46171</c:v>
                </c:pt>
                <c:pt idx="360">
                  <c:v>46178</c:v>
                </c:pt>
                <c:pt idx="361">
                  <c:v>46185</c:v>
                </c:pt>
                <c:pt idx="362">
                  <c:v>46192</c:v>
                </c:pt>
                <c:pt idx="363">
                  <c:v>46199</c:v>
                </c:pt>
                <c:pt idx="364">
                  <c:v>46206</c:v>
                </c:pt>
                <c:pt idx="365">
                  <c:v>46213</c:v>
                </c:pt>
                <c:pt idx="366">
                  <c:v>46220</c:v>
                </c:pt>
                <c:pt idx="367">
                  <c:v>46227</c:v>
                </c:pt>
                <c:pt idx="368">
                  <c:v>46234</c:v>
                </c:pt>
                <c:pt idx="369">
                  <c:v>46241</c:v>
                </c:pt>
                <c:pt idx="370">
                  <c:v>46248</c:v>
                </c:pt>
                <c:pt idx="371">
                  <c:v>46255</c:v>
                </c:pt>
                <c:pt idx="372">
                  <c:v>46262</c:v>
                </c:pt>
                <c:pt idx="373">
                  <c:v>46269</c:v>
                </c:pt>
                <c:pt idx="374">
                  <c:v>46276</c:v>
                </c:pt>
                <c:pt idx="375">
                  <c:v>46283</c:v>
                </c:pt>
                <c:pt idx="376">
                  <c:v>46290</c:v>
                </c:pt>
                <c:pt idx="377">
                  <c:v>46297</c:v>
                </c:pt>
                <c:pt idx="378">
                  <c:v>46304</c:v>
                </c:pt>
              </c:numCache>
            </c:numRef>
          </c:cat>
          <c:val>
            <c:numRef>
              <c:f>Base!$Y$7:$Y$2000</c:f>
              <c:numCache>
                <c:formatCode>General</c:formatCode>
                <c:ptCount val="1994"/>
                <c:pt idx="0">
                  <c:v>2.2863000000000002</c:v>
                </c:pt>
                <c:pt idx="1">
                  <c:v>2.2404999999999999</c:v>
                </c:pt>
                <c:pt idx="2">
                  <c:v>2.3578999999999999</c:v>
                </c:pt>
                <c:pt idx="3">
                  <c:v>2.4466999999999999</c:v>
                </c:pt>
                <c:pt idx="4">
                  <c:v>2.4611000000000001</c:v>
                </c:pt>
                <c:pt idx="5">
                  <c:v>1.5902000000000001</c:v>
                </c:pt>
                <c:pt idx="6">
                  <c:v>1.3695999999999999</c:v>
                </c:pt>
                <c:pt idx="7">
                  <c:v>0.94569999999999999</c:v>
                </c:pt>
                <c:pt idx="8">
                  <c:v>1.1448</c:v>
                </c:pt>
                <c:pt idx="9">
                  <c:v>1.5702</c:v>
                </c:pt>
                <c:pt idx="10">
                  <c:v>1.6289</c:v>
                </c:pt>
                <c:pt idx="11">
                  <c:v>1.4756</c:v>
                </c:pt>
                <c:pt idx="12">
                  <c:v>1.8604000000000001</c:v>
                </c:pt>
                <c:pt idx="13">
                  <c:v>1.7574000000000001</c:v>
                </c:pt>
                <c:pt idx="14">
                  <c:v>1.5969</c:v>
                </c:pt>
                <c:pt idx="15">
                  <c:v>1.3731</c:v>
                </c:pt>
                <c:pt idx="16">
                  <c:v>1.5511999999999999</c:v>
                </c:pt>
                <c:pt idx="17">
                  <c:v>1.5262</c:v>
                </c:pt>
                <c:pt idx="18">
                  <c:v>1.3480000000000001</c:v>
                </c:pt>
                <c:pt idx="19">
                  <c:v>1.3980999999999999</c:v>
                </c:pt>
                <c:pt idx="20">
                  <c:v>1.3170999999999999</c:v>
                </c:pt>
                <c:pt idx="21">
                  <c:v>1.2994000000000001</c:v>
                </c:pt>
                <c:pt idx="22">
                  <c:v>1.3407</c:v>
                </c:pt>
                <c:pt idx="23">
                  <c:v>1.3421000000000001</c:v>
                </c:pt>
                <c:pt idx="24">
                  <c:v>1.4422999999999999</c:v>
                </c:pt>
                <c:pt idx="25">
                  <c:v>1.1543000000000001</c:v>
                </c:pt>
                <c:pt idx="26">
                  <c:v>1.2302</c:v>
                </c:pt>
                <c:pt idx="27">
                  <c:v>1.2646999999999999</c:v>
                </c:pt>
                <c:pt idx="28">
                  <c:v>1.1727000000000001</c:v>
                </c:pt>
                <c:pt idx="29">
                  <c:v>1.1462000000000001</c:v>
                </c:pt>
                <c:pt idx="30">
                  <c:v>1.1071</c:v>
                </c:pt>
                <c:pt idx="31">
                  <c:v>1.0046999999999999</c:v>
                </c:pt>
                <c:pt idx="32">
                  <c:v>1.0645</c:v>
                </c:pt>
                <c:pt idx="33">
                  <c:v>0.98509999999999998</c:v>
                </c:pt>
                <c:pt idx="34">
                  <c:v>1.0599000000000001</c:v>
                </c:pt>
                <c:pt idx="35">
                  <c:v>0.83899999999999997</c:v>
                </c:pt>
                <c:pt idx="36">
                  <c:v>0.72629999999999995</c:v>
                </c:pt>
                <c:pt idx="37">
                  <c:v>0.73089999999999999</c:v>
                </c:pt>
                <c:pt idx="38">
                  <c:v>0.64039999999999997</c:v>
                </c:pt>
                <c:pt idx="39">
                  <c:v>0.69550000000000001</c:v>
                </c:pt>
                <c:pt idx="40">
                  <c:v>0.66569999999999996</c:v>
                </c:pt>
                <c:pt idx="41">
                  <c:v>0.61399999999999999</c:v>
                </c:pt>
                <c:pt idx="42">
                  <c:v>0.6734</c:v>
                </c:pt>
                <c:pt idx="43">
                  <c:v>0.78349999999999997</c:v>
                </c:pt>
                <c:pt idx="44">
                  <c:v>0.8</c:v>
                </c:pt>
                <c:pt idx="45">
                  <c:v>0.79339999999999999</c:v>
                </c:pt>
                <c:pt idx="46">
                  <c:v>0.79120000000000001</c:v>
                </c:pt>
                <c:pt idx="47">
                  <c:v>0.91459999999999997</c:v>
                </c:pt>
                <c:pt idx="48">
                  <c:v>0.9355</c:v>
                </c:pt>
                <c:pt idx="49">
                  <c:v>0.88919999999999999</c:v>
                </c:pt>
                <c:pt idx="50">
                  <c:v>0.84079999999999999</c:v>
                </c:pt>
                <c:pt idx="51">
                  <c:v>0.84799999999999998</c:v>
                </c:pt>
                <c:pt idx="52">
                  <c:v>0.97850000000000004</c:v>
                </c:pt>
                <c:pt idx="53">
                  <c:v>0.95309999999999995</c:v>
                </c:pt>
                <c:pt idx="54">
                  <c:v>0.94620000000000004</c:v>
                </c:pt>
                <c:pt idx="55">
                  <c:v>0.92190000000000005</c:v>
                </c:pt>
                <c:pt idx="56">
                  <c:v>1.0074000000000001</c:v>
                </c:pt>
                <c:pt idx="57">
                  <c:v>1.0998000000000001</c:v>
                </c:pt>
                <c:pt idx="58">
                  <c:v>1.0837000000000001</c:v>
                </c:pt>
                <c:pt idx="59">
                  <c:v>1.0294000000000001</c:v>
                </c:pt>
                <c:pt idx="60">
                  <c:v>1.0132000000000001</c:v>
                </c:pt>
                <c:pt idx="61">
                  <c:v>1.0074000000000001</c:v>
                </c:pt>
                <c:pt idx="62">
                  <c:v>0.85029999999999994</c:v>
                </c:pt>
                <c:pt idx="63">
                  <c:v>0.92310000000000003</c:v>
                </c:pt>
                <c:pt idx="64">
                  <c:v>0.76749999999999996</c:v>
                </c:pt>
                <c:pt idx="65">
                  <c:v>0.78600000000000003</c:v>
                </c:pt>
                <c:pt idx="66">
                  <c:v>0.86629999999999996</c:v>
                </c:pt>
                <c:pt idx="67">
                  <c:v>0.98240000000000005</c:v>
                </c:pt>
                <c:pt idx="68">
                  <c:v>0.82830000000000004</c:v>
                </c:pt>
                <c:pt idx="69">
                  <c:v>0.8891</c:v>
                </c:pt>
                <c:pt idx="70">
                  <c:v>0.85650000000000004</c:v>
                </c:pt>
                <c:pt idx="71">
                  <c:v>0.84889999999999999</c:v>
                </c:pt>
                <c:pt idx="72">
                  <c:v>0.93789999999999996</c:v>
                </c:pt>
                <c:pt idx="73">
                  <c:v>0.89119999999999999</c:v>
                </c:pt>
                <c:pt idx="74">
                  <c:v>0.89880000000000004</c:v>
                </c:pt>
                <c:pt idx="75">
                  <c:v>0.86299999999999999</c:v>
                </c:pt>
                <c:pt idx="76">
                  <c:v>0.86080000000000001</c:v>
                </c:pt>
                <c:pt idx="77">
                  <c:v>1.2117</c:v>
                </c:pt>
                <c:pt idx="78">
                  <c:v>1.2001999999999999</c:v>
                </c:pt>
                <c:pt idx="79">
                  <c:v>1.1591</c:v>
                </c:pt>
                <c:pt idx="80">
                  <c:v>1.1026</c:v>
                </c:pt>
                <c:pt idx="81">
                  <c:v>1.2028000000000001</c:v>
                </c:pt>
                <c:pt idx="82">
                  <c:v>1.2028000000000001</c:v>
                </c:pt>
                <c:pt idx="83">
                  <c:v>1.2233000000000001</c:v>
                </c:pt>
                <c:pt idx="84">
                  <c:v>1.2824</c:v>
                </c:pt>
                <c:pt idx="85">
                  <c:v>1.2001999999999999</c:v>
                </c:pt>
                <c:pt idx="86">
                  <c:v>1.1385000000000001</c:v>
                </c:pt>
                <c:pt idx="87">
                  <c:v>1.0973999999999999</c:v>
                </c:pt>
                <c:pt idx="88">
                  <c:v>1.0782</c:v>
                </c:pt>
                <c:pt idx="89">
                  <c:v>0.98440000000000005</c:v>
                </c:pt>
                <c:pt idx="90">
                  <c:v>0.94540000000000002</c:v>
                </c:pt>
                <c:pt idx="91">
                  <c:v>0.9657</c:v>
                </c:pt>
                <c:pt idx="92">
                  <c:v>0.91979999999999995</c:v>
                </c:pt>
                <c:pt idx="93">
                  <c:v>1.0331999999999999</c:v>
                </c:pt>
                <c:pt idx="94">
                  <c:v>1.0250999999999999</c:v>
                </c:pt>
                <c:pt idx="95">
                  <c:v>1.0346</c:v>
                </c:pt>
                <c:pt idx="96">
                  <c:v>1.0737000000000001</c:v>
                </c:pt>
                <c:pt idx="97">
                  <c:v>1.0238</c:v>
                </c:pt>
                <c:pt idx="98">
                  <c:v>1.0886</c:v>
                </c:pt>
                <c:pt idx="99">
                  <c:v>1.3803000000000001</c:v>
                </c:pt>
                <c:pt idx="100">
                  <c:v>1.4073</c:v>
                </c:pt>
                <c:pt idx="101">
                  <c:v>1.6126</c:v>
                </c:pt>
                <c:pt idx="102">
                  <c:v>1.6828000000000001</c:v>
                </c:pt>
                <c:pt idx="103">
                  <c:v>1.6920999999999999</c:v>
                </c:pt>
                <c:pt idx="104">
                  <c:v>1.6516999999999999</c:v>
                </c:pt>
                <c:pt idx="105">
                  <c:v>1.6747000000000001</c:v>
                </c:pt>
                <c:pt idx="106">
                  <c:v>1.6920999999999999</c:v>
                </c:pt>
                <c:pt idx="107">
                  <c:v>1.5824</c:v>
                </c:pt>
                <c:pt idx="108">
                  <c:v>1.6228</c:v>
                </c:pt>
                <c:pt idx="109">
                  <c:v>1.8018000000000001</c:v>
                </c:pt>
                <c:pt idx="110">
                  <c:v>1.8306</c:v>
                </c:pt>
                <c:pt idx="111">
                  <c:v>2.1423999999999999</c:v>
                </c:pt>
                <c:pt idx="112">
                  <c:v>2.1193</c:v>
                </c:pt>
                <c:pt idx="113">
                  <c:v>2.2117</c:v>
                </c:pt>
                <c:pt idx="114">
                  <c:v>2.6534</c:v>
                </c:pt>
                <c:pt idx="115">
                  <c:v>2.4512999999999998</c:v>
                </c:pt>
                <c:pt idx="116">
                  <c:v>2.5857000000000001</c:v>
                </c:pt>
                <c:pt idx="117">
                  <c:v>2.6309</c:v>
                </c:pt>
                <c:pt idx="118">
                  <c:v>2.7698</c:v>
                </c:pt>
                <c:pt idx="119">
                  <c:v>3.0247999999999999</c:v>
                </c:pt>
                <c:pt idx="120">
                  <c:v>2.8481999999999998</c:v>
                </c:pt>
                <c:pt idx="121">
                  <c:v>2.9024999999999999</c:v>
                </c:pt>
                <c:pt idx="122">
                  <c:v>2.7275</c:v>
                </c:pt>
                <c:pt idx="123">
                  <c:v>2.5312999999999999</c:v>
                </c:pt>
                <c:pt idx="124">
                  <c:v>2.4165999999999999</c:v>
                </c:pt>
                <c:pt idx="125">
                  <c:v>2.8391999999999999</c:v>
                </c:pt>
                <c:pt idx="126">
                  <c:v>2.8149999999999999</c:v>
                </c:pt>
                <c:pt idx="127">
                  <c:v>2.8875000000000002</c:v>
                </c:pt>
                <c:pt idx="128">
                  <c:v>2.7153999999999998</c:v>
                </c:pt>
                <c:pt idx="129">
                  <c:v>1.8759999999999999</c:v>
                </c:pt>
                <c:pt idx="130">
                  <c:v>1.8037000000000001</c:v>
                </c:pt>
                <c:pt idx="131">
                  <c:v>1.7193000000000001</c:v>
                </c:pt>
                <c:pt idx="132">
                  <c:v>1.5355000000000001</c:v>
                </c:pt>
                <c:pt idx="133">
                  <c:v>1.6169</c:v>
                </c:pt>
                <c:pt idx="134">
                  <c:v>1.9152</c:v>
                </c:pt>
                <c:pt idx="135">
                  <c:v>2.0236999999999998</c:v>
                </c:pt>
                <c:pt idx="136">
                  <c:v>2.5087999999999999</c:v>
                </c:pt>
                <c:pt idx="137">
                  <c:v>2.3355000000000001</c:v>
                </c:pt>
                <c:pt idx="138">
                  <c:v>2.4710999999999999</c:v>
                </c:pt>
                <c:pt idx="139">
                  <c:v>2.2902999999999998</c:v>
                </c:pt>
                <c:pt idx="140">
                  <c:v>2.1019999999999999</c:v>
                </c:pt>
                <c:pt idx="141">
                  <c:v>2.3957999999999999</c:v>
                </c:pt>
                <c:pt idx="142">
                  <c:v>2.3578000000000001</c:v>
                </c:pt>
                <c:pt idx="143">
                  <c:v>2.4081000000000001</c:v>
                </c:pt>
                <c:pt idx="144">
                  <c:v>2.3704000000000001</c:v>
                </c:pt>
                <c:pt idx="145">
                  <c:v>2.1503000000000001</c:v>
                </c:pt>
                <c:pt idx="146">
                  <c:v>2.0333000000000001</c:v>
                </c:pt>
                <c:pt idx="147">
                  <c:v>1.9754</c:v>
                </c:pt>
                <c:pt idx="148">
                  <c:v>1.8722000000000001</c:v>
                </c:pt>
                <c:pt idx="149">
                  <c:v>1.7665999999999999</c:v>
                </c:pt>
                <c:pt idx="150">
                  <c:v>2.0748000000000002</c:v>
                </c:pt>
                <c:pt idx="151">
                  <c:v>2.0935999999999999</c:v>
                </c:pt>
                <c:pt idx="152">
                  <c:v>1.8471</c:v>
                </c:pt>
                <c:pt idx="153">
                  <c:v>1.593</c:v>
                </c:pt>
                <c:pt idx="154">
                  <c:v>1.4169</c:v>
                </c:pt>
                <c:pt idx="155">
                  <c:v>1.1212</c:v>
                </c:pt>
                <c:pt idx="156">
                  <c:v>1.2524999999999999</c:v>
                </c:pt>
                <c:pt idx="157">
                  <c:v>1.2239</c:v>
                </c:pt>
                <c:pt idx="158">
                  <c:v>1.4998</c:v>
                </c:pt>
                <c:pt idx="159">
                  <c:v>1.6758</c:v>
                </c:pt>
                <c:pt idx="160">
                  <c:v>1.9850000000000001</c:v>
                </c:pt>
                <c:pt idx="161">
                  <c:v>2.0087999999999999</c:v>
                </c:pt>
                <c:pt idx="162">
                  <c:v>2.2132999999999998</c:v>
                </c:pt>
                <c:pt idx="163">
                  <c:v>2.5653000000000001</c:v>
                </c:pt>
                <c:pt idx="164">
                  <c:v>2.3559999999999999</c:v>
                </c:pt>
                <c:pt idx="165">
                  <c:v>2.7412999999999998</c:v>
                </c:pt>
                <c:pt idx="166">
                  <c:v>2.8269000000000002</c:v>
                </c:pt>
                <c:pt idx="167">
                  <c:v>2.5558000000000001</c:v>
                </c:pt>
                <c:pt idx="168">
                  <c:v>1.7784</c:v>
                </c:pt>
                <c:pt idx="169">
                  <c:v>1.8741000000000001</c:v>
                </c:pt>
                <c:pt idx="170">
                  <c:v>1.6603000000000001</c:v>
                </c:pt>
                <c:pt idx="171">
                  <c:v>1.5263</c:v>
                </c:pt>
                <c:pt idx="172">
                  <c:v>1.9601999999999999</c:v>
                </c:pt>
                <c:pt idx="173">
                  <c:v>2.0878000000000001</c:v>
                </c:pt>
                <c:pt idx="174">
                  <c:v>2.0367999999999999</c:v>
                </c:pt>
                <c:pt idx="175">
                  <c:v>2.4834000000000001</c:v>
                </c:pt>
                <c:pt idx="176">
                  <c:v>2.6781000000000001</c:v>
                </c:pt>
                <c:pt idx="177">
                  <c:v>3.1852999999999998</c:v>
                </c:pt>
                <c:pt idx="178">
                  <c:v>3.2810000000000001</c:v>
                </c:pt>
                <c:pt idx="179">
                  <c:v>3.3321000000000001</c:v>
                </c:pt>
                <c:pt idx="180">
                  <c:v>3.9190999999999998</c:v>
                </c:pt>
                <c:pt idx="181">
                  <c:v>2.5160999999999998</c:v>
                </c:pt>
                <c:pt idx="182">
                  <c:v>2.8512</c:v>
                </c:pt>
                <c:pt idx="183">
                  <c:v>2.8304999999999998</c:v>
                </c:pt>
                <c:pt idx="184">
                  <c:v>2.7890999999999999</c:v>
                </c:pt>
                <c:pt idx="185">
                  <c:v>3.149</c:v>
                </c:pt>
                <c:pt idx="186">
                  <c:v>2.9049999999999998</c:v>
                </c:pt>
                <c:pt idx="187">
                  <c:v>3.8397999999999999</c:v>
                </c:pt>
                <c:pt idx="188">
                  <c:v>3.6122999999999998</c:v>
                </c:pt>
                <c:pt idx="189">
                  <c:v>3.5337000000000001</c:v>
                </c:pt>
                <c:pt idx="190">
                  <c:v>3.0746000000000002</c:v>
                </c:pt>
                <c:pt idx="191">
                  <c:v>2.5781999999999998</c:v>
                </c:pt>
                <c:pt idx="192">
                  <c:v>2.4830000000000001</c:v>
                </c:pt>
                <c:pt idx="193">
                  <c:v>2.5657999999999999</c:v>
                </c:pt>
                <c:pt idx="194">
                  <c:v>0.93120000000000003</c:v>
                </c:pt>
                <c:pt idx="195">
                  <c:v>0.98399999999999999</c:v>
                </c:pt>
                <c:pt idx="196">
                  <c:v>1.1160000000000001</c:v>
                </c:pt>
                <c:pt idx="197">
                  <c:v>1.2391000000000001</c:v>
                </c:pt>
                <c:pt idx="198">
                  <c:v>1.3974</c:v>
                </c:pt>
                <c:pt idx="199">
                  <c:v>1.3321000000000001</c:v>
                </c:pt>
                <c:pt idx="200">
                  <c:v>1.5306</c:v>
                </c:pt>
                <c:pt idx="201">
                  <c:v>1.8108</c:v>
                </c:pt>
                <c:pt idx="202">
                  <c:v>1.7442</c:v>
                </c:pt>
                <c:pt idx="203">
                  <c:v>1.7681</c:v>
                </c:pt>
                <c:pt idx="204">
                  <c:v>1.6952</c:v>
                </c:pt>
                <c:pt idx="205">
                  <c:v>1.6349</c:v>
                </c:pt>
                <c:pt idx="206">
                  <c:v>1.7643</c:v>
                </c:pt>
                <c:pt idx="207">
                  <c:v>1.5911</c:v>
                </c:pt>
                <c:pt idx="208">
                  <c:v>1.5186999999999999</c:v>
                </c:pt>
                <c:pt idx="209">
                  <c:v>1.476</c:v>
                </c:pt>
                <c:pt idx="210">
                  <c:v>1.6647000000000001</c:v>
                </c:pt>
                <c:pt idx="211">
                  <c:v>1.6184000000000001</c:v>
                </c:pt>
                <c:pt idx="212">
                  <c:v>1.5282</c:v>
                </c:pt>
                <c:pt idx="213">
                  <c:v>1.4961</c:v>
                </c:pt>
                <c:pt idx="214">
                  <c:v>1.9793000000000001</c:v>
                </c:pt>
                <c:pt idx="215">
                  <c:v>2.0078</c:v>
                </c:pt>
                <c:pt idx="216">
                  <c:v>1.9318</c:v>
                </c:pt>
                <c:pt idx="217">
                  <c:v>1.6315</c:v>
                </c:pt>
                <c:pt idx="218">
                  <c:v>1.8391999999999999</c:v>
                </c:pt>
                <c:pt idx="219">
                  <c:v>1.6800999999999999</c:v>
                </c:pt>
                <c:pt idx="220">
                  <c:v>1.7422</c:v>
                </c:pt>
                <c:pt idx="221">
                  <c:v>1.9742999999999999</c:v>
                </c:pt>
                <c:pt idx="222">
                  <c:v>2.2511999999999999</c:v>
                </c:pt>
                <c:pt idx="223">
                  <c:v>2.2183999999999999</c:v>
                </c:pt>
                <c:pt idx="224">
                  <c:v>2.0228000000000002</c:v>
                </c:pt>
                <c:pt idx="225">
                  <c:v>1.9390000000000001</c:v>
                </c:pt>
                <c:pt idx="226">
                  <c:v>2.0167999999999999</c:v>
                </c:pt>
                <c:pt idx="227">
                  <c:v>1.7835000000000001</c:v>
                </c:pt>
                <c:pt idx="228">
                  <c:v>2.9108000000000001</c:v>
                </c:pt>
                <c:pt idx="229">
                  <c:v>2.8306</c:v>
                </c:pt>
                <c:pt idx="230">
                  <c:v>3.5072000000000001</c:v>
                </c:pt>
                <c:pt idx="231">
                  <c:v>4.0209999999999999</c:v>
                </c:pt>
                <c:pt idx="232">
                  <c:v>4.0209999999999999</c:v>
                </c:pt>
                <c:pt idx="233">
                  <c:v>4.0106999999999999</c:v>
                </c:pt>
                <c:pt idx="234">
                  <c:v>4.8712</c:v>
                </c:pt>
                <c:pt idx="235">
                  <c:v>4.7775999999999996</c:v>
                </c:pt>
                <c:pt idx="236">
                  <c:v>5.5726000000000004</c:v>
                </c:pt>
                <c:pt idx="237">
                  <c:v>5.6955999999999998</c:v>
                </c:pt>
                <c:pt idx="238">
                  <c:v>5.8292000000000002</c:v>
                </c:pt>
                <c:pt idx="239">
                  <c:v>4.7990000000000004</c:v>
                </c:pt>
                <c:pt idx="240">
                  <c:v>4.4409000000000001</c:v>
                </c:pt>
                <c:pt idx="241">
                  <c:v>4.0587999999999997</c:v>
                </c:pt>
                <c:pt idx="242">
                  <c:v>3.7662</c:v>
                </c:pt>
                <c:pt idx="243">
                  <c:v>3.36</c:v>
                </c:pt>
                <c:pt idx="244">
                  <c:v>4.1990999999999996</c:v>
                </c:pt>
                <c:pt idx="245">
                  <c:v>4.6787999999999998</c:v>
                </c:pt>
                <c:pt idx="246">
                  <c:v>21.804200000000002</c:v>
                </c:pt>
                <c:pt idx="247">
                  <c:v>25.7898</c:v>
                </c:pt>
                <c:pt idx="248">
                  <c:v>23.348299999999998</c:v>
                </c:pt>
                <c:pt idx="249">
                  <c:v>20.428999999999998</c:v>
                </c:pt>
                <c:pt idx="250">
                  <c:v>23.767800000000001</c:v>
                </c:pt>
                <c:pt idx="251">
                  <c:v>28.260400000000001</c:v>
                </c:pt>
                <c:pt idx="252">
                  <c:v>25.649899999999999</c:v>
                </c:pt>
                <c:pt idx="253">
                  <c:v>28.831399999999999</c:v>
                </c:pt>
                <c:pt idx="254">
                  <c:v>28.604199999999999</c:v>
                </c:pt>
                <c:pt idx="255">
                  <c:v>33.026800000000001</c:v>
                </c:pt>
                <c:pt idx="256">
                  <c:v>29.612200000000001</c:v>
                </c:pt>
                <c:pt idx="257">
                  <c:v>32.246000000000002</c:v>
                </c:pt>
                <c:pt idx="258">
                  <c:v>32.082799999999999</c:v>
                </c:pt>
                <c:pt idx="259">
                  <c:v>12.6744</c:v>
                </c:pt>
                <c:pt idx="260">
                  <c:v>12.7692</c:v>
                </c:pt>
                <c:pt idx="261">
                  <c:v>14.490500000000001</c:v>
                </c:pt>
                <c:pt idx="262">
                  <c:v>13.317399999999999</c:v>
                </c:pt>
                <c:pt idx="263">
                  <c:v>12.189399999999999</c:v>
                </c:pt>
                <c:pt idx="264">
                  <c:v>11.4223</c:v>
                </c:pt>
                <c:pt idx="265">
                  <c:v>12.302199999999999</c:v>
                </c:pt>
                <c:pt idx="266">
                  <c:v>12.527799999999999</c:v>
                </c:pt>
                <c:pt idx="267">
                  <c:v>11.9412</c:v>
                </c:pt>
                <c:pt idx="268">
                  <c:v>12.5954</c:v>
                </c:pt>
                <c:pt idx="269">
                  <c:v>13.024100000000001</c:v>
                </c:pt>
                <c:pt idx="270">
                  <c:v>13.700900000000001</c:v>
                </c:pt>
                <c:pt idx="271">
                  <c:v>13.430199999999999</c:v>
                </c:pt>
                <c:pt idx="272">
                  <c:v>14.4002</c:v>
                </c:pt>
                <c:pt idx="273">
                  <c:v>7.6111000000000004</c:v>
                </c:pt>
                <c:pt idx="274">
                  <c:v>7.4688999999999997</c:v>
                </c:pt>
                <c:pt idx="275">
                  <c:v>7.5076999999999998</c:v>
                </c:pt>
                <c:pt idx="276">
                  <c:v>7.3136999999999999</c:v>
                </c:pt>
                <c:pt idx="277">
                  <c:v>8.0119000000000007</c:v>
                </c:pt>
                <c:pt idx="278">
                  <c:v>8.2317</c:v>
                </c:pt>
                <c:pt idx="279">
                  <c:v>9.0851000000000006</c:v>
                </c:pt>
                <c:pt idx="280">
                  <c:v>10.184100000000001</c:v>
                </c:pt>
                <c:pt idx="281">
                  <c:v>10.2875</c:v>
                </c:pt>
                <c:pt idx="282">
                  <c:v>9.6151999999999997</c:v>
                </c:pt>
                <c:pt idx="283">
                  <c:v>10.016</c:v>
                </c:pt>
                <c:pt idx="284">
                  <c:v>10.261699999999999</c:v>
                </c:pt>
                <c:pt idx="285">
                  <c:v>10.210000000000001</c:v>
                </c:pt>
                <c:pt idx="286">
                  <c:v>7.5898000000000003</c:v>
                </c:pt>
                <c:pt idx="287">
                  <c:v>7.0328999999999997</c:v>
                </c:pt>
                <c:pt idx="288">
                  <c:v>6.3910999999999998</c:v>
                </c:pt>
                <c:pt idx="289">
                  <c:v>6.5987</c:v>
                </c:pt>
                <c:pt idx="290">
                  <c:v>6.6931000000000003</c:v>
                </c:pt>
                <c:pt idx="291">
                  <c:v>5.8907999999999996</c:v>
                </c:pt>
                <c:pt idx="292">
                  <c:v>6.2778</c:v>
                </c:pt>
                <c:pt idx="293">
                  <c:v>6.4194000000000004</c:v>
                </c:pt>
                <c:pt idx="294">
                  <c:v>5.702</c:v>
                </c:pt>
                <c:pt idx="295">
                  <c:v>5.9569000000000001</c:v>
                </c:pt>
                <c:pt idx="296">
                  <c:v>6.1645000000000003</c:v>
                </c:pt>
                <c:pt idx="297">
                  <c:v>6.2683999999999997</c:v>
                </c:pt>
                <c:pt idx="298">
                  <c:v>5.9191000000000003</c:v>
                </c:pt>
                <c:pt idx="299">
                  <c:v>2.7271000000000001</c:v>
                </c:pt>
                <c:pt idx="300">
                  <c:v>2.5167000000000002</c:v>
                </c:pt>
                <c:pt idx="301">
                  <c:v>2.6993999999999998</c:v>
                </c:pt>
                <c:pt idx="302">
                  <c:v>2.9098999999999999</c:v>
                </c:pt>
                <c:pt idx="303">
                  <c:v>2.7216</c:v>
                </c:pt>
                <c:pt idx="304">
                  <c:v>3.0428000000000002</c:v>
                </c:pt>
                <c:pt idx="305">
                  <c:v>3.2865000000000002</c:v>
                </c:pt>
                <c:pt idx="306">
                  <c:v>3.1922999999999999</c:v>
                </c:pt>
                <c:pt idx="307">
                  <c:v>3.1978</c:v>
                </c:pt>
                <c:pt idx="308">
                  <c:v>2.9098999999999999</c:v>
                </c:pt>
                <c:pt idx="309">
                  <c:v>2.7437</c:v>
                </c:pt>
                <c:pt idx="310">
                  <c:v>2.6496</c:v>
                </c:pt>
                <c:pt idx="311">
                  <c:v>2.5444</c:v>
                </c:pt>
                <c:pt idx="312">
                  <c:v>2.7591000000000001</c:v>
                </c:pt>
                <c:pt idx="313">
                  <c:v>2.5194000000000001</c:v>
                </c:pt>
                <c:pt idx="314">
                  <c:v>2.7804000000000002</c:v>
                </c:pt>
                <c:pt idx="315">
                  <c:v>3.0893000000000002</c:v>
                </c:pt>
                <c:pt idx="316">
                  <c:v>3.0840000000000001</c:v>
                </c:pt>
                <c:pt idx="317">
                  <c:v>3.2810000000000001</c:v>
                </c:pt>
                <c:pt idx="318">
                  <c:v>3.3130000000000002</c:v>
                </c:pt>
                <c:pt idx="319">
                  <c:v>3.2810000000000001</c:v>
                </c:pt>
                <c:pt idx="320">
                  <c:v>2.9933999999999998</c:v>
                </c:pt>
                <c:pt idx="321">
                  <c:v>2.7696999999999998</c:v>
                </c:pt>
                <c:pt idx="322">
                  <c:v>2.4767999999999999</c:v>
                </c:pt>
                <c:pt idx="323">
                  <c:v>1.7928999999999999</c:v>
                </c:pt>
                <c:pt idx="324">
                  <c:v>2.1604000000000001</c:v>
                </c:pt>
                <c:pt idx="325">
                  <c:v>2.2627000000000002</c:v>
                </c:pt>
                <c:pt idx="326">
                  <c:v>2.3923999999999999</c:v>
                </c:pt>
                <c:pt idx="327">
                  <c:v>2.2894999999999999</c:v>
                </c:pt>
                <c:pt idx="328">
                  <c:v>2.3656000000000001</c:v>
                </c:pt>
                <c:pt idx="329">
                  <c:v>4.3269000000000002</c:v>
                </c:pt>
                <c:pt idx="330">
                  <c:v>4.1581000000000001</c:v>
                </c:pt>
                <c:pt idx="331">
                  <c:v>4.3135000000000003</c:v>
                </c:pt>
                <c:pt idx="332">
                  <c:v>4.2385000000000002</c:v>
                </c:pt>
                <c:pt idx="333">
                  <c:v>4.4581999999999997</c:v>
                </c:pt>
                <c:pt idx="334">
                  <c:v>4.7770999999999999</c:v>
                </c:pt>
                <c:pt idx="335">
                  <c:v>4.8601000000000001</c:v>
                </c:pt>
                <c:pt idx="336">
                  <c:v>5.1628999999999996</c:v>
                </c:pt>
                <c:pt idx="337">
                  <c:v>4.8387000000000002</c:v>
                </c:pt>
                <c:pt idx="338">
                  <c:v>4.2714999999999996</c:v>
                </c:pt>
                <c:pt idx="339">
                  <c:v>3.9782000000000002</c:v>
                </c:pt>
                <c:pt idx="340">
                  <c:v>3.8378999999999999</c:v>
                </c:pt>
                <c:pt idx="341">
                  <c:v>3.8607999999999998</c:v>
                </c:pt>
                <c:pt idx="342">
                  <c:v>4.0240999999999998</c:v>
                </c:pt>
                <c:pt idx="343">
                  <c:v>3.6440000000000001</c:v>
                </c:pt>
                <c:pt idx="344">
                  <c:v>3.8862999999999999</c:v>
                </c:pt>
                <c:pt idx="345">
                  <c:v>3.8277000000000001</c:v>
                </c:pt>
                <c:pt idx="346">
                  <c:v>3.3302</c:v>
                </c:pt>
                <c:pt idx="347">
                  <c:v>3.4323000000000001</c:v>
                </c:pt>
                <c:pt idx="348">
                  <c:v>4.0190000000000001</c:v>
                </c:pt>
                <c:pt idx="349">
                  <c:v>3.7435</c:v>
                </c:pt>
                <c:pt idx="350">
                  <c:v>4.0061999999999998</c:v>
                </c:pt>
                <c:pt idx="351">
                  <c:v>4.0998999999999999</c:v>
                </c:pt>
                <c:pt idx="352">
                  <c:v>4.0384000000000002</c:v>
                </c:pt>
                <c:pt idx="353">
                  <c:v>3.8188</c:v>
                </c:pt>
                <c:pt idx="354">
                  <c:v>3.7924000000000002</c:v>
                </c:pt>
                <c:pt idx="355">
                  <c:v>3.5171000000000001</c:v>
                </c:pt>
                <c:pt idx="356">
                  <c:v>3.6196000000000002</c:v>
                </c:pt>
                <c:pt idx="357">
                  <c:v>3.1158999999999999</c:v>
                </c:pt>
                <c:pt idx="358">
                  <c:v>3.4731999999999998</c:v>
                </c:pt>
                <c:pt idx="359">
                  <c:v>3.7865000000000002</c:v>
                </c:pt>
                <c:pt idx="360">
                  <c:v>3.4028999999999998</c:v>
                </c:pt>
                <c:pt idx="361">
                  <c:v>3.8656000000000001</c:v>
                </c:pt>
                <c:pt idx="362">
                  <c:v>3.6869999999999998</c:v>
                </c:pt>
                <c:pt idx="363">
                  <c:v>3.5142000000000002</c:v>
                </c:pt>
                <c:pt idx="364">
                  <c:v>3.5756999999999999</c:v>
                </c:pt>
                <c:pt idx="365">
                  <c:v>3.6345000000000001</c:v>
                </c:pt>
                <c:pt idx="366">
                  <c:v>3.5257000000000001</c:v>
                </c:pt>
                <c:pt idx="367">
                  <c:v>3.8050000000000002</c:v>
                </c:pt>
                <c:pt idx="368">
                  <c:v>3.5933000000000002</c:v>
                </c:pt>
                <c:pt idx="369">
                  <c:v>3.3992</c:v>
                </c:pt>
                <c:pt idx="370">
                  <c:v>2.8346</c:v>
                </c:pt>
                <c:pt idx="371">
                  <c:v>2.8140999999999998</c:v>
                </c:pt>
                <c:pt idx="372">
                  <c:v>2.7698999999999998</c:v>
                </c:pt>
                <c:pt idx="373">
                  <c:v>2.6669999999999998</c:v>
                </c:pt>
                <c:pt idx="374">
                  <c:v>2.7376</c:v>
                </c:pt>
                <c:pt idx="375">
                  <c:v>3.0552000000000001</c:v>
                </c:pt>
                <c:pt idx="376">
                  <c:v>3.0933999999999999</c:v>
                </c:pt>
                <c:pt idx="377">
                  <c:v>2.7641</c:v>
                </c:pt>
                <c:pt idx="378">
                  <c:v>2.7787999999999999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2-4900-B1BA-65CBCC351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246575"/>
        <c:axId val="1128244655"/>
      </c:lineChart>
      <c:dateAx>
        <c:axId val="1128246575"/>
        <c:scaling>
          <c:orientation val="minMax"/>
          <c:min val="44681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8244655"/>
        <c:crosses val="autoZero"/>
        <c:auto val="1"/>
        <c:lblOffset val="100"/>
        <c:baseTimeUnit val="days"/>
      </c:dateAx>
      <c:valAx>
        <c:axId val="1128244655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824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Base!$B$4</c:f>
              <c:strCache>
                <c:ptCount val="1"/>
                <c:pt idx="0">
                  <c:v>CEPU AR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Base!$C$6:$C$2000</c:f>
              <c:numCache>
                <c:formatCode>General</c:formatCode>
                <c:ptCount val="1995"/>
                <c:pt idx="0">
                  <c:v>29.6249</c:v>
                </c:pt>
                <c:pt idx="1">
                  <c:v>29.6249</c:v>
                </c:pt>
                <c:pt idx="2">
                  <c:v>29.6249</c:v>
                </c:pt>
                <c:pt idx="3">
                  <c:v>29.6249</c:v>
                </c:pt>
                <c:pt idx="4">
                  <c:v>29.6249</c:v>
                </c:pt>
                <c:pt idx="5">
                  <c:v>29.6249</c:v>
                </c:pt>
                <c:pt idx="6">
                  <c:v>29.6249</c:v>
                </c:pt>
                <c:pt idx="7">
                  <c:v>29.6249</c:v>
                </c:pt>
                <c:pt idx="8">
                  <c:v>29.6249</c:v>
                </c:pt>
                <c:pt idx="9">
                  <c:v>29.6249</c:v>
                </c:pt>
                <c:pt idx="10">
                  <c:v>29.6249</c:v>
                </c:pt>
                <c:pt idx="11">
                  <c:v>29.6249</c:v>
                </c:pt>
                <c:pt idx="12">
                  <c:v>29.6249</c:v>
                </c:pt>
                <c:pt idx="13">
                  <c:v>40.921399999999998</c:v>
                </c:pt>
                <c:pt idx="14">
                  <c:v>40.921399999999998</c:v>
                </c:pt>
                <c:pt idx="15">
                  <c:v>40.921399999999998</c:v>
                </c:pt>
                <c:pt idx="16">
                  <c:v>40.921399999999998</c:v>
                </c:pt>
                <c:pt idx="17">
                  <c:v>40.921399999999998</c:v>
                </c:pt>
                <c:pt idx="18">
                  <c:v>40.921399999999998</c:v>
                </c:pt>
                <c:pt idx="19">
                  <c:v>40.921399999999998</c:v>
                </c:pt>
                <c:pt idx="20">
                  <c:v>40.921399999999998</c:v>
                </c:pt>
                <c:pt idx="21">
                  <c:v>40.921399999999998</c:v>
                </c:pt>
                <c:pt idx="22">
                  <c:v>40.921399999999998</c:v>
                </c:pt>
                <c:pt idx="23">
                  <c:v>40.921399999999998</c:v>
                </c:pt>
                <c:pt idx="24">
                  <c:v>40.921399999999998</c:v>
                </c:pt>
                <c:pt idx="25">
                  <c:v>40.921399999999998</c:v>
                </c:pt>
                <c:pt idx="26">
                  <c:v>28.3736</c:v>
                </c:pt>
                <c:pt idx="27">
                  <c:v>28.3736</c:v>
                </c:pt>
                <c:pt idx="28">
                  <c:v>28.3736</c:v>
                </c:pt>
                <c:pt idx="29">
                  <c:v>28.3736</c:v>
                </c:pt>
                <c:pt idx="30">
                  <c:v>28.3736</c:v>
                </c:pt>
                <c:pt idx="31">
                  <c:v>28.3736</c:v>
                </c:pt>
                <c:pt idx="32">
                  <c:v>28.3736</c:v>
                </c:pt>
                <c:pt idx="33">
                  <c:v>28.3736</c:v>
                </c:pt>
                <c:pt idx="34">
                  <c:v>28.3736</c:v>
                </c:pt>
                <c:pt idx="35">
                  <c:v>28.3736</c:v>
                </c:pt>
                <c:pt idx="36">
                  <c:v>28.3736</c:v>
                </c:pt>
                <c:pt idx="37">
                  <c:v>28.3736</c:v>
                </c:pt>
                <c:pt idx="38">
                  <c:v>28.3736</c:v>
                </c:pt>
                <c:pt idx="39">
                  <c:v>29.3322</c:v>
                </c:pt>
                <c:pt idx="40">
                  <c:v>29.3322</c:v>
                </c:pt>
                <c:pt idx="41">
                  <c:v>29.3322</c:v>
                </c:pt>
                <c:pt idx="42">
                  <c:v>29.3322</c:v>
                </c:pt>
                <c:pt idx="43">
                  <c:v>29.3322</c:v>
                </c:pt>
                <c:pt idx="44">
                  <c:v>29.3322</c:v>
                </c:pt>
                <c:pt idx="45">
                  <c:v>29.3322</c:v>
                </c:pt>
                <c:pt idx="46">
                  <c:v>29.3322</c:v>
                </c:pt>
                <c:pt idx="47">
                  <c:v>29.3322</c:v>
                </c:pt>
                <c:pt idx="48">
                  <c:v>29.3322</c:v>
                </c:pt>
                <c:pt idx="49">
                  <c:v>29.3322</c:v>
                </c:pt>
                <c:pt idx="50">
                  <c:v>29.3322</c:v>
                </c:pt>
                <c:pt idx="51">
                  <c:v>29.3322</c:v>
                </c:pt>
                <c:pt idx="52">
                  <c:v>34.6372</c:v>
                </c:pt>
                <c:pt idx="53">
                  <c:v>34.6372</c:v>
                </c:pt>
                <c:pt idx="54">
                  <c:v>34.6372</c:v>
                </c:pt>
                <c:pt idx="55">
                  <c:v>34.6372</c:v>
                </c:pt>
                <c:pt idx="56">
                  <c:v>34.6372</c:v>
                </c:pt>
                <c:pt idx="57">
                  <c:v>34.6372</c:v>
                </c:pt>
                <c:pt idx="58">
                  <c:v>34.6372</c:v>
                </c:pt>
                <c:pt idx="59">
                  <c:v>34.6372</c:v>
                </c:pt>
                <c:pt idx="60">
                  <c:v>34.6372</c:v>
                </c:pt>
                <c:pt idx="61">
                  <c:v>34.6372</c:v>
                </c:pt>
                <c:pt idx="62">
                  <c:v>34.6372</c:v>
                </c:pt>
                <c:pt idx="63">
                  <c:v>34.6372</c:v>
                </c:pt>
                <c:pt idx="64">
                  <c:v>34.6372</c:v>
                </c:pt>
                <c:pt idx="65">
                  <c:v>22.691199999999998</c:v>
                </c:pt>
                <c:pt idx="66">
                  <c:v>22.691199999999998</c:v>
                </c:pt>
                <c:pt idx="67">
                  <c:v>22.691199999999998</c:v>
                </c:pt>
                <c:pt idx="68">
                  <c:v>22.691199999999998</c:v>
                </c:pt>
                <c:pt idx="69">
                  <c:v>22.691199999999998</c:v>
                </c:pt>
                <c:pt idx="70">
                  <c:v>22.691199999999998</c:v>
                </c:pt>
                <c:pt idx="71">
                  <c:v>22.691199999999998</c:v>
                </c:pt>
                <c:pt idx="72">
                  <c:v>22.691199999999998</c:v>
                </c:pt>
                <c:pt idx="73">
                  <c:v>22.691199999999998</c:v>
                </c:pt>
                <c:pt idx="74">
                  <c:v>22.691199999999998</c:v>
                </c:pt>
                <c:pt idx="75">
                  <c:v>22.691199999999998</c:v>
                </c:pt>
                <c:pt idx="76">
                  <c:v>22.691199999999998</c:v>
                </c:pt>
                <c:pt idx="77">
                  <c:v>22.691199999999998</c:v>
                </c:pt>
                <c:pt idx="78">
                  <c:v>13.0237</c:v>
                </c:pt>
                <c:pt idx="79">
                  <c:v>13.0237</c:v>
                </c:pt>
                <c:pt idx="80">
                  <c:v>13.0237</c:v>
                </c:pt>
                <c:pt idx="81">
                  <c:v>13.0237</c:v>
                </c:pt>
                <c:pt idx="82">
                  <c:v>13.0237</c:v>
                </c:pt>
                <c:pt idx="83">
                  <c:v>13.0237</c:v>
                </c:pt>
                <c:pt idx="84">
                  <c:v>13.0237</c:v>
                </c:pt>
                <c:pt idx="85">
                  <c:v>13.0237</c:v>
                </c:pt>
                <c:pt idx="86">
                  <c:v>13.0237</c:v>
                </c:pt>
                <c:pt idx="87">
                  <c:v>13.0237</c:v>
                </c:pt>
                <c:pt idx="88">
                  <c:v>13.0237</c:v>
                </c:pt>
                <c:pt idx="89">
                  <c:v>13.0237</c:v>
                </c:pt>
                <c:pt idx="90">
                  <c:v>13.0237</c:v>
                </c:pt>
                <c:pt idx="91">
                  <c:v>15.3012</c:v>
                </c:pt>
                <c:pt idx="92">
                  <c:v>15.3012</c:v>
                </c:pt>
                <c:pt idx="93">
                  <c:v>15.3012</c:v>
                </c:pt>
                <c:pt idx="94">
                  <c:v>15.3012</c:v>
                </c:pt>
                <c:pt idx="95">
                  <c:v>15.3012</c:v>
                </c:pt>
                <c:pt idx="96">
                  <c:v>15.3012</c:v>
                </c:pt>
                <c:pt idx="97">
                  <c:v>15.3012</c:v>
                </c:pt>
                <c:pt idx="98">
                  <c:v>15.3012</c:v>
                </c:pt>
                <c:pt idx="99">
                  <c:v>15.3012</c:v>
                </c:pt>
                <c:pt idx="100">
                  <c:v>15.3012</c:v>
                </c:pt>
                <c:pt idx="101">
                  <c:v>15.3012</c:v>
                </c:pt>
                <c:pt idx="102">
                  <c:v>15.3012</c:v>
                </c:pt>
                <c:pt idx="103">
                  <c:v>15.3012</c:v>
                </c:pt>
                <c:pt idx="104">
                  <c:v>2.1617999999999999</c:v>
                </c:pt>
                <c:pt idx="105">
                  <c:v>2.1617999999999999</c:v>
                </c:pt>
                <c:pt idx="106">
                  <c:v>2.1617999999999999</c:v>
                </c:pt>
                <c:pt idx="107">
                  <c:v>2.1617999999999999</c:v>
                </c:pt>
                <c:pt idx="108">
                  <c:v>2.1617999999999999</c:v>
                </c:pt>
                <c:pt idx="109">
                  <c:v>2.1617999999999999</c:v>
                </c:pt>
                <c:pt idx="110">
                  <c:v>2.1617999999999999</c:v>
                </c:pt>
                <c:pt idx="111">
                  <c:v>2.1617999999999999</c:v>
                </c:pt>
                <c:pt idx="112">
                  <c:v>2.1617999999999999</c:v>
                </c:pt>
                <c:pt idx="113">
                  <c:v>2.1617999999999999</c:v>
                </c:pt>
                <c:pt idx="114">
                  <c:v>2.1617999999999999</c:v>
                </c:pt>
                <c:pt idx="115">
                  <c:v>2.1617999999999999</c:v>
                </c:pt>
                <c:pt idx="116">
                  <c:v>2.1617999999999999</c:v>
                </c:pt>
                <c:pt idx="117">
                  <c:v>0.56799999999999995</c:v>
                </c:pt>
                <c:pt idx="118">
                  <c:v>0.56799999999999995</c:v>
                </c:pt>
                <c:pt idx="119">
                  <c:v>0.56799999999999995</c:v>
                </c:pt>
                <c:pt idx="120">
                  <c:v>0.56799999999999995</c:v>
                </c:pt>
                <c:pt idx="121">
                  <c:v>0.56799999999999995</c:v>
                </c:pt>
                <c:pt idx="122">
                  <c:v>0.56799999999999995</c:v>
                </c:pt>
                <c:pt idx="123">
                  <c:v>0.56799999999999995</c:v>
                </c:pt>
                <c:pt idx="124">
                  <c:v>0.56799999999999995</c:v>
                </c:pt>
                <c:pt idx="125">
                  <c:v>0.56799999999999995</c:v>
                </c:pt>
                <c:pt idx="126">
                  <c:v>0.56799999999999995</c:v>
                </c:pt>
                <c:pt idx="127">
                  <c:v>0.56799999999999995</c:v>
                </c:pt>
                <c:pt idx="128">
                  <c:v>0.56799999999999995</c:v>
                </c:pt>
                <c:pt idx="129">
                  <c:v>0.56799999999999995</c:v>
                </c:pt>
                <c:pt idx="130">
                  <c:v>0.1545</c:v>
                </c:pt>
                <c:pt idx="131">
                  <c:v>0.1545</c:v>
                </c:pt>
                <c:pt idx="132">
                  <c:v>0.1545</c:v>
                </c:pt>
                <c:pt idx="133">
                  <c:v>0.1545</c:v>
                </c:pt>
                <c:pt idx="134">
                  <c:v>0.1545</c:v>
                </c:pt>
                <c:pt idx="135">
                  <c:v>0.1545</c:v>
                </c:pt>
                <c:pt idx="136">
                  <c:v>0.1545</c:v>
                </c:pt>
                <c:pt idx="137">
                  <c:v>0.1545</c:v>
                </c:pt>
                <c:pt idx="138">
                  <c:v>0.1545</c:v>
                </c:pt>
                <c:pt idx="139">
                  <c:v>0.1545</c:v>
                </c:pt>
                <c:pt idx="140">
                  <c:v>0.1545</c:v>
                </c:pt>
                <c:pt idx="141">
                  <c:v>0.1545</c:v>
                </c:pt>
                <c:pt idx="142">
                  <c:v>0.1545</c:v>
                </c:pt>
                <c:pt idx="143">
                  <c:v>1.7211000000000001</c:v>
                </c:pt>
                <c:pt idx="144">
                  <c:v>1.7211000000000001</c:v>
                </c:pt>
                <c:pt idx="145">
                  <c:v>1.7211000000000001</c:v>
                </c:pt>
                <c:pt idx="146">
                  <c:v>1.7211000000000001</c:v>
                </c:pt>
                <c:pt idx="147">
                  <c:v>1.7211000000000001</c:v>
                </c:pt>
                <c:pt idx="148">
                  <c:v>1.7211000000000001</c:v>
                </c:pt>
                <c:pt idx="149">
                  <c:v>1.7211000000000001</c:v>
                </c:pt>
                <c:pt idx="150">
                  <c:v>1.7211000000000001</c:v>
                </c:pt>
                <c:pt idx="151">
                  <c:v>1.7211000000000001</c:v>
                </c:pt>
                <c:pt idx="152">
                  <c:v>1.7211000000000001</c:v>
                </c:pt>
                <c:pt idx="153">
                  <c:v>1.7211000000000001</c:v>
                </c:pt>
                <c:pt idx="154">
                  <c:v>1.7211000000000001</c:v>
                </c:pt>
                <c:pt idx="155">
                  <c:v>1.7211000000000001</c:v>
                </c:pt>
                <c:pt idx="156">
                  <c:v>10.1752</c:v>
                </c:pt>
                <c:pt idx="157">
                  <c:v>10.1752</c:v>
                </c:pt>
                <c:pt idx="158">
                  <c:v>10.1752</c:v>
                </c:pt>
                <c:pt idx="159">
                  <c:v>10.1752</c:v>
                </c:pt>
                <c:pt idx="160">
                  <c:v>10.1752</c:v>
                </c:pt>
                <c:pt idx="161">
                  <c:v>10.1752</c:v>
                </c:pt>
                <c:pt idx="162">
                  <c:v>10.1752</c:v>
                </c:pt>
                <c:pt idx="163">
                  <c:v>10.1752</c:v>
                </c:pt>
                <c:pt idx="164">
                  <c:v>10.1752</c:v>
                </c:pt>
                <c:pt idx="165">
                  <c:v>10.1752</c:v>
                </c:pt>
                <c:pt idx="166">
                  <c:v>10.1752</c:v>
                </c:pt>
                <c:pt idx="167">
                  <c:v>10.1752</c:v>
                </c:pt>
                <c:pt idx="168">
                  <c:v>10.1752</c:v>
                </c:pt>
                <c:pt idx="169">
                  <c:v>12.4682</c:v>
                </c:pt>
                <c:pt idx="170">
                  <c:v>12.4682</c:v>
                </c:pt>
                <c:pt idx="171">
                  <c:v>12.4682</c:v>
                </c:pt>
                <c:pt idx="172">
                  <c:v>12.4682</c:v>
                </c:pt>
                <c:pt idx="173">
                  <c:v>12.4682</c:v>
                </c:pt>
                <c:pt idx="174">
                  <c:v>12.4682</c:v>
                </c:pt>
                <c:pt idx="175">
                  <c:v>12.4682</c:v>
                </c:pt>
                <c:pt idx="176">
                  <c:v>12.4682</c:v>
                </c:pt>
                <c:pt idx="177">
                  <c:v>12.4682</c:v>
                </c:pt>
                <c:pt idx="178">
                  <c:v>12.4682</c:v>
                </c:pt>
                <c:pt idx="179">
                  <c:v>12.4682</c:v>
                </c:pt>
                <c:pt idx="180">
                  <c:v>12.4682</c:v>
                </c:pt>
                <c:pt idx="181">
                  <c:v>12.4682</c:v>
                </c:pt>
                <c:pt idx="182">
                  <c:v>6.4637000000000002</c:v>
                </c:pt>
                <c:pt idx="183">
                  <c:v>6.4637000000000002</c:v>
                </c:pt>
                <c:pt idx="184">
                  <c:v>6.4637000000000002</c:v>
                </c:pt>
                <c:pt idx="185">
                  <c:v>6.4637000000000002</c:v>
                </c:pt>
                <c:pt idx="186">
                  <c:v>6.4637000000000002</c:v>
                </c:pt>
                <c:pt idx="187">
                  <c:v>6.4637000000000002</c:v>
                </c:pt>
                <c:pt idx="188">
                  <c:v>6.4637000000000002</c:v>
                </c:pt>
                <c:pt idx="189">
                  <c:v>6.4637000000000002</c:v>
                </c:pt>
                <c:pt idx="190">
                  <c:v>6.4637000000000002</c:v>
                </c:pt>
                <c:pt idx="191">
                  <c:v>6.4637000000000002</c:v>
                </c:pt>
                <c:pt idx="192">
                  <c:v>6.4637000000000002</c:v>
                </c:pt>
                <c:pt idx="193">
                  <c:v>6.4637000000000002</c:v>
                </c:pt>
                <c:pt idx="194">
                  <c:v>6.4637000000000002</c:v>
                </c:pt>
                <c:pt idx="195">
                  <c:v>11.481999999999999</c:v>
                </c:pt>
                <c:pt idx="196">
                  <c:v>11.481999999999999</c:v>
                </c:pt>
                <c:pt idx="197">
                  <c:v>11.481999999999999</c:v>
                </c:pt>
                <c:pt idx="198">
                  <c:v>11.481999999999999</c:v>
                </c:pt>
                <c:pt idx="199">
                  <c:v>11.481999999999999</c:v>
                </c:pt>
                <c:pt idx="200">
                  <c:v>11.481999999999999</c:v>
                </c:pt>
                <c:pt idx="201">
                  <c:v>11.481999999999999</c:v>
                </c:pt>
                <c:pt idx="202">
                  <c:v>11.481999999999999</c:v>
                </c:pt>
                <c:pt idx="203">
                  <c:v>11.481999999999999</c:v>
                </c:pt>
                <c:pt idx="204">
                  <c:v>11.481999999999999</c:v>
                </c:pt>
                <c:pt idx="205">
                  <c:v>11.481999999999999</c:v>
                </c:pt>
                <c:pt idx="206">
                  <c:v>11.481999999999999</c:v>
                </c:pt>
                <c:pt idx="207">
                  <c:v>11.481999999999999</c:v>
                </c:pt>
                <c:pt idx="208">
                  <c:v>14.9217</c:v>
                </c:pt>
                <c:pt idx="209">
                  <c:v>14.9217</c:v>
                </c:pt>
                <c:pt idx="210">
                  <c:v>14.9217</c:v>
                </c:pt>
                <c:pt idx="211">
                  <c:v>14.9217</c:v>
                </c:pt>
                <c:pt idx="212">
                  <c:v>14.9217</c:v>
                </c:pt>
                <c:pt idx="213">
                  <c:v>14.9217</c:v>
                </c:pt>
                <c:pt idx="214">
                  <c:v>14.9217</c:v>
                </c:pt>
                <c:pt idx="215">
                  <c:v>14.9217</c:v>
                </c:pt>
                <c:pt idx="216">
                  <c:v>14.9217</c:v>
                </c:pt>
                <c:pt idx="217">
                  <c:v>14.9217</c:v>
                </c:pt>
                <c:pt idx="218">
                  <c:v>14.9217</c:v>
                </c:pt>
                <c:pt idx="219">
                  <c:v>14.9217</c:v>
                </c:pt>
                <c:pt idx="220">
                  <c:v>14.9217</c:v>
                </c:pt>
                <c:pt idx="221">
                  <c:v>12.0166</c:v>
                </c:pt>
                <c:pt idx="222">
                  <c:v>12.0166</c:v>
                </c:pt>
                <c:pt idx="223">
                  <c:v>12.0166</c:v>
                </c:pt>
                <c:pt idx="224">
                  <c:v>12.0166</c:v>
                </c:pt>
                <c:pt idx="225">
                  <c:v>12.0166</c:v>
                </c:pt>
                <c:pt idx="226">
                  <c:v>12.0166</c:v>
                </c:pt>
                <c:pt idx="227">
                  <c:v>12.0166</c:v>
                </c:pt>
                <c:pt idx="228">
                  <c:v>12.0166</c:v>
                </c:pt>
                <c:pt idx="229">
                  <c:v>12.0166</c:v>
                </c:pt>
                <c:pt idx="230">
                  <c:v>12.0166</c:v>
                </c:pt>
                <c:pt idx="231">
                  <c:v>12.0166</c:v>
                </c:pt>
                <c:pt idx="232">
                  <c:v>12.0166</c:v>
                </c:pt>
                <c:pt idx="233">
                  <c:v>12.0166</c:v>
                </c:pt>
                <c:pt idx="234">
                  <c:v>10.8406</c:v>
                </c:pt>
                <c:pt idx="235">
                  <c:v>10.8406</c:v>
                </c:pt>
                <c:pt idx="236">
                  <c:v>10.8406</c:v>
                </c:pt>
                <c:pt idx="237">
                  <c:v>10.8406</c:v>
                </c:pt>
                <c:pt idx="238">
                  <c:v>10.8406</c:v>
                </c:pt>
                <c:pt idx="239">
                  <c:v>10.8406</c:v>
                </c:pt>
                <c:pt idx="240">
                  <c:v>10.8406</c:v>
                </c:pt>
                <c:pt idx="241">
                  <c:v>10.8406</c:v>
                </c:pt>
                <c:pt idx="242">
                  <c:v>10.8406</c:v>
                </c:pt>
                <c:pt idx="243">
                  <c:v>10.8406</c:v>
                </c:pt>
                <c:pt idx="244">
                  <c:v>10.8406</c:v>
                </c:pt>
                <c:pt idx="245">
                  <c:v>10.8406</c:v>
                </c:pt>
                <c:pt idx="246">
                  <c:v>10.8406</c:v>
                </c:pt>
                <c:pt idx="247">
                  <c:v>24.259599999999999</c:v>
                </c:pt>
                <c:pt idx="248">
                  <c:v>24.259599999999999</c:v>
                </c:pt>
                <c:pt idx="249">
                  <c:v>24.259599999999999</c:v>
                </c:pt>
                <c:pt idx="250">
                  <c:v>24.259599999999999</c:v>
                </c:pt>
                <c:pt idx="251">
                  <c:v>24.259599999999999</c:v>
                </c:pt>
                <c:pt idx="252">
                  <c:v>24.259599999999999</c:v>
                </c:pt>
                <c:pt idx="253">
                  <c:v>24.259599999999999</c:v>
                </c:pt>
                <c:pt idx="254">
                  <c:v>24.259599999999999</c:v>
                </c:pt>
                <c:pt idx="255">
                  <c:v>24.259599999999999</c:v>
                </c:pt>
                <c:pt idx="256">
                  <c:v>24.259599999999999</c:v>
                </c:pt>
                <c:pt idx="257">
                  <c:v>24.259599999999999</c:v>
                </c:pt>
                <c:pt idx="258">
                  <c:v>24.259599999999999</c:v>
                </c:pt>
                <c:pt idx="259">
                  <c:v>24.259599999999999</c:v>
                </c:pt>
                <c:pt idx="260">
                  <c:v>19.0688</c:v>
                </c:pt>
                <c:pt idx="261">
                  <c:v>19.0688</c:v>
                </c:pt>
                <c:pt idx="262">
                  <c:v>19.0688</c:v>
                </c:pt>
                <c:pt idx="263">
                  <c:v>19.0688</c:v>
                </c:pt>
                <c:pt idx="264">
                  <c:v>19.0688</c:v>
                </c:pt>
                <c:pt idx="265">
                  <c:v>19.0688</c:v>
                </c:pt>
                <c:pt idx="266">
                  <c:v>19.0688</c:v>
                </c:pt>
                <c:pt idx="267">
                  <c:v>19.0688</c:v>
                </c:pt>
                <c:pt idx="268">
                  <c:v>19.0688</c:v>
                </c:pt>
                <c:pt idx="269">
                  <c:v>19.0688</c:v>
                </c:pt>
                <c:pt idx="270">
                  <c:v>19.0688</c:v>
                </c:pt>
                <c:pt idx="271">
                  <c:v>19.0688</c:v>
                </c:pt>
                <c:pt idx="272">
                  <c:v>19.0688</c:v>
                </c:pt>
                <c:pt idx="273">
                  <c:v>19.0688</c:v>
                </c:pt>
                <c:pt idx="274">
                  <c:v>18.107900000000001</c:v>
                </c:pt>
                <c:pt idx="275">
                  <c:v>18.107900000000001</c:v>
                </c:pt>
                <c:pt idx="276">
                  <c:v>18.107900000000001</c:v>
                </c:pt>
                <c:pt idx="277">
                  <c:v>18.107900000000001</c:v>
                </c:pt>
                <c:pt idx="278">
                  <c:v>18.107900000000001</c:v>
                </c:pt>
                <c:pt idx="279">
                  <c:v>18.107900000000001</c:v>
                </c:pt>
                <c:pt idx="280">
                  <c:v>18.107900000000001</c:v>
                </c:pt>
                <c:pt idx="281">
                  <c:v>18.107900000000001</c:v>
                </c:pt>
                <c:pt idx="282">
                  <c:v>18.107900000000001</c:v>
                </c:pt>
                <c:pt idx="283">
                  <c:v>18.107900000000001</c:v>
                </c:pt>
                <c:pt idx="284">
                  <c:v>18.107900000000001</c:v>
                </c:pt>
                <c:pt idx="285">
                  <c:v>18.107900000000001</c:v>
                </c:pt>
                <c:pt idx="286">
                  <c:v>18.107900000000001</c:v>
                </c:pt>
                <c:pt idx="287">
                  <c:v>2.5971000000000002</c:v>
                </c:pt>
                <c:pt idx="288">
                  <c:v>2.5971000000000002</c:v>
                </c:pt>
                <c:pt idx="289">
                  <c:v>2.5971000000000002</c:v>
                </c:pt>
                <c:pt idx="290">
                  <c:v>2.5971000000000002</c:v>
                </c:pt>
                <c:pt idx="291">
                  <c:v>2.5971000000000002</c:v>
                </c:pt>
                <c:pt idx="292">
                  <c:v>2.5971000000000002</c:v>
                </c:pt>
                <c:pt idx="293">
                  <c:v>2.5971000000000002</c:v>
                </c:pt>
                <c:pt idx="294">
                  <c:v>2.5971000000000002</c:v>
                </c:pt>
                <c:pt idx="295">
                  <c:v>2.5971000000000002</c:v>
                </c:pt>
                <c:pt idx="296">
                  <c:v>2.5971000000000002</c:v>
                </c:pt>
                <c:pt idx="297">
                  <c:v>2.5971000000000002</c:v>
                </c:pt>
                <c:pt idx="298">
                  <c:v>2.5971000000000002</c:v>
                </c:pt>
                <c:pt idx="299">
                  <c:v>2.5971000000000002</c:v>
                </c:pt>
                <c:pt idx="300">
                  <c:v>3.2250000000000001</c:v>
                </c:pt>
                <c:pt idx="301">
                  <c:v>3.2250000000000001</c:v>
                </c:pt>
                <c:pt idx="302">
                  <c:v>3.2250000000000001</c:v>
                </c:pt>
                <c:pt idx="303">
                  <c:v>3.2250000000000001</c:v>
                </c:pt>
                <c:pt idx="304">
                  <c:v>3.2250000000000001</c:v>
                </c:pt>
                <c:pt idx="305">
                  <c:v>3.2250000000000001</c:v>
                </c:pt>
                <c:pt idx="306">
                  <c:v>3.2250000000000001</c:v>
                </c:pt>
                <c:pt idx="307">
                  <c:v>3.2250000000000001</c:v>
                </c:pt>
                <c:pt idx="308">
                  <c:v>3.2250000000000001</c:v>
                </c:pt>
                <c:pt idx="309">
                  <c:v>3.2250000000000001</c:v>
                </c:pt>
                <c:pt idx="310">
                  <c:v>3.2250000000000001</c:v>
                </c:pt>
                <c:pt idx="311">
                  <c:v>3.2250000000000001</c:v>
                </c:pt>
                <c:pt idx="312">
                  <c:v>3.2250000000000001</c:v>
                </c:pt>
                <c:pt idx="313">
                  <c:v>5.1032000000000002</c:v>
                </c:pt>
                <c:pt idx="314">
                  <c:v>5.1032000000000002</c:v>
                </c:pt>
                <c:pt idx="315">
                  <c:v>5.1032000000000002</c:v>
                </c:pt>
                <c:pt idx="316">
                  <c:v>5.1032000000000002</c:v>
                </c:pt>
                <c:pt idx="317">
                  <c:v>5.1032000000000002</c:v>
                </c:pt>
                <c:pt idx="318">
                  <c:v>5.1032000000000002</c:v>
                </c:pt>
                <c:pt idx="319">
                  <c:v>5.1032000000000002</c:v>
                </c:pt>
                <c:pt idx="320">
                  <c:v>5.1032000000000002</c:v>
                </c:pt>
                <c:pt idx="321">
                  <c:v>5.1032000000000002</c:v>
                </c:pt>
                <c:pt idx="322">
                  <c:v>5.1032000000000002</c:v>
                </c:pt>
                <c:pt idx="323">
                  <c:v>5.1032000000000002</c:v>
                </c:pt>
                <c:pt idx="324">
                  <c:v>5.1032000000000002</c:v>
                </c:pt>
                <c:pt idx="325">
                  <c:v>5.1032000000000002</c:v>
                </c:pt>
                <c:pt idx="326">
                  <c:v>7.5285000000000002</c:v>
                </c:pt>
                <c:pt idx="327">
                  <c:v>7.5285000000000002</c:v>
                </c:pt>
                <c:pt idx="328">
                  <c:v>7.5285000000000002</c:v>
                </c:pt>
                <c:pt idx="329">
                  <c:v>7.5285000000000002</c:v>
                </c:pt>
                <c:pt idx="330">
                  <c:v>7.5285000000000002</c:v>
                </c:pt>
                <c:pt idx="331">
                  <c:v>7.5285000000000002</c:v>
                </c:pt>
                <c:pt idx="332">
                  <c:v>7.5285000000000002</c:v>
                </c:pt>
                <c:pt idx="333">
                  <c:v>7.5285000000000002</c:v>
                </c:pt>
                <c:pt idx="334">
                  <c:v>7.5285000000000002</c:v>
                </c:pt>
                <c:pt idx="335">
                  <c:v>7.5285000000000002</c:v>
                </c:pt>
                <c:pt idx="336">
                  <c:v>7.5285000000000002</c:v>
                </c:pt>
                <c:pt idx="337">
                  <c:v>7.5285000000000002</c:v>
                </c:pt>
                <c:pt idx="338">
                  <c:v>7.5285000000000002</c:v>
                </c:pt>
                <c:pt idx="339">
                  <c:v>7.9119000000000002</c:v>
                </c:pt>
                <c:pt idx="340">
                  <c:v>7.9119000000000002</c:v>
                </c:pt>
                <c:pt idx="341">
                  <c:v>7.9119000000000002</c:v>
                </c:pt>
                <c:pt idx="342">
                  <c:v>7.9119000000000002</c:v>
                </c:pt>
                <c:pt idx="343">
                  <c:v>7.9119000000000002</c:v>
                </c:pt>
                <c:pt idx="344">
                  <c:v>7.9119000000000002</c:v>
                </c:pt>
                <c:pt idx="345">
                  <c:v>7.9119000000000002</c:v>
                </c:pt>
                <c:pt idx="346">
                  <c:v>7.9119000000000002</c:v>
                </c:pt>
                <c:pt idx="347">
                  <c:v>7.9119000000000002</c:v>
                </c:pt>
                <c:pt idx="348">
                  <c:v>7.9119000000000002</c:v>
                </c:pt>
                <c:pt idx="349">
                  <c:v>7.9119000000000002</c:v>
                </c:pt>
                <c:pt idx="350">
                  <c:v>7.9119000000000002</c:v>
                </c:pt>
                <c:pt idx="351">
                  <c:v>7.9119000000000002</c:v>
                </c:pt>
                <c:pt idx="352">
                  <c:v>11.4133</c:v>
                </c:pt>
                <c:pt idx="353">
                  <c:v>11.4133</c:v>
                </c:pt>
                <c:pt idx="354">
                  <c:v>11.4133</c:v>
                </c:pt>
                <c:pt idx="355">
                  <c:v>11.4133</c:v>
                </c:pt>
                <c:pt idx="356">
                  <c:v>11.4133</c:v>
                </c:pt>
                <c:pt idx="357">
                  <c:v>11.4133</c:v>
                </c:pt>
                <c:pt idx="358">
                  <c:v>11.4133</c:v>
                </c:pt>
                <c:pt idx="359">
                  <c:v>11.4133</c:v>
                </c:pt>
                <c:pt idx="360">
                  <c:v>11.4133</c:v>
                </c:pt>
                <c:pt idx="361">
                  <c:v>11.4133</c:v>
                </c:pt>
                <c:pt idx="362">
                  <c:v>11.4133</c:v>
                </c:pt>
                <c:pt idx="363">
                  <c:v>11.4133</c:v>
                </c:pt>
                <c:pt idx="364">
                  <c:v>11.4133</c:v>
                </c:pt>
                <c:pt idx="365">
                  <c:v>12.071199999999999</c:v>
                </c:pt>
                <c:pt idx="366">
                  <c:v>12.071199999999999</c:v>
                </c:pt>
                <c:pt idx="367">
                  <c:v>12.071199999999999</c:v>
                </c:pt>
                <c:pt idx="368">
                  <c:v>12.071199999999999</c:v>
                </c:pt>
                <c:pt idx="369">
                  <c:v>12.071199999999999</c:v>
                </c:pt>
                <c:pt idx="370">
                  <c:v>12.071199999999999</c:v>
                </c:pt>
                <c:pt idx="371">
                  <c:v>12.071199999999999</c:v>
                </c:pt>
                <c:pt idx="372">
                  <c:v>12.071199999999999</c:v>
                </c:pt>
                <c:pt idx="373">
                  <c:v>12.071199999999999</c:v>
                </c:pt>
                <c:pt idx="374">
                  <c:v>12.071199999999999</c:v>
                </c:pt>
                <c:pt idx="375">
                  <c:v>12.071199999999999</c:v>
                </c:pt>
                <c:pt idx="376">
                  <c:v>12.071199999999999</c:v>
                </c:pt>
                <c:pt idx="377">
                  <c:v>12.071199999999999</c:v>
                </c:pt>
                <c:pt idx="378">
                  <c:v>12.071199999999999</c:v>
                </c:pt>
                <c:pt idx="379">
                  <c:v>12.071199999999999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1-4610-9597-DFBD84C17036}"/>
            </c:ext>
          </c:extLst>
        </c:ser>
        <c:ser>
          <c:idx val="3"/>
          <c:order val="1"/>
          <c:tx>
            <c:strRef>
              <c:f>Base!$Y$4</c:f>
              <c:strCache>
                <c:ptCount val="1"/>
                <c:pt idx="0">
                  <c:v>TGNO4 AR Equity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Base!$Z$6:$Z$2000</c:f>
              <c:numCache>
                <c:formatCode>General</c:formatCode>
                <c:ptCount val="1995"/>
                <c:pt idx="0">
                  <c:v>18.324000000000002</c:v>
                </c:pt>
                <c:pt idx="1">
                  <c:v>18.324000000000002</c:v>
                </c:pt>
                <c:pt idx="2">
                  <c:v>18.324000000000002</c:v>
                </c:pt>
                <c:pt idx="3">
                  <c:v>18.324000000000002</c:v>
                </c:pt>
                <c:pt idx="4">
                  <c:v>18.324000000000002</c:v>
                </c:pt>
                <c:pt idx="5">
                  <c:v>18.324000000000002</c:v>
                </c:pt>
                <c:pt idx="6">
                  <c:v>18.324000000000002</c:v>
                </c:pt>
                <c:pt idx="7">
                  <c:v>18.324000000000002</c:v>
                </c:pt>
                <c:pt idx="8">
                  <c:v>18.324000000000002</c:v>
                </c:pt>
                <c:pt idx="9">
                  <c:v>18.324000000000002</c:v>
                </c:pt>
                <c:pt idx="10">
                  <c:v>18.324000000000002</c:v>
                </c:pt>
                <c:pt idx="11">
                  <c:v>18.324000000000002</c:v>
                </c:pt>
                <c:pt idx="12">
                  <c:v>18.324000000000002</c:v>
                </c:pt>
                <c:pt idx="13">
                  <c:v>15.280099999999999</c:v>
                </c:pt>
                <c:pt idx="14">
                  <c:v>15.280099999999999</c:v>
                </c:pt>
                <c:pt idx="15">
                  <c:v>15.280099999999999</c:v>
                </c:pt>
                <c:pt idx="16">
                  <c:v>15.280099999999999</c:v>
                </c:pt>
                <c:pt idx="17">
                  <c:v>15.280099999999999</c:v>
                </c:pt>
                <c:pt idx="18">
                  <c:v>15.280099999999999</c:v>
                </c:pt>
                <c:pt idx="19">
                  <c:v>15.280099999999999</c:v>
                </c:pt>
                <c:pt idx="20">
                  <c:v>15.280099999999999</c:v>
                </c:pt>
                <c:pt idx="21">
                  <c:v>15.280099999999999</c:v>
                </c:pt>
                <c:pt idx="22">
                  <c:v>15.280099999999999</c:v>
                </c:pt>
                <c:pt idx="23">
                  <c:v>15.280099999999999</c:v>
                </c:pt>
                <c:pt idx="24">
                  <c:v>15.280099999999999</c:v>
                </c:pt>
                <c:pt idx="25">
                  <c:v>15.280099999999999</c:v>
                </c:pt>
                <c:pt idx="26">
                  <c:v>8.952</c:v>
                </c:pt>
                <c:pt idx="27">
                  <c:v>8.952</c:v>
                </c:pt>
                <c:pt idx="28">
                  <c:v>8.952</c:v>
                </c:pt>
                <c:pt idx="29">
                  <c:v>8.952</c:v>
                </c:pt>
                <c:pt idx="30">
                  <c:v>8.952</c:v>
                </c:pt>
                <c:pt idx="31">
                  <c:v>8.952</c:v>
                </c:pt>
                <c:pt idx="32">
                  <c:v>8.952</c:v>
                </c:pt>
                <c:pt idx="33">
                  <c:v>8.952</c:v>
                </c:pt>
                <c:pt idx="34">
                  <c:v>8.952</c:v>
                </c:pt>
                <c:pt idx="35">
                  <c:v>8.952</c:v>
                </c:pt>
                <c:pt idx="36">
                  <c:v>8.952</c:v>
                </c:pt>
                <c:pt idx="37">
                  <c:v>8.952</c:v>
                </c:pt>
                <c:pt idx="38">
                  <c:v>8.952</c:v>
                </c:pt>
                <c:pt idx="39">
                  <c:v>12.3269</c:v>
                </c:pt>
                <c:pt idx="40">
                  <c:v>12.3269</c:v>
                </c:pt>
                <c:pt idx="41">
                  <c:v>12.3269</c:v>
                </c:pt>
                <c:pt idx="42">
                  <c:v>12.3269</c:v>
                </c:pt>
                <c:pt idx="43">
                  <c:v>12.3269</c:v>
                </c:pt>
                <c:pt idx="44">
                  <c:v>12.3269</c:v>
                </c:pt>
                <c:pt idx="45">
                  <c:v>12.3269</c:v>
                </c:pt>
                <c:pt idx="46">
                  <c:v>12.3269</c:v>
                </c:pt>
                <c:pt idx="47">
                  <c:v>12.3269</c:v>
                </c:pt>
                <c:pt idx="48">
                  <c:v>12.3269</c:v>
                </c:pt>
                <c:pt idx="49">
                  <c:v>12.3269</c:v>
                </c:pt>
                <c:pt idx="50">
                  <c:v>12.3269</c:v>
                </c:pt>
                <c:pt idx="51">
                  <c:v>12.3269</c:v>
                </c:pt>
                <c:pt idx="52">
                  <c:v>13.4411</c:v>
                </c:pt>
                <c:pt idx="53">
                  <c:v>13.4411</c:v>
                </c:pt>
                <c:pt idx="54">
                  <c:v>13.4411</c:v>
                </c:pt>
                <c:pt idx="55">
                  <c:v>13.4411</c:v>
                </c:pt>
                <c:pt idx="56">
                  <c:v>13.4411</c:v>
                </c:pt>
                <c:pt idx="57">
                  <c:v>13.4411</c:v>
                </c:pt>
                <c:pt idx="58">
                  <c:v>13.4411</c:v>
                </c:pt>
                <c:pt idx="59">
                  <c:v>13.4411</c:v>
                </c:pt>
                <c:pt idx="60">
                  <c:v>13.4411</c:v>
                </c:pt>
                <c:pt idx="61">
                  <c:v>13.4411</c:v>
                </c:pt>
                <c:pt idx="62">
                  <c:v>13.4411</c:v>
                </c:pt>
                <c:pt idx="63">
                  <c:v>13.4411</c:v>
                </c:pt>
                <c:pt idx="64">
                  <c:v>13.4411</c:v>
                </c:pt>
                <c:pt idx="65">
                  <c:v>12.106400000000001</c:v>
                </c:pt>
                <c:pt idx="66">
                  <c:v>12.106400000000001</c:v>
                </c:pt>
                <c:pt idx="67">
                  <c:v>12.106400000000001</c:v>
                </c:pt>
                <c:pt idx="68">
                  <c:v>12.106400000000001</c:v>
                </c:pt>
                <c:pt idx="69">
                  <c:v>12.106400000000001</c:v>
                </c:pt>
                <c:pt idx="70">
                  <c:v>12.106400000000001</c:v>
                </c:pt>
                <c:pt idx="71">
                  <c:v>12.106400000000001</c:v>
                </c:pt>
                <c:pt idx="72">
                  <c:v>12.106400000000001</c:v>
                </c:pt>
                <c:pt idx="73">
                  <c:v>12.106400000000001</c:v>
                </c:pt>
                <c:pt idx="74">
                  <c:v>12.106400000000001</c:v>
                </c:pt>
                <c:pt idx="75">
                  <c:v>12.106400000000001</c:v>
                </c:pt>
                <c:pt idx="76">
                  <c:v>12.106400000000001</c:v>
                </c:pt>
                <c:pt idx="77">
                  <c:v>12.106400000000001</c:v>
                </c:pt>
                <c:pt idx="78">
                  <c:v>5.2942</c:v>
                </c:pt>
                <c:pt idx="79">
                  <c:v>5.2942</c:v>
                </c:pt>
                <c:pt idx="80">
                  <c:v>5.2942</c:v>
                </c:pt>
                <c:pt idx="81">
                  <c:v>5.2942</c:v>
                </c:pt>
                <c:pt idx="82">
                  <c:v>5.2942</c:v>
                </c:pt>
                <c:pt idx="83">
                  <c:v>5.2942</c:v>
                </c:pt>
                <c:pt idx="84">
                  <c:v>5.2942</c:v>
                </c:pt>
                <c:pt idx="85">
                  <c:v>5.2942</c:v>
                </c:pt>
                <c:pt idx="86">
                  <c:v>5.2942</c:v>
                </c:pt>
                <c:pt idx="87">
                  <c:v>5.2942</c:v>
                </c:pt>
                <c:pt idx="88">
                  <c:v>5.2942</c:v>
                </c:pt>
                <c:pt idx="89">
                  <c:v>5.2942</c:v>
                </c:pt>
                <c:pt idx="90">
                  <c:v>5.2942</c:v>
                </c:pt>
                <c:pt idx="91">
                  <c:v>3.9611000000000001</c:v>
                </c:pt>
                <c:pt idx="92">
                  <c:v>3.9611000000000001</c:v>
                </c:pt>
                <c:pt idx="93">
                  <c:v>3.9611000000000001</c:v>
                </c:pt>
                <c:pt idx="94">
                  <c:v>3.9611000000000001</c:v>
                </c:pt>
                <c:pt idx="95">
                  <c:v>3.9611000000000001</c:v>
                </c:pt>
                <c:pt idx="96">
                  <c:v>3.9611000000000001</c:v>
                </c:pt>
                <c:pt idx="97">
                  <c:v>3.9611000000000001</c:v>
                </c:pt>
                <c:pt idx="98">
                  <c:v>3.9611000000000001</c:v>
                </c:pt>
                <c:pt idx="99">
                  <c:v>3.9611000000000001</c:v>
                </c:pt>
                <c:pt idx="100">
                  <c:v>3.9611000000000001</c:v>
                </c:pt>
                <c:pt idx="101">
                  <c:v>3.9611000000000001</c:v>
                </c:pt>
                <c:pt idx="102">
                  <c:v>3.9611000000000001</c:v>
                </c:pt>
                <c:pt idx="103">
                  <c:v>3.9611000000000001</c:v>
                </c:pt>
                <c:pt idx="104">
                  <c:v>-7.2458</c:v>
                </c:pt>
                <c:pt idx="105">
                  <c:v>-7.2458</c:v>
                </c:pt>
                <c:pt idx="106">
                  <c:v>-7.2458</c:v>
                </c:pt>
                <c:pt idx="107">
                  <c:v>-7.2458</c:v>
                </c:pt>
                <c:pt idx="108">
                  <c:v>-7.2458</c:v>
                </c:pt>
                <c:pt idx="109">
                  <c:v>-7.2458</c:v>
                </c:pt>
                <c:pt idx="110">
                  <c:v>-7.2458</c:v>
                </c:pt>
                <c:pt idx="111">
                  <c:v>-7.2458</c:v>
                </c:pt>
                <c:pt idx="112">
                  <c:v>-7.2458</c:v>
                </c:pt>
                <c:pt idx="113">
                  <c:v>-7.2458</c:v>
                </c:pt>
                <c:pt idx="114">
                  <c:v>-7.2458</c:v>
                </c:pt>
                <c:pt idx="115">
                  <c:v>-7.2458</c:v>
                </c:pt>
                <c:pt idx="116">
                  <c:v>-7.2458</c:v>
                </c:pt>
                <c:pt idx="117">
                  <c:v>-9.2973999999999997</c:v>
                </c:pt>
                <c:pt idx="118">
                  <c:v>-9.2973999999999997</c:v>
                </c:pt>
                <c:pt idx="119">
                  <c:v>-9.2973999999999997</c:v>
                </c:pt>
                <c:pt idx="120">
                  <c:v>-9.2973999999999997</c:v>
                </c:pt>
                <c:pt idx="121">
                  <c:v>-9.2973999999999997</c:v>
                </c:pt>
                <c:pt idx="122">
                  <c:v>-9.2973999999999997</c:v>
                </c:pt>
                <c:pt idx="123">
                  <c:v>-9.2973999999999997</c:v>
                </c:pt>
                <c:pt idx="124">
                  <c:v>-9.2973999999999997</c:v>
                </c:pt>
                <c:pt idx="125">
                  <c:v>-9.2973999999999997</c:v>
                </c:pt>
                <c:pt idx="126">
                  <c:v>-9.2973999999999997</c:v>
                </c:pt>
                <c:pt idx="127">
                  <c:v>-9.2973999999999997</c:v>
                </c:pt>
                <c:pt idx="128">
                  <c:v>-9.2973999999999997</c:v>
                </c:pt>
                <c:pt idx="129">
                  <c:v>-9.2973999999999997</c:v>
                </c:pt>
                <c:pt idx="130">
                  <c:v>-9.1103000000000005</c:v>
                </c:pt>
                <c:pt idx="131">
                  <c:v>-9.1103000000000005</c:v>
                </c:pt>
                <c:pt idx="132">
                  <c:v>-9.1103000000000005</c:v>
                </c:pt>
                <c:pt idx="133">
                  <c:v>-9.1103000000000005</c:v>
                </c:pt>
                <c:pt idx="134">
                  <c:v>-9.1103000000000005</c:v>
                </c:pt>
                <c:pt idx="135">
                  <c:v>-9.1103000000000005</c:v>
                </c:pt>
                <c:pt idx="136">
                  <c:v>-9.1103000000000005</c:v>
                </c:pt>
                <c:pt idx="137">
                  <c:v>-9.1103000000000005</c:v>
                </c:pt>
                <c:pt idx="138">
                  <c:v>-9.1103000000000005</c:v>
                </c:pt>
                <c:pt idx="139">
                  <c:v>-9.1103000000000005</c:v>
                </c:pt>
                <c:pt idx="140">
                  <c:v>-9.1103000000000005</c:v>
                </c:pt>
                <c:pt idx="141">
                  <c:v>-9.1103000000000005</c:v>
                </c:pt>
                <c:pt idx="142">
                  <c:v>-9.1103000000000005</c:v>
                </c:pt>
                <c:pt idx="143">
                  <c:v>-13.418799999999999</c:v>
                </c:pt>
                <c:pt idx="144">
                  <c:v>-13.418799999999999</c:v>
                </c:pt>
                <c:pt idx="145">
                  <c:v>-13.418799999999999</c:v>
                </c:pt>
                <c:pt idx="146">
                  <c:v>-13.418799999999999</c:v>
                </c:pt>
                <c:pt idx="147">
                  <c:v>-13.418799999999999</c:v>
                </c:pt>
                <c:pt idx="148">
                  <c:v>-13.418799999999999</c:v>
                </c:pt>
                <c:pt idx="149">
                  <c:v>-13.418799999999999</c:v>
                </c:pt>
                <c:pt idx="150">
                  <c:v>-13.418799999999999</c:v>
                </c:pt>
                <c:pt idx="151">
                  <c:v>-13.418799999999999</c:v>
                </c:pt>
                <c:pt idx="152">
                  <c:v>-13.418799999999999</c:v>
                </c:pt>
                <c:pt idx="153">
                  <c:v>-13.418799999999999</c:v>
                </c:pt>
                <c:pt idx="154">
                  <c:v>-13.418799999999999</c:v>
                </c:pt>
                <c:pt idx="155">
                  <c:v>-13.418799999999999</c:v>
                </c:pt>
                <c:pt idx="156">
                  <c:v>-5.3754999999999997</c:v>
                </c:pt>
                <c:pt idx="157">
                  <c:v>-5.3754999999999997</c:v>
                </c:pt>
                <c:pt idx="158">
                  <c:v>-5.3754999999999997</c:v>
                </c:pt>
                <c:pt idx="159">
                  <c:v>-5.3754999999999997</c:v>
                </c:pt>
                <c:pt idx="160">
                  <c:v>-5.3754999999999997</c:v>
                </c:pt>
                <c:pt idx="161">
                  <c:v>-5.3754999999999997</c:v>
                </c:pt>
                <c:pt idx="162">
                  <c:v>-5.3754999999999997</c:v>
                </c:pt>
                <c:pt idx="163">
                  <c:v>-5.3754999999999997</c:v>
                </c:pt>
                <c:pt idx="164">
                  <c:v>-5.3754999999999997</c:v>
                </c:pt>
                <c:pt idx="165">
                  <c:v>-5.3754999999999997</c:v>
                </c:pt>
                <c:pt idx="166">
                  <c:v>-5.3754999999999997</c:v>
                </c:pt>
                <c:pt idx="167">
                  <c:v>-5.3754999999999997</c:v>
                </c:pt>
                <c:pt idx="168">
                  <c:v>-5.3754999999999997</c:v>
                </c:pt>
                <c:pt idx="169">
                  <c:v>-4.9626000000000001</c:v>
                </c:pt>
                <c:pt idx="170">
                  <c:v>-4.9626000000000001</c:v>
                </c:pt>
                <c:pt idx="171">
                  <c:v>-4.9626000000000001</c:v>
                </c:pt>
                <c:pt idx="172">
                  <c:v>-4.9626000000000001</c:v>
                </c:pt>
                <c:pt idx="173">
                  <c:v>-4.9626000000000001</c:v>
                </c:pt>
                <c:pt idx="174">
                  <c:v>-4.9626000000000001</c:v>
                </c:pt>
                <c:pt idx="175">
                  <c:v>-4.9626000000000001</c:v>
                </c:pt>
                <c:pt idx="176">
                  <c:v>-4.9626000000000001</c:v>
                </c:pt>
                <c:pt idx="177">
                  <c:v>-4.9626000000000001</c:v>
                </c:pt>
                <c:pt idx="178">
                  <c:v>-4.9626000000000001</c:v>
                </c:pt>
                <c:pt idx="179">
                  <c:v>-4.9626000000000001</c:v>
                </c:pt>
                <c:pt idx="180">
                  <c:v>-4.9626000000000001</c:v>
                </c:pt>
                <c:pt idx="181">
                  <c:v>-4.9626000000000001</c:v>
                </c:pt>
                <c:pt idx="182">
                  <c:v>-2.4828999999999999</c:v>
                </c:pt>
                <c:pt idx="183">
                  <c:v>-2.4828999999999999</c:v>
                </c:pt>
                <c:pt idx="184">
                  <c:v>-2.4828999999999999</c:v>
                </c:pt>
                <c:pt idx="185">
                  <c:v>-2.4828999999999999</c:v>
                </c:pt>
                <c:pt idx="186">
                  <c:v>-2.4828999999999999</c:v>
                </c:pt>
                <c:pt idx="187">
                  <c:v>-2.4828999999999999</c:v>
                </c:pt>
                <c:pt idx="188">
                  <c:v>-2.4828999999999999</c:v>
                </c:pt>
                <c:pt idx="189">
                  <c:v>-2.4828999999999999</c:v>
                </c:pt>
                <c:pt idx="190">
                  <c:v>-2.4828999999999999</c:v>
                </c:pt>
                <c:pt idx="191">
                  <c:v>-2.4828999999999999</c:v>
                </c:pt>
                <c:pt idx="192">
                  <c:v>-2.4828999999999999</c:v>
                </c:pt>
                <c:pt idx="193">
                  <c:v>-2.4828999999999999</c:v>
                </c:pt>
                <c:pt idx="194">
                  <c:v>-2.4828999999999999</c:v>
                </c:pt>
                <c:pt idx="195">
                  <c:v>44.080800000000004</c:v>
                </c:pt>
                <c:pt idx="196">
                  <c:v>44.080800000000004</c:v>
                </c:pt>
                <c:pt idx="197">
                  <c:v>44.080800000000004</c:v>
                </c:pt>
                <c:pt idx="198">
                  <c:v>44.080800000000004</c:v>
                </c:pt>
                <c:pt idx="199">
                  <c:v>44.080800000000004</c:v>
                </c:pt>
                <c:pt idx="200">
                  <c:v>44.080800000000004</c:v>
                </c:pt>
                <c:pt idx="201">
                  <c:v>44.080800000000004</c:v>
                </c:pt>
                <c:pt idx="202">
                  <c:v>44.080800000000004</c:v>
                </c:pt>
                <c:pt idx="203">
                  <c:v>44.080800000000004</c:v>
                </c:pt>
                <c:pt idx="204">
                  <c:v>44.080800000000004</c:v>
                </c:pt>
                <c:pt idx="205">
                  <c:v>44.080800000000004</c:v>
                </c:pt>
                <c:pt idx="206">
                  <c:v>44.080800000000004</c:v>
                </c:pt>
                <c:pt idx="207">
                  <c:v>44.080800000000004</c:v>
                </c:pt>
                <c:pt idx="208">
                  <c:v>36.037799999999997</c:v>
                </c:pt>
                <c:pt idx="209">
                  <c:v>36.037799999999997</c:v>
                </c:pt>
                <c:pt idx="210">
                  <c:v>36.037799999999997</c:v>
                </c:pt>
                <c:pt idx="211">
                  <c:v>36.037799999999997</c:v>
                </c:pt>
                <c:pt idx="212">
                  <c:v>36.037799999999997</c:v>
                </c:pt>
                <c:pt idx="213">
                  <c:v>36.037799999999997</c:v>
                </c:pt>
                <c:pt idx="214">
                  <c:v>36.037799999999997</c:v>
                </c:pt>
                <c:pt idx="215">
                  <c:v>36.037799999999997</c:v>
                </c:pt>
                <c:pt idx="216">
                  <c:v>36.037799999999997</c:v>
                </c:pt>
                <c:pt idx="217">
                  <c:v>36.037799999999997</c:v>
                </c:pt>
                <c:pt idx="218">
                  <c:v>36.037799999999997</c:v>
                </c:pt>
                <c:pt idx="219">
                  <c:v>36.037799999999997</c:v>
                </c:pt>
                <c:pt idx="220">
                  <c:v>36.037799999999997</c:v>
                </c:pt>
                <c:pt idx="221">
                  <c:v>24.4847</c:v>
                </c:pt>
                <c:pt idx="222">
                  <c:v>24.4847</c:v>
                </c:pt>
                <c:pt idx="223">
                  <c:v>24.4847</c:v>
                </c:pt>
                <c:pt idx="224">
                  <c:v>24.4847</c:v>
                </c:pt>
                <c:pt idx="225">
                  <c:v>24.4847</c:v>
                </c:pt>
                <c:pt idx="226">
                  <c:v>24.4847</c:v>
                </c:pt>
                <c:pt idx="227">
                  <c:v>24.4847</c:v>
                </c:pt>
                <c:pt idx="228">
                  <c:v>24.4847</c:v>
                </c:pt>
                <c:pt idx="229">
                  <c:v>24.4847</c:v>
                </c:pt>
                <c:pt idx="230">
                  <c:v>24.4847</c:v>
                </c:pt>
                <c:pt idx="231">
                  <c:v>24.4847</c:v>
                </c:pt>
                <c:pt idx="232">
                  <c:v>24.4847</c:v>
                </c:pt>
                <c:pt idx="233">
                  <c:v>24.4847</c:v>
                </c:pt>
                <c:pt idx="234">
                  <c:v>6.4301000000000004</c:v>
                </c:pt>
                <c:pt idx="235">
                  <c:v>6.4301000000000004</c:v>
                </c:pt>
                <c:pt idx="236">
                  <c:v>6.4301000000000004</c:v>
                </c:pt>
                <c:pt idx="237">
                  <c:v>6.4301000000000004</c:v>
                </c:pt>
                <c:pt idx="238">
                  <c:v>6.4301000000000004</c:v>
                </c:pt>
                <c:pt idx="239">
                  <c:v>6.4301000000000004</c:v>
                </c:pt>
                <c:pt idx="240">
                  <c:v>6.4301000000000004</c:v>
                </c:pt>
                <c:pt idx="241">
                  <c:v>6.4301000000000004</c:v>
                </c:pt>
                <c:pt idx="242">
                  <c:v>6.4301000000000004</c:v>
                </c:pt>
                <c:pt idx="243">
                  <c:v>6.4301000000000004</c:v>
                </c:pt>
                <c:pt idx="244">
                  <c:v>6.4301000000000004</c:v>
                </c:pt>
                <c:pt idx="245">
                  <c:v>6.4301000000000004</c:v>
                </c:pt>
                <c:pt idx="246">
                  <c:v>6.4301000000000004</c:v>
                </c:pt>
                <c:pt idx="247">
                  <c:v>-2.3351999999999999</c:v>
                </c:pt>
                <c:pt idx="248">
                  <c:v>-2.3351999999999999</c:v>
                </c:pt>
                <c:pt idx="249">
                  <c:v>-2.3351999999999999</c:v>
                </c:pt>
                <c:pt idx="250">
                  <c:v>-2.3351999999999999</c:v>
                </c:pt>
                <c:pt idx="251">
                  <c:v>-2.3351999999999999</c:v>
                </c:pt>
                <c:pt idx="252">
                  <c:v>-2.3351999999999999</c:v>
                </c:pt>
                <c:pt idx="253">
                  <c:v>-2.3351999999999999</c:v>
                </c:pt>
                <c:pt idx="254">
                  <c:v>-2.3351999999999999</c:v>
                </c:pt>
                <c:pt idx="255">
                  <c:v>-2.3351999999999999</c:v>
                </c:pt>
                <c:pt idx="256">
                  <c:v>-2.3351999999999999</c:v>
                </c:pt>
                <c:pt idx="257">
                  <c:v>-2.3351999999999999</c:v>
                </c:pt>
                <c:pt idx="258">
                  <c:v>-2.3351999999999999</c:v>
                </c:pt>
                <c:pt idx="259">
                  <c:v>-2.3351999999999999</c:v>
                </c:pt>
                <c:pt idx="260">
                  <c:v>4.3136999999999999</c:v>
                </c:pt>
                <c:pt idx="261">
                  <c:v>4.3136999999999999</c:v>
                </c:pt>
                <c:pt idx="262">
                  <c:v>4.3136999999999999</c:v>
                </c:pt>
                <c:pt idx="263">
                  <c:v>4.3136999999999999</c:v>
                </c:pt>
                <c:pt idx="264">
                  <c:v>4.3136999999999999</c:v>
                </c:pt>
                <c:pt idx="265">
                  <c:v>4.3136999999999999</c:v>
                </c:pt>
                <c:pt idx="266">
                  <c:v>4.3136999999999999</c:v>
                </c:pt>
                <c:pt idx="267">
                  <c:v>4.3136999999999999</c:v>
                </c:pt>
                <c:pt idx="268">
                  <c:v>4.3136999999999999</c:v>
                </c:pt>
                <c:pt idx="269">
                  <c:v>4.3136999999999999</c:v>
                </c:pt>
                <c:pt idx="270">
                  <c:v>4.3136999999999999</c:v>
                </c:pt>
                <c:pt idx="271">
                  <c:v>4.3136999999999999</c:v>
                </c:pt>
                <c:pt idx="272">
                  <c:v>4.3136999999999999</c:v>
                </c:pt>
                <c:pt idx="273">
                  <c:v>4.3136999999999999</c:v>
                </c:pt>
                <c:pt idx="274">
                  <c:v>12.4207</c:v>
                </c:pt>
                <c:pt idx="275">
                  <c:v>12.4207</c:v>
                </c:pt>
                <c:pt idx="276">
                  <c:v>12.4207</c:v>
                </c:pt>
                <c:pt idx="277">
                  <c:v>12.4207</c:v>
                </c:pt>
                <c:pt idx="278">
                  <c:v>12.4207</c:v>
                </c:pt>
                <c:pt idx="279">
                  <c:v>12.4207</c:v>
                </c:pt>
                <c:pt idx="280">
                  <c:v>12.4207</c:v>
                </c:pt>
                <c:pt idx="281">
                  <c:v>12.4207</c:v>
                </c:pt>
                <c:pt idx="282">
                  <c:v>12.4207</c:v>
                </c:pt>
                <c:pt idx="283">
                  <c:v>12.4207</c:v>
                </c:pt>
                <c:pt idx="284">
                  <c:v>12.4207</c:v>
                </c:pt>
                <c:pt idx="285">
                  <c:v>12.4207</c:v>
                </c:pt>
                <c:pt idx="286">
                  <c:v>12.4207</c:v>
                </c:pt>
                <c:pt idx="287">
                  <c:v>10.527200000000001</c:v>
                </c:pt>
                <c:pt idx="288">
                  <c:v>10.527200000000001</c:v>
                </c:pt>
                <c:pt idx="289">
                  <c:v>10.527200000000001</c:v>
                </c:pt>
                <c:pt idx="290">
                  <c:v>10.527200000000001</c:v>
                </c:pt>
                <c:pt idx="291">
                  <c:v>10.527200000000001</c:v>
                </c:pt>
                <c:pt idx="292">
                  <c:v>10.527200000000001</c:v>
                </c:pt>
                <c:pt idx="293">
                  <c:v>10.527200000000001</c:v>
                </c:pt>
                <c:pt idx="294">
                  <c:v>10.527200000000001</c:v>
                </c:pt>
                <c:pt idx="295">
                  <c:v>10.527200000000001</c:v>
                </c:pt>
                <c:pt idx="296">
                  <c:v>10.527200000000001</c:v>
                </c:pt>
                <c:pt idx="297">
                  <c:v>10.527200000000001</c:v>
                </c:pt>
                <c:pt idx="298">
                  <c:v>10.527200000000001</c:v>
                </c:pt>
                <c:pt idx="299">
                  <c:v>10.527200000000001</c:v>
                </c:pt>
                <c:pt idx="300">
                  <c:v>21.999300000000002</c:v>
                </c:pt>
                <c:pt idx="301">
                  <c:v>21.999300000000002</c:v>
                </c:pt>
                <c:pt idx="302">
                  <c:v>21.999300000000002</c:v>
                </c:pt>
                <c:pt idx="303">
                  <c:v>21.999300000000002</c:v>
                </c:pt>
                <c:pt idx="304">
                  <c:v>21.999300000000002</c:v>
                </c:pt>
                <c:pt idx="305">
                  <c:v>21.999300000000002</c:v>
                </c:pt>
                <c:pt idx="306">
                  <c:v>21.999300000000002</c:v>
                </c:pt>
                <c:pt idx="307">
                  <c:v>21.999300000000002</c:v>
                </c:pt>
                <c:pt idx="308">
                  <c:v>21.999300000000002</c:v>
                </c:pt>
                <c:pt idx="309">
                  <c:v>21.999300000000002</c:v>
                </c:pt>
                <c:pt idx="310">
                  <c:v>21.999300000000002</c:v>
                </c:pt>
                <c:pt idx="311">
                  <c:v>21.999300000000002</c:v>
                </c:pt>
                <c:pt idx="312">
                  <c:v>21.999300000000002</c:v>
                </c:pt>
                <c:pt idx="313">
                  <c:v>22.916599999999999</c:v>
                </c:pt>
                <c:pt idx="314">
                  <c:v>22.916599999999999</c:v>
                </c:pt>
                <c:pt idx="315">
                  <c:v>22.916599999999999</c:v>
                </c:pt>
                <c:pt idx="316">
                  <c:v>22.916599999999999</c:v>
                </c:pt>
                <c:pt idx="317">
                  <c:v>22.916599999999999</c:v>
                </c:pt>
                <c:pt idx="318">
                  <c:v>22.916599999999999</c:v>
                </c:pt>
                <c:pt idx="319">
                  <c:v>22.916599999999999</c:v>
                </c:pt>
                <c:pt idx="320">
                  <c:v>22.916599999999999</c:v>
                </c:pt>
                <c:pt idx="321">
                  <c:v>22.916599999999999</c:v>
                </c:pt>
                <c:pt idx="322">
                  <c:v>22.916599999999999</c:v>
                </c:pt>
                <c:pt idx="323">
                  <c:v>22.916599999999999</c:v>
                </c:pt>
                <c:pt idx="324">
                  <c:v>22.916599999999999</c:v>
                </c:pt>
                <c:pt idx="325">
                  <c:v>22.916599999999999</c:v>
                </c:pt>
                <c:pt idx="326">
                  <c:v>20.5304</c:v>
                </c:pt>
                <c:pt idx="327">
                  <c:v>20.5304</c:v>
                </c:pt>
                <c:pt idx="328">
                  <c:v>20.5304</c:v>
                </c:pt>
                <c:pt idx="329">
                  <c:v>20.5304</c:v>
                </c:pt>
                <c:pt idx="330">
                  <c:v>20.5304</c:v>
                </c:pt>
                <c:pt idx="331">
                  <c:v>20.5304</c:v>
                </c:pt>
                <c:pt idx="332">
                  <c:v>20.5304</c:v>
                </c:pt>
                <c:pt idx="333">
                  <c:v>20.5304</c:v>
                </c:pt>
                <c:pt idx="334">
                  <c:v>20.5304</c:v>
                </c:pt>
                <c:pt idx="335">
                  <c:v>20.5304</c:v>
                </c:pt>
                <c:pt idx="336">
                  <c:v>20.5304</c:v>
                </c:pt>
                <c:pt idx="337">
                  <c:v>20.5304</c:v>
                </c:pt>
                <c:pt idx="338">
                  <c:v>20.5304</c:v>
                </c:pt>
                <c:pt idx="339">
                  <c:v>17.469200000000001</c:v>
                </c:pt>
                <c:pt idx="340">
                  <c:v>17.469200000000001</c:v>
                </c:pt>
                <c:pt idx="341">
                  <c:v>17.469200000000001</c:v>
                </c:pt>
                <c:pt idx="342">
                  <c:v>17.469200000000001</c:v>
                </c:pt>
                <c:pt idx="343">
                  <c:v>17.469200000000001</c:v>
                </c:pt>
                <c:pt idx="344">
                  <c:v>17.469200000000001</c:v>
                </c:pt>
                <c:pt idx="345">
                  <c:v>17.469200000000001</c:v>
                </c:pt>
                <c:pt idx="346">
                  <c:v>17.469200000000001</c:v>
                </c:pt>
                <c:pt idx="347">
                  <c:v>17.469200000000001</c:v>
                </c:pt>
                <c:pt idx="348">
                  <c:v>17.469200000000001</c:v>
                </c:pt>
                <c:pt idx="349">
                  <c:v>17.469200000000001</c:v>
                </c:pt>
                <c:pt idx="350">
                  <c:v>17.469200000000001</c:v>
                </c:pt>
                <c:pt idx="351">
                  <c:v>17.469200000000001</c:v>
                </c:pt>
                <c:pt idx="352">
                  <c:v>16.570799999999998</c:v>
                </c:pt>
                <c:pt idx="353">
                  <c:v>16.570799999999998</c:v>
                </c:pt>
                <c:pt idx="354">
                  <c:v>16.570799999999998</c:v>
                </c:pt>
                <c:pt idx="355">
                  <c:v>16.570799999999998</c:v>
                </c:pt>
                <c:pt idx="356">
                  <c:v>16.570799999999998</c:v>
                </c:pt>
                <c:pt idx="357">
                  <c:v>16.570799999999998</c:v>
                </c:pt>
                <c:pt idx="358">
                  <c:v>16.570799999999998</c:v>
                </c:pt>
                <c:pt idx="359">
                  <c:v>16.570799999999998</c:v>
                </c:pt>
                <c:pt idx="360">
                  <c:v>16.570799999999998</c:v>
                </c:pt>
                <c:pt idx="361">
                  <c:v>16.570799999999998</c:v>
                </c:pt>
                <c:pt idx="362">
                  <c:v>16.570799999999998</c:v>
                </c:pt>
                <c:pt idx="363">
                  <c:v>16.570799999999998</c:v>
                </c:pt>
                <c:pt idx="364">
                  <c:v>16.570799999999998</c:v>
                </c:pt>
                <c:pt idx="365">
                  <c:v>16.944099999999999</c:v>
                </c:pt>
                <c:pt idx="366">
                  <c:v>16.944099999999999</c:v>
                </c:pt>
                <c:pt idx="367">
                  <c:v>16.944099999999999</c:v>
                </c:pt>
                <c:pt idx="368">
                  <c:v>16.944099999999999</c:v>
                </c:pt>
                <c:pt idx="369">
                  <c:v>16.944099999999999</c:v>
                </c:pt>
                <c:pt idx="370">
                  <c:v>16.944099999999999</c:v>
                </c:pt>
                <c:pt idx="371">
                  <c:v>16.944099999999999</c:v>
                </c:pt>
                <c:pt idx="372">
                  <c:v>16.944099999999999</c:v>
                </c:pt>
                <c:pt idx="373">
                  <c:v>16.944099999999999</c:v>
                </c:pt>
                <c:pt idx="374">
                  <c:v>16.944099999999999</c:v>
                </c:pt>
                <c:pt idx="375">
                  <c:v>16.944099999999999</c:v>
                </c:pt>
                <c:pt idx="376">
                  <c:v>16.944099999999999</c:v>
                </c:pt>
                <c:pt idx="377">
                  <c:v>16.944099999999999</c:v>
                </c:pt>
                <c:pt idx="378">
                  <c:v>16.944099999999999</c:v>
                </c:pt>
                <c:pt idx="379">
                  <c:v>16.944099999999999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1-4610-9597-DFBD84C17036}"/>
            </c:ext>
          </c:extLst>
        </c:ser>
        <c:ser>
          <c:idx val="4"/>
          <c:order val="2"/>
          <c:tx>
            <c:strRef>
              <c:f>Base!$AK$4</c:f>
              <c:strCache>
                <c:ptCount val="1"/>
                <c:pt idx="0">
                  <c:v>TRAN AR Equity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Base!$AM$6:$AM$2000</c:f>
              <c:numCache>
                <c:formatCode>General</c:formatCode>
                <c:ptCount val="1995"/>
                <c:pt idx="0">
                  <c:v>1.6458999999999999</c:v>
                </c:pt>
                <c:pt idx="1">
                  <c:v>1.6458999999999999</c:v>
                </c:pt>
                <c:pt idx="2">
                  <c:v>1.6458999999999999</c:v>
                </c:pt>
                <c:pt idx="3">
                  <c:v>1.6458999999999999</c:v>
                </c:pt>
                <c:pt idx="4">
                  <c:v>1.6458999999999999</c:v>
                </c:pt>
                <c:pt idx="5">
                  <c:v>1.6458999999999999</c:v>
                </c:pt>
                <c:pt idx="6">
                  <c:v>1.6458999999999999</c:v>
                </c:pt>
                <c:pt idx="7">
                  <c:v>1.6458999999999999</c:v>
                </c:pt>
                <c:pt idx="8">
                  <c:v>1.6458999999999999</c:v>
                </c:pt>
                <c:pt idx="9">
                  <c:v>1.6458999999999999</c:v>
                </c:pt>
                <c:pt idx="10">
                  <c:v>1.6458999999999999</c:v>
                </c:pt>
                <c:pt idx="11">
                  <c:v>1.6458999999999999</c:v>
                </c:pt>
                <c:pt idx="12">
                  <c:v>1.6458999999999999</c:v>
                </c:pt>
                <c:pt idx="13">
                  <c:v>1.0392999999999999</c:v>
                </c:pt>
                <c:pt idx="14">
                  <c:v>1.0392999999999999</c:v>
                </c:pt>
                <c:pt idx="15">
                  <c:v>1.0392999999999999</c:v>
                </c:pt>
                <c:pt idx="16">
                  <c:v>1.0392999999999999</c:v>
                </c:pt>
                <c:pt idx="17">
                  <c:v>1.0392999999999999</c:v>
                </c:pt>
                <c:pt idx="18">
                  <c:v>1.0392999999999999</c:v>
                </c:pt>
                <c:pt idx="19">
                  <c:v>1.0392999999999999</c:v>
                </c:pt>
                <c:pt idx="20">
                  <c:v>1.0392999999999999</c:v>
                </c:pt>
                <c:pt idx="21">
                  <c:v>1.0392999999999999</c:v>
                </c:pt>
                <c:pt idx="22">
                  <c:v>1.0392999999999999</c:v>
                </c:pt>
                <c:pt idx="23">
                  <c:v>1.0392999999999999</c:v>
                </c:pt>
                <c:pt idx="24">
                  <c:v>1.0392999999999999</c:v>
                </c:pt>
                <c:pt idx="25">
                  <c:v>1.0392999999999999</c:v>
                </c:pt>
                <c:pt idx="26">
                  <c:v>1.0737000000000001</c:v>
                </c:pt>
                <c:pt idx="27">
                  <c:v>1.0737000000000001</c:v>
                </c:pt>
                <c:pt idx="28">
                  <c:v>1.0737000000000001</c:v>
                </c:pt>
                <c:pt idx="29">
                  <c:v>1.0737000000000001</c:v>
                </c:pt>
                <c:pt idx="30">
                  <c:v>1.0737000000000001</c:v>
                </c:pt>
                <c:pt idx="31">
                  <c:v>1.0737000000000001</c:v>
                </c:pt>
                <c:pt idx="32">
                  <c:v>1.0737000000000001</c:v>
                </c:pt>
                <c:pt idx="33">
                  <c:v>1.0737000000000001</c:v>
                </c:pt>
                <c:pt idx="34">
                  <c:v>1.0737000000000001</c:v>
                </c:pt>
                <c:pt idx="35">
                  <c:v>1.0737000000000001</c:v>
                </c:pt>
                <c:pt idx="36">
                  <c:v>1.0737000000000001</c:v>
                </c:pt>
                <c:pt idx="37">
                  <c:v>1.0737000000000001</c:v>
                </c:pt>
                <c:pt idx="38">
                  <c:v>1.0737000000000001</c:v>
                </c:pt>
                <c:pt idx="39">
                  <c:v>1.6037999999999999</c:v>
                </c:pt>
                <c:pt idx="40">
                  <c:v>1.6037999999999999</c:v>
                </c:pt>
                <c:pt idx="41">
                  <c:v>1.6037999999999999</c:v>
                </c:pt>
                <c:pt idx="42">
                  <c:v>1.6037999999999999</c:v>
                </c:pt>
                <c:pt idx="43">
                  <c:v>1.6037999999999999</c:v>
                </c:pt>
                <c:pt idx="44">
                  <c:v>1.6037999999999999</c:v>
                </c:pt>
                <c:pt idx="45">
                  <c:v>1.6037999999999999</c:v>
                </c:pt>
                <c:pt idx="46">
                  <c:v>1.6037999999999999</c:v>
                </c:pt>
                <c:pt idx="47">
                  <c:v>1.6037999999999999</c:v>
                </c:pt>
                <c:pt idx="48">
                  <c:v>1.6037999999999999</c:v>
                </c:pt>
                <c:pt idx="49">
                  <c:v>1.6037999999999999</c:v>
                </c:pt>
                <c:pt idx="50">
                  <c:v>1.6037999999999999</c:v>
                </c:pt>
                <c:pt idx="51">
                  <c:v>1.6037999999999999</c:v>
                </c:pt>
                <c:pt idx="52">
                  <c:v>1.4119999999999999</c:v>
                </c:pt>
                <c:pt idx="53">
                  <c:v>1.4119999999999999</c:v>
                </c:pt>
                <c:pt idx="54">
                  <c:v>1.4119999999999999</c:v>
                </c:pt>
                <c:pt idx="55">
                  <c:v>1.4119999999999999</c:v>
                </c:pt>
                <c:pt idx="56">
                  <c:v>1.4119999999999999</c:v>
                </c:pt>
                <c:pt idx="57">
                  <c:v>1.4119999999999999</c:v>
                </c:pt>
                <c:pt idx="58">
                  <c:v>1.4119999999999999</c:v>
                </c:pt>
                <c:pt idx="59">
                  <c:v>1.4119999999999999</c:v>
                </c:pt>
                <c:pt idx="60">
                  <c:v>1.4119999999999999</c:v>
                </c:pt>
                <c:pt idx="61">
                  <c:v>1.4119999999999999</c:v>
                </c:pt>
                <c:pt idx="62">
                  <c:v>1.4119999999999999</c:v>
                </c:pt>
                <c:pt idx="63">
                  <c:v>1.4119999999999999</c:v>
                </c:pt>
                <c:pt idx="64">
                  <c:v>1.4119999999999999</c:v>
                </c:pt>
                <c:pt idx="65">
                  <c:v>1.4662999999999999</c:v>
                </c:pt>
                <c:pt idx="66">
                  <c:v>1.4662999999999999</c:v>
                </c:pt>
                <c:pt idx="67">
                  <c:v>1.4662999999999999</c:v>
                </c:pt>
                <c:pt idx="68">
                  <c:v>1.4662999999999999</c:v>
                </c:pt>
                <c:pt idx="69">
                  <c:v>1.4662999999999999</c:v>
                </c:pt>
                <c:pt idx="70">
                  <c:v>1.4662999999999999</c:v>
                </c:pt>
                <c:pt idx="71">
                  <c:v>1.4662999999999999</c:v>
                </c:pt>
                <c:pt idx="72">
                  <c:v>1.4662999999999999</c:v>
                </c:pt>
                <c:pt idx="73">
                  <c:v>1.4662999999999999</c:v>
                </c:pt>
                <c:pt idx="74">
                  <c:v>1.4662999999999999</c:v>
                </c:pt>
                <c:pt idx="75">
                  <c:v>1.4662999999999999</c:v>
                </c:pt>
                <c:pt idx="76">
                  <c:v>1.4662999999999999</c:v>
                </c:pt>
                <c:pt idx="77">
                  <c:v>1.4662999999999999</c:v>
                </c:pt>
                <c:pt idx="78">
                  <c:v>0.60640000000000005</c:v>
                </c:pt>
                <c:pt idx="79">
                  <c:v>0.60640000000000005</c:v>
                </c:pt>
                <c:pt idx="80">
                  <c:v>0.60640000000000005</c:v>
                </c:pt>
                <c:pt idx="81">
                  <c:v>0.60640000000000005</c:v>
                </c:pt>
                <c:pt idx="82">
                  <c:v>0.60640000000000005</c:v>
                </c:pt>
                <c:pt idx="83">
                  <c:v>0.60640000000000005</c:v>
                </c:pt>
                <c:pt idx="84">
                  <c:v>0.60640000000000005</c:v>
                </c:pt>
                <c:pt idx="85">
                  <c:v>0.60640000000000005</c:v>
                </c:pt>
                <c:pt idx="86">
                  <c:v>0.60640000000000005</c:v>
                </c:pt>
                <c:pt idx="87">
                  <c:v>0.60640000000000005</c:v>
                </c:pt>
                <c:pt idx="88">
                  <c:v>0.60640000000000005</c:v>
                </c:pt>
                <c:pt idx="89">
                  <c:v>0.60640000000000005</c:v>
                </c:pt>
                <c:pt idx="90">
                  <c:v>0.60640000000000005</c:v>
                </c:pt>
                <c:pt idx="91">
                  <c:v>0.8589</c:v>
                </c:pt>
                <c:pt idx="92">
                  <c:v>0.8589</c:v>
                </c:pt>
                <c:pt idx="93">
                  <c:v>0.8589</c:v>
                </c:pt>
                <c:pt idx="94">
                  <c:v>0.8589</c:v>
                </c:pt>
                <c:pt idx="95">
                  <c:v>0.8589</c:v>
                </c:pt>
                <c:pt idx="96">
                  <c:v>0.8589</c:v>
                </c:pt>
                <c:pt idx="97">
                  <c:v>0.8589</c:v>
                </c:pt>
                <c:pt idx="98">
                  <c:v>0.8589</c:v>
                </c:pt>
                <c:pt idx="99">
                  <c:v>0.8589</c:v>
                </c:pt>
                <c:pt idx="100">
                  <c:v>0.8589</c:v>
                </c:pt>
                <c:pt idx="101">
                  <c:v>0.8589</c:v>
                </c:pt>
                <c:pt idx="102">
                  <c:v>0.8589</c:v>
                </c:pt>
                <c:pt idx="103">
                  <c:v>0.8589</c:v>
                </c:pt>
                <c:pt idx="104">
                  <c:v>6.4999999999999997E-3</c:v>
                </c:pt>
                <c:pt idx="105">
                  <c:v>6.4999999999999997E-3</c:v>
                </c:pt>
                <c:pt idx="106">
                  <c:v>6.4999999999999997E-3</c:v>
                </c:pt>
                <c:pt idx="107">
                  <c:v>6.4999999999999997E-3</c:v>
                </c:pt>
                <c:pt idx="108">
                  <c:v>6.4999999999999997E-3</c:v>
                </c:pt>
                <c:pt idx="109">
                  <c:v>6.4999999999999997E-3</c:v>
                </c:pt>
                <c:pt idx="110">
                  <c:v>6.4999999999999997E-3</c:v>
                </c:pt>
                <c:pt idx="111">
                  <c:v>6.4999999999999997E-3</c:v>
                </c:pt>
                <c:pt idx="112">
                  <c:v>6.4999999999999997E-3</c:v>
                </c:pt>
                <c:pt idx="113">
                  <c:v>6.4999999999999997E-3</c:v>
                </c:pt>
                <c:pt idx="114">
                  <c:v>6.4999999999999997E-3</c:v>
                </c:pt>
                <c:pt idx="115">
                  <c:v>6.4999999999999997E-3</c:v>
                </c:pt>
                <c:pt idx="116">
                  <c:v>6.4999999999999997E-3</c:v>
                </c:pt>
                <c:pt idx="117">
                  <c:v>-3.09E-2</c:v>
                </c:pt>
                <c:pt idx="118">
                  <c:v>-3.09E-2</c:v>
                </c:pt>
                <c:pt idx="119">
                  <c:v>-3.09E-2</c:v>
                </c:pt>
                <c:pt idx="120">
                  <c:v>-3.09E-2</c:v>
                </c:pt>
                <c:pt idx="121">
                  <c:v>-3.09E-2</c:v>
                </c:pt>
                <c:pt idx="122">
                  <c:v>-3.09E-2</c:v>
                </c:pt>
                <c:pt idx="123">
                  <c:v>-3.09E-2</c:v>
                </c:pt>
                <c:pt idx="124">
                  <c:v>-3.09E-2</c:v>
                </c:pt>
                <c:pt idx="125">
                  <c:v>-3.09E-2</c:v>
                </c:pt>
                <c:pt idx="126">
                  <c:v>-3.09E-2</c:v>
                </c:pt>
                <c:pt idx="127">
                  <c:v>-3.09E-2</c:v>
                </c:pt>
                <c:pt idx="128">
                  <c:v>-3.09E-2</c:v>
                </c:pt>
                <c:pt idx="129">
                  <c:v>-3.09E-2</c:v>
                </c:pt>
                <c:pt idx="130">
                  <c:v>0.26619999999999999</c:v>
                </c:pt>
                <c:pt idx="131">
                  <c:v>0.26619999999999999</c:v>
                </c:pt>
                <c:pt idx="132">
                  <c:v>0.26619999999999999</c:v>
                </c:pt>
                <c:pt idx="133">
                  <c:v>0.26619999999999999</c:v>
                </c:pt>
                <c:pt idx="134">
                  <c:v>0.26619999999999999</c:v>
                </c:pt>
                <c:pt idx="135">
                  <c:v>0.26619999999999999</c:v>
                </c:pt>
                <c:pt idx="136">
                  <c:v>0.26619999999999999</c:v>
                </c:pt>
                <c:pt idx="137">
                  <c:v>0.26619999999999999</c:v>
                </c:pt>
                <c:pt idx="138">
                  <c:v>0.26619999999999999</c:v>
                </c:pt>
                <c:pt idx="139">
                  <c:v>0.26619999999999999</c:v>
                </c:pt>
                <c:pt idx="140">
                  <c:v>0.26619999999999999</c:v>
                </c:pt>
                <c:pt idx="141">
                  <c:v>0.26619999999999999</c:v>
                </c:pt>
                <c:pt idx="142">
                  <c:v>0.26619999999999999</c:v>
                </c:pt>
                <c:pt idx="143">
                  <c:v>0.40379999999999999</c:v>
                </c:pt>
                <c:pt idx="144">
                  <c:v>0.40379999999999999</c:v>
                </c:pt>
                <c:pt idx="145">
                  <c:v>0.40379999999999999</c:v>
                </c:pt>
                <c:pt idx="146">
                  <c:v>0.40379999999999999</c:v>
                </c:pt>
                <c:pt idx="147">
                  <c:v>0.40379999999999999</c:v>
                </c:pt>
                <c:pt idx="148">
                  <c:v>0.40379999999999999</c:v>
                </c:pt>
                <c:pt idx="149">
                  <c:v>0.40379999999999999</c:v>
                </c:pt>
                <c:pt idx="150">
                  <c:v>0.40379999999999999</c:v>
                </c:pt>
                <c:pt idx="151">
                  <c:v>0.40379999999999999</c:v>
                </c:pt>
                <c:pt idx="152">
                  <c:v>0.40379999999999999</c:v>
                </c:pt>
                <c:pt idx="153">
                  <c:v>0.40379999999999999</c:v>
                </c:pt>
                <c:pt idx="154">
                  <c:v>0.40379999999999999</c:v>
                </c:pt>
                <c:pt idx="155">
                  <c:v>0.40379999999999999</c:v>
                </c:pt>
                <c:pt idx="156">
                  <c:v>0.65780000000000005</c:v>
                </c:pt>
                <c:pt idx="157">
                  <c:v>0.65780000000000005</c:v>
                </c:pt>
                <c:pt idx="158">
                  <c:v>0.65780000000000005</c:v>
                </c:pt>
                <c:pt idx="159">
                  <c:v>0.65780000000000005</c:v>
                </c:pt>
                <c:pt idx="160">
                  <c:v>0.65780000000000005</c:v>
                </c:pt>
                <c:pt idx="161">
                  <c:v>0.65780000000000005</c:v>
                </c:pt>
                <c:pt idx="162">
                  <c:v>0.65780000000000005</c:v>
                </c:pt>
                <c:pt idx="163">
                  <c:v>0.65780000000000005</c:v>
                </c:pt>
                <c:pt idx="164">
                  <c:v>0.65780000000000005</c:v>
                </c:pt>
                <c:pt idx="165">
                  <c:v>0.65780000000000005</c:v>
                </c:pt>
                <c:pt idx="166">
                  <c:v>0.65780000000000005</c:v>
                </c:pt>
                <c:pt idx="167">
                  <c:v>0.65780000000000005</c:v>
                </c:pt>
                <c:pt idx="168">
                  <c:v>0.65780000000000005</c:v>
                </c:pt>
                <c:pt idx="169">
                  <c:v>1.0483</c:v>
                </c:pt>
                <c:pt idx="170">
                  <c:v>1.0483</c:v>
                </c:pt>
                <c:pt idx="171">
                  <c:v>1.0483</c:v>
                </c:pt>
                <c:pt idx="172">
                  <c:v>1.0483</c:v>
                </c:pt>
                <c:pt idx="173">
                  <c:v>1.0483</c:v>
                </c:pt>
                <c:pt idx="174">
                  <c:v>1.0483</c:v>
                </c:pt>
                <c:pt idx="175">
                  <c:v>1.0483</c:v>
                </c:pt>
                <c:pt idx="176">
                  <c:v>1.0483</c:v>
                </c:pt>
                <c:pt idx="177">
                  <c:v>1.0483</c:v>
                </c:pt>
                <c:pt idx="178">
                  <c:v>1.0483</c:v>
                </c:pt>
                <c:pt idx="179">
                  <c:v>1.0483</c:v>
                </c:pt>
                <c:pt idx="180">
                  <c:v>1.0483</c:v>
                </c:pt>
                <c:pt idx="181">
                  <c:v>1.0483</c:v>
                </c:pt>
                <c:pt idx="182">
                  <c:v>0.41089999999999999</c:v>
                </c:pt>
                <c:pt idx="183">
                  <c:v>0.41089999999999999</c:v>
                </c:pt>
                <c:pt idx="184">
                  <c:v>0.41089999999999999</c:v>
                </c:pt>
                <c:pt idx="185">
                  <c:v>0.41089999999999999</c:v>
                </c:pt>
                <c:pt idx="186">
                  <c:v>0.41089999999999999</c:v>
                </c:pt>
                <c:pt idx="187">
                  <c:v>0.41089999999999999</c:v>
                </c:pt>
                <c:pt idx="188">
                  <c:v>0.41089999999999999</c:v>
                </c:pt>
                <c:pt idx="189">
                  <c:v>0.41089999999999999</c:v>
                </c:pt>
                <c:pt idx="190">
                  <c:v>0.41089999999999999</c:v>
                </c:pt>
                <c:pt idx="191">
                  <c:v>0.41089999999999999</c:v>
                </c:pt>
                <c:pt idx="192">
                  <c:v>0.41089999999999999</c:v>
                </c:pt>
                <c:pt idx="193">
                  <c:v>0.41089999999999999</c:v>
                </c:pt>
                <c:pt idx="194">
                  <c:v>0.41089999999999999</c:v>
                </c:pt>
                <c:pt idx="195">
                  <c:v>1.1013999999999999</c:v>
                </c:pt>
                <c:pt idx="196">
                  <c:v>1.1013999999999999</c:v>
                </c:pt>
                <c:pt idx="197">
                  <c:v>1.1013999999999999</c:v>
                </c:pt>
                <c:pt idx="198">
                  <c:v>1.1013999999999999</c:v>
                </c:pt>
                <c:pt idx="199">
                  <c:v>1.1013999999999999</c:v>
                </c:pt>
                <c:pt idx="200">
                  <c:v>1.1013999999999999</c:v>
                </c:pt>
                <c:pt idx="201">
                  <c:v>1.1013999999999999</c:v>
                </c:pt>
                <c:pt idx="202">
                  <c:v>1.1013999999999999</c:v>
                </c:pt>
                <c:pt idx="203">
                  <c:v>1.1013999999999999</c:v>
                </c:pt>
                <c:pt idx="204">
                  <c:v>1.1013999999999999</c:v>
                </c:pt>
                <c:pt idx="205">
                  <c:v>1.1013999999999999</c:v>
                </c:pt>
                <c:pt idx="206">
                  <c:v>1.1013999999999999</c:v>
                </c:pt>
                <c:pt idx="207">
                  <c:v>1.1013999999999999</c:v>
                </c:pt>
                <c:pt idx="208">
                  <c:v>2.1953</c:v>
                </c:pt>
                <c:pt idx="209">
                  <c:v>2.1953</c:v>
                </c:pt>
                <c:pt idx="210">
                  <c:v>2.1953</c:v>
                </c:pt>
                <c:pt idx="211">
                  <c:v>2.1953</c:v>
                </c:pt>
                <c:pt idx="212">
                  <c:v>2.1953</c:v>
                </c:pt>
                <c:pt idx="213">
                  <c:v>2.1953</c:v>
                </c:pt>
                <c:pt idx="214">
                  <c:v>2.1953</c:v>
                </c:pt>
                <c:pt idx="215">
                  <c:v>2.1953</c:v>
                </c:pt>
                <c:pt idx="216">
                  <c:v>2.1953</c:v>
                </c:pt>
                <c:pt idx="217">
                  <c:v>2.1953</c:v>
                </c:pt>
                <c:pt idx="218">
                  <c:v>2.1953</c:v>
                </c:pt>
                <c:pt idx="219">
                  <c:v>2.1953</c:v>
                </c:pt>
                <c:pt idx="220">
                  <c:v>2.1953</c:v>
                </c:pt>
                <c:pt idx="221">
                  <c:v>1.1162000000000001</c:v>
                </c:pt>
                <c:pt idx="222">
                  <c:v>1.1162000000000001</c:v>
                </c:pt>
                <c:pt idx="223">
                  <c:v>1.1162000000000001</c:v>
                </c:pt>
                <c:pt idx="224">
                  <c:v>1.1162000000000001</c:v>
                </c:pt>
                <c:pt idx="225">
                  <c:v>1.1162000000000001</c:v>
                </c:pt>
                <c:pt idx="226">
                  <c:v>1.1162000000000001</c:v>
                </c:pt>
                <c:pt idx="227">
                  <c:v>1.1162000000000001</c:v>
                </c:pt>
                <c:pt idx="228">
                  <c:v>1.1162000000000001</c:v>
                </c:pt>
                <c:pt idx="229">
                  <c:v>1.1162000000000001</c:v>
                </c:pt>
                <c:pt idx="230">
                  <c:v>1.1162000000000001</c:v>
                </c:pt>
                <c:pt idx="231">
                  <c:v>1.1162000000000001</c:v>
                </c:pt>
                <c:pt idx="232">
                  <c:v>1.1162000000000001</c:v>
                </c:pt>
                <c:pt idx="233">
                  <c:v>1.1162000000000001</c:v>
                </c:pt>
                <c:pt idx="234">
                  <c:v>0.23250000000000001</c:v>
                </c:pt>
                <c:pt idx="235">
                  <c:v>0.23250000000000001</c:v>
                </c:pt>
                <c:pt idx="236">
                  <c:v>0.23250000000000001</c:v>
                </c:pt>
                <c:pt idx="237">
                  <c:v>0.23250000000000001</c:v>
                </c:pt>
                <c:pt idx="238">
                  <c:v>0.23250000000000001</c:v>
                </c:pt>
                <c:pt idx="239">
                  <c:v>0.23250000000000001</c:v>
                </c:pt>
                <c:pt idx="240">
                  <c:v>0.23250000000000001</c:v>
                </c:pt>
                <c:pt idx="241">
                  <c:v>0.23250000000000001</c:v>
                </c:pt>
                <c:pt idx="242">
                  <c:v>0.23250000000000001</c:v>
                </c:pt>
                <c:pt idx="243">
                  <c:v>0.23250000000000001</c:v>
                </c:pt>
                <c:pt idx="244">
                  <c:v>0.23250000000000001</c:v>
                </c:pt>
                <c:pt idx="245">
                  <c:v>0.23250000000000001</c:v>
                </c:pt>
                <c:pt idx="246">
                  <c:v>0.23250000000000001</c:v>
                </c:pt>
                <c:pt idx="247">
                  <c:v>0.93810000000000004</c:v>
                </c:pt>
                <c:pt idx="248">
                  <c:v>0.93810000000000004</c:v>
                </c:pt>
                <c:pt idx="249">
                  <c:v>0.93810000000000004</c:v>
                </c:pt>
                <c:pt idx="250">
                  <c:v>0.93810000000000004</c:v>
                </c:pt>
                <c:pt idx="251">
                  <c:v>0.93810000000000004</c:v>
                </c:pt>
                <c:pt idx="252">
                  <c:v>0.93810000000000004</c:v>
                </c:pt>
                <c:pt idx="253">
                  <c:v>0.93810000000000004</c:v>
                </c:pt>
                <c:pt idx="254">
                  <c:v>0.93810000000000004</c:v>
                </c:pt>
                <c:pt idx="255">
                  <c:v>0.93810000000000004</c:v>
                </c:pt>
                <c:pt idx="256">
                  <c:v>0.93810000000000004</c:v>
                </c:pt>
                <c:pt idx="257">
                  <c:v>0.93810000000000004</c:v>
                </c:pt>
                <c:pt idx="258">
                  <c:v>0.93810000000000004</c:v>
                </c:pt>
                <c:pt idx="259">
                  <c:v>0.93810000000000004</c:v>
                </c:pt>
                <c:pt idx="260">
                  <c:v>0.84419999999999995</c:v>
                </c:pt>
                <c:pt idx="261">
                  <c:v>0.84419999999999995</c:v>
                </c:pt>
                <c:pt idx="262">
                  <c:v>0.84419999999999995</c:v>
                </c:pt>
                <c:pt idx="263">
                  <c:v>0.84419999999999995</c:v>
                </c:pt>
                <c:pt idx="264">
                  <c:v>0.84419999999999995</c:v>
                </c:pt>
                <c:pt idx="265">
                  <c:v>0.84419999999999995</c:v>
                </c:pt>
                <c:pt idx="266">
                  <c:v>0.84419999999999995</c:v>
                </c:pt>
                <c:pt idx="267">
                  <c:v>0.84419999999999995</c:v>
                </c:pt>
                <c:pt idx="268">
                  <c:v>0.84419999999999995</c:v>
                </c:pt>
                <c:pt idx="269">
                  <c:v>0.84419999999999995</c:v>
                </c:pt>
                <c:pt idx="270">
                  <c:v>0.84419999999999995</c:v>
                </c:pt>
                <c:pt idx="271">
                  <c:v>0.84419999999999995</c:v>
                </c:pt>
                <c:pt idx="272">
                  <c:v>0.84419999999999995</c:v>
                </c:pt>
                <c:pt idx="273">
                  <c:v>0.84419999999999995</c:v>
                </c:pt>
                <c:pt idx="274">
                  <c:v>0.41549999999999998</c:v>
                </c:pt>
                <c:pt idx="275">
                  <c:v>0.41549999999999998</c:v>
                </c:pt>
                <c:pt idx="276">
                  <c:v>0.41549999999999998</c:v>
                </c:pt>
                <c:pt idx="277">
                  <c:v>0.41549999999999998</c:v>
                </c:pt>
                <c:pt idx="278">
                  <c:v>0.41549999999999998</c:v>
                </c:pt>
                <c:pt idx="279">
                  <c:v>0.41549999999999998</c:v>
                </c:pt>
                <c:pt idx="280">
                  <c:v>0.41549999999999998</c:v>
                </c:pt>
                <c:pt idx="281">
                  <c:v>0.41549999999999998</c:v>
                </c:pt>
                <c:pt idx="282">
                  <c:v>0.41549999999999998</c:v>
                </c:pt>
                <c:pt idx="283">
                  <c:v>0.41549999999999998</c:v>
                </c:pt>
                <c:pt idx="284">
                  <c:v>0.41549999999999998</c:v>
                </c:pt>
                <c:pt idx="285">
                  <c:v>0.41549999999999998</c:v>
                </c:pt>
                <c:pt idx="286">
                  <c:v>0.41549999999999998</c:v>
                </c:pt>
                <c:pt idx="287">
                  <c:v>0.56289999999999996</c:v>
                </c:pt>
                <c:pt idx="288">
                  <c:v>0.56289999999999996</c:v>
                </c:pt>
                <c:pt idx="289">
                  <c:v>0.56289999999999996</c:v>
                </c:pt>
                <c:pt idx="290">
                  <c:v>0.56289999999999996</c:v>
                </c:pt>
                <c:pt idx="291">
                  <c:v>0.56289999999999996</c:v>
                </c:pt>
                <c:pt idx="292">
                  <c:v>0.56289999999999996</c:v>
                </c:pt>
                <c:pt idx="293">
                  <c:v>0.56289999999999996</c:v>
                </c:pt>
                <c:pt idx="294">
                  <c:v>0.56289999999999996</c:v>
                </c:pt>
                <c:pt idx="295">
                  <c:v>0.56289999999999996</c:v>
                </c:pt>
                <c:pt idx="296">
                  <c:v>0.56289999999999996</c:v>
                </c:pt>
                <c:pt idx="297">
                  <c:v>0.56289999999999996</c:v>
                </c:pt>
                <c:pt idx="298">
                  <c:v>0.56289999999999996</c:v>
                </c:pt>
                <c:pt idx="299">
                  <c:v>0.56289999999999996</c:v>
                </c:pt>
                <c:pt idx="300">
                  <c:v>0.63439999999999996</c:v>
                </c:pt>
                <c:pt idx="301">
                  <c:v>0.63439999999999996</c:v>
                </c:pt>
                <c:pt idx="302">
                  <c:v>0.63439999999999996</c:v>
                </c:pt>
                <c:pt idx="303">
                  <c:v>0.63439999999999996</c:v>
                </c:pt>
                <c:pt idx="304">
                  <c:v>0.63439999999999996</c:v>
                </c:pt>
                <c:pt idx="305">
                  <c:v>0.63439999999999996</c:v>
                </c:pt>
                <c:pt idx="306">
                  <c:v>0.63439999999999996</c:v>
                </c:pt>
                <c:pt idx="307">
                  <c:v>0.63439999999999996</c:v>
                </c:pt>
                <c:pt idx="308">
                  <c:v>0.63439999999999996</c:v>
                </c:pt>
                <c:pt idx="309">
                  <c:v>0.63439999999999996</c:v>
                </c:pt>
                <c:pt idx="310">
                  <c:v>0.63439999999999996</c:v>
                </c:pt>
                <c:pt idx="311">
                  <c:v>0.63439999999999996</c:v>
                </c:pt>
                <c:pt idx="312">
                  <c:v>0.63439999999999996</c:v>
                </c:pt>
                <c:pt idx="313">
                  <c:v>0.69040000000000001</c:v>
                </c:pt>
                <c:pt idx="314">
                  <c:v>0.69040000000000001</c:v>
                </c:pt>
                <c:pt idx="315">
                  <c:v>0.69040000000000001</c:v>
                </c:pt>
                <c:pt idx="316">
                  <c:v>0.69040000000000001</c:v>
                </c:pt>
                <c:pt idx="317">
                  <c:v>0.69040000000000001</c:v>
                </c:pt>
                <c:pt idx="318">
                  <c:v>0.69040000000000001</c:v>
                </c:pt>
                <c:pt idx="319">
                  <c:v>0.69040000000000001</c:v>
                </c:pt>
                <c:pt idx="320">
                  <c:v>0.69040000000000001</c:v>
                </c:pt>
                <c:pt idx="321">
                  <c:v>0.69040000000000001</c:v>
                </c:pt>
                <c:pt idx="322">
                  <c:v>0.69040000000000001</c:v>
                </c:pt>
                <c:pt idx="323">
                  <c:v>0.69040000000000001</c:v>
                </c:pt>
                <c:pt idx="324">
                  <c:v>0.69040000000000001</c:v>
                </c:pt>
                <c:pt idx="325">
                  <c:v>0.69040000000000001</c:v>
                </c:pt>
                <c:pt idx="326">
                  <c:v>0.95030000000000003</c:v>
                </c:pt>
                <c:pt idx="327">
                  <c:v>0.95030000000000003</c:v>
                </c:pt>
                <c:pt idx="328">
                  <c:v>0.95030000000000003</c:v>
                </c:pt>
                <c:pt idx="329">
                  <c:v>0.95030000000000003</c:v>
                </c:pt>
                <c:pt idx="330">
                  <c:v>0.95030000000000003</c:v>
                </c:pt>
                <c:pt idx="331">
                  <c:v>0.95030000000000003</c:v>
                </c:pt>
                <c:pt idx="332">
                  <c:v>0.95030000000000003</c:v>
                </c:pt>
                <c:pt idx="333">
                  <c:v>0.95030000000000003</c:v>
                </c:pt>
                <c:pt idx="334">
                  <c:v>0.95030000000000003</c:v>
                </c:pt>
                <c:pt idx="335">
                  <c:v>0.95030000000000003</c:v>
                </c:pt>
                <c:pt idx="336">
                  <c:v>0.95030000000000003</c:v>
                </c:pt>
                <c:pt idx="337">
                  <c:v>0.95030000000000003</c:v>
                </c:pt>
                <c:pt idx="338">
                  <c:v>0.95030000000000003</c:v>
                </c:pt>
                <c:pt idx="339">
                  <c:v>0.87160000000000004</c:v>
                </c:pt>
                <c:pt idx="340">
                  <c:v>0.87160000000000004</c:v>
                </c:pt>
                <c:pt idx="341">
                  <c:v>0.87160000000000004</c:v>
                </c:pt>
                <c:pt idx="342">
                  <c:v>0.87160000000000004</c:v>
                </c:pt>
                <c:pt idx="343">
                  <c:v>0.87160000000000004</c:v>
                </c:pt>
                <c:pt idx="344">
                  <c:v>0.87160000000000004</c:v>
                </c:pt>
                <c:pt idx="345">
                  <c:v>0.87160000000000004</c:v>
                </c:pt>
                <c:pt idx="346">
                  <c:v>0.87160000000000004</c:v>
                </c:pt>
                <c:pt idx="347">
                  <c:v>0.87160000000000004</c:v>
                </c:pt>
                <c:pt idx="348">
                  <c:v>0.87160000000000004</c:v>
                </c:pt>
                <c:pt idx="349">
                  <c:v>0.87160000000000004</c:v>
                </c:pt>
                <c:pt idx="350">
                  <c:v>0.87160000000000004</c:v>
                </c:pt>
                <c:pt idx="351">
                  <c:v>0.87160000000000004</c:v>
                </c:pt>
                <c:pt idx="352">
                  <c:v>0.42320000000000002</c:v>
                </c:pt>
                <c:pt idx="353">
                  <c:v>0.42320000000000002</c:v>
                </c:pt>
                <c:pt idx="354">
                  <c:v>0.42320000000000002</c:v>
                </c:pt>
                <c:pt idx="355">
                  <c:v>0.42320000000000002</c:v>
                </c:pt>
                <c:pt idx="356">
                  <c:v>0.42320000000000002</c:v>
                </c:pt>
                <c:pt idx="357">
                  <c:v>0.42320000000000002</c:v>
                </c:pt>
                <c:pt idx="358">
                  <c:v>0.42320000000000002</c:v>
                </c:pt>
                <c:pt idx="359">
                  <c:v>0.42320000000000002</c:v>
                </c:pt>
                <c:pt idx="360">
                  <c:v>0.42320000000000002</c:v>
                </c:pt>
                <c:pt idx="361">
                  <c:v>0.42320000000000002</c:v>
                </c:pt>
                <c:pt idx="362">
                  <c:v>0.42320000000000002</c:v>
                </c:pt>
                <c:pt idx="363">
                  <c:v>0.42320000000000002</c:v>
                </c:pt>
                <c:pt idx="364">
                  <c:v>0.42320000000000002</c:v>
                </c:pt>
                <c:pt idx="365">
                  <c:v>0.67469999999999997</c:v>
                </c:pt>
                <c:pt idx="366">
                  <c:v>0.67469999999999997</c:v>
                </c:pt>
                <c:pt idx="367">
                  <c:v>0.67469999999999997</c:v>
                </c:pt>
                <c:pt idx="368">
                  <c:v>0.67469999999999997</c:v>
                </c:pt>
                <c:pt idx="369">
                  <c:v>0.67469999999999997</c:v>
                </c:pt>
                <c:pt idx="370">
                  <c:v>0.67469999999999997</c:v>
                </c:pt>
                <c:pt idx="371">
                  <c:v>0.67469999999999997</c:v>
                </c:pt>
                <c:pt idx="372">
                  <c:v>0.67469999999999997</c:v>
                </c:pt>
                <c:pt idx="373">
                  <c:v>0.67469999999999997</c:v>
                </c:pt>
                <c:pt idx="374">
                  <c:v>0.67469999999999997</c:v>
                </c:pt>
                <c:pt idx="375">
                  <c:v>0.67469999999999997</c:v>
                </c:pt>
                <c:pt idx="376">
                  <c:v>0.67469999999999997</c:v>
                </c:pt>
                <c:pt idx="377">
                  <c:v>0.67469999999999997</c:v>
                </c:pt>
                <c:pt idx="378">
                  <c:v>0.67469999999999997</c:v>
                </c:pt>
                <c:pt idx="379">
                  <c:v>0.67469999999999997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21-4610-9597-DFBD84C17036}"/>
            </c:ext>
          </c:extLst>
        </c:ser>
        <c:ser>
          <c:idx val="1"/>
          <c:order val="3"/>
          <c:tx>
            <c:strRef>
              <c:f>Base!$BH$4</c:f>
              <c:strCache>
                <c:ptCount val="1"/>
                <c:pt idx="0">
                  <c:v>METR AR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Base!$BI$6:$BI$2000</c:f>
              <c:numCache>
                <c:formatCode>General</c:formatCode>
                <c:ptCount val="1995"/>
                <c:pt idx="0">
                  <c:v>28.9373</c:v>
                </c:pt>
                <c:pt idx="1">
                  <c:v>28.9373</c:v>
                </c:pt>
                <c:pt idx="2">
                  <c:v>28.9373</c:v>
                </c:pt>
                <c:pt idx="3">
                  <c:v>28.9373</c:v>
                </c:pt>
                <c:pt idx="4">
                  <c:v>28.9373</c:v>
                </c:pt>
                <c:pt idx="5">
                  <c:v>28.9373</c:v>
                </c:pt>
                <c:pt idx="6">
                  <c:v>28.9373</c:v>
                </c:pt>
                <c:pt idx="7">
                  <c:v>28.9373</c:v>
                </c:pt>
                <c:pt idx="8">
                  <c:v>28.9373</c:v>
                </c:pt>
                <c:pt idx="9">
                  <c:v>28.9373</c:v>
                </c:pt>
                <c:pt idx="10">
                  <c:v>28.9373</c:v>
                </c:pt>
                <c:pt idx="11">
                  <c:v>28.9373</c:v>
                </c:pt>
                <c:pt idx="12">
                  <c:v>28.9373</c:v>
                </c:pt>
                <c:pt idx="13">
                  <c:v>-6.0312000000000001</c:v>
                </c:pt>
                <c:pt idx="14">
                  <c:v>-6.0312000000000001</c:v>
                </c:pt>
                <c:pt idx="15">
                  <c:v>-6.0312000000000001</c:v>
                </c:pt>
                <c:pt idx="16">
                  <c:v>-6.0312000000000001</c:v>
                </c:pt>
                <c:pt idx="17">
                  <c:v>-6.0312000000000001</c:v>
                </c:pt>
                <c:pt idx="18">
                  <c:v>-6.0312000000000001</c:v>
                </c:pt>
                <c:pt idx="19">
                  <c:v>-6.0312000000000001</c:v>
                </c:pt>
                <c:pt idx="20">
                  <c:v>-6.0312000000000001</c:v>
                </c:pt>
                <c:pt idx="21">
                  <c:v>-6.0312000000000001</c:v>
                </c:pt>
                <c:pt idx="22">
                  <c:v>-6.0312000000000001</c:v>
                </c:pt>
                <c:pt idx="23">
                  <c:v>-6.0312000000000001</c:v>
                </c:pt>
                <c:pt idx="24">
                  <c:v>-6.0312000000000001</c:v>
                </c:pt>
                <c:pt idx="25">
                  <c:v>-6.0312000000000001</c:v>
                </c:pt>
                <c:pt idx="26">
                  <c:v>-5.2721999999999998</c:v>
                </c:pt>
                <c:pt idx="27">
                  <c:v>-5.2721999999999998</c:v>
                </c:pt>
                <c:pt idx="28">
                  <c:v>-5.2721999999999998</c:v>
                </c:pt>
                <c:pt idx="29">
                  <c:v>-5.2721999999999998</c:v>
                </c:pt>
                <c:pt idx="30">
                  <c:v>-5.2721999999999998</c:v>
                </c:pt>
                <c:pt idx="31">
                  <c:v>-5.2721999999999998</c:v>
                </c:pt>
                <c:pt idx="32">
                  <c:v>-5.2721999999999998</c:v>
                </c:pt>
                <c:pt idx="33">
                  <c:v>-5.2721999999999998</c:v>
                </c:pt>
                <c:pt idx="34">
                  <c:v>-5.2721999999999998</c:v>
                </c:pt>
                <c:pt idx="35">
                  <c:v>-5.2721999999999998</c:v>
                </c:pt>
                <c:pt idx="36">
                  <c:v>-5.2721999999999998</c:v>
                </c:pt>
                <c:pt idx="37">
                  <c:v>-5.2721999999999998</c:v>
                </c:pt>
                <c:pt idx="38">
                  <c:v>-5.2721999999999998</c:v>
                </c:pt>
                <c:pt idx="39">
                  <c:v>-7.9034000000000004</c:v>
                </c:pt>
                <c:pt idx="40">
                  <c:v>-7.9034000000000004</c:v>
                </c:pt>
                <c:pt idx="41">
                  <c:v>-7.9034000000000004</c:v>
                </c:pt>
                <c:pt idx="42">
                  <c:v>-7.9034000000000004</c:v>
                </c:pt>
                <c:pt idx="43">
                  <c:v>-7.9034000000000004</c:v>
                </c:pt>
                <c:pt idx="44">
                  <c:v>-7.9034000000000004</c:v>
                </c:pt>
                <c:pt idx="45">
                  <c:v>-7.9034000000000004</c:v>
                </c:pt>
                <c:pt idx="46">
                  <c:v>-7.9034000000000004</c:v>
                </c:pt>
                <c:pt idx="47">
                  <c:v>-7.9034000000000004</c:v>
                </c:pt>
                <c:pt idx="48">
                  <c:v>-7.9034000000000004</c:v>
                </c:pt>
                <c:pt idx="49">
                  <c:v>-7.9034000000000004</c:v>
                </c:pt>
                <c:pt idx="50">
                  <c:v>-7.9034000000000004</c:v>
                </c:pt>
                <c:pt idx="51">
                  <c:v>-7.9034000000000004</c:v>
                </c:pt>
                <c:pt idx="52">
                  <c:v>-309.57159999999999</c:v>
                </c:pt>
                <c:pt idx="53">
                  <c:v>-309.57159999999999</c:v>
                </c:pt>
                <c:pt idx="54">
                  <c:v>-309.57159999999999</c:v>
                </c:pt>
                <c:pt idx="55">
                  <c:v>-309.57159999999999</c:v>
                </c:pt>
                <c:pt idx="56">
                  <c:v>-309.57159999999999</c:v>
                </c:pt>
                <c:pt idx="57">
                  <c:v>-309.57159999999999</c:v>
                </c:pt>
                <c:pt idx="58">
                  <c:v>-309.57159999999999</c:v>
                </c:pt>
                <c:pt idx="59">
                  <c:v>-309.57159999999999</c:v>
                </c:pt>
                <c:pt idx="60">
                  <c:v>-309.57159999999999</c:v>
                </c:pt>
                <c:pt idx="61">
                  <c:v>-309.57159999999999</c:v>
                </c:pt>
                <c:pt idx="62">
                  <c:v>-309.57159999999999</c:v>
                </c:pt>
                <c:pt idx="63">
                  <c:v>-309.57159999999999</c:v>
                </c:pt>
                <c:pt idx="64">
                  <c:v>-309.57159999999999</c:v>
                </c:pt>
                <c:pt idx="65">
                  <c:v>-257.55579999999998</c:v>
                </c:pt>
                <c:pt idx="66">
                  <c:v>-257.55579999999998</c:v>
                </c:pt>
                <c:pt idx="67">
                  <c:v>-257.55579999999998</c:v>
                </c:pt>
                <c:pt idx="68">
                  <c:v>-257.55579999999998</c:v>
                </c:pt>
                <c:pt idx="69">
                  <c:v>-257.55579999999998</c:v>
                </c:pt>
                <c:pt idx="70">
                  <c:v>-257.55579999999998</c:v>
                </c:pt>
                <c:pt idx="71">
                  <c:v>-257.55579999999998</c:v>
                </c:pt>
                <c:pt idx="72">
                  <c:v>-257.55579999999998</c:v>
                </c:pt>
                <c:pt idx="73">
                  <c:v>-257.55579999999998</c:v>
                </c:pt>
                <c:pt idx="74">
                  <c:v>-257.55579999999998</c:v>
                </c:pt>
                <c:pt idx="75">
                  <c:v>-257.55579999999998</c:v>
                </c:pt>
                <c:pt idx="76">
                  <c:v>-257.55579999999998</c:v>
                </c:pt>
                <c:pt idx="77">
                  <c:v>-257.55579999999998</c:v>
                </c:pt>
                <c:pt idx="78">
                  <c:v>-187.3066</c:v>
                </c:pt>
                <c:pt idx="79">
                  <c:v>-187.3066</c:v>
                </c:pt>
                <c:pt idx="80">
                  <c:v>-187.3066</c:v>
                </c:pt>
                <c:pt idx="81">
                  <c:v>-187.3066</c:v>
                </c:pt>
                <c:pt idx="82">
                  <c:v>-187.3066</c:v>
                </c:pt>
                <c:pt idx="83">
                  <c:v>-187.3066</c:v>
                </c:pt>
                <c:pt idx="84">
                  <c:v>-187.3066</c:v>
                </c:pt>
                <c:pt idx="85">
                  <c:v>-187.3066</c:v>
                </c:pt>
                <c:pt idx="86">
                  <c:v>-187.3066</c:v>
                </c:pt>
                <c:pt idx="87">
                  <c:v>-187.3066</c:v>
                </c:pt>
                <c:pt idx="88">
                  <c:v>-187.3066</c:v>
                </c:pt>
                <c:pt idx="89">
                  <c:v>-187.3066</c:v>
                </c:pt>
                <c:pt idx="90">
                  <c:v>-187.3066</c:v>
                </c:pt>
                <c:pt idx="91">
                  <c:v>-248.60149999999999</c:v>
                </c:pt>
                <c:pt idx="92">
                  <c:v>-248.60149999999999</c:v>
                </c:pt>
                <c:pt idx="93">
                  <c:v>-248.60149999999999</c:v>
                </c:pt>
                <c:pt idx="94">
                  <c:v>-248.60149999999999</c:v>
                </c:pt>
                <c:pt idx="95">
                  <c:v>-248.60149999999999</c:v>
                </c:pt>
                <c:pt idx="96">
                  <c:v>-248.60149999999999</c:v>
                </c:pt>
                <c:pt idx="97">
                  <c:v>-248.60149999999999</c:v>
                </c:pt>
                <c:pt idx="98">
                  <c:v>-248.60149999999999</c:v>
                </c:pt>
                <c:pt idx="99">
                  <c:v>-248.60149999999999</c:v>
                </c:pt>
                <c:pt idx="100">
                  <c:v>-248.60149999999999</c:v>
                </c:pt>
                <c:pt idx="101">
                  <c:v>-248.60149999999999</c:v>
                </c:pt>
                <c:pt idx="102">
                  <c:v>-248.60149999999999</c:v>
                </c:pt>
                <c:pt idx="103">
                  <c:v>-248.60149999999999</c:v>
                </c:pt>
                <c:pt idx="104">
                  <c:v>15.212300000000001</c:v>
                </c:pt>
                <c:pt idx="105">
                  <c:v>15.212300000000001</c:v>
                </c:pt>
                <c:pt idx="106">
                  <c:v>15.212300000000001</c:v>
                </c:pt>
                <c:pt idx="107">
                  <c:v>15.212300000000001</c:v>
                </c:pt>
                <c:pt idx="108">
                  <c:v>15.212300000000001</c:v>
                </c:pt>
                <c:pt idx="109">
                  <c:v>15.212300000000001</c:v>
                </c:pt>
                <c:pt idx="110">
                  <c:v>15.212300000000001</c:v>
                </c:pt>
                <c:pt idx="111">
                  <c:v>15.212300000000001</c:v>
                </c:pt>
                <c:pt idx="112">
                  <c:v>15.212300000000001</c:v>
                </c:pt>
                <c:pt idx="113">
                  <c:v>15.212300000000001</c:v>
                </c:pt>
                <c:pt idx="114">
                  <c:v>15.212300000000001</c:v>
                </c:pt>
                <c:pt idx="115">
                  <c:v>15.212300000000001</c:v>
                </c:pt>
                <c:pt idx="116">
                  <c:v>15.212300000000001</c:v>
                </c:pt>
                <c:pt idx="117">
                  <c:v>18.992899999999999</c:v>
                </c:pt>
                <c:pt idx="118">
                  <c:v>18.992899999999999</c:v>
                </c:pt>
                <c:pt idx="119">
                  <c:v>18.992899999999999</c:v>
                </c:pt>
                <c:pt idx="120">
                  <c:v>18.992899999999999</c:v>
                </c:pt>
                <c:pt idx="121">
                  <c:v>18.992899999999999</c:v>
                </c:pt>
                <c:pt idx="122">
                  <c:v>18.992899999999999</c:v>
                </c:pt>
                <c:pt idx="123">
                  <c:v>18.992899999999999</c:v>
                </c:pt>
                <c:pt idx="124">
                  <c:v>18.992899999999999</c:v>
                </c:pt>
                <c:pt idx="125">
                  <c:v>18.992899999999999</c:v>
                </c:pt>
                <c:pt idx="126">
                  <c:v>18.992899999999999</c:v>
                </c:pt>
                <c:pt idx="127">
                  <c:v>18.992899999999999</c:v>
                </c:pt>
                <c:pt idx="128">
                  <c:v>18.992899999999999</c:v>
                </c:pt>
                <c:pt idx="129">
                  <c:v>18.992899999999999</c:v>
                </c:pt>
                <c:pt idx="130">
                  <c:v>18.992899999999999</c:v>
                </c:pt>
                <c:pt idx="131">
                  <c:v>18.992899999999999</c:v>
                </c:pt>
                <c:pt idx="132">
                  <c:v>18.992899999999999</c:v>
                </c:pt>
                <c:pt idx="133">
                  <c:v>18.992899999999999</c:v>
                </c:pt>
                <c:pt idx="134">
                  <c:v>18.992899999999999</c:v>
                </c:pt>
                <c:pt idx="135">
                  <c:v>18.992899999999999</c:v>
                </c:pt>
                <c:pt idx="136">
                  <c:v>18.992899999999999</c:v>
                </c:pt>
                <c:pt idx="137">
                  <c:v>18.992899999999999</c:v>
                </c:pt>
                <c:pt idx="138">
                  <c:v>18.992899999999999</c:v>
                </c:pt>
                <c:pt idx="139">
                  <c:v>18.992899999999999</c:v>
                </c:pt>
                <c:pt idx="140">
                  <c:v>18.992899999999999</c:v>
                </c:pt>
                <c:pt idx="141">
                  <c:v>18.992899999999999</c:v>
                </c:pt>
                <c:pt idx="142">
                  <c:v>18.992899999999999</c:v>
                </c:pt>
                <c:pt idx="143">
                  <c:v>36.029899999999998</c:v>
                </c:pt>
                <c:pt idx="144">
                  <c:v>36.029899999999998</c:v>
                </c:pt>
                <c:pt idx="145">
                  <c:v>36.029899999999998</c:v>
                </c:pt>
                <c:pt idx="146">
                  <c:v>36.029899999999998</c:v>
                </c:pt>
                <c:pt idx="147">
                  <c:v>36.029899999999998</c:v>
                </c:pt>
                <c:pt idx="148">
                  <c:v>36.029899999999998</c:v>
                </c:pt>
                <c:pt idx="149">
                  <c:v>36.029899999999998</c:v>
                </c:pt>
                <c:pt idx="150">
                  <c:v>36.029899999999998</c:v>
                </c:pt>
                <c:pt idx="151">
                  <c:v>36.029899999999998</c:v>
                </c:pt>
                <c:pt idx="152">
                  <c:v>36.029899999999998</c:v>
                </c:pt>
                <c:pt idx="153">
                  <c:v>36.029899999999998</c:v>
                </c:pt>
                <c:pt idx="154">
                  <c:v>36.029899999999998</c:v>
                </c:pt>
                <c:pt idx="155">
                  <c:v>36.029899999999998</c:v>
                </c:pt>
                <c:pt idx="156">
                  <c:v>20.127600000000001</c:v>
                </c:pt>
                <c:pt idx="157">
                  <c:v>20.127600000000001</c:v>
                </c:pt>
                <c:pt idx="158">
                  <c:v>20.127600000000001</c:v>
                </c:pt>
                <c:pt idx="159">
                  <c:v>20.127600000000001</c:v>
                </c:pt>
                <c:pt idx="160">
                  <c:v>20.127600000000001</c:v>
                </c:pt>
                <c:pt idx="161">
                  <c:v>20.127600000000001</c:v>
                </c:pt>
                <c:pt idx="162">
                  <c:v>20.127600000000001</c:v>
                </c:pt>
                <c:pt idx="163">
                  <c:v>20.127600000000001</c:v>
                </c:pt>
                <c:pt idx="164">
                  <c:v>20.127600000000001</c:v>
                </c:pt>
                <c:pt idx="165">
                  <c:v>20.127600000000001</c:v>
                </c:pt>
                <c:pt idx="166">
                  <c:v>20.127600000000001</c:v>
                </c:pt>
                <c:pt idx="167">
                  <c:v>20.127600000000001</c:v>
                </c:pt>
                <c:pt idx="168">
                  <c:v>20.127600000000001</c:v>
                </c:pt>
                <c:pt idx="169">
                  <c:v>14.6401</c:v>
                </c:pt>
                <c:pt idx="170">
                  <c:v>14.6401</c:v>
                </c:pt>
                <c:pt idx="171">
                  <c:v>14.6401</c:v>
                </c:pt>
                <c:pt idx="172">
                  <c:v>14.6401</c:v>
                </c:pt>
                <c:pt idx="173">
                  <c:v>14.6401</c:v>
                </c:pt>
                <c:pt idx="174">
                  <c:v>14.6401</c:v>
                </c:pt>
                <c:pt idx="175">
                  <c:v>14.6401</c:v>
                </c:pt>
                <c:pt idx="176">
                  <c:v>14.6401</c:v>
                </c:pt>
                <c:pt idx="177">
                  <c:v>14.6401</c:v>
                </c:pt>
                <c:pt idx="178">
                  <c:v>14.6401</c:v>
                </c:pt>
                <c:pt idx="179">
                  <c:v>14.6401</c:v>
                </c:pt>
                <c:pt idx="180">
                  <c:v>14.6401</c:v>
                </c:pt>
                <c:pt idx="181">
                  <c:v>14.6401</c:v>
                </c:pt>
                <c:pt idx="182">
                  <c:v>14.6401</c:v>
                </c:pt>
                <c:pt idx="183">
                  <c:v>14.6401</c:v>
                </c:pt>
                <c:pt idx="184">
                  <c:v>14.6401</c:v>
                </c:pt>
                <c:pt idx="185">
                  <c:v>14.6401</c:v>
                </c:pt>
                <c:pt idx="186">
                  <c:v>14.6401</c:v>
                </c:pt>
                <c:pt idx="187">
                  <c:v>14.6401</c:v>
                </c:pt>
                <c:pt idx="188">
                  <c:v>14.6401</c:v>
                </c:pt>
                <c:pt idx="189">
                  <c:v>14.6401</c:v>
                </c:pt>
                <c:pt idx="190">
                  <c:v>14.6401</c:v>
                </c:pt>
                <c:pt idx="191">
                  <c:v>14.6401</c:v>
                </c:pt>
                <c:pt idx="192">
                  <c:v>14.6401</c:v>
                </c:pt>
                <c:pt idx="193">
                  <c:v>14.6401</c:v>
                </c:pt>
                <c:pt idx="194">
                  <c:v>14.6401</c:v>
                </c:pt>
                <c:pt idx="195">
                  <c:v>12.1996</c:v>
                </c:pt>
                <c:pt idx="196">
                  <c:v>12.1996</c:v>
                </c:pt>
                <c:pt idx="197">
                  <c:v>12.1996</c:v>
                </c:pt>
                <c:pt idx="198">
                  <c:v>12.1996</c:v>
                </c:pt>
                <c:pt idx="199">
                  <c:v>12.1996</c:v>
                </c:pt>
                <c:pt idx="200">
                  <c:v>12.1996</c:v>
                </c:pt>
                <c:pt idx="201">
                  <c:v>12.1996</c:v>
                </c:pt>
                <c:pt idx="202">
                  <c:v>12.1996</c:v>
                </c:pt>
                <c:pt idx="203">
                  <c:v>12.1996</c:v>
                </c:pt>
                <c:pt idx="204">
                  <c:v>12.1996</c:v>
                </c:pt>
                <c:pt idx="205">
                  <c:v>12.1996</c:v>
                </c:pt>
                <c:pt idx="206">
                  <c:v>12.1996</c:v>
                </c:pt>
                <c:pt idx="207">
                  <c:v>12.1996</c:v>
                </c:pt>
                <c:pt idx="208">
                  <c:v>124.1349</c:v>
                </c:pt>
                <c:pt idx="209">
                  <c:v>124.1349</c:v>
                </c:pt>
                <c:pt idx="210">
                  <c:v>124.1349</c:v>
                </c:pt>
                <c:pt idx="211">
                  <c:v>124.1349</c:v>
                </c:pt>
                <c:pt idx="212">
                  <c:v>124.1349</c:v>
                </c:pt>
                <c:pt idx="213">
                  <c:v>124.1349</c:v>
                </c:pt>
                <c:pt idx="214">
                  <c:v>124.1349</c:v>
                </c:pt>
                <c:pt idx="215">
                  <c:v>124.1349</c:v>
                </c:pt>
                <c:pt idx="216">
                  <c:v>124.1349</c:v>
                </c:pt>
                <c:pt idx="217">
                  <c:v>124.1349</c:v>
                </c:pt>
                <c:pt idx="218">
                  <c:v>124.1349</c:v>
                </c:pt>
                <c:pt idx="219">
                  <c:v>124.1349</c:v>
                </c:pt>
                <c:pt idx="220">
                  <c:v>124.1349</c:v>
                </c:pt>
                <c:pt idx="221">
                  <c:v>33.430799999999998</c:v>
                </c:pt>
                <c:pt idx="222">
                  <c:v>33.430799999999998</c:v>
                </c:pt>
                <c:pt idx="223">
                  <c:v>33.430799999999998</c:v>
                </c:pt>
                <c:pt idx="224">
                  <c:v>33.430799999999998</c:v>
                </c:pt>
                <c:pt idx="225">
                  <c:v>33.430799999999998</c:v>
                </c:pt>
                <c:pt idx="226">
                  <c:v>33.430799999999998</c:v>
                </c:pt>
                <c:pt idx="227">
                  <c:v>33.430799999999998</c:v>
                </c:pt>
                <c:pt idx="228">
                  <c:v>33.430799999999998</c:v>
                </c:pt>
                <c:pt idx="229">
                  <c:v>33.430799999999998</c:v>
                </c:pt>
                <c:pt idx="230">
                  <c:v>33.430799999999998</c:v>
                </c:pt>
                <c:pt idx="231">
                  <c:v>33.430799999999998</c:v>
                </c:pt>
                <c:pt idx="232">
                  <c:v>33.430799999999998</c:v>
                </c:pt>
                <c:pt idx="233">
                  <c:v>33.430799999999998</c:v>
                </c:pt>
                <c:pt idx="234">
                  <c:v>15.956799999999999</c:v>
                </c:pt>
                <c:pt idx="235">
                  <c:v>15.956799999999999</c:v>
                </c:pt>
                <c:pt idx="236">
                  <c:v>15.956799999999999</c:v>
                </c:pt>
                <c:pt idx="237">
                  <c:v>15.956799999999999</c:v>
                </c:pt>
                <c:pt idx="238">
                  <c:v>15.956799999999999</c:v>
                </c:pt>
                <c:pt idx="239">
                  <c:v>15.956799999999999</c:v>
                </c:pt>
                <c:pt idx="240">
                  <c:v>15.956799999999999</c:v>
                </c:pt>
                <c:pt idx="241">
                  <c:v>15.956799999999999</c:v>
                </c:pt>
                <c:pt idx="242">
                  <c:v>15.956799999999999</c:v>
                </c:pt>
                <c:pt idx="243">
                  <c:v>15.956799999999999</c:v>
                </c:pt>
                <c:pt idx="244">
                  <c:v>15.956799999999999</c:v>
                </c:pt>
                <c:pt idx="245">
                  <c:v>15.956799999999999</c:v>
                </c:pt>
                <c:pt idx="246">
                  <c:v>15.956799999999999</c:v>
                </c:pt>
                <c:pt idx="247">
                  <c:v>23.004999999999999</c:v>
                </c:pt>
                <c:pt idx="248">
                  <c:v>23.004999999999999</c:v>
                </c:pt>
                <c:pt idx="249">
                  <c:v>23.004999999999999</c:v>
                </c:pt>
                <c:pt idx="250">
                  <c:v>23.004999999999999</c:v>
                </c:pt>
                <c:pt idx="251">
                  <c:v>23.004999999999999</c:v>
                </c:pt>
                <c:pt idx="252">
                  <c:v>23.004999999999999</c:v>
                </c:pt>
                <c:pt idx="253">
                  <c:v>23.004999999999999</c:v>
                </c:pt>
                <c:pt idx="254">
                  <c:v>23.004999999999999</c:v>
                </c:pt>
                <c:pt idx="255">
                  <c:v>23.004999999999999</c:v>
                </c:pt>
                <c:pt idx="256">
                  <c:v>23.004999999999999</c:v>
                </c:pt>
                <c:pt idx="257">
                  <c:v>23.004999999999999</c:v>
                </c:pt>
                <c:pt idx="258">
                  <c:v>23.004999999999999</c:v>
                </c:pt>
                <c:pt idx="259">
                  <c:v>23.004999999999999</c:v>
                </c:pt>
                <c:pt idx="260">
                  <c:v>1.6566000000000001</c:v>
                </c:pt>
                <c:pt idx="261">
                  <c:v>1.6566000000000001</c:v>
                </c:pt>
                <c:pt idx="262">
                  <c:v>1.6566000000000001</c:v>
                </c:pt>
                <c:pt idx="263">
                  <c:v>1.6566000000000001</c:v>
                </c:pt>
                <c:pt idx="264">
                  <c:v>1.6566000000000001</c:v>
                </c:pt>
                <c:pt idx="265">
                  <c:v>1.6566000000000001</c:v>
                </c:pt>
                <c:pt idx="266">
                  <c:v>1.6566000000000001</c:v>
                </c:pt>
                <c:pt idx="267">
                  <c:v>1.6566000000000001</c:v>
                </c:pt>
                <c:pt idx="268">
                  <c:v>1.6566000000000001</c:v>
                </c:pt>
                <c:pt idx="269">
                  <c:v>1.6566000000000001</c:v>
                </c:pt>
                <c:pt idx="270">
                  <c:v>1.6566000000000001</c:v>
                </c:pt>
                <c:pt idx="271">
                  <c:v>1.6566000000000001</c:v>
                </c:pt>
                <c:pt idx="272">
                  <c:v>1.6566000000000001</c:v>
                </c:pt>
                <c:pt idx="273">
                  <c:v>1.6566000000000001</c:v>
                </c:pt>
                <c:pt idx="274">
                  <c:v>32.192799999999998</c:v>
                </c:pt>
                <c:pt idx="275">
                  <c:v>32.192799999999998</c:v>
                </c:pt>
                <c:pt idx="276">
                  <c:v>32.192799999999998</c:v>
                </c:pt>
                <c:pt idx="277">
                  <c:v>32.192799999999998</c:v>
                </c:pt>
                <c:pt idx="278">
                  <c:v>32.192799999999998</c:v>
                </c:pt>
                <c:pt idx="279">
                  <c:v>32.192799999999998</c:v>
                </c:pt>
                <c:pt idx="280">
                  <c:v>32.192799999999998</c:v>
                </c:pt>
                <c:pt idx="281">
                  <c:v>32.192799999999998</c:v>
                </c:pt>
                <c:pt idx="282">
                  <c:v>32.192799999999998</c:v>
                </c:pt>
                <c:pt idx="283">
                  <c:v>32.192799999999998</c:v>
                </c:pt>
                <c:pt idx="284">
                  <c:v>32.192799999999998</c:v>
                </c:pt>
                <c:pt idx="285">
                  <c:v>32.192799999999998</c:v>
                </c:pt>
                <c:pt idx="286">
                  <c:v>32.192799999999998</c:v>
                </c:pt>
                <c:pt idx="287">
                  <c:v>15.685</c:v>
                </c:pt>
                <c:pt idx="288">
                  <c:v>15.685</c:v>
                </c:pt>
                <c:pt idx="289">
                  <c:v>15.685</c:v>
                </c:pt>
                <c:pt idx="290">
                  <c:v>15.685</c:v>
                </c:pt>
                <c:pt idx="291">
                  <c:v>15.685</c:v>
                </c:pt>
                <c:pt idx="292">
                  <c:v>15.685</c:v>
                </c:pt>
                <c:pt idx="293">
                  <c:v>15.685</c:v>
                </c:pt>
                <c:pt idx="294">
                  <c:v>15.685</c:v>
                </c:pt>
                <c:pt idx="295">
                  <c:v>15.685</c:v>
                </c:pt>
                <c:pt idx="296">
                  <c:v>15.685</c:v>
                </c:pt>
                <c:pt idx="297">
                  <c:v>15.685</c:v>
                </c:pt>
                <c:pt idx="298">
                  <c:v>15.685</c:v>
                </c:pt>
                <c:pt idx="299">
                  <c:v>15.685</c:v>
                </c:pt>
                <c:pt idx="300">
                  <c:v>27.023499999999999</c:v>
                </c:pt>
                <c:pt idx="301">
                  <c:v>27.023499999999999</c:v>
                </c:pt>
                <c:pt idx="302">
                  <c:v>27.023499999999999</c:v>
                </c:pt>
                <c:pt idx="303">
                  <c:v>27.023499999999999</c:v>
                </c:pt>
                <c:pt idx="304">
                  <c:v>27.023499999999999</c:v>
                </c:pt>
                <c:pt idx="305">
                  <c:v>27.023499999999999</c:v>
                </c:pt>
                <c:pt idx="306">
                  <c:v>27.023499999999999</c:v>
                </c:pt>
                <c:pt idx="307">
                  <c:v>27.023499999999999</c:v>
                </c:pt>
                <c:pt idx="308">
                  <c:v>27.023499999999999</c:v>
                </c:pt>
                <c:pt idx="309">
                  <c:v>27.023499999999999</c:v>
                </c:pt>
                <c:pt idx="310">
                  <c:v>27.023499999999999</c:v>
                </c:pt>
                <c:pt idx="311">
                  <c:v>27.023499999999999</c:v>
                </c:pt>
                <c:pt idx="312">
                  <c:v>27.023499999999999</c:v>
                </c:pt>
                <c:pt idx="313">
                  <c:v>18.584900000000001</c:v>
                </c:pt>
                <c:pt idx="314">
                  <c:v>18.584900000000001</c:v>
                </c:pt>
                <c:pt idx="315">
                  <c:v>18.584900000000001</c:v>
                </c:pt>
                <c:pt idx="316">
                  <c:v>18.584900000000001</c:v>
                </c:pt>
                <c:pt idx="317">
                  <c:v>18.584900000000001</c:v>
                </c:pt>
                <c:pt idx="318">
                  <c:v>18.584900000000001</c:v>
                </c:pt>
                <c:pt idx="319">
                  <c:v>18.584900000000001</c:v>
                </c:pt>
                <c:pt idx="320">
                  <c:v>18.584900000000001</c:v>
                </c:pt>
                <c:pt idx="321">
                  <c:v>18.584900000000001</c:v>
                </c:pt>
                <c:pt idx="322">
                  <c:v>18.584900000000001</c:v>
                </c:pt>
                <c:pt idx="323">
                  <c:v>18.584900000000001</c:v>
                </c:pt>
                <c:pt idx="324">
                  <c:v>18.584900000000001</c:v>
                </c:pt>
                <c:pt idx="325">
                  <c:v>18.584900000000001</c:v>
                </c:pt>
                <c:pt idx="326">
                  <c:v>19.494700000000002</c:v>
                </c:pt>
                <c:pt idx="327">
                  <c:v>19.494700000000002</c:v>
                </c:pt>
                <c:pt idx="328">
                  <c:v>19.494700000000002</c:v>
                </c:pt>
                <c:pt idx="329">
                  <c:v>19.494700000000002</c:v>
                </c:pt>
                <c:pt idx="330">
                  <c:v>19.494700000000002</c:v>
                </c:pt>
                <c:pt idx="331">
                  <c:v>19.494700000000002</c:v>
                </c:pt>
                <c:pt idx="332">
                  <c:v>19.494700000000002</c:v>
                </c:pt>
                <c:pt idx="333">
                  <c:v>19.494700000000002</c:v>
                </c:pt>
                <c:pt idx="334">
                  <c:v>19.494700000000002</c:v>
                </c:pt>
                <c:pt idx="335">
                  <c:v>19.494700000000002</c:v>
                </c:pt>
                <c:pt idx="336">
                  <c:v>19.494700000000002</c:v>
                </c:pt>
                <c:pt idx="337">
                  <c:v>19.494700000000002</c:v>
                </c:pt>
                <c:pt idx="338">
                  <c:v>19.494700000000002</c:v>
                </c:pt>
                <c:pt idx="339">
                  <c:v>15.1898</c:v>
                </c:pt>
                <c:pt idx="340">
                  <c:v>15.1898</c:v>
                </c:pt>
                <c:pt idx="341">
                  <c:v>15.1898</c:v>
                </c:pt>
                <c:pt idx="342">
                  <c:v>15.1898</c:v>
                </c:pt>
                <c:pt idx="343">
                  <c:v>15.1898</c:v>
                </c:pt>
                <c:pt idx="344">
                  <c:v>15.1898</c:v>
                </c:pt>
                <c:pt idx="345">
                  <c:v>15.1898</c:v>
                </c:pt>
                <c:pt idx="346">
                  <c:v>15.1898</c:v>
                </c:pt>
                <c:pt idx="347">
                  <c:v>15.1898</c:v>
                </c:pt>
                <c:pt idx="348">
                  <c:v>15.1898</c:v>
                </c:pt>
                <c:pt idx="349">
                  <c:v>15.1898</c:v>
                </c:pt>
                <c:pt idx="350">
                  <c:v>15.1898</c:v>
                </c:pt>
                <c:pt idx="351">
                  <c:v>15.1898</c:v>
                </c:pt>
                <c:pt idx="352">
                  <c:v>16.560500000000001</c:v>
                </c:pt>
                <c:pt idx="353">
                  <c:v>16.560500000000001</c:v>
                </c:pt>
                <c:pt idx="354">
                  <c:v>16.560500000000001</c:v>
                </c:pt>
                <c:pt idx="355">
                  <c:v>16.560500000000001</c:v>
                </c:pt>
                <c:pt idx="356">
                  <c:v>16.560500000000001</c:v>
                </c:pt>
                <c:pt idx="357">
                  <c:v>16.560500000000001</c:v>
                </c:pt>
                <c:pt idx="358">
                  <c:v>16.560500000000001</c:v>
                </c:pt>
                <c:pt idx="359">
                  <c:v>16.560500000000001</c:v>
                </c:pt>
                <c:pt idx="360">
                  <c:v>16.560500000000001</c:v>
                </c:pt>
                <c:pt idx="361">
                  <c:v>16.560500000000001</c:v>
                </c:pt>
                <c:pt idx="362">
                  <c:v>16.560500000000001</c:v>
                </c:pt>
                <c:pt idx="363">
                  <c:v>16.560500000000001</c:v>
                </c:pt>
                <c:pt idx="364">
                  <c:v>16.560500000000001</c:v>
                </c:pt>
                <c:pt idx="365">
                  <c:v>13.9718</c:v>
                </c:pt>
                <c:pt idx="366">
                  <c:v>13.9718</c:v>
                </c:pt>
                <c:pt idx="367">
                  <c:v>13.9718</c:v>
                </c:pt>
                <c:pt idx="368">
                  <c:v>13.9718</c:v>
                </c:pt>
                <c:pt idx="369">
                  <c:v>13.9718</c:v>
                </c:pt>
                <c:pt idx="370">
                  <c:v>13.9718</c:v>
                </c:pt>
                <c:pt idx="371">
                  <c:v>13.9718</c:v>
                </c:pt>
                <c:pt idx="372">
                  <c:v>13.9718</c:v>
                </c:pt>
                <c:pt idx="373">
                  <c:v>13.9718</c:v>
                </c:pt>
                <c:pt idx="374">
                  <c:v>13.9718</c:v>
                </c:pt>
                <c:pt idx="375">
                  <c:v>13.9718</c:v>
                </c:pt>
                <c:pt idx="376">
                  <c:v>13.9718</c:v>
                </c:pt>
                <c:pt idx="377">
                  <c:v>13.9718</c:v>
                </c:pt>
                <c:pt idx="378">
                  <c:v>13.9718</c:v>
                </c:pt>
                <c:pt idx="379">
                  <c:v>13.9718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1-4B81-BCE4-1948925980D8}"/>
            </c:ext>
          </c:extLst>
        </c:ser>
        <c:ser>
          <c:idx val="2"/>
          <c:order val="4"/>
          <c:tx>
            <c:strRef>
              <c:f>Base!$N$4</c:f>
              <c:strCache>
                <c:ptCount val="1"/>
                <c:pt idx="0">
                  <c:v>TGSU2 AR Equity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Base!$O$6:$O$2000</c:f>
              <c:numCache>
                <c:formatCode>General</c:formatCode>
                <c:ptCount val="1995"/>
                <c:pt idx="0">
                  <c:v>48.606099999999998</c:v>
                </c:pt>
                <c:pt idx="1">
                  <c:v>48.606099999999998</c:v>
                </c:pt>
                <c:pt idx="2">
                  <c:v>48.606099999999998</c:v>
                </c:pt>
                <c:pt idx="3">
                  <c:v>48.606099999999998</c:v>
                </c:pt>
                <c:pt idx="4">
                  <c:v>48.606099999999998</c:v>
                </c:pt>
                <c:pt idx="5">
                  <c:v>48.606099999999998</c:v>
                </c:pt>
                <c:pt idx="6">
                  <c:v>48.606099999999998</c:v>
                </c:pt>
                <c:pt idx="7">
                  <c:v>48.606099999999998</c:v>
                </c:pt>
                <c:pt idx="8">
                  <c:v>48.606099999999998</c:v>
                </c:pt>
                <c:pt idx="9">
                  <c:v>48.606099999999998</c:v>
                </c:pt>
                <c:pt idx="10">
                  <c:v>48.606099999999998</c:v>
                </c:pt>
                <c:pt idx="11">
                  <c:v>48.606099999999998</c:v>
                </c:pt>
                <c:pt idx="12">
                  <c:v>48.606099999999998</c:v>
                </c:pt>
                <c:pt idx="13">
                  <c:v>46.458199999999998</c:v>
                </c:pt>
                <c:pt idx="14">
                  <c:v>46.458199999999998</c:v>
                </c:pt>
                <c:pt idx="15">
                  <c:v>46.458199999999998</c:v>
                </c:pt>
                <c:pt idx="16">
                  <c:v>46.458199999999998</c:v>
                </c:pt>
                <c:pt idx="17">
                  <c:v>46.458199999999998</c:v>
                </c:pt>
                <c:pt idx="18">
                  <c:v>46.458199999999998</c:v>
                </c:pt>
                <c:pt idx="19">
                  <c:v>46.458199999999998</c:v>
                </c:pt>
                <c:pt idx="20">
                  <c:v>46.458199999999998</c:v>
                </c:pt>
                <c:pt idx="21">
                  <c:v>46.458199999999998</c:v>
                </c:pt>
                <c:pt idx="22">
                  <c:v>46.458199999999998</c:v>
                </c:pt>
                <c:pt idx="23">
                  <c:v>46.458199999999998</c:v>
                </c:pt>
                <c:pt idx="24">
                  <c:v>46.458199999999998</c:v>
                </c:pt>
                <c:pt idx="25">
                  <c:v>46.458199999999998</c:v>
                </c:pt>
                <c:pt idx="26">
                  <c:v>20.184699999999999</c:v>
                </c:pt>
                <c:pt idx="27">
                  <c:v>20.184699999999999</c:v>
                </c:pt>
                <c:pt idx="28">
                  <c:v>20.184699999999999</c:v>
                </c:pt>
                <c:pt idx="29">
                  <c:v>20.184699999999999</c:v>
                </c:pt>
                <c:pt idx="30">
                  <c:v>20.184699999999999</c:v>
                </c:pt>
                <c:pt idx="31">
                  <c:v>20.184699999999999</c:v>
                </c:pt>
                <c:pt idx="32">
                  <c:v>20.184699999999999</c:v>
                </c:pt>
                <c:pt idx="33">
                  <c:v>20.184699999999999</c:v>
                </c:pt>
                <c:pt idx="34">
                  <c:v>20.184699999999999</c:v>
                </c:pt>
                <c:pt idx="35">
                  <c:v>20.184699999999999</c:v>
                </c:pt>
                <c:pt idx="36">
                  <c:v>20.184699999999999</c:v>
                </c:pt>
                <c:pt idx="37">
                  <c:v>20.184699999999999</c:v>
                </c:pt>
                <c:pt idx="38">
                  <c:v>20.184699999999999</c:v>
                </c:pt>
                <c:pt idx="39">
                  <c:v>27.012599999999999</c:v>
                </c:pt>
                <c:pt idx="40">
                  <c:v>27.012599999999999</c:v>
                </c:pt>
                <c:pt idx="41">
                  <c:v>27.012599999999999</c:v>
                </c:pt>
                <c:pt idx="42">
                  <c:v>27.012599999999999</c:v>
                </c:pt>
                <c:pt idx="43">
                  <c:v>27.012599999999999</c:v>
                </c:pt>
                <c:pt idx="44">
                  <c:v>27.012599999999999</c:v>
                </c:pt>
                <c:pt idx="45">
                  <c:v>27.012599999999999</c:v>
                </c:pt>
                <c:pt idx="46">
                  <c:v>27.012599999999999</c:v>
                </c:pt>
                <c:pt idx="47">
                  <c:v>27.012599999999999</c:v>
                </c:pt>
                <c:pt idx="48">
                  <c:v>27.012599999999999</c:v>
                </c:pt>
                <c:pt idx="49">
                  <c:v>27.012599999999999</c:v>
                </c:pt>
                <c:pt idx="50">
                  <c:v>27.012599999999999</c:v>
                </c:pt>
                <c:pt idx="51">
                  <c:v>27.012599999999999</c:v>
                </c:pt>
                <c:pt idx="52">
                  <c:v>26.104600000000001</c:v>
                </c:pt>
                <c:pt idx="53">
                  <c:v>26.104600000000001</c:v>
                </c:pt>
                <c:pt idx="54">
                  <c:v>26.104600000000001</c:v>
                </c:pt>
                <c:pt idx="55">
                  <c:v>26.104600000000001</c:v>
                </c:pt>
                <c:pt idx="56">
                  <c:v>26.104600000000001</c:v>
                </c:pt>
                <c:pt idx="57">
                  <c:v>26.104600000000001</c:v>
                </c:pt>
                <c:pt idx="58">
                  <c:v>26.104600000000001</c:v>
                </c:pt>
                <c:pt idx="59">
                  <c:v>26.104600000000001</c:v>
                </c:pt>
                <c:pt idx="60">
                  <c:v>26.104600000000001</c:v>
                </c:pt>
                <c:pt idx="61">
                  <c:v>26.104600000000001</c:v>
                </c:pt>
                <c:pt idx="62">
                  <c:v>26.104600000000001</c:v>
                </c:pt>
                <c:pt idx="63">
                  <c:v>26.104600000000001</c:v>
                </c:pt>
                <c:pt idx="64">
                  <c:v>26.104600000000001</c:v>
                </c:pt>
                <c:pt idx="65">
                  <c:v>20.652100000000001</c:v>
                </c:pt>
                <c:pt idx="66">
                  <c:v>20.652100000000001</c:v>
                </c:pt>
                <c:pt idx="67">
                  <c:v>20.652100000000001</c:v>
                </c:pt>
                <c:pt idx="68">
                  <c:v>20.652100000000001</c:v>
                </c:pt>
                <c:pt idx="69">
                  <c:v>20.652100000000001</c:v>
                </c:pt>
                <c:pt idx="70">
                  <c:v>20.652100000000001</c:v>
                </c:pt>
                <c:pt idx="71">
                  <c:v>20.652100000000001</c:v>
                </c:pt>
                <c:pt idx="72">
                  <c:v>20.652100000000001</c:v>
                </c:pt>
                <c:pt idx="73">
                  <c:v>20.652100000000001</c:v>
                </c:pt>
                <c:pt idx="74">
                  <c:v>20.652100000000001</c:v>
                </c:pt>
                <c:pt idx="75">
                  <c:v>20.652100000000001</c:v>
                </c:pt>
                <c:pt idx="76">
                  <c:v>20.652100000000001</c:v>
                </c:pt>
                <c:pt idx="77">
                  <c:v>20.652100000000001</c:v>
                </c:pt>
                <c:pt idx="78">
                  <c:v>10.677300000000001</c:v>
                </c:pt>
                <c:pt idx="79">
                  <c:v>10.677300000000001</c:v>
                </c:pt>
                <c:pt idx="80">
                  <c:v>10.677300000000001</c:v>
                </c:pt>
                <c:pt idx="81">
                  <c:v>10.677300000000001</c:v>
                </c:pt>
                <c:pt idx="82">
                  <c:v>10.677300000000001</c:v>
                </c:pt>
                <c:pt idx="83">
                  <c:v>10.677300000000001</c:v>
                </c:pt>
                <c:pt idx="84">
                  <c:v>10.677300000000001</c:v>
                </c:pt>
                <c:pt idx="85">
                  <c:v>10.677300000000001</c:v>
                </c:pt>
                <c:pt idx="86">
                  <c:v>10.677300000000001</c:v>
                </c:pt>
                <c:pt idx="87">
                  <c:v>10.677300000000001</c:v>
                </c:pt>
                <c:pt idx="88">
                  <c:v>10.677300000000001</c:v>
                </c:pt>
                <c:pt idx="89">
                  <c:v>10.677300000000001</c:v>
                </c:pt>
                <c:pt idx="90">
                  <c:v>10.677300000000001</c:v>
                </c:pt>
                <c:pt idx="91">
                  <c:v>12.8385</c:v>
                </c:pt>
                <c:pt idx="92">
                  <c:v>12.8385</c:v>
                </c:pt>
                <c:pt idx="93">
                  <c:v>12.8385</c:v>
                </c:pt>
                <c:pt idx="94">
                  <c:v>12.8385</c:v>
                </c:pt>
                <c:pt idx="95">
                  <c:v>12.8385</c:v>
                </c:pt>
                <c:pt idx="96">
                  <c:v>12.8385</c:v>
                </c:pt>
                <c:pt idx="97">
                  <c:v>12.8385</c:v>
                </c:pt>
                <c:pt idx="98">
                  <c:v>12.8385</c:v>
                </c:pt>
                <c:pt idx="99">
                  <c:v>12.8385</c:v>
                </c:pt>
                <c:pt idx="100">
                  <c:v>12.8385</c:v>
                </c:pt>
                <c:pt idx="101">
                  <c:v>12.8385</c:v>
                </c:pt>
                <c:pt idx="102">
                  <c:v>12.8385</c:v>
                </c:pt>
                <c:pt idx="103">
                  <c:v>12.8385</c:v>
                </c:pt>
                <c:pt idx="104">
                  <c:v>15.114699999999999</c:v>
                </c:pt>
                <c:pt idx="105">
                  <c:v>15.114699999999999</c:v>
                </c:pt>
                <c:pt idx="106">
                  <c:v>15.114699999999999</c:v>
                </c:pt>
                <c:pt idx="107">
                  <c:v>15.114699999999999</c:v>
                </c:pt>
                <c:pt idx="108">
                  <c:v>15.114699999999999</c:v>
                </c:pt>
                <c:pt idx="109">
                  <c:v>15.114699999999999</c:v>
                </c:pt>
                <c:pt idx="110">
                  <c:v>15.114699999999999</c:v>
                </c:pt>
                <c:pt idx="111">
                  <c:v>15.114699999999999</c:v>
                </c:pt>
                <c:pt idx="112">
                  <c:v>15.114699999999999</c:v>
                </c:pt>
                <c:pt idx="113">
                  <c:v>15.114699999999999</c:v>
                </c:pt>
                <c:pt idx="114">
                  <c:v>15.114699999999999</c:v>
                </c:pt>
                <c:pt idx="115">
                  <c:v>15.114699999999999</c:v>
                </c:pt>
                <c:pt idx="116">
                  <c:v>15.114699999999999</c:v>
                </c:pt>
                <c:pt idx="117">
                  <c:v>17.0611</c:v>
                </c:pt>
                <c:pt idx="118">
                  <c:v>17.0611</c:v>
                </c:pt>
                <c:pt idx="119">
                  <c:v>17.0611</c:v>
                </c:pt>
                <c:pt idx="120">
                  <c:v>17.0611</c:v>
                </c:pt>
                <c:pt idx="121">
                  <c:v>17.0611</c:v>
                </c:pt>
                <c:pt idx="122">
                  <c:v>17.0611</c:v>
                </c:pt>
                <c:pt idx="123">
                  <c:v>17.0611</c:v>
                </c:pt>
                <c:pt idx="124">
                  <c:v>17.0611</c:v>
                </c:pt>
                <c:pt idx="125">
                  <c:v>17.0611</c:v>
                </c:pt>
                <c:pt idx="126">
                  <c:v>17.0611</c:v>
                </c:pt>
                <c:pt idx="127">
                  <c:v>17.0611</c:v>
                </c:pt>
                <c:pt idx="128">
                  <c:v>17.0611</c:v>
                </c:pt>
                <c:pt idx="129">
                  <c:v>17.0611</c:v>
                </c:pt>
                <c:pt idx="130">
                  <c:v>15.4411</c:v>
                </c:pt>
                <c:pt idx="131">
                  <c:v>15.4411</c:v>
                </c:pt>
                <c:pt idx="132">
                  <c:v>15.4411</c:v>
                </c:pt>
                <c:pt idx="133">
                  <c:v>15.4411</c:v>
                </c:pt>
                <c:pt idx="134">
                  <c:v>15.4411</c:v>
                </c:pt>
                <c:pt idx="135">
                  <c:v>15.4411</c:v>
                </c:pt>
                <c:pt idx="136">
                  <c:v>15.4411</c:v>
                </c:pt>
                <c:pt idx="137">
                  <c:v>15.4411</c:v>
                </c:pt>
                <c:pt idx="138">
                  <c:v>15.4411</c:v>
                </c:pt>
                <c:pt idx="139">
                  <c:v>15.4411</c:v>
                </c:pt>
                <c:pt idx="140">
                  <c:v>15.4411</c:v>
                </c:pt>
                <c:pt idx="141">
                  <c:v>15.4411</c:v>
                </c:pt>
                <c:pt idx="142">
                  <c:v>15.4411</c:v>
                </c:pt>
                <c:pt idx="143">
                  <c:v>25.2087</c:v>
                </c:pt>
                <c:pt idx="144">
                  <c:v>25.2087</c:v>
                </c:pt>
                <c:pt idx="145">
                  <c:v>25.2087</c:v>
                </c:pt>
                <c:pt idx="146">
                  <c:v>25.2087</c:v>
                </c:pt>
                <c:pt idx="147">
                  <c:v>25.2087</c:v>
                </c:pt>
                <c:pt idx="148">
                  <c:v>25.2087</c:v>
                </c:pt>
                <c:pt idx="149">
                  <c:v>25.2087</c:v>
                </c:pt>
                <c:pt idx="150">
                  <c:v>25.2087</c:v>
                </c:pt>
                <c:pt idx="151">
                  <c:v>25.2087</c:v>
                </c:pt>
                <c:pt idx="152">
                  <c:v>25.2087</c:v>
                </c:pt>
                <c:pt idx="153">
                  <c:v>25.2087</c:v>
                </c:pt>
                <c:pt idx="154">
                  <c:v>25.2087</c:v>
                </c:pt>
                <c:pt idx="155">
                  <c:v>25.2087</c:v>
                </c:pt>
                <c:pt idx="156">
                  <c:v>29.664100000000001</c:v>
                </c:pt>
                <c:pt idx="157">
                  <c:v>29.664100000000001</c:v>
                </c:pt>
                <c:pt idx="158">
                  <c:v>29.664100000000001</c:v>
                </c:pt>
                <c:pt idx="159">
                  <c:v>29.664100000000001</c:v>
                </c:pt>
                <c:pt idx="160">
                  <c:v>29.664100000000001</c:v>
                </c:pt>
                <c:pt idx="161">
                  <c:v>29.664100000000001</c:v>
                </c:pt>
                <c:pt idx="162">
                  <c:v>29.664100000000001</c:v>
                </c:pt>
                <c:pt idx="163">
                  <c:v>29.664100000000001</c:v>
                </c:pt>
                <c:pt idx="164">
                  <c:v>29.664100000000001</c:v>
                </c:pt>
                <c:pt idx="165">
                  <c:v>29.664100000000001</c:v>
                </c:pt>
                <c:pt idx="166">
                  <c:v>29.664100000000001</c:v>
                </c:pt>
                <c:pt idx="167">
                  <c:v>29.664100000000001</c:v>
                </c:pt>
                <c:pt idx="168">
                  <c:v>29.664100000000001</c:v>
                </c:pt>
                <c:pt idx="169">
                  <c:v>25.887899999999998</c:v>
                </c:pt>
                <c:pt idx="170">
                  <c:v>25.887899999999998</c:v>
                </c:pt>
                <c:pt idx="171">
                  <c:v>25.887899999999998</c:v>
                </c:pt>
                <c:pt idx="172">
                  <c:v>25.887899999999998</c:v>
                </c:pt>
                <c:pt idx="173">
                  <c:v>25.887899999999998</c:v>
                </c:pt>
                <c:pt idx="174">
                  <c:v>25.887899999999998</c:v>
                </c:pt>
                <c:pt idx="175">
                  <c:v>25.887899999999998</c:v>
                </c:pt>
                <c:pt idx="176">
                  <c:v>25.887899999999998</c:v>
                </c:pt>
                <c:pt idx="177">
                  <c:v>25.887899999999998</c:v>
                </c:pt>
                <c:pt idx="178">
                  <c:v>25.887899999999998</c:v>
                </c:pt>
                <c:pt idx="179">
                  <c:v>25.887899999999998</c:v>
                </c:pt>
                <c:pt idx="180">
                  <c:v>25.887899999999998</c:v>
                </c:pt>
                <c:pt idx="181">
                  <c:v>25.887899999999998</c:v>
                </c:pt>
                <c:pt idx="182">
                  <c:v>12.2234</c:v>
                </c:pt>
                <c:pt idx="183">
                  <c:v>12.2234</c:v>
                </c:pt>
                <c:pt idx="184">
                  <c:v>12.2234</c:v>
                </c:pt>
                <c:pt idx="185">
                  <c:v>12.2234</c:v>
                </c:pt>
                <c:pt idx="186">
                  <c:v>12.2234</c:v>
                </c:pt>
                <c:pt idx="187">
                  <c:v>12.2234</c:v>
                </c:pt>
                <c:pt idx="188">
                  <c:v>12.2234</c:v>
                </c:pt>
                <c:pt idx="189">
                  <c:v>12.2234</c:v>
                </c:pt>
                <c:pt idx="190">
                  <c:v>12.2234</c:v>
                </c:pt>
                <c:pt idx="191">
                  <c:v>12.2234</c:v>
                </c:pt>
                <c:pt idx="192">
                  <c:v>12.2234</c:v>
                </c:pt>
                <c:pt idx="193">
                  <c:v>12.2234</c:v>
                </c:pt>
                <c:pt idx="194">
                  <c:v>12.2234</c:v>
                </c:pt>
                <c:pt idx="195">
                  <c:v>29.031600000000001</c:v>
                </c:pt>
                <c:pt idx="196">
                  <c:v>29.031600000000001</c:v>
                </c:pt>
                <c:pt idx="197">
                  <c:v>29.031600000000001</c:v>
                </c:pt>
                <c:pt idx="198">
                  <c:v>29.031600000000001</c:v>
                </c:pt>
                <c:pt idx="199">
                  <c:v>29.031600000000001</c:v>
                </c:pt>
                <c:pt idx="200">
                  <c:v>29.031600000000001</c:v>
                </c:pt>
                <c:pt idx="201">
                  <c:v>29.031600000000001</c:v>
                </c:pt>
                <c:pt idx="202">
                  <c:v>29.031600000000001</c:v>
                </c:pt>
                <c:pt idx="203">
                  <c:v>29.031600000000001</c:v>
                </c:pt>
                <c:pt idx="204">
                  <c:v>29.031600000000001</c:v>
                </c:pt>
                <c:pt idx="205">
                  <c:v>29.031600000000001</c:v>
                </c:pt>
                <c:pt idx="206">
                  <c:v>29.031600000000001</c:v>
                </c:pt>
                <c:pt idx="207">
                  <c:v>29.031600000000001</c:v>
                </c:pt>
                <c:pt idx="208">
                  <c:v>28.361699999999999</c:v>
                </c:pt>
                <c:pt idx="209">
                  <c:v>28.361699999999999</c:v>
                </c:pt>
                <c:pt idx="210">
                  <c:v>28.361699999999999</c:v>
                </c:pt>
                <c:pt idx="211">
                  <c:v>28.361699999999999</c:v>
                </c:pt>
                <c:pt idx="212">
                  <c:v>28.361699999999999</c:v>
                </c:pt>
                <c:pt idx="213">
                  <c:v>28.361699999999999</c:v>
                </c:pt>
                <c:pt idx="214">
                  <c:v>28.361699999999999</c:v>
                </c:pt>
                <c:pt idx="215">
                  <c:v>28.361699999999999</c:v>
                </c:pt>
                <c:pt idx="216">
                  <c:v>28.361699999999999</c:v>
                </c:pt>
                <c:pt idx="217">
                  <c:v>28.361699999999999</c:v>
                </c:pt>
                <c:pt idx="218">
                  <c:v>28.361699999999999</c:v>
                </c:pt>
                <c:pt idx="219">
                  <c:v>28.361699999999999</c:v>
                </c:pt>
                <c:pt idx="220">
                  <c:v>28.361699999999999</c:v>
                </c:pt>
                <c:pt idx="221">
                  <c:v>22.915299999999998</c:v>
                </c:pt>
                <c:pt idx="222">
                  <c:v>22.915299999999998</c:v>
                </c:pt>
                <c:pt idx="223">
                  <c:v>22.915299999999998</c:v>
                </c:pt>
                <c:pt idx="224">
                  <c:v>22.915299999999998</c:v>
                </c:pt>
                <c:pt idx="225">
                  <c:v>22.915299999999998</c:v>
                </c:pt>
                <c:pt idx="226">
                  <c:v>22.915299999999998</c:v>
                </c:pt>
                <c:pt idx="227">
                  <c:v>22.915299999999998</c:v>
                </c:pt>
                <c:pt idx="228">
                  <c:v>22.915299999999998</c:v>
                </c:pt>
                <c:pt idx="229">
                  <c:v>22.915299999999998</c:v>
                </c:pt>
                <c:pt idx="230">
                  <c:v>22.915299999999998</c:v>
                </c:pt>
                <c:pt idx="231">
                  <c:v>22.915299999999998</c:v>
                </c:pt>
                <c:pt idx="232">
                  <c:v>22.915299999999998</c:v>
                </c:pt>
                <c:pt idx="233">
                  <c:v>22.915299999999998</c:v>
                </c:pt>
                <c:pt idx="234">
                  <c:v>5.9385000000000003</c:v>
                </c:pt>
                <c:pt idx="235">
                  <c:v>5.9385000000000003</c:v>
                </c:pt>
                <c:pt idx="236">
                  <c:v>5.9385000000000003</c:v>
                </c:pt>
                <c:pt idx="237">
                  <c:v>5.9385000000000003</c:v>
                </c:pt>
                <c:pt idx="238">
                  <c:v>5.9385000000000003</c:v>
                </c:pt>
                <c:pt idx="239">
                  <c:v>5.9385000000000003</c:v>
                </c:pt>
                <c:pt idx="240">
                  <c:v>5.9385000000000003</c:v>
                </c:pt>
                <c:pt idx="241">
                  <c:v>5.9385000000000003</c:v>
                </c:pt>
                <c:pt idx="242">
                  <c:v>5.9385000000000003</c:v>
                </c:pt>
                <c:pt idx="243">
                  <c:v>5.9385000000000003</c:v>
                </c:pt>
                <c:pt idx="244">
                  <c:v>5.9385000000000003</c:v>
                </c:pt>
                <c:pt idx="245">
                  <c:v>5.9385000000000003</c:v>
                </c:pt>
                <c:pt idx="246">
                  <c:v>5.9385000000000003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15.3405</c:v>
                </c:pt>
                <c:pt idx="261">
                  <c:v>15.3405</c:v>
                </c:pt>
                <c:pt idx="262">
                  <c:v>15.3405</c:v>
                </c:pt>
                <c:pt idx="263">
                  <c:v>15.3405</c:v>
                </c:pt>
                <c:pt idx="264">
                  <c:v>15.3405</c:v>
                </c:pt>
                <c:pt idx="265">
                  <c:v>15.3405</c:v>
                </c:pt>
                <c:pt idx="266">
                  <c:v>15.3405</c:v>
                </c:pt>
                <c:pt idx="267">
                  <c:v>15.3405</c:v>
                </c:pt>
                <c:pt idx="268">
                  <c:v>15.3405</c:v>
                </c:pt>
                <c:pt idx="269">
                  <c:v>15.3405</c:v>
                </c:pt>
                <c:pt idx="270">
                  <c:v>15.3405</c:v>
                </c:pt>
                <c:pt idx="271">
                  <c:v>15.3405</c:v>
                </c:pt>
                <c:pt idx="272">
                  <c:v>15.3405</c:v>
                </c:pt>
                <c:pt idx="273">
                  <c:v>15.3405</c:v>
                </c:pt>
                <c:pt idx="274">
                  <c:v>16.827400000000001</c:v>
                </c:pt>
                <c:pt idx="275">
                  <c:v>16.827400000000001</c:v>
                </c:pt>
                <c:pt idx="276">
                  <c:v>16.827400000000001</c:v>
                </c:pt>
                <c:pt idx="277">
                  <c:v>16.827400000000001</c:v>
                </c:pt>
                <c:pt idx="278">
                  <c:v>16.827400000000001</c:v>
                </c:pt>
                <c:pt idx="279">
                  <c:v>16.827400000000001</c:v>
                </c:pt>
                <c:pt idx="280">
                  <c:v>16.827400000000001</c:v>
                </c:pt>
                <c:pt idx="281">
                  <c:v>16.827400000000001</c:v>
                </c:pt>
                <c:pt idx="282">
                  <c:v>16.827400000000001</c:v>
                </c:pt>
                <c:pt idx="283">
                  <c:v>16.827400000000001</c:v>
                </c:pt>
                <c:pt idx="284">
                  <c:v>16.827400000000001</c:v>
                </c:pt>
                <c:pt idx="285">
                  <c:v>16.827400000000001</c:v>
                </c:pt>
                <c:pt idx="286">
                  <c:v>16.827400000000001</c:v>
                </c:pt>
                <c:pt idx="287">
                  <c:v>12.8408</c:v>
                </c:pt>
                <c:pt idx="288">
                  <c:v>12.8408</c:v>
                </c:pt>
                <c:pt idx="289">
                  <c:v>12.8408</c:v>
                </c:pt>
                <c:pt idx="290">
                  <c:v>12.8408</c:v>
                </c:pt>
                <c:pt idx="291">
                  <c:v>12.8408</c:v>
                </c:pt>
                <c:pt idx="292">
                  <c:v>12.8408</c:v>
                </c:pt>
                <c:pt idx="293">
                  <c:v>12.8408</c:v>
                </c:pt>
                <c:pt idx="294">
                  <c:v>12.8408</c:v>
                </c:pt>
                <c:pt idx="295">
                  <c:v>12.8408</c:v>
                </c:pt>
                <c:pt idx="296">
                  <c:v>12.8408</c:v>
                </c:pt>
                <c:pt idx="297">
                  <c:v>12.8408</c:v>
                </c:pt>
                <c:pt idx="298">
                  <c:v>12.8408</c:v>
                </c:pt>
                <c:pt idx="299">
                  <c:v>12.8408</c:v>
                </c:pt>
                <c:pt idx="300">
                  <c:v>14.7561</c:v>
                </c:pt>
                <c:pt idx="301">
                  <c:v>14.7561</c:v>
                </c:pt>
                <c:pt idx="302">
                  <c:v>14.7561</c:v>
                </c:pt>
                <c:pt idx="303">
                  <c:v>14.7561</c:v>
                </c:pt>
                <c:pt idx="304">
                  <c:v>14.7561</c:v>
                </c:pt>
                <c:pt idx="305">
                  <c:v>14.7561</c:v>
                </c:pt>
                <c:pt idx="306">
                  <c:v>14.7561</c:v>
                </c:pt>
                <c:pt idx="307">
                  <c:v>14.7561</c:v>
                </c:pt>
                <c:pt idx="308">
                  <c:v>14.7561</c:v>
                </c:pt>
                <c:pt idx="309">
                  <c:v>14.7561</c:v>
                </c:pt>
                <c:pt idx="310">
                  <c:v>14.7561</c:v>
                </c:pt>
                <c:pt idx="311">
                  <c:v>14.7561</c:v>
                </c:pt>
                <c:pt idx="312">
                  <c:v>14.7561</c:v>
                </c:pt>
                <c:pt idx="313">
                  <c:v>17.3033</c:v>
                </c:pt>
                <c:pt idx="314">
                  <c:v>17.3033</c:v>
                </c:pt>
                <c:pt idx="315">
                  <c:v>17.3033</c:v>
                </c:pt>
                <c:pt idx="316">
                  <c:v>17.3033</c:v>
                </c:pt>
                <c:pt idx="317">
                  <c:v>17.3033</c:v>
                </c:pt>
                <c:pt idx="318">
                  <c:v>17.3033</c:v>
                </c:pt>
                <c:pt idx="319">
                  <c:v>17.3033</c:v>
                </c:pt>
                <c:pt idx="320">
                  <c:v>17.3033</c:v>
                </c:pt>
                <c:pt idx="321">
                  <c:v>17.3033</c:v>
                </c:pt>
                <c:pt idx="322">
                  <c:v>17.3033</c:v>
                </c:pt>
                <c:pt idx="323">
                  <c:v>17.3033</c:v>
                </c:pt>
                <c:pt idx="324">
                  <c:v>17.3033</c:v>
                </c:pt>
                <c:pt idx="325">
                  <c:v>17.3033</c:v>
                </c:pt>
                <c:pt idx="326">
                  <c:v>16.099299999999999</c:v>
                </c:pt>
                <c:pt idx="327">
                  <c:v>16.099299999999999</c:v>
                </c:pt>
                <c:pt idx="328">
                  <c:v>16.099299999999999</c:v>
                </c:pt>
                <c:pt idx="329">
                  <c:v>16.099299999999999</c:v>
                </c:pt>
                <c:pt idx="330">
                  <c:v>16.099299999999999</c:v>
                </c:pt>
                <c:pt idx="331">
                  <c:v>16.099299999999999</c:v>
                </c:pt>
                <c:pt idx="332">
                  <c:v>16.099299999999999</c:v>
                </c:pt>
                <c:pt idx="333">
                  <c:v>16.099299999999999</c:v>
                </c:pt>
                <c:pt idx="334">
                  <c:v>16.099299999999999</c:v>
                </c:pt>
                <c:pt idx="335">
                  <c:v>16.099299999999999</c:v>
                </c:pt>
                <c:pt idx="336">
                  <c:v>16.099299999999999</c:v>
                </c:pt>
                <c:pt idx="337">
                  <c:v>16.099299999999999</c:v>
                </c:pt>
                <c:pt idx="338">
                  <c:v>16.099299999999999</c:v>
                </c:pt>
                <c:pt idx="339">
                  <c:v>9.7738999999999994</c:v>
                </c:pt>
                <c:pt idx="340">
                  <c:v>9.7738999999999994</c:v>
                </c:pt>
                <c:pt idx="341">
                  <c:v>9.7738999999999994</c:v>
                </c:pt>
                <c:pt idx="342">
                  <c:v>9.7738999999999994</c:v>
                </c:pt>
                <c:pt idx="343">
                  <c:v>9.7738999999999994</c:v>
                </c:pt>
                <c:pt idx="344">
                  <c:v>9.7738999999999994</c:v>
                </c:pt>
                <c:pt idx="345">
                  <c:v>9.7738999999999994</c:v>
                </c:pt>
                <c:pt idx="346">
                  <c:v>9.7738999999999994</c:v>
                </c:pt>
                <c:pt idx="347">
                  <c:v>9.7738999999999994</c:v>
                </c:pt>
                <c:pt idx="348">
                  <c:v>9.7738999999999994</c:v>
                </c:pt>
                <c:pt idx="349">
                  <c:v>9.7738999999999994</c:v>
                </c:pt>
                <c:pt idx="350">
                  <c:v>9.7738999999999994</c:v>
                </c:pt>
                <c:pt idx="351">
                  <c:v>9.7738999999999994</c:v>
                </c:pt>
                <c:pt idx="352">
                  <c:v>11.513400000000001</c:v>
                </c:pt>
                <c:pt idx="353">
                  <c:v>11.513400000000001</c:v>
                </c:pt>
                <c:pt idx="354">
                  <c:v>11.513400000000001</c:v>
                </c:pt>
                <c:pt idx="355">
                  <c:v>11.513400000000001</c:v>
                </c:pt>
                <c:pt idx="356">
                  <c:v>11.513400000000001</c:v>
                </c:pt>
                <c:pt idx="357">
                  <c:v>11.513400000000001</c:v>
                </c:pt>
                <c:pt idx="358">
                  <c:v>11.513400000000001</c:v>
                </c:pt>
                <c:pt idx="359">
                  <c:v>11.513400000000001</c:v>
                </c:pt>
                <c:pt idx="360">
                  <c:v>11.513400000000001</c:v>
                </c:pt>
                <c:pt idx="361">
                  <c:v>11.513400000000001</c:v>
                </c:pt>
                <c:pt idx="362">
                  <c:v>11.513400000000001</c:v>
                </c:pt>
                <c:pt idx="363">
                  <c:v>11.513400000000001</c:v>
                </c:pt>
                <c:pt idx="364">
                  <c:v>11.513400000000001</c:v>
                </c:pt>
                <c:pt idx="365">
                  <c:v>11.7906</c:v>
                </c:pt>
                <c:pt idx="366">
                  <c:v>11.7906</c:v>
                </c:pt>
                <c:pt idx="367">
                  <c:v>11.7906</c:v>
                </c:pt>
                <c:pt idx="368">
                  <c:v>11.7906</c:v>
                </c:pt>
                <c:pt idx="369">
                  <c:v>11.7906</c:v>
                </c:pt>
                <c:pt idx="370">
                  <c:v>11.7906</c:v>
                </c:pt>
                <c:pt idx="371">
                  <c:v>11.7906</c:v>
                </c:pt>
                <c:pt idx="372">
                  <c:v>11.7906</c:v>
                </c:pt>
                <c:pt idx="373">
                  <c:v>11.7906</c:v>
                </c:pt>
                <c:pt idx="374">
                  <c:v>11.7906</c:v>
                </c:pt>
                <c:pt idx="375">
                  <c:v>11.7906</c:v>
                </c:pt>
                <c:pt idx="376">
                  <c:v>11.7906</c:v>
                </c:pt>
                <c:pt idx="377">
                  <c:v>11.7906</c:v>
                </c:pt>
                <c:pt idx="378">
                  <c:v>11.7906</c:v>
                </c:pt>
                <c:pt idx="379">
                  <c:v>11.7906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1-4B81-BCE4-1948925980D8}"/>
            </c:ext>
          </c:extLst>
        </c:ser>
        <c:ser>
          <c:idx val="5"/>
          <c:order val="5"/>
          <c:tx>
            <c:strRef>
              <c:f>Base!$AV$4</c:f>
              <c:strCache>
                <c:ptCount val="1"/>
                <c:pt idx="0">
                  <c:v>EDN AR Equity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Base!$AW$6:$AW$2000</c:f>
              <c:numCache>
                <c:formatCode>General</c:formatCode>
                <c:ptCount val="1995"/>
                <c:pt idx="0">
                  <c:v>6.0622999999999996</c:v>
                </c:pt>
                <c:pt idx="1">
                  <c:v>6.0622999999999996</c:v>
                </c:pt>
                <c:pt idx="2">
                  <c:v>6.0622999999999996</c:v>
                </c:pt>
                <c:pt idx="3">
                  <c:v>6.0622999999999996</c:v>
                </c:pt>
                <c:pt idx="4">
                  <c:v>6.0622999999999996</c:v>
                </c:pt>
                <c:pt idx="5">
                  <c:v>6.0622999999999996</c:v>
                </c:pt>
                <c:pt idx="6">
                  <c:v>6.0622999999999996</c:v>
                </c:pt>
                <c:pt idx="7">
                  <c:v>6.0622999999999996</c:v>
                </c:pt>
                <c:pt idx="8">
                  <c:v>6.0622999999999996</c:v>
                </c:pt>
                <c:pt idx="9">
                  <c:v>6.0622999999999996</c:v>
                </c:pt>
                <c:pt idx="10">
                  <c:v>6.0622999999999996</c:v>
                </c:pt>
                <c:pt idx="11">
                  <c:v>6.0622999999999996</c:v>
                </c:pt>
                <c:pt idx="12">
                  <c:v>6.0622999999999996</c:v>
                </c:pt>
                <c:pt idx="13">
                  <c:v>3.4964</c:v>
                </c:pt>
                <c:pt idx="14">
                  <c:v>3.4964</c:v>
                </c:pt>
                <c:pt idx="15">
                  <c:v>3.4964</c:v>
                </c:pt>
                <c:pt idx="16">
                  <c:v>3.4964</c:v>
                </c:pt>
                <c:pt idx="17">
                  <c:v>3.4964</c:v>
                </c:pt>
                <c:pt idx="18">
                  <c:v>3.4964</c:v>
                </c:pt>
                <c:pt idx="19">
                  <c:v>3.4964</c:v>
                </c:pt>
                <c:pt idx="20">
                  <c:v>3.4964</c:v>
                </c:pt>
                <c:pt idx="21">
                  <c:v>3.4964</c:v>
                </c:pt>
                <c:pt idx="22">
                  <c:v>3.4964</c:v>
                </c:pt>
                <c:pt idx="23">
                  <c:v>3.4964</c:v>
                </c:pt>
                <c:pt idx="24">
                  <c:v>3.4964</c:v>
                </c:pt>
                <c:pt idx="25">
                  <c:v>3.4964</c:v>
                </c:pt>
                <c:pt idx="26">
                  <c:v>2.6932999999999998</c:v>
                </c:pt>
                <c:pt idx="27">
                  <c:v>2.6932999999999998</c:v>
                </c:pt>
                <c:pt idx="28">
                  <c:v>2.6932999999999998</c:v>
                </c:pt>
                <c:pt idx="29">
                  <c:v>2.6932999999999998</c:v>
                </c:pt>
                <c:pt idx="30">
                  <c:v>2.6932999999999998</c:v>
                </c:pt>
                <c:pt idx="31">
                  <c:v>2.6932999999999998</c:v>
                </c:pt>
                <c:pt idx="32">
                  <c:v>2.6932999999999998</c:v>
                </c:pt>
                <c:pt idx="33">
                  <c:v>2.6932999999999998</c:v>
                </c:pt>
                <c:pt idx="34">
                  <c:v>2.6932999999999998</c:v>
                </c:pt>
                <c:pt idx="35">
                  <c:v>2.6932999999999998</c:v>
                </c:pt>
                <c:pt idx="36">
                  <c:v>2.6932999999999998</c:v>
                </c:pt>
                <c:pt idx="37">
                  <c:v>2.6932999999999998</c:v>
                </c:pt>
                <c:pt idx="38">
                  <c:v>2.6932999999999998</c:v>
                </c:pt>
                <c:pt idx="39">
                  <c:v>4.8837000000000002</c:v>
                </c:pt>
                <c:pt idx="40">
                  <c:v>4.8837000000000002</c:v>
                </c:pt>
                <c:pt idx="41">
                  <c:v>4.8837000000000002</c:v>
                </c:pt>
                <c:pt idx="42">
                  <c:v>4.8837000000000002</c:v>
                </c:pt>
                <c:pt idx="43">
                  <c:v>4.8837000000000002</c:v>
                </c:pt>
                <c:pt idx="44">
                  <c:v>4.8837000000000002</c:v>
                </c:pt>
                <c:pt idx="45">
                  <c:v>4.8837000000000002</c:v>
                </c:pt>
                <c:pt idx="46">
                  <c:v>4.8837000000000002</c:v>
                </c:pt>
                <c:pt idx="47">
                  <c:v>4.8837000000000002</c:v>
                </c:pt>
                <c:pt idx="48">
                  <c:v>4.8837000000000002</c:v>
                </c:pt>
                <c:pt idx="49">
                  <c:v>4.8837000000000002</c:v>
                </c:pt>
                <c:pt idx="50">
                  <c:v>4.8837000000000002</c:v>
                </c:pt>
                <c:pt idx="51">
                  <c:v>4.8837000000000002</c:v>
                </c:pt>
                <c:pt idx="52">
                  <c:v>-0.5645</c:v>
                </c:pt>
                <c:pt idx="53">
                  <c:v>-0.5645</c:v>
                </c:pt>
                <c:pt idx="54">
                  <c:v>-0.5645</c:v>
                </c:pt>
                <c:pt idx="55">
                  <c:v>-0.5645</c:v>
                </c:pt>
                <c:pt idx="56">
                  <c:v>-0.5645</c:v>
                </c:pt>
                <c:pt idx="57">
                  <c:v>-0.5645</c:v>
                </c:pt>
                <c:pt idx="58">
                  <c:v>-0.5645</c:v>
                </c:pt>
                <c:pt idx="59">
                  <c:v>-0.5645</c:v>
                </c:pt>
                <c:pt idx="60">
                  <c:v>-0.5645</c:v>
                </c:pt>
                <c:pt idx="61">
                  <c:v>-0.5645</c:v>
                </c:pt>
                <c:pt idx="62">
                  <c:v>-0.5645</c:v>
                </c:pt>
                <c:pt idx="63">
                  <c:v>-0.5645</c:v>
                </c:pt>
                <c:pt idx="64">
                  <c:v>-0.5645</c:v>
                </c:pt>
                <c:pt idx="65">
                  <c:v>4.2946999999999997</c:v>
                </c:pt>
                <c:pt idx="66">
                  <c:v>4.2946999999999997</c:v>
                </c:pt>
                <c:pt idx="67">
                  <c:v>4.2946999999999997</c:v>
                </c:pt>
                <c:pt idx="68">
                  <c:v>4.2946999999999997</c:v>
                </c:pt>
                <c:pt idx="69">
                  <c:v>4.2946999999999997</c:v>
                </c:pt>
                <c:pt idx="70">
                  <c:v>4.2946999999999997</c:v>
                </c:pt>
                <c:pt idx="71">
                  <c:v>4.2946999999999997</c:v>
                </c:pt>
                <c:pt idx="72">
                  <c:v>4.2946999999999997</c:v>
                </c:pt>
                <c:pt idx="73">
                  <c:v>4.2946999999999997</c:v>
                </c:pt>
                <c:pt idx="74">
                  <c:v>4.2946999999999997</c:v>
                </c:pt>
                <c:pt idx="75">
                  <c:v>4.2946999999999997</c:v>
                </c:pt>
                <c:pt idx="76">
                  <c:v>4.2946999999999997</c:v>
                </c:pt>
                <c:pt idx="77">
                  <c:v>4.2946999999999997</c:v>
                </c:pt>
                <c:pt idx="78">
                  <c:v>-10.4247</c:v>
                </c:pt>
                <c:pt idx="79">
                  <c:v>-10.4247</c:v>
                </c:pt>
                <c:pt idx="80">
                  <c:v>-10.4247</c:v>
                </c:pt>
                <c:pt idx="81">
                  <c:v>-10.4247</c:v>
                </c:pt>
                <c:pt idx="82">
                  <c:v>-10.4247</c:v>
                </c:pt>
                <c:pt idx="83">
                  <c:v>-10.4247</c:v>
                </c:pt>
                <c:pt idx="84">
                  <c:v>-10.4247</c:v>
                </c:pt>
                <c:pt idx="85">
                  <c:v>-10.4247</c:v>
                </c:pt>
                <c:pt idx="86">
                  <c:v>-10.4247</c:v>
                </c:pt>
                <c:pt idx="87">
                  <c:v>-10.4247</c:v>
                </c:pt>
                <c:pt idx="88">
                  <c:v>-10.4247</c:v>
                </c:pt>
                <c:pt idx="89">
                  <c:v>-10.4247</c:v>
                </c:pt>
                <c:pt idx="90">
                  <c:v>-10.4247</c:v>
                </c:pt>
                <c:pt idx="91">
                  <c:v>-5.6567999999999996</c:v>
                </c:pt>
                <c:pt idx="92">
                  <c:v>-5.6567999999999996</c:v>
                </c:pt>
                <c:pt idx="93">
                  <c:v>-5.6567999999999996</c:v>
                </c:pt>
                <c:pt idx="94">
                  <c:v>-5.6567999999999996</c:v>
                </c:pt>
                <c:pt idx="95">
                  <c:v>-5.6567999999999996</c:v>
                </c:pt>
                <c:pt idx="96">
                  <c:v>-5.6567999999999996</c:v>
                </c:pt>
                <c:pt idx="97">
                  <c:v>-5.6567999999999996</c:v>
                </c:pt>
                <c:pt idx="98">
                  <c:v>-5.6567999999999996</c:v>
                </c:pt>
                <c:pt idx="99">
                  <c:v>-5.6567999999999996</c:v>
                </c:pt>
                <c:pt idx="100">
                  <c:v>-5.6567999999999996</c:v>
                </c:pt>
                <c:pt idx="101">
                  <c:v>-5.6567999999999996</c:v>
                </c:pt>
                <c:pt idx="102">
                  <c:v>-5.6567999999999996</c:v>
                </c:pt>
                <c:pt idx="103">
                  <c:v>-5.6567999999999996</c:v>
                </c:pt>
                <c:pt idx="104">
                  <c:v>82.922300000000007</c:v>
                </c:pt>
                <c:pt idx="105">
                  <c:v>82.922300000000007</c:v>
                </c:pt>
                <c:pt idx="106">
                  <c:v>82.922300000000007</c:v>
                </c:pt>
                <c:pt idx="107">
                  <c:v>82.922300000000007</c:v>
                </c:pt>
                <c:pt idx="108">
                  <c:v>82.922300000000007</c:v>
                </c:pt>
                <c:pt idx="109">
                  <c:v>82.922300000000007</c:v>
                </c:pt>
                <c:pt idx="110">
                  <c:v>82.922300000000007</c:v>
                </c:pt>
                <c:pt idx="111">
                  <c:v>82.922300000000007</c:v>
                </c:pt>
                <c:pt idx="112">
                  <c:v>82.922300000000007</c:v>
                </c:pt>
                <c:pt idx="113">
                  <c:v>82.922300000000007</c:v>
                </c:pt>
                <c:pt idx="114">
                  <c:v>82.922300000000007</c:v>
                </c:pt>
                <c:pt idx="115">
                  <c:v>82.922300000000007</c:v>
                </c:pt>
                <c:pt idx="116">
                  <c:v>82.922300000000007</c:v>
                </c:pt>
                <c:pt idx="117">
                  <c:v>72.102000000000004</c:v>
                </c:pt>
                <c:pt idx="118">
                  <c:v>72.102000000000004</c:v>
                </c:pt>
                <c:pt idx="119">
                  <c:v>72.102000000000004</c:v>
                </c:pt>
                <c:pt idx="120">
                  <c:v>72.102000000000004</c:v>
                </c:pt>
                <c:pt idx="121">
                  <c:v>72.102000000000004</c:v>
                </c:pt>
                <c:pt idx="122">
                  <c:v>72.102000000000004</c:v>
                </c:pt>
                <c:pt idx="123">
                  <c:v>72.102000000000004</c:v>
                </c:pt>
                <c:pt idx="124">
                  <c:v>72.102000000000004</c:v>
                </c:pt>
                <c:pt idx="125">
                  <c:v>72.102000000000004</c:v>
                </c:pt>
                <c:pt idx="126">
                  <c:v>72.102000000000004</c:v>
                </c:pt>
                <c:pt idx="127">
                  <c:v>72.102000000000004</c:v>
                </c:pt>
                <c:pt idx="128">
                  <c:v>72.102000000000004</c:v>
                </c:pt>
                <c:pt idx="129">
                  <c:v>72.102000000000004</c:v>
                </c:pt>
                <c:pt idx="130">
                  <c:v>48.420099999999998</c:v>
                </c:pt>
                <c:pt idx="131">
                  <c:v>48.420099999999998</c:v>
                </c:pt>
                <c:pt idx="132">
                  <c:v>48.420099999999998</c:v>
                </c:pt>
                <c:pt idx="133">
                  <c:v>48.420099999999998</c:v>
                </c:pt>
                <c:pt idx="134">
                  <c:v>48.420099999999998</c:v>
                </c:pt>
                <c:pt idx="135">
                  <c:v>48.420099999999998</c:v>
                </c:pt>
                <c:pt idx="136">
                  <c:v>48.420099999999998</c:v>
                </c:pt>
                <c:pt idx="137">
                  <c:v>48.420099999999998</c:v>
                </c:pt>
                <c:pt idx="138">
                  <c:v>48.420099999999998</c:v>
                </c:pt>
                <c:pt idx="139">
                  <c:v>48.420099999999998</c:v>
                </c:pt>
                <c:pt idx="140">
                  <c:v>48.420099999999998</c:v>
                </c:pt>
                <c:pt idx="141">
                  <c:v>48.420099999999998</c:v>
                </c:pt>
                <c:pt idx="142">
                  <c:v>48.420099999999998</c:v>
                </c:pt>
                <c:pt idx="143">
                  <c:v>78.922600000000003</c:v>
                </c:pt>
                <c:pt idx="144">
                  <c:v>78.922600000000003</c:v>
                </c:pt>
                <c:pt idx="145">
                  <c:v>78.922600000000003</c:v>
                </c:pt>
                <c:pt idx="146">
                  <c:v>78.922600000000003</c:v>
                </c:pt>
                <c:pt idx="147">
                  <c:v>78.922600000000003</c:v>
                </c:pt>
                <c:pt idx="148">
                  <c:v>78.922600000000003</c:v>
                </c:pt>
                <c:pt idx="149">
                  <c:v>78.922600000000003</c:v>
                </c:pt>
                <c:pt idx="150">
                  <c:v>78.922600000000003</c:v>
                </c:pt>
                <c:pt idx="151">
                  <c:v>78.922600000000003</c:v>
                </c:pt>
                <c:pt idx="152">
                  <c:v>78.922600000000003</c:v>
                </c:pt>
                <c:pt idx="153">
                  <c:v>78.922600000000003</c:v>
                </c:pt>
                <c:pt idx="154">
                  <c:v>78.922600000000003</c:v>
                </c:pt>
                <c:pt idx="155">
                  <c:v>78.922600000000003</c:v>
                </c:pt>
                <c:pt idx="156">
                  <c:v>-5.7695999999999996</c:v>
                </c:pt>
                <c:pt idx="157">
                  <c:v>-5.7695999999999996</c:v>
                </c:pt>
                <c:pt idx="158">
                  <c:v>-5.7695999999999996</c:v>
                </c:pt>
                <c:pt idx="159">
                  <c:v>-5.7695999999999996</c:v>
                </c:pt>
                <c:pt idx="160">
                  <c:v>-5.7695999999999996</c:v>
                </c:pt>
                <c:pt idx="161">
                  <c:v>-5.7695999999999996</c:v>
                </c:pt>
                <c:pt idx="162">
                  <c:v>-5.7695999999999996</c:v>
                </c:pt>
                <c:pt idx="163">
                  <c:v>-5.7695999999999996</c:v>
                </c:pt>
                <c:pt idx="164">
                  <c:v>-5.7695999999999996</c:v>
                </c:pt>
                <c:pt idx="165">
                  <c:v>-5.7695999999999996</c:v>
                </c:pt>
                <c:pt idx="166">
                  <c:v>-5.7695999999999996</c:v>
                </c:pt>
                <c:pt idx="167">
                  <c:v>-5.7695999999999996</c:v>
                </c:pt>
                <c:pt idx="168">
                  <c:v>-5.7695999999999996</c:v>
                </c:pt>
                <c:pt idx="169">
                  <c:v>-8.7416999999999998</c:v>
                </c:pt>
                <c:pt idx="170">
                  <c:v>-8.7416999999999998</c:v>
                </c:pt>
                <c:pt idx="171">
                  <c:v>-8.7416999999999998</c:v>
                </c:pt>
                <c:pt idx="172">
                  <c:v>-8.7416999999999998</c:v>
                </c:pt>
                <c:pt idx="173">
                  <c:v>-8.7416999999999998</c:v>
                </c:pt>
                <c:pt idx="174">
                  <c:v>-8.7416999999999998</c:v>
                </c:pt>
                <c:pt idx="175">
                  <c:v>-8.7416999999999998</c:v>
                </c:pt>
                <c:pt idx="176">
                  <c:v>-8.7416999999999998</c:v>
                </c:pt>
                <c:pt idx="177">
                  <c:v>-8.7416999999999998</c:v>
                </c:pt>
                <c:pt idx="178">
                  <c:v>-8.7416999999999998</c:v>
                </c:pt>
                <c:pt idx="179">
                  <c:v>-8.7416999999999998</c:v>
                </c:pt>
                <c:pt idx="180">
                  <c:v>-8.7416999999999998</c:v>
                </c:pt>
                <c:pt idx="181">
                  <c:v>-8.7416999999999998</c:v>
                </c:pt>
                <c:pt idx="182">
                  <c:v>416.96039999999999</c:v>
                </c:pt>
                <c:pt idx="183">
                  <c:v>416.96039999999999</c:v>
                </c:pt>
                <c:pt idx="184">
                  <c:v>416.96039999999999</c:v>
                </c:pt>
                <c:pt idx="185">
                  <c:v>416.96039999999999</c:v>
                </c:pt>
                <c:pt idx="186">
                  <c:v>416.96039999999999</c:v>
                </c:pt>
                <c:pt idx="187">
                  <c:v>416.96039999999999</c:v>
                </c:pt>
                <c:pt idx="188">
                  <c:v>416.96039999999999</c:v>
                </c:pt>
                <c:pt idx="189">
                  <c:v>416.96039999999999</c:v>
                </c:pt>
                <c:pt idx="190">
                  <c:v>416.96039999999999</c:v>
                </c:pt>
                <c:pt idx="191">
                  <c:v>416.96039999999999</c:v>
                </c:pt>
                <c:pt idx="192">
                  <c:v>416.96039999999999</c:v>
                </c:pt>
                <c:pt idx="193">
                  <c:v>416.96039999999999</c:v>
                </c:pt>
                <c:pt idx="194">
                  <c:v>416.96039999999999</c:v>
                </c:pt>
                <c:pt idx="195">
                  <c:v>913.76589999999999</c:v>
                </c:pt>
                <c:pt idx="196">
                  <c:v>913.76589999999999</c:v>
                </c:pt>
                <c:pt idx="197">
                  <c:v>913.76589999999999</c:v>
                </c:pt>
                <c:pt idx="198">
                  <c:v>913.76589999999999</c:v>
                </c:pt>
                <c:pt idx="199">
                  <c:v>913.76589999999999</c:v>
                </c:pt>
                <c:pt idx="200">
                  <c:v>913.76589999999999</c:v>
                </c:pt>
                <c:pt idx="201">
                  <c:v>913.76589999999999</c:v>
                </c:pt>
                <c:pt idx="202">
                  <c:v>913.76589999999999</c:v>
                </c:pt>
                <c:pt idx="203">
                  <c:v>913.76589999999999</c:v>
                </c:pt>
                <c:pt idx="204">
                  <c:v>913.76589999999999</c:v>
                </c:pt>
                <c:pt idx="205">
                  <c:v>913.76589999999999</c:v>
                </c:pt>
                <c:pt idx="206">
                  <c:v>913.76589999999999</c:v>
                </c:pt>
                <c:pt idx="207">
                  <c:v>913.76589999999999</c:v>
                </c:pt>
                <c:pt idx="208">
                  <c:v>787.67819999999995</c:v>
                </c:pt>
                <c:pt idx="209">
                  <c:v>787.67819999999995</c:v>
                </c:pt>
                <c:pt idx="210">
                  <c:v>787.67819999999995</c:v>
                </c:pt>
                <c:pt idx="211">
                  <c:v>787.67819999999995</c:v>
                </c:pt>
                <c:pt idx="212">
                  <c:v>787.67819999999995</c:v>
                </c:pt>
                <c:pt idx="213">
                  <c:v>787.67819999999995</c:v>
                </c:pt>
                <c:pt idx="214">
                  <c:v>787.67819999999995</c:v>
                </c:pt>
                <c:pt idx="215">
                  <c:v>787.67819999999995</c:v>
                </c:pt>
                <c:pt idx="216">
                  <c:v>787.67819999999995</c:v>
                </c:pt>
                <c:pt idx="217">
                  <c:v>787.67819999999995</c:v>
                </c:pt>
                <c:pt idx="218">
                  <c:v>787.67819999999995</c:v>
                </c:pt>
                <c:pt idx="219">
                  <c:v>787.67819999999995</c:v>
                </c:pt>
                <c:pt idx="220">
                  <c:v>787.67819999999995</c:v>
                </c:pt>
                <c:pt idx="221">
                  <c:v>510.81279999999998</c:v>
                </c:pt>
                <c:pt idx="222">
                  <c:v>510.81279999999998</c:v>
                </c:pt>
                <c:pt idx="223">
                  <c:v>510.81279999999998</c:v>
                </c:pt>
                <c:pt idx="224">
                  <c:v>510.81279999999998</c:v>
                </c:pt>
                <c:pt idx="225">
                  <c:v>510.81279999999998</c:v>
                </c:pt>
                <c:pt idx="226">
                  <c:v>510.81279999999998</c:v>
                </c:pt>
                <c:pt idx="227">
                  <c:v>510.81279999999998</c:v>
                </c:pt>
                <c:pt idx="228">
                  <c:v>510.81279999999998</c:v>
                </c:pt>
                <c:pt idx="229">
                  <c:v>510.81279999999998</c:v>
                </c:pt>
                <c:pt idx="230">
                  <c:v>510.81279999999998</c:v>
                </c:pt>
                <c:pt idx="231">
                  <c:v>510.81279999999998</c:v>
                </c:pt>
                <c:pt idx="232">
                  <c:v>510.81279999999998</c:v>
                </c:pt>
                <c:pt idx="233">
                  <c:v>510.81279999999998</c:v>
                </c:pt>
                <c:pt idx="234">
                  <c:v>-0.87809999999999999</c:v>
                </c:pt>
                <c:pt idx="235">
                  <c:v>-0.87809999999999999</c:v>
                </c:pt>
                <c:pt idx="236">
                  <c:v>-0.87809999999999999</c:v>
                </c:pt>
                <c:pt idx="237">
                  <c:v>-0.87809999999999999</c:v>
                </c:pt>
                <c:pt idx="238">
                  <c:v>-0.87809999999999999</c:v>
                </c:pt>
                <c:pt idx="239">
                  <c:v>-0.87809999999999999</c:v>
                </c:pt>
                <c:pt idx="240">
                  <c:v>-0.87809999999999999</c:v>
                </c:pt>
                <c:pt idx="241">
                  <c:v>-0.87809999999999999</c:v>
                </c:pt>
                <c:pt idx="242">
                  <c:v>-0.87809999999999999</c:v>
                </c:pt>
                <c:pt idx="243">
                  <c:v>-0.87809999999999999</c:v>
                </c:pt>
                <c:pt idx="244">
                  <c:v>-0.87809999999999999</c:v>
                </c:pt>
                <c:pt idx="245">
                  <c:v>-0.87809999999999999</c:v>
                </c:pt>
                <c:pt idx="246">
                  <c:v>-0.87809999999999999</c:v>
                </c:pt>
                <c:pt idx="247">
                  <c:v>14.388</c:v>
                </c:pt>
                <c:pt idx="248">
                  <c:v>14.388</c:v>
                </c:pt>
                <c:pt idx="249">
                  <c:v>14.388</c:v>
                </c:pt>
                <c:pt idx="250">
                  <c:v>14.388</c:v>
                </c:pt>
                <c:pt idx="251">
                  <c:v>14.388</c:v>
                </c:pt>
                <c:pt idx="252">
                  <c:v>14.388</c:v>
                </c:pt>
                <c:pt idx="253">
                  <c:v>14.388</c:v>
                </c:pt>
                <c:pt idx="254">
                  <c:v>14.388</c:v>
                </c:pt>
                <c:pt idx="255">
                  <c:v>14.388</c:v>
                </c:pt>
                <c:pt idx="256">
                  <c:v>14.388</c:v>
                </c:pt>
                <c:pt idx="257">
                  <c:v>14.388</c:v>
                </c:pt>
                <c:pt idx="258">
                  <c:v>14.388</c:v>
                </c:pt>
                <c:pt idx="259">
                  <c:v>14.388</c:v>
                </c:pt>
                <c:pt idx="260">
                  <c:v>13.234299999999999</c:v>
                </c:pt>
                <c:pt idx="261">
                  <c:v>13.234299999999999</c:v>
                </c:pt>
                <c:pt idx="262">
                  <c:v>13.234299999999999</c:v>
                </c:pt>
                <c:pt idx="263">
                  <c:v>13.234299999999999</c:v>
                </c:pt>
                <c:pt idx="264">
                  <c:v>13.234299999999999</c:v>
                </c:pt>
                <c:pt idx="265">
                  <c:v>13.234299999999999</c:v>
                </c:pt>
                <c:pt idx="266">
                  <c:v>13.234299999999999</c:v>
                </c:pt>
                <c:pt idx="267">
                  <c:v>13.234299999999999</c:v>
                </c:pt>
                <c:pt idx="268">
                  <c:v>13.234299999999999</c:v>
                </c:pt>
                <c:pt idx="269">
                  <c:v>13.234299999999999</c:v>
                </c:pt>
                <c:pt idx="270">
                  <c:v>13.234299999999999</c:v>
                </c:pt>
                <c:pt idx="271">
                  <c:v>13.234299999999999</c:v>
                </c:pt>
                <c:pt idx="272">
                  <c:v>13.234299999999999</c:v>
                </c:pt>
                <c:pt idx="273">
                  <c:v>13.234299999999999</c:v>
                </c:pt>
                <c:pt idx="274">
                  <c:v>11.166600000000001</c:v>
                </c:pt>
                <c:pt idx="275">
                  <c:v>11.166600000000001</c:v>
                </c:pt>
                <c:pt idx="276">
                  <c:v>11.166600000000001</c:v>
                </c:pt>
                <c:pt idx="277">
                  <c:v>11.166600000000001</c:v>
                </c:pt>
                <c:pt idx="278">
                  <c:v>11.166600000000001</c:v>
                </c:pt>
                <c:pt idx="279">
                  <c:v>11.166600000000001</c:v>
                </c:pt>
                <c:pt idx="280">
                  <c:v>11.166600000000001</c:v>
                </c:pt>
                <c:pt idx="281">
                  <c:v>11.166600000000001</c:v>
                </c:pt>
                <c:pt idx="282">
                  <c:v>11.166600000000001</c:v>
                </c:pt>
                <c:pt idx="283">
                  <c:v>11.166600000000001</c:v>
                </c:pt>
                <c:pt idx="284">
                  <c:v>11.166600000000001</c:v>
                </c:pt>
                <c:pt idx="285">
                  <c:v>11.166600000000001</c:v>
                </c:pt>
                <c:pt idx="286">
                  <c:v>11.166600000000001</c:v>
                </c:pt>
                <c:pt idx="287">
                  <c:v>6.8396999999999997</c:v>
                </c:pt>
                <c:pt idx="288">
                  <c:v>6.8396999999999997</c:v>
                </c:pt>
                <c:pt idx="289">
                  <c:v>6.8396999999999997</c:v>
                </c:pt>
                <c:pt idx="290">
                  <c:v>6.8396999999999997</c:v>
                </c:pt>
                <c:pt idx="291">
                  <c:v>6.8396999999999997</c:v>
                </c:pt>
                <c:pt idx="292">
                  <c:v>6.8396999999999997</c:v>
                </c:pt>
                <c:pt idx="293">
                  <c:v>6.8396999999999997</c:v>
                </c:pt>
                <c:pt idx="294">
                  <c:v>6.8396999999999997</c:v>
                </c:pt>
                <c:pt idx="295">
                  <c:v>6.8396999999999997</c:v>
                </c:pt>
                <c:pt idx="296">
                  <c:v>6.8396999999999997</c:v>
                </c:pt>
                <c:pt idx="297">
                  <c:v>6.8396999999999997</c:v>
                </c:pt>
                <c:pt idx="298">
                  <c:v>6.8396999999999997</c:v>
                </c:pt>
                <c:pt idx="299">
                  <c:v>6.8396999999999997</c:v>
                </c:pt>
                <c:pt idx="300">
                  <c:v>5.8390000000000004</c:v>
                </c:pt>
                <c:pt idx="301">
                  <c:v>5.8390000000000004</c:v>
                </c:pt>
                <c:pt idx="302">
                  <c:v>5.8390000000000004</c:v>
                </c:pt>
                <c:pt idx="303">
                  <c:v>5.8390000000000004</c:v>
                </c:pt>
                <c:pt idx="304">
                  <c:v>5.8390000000000004</c:v>
                </c:pt>
                <c:pt idx="305">
                  <c:v>5.8390000000000004</c:v>
                </c:pt>
                <c:pt idx="306">
                  <c:v>5.8390000000000004</c:v>
                </c:pt>
                <c:pt idx="307">
                  <c:v>5.8390000000000004</c:v>
                </c:pt>
                <c:pt idx="308">
                  <c:v>5.8390000000000004</c:v>
                </c:pt>
                <c:pt idx="309">
                  <c:v>5.8390000000000004</c:v>
                </c:pt>
                <c:pt idx="310">
                  <c:v>5.8390000000000004</c:v>
                </c:pt>
                <c:pt idx="311">
                  <c:v>5.8390000000000004</c:v>
                </c:pt>
                <c:pt idx="312">
                  <c:v>5.8390000000000004</c:v>
                </c:pt>
                <c:pt idx="313">
                  <c:v>2.7486999999999999</c:v>
                </c:pt>
                <c:pt idx="314">
                  <c:v>2.7486999999999999</c:v>
                </c:pt>
                <c:pt idx="315">
                  <c:v>2.7486999999999999</c:v>
                </c:pt>
                <c:pt idx="316">
                  <c:v>2.7486999999999999</c:v>
                </c:pt>
                <c:pt idx="317">
                  <c:v>2.7486999999999999</c:v>
                </c:pt>
                <c:pt idx="318">
                  <c:v>2.7486999999999999</c:v>
                </c:pt>
                <c:pt idx="319">
                  <c:v>2.7486999999999999</c:v>
                </c:pt>
                <c:pt idx="320">
                  <c:v>2.7486999999999999</c:v>
                </c:pt>
                <c:pt idx="321">
                  <c:v>2.7486999999999999</c:v>
                </c:pt>
                <c:pt idx="322">
                  <c:v>2.7486999999999999</c:v>
                </c:pt>
                <c:pt idx="323">
                  <c:v>2.7486999999999999</c:v>
                </c:pt>
                <c:pt idx="324">
                  <c:v>2.7486999999999999</c:v>
                </c:pt>
                <c:pt idx="325">
                  <c:v>2.7486999999999999</c:v>
                </c:pt>
                <c:pt idx="326">
                  <c:v>4.1561000000000003</c:v>
                </c:pt>
                <c:pt idx="327">
                  <c:v>4.1561000000000003</c:v>
                </c:pt>
                <c:pt idx="328">
                  <c:v>4.1561000000000003</c:v>
                </c:pt>
                <c:pt idx="329">
                  <c:v>4.1561000000000003</c:v>
                </c:pt>
                <c:pt idx="330">
                  <c:v>4.1561000000000003</c:v>
                </c:pt>
                <c:pt idx="331">
                  <c:v>4.1561000000000003</c:v>
                </c:pt>
                <c:pt idx="332">
                  <c:v>4.1561000000000003</c:v>
                </c:pt>
                <c:pt idx="333">
                  <c:v>4.1561000000000003</c:v>
                </c:pt>
                <c:pt idx="334">
                  <c:v>4.1561000000000003</c:v>
                </c:pt>
                <c:pt idx="335">
                  <c:v>4.1561000000000003</c:v>
                </c:pt>
                <c:pt idx="336">
                  <c:v>4.1561000000000003</c:v>
                </c:pt>
                <c:pt idx="337">
                  <c:v>4.1561000000000003</c:v>
                </c:pt>
                <c:pt idx="338">
                  <c:v>4.1561000000000003</c:v>
                </c:pt>
                <c:pt idx="339">
                  <c:v>3.7496999999999998</c:v>
                </c:pt>
                <c:pt idx="340">
                  <c:v>3.7496999999999998</c:v>
                </c:pt>
                <c:pt idx="341">
                  <c:v>3.7496999999999998</c:v>
                </c:pt>
                <c:pt idx="342">
                  <c:v>3.7496999999999998</c:v>
                </c:pt>
                <c:pt idx="343">
                  <c:v>3.7496999999999998</c:v>
                </c:pt>
                <c:pt idx="344">
                  <c:v>3.7496999999999998</c:v>
                </c:pt>
                <c:pt idx="345">
                  <c:v>3.7496999999999998</c:v>
                </c:pt>
                <c:pt idx="346">
                  <c:v>3.7496999999999998</c:v>
                </c:pt>
                <c:pt idx="347">
                  <c:v>3.7496999999999998</c:v>
                </c:pt>
                <c:pt idx="348">
                  <c:v>3.7496999999999998</c:v>
                </c:pt>
                <c:pt idx="349">
                  <c:v>3.7496999999999998</c:v>
                </c:pt>
                <c:pt idx="350">
                  <c:v>3.7496999999999998</c:v>
                </c:pt>
                <c:pt idx="351">
                  <c:v>3.7496999999999998</c:v>
                </c:pt>
                <c:pt idx="352">
                  <c:v>5.7663000000000002</c:v>
                </c:pt>
                <c:pt idx="353">
                  <c:v>5.7663000000000002</c:v>
                </c:pt>
                <c:pt idx="354">
                  <c:v>5.7663000000000002</c:v>
                </c:pt>
                <c:pt idx="355">
                  <c:v>5.7663000000000002</c:v>
                </c:pt>
                <c:pt idx="356">
                  <c:v>5.7663000000000002</c:v>
                </c:pt>
                <c:pt idx="357">
                  <c:v>5.7663000000000002</c:v>
                </c:pt>
                <c:pt idx="358">
                  <c:v>5.7663000000000002</c:v>
                </c:pt>
                <c:pt idx="359">
                  <c:v>5.7663000000000002</c:v>
                </c:pt>
                <c:pt idx="360">
                  <c:v>5.7663000000000002</c:v>
                </c:pt>
                <c:pt idx="361">
                  <c:v>5.7663000000000002</c:v>
                </c:pt>
                <c:pt idx="362">
                  <c:v>5.7663000000000002</c:v>
                </c:pt>
                <c:pt idx="363">
                  <c:v>5.7663000000000002</c:v>
                </c:pt>
                <c:pt idx="364">
                  <c:v>5.7663000000000002</c:v>
                </c:pt>
                <c:pt idx="365">
                  <c:v>6.1029999999999998</c:v>
                </c:pt>
                <c:pt idx="366">
                  <c:v>6.1029999999999998</c:v>
                </c:pt>
                <c:pt idx="367">
                  <c:v>6.1029999999999998</c:v>
                </c:pt>
                <c:pt idx="368">
                  <c:v>6.1029999999999998</c:v>
                </c:pt>
                <c:pt idx="369">
                  <c:v>6.1029999999999998</c:v>
                </c:pt>
                <c:pt idx="370">
                  <c:v>6.1029999999999998</c:v>
                </c:pt>
                <c:pt idx="371">
                  <c:v>6.1029999999999998</c:v>
                </c:pt>
                <c:pt idx="372">
                  <c:v>6.1029999999999998</c:v>
                </c:pt>
                <c:pt idx="373">
                  <c:v>6.1029999999999998</c:v>
                </c:pt>
                <c:pt idx="374">
                  <c:v>6.1029999999999998</c:v>
                </c:pt>
                <c:pt idx="375">
                  <c:v>6.1029999999999998</c:v>
                </c:pt>
                <c:pt idx="376">
                  <c:v>6.1029999999999998</c:v>
                </c:pt>
                <c:pt idx="377">
                  <c:v>6.1029999999999998</c:v>
                </c:pt>
                <c:pt idx="378">
                  <c:v>6.1029999999999998</c:v>
                </c:pt>
                <c:pt idx="379">
                  <c:v>6.1029999999999998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1-4B81-BCE4-194892598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303679"/>
        <c:axId val="1138305119"/>
      </c:lineChart>
      <c:dateAx>
        <c:axId val="1138303679"/>
        <c:scaling>
          <c:orientation val="minMax"/>
          <c:min val="45473"/>
        </c:scaling>
        <c:delete val="0"/>
        <c:axPos val="b"/>
        <c:numFmt formatCode="mmm\-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38305119"/>
        <c:crosses val="autoZero"/>
        <c:auto val="1"/>
        <c:lblOffset val="100"/>
        <c:baseTimeUnit val="days"/>
      </c:dateAx>
      <c:valAx>
        <c:axId val="1138305119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3830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Base!$B$4</c:f>
              <c:strCache>
                <c:ptCount val="1"/>
                <c:pt idx="0">
                  <c:v>CEPU AR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Base!$M$6:$M$38</c:f>
              <c:numCache>
                <c:formatCode>m/d/yyyy</c:formatCode>
                <c:ptCount val="33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</c:numCache>
            </c:numRef>
          </c:cat>
          <c:val>
            <c:numRef>
              <c:f>Base!$D$6:$D$38</c:f>
              <c:numCache>
                <c:formatCode>General</c:formatCode>
                <c:ptCount val="33"/>
                <c:pt idx="0">
                  <c:v>1.8492999999999999</c:v>
                </c:pt>
                <c:pt idx="1">
                  <c:v>1.8492999999999999</c:v>
                </c:pt>
                <c:pt idx="2">
                  <c:v>1.8492999999999999</c:v>
                </c:pt>
                <c:pt idx="3">
                  <c:v>1.8492999999999999</c:v>
                </c:pt>
                <c:pt idx="4">
                  <c:v>1.8492999999999999</c:v>
                </c:pt>
                <c:pt idx="5">
                  <c:v>1.8492999999999999</c:v>
                </c:pt>
                <c:pt idx="6">
                  <c:v>1.8492999999999999</c:v>
                </c:pt>
                <c:pt idx="7">
                  <c:v>1.8492999999999999</c:v>
                </c:pt>
                <c:pt idx="8">
                  <c:v>1.8492999999999999</c:v>
                </c:pt>
                <c:pt idx="9">
                  <c:v>1.8492999999999999</c:v>
                </c:pt>
                <c:pt idx="10">
                  <c:v>1.8492999999999999</c:v>
                </c:pt>
                <c:pt idx="11">
                  <c:v>1.8492999999999999</c:v>
                </c:pt>
                <c:pt idx="12">
                  <c:v>1.8492999999999999</c:v>
                </c:pt>
                <c:pt idx="13">
                  <c:v>2.0714999999999999</c:v>
                </c:pt>
                <c:pt idx="14">
                  <c:v>2.0714999999999999</c:v>
                </c:pt>
                <c:pt idx="15">
                  <c:v>2.0714999999999999</c:v>
                </c:pt>
                <c:pt idx="16">
                  <c:v>2.0714999999999999</c:v>
                </c:pt>
                <c:pt idx="17">
                  <c:v>2.0714999999999999</c:v>
                </c:pt>
                <c:pt idx="18">
                  <c:v>2.0714999999999999</c:v>
                </c:pt>
                <c:pt idx="19">
                  <c:v>2.0714999999999999</c:v>
                </c:pt>
                <c:pt idx="20">
                  <c:v>2.0714999999999999</c:v>
                </c:pt>
                <c:pt idx="21">
                  <c:v>2.0714999999999999</c:v>
                </c:pt>
                <c:pt idx="22">
                  <c:v>2.0714999999999999</c:v>
                </c:pt>
                <c:pt idx="23">
                  <c:v>2.0714999999999999</c:v>
                </c:pt>
                <c:pt idx="24">
                  <c:v>2.0714999999999999</c:v>
                </c:pt>
                <c:pt idx="25">
                  <c:v>2.0714999999999999</c:v>
                </c:pt>
                <c:pt idx="26">
                  <c:v>1.2349000000000001</c:v>
                </c:pt>
                <c:pt idx="27">
                  <c:v>1.2349000000000001</c:v>
                </c:pt>
                <c:pt idx="28">
                  <c:v>1.2349000000000001</c:v>
                </c:pt>
                <c:pt idx="29">
                  <c:v>1.2349000000000001</c:v>
                </c:pt>
                <c:pt idx="30">
                  <c:v>1.2349000000000001</c:v>
                </c:pt>
                <c:pt idx="31">
                  <c:v>1.2349000000000001</c:v>
                </c:pt>
                <c:pt idx="32">
                  <c:v>1.2349000000000001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F-4291-B0CD-BFFB0BBE9E31}"/>
            </c:ext>
          </c:extLst>
        </c:ser>
        <c:ser>
          <c:idx val="3"/>
          <c:order val="1"/>
          <c:tx>
            <c:strRef>
              <c:f>Base!$Y$4</c:f>
              <c:strCache>
                <c:ptCount val="1"/>
                <c:pt idx="0">
                  <c:v>TGNO4 AR Equity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Base!$M$6:$M$38</c:f>
              <c:numCache>
                <c:formatCode>m/d/yyyy</c:formatCode>
                <c:ptCount val="33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</c:numCache>
            </c:numRef>
          </c:cat>
          <c:val>
            <c:numRef>
              <c:f>Base!$AA$6:$AA$38</c:f>
              <c:numCache>
                <c:formatCode>General</c:formatCode>
                <c:ptCount val="33"/>
                <c:pt idx="0">
                  <c:v>1.1037999999999999</c:v>
                </c:pt>
                <c:pt idx="1">
                  <c:v>1.1037999999999999</c:v>
                </c:pt>
                <c:pt idx="2">
                  <c:v>1.1037999999999999</c:v>
                </c:pt>
                <c:pt idx="3">
                  <c:v>1.1037999999999999</c:v>
                </c:pt>
                <c:pt idx="4">
                  <c:v>1.1037999999999999</c:v>
                </c:pt>
                <c:pt idx="5">
                  <c:v>1.1037999999999999</c:v>
                </c:pt>
                <c:pt idx="6">
                  <c:v>1.1037999999999999</c:v>
                </c:pt>
                <c:pt idx="7">
                  <c:v>1.1037999999999999</c:v>
                </c:pt>
                <c:pt idx="8">
                  <c:v>1.1037999999999999</c:v>
                </c:pt>
                <c:pt idx="9">
                  <c:v>1.1037999999999999</c:v>
                </c:pt>
                <c:pt idx="10">
                  <c:v>1.1037999999999999</c:v>
                </c:pt>
                <c:pt idx="11">
                  <c:v>1.1037999999999999</c:v>
                </c:pt>
                <c:pt idx="12">
                  <c:v>1.1037999999999999</c:v>
                </c:pt>
                <c:pt idx="13">
                  <c:v>0.55359999999999998</c:v>
                </c:pt>
                <c:pt idx="14">
                  <c:v>0.55359999999999998</c:v>
                </c:pt>
                <c:pt idx="15">
                  <c:v>0.55359999999999998</c:v>
                </c:pt>
                <c:pt idx="16">
                  <c:v>0.55359999999999998</c:v>
                </c:pt>
                <c:pt idx="17">
                  <c:v>0.55359999999999998</c:v>
                </c:pt>
                <c:pt idx="18">
                  <c:v>0.55359999999999998</c:v>
                </c:pt>
                <c:pt idx="19">
                  <c:v>0.55359999999999998</c:v>
                </c:pt>
                <c:pt idx="20">
                  <c:v>0.55359999999999998</c:v>
                </c:pt>
                <c:pt idx="21">
                  <c:v>0.55359999999999998</c:v>
                </c:pt>
                <c:pt idx="22">
                  <c:v>0.55359999999999998</c:v>
                </c:pt>
                <c:pt idx="23">
                  <c:v>0.55359999999999998</c:v>
                </c:pt>
                <c:pt idx="24">
                  <c:v>0.55359999999999998</c:v>
                </c:pt>
                <c:pt idx="25">
                  <c:v>0.55359999999999998</c:v>
                </c:pt>
                <c:pt idx="26">
                  <c:v>0.44850000000000001</c:v>
                </c:pt>
                <c:pt idx="27">
                  <c:v>0.44850000000000001</c:v>
                </c:pt>
                <c:pt idx="28">
                  <c:v>0.44850000000000001</c:v>
                </c:pt>
                <c:pt idx="29">
                  <c:v>0.44850000000000001</c:v>
                </c:pt>
                <c:pt idx="30">
                  <c:v>0.44850000000000001</c:v>
                </c:pt>
                <c:pt idx="31">
                  <c:v>0.44850000000000001</c:v>
                </c:pt>
                <c:pt idx="32">
                  <c:v>0.44850000000000001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4F-4291-B0CD-BFFB0BBE9E31}"/>
            </c:ext>
          </c:extLst>
        </c:ser>
        <c:ser>
          <c:idx val="4"/>
          <c:order val="2"/>
          <c:tx>
            <c:strRef>
              <c:f>Base!$AK$4</c:f>
              <c:strCache>
                <c:ptCount val="1"/>
                <c:pt idx="0">
                  <c:v>TRAN AR Equity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Base!$M$6:$M$38</c:f>
              <c:numCache>
                <c:formatCode>m/d/yyyy</c:formatCode>
                <c:ptCount val="33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</c:numCache>
            </c:numRef>
          </c:cat>
          <c:val>
            <c:numRef>
              <c:f>Base!$AN$6:$AN$38</c:f>
              <c:numCache>
                <c:formatCode>General</c:formatCode>
                <c:ptCount val="33"/>
                <c:pt idx="0">
                  <c:v>25.205500000000001</c:v>
                </c:pt>
                <c:pt idx="1">
                  <c:v>25.205500000000001</c:v>
                </c:pt>
                <c:pt idx="2">
                  <c:v>25.205500000000001</c:v>
                </c:pt>
                <c:pt idx="3">
                  <c:v>25.205500000000001</c:v>
                </c:pt>
                <c:pt idx="4">
                  <c:v>25.205500000000001</c:v>
                </c:pt>
                <c:pt idx="5">
                  <c:v>25.205500000000001</c:v>
                </c:pt>
                <c:pt idx="6">
                  <c:v>25.205500000000001</c:v>
                </c:pt>
                <c:pt idx="7">
                  <c:v>25.205500000000001</c:v>
                </c:pt>
                <c:pt idx="8">
                  <c:v>25.205500000000001</c:v>
                </c:pt>
                <c:pt idx="9">
                  <c:v>25.205500000000001</c:v>
                </c:pt>
                <c:pt idx="10">
                  <c:v>25.205500000000001</c:v>
                </c:pt>
                <c:pt idx="11">
                  <c:v>25.205500000000001</c:v>
                </c:pt>
                <c:pt idx="12">
                  <c:v>25.205500000000001</c:v>
                </c:pt>
                <c:pt idx="13">
                  <c:v>27.335899999999999</c:v>
                </c:pt>
                <c:pt idx="14">
                  <c:v>27.335899999999999</c:v>
                </c:pt>
                <c:pt idx="15">
                  <c:v>27.335899999999999</c:v>
                </c:pt>
                <c:pt idx="16">
                  <c:v>27.335899999999999</c:v>
                </c:pt>
                <c:pt idx="17">
                  <c:v>27.335899999999999</c:v>
                </c:pt>
                <c:pt idx="18">
                  <c:v>27.335899999999999</c:v>
                </c:pt>
                <c:pt idx="19">
                  <c:v>27.335899999999999</c:v>
                </c:pt>
                <c:pt idx="20">
                  <c:v>27.335899999999999</c:v>
                </c:pt>
                <c:pt idx="21">
                  <c:v>27.335899999999999</c:v>
                </c:pt>
                <c:pt idx="22">
                  <c:v>27.335899999999999</c:v>
                </c:pt>
                <c:pt idx="23">
                  <c:v>27.335899999999999</c:v>
                </c:pt>
                <c:pt idx="24">
                  <c:v>27.335899999999999</c:v>
                </c:pt>
                <c:pt idx="25">
                  <c:v>27.335899999999999</c:v>
                </c:pt>
                <c:pt idx="26">
                  <c:v>24.898800000000001</c:v>
                </c:pt>
                <c:pt idx="27">
                  <c:v>24.898800000000001</c:v>
                </c:pt>
                <c:pt idx="28">
                  <c:v>24.898800000000001</c:v>
                </c:pt>
                <c:pt idx="29">
                  <c:v>24.898800000000001</c:v>
                </c:pt>
                <c:pt idx="30">
                  <c:v>24.898800000000001</c:v>
                </c:pt>
                <c:pt idx="31">
                  <c:v>24.898800000000001</c:v>
                </c:pt>
                <c:pt idx="32">
                  <c:v>24.898800000000001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4F-4291-B0CD-BFFB0BBE9E31}"/>
            </c:ext>
          </c:extLst>
        </c:ser>
        <c:ser>
          <c:idx val="5"/>
          <c:order val="3"/>
          <c:tx>
            <c:strRef>
              <c:f>Base!$AV$4</c:f>
              <c:strCache>
                <c:ptCount val="1"/>
                <c:pt idx="0">
                  <c:v>EDN AR Equity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Base!$M$6:$M$38</c:f>
              <c:numCache>
                <c:formatCode>m/d/yyyy</c:formatCode>
                <c:ptCount val="33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</c:numCache>
            </c:numRef>
          </c:cat>
          <c:val>
            <c:numRef>
              <c:f>Base!$AX$6:$AX$38</c:f>
              <c:numCache>
                <c:formatCode>General</c:formatCode>
                <c:ptCount val="33"/>
                <c:pt idx="0">
                  <c:v>0.88480000000000003</c:v>
                </c:pt>
                <c:pt idx="1">
                  <c:v>0.88480000000000003</c:v>
                </c:pt>
                <c:pt idx="2">
                  <c:v>0.88480000000000003</c:v>
                </c:pt>
                <c:pt idx="3">
                  <c:v>0.88480000000000003</c:v>
                </c:pt>
                <c:pt idx="4">
                  <c:v>0.88480000000000003</c:v>
                </c:pt>
                <c:pt idx="5">
                  <c:v>0.88480000000000003</c:v>
                </c:pt>
                <c:pt idx="6">
                  <c:v>0.88480000000000003</c:v>
                </c:pt>
                <c:pt idx="7">
                  <c:v>0.88480000000000003</c:v>
                </c:pt>
                <c:pt idx="8">
                  <c:v>0.88480000000000003</c:v>
                </c:pt>
                <c:pt idx="9">
                  <c:v>0.88480000000000003</c:v>
                </c:pt>
                <c:pt idx="10">
                  <c:v>0.88480000000000003</c:v>
                </c:pt>
                <c:pt idx="11">
                  <c:v>0.88480000000000003</c:v>
                </c:pt>
                <c:pt idx="12">
                  <c:v>0.88480000000000003</c:v>
                </c:pt>
                <c:pt idx="13">
                  <c:v>0.74270000000000003</c:v>
                </c:pt>
                <c:pt idx="14">
                  <c:v>0.74270000000000003</c:v>
                </c:pt>
                <c:pt idx="15">
                  <c:v>0.74270000000000003</c:v>
                </c:pt>
                <c:pt idx="16">
                  <c:v>0.74270000000000003</c:v>
                </c:pt>
                <c:pt idx="17">
                  <c:v>0.74270000000000003</c:v>
                </c:pt>
                <c:pt idx="18">
                  <c:v>0.74270000000000003</c:v>
                </c:pt>
                <c:pt idx="19">
                  <c:v>0.74270000000000003</c:v>
                </c:pt>
                <c:pt idx="20">
                  <c:v>0.74270000000000003</c:v>
                </c:pt>
                <c:pt idx="21">
                  <c:v>0.74270000000000003</c:v>
                </c:pt>
                <c:pt idx="22">
                  <c:v>0.74270000000000003</c:v>
                </c:pt>
                <c:pt idx="23">
                  <c:v>0.74270000000000003</c:v>
                </c:pt>
                <c:pt idx="24">
                  <c:v>0.74270000000000003</c:v>
                </c:pt>
                <c:pt idx="25">
                  <c:v>0.74270000000000003</c:v>
                </c:pt>
                <c:pt idx="26">
                  <c:v>0.29859999999999998</c:v>
                </c:pt>
                <c:pt idx="27">
                  <c:v>0.29859999999999998</c:v>
                </c:pt>
                <c:pt idx="28">
                  <c:v>0.29859999999999998</c:v>
                </c:pt>
                <c:pt idx="29">
                  <c:v>0.29859999999999998</c:v>
                </c:pt>
                <c:pt idx="30">
                  <c:v>0.29859999999999998</c:v>
                </c:pt>
                <c:pt idx="31">
                  <c:v>0.29859999999999998</c:v>
                </c:pt>
                <c:pt idx="32">
                  <c:v>0.29859999999999998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4F-4291-B0CD-BFFB0BBE9E31}"/>
            </c:ext>
          </c:extLst>
        </c:ser>
        <c:ser>
          <c:idx val="1"/>
          <c:order val="4"/>
          <c:tx>
            <c:strRef>
              <c:f>Base!$N$4</c:f>
              <c:strCache>
                <c:ptCount val="1"/>
                <c:pt idx="0">
                  <c:v>TGSU2 AR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Base!$M$6:$M$38</c:f>
              <c:numCache>
                <c:formatCode>m/d/yyyy</c:formatCode>
                <c:ptCount val="33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</c:numCache>
            </c:numRef>
          </c:cat>
          <c:val>
            <c:numRef>
              <c:f>Base!$P$6:$P$38</c:f>
              <c:numCache>
                <c:formatCode>General</c:formatCode>
                <c:ptCount val="33"/>
                <c:pt idx="0">
                  <c:v>2.1113</c:v>
                </c:pt>
                <c:pt idx="1">
                  <c:v>2.1113</c:v>
                </c:pt>
                <c:pt idx="2">
                  <c:v>2.1113</c:v>
                </c:pt>
                <c:pt idx="3">
                  <c:v>2.1113</c:v>
                </c:pt>
                <c:pt idx="4">
                  <c:v>2.1113</c:v>
                </c:pt>
                <c:pt idx="5">
                  <c:v>2.1113</c:v>
                </c:pt>
                <c:pt idx="6">
                  <c:v>2.1113</c:v>
                </c:pt>
                <c:pt idx="7">
                  <c:v>2.1113</c:v>
                </c:pt>
                <c:pt idx="8">
                  <c:v>2.1113</c:v>
                </c:pt>
                <c:pt idx="9">
                  <c:v>2.1113</c:v>
                </c:pt>
                <c:pt idx="10">
                  <c:v>2.1113</c:v>
                </c:pt>
                <c:pt idx="11">
                  <c:v>2.1113</c:v>
                </c:pt>
                <c:pt idx="12">
                  <c:v>2.1113</c:v>
                </c:pt>
                <c:pt idx="13">
                  <c:v>1.3169999999999999</c:v>
                </c:pt>
                <c:pt idx="14">
                  <c:v>1.3169999999999999</c:v>
                </c:pt>
                <c:pt idx="15">
                  <c:v>1.3169999999999999</c:v>
                </c:pt>
                <c:pt idx="16">
                  <c:v>1.3169999999999999</c:v>
                </c:pt>
                <c:pt idx="17">
                  <c:v>1.3169999999999999</c:v>
                </c:pt>
                <c:pt idx="18">
                  <c:v>1.3169999999999999</c:v>
                </c:pt>
                <c:pt idx="19">
                  <c:v>1.3169999999999999</c:v>
                </c:pt>
                <c:pt idx="20">
                  <c:v>1.3169999999999999</c:v>
                </c:pt>
                <c:pt idx="21">
                  <c:v>1.3169999999999999</c:v>
                </c:pt>
                <c:pt idx="22">
                  <c:v>1.3169999999999999</c:v>
                </c:pt>
                <c:pt idx="23">
                  <c:v>1.3169999999999999</c:v>
                </c:pt>
                <c:pt idx="24">
                  <c:v>1.3169999999999999</c:v>
                </c:pt>
                <c:pt idx="25">
                  <c:v>1.3169999999999999</c:v>
                </c:pt>
                <c:pt idx="26">
                  <c:v>1.0202</c:v>
                </c:pt>
                <c:pt idx="27">
                  <c:v>1.0202</c:v>
                </c:pt>
                <c:pt idx="28">
                  <c:v>1.0202</c:v>
                </c:pt>
                <c:pt idx="29">
                  <c:v>1.0202</c:v>
                </c:pt>
                <c:pt idx="30">
                  <c:v>1.0202</c:v>
                </c:pt>
                <c:pt idx="31">
                  <c:v>1.0202</c:v>
                </c:pt>
                <c:pt idx="32">
                  <c:v>1.0202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6-4A7A-9CEA-04A77C2CC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208735"/>
        <c:axId val="1302290447"/>
      </c:lineChart>
      <c:dateAx>
        <c:axId val="129120873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2290447"/>
        <c:crosses val="autoZero"/>
        <c:auto val="1"/>
        <c:lblOffset val="100"/>
        <c:baseTimeUnit val="days"/>
      </c:dateAx>
      <c:valAx>
        <c:axId val="13022904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120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538694026884"/>
          <c:y val="9.4029162959795201E-2"/>
          <c:w val="0.84108804581245522"/>
          <c:h val="0.743551228272599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858585858585867"/>
                  <c:y val="4.5133998220701764E-2"/>
                </c:manualLayout>
              </c:layout>
              <c:tx>
                <c:rich>
                  <a:bodyPr/>
                  <a:lstStyle/>
                  <a:p>
                    <a:fld id="{E3209450-47E9-4945-A1FC-35A274AD802D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535-4483-A214-5CD5359B206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4D137A-D962-483F-BB37-E7BC0E0FD4CA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535-4483-A214-5CD5359B206E}"/>
                </c:ext>
              </c:extLst>
            </c:dLbl>
            <c:dLbl>
              <c:idx val="2"/>
              <c:layout>
                <c:manualLayout>
                  <c:x val="-0.10606060606060606"/>
                  <c:y val="5.6417497775877123E-2"/>
                </c:manualLayout>
              </c:layout>
              <c:tx>
                <c:rich>
                  <a:bodyPr/>
                  <a:lstStyle/>
                  <a:p>
                    <a:fld id="{4727A748-EA29-466B-818C-A18395A5FC04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535-4483-A214-5CD5359B206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4DCBD8-0937-43D2-9AB1-950B76198447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535-4483-A214-5CD5359B206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A9B969B-8C9D-421C-928E-BD30A35AFF17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535-4483-A214-5CD5359B206E}"/>
                </c:ext>
              </c:extLst>
            </c:dLbl>
            <c:dLbl>
              <c:idx val="5"/>
              <c:layout>
                <c:manualLayout>
                  <c:x val="-7.575757575757576E-2"/>
                  <c:y val="-6.0178664294268928E-2"/>
                </c:manualLayout>
              </c:layout>
              <c:tx>
                <c:rich>
                  <a:bodyPr/>
                  <a:lstStyle/>
                  <a:p>
                    <a:fld id="{F937AC1E-0038-46B0-B3A7-37F6417A0A8B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535-4483-A214-5CD5359B2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'WACC ROIC'!$B$3:$B$8</c:f>
              <c:numCache>
                <c:formatCode>General</c:formatCode>
                <c:ptCount val="6"/>
                <c:pt idx="0">
                  <c:v>38.381234358472092</c:v>
                </c:pt>
                <c:pt idx="1">
                  <c:v>33.519111095571347</c:v>
                </c:pt>
                <c:pt idx="2">
                  <c:v>39.190116412682535</c:v>
                </c:pt>
                <c:pt idx="3">
                  <c:v>37.385416105851945</c:v>
                </c:pt>
                <c:pt idx="4">
                  <c:v>30.528444570884027</c:v>
                </c:pt>
                <c:pt idx="5">
                  <c:v>37.712248908879666</c:v>
                </c:pt>
              </c:numCache>
            </c:numRef>
          </c:xVal>
          <c:yVal>
            <c:numRef>
              <c:f>'WACC ROIC'!$C$3:$C$8</c:f>
              <c:numCache>
                <c:formatCode>General</c:formatCode>
                <c:ptCount val="6"/>
                <c:pt idx="0">
                  <c:v>13.971815211056827</c:v>
                </c:pt>
                <c:pt idx="1">
                  <c:v>23.662068555751159</c:v>
                </c:pt>
                <c:pt idx="2">
                  <c:v>6.1029508758124518</c:v>
                </c:pt>
                <c:pt idx="3">
                  <c:v>12.071154255665695</c:v>
                </c:pt>
                <c:pt idx="4">
                  <c:v>11.790606798921536</c:v>
                </c:pt>
                <c:pt idx="5">
                  <c:v>16.944111327552275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'WACC ROIC'!$A$3:$A$8</c15:f>
                <c15:dlblRangeCache>
                  <c:ptCount val="6"/>
                  <c:pt idx="0">
                    <c:v>METR AR EQUITY</c:v>
                  </c:pt>
                  <c:pt idx="1">
                    <c:v>TRAN AR EQUITY</c:v>
                  </c:pt>
                  <c:pt idx="2">
                    <c:v>EDN AR EQUITY</c:v>
                  </c:pt>
                  <c:pt idx="3">
                    <c:v>CEPU AR EQUITY</c:v>
                  </c:pt>
                  <c:pt idx="4">
                    <c:v>TGSU2 AR EQUITY</c:v>
                  </c:pt>
                  <c:pt idx="5">
                    <c:v>TGNO4 AR EQUITY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535-4483-A214-5CD5359B2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277119"/>
        <c:axId val="1592274239"/>
      </c:scatterChart>
      <c:valAx>
        <c:axId val="1592277119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92274239"/>
        <c:crosses val="autoZero"/>
        <c:crossBetween val="midCat"/>
      </c:valAx>
      <c:valAx>
        <c:axId val="15922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ROIC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9227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38275827766432E-2"/>
          <c:y val="7.4074053848308827E-2"/>
          <c:w val="0.90286351706036749"/>
          <c:h val="0.7742060732546534"/>
        </c:manualLayout>
      </c:layout>
      <c:lineChart>
        <c:grouping val="standard"/>
        <c:varyColors val="0"/>
        <c:ser>
          <c:idx val="0"/>
          <c:order val="0"/>
          <c:tx>
            <c:strRef>
              <c:f>Base!$B$4</c:f>
              <c:strCache>
                <c:ptCount val="1"/>
                <c:pt idx="0">
                  <c:v>CEPU AR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Base!$E$6:$E$2000</c:f>
              <c:numCache>
                <c:formatCode>General</c:formatCode>
                <c:ptCount val="1995"/>
                <c:pt idx="0">
                  <c:v>37.318899999999999</c:v>
                </c:pt>
                <c:pt idx="1">
                  <c:v>37.318899999999999</c:v>
                </c:pt>
                <c:pt idx="2">
                  <c:v>37.318899999999999</c:v>
                </c:pt>
                <c:pt idx="3">
                  <c:v>37.318899999999999</c:v>
                </c:pt>
                <c:pt idx="4">
                  <c:v>37.318899999999999</c:v>
                </c:pt>
                <c:pt idx="5">
                  <c:v>37.318899999999999</c:v>
                </c:pt>
                <c:pt idx="6">
                  <c:v>37.318899999999999</c:v>
                </c:pt>
                <c:pt idx="7">
                  <c:v>37.318899999999999</c:v>
                </c:pt>
                <c:pt idx="8">
                  <c:v>37.318899999999999</c:v>
                </c:pt>
                <c:pt idx="9">
                  <c:v>37.318899999999999</c:v>
                </c:pt>
                <c:pt idx="10">
                  <c:v>37.318899999999999</c:v>
                </c:pt>
                <c:pt idx="11">
                  <c:v>37.318899999999999</c:v>
                </c:pt>
                <c:pt idx="12">
                  <c:v>37.318899999999999</c:v>
                </c:pt>
                <c:pt idx="13">
                  <c:v>38.406799999999997</c:v>
                </c:pt>
                <c:pt idx="14">
                  <c:v>38.406799999999997</c:v>
                </c:pt>
                <c:pt idx="15">
                  <c:v>38.406799999999997</c:v>
                </c:pt>
                <c:pt idx="16">
                  <c:v>38.406799999999997</c:v>
                </c:pt>
                <c:pt idx="17">
                  <c:v>38.406799999999997</c:v>
                </c:pt>
                <c:pt idx="18">
                  <c:v>38.406799999999997</c:v>
                </c:pt>
                <c:pt idx="19">
                  <c:v>38.406799999999997</c:v>
                </c:pt>
                <c:pt idx="20">
                  <c:v>38.406799999999997</c:v>
                </c:pt>
                <c:pt idx="21">
                  <c:v>38.406799999999997</c:v>
                </c:pt>
                <c:pt idx="22">
                  <c:v>38.406799999999997</c:v>
                </c:pt>
                <c:pt idx="23">
                  <c:v>38.406799999999997</c:v>
                </c:pt>
                <c:pt idx="24">
                  <c:v>38.406799999999997</c:v>
                </c:pt>
                <c:pt idx="25">
                  <c:v>38.406799999999997</c:v>
                </c:pt>
                <c:pt idx="26">
                  <c:v>39.373399999999997</c:v>
                </c:pt>
                <c:pt idx="27">
                  <c:v>39.373399999999997</c:v>
                </c:pt>
                <c:pt idx="28">
                  <c:v>39.373399999999997</c:v>
                </c:pt>
                <c:pt idx="29">
                  <c:v>39.373399999999997</c:v>
                </c:pt>
                <c:pt idx="30">
                  <c:v>39.373399999999997</c:v>
                </c:pt>
                <c:pt idx="31">
                  <c:v>39.373399999999997</c:v>
                </c:pt>
                <c:pt idx="32">
                  <c:v>39.373399999999997</c:v>
                </c:pt>
                <c:pt idx="33">
                  <c:v>39.373399999999997</c:v>
                </c:pt>
                <c:pt idx="34">
                  <c:v>39.373399999999997</c:v>
                </c:pt>
                <c:pt idx="35">
                  <c:v>39.373399999999997</c:v>
                </c:pt>
                <c:pt idx="36">
                  <c:v>39.373399999999997</c:v>
                </c:pt>
                <c:pt idx="37">
                  <c:v>39.373399999999997</c:v>
                </c:pt>
                <c:pt idx="38">
                  <c:v>39.373399999999997</c:v>
                </c:pt>
                <c:pt idx="39">
                  <c:v>38.868099999999998</c:v>
                </c:pt>
                <c:pt idx="40">
                  <c:v>38.868099999999998</c:v>
                </c:pt>
                <c:pt idx="41">
                  <c:v>38.868099999999998</c:v>
                </c:pt>
                <c:pt idx="42">
                  <c:v>38.868099999999998</c:v>
                </c:pt>
                <c:pt idx="43">
                  <c:v>38.868099999999998</c:v>
                </c:pt>
                <c:pt idx="44">
                  <c:v>38.868099999999998</c:v>
                </c:pt>
                <c:pt idx="45">
                  <c:v>38.868099999999998</c:v>
                </c:pt>
                <c:pt idx="46">
                  <c:v>38.868099999999998</c:v>
                </c:pt>
                <c:pt idx="47">
                  <c:v>38.868099999999998</c:v>
                </c:pt>
                <c:pt idx="48">
                  <c:v>38.868099999999998</c:v>
                </c:pt>
                <c:pt idx="49">
                  <c:v>38.868099999999998</c:v>
                </c:pt>
                <c:pt idx="50">
                  <c:v>38.868099999999998</c:v>
                </c:pt>
                <c:pt idx="51">
                  <c:v>38.868099999999998</c:v>
                </c:pt>
                <c:pt idx="52">
                  <c:v>38.379199999999997</c:v>
                </c:pt>
                <c:pt idx="53">
                  <c:v>38.379199999999997</c:v>
                </c:pt>
                <c:pt idx="54">
                  <c:v>38.379199999999997</c:v>
                </c:pt>
                <c:pt idx="55">
                  <c:v>38.379199999999997</c:v>
                </c:pt>
                <c:pt idx="56">
                  <c:v>38.379199999999997</c:v>
                </c:pt>
                <c:pt idx="57">
                  <c:v>38.379199999999997</c:v>
                </c:pt>
                <c:pt idx="58">
                  <c:v>38.379199999999997</c:v>
                </c:pt>
                <c:pt idx="59">
                  <c:v>38.379199999999997</c:v>
                </c:pt>
                <c:pt idx="60">
                  <c:v>38.379199999999997</c:v>
                </c:pt>
                <c:pt idx="61">
                  <c:v>38.379199999999997</c:v>
                </c:pt>
                <c:pt idx="62">
                  <c:v>38.379199999999997</c:v>
                </c:pt>
                <c:pt idx="63">
                  <c:v>38.379199999999997</c:v>
                </c:pt>
                <c:pt idx="64">
                  <c:v>38.379199999999997</c:v>
                </c:pt>
                <c:pt idx="65">
                  <c:v>38.938800000000001</c:v>
                </c:pt>
                <c:pt idx="66">
                  <c:v>38.938800000000001</c:v>
                </c:pt>
                <c:pt idx="67">
                  <c:v>38.938800000000001</c:v>
                </c:pt>
                <c:pt idx="68">
                  <c:v>38.938800000000001</c:v>
                </c:pt>
                <c:pt idx="69">
                  <c:v>38.938800000000001</c:v>
                </c:pt>
                <c:pt idx="70">
                  <c:v>38.938800000000001</c:v>
                </c:pt>
                <c:pt idx="71">
                  <c:v>38.938800000000001</c:v>
                </c:pt>
                <c:pt idx="72">
                  <c:v>38.938800000000001</c:v>
                </c:pt>
                <c:pt idx="73">
                  <c:v>38.938800000000001</c:v>
                </c:pt>
                <c:pt idx="74">
                  <c:v>38.938800000000001</c:v>
                </c:pt>
                <c:pt idx="75">
                  <c:v>38.938800000000001</c:v>
                </c:pt>
                <c:pt idx="76">
                  <c:v>38.938800000000001</c:v>
                </c:pt>
                <c:pt idx="77">
                  <c:v>38.938800000000001</c:v>
                </c:pt>
                <c:pt idx="78">
                  <c:v>37.621099999999998</c:v>
                </c:pt>
                <c:pt idx="79">
                  <c:v>37.621099999999998</c:v>
                </c:pt>
                <c:pt idx="80">
                  <c:v>37.621099999999998</c:v>
                </c:pt>
                <c:pt idx="81">
                  <c:v>37.621099999999998</c:v>
                </c:pt>
                <c:pt idx="82">
                  <c:v>37.621099999999998</c:v>
                </c:pt>
                <c:pt idx="83">
                  <c:v>37.621099999999998</c:v>
                </c:pt>
                <c:pt idx="84">
                  <c:v>37.621099999999998</c:v>
                </c:pt>
                <c:pt idx="85">
                  <c:v>37.621099999999998</c:v>
                </c:pt>
                <c:pt idx="86">
                  <c:v>37.621099999999998</c:v>
                </c:pt>
                <c:pt idx="87">
                  <c:v>37.621099999999998</c:v>
                </c:pt>
                <c:pt idx="88">
                  <c:v>37.621099999999998</c:v>
                </c:pt>
                <c:pt idx="89">
                  <c:v>37.621099999999998</c:v>
                </c:pt>
                <c:pt idx="90">
                  <c:v>37.621099999999998</c:v>
                </c:pt>
                <c:pt idx="91">
                  <c:v>34.4876</c:v>
                </c:pt>
                <c:pt idx="92">
                  <c:v>34.4876</c:v>
                </c:pt>
                <c:pt idx="93">
                  <c:v>34.4876</c:v>
                </c:pt>
                <c:pt idx="94">
                  <c:v>34.4876</c:v>
                </c:pt>
                <c:pt idx="95">
                  <c:v>34.4876</c:v>
                </c:pt>
                <c:pt idx="96">
                  <c:v>34.4876</c:v>
                </c:pt>
                <c:pt idx="97">
                  <c:v>34.4876</c:v>
                </c:pt>
                <c:pt idx="98">
                  <c:v>34.4876</c:v>
                </c:pt>
                <c:pt idx="99">
                  <c:v>34.4876</c:v>
                </c:pt>
                <c:pt idx="100">
                  <c:v>34.4876</c:v>
                </c:pt>
                <c:pt idx="101">
                  <c:v>34.4876</c:v>
                </c:pt>
                <c:pt idx="102">
                  <c:v>34.4876</c:v>
                </c:pt>
                <c:pt idx="103">
                  <c:v>34.4876</c:v>
                </c:pt>
                <c:pt idx="104">
                  <c:v>33.622999999999998</c:v>
                </c:pt>
                <c:pt idx="105">
                  <c:v>33.622999999999998</c:v>
                </c:pt>
                <c:pt idx="106">
                  <c:v>33.622999999999998</c:v>
                </c:pt>
                <c:pt idx="107">
                  <c:v>33.622999999999998</c:v>
                </c:pt>
                <c:pt idx="108">
                  <c:v>33.622999999999998</c:v>
                </c:pt>
                <c:pt idx="109">
                  <c:v>33.622999999999998</c:v>
                </c:pt>
                <c:pt idx="110">
                  <c:v>33.622999999999998</c:v>
                </c:pt>
                <c:pt idx="111">
                  <c:v>33.622999999999998</c:v>
                </c:pt>
                <c:pt idx="112">
                  <c:v>33.622999999999998</c:v>
                </c:pt>
                <c:pt idx="113">
                  <c:v>33.622999999999998</c:v>
                </c:pt>
                <c:pt idx="114">
                  <c:v>33.622999999999998</c:v>
                </c:pt>
                <c:pt idx="115">
                  <c:v>33.622999999999998</c:v>
                </c:pt>
                <c:pt idx="116">
                  <c:v>33.622999999999998</c:v>
                </c:pt>
                <c:pt idx="117">
                  <c:v>29.160599999999999</c:v>
                </c:pt>
                <c:pt idx="118">
                  <c:v>29.160599999999999</c:v>
                </c:pt>
                <c:pt idx="119">
                  <c:v>29.160599999999999</c:v>
                </c:pt>
                <c:pt idx="120">
                  <c:v>29.160599999999999</c:v>
                </c:pt>
                <c:pt idx="121">
                  <c:v>29.160599999999999</c:v>
                </c:pt>
                <c:pt idx="122">
                  <c:v>29.160599999999999</c:v>
                </c:pt>
                <c:pt idx="123">
                  <c:v>29.160599999999999</c:v>
                </c:pt>
                <c:pt idx="124">
                  <c:v>29.160599999999999</c:v>
                </c:pt>
                <c:pt idx="125">
                  <c:v>29.160599999999999</c:v>
                </c:pt>
                <c:pt idx="126">
                  <c:v>29.160599999999999</c:v>
                </c:pt>
                <c:pt idx="127">
                  <c:v>29.160599999999999</c:v>
                </c:pt>
                <c:pt idx="128">
                  <c:v>29.160599999999999</c:v>
                </c:pt>
                <c:pt idx="129">
                  <c:v>29.160599999999999</c:v>
                </c:pt>
                <c:pt idx="130">
                  <c:v>25.322800000000001</c:v>
                </c:pt>
                <c:pt idx="131">
                  <c:v>25.322800000000001</c:v>
                </c:pt>
                <c:pt idx="132">
                  <c:v>25.322800000000001</c:v>
                </c:pt>
                <c:pt idx="133">
                  <c:v>25.322800000000001</c:v>
                </c:pt>
                <c:pt idx="134">
                  <c:v>25.322800000000001</c:v>
                </c:pt>
                <c:pt idx="135">
                  <c:v>25.322800000000001</c:v>
                </c:pt>
                <c:pt idx="136">
                  <c:v>25.322800000000001</c:v>
                </c:pt>
                <c:pt idx="137">
                  <c:v>25.322800000000001</c:v>
                </c:pt>
                <c:pt idx="138">
                  <c:v>25.322800000000001</c:v>
                </c:pt>
                <c:pt idx="139">
                  <c:v>25.322800000000001</c:v>
                </c:pt>
                <c:pt idx="140">
                  <c:v>25.322800000000001</c:v>
                </c:pt>
                <c:pt idx="141">
                  <c:v>25.322800000000001</c:v>
                </c:pt>
                <c:pt idx="142">
                  <c:v>25.322800000000001</c:v>
                </c:pt>
                <c:pt idx="143">
                  <c:v>22.323799999999999</c:v>
                </c:pt>
                <c:pt idx="144">
                  <c:v>22.323799999999999</c:v>
                </c:pt>
                <c:pt idx="145">
                  <c:v>22.323799999999999</c:v>
                </c:pt>
                <c:pt idx="146">
                  <c:v>22.323799999999999</c:v>
                </c:pt>
                <c:pt idx="147">
                  <c:v>22.323799999999999</c:v>
                </c:pt>
                <c:pt idx="148">
                  <c:v>22.323799999999999</c:v>
                </c:pt>
                <c:pt idx="149">
                  <c:v>22.323799999999999</c:v>
                </c:pt>
                <c:pt idx="150">
                  <c:v>22.323799999999999</c:v>
                </c:pt>
                <c:pt idx="151">
                  <c:v>22.323799999999999</c:v>
                </c:pt>
                <c:pt idx="152">
                  <c:v>22.323799999999999</c:v>
                </c:pt>
                <c:pt idx="153">
                  <c:v>22.323799999999999</c:v>
                </c:pt>
                <c:pt idx="154">
                  <c:v>22.323799999999999</c:v>
                </c:pt>
                <c:pt idx="155">
                  <c:v>22.323799999999999</c:v>
                </c:pt>
                <c:pt idx="156">
                  <c:v>22.308700000000002</c:v>
                </c:pt>
                <c:pt idx="157">
                  <c:v>22.308700000000002</c:v>
                </c:pt>
                <c:pt idx="158">
                  <c:v>22.308700000000002</c:v>
                </c:pt>
                <c:pt idx="159">
                  <c:v>22.308700000000002</c:v>
                </c:pt>
                <c:pt idx="160">
                  <c:v>22.308700000000002</c:v>
                </c:pt>
                <c:pt idx="161">
                  <c:v>22.308700000000002</c:v>
                </c:pt>
                <c:pt idx="162">
                  <c:v>22.308700000000002</c:v>
                </c:pt>
                <c:pt idx="163">
                  <c:v>22.308700000000002</c:v>
                </c:pt>
                <c:pt idx="164">
                  <c:v>22.308700000000002</c:v>
                </c:pt>
                <c:pt idx="165">
                  <c:v>22.308700000000002</c:v>
                </c:pt>
                <c:pt idx="166">
                  <c:v>22.308700000000002</c:v>
                </c:pt>
                <c:pt idx="167">
                  <c:v>22.308700000000002</c:v>
                </c:pt>
                <c:pt idx="168">
                  <c:v>22.308700000000002</c:v>
                </c:pt>
                <c:pt idx="169">
                  <c:v>19.215399999999999</c:v>
                </c:pt>
                <c:pt idx="170">
                  <c:v>19.215399999999999</c:v>
                </c:pt>
                <c:pt idx="171">
                  <c:v>19.215399999999999</c:v>
                </c:pt>
                <c:pt idx="172">
                  <c:v>19.215399999999999</c:v>
                </c:pt>
                <c:pt idx="173">
                  <c:v>19.215399999999999</c:v>
                </c:pt>
                <c:pt idx="174">
                  <c:v>19.215399999999999</c:v>
                </c:pt>
                <c:pt idx="175">
                  <c:v>19.215399999999999</c:v>
                </c:pt>
                <c:pt idx="176">
                  <c:v>19.215399999999999</c:v>
                </c:pt>
                <c:pt idx="177">
                  <c:v>19.215399999999999</c:v>
                </c:pt>
                <c:pt idx="178">
                  <c:v>19.215399999999999</c:v>
                </c:pt>
                <c:pt idx="179">
                  <c:v>19.215399999999999</c:v>
                </c:pt>
                <c:pt idx="180">
                  <c:v>19.215399999999999</c:v>
                </c:pt>
                <c:pt idx="181">
                  <c:v>19.215399999999999</c:v>
                </c:pt>
                <c:pt idx="182">
                  <c:v>19.5291</c:v>
                </c:pt>
                <c:pt idx="183">
                  <c:v>19.5291</c:v>
                </c:pt>
                <c:pt idx="184">
                  <c:v>19.5291</c:v>
                </c:pt>
                <c:pt idx="185">
                  <c:v>19.5291</c:v>
                </c:pt>
                <c:pt idx="186">
                  <c:v>19.5291</c:v>
                </c:pt>
                <c:pt idx="187">
                  <c:v>19.5291</c:v>
                </c:pt>
                <c:pt idx="188">
                  <c:v>19.5291</c:v>
                </c:pt>
                <c:pt idx="189">
                  <c:v>19.5291</c:v>
                </c:pt>
                <c:pt idx="190">
                  <c:v>19.5291</c:v>
                </c:pt>
                <c:pt idx="191">
                  <c:v>19.5291</c:v>
                </c:pt>
                <c:pt idx="192">
                  <c:v>19.5291</c:v>
                </c:pt>
                <c:pt idx="193">
                  <c:v>19.5291</c:v>
                </c:pt>
                <c:pt idx="194">
                  <c:v>19.5291</c:v>
                </c:pt>
                <c:pt idx="195">
                  <c:v>21.247</c:v>
                </c:pt>
                <c:pt idx="196">
                  <c:v>21.247</c:v>
                </c:pt>
                <c:pt idx="197">
                  <c:v>21.247</c:v>
                </c:pt>
                <c:pt idx="198">
                  <c:v>21.247</c:v>
                </c:pt>
                <c:pt idx="199">
                  <c:v>21.247</c:v>
                </c:pt>
                <c:pt idx="200">
                  <c:v>21.247</c:v>
                </c:pt>
                <c:pt idx="201">
                  <c:v>21.247</c:v>
                </c:pt>
                <c:pt idx="202">
                  <c:v>21.247</c:v>
                </c:pt>
                <c:pt idx="203">
                  <c:v>21.247</c:v>
                </c:pt>
                <c:pt idx="204">
                  <c:v>21.247</c:v>
                </c:pt>
                <c:pt idx="205">
                  <c:v>21.247</c:v>
                </c:pt>
                <c:pt idx="206">
                  <c:v>21.247</c:v>
                </c:pt>
                <c:pt idx="207">
                  <c:v>21.247</c:v>
                </c:pt>
                <c:pt idx="208">
                  <c:v>17.8216</c:v>
                </c:pt>
                <c:pt idx="209">
                  <c:v>17.8216</c:v>
                </c:pt>
                <c:pt idx="210">
                  <c:v>17.8216</c:v>
                </c:pt>
                <c:pt idx="211">
                  <c:v>17.8216</c:v>
                </c:pt>
                <c:pt idx="212">
                  <c:v>17.8216</c:v>
                </c:pt>
                <c:pt idx="213">
                  <c:v>17.8216</c:v>
                </c:pt>
                <c:pt idx="214">
                  <c:v>17.8216</c:v>
                </c:pt>
                <c:pt idx="215">
                  <c:v>17.8216</c:v>
                </c:pt>
                <c:pt idx="216">
                  <c:v>17.8216</c:v>
                </c:pt>
                <c:pt idx="217">
                  <c:v>17.8216</c:v>
                </c:pt>
                <c:pt idx="218">
                  <c:v>17.8216</c:v>
                </c:pt>
                <c:pt idx="219">
                  <c:v>17.8216</c:v>
                </c:pt>
                <c:pt idx="220">
                  <c:v>17.8216</c:v>
                </c:pt>
                <c:pt idx="221">
                  <c:v>18.4466</c:v>
                </c:pt>
                <c:pt idx="222">
                  <c:v>18.4466</c:v>
                </c:pt>
                <c:pt idx="223">
                  <c:v>18.4466</c:v>
                </c:pt>
                <c:pt idx="224">
                  <c:v>18.4466</c:v>
                </c:pt>
                <c:pt idx="225">
                  <c:v>18.4466</c:v>
                </c:pt>
                <c:pt idx="226">
                  <c:v>18.4466</c:v>
                </c:pt>
                <c:pt idx="227">
                  <c:v>18.4466</c:v>
                </c:pt>
                <c:pt idx="228">
                  <c:v>18.4466</c:v>
                </c:pt>
                <c:pt idx="229">
                  <c:v>18.4466</c:v>
                </c:pt>
                <c:pt idx="230">
                  <c:v>18.4466</c:v>
                </c:pt>
                <c:pt idx="231">
                  <c:v>18.4466</c:v>
                </c:pt>
                <c:pt idx="232">
                  <c:v>18.4466</c:v>
                </c:pt>
                <c:pt idx="233">
                  <c:v>18.4466</c:v>
                </c:pt>
                <c:pt idx="234">
                  <c:v>28.125299999999999</c:v>
                </c:pt>
                <c:pt idx="235">
                  <c:v>28.125299999999999</c:v>
                </c:pt>
                <c:pt idx="236">
                  <c:v>28.125299999999999</c:v>
                </c:pt>
                <c:pt idx="237">
                  <c:v>28.125299999999999</c:v>
                </c:pt>
                <c:pt idx="238">
                  <c:v>28.125299999999999</c:v>
                </c:pt>
                <c:pt idx="239">
                  <c:v>28.125299999999999</c:v>
                </c:pt>
                <c:pt idx="240">
                  <c:v>28.125299999999999</c:v>
                </c:pt>
                <c:pt idx="241">
                  <c:v>28.125299999999999</c:v>
                </c:pt>
                <c:pt idx="242">
                  <c:v>28.125299999999999</c:v>
                </c:pt>
                <c:pt idx="243">
                  <c:v>28.125299999999999</c:v>
                </c:pt>
                <c:pt idx="244">
                  <c:v>28.125299999999999</c:v>
                </c:pt>
                <c:pt idx="245">
                  <c:v>28.125299999999999</c:v>
                </c:pt>
                <c:pt idx="246">
                  <c:v>28.125299999999999</c:v>
                </c:pt>
                <c:pt idx="247">
                  <c:v>21.872800000000002</c:v>
                </c:pt>
                <c:pt idx="248">
                  <c:v>21.872800000000002</c:v>
                </c:pt>
                <c:pt idx="249">
                  <c:v>21.872800000000002</c:v>
                </c:pt>
                <c:pt idx="250">
                  <c:v>21.872800000000002</c:v>
                </c:pt>
                <c:pt idx="251">
                  <c:v>21.872800000000002</c:v>
                </c:pt>
                <c:pt idx="252">
                  <c:v>21.872800000000002</c:v>
                </c:pt>
                <c:pt idx="253">
                  <c:v>21.872800000000002</c:v>
                </c:pt>
                <c:pt idx="254">
                  <c:v>21.872800000000002</c:v>
                </c:pt>
                <c:pt idx="255">
                  <c:v>21.872800000000002</c:v>
                </c:pt>
                <c:pt idx="256">
                  <c:v>21.872800000000002</c:v>
                </c:pt>
                <c:pt idx="257">
                  <c:v>21.872800000000002</c:v>
                </c:pt>
                <c:pt idx="258">
                  <c:v>21.872800000000002</c:v>
                </c:pt>
                <c:pt idx="259">
                  <c:v>21.872800000000002</c:v>
                </c:pt>
                <c:pt idx="260">
                  <c:v>18.296800000000001</c:v>
                </c:pt>
                <c:pt idx="261">
                  <c:v>18.296800000000001</c:v>
                </c:pt>
                <c:pt idx="262">
                  <c:v>18.296800000000001</c:v>
                </c:pt>
                <c:pt idx="263">
                  <c:v>18.296800000000001</c:v>
                </c:pt>
                <c:pt idx="264">
                  <c:v>18.296800000000001</c:v>
                </c:pt>
                <c:pt idx="265">
                  <c:v>18.296800000000001</c:v>
                </c:pt>
                <c:pt idx="266">
                  <c:v>18.296800000000001</c:v>
                </c:pt>
                <c:pt idx="267">
                  <c:v>18.296800000000001</c:v>
                </c:pt>
                <c:pt idx="268">
                  <c:v>18.296800000000001</c:v>
                </c:pt>
                <c:pt idx="269">
                  <c:v>18.296800000000001</c:v>
                </c:pt>
                <c:pt idx="270">
                  <c:v>18.296800000000001</c:v>
                </c:pt>
                <c:pt idx="271">
                  <c:v>18.296800000000001</c:v>
                </c:pt>
                <c:pt idx="272">
                  <c:v>18.296800000000001</c:v>
                </c:pt>
                <c:pt idx="273">
                  <c:v>18.296800000000001</c:v>
                </c:pt>
                <c:pt idx="274">
                  <c:v>17.491</c:v>
                </c:pt>
                <c:pt idx="275">
                  <c:v>17.491</c:v>
                </c:pt>
                <c:pt idx="276">
                  <c:v>17.491</c:v>
                </c:pt>
                <c:pt idx="277">
                  <c:v>17.491</c:v>
                </c:pt>
                <c:pt idx="278">
                  <c:v>17.491</c:v>
                </c:pt>
                <c:pt idx="279">
                  <c:v>17.491</c:v>
                </c:pt>
                <c:pt idx="280">
                  <c:v>17.491</c:v>
                </c:pt>
                <c:pt idx="281">
                  <c:v>17.491</c:v>
                </c:pt>
                <c:pt idx="282">
                  <c:v>17.491</c:v>
                </c:pt>
                <c:pt idx="283">
                  <c:v>17.491</c:v>
                </c:pt>
                <c:pt idx="284">
                  <c:v>17.491</c:v>
                </c:pt>
                <c:pt idx="285">
                  <c:v>17.491</c:v>
                </c:pt>
                <c:pt idx="286">
                  <c:v>17.491</c:v>
                </c:pt>
                <c:pt idx="287">
                  <c:v>16.998899999999999</c:v>
                </c:pt>
                <c:pt idx="288">
                  <c:v>16.998899999999999</c:v>
                </c:pt>
                <c:pt idx="289">
                  <c:v>16.998899999999999</c:v>
                </c:pt>
                <c:pt idx="290">
                  <c:v>16.998899999999999</c:v>
                </c:pt>
                <c:pt idx="291">
                  <c:v>16.998899999999999</c:v>
                </c:pt>
                <c:pt idx="292">
                  <c:v>16.998899999999999</c:v>
                </c:pt>
                <c:pt idx="293">
                  <c:v>16.998899999999999</c:v>
                </c:pt>
                <c:pt idx="294">
                  <c:v>16.998899999999999</c:v>
                </c:pt>
                <c:pt idx="295">
                  <c:v>16.998899999999999</c:v>
                </c:pt>
                <c:pt idx="296">
                  <c:v>16.998899999999999</c:v>
                </c:pt>
                <c:pt idx="297">
                  <c:v>16.998899999999999</c:v>
                </c:pt>
                <c:pt idx="298">
                  <c:v>16.998899999999999</c:v>
                </c:pt>
                <c:pt idx="299">
                  <c:v>16.998899999999999</c:v>
                </c:pt>
                <c:pt idx="300">
                  <c:v>16.493400000000001</c:v>
                </c:pt>
                <c:pt idx="301">
                  <c:v>16.493400000000001</c:v>
                </c:pt>
                <c:pt idx="302">
                  <c:v>16.493400000000001</c:v>
                </c:pt>
                <c:pt idx="303">
                  <c:v>16.493400000000001</c:v>
                </c:pt>
                <c:pt idx="304">
                  <c:v>16.493400000000001</c:v>
                </c:pt>
                <c:pt idx="305">
                  <c:v>16.493400000000001</c:v>
                </c:pt>
                <c:pt idx="306">
                  <c:v>16.493400000000001</c:v>
                </c:pt>
                <c:pt idx="307">
                  <c:v>16.493400000000001</c:v>
                </c:pt>
                <c:pt idx="308">
                  <c:v>16.493400000000001</c:v>
                </c:pt>
                <c:pt idx="309">
                  <c:v>16.493400000000001</c:v>
                </c:pt>
                <c:pt idx="310">
                  <c:v>16.493400000000001</c:v>
                </c:pt>
                <c:pt idx="311">
                  <c:v>16.493400000000001</c:v>
                </c:pt>
                <c:pt idx="312">
                  <c:v>16.493400000000001</c:v>
                </c:pt>
                <c:pt idx="313">
                  <c:v>16.112100000000002</c:v>
                </c:pt>
                <c:pt idx="314">
                  <c:v>16.112100000000002</c:v>
                </c:pt>
                <c:pt idx="315">
                  <c:v>16.112100000000002</c:v>
                </c:pt>
                <c:pt idx="316">
                  <c:v>16.112100000000002</c:v>
                </c:pt>
                <c:pt idx="317">
                  <c:v>16.112100000000002</c:v>
                </c:pt>
                <c:pt idx="318">
                  <c:v>16.112100000000002</c:v>
                </c:pt>
                <c:pt idx="319">
                  <c:v>16.112100000000002</c:v>
                </c:pt>
                <c:pt idx="320">
                  <c:v>16.112100000000002</c:v>
                </c:pt>
                <c:pt idx="321">
                  <c:v>16.112100000000002</c:v>
                </c:pt>
                <c:pt idx="322">
                  <c:v>16.112100000000002</c:v>
                </c:pt>
                <c:pt idx="323">
                  <c:v>16.112100000000002</c:v>
                </c:pt>
                <c:pt idx="324">
                  <c:v>16.112100000000002</c:v>
                </c:pt>
                <c:pt idx="325">
                  <c:v>16.112100000000002</c:v>
                </c:pt>
                <c:pt idx="326">
                  <c:v>20.282</c:v>
                </c:pt>
                <c:pt idx="327">
                  <c:v>20.282</c:v>
                </c:pt>
                <c:pt idx="328">
                  <c:v>20.282</c:v>
                </c:pt>
                <c:pt idx="329">
                  <c:v>20.282</c:v>
                </c:pt>
                <c:pt idx="330">
                  <c:v>20.282</c:v>
                </c:pt>
                <c:pt idx="331">
                  <c:v>20.282</c:v>
                </c:pt>
                <c:pt idx="332">
                  <c:v>20.282</c:v>
                </c:pt>
                <c:pt idx="333">
                  <c:v>20.282</c:v>
                </c:pt>
                <c:pt idx="334">
                  <c:v>20.282</c:v>
                </c:pt>
                <c:pt idx="335">
                  <c:v>20.282</c:v>
                </c:pt>
                <c:pt idx="336">
                  <c:v>20.282</c:v>
                </c:pt>
                <c:pt idx="337">
                  <c:v>20.282</c:v>
                </c:pt>
                <c:pt idx="338">
                  <c:v>20.282</c:v>
                </c:pt>
                <c:pt idx="339">
                  <c:v>15.8573</c:v>
                </c:pt>
                <c:pt idx="340">
                  <c:v>15.8573</c:v>
                </c:pt>
                <c:pt idx="341">
                  <c:v>15.8573</c:v>
                </c:pt>
                <c:pt idx="342">
                  <c:v>15.8573</c:v>
                </c:pt>
                <c:pt idx="343">
                  <c:v>15.8573</c:v>
                </c:pt>
                <c:pt idx="344">
                  <c:v>15.8573</c:v>
                </c:pt>
                <c:pt idx="345">
                  <c:v>15.8573</c:v>
                </c:pt>
                <c:pt idx="346">
                  <c:v>15.8573</c:v>
                </c:pt>
                <c:pt idx="347">
                  <c:v>15.8573</c:v>
                </c:pt>
                <c:pt idx="348">
                  <c:v>15.8573</c:v>
                </c:pt>
                <c:pt idx="349">
                  <c:v>15.8573</c:v>
                </c:pt>
                <c:pt idx="350">
                  <c:v>15.8573</c:v>
                </c:pt>
                <c:pt idx="351">
                  <c:v>15.8573</c:v>
                </c:pt>
                <c:pt idx="352">
                  <c:v>21.462299999999999</c:v>
                </c:pt>
                <c:pt idx="353">
                  <c:v>21.462299999999999</c:v>
                </c:pt>
                <c:pt idx="354">
                  <c:v>21.462299999999999</c:v>
                </c:pt>
                <c:pt idx="355">
                  <c:v>21.462299999999999</c:v>
                </c:pt>
                <c:pt idx="356">
                  <c:v>21.462299999999999</c:v>
                </c:pt>
                <c:pt idx="357">
                  <c:v>21.462299999999999</c:v>
                </c:pt>
                <c:pt idx="358">
                  <c:v>21.462299999999999</c:v>
                </c:pt>
                <c:pt idx="359">
                  <c:v>21.462299999999999</c:v>
                </c:pt>
                <c:pt idx="360">
                  <c:v>21.462299999999999</c:v>
                </c:pt>
                <c:pt idx="361">
                  <c:v>21.462299999999999</c:v>
                </c:pt>
                <c:pt idx="362">
                  <c:v>21.462299999999999</c:v>
                </c:pt>
                <c:pt idx="363">
                  <c:v>21.462299999999999</c:v>
                </c:pt>
                <c:pt idx="364">
                  <c:v>21.462299999999999</c:v>
                </c:pt>
                <c:pt idx="365">
                  <c:v>25.078900000000001</c:v>
                </c:pt>
                <c:pt idx="366">
                  <c:v>25.078900000000001</c:v>
                </c:pt>
                <c:pt idx="367">
                  <c:v>25.078900000000001</c:v>
                </c:pt>
                <c:pt idx="368">
                  <c:v>25.078900000000001</c:v>
                </c:pt>
                <c:pt idx="369">
                  <c:v>25.078900000000001</c:v>
                </c:pt>
                <c:pt idx="370">
                  <c:v>25.078900000000001</c:v>
                </c:pt>
                <c:pt idx="371">
                  <c:v>25.078900000000001</c:v>
                </c:pt>
                <c:pt idx="372">
                  <c:v>25.078900000000001</c:v>
                </c:pt>
                <c:pt idx="373">
                  <c:v>25.078900000000001</c:v>
                </c:pt>
                <c:pt idx="374">
                  <c:v>25.078900000000001</c:v>
                </c:pt>
                <c:pt idx="375">
                  <c:v>25.078900000000001</c:v>
                </c:pt>
                <c:pt idx="376">
                  <c:v>25.078900000000001</c:v>
                </c:pt>
                <c:pt idx="377">
                  <c:v>25.078900000000001</c:v>
                </c:pt>
                <c:pt idx="378">
                  <c:v>25.078900000000001</c:v>
                </c:pt>
                <c:pt idx="379">
                  <c:v>25.078900000000001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9-4EAC-BA01-38C379E6A9DC}"/>
            </c:ext>
          </c:extLst>
        </c:ser>
        <c:ser>
          <c:idx val="1"/>
          <c:order val="1"/>
          <c:tx>
            <c:strRef>
              <c:f>Base!$N$4</c:f>
              <c:strCache>
                <c:ptCount val="1"/>
                <c:pt idx="0">
                  <c:v>TGSU2 AR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Base!$Q$6:$Q$2000</c:f>
              <c:numCache>
                <c:formatCode>General</c:formatCode>
                <c:ptCount val="1995"/>
                <c:pt idx="0">
                  <c:v>38.934800000000003</c:v>
                </c:pt>
                <c:pt idx="1">
                  <c:v>38.934800000000003</c:v>
                </c:pt>
                <c:pt idx="2">
                  <c:v>38.934800000000003</c:v>
                </c:pt>
                <c:pt idx="3">
                  <c:v>38.934800000000003</c:v>
                </c:pt>
                <c:pt idx="4">
                  <c:v>38.934800000000003</c:v>
                </c:pt>
                <c:pt idx="5">
                  <c:v>38.934800000000003</c:v>
                </c:pt>
                <c:pt idx="6">
                  <c:v>38.934800000000003</c:v>
                </c:pt>
                <c:pt idx="7">
                  <c:v>38.934800000000003</c:v>
                </c:pt>
                <c:pt idx="8">
                  <c:v>38.934800000000003</c:v>
                </c:pt>
                <c:pt idx="9">
                  <c:v>38.934800000000003</c:v>
                </c:pt>
                <c:pt idx="10">
                  <c:v>38.934800000000003</c:v>
                </c:pt>
                <c:pt idx="11">
                  <c:v>38.934800000000003</c:v>
                </c:pt>
                <c:pt idx="12">
                  <c:v>38.934800000000003</c:v>
                </c:pt>
                <c:pt idx="13">
                  <c:v>44.381900000000002</c:v>
                </c:pt>
                <c:pt idx="14">
                  <c:v>44.381900000000002</c:v>
                </c:pt>
                <c:pt idx="15">
                  <c:v>44.381900000000002</c:v>
                </c:pt>
                <c:pt idx="16">
                  <c:v>44.381900000000002</c:v>
                </c:pt>
                <c:pt idx="17">
                  <c:v>44.381900000000002</c:v>
                </c:pt>
                <c:pt idx="18">
                  <c:v>44.381900000000002</c:v>
                </c:pt>
                <c:pt idx="19">
                  <c:v>44.381900000000002</c:v>
                </c:pt>
                <c:pt idx="20">
                  <c:v>44.381900000000002</c:v>
                </c:pt>
                <c:pt idx="21">
                  <c:v>44.381900000000002</c:v>
                </c:pt>
                <c:pt idx="22">
                  <c:v>44.381900000000002</c:v>
                </c:pt>
                <c:pt idx="23">
                  <c:v>44.381900000000002</c:v>
                </c:pt>
                <c:pt idx="24">
                  <c:v>44.381900000000002</c:v>
                </c:pt>
                <c:pt idx="25">
                  <c:v>44.381900000000002</c:v>
                </c:pt>
                <c:pt idx="26">
                  <c:v>41.122</c:v>
                </c:pt>
                <c:pt idx="27">
                  <c:v>41.122</c:v>
                </c:pt>
                <c:pt idx="28">
                  <c:v>41.122</c:v>
                </c:pt>
                <c:pt idx="29">
                  <c:v>41.122</c:v>
                </c:pt>
                <c:pt idx="30">
                  <c:v>41.122</c:v>
                </c:pt>
                <c:pt idx="31">
                  <c:v>41.122</c:v>
                </c:pt>
                <c:pt idx="32">
                  <c:v>41.122</c:v>
                </c:pt>
                <c:pt idx="33">
                  <c:v>41.122</c:v>
                </c:pt>
                <c:pt idx="34">
                  <c:v>41.122</c:v>
                </c:pt>
                <c:pt idx="35">
                  <c:v>41.122</c:v>
                </c:pt>
                <c:pt idx="36">
                  <c:v>41.122</c:v>
                </c:pt>
                <c:pt idx="37">
                  <c:v>41.122</c:v>
                </c:pt>
                <c:pt idx="38">
                  <c:v>41.122</c:v>
                </c:pt>
                <c:pt idx="39">
                  <c:v>39.0886</c:v>
                </c:pt>
                <c:pt idx="40">
                  <c:v>39.0886</c:v>
                </c:pt>
                <c:pt idx="41">
                  <c:v>39.0886</c:v>
                </c:pt>
                <c:pt idx="42">
                  <c:v>39.0886</c:v>
                </c:pt>
                <c:pt idx="43">
                  <c:v>39.0886</c:v>
                </c:pt>
                <c:pt idx="44">
                  <c:v>39.0886</c:v>
                </c:pt>
                <c:pt idx="45">
                  <c:v>39.0886</c:v>
                </c:pt>
                <c:pt idx="46">
                  <c:v>39.0886</c:v>
                </c:pt>
                <c:pt idx="47">
                  <c:v>39.0886</c:v>
                </c:pt>
                <c:pt idx="48">
                  <c:v>39.0886</c:v>
                </c:pt>
                <c:pt idx="49">
                  <c:v>39.0886</c:v>
                </c:pt>
                <c:pt idx="50">
                  <c:v>39.0886</c:v>
                </c:pt>
                <c:pt idx="51">
                  <c:v>39.0886</c:v>
                </c:pt>
                <c:pt idx="52">
                  <c:v>38.769799999999996</c:v>
                </c:pt>
                <c:pt idx="53">
                  <c:v>38.769799999999996</c:v>
                </c:pt>
                <c:pt idx="54">
                  <c:v>38.769799999999996</c:v>
                </c:pt>
                <c:pt idx="55">
                  <c:v>38.769799999999996</c:v>
                </c:pt>
                <c:pt idx="56">
                  <c:v>38.769799999999996</c:v>
                </c:pt>
                <c:pt idx="57">
                  <c:v>38.769799999999996</c:v>
                </c:pt>
                <c:pt idx="58">
                  <c:v>38.769799999999996</c:v>
                </c:pt>
                <c:pt idx="59">
                  <c:v>38.769799999999996</c:v>
                </c:pt>
                <c:pt idx="60">
                  <c:v>38.769799999999996</c:v>
                </c:pt>
                <c:pt idx="61">
                  <c:v>38.769799999999996</c:v>
                </c:pt>
                <c:pt idx="62">
                  <c:v>38.769799999999996</c:v>
                </c:pt>
                <c:pt idx="63">
                  <c:v>38.769799999999996</c:v>
                </c:pt>
                <c:pt idx="64">
                  <c:v>38.769799999999996</c:v>
                </c:pt>
                <c:pt idx="65">
                  <c:v>39.084099999999999</c:v>
                </c:pt>
                <c:pt idx="66">
                  <c:v>39.084099999999999</c:v>
                </c:pt>
                <c:pt idx="67">
                  <c:v>39.084099999999999</c:v>
                </c:pt>
                <c:pt idx="68">
                  <c:v>39.084099999999999</c:v>
                </c:pt>
                <c:pt idx="69">
                  <c:v>39.084099999999999</c:v>
                </c:pt>
                <c:pt idx="70">
                  <c:v>39.084099999999999</c:v>
                </c:pt>
                <c:pt idx="71">
                  <c:v>39.084099999999999</c:v>
                </c:pt>
                <c:pt idx="72">
                  <c:v>39.084099999999999</c:v>
                </c:pt>
                <c:pt idx="73">
                  <c:v>39.084099999999999</c:v>
                </c:pt>
                <c:pt idx="74">
                  <c:v>39.084099999999999</c:v>
                </c:pt>
                <c:pt idx="75">
                  <c:v>39.084099999999999</c:v>
                </c:pt>
                <c:pt idx="76">
                  <c:v>39.084099999999999</c:v>
                </c:pt>
                <c:pt idx="77">
                  <c:v>39.084099999999999</c:v>
                </c:pt>
                <c:pt idx="78">
                  <c:v>39.918999999999997</c:v>
                </c:pt>
                <c:pt idx="79">
                  <c:v>39.918999999999997</c:v>
                </c:pt>
                <c:pt idx="80">
                  <c:v>39.918999999999997</c:v>
                </c:pt>
                <c:pt idx="81">
                  <c:v>39.918999999999997</c:v>
                </c:pt>
                <c:pt idx="82">
                  <c:v>39.918999999999997</c:v>
                </c:pt>
                <c:pt idx="83">
                  <c:v>39.918999999999997</c:v>
                </c:pt>
                <c:pt idx="84">
                  <c:v>39.918999999999997</c:v>
                </c:pt>
                <c:pt idx="85">
                  <c:v>39.918999999999997</c:v>
                </c:pt>
                <c:pt idx="86">
                  <c:v>39.918999999999997</c:v>
                </c:pt>
                <c:pt idx="87">
                  <c:v>39.918999999999997</c:v>
                </c:pt>
                <c:pt idx="88">
                  <c:v>39.918999999999997</c:v>
                </c:pt>
                <c:pt idx="89">
                  <c:v>39.918999999999997</c:v>
                </c:pt>
                <c:pt idx="90">
                  <c:v>39.918999999999997</c:v>
                </c:pt>
                <c:pt idx="91">
                  <c:v>38.247500000000002</c:v>
                </c:pt>
                <c:pt idx="92">
                  <c:v>38.247500000000002</c:v>
                </c:pt>
                <c:pt idx="93">
                  <c:v>38.247500000000002</c:v>
                </c:pt>
                <c:pt idx="94">
                  <c:v>38.247500000000002</c:v>
                </c:pt>
                <c:pt idx="95">
                  <c:v>38.247500000000002</c:v>
                </c:pt>
                <c:pt idx="96">
                  <c:v>38.247500000000002</c:v>
                </c:pt>
                <c:pt idx="97">
                  <c:v>38.247500000000002</c:v>
                </c:pt>
                <c:pt idx="98">
                  <c:v>38.247500000000002</c:v>
                </c:pt>
                <c:pt idx="99">
                  <c:v>38.247500000000002</c:v>
                </c:pt>
                <c:pt idx="100">
                  <c:v>38.247500000000002</c:v>
                </c:pt>
                <c:pt idx="101">
                  <c:v>38.247500000000002</c:v>
                </c:pt>
                <c:pt idx="102">
                  <c:v>38.247500000000002</c:v>
                </c:pt>
                <c:pt idx="103">
                  <c:v>38.247500000000002</c:v>
                </c:pt>
                <c:pt idx="104">
                  <c:v>52.176900000000003</c:v>
                </c:pt>
                <c:pt idx="105">
                  <c:v>52.176900000000003</c:v>
                </c:pt>
                <c:pt idx="106">
                  <c:v>52.176900000000003</c:v>
                </c:pt>
                <c:pt idx="107">
                  <c:v>52.176900000000003</c:v>
                </c:pt>
                <c:pt idx="108">
                  <c:v>52.176900000000003</c:v>
                </c:pt>
                <c:pt idx="109">
                  <c:v>52.176900000000003</c:v>
                </c:pt>
                <c:pt idx="110">
                  <c:v>52.176900000000003</c:v>
                </c:pt>
                <c:pt idx="111">
                  <c:v>52.176900000000003</c:v>
                </c:pt>
                <c:pt idx="112">
                  <c:v>52.176900000000003</c:v>
                </c:pt>
                <c:pt idx="113">
                  <c:v>52.176900000000003</c:v>
                </c:pt>
                <c:pt idx="114">
                  <c:v>52.176900000000003</c:v>
                </c:pt>
                <c:pt idx="115">
                  <c:v>52.176900000000003</c:v>
                </c:pt>
                <c:pt idx="116">
                  <c:v>52.176900000000003</c:v>
                </c:pt>
                <c:pt idx="117">
                  <c:v>48.839599999999997</c:v>
                </c:pt>
                <c:pt idx="118">
                  <c:v>48.839599999999997</c:v>
                </c:pt>
                <c:pt idx="119">
                  <c:v>48.839599999999997</c:v>
                </c:pt>
                <c:pt idx="120">
                  <c:v>48.839599999999997</c:v>
                </c:pt>
                <c:pt idx="121">
                  <c:v>48.839599999999997</c:v>
                </c:pt>
                <c:pt idx="122">
                  <c:v>48.839599999999997</c:v>
                </c:pt>
                <c:pt idx="123">
                  <c:v>48.839599999999997</c:v>
                </c:pt>
                <c:pt idx="124">
                  <c:v>48.839599999999997</c:v>
                </c:pt>
                <c:pt idx="125">
                  <c:v>48.839599999999997</c:v>
                </c:pt>
                <c:pt idx="126">
                  <c:v>48.839599999999997</c:v>
                </c:pt>
                <c:pt idx="127">
                  <c:v>48.839599999999997</c:v>
                </c:pt>
                <c:pt idx="128">
                  <c:v>48.839599999999997</c:v>
                </c:pt>
                <c:pt idx="129">
                  <c:v>48.839599999999997</c:v>
                </c:pt>
                <c:pt idx="130">
                  <c:v>30.362500000000001</c:v>
                </c:pt>
                <c:pt idx="131">
                  <c:v>30.362500000000001</c:v>
                </c:pt>
                <c:pt idx="132">
                  <c:v>30.362500000000001</c:v>
                </c:pt>
                <c:pt idx="133">
                  <c:v>30.362500000000001</c:v>
                </c:pt>
                <c:pt idx="134">
                  <c:v>30.362500000000001</c:v>
                </c:pt>
                <c:pt idx="135">
                  <c:v>30.362500000000001</c:v>
                </c:pt>
                <c:pt idx="136">
                  <c:v>30.362500000000001</c:v>
                </c:pt>
                <c:pt idx="137">
                  <c:v>30.362500000000001</c:v>
                </c:pt>
                <c:pt idx="138">
                  <c:v>30.362500000000001</c:v>
                </c:pt>
                <c:pt idx="139">
                  <c:v>30.362500000000001</c:v>
                </c:pt>
                <c:pt idx="140">
                  <c:v>30.362500000000001</c:v>
                </c:pt>
                <c:pt idx="141">
                  <c:v>30.362500000000001</c:v>
                </c:pt>
                <c:pt idx="142">
                  <c:v>30.362500000000001</c:v>
                </c:pt>
                <c:pt idx="143">
                  <c:v>28.648900000000001</c:v>
                </c:pt>
                <c:pt idx="144">
                  <c:v>28.648900000000001</c:v>
                </c:pt>
                <c:pt idx="145">
                  <c:v>28.648900000000001</c:v>
                </c:pt>
                <c:pt idx="146">
                  <c:v>28.648900000000001</c:v>
                </c:pt>
                <c:pt idx="147">
                  <c:v>28.648900000000001</c:v>
                </c:pt>
                <c:pt idx="148">
                  <c:v>28.648900000000001</c:v>
                </c:pt>
                <c:pt idx="149">
                  <c:v>28.648900000000001</c:v>
                </c:pt>
                <c:pt idx="150">
                  <c:v>28.648900000000001</c:v>
                </c:pt>
                <c:pt idx="151">
                  <c:v>28.648900000000001</c:v>
                </c:pt>
                <c:pt idx="152">
                  <c:v>28.648900000000001</c:v>
                </c:pt>
                <c:pt idx="153">
                  <c:v>28.648900000000001</c:v>
                </c:pt>
                <c:pt idx="154">
                  <c:v>28.648900000000001</c:v>
                </c:pt>
                <c:pt idx="155">
                  <c:v>28.648900000000001</c:v>
                </c:pt>
                <c:pt idx="156">
                  <c:v>26.875499999999999</c:v>
                </c:pt>
                <c:pt idx="157">
                  <c:v>26.875499999999999</c:v>
                </c:pt>
                <c:pt idx="158">
                  <c:v>26.875499999999999</c:v>
                </c:pt>
                <c:pt idx="159">
                  <c:v>26.875499999999999</c:v>
                </c:pt>
                <c:pt idx="160">
                  <c:v>26.875499999999999</c:v>
                </c:pt>
                <c:pt idx="161">
                  <c:v>26.875499999999999</c:v>
                </c:pt>
                <c:pt idx="162">
                  <c:v>26.875499999999999</c:v>
                </c:pt>
                <c:pt idx="163">
                  <c:v>26.875499999999999</c:v>
                </c:pt>
                <c:pt idx="164">
                  <c:v>26.875499999999999</c:v>
                </c:pt>
                <c:pt idx="165">
                  <c:v>26.875499999999999</c:v>
                </c:pt>
                <c:pt idx="166">
                  <c:v>26.875499999999999</c:v>
                </c:pt>
                <c:pt idx="167">
                  <c:v>26.875499999999999</c:v>
                </c:pt>
                <c:pt idx="168">
                  <c:v>26.875499999999999</c:v>
                </c:pt>
                <c:pt idx="169">
                  <c:v>26.342400000000001</c:v>
                </c:pt>
                <c:pt idx="170">
                  <c:v>26.342400000000001</c:v>
                </c:pt>
                <c:pt idx="171">
                  <c:v>26.342400000000001</c:v>
                </c:pt>
                <c:pt idx="172">
                  <c:v>26.342400000000001</c:v>
                </c:pt>
                <c:pt idx="173">
                  <c:v>26.342400000000001</c:v>
                </c:pt>
                <c:pt idx="174">
                  <c:v>26.342400000000001</c:v>
                </c:pt>
                <c:pt idx="175">
                  <c:v>26.342400000000001</c:v>
                </c:pt>
                <c:pt idx="176">
                  <c:v>26.342400000000001</c:v>
                </c:pt>
                <c:pt idx="177">
                  <c:v>26.342400000000001</c:v>
                </c:pt>
                <c:pt idx="178">
                  <c:v>26.342400000000001</c:v>
                </c:pt>
                <c:pt idx="179">
                  <c:v>26.342400000000001</c:v>
                </c:pt>
                <c:pt idx="180">
                  <c:v>26.342400000000001</c:v>
                </c:pt>
                <c:pt idx="181">
                  <c:v>26.342400000000001</c:v>
                </c:pt>
                <c:pt idx="182">
                  <c:v>26.148199999999999</c:v>
                </c:pt>
                <c:pt idx="183">
                  <c:v>26.148199999999999</c:v>
                </c:pt>
                <c:pt idx="184">
                  <c:v>26.148199999999999</c:v>
                </c:pt>
                <c:pt idx="185">
                  <c:v>26.148199999999999</c:v>
                </c:pt>
                <c:pt idx="186">
                  <c:v>26.148199999999999</c:v>
                </c:pt>
                <c:pt idx="187">
                  <c:v>26.148199999999999</c:v>
                </c:pt>
                <c:pt idx="188">
                  <c:v>26.148199999999999</c:v>
                </c:pt>
                <c:pt idx="189">
                  <c:v>26.148199999999999</c:v>
                </c:pt>
                <c:pt idx="190">
                  <c:v>26.148199999999999</c:v>
                </c:pt>
                <c:pt idx="191">
                  <c:v>26.148199999999999</c:v>
                </c:pt>
                <c:pt idx="192">
                  <c:v>26.148199999999999</c:v>
                </c:pt>
                <c:pt idx="193">
                  <c:v>26.148199999999999</c:v>
                </c:pt>
                <c:pt idx="194">
                  <c:v>26.148199999999999</c:v>
                </c:pt>
                <c:pt idx="195">
                  <c:v>24.729900000000001</c:v>
                </c:pt>
                <c:pt idx="196">
                  <c:v>24.729900000000001</c:v>
                </c:pt>
                <c:pt idx="197">
                  <c:v>24.729900000000001</c:v>
                </c:pt>
                <c:pt idx="198">
                  <c:v>24.729900000000001</c:v>
                </c:pt>
                <c:pt idx="199">
                  <c:v>24.729900000000001</c:v>
                </c:pt>
                <c:pt idx="200">
                  <c:v>24.729900000000001</c:v>
                </c:pt>
                <c:pt idx="201">
                  <c:v>24.729900000000001</c:v>
                </c:pt>
                <c:pt idx="202">
                  <c:v>24.729900000000001</c:v>
                </c:pt>
                <c:pt idx="203">
                  <c:v>24.729900000000001</c:v>
                </c:pt>
                <c:pt idx="204">
                  <c:v>24.729900000000001</c:v>
                </c:pt>
                <c:pt idx="205">
                  <c:v>24.729900000000001</c:v>
                </c:pt>
                <c:pt idx="206">
                  <c:v>24.729900000000001</c:v>
                </c:pt>
                <c:pt idx="207">
                  <c:v>24.729900000000001</c:v>
                </c:pt>
                <c:pt idx="208">
                  <c:v>24.539400000000001</c:v>
                </c:pt>
                <c:pt idx="209">
                  <c:v>24.539400000000001</c:v>
                </c:pt>
                <c:pt idx="210">
                  <c:v>24.539400000000001</c:v>
                </c:pt>
                <c:pt idx="211">
                  <c:v>24.539400000000001</c:v>
                </c:pt>
                <c:pt idx="212">
                  <c:v>24.539400000000001</c:v>
                </c:pt>
                <c:pt idx="213">
                  <c:v>24.539400000000001</c:v>
                </c:pt>
                <c:pt idx="214">
                  <c:v>24.539400000000001</c:v>
                </c:pt>
                <c:pt idx="215">
                  <c:v>24.539400000000001</c:v>
                </c:pt>
                <c:pt idx="216">
                  <c:v>24.539400000000001</c:v>
                </c:pt>
                <c:pt idx="217">
                  <c:v>24.539400000000001</c:v>
                </c:pt>
                <c:pt idx="218">
                  <c:v>24.539400000000001</c:v>
                </c:pt>
                <c:pt idx="219">
                  <c:v>24.539400000000001</c:v>
                </c:pt>
                <c:pt idx="220">
                  <c:v>24.539400000000001</c:v>
                </c:pt>
                <c:pt idx="221">
                  <c:v>25.922799999999999</c:v>
                </c:pt>
                <c:pt idx="222">
                  <c:v>25.922799999999999</c:v>
                </c:pt>
                <c:pt idx="223">
                  <c:v>25.922799999999999</c:v>
                </c:pt>
                <c:pt idx="224">
                  <c:v>25.922799999999999</c:v>
                </c:pt>
                <c:pt idx="225">
                  <c:v>25.922799999999999</c:v>
                </c:pt>
                <c:pt idx="226">
                  <c:v>25.922799999999999</c:v>
                </c:pt>
                <c:pt idx="227">
                  <c:v>25.922799999999999</c:v>
                </c:pt>
                <c:pt idx="228">
                  <c:v>25.922799999999999</c:v>
                </c:pt>
                <c:pt idx="229">
                  <c:v>25.922799999999999</c:v>
                </c:pt>
                <c:pt idx="230">
                  <c:v>25.922799999999999</c:v>
                </c:pt>
                <c:pt idx="231">
                  <c:v>25.922799999999999</c:v>
                </c:pt>
                <c:pt idx="232">
                  <c:v>25.922799999999999</c:v>
                </c:pt>
                <c:pt idx="233">
                  <c:v>25.922799999999999</c:v>
                </c:pt>
                <c:pt idx="234">
                  <c:v>35.533799999999999</c:v>
                </c:pt>
                <c:pt idx="235">
                  <c:v>35.533799999999999</c:v>
                </c:pt>
                <c:pt idx="236">
                  <c:v>35.533799999999999</c:v>
                </c:pt>
                <c:pt idx="237">
                  <c:v>35.533799999999999</c:v>
                </c:pt>
                <c:pt idx="238">
                  <c:v>35.533799999999999</c:v>
                </c:pt>
                <c:pt idx="239">
                  <c:v>35.533799999999999</c:v>
                </c:pt>
                <c:pt idx="240">
                  <c:v>35.533799999999999</c:v>
                </c:pt>
                <c:pt idx="241">
                  <c:v>35.533799999999999</c:v>
                </c:pt>
                <c:pt idx="242">
                  <c:v>35.533799999999999</c:v>
                </c:pt>
                <c:pt idx="243">
                  <c:v>35.533799999999999</c:v>
                </c:pt>
                <c:pt idx="244">
                  <c:v>35.533799999999999</c:v>
                </c:pt>
                <c:pt idx="245">
                  <c:v>35.533799999999999</c:v>
                </c:pt>
                <c:pt idx="246">
                  <c:v>35.533799999999999</c:v>
                </c:pt>
                <c:pt idx="247">
                  <c:v>20.617899999999999</c:v>
                </c:pt>
                <c:pt idx="248">
                  <c:v>20.617899999999999</c:v>
                </c:pt>
                <c:pt idx="249">
                  <c:v>20.617899999999999</c:v>
                </c:pt>
                <c:pt idx="250">
                  <c:v>20.617899999999999</c:v>
                </c:pt>
                <c:pt idx="251">
                  <c:v>20.617899999999999</c:v>
                </c:pt>
                <c:pt idx="252">
                  <c:v>20.617899999999999</c:v>
                </c:pt>
                <c:pt idx="253">
                  <c:v>20.617899999999999</c:v>
                </c:pt>
                <c:pt idx="254">
                  <c:v>20.617899999999999</c:v>
                </c:pt>
                <c:pt idx="255">
                  <c:v>20.617899999999999</c:v>
                </c:pt>
                <c:pt idx="256">
                  <c:v>20.617899999999999</c:v>
                </c:pt>
                <c:pt idx="257">
                  <c:v>20.617899999999999</c:v>
                </c:pt>
                <c:pt idx="258">
                  <c:v>20.617899999999999</c:v>
                </c:pt>
                <c:pt idx="259">
                  <c:v>20.617899999999999</c:v>
                </c:pt>
                <c:pt idx="260">
                  <c:v>23.244299999999999</c:v>
                </c:pt>
                <c:pt idx="261">
                  <c:v>23.244299999999999</c:v>
                </c:pt>
                <c:pt idx="262">
                  <c:v>23.244299999999999</c:v>
                </c:pt>
                <c:pt idx="263">
                  <c:v>23.244299999999999</c:v>
                </c:pt>
                <c:pt idx="264">
                  <c:v>23.244299999999999</c:v>
                </c:pt>
                <c:pt idx="265">
                  <c:v>23.244299999999999</c:v>
                </c:pt>
                <c:pt idx="266">
                  <c:v>23.244299999999999</c:v>
                </c:pt>
                <c:pt idx="267">
                  <c:v>23.244299999999999</c:v>
                </c:pt>
                <c:pt idx="268">
                  <c:v>23.244299999999999</c:v>
                </c:pt>
                <c:pt idx="269">
                  <c:v>23.244299999999999</c:v>
                </c:pt>
                <c:pt idx="270">
                  <c:v>23.244299999999999</c:v>
                </c:pt>
                <c:pt idx="271">
                  <c:v>23.244299999999999</c:v>
                </c:pt>
                <c:pt idx="272">
                  <c:v>23.244299999999999</c:v>
                </c:pt>
                <c:pt idx="273">
                  <c:v>23.244299999999999</c:v>
                </c:pt>
                <c:pt idx="274">
                  <c:v>22.279699999999998</c:v>
                </c:pt>
                <c:pt idx="275">
                  <c:v>22.279699999999998</c:v>
                </c:pt>
                <c:pt idx="276">
                  <c:v>22.279699999999998</c:v>
                </c:pt>
                <c:pt idx="277">
                  <c:v>22.279699999999998</c:v>
                </c:pt>
                <c:pt idx="278">
                  <c:v>22.279699999999998</c:v>
                </c:pt>
                <c:pt idx="279">
                  <c:v>22.279699999999998</c:v>
                </c:pt>
                <c:pt idx="280">
                  <c:v>22.279699999999998</c:v>
                </c:pt>
                <c:pt idx="281">
                  <c:v>22.279699999999998</c:v>
                </c:pt>
                <c:pt idx="282">
                  <c:v>22.279699999999998</c:v>
                </c:pt>
                <c:pt idx="283">
                  <c:v>22.279699999999998</c:v>
                </c:pt>
                <c:pt idx="284">
                  <c:v>22.279699999999998</c:v>
                </c:pt>
                <c:pt idx="285">
                  <c:v>22.279699999999998</c:v>
                </c:pt>
                <c:pt idx="286">
                  <c:v>22.279699999999998</c:v>
                </c:pt>
                <c:pt idx="287">
                  <c:v>20.617899999999999</c:v>
                </c:pt>
                <c:pt idx="288">
                  <c:v>20.617899999999999</c:v>
                </c:pt>
                <c:pt idx="289">
                  <c:v>20.617899999999999</c:v>
                </c:pt>
                <c:pt idx="290">
                  <c:v>20.617899999999999</c:v>
                </c:pt>
                <c:pt idx="291">
                  <c:v>20.617899999999999</c:v>
                </c:pt>
                <c:pt idx="292">
                  <c:v>20.617899999999999</c:v>
                </c:pt>
                <c:pt idx="293">
                  <c:v>20.617899999999999</c:v>
                </c:pt>
                <c:pt idx="294">
                  <c:v>20.617899999999999</c:v>
                </c:pt>
                <c:pt idx="295">
                  <c:v>20.617899999999999</c:v>
                </c:pt>
                <c:pt idx="296">
                  <c:v>20.617899999999999</c:v>
                </c:pt>
                <c:pt idx="297">
                  <c:v>20.617899999999999</c:v>
                </c:pt>
                <c:pt idx="298">
                  <c:v>20.617899999999999</c:v>
                </c:pt>
                <c:pt idx="299">
                  <c:v>20.617899999999999</c:v>
                </c:pt>
                <c:pt idx="300">
                  <c:v>18.9114</c:v>
                </c:pt>
                <c:pt idx="301">
                  <c:v>18.9114</c:v>
                </c:pt>
                <c:pt idx="302">
                  <c:v>18.9114</c:v>
                </c:pt>
                <c:pt idx="303">
                  <c:v>18.9114</c:v>
                </c:pt>
                <c:pt idx="304">
                  <c:v>18.9114</c:v>
                </c:pt>
                <c:pt idx="305">
                  <c:v>18.9114</c:v>
                </c:pt>
                <c:pt idx="306">
                  <c:v>18.9114</c:v>
                </c:pt>
                <c:pt idx="307">
                  <c:v>18.9114</c:v>
                </c:pt>
                <c:pt idx="308">
                  <c:v>18.9114</c:v>
                </c:pt>
                <c:pt idx="309">
                  <c:v>18.9114</c:v>
                </c:pt>
                <c:pt idx="310">
                  <c:v>18.9114</c:v>
                </c:pt>
                <c:pt idx="311">
                  <c:v>18.9114</c:v>
                </c:pt>
                <c:pt idx="312">
                  <c:v>18.9114</c:v>
                </c:pt>
                <c:pt idx="313">
                  <c:v>21.0457</c:v>
                </c:pt>
                <c:pt idx="314">
                  <c:v>21.0457</c:v>
                </c:pt>
                <c:pt idx="315">
                  <c:v>21.0457</c:v>
                </c:pt>
                <c:pt idx="316">
                  <c:v>21.0457</c:v>
                </c:pt>
                <c:pt idx="317">
                  <c:v>21.0457</c:v>
                </c:pt>
                <c:pt idx="318">
                  <c:v>21.0457</c:v>
                </c:pt>
                <c:pt idx="319">
                  <c:v>21.0457</c:v>
                </c:pt>
                <c:pt idx="320">
                  <c:v>21.0457</c:v>
                </c:pt>
                <c:pt idx="321">
                  <c:v>21.0457</c:v>
                </c:pt>
                <c:pt idx="322">
                  <c:v>21.0457</c:v>
                </c:pt>
                <c:pt idx="323">
                  <c:v>21.0457</c:v>
                </c:pt>
                <c:pt idx="324">
                  <c:v>21.0457</c:v>
                </c:pt>
                <c:pt idx="325">
                  <c:v>21.0457</c:v>
                </c:pt>
                <c:pt idx="326">
                  <c:v>22.0093</c:v>
                </c:pt>
                <c:pt idx="327">
                  <c:v>22.0093</c:v>
                </c:pt>
                <c:pt idx="328">
                  <c:v>22.0093</c:v>
                </c:pt>
                <c:pt idx="329">
                  <c:v>22.0093</c:v>
                </c:pt>
                <c:pt idx="330">
                  <c:v>22.0093</c:v>
                </c:pt>
                <c:pt idx="331">
                  <c:v>22.0093</c:v>
                </c:pt>
                <c:pt idx="332">
                  <c:v>22.0093</c:v>
                </c:pt>
                <c:pt idx="333">
                  <c:v>22.0093</c:v>
                </c:pt>
                <c:pt idx="334">
                  <c:v>22.0093</c:v>
                </c:pt>
                <c:pt idx="335">
                  <c:v>22.0093</c:v>
                </c:pt>
                <c:pt idx="336">
                  <c:v>22.0093</c:v>
                </c:pt>
                <c:pt idx="337">
                  <c:v>22.0093</c:v>
                </c:pt>
                <c:pt idx="338">
                  <c:v>22.0093</c:v>
                </c:pt>
                <c:pt idx="339">
                  <c:v>35.287399999999998</c:v>
                </c:pt>
                <c:pt idx="340">
                  <c:v>35.287399999999998</c:v>
                </c:pt>
                <c:pt idx="341">
                  <c:v>35.287399999999998</c:v>
                </c:pt>
                <c:pt idx="342">
                  <c:v>35.287399999999998</c:v>
                </c:pt>
                <c:pt idx="343">
                  <c:v>35.287399999999998</c:v>
                </c:pt>
                <c:pt idx="344">
                  <c:v>35.287399999999998</c:v>
                </c:pt>
                <c:pt idx="345">
                  <c:v>35.287399999999998</c:v>
                </c:pt>
                <c:pt idx="346">
                  <c:v>35.287399999999998</c:v>
                </c:pt>
                <c:pt idx="347">
                  <c:v>35.287399999999998</c:v>
                </c:pt>
                <c:pt idx="348">
                  <c:v>35.287399999999998</c:v>
                </c:pt>
                <c:pt idx="349">
                  <c:v>35.287399999999998</c:v>
                </c:pt>
                <c:pt idx="350">
                  <c:v>35.287399999999998</c:v>
                </c:pt>
                <c:pt idx="351">
                  <c:v>35.287399999999998</c:v>
                </c:pt>
                <c:pt idx="352">
                  <c:v>30.483499999999999</c:v>
                </c:pt>
                <c:pt idx="353">
                  <c:v>30.483499999999999</c:v>
                </c:pt>
                <c:pt idx="354">
                  <c:v>30.483499999999999</c:v>
                </c:pt>
                <c:pt idx="355">
                  <c:v>30.483499999999999</c:v>
                </c:pt>
                <c:pt idx="356">
                  <c:v>30.483499999999999</c:v>
                </c:pt>
                <c:pt idx="357">
                  <c:v>30.483499999999999</c:v>
                </c:pt>
                <c:pt idx="358">
                  <c:v>30.483499999999999</c:v>
                </c:pt>
                <c:pt idx="359">
                  <c:v>30.483499999999999</c:v>
                </c:pt>
                <c:pt idx="360">
                  <c:v>30.483499999999999</c:v>
                </c:pt>
                <c:pt idx="361">
                  <c:v>30.483499999999999</c:v>
                </c:pt>
                <c:pt idx="362">
                  <c:v>30.483499999999999</c:v>
                </c:pt>
                <c:pt idx="363">
                  <c:v>30.483499999999999</c:v>
                </c:pt>
                <c:pt idx="364">
                  <c:v>30.483499999999999</c:v>
                </c:pt>
                <c:pt idx="365">
                  <c:v>30.104199999999999</c:v>
                </c:pt>
                <c:pt idx="366">
                  <c:v>30.104199999999999</c:v>
                </c:pt>
                <c:pt idx="367">
                  <c:v>30.104199999999999</c:v>
                </c:pt>
                <c:pt idx="368">
                  <c:v>30.104199999999999</c:v>
                </c:pt>
                <c:pt idx="369">
                  <c:v>30.104199999999999</c:v>
                </c:pt>
                <c:pt idx="370">
                  <c:v>30.104199999999999</c:v>
                </c:pt>
                <c:pt idx="371">
                  <c:v>30.104199999999999</c:v>
                </c:pt>
                <c:pt idx="372">
                  <c:v>30.104199999999999</c:v>
                </c:pt>
                <c:pt idx="373">
                  <c:v>30.104199999999999</c:v>
                </c:pt>
                <c:pt idx="374">
                  <c:v>30.104199999999999</c:v>
                </c:pt>
                <c:pt idx="375">
                  <c:v>30.104199999999999</c:v>
                </c:pt>
                <c:pt idx="376">
                  <c:v>30.104199999999999</c:v>
                </c:pt>
                <c:pt idx="377">
                  <c:v>30.104199999999999</c:v>
                </c:pt>
                <c:pt idx="378">
                  <c:v>30.104199999999999</c:v>
                </c:pt>
                <c:pt idx="379">
                  <c:v>30.104199999999999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9-4EAC-BA01-38C379E6A9DC}"/>
            </c:ext>
          </c:extLst>
        </c:ser>
        <c:ser>
          <c:idx val="3"/>
          <c:order val="2"/>
          <c:tx>
            <c:strRef>
              <c:f>Base!$Y$4</c:f>
              <c:strCache>
                <c:ptCount val="1"/>
                <c:pt idx="0">
                  <c:v>TGNO4 AR Equity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Base!$AB$6:$AB$2000</c:f>
              <c:numCache>
                <c:formatCode>General</c:formatCode>
                <c:ptCount val="1995"/>
                <c:pt idx="0">
                  <c:v>17.2166</c:v>
                </c:pt>
                <c:pt idx="1">
                  <c:v>17.2166</c:v>
                </c:pt>
                <c:pt idx="2">
                  <c:v>17.2166</c:v>
                </c:pt>
                <c:pt idx="3">
                  <c:v>17.2166</c:v>
                </c:pt>
                <c:pt idx="4">
                  <c:v>17.2166</c:v>
                </c:pt>
                <c:pt idx="5">
                  <c:v>17.2166</c:v>
                </c:pt>
                <c:pt idx="6">
                  <c:v>17.2166</c:v>
                </c:pt>
                <c:pt idx="7">
                  <c:v>17.2166</c:v>
                </c:pt>
                <c:pt idx="8">
                  <c:v>17.2166</c:v>
                </c:pt>
                <c:pt idx="9">
                  <c:v>17.2166</c:v>
                </c:pt>
                <c:pt idx="10">
                  <c:v>17.2166</c:v>
                </c:pt>
                <c:pt idx="11">
                  <c:v>17.2166</c:v>
                </c:pt>
                <c:pt idx="12">
                  <c:v>17.2166</c:v>
                </c:pt>
                <c:pt idx="13">
                  <c:v>20.0245</c:v>
                </c:pt>
                <c:pt idx="14">
                  <c:v>20.0245</c:v>
                </c:pt>
                <c:pt idx="15">
                  <c:v>20.0245</c:v>
                </c:pt>
                <c:pt idx="16">
                  <c:v>20.0245</c:v>
                </c:pt>
                <c:pt idx="17">
                  <c:v>20.0245</c:v>
                </c:pt>
                <c:pt idx="18">
                  <c:v>20.0245</c:v>
                </c:pt>
                <c:pt idx="19">
                  <c:v>20.0245</c:v>
                </c:pt>
                <c:pt idx="20">
                  <c:v>20.0245</c:v>
                </c:pt>
                <c:pt idx="21">
                  <c:v>20.0245</c:v>
                </c:pt>
                <c:pt idx="22">
                  <c:v>20.0245</c:v>
                </c:pt>
                <c:pt idx="23">
                  <c:v>20.0245</c:v>
                </c:pt>
                <c:pt idx="24">
                  <c:v>20.0245</c:v>
                </c:pt>
                <c:pt idx="25">
                  <c:v>20.0245</c:v>
                </c:pt>
                <c:pt idx="26">
                  <c:v>14.457100000000001</c:v>
                </c:pt>
                <c:pt idx="27">
                  <c:v>14.457100000000001</c:v>
                </c:pt>
                <c:pt idx="28">
                  <c:v>14.457100000000001</c:v>
                </c:pt>
                <c:pt idx="29">
                  <c:v>14.457100000000001</c:v>
                </c:pt>
                <c:pt idx="30">
                  <c:v>14.457100000000001</c:v>
                </c:pt>
                <c:pt idx="31">
                  <c:v>14.457100000000001</c:v>
                </c:pt>
                <c:pt idx="32">
                  <c:v>14.457100000000001</c:v>
                </c:pt>
                <c:pt idx="33">
                  <c:v>14.457100000000001</c:v>
                </c:pt>
                <c:pt idx="34">
                  <c:v>14.457100000000001</c:v>
                </c:pt>
                <c:pt idx="35">
                  <c:v>14.457100000000001</c:v>
                </c:pt>
                <c:pt idx="36">
                  <c:v>14.457100000000001</c:v>
                </c:pt>
                <c:pt idx="37">
                  <c:v>14.457100000000001</c:v>
                </c:pt>
                <c:pt idx="38">
                  <c:v>14.457100000000001</c:v>
                </c:pt>
                <c:pt idx="39">
                  <c:v>13.395899999999999</c:v>
                </c:pt>
                <c:pt idx="40">
                  <c:v>13.395899999999999</c:v>
                </c:pt>
                <c:pt idx="41">
                  <c:v>13.395899999999999</c:v>
                </c:pt>
                <c:pt idx="42">
                  <c:v>13.395899999999999</c:v>
                </c:pt>
                <c:pt idx="43">
                  <c:v>13.395899999999999</c:v>
                </c:pt>
                <c:pt idx="44">
                  <c:v>13.395899999999999</c:v>
                </c:pt>
                <c:pt idx="45">
                  <c:v>13.395899999999999</c:v>
                </c:pt>
                <c:pt idx="46">
                  <c:v>13.395899999999999</c:v>
                </c:pt>
                <c:pt idx="47">
                  <c:v>13.395899999999999</c:v>
                </c:pt>
                <c:pt idx="48">
                  <c:v>13.395899999999999</c:v>
                </c:pt>
                <c:pt idx="49">
                  <c:v>13.395899999999999</c:v>
                </c:pt>
                <c:pt idx="50">
                  <c:v>13.395899999999999</c:v>
                </c:pt>
                <c:pt idx="51">
                  <c:v>13.395899999999999</c:v>
                </c:pt>
                <c:pt idx="52">
                  <c:v>12.5435</c:v>
                </c:pt>
                <c:pt idx="53">
                  <c:v>12.5435</c:v>
                </c:pt>
                <c:pt idx="54">
                  <c:v>12.5435</c:v>
                </c:pt>
                <c:pt idx="55">
                  <c:v>12.5435</c:v>
                </c:pt>
                <c:pt idx="56">
                  <c:v>12.5435</c:v>
                </c:pt>
                <c:pt idx="57">
                  <c:v>12.5435</c:v>
                </c:pt>
                <c:pt idx="58">
                  <c:v>12.5435</c:v>
                </c:pt>
                <c:pt idx="59">
                  <c:v>12.5435</c:v>
                </c:pt>
                <c:pt idx="60">
                  <c:v>12.5435</c:v>
                </c:pt>
                <c:pt idx="61">
                  <c:v>12.5435</c:v>
                </c:pt>
                <c:pt idx="62">
                  <c:v>12.5435</c:v>
                </c:pt>
                <c:pt idx="63">
                  <c:v>12.5435</c:v>
                </c:pt>
                <c:pt idx="64">
                  <c:v>12.5435</c:v>
                </c:pt>
                <c:pt idx="65">
                  <c:v>11.1836</c:v>
                </c:pt>
                <c:pt idx="66">
                  <c:v>11.1836</c:v>
                </c:pt>
                <c:pt idx="67">
                  <c:v>11.1836</c:v>
                </c:pt>
                <c:pt idx="68">
                  <c:v>11.1836</c:v>
                </c:pt>
                <c:pt idx="69">
                  <c:v>11.1836</c:v>
                </c:pt>
                <c:pt idx="70">
                  <c:v>11.1836</c:v>
                </c:pt>
                <c:pt idx="71">
                  <c:v>11.1836</c:v>
                </c:pt>
                <c:pt idx="72">
                  <c:v>11.1836</c:v>
                </c:pt>
                <c:pt idx="73">
                  <c:v>11.1836</c:v>
                </c:pt>
                <c:pt idx="74">
                  <c:v>11.1836</c:v>
                </c:pt>
                <c:pt idx="75">
                  <c:v>11.1836</c:v>
                </c:pt>
                <c:pt idx="76">
                  <c:v>11.1836</c:v>
                </c:pt>
                <c:pt idx="77">
                  <c:v>11.1836</c:v>
                </c:pt>
                <c:pt idx="78">
                  <c:v>9.6834000000000007</c:v>
                </c:pt>
                <c:pt idx="79">
                  <c:v>9.6834000000000007</c:v>
                </c:pt>
                <c:pt idx="80">
                  <c:v>9.6834000000000007</c:v>
                </c:pt>
                <c:pt idx="81">
                  <c:v>9.6834000000000007</c:v>
                </c:pt>
                <c:pt idx="82">
                  <c:v>9.6834000000000007</c:v>
                </c:pt>
                <c:pt idx="83">
                  <c:v>9.6834000000000007</c:v>
                </c:pt>
                <c:pt idx="84">
                  <c:v>9.6834000000000007</c:v>
                </c:pt>
                <c:pt idx="85">
                  <c:v>9.6834000000000007</c:v>
                </c:pt>
                <c:pt idx="86">
                  <c:v>9.6834000000000007</c:v>
                </c:pt>
                <c:pt idx="87">
                  <c:v>9.6834000000000007</c:v>
                </c:pt>
                <c:pt idx="88">
                  <c:v>9.6834000000000007</c:v>
                </c:pt>
                <c:pt idx="89">
                  <c:v>9.6834000000000007</c:v>
                </c:pt>
                <c:pt idx="90">
                  <c:v>9.6834000000000007</c:v>
                </c:pt>
                <c:pt idx="91">
                  <c:v>8.7568000000000001</c:v>
                </c:pt>
                <c:pt idx="92">
                  <c:v>8.7568000000000001</c:v>
                </c:pt>
                <c:pt idx="93">
                  <c:v>8.7568000000000001</c:v>
                </c:pt>
                <c:pt idx="94">
                  <c:v>8.7568000000000001</c:v>
                </c:pt>
                <c:pt idx="95">
                  <c:v>8.7568000000000001</c:v>
                </c:pt>
                <c:pt idx="96">
                  <c:v>8.7568000000000001</c:v>
                </c:pt>
                <c:pt idx="97">
                  <c:v>8.7568000000000001</c:v>
                </c:pt>
                <c:pt idx="98">
                  <c:v>8.7568000000000001</c:v>
                </c:pt>
                <c:pt idx="99">
                  <c:v>8.7568000000000001</c:v>
                </c:pt>
                <c:pt idx="100">
                  <c:v>8.7568000000000001</c:v>
                </c:pt>
                <c:pt idx="101">
                  <c:v>8.7568000000000001</c:v>
                </c:pt>
                <c:pt idx="102">
                  <c:v>8.7568000000000001</c:v>
                </c:pt>
                <c:pt idx="103">
                  <c:v>8.7568000000000001</c:v>
                </c:pt>
                <c:pt idx="104">
                  <c:v>10.691000000000001</c:v>
                </c:pt>
                <c:pt idx="105">
                  <c:v>10.691000000000001</c:v>
                </c:pt>
                <c:pt idx="106">
                  <c:v>10.691000000000001</c:v>
                </c:pt>
                <c:pt idx="107">
                  <c:v>10.691000000000001</c:v>
                </c:pt>
                <c:pt idx="108">
                  <c:v>10.691000000000001</c:v>
                </c:pt>
                <c:pt idx="109">
                  <c:v>10.691000000000001</c:v>
                </c:pt>
                <c:pt idx="110">
                  <c:v>10.691000000000001</c:v>
                </c:pt>
                <c:pt idx="111">
                  <c:v>10.691000000000001</c:v>
                </c:pt>
                <c:pt idx="112">
                  <c:v>10.691000000000001</c:v>
                </c:pt>
                <c:pt idx="113">
                  <c:v>10.691000000000001</c:v>
                </c:pt>
                <c:pt idx="114">
                  <c:v>10.691000000000001</c:v>
                </c:pt>
                <c:pt idx="115">
                  <c:v>10.691000000000001</c:v>
                </c:pt>
                <c:pt idx="116">
                  <c:v>10.691000000000001</c:v>
                </c:pt>
                <c:pt idx="117">
                  <c:v>8.0088000000000008</c:v>
                </c:pt>
                <c:pt idx="118">
                  <c:v>8.0088000000000008</c:v>
                </c:pt>
                <c:pt idx="119">
                  <c:v>8.0088000000000008</c:v>
                </c:pt>
                <c:pt idx="120">
                  <c:v>8.0088000000000008</c:v>
                </c:pt>
                <c:pt idx="121">
                  <c:v>8.0088000000000008</c:v>
                </c:pt>
                <c:pt idx="122">
                  <c:v>8.0088000000000008</c:v>
                </c:pt>
                <c:pt idx="123">
                  <c:v>8.0088000000000008</c:v>
                </c:pt>
                <c:pt idx="124">
                  <c:v>8.0088000000000008</c:v>
                </c:pt>
                <c:pt idx="125">
                  <c:v>8.0088000000000008</c:v>
                </c:pt>
                <c:pt idx="126">
                  <c:v>8.0088000000000008</c:v>
                </c:pt>
                <c:pt idx="127">
                  <c:v>8.0088000000000008</c:v>
                </c:pt>
                <c:pt idx="128">
                  <c:v>8.0088000000000008</c:v>
                </c:pt>
                <c:pt idx="129">
                  <c:v>8.0088000000000008</c:v>
                </c:pt>
                <c:pt idx="130">
                  <c:v>7.8756000000000004</c:v>
                </c:pt>
                <c:pt idx="131">
                  <c:v>7.8756000000000004</c:v>
                </c:pt>
                <c:pt idx="132">
                  <c:v>7.8756000000000004</c:v>
                </c:pt>
                <c:pt idx="133">
                  <c:v>7.8756000000000004</c:v>
                </c:pt>
                <c:pt idx="134">
                  <c:v>7.8756000000000004</c:v>
                </c:pt>
                <c:pt idx="135">
                  <c:v>7.8756000000000004</c:v>
                </c:pt>
                <c:pt idx="136">
                  <c:v>7.8756000000000004</c:v>
                </c:pt>
                <c:pt idx="137">
                  <c:v>7.8756000000000004</c:v>
                </c:pt>
                <c:pt idx="138">
                  <c:v>7.8756000000000004</c:v>
                </c:pt>
                <c:pt idx="139">
                  <c:v>7.8756000000000004</c:v>
                </c:pt>
                <c:pt idx="140">
                  <c:v>7.8756000000000004</c:v>
                </c:pt>
                <c:pt idx="141">
                  <c:v>7.8756000000000004</c:v>
                </c:pt>
                <c:pt idx="142">
                  <c:v>7.8756000000000004</c:v>
                </c:pt>
                <c:pt idx="143">
                  <c:v>7.2720000000000002</c:v>
                </c:pt>
                <c:pt idx="144">
                  <c:v>7.2720000000000002</c:v>
                </c:pt>
                <c:pt idx="145">
                  <c:v>7.2720000000000002</c:v>
                </c:pt>
                <c:pt idx="146">
                  <c:v>7.2720000000000002</c:v>
                </c:pt>
                <c:pt idx="147">
                  <c:v>7.2720000000000002</c:v>
                </c:pt>
                <c:pt idx="148">
                  <c:v>7.2720000000000002</c:v>
                </c:pt>
                <c:pt idx="149">
                  <c:v>7.2720000000000002</c:v>
                </c:pt>
                <c:pt idx="150">
                  <c:v>7.2720000000000002</c:v>
                </c:pt>
                <c:pt idx="151">
                  <c:v>7.2720000000000002</c:v>
                </c:pt>
                <c:pt idx="152">
                  <c:v>7.2720000000000002</c:v>
                </c:pt>
                <c:pt idx="153">
                  <c:v>7.2720000000000002</c:v>
                </c:pt>
                <c:pt idx="154">
                  <c:v>7.2720000000000002</c:v>
                </c:pt>
                <c:pt idx="155">
                  <c:v>7.2720000000000002</c:v>
                </c:pt>
                <c:pt idx="156">
                  <c:v>7.0754999999999999</c:v>
                </c:pt>
                <c:pt idx="157">
                  <c:v>7.0754999999999999</c:v>
                </c:pt>
                <c:pt idx="158">
                  <c:v>7.0754999999999999</c:v>
                </c:pt>
                <c:pt idx="159">
                  <c:v>7.0754999999999999</c:v>
                </c:pt>
                <c:pt idx="160">
                  <c:v>7.0754999999999999</c:v>
                </c:pt>
                <c:pt idx="161">
                  <c:v>7.0754999999999999</c:v>
                </c:pt>
                <c:pt idx="162">
                  <c:v>7.0754999999999999</c:v>
                </c:pt>
                <c:pt idx="163">
                  <c:v>7.0754999999999999</c:v>
                </c:pt>
                <c:pt idx="164">
                  <c:v>7.0754999999999999</c:v>
                </c:pt>
                <c:pt idx="165">
                  <c:v>7.0754999999999999</c:v>
                </c:pt>
                <c:pt idx="166">
                  <c:v>7.0754999999999999</c:v>
                </c:pt>
                <c:pt idx="167">
                  <c:v>7.0754999999999999</c:v>
                </c:pt>
                <c:pt idx="168">
                  <c:v>7.0754999999999999</c:v>
                </c:pt>
                <c:pt idx="169">
                  <c:v>7.7309000000000001</c:v>
                </c:pt>
                <c:pt idx="170">
                  <c:v>7.7309000000000001</c:v>
                </c:pt>
                <c:pt idx="171">
                  <c:v>7.7309000000000001</c:v>
                </c:pt>
                <c:pt idx="172">
                  <c:v>7.7309000000000001</c:v>
                </c:pt>
                <c:pt idx="173">
                  <c:v>7.7309000000000001</c:v>
                </c:pt>
                <c:pt idx="174">
                  <c:v>7.7309000000000001</c:v>
                </c:pt>
                <c:pt idx="175">
                  <c:v>7.7309000000000001</c:v>
                </c:pt>
                <c:pt idx="176">
                  <c:v>7.7309000000000001</c:v>
                </c:pt>
                <c:pt idx="177">
                  <c:v>7.7309000000000001</c:v>
                </c:pt>
                <c:pt idx="178">
                  <c:v>7.7309000000000001</c:v>
                </c:pt>
                <c:pt idx="179">
                  <c:v>7.7309000000000001</c:v>
                </c:pt>
                <c:pt idx="180">
                  <c:v>7.7309000000000001</c:v>
                </c:pt>
                <c:pt idx="181">
                  <c:v>7.7309000000000001</c:v>
                </c:pt>
                <c:pt idx="182">
                  <c:v>7.6670999999999996</c:v>
                </c:pt>
                <c:pt idx="183">
                  <c:v>7.6670999999999996</c:v>
                </c:pt>
                <c:pt idx="184">
                  <c:v>7.6670999999999996</c:v>
                </c:pt>
                <c:pt idx="185">
                  <c:v>7.6670999999999996</c:v>
                </c:pt>
                <c:pt idx="186">
                  <c:v>7.6670999999999996</c:v>
                </c:pt>
                <c:pt idx="187">
                  <c:v>7.6670999999999996</c:v>
                </c:pt>
                <c:pt idx="188">
                  <c:v>7.6670999999999996</c:v>
                </c:pt>
                <c:pt idx="189">
                  <c:v>7.6670999999999996</c:v>
                </c:pt>
                <c:pt idx="190">
                  <c:v>7.6670999999999996</c:v>
                </c:pt>
                <c:pt idx="191">
                  <c:v>7.6670999999999996</c:v>
                </c:pt>
                <c:pt idx="192">
                  <c:v>7.6670999999999996</c:v>
                </c:pt>
                <c:pt idx="193">
                  <c:v>7.6670999999999996</c:v>
                </c:pt>
                <c:pt idx="194">
                  <c:v>7.6670999999999996</c:v>
                </c:pt>
                <c:pt idx="195">
                  <c:v>7.1066000000000003</c:v>
                </c:pt>
                <c:pt idx="196">
                  <c:v>7.1066000000000003</c:v>
                </c:pt>
                <c:pt idx="197">
                  <c:v>7.1066000000000003</c:v>
                </c:pt>
                <c:pt idx="198">
                  <c:v>7.1066000000000003</c:v>
                </c:pt>
                <c:pt idx="199">
                  <c:v>7.1066000000000003</c:v>
                </c:pt>
                <c:pt idx="200">
                  <c:v>7.1066000000000003</c:v>
                </c:pt>
                <c:pt idx="201">
                  <c:v>7.1066000000000003</c:v>
                </c:pt>
                <c:pt idx="202">
                  <c:v>7.1066000000000003</c:v>
                </c:pt>
                <c:pt idx="203">
                  <c:v>7.1066000000000003</c:v>
                </c:pt>
                <c:pt idx="204">
                  <c:v>7.1066000000000003</c:v>
                </c:pt>
                <c:pt idx="205">
                  <c:v>7.1066000000000003</c:v>
                </c:pt>
                <c:pt idx="206">
                  <c:v>7.1066000000000003</c:v>
                </c:pt>
                <c:pt idx="207">
                  <c:v>7.1066000000000003</c:v>
                </c:pt>
                <c:pt idx="208">
                  <c:v>6.9259000000000004</c:v>
                </c:pt>
                <c:pt idx="209">
                  <c:v>6.9259000000000004</c:v>
                </c:pt>
                <c:pt idx="210">
                  <c:v>6.9259000000000004</c:v>
                </c:pt>
                <c:pt idx="211">
                  <c:v>6.9259000000000004</c:v>
                </c:pt>
                <c:pt idx="212">
                  <c:v>6.9259000000000004</c:v>
                </c:pt>
                <c:pt idx="213">
                  <c:v>6.9259000000000004</c:v>
                </c:pt>
                <c:pt idx="214">
                  <c:v>6.9259000000000004</c:v>
                </c:pt>
                <c:pt idx="215">
                  <c:v>6.9259000000000004</c:v>
                </c:pt>
                <c:pt idx="216">
                  <c:v>6.9259000000000004</c:v>
                </c:pt>
                <c:pt idx="217">
                  <c:v>6.9259000000000004</c:v>
                </c:pt>
                <c:pt idx="218">
                  <c:v>6.9259000000000004</c:v>
                </c:pt>
                <c:pt idx="219">
                  <c:v>6.9259000000000004</c:v>
                </c:pt>
                <c:pt idx="220">
                  <c:v>6.9259000000000004</c:v>
                </c:pt>
                <c:pt idx="221">
                  <c:v>7.0580999999999996</c:v>
                </c:pt>
                <c:pt idx="222">
                  <c:v>7.0580999999999996</c:v>
                </c:pt>
                <c:pt idx="223">
                  <c:v>7.0580999999999996</c:v>
                </c:pt>
                <c:pt idx="224">
                  <c:v>7.0580999999999996</c:v>
                </c:pt>
                <c:pt idx="225">
                  <c:v>7.0580999999999996</c:v>
                </c:pt>
                <c:pt idx="226">
                  <c:v>7.0580999999999996</c:v>
                </c:pt>
                <c:pt idx="227">
                  <c:v>7.0580999999999996</c:v>
                </c:pt>
                <c:pt idx="228">
                  <c:v>7.0580999999999996</c:v>
                </c:pt>
                <c:pt idx="229">
                  <c:v>7.0580999999999996</c:v>
                </c:pt>
                <c:pt idx="230">
                  <c:v>7.0580999999999996</c:v>
                </c:pt>
                <c:pt idx="231">
                  <c:v>7.0580999999999996</c:v>
                </c:pt>
                <c:pt idx="232">
                  <c:v>7.0580999999999996</c:v>
                </c:pt>
                <c:pt idx="233">
                  <c:v>7.0580999999999996</c:v>
                </c:pt>
                <c:pt idx="234">
                  <c:v>12.3186</c:v>
                </c:pt>
                <c:pt idx="235">
                  <c:v>12.3186</c:v>
                </c:pt>
                <c:pt idx="236">
                  <c:v>12.3186</c:v>
                </c:pt>
                <c:pt idx="237">
                  <c:v>12.3186</c:v>
                </c:pt>
                <c:pt idx="238">
                  <c:v>12.3186</c:v>
                </c:pt>
                <c:pt idx="239">
                  <c:v>12.3186</c:v>
                </c:pt>
                <c:pt idx="240">
                  <c:v>12.3186</c:v>
                </c:pt>
                <c:pt idx="241">
                  <c:v>12.3186</c:v>
                </c:pt>
                <c:pt idx="242">
                  <c:v>12.3186</c:v>
                </c:pt>
                <c:pt idx="243">
                  <c:v>12.3186</c:v>
                </c:pt>
                <c:pt idx="244">
                  <c:v>12.3186</c:v>
                </c:pt>
                <c:pt idx="245">
                  <c:v>12.3186</c:v>
                </c:pt>
                <c:pt idx="246">
                  <c:v>12.3186</c:v>
                </c:pt>
                <c:pt idx="247">
                  <c:v>7.4569999999999999</c:v>
                </c:pt>
                <c:pt idx="248">
                  <c:v>7.4569999999999999</c:v>
                </c:pt>
                <c:pt idx="249">
                  <c:v>7.4569999999999999</c:v>
                </c:pt>
                <c:pt idx="250">
                  <c:v>7.4569999999999999</c:v>
                </c:pt>
                <c:pt idx="251">
                  <c:v>7.4569999999999999</c:v>
                </c:pt>
                <c:pt idx="252">
                  <c:v>7.4569999999999999</c:v>
                </c:pt>
                <c:pt idx="253">
                  <c:v>7.4569999999999999</c:v>
                </c:pt>
                <c:pt idx="254">
                  <c:v>7.4569999999999999</c:v>
                </c:pt>
                <c:pt idx="255">
                  <c:v>7.4569999999999999</c:v>
                </c:pt>
                <c:pt idx="256">
                  <c:v>7.4569999999999999</c:v>
                </c:pt>
                <c:pt idx="257">
                  <c:v>7.4569999999999999</c:v>
                </c:pt>
                <c:pt idx="258">
                  <c:v>7.4569999999999999</c:v>
                </c:pt>
                <c:pt idx="259">
                  <c:v>7.4569999999999999</c:v>
                </c:pt>
                <c:pt idx="260">
                  <c:v>9.3271999999999995</c:v>
                </c:pt>
                <c:pt idx="261">
                  <c:v>9.3271999999999995</c:v>
                </c:pt>
                <c:pt idx="262">
                  <c:v>9.3271999999999995</c:v>
                </c:pt>
                <c:pt idx="263">
                  <c:v>9.3271999999999995</c:v>
                </c:pt>
                <c:pt idx="264">
                  <c:v>9.3271999999999995</c:v>
                </c:pt>
                <c:pt idx="265">
                  <c:v>9.3271999999999995</c:v>
                </c:pt>
                <c:pt idx="266">
                  <c:v>9.3271999999999995</c:v>
                </c:pt>
                <c:pt idx="267">
                  <c:v>9.3271999999999995</c:v>
                </c:pt>
                <c:pt idx="268">
                  <c:v>9.3271999999999995</c:v>
                </c:pt>
                <c:pt idx="269">
                  <c:v>9.3271999999999995</c:v>
                </c:pt>
                <c:pt idx="270">
                  <c:v>9.3271999999999995</c:v>
                </c:pt>
                <c:pt idx="271">
                  <c:v>9.3271999999999995</c:v>
                </c:pt>
                <c:pt idx="272">
                  <c:v>9.3271999999999995</c:v>
                </c:pt>
                <c:pt idx="273">
                  <c:v>9.3271999999999995</c:v>
                </c:pt>
                <c:pt idx="274">
                  <c:v>11.4198</c:v>
                </c:pt>
                <c:pt idx="275">
                  <c:v>11.4198</c:v>
                </c:pt>
                <c:pt idx="276">
                  <c:v>11.4198</c:v>
                </c:pt>
                <c:pt idx="277">
                  <c:v>11.4198</c:v>
                </c:pt>
                <c:pt idx="278">
                  <c:v>11.4198</c:v>
                </c:pt>
                <c:pt idx="279">
                  <c:v>11.4198</c:v>
                </c:pt>
                <c:pt idx="280">
                  <c:v>11.4198</c:v>
                </c:pt>
                <c:pt idx="281">
                  <c:v>11.4198</c:v>
                </c:pt>
                <c:pt idx="282">
                  <c:v>11.4198</c:v>
                </c:pt>
                <c:pt idx="283">
                  <c:v>11.4198</c:v>
                </c:pt>
                <c:pt idx="284">
                  <c:v>11.4198</c:v>
                </c:pt>
                <c:pt idx="285">
                  <c:v>11.4198</c:v>
                </c:pt>
                <c:pt idx="286">
                  <c:v>11.4198</c:v>
                </c:pt>
                <c:pt idx="287">
                  <c:v>9.7304999999999993</c:v>
                </c:pt>
                <c:pt idx="288">
                  <c:v>9.7304999999999993</c:v>
                </c:pt>
                <c:pt idx="289">
                  <c:v>9.7304999999999993</c:v>
                </c:pt>
                <c:pt idx="290">
                  <c:v>9.7304999999999993</c:v>
                </c:pt>
                <c:pt idx="291">
                  <c:v>9.7304999999999993</c:v>
                </c:pt>
                <c:pt idx="292">
                  <c:v>9.7304999999999993</c:v>
                </c:pt>
                <c:pt idx="293">
                  <c:v>9.7304999999999993</c:v>
                </c:pt>
                <c:pt idx="294">
                  <c:v>9.7304999999999993</c:v>
                </c:pt>
                <c:pt idx="295">
                  <c:v>9.7304999999999993</c:v>
                </c:pt>
                <c:pt idx="296">
                  <c:v>9.7304999999999993</c:v>
                </c:pt>
                <c:pt idx="297">
                  <c:v>9.7304999999999993</c:v>
                </c:pt>
                <c:pt idx="298">
                  <c:v>9.7304999999999993</c:v>
                </c:pt>
                <c:pt idx="299">
                  <c:v>9.7304999999999993</c:v>
                </c:pt>
                <c:pt idx="300">
                  <c:v>6.3789999999999996</c:v>
                </c:pt>
                <c:pt idx="301">
                  <c:v>6.3789999999999996</c:v>
                </c:pt>
                <c:pt idx="302">
                  <c:v>6.3789999999999996</c:v>
                </c:pt>
                <c:pt idx="303">
                  <c:v>6.3789999999999996</c:v>
                </c:pt>
                <c:pt idx="304">
                  <c:v>6.3789999999999996</c:v>
                </c:pt>
                <c:pt idx="305">
                  <c:v>6.3789999999999996</c:v>
                </c:pt>
                <c:pt idx="306">
                  <c:v>6.3789999999999996</c:v>
                </c:pt>
                <c:pt idx="307">
                  <c:v>6.3789999999999996</c:v>
                </c:pt>
                <c:pt idx="308">
                  <c:v>6.3789999999999996</c:v>
                </c:pt>
                <c:pt idx="309">
                  <c:v>6.3789999999999996</c:v>
                </c:pt>
                <c:pt idx="310">
                  <c:v>6.3789999999999996</c:v>
                </c:pt>
                <c:pt idx="311">
                  <c:v>6.3789999999999996</c:v>
                </c:pt>
                <c:pt idx="312">
                  <c:v>6.3789999999999996</c:v>
                </c:pt>
                <c:pt idx="313">
                  <c:v>7.8338999999999999</c:v>
                </c:pt>
                <c:pt idx="314">
                  <c:v>7.8338999999999999</c:v>
                </c:pt>
                <c:pt idx="315">
                  <c:v>7.8338999999999999</c:v>
                </c:pt>
                <c:pt idx="316">
                  <c:v>7.8338999999999999</c:v>
                </c:pt>
                <c:pt idx="317">
                  <c:v>7.8338999999999999</c:v>
                </c:pt>
                <c:pt idx="318">
                  <c:v>7.8338999999999999</c:v>
                </c:pt>
                <c:pt idx="319">
                  <c:v>7.8338999999999999</c:v>
                </c:pt>
                <c:pt idx="320">
                  <c:v>7.8338999999999999</c:v>
                </c:pt>
                <c:pt idx="321">
                  <c:v>7.8338999999999999</c:v>
                </c:pt>
                <c:pt idx="322">
                  <c:v>7.8338999999999999</c:v>
                </c:pt>
                <c:pt idx="323">
                  <c:v>7.8338999999999999</c:v>
                </c:pt>
                <c:pt idx="324">
                  <c:v>7.8338999999999999</c:v>
                </c:pt>
                <c:pt idx="325">
                  <c:v>7.8338999999999999</c:v>
                </c:pt>
                <c:pt idx="326">
                  <c:v>8.0314999999999994</c:v>
                </c:pt>
                <c:pt idx="327">
                  <c:v>8.0314999999999994</c:v>
                </c:pt>
                <c:pt idx="328">
                  <c:v>8.0314999999999994</c:v>
                </c:pt>
                <c:pt idx="329">
                  <c:v>8.0314999999999994</c:v>
                </c:pt>
                <c:pt idx="330">
                  <c:v>8.0314999999999994</c:v>
                </c:pt>
                <c:pt idx="331">
                  <c:v>8.0314999999999994</c:v>
                </c:pt>
                <c:pt idx="332">
                  <c:v>8.0314999999999994</c:v>
                </c:pt>
                <c:pt idx="333">
                  <c:v>8.0314999999999994</c:v>
                </c:pt>
                <c:pt idx="334">
                  <c:v>8.0314999999999994</c:v>
                </c:pt>
                <c:pt idx="335">
                  <c:v>8.0314999999999994</c:v>
                </c:pt>
                <c:pt idx="336">
                  <c:v>8.0314999999999994</c:v>
                </c:pt>
                <c:pt idx="337">
                  <c:v>8.0314999999999994</c:v>
                </c:pt>
                <c:pt idx="338">
                  <c:v>8.0314999999999994</c:v>
                </c:pt>
                <c:pt idx="339">
                  <c:v>2.3481000000000001</c:v>
                </c:pt>
                <c:pt idx="340">
                  <c:v>2.3481000000000001</c:v>
                </c:pt>
                <c:pt idx="341">
                  <c:v>2.3481000000000001</c:v>
                </c:pt>
                <c:pt idx="342">
                  <c:v>2.3481000000000001</c:v>
                </c:pt>
                <c:pt idx="343">
                  <c:v>2.3481000000000001</c:v>
                </c:pt>
                <c:pt idx="344">
                  <c:v>2.3481000000000001</c:v>
                </c:pt>
                <c:pt idx="345">
                  <c:v>2.3481000000000001</c:v>
                </c:pt>
                <c:pt idx="346">
                  <c:v>2.3481000000000001</c:v>
                </c:pt>
                <c:pt idx="347">
                  <c:v>2.3481000000000001</c:v>
                </c:pt>
                <c:pt idx="348">
                  <c:v>2.3481000000000001</c:v>
                </c:pt>
                <c:pt idx="349">
                  <c:v>2.3481000000000001</c:v>
                </c:pt>
                <c:pt idx="350">
                  <c:v>2.3481000000000001</c:v>
                </c:pt>
                <c:pt idx="351">
                  <c:v>2.3481000000000001</c:v>
                </c:pt>
                <c:pt idx="352">
                  <c:v>0.69020000000000004</c:v>
                </c:pt>
                <c:pt idx="353">
                  <c:v>0.69020000000000004</c:v>
                </c:pt>
                <c:pt idx="354">
                  <c:v>0.69020000000000004</c:v>
                </c:pt>
                <c:pt idx="355">
                  <c:v>0.69020000000000004</c:v>
                </c:pt>
                <c:pt idx="356">
                  <c:v>0.69020000000000004</c:v>
                </c:pt>
                <c:pt idx="357">
                  <c:v>0.69020000000000004</c:v>
                </c:pt>
                <c:pt idx="358">
                  <c:v>0.69020000000000004</c:v>
                </c:pt>
                <c:pt idx="359">
                  <c:v>0.69020000000000004</c:v>
                </c:pt>
                <c:pt idx="360">
                  <c:v>0.69020000000000004</c:v>
                </c:pt>
                <c:pt idx="361">
                  <c:v>0.69020000000000004</c:v>
                </c:pt>
                <c:pt idx="362">
                  <c:v>0.69020000000000004</c:v>
                </c:pt>
                <c:pt idx="363">
                  <c:v>0.69020000000000004</c:v>
                </c:pt>
                <c:pt idx="364">
                  <c:v>0.69020000000000004</c:v>
                </c:pt>
                <c:pt idx="365">
                  <c:v>0.6764</c:v>
                </c:pt>
                <c:pt idx="366">
                  <c:v>0.6764</c:v>
                </c:pt>
                <c:pt idx="367">
                  <c:v>0.6764</c:v>
                </c:pt>
                <c:pt idx="368">
                  <c:v>0.6764</c:v>
                </c:pt>
                <c:pt idx="369">
                  <c:v>0.6764</c:v>
                </c:pt>
                <c:pt idx="370">
                  <c:v>0.6764</c:v>
                </c:pt>
                <c:pt idx="371">
                  <c:v>0.6764</c:v>
                </c:pt>
                <c:pt idx="372">
                  <c:v>0.6764</c:v>
                </c:pt>
                <c:pt idx="373">
                  <c:v>0.6764</c:v>
                </c:pt>
                <c:pt idx="374">
                  <c:v>0.6764</c:v>
                </c:pt>
                <c:pt idx="375">
                  <c:v>0.6764</c:v>
                </c:pt>
                <c:pt idx="376">
                  <c:v>0.6764</c:v>
                </c:pt>
                <c:pt idx="377">
                  <c:v>0.6764</c:v>
                </c:pt>
                <c:pt idx="378">
                  <c:v>0.6764</c:v>
                </c:pt>
                <c:pt idx="379">
                  <c:v>0.6764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C9-4EAC-BA01-38C379E6A9DC}"/>
            </c:ext>
          </c:extLst>
        </c:ser>
        <c:ser>
          <c:idx val="4"/>
          <c:order val="3"/>
          <c:tx>
            <c:strRef>
              <c:f>Base!$AK$4</c:f>
              <c:strCache>
                <c:ptCount val="1"/>
                <c:pt idx="0">
                  <c:v>TRAN AR Equity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Base!$AO$6</c:f>
              <c:numCache>
                <c:formatCode>General</c:formatCode>
                <c:ptCount val="1"/>
                <c:pt idx="0">
                  <c:v>0.16489999999999999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C9-4EAC-BA01-38C379E6A9DC}"/>
            </c:ext>
          </c:extLst>
        </c:ser>
        <c:ser>
          <c:idx val="5"/>
          <c:order val="4"/>
          <c:tx>
            <c:strRef>
              <c:f>Base!$AV$4</c:f>
              <c:strCache>
                <c:ptCount val="1"/>
                <c:pt idx="0">
                  <c:v>EDN AR Equity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Base!$AY$6:$AY$2000</c:f>
              <c:numCache>
                <c:formatCode>General</c:formatCode>
                <c:ptCount val="1995"/>
                <c:pt idx="0">
                  <c:v>15.2403</c:v>
                </c:pt>
                <c:pt idx="1">
                  <c:v>15.2403</c:v>
                </c:pt>
                <c:pt idx="2">
                  <c:v>15.2403</c:v>
                </c:pt>
                <c:pt idx="3">
                  <c:v>15.2403</c:v>
                </c:pt>
                <c:pt idx="4">
                  <c:v>15.2403</c:v>
                </c:pt>
                <c:pt idx="5">
                  <c:v>15.2403</c:v>
                </c:pt>
                <c:pt idx="6">
                  <c:v>15.2403</c:v>
                </c:pt>
                <c:pt idx="7">
                  <c:v>15.2403</c:v>
                </c:pt>
                <c:pt idx="8">
                  <c:v>15.2403</c:v>
                </c:pt>
                <c:pt idx="9">
                  <c:v>15.2403</c:v>
                </c:pt>
                <c:pt idx="10">
                  <c:v>15.2403</c:v>
                </c:pt>
                <c:pt idx="11">
                  <c:v>15.2403</c:v>
                </c:pt>
                <c:pt idx="12">
                  <c:v>15.2403</c:v>
                </c:pt>
                <c:pt idx="13">
                  <c:v>17.755600000000001</c:v>
                </c:pt>
                <c:pt idx="14">
                  <c:v>17.755600000000001</c:v>
                </c:pt>
                <c:pt idx="15">
                  <c:v>17.755600000000001</c:v>
                </c:pt>
                <c:pt idx="16">
                  <c:v>17.755600000000001</c:v>
                </c:pt>
                <c:pt idx="17">
                  <c:v>17.755600000000001</c:v>
                </c:pt>
                <c:pt idx="18">
                  <c:v>17.755600000000001</c:v>
                </c:pt>
                <c:pt idx="19">
                  <c:v>17.755600000000001</c:v>
                </c:pt>
                <c:pt idx="20">
                  <c:v>17.755600000000001</c:v>
                </c:pt>
                <c:pt idx="21">
                  <c:v>17.755600000000001</c:v>
                </c:pt>
                <c:pt idx="22">
                  <c:v>17.755600000000001</c:v>
                </c:pt>
                <c:pt idx="23">
                  <c:v>17.755600000000001</c:v>
                </c:pt>
                <c:pt idx="24">
                  <c:v>17.755600000000001</c:v>
                </c:pt>
                <c:pt idx="25">
                  <c:v>17.755600000000001</c:v>
                </c:pt>
                <c:pt idx="26">
                  <c:v>14.4498</c:v>
                </c:pt>
                <c:pt idx="27">
                  <c:v>14.4498</c:v>
                </c:pt>
                <c:pt idx="28">
                  <c:v>14.4498</c:v>
                </c:pt>
                <c:pt idx="29">
                  <c:v>14.4498</c:v>
                </c:pt>
                <c:pt idx="30">
                  <c:v>14.4498</c:v>
                </c:pt>
                <c:pt idx="31">
                  <c:v>14.4498</c:v>
                </c:pt>
                <c:pt idx="32">
                  <c:v>14.4498</c:v>
                </c:pt>
                <c:pt idx="33">
                  <c:v>14.4498</c:v>
                </c:pt>
                <c:pt idx="34">
                  <c:v>14.4498</c:v>
                </c:pt>
                <c:pt idx="35">
                  <c:v>14.4498</c:v>
                </c:pt>
                <c:pt idx="36">
                  <c:v>14.4498</c:v>
                </c:pt>
                <c:pt idx="37">
                  <c:v>14.4498</c:v>
                </c:pt>
                <c:pt idx="38">
                  <c:v>14.4498</c:v>
                </c:pt>
                <c:pt idx="39">
                  <c:v>14.4367</c:v>
                </c:pt>
                <c:pt idx="40">
                  <c:v>14.4367</c:v>
                </c:pt>
                <c:pt idx="41">
                  <c:v>14.4367</c:v>
                </c:pt>
                <c:pt idx="42">
                  <c:v>14.4367</c:v>
                </c:pt>
                <c:pt idx="43">
                  <c:v>14.4367</c:v>
                </c:pt>
                <c:pt idx="44">
                  <c:v>14.4367</c:v>
                </c:pt>
                <c:pt idx="45">
                  <c:v>14.4367</c:v>
                </c:pt>
                <c:pt idx="46">
                  <c:v>14.4367</c:v>
                </c:pt>
                <c:pt idx="47">
                  <c:v>14.4367</c:v>
                </c:pt>
                <c:pt idx="48">
                  <c:v>14.4367</c:v>
                </c:pt>
                <c:pt idx="49">
                  <c:v>14.4367</c:v>
                </c:pt>
                <c:pt idx="50">
                  <c:v>14.4367</c:v>
                </c:pt>
                <c:pt idx="51">
                  <c:v>14.4367</c:v>
                </c:pt>
                <c:pt idx="52">
                  <c:v>14.200900000000001</c:v>
                </c:pt>
                <c:pt idx="53">
                  <c:v>14.200900000000001</c:v>
                </c:pt>
                <c:pt idx="54">
                  <c:v>14.200900000000001</c:v>
                </c:pt>
                <c:pt idx="55">
                  <c:v>14.200900000000001</c:v>
                </c:pt>
                <c:pt idx="56">
                  <c:v>14.200900000000001</c:v>
                </c:pt>
                <c:pt idx="57">
                  <c:v>14.200900000000001</c:v>
                </c:pt>
                <c:pt idx="58">
                  <c:v>14.200900000000001</c:v>
                </c:pt>
                <c:pt idx="59">
                  <c:v>14.200900000000001</c:v>
                </c:pt>
                <c:pt idx="60">
                  <c:v>14.200900000000001</c:v>
                </c:pt>
                <c:pt idx="61">
                  <c:v>14.200900000000001</c:v>
                </c:pt>
                <c:pt idx="62">
                  <c:v>14.200900000000001</c:v>
                </c:pt>
                <c:pt idx="63">
                  <c:v>14.200900000000001</c:v>
                </c:pt>
                <c:pt idx="64">
                  <c:v>14.200900000000001</c:v>
                </c:pt>
                <c:pt idx="65">
                  <c:v>11.3504</c:v>
                </c:pt>
                <c:pt idx="66">
                  <c:v>11.3504</c:v>
                </c:pt>
                <c:pt idx="67">
                  <c:v>11.3504</c:v>
                </c:pt>
                <c:pt idx="68">
                  <c:v>11.3504</c:v>
                </c:pt>
                <c:pt idx="69">
                  <c:v>11.3504</c:v>
                </c:pt>
                <c:pt idx="70">
                  <c:v>11.3504</c:v>
                </c:pt>
                <c:pt idx="71">
                  <c:v>11.3504</c:v>
                </c:pt>
                <c:pt idx="72">
                  <c:v>11.3504</c:v>
                </c:pt>
                <c:pt idx="73">
                  <c:v>11.3504</c:v>
                </c:pt>
                <c:pt idx="74">
                  <c:v>11.3504</c:v>
                </c:pt>
                <c:pt idx="75">
                  <c:v>11.3504</c:v>
                </c:pt>
                <c:pt idx="76">
                  <c:v>11.3504</c:v>
                </c:pt>
                <c:pt idx="77">
                  <c:v>11.3504</c:v>
                </c:pt>
                <c:pt idx="78">
                  <c:v>12.15</c:v>
                </c:pt>
                <c:pt idx="79">
                  <c:v>12.15</c:v>
                </c:pt>
                <c:pt idx="80">
                  <c:v>12.15</c:v>
                </c:pt>
                <c:pt idx="81">
                  <c:v>12.15</c:v>
                </c:pt>
                <c:pt idx="82">
                  <c:v>12.15</c:v>
                </c:pt>
                <c:pt idx="83">
                  <c:v>12.15</c:v>
                </c:pt>
                <c:pt idx="84">
                  <c:v>12.15</c:v>
                </c:pt>
                <c:pt idx="85">
                  <c:v>12.15</c:v>
                </c:pt>
                <c:pt idx="86">
                  <c:v>12.15</c:v>
                </c:pt>
                <c:pt idx="87">
                  <c:v>12.15</c:v>
                </c:pt>
                <c:pt idx="88">
                  <c:v>12.15</c:v>
                </c:pt>
                <c:pt idx="89">
                  <c:v>12.15</c:v>
                </c:pt>
                <c:pt idx="90">
                  <c:v>12.15</c:v>
                </c:pt>
                <c:pt idx="91">
                  <c:v>12.0823</c:v>
                </c:pt>
                <c:pt idx="92">
                  <c:v>12.0823</c:v>
                </c:pt>
                <c:pt idx="93">
                  <c:v>12.0823</c:v>
                </c:pt>
                <c:pt idx="94">
                  <c:v>12.0823</c:v>
                </c:pt>
                <c:pt idx="95">
                  <c:v>12.0823</c:v>
                </c:pt>
                <c:pt idx="96">
                  <c:v>12.0823</c:v>
                </c:pt>
                <c:pt idx="97">
                  <c:v>12.0823</c:v>
                </c:pt>
                <c:pt idx="98">
                  <c:v>12.0823</c:v>
                </c:pt>
                <c:pt idx="99">
                  <c:v>12.0823</c:v>
                </c:pt>
                <c:pt idx="100">
                  <c:v>12.0823</c:v>
                </c:pt>
                <c:pt idx="101">
                  <c:v>12.0823</c:v>
                </c:pt>
                <c:pt idx="102">
                  <c:v>12.0823</c:v>
                </c:pt>
                <c:pt idx="103">
                  <c:v>12.0823</c:v>
                </c:pt>
                <c:pt idx="104">
                  <c:v>12.8254</c:v>
                </c:pt>
                <c:pt idx="105">
                  <c:v>12.8254</c:v>
                </c:pt>
                <c:pt idx="106">
                  <c:v>12.8254</c:v>
                </c:pt>
                <c:pt idx="107">
                  <c:v>12.8254</c:v>
                </c:pt>
                <c:pt idx="108">
                  <c:v>12.8254</c:v>
                </c:pt>
                <c:pt idx="109">
                  <c:v>12.8254</c:v>
                </c:pt>
                <c:pt idx="110">
                  <c:v>12.8254</c:v>
                </c:pt>
                <c:pt idx="111">
                  <c:v>12.8254</c:v>
                </c:pt>
                <c:pt idx="112">
                  <c:v>12.8254</c:v>
                </c:pt>
                <c:pt idx="113">
                  <c:v>12.8254</c:v>
                </c:pt>
                <c:pt idx="114">
                  <c:v>12.8254</c:v>
                </c:pt>
                <c:pt idx="115">
                  <c:v>12.8254</c:v>
                </c:pt>
                <c:pt idx="116">
                  <c:v>12.8254</c:v>
                </c:pt>
                <c:pt idx="117">
                  <c:v>12.493499999999999</c:v>
                </c:pt>
                <c:pt idx="118">
                  <c:v>12.493499999999999</c:v>
                </c:pt>
                <c:pt idx="119">
                  <c:v>12.493499999999999</c:v>
                </c:pt>
                <c:pt idx="120">
                  <c:v>12.493499999999999</c:v>
                </c:pt>
                <c:pt idx="121">
                  <c:v>12.493499999999999</c:v>
                </c:pt>
                <c:pt idx="122">
                  <c:v>12.493499999999999</c:v>
                </c:pt>
                <c:pt idx="123">
                  <c:v>12.493499999999999</c:v>
                </c:pt>
                <c:pt idx="124">
                  <c:v>12.493499999999999</c:v>
                </c:pt>
                <c:pt idx="125">
                  <c:v>12.493499999999999</c:v>
                </c:pt>
                <c:pt idx="126">
                  <c:v>12.493499999999999</c:v>
                </c:pt>
                <c:pt idx="127">
                  <c:v>12.493499999999999</c:v>
                </c:pt>
                <c:pt idx="128">
                  <c:v>12.493499999999999</c:v>
                </c:pt>
                <c:pt idx="129">
                  <c:v>12.493499999999999</c:v>
                </c:pt>
                <c:pt idx="130">
                  <c:v>12.381399999999999</c:v>
                </c:pt>
                <c:pt idx="131">
                  <c:v>12.381399999999999</c:v>
                </c:pt>
                <c:pt idx="132">
                  <c:v>12.381399999999999</c:v>
                </c:pt>
                <c:pt idx="133">
                  <c:v>12.381399999999999</c:v>
                </c:pt>
                <c:pt idx="134">
                  <c:v>12.381399999999999</c:v>
                </c:pt>
                <c:pt idx="135">
                  <c:v>12.381399999999999</c:v>
                </c:pt>
                <c:pt idx="136">
                  <c:v>12.381399999999999</c:v>
                </c:pt>
                <c:pt idx="137">
                  <c:v>12.381399999999999</c:v>
                </c:pt>
                <c:pt idx="138">
                  <c:v>12.381399999999999</c:v>
                </c:pt>
                <c:pt idx="139">
                  <c:v>12.381399999999999</c:v>
                </c:pt>
                <c:pt idx="140">
                  <c:v>12.381399999999999</c:v>
                </c:pt>
                <c:pt idx="141">
                  <c:v>12.381399999999999</c:v>
                </c:pt>
                <c:pt idx="142">
                  <c:v>12.381399999999999</c:v>
                </c:pt>
                <c:pt idx="143">
                  <c:v>12.4095</c:v>
                </c:pt>
                <c:pt idx="144">
                  <c:v>12.4095</c:v>
                </c:pt>
                <c:pt idx="145">
                  <c:v>12.4095</c:v>
                </c:pt>
                <c:pt idx="146">
                  <c:v>12.4095</c:v>
                </c:pt>
                <c:pt idx="147">
                  <c:v>12.4095</c:v>
                </c:pt>
                <c:pt idx="148">
                  <c:v>12.4095</c:v>
                </c:pt>
                <c:pt idx="149">
                  <c:v>12.4095</c:v>
                </c:pt>
                <c:pt idx="150">
                  <c:v>12.4095</c:v>
                </c:pt>
                <c:pt idx="151">
                  <c:v>12.4095</c:v>
                </c:pt>
                <c:pt idx="152">
                  <c:v>12.4095</c:v>
                </c:pt>
                <c:pt idx="153">
                  <c:v>12.4095</c:v>
                </c:pt>
                <c:pt idx="154">
                  <c:v>12.4095</c:v>
                </c:pt>
                <c:pt idx="155">
                  <c:v>12.4095</c:v>
                </c:pt>
                <c:pt idx="156">
                  <c:v>10.349500000000001</c:v>
                </c:pt>
                <c:pt idx="157">
                  <c:v>10.349500000000001</c:v>
                </c:pt>
                <c:pt idx="158">
                  <c:v>10.349500000000001</c:v>
                </c:pt>
                <c:pt idx="159">
                  <c:v>10.349500000000001</c:v>
                </c:pt>
                <c:pt idx="160">
                  <c:v>10.349500000000001</c:v>
                </c:pt>
                <c:pt idx="161">
                  <c:v>10.349500000000001</c:v>
                </c:pt>
                <c:pt idx="162">
                  <c:v>10.349500000000001</c:v>
                </c:pt>
                <c:pt idx="163">
                  <c:v>10.349500000000001</c:v>
                </c:pt>
                <c:pt idx="164">
                  <c:v>10.349500000000001</c:v>
                </c:pt>
                <c:pt idx="165">
                  <c:v>10.349500000000001</c:v>
                </c:pt>
                <c:pt idx="166">
                  <c:v>10.349500000000001</c:v>
                </c:pt>
                <c:pt idx="167">
                  <c:v>10.349500000000001</c:v>
                </c:pt>
                <c:pt idx="168">
                  <c:v>10.349500000000001</c:v>
                </c:pt>
                <c:pt idx="169">
                  <c:v>13.553699999999999</c:v>
                </c:pt>
                <c:pt idx="170">
                  <c:v>13.553699999999999</c:v>
                </c:pt>
                <c:pt idx="171">
                  <c:v>13.553699999999999</c:v>
                </c:pt>
                <c:pt idx="172">
                  <c:v>13.553699999999999</c:v>
                </c:pt>
                <c:pt idx="173">
                  <c:v>13.553699999999999</c:v>
                </c:pt>
                <c:pt idx="174">
                  <c:v>13.553699999999999</c:v>
                </c:pt>
                <c:pt idx="175">
                  <c:v>13.553699999999999</c:v>
                </c:pt>
                <c:pt idx="176">
                  <c:v>13.553699999999999</c:v>
                </c:pt>
                <c:pt idx="177">
                  <c:v>13.553699999999999</c:v>
                </c:pt>
                <c:pt idx="178">
                  <c:v>13.553699999999999</c:v>
                </c:pt>
                <c:pt idx="179">
                  <c:v>13.553699999999999</c:v>
                </c:pt>
                <c:pt idx="180">
                  <c:v>13.553699999999999</c:v>
                </c:pt>
                <c:pt idx="181">
                  <c:v>13.553699999999999</c:v>
                </c:pt>
                <c:pt idx="182">
                  <c:v>10.6854</c:v>
                </c:pt>
                <c:pt idx="183">
                  <c:v>10.6854</c:v>
                </c:pt>
                <c:pt idx="184">
                  <c:v>10.6854</c:v>
                </c:pt>
                <c:pt idx="185">
                  <c:v>10.6854</c:v>
                </c:pt>
                <c:pt idx="186">
                  <c:v>10.6854</c:v>
                </c:pt>
                <c:pt idx="187">
                  <c:v>10.6854</c:v>
                </c:pt>
                <c:pt idx="188">
                  <c:v>10.6854</c:v>
                </c:pt>
                <c:pt idx="189">
                  <c:v>10.6854</c:v>
                </c:pt>
                <c:pt idx="190">
                  <c:v>10.6854</c:v>
                </c:pt>
                <c:pt idx="191">
                  <c:v>10.6854</c:v>
                </c:pt>
                <c:pt idx="192">
                  <c:v>10.6854</c:v>
                </c:pt>
                <c:pt idx="193">
                  <c:v>10.6854</c:v>
                </c:pt>
                <c:pt idx="194">
                  <c:v>10.6854</c:v>
                </c:pt>
                <c:pt idx="195">
                  <c:v>14.99</c:v>
                </c:pt>
                <c:pt idx="196">
                  <c:v>14.99</c:v>
                </c:pt>
                <c:pt idx="197">
                  <c:v>14.99</c:v>
                </c:pt>
                <c:pt idx="198">
                  <c:v>14.99</c:v>
                </c:pt>
                <c:pt idx="199">
                  <c:v>14.99</c:v>
                </c:pt>
                <c:pt idx="200">
                  <c:v>14.99</c:v>
                </c:pt>
                <c:pt idx="201">
                  <c:v>14.99</c:v>
                </c:pt>
                <c:pt idx="202">
                  <c:v>14.99</c:v>
                </c:pt>
                <c:pt idx="203">
                  <c:v>14.99</c:v>
                </c:pt>
                <c:pt idx="204">
                  <c:v>14.99</c:v>
                </c:pt>
                <c:pt idx="205">
                  <c:v>14.99</c:v>
                </c:pt>
                <c:pt idx="206">
                  <c:v>14.99</c:v>
                </c:pt>
                <c:pt idx="207">
                  <c:v>14.99</c:v>
                </c:pt>
                <c:pt idx="208">
                  <c:v>14.966200000000001</c:v>
                </c:pt>
                <c:pt idx="209">
                  <c:v>14.966200000000001</c:v>
                </c:pt>
                <c:pt idx="210">
                  <c:v>14.966200000000001</c:v>
                </c:pt>
                <c:pt idx="211">
                  <c:v>14.966200000000001</c:v>
                </c:pt>
                <c:pt idx="212">
                  <c:v>14.966200000000001</c:v>
                </c:pt>
                <c:pt idx="213">
                  <c:v>14.966200000000001</c:v>
                </c:pt>
                <c:pt idx="214">
                  <c:v>14.966200000000001</c:v>
                </c:pt>
                <c:pt idx="215">
                  <c:v>14.966200000000001</c:v>
                </c:pt>
                <c:pt idx="216">
                  <c:v>14.966200000000001</c:v>
                </c:pt>
                <c:pt idx="217">
                  <c:v>14.966200000000001</c:v>
                </c:pt>
                <c:pt idx="218">
                  <c:v>14.966200000000001</c:v>
                </c:pt>
                <c:pt idx="219">
                  <c:v>14.966200000000001</c:v>
                </c:pt>
                <c:pt idx="220">
                  <c:v>14.966200000000001</c:v>
                </c:pt>
                <c:pt idx="221">
                  <c:v>12.2311</c:v>
                </c:pt>
                <c:pt idx="222">
                  <c:v>12.2311</c:v>
                </c:pt>
                <c:pt idx="223">
                  <c:v>12.2311</c:v>
                </c:pt>
                <c:pt idx="224">
                  <c:v>12.2311</c:v>
                </c:pt>
                <c:pt idx="225">
                  <c:v>12.2311</c:v>
                </c:pt>
                <c:pt idx="226">
                  <c:v>12.2311</c:v>
                </c:pt>
                <c:pt idx="227">
                  <c:v>12.2311</c:v>
                </c:pt>
                <c:pt idx="228">
                  <c:v>12.2311</c:v>
                </c:pt>
                <c:pt idx="229">
                  <c:v>12.2311</c:v>
                </c:pt>
                <c:pt idx="230">
                  <c:v>12.2311</c:v>
                </c:pt>
                <c:pt idx="231">
                  <c:v>12.2311</c:v>
                </c:pt>
                <c:pt idx="232">
                  <c:v>12.2311</c:v>
                </c:pt>
                <c:pt idx="233">
                  <c:v>12.2311</c:v>
                </c:pt>
                <c:pt idx="234">
                  <c:v>14.605600000000001</c:v>
                </c:pt>
                <c:pt idx="235">
                  <c:v>14.605600000000001</c:v>
                </c:pt>
                <c:pt idx="236">
                  <c:v>14.605600000000001</c:v>
                </c:pt>
                <c:pt idx="237">
                  <c:v>14.605600000000001</c:v>
                </c:pt>
                <c:pt idx="238">
                  <c:v>14.605600000000001</c:v>
                </c:pt>
                <c:pt idx="239">
                  <c:v>14.605600000000001</c:v>
                </c:pt>
                <c:pt idx="240">
                  <c:v>14.605600000000001</c:v>
                </c:pt>
                <c:pt idx="241">
                  <c:v>14.605600000000001</c:v>
                </c:pt>
                <c:pt idx="242">
                  <c:v>14.605600000000001</c:v>
                </c:pt>
                <c:pt idx="243">
                  <c:v>14.605600000000001</c:v>
                </c:pt>
                <c:pt idx="244">
                  <c:v>14.605600000000001</c:v>
                </c:pt>
                <c:pt idx="245">
                  <c:v>14.605600000000001</c:v>
                </c:pt>
                <c:pt idx="246">
                  <c:v>14.605600000000001</c:v>
                </c:pt>
                <c:pt idx="247">
                  <c:v>20.5364</c:v>
                </c:pt>
                <c:pt idx="248">
                  <c:v>20.5364</c:v>
                </c:pt>
                <c:pt idx="249">
                  <c:v>20.5364</c:v>
                </c:pt>
                <c:pt idx="250">
                  <c:v>20.5364</c:v>
                </c:pt>
                <c:pt idx="251">
                  <c:v>20.5364</c:v>
                </c:pt>
                <c:pt idx="252">
                  <c:v>20.5364</c:v>
                </c:pt>
                <c:pt idx="253">
                  <c:v>20.5364</c:v>
                </c:pt>
                <c:pt idx="254">
                  <c:v>20.5364</c:v>
                </c:pt>
                <c:pt idx="255">
                  <c:v>20.5364</c:v>
                </c:pt>
                <c:pt idx="256">
                  <c:v>20.5364</c:v>
                </c:pt>
                <c:pt idx="257">
                  <c:v>20.5364</c:v>
                </c:pt>
                <c:pt idx="258">
                  <c:v>20.5364</c:v>
                </c:pt>
                <c:pt idx="259">
                  <c:v>20.5364</c:v>
                </c:pt>
                <c:pt idx="260">
                  <c:v>19.597999999999999</c:v>
                </c:pt>
                <c:pt idx="261">
                  <c:v>19.597999999999999</c:v>
                </c:pt>
                <c:pt idx="262">
                  <c:v>19.597999999999999</c:v>
                </c:pt>
                <c:pt idx="263">
                  <c:v>19.597999999999999</c:v>
                </c:pt>
                <c:pt idx="264">
                  <c:v>19.597999999999999</c:v>
                </c:pt>
                <c:pt idx="265">
                  <c:v>19.597999999999999</c:v>
                </c:pt>
                <c:pt idx="266">
                  <c:v>19.597999999999999</c:v>
                </c:pt>
                <c:pt idx="267">
                  <c:v>19.597999999999999</c:v>
                </c:pt>
                <c:pt idx="268">
                  <c:v>19.597999999999999</c:v>
                </c:pt>
                <c:pt idx="269">
                  <c:v>19.597999999999999</c:v>
                </c:pt>
                <c:pt idx="270">
                  <c:v>19.597999999999999</c:v>
                </c:pt>
                <c:pt idx="271">
                  <c:v>19.597999999999999</c:v>
                </c:pt>
                <c:pt idx="272">
                  <c:v>19.597999999999999</c:v>
                </c:pt>
                <c:pt idx="273">
                  <c:v>19.597999999999999</c:v>
                </c:pt>
                <c:pt idx="274">
                  <c:v>22.714300000000001</c:v>
                </c:pt>
                <c:pt idx="275">
                  <c:v>22.714300000000001</c:v>
                </c:pt>
                <c:pt idx="276">
                  <c:v>22.714300000000001</c:v>
                </c:pt>
                <c:pt idx="277">
                  <c:v>22.714300000000001</c:v>
                </c:pt>
                <c:pt idx="278">
                  <c:v>22.714300000000001</c:v>
                </c:pt>
                <c:pt idx="279">
                  <c:v>22.714300000000001</c:v>
                </c:pt>
                <c:pt idx="280">
                  <c:v>22.714300000000001</c:v>
                </c:pt>
                <c:pt idx="281">
                  <c:v>22.714300000000001</c:v>
                </c:pt>
                <c:pt idx="282">
                  <c:v>22.714300000000001</c:v>
                </c:pt>
                <c:pt idx="283">
                  <c:v>22.714300000000001</c:v>
                </c:pt>
                <c:pt idx="284">
                  <c:v>22.714300000000001</c:v>
                </c:pt>
                <c:pt idx="285">
                  <c:v>22.714300000000001</c:v>
                </c:pt>
                <c:pt idx="286">
                  <c:v>22.714300000000001</c:v>
                </c:pt>
                <c:pt idx="287">
                  <c:v>23.727699999999999</c:v>
                </c:pt>
                <c:pt idx="288">
                  <c:v>23.727699999999999</c:v>
                </c:pt>
                <c:pt idx="289">
                  <c:v>23.727699999999999</c:v>
                </c:pt>
                <c:pt idx="290">
                  <c:v>23.727699999999999</c:v>
                </c:pt>
                <c:pt idx="291">
                  <c:v>23.727699999999999</c:v>
                </c:pt>
                <c:pt idx="292">
                  <c:v>23.727699999999999</c:v>
                </c:pt>
                <c:pt idx="293">
                  <c:v>23.727699999999999</c:v>
                </c:pt>
                <c:pt idx="294">
                  <c:v>23.727699999999999</c:v>
                </c:pt>
                <c:pt idx="295">
                  <c:v>23.727699999999999</c:v>
                </c:pt>
                <c:pt idx="296">
                  <c:v>23.727699999999999</c:v>
                </c:pt>
                <c:pt idx="297">
                  <c:v>23.727699999999999</c:v>
                </c:pt>
                <c:pt idx="298">
                  <c:v>23.727699999999999</c:v>
                </c:pt>
                <c:pt idx="299">
                  <c:v>23.727699999999999</c:v>
                </c:pt>
                <c:pt idx="300">
                  <c:v>21.328900000000001</c:v>
                </c:pt>
                <c:pt idx="301">
                  <c:v>21.328900000000001</c:v>
                </c:pt>
                <c:pt idx="302">
                  <c:v>21.328900000000001</c:v>
                </c:pt>
                <c:pt idx="303">
                  <c:v>21.328900000000001</c:v>
                </c:pt>
                <c:pt idx="304">
                  <c:v>21.328900000000001</c:v>
                </c:pt>
                <c:pt idx="305">
                  <c:v>21.328900000000001</c:v>
                </c:pt>
                <c:pt idx="306">
                  <c:v>21.328900000000001</c:v>
                </c:pt>
                <c:pt idx="307">
                  <c:v>21.328900000000001</c:v>
                </c:pt>
                <c:pt idx="308">
                  <c:v>21.328900000000001</c:v>
                </c:pt>
                <c:pt idx="309">
                  <c:v>21.328900000000001</c:v>
                </c:pt>
                <c:pt idx="310">
                  <c:v>21.328900000000001</c:v>
                </c:pt>
                <c:pt idx="311">
                  <c:v>21.328900000000001</c:v>
                </c:pt>
                <c:pt idx="312">
                  <c:v>21.328900000000001</c:v>
                </c:pt>
                <c:pt idx="313">
                  <c:v>22.915500000000002</c:v>
                </c:pt>
                <c:pt idx="314">
                  <c:v>22.915500000000002</c:v>
                </c:pt>
                <c:pt idx="315">
                  <c:v>22.915500000000002</c:v>
                </c:pt>
                <c:pt idx="316">
                  <c:v>22.915500000000002</c:v>
                </c:pt>
                <c:pt idx="317">
                  <c:v>22.915500000000002</c:v>
                </c:pt>
                <c:pt idx="318">
                  <c:v>22.915500000000002</c:v>
                </c:pt>
                <c:pt idx="319">
                  <c:v>22.915500000000002</c:v>
                </c:pt>
                <c:pt idx="320">
                  <c:v>22.915500000000002</c:v>
                </c:pt>
                <c:pt idx="321">
                  <c:v>22.915500000000002</c:v>
                </c:pt>
                <c:pt idx="322">
                  <c:v>22.915500000000002</c:v>
                </c:pt>
                <c:pt idx="323">
                  <c:v>22.915500000000002</c:v>
                </c:pt>
                <c:pt idx="324">
                  <c:v>22.915500000000002</c:v>
                </c:pt>
                <c:pt idx="325">
                  <c:v>22.915500000000002</c:v>
                </c:pt>
                <c:pt idx="326">
                  <c:v>28.224699999999999</c:v>
                </c:pt>
                <c:pt idx="327">
                  <c:v>28.224699999999999</c:v>
                </c:pt>
                <c:pt idx="328">
                  <c:v>28.224699999999999</c:v>
                </c:pt>
                <c:pt idx="329">
                  <c:v>28.224699999999999</c:v>
                </c:pt>
                <c:pt idx="330">
                  <c:v>28.224699999999999</c:v>
                </c:pt>
                <c:pt idx="331">
                  <c:v>28.224699999999999</c:v>
                </c:pt>
                <c:pt idx="332">
                  <c:v>28.224699999999999</c:v>
                </c:pt>
                <c:pt idx="333">
                  <c:v>28.224699999999999</c:v>
                </c:pt>
                <c:pt idx="334">
                  <c:v>28.224699999999999</c:v>
                </c:pt>
                <c:pt idx="335">
                  <c:v>28.224699999999999</c:v>
                </c:pt>
                <c:pt idx="336">
                  <c:v>28.224699999999999</c:v>
                </c:pt>
                <c:pt idx="337">
                  <c:v>28.224699999999999</c:v>
                </c:pt>
                <c:pt idx="338">
                  <c:v>28.224699999999999</c:v>
                </c:pt>
                <c:pt idx="339">
                  <c:v>34.919600000000003</c:v>
                </c:pt>
                <c:pt idx="340">
                  <c:v>34.919600000000003</c:v>
                </c:pt>
                <c:pt idx="341">
                  <c:v>34.919600000000003</c:v>
                </c:pt>
                <c:pt idx="342">
                  <c:v>34.919600000000003</c:v>
                </c:pt>
                <c:pt idx="343">
                  <c:v>34.919600000000003</c:v>
                </c:pt>
                <c:pt idx="344">
                  <c:v>34.919600000000003</c:v>
                </c:pt>
                <c:pt idx="345">
                  <c:v>34.919600000000003</c:v>
                </c:pt>
                <c:pt idx="346">
                  <c:v>34.919600000000003</c:v>
                </c:pt>
                <c:pt idx="347">
                  <c:v>34.919600000000003</c:v>
                </c:pt>
                <c:pt idx="348">
                  <c:v>34.919600000000003</c:v>
                </c:pt>
                <c:pt idx="349">
                  <c:v>34.919600000000003</c:v>
                </c:pt>
                <c:pt idx="350">
                  <c:v>34.919600000000003</c:v>
                </c:pt>
                <c:pt idx="351">
                  <c:v>34.919600000000003</c:v>
                </c:pt>
                <c:pt idx="352">
                  <c:v>31.202500000000001</c:v>
                </c:pt>
                <c:pt idx="353">
                  <c:v>31.202500000000001</c:v>
                </c:pt>
                <c:pt idx="354">
                  <c:v>31.202500000000001</c:v>
                </c:pt>
                <c:pt idx="355">
                  <c:v>31.202500000000001</c:v>
                </c:pt>
                <c:pt idx="356">
                  <c:v>31.202500000000001</c:v>
                </c:pt>
                <c:pt idx="357">
                  <c:v>31.202500000000001</c:v>
                </c:pt>
                <c:pt idx="358">
                  <c:v>31.202500000000001</c:v>
                </c:pt>
                <c:pt idx="359">
                  <c:v>31.202500000000001</c:v>
                </c:pt>
                <c:pt idx="360">
                  <c:v>31.202500000000001</c:v>
                </c:pt>
                <c:pt idx="361">
                  <c:v>31.202500000000001</c:v>
                </c:pt>
                <c:pt idx="362">
                  <c:v>31.202500000000001</c:v>
                </c:pt>
                <c:pt idx="363">
                  <c:v>31.202500000000001</c:v>
                </c:pt>
                <c:pt idx="364">
                  <c:v>31.202500000000001</c:v>
                </c:pt>
                <c:pt idx="365">
                  <c:v>38.238500000000002</c:v>
                </c:pt>
                <c:pt idx="366">
                  <c:v>38.238500000000002</c:v>
                </c:pt>
                <c:pt idx="367">
                  <c:v>38.238500000000002</c:v>
                </c:pt>
                <c:pt idx="368">
                  <c:v>38.238500000000002</c:v>
                </c:pt>
                <c:pt idx="369">
                  <c:v>38.238500000000002</c:v>
                </c:pt>
                <c:pt idx="370">
                  <c:v>38.238500000000002</c:v>
                </c:pt>
                <c:pt idx="371">
                  <c:v>38.238500000000002</c:v>
                </c:pt>
                <c:pt idx="372">
                  <c:v>38.238500000000002</c:v>
                </c:pt>
                <c:pt idx="373">
                  <c:v>38.238500000000002</c:v>
                </c:pt>
                <c:pt idx="374">
                  <c:v>38.238500000000002</c:v>
                </c:pt>
                <c:pt idx="375">
                  <c:v>38.238500000000002</c:v>
                </c:pt>
                <c:pt idx="376">
                  <c:v>38.238500000000002</c:v>
                </c:pt>
                <c:pt idx="377">
                  <c:v>38.238500000000002</c:v>
                </c:pt>
                <c:pt idx="378">
                  <c:v>38.238500000000002</c:v>
                </c:pt>
                <c:pt idx="379">
                  <c:v>38.238500000000002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C9-4EAC-BA01-38C379E6A9DC}"/>
            </c:ext>
          </c:extLst>
        </c:ser>
        <c:ser>
          <c:idx val="6"/>
          <c:order val="5"/>
          <c:tx>
            <c:strRef>
              <c:f>Base!$BH$4</c:f>
              <c:strCache>
                <c:ptCount val="1"/>
                <c:pt idx="0">
                  <c:v>METR AR Equity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Base!$A$6:$A$2000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Base!$BK$6:$BK$2000</c:f>
              <c:numCache>
                <c:formatCode>General</c:formatCode>
                <c:ptCount val="1995"/>
                <c:pt idx="0">
                  <c:v>36.722900000000003</c:v>
                </c:pt>
                <c:pt idx="1">
                  <c:v>36.722900000000003</c:v>
                </c:pt>
                <c:pt idx="2">
                  <c:v>36.722900000000003</c:v>
                </c:pt>
                <c:pt idx="3">
                  <c:v>36.722900000000003</c:v>
                </c:pt>
                <c:pt idx="4">
                  <c:v>36.722900000000003</c:v>
                </c:pt>
                <c:pt idx="5">
                  <c:v>36.722900000000003</c:v>
                </c:pt>
                <c:pt idx="6">
                  <c:v>36.722900000000003</c:v>
                </c:pt>
                <c:pt idx="7">
                  <c:v>36.722900000000003</c:v>
                </c:pt>
                <c:pt idx="8">
                  <c:v>36.722900000000003</c:v>
                </c:pt>
                <c:pt idx="9">
                  <c:v>36.722900000000003</c:v>
                </c:pt>
                <c:pt idx="10">
                  <c:v>36.722900000000003</c:v>
                </c:pt>
                <c:pt idx="11">
                  <c:v>36.722900000000003</c:v>
                </c:pt>
                <c:pt idx="12">
                  <c:v>36.722900000000003</c:v>
                </c:pt>
                <c:pt idx="13">
                  <c:v>37.999600000000001</c:v>
                </c:pt>
                <c:pt idx="14">
                  <c:v>37.999600000000001</c:v>
                </c:pt>
                <c:pt idx="15">
                  <c:v>37.999600000000001</c:v>
                </c:pt>
                <c:pt idx="16">
                  <c:v>37.999600000000001</c:v>
                </c:pt>
                <c:pt idx="17">
                  <c:v>37.999600000000001</c:v>
                </c:pt>
                <c:pt idx="18">
                  <c:v>37.999600000000001</c:v>
                </c:pt>
                <c:pt idx="19">
                  <c:v>37.999600000000001</c:v>
                </c:pt>
                <c:pt idx="20">
                  <c:v>37.999600000000001</c:v>
                </c:pt>
                <c:pt idx="21">
                  <c:v>37.999600000000001</c:v>
                </c:pt>
                <c:pt idx="22">
                  <c:v>37.999600000000001</c:v>
                </c:pt>
                <c:pt idx="23">
                  <c:v>37.999600000000001</c:v>
                </c:pt>
                <c:pt idx="24">
                  <c:v>37.999600000000001</c:v>
                </c:pt>
                <c:pt idx="25">
                  <c:v>37.999600000000001</c:v>
                </c:pt>
                <c:pt idx="26">
                  <c:v>34.438400000000001</c:v>
                </c:pt>
                <c:pt idx="27">
                  <c:v>34.438400000000001</c:v>
                </c:pt>
                <c:pt idx="28">
                  <c:v>34.438400000000001</c:v>
                </c:pt>
                <c:pt idx="29">
                  <c:v>34.438400000000001</c:v>
                </c:pt>
                <c:pt idx="30">
                  <c:v>34.438400000000001</c:v>
                </c:pt>
                <c:pt idx="31">
                  <c:v>34.438400000000001</c:v>
                </c:pt>
                <c:pt idx="32">
                  <c:v>34.438400000000001</c:v>
                </c:pt>
                <c:pt idx="33">
                  <c:v>34.438400000000001</c:v>
                </c:pt>
                <c:pt idx="34">
                  <c:v>34.438400000000001</c:v>
                </c:pt>
                <c:pt idx="35">
                  <c:v>34.438400000000001</c:v>
                </c:pt>
                <c:pt idx="36">
                  <c:v>34.438400000000001</c:v>
                </c:pt>
                <c:pt idx="37">
                  <c:v>34.438400000000001</c:v>
                </c:pt>
                <c:pt idx="38">
                  <c:v>34.438400000000001</c:v>
                </c:pt>
                <c:pt idx="39">
                  <c:v>34.169400000000003</c:v>
                </c:pt>
                <c:pt idx="40">
                  <c:v>34.169400000000003</c:v>
                </c:pt>
                <c:pt idx="41">
                  <c:v>34.169400000000003</c:v>
                </c:pt>
                <c:pt idx="42">
                  <c:v>34.169400000000003</c:v>
                </c:pt>
                <c:pt idx="43">
                  <c:v>34.169400000000003</c:v>
                </c:pt>
                <c:pt idx="44">
                  <c:v>34.169400000000003</c:v>
                </c:pt>
                <c:pt idx="45">
                  <c:v>34.169400000000003</c:v>
                </c:pt>
                <c:pt idx="46">
                  <c:v>34.169400000000003</c:v>
                </c:pt>
                <c:pt idx="47">
                  <c:v>34.169400000000003</c:v>
                </c:pt>
                <c:pt idx="48">
                  <c:v>34.169400000000003</c:v>
                </c:pt>
                <c:pt idx="49">
                  <c:v>34.169400000000003</c:v>
                </c:pt>
                <c:pt idx="50">
                  <c:v>34.169400000000003</c:v>
                </c:pt>
                <c:pt idx="51">
                  <c:v>34.169400000000003</c:v>
                </c:pt>
                <c:pt idx="52">
                  <c:v>45.183</c:v>
                </c:pt>
                <c:pt idx="53">
                  <c:v>45.183</c:v>
                </c:pt>
                <c:pt idx="54">
                  <c:v>45.183</c:v>
                </c:pt>
                <c:pt idx="55">
                  <c:v>45.183</c:v>
                </c:pt>
                <c:pt idx="56">
                  <c:v>45.183</c:v>
                </c:pt>
                <c:pt idx="57">
                  <c:v>45.183</c:v>
                </c:pt>
                <c:pt idx="58">
                  <c:v>45.183</c:v>
                </c:pt>
                <c:pt idx="59">
                  <c:v>45.183</c:v>
                </c:pt>
                <c:pt idx="60">
                  <c:v>45.183</c:v>
                </c:pt>
                <c:pt idx="61">
                  <c:v>45.183</c:v>
                </c:pt>
                <c:pt idx="62">
                  <c:v>45.183</c:v>
                </c:pt>
                <c:pt idx="63">
                  <c:v>45.183</c:v>
                </c:pt>
                <c:pt idx="64">
                  <c:v>45.183</c:v>
                </c:pt>
                <c:pt idx="65">
                  <c:v>41.732199999999999</c:v>
                </c:pt>
                <c:pt idx="66">
                  <c:v>41.732199999999999</c:v>
                </c:pt>
                <c:pt idx="67">
                  <c:v>41.732199999999999</c:v>
                </c:pt>
                <c:pt idx="68">
                  <c:v>41.732199999999999</c:v>
                </c:pt>
                <c:pt idx="69">
                  <c:v>41.732199999999999</c:v>
                </c:pt>
                <c:pt idx="70">
                  <c:v>41.732199999999999</c:v>
                </c:pt>
                <c:pt idx="71">
                  <c:v>41.732199999999999</c:v>
                </c:pt>
                <c:pt idx="72">
                  <c:v>41.732199999999999</c:v>
                </c:pt>
                <c:pt idx="73">
                  <c:v>41.732199999999999</c:v>
                </c:pt>
                <c:pt idx="74">
                  <c:v>41.732199999999999</c:v>
                </c:pt>
                <c:pt idx="75">
                  <c:v>41.732199999999999</c:v>
                </c:pt>
                <c:pt idx="76">
                  <c:v>41.732199999999999</c:v>
                </c:pt>
                <c:pt idx="77">
                  <c:v>41.732199999999999</c:v>
                </c:pt>
                <c:pt idx="78">
                  <c:v>48.721299999999999</c:v>
                </c:pt>
                <c:pt idx="79">
                  <c:v>48.721299999999999</c:v>
                </c:pt>
                <c:pt idx="80">
                  <c:v>48.721299999999999</c:v>
                </c:pt>
                <c:pt idx="81">
                  <c:v>48.721299999999999</c:v>
                </c:pt>
                <c:pt idx="82">
                  <c:v>48.721299999999999</c:v>
                </c:pt>
                <c:pt idx="83">
                  <c:v>48.721299999999999</c:v>
                </c:pt>
                <c:pt idx="84">
                  <c:v>48.721299999999999</c:v>
                </c:pt>
                <c:pt idx="85">
                  <c:v>48.721299999999999</c:v>
                </c:pt>
                <c:pt idx="86">
                  <c:v>48.721299999999999</c:v>
                </c:pt>
                <c:pt idx="87">
                  <c:v>48.721299999999999</c:v>
                </c:pt>
                <c:pt idx="88">
                  <c:v>48.721299999999999</c:v>
                </c:pt>
                <c:pt idx="89">
                  <c:v>48.721299999999999</c:v>
                </c:pt>
                <c:pt idx="90">
                  <c:v>48.721299999999999</c:v>
                </c:pt>
                <c:pt idx="91">
                  <c:v>49.997</c:v>
                </c:pt>
                <c:pt idx="92">
                  <c:v>49.997</c:v>
                </c:pt>
                <c:pt idx="93">
                  <c:v>49.997</c:v>
                </c:pt>
                <c:pt idx="94">
                  <c:v>49.997</c:v>
                </c:pt>
                <c:pt idx="95">
                  <c:v>49.997</c:v>
                </c:pt>
                <c:pt idx="96">
                  <c:v>49.997</c:v>
                </c:pt>
                <c:pt idx="97">
                  <c:v>49.997</c:v>
                </c:pt>
                <c:pt idx="98">
                  <c:v>49.997</c:v>
                </c:pt>
                <c:pt idx="99">
                  <c:v>49.997</c:v>
                </c:pt>
                <c:pt idx="100">
                  <c:v>49.997</c:v>
                </c:pt>
                <c:pt idx="101">
                  <c:v>49.997</c:v>
                </c:pt>
                <c:pt idx="102">
                  <c:v>49.997</c:v>
                </c:pt>
                <c:pt idx="103">
                  <c:v>49.997</c:v>
                </c:pt>
                <c:pt idx="104">
                  <c:v>54.808900000000001</c:v>
                </c:pt>
                <c:pt idx="105">
                  <c:v>54.808900000000001</c:v>
                </c:pt>
                <c:pt idx="106">
                  <c:v>54.808900000000001</c:v>
                </c:pt>
                <c:pt idx="107">
                  <c:v>54.808900000000001</c:v>
                </c:pt>
                <c:pt idx="108">
                  <c:v>54.808900000000001</c:v>
                </c:pt>
                <c:pt idx="109">
                  <c:v>54.808900000000001</c:v>
                </c:pt>
                <c:pt idx="110">
                  <c:v>54.808900000000001</c:v>
                </c:pt>
                <c:pt idx="111">
                  <c:v>54.808900000000001</c:v>
                </c:pt>
                <c:pt idx="112">
                  <c:v>54.808900000000001</c:v>
                </c:pt>
                <c:pt idx="113">
                  <c:v>54.808900000000001</c:v>
                </c:pt>
                <c:pt idx="114">
                  <c:v>54.808900000000001</c:v>
                </c:pt>
                <c:pt idx="115">
                  <c:v>54.808900000000001</c:v>
                </c:pt>
                <c:pt idx="116">
                  <c:v>54.808900000000001</c:v>
                </c:pt>
                <c:pt idx="117">
                  <c:v>48.485399999999998</c:v>
                </c:pt>
                <c:pt idx="118">
                  <c:v>48.485399999999998</c:v>
                </c:pt>
                <c:pt idx="119">
                  <c:v>48.485399999999998</c:v>
                </c:pt>
                <c:pt idx="120">
                  <c:v>48.485399999999998</c:v>
                </c:pt>
                <c:pt idx="121">
                  <c:v>48.485399999999998</c:v>
                </c:pt>
                <c:pt idx="122">
                  <c:v>48.485399999999998</c:v>
                </c:pt>
                <c:pt idx="123">
                  <c:v>48.485399999999998</c:v>
                </c:pt>
                <c:pt idx="124">
                  <c:v>48.485399999999998</c:v>
                </c:pt>
                <c:pt idx="125">
                  <c:v>48.485399999999998</c:v>
                </c:pt>
                <c:pt idx="126">
                  <c:v>48.485399999999998</c:v>
                </c:pt>
                <c:pt idx="127">
                  <c:v>48.485399999999998</c:v>
                </c:pt>
                <c:pt idx="128">
                  <c:v>48.485399999999998</c:v>
                </c:pt>
                <c:pt idx="129">
                  <c:v>48.485399999999998</c:v>
                </c:pt>
                <c:pt idx="130">
                  <c:v>48.485399999999998</c:v>
                </c:pt>
                <c:pt idx="131">
                  <c:v>48.485399999999998</c:v>
                </c:pt>
                <c:pt idx="132">
                  <c:v>48.485399999999998</c:v>
                </c:pt>
                <c:pt idx="133">
                  <c:v>48.485399999999998</c:v>
                </c:pt>
                <c:pt idx="134">
                  <c:v>48.485399999999998</c:v>
                </c:pt>
                <c:pt idx="135">
                  <c:v>48.485399999999998</c:v>
                </c:pt>
                <c:pt idx="136">
                  <c:v>48.485399999999998</c:v>
                </c:pt>
                <c:pt idx="137">
                  <c:v>48.485399999999998</c:v>
                </c:pt>
                <c:pt idx="138">
                  <c:v>48.485399999999998</c:v>
                </c:pt>
                <c:pt idx="139">
                  <c:v>48.485399999999998</c:v>
                </c:pt>
                <c:pt idx="140">
                  <c:v>48.485399999999998</c:v>
                </c:pt>
                <c:pt idx="141">
                  <c:v>48.485399999999998</c:v>
                </c:pt>
                <c:pt idx="142">
                  <c:v>48.485399999999998</c:v>
                </c:pt>
                <c:pt idx="143">
                  <c:v>48.976999999999997</c:v>
                </c:pt>
                <c:pt idx="144">
                  <c:v>48.976999999999997</c:v>
                </c:pt>
                <c:pt idx="145">
                  <c:v>48.976999999999997</c:v>
                </c:pt>
                <c:pt idx="146">
                  <c:v>48.976999999999997</c:v>
                </c:pt>
                <c:pt idx="147">
                  <c:v>48.976999999999997</c:v>
                </c:pt>
                <c:pt idx="148">
                  <c:v>48.976999999999997</c:v>
                </c:pt>
                <c:pt idx="149">
                  <c:v>48.976999999999997</c:v>
                </c:pt>
                <c:pt idx="150">
                  <c:v>48.976999999999997</c:v>
                </c:pt>
                <c:pt idx="151">
                  <c:v>48.976999999999997</c:v>
                </c:pt>
                <c:pt idx="152">
                  <c:v>48.976999999999997</c:v>
                </c:pt>
                <c:pt idx="153">
                  <c:v>48.976999999999997</c:v>
                </c:pt>
                <c:pt idx="154">
                  <c:v>48.976999999999997</c:v>
                </c:pt>
                <c:pt idx="155">
                  <c:v>48.976999999999997</c:v>
                </c:pt>
                <c:pt idx="156">
                  <c:v>38.939100000000003</c:v>
                </c:pt>
                <c:pt idx="157">
                  <c:v>38.939100000000003</c:v>
                </c:pt>
                <c:pt idx="158">
                  <c:v>38.939100000000003</c:v>
                </c:pt>
                <c:pt idx="159">
                  <c:v>38.939100000000003</c:v>
                </c:pt>
                <c:pt idx="160">
                  <c:v>38.939100000000003</c:v>
                </c:pt>
                <c:pt idx="161">
                  <c:v>38.939100000000003</c:v>
                </c:pt>
                <c:pt idx="162">
                  <c:v>38.939100000000003</c:v>
                </c:pt>
                <c:pt idx="163">
                  <c:v>38.939100000000003</c:v>
                </c:pt>
                <c:pt idx="164">
                  <c:v>38.939100000000003</c:v>
                </c:pt>
                <c:pt idx="165">
                  <c:v>38.939100000000003</c:v>
                </c:pt>
                <c:pt idx="166">
                  <c:v>38.939100000000003</c:v>
                </c:pt>
                <c:pt idx="167">
                  <c:v>38.939100000000003</c:v>
                </c:pt>
                <c:pt idx="168">
                  <c:v>38.939100000000003</c:v>
                </c:pt>
                <c:pt idx="169">
                  <c:v>34.533799999999999</c:v>
                </c:pt>
                <c:pt idx="170">
                  <c:v>34.533799999999999</c:v>
                </c:pt>
                <c:pt idx="171">
                  <c:v>34.533799999999999</c:v>
                </c:pt>
                <c:pt idx="172">
                  <c:v>34.533799999999999</c:v>
                </c:pt>
                <c:pt idx="173">
                  <c:v>34.533799999999999</c:v>
                </c:pt>
                <c:pt idx="174">
                  <c:v>34.533799999999999</c:v>
                </c:pt>
                <c:pt idx="175">
                  <c:v>34.533799999999999</c:v>
                </c:pt>
                <c:pt idx="176">
                  <c:v>34.533799999999999</c:v>
                </c:pt>
                <c:pt idx="177">
                  <c:v>34.533799999999999</c:v>
                </c:pt>
                <c:pt idx="178">
                  <c:v>34.533799999999999</c:v>
                </c:pt>
                <c:pt idx="179">
                  <c:v>34.533799999999999</c:v>
                </c:pt>
                <c:pt idx="180">
                  <c:v>34.533799999999999</c:v>
                </c:pt>
                <c:pt idx="181">
                  <c:v>34.533799999999999</c:v>
                </c:pt>
                <c:pt idx="182">
                  <c:v>32.315300000000001</c:v>
                </c:pt>
                <c:pt idx="183">
                  <c:v>32.315300000000001</c:v>
                </c:pt>
                <c:pt idx="184">
                  <c:v>32.315300000000001</c:v>
                </c:pt>
                <c:pt idx="185">
                  <c:v>32.315300000000001</c:v>
                </c:pt>
                <c:pt idx="186">
                  <c:v>32.315300000000001</c:v>
                </c:pt>
                <c:pt idx="187">
                  <c:v>32.315300000000001</c:v>
                </c:pt>
                <c:pt idx="188">
                  <c:v>32.315300000000001</c:v>
                </c:pt>
                <c:pt idx="189">
                  <c:v>32.315300000000001</c:v>
                </c:pt>
                <c:pt idx="190">
                  <c:v>32.315300000000001</c:v>
                </c:pt>
                <c:pt idx="191">
                  <c:v>32.315300000000001</c:v>
                </c:pt>
                <c:pt idx="192">
                  <c:v>32.315300000000001</c:v>
                </c:pt>
                <c:pt idx="193">
                  <c:v>32.315300000000001</c:v>
                </c:pt>
                <c:pt idx="194">
                  <c:v>32.315300000000001</c:v>
                </c:pt>
                <c:pt idx="195">
                  <c:v>28.8551</c:v>
                </c:pt>
                <c:pt idx="196">
                  <c:v>28.8551</c:v>
                </c:pt>
                <c:pt idx="197">
                  <c:v>28.8551</c:v>
                </c:pt>
                <c:pt idx="198">
                  <c:v>28.8551</c:v>
                </c:pt>
                <c:pt idx="199">
                  <c:v>28.8551</c:v>
                </c:pt>
                <c:pt idx="200">
                  <c:v>28.8551</c:v>
                </c:pt>
                <c:pt idx="201">
                  <c:v>28.8551</c:v>
                </c:pt>
                <c:pt idx="202">
                  <c:v>28.8551</c:v>
                </c:pt>
                <c:pt idx="203">
                  <c:v>28.8551</c:v>
                </c:pt>
                <c:pt idx="204">
                  <c:v>28.8551</c:v>
                </c:pt>
                <c:pt idx="205">
                  <c:v>28.8551</c:v>
                </c:pt>
                <c:pt idx="206">
                  <c:v>28.8551</c:v>
                </c:pt>
                <c:pt idx="207">
                  <c:v>28.8551</c:v>
                </c:pt>
                <c:pt idx="208">
                  <c:v>17.449000000000002</c:v>
                </c:pt>
                <c:pt idx="209">
                  <c:v>17.449000000000002</c:v>
                </c:pt>
                <c:pt idx="210">
                  <c:v>17.449000000000002</c:v>
                </c:pt>
                <c:pt idx="211">
                  <c:v>17.449000000000002</c:v>
                </c:pt>
                <c:pt idx="212">
                  <c:v>17.449000000000002</c:v>
                </c:pt>
                <c:pt idx="213">
                  <c:v>17.449000000000002</c:v>
                </c:pt>
                <c:pt idx="214">
                  <c:v>17.449000000000002</c:v>
                </c:pt>
                <c:pt idx="215">
                  <c:v>17.449000000000002</c:v>
                </c:pt>
                <c:pt idx="216">
                  <c:v>17.449000000000002</c:v>
                </c:pt>
                <c:pt idx="217">
                  <c:v>17.449000000000002</c:v>
                </c:pt>
                <c:pt idx="218">
                  <c:v>17.449000000000002</c:v>
                </c:pt>
                <c:pt idx="219">
                  <c:v>17.449000000000002</c:v>
                </c:pt>
                <c:pt idx="220">
                  <c:v>17.449000000000002</c:v>
                </c:pt>
                <c:pt idx="221">
                  <c:v>15.2675</c:v>
                </c:pt>
                <c:pt idx="222">
                  <c:v>15.2675</c:v>
                </c:pt>
                <c:pt idx="223">
                  <c:v>15.2675</c:v>
                </c:pt>
                <c:pt idx="224">
                  <c:v>15.2675</c:v>
                </c:pt>
                <c:pt idx="225">
                  <c:v>15.2675</c:v>
                </c:pt>
                <c:pt idx="226">
                  <c:v>15.2675</c:v>
                </c:pt>
                <c:pt idx="227">
                  <c:v>15.2675</c:v>
                </c:pt>
                <c:pt idx="228">
                  <c:v>15.2675</c:v>
                </c:pt>
                <c:pt idx="229">
                  <c:v>15.2675</c:v>
                </c:pt>
                <c:pt idx="230">
                  <c:v>15.2675</c:v>
                </c:pt>
                <c:pt idx="231">
                  <c:v>15.2675</c:v>
                </c:pt>
                <c:pt idx="232">
                  <c:v>15.2675</c:v>
                </c:pt>
                <c:pt idx="233">
                  <c:v>15.2675</c:v>
                </c:pt>
                <c:pt idx="234">
                  <c:v>10.4549</c:v>
                </c:pt>
                <c:pt idx="235">
                  <c:v>10.4549</c:v>
                </c:pt>
                <c:pt idx="236">
                  <c:v>10.4549</c:v>
                </c:pt>
                <c:pt idx="237">
                  <c:v>10.4549</c:v>
                </c:pt>
                <c:pt idx="238">
                  <c:v>10.4549</c:v>
                </c:pt>
                <c:pt idx="239">
                  <c:v>10.4549</c:v>
                </c:pt>
                <c:pt idx="240">
                  <c:v>10.4549</c:v>
                </c:pt>
                <c:pt idx="241">
                  <c:v>10.4549</c:v>
                </c:pt>
                <c:pt idx="242">
                  <c:v>10.4549</c:v>
                </c:pt>
                <c:pt idx="243">
                  <c:v>10.4549</c:v>
                </c:pt>
                <c:pt idx="244">
                  <c:v>10.4549</c:v>
                </c:pt>
                <c:pt idx="245">
                  <c:v>10.4549</c:v>
                </c:pt>
                <c:pt idx="246">
                  <c:v>10.4549</c:v>
                </c:pt>
                <c:pt idx="247">
                  <c:v>8.1532</c:v>
                </c:pt>
                <c:pt idx="248">
                  <c:v>8.1532</c:v>
                </c:pt>
                <c:pt idx="249">
                  <c:v>8.1532</c:v>
                </c:pt>
                <c:pt idx="250">
                  <c:v>8.1532</c:v>
                </c:pt>
                <c:pt idx="251">
                  <c:v>8.1532</c:v>
                </c:pt>
                <c:pt idx="252">
                  <c:v>8.1532</c:v>
                </c:pt>
                <c:pt idx="253">
                  <c:v>8.1532</c:v>
                </c:pt>
                <c:pt idx="254">
                  <c:v>8.1532</c:v>
                </c:pt>
                <c:pt idx="255">
                  <c:v>8.1532</c:v>
                </c:pt>
                <c:pt idx="256">
                  <c:v>8.1532</c:v>
                </c:pt>
                <c:pt idx="257">
                  <c:v>8.1532</c:v>
                </c:pt>
                <c:pt idx="258">
                  <c:v>8.1532</c:v>
                </c:pt>
                <c:pt idx="259">
                  <c:v>8.1532</c:v>
                </c:pt>
                <c:pt idx="260">
                  <c:v>6.6460999999999997</c:v>
                </c:pt>
                <c:pt idx="261">
                  <c:v>6.6460999999999997</c:v>
                </c:pt>
                <c:pt idx="262">
                  <c:v>6.6460999999999997</c:v>
                </c:pt>
                <c:pt idx="263">
                  <c:v>6.6460999999999997</c:v>
                </c:pt>
                <c:pt idx="264">
                  <c:v>6.6460999999999997</c:v>
                </c:pt>
                <c:pt idx="265">
                  <c:v>6.6460999999999997</c:v>
                </c:pt>
                <c:pt idx="266">
                  <c:v>6.6460999999999997</c:v>
                </c:pt>
                <c:pt idx="267">
                  <c:v>6.6460999999999997</c:v>
                </c:pt>
                <c:pt idx="268">
                  <c:v>6.6460999999999997</c:v>
                </c:pt>
                <c:pt idx="269">
                  <c:v>6.6460999999999997</c:v>
                </c:pt>
                <c:pt idx="270">
                  <c:v>6.6460999999999997</c:v>
                </c:pt>
                <c:pt idx="271">
                  <c:v>6.6460999999999997</c:v>
                </c:pt>
                <c:pt idx="272">
                  <c:v>6.6460999999999997</c:v>
                </c:pt>
                <c:pt idx="273">
                  <c:v>6.6460999999999997</c:v>
                </c:pt>
                <c:pt idx="274">
                  <c:v>4.6452999999999998</c:v>
                </c:pt>
                <c:pt idx="275">
                  <c:v>4.6452999999999998</c:v>
                </c:pt>
                <c:pt idx="276">
                  <c:v>4.6452999999999998</c:v>
                </c:pt>
                <c:pt idx="277">
                  <c:v>4.6452999999999998</c:v>
                </c:pt>
                <c:pt idx="278">
                  <c:v>4.6452999999999998</c:v>
                </c:pt>
                <c:pt idx="279">
                  <c:v>4.6452999999999998</c:v>
                </c:pt>
                <c:pt idx="280">
                  <c:v>4.6452999999999998</c:v>
                </c:pt>
                <c:pt idx="281">
                  <c:v>4.6452999999999998</c:v>
                </c:pt>
                <c:pt idx="282">
                  <c:v>4.6452999999999998</c:v>
                </c:pt>
                <c:pt idx="283">
                  <c:v>4.6452999999999998</c:v>
                </c:pt>
                <c:pt idx="284">
                  <c:v>4.6452999999999998</c:v>
                </c:pt>
                <c:pt idx="285">
                  <c:v>4.6452999999999998</c:v>
                </c:pt>
                <c:pt idx="286">
                  <c:v>4.6452999999999998</c:v>
                </c:pt>
                <c:pt idx="287">
                  <c:v>4.1825000000000001</c:v>
                </c:pt>
                <c:pt idx="288">
                  <c:v>4.1825000000000001</c:v>
                </c:pt>
                <c:pt idx="289">
                  <c:v>4.1825000000000001</c:v>
                </c:pt>
                <c:pt idx="290">
                  <c:v>4.1825000000000001</c:v>
                </c:pt>
                <c:pt idx="291">
                  <c:v>4.1825000000000001</c:v>
                </c:pt>
                <c:pt idx="292">
                  <c:v>4.1825000000000001</c:v>
                </c:pt>
                <c:pt idx="293">
                  <c:v>4.1825000000000001</c:v>
                </c:pt>
                <c:pt idx="294">
                  <c:v>4.1825000000000001</c:v>
                </c:pt>
                <c:pt idx="295">
                  <c:v>4.1825000000000001</c:v>
                </c:pt>
                <c:pt idx="296">
                  <c:v>4.1825000000000001</c:v>
                </c:pt>
                <c:pt idx="297">
                  <c:v>4.1825000000000001</c:v>
                </c:pt>
                <c:pt idx="298">
                  <c:v>4.1825000000000001</c:v>
                </c:pt>
                <c:pt idx="299">
                  <c:v>4.1825000000000001</c:v>
                </c:pt>
                <c:pt idx="300">
                  <c:v>3.6053999999999999</c:v>
                </c:pt>
                <c:pt idx="301">
                  <c:v>3.6053999999999999</c:v>
                </c:pt>
                <c:pt idx="302">
                  <c:v>3.6053999999999999</c:v>
                </c:pt>
                <c:pt idx="303">
                  <c:v>3.6053999999999999</c:v>
                </c:pt>
                <c:pt idx="304">
                  <c:v>3.6053999999999999</c:v>
                </c:pt>
                <c:pt idx="305">
                  <c:v>3.6053999999999999</c:v>
                </c:pt>
                <c:pt idx="306">
                  <c:v>3.6053999999999999</c:v>
                </c:pt>
                <c:pt idx="307">
                  <c:v>3.6053999999999999</c:v>
                </c:pt>
                <c:pt idx="308">
                  <c:v>3.6053999999999999</c:v>
                </c:pt>
                <c:pt idx="309">
                  <c:v>3.6053999999999999</c:v>
                </c:pt>
                <c:pt idx="310">
                  <c:v>3.6053999999999999</c:v>
                </c:pt>
                <c:pt idx="311">
                  <c:v>3.6053999999999999</c:v>
                </c:pt>
                <c:pt idx="312">
                  <c:v>3.6053999999999999</c:v>
                </c:pt>
                <c:pt idx="313">
                  <c:v>8.2711000000000006</c:v>
                </c:pt>
                <c:pt idx="314">
                  <c:v>8.2711000000000006</c:v>
                </c:pt>
                <c:pt idx="315">
                  <c:v>8.2711000000000006</c:v>
                </c:pt>
                <c:pt idx="316">
                  <c:v>8.2711000000000006</c:v>
                </c:pt>
                <c:pt idx="317">
                  <c:v>8.2711000000000006</c:v>
                </c:pt>
                <c:pt idx="318">
                  <c:v>8.2711000000000006</c:v>
                </c:pt>
                <c:pt idx="319">
                  <c:v>8.2711000000000006</c:v>
                </c:pt>
                <c:pt idx="320">
                  <c:v>8.2711000000000006</c:v>
                </c:pt>
                <c:pt idx="321">
                  <c:v>8.2711000000000006</c:v>
                </c:pt>
                <c:pt idx="322">
                  <c:v>8.2711000000000006</c:v>
                </c:pt>
                <c:pt idx="323">
                  <c:v>8.2711000000000006</c:v>
                </c:pt>
                <c:pt idx="324">
                  <c:v>8.2711000000000006</c:v>
                </c:pt>
                <c:pt idx="325">
                  <c:v>8.2711000000000006</c:v>
                </c:pt>
                <c:pt idx="326">
                  <c:v>9.3683999999999994</c:v>
                </c:pt>
                <c:pt idx="327">
                  <c:v>9.3683999999999994</c:v>
                </c:pt>
                <c:pt idx="328">
                  <c:v>9.3683999999999994</c:v>
                </c:pt>
                <c:pt idx="329">
                  <c:v>9.3683999999999994</c:v>
                </c:pt>
                <c:pt idx="330">
                  <c:v>9.3683999999999994</c:v>
                </c:pt>
                <c:pt idx="331">
                  <c:v>9.3683999999999994</c:v>
                </c:pt>
                <c:pt idx="332">
                  <c:v>9.3683999999999994</c:v>
                </c:pt>
                <c:pt idx="333">
                  <c:v>9.3683999999999994</c:v>
                </c:pt>
                <c:pt idx="334">
                  <c:v>9.3683999999999994</c:v>
                </c:pt>
                <c:pt idx="335">
                  <c:v>9.3683999999999994</c:v>
                </c:pt>
                <c:pt idx="336">
                  <c:v>9.3683999999999994</c:v>
                </c:pt>
                <c:pt idx="337">
                  <c:v>9.3683999999999994</c:v>
                </c:pt>
                <c:pt idx="338">
                  <c:v>9.3683999999999994</c:v>
                </c:pt>
                <c:pt idx="339">
                  <c:v>8.2711000000000006</c:v>
                </c:pt>
                <c:pt idx="340">
                  <c:v>8.2711000000000006</c:v>
                </c:pt>
                <c:pt idx="341">
                  <c:v>8.2711000000000006</c:v>
                </c:pt>
                <c:pt idx="342">
                  <c:v>8.2711000000000006</c:v>
                </c:pt>
                <c:pt idx="343">
                  <c:v>8.2711000000000006</c:v>
                </c:pt>
                <c:pt idx="344">
                  <c:v>8.2711000000000006</c:v>
                </c:pt>
                <c:pt idx="345">
                  <c:v>8.2711000000000006</c:v>
                </c:pt>
                <c:pt idx="346">
                  <c:v>8.2711000000000006</c:v>
                </c:pt>
                <c:pt idx="347">
                  <c:v>8.2711000000000006</c:v>
                </c:pt>
                <c:pt idx="348">
                  <c:v>8.2711000000000006</c:v>
                </c:pt>
                <c:pt idx="349">
                  <c:v>8.2711000000000006</c:v>
                </c:pt>
                <c:pt idx="350">
                  <c:v>8.2711000000000006</c:v>
                </c:pt>
                <c:pt idx="351">
                  <c:v>8.2711000000000006</c:v>
                </c:pt>
                <c:pt idx="352">
                  <c:v>7.0838999999999999</c:v>
                </c:pt>
                <c:pt idx="353">
                  <c:v>7.0838999999999999</c:v>
                </c:pt>
                <c:pt idx="354">
                  <c:v>7.0838999999999999</c:v>
                </c:pt>
                <c:pt idx="355">
                  <c:v>7.0838999999999999</c:v>
                </c:pt>
                <c:pt idx="356">
                  <c:v>7.0838999999999999</c:v>
                </c:pt>
                <c:pt idx="357">
                  <c:v>7.0838999999999999</c:v>
                </c:pt>
                <c:pt idx="358">
                  <c:v>7.0838999999999999</c:v>
                </c:pt>
                <c:pt idx="359">
                  <c:v>7.0838999999999999</c:v>
                </c:pt>
                <c:pt idx="360">
                  <c:v>7.0838999999999999</c:v>
                </c:pt>
                <c:pt idx="361">
                  <c:v>7.0838999999999999</c:v>
                </c:pt>
                <c:pt idx="362">
                  <c:v>7.0838999999999999</c:v>
                </c:pt>
                <c:pt idx="363">
                  <c:v>7.0838999999999999</c:v>
                </c:pt>
                <c:pt idx="364">
                  <c:v>7.0838999999999999</c:v>
                </c:pt>
                <c:pt idx="365">
                  <c:v>5.82</c:v>
                </c:pt>
                <c:pt idx="366">
                  <c:v>5.82</c:v>
                </c:pt>
                <c:pt idx="367">
                  <c:v>5.82</c:v>
                </c:pt>
                <c:pt idx="368">
                  <c:v>5.82</c:v>
                </c:pt>
                <c:pt idx="369">
                  <c:v>5.82</c:v>
                </c:pt>
                <c:pt idx="370">
                  <c:v>5.82</c:v>
                </c:pt>
                <c:pt idx="371">
                  <c:v>5.82</c:v>
                </c:pt>
                <c:pt idx="372">
                  <c:v>5.82</c:v>
                </c:pt>
                <c:pt idx="373">
                  <c:v>5.82</c:v>
                </c:pt>
                <c:pt idx="374">
                  <c:v>5.82</c:v>
                </c:pt>
                <c:pt idx="375">
                  <c:v>5.82</c:v>
                </c:pt>
                <c:pt idx="376">
                  <c:v>5.82</c:v>
                </c:pt>
                <c:pt idx="377">
                  <c:v>5.82</c:v>
                </c:pt>
                <c:pt idx="378">
                  <c:v>5.82</c:v>
                </c:pt>
                <c:pt idx="379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C9-4EAC-BA01-38C379E6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145407"/>
        <c:axId val="1546148287"/>
      </c:lineChart>
      <c:dateAx>
        <c:axId val="1546145407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6148287"/>
        <c:crosses val="autoZero"/>
        <c:auto val="1"/>
        <c:lblOffset val="100"/>
        <c:baseTimeUnit val="days"/>
      </c:dateAx>
      <c:valAx>
        <c:axId val="15461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614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4223606913260793E-2"/>
          <c:y val="0.90087834151214974"/>
          <c:w val="0.84464589885447994"/>
          <c:h val="9.7748473209884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Base!$B$4</c:f>
              <c:strCache>
                <c:ptCount val="1"/>
                <c:pt idx="0">
                  <c:v>CEPU AR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Base!$M$6:$M$2000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Base!$H$6:$H$2000</c:f>
              <c:numCache>
                <c:formatCode>General</c:formatCode>
                <c:ptCount val="1995"/>
                <c:pt idx="0">
                  <c:v>84.015500000000003</c:v>
                </c:pt>
                <c:pt idx="1">
                  <c:v>84.015500000000003</c:v>
                </c:pt>
                <c:pt idx="2">
                  <c:v>84.015500000000003</c:v>
                </c:pt>
                <c:pt idx="3">
                  <c:v>84.015500000000003</c:v>
                </c:pt>
                <c:pt idx="4">
                  <c:v>84.015500000000003</c:v>
                </c:pt>
                <c:pt idx="5">
                  <c:v>84.015500000000003</c:v>
                </c:pt>
                <c:pt idx="6">
                  <c:v>84.015500000000003</c:v>
                </c:pt>
                <c:pt idx="7">
                  <c:v>84.015500000000003</c:v>
                </c:pt>
                <c:pt idx="8">
                  <c:v>84.015500000000003</c:v>
                </c:pt>
                <c:pt idx="9">
                  <c:v>84.015500000000003</c:v>
                </c:pt>
                <c:pt idx="10">
                  <c:v>84.015500000000003</c:v>
                </c:pt>
                <c:pt idx="11">
                  <c:v>84.015500000000003</c:v>
                </c:pt>
                <c:pt idx="12">
                  <c:v>84.015500000000003</c:v>
                </c:pt>
                <c:pt idx="13">
                  <c:v>123.0329</c:v>
                </c:pt>
                <c:pt idx="14">
                  <c:v>123.0329</c:v>
                </c:pt>
                <c:pt idx="15">
                  <c:v>123.0329</c:v>
                </c:pt>
                <c:pt idx="16">
                  <c:v>123.0329</c:v>
                </c:pt>
                <c:pt idx="17">
                  <c:v>123.0329</c:v>
                </c:pt>
                <c:pt idx="18">
                  <c:v>123.0329</c:v>
                </c:pt>
                <c:pt idx="19">
                  <c:v>123.0329</c:v>
                </c:pt>
                <c:pt idx="20">
                  <c:v>123.0329</c:v>
                </c:pt>
                <c:pt idx="21">
                  <c:v>123.0329</c:v>
                </c:pt>
                <c:pt idx="22">
                  <c:v>123.0329</c:v>
                </c:pt>
                <c:pt idx="23">
                  <c:v>123.0329</c:v>
                </c:pt>
                <c:pt idx="24">
                  <c:v>123.0329</c:v>
                </c:pt>
                <c:pt idx="25">
                  <c:v>123.0329</c:v>
                </c:pt>
                <c:pt idx="26">
                  <c:v>103.5607</c:v>
                </c:pt>
                <c:pt idx="27">
                  <c:v>103.5607</c:v>
                </c:pt>
                <c:pt idx="28">
                  <c:v>103.5607</c:v>
                </c:pt>
                <c:pt idx="29">
                  <c:v>103.5607</c:v>
                </c:pt>
                <c:pt idx="30">
                  <c:v>103.5607</c:v>
                </c:pt>
                <c:pt idx="31">
                  <c:v>103.5607</c:v>
                </c:pt>
                <c:pt idx="32">
                  <c:v>103.5607</c:v>
                </c:pt>
                <c:pt idx="33">
                  <c:v>103.5607</c:v>
                </c:pt>
                <c:pt idx="34">
                  <c:v>103.5607</c:v>
                </c:pt>
                <c:pt idx="35">
                  <c:v>103.5607</c:v>
                </c:pt>
                <c:pt idx="36">
                  <c:v>103.5607</c:v>
                </c:pt>
                <c:pt idx="37">
                  <c:v>103.5607</c:v>
                </c:pt>
                <c:pt idx="38">
                  <c:v>103.5607</c:v>
                </c:pt>
                <c:pt idx="39">
                  <c:v>102.361</c:v>
                </c:pt>
                <c:pt idx="40">
                  <c:v>102.361</c:v>
                </c:pt>
                <c:pt idx="41">
                  <c:v>102.361</c:v>
                </c:pt>
                <c:pt idx="42">
                  <c:v>102.361</c:v>
                </c:pt>
                <c:pt idx="43">
                  <c:v>102.361</c:v>
                </c:pt>
                <c:pt idx="44">
                  <c:v>102.361</c:v>
                </c:pt>
                <c:pt idx="45">
                  <c:v>102.361</c:v>
                </c:pt>
                <c:pt idx="46">
                  <c:v>102.361</c:v>
                </c:pt>
                <c:pt idx="47">
                  <c:v>102.361</c:v>
                </c:pt>
                <c:pt idx="48">
                  <c:v>102.361</c:v>
                </c:pt>
                <c:pt idx="49">
                  <c:v>102.361</c:v>
                </c:pt>
                <c:pt idx="50">
                  <c:v>102.361</c:v>
                </c:pt>
                <c:pt idx="51">
                  <c:v>102.361</c:v>
                </c:pt>
                <c:pt idx="52">
                  <c:v>120.07210000000001</c:v>
                </c:pt>
                <c:pt idx="53">
                  <c:v>120.07210000000001</c:v>
                </c:pt>
                <c:pt idx="54">
                  <c:v>120.07210000000001</c:v>
                </c:pt>
                <c:pt idx="55">
                  <c:v>120.07210000000001</c:v>
                </c:pt>
                <c:pt idx="56">
                  <c:v>120.07210000000001</c:v>
                </c:pt>
                <c:pt idx="57">
                  <c:v>120.07210000000001</c:v>
                </c:pt>
                <c:pt idx="58">
                  <c:v>120.07210000000001</c:v>
                </c:pt>
                <c:pt idx="59">
                  <c:v>120.07210000000001</c:v>
                </c:pt>
                <c:pt idx="60">
                  <c:v>120.07210000000001</c:v>
                </c:pt>
                <c:pt idx="61">
                  <c:v>120.07210000000001</c:v>
                </c:pt>
                <c:pt idx="62">
                  <c:v>120.07210000000001</c:v>
                </c:pt>
                <c:pt idx="63">
                  <c:v>120.07210000000001</c:v>
                </c:pt>
                <c:pt idx="64">
                  <c:v>120.07210000000001</c:v>
                </c:pt>
                <c:pt idx="65">
                  <c:v>89.589500000000001</c:v>
                </c:pt>
                <c:pt idx="66">
                  <c:v>89.589500000000001</c:v>
                </c:pt>
                <c:pt idx="67">
                  <c:v>89.589500000000001</c:v>
                </c:pt>
                <c:pt idx="68">
                  <c:v>89.589500000000001</c:v>
                </c:pt>
                <c:pt idx="69">
                  <c:v>89.589500000000001</c:v>
                </c:pt>
                <c:pt idx="70">
                  <c:v>89.589500000000001</c:v>
                </c:pt>
                <c:pt idx="71">
                  <c:v>89.589500000000001</c:v>
                </c:pt>
                <c:pt idx="72">
                  <c:v>89.589500000000001</c:v>
                </c:pt>
                <c:pt idx="73">
                  <c:v>89.589500000000001</c:v>
                </c:pt>
                <c:pt idx="74">
                  <c:v>89.589500000000001</c:v>
                </c:pt>
                <c:pt idx="75">
                  <c:v>89.589500000000001</c:v>
                </c:pt>
                <c:pt idx="76">
                  <c:v>89.589500000000001</c:v>
                </c:pt>
                <c:pt idx="77">
                  <c:v>89.589500000000001</c:v>
                </c:pt>
                <c:pt idx="78">
                  <c:v>82.255799999999994</c:v>
                </c:pt>
                <c:pt idx="79">
                  <c:v>82.255799999999994</c:v>
                </c:pt>
                <c:pt idx="80">
                  <c:v>82.255799999999994</c:v>
                </c:pt>
                <c:pt idx="81">
                  <c:v>82.255799999999994</c:v>
                </c:pt>
                <c:pt idx="82">
                  <c:v>82.255799999999994</c:v>
                </c:pt>
                <c:pt idx="83">
                  <c:v>82.255799999999994</c:v>
                </c:pt>
                <c:pt idx="84">
                  <c:v>82.255799999999994</c:v>
                </c:pt>
                <c:pt idx="85">
                  <c:v>82.255799999999994</c:v>
                </c:pt>
                <c:pt idx="86">
                  <c:v>82.255799999999994</c:v>
                </c:pt>
                <c:pt idx="87">
                  <c:v>82.255799999999994</c:v>
                </c:pt>
                <c:pt idx="88">
                  <c:v>82.255799999999994</c:v>
                </c:pt>
                <c:pt idx="89">
                  <c:v>82.255799999999994</c:v>
                </c:pt>
                <c:pt idx="90">
                  <c:v>82.255799999999994</c:v>
                </c:pt>
                <c:pt idx="91">
                  <c:v>69.993099999999998</c:v>
                </c:pt>
                <c:pt idx="92">
                  <c:v>69.993099999999998</c:v>
                </c:pt>
                <c:pt idx="93">
                  <c:v>69.993099999999998</c:v>
                </c:pt>
                <c:pt idx="94">
                  <c:v>69.993099999999998</c:v>
                </c:pt>
                <c:pt idx="95">
                  <c:v>69.993099999999998</c:v>
                </c:pt>
                <c:pt idx="96">
                  <c:v>69.993099999999998</c:v>
                </c:pt>
                <c:pt idx="97">
                  <c:v>69.993099999999998</c:v>
                </c:pt>
                <c:pt idx="98">
                  <c:v>69.993099999999998</c:v>
                </c:pt>
                <c:pt idx="99">
                  <c:v>69.993099999999998</c:v>
                </c:pt>
                <c:pt idx="100">
                  <c:v>69.993099999999998</c:v>
                </c:pt>
                <c:pt idx="101">
                  <c:v>69.993099999999998</c:v>
                </c:pt>
                <c:pt idx="102">
                  <c:v>69.993099999999998</c:v>
                </c:pt>
                <c:pt idx="103">
                  <c:v>69.993099999999998</c:v>
                </c:pt>
                <c:pt idx="104">
                  <c:v>44.492400000000004</c:v>
                </c:pt>
                <c:pt idx="105">
                  <c:v>44.492400000000004</c:v>
                </c:pt>
                <c:pt idx="106">
                  <c:v>44.492400000000004</c:v>
                </c:pt>
                <c:pt idx="107">
                  <c:v>44.492400000000004</c:v>
                </c:pt>
                <c:pt idx="108">
                  <c:v>44.492400000000004</c:v>
                </c:pt>
                <c:pt idx="109">
                  <c:v>44.492400000000004</c:v>
                </c:pt>
                <c:pt idx="110">
                  <c:v>44.492400000000004</c:v>
                </c:pt>
                <c:pt idx="111">
                  <c:v>44.492400000000004</c:v>
                </c:pt>
                <c:pt idx="112">
                  <c:v>44.492400000000004</c:v>
                </c:pt>
                <c:pt idx="113">
                  <c:v>44.492400000000004</c:v>
                </c:pt>
                <c:pt idx="114">
                  <c:v>44.492400000000004</c:v>
                </c:pt>
                <c:pt idx="115">
                  <c:v>44.492400000000004</c:v>
                </c:pt>
                <c:pt idx="116">
                  <c:v>44.492400000000004</c:v>
                </c:pt>
                <c:pt idx="117">
                  <c:v>43.084200000000003</c:v>
                </c:pt>
                <c:pt idx="118">
                  <c:v>43.084200000000003</c:v>
                </c:pt>
                <c:pt idx="119">
                  <c:v>43.084200000000003</c:v>
                </c:pt>
                <c:pt idx="120">
                  <c:v>43.084200000000003</c:v>
                </c:pt>
                <c:pt idx="121">
                  <c:v>43.084200000000003</c:v>
                </c:pt>
                <c:pt idx="122">
                  <c:v>43.084200000000003</c:v>
                </c:pt>
                <c:pt idx="123">
                  <c:v>43.084200000000003</c:v>
                </c:pt>
                <c:pt idx="124">
                  <c:v>43.084200000000003</c:v>
                </c:pt>
                <c:pt idx="125">
                  <c:v>43.084200000000003</c:v>
                </c:pt>
                <c:pt idx="126">
                  <c:v>43.084200000000003</c:v>
                </c:pt>
                <c:pt idx="127">
                  <c:v>43.084200000000003</c:v>
                </c:pt>
                <c:pt idx="128">
                  <c:v>43.084200000000003</c:v>
                </c:pt>
                <c:pt idx="129">
                  <c:v>43.084200000000003</c:v>
                </c:pt>
                <c:pt idx="130">
                  <c:v>46.214700000000001</c:v>
                </c:pt>
                <c:pt idx="131">
                  <c:v>46.214700000000001</c:v>
                </c:pt>
                <c:pt idx="132">
                  <c:v>46.214700000000001</c:v>
                </c:pt>
                <c:pt idx="133">
                  <c:v>46.214700000000001</c:v>
                </c:pt>
                <c:pt idx="134">
                  <c:v>46.214700000000001</c:v>
                </c:pt>
                <c:pt idx="135">
                  <c:v>46.214700000000001</c:v>
                </c:pt>
                <c:pt idx="136">
                  <c:v>46.214700000000001</c:v>
                </c:pt>
                <c:pt idx="137">
                  <c:v>46.214700000000001</c:v>
                </c:pt>
                <c:pt idx="138">
                  <c:v>46.214700000000001</c:v>
                </c:pt>
                <c:pt idx="139">
                  <c:v>46.214700000000001</c:v>
                </c:pt>
                <c:pt idx="140">
                  <c:v>46.214700000000001</c:v>
                </c:pt>
                <c:pt idx="141">
                  <c:v>46.214700000000001</c:v>
                </c:pt>
                <c:pt idx="142">
                  <c:v>46.214700000000001</c:v>
                </c:pt>
                <c:pt idx="143">
                  <c:v>52.348100000000002</c:v>
                </c:pt>
                <c:pt idx="144">
                  <c:v>52.348100000000002</c:v>
                </c:pt>
                <c:pt idx="145">
                  <c:v>52.348100000000002</c:v>
                </c:pt>
                <c:pt idx="146">
                  <c:v>52.348100000000002</c:v>
                </c:pt>
                <c:pt idx="147">
                  <c:v>52.348100000000002</c:v>
                </c:pt>
                <c:pt idx="148">
                  <c:v>52.348100000000002</c:v>
                </c:pt>
                <c:pt idx="149">
                  <c:v>52.348100000000002</c:v>
                </c:pt>
                <c:pt idx="150">
                  <c:v>52.348100000000002</c:v>
                </c:pt>
                <c:pt idx="151">
                  <c:v>52.348100000000002</c:v>
                </c:pt>
                <c:pt idx="152">
                  <c:v>52.348100000000002</c:v>
                </c:pt>
                <c:pt idx="153">
                  <c:v>52.348100000000002</c:v>
                </c:pt>
                <c:pt idx="154">
                  <c:v>52.348100000000002</c:v>
                </c:pt>
                <c:pt idx="155">
                  <c:v>52.348100000000002</c:v>
                </c:pt>
                <c:pt idx="156">
                  <c:v>61.026800000000001</c:v>
                </c:pt>
                <c:pt idx="157">
                  <c:v>61.026800000000001</c:v>
                </c:pt>
                <c:pt idx="158">
                  <c:v>61.026800000000001</c:v>
                </c:pt>
                <c:pt idx="159">
                  <c:v>61.026800000000001</c:v>
                </c:pt>
                <c:pt idx="160">
                  <c:v>61.026800000000001</c:v>
                </c:pt>
                <c:pt idx="161">
                  <c:v>61.026800000000001</c:v>
                </c:pt>
                <c:pt idx="162">
                  <c:v>61.026800000000001</c:v>
                </c:pt>
                <c:pt idx="163">
                  <c:v>61.026800000000001</c:v>
                </c:pt>
                <c:pt idx="164">
                  <c:v>61.026800000000001</c:v>
                </c:pt>
                <c:pt idx="165">
                  <c:v>61.026800000000001</c:v>
                </c:pt>
                <c:pt idx="166">
                  <c:v>61.026800000000001</c:v>
                </c:pt>
                <c:pt idx="167">
                  <c:v>61.026800000000001</c:v>
                </c:pt>
                <c:pt idx="168">
                  <c:v>61.026800000000001</c:v>
                </c:pt>
                <c:pt idx="169">
                  <c:v>61.720799999999997</c:v>
                </c:pt>
                <c:pt idx="170">
                  <c:v>61.720799999999997</c:v>
                </c:pt>
                <c:pt idx="171">
                  <c:v>61.720799999999997</c:v>
                </c:pt>
                <c:pt idx="172">
                  <c:v>61.720799999999997</c:v>
                </c:pt>
                <c:pt idx="173">
                  <c:v>61.720799999999997</c:v>
                </c:pt>
                <c:pt idx="174">
                  <c:v>61.720799999999997</c:v>
                </c:pt>
                <c:pt idx="175">
                  <c:v>61.720799999999997</c:v>
                </c:pt>
                <c:pt idx="176">
                  <c:v>61.720799999999997</c:v>
                </c:pt>
                <c:pt idx="177">
                  <c:v>61.720799999999997</c:v>
                </c:pt>
                <c:pt idx="178">
                  <c:v>61.720799999999997</c:v>
                </c:pt>
                <c:pt idx="179">
                  <c:v>61.720799999999997</c:v>
                </c:pt>
                <c:pt idx="180">
                  <c:v>61.720799999999997</c:v>
                </c:pt>
                <c:pt idx="181">
                  <c:v>61.720799999999997</c:v>
                </c:pt>
                <c:pt idx="182">
                  <c:v>43.305100000000003</c:v>
                </c:pt>
                <c:pt idx="183">
                  <c:v>43.305100000000003</c:v>
                </c:pt>
                <c:pt idx="184">
                  <c:v>43.305100000000003</c:v>
                </c:pt>
                <c:pt idx="185">
                  <c:v>43.305100000000003</c:v>
                </c:pt>
                <c:pt idx="186">
                  <c:v>43.305100000000003</c:v>
                </c:pt>
                <c:pt idx="187">
                  <c:v>43.305100000000003</c:v>
                </c:pt>
                <c:pt idx="188">
                  <c:v>43.305100000000003</c:v>
                </c:pt>
                <c:pt idx="189">
                  <c:v>43.305100000000003</c:v>
                </c:pt>
                <c:pt idx="190">
                  <c:v>43.305100000000003</c:v>
                </c:pt>
                <c:pt idx="191">
                  <c:v>43.305100000000003</c:v>
                </c:pt>
                <c:pt idx="192">
                  <c:v>43.305100000000003</c:v>
                </c:pt>
                <c:pt idx="193">
                  <c:v>43.305100000000003</c:v>
                </c:pt>
                <c:pt idx="194">
                  <c:v>43.305100000000003</c:v>
                </c:pt>
                <c:pt idx="195">
                  <c:v>44.789900000000003</c:v>
                </c:pt>
                <c:pt idx="196">
                  <c:v>44.789900000000003</c:v>
                </c:pt>
                <c:pt idx="197">
                  <c:v>44.789900000000003</c:v>
                </c:pt>
                <c:pt idx="198">
                  <c:v>44.789900000000003</c:v>
                </c:pt>
                <c:pt idx="199">
                  <c:v>44.789900000000003</c:v>
                </c:pt>
                <c:pt idx="200">
                  <c:v>44.789900000000003</c:v>
                </c:pt>
                <c:pt idx="201">
                  <c:v>44.789900000000003</c:v>
                </c:pt>
                <c:pt idx="202">
                  <c:v>44.789900000000003</c:v>
                </c:pt>
                <c:pt idx="203">
                  <c:v>44.789900000000003</c:v>
                </c:pt>
                <c:pt idx="204">
                  <c:v>44.789900000000003</c:v>
                </c:pt>
                <c:pt idx="205">
                  <c:v>44.789900000000003</c:v>
                </c:pt>
                <c:pt idx="206">
                  <c:v>44.789900000000003</c:v>
                </c:pt>
                <c:pt idx="207">
                  <c:v>44.789900000000003</c:v>
                </c:pt>
                <c:pt idx="208">
                  <c:v>50.595999999999997</c:v>
                </c:pt>
                <c:pt idx="209">
                  <c:v>50.595999999999997</c:v>
                </c:pt>
                <c:pt idx="210">
                  <c:v>50.595999999999997</c:v>
                </c:pt>
                <c:pt idx="211">
                  <c:v>50.595999999999997</c:v>
                </c:pt>
                <c:pt idx="212">
                  <c:v>50.595999999999997</c:v>
                </c:pt>
                <c:pt idx="213">
                  <c:v>50.595999999999997</c:v>
                </c:pt>
                <c:pt idx="214">
                  <c:v>50.595999999999997</c:v>
                </c:pt>
                <c:pt idx="215">
                  <c:v>50.595999999999997</c:v>
                </c:pt>
                <c:pt idx="216">
                  <c:v>50.595999999999997</c:v>
                </c:pt>
                <c:pt idx="217">
                  <c:v>50.595999999999997</c:v>
                </c:pt>
                <c:pt idx="218">
                  <c:v>50.595999999999997</c:v>
                </c:pt>
                <c:pt idx="219">
                  <c:v>50.595999999999997</c:v>
                </c:pt>
                <c:pt idx="220">
                  <c:v>50.595999999999997</c:v>
                </c:pt>
                <c:pt idx="221">
                  <c:v>48.7453</c:v>
                </c:pt>
                <c:pt idx="222">
                  <c:v>48.7453</c:v>
                </c:pt>
                <c:pt idx="223">
                  <c:v>48.7453</c:v>
                </c:pt>
                <c:pt idx="224">
                  <c:v>48.7453</c:v>
                </c:pt>
                <c:pt idx="225">
                  <c:v>48.7453</c:v>
                </c:pt>
                <c:pt idx="226">
                  <c:v>48.7453</c:v>
                </c:pt>
                <c:pt idx="227">
                  <c:v>48.7453</c:v>
                </c:pt>
                <c:pt idx="228">
                  <c:v>48.7453</c:v>
                </c:pt>
                <c:pt idx="229">
                  <c:v>48.7453</c:v>
                </c:pt>
                <c:pt idx="230">
                  <c:v>48.7453</c:v>
                </c:pt>
                <c:pt idx="231">
                  <c:v>48.7453</c:v>
                </c:pt>
                <c:pt idx="232">
                  <c:v>48.7453</c:v>
                </c:pt>
                <c:pt idx="233">
                  <c:v>48.7453</c:v>
                </c:pt>
                <c:pt idx="234">
                  <c:v>67.628799999999998</c:v>
                </c:pt>
                <c:pt idx="235">
                  <c:v>67.628799999999998</c:v>
                </c:pt>
                <c:pt idx="236">
                  <c:v>67.628799999999998</c:v>
                </c:pt>
                <c:pt idx="237">
                  <c:v>67.628799999999998</c:v>
                </c:pt>
                <c:pt idx="238">
                  <c:v>67.628799999999998</c:v>
                </c:pt>
                <c:pt idx="239">
                  <c:v>67.628799999999998</c:v>
                </c:pt>
                <c:pt idx="240">
                  <c:v>67.628799999999998</c:v>
                </c:pt>
                <c:pt idx="241">
                  <c:v>67.628799999999998</c:v>
                </c:pt>
                <c:pt idx="242">
                  <c:v>67.628799999999998</c:v>
                </c:pt>
                <c:pt idx="243">
                  <c:v>67.628799999999998</c:v>
                </c:pt>
                <c:pt idx="244">
                  <c:v>67.628799999999998</c:v>
                </c:pt>
                <c:pt idx="245">
                  <c:v>67.628799999999998</c:v>
                </c:pt>
                <c:pt idx="246">
                  <c:v>67.628799999999998</c:v>
                </c:pt>
                <c:pt idx="247">
                  <c:v>71.078699999999998</c:v>
                </c:pt>
                <c:pt idx="248">
                  <c:v>71.078699999999998</c:v>
                </c:pt>
                <c:pt idx="249">
                  <c:v>71.078699999999998</c:v>
                </c:pt>
                <c:pt idx="250">
                  <c:v>71.078699999999998</c:v>
                </c:pt>
                <c:pt idx="251">
                  <c:v>71.078699999999998</c:v>
                </c:pt>
                <c:pt idx="252">
                  <c:v>71.078699999999998</c:v>
                </c:pt>
                <c:pt idx="253">
                  <c:v>71.078699999999998</c:v>
                </c:pt>
                <c:pt idx="254">
                  <c:v>71.078699999999998</c:v>
                </c:pt>
                <c:pt idx="255">
                  <c:v>71.078699999999998</c:v>
                </c:pt>
                <c:pt idx="256">
                  <c:v>71.078699999999998</c:v>
                </c:pt>
                <c:pt idx="257">
                  <c:v>71.078699999999998</c:v>
                </c:pt>
                <c:pt idx="258">
                  <c:v>71.078699999999998</c:v>
                </c:pt>
                <c:pt idx="259">
                  <c:v>71.078699999999998</c:v>
                </c:pt>
                <c:pt idx="260">
                  <c:v>60.700899999999997</c:v>
                </c:pt>
                <c:pt idx="261">
                  <c:v>60.700899999999997</c:v>
                </c:pt>
                <c:pt idx="262">
                  <c:v>60.700899999999997</c:v>
                </c:pt>
                <c:pt idx="263">
                  <c:v>60.700899999999997</c:v>
                </c:pt>
                <c:pt idx="264">
                  <c:v>60.700899999999997</c:v>
                </c:pt>
                <c:pt idx="265">
                  <c:v>60.700899999999997</c:v>
                </c:pt>
                <c:pt idx="266">
                  <c:v>60.700899999999997</c:v>
                </c:pt>
                <c:pt idx="267">
                  <c:v>60.700899999999997</c:v>
                </c:pt>
                <c:pt idx="268">
                  <c:v>60.700899999999997</c:v>
                </c:pt>
                <c:pt idx="269">
                  <c:v>60.700899999999997</c:v>
                </c:pt>
                <c:pt idx="270">
                  <c:v>60.700899999999997</c:v>
                </c:pt>
                <c:pt idx="271">
                  <c:v>60.700899999999997</c:v>
                </c:pt>
                <c:pt idx="272">
                  <c:v>60.700899999999997</c:v>
                </c:pt>
                <c:pt idx="273">
                  <c:v>60.700899999999997</c:v>
                </c:pt>
                <c:pt idx="274">
                  <c:v>59.920299999999997</c:v>
                </c:pt>
                <c:pt idx="275">
                  <c:v>59.920299999999997</c:v>
                </c:pt>
                <c:pt idx="276">
                  <c:v>59.920299999999997</c:v>
                </c:pt>
                <c:pt idx="277">
                  <c:v>59.920299999999997</c:v>
                </c:pt>
                <c:pt idx="278">
                  <c:v>59.920299999999997</c:v>
                </c:pt>
                <c:pt idx="279">
                  <c:v>59.920299999999997</c:v>
                </c:pt>
                <c:pt idx="280">
                  <c:v>59.920299999999997</c:v>
                </c:pt>
                <c:pt idx="281">
                  <c:v>59.920299999999997</c:v>
                </c:pt>
                <c:pt idx="282">
                  <c:v>59.920299999999997</c:v>
                </c:pt>
                <c:pt idx="283">
                  <c:v>59.920299999999997</c:v>
                </c:pt>
                <c:pt idx="284">
                  <c:v>59.920299999999997</c:v>
                </c:pt>
                <c:pt idx="285">
                  <c:v>59.920299999999997</c:v>
                </c:pt>
                <c:pt idx="286">
                  <c:v>59.920299999999997</c:v>
                </c:pt>
                <c:pt idx="287">
                  <c:v>33.029899999999998</c:v>
                </c:pt>
                <c:pt idx="288">
                  <c:v>33.029899999999998</c:v>
                </c:pt>
                <c:pt idx="289">
                  <c:v>33.029899999999998</c:v>
                </c:pt>
                <c:pt idx="290">
                  <c:v>33.029899999999998</c:v>
                </c:pt>
                <c:pt idx="291">
                  <c:v>33.029899999999998</c:v>
                </c:pt>
                <c:pt idx="292">
                  <c:v>33.029899999999998</c:v>
                </c:pt>
                <c:pt idx="293">
                  <c:v>33.029899999999998</c:v>
                </c:pt>
                <c:pt idx="294">
                  <c:v>33.029899999999998</c:v>
                </c:pt>
                <c:pt idx="295">
                  <c:v>33.029899999999998</c:v>
                </c:pt>
                <c:pt idx="296">
                  <c:v>33.029899999999998</c:v>
                </c:pt>
                <c:pt idx="297">
                  <c:v>33.029899999999998</c:v>
                </c:pt>
                <c:pt idx="298">
                  <c:v>33.029899999999998</c:v>
                </c:pt>
                <c:pt idx="299">
                  <c:v>33.029899999999998</c:v>
                </c:pt>
                <c:pt idx="300">
                  <c:v>28.8154</c:v>
                </c:pt>
                <c:pt idx="301">
                  <c:v>28.8154</c:v>
                </c:pt>
                <c:pt idx="302">
                  <c:v>28.8154</c:v>
                </c:pt>
                <c:pt idx="303">
                  <c:v>28.8154</c:v>
                </c:pt>
                <c:pt idx="304">
                  <c:v>28.8154</c:v>
                </c:pt>
                <c:pt idx="305">
                  <c:v>28.8154</c:v>
                </c:pt>
                <c:pt idx="306">
                  <c:v>28.8154</c:v>
                </c:pt>
                <c:pt idx="307">
                  <c:v>28.8154</c:v>
                </c:pt>
                <c:pt idx="308">
                  <c:v>28.8154</c:v>
                </c:pt>
                <c:pt idx="309">
                  <c:v>28.8154</c:v>
                </c:pt>
                <c:pt idx="310">
                  <c:v>28.8154</c:v>
                </c:pt>
                <c:pt idx="311">
                  <c:v>28.8154</c:v>
                </c:pt>
                <c:pt idx="312">
                  <c:v>28.8154</c:v>
                </c:pt>
                <c:pt idx="313">
                  <c:v>31.165700000000001</c:v>
                </c:pt>
                <c:pt idx="314">
                  <c:v>31.165700000000001</c:v>
                </c:pt>
                <c:pt idx="315">
                  <c:v>31.165700000000001</c:v>
                </c:pt>
                <c:pt idx="316">
                  <c:v>31.165700000000001</c:v>
                </c:pt>
                <c:pt idx="317">
                  <c:v>31.165700000000001</c:v>
                </c:pt>
                <c:pt idx="318">
                  <c:v>31.165700000000001</c:v>
                </c:pt>
                <c:pt idx="319">
                  <c:v>31.165700000000001</c:v>
                </c:pt>
                <c:pt idx="320">
                  <c:v>31.165700000000001</c:v>
                </c:pt>
                <c:pt idx="321">
                  <c:v>31.165700000000001</c:v>
                </c:pt>
                <c:pt idx="322">
                  <c:v>31.165700000000001</c:v>
                </c:pt>
                <c:pt idx="323">
                  <c:v>31.165700000000001</c:v>
                </c:pt>
                <c:pt idx="324">
                  <c:v>31.165700000000001</c:v>
                </c:pt>
                <c:pt idx="325">
                  <c:v>31.165700000000001</c:v>
                </c:pt>
                <c:pt idx="326">
                  <c:v>30.823799999999999</c:v>
                </c:pt>
                <c:pt idx="327">
                  <c:v>30.823799999999999</c:v>
                </c:pt>
                <c:pt idx="328">
                  <c:v>30.823799999999999</c:v>
                </c:pt>
                <c:pt idx="329">
                  <c:v>30.823799999999999</c:v>
                </c:pt>
                <c:pt idx="330">
                  <c:v>30.823799999999999</c:v>
                </c:pt>
                <c:pt idx="331">
                  <c:v>30.823799999999999</c:v>
                </c:pt>
                <c:pt idx="332">
                  <c:v>30.823799999999999</c:v>
                </c:pt>
                <c:pt idx="333">
                  <c:v>30.823799999999999</c:v>
                </c:pt>
                <c:pt idx="334">
                  <c:v>30.823799999999999</c:v>
                </c:pt>
                <c:pt idx="335">
                  <c:v>30.823799999999999</c:v>
                </c:pt>
                <c:pt idx="336">
                  <c:v>30.823799999999999</c:v>
                </c:pt>
                <c:pt idx="337">
                  <c:v>30.823799999999999</c:v>
                </c:pt>
                <c:pt idx="338">
                  <c:v>30.823799999999999</c:v>
                </c:pt>
                <c:pt idx="339">
                  <c:v>40.645000000000003</c:v>
                </c:pt>
                <c:pt idx="340">
                  <c:v>40.645000000000003</c:v>
                </c:pt>
                <c:pt idx="341">
                  <c:v>40.645000000000003</c:v>
                </c:pt>
                <c:pt idx="342">
                  <c:v>40.645000000000003</c:v>
                </c:pt>
                <c:pt idx="343">
                  <c:v>40.645000000000003</c:v>
                </c:pt>
                <c:pt idx="344">
                  <c:v>40.645000000000003</c:v>
                </c:pt>
                <c:pt idx="345">
                  <c:v>40.645000000000003</c:v>
                </c:pt>
                <c:pt idx="346">
                  <c:v>40.645000000000003</c:v>
                </c:pt>
                <c:pt idx="347">
                  <c:v>40.645000000000003</c:v>
                </c:pt>
                <c:pt idx="348">
                  <c:v>40.645000000000003</c:v>
                </c:pt>
                <c:pt idx="349">
                  <c:v>40.645000000000003</c:v>
                </c:pt>
                <c:pt idx="350">
                  <c:v>40.645000000000003</c:v>
                </c:pt>
                <c:pt idx="351">
                  <c:v>40.645000000000003</c:v>
                </c:pt>
                <c:pt idx="352">
                  <c:v>41.802599999999998</c:v>
                </c:pt>
                <c:pt idx="353">
                  <c:v>41.802599999999998</c:v>
                </c:pt>
                <c:pt idx="354">
                  <c:v>41.802599999999998</c:v>
                </c:pt>
                <c:pt idx="355">
                  <c:v>41.802599999999998</c:v>
                </c:pt>
                <c:pt idx="356">
                  <c:v>41.802599999999998</c:v>
                </c:pt>
                <c:pt idx="357">
                  <c:v>41.802599999999998</c:v>
                </c:pt>
                <c:pt idx="358">
                  <c:v>41.802599999999998</c:v>
                </c:pt>
                <c:pt idx="359">
                  <c:v>41.802599999999998</c:v>
                </c:pt>
                <c:pt idx="360">
                  <c:v>41.802599999999998</c:v>
                </c:pt>
                <c:pt idx="361">
                  <c:v>41.802599999999998</c:v>
                </c:pt>
                <c:pt idx="362">
                  <c:v>41.802599999999998</c:v>
                </c:pt>
                <c:pt idx="363">
                  <c:v>41.802599999999998</c:v>
                </c:pt>
                <c:pt idx="364">
                  <c:v>41.802599999999998</c:v>
                </c:pt>
                <c:pt idx="365">
                  <c:v>38.885199999999998</c:v>
                </c:pt>
                <c:pt idx="366">
                  <c:v>38.885199999999998</c:v>
                </c:pt>
                <c:pt idx="367">
                  <c:v>38.885199999999998</c:v>
                </c:pt>
                <c:pt idx="368">
                  <c:v>38.885199999999998</c:v>
                </c:pt>
                <c:pt idx="369">
                  <c:v>38.885199999999998</c:v>
                </c:pt>
                <c:pt idx="370">
                  <c:v>38.885199999999998</c:v>
                </c:pt>
                <c:pt idx="371">
                  <c:v>38.885199999999998</c:v>
                </c:pt>
                <c:pt idx="372">
                  <c:v>38.885199999999998</c:v>
                </c:pt>
                <c:pt idx="373">
                  <c:v>38.885199999999998</c:v>
                </c:pt>
                <c:pt idx="374">
                  <c:v>38.885199999999998</c:v>
                </c:pt>
                <c:pt idx="375">
                  <c:v>38.885199999999998</c:v>
                </c:pt>
                <c:pt idx="376">
                  <c:v>38.885199999999998</c:v>
                </c:pt>
                <c:pt idx="377">
                  <c:v>38.885199999999998</c:v>
                </c:pt>
                <c:pt idx="378">
                  <c:v>38.885199999999998</c:v>
                </c:pt>
                <c:pt idx="379">
                  <c:v>38.885199999999998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1E9-9278-36567CFD133C}"/>
            </c:ext>
          </c:extLst>
        </c:ser>
        <c:ser>
          <c:idx val="3"/>
          <c:order val="1"/>
          <c:tx>
            <c:strRef>
              <c:f>Base!$Y$4</c:f>
              <c:strCache>
                <c:ptCount val="1"/>
                <c:pt idx="0">
                  <c:v>TGNO4 AR Equity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Base!$M$6:$M$2000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Base!$AE$6:$AE$2000</c:f>
              <c:numCache>
                <c:formatCode>General</c:formatCode>
                <c:ptCount val="1995"/>
                <c:pt idx="0">
                  <c:v>75.199799999999996</c:v>
                </c:pt>
                <c:pt idx="1">
                  <c:v>75.199799999999996</c:v>
                </c:pt>
                <c:pt idx="2">
                  <c:v>75.199799999999996</c:v>
                </c:pt>
                <c:pt idx="3">
                  <c:v>75.199799999999996</c:v>
                </c:pt>
                <c:pt idx="4">
                  <c:v>75.199799999999996</c:v>
                </c:pt>
                <c:pt idx="5">
                  <c:v>75.199799999999996</c:v>
                </c:pt>
                <c:pt idx="6">
                  <c:v>75.199799999999996</c:v>
                </c:pt>
                <c:pt idx="7">
                  <c:v>75.199799999999996</c:v>
                </c:pt>
                <c:pt idx="8">
                  <c:v>75.199799999999996</c:v>
                </c:pt>
                <c:pt idx="9">
                  <c:v>75.199799999999996</c:v>
                </c:pt>
                <c:pt idx="10">
                  <c:v>75.199799999999996</c:v>
                </c:pt>
                <c:pt idx="11">
                  <c:v>75.199799999999996</c:v>
                </c:pt>
                <c:pt idx="12">
                  <c:v>75.199799999999996</c:v>
                </c:pt>
                <c:pt idx="13">
                  <c:v>74.901600000000002</c:v>
                </c:pt>
                <c:pt idx="14">
                  <c:v>74.901600000000002</c:v>
                </c:pt>
                <c:pt idx="15">
                  <c:v>74.901600000000002</c:v>
                </c:pt>
                <c:pt idx="16">
                  <c:v>74.901600000000002</c:v>
                </c:pt>
                <c:pt idx="17">
                  <c:v>74.901600000000002</c:v>
                </c:pt>
                <c:pt idx="18">
                  <c:v>74.901600000000002</c:v>
                </c:pt>
                <c:pt idx="19">
                  <c:v>74.901600000000002</c:v>
                </c:pt>
                <c:pt idx="20">
                  <c:v>74.901600000000002</c:v>
                </c:pt>
                <c:pt idx="21">
                  <c:v>74.901600000000002</c:v>
                </c:pt>
                <c:pt idx="22">
                  <c:v>74.901600000000002</c:v>
                </c:pt>
                <c:pt idx="23">
                  <c:v>74.901600000000002</c:v>
                </c:pt>
                <c:pt idx="24">
                  <c:v>74.901600000000002</c:v>
                </c:pt>
                <c:pt idx="25">
                  <c:v>74.901600000000002</c:v>
                </c:pt>
                <c:pt idx="26">
                  <c:v>73.017799999999994</c:v>
                </c:pt>
                <c:pt idx="27">
                  <c:v>73.017799999999994</c:v>
                </c:pt>
                <c:pt idx="28">
                  <c:v>73.017799999999994</c:v>
                </c:pt>
                <c:pt idx="29">
                  <c:v>73.017799999999994</c:v>
                </c:pt>
                <c:pt idx="30">
                  <c:v>73.017799999999994</c:v>
                </c:pt>
                <c:pt idx="31">
                  <c:v>73.017799999999994</c:v>
                </c:pt>
                <c:pt idx="32">
                  <c:v>73.017799999999994</c:v>
                </c:pt>
                <c:pt idx="33">
                  <c:v>73.017799999999994</c:v>
                </c:pt>
                <c:pt idx="34">
                  <c:v>73.017799999999994</c:v>
                </c:pt>
                <c:pt idx="35">
                  <c:v>73.017799999999994</c:v>
                </c:pt>
                <c:pt idx="36">
                  <c:v>73.017799999999994</c:v>
                </c:pt>
                <c:pt idx="37">
                  <c:v>73.017799999999994</c:v>
                </c:pt>
                <c:pt idx="38">
                  <c:v>73.017799999999994</c:v>
                </c:pt>
                <c:pt idx="39">
                  <c:v>71.821899999999999</c:v>
                </c:pt>
                <c:pt idx="40">
                  <c:v>71.821899999999999</c:v>
                </c:pt>
                <c:pt idx="41">
                  <c:v>71.821899999999999</c:v>
                </c:pt>
                <c:pt idx="42">
                  <c:v>71.821899999999999</c:v>
                </c:pt>
                <c:pt idx="43">
                  <c:v>71.821899999999999</c:v>
                </c:pt>
                <c:pt idx="44">
                  <c:v>71.821899999999999</c:v>
                </c:pt>
                <c:pt idx="45">
                  <c:v>71.821899999999999</c:v>
                </c:pt>
                <c:pt idx="46">
                  <c:v>71.821899999999999</c:v>
                </c:pt>
                <c:pt idx="47">
                  <c:v>71.821899999999999</c:v>
                </c:pt>
                <c:pt idx="48">
                  <c:v>71.821899999999999</c:v>
                </c:pt>
                <c:pt idx="49">
                  <c:v>71.821899999999999</c:v>
                </c:pt>
                <c:pt idx="50">
                  <c:v>71.821899999999999</c:v>
                </c:pt>
                <c:pt idx="51">
                  <c:v>71.821899999999999</c:v>
                </c:pt>
                <c:pt idx="52">
                  <c:v>66.428600000000003</c:v>
                </c:pt>
                <c:pt idx="53">
                  <c:v>66.428600000000003</c:v>
                </c:pt>
                <c:pt idx="54">
                  <c:v>66.428600000000003</c:v>
                </c:pt>
                <c:pt idx="55">
                  <c:v>66.428600000000003</c:v>
                </c:pt>
                <c:pt idx="56">
                  <c:v>66.428600000000003</c:v>
                </c:pt>
                <c:pt idx="57">
                  <c:v>66.428600000000003</c:v>
                </c:pt>
                <c:pt idx="58">
                  <c:v>66.428600000000003</c:v>
                </c:pt>
                <c:pt idx="59">
                  <c:v>66.428600000000003</c:v>
                </c:pt>
                <c:pt idx="60">
                  <c:v>66.428600000000003</c:v>
                </c:pt>
                <c:pt idx="61">
                  <c:v>66.428600000000003</c:v>
                </c:pt>
                <c:pt idx="62">
                  <c:v>66.428600000000003</c:v>
                </c:pt>
                <c:pt idx="63">
                  <c:v>66.428600000000003</c:v>
                </c:pt>
                <c:pt idx="64">
                  <c:v>66.428600000000003</c:v>
                </c:pt>
                <c:pt idx="65">
                  <c:v>66.471500000000006</c:v>
                </c:pt>
                <c:pt idx="66">
                  <c:v>66.471500000000006</c:v>
                </c:pt>
                <c:pt idx="67">
                  <c:v>66.471500000000006</c:v>
                </c:pt>
                <c:pt idx="68">
                  <c:v>66.471500000000006</c:v>
                </c:pt>
                <c:pt idx="69">
                  <c:v>66.471500000000006</c:v>
                </c:pt>
                <c:pt idx="70">
                  <c:v>66.471500000000006</c:v>
                </c:pt>
                <c:pt idx="71">
                  <c:v>66.471500000000006</c:v>
                </c:pt>
                <c:pt idx="72">
                  <c:v>66.471500000000006</c:v>
                </c:pt>
                <c:pt idx="73">
                  <c:v>66.471500000000006</c:v>
                </c:pt>
                <c:pt idx="74">
                  <c:v>66.471500000000006</c:v>
                </c:pt>
                <c:pt idx="75">
                  <c:v>66.471500000000006</c:v>
                </c:pt>
                <c:pt idx="76">
                  <c:v>66.471500000000006</c:v>
                </c:pt>
                <c:pt idx="77">
                  <c:v>66.471500000000006</c:v>
                </c:pt>
                <c:pt idx="78">
                  <c:v>64.1982</c:v>
                </c:pt>
                <c:pt idx="79">
                  <c:v>64.1982</c:v>
                </c:pt>
                <c:pt idx="80">
                  <c:v>64.1982</c:v>
                </c:pt>
                <c:pt idx="81">
                  <c:v>64.1982</c:v>
                </c:pt>
                <c:pt idx="82">
                  <c:v>64.1982</c:v>
                </c:pt>
                <c:pt idx="83">
                  <c:v>64.1982</c:v>
                </c:pt>
                <c:pt idx="84">
                  <c:v>64.1982</c:v>
                </c:pt>
                <c:pt idx="85">
                  <c:v>64.1982</c:v>
                </c:pt>
                <c:pt idx="86">
                  <c:v>64.1982</c:v>
                </c:pt>
                <c:pt idx="87">
                  <c:v>64.1982</c:v>
                </c:pt>
                <c:pt idx="88">
                  <c:v>64.1982</c:v>
                </c:pt>
                <c:pt idx="89">
                  <c:v>64.1982</c:v>
                </c:pt>
                <c:pt idx="90">
                  <c:v>64.1982</c:v>
                </c:pt>
                <c:pt idx="91">
                  <c:v>61.236400000000003</c:v>
                </c:pt>
                <c:pt idx="92">
                  <c:v>61.236400000000003</c:v>
                </c:pt>
                <c:pt idx="93">
                  <c:v>61.236400000000003</c:v>
                </c:pt>
                <c:pt idx="94">
                  <c:v>61.236400000000003</c:v>
                </c:pt>
                <c:pt idx="95">
                  <c:v>61.236400000000003</c:v>
                </c:pt>
                <c:pt idx="96">
                  <c:v>61.236400000000003</c:v>
                </c:pt>
                <c:pt idx="97">
                  <c:v>61.236400000000003</c:v>
                </c:pt>
                <c:pt idx="98">
                  <c:v>61.236400000000003</c:v>
                </c:pt>
                <c:pt idx="99">
                  <c:v>61.236400000000003</c:v>
                </c:pt>
                <c:pt idx="100">
                  <c:v>61.236400000000003</c:v>
                </c:pt>
                <c:pt idx="101">
                  <c:v>61.236400000000003</c:v>
                </c:pt>
                <c:pt idx="102">
                  <c:v>61.236400000000003</c:v>
                </c:pt>
                <c:pt idx="103">
                  <c:v>61.236400000000003</c:v>
                </c:pt>
                <c:pt idx="104">
                  <c:v>55.482199999999999</c:v>
                </c:pt>
                <c:pt idx="105">
                  <c:v>55.482199999999999</c:v>
                </c:pt>
                <c:pt idx="106">
                  <c:v>55.482199999999999</c:v>
                </c:pt>
                <c:pt idx="107">
                  <c:v>55.482199999999999</c:v>
                </c:pt>
                <c:pt idx="108">
                  <c:v>55.482199999999999</c:v>
                </c:pt>
                <c:pt idx="109">
                  <c:v>55.482199999999999</c:v>
                </c:pt>
                <c:pt idx="110">
                  <c:v>55.482199999999999</c:v>
                </c:pt>
                <c:pt idx="111">
                  <c:v>55.482199999999999</c:v>
                </c:pt>
                <c:pt idx="112">
                  <c:v>55.482199999999999</c:v>
                </c:pt>
                <c:pt idx="113">
                  <c:v>55.482199999999999</c:v>
                </c:pt>
                <c:pt idx="114">
                  <c:v>55.482199999999999</c:v>
                </c:pt>
                <c:pt idx="115">
                  <c:v>55.482199999999999</c:v>
                </c:pt>
                <c:pt idx="116">
                  <c:v>55.482199999999999</c:v>
                </c:pt>
                <c:pt idx="117">
                  <c:v>49.559800000000003</c:v>
                </c:pt>
                <c:pt idx="118">
                  <c:v>49.559800000000003</c:v>
                </c:pt>
                <c:pt idx="119">
                  <c:v>49.559800000000003</c:v>
                </c:pt>
                <c:pt idx="120">
                  <c:v>49.559800000000003</c:v>
                </c:pt>
                <c:pt idx="121">
                  <c:v>49.559800000000003</c:v>
                </c:pt>
                <c:pt idx="122">
                  <c:v>49.559800000000003</c:v>
                </c:pt>
                <c:pt idx="123">
                  <c:v>49.559800000000003</c:v>
                </c:pt>
                <c:pt idx="124">
                  <c:v>49.559800000000003</c:v>
                </c:pt>
                <c:pt idx="125">
                  <c:v>49.559800000000003</c:v>
                </c:pt>
                <c:pt idx="126">
                  <c:v>49.559800000000003</c:v>
                </c:pt>
                <c:pt idx="127">
                  <c:v>49.559800000000003</c:v>
                </c:pt>
                <c:pt idx="128">
                  <c:v>49.559800000000003</c:v>
                </c:pt>
                <c:pt idx="129">
                  <c:v>49.559800000000003</c:v>
                </c:pt>
                <c:pt idx="130">
                  <c:v>41.8476</c:v>
                </c:pt>
                <c:pt idx="131">
                  <c:v>41.8476</c:v>
                </c:pt>
                <c:pt idx="132">
                  <c:v>41.8476</c:v>
                </c:pt>
                <c:pt idx="133">
                  <c:v>41.8476</c:v>
                </c:pt>
                <c:pt idx="134">
                  <c:v>41.8476</c:v>
                </c:pt>
                <c:pt idx="135">
                  <c:v>41.8476</c:v>
                </c:pt>
                <c:pt idx="136">
                  <c:v>41.8476</c:v>
                </c:pt>
                <c:pt idx="137">
                  <c:v>41.8476</c:v>
                </c:pt>
                <c:pt idx="138">
                  <c:v>41.8476</c:v>
                </c:pt>
                <c:pt idx="139">
                  <c:v>41.8476</c:v>
                </c:pt>
                <c:pt idx="140">
                  <c:v>41.8476</c:v>
                </c:pt>
                <c:pt idx="141">
                  <c:v>41.8476</c:v>
                </c:pt>
                <c:pt idx="142">
                  <c:v>41.8476</c:v>
                </c:pt>
                <c:pt idx="143">
                  <c:v>42.6068</c:v>
                </c:pt>
                <c:pt idx="144">
                  <c:v>42.6068</c:v>
                </c:pt>
                <c:pt idx="145">
                  <c:v>42.6068</c:v>
                </c:pt>
                <c:pt idx="146">
                  <c:v>42.6068</c:v>
                </c:pt>
                <c:pt idx="147">
                  <c:v>42.6068</c:v>
                </c:pt>
                <c:pt idx="148">
                  <c:v>42.6068</c:v>
                </c:pt>
                <c:pt idx="149">
                  <c:v>42.6068</c:v>
                </c:pt>
                <c:pt idx="150">
                  <c:v>42.6068</c:v>
                </c:pt>
                <c:pt idx="151">
                  <c:v>42.6068</c:v>
                </c:pt>
                <c:pt idx="152">
                  <c:v>42.6068</c:v>
                </c:pt>
                <c:pt idx="153">
                  <c:v>42.6068</c:v>
                </c:pt>
                <c:pt idx="154">
                  <c:v>42.6068</c:v>
                </c:pt>
                <c:pt idx="155">
                  <c:v>42.6068</c:v>
                </c:pt>
                <c:pt idx="156">
                  <c:v>45.79</c:v>
                </c:pt>
                <c:pt idx="157">
                  <c:v>45.79</c:v>
                </c:pt>
                <c:pt idx="158">
                  <c:v>45.79</c:v>
                </c:pt>
                <c:pt idx="159">
                  <c:v>45.79</c:v>
                </c:pt>
                <c:pt idx="160">
                  <c:v>45.79</c:v>
                </c:pt>
                <c:pt idx="161">
                  <c:v>45.79</c:v>
                </c:pt>
                <c:pt idx="162">
                  <c:v>45.79</c:v>
                </c:pt>
                <c:pt idx="163">
                  <c:v>45.79</c:v>
                </c:pt>
                <c:pt idx="164">
                  <c:v>45.79</c:v>
                </c:pt>
                <c:pt idx="165">
                  <c:v>45.79</c:v>
                </c:pt>
                <c:pt idx="166">
                  <c:v>45.79</c:v>
                </c:pt>
                <c:pt idx="167">
                  <c:v>45.79</c:v>
                </c:pt>
                <c:pt idx="168">
                  <c:v>45.79</c:v>
                </c:pt>
                <c:pt idx="169">
                  <c:v>54.215299999999999</c:v>
                </c:pt>
                <c:pt idx="170">
                  <c:v>54.215299999999999</c:v>
                </c:pt>
                <c:pt idx="171">
                  <c:v>54.215299999999999</c:v>
                </c:pt>
                <c:pt idx="172">
                  <c:v>54.215299999999999</c:v>
                </c:pt>
                <c:pt idx="173">
                  <c:v>54.215299999999999</c:v>
                </c:pt>
                <c:pt idx="174">
                  <c:v>54.215299999999999</c:v>
                </c:pt>
                <c:pt idx="175">
                  <c:v>54.215299999999999</c:v>
                </c:pt>
                <c:pt idx="176">
                  <c:v>54.215299999999999</c:v>
                </c:pt>
                <c:pt idx="177">
                  <c:v>54.215299999999999</c:v>
                </c:pt>
                <c:pt idx="178">
                  <c:v>54.215299999999999</c:v>
                </c:pt>
                <c:pt idx="179">
                  <c:v>54.215299999999999</c:v>
                </c:pt>
                <c:pt idx="180">
                  <c:v>54.215299999999999</c:v>
                </c:pt>
                <c:pt idx="181">
                  <c:v>54.215299999999999</c:v>
                </c:pt>
                <c:pt idx="182">
                  <c:v>46.775199999999998</c:v>
                </c:pt>
                <c:pt idx="183">
                  <c:v>46.775199999999998</c:v>
                </c:pt>
                <c:pt idx="184">
                  <c:v>46.775199999999998</c:v>
                </c:pt>
                <c:pt idx="185">
                  <c:v>46.775199999999998</c:v>
                </c:pt>
                <c:pt idx="186">
                  <c:v>46.775199999999998</c:v>
                </c:pt>
                <c:pt idx="187">
                  <c:v>46.775199999999998</c:v>
                </c:pt>
                <c:pt idx="188">
                  <c:v>46.775199999999998</c:v>
                </c:pt>
                <c:pt idx="189">
                  <c:v>46.775199999999998</c:v>
                </c:pt>
                <c:pt idx="190">
                  <c:v>46.775199999999998</c:v>
                </c:pt>
                <c:pt idx="191">
                  <c:v>46.775199999999998</c:v>
                </c:pt>
                <c:pt idx="192">
                  <c:v>46.775199999999998</c:v>
                </c:pt>
                <c:pt idx="193">
                  <c:v>46.775199999999998</c:v>
                </c:pt>
                <c:pt idx="194">
                  <c:v>46.775199999999998</c:v>
                </c:pt>
                <c:pt idx="195">
                  <c:v>124.61069999999999</c:v>
                </c:pt>
                <c:pt idx="196">
                  <c:v>124.61069999999999</c:v>
                </c:pt>
                <c:pt idx="197">
                  <c:v>124.61069999999999</c:v>
                </c:pt>
                <c:pt idx="198">
                  <c:v>124.61069999999999</c:v>
                </c:pt>
                <c:pt idx="199">
                  <c:v>124.61069999999999</c:v>
                </c:pt>
                <c:pt idx="200">
                  <c:v>124.61069999999999</c:v>
                </c:pt>
                <c:pt idx="201">
                  <c:v>124.61069999999999</c:v>
                </c:pt>
                <c:pt idx="202">
                  <c:v>124.61069999999999</c:v>
                </c:pt>
                <c:pt idx="203">
                  <c:v>124.61069999999999</c:v>
                </c:pt>
                <c:pt idx="204">
                  <c:v>124.61069999999999</c:v>
                </c:pt>
                <c:pt idx="205">
                  <c:v>124.61069999999999</c:v>
                </c:pt>
                <c:pt idx="206">
                  <c:v>124.61069999999999</c:v>
                </c:pt>
                <c:pt idx="207">
                  <c:v>124.61069999999999</c:v>
                </c:pt>
                <c:pt idx="208">
                  <c:v>105.18689999999999</c:v>
                </c:pt>
                <c:pt idx="209">
                  <c:v>105.18689999999999</c:v>
                </c:pt>
                <c:pt idx="210">
                  <c:v>105.18689999999999</c:v>
                </c:pt>
                <c:pt idx="211">
                  <c:v>105.18689999999999</c:v>
                </c:pt>
                <c:pt idx="212">
                  <c:v>105.18689999999999</c:v>
                </c:pt>
                <c:pt idx="213">
                  <c:v>105.18689999999999</c:v>
                </c:pt>
                <c:pt idx="214">
                  <c:v>105.18689999999999</c:v>
                </c:pt>
                <c:pt idx="215">
                  <c:v>105.18689999999999</c:v>
                </c:pt>
                <c:pt idx="216">
                  <c:v>105.18689999999999</c:v>
                </c:pt>
                <c:pt idx="217">
                  <c:v>105.18689999999999</c:v>
                </c:pt>
                <c:pt idx="218">
                  <c:v>105.18689999999999</c:v>
                </c:pt>
                <c:pt idx="219">
                  <c:v>105.18689999999999</c:v>
                </c:pt>
                <c:pt idx="220">
                  <c:v>105.18689999999999</c:v>
                </c:pt>
                <c:pt idx="221">
                  <c:v>87.900800000000004</c:v>
                </c:pt>
                <c:pt idx="222">
                  <c:v>87.900800000000004</c:v>
                </c:pt>
                <c:pt idx="223">
                  <c:v>87.900800000000004</c:v>
                </c:pt>
                <c:pt idx="224">
                  <c:v>87.900800000000004</c:v>
                </c:pt>
                <c:pt idx="225">
                  <c:v>87.900800000000004</c:v>
                </c:pt>
                <c:pt idx="226">
                  <c:v>87.900800000000004</c:v>
                </c:pt>
                <c:pt idx="227">
                  <c:v>87.900800000000004</c:v>
                </c:pt>
                <c:pt idx="228">
                  <c:v>87.900800000000004</c:v>
                </c:pt>
                <c:pt idx="229">
                  <c:v>87.900800000000004</c:v>
                </c:pt>
                <c:pt idx="230">
                  <c:v>87.900800000000004</c:v>
                </c:pt>
                <c:pt idx="231">
                  <c:v>87.900800000000004</c:v>
                </c:pt>
                <c:pt idx="232">
                  <c:v>87.900800000000004</c:v>
                </c:pt>
                <c:pt idx="233">
                  <c:v>87.900800000000004</c:v>
                </c:pt>
                <c:pt idx="234">
                  <c:v>83.311199999999999</c:v>
                </c:pt>
                <c:pt idx="235">
                  <c:v>83.311199999999999</c:v>
                </c:pt>
                <c:pt idx="236">
                  <c:v>83.311199999999999</c:v>
                </c:pt>
                <c:pt idx="237">
                  <c:v>83.311199999999999</c:v>
                </c:pt>
                <c:pt idx="238">
                  <c:v>83.311199999999999</c:v>
                </c:pt>
                <c:pt idx="239">
                  <c:v>83.311199999999999</c:v>
                </c:pt>
                <c:pt idx="240">
                  <c:v>83.311199999999999</c:v>
                </c:pt>
                <c:pt idx="241">
                  <c:v>83.311199999999999</c:v>
                </c:pt>
                <c:pt idx="242">
                  <c:v>83.311199999999999</c:v>
                </c:pt>
                <c:pt idx="243">
                  <c:v>83.311199999999999</c:v>
                </c:pt>
                <c:pt idx="244">
                  <c:v>83.311199999999999</c:v>
                </c:pt>
                <c:pt idx="245">
                  <c:v>83.311199999999999</c:v>
                </c:pt>
                <c:pt idx="246">
                  <c:v>83.311199999999999</c:v>
                </c:pt>
                <c:pt idx="247">
                  <c:v>18.7347</c:v>
                </c:pt>
                <c:pt idx="248">
                  <c:v>18.7347</c:v>
                </c:pt>
                <c:pt idx="249">
                  <c:v>18.7347</c:v>
                </c:pt>
                <c:pt idx="250">
                  <c:v>18.7347</c:v>
                </c:pt>
                <c:pt idx="251">
                  <c:v>18.7347</c:v>
                </c:pt>
                <c:pt idx="252">
                  <c:v>18.7347</c:v>
                </c:pt>
                <c:pt idx="253">
                  <c:v>18.7347</c:v>
                </c:pt>
                <c:pt idx="254">
                  <c:v>18.7347</c:v>
                </c:pt>
                <c:pt idx="255">
                  <c:v>18.7347</c:v>
                </c:pt>
                <c:pt idx="256">
                  <c:v>18.7347</c:v>
                </c:pt>
                <c:pt idx="257">
                  <c:v>18.7347</c:v>
                </c:pt>
                <c:pt idx="258">
                  <c:v>18.7347</c:v>
                </c:pt>
                <c:pt idx="259">
                  <c:v>18.7347</c:v>
                </c:pt>
                <c:pt idx="260">
                  <c:v>34.028399999999998</c:v>
                </c:pt>
                <c:pt idx="261">
                  <c:v>34.028399999999998</c:v>
                </c:pt>
                <c:pt idx="262">
                  <c:v>34.028399999999998</c:v>
                </c:pt>
                <c:pt idx="263">
                  <c:v>34.028399999999998</c:v>
                </c:pt>
                <c:pt idx="264">
                  <c:v>34.028399999999998</c:v>
                </c:pt>
                <c:pt idx="265">
                  <c:v>34.028399999999998</c:v>
                </c:pt>
                <c:pt idx="266">
                  <c:v>34.028399999999998</c:v>
                </c:pt>
                <c:pt idx="267">
                  <c:v>34.028399999999998</c:v>
                </c:pt>
                <c:pt idx="268">
                  <c:v>34.028399999999998</c:v>
                </c:pt>
                <c:pt idx="269">
                  <c:v>34.028399999999998</c:v>
                </c:pt>
                <c:pt idx="270">
                  <c:v>34.028399999999998</c:v>
                </c:pt>
                <c:pt idx="271">
                  <c:v>34.028399999999998</c:v>
                </c:pt>
                <c:pt idx="272">
                  <c:v>34.028399999999998</c:v>
                </c:pt>
                <c:pt idx="273">
                  <c:v>34.028399999999998</c:v>
                </c:pt>
                <c:pt idx="274">
                  <c:v>45.102200000000003</c:v>
                </c:pt>
                <c:pt idx="275">
                  <c:v>45.102200000000003</c:v>
                </c:pt>
                <c:pt idx="276">
                  <c:v>45.102200000000003</c:v>
                </c:pt>
                <c:pt idx="277">
                  <c:v>45.102200000000003</c:v>
                </c:pt>
                <c:pt idx="278">
                  <c:v>45.102200000000003</c:v>
                </c:pt>
                <c:pt idx="279">
                  <c:v>45.102200000000003</c:v>
                </c:pt>
                <c:pt idx="280">
                  <c:v>45.102200000000003</c:v>
                </c:pt>
                <c:pt idx="281">
                  <c:v>45.102200000000003</c:v>
                </c:pt>
                <c:pt idx="282">
                  <c:v>45.102200000000003</c:v>
                </c:pt>
                <c:pt idx="283">
                  <c:v>45.102200000000003</c:v>
                </c:pt>
                <c:pt idx="284">
                  <c:v>45.102200000000003</c:v>
                </c:pt>
                <c:pt idx="285">
                  <c:v>45.102200000000003</c:v>
                </c:pt>
                <c:pt idx="286">
                  <c:v>45.102200000000003</c:v>
                </c:pt>
                <c:pt idx="287">
                  <c:v>47.759900000000002</c:v>
                </c:pt>
                <c:pt idx="288">
                  <c:v>47.759900000000002</c:v>
                </c:pt>
                <c:pt idx="289">
                  <c:v>47.759900000000002</c:v>
                </c:pt>
                <c:pt idx="290">
                  <c:v>47.759900000000002</c:v>
                </c:pt>
                <c:pt idx="291">
                  <c:v>47.759900000000002</c:v>
                </c:pt>
                <c:pt idx="292">
                  <c:v>47.759900000000002</c:v>
                </c:pt>
                <c:pt idx="293">
                  <c:v>47.759900000000002</c:v>
                </c:pt>
                <c:pt idx="294">
                  <c:v>47.759900000000002</c:v>
                </c:pt>
                <c:pt idx="295">
                  <c:v>47.759900000000002</c:v>
                </c:pt>
                <c:pt idx="296">
                  <c:v>47.759900000000002</c:v>
                </c:pt>
                <c:pt idx="297">
                  <c:v>47.759900000000002</c:v>
                </c:pt>
                <c:pt idx="298">
                  <c:v>47.759900000000002</c:v>
                </c:pt>
                <c:pt idx="299">
                  <c:v>47.759900000000002</c:v>
                </c:pt>
                <c:pt idx="300">
                  <c:v>64.557599999999994</c:v>
                </c:pt>
                <c:pt idx="301">
                  <c:v>64.557599999999994</c:v>
                </c:pt>
                <c:pt idx="302">
                  <c:v>64.557599999999994</c:v>
                </c:pt>
                <c:pt idx="303">
                  <c:v>64.557599999999994</c:v>
                </c:pt>
                <c:pt idx="304">
                  <c:v>64.557599999999994</c:v>
                </c:pt>
                <c:pt idx="305">
                  <c:v>64.557599999999994</c:v>
                </c:pt>
                <c:pt idx="306">
                  <c:v>64.557599999999994</c:v>
                </c:pt>
                <c:pt idx="307">
                  <c:v>64.557599999999994</c:v>
                </c:pt>
                <c:pt idx="308">
                  <c:v>64.557599999999994</c:v>
                </c:pt>
                <c:pt idx="309">
                  <c:v>64.557599999999994</c:v>
                </c:pt>
                <c:pt idx="310">
                  <c:v>64.557599999999994</c:v>
                </c:pt>
                <c:pt idx="311">
                  <c:v>64.557599999999994</c:v>
                </c:pt>
                <c:pt idx="312">
                  <c:v>64.557599999999994</c:v>
                </c:pt>
                <c:pt idx="313">
                  <c:v>63.373899999999999</c:v>
                </c:pt>
                <c:pt idx="314">
                  <c:v>63.373899999999999</c:v>
                </c:pt>
                <c:pt idx="315">
                  <c:v>63.373899999999999</c:v>
                </c:pt>
                <c:pt idx="316">
                  <c:v>63.373899999999999</c:v>
                </c:pt>
                <c:pt idx="317">
                  <c:v>63.373899999999999</c:v>
                </c:pt>
                <c:pt idx="318">
                  <c:v>63.373899999999999</c:v>
                </c:pt>
                <c:pt idx="319">
                  <c:v>63.373899999999999</c:v>
                </c:pt>
                <c:pt idx="320">
                  <c:v>63.373899999999999</c:v>
                </c:pt>
                <c:pt idx="321">
                  <c:v>63.373899999999999</c:v>
                </c:pt>
                <c:pt idx="322">
                  <c:v>63.373899999999999</c:v>
                </c:pt>
                <c:pt idx="323">
                  <c:v>63.373899999999999</c:v>
                </c:pt>
                <c:pt idx="324">
                  <c:v>63.373899999999999</c:v>
                </c:pt>
                <c:pt idx="325">
                  <c:v>63.373899999999999</c:v>
                </c:pt>
                <c:pt idx="326">
                  <c:v>63.129300000000001</c:v>
                </c:pt>
                <c:pt idx="327">
                  <c:v>63.129300000000001</c:v>
                </c:pt>
                <c:pt idx="328">
                  <c:v>63.129300000000001</c:v>
                </c:pt>
                <c:pt idx="329">
                  <c:v>63.129300000000001</c:v>
                </c:pt>
                <c:pt idx="330">
                  <c:v>63.129300000000001</c:v>
                </c:pt>
                <c:pt idx="331">
                  <c:v>63.129300000000001</c:v>
                </c:pt>
                <c:pt idx="332">
                  <c:v>63.129300000000001</c:v>
                </c:pt>
                <c:pt idx="333">
                  <c:v>63.129300000000001</c:v>
                </c:pt>
                <c:pt idx="334">
                  <c:v>63.129300000000001</c:v>
                </c:pt>
                <c:pt idx="335">
                  <c:v>63.129300000000001</c:v>
                </c:pt>
                <c:pt idx="336">
                  <c:v>63.129300000000001</c:v>
                </c:pt>
                <c:pt idx="337">
                  <c:v>63.129300000000001</c:v>
                </c:pt>
                <c:pt idx="338">
                  <c:v>63.129300000000001</c:v>
                </c:pt>
                <c:pt idx="339">
                  <c:v>65.004499999999993</c:v>
                </c:pt>
                <c:pt idx="340">
                  <c:v>65.004499999999993</c:v>
                </c:pt>
                <c:pt idx="341">
                  <c:v>65.004499999999993</c:v>
                </c:pt>
                <c:pt idx="342">
                  <c:v>65.004499999999993</c:v>
                </c:pt>
                <c:pt idx="343">
                  <c:v>65.004499999999993</c:v>
                </c:pt>
                <c:pt idx="344">
                  <c:v>65.004499999999993</c:v>
                </c:pt>
                <c:pt idx="345">
                  <c:v>65.004499999999993</c:v>
                </c:pt>
                <c:pt idx="346">
                  <c:v>65.004499999999993</c:v>
                </c:pt>
                <c:pt idx="347">
                  <c:v>65.004499999999993</c:v>
                </c:pt>
                <c:pt idx="348">
                  <c:v>65.004499999999993</c:v>
                </c:pt>
                <c:pt idx="349">
                  <c:v>65.004499999999993</c:v>
                </c:pt>
                <c:pt idx="350">
                  <c:v>65.004499999999993</c:v>
                </c:pt>
                <c:pt idx="351">
                  <c:v>65.004499999999993</c:v>
                </c:pt>
                <c:pt idx="352">
                  <c:v>56.735900000000001</c:v>
                </c:pt>
                <c:pt idx="353">
                  <c:v>56.735900000000001</c:v>
                </c:pt>
                <c:pt idx="354">
                  <c:v>56.735900000000001</c:v>
                </c:pt>
                <c:pt idx="355">
                  <c:v>56.735900000000001</c:v>
                </c:pt>
                <c:pt idx="356">
                  <c:v>56.735900000000001</c:v>
                </c:pt>
                <c:pt idx="357">
                  <c:v>56.735900000000001</c:v>
                </c:pt>
                <c:pt idx="358">
                  <c:v>56.735900000000001</c:v>
                </c:pt>
                <c:pt idx="359">
                  <c:v>56.735900000000001</c:v>
                </c:pt>
                <c:pt idx="360">
                  <c:v>56.735900000000001</c:v>
                </c:pt>
                <c:pt idx="361">
                  <c:v>56.735900000000001</c:v>
                </c:pt>
                <c:pt idx="362">
                  <c:v>56.735900000000001</c:v>
                </c:pt>
                <c:pt idx="363">
                  <c:v>56.735900000000001</c:v>
                </c:pt>
                <c:pt idx="364">
                  <c:v>56.735900000000001</c:v>
                </c:pt>
                <c:pt idx="365">
                  <c:v>56.2209</c:v>
                </c:pt>
                <c:pt idx="366">
                  <c:v>56.2209</c:v>
                </c:pt>
                <c:pt idx="367">
                  <c:v>56.2209</c:v>
                </c:pt>
                <c:pt idx="368">
                  <c:v>56.2209</c:v>
                </c:pt>
                <c:pt idx="369">
                  <c:v>56.2209</c:v>
                </c:pt>
                <c:pt idx="370">
                  <c:v>56.2209</c:v>
                </c:pt>
                <c:pt idx="371">
                  <c:v>56.2209</c:v>
                </c:pt>
                <c:pt idx="372">
                  <c:v>56.2209</c:v>
                </c:pt>
                <c:pt idx="373">
                  <c:v>56.2209</c:v>
                </c:pt>
                <c:pt idx="374">
                  <c:v>56.2209</c:v>
                </c:pt>
                <c:pt idx="375">
                  <c:v>56.2209</c:v>
                </c:pt>
                <c:pt idx="376">
                  <c:v>56.2209</c:v>
                </c:pt>
                <c:pt idx="377">
                  <c:v>56.2209</c:v>
                </c:pt>
                <c:pt idx="378">
                  <c:v>56.2209</c:v>
                </c:pt>
                <c:pt idx="379">
                  <c:v>56.2209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72-41E9-9278-36567CFD133C}"/>
            </c:ext>
          </c:extLst>
        </c:ser>
        <c:ser>
          <c:idx val="4"/>
          <c:order val="2"/>
          <c:tx>
            <c:strRef>
              <c:f>Base!$AK$4</c:f>
              <c:strCache>
                <c:ptCount val="1"/>
                <c:pt idx="0">
                  <c:v>TRAN AR Equity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Base!$M$6:$M$2000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Base!$AQ$6:$AQ$2000</c:f>
              <c:numCache>
                <c:formatCode>General</c:formatCode>
                <c:ptCount val="1995"/>
                <c:pt idx="0">
                  <c:v>62.063000000000002</c:v>
                </c:pt>
                <c:pt idx="1">
                  <c:v>62.063000000000002</c:v>
                </c:pt>
                <c:pt idx="2">
                  <c:v>62.063000000000002</c:v>
                </c:pt>
                <c:pt idx="3">
                  <c:v>62.063000000000002</c:v>
                </c:pt>
                <c:pt idx="4">
                  <c:v>62.063000000000002</c:v>
                </c:pt>
                <c:pt idx="5">
                  <c:v>62.063000000000002</c:v>
                </c:pt>
                <c:pt idx="6">
                  <c:v>62.063000000000002</c:v>
                </c:pt>
                <c:pt idx="7">
                  <c:v>62.063000000000002</c:v>
                </c:pt>
                <c:pt idx="8">
                  <c:v>62.063000000000002</c:v>
                </c:pt>
                <c:pt idx="9">
                  <c:v>62.063000000000002</c:v>
                </c:pt>
                <c:pt idx="10">
                  <c:v>62.063000000000002</c:v>
                </c:pt>
                <c:pt idx="11">
                  <c:v>62.063000000000002</c:v>
                </c:pt>
                <c:pt idx="12">
                  <c:v>62.063000000000002</c:v>
                </c:pt>
                <c:pt idx="13">
                  <c:v>62.266300000000001</c:v>
                </c:pt>
                <c:pt idx="14">
                  <c:v>62.266300000000001</c:v>
                </c:pt>
                <c:pt idx="15">
                  <c:v>62.266300000000001</c:v>
                </c:pt>
                <c:pt idx="16">
                  <c:v>62.266300000000001</c:v>
                </c:pt>
                <c:pt idx="17">
                  <c:v>62.266300000000001</c:v>
                </c:pt>
                <c:pt idx="18">
                  <c:v>62.266300000000001</c:v>
                </c:pt>
                <c:pt idx="19">
                  <c:v>62.266300000000001</c:v>
                </c:pt>
                <c:pt idx="20">
                  <c:v>62.266300000000001</c:v>
                </c:pt>
                <c:pt idx="21">
                  <c:v>62.266300000000001</c:v>
                </c:pt>
                <c:pt idx="22">
                  <c:v>62.266300000000001</c:v>
                </c:pt>
                <c:pt idx="23">
                  <c:v>62.266300000000001</c:v>
                </c:pt>
                <c:pt idx="24">
                  <c:v>62.266300000000001</c:v>
                </c:pt>
                <c:pt idx="25">
                  <c:v>62.266300000000001</c:v>
                </c:pt>
                <c:pt idx="26">
                  <c:v>62.607700000000001</c:v>
                </c:pt>
                <c:pt idx="27">
                  <c:v>62.607700000000001</c:v>
                </c:pt>
                <c:pt idx="28">
                  <c:v>62.607700000000001</c:v>
                </c:pt>
                <c:pt idx="29">
                  <c:v>62.607700000000001</c:v>
                </c:pt>
                <c:pt idx="30">
                  <c:v>62.607700000000001</c:v>
                </c:pt>
                <c:pt idx="31">
                  <c:v>62.607700000000001</c:v>
                </c:pt>
                <c:pt idx="32">
                  <c:v>62.607700000000001</c:v>
                </c:pt>
                <c:pt idx="33">
                  <c:v>62.607700000000001</c:v>
                </c:pt>
                <c:pt idx="34">
                  <c:v>62.607700000000001</c:v>
                </c:pt>
                <c:pt idx="35">
                  <c:v>62.607700000000001</c:v>
                </c:pt>
                <c:pt idx="36">
                  <c:v>62.607700000000001</c:v>
                </c:pt>
                <c:pt idx="37">
                  <c:v>62.607700000000001</c:v>
                </c:pt>
                <c:pt idx="38">
                  <c:v>62.607700000000001</c:v>
                </c:pt>
                <c:pt idx="39">
                  <c:v>60.128799999999998</c:v>
                </c:pt>
                <c:pt idx="40">
                  <c:v>60.128799999999998</c:v>
                </c:pt>
                <c:pt idx="41">
                  <c:v>60.128799999999998</c:v>
                </c:pt>
                <c:pt idx="42">
                  <c:v>60.128799999999998</c:v>
                </c:pt>
                <c:pt idx="43">
                  <c:v>60.128799999999998</c:v>
                </c:pt>
                <c:pt idx="44">
                  <c:v>60.128799999999998</c:v>
                </c:pt>
                <c:pt idx="45">
                  <c:v>60.128799999999998</c:v>
                </c:pt>
                <c:pt idx="46">
                  <c:v>60.128799999999998</c:v>
                </c:pt>
                <c:pt idx="47">
                  <c:v>60.128799999999998</c:v>
                </c:pt>
                <c:pt idx="48">
                  <c:v>60.128799999999998</c:v>
                </c:pt>
                <c:pt idx="49">
                  <c:v>60.128799999999998</c:v>
                </c:pt>
                <c:pt idx="50">
                  <c:v>60.128799999999998</c:v>
                </c:pt>
                <c:pt idx="51">
                  <c:v>60.128799999999998</c:v>
                </c:pt>
                <c:pt idx="52">
                  <c:v>59.082700000000003</c:v>
                </c:pt>
                <c:pt idx="53">
                  <c:v>59.082700000000003</c:v>
                </c:pt>
                <c:pt idx="54">
                  <c:v>59.082700000000003</c:v>
                </c:pt>
                <c:pt idx="55">
                  <c:v>59.082700000000003</c:v>
                </c:pt>
                <c:pt idx="56">
                  <c:v>59.082700000000003</c:v>
                </c:pt>
                <c:pt idx="57">
                  <c:v>59.082700000000003</c:v>
                </c:pt>
                <c:pt idx="58">
                  <c:v>59.082700000000003</c:v>
                </c:pt>
                <c:pt idx="59">
                  <c:v>59.082700000000003</c:v>
                </c:pt>
                <c:pt idx="60">
                  <c:v>59.082700000000003</c:v>
                </c:pt>
                <c:pt idx="61">
                  <c:v>59.082700000000003</c:v>
                </c:pt>
                <c:pt idx="62">
                  <c:v>59.082700000000003</c:v>
                </c:pt>
                <c:pt idx="63">
                  <c:v>59.082700000000003</c:v>
                </c:pt>
                <c:pt idx="64">
                  <c:v>59.082700000000003</c:v>
                </c:pt>
                <c:pt idx="65">
                  <c:v>57.112200000000001</c:v>
                </c:pt>
                <c:pt idx="66">
                  <c:v>57.112200000000001</c:v>
                </c:pt>
                <c:pt idx="67">
                  <c:v>57.112200000000001</c:v>
                </c:pt>
                <c:pt idx="68">
                  <c:v>57.112200000000001</c:v>
                </c:pt>
                <c:pt idx="69">
                  <c:v>57.112200000000001</c:v>
                </c:pt>
                <c:pt idx="70">
                  <c:v>57.112200000000001</c:v>
                </c:pt>
                <c:pt idx="71">
                  <c:v>57.112200000000001</c:v>
                </c:pt>
                <c:pt idx="72">
                  <c:v>57.112200000000001</c:v>
                </c:pt>
                <c:pt idx="73">
                  <c:v>57.112200000000001</c:v>
                </c:pt>
                <c:pt idx="74">
                  <c:v>57.112200000000001</c:v>
                </c:pt>
                <c:pt idx="75">
                  <c:v>57.112200000000001</c:v>
                </c:pt>
                <c:pt idx="76">
                  <c:v>57.112200000000001</c:v>
                </c:pt>
                <c:pt idx="77">
                  <c:v>57.112200000000001</c:v>
                </c:pt>
                <c:pt idx="78">
                  <c:v>53.942999999999998</c:v>
                </c:pt>
                <c:pt idx="79">
                  <c:v>53.942999999999998</c:v>
                </c:pt>
                <c:pt idx="80">
                  <c:v>53.942999999999998</c:v>
                </c:pt>
                <c:pt idx="81">
                  <c:v>53.942999999999998</c:v>
                </c:pt>
                <c:pt idx="82">
                  <c:v>53.942999999999998</c:v>
                </c:pt>
                <c:pt idx="83">
                  <c:v>53.942999999999998</c:v>
                </c:pt>
                <c:pt idx="84">
                  <c:v>53.942999999999998</c:v>
                </c:pt>
                <c:pt idx="85">
                  <c:v>53.942999999999998</c:v>
                </c:pt>
                <c:pt idx="86">
                  <c:v>53.942999999999998</c:v>
                </c:pt>
                <c:pt idx="87">
                  <c:v>53.942999999999998</c:v>
                </c:pt>
                <c:pt idx="88">
                  <c:v>53.942999999999998</c:v>
                </c:pt>
                <c:pt idx="89">
                  <c:v>53.942999999999998</c:v>
                </c:pt>
                <c:pt idx="90">
                  <c:v>53.942999999999998</c:v>
                </c:pt>
                <c:pt idx="91">
                  <c:v>50.906599999999997</c:v>
                </c:pt>
                <c:pt idx="92">
                  <c:v>50.906599999999997</c:v>
                </c:pt>
                <c:pt idx="93">
                  <c:v>50.906599999999997</c:v>
                </c:pt>
                <c:pt idx="94">
                  <c:v>50.906599999999997</c:v>
                </c:pt>
                <c:pt idx="95">
                  <c:v>50.906599999999997</c:v>
                </c:pt>
                <c:pt idx="96">
                  <c:v>50.906599999999997</c:v>
                </c:pt>
                <c:pt idx="97">
                  <c:v>50.906599999999997</c:v>
                </c:pt>
                <c:pt idx="98">
                  <c:v>50.906599999999997</c:v>
                </c:pt>
                <c:pt idx="99">
                  <c:v>50.906599999999997</c:v>
                </c:pt>
                <c:pt idx="100">
                  <c:v>50.906599999999997</c:v>
                </c:pt>
                <c:pt idx="101">
                  <c:v>50.906599999999997</c:v>
                </c:pt>
                <c:pt idx="102">
                  <c:v>50.906599999999997</c:v>
                </c:pt>
                <c:pt idx="103">
                  <c:v>50.906599999999997</c:v>
                </c:pt>
                <c:pt idx="104">
                  <c:v>45.085500000000003</c:v>
                </c:pt>
                <c:pt idx="105">
                  <c:v>45.085500000000003</c:v>
                </c:pt>
                <c:pt idx="106">
                  <c:v>45.085500000000003</c:v>
                </c:pt>
                <c:pt idx="107">
                  <c:v>45.085500000000003</c:v>
                </c:pt>
                <c:pt idx="108">
                  <c:v>45.085500000000003</c:v>
                </c:pt>
                <c:pt idx="109">
                  <c:v>45.085500000000003</c:v>
                </c:pt>
                <c:pt idx="110">
                  <c:v>45.085500000000003</c:v>
                </c:pt>
                <c:pt idx="111">
                  <c:v>45.085500000000003</c:v>
                </c:pt>
                <c:pt idx="112">
                  <c:v>45.085500000000003</c:v>
                </c:pt>
                <c:pt idx="113">
                  <c:v>45.085500000000003</c:v>
                </c:pt>
                <c:pt idx="114">
                  <c:v>45.085500000000003</c:v>
                </c:pt>
                <c:pt idx="115">
                  <c:v>45.085500000000003</c:v>
                </c:pt>
                <c:pt idx="116">
                  <c:v>45.085500000000003</c:v>
                </c:pt>
                <c:pt idx="117">
                  <c:v>40.807499999999997</c:v>
                </c:pt>
                <c:pt idx="118">
                  <c:v>40.807499999999997</c:v>
                </c:pt>
                <c:pt idx="119">
                  <c:v>40.807499999999997</c:v>
                </c:pt>
                <c:pt idx="120">
                  <c:v>40.807499999999997</c:v>
                </c:pt>
                <c:pt idx="121">
                  <c:v>40.807499999999997</c:v>
                </c:pt>
                <c:pt idx="122">
                  <c:v>40.807499999999997</c:v>
                </c:pt>
                <c:pt idx="123">
                  <c:v>40.807499999999997</c:v>
                </c:pt>
                <c:pt idx="124">
                  <c:v>40.807499999999997</c:v>
                </c:pt>
                <c:pt idx="125">
                  <c:v>40.807499999999997</c:v>
                </c:pt>
                <c:pt idx="126">
                  <c:v>40.807499999999997</c:v>
                </c:pt>
                <c:pt idx="127">
                  <c:v>40.807499999999997</c:v>
                </c:pt>
                <c:pt idx="128">
                  <c:v>40.807499999999997</c:v>
                </c:pt>
                <c:pt idx="129">
                  <c:v>40.807499999999997</c:v>
                </c:pt>
                <c:pt idx="130">
                  <c:v>32.682600000000001</c:v>
                </c:pt>
                <c:pt idx="131">
                  <c:v>32.682600000000001</c:v>
                </c:pt>
                <c:pt idx="132">
                  <c:v>32.682600000000001</c:v>
                </c:pt>
                <c:pt idx="133">
                  <c:v>32.682600000000001</c:v>
                </c:pt>
                <c:pt idx="134">
                  <c:v>32.682600000000001</c:v>
                </c:pt>
                <c:pt idx="135">
                  <c:v>32.682600000000001</c:v>
                </c:pt>
                <c:pt idx="136">
                  <c:v>32.682600000000001</c:v>
                </c:pt>
                <c:pt idx="137">
                  <c:v>32.682600000000001</c:v>
                </c:pt>
                <c:pt idx="138">
                  <c:v>32.682600000000001</c:v>
                </c:pt>
                <c:pt idx="139">
                  <c:v>32.682600000000001</c:v>
                </c:pt>
                <c:pt idx="140">
                  <c:v>32.682600000000001</c:v>
                </c:pt>
                <c:pt idx="141">
                  <c:v>32.682600000000001</c:v>
                </c:pt>
                <c:pt idx="142">
                  <c:v>32.682600000000001</c:v>
                </c:pt>
                <c:pt idx="143">
                  <c:v>28.233000000000001</c:v>
                </c:pt>
                <c:pt idx="144">
                  <c:v>28.233000000000001</c:v>
                </c:pt>
                <c:pt idx="145">
                  <c:v>28.233000000000001</c:v>
                </c:pt>
                <c:pt idx="146">
                  <c:v>28.233000000000001</c:v>
                </c:pt>
                <c:pt idx="147">
                  <c:v>28.233000000000001</c:v>
                </c:pt>
                <c:pt idx="148">
                  <c:v>28.233000000000001</c:v>
                </c:pt>
                <c:pt idx="149">
                  <c:v>28.233000000000001</c:v>
                </c:pt>
                <c:pt idx="150">
                  <c:v>28.233000000000001</c:v>
                </c:pt>
                <c:pt idx="151">
                  <c:v>28.233000000000001</c:v>
                </c:pt>
                <c:pt idx="152">
                  <c:v>28.233000000000001</c:v>
                </c:pt>
                <c:pt idx="153">
                  <c:v>28.233000000000001</c:v>
                </c:pt>
                <c:pt idx="154">
                  <c:v>28.233000000000001</c:v>
                </c:pt>
                <c:pt idx="155">
                  <c:v>28.233000000000001</c:v>
                </c:pt>
                <c:pt idx="156">
                  <c:v>34.482799999999997</c:v>
                </c:pt>
                <c:pt idx="157">
                  <c:v>34.482799999999997</c:v>
                </c:pt>
                <c:pt idx="158">
                  <c:v>34.482799999999997</c:v>
                </c:pt>
                <c:pt idx="159">
                  <c:v>34.482799999999997</c:v>
                </c:pt>
                <c:pt idx="160">
                  <c:v>34.482799999999997</c:v>
                </c:pt>
                <c:pt idx="161">
                  <c:v>34.482799999999997</c:v>
                </c:pt>
                <c:pt idx="162">
                  <c:v>34.482799999999997</c:v>
                </c:pt>
                <c:pt idx="163">
                  <c:v>34.482799999999997</c:v>
                </c:pt>
                <c:pt idx="164">
                  <c:v>34.482799999999997</c:v>
                </c:pt>
                <c:pt idx="165">
                  <c:v>34.482799999999997</c:v>
                </c:pt>
                <c:pt idx="166">
                  <c:v>34.482799999999997</c:v>
                </c:pt>
                <c:pt idx="167">
                  <c:v>34.482799999999997</c:v>
                </c:pt>
                <c:pt idx="168">
                  <c:v>34.482799999999997</c:v>
                </c:pt>
                <c:pt idx="169">
                  <c:v>33.267600000000002</c:v>
                </c:pt>
                <c:pt idx="170">
                  <c:v>33.267600000000002</c:v>
                </c:pt>
                <c:pt idx="171">
                  <c:v>33.267600000000002</c:v>
                </c:pt>
                <c:pt idx="172">
                  <c:v>33.267600000000002</c:v>
                </c:pt>
                <c:pt idx="173">
                  <c:v>33.267600000000002</c:v>
                </c:pt>
                <c:pt idx="174">
                  <c:v>33.267600000000002</c:v>
                </c:pt>
                <c:pt idx="175">
                  <c:v>33.267600000000002</c:v>
                </c:pt>
                <c:pt idx="176">
                  <c:v>33.267600000000002</c:v>
                </c:pt>
                <c:pt idx="177">
                  <c:v>33.267600000000002</c:v>
                </c:pt>
                <c:pt idx="178">
                  <c:v>33.267600000000002</c:v>
                </c:pt>
                <c:pt idx="179">
                  <c:v>33.267600000000002</c:v>
                </c:pt>
                <c:pt idx="180">
                  <c:v>33.267600000000002</c:v>
                </c:pt>
                <c:pt idx="181">
                  <c:v>33.267600000000002</c:v>
                </c:pt>
                <c:pt idx="182">
                  <c:v>23.653600000000001</c:v>
                </c:pt>
                <c:pt idx="183">
                  <c:v>23.653600000000001</c:v>
                </c:pt>
                <c:pt idx="184">
                  <c:v>23.653600000000001</c:v>
                </c:pt>
                <c:pt idx="185">
                  <c:v>23.653600000000001</c:v>
                </c:pt>
                <c:pt idx="186">
                  <c:v>23.653600000000001</c:v>
                </c:pt>
                <c:pt idx="187">
                  <c:v>23.653600000000001</c:v>
                </c:pt>
                <c:pt idx="188">
                  <c:v>23.653600000000001</c:v>
                </c:pt>
                <c:pt idx="189">
                  <c:v>23.653600000000001</c:v>
                </c:pt>
                <c:pt idx="190">
                  <c:v>23.653600000000001</c:v>
                </c:pt>
                <c:pt idx="191">
                  <c:v>23.653600000000001</c:v>
                </c:pt>
                <c:pt idx="192">
                  <c:v>23.653600000000001</c:v>
                </c:pt>
                <c:pt idx="193">
                  <c:v>23.653600000000001</c:v>
                </c:pt>
                <c:pt idx="194">
                  <c:v>23.653600000000001</c:v>
                </c:pt>
                <c:pt idx="195">
                  <c:v>35.433500000000002</c:v>
                </c:pt>
                <c:pt idx="196">
                  <c:v>35.433500000000002</c:v>
                </c:pt>
                <c:pt idx="197">
                  <c:v>35.433500000000002</c:v>
                </c:pt>
                <c:pt idx="198">
                  <c:v>35.433500000000002</c:v>
                </c:pt>
                <c:pt idx="199">
                  <c:v>35.433500000000002</c:v>
                </c:pt>
                <c:pt idx="200">
                  <c:v>35.433500000000002</c:v>
                </c:pt>
                <c:pt idx="201">
                  <c:v>35.433500000000002</c:v>
                </c:pt>
                <c:pt idx="202">
                  <c:v>35.433500000000002</c:v>
                </c:pt>
                <c:pt idx="203">
                  <c:v>35.433500000000002</c:v>
                </c:pt>
                <c:pt idx="204">
                  <c:v>35.433500000000002</c:v>
                </c:pt>
                <c:pt idx="205">
                  <c:v>35.433500000000002</c:v>
                </c:pt>
                <c:pt idx="206">
                  <c:v>35.433500000000002</c:v>
                </c:pt>
                <c:pt idx="207">
                  <c:v>35.433500000000002</c:v>
                </c:pt>
                <c:pt idx="208">
                  <c:v>36.793700000000001</c:v>
                </c:pt>
                <c:pt idx="209">
                  <c:v>36.793700000000001</c:v>
                </c:pt>
                <c:pt idx="210">
                  <c:v>36.793700000000001</c:v>
                </c:pt>
                <c:pt idx="211">
                  <c:v>36.793700000000001</c:v>
                </c:pt>
                <c:pt idx="212">
                  <c:v>36.793700000000001</c:v>
                </c:pt>
                <c:pt idx="213">
                  <c:v>36.793700000000001</c:v>
                </c:pt>
                <c:pt idx="214">
                  <c:v>36.793700000000001</c:v>
                </c:pt>
                <c:pt idx="215">
                  <c:v>36.793700000000001</c:v>
                </c:pt>
                <c:pt idx="216">
                  <c:v>36.793700000000001</c:v>
                </c:pt>
                <c:pt idx="217">
                  <c:v>36.793700000000001</c:v>
                </c:pt>
                <c:pt idx="218">
                  <c:v>36.793700000000001</c:v>
                </c:pt>
                <c:pt idx="219">
                  <c:v>36.793700000000001</c:v>
                </c:pt>
                <c:pt idx="220">
                  <c:v>36.793700000000001</c:v>
                </c:pt>
                <c:pt idx="221">
                  <c:v>34.3962</c:v>
                </c:pt>
                <c:pt idx="222">
                  <c:v>34.3962</c:v>
                </c:pt>
                <c:pt idx="223">
                  <c:v>34.3962</c:v>
                </c:pt>
                <c:pt idx="224">
                  <c:v>34.3962</c:v>
                </c:pt>
                <c:pt idx="225">
                  <c:v>34.3962</c:v>
                </c:pt>
                <c:pt idx="226">
                  <c:v>34.3962</c:v>
                </c:pt>
                <c:pt idx="227">
                  <c:v>34.3962</c:v>
                </c:pt>
                <c:pt idx="228">
                  <c:v>34.3962</c:v>
                </c:pt>
                <c:pt idx="229">
                  <c:v>34.3962</c:v>
                </c:pt>
                <c:pt idx="230">
                  <c:v>34.3962</c:v>
                </c:pt>
                <c:pt idx="231">
                  <c:v>34.3962</c:v>
                </c:pt>
                <c:pt idx="232">
                  <c:v>34.3962</c:v>
                </c:pt>
                <c:pt idx="233">
                  <c:v>34.3962</c:v>
                </c:pt>
                <c:pt idx="234">
                  <c:v>21.2028</c:v>
                </c:pt>
                <c:pt idx="235">
                  <c:v>21.2028</c:v>
                </c:pt>
                <c:pt idx="236">
                  <c:v>21.2028</c:v>
                </c:pt>
                <c:pt idx="237">
                  <c:v>21.2028</c:v>
                </c:pt>
                <c:pt idx="238">
                  <c:v>21.2028</c:v>
                </c:pt>
                <c:pt idx="239">
                  <c:v>21.2028</c:v>
                </c:pt>
                <c:pt idx="240">
                  <c:v>21.2028</c:v>
                </c:pt>
                <c:pt idx="241">
                  <c:v>21.2028</c:v>
                </c:pt>
                <c:pt idx="242">
                  <c:v>21.2028</c:v>
                </c:pt>
                <c:pt idx="243">
                  <c:v>21.2028</c:v>
                </c:pt>
                <c:pt idx="244">
                  <c:v>21.2028</c:v>
                </c:pt>
                <c:pt idx="245">
                  <c:v>21.2028</c:v>
                </c:pt>
                <c:pt idx="246">
                  <c:v>21.2028</c:v>
                </c:pt>
                <c:pt idx="247">
                  <c:v>17.7971</c:v>
                </c:pt>
                <c:pt idx="248">
                  <c:v>17.7971</c:v>
                </c:pt>
                <c:pt idx="249">
                  <c:v>17.7971</c:v>
                </c:pt>
                <c:pt idx="250">
                  <c:v>17.7971</c:v>
                </c:pt>
                <c:pt idx="251">
                  <c:v>17.7971</c:v>
                </c:pt>
                <c:pt idx="252">
                  <c:v>17.7971</c:v>
                </c:pt>
                <c:pt idx="253">
                  <c:v>17.7971</c:v>
                </c:pt>
                <c:pt idx="254">
                  <c:v>17.7971</c:v>
                </c:pt>
                <c:pt idx="255">
                  <c:v>17.7971</c:v>
                </c:pt>
                <c:pt idx="256">
                  <c:v>17.7971</c:v>
                </c:pt>
                <c:pt idx="257">
                  <c:v>17.7971</c:v>
                </c:pt>
                <c:pt idx="258">
                  <c:v>17.7971</c:v>
                </c:pt>
                <c:pt idx="259">
                  <c:v>17.7971</c:v>
                </c:pt>
                <c:pt idx="260">
                  <c:v>21.130600000000001</c:v>
                </c:pt>
                <c:pt idx="261">
                  <c:v>21.130600000000001</c:v>
                </c:pt>
                <c:pt idx="262">
                  <c:v>21.130600000000001</c:v>
                </c:pt>
                <c:pt idx="263">
                  <c:v>21.130600000000001</c:v>
                </c:pt>
                <c:pt idx="264">
                  <c:v>21.130600000000001</c:v>
                </c:pt>
                <c:pt idx="265">
                  <c:v>21.130600000000001</c:v>
                </c:pt>
                <c:pt idx="266">
                  <c:v>21.130600000000001</c:v>
                </c:pt>
                <c:pt idx="267">
                  <c:v>21.130600000000001</c:v>
                </c:pt>
                <c:pt idx="268">
                  <c:v>21.130600000000001</c:v>
                </c:pt>
                <c:pt idx="269">
                  <c:v>21.130600000000001</c:v>
                </c:pt>
                <c:pt idx="270">
                  <c:v>21.130600000000001</c:v>
                </c:pt>
                <c:pt idx="271">
                  <c:v>21.130600000000001</c:v>
                </c:pt>
                <c:pt idx="272">
                  <c:v>21.130600000000001</c:v>
                </c:pt>
                <c:pt idx="273">
                  <c:v>21.130600000000001</c:v>
                </c:pt>
                <c:pt idx="274">
                  <c:v>29.068100000000001</c:v>
                </c:pt>
                <c:pt idx="275">
                  <c:v>29.068100000000001</c:v>
                </c:pt>
                <c:pt idx="276">
                  <c:v>29.068100000000001</c:v>
                </c:pt>
                <c:pt idx="277">
                  <c:v>29.068100000000001</c:v>
                </c:pt>
                <c:pt idx="278">
                  <c:v>29.068100000000001</c:v>
                </c:pt>
                <c:pt idx="279">
                  <c:v>29.068100000000001</c:v>
                </c:pt>
                <c:pt idx="280">
                  <c:v>29.068100000000001</c:v>
                </c:pt>
                <c:pt idx="281">
                  <c:v>29.068100000000001</c:v>
                </c:pt>
                <c:pt idx="282">
                  <c:v>29.068100000000001</c:v>
                </c:pt>
                <c:pt idx="283">
                  <c:v>29.068100000000001</c:v>
                </c:pt>
                <c:pt idx="284">
                  <c:v>29.068100000000001</c:v>
                </c:pt>
                <c:pt idx="285">
                  <c:v>29.068100000000001</c:v>
                </c:pt>
                <c:pt idx="286">
                  <c:v>29.068100000000001</c:v>
                </c:pt>
                <c:pt idx="287">
                  <c:v>45.393799999999999</c:v>
                </c:pt>
                <c:pt idx="288">
                  <c:v>45.393799999999999</c:v>
                </c:pt>
                <c:pt idx="289">
                  <c:v>45.393799999999999</c:v>
                </c:pt>
                <c:pt idx="290">
                  <c:v>45.393799999999999</c:v>
                </c:pt>
                <c:pt idx="291">
                  <c:v>45.393799999999999</c:v>
                </c:pt>
                <c:pt idx="292">
                  <c:v>45.393799999999999</c:v>
                </c:pt>
                <c:pt idx="293">
                  <c:v>45.393799999999999</c:v>
                </c:pt>
                <c:pt idx="294">
                  <c:v>45.393799999999999</c:v>
                </c:pt>
                <c:pt idx="295">
                  <c:v>45.393799999999999</c:v>
                </c:pt>
                <c:pt idx="296">
                  <c:v>45.393799999999999</c:v>
                </c:pt>
                <c:pt idx="297">
                  <c:v>45.393799999999999</c:v>
                </c:pt>
                <c:pt idx="298">
                  <c:v>45.393799999999999</c:v>
                </c:pt>
                <c:pt idx="299">
                  <c:v>45.393799999999999</c:v>
                </c:pt>
                <c:pt idx="300">
                  <c:v>47.956499999999998</c:v>
                </c:pt>
                <c:pt idx="301">
                  <c:v>47.956499999999998</c:v>
                </c:pt>
                <c:pt idx="302">
                  <c:v>47.956499999999998</c:v>
                </c:pt>
                <c:pt idx="303">
                  <c:v>47.956499999999998</c:v>
                </c:pt>
                <c:pt idx="304">
                  <c:v>47.956499999999998</c:v>
                </c:pt>
                <c:pt idx="305">
                  <c:v>47.956499999999998</c:v>
                </c:pt>
                <c:pt idx="306">
                  <c:v>47.956499999999998</c:v>
                </c:pt>
                <c:pt idx="307">
                  <c:v>47.956499999999998</c:v>
                </c:pt>
                <c:pt idx="308">
                  <c:v>47.956499999999998</c:v>
                </c:pt>
                <c:pt idx="309">
                  <c:v>47.956499999999998</c:v>
                </c:pt>
                <c:pt idx="310">
                  <c:v>47.956499999999998</c:v>
                </c:pt>
                <c:pt idx="311">
                  <c:v>47.956499999999998</c:v>
                </c:pt>
                <c:pt idx="312">
                  <c:v>47.956499999999998</c:v>
                </c:pt>
                <c:pt idx="313">
                  <c:v>52.701799999999999</c:v>
                </c:pt>
                <c:pt idx="314">
                  <c:v>52.701799999999999</c:v>
                </c:pt>
                <c:pt idx="315">
                  <c:v>52.701799999999999</c:v>
                </c:pt>
                <c:pt idx="316">
                  <c:v>52.701799999999999</c:v>
                </c:pt>
                <c:pt idx="317">
                  <c:v>52.701799999999999</c:v>
                </c:pt>
                <c:pt idx="318">
                  <c:v>52.701799999999999</c:v>
                </c:pt>
                <c:pt idx="319">
                  <c:v>52.701799999999999</c:v>
                </c:pt>
                <c:pt idx="320">
                  <c:v>52.701799999999999</c:v>
                </c:pt>
                <c:pt idx="321">
                  <c:v>52.701799999999999</c:v>
                </c:pt>
                <c:pt idx="322">
                  <c:v>52.701799999999999</c:v>
                </c:pt>
                <c:pt idx="323">
                  <c:v>52.701799999999999</c:v>
                </c:pt>
                <c:pt idx="324">
                  <c:v>52.701799999999999</c:v>
                </c:pt>
                <c:pt idx="325">
                  <c:v>52.701799999999999</c:v>
                </c:pt>
                <c:pt idx="326">
                  <c:v>55.824199999999998</c:v>
                </c:pt>
                <c:pt idx="327">
                  <c:v>55.824199999999998</c:v>
                </c:pt>
                <c:pt idx="328">
                  <c:v>55.824199999999998</c:v>
                </c:pt>
                <c:pt idx="329">
                  <c:v>55.824199999999998</c:v>
                </c:pt>
                <c:pt idx="330">
                  <c:v>55.824199999999998</c:v>
                </c:pt>
                <c:pt idx="331">
                  <c:v>55.824199999999998</c:v>
                </c:pt>
                <c:pt idx="332">
                  <c:v>55.824199999999998</c:v>
                </c:pt>
                <c:pt idx="333">
                  <c:v>55.824199999999998</c:v>
                </c:pt>
                <c:pt idx="334">
                  <c:v>55.824199999999998</c:v>
                </c:pt>
                <c:pt idx="335">
                  <c:v>55.824199999999998</c:v>
                </c:pt>
                <c:pt idx="336">
                  <c:v>55.824199999999998</c:v>
                </c:pt>
                <c:pt idx="337">
                  <c:v>55.824199999999998</c:v>
                </c:pt>
                <c:pt idx="338">
                  <c:v>55.824199999999998</c:v>
                </c:pt>
                <c:pt idx="339">
                  <c:v>59.6631</c:v>
                </c:pt>
                <c:pt idx="340">
                  <c:v>59.6631</c:v>
                </c:pt>
                <c:pt idx="341">
                  <c:v>59.6631</c:v>
                </c:pt>
                <c:pt idx="342">
                  <c:v>59.6631</c:v>
                </c:pt>
                <c:pt idx="343">
                  <c:v>59.6631</c:v>
                </c:pt>
                <c:pt idx="344">
                  <c:v>59.6631</c:v>
                </c:pt>
                <c:pt idx="345">
                  <c:v>59.6631</c:v>
                </c:pt>
                <c:pt idx="346">
                  <c:v>59.6631</c:v>
                </c:pt>
                <c:pt idx="347">
                  <c:v>59.6631</c:v>
                </c:pt>
                <c:pt idx="348">
                  <c:v>59.6631</c:v>
                </c:pt>
                <c:pt idx="349">
                  <c:v>59.6631</c:v>
                </c:pt>
                <c:pt idx="350">
                  <c:v>59.6631</c:v>
                </c:pt>
                <c:pt idx="351">
                  <c:v>59.6631</c:v>
                </c:pt>
                <c:pt idx="352">
                  <c:v>62.7622</c:v>
                </c:pt>
                <c:pt idx="353">
                  <c:v>62.7622</c:v>
                </c:pt>
                <c:pt idx="354">
                  <c:v>62.7622</c:v>
                </c:pt>
                <c:pt idx="355">
                  <c:v>62.7622</c:v>
                </c:pt>
                <c:pt idx="356">
                  <c:v>62.7622</c:v>
                </c:pt>
                <c:pt idx="357">
                  <c:v>62.7622</c:v>
                </c:pt>
                <c:pt idx="358">
                  <c:v>62.7622</c:v>
                </c:pt>
                <c:pt idx="359">
                  <c:v>62.7622</c:v>
                </c:pt>
                <c:pt idx="360">
                  <c:v>62.7622</c:v>
                </c:pt>
                <c:pt idx="361">
                  <c:v>62.7622</c:v>
                </c:pt>
                <c:pt idx="362">
                  <c:v>62.7622</c:v>
                </c:pt>
                <c:pt idx="363">
                  <c:v>62.7622</c:v>
                </c:pt>
                <c:pt idx="364">
                  <c:v>62.7622</c:v>
                </c:pt>
                <c:pt idx="365">
                  <c:v>63.448999999999998</c:v>
                </c:pt>
                <c:pt idx="366">
                  <c:v>63.448999999999998</c:v>
                </c:pt>
                <c:pt idx="367">
                  <c:v>63.448999999999998</c:v>
                </c:pt>
                <c:pt idx="368">
                  <c:v>63.448999999999998</c:v>
                </c:pt>
                <c:pt idx="369">
                  <c:v>63.448999999999998</c:v>
                </c:pt>
                <c:pt idx="370">
                  <c:v>63.448999999999998</c:v>
                </c:pt>
                <c:pt idx="371">
                  <c:v>63.448999999999998</c:v>
                </c:pt>
                <c:pt idx="372">
                  <c:v>63.448999999999998</c:v>
                </c:pt>
                <c:pt idx="373">
                  <c:v>63.448999999999998</c:v>
                </c:pt>
                <c:pt idx="374">
                  <c:v>63.448999999999998</c:v>
                </c:pt>
                <c:pt idx="375">
                  <c:v>63.448999999999998</c:v>
                </c:pt>
                <c:pt idx="376">
                  <c:v>63.448999999999998</c:v>
                </c:pt>
                <c:pt idx="377">
                  <c:v>63.448999999999998</c:v>
                </c:pt>
                <c:pt idx="378">
                  <c:v>63.448999999999998</c:v>
                </c:pt>
                <c:pt idx="379">
                  <c:v>63.448999999999998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72-41E9-9278-36567CFD133C}"/>
            </c:ext>
          </c:extLst>
        </c:ser>
        <c:ser>
          <c:idx val="5"/>
          <c:order val="3"/>
          <c:tx>
            <c:strRef>
              <c:f>Base!$AV$4</c:f>
              <c:strCache>
                <c:ptCount val="1"/>
                <c:pt idx="0">
                  <c:v>EDN AR Equity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Base!$M$6:$M$2000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Base!$BB$6:$BB$2000</c:f>
              <c:numCache>
                <c:formatCode>General</c:formatCode>
                <c:ptCount val="1995"/>
                <c:pt idx="0">
                  <c:v>8.0390999999999995</c:v>
                </c:pt>
                <c:pt idx="1">
                  <c:v>8.0390999999999995</c:v>
                </c:pt>
                <c:pt idx="2">
                  <c:v>8.0390999999999995</c:v>
                </c:pt>
                <c:pt idx="3">
                  <c:v>8.0390999999999995</c:v>
                </c:pt>
                <c:pt idx="4">
                  <c:v>8.0390999999999995</c:v>
                </c:pt>
                <c:pt idx="5">
                  <c:v>8.0390999999999995</c:v>
                </c:pt>
                <c:pt idx="6">
                  <c:v>8.0390999999999995</c:v>
                </c:pt>
                <c:pt idx="7">
                  <c:v>8.0390999999999995</c:v>
                </c:pt>
                <c:pt idx="8">
                  <c:v>8.0390999999999995</c:v>
                </c:pt>
                <c:pt idx="9">
                  <c:v>8.0390999999999995</c:v>
                </c:pt>
                <c:pt idx="10">
                  <c:v>8.0390999999999995</c:v>
                </c:pt>
                <c:pt idx="11">
                  <c:v>8.0390999999999995</c:v>
                </c:pt>
                <c:pt idx="12">
                  <c:v>8.0390999999999995</c:v>
                </c:pt>
                <c:pt idx="13">
                  <c:v>9.2675999999999998</c:v>
                </c:pt>
                <c:pt idx="14">
                  <c:v>9.2675999999999998</c:v>
                </c:pt>
                <c:pt idx="15">
                  <c:v>9.2675999999999998</c:v>
                </c:pt>
                <c:pt idx="16">
                  <c:v>9.2675999999999998</c:v>
                </c:pt>
                <c:pt idx="17">
                  <c:v>9.2675999999999998</c:v>
                </c:pt>
                <c:pt idx="18">
                  <c:v>9.2675999999999998</c:v>
                </c:pt>
                <c:pt idx="19">
                  <c:v>9.2675999999999998</c:v>
                </c:pt>
                <c:pt idx="20">
                  <c:v>9.2675999999999998</c:v>
                </c:pt>
                <c:pt idx="21">
                  <c:v>9.2675999999999998</c:v>
                </c:pt>
                <c:pt idx="22">
                  <c:v>9.2675999999999998</c:v>
                </c:pt>
                <c:pt idx="23">
                  <c:v>9.2675999999999998</c:v>
                </c:pt>
                <c:pt idx="24">
                  <c:v>9.2675999999999998</c:v>
                </c:pt>
                <c:pt idx="25">
                  <c:v>9.2675999999999998</c:v>
                </c:pt>
                <c:pt idx="26">
                  <c:v>10.716699999999999</c:v>
                </c:pt>
                <c:pt idx="27">
                  <c:v>10.716699999999999</c:v>
                </c:pt>
                <c:pt idx="28">
                  <c:v>10.716699999999999</c:v>
                </c:pt>
                <c:pt idx="29">
                  <c:v>10.716699999999999</c:v>
                </c:pt>
                <c:pt idx="30">
                  <c:v>10.716699999999999</c:v>
                </c:pt>
                <c:pt idx="31">
                  <c:v>10.716699999999999</c:v>
                </c:pt>
                <c:pt idx="32">
                  <c:v>10.716699999999999</c:v>
                </c:pt>
                <c:pt idx="33">
                  <c:v>10.716699999999999</c:v>
                </c:pt>
                <c:pt idx="34">
                  <c:v>10.716699999999999</c:v>
                </c:pt>
                <c:pt idx="35">
                  <c:v>10.716699999999999</c:v>
                </c:pt>
                <c:pt idx="36">
                  <c:v>10.716699999999999</c:v>
                </c:pt>
                <c:pt idx="37">
                  <c:v>10.716699999999999</c:v>
                </c:pt>
                <c:pt idx="38">
                  <c:v>10.716699999999999</c:v>
                </c:pt>
                <c:pt idx="39">
                  <c:v>13.171799999999999</c:v>
                </c:pt>
                <c:pt idx="40">
                  <c:v>13.171799999999999</c:v>
                </c:pt>
                <c:pt idx="41">
                  <c:v>13.171799999999999</c:v>
                </c:pt>
                <c:pt idx="42">
                  <c:v>13.171799999999999</c:v>
                </c:pt>
                <c:pt idx="43">
                  <c:v>13.171799999999999</c:v>
                </c:pt>
                <c:pt idx="44">
                  <c:v>13.171799999999999</c:v>
                </c:pt>
                <c:pt idx="45">
                  <c:v>13.171799999999999</c:v>
                </c:pt>
                <c:pt idx="46">
                  <c:v>13.171799999999999</c:v>
                </c:pt>
                <c:pt idx="47">
                  <c:v>13.171799999999999</c:v>
                </c:pt>
                <c:pt idx="48">
                  <c:v>13.171799999999999</c:v>
                </c:pt>
                <c:pt idx="49">
                  <c:v>13.171799999999999</c:v>
                </c:pt>
                <c:pt idx="50">
                  <c:v>13.171799999999999</c:v>
                </c:pt>
                <c:pt idx="51">
                  <c:v>13.171799999999999</c:v>
                </c:pt>
                <c:pt idx="52">
                  <c:v>9.5728000000000009</c:v>
                </c:pt>
                <c:pt idx="53">
                  <c:v>9.5728000000000009</c:v>
                </c:pt>
                <c:pt idx="54">
                  <c:v>9.5728000000000009</c:v>
                </c:pt>
                <c:pt idx="55">
                  <c:v>9.5728000000000009</c:v>
                </c:pt>
                <c:pt idx="56">
                  <c:v>9.5728000000000009</c:v>
                </c:pt>
                <c:pt idx="57">
                  <c:v>9.5728000000000009</c:v>
                </c:pt>
                <c:pt idx="58">
                  <c:v>9.5728000000000009</c:v>
                </c:pt>
                <c:pt idx="59">
                  <c:v>9.5728000000000009</c:v>
                </c:pt>
                <c:pt idx="60">
                  <c:v>9.5728000000000009</c:v>
                </c:pt>
                <c:pt idx="61">
                  <c:v>9.5728000000000009</c:v>
                </c:pt>
                <c:pt idx="62">
                  <c:v>9.5728000000000009</c:v>
                </c:pt>
                <c:pt idx="63">
                  <c:v>9.5728000000000009</c:v>
                </c:pt>
                <c:pt idx="64">
                  <c:v>9.5728000000000009</c:v>
                </c:pt>
                <c:pt idx="65">
                  <c:v>11.623100000000001</c:v>
                </c:pt>
                <c:pt idx="66">
                  <c:v>11.623100000000001</c:v>
                </c:pt>
                <c:pt idx="67">
                  <c:v>11.623100000000001</c:v>
                </c:pt>
                <c:pt idx="68">
                  <c:v>11.623100000000001</c:v>
                </c:pt>
                <c:pt idx="69">
                  <c:v>11.623100000000001</c:v>
                </c:pt>
                <c:pt idx="70">
                  <c:v>11.623100000000001</c:v>
                </c:pt>
                <c:pt idx="71">
                  <c:v>11.623100000000001</c:v>
                </c:pt>
                <c:pt idx="72">
                  <c:v>11.623100000000001</c:v>
                </c:pt>
                <c:pt idx="73">
                  <c:v>11.623100000000001</c:v>
                </c:pt>
                <c:pt idx="74">
                  <c:v>11.623100000000001</c:v>
                </c:pt>
                <c:pt idx="75">
                  <c:v>11.623100000000001</c:v>
                </c:pt>
                <c:pt idx="76">
                  <c:v>11.623100000000001</c:v>
                </c:pt>
                <c:pt idx="77">
                  <c:v>11.623100000000001</c:v>
                </c:pt>
                <c:pt idx="78">
                  <c:v>-6.2350000000000003</c:v>
                </c:pt>
                <c:pt idx="79">
                  <c:v>-6.2350000000000003</c:v>
                </c:pt>
                <c:pt idx="80">
                  <c:v>-6.2350000000000003</c:v>
                </c:pt>
                <c:pt idx="81">
                  <c:v>-6.2350000000000003</c:v>
                </c:pt>
                <c:pt idx="82">
                  <c:v>-6.2350000000000003</c:v>
                </c:pt>
                <c:pt idx="83">
                  <c:v>-6.2350000000000003</c:v>
                </c:pt>
                <c:pt idx="84">
                  <c:v>-6.2350000000000003</c:v>
                </c:pt>
                <c:pt idx="85">
                  <c:v>-6.2350000000000003</c:v>
                </c:pt>
                <c:pt idx="86">
                  <c:v>-6.2350000000000003</c:v>
                </c:pt>
                <c:pt idx="87">
                  <c:v>-6.2350000000000003</c:v>
                </c:pt>
                <c:pt idx="88">
                  <c:v>-6.2350000000000003</c:v>
                </c:pt>
                <c:pt idx="89">
                  <c:v>-6.2350000000000003</c:v>
                </c:pt>
                <c:pt idx="90">
                  <c:v>-6.2350000000000003</c:v>
                </c:pt>
                <c:pt idx="91">
                  <c:v>-8.8741000000000003</c:v>
                </c:pt>
                <c:pt idx="92">
                  <c:v>-8.8741000000000003</c:v>
                </c:pt>
                <c:pt idx="93">
                  <c:v>-8.8741000000000003</c:v>
                </c:pt>
                <c:pt idx="94">
                  <c:v>-8.8741000000000003</c:v>
                </c:pt>
                <c:pt idx="95">
                  <c:v>-8.8741000000000003</c:v>
                </c:pt>
                <c:pt idx="96">
                  <c:v>-8.8741000000000003</c:v>
                </c:pt>
                <c:pt idx="97">
                  <c:v>-8.8741000000000003</c:v>
                </c:pt>
                <c:pt idx="98">
                  <c:v>-8.8741000000000003</c:v>
                </c:pt>
                <c:pt idx="99">
                  <c:v>-8.8741000000000003</c:v>
                </c:pt>
                <c:pt idx="100">
                  <c:v>-8.8741000000000003</c:v>
                </c:pt>
                <c:pt idx="101">
                  <c:v>-8.8741000000000003</c:v>
                </c:pt>
                <c:pt idx="102">
                  <c:v>-8.8741000000000003</c:v>
                </c:pt>
                <c:pt idx="103">
                  <c:v>-8.8741000000000003</c:v>
                </c:pt>
                <c:pt idx="104">
                  <c:v>-4.6817000000000002</c:v>
                </c:pt>
                <c:pt idx="105">
                  <c:v>-4.6817000000000002</c:v>
                </c:pt>
                <c:pt idx="106">
                  <c:v>-4.6817000000000002</c:v>
                </c:pt>
                <c:pt idx="107">
                  <c:v>-4.6817000000000002</c:v>
                </c:pt>
                <c:pt idx="108">
                  <c:v>-4.6817000000000002</c:v>
                </c:pt>
                <c:pt idx="109">
                  <c:v>-4.6817000000000002</c:v>
                </c:pt>
                <c:pt idx="110">
                  <c:v>-4.6817000000000002</c:v>
                </c:pt>
                <c:pt idx="111">
                  <c:v>-4.6817000000000002</c:v>
                </c:pt>
                <c:pt idx="112">
                  <c:v>-4.6817000000000002</c:v>
                </c:pt>
                <c:pt idx="113">
                  <c:v>-4.6817000000000002</c:v>
                </c:pt>
                <c:pt idx="114">
                  <c:v>-4.6817000000000002</c:v>
                </c:pt>
                <c:pt idx="115">
                  <c:v>-4.6817000000000002</c:v>
                </c:pt>
                <c:pt idx="116">
                  <c:v>-4.6817000000000002</c:v>
                </c:pt>
                <c:pt idx="117">
                  <c:v>-4.1181000000000001</c:v>
                </c:pt>
                <c:pt idx="118">
                  <c:v>-4.1181000000000001</c:v>
                </c:pt>
                <c:pt idx="119">
                  <c:v>-4.1181000000000001</c:v>
                </c:pt>
                <c:pt idx="120">
                  <c:v>-4.1181000000000001</c:v>
                </c:pt>
                <c:pt idx="121">
                  <c:v>-4.1181000000000001</c:v>
                </c:pt>
                <c:pt idx="122">
                  <c:v>-4.1181000000000001</c:v>
                </c:pt>
                <c:pt idx="123">
                  <c:v>-4.1181000000000001</c:v>
                </c:pt>
                <c:pt idx="124">
                  <c:v>-4.1181000000000001</c:v>
                </c:pt>
                <c:pt idx="125">
                  <c:v>-4.1181000000000001</c:v>
                </c:pt>
                <c:pt idx="126">
                  <c:v>-4.1181000000000001</c:v>
                </c:pt>
                <c:pt idx="127">
                  <c:v>-4.1181000000000001</c:v>
                </c:pt>
                <c:pt idx="128">
                  <c:v>-4.1181000000000001</c:v>
                </c:pt>
                <c:pt idx="129">
                  <c:v>-4.1181000000000001</c:v>
                </c:pt>
                <c:pt idx="130">
                  <c:v>5.4861000000000004</c:v>
                </c:pt>
                <c:pt idx="131">
                  <c:v>5.4861000000000004</c:v>
                </c:pt>
                <c:pt idx="132">
                  <c:v>5.4861000000000004</c:v>
                </c:pt>
                <c:pt idx="133">
                  <c:v>5.4861000000000004</c:v>
                </c:pt>
                <c:pt idx="134">
                  <c:v>5.4861000000000004</c:v>
                </c:pt>
                <c:pt idx="135">
                  <c:v>5.4861000000000004</c:v>
                </c:pt>
                <c:pt idx="136">
                  <c:v>5.4861000000000004</c:v>
                </c:pt>
                <c:pt idx="137">
                  <c:v>5.4861000000000004</c:v>
                </c:pt>
                <c:pt idx="138">
                  <c:v>5.4861000000000004</c:v>
                </c:pt>
                <c:pt idx="139">
                  <c:v>5.4861000000000004</c:v>
                </c:pt>
                <c:pt idx="140">
                  <c:v>5.4861000000000004</c:v>
                </c:pt>
                <c:pt idx="141">
                  <c:v>5.4861000000000004</c:v>
                </c:pt>
                <c:pt idx="142">
                  <c:v>5.4861000000000004</c:v>
                </c:pt>
                <c:pt idx="143">
                  <c:v>5.3353000000000002</c:v>
                </c:pt>
                <c:pt idx="144">
                  <c:v>5.3353000000000002</c:v>
                </c:pt>
                <c:pt idx="145">
                  <c:v>5.3353000000000002</c:v>
                </c:pt>
                <c:pt idx="146">
                  <c:v>5.3353000000000002</c:v>
                </c:pt>
                <c:pt idx="147">
                  <c:v>5.3353000000000002</c:v>
                </c:pt>
                <c:pt idx="148">
                  <c:v>5.3353000000000002</c:v>
                </c:pt>
                <c:pt idx="149">
                  <c:v>5.3353000000000002</c:v>
                </c:pt>
                <c:pt idx="150">
                  <c:v>5.3353000000000002</c:v>
                </c:pt>
                <c:pt idx="151">
                  <c:v>5.3353000000000002</c:v>
                </c:pt>
                <c:pt idx="152">
                  <c:v>5.3353000000000002</c:v>
                </c:pt>
                <c:pt idx="153">
                  <c:v>5.3353000000000002</c:v>
                </c:pt>
                <c:pt idx="154">
                  <c:v>5.3353000000000002</c:v>
                </c:pt>
                <c:pt idx="155">
                  <c:v>5.3353000000000002</c:v>
                </c:pt>
                <c:pt idx="156">
                  <c:v>-0.41489999999999999</c:v>
                </c:pt>
                <c:pt idx="157">
                  <c:v>-0.41489999999999999</c:v>
                </c:pt>
                <c:pt idx="158">
                  <c:v>-0.41489999999999999</c:v>
                </c:pt>
                <c:pt idx="159">
                  <c:v>-0.41489999999999999</c:v>
                </c:pt>
                <c:pt idx="160">
                  <c:v>-0.41489999999999999</c:v>
                </c:pt>
                <c:pt idx="161">
                  <c:v>-0.41489999999999999</c:v>
                </c:pt>
                <c:pt idx="162">
                  <c:v>-0.41489999999999999</c:v>
                </c:pt>
                <c:pt idx="163">
                  <c:v>-0.41489999999999999</c:v>
                </c:pt>
                <c:pt idx="164">
                  <c:v>-0.41489999999999999</c:v>
                </c:pt>
                <c:pt idx="165">
                  <c:v>-0.41489999999999999</c:v>
                </c:pt>
                <c:pt idx="166">
                  <c:v>-0.41489999999999999</c:v>
                </c:pt>
                <c:pt idx="167">
                  <c:v>-0.41489999999999999</c:v>
                </c:pt>
                <c:pt idx="168">
                  <c:v>-0.41489999999999999</c:v>
                </c:pt>
                <c:pt idx="169">
                  <c:v>-3.4744000000000002</c:v>
                </c:pt>
                <c:pt idx="170">
                  <c:v>-3.4744000000000002</c:v>
                </c:pt>
                <c:pt idx="171">
                  <c:v>-3.4744000000000002</c:v>
                </c:pt>
                <c:pt idx="172">
                  <c:v>-3.4744000000000002</c:v>
                </c:pt>
                <c:pt idx="173">
                  <c:v>-3.4744000000000002</c:v>
                </c:pt>
                <c:pt idx="174">
                  <c:v>-3.4744000000000002</c:v>
                </c:pt>
                <c:pt idx="175">
                  <c:v>-3.4744000000000002</c:v>
                </c:pt>
                <c:pt idx="176">
                  <c:v>-3.4744000000000002</c:v>
                </c:pt>
                <c:pt idx="177">
                  <c:v>-3.4744000000000002</c:v>
                </c:pt>
                <c:pt idx="178">
                  <c:v>-3.4744000000000002</c:v>
                </c:pt>
                <c:pt idx="179">
                  <c:v>-3.4744000000000002</c:v>
                </c:pt>
                <c:pt idx="180">
                  <c:v>-3.4744000000000002</c:v>
                </c:pt>
                <c:pt idx="181">
                  <c:v>-3.4744000000000002</c:v>
                </c:pt>
                <c:pt idx="182">
                  <c:v>-5.5571999999999999</c:v>
                </c:pt>
                <c:pt idx="183">
                  <c:v>-5.5571999999999999</c:v>
                </c:pt>
                <c:pt idx="184">
                  <c:v>-5.5571999999999999</c:v>
                </c:pt>
                <c:pt idx="185">
                  <c:v>-5.5571999999999999</c:v>
                </c:pt>
                <c:pt idx="186">
                  <c:v>-5.5571999999999999</c:v>
                </c:pt>
                <c:pt idx="187">
                  <c:v>-5.5571999999999999</c:v>
                </c:pt>
                <c:pt idx="188">
                  <c:v>-5.5571999999999999</c:v>
                </c:pt>
                <c:pt idx="189">
                  <c:v>-5.5571999999999999</c:v>
                </c:pt>
                <c:pt idx="190">
                  <c:v>-5.5571999999999999</c:v>
                </c:pt>
                <c:pt idx="191">
                  <c:v>-5.5571999999999999</c:v>
                </c:pt>
                <c:pt idx="192">
                  <c:v>-5.5571999999999999</c:v>
                </c:pt>
                <c:pt idx="193">
                  <c:v>-5.5571999999999999</c:v>
                </c:pt>
                <c:pt idx="194">
                  <c:v>-5.5571999999999999</c:v>
                </c:pt>
                <c:pt idx="195">
                  <c:v>-6.7976999999999999</c:v>
                </c:pt>
                <c:pt idx="196">
                  <c:v>-6.7976999999999999</c:v>
                </c:pt>
                <c:pt idx="197">
                  <c:v>-6.7976999999999999</c:v>
                </c:pt>
                <c:pt idx="198">
                  <c:v>-6.7976999999999999</c:v>
                </c:pt>
                <c:pt idx="199">
                  <c:v>-6.7976999999999999</c:v>
                </c:pt>
                <c:pt idx="200">
                  <c:v>-6.7976999999999999</c:v>
                </c:pt>
                <c:pt idx="201">
                  <c:v>-6.7976999999999999</c:v>
                </c:pt>
                <c:pt idx="202">
                  <c:v>-6.7976999999999999</c:v>
                </c:pt>
                <c:pt idx="203">
                  <c:v>-6.7976999999999999</c:v>
                </c:pt>
                <c:pt idx="204">
                  <c:v>-6.7976999999999999</c:v>
                </c:pt>
                <c:pt idx="205">
                  <c:v>-6.7976999999999999</c:v>
                </c:pt>
                <c:pt idx="206">
                  <c:v>-6.7976999999999999</c:v>
                </c:pt>
                <c:pt idx="207">
                  <c:v>-6.7976999999999999</c:v>
                </c:pt>
                <c:pt idx="208">
                  <c:v>-6.3354999999999997</c:v>
                </c:pt>
                <c:pt idx="209">
                  <c:v>-6.3354999999999997</c:v>
                </c:pt>
                <c:pt idx="210">
                  <c:v>-6.3354999999999997</c:v>
                </c:pt>
                <c:pt idx="211">
                  <c:v>-6.3354999999999997</c:v>
                </c:pt>
                <c:pt idx="212">
                  <c:v>-6.3354999999999997</c:v>
                </c:pt>
                <c:pt idx="213">
                  <c:v>-6.3354999999999997</c:v>
                </c:pt>
                <c:pt idx="214">
                  <c:v>-6.3354999999999997</c:v>
                </c:pt>
                <c:pt idx="215">
                  <c:v>-6.3354999999999997</c:v>
                </c:pt>
                <c:pt idx="216">
                  <c:v>-6.3354999999999997</c:v>
                </c:pt>
                <c:pt idx="217">
                  <c:v>-6.3354999999999997</c:v>
                </c:pt>
                <c:pt idx="218">
                  <c:v>-6.3354999999999997</c:v>
                </c:pt>
                <c:pt idx="219">
                  <c:v>-6.3354999999999997</c:v>
                </c:pt>
                <c:pt idx="220">
                  <c:v>-6.3354999999999997</c:v>
                </c:pt>
                <c:pt idx="221">
                  <c:v>-1.1944999999999999</c:v>
                </c:pt>
                <c:pt idx="222">
                  <c:v>-1.1944999999999999</c:v>
                </c:pt>
                <c:pt idx="223">
                  <c:v>-1.1944999999999999</c:v>
                </c:pt>
                <c:pt idx="224">
                  <c:v>-1.1944999999999999</c:v>
                </c:pt>
                <c:pt idx="225">
                  <c:v>-1.1944999999999999</c:v>
                </c:pt>
                <c:pt idx="226">
                  <c:v>-1.1944999999999999</c:v>
                </c:pt>
                <c:pt idx="227">
                  <c:v>-1.1944999999999999</c:v>
                </c:pt>
                <c:pt idx="228">
                  <c:v>-1.1944999999999999</c:v>
                </c:pt>
                <c:pt idx="229">
                  <c:v>-1.1944999999999999</c:v>
                </c:pt>
                <c:pt idx="230">
                  <c:v>-1.1944999999999999</c:v>
                </c:pt>
                <c:pt idx="231">
                  <c:v>-1.1944999999999999</c:v>
                </c:pt>
                <c:pt idx="232">
                  <c:v>-1.1944999999999999</c:v>
                </c:pt>
                <c:pt idx="233">
                  <c:v>-1.1944999999999999</c:v>
                </c:pt>
                <c:pt idx="234">
                  <c:v>-3.738</c:v>
                </c:pt>
                <c:pt idx="235">
                  <c:v>-3.738</c:v>
                </c:pt>
                <c:pt idx="236">
                  <c:v>-3.738</c:v>
                </c:pt>
                <c:pt idx="237">
                  <c:v>-3.738</c:v>
                </c:pt>
                <c:pt idx="238">
                  <c:v>-3.738</c:v>
                </c:pt>
                <c:pt idx="239">
                  <c:v>-3.738</c:v>
                </c:pt>
                <c:pt idx="240">
                  <c:v>-3.738</c:v>
                </c:pt>
                <c:pt idx="241">
                  <c:v>-3.738</c:v>
                </c:pt>
                <c:pt idx="242">
                  <c:v>-3.738</c:v>
                </c:pt>
                <c:pt idx="243">
                  <c:v>-3.738</c:v>
                </c:pt>
                <c:pt idx="244">
                  <c:v>-3.738</c:v>
                </c:pt>
                <c:pt idx="245">
                  <c:v>-3.738</c:v>
                </c:pt>
                <c:pt idx="246">
                  <c:v>-3.738</c:v>
                </c:pt>
                <c:pt idx="247">
                  <c:v>-1.623</c:v>
                </c:pt>
                <c:pt idx="248">
                  <c:v>-1.623</c:v>
                </c:pt>
                <c:pt idx="249">
                  <c:v>-1.623</c:v>
                </c:pt>
                <c:pt idx="250">
                  <c:v>-1.623</c:v>
                </c:pt>
                <c:pt idx="251">
                  <c:v>-1.623</c:v>
                </c:pt>
                <c:pt idx="252">
                  <c:v>-1.623</c:v>
                </c:pt>
                <c:pt idx="253">
                  <c:v>-1.623</c:v>
                </c:pt>
                <c:pt idx="254">
                  <c:v>-1.623</c:v>
                </c:pt>
                <c:pt idx="255">
                  <c:v>-1.623</c:v>
                </c:pt>
                <c:pt idx="256">
                  <c:v>-1.623</c:v>
                </c:pt>
                <c:pt idx="257">
                  <c:v>-1.623</c:v>
                </c:pt>
                <c:pt idx="258">
                  <c:v>-1.623</c:v>
                </c:pt>
                <c:pt idx="259">
                  <c:v>-1.623</c:v>
                </c:pt>
                <c:pt idx="260">
                  <c:v>5.9337999999999997</c:v>
                </c:pt>
                <c:pt idx="261">
                  <c:v>5.9337999999999997</c:v>
                </c:pt>
                <c:pt idx="262">
                  <c:v>5.9337999999999997</c:v>
                </c:pt>
                <c:pt idx="263">
                  <c:v>5.9337999999999997</c:v>
                </c:pt>
                <c:pt idx="264">
                  <c:v>5.9337999999999997</c:v>
                </c:pt>
                <c:pt idx="265">
                  <c:v>5.9337999999999997</c:v>
                </c:pt>
                <c:pt idx="266">
                  <c:v>5.9337999999999997</c:v>
                </c:pt>
                <c:pt idx="267">
                  <c:v>5.9337999999999997</c:v>
                </c:pt>
                <c:pt idx="268">
                  <c:v>5.9337999999999997</c:v>
                </c:pt>
                <c:pt idx="269">
                  <c:v>5.9337999999999997</c:v>
                </c:pt>
                <c:pt idx="270">
                  <c:v>5.9337999999999997</c:v>
                </c:pt>
                <c:pt idx="271">
                  <c:v>5.9337999999999997</c:v>
                </c:pt>
                <c:pt idx="272">
                  <c:v>5.9337999999999997</c:v>
                </c:pt>
                <c:pt idx="273">
                  <c:v>5.9337999999999997</c:v>
                </c:pt>
                <c:pt idx="274">
                  <c:v>5.5694999999999997</c:v>
                </c:pt>
                <c:pt idx="275">
                  <c:v>5.5694999999999997</c:v>
                </c:pt>
                <c:pt idx="276">
                  <c:v>5.5694999999999997</c:v>
                </c:pt>
                <c:pt idx="277">
                  <c:v>5.5694999999999997</c:v>
                </c:pt>
                <c:pt idx="278">
                  <c:v>5.5694999999999997</c:v>
                </c:pt>
                <c:pt idx="279">
                  <c:v>5.5694999999999997</c:v>
                </c:pt>
                <c:pt idx="280">
                  <c:v>5.5694999999999997</c:v>
                </c:pt>
                <c:pt idx="281">
                  <c:v>5.5694999999999997</c:v>
                </c:pt>
                <c:pt idx="282">
                  <c:v>5.5694999999999997</c:v>
                </c:pt>
                <c:pt idx="283">
                  <c:v>5.5694999999999997</c:v>
                </c:pt>
                <c:pt idx="284">
                  <c:v>5.5694999999999997</c:v>
                </c:pt>
                <c:pt idx="285">
                  <c:v>5.5694999999999997</c:v>
                </c:pt>
                <c:pt idx="286">
                  <c:v>5.5694999999999997</c:v>
                </c:pt>
                <c:pt idx="287">
                  <c:v>10.6074</c:v>
                </c:pt>
                <c:pt idx="288">
                  <c:v>10.6074</c:v>
                </c:pt>
                <c:pt idx="289">
                  <c:v>10.6074</c:v>
                </c:pt>
                <c:pt idx="290">
                  <c:v>10.6074</c:v>
                </c:pt>
                <c:pt idx="291">
                  <c:v>10.6074</c:v>
                </c:pt>
                <c:pt idx="292">
                  <c:v>10.6074</c:v>
                </c:pt>
                <c:pt idx="293">
                  <c:v>10.6074</c:v>
                </c:pt>
                <c:pt idx="294">
                  <c:v>10.6074</c:v>
                </c:pt>
                <c:pt idx="295">
                  <c:v>10.6074</c:v>
                </c:pt>
                <c:pt idx="296">
                  <c:v>10.6074</c:v>
                </c:pt>
                <c:pt idx="297">
                  <c:v>10.6074</c:v>
                </c:pt>
                <c:pt idx="298">
                  <c:v>10.6074</c:v>
                </c:pt>
                <c:pt idx="299">
                  <c:v>10.6074</c:v>
                </c:pt>
                <c:pt idx="300">
                  <c:v>11.697900000000001</c:v>
                </c:pt>
                <c:pt idx="301">
                  <c:v>11.697900000000001</c:v>
                </c:pt>
                <c:pt idx="302">
                  <c:v>11.697900000000001</c:v>
                </c:pt>
                <c:pt idx="303">
                  <c:v>11.697900000000001</c:v>
                </c:pt>
                <c:pt idx="304">
                  <c:v>11.697900000000001</c:v>
                </c:pt>
                <c:pt idx="305">
                  <c:v>11.697900000000001</c:v>
                </c:pt>
                <c:pt idx="306">
                  <c:v>11.697900000000001</c:v>
                </c:pt>
                <c:pt idx="307">
                  <c:v>11.697900000000001</c:v>
                </c:pt>
                <c:pt idx="308">
                  <c:v>11.697900000000001</c:v>
                </c:pt>
                <c:pt idx="309">
                  <c:v>11.697900000000001</c:v>
                </c:pt>
                <c:pt idx="310">
                  <c:v>11.697900000000001</c:v>
                </c:pt>
                <c:pt idx="311">
                  <c:v>11.697900000000001</c:v>
                </c:pt>
                <c:pt idx="312">
                  <c:v>11.697900000000001</c:v>
                </c:pt>
                <c:pt idx="313">
                  <c:v>11.470800000000001</c:v>
                </c:pt>
                <c:pt idx="314">
                  <c:v>11.470800000000001</c:v>
                </c:pt>
                <c:pt idx="315">
                  <c:v>11.470800000000001</c:v>
                </c:pt>
                <c:pt idx="316">
                  <c:v>11.470800000000001</c:v>
                </c:pt>
                <c:pt idx="317">
                  <c:v>11.470800000000001</c:v>
                </c:pt>
                <c:pt idx="318">
                  <c:v>11.470800000000001</c:v>
                </c:pt>
                <c:pt idx="319">
                  <c:v>11.470800000000001</c:v>
                </c:pt>
                <c:pt idx="320">
                  <c:v>11.470800000000001</c:v>
                </c:pt>
                <c:pt idx="321">
                  <c:v>11.470800000000001</c:v>
                </c:pt>
                <c:pt idx="322">
                  <c:v>11.470800000000001</c:v>
                </c:pt>
                <c:pt idx="323">
                  <c:v>11.470800000000001</c:v>
                </c:pt>
                <c:pt idx="324">
                  <c:v>11.470800000000001</c:v>
                </c:pt>
                <c:pt idx="325">
                  <c:v>11.470800000000001</c:v>
                </c:pt>
                <c:pt idx="326">
                  <c:v>13.034700000000001</c:v>
                </c:pt>
                <c:pt idx="327">
                  <c:v>13.034700000000001</c:v>
                </c:pt>
                <c:pt idx="328">
                  <c:v>13.034700000000001</c:v>
                </c:pt>
                <c:pt idx="329">
                  <c:v>13.034700000000001</c:v>
                </c:pt>
                <c:pt idx="330">
                  <c:v>13.034700000000001</c:v>
                </c:pt>
                <c:pt idx="331">
                  <c:v>13.034700000000001</c:v>
                </c:pt>
                <c:pt idx="332">
                  <c:v>13.034700000000001</c:v>
                </c:pt>
                <c:pt idx="333">
                  <c:v>13.034700000000001</c:v>
                </c:pt>
                <c:pt idx="334">
                  <c:v>13.034700000000001</c:v>
                </c:pt>
                <c:pt idx="335">
                  <c:v>13.034700000000001</c:v>
                </c:pt>
                <c:pt idx="336">
                  <c:v>13.034700000000001</c:v>
                </c:pt>
                <c:pt idx="337">
                  <c:v>13.034700000000001</c:v>
                </c:pt>
                <c:pt idx="338">
                  <c:v>13.034700000000001</c:v>
                </c:pt>
                <c:pt idx="339">
                  <c:v>13.4772</c:v>
                </c:pt>
                <c:pt idx="340">
                  <c:v>13.4772</c:v>
                </c:pt>
                <c:pt idx="341">
                  <c:v>13.4772</c:v>
                </c:pt>
                <c:pt idx="342">
                  <c:v>13.4772</c:v>
                </c:pt>
                <c:pt idx="343">
                  <c:v>13.4772</c:v>
                </c:pt>
                <c:pt idx="344">
                  <c:v>13.4772</c:v>
                </c:pt>
                <c:pt idx="345">
                  <c:v>13.4772</c:v>
                </c:pt>
                <c:pt idx="346">
                  <c:v>13.4772</c:v>
                </c:pt>
                <c:pt idx="347">
                  <c:v>13.4772</c:v>
                </c:pt>
                <c:pt idx="348">
                  <c:v>13.4772</c:v>
                </c:pt>
                <c:pt idx="349">
                  <c:v>13.4772</c:v>
                </c:pt>
                <c:pt idx="350">
                  <c:v>13.4772</c:v>
                </c:pt>
                <c:pt idx="351">
                  <c:v>13.4772</c:v>
                </c:pt>
                <c:pt idx="352">
                  <c:v>16.718800000000002</c:v>
                </c:pt>
                <c:pt idx="353">
                  <c:v>16.718800000000002</c:v>
                </c:pt>
                <c:pt idx="354">
                  <c:v>16.718800000000002</c:v>
                </c:pt>
                <c:pt idx="355">
                  <c:v>16.718800000000002</c:v>
                </c:pt>
                <c:pt idx="356">
                  <c:v>16.718800000000002</c:v>
                </c:pt>
                <c:pt idx="357">
                  <c:v>16.718800000000002</c:v>
                </c:pt>
                <c:pt idx="358">
                  <c:v>16.718800000000002</c:v>
                </c:pt>
                <c:pt idx="359">
                  <c:v>16.718800000000002</c:v>
                </c:pt>
                <c:pt idx="360">
                  <c:v>16.718800000000002</c:v>
                </c:pt>
                <c:pt idx="361">
                  <c:v>16.718800000000002</c:v>
                </c:pt>
                <c:pt idx="362">
                  <c:v>16.718800000000002</c:v>
                </c:pt>
                <c:pt idx="363">
                  <c:v>16.718800000000002</c:v>
                </c:pt>
                <c:pt idx="364">
                  <c:v>16.718800000000002</c:v>
                </c:pt>
                <c:pt idx="365">
                  <c:v>13.8315</c:v>
                </c:pt>
                <c:pt idx="366">
                  <c:v>13.8315</c:v>
                </c:pt>
                <c:pt idx="367">
                  <c:v>13.8315</c:v>
                </c:pt>
                <c:pt idx="368">
                  <c:v>13.8315</c:v>
                </c:pt>
                <c:pt idx="369">
                  <c:v>13.8315</c:v>
                </c:pt>
                <c:pt idx="370">
                  <c:v>13.8315</c:v>
                </c:pt>
                <c:pt idx="371">
                  <c:v>13.8315</c:v>
                </c:pt>
                <c:pt idx="372">
                  <c:v>13.8315</c:v>
                </c:pt>
                <c:pt idx="373">
                  <c:v>13.8315</c:v>
                </c:pt>
                <c:pt idx="374">
                  <c:v>13.8315</c:v>
                </c:pt>
                <c:pt idx="375">
                  <c:v>13.8315</c:v>
                </c:pt>
                <c:pt idx="376">
                  <c:v>13.8315</c:v>
                </c:pt>
                <c:pt idx="377">
                  <c:v>13.8315</c:v>
                </c:pt>
                <c:pt idx="378">
                  <c:v>13.8315</c:v>
                </c:pt>
                <c:pt idx="379">
                  <c:v>13.8315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72-41E9-9278-36567CFD133C}"/>
            </c:ext>
          </c:extLst>
        </c:ser>
        <c:ser>
          <c:idx val="6"/>
          <c:order val="4"/>
          <c:tx>
            <c:strRef>
              <c:f>Base!$BH$4</c:f>
              <c:strCache>
                <c:ptCount val="1"/>
                <c:pt idx="0">
                  <c:v>METR AR Equity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Base!$M$6:$M$2000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Base!$BN$6:$BN$2000</c:f>
              <c:numCache>
                <c:formatCode>General</c:formatCode>
                <c:ptCount val="1995"/>
                <c:pt idx="0">
                  <c:v>15.744899999999999</c:v>
                </c:pt>
                <c:pt idx="1">
                  <c:v>15.744899999999999</c:v>
                </c:pt>
                <c:pt idx="2">
                  <c:v>15.744899999999999</c:v>
                </c:pt>
                <c:pt idx="3">
                  <c:v>15.744899999999999</c:v>
                </c:pt>
                <c:pt idx="4">
                  <c:v>15.744899999999999</c:v>
                </c:pt>
                <c:pt idx="5">
                  <c:v>15.744899999999999</c:v>
                </c:pt>
                <c:pt idx="6">
                  <c:v>15.744899999999999</c:v>
                </c:pt>
                <c:pt idx="7">
                  <c:v>15.744899999999999</c:v>
                </c:pt>
                <c:pt idx="8">
                  <c:v>15.744899999999999</c:v>
                </c:pt>
                <c:pt idx="9">
                  <c:v>15.744899999999999</c:v>
                </c:pt>
                <c:pt idx="10">
                  <c:v>15.744899999999999</c:v>
                </c:pt>
                <c:pt idx="11">
                  <c:v>15.744899999999999</c:v>
                </c:pt>
                <c:pt idx="12">
                  <c:v>15.744899999999999</c:v>
                </c:pt>
                <c:pt idx="13">
                  <c:v>13.8802</c:v>
                </c:pt>
                <c:pt idx="14">
                  <c:v>13.8802</c:v>
                </c:pt>
                <c:pt idx="15">
                  <c:v>13.8802</c:v>
                </c:pt>
                <c:pt idx="16">
                  <c:v>13.8802</c:v>
                </c:pt>
                <c:pt idx="17">
                  <c:v>13.8802</c:v>
                </c:pt>
                <c:pt idx="18">
                  <c:v>13.8802</c:v>
                </c:pt>
                <c:pt idx="19">
                  <c:v>13.8802</c:v>
                </c:pt>
                <c:pt idx="20">
                  <c:v>13.8802</c:v>
                </c:pt>
                <c:pt idx="21">
                  <c:v>13.8802</c:v>
                </c:pt>
                <c:pt idx="22">
                  <c:v>13.8802</c:v>
                </c:pt>
                <c:pt idx="23">
                  <c:v>13.8802</c:v>
                </c:pt>
                <c:pt idx="24">
                  <c:v>13.8802</c:v>
                </c:pt>
                <c:pt idx="25">
                  <c:v>13.8802</c:v>
                </c:pt>
                <c:pt idx="26">
                  <c:v>13.776300000000001</c:v>
                </c:pt>
                <c:pt idx="27">
                  <c:v>13.776300000000001</c:v>
                </c:pt>
                <c:pt idx="28">
                  <c:v>13.776300000000001</c:v>
                </c:pt>
                <c:pt idx="29">
                  <c:v>13.776300000000001</c:v>
                </c:pt>
                <c:pt idx="30">
                  <c:v>13.776300000000001</c:v>
                </c:pt>
                <c:pt idx="31">
                  <c:v>13.776300000000001</c:v>
                </c:pt>
                <c:pt idx="32">
                  <c:v>13.776300000000001</c:v>
                </c:pt>
                <c:pt idx="33">
                  <c:v>13.776300000000001</c:v>
                </c:pt>
                <c:pt idx="34">
                  <c:v>13.776300000000001</c:v>
                </c:pt>
                <c:pt idx="35">
                  <c:v>13.776300000000001</c:v>
                </c:pt>
                <c:pt idx="36">
                  <c:v>13.776300000000001</c:v>
                </c:pt>
                <c:pt idx="37">
                  <c:v>13.776300000000001</c:v>
                </c:pt>
                <c:pt idx="38">
                  <c:v>13.776300000000001</c:v>
                </c:pt>
                <c:pt idx="39">
                  <c:v>14.5443</c:v>
                </c:pt>
                <c:pt idx="40">
                  <c:v>14.5443</c:v>
                </c:pt>
                <c:pt idx="41">
                  <c:v>14.5443</c:v>
                </c:pt>
                <c:pt idx="42">
                  <c:v>14.5443</c:v>
                </c:pt>
                <c:pt idx="43">
                  <c:v>14.5443</c:v>
                </c:pt>
                <c:pt idx="44">
                  <c:v>14.5443</c:v>
                </c:pt>
                <c:pt idx="45">
                  <c:v>14.5443</c:v>
                </c:pt>
                <c:pt idx="46">
                  <c:v>14.5443</c:v>
                </c:pt>
                <c:pt idx="47">
                  <c:v>14.5443</c:v>
                </c:pt>
                <c:pt idx="48">
                  <c:v>14.5443</c:v>
                </c:pt>
                <c:pt idx="49">
                  <c:v>14.5443</c:v>
                </c:pt>
                <c:pt idx="50">
                  <c:v>14.5443</c:v>
                </c:pt>
                <c:pt idx="51">
                  <c:v>14.5443</c:v>
                </c:pt>
                <c:pt idx="52">
                  <c:v>10.9125</c:v>
                </c:pt>
                <c:pt idx="53">
                  <c:v>10.9125</c:v>
                </c:pt>
                <c:pt idx="54">
                  <c:v>10.9125</c:v>
                </c:pt>
                <c:pt idx="55">
                  <c:v>10.9125</c:v>
                </c:pt>
                <c:pt idx="56">
                  <c:v>10.9125</c:v>
                </c:pt>
                <c:pt idx="57">
                  <c:v>10.9125</c:v>
                </c:pt>
                <c:pt idx="58">
                  <c:v>10.9125</c:v>
                </c:pt>
                <c:pt idx="59">
                  <c:v>10.9125</c:v>
                </c:pt>
                <c:pt idx="60">
                  <c:v>10.9125</c:v>
                </c:pt>
                <c:pt idx="61">
                  <c:v>10.9125</c:v>
                </c:pt>
                <c:pt idx="62">
                  <c:v>10.9125</c:v>
                </c:pt>
                <c:pt idx="63">
                  <c:v>10.9125</c:v>
                </c:pt>
                <c:pt idx="64">
                  <c:v>10.9125</c:v>
                </c:pt>
                <c:pt idx="65">
                  <c:v>10.8072</c:v>
                </c:pt>
                <c:pt idx="66">
                  <c:v>10.8072</c:v>
                </c:pt>
                <c:pt idx="67">
                  <c:v>10.8072</c:v>
                </c:pt>
                <c:pt idx="68">
                  <c:v>10.8072</c:v>
                </c:pt>
                <c:pt idx="69">
                  <c:v>10.8072</c:v>
                </c:pt>
                <c:pt idx="70">
                  <c:v>10.8072</c:v>
                </c:pt>
                <c:pt idx="71">
                  <c:v>10.8072</c:v>
                </c:pt>
                <c:pt idx="72">
                  <c:v>10.8072</c:v>
                </c:pt>
                <c:pt idx="73">
                  <c:v>10.8072</c:v>
                </c:pt>
                <c:pt idx="74">
                  <c:v>10.8072</c:v>
                </c:pt>
                <c:pt idx="75">
                  <c:v>10.8072</c:v>
                </c:pt>
                <c:pt idx="76">
                  <c:v>10.8072</c:v>
                </c:pt>
                <c:pt idx="77">
                  <c:v>10.8072</c:v>
                </c:pt>
                <c:pt idx="78">
                  <c:v>4.0471000000000004</c:v>
                </c:pt>
                <c:pt idx="79">
                  <c:v>4.0471000000000004</c:v>
                </c:pt>
                <c:pt idx="80">
                  <c:v>4.0471000000000004</c:v>
                </c:pt>
                <c:pt idx="81">
                  <c:v>4.0471000000000004</c:v>
                </c:pt>
                <c:pt idx="82">
                  <c:v>4.0471000000000004</c:v>
                </c:pt>
                <c:pt idx="83">
                  <c:v>4.0471000000000004</c:v>
                </c:pt>
                <c:pt idx="84">
                  <c:v>4.0471000000000004</c:v>
                </c:pt>
                <c:pt idx="85">
                  <c:v>4.0471000000000004</c:v>
                </c:pt>
                <c:pt idx="86">
                  <c:v>4.0471000000000004</c:v>
                </c:pt>
                <c:pt idx="87">
                  <c:v>4.0471000000000004</c:v>
                </c:pt>
                <c:pt idx="88">
                  <c:v>4.0471000000000004</c:v>
                </c:pt>
                <c:pt idx="89">
                  <c:v>4.0471000000000004</c:v>
                </c:pt>
                <c:pt idx="90">
                  <c:v>4.0471000000000004</c:v>
                </c:pt>
                <c:pt idx="91">
                  <c:v>-1.9199999999999998E-2</c:v>
                </c:pt>
                <c:pt idx="92">
                  <c:v>-1.9199999999999998E-2</c:v>
                </c:pt>
                <c:pt idx="93">
                  <c:v>-1.9199999999999998E-2</c:v>
                </c:pt>
                <c:pt idx="94">
                  <c:v>-1.9199999999999998E-2</c:v>
                </c:pt>
                <c:pt idx="95">
                  <c:v>-1.9199999999999998E-2</c:v>
                </c:pt>
                <c:pt idx="96">
                  <c:v>-1.9199999999999998E-2</c:v>
                </c:pt>
                <c:pt idx="97">
                  <c:v>-1.9199999999999998E-2</c:v>
                </c:pt>
                <c:pt idx="98">
                  <c:v>-1.9199999999999998E-2</c:v>
                </c:pt>
                <c:pt idx="99">
                  <c:v>-1.9199999999999998E-2</c:v>
                </c:pt>
                <c:pt idx="100">
                  <c:v>-1.9199999999999998E-2</c:v>
                </c:pt>
                <c:pt idx="101">
                  <c:v>-1.9199999999999998E-2</c:v>
                </c:pt>
                <c:pt idx="102">
                  <c:v>-1.9199999999999998E-2</c:v>
                </c:pt>
                <c:pt idx="103">
                  <c:v>-1.9199999999999998E-2</c:v>
                </c:pt>
                <c:pt idx="104">
                  <c:v>0.96319999999999995</c:v>
                </c:pt>
                <c:pt idx="105">
                  <c:v>0.96319999999999995</c:v>
                </c:pt>
                <c:pt idx="106">
                  <c:v>0.96319999999999995</c:v>
                </c:pt>
                <c:pt idx="107">
                  <c:v>0.96319999999999995</c:v>
                </c:pt>
                <c:pt idx="108">
                  <c:v>0.96319999999999995</c:v>
                </c:pt>
                <c:pt idx="109">
                  <c:v>0.96319999999999995</c:v>
                </c:pt>
                <c:pt idx="110">
                  <c:v>0.96319999999999995</c:v>
                </c:pt>
                <c:pt idx="111">
                  <c:v>0.96319999999999995</c:v>
                </c:pt>
                <c:pt idx="112">
                  <c:v>0.96319999999999995</c:v>
                </c:pt>
                <c:pt idx="113">
                  <c:v>0.96319999999999995</c:v>
                </c:pt>
                <c:pt idx="114">
                  <c:v>0.96319999999999995</c:v>
                </c:pt>
                <c:pt idx="115">
                  <c:v>0.96319999999999995</c:v>
                </c:pt>
                <c:pt idx="116">
                  <c:v>0.96319999999999995</c:v>
                </c:pt>
                <c:pt idx="117">
                  <c:v>0.50629999999999997</c:v>
                </c:pt>
                <c:pt idx="118">
                  <c:v>0.50629999999999997</c:v>
                </c:pt>
                <c:pt idx="119">
                  <c:v>0.50629999999999997</c:v>
                </c:pt>
                <c:pt idx="120">
                  <c:v>0.50629999999999997</c:v>
                </c:pt>
                <c:pt idx="121">
                  <c:v>0.50629999999999997</c:v>
                </c:pt>
                <c:pt idx="122">
                  <c:v>0.50629999999999997</c:v>
                </c:pt>
                <c:pt idx="123">
                  <c:v>0.50629999999999997</c:v>
                </c:pt>
                <c:pt idx="124">
                  <c:v>0.50629999999999997</c:v>
                </c:pt>
                <c:pt idx="125">
                  <c:v>0.50629999999999997</c:v>
                </c:pt>
                <c:pt idx="126">
                  <c:v>0.50629999999999997</c:v>
                </c:pt>
                <c:pt idx="127">
                  <c:v>0.50629999999999997</c:v>
                </c:pt>
                <c:pt idx="128">
                  <c:v>0.50629999999999997</c:v>
                </c:pt>
                <c:pt idx="129">
                  <c:v>0.50629999999999997</c:v>
                </c:pt>
                <c:pt idx="130">
                  <c:v>7.5393999999999997</c:v>
                </c:pt>
                <c:pt idx="131">
                  <c:v>7.5393999999999997</c:v>
                </c:pt>
                <c:pt idx="132">
                  <c:v>7.5393999999999997</c:v>
                </c:pt>
                <c:pt idx="133">
                  <c:v>7.5393999999999997</c:v>
                </c:pt>
                <c:pt idx="134">
                  <c:v>7.5393999999999997</c:v>
                </c:pt>
                <c:pt idx="135">
                  <c:v>7.5393999999999997</c:v>
                </c:pt>
                <c:pt idx="136">
                  <c:v>7.5393999999999997</c:v>
                </c:pt>
                <c:pt idx="137">
                  <c:v>7.5393999999999997</c:v>
                </c:pt>
                <c:pt idx="138">
                  <c:v>7.5393999999999997</c:v>
                </c:pt>
                <c:pt idx="139">
                  <c:v>7.5393999999999997</c:v>
                </c:pt>
                <c:pt idx="140">
                  <c:v>7.5393999999999997</c:v>
                </c:pt>
                <c:pt idx="141">
                  <c:v>7.5393999999999997</c:v>
                </c:pt>
                <c:pt idx="142">
                  <c:v>7.5393999999999997</c:v>
                </c:pt>
                <c:pt idx="143">
                  <c:v>8.3637999999999995</c:v>
                </c:pt>
                <c:pt idx="144">
                  <c:v>8.3637999999999995</c:v>
                </c:pt>
                <c:pt idx="145">
                  <c:v>8.3637999999999995</c:v>
                </c:pt>
                <c:pt idx="146">
                  <c:v>8.3637999999999995</c:v>
                </c:pt>
                <c:pt idx="147">
                  <c:v>8.3637999999999995</c:v>
                </c:pt>
                <c:pt idx="148">
                  <c:v>8.3637999999999995</c:v>
                </c:pt>
                <c:pt idx="149">
                  <c:v>8.3637999999999995</c:v>
                </c:pt>
                <c:pt idx="150">
                  <c:v>8.3637999999999995</c:v>
                </c:pt>
                <c:pt idx="151">
                  <c:v>8.3637999999999995</c:v>
                </c:pt>
                <c:pt idx="152">
                  <c:v>8.3637999999999995</c:v>
                </c:pt>
                <c:pt idx="153">
                  <c:v>8.3637999999999995</c:v>
                </c:pt>
                <c:pt idx="154">
                  <c:v>8.3637999999999995</c:v>
                </c:pt>
                <c:pt idx="155">
                  <c:v>8.3637999999999995</c:v>
                </c:pt>
                <c:pt idx="156">
                  <c:v>10.8729</c:v>
                </c:pt>
                <c:pt idx="157">
                  <c:v>10.8729</c:v>
                </c:pt>
                <c:pt idx="158">
                  <c:v>10.8729</c:v>
                </c:pt>
                <c:pt idx="159">
                  <c:v>10.8729</c:v>
                </c:pt>
                <c:pt idx="160">
                  <c:v>10.8729</c:v>
                </c:pt>
                <c:pt idx="161">
                  <c:v>10.8729</c:v>
                </c:pt>
                <c:pt idx="162">
                  <c:v>10.8729</c:v>
                </c:pt>
                <c:pt idx="163">
                  <c:v>10.8729</c:v>
                </c:pt>
                <c:pt idx="164">
                  <c:v>10.8729</c:v>
                </c:pt>
                <c:pt idx="165">
                  <c:v>10.8729</c:v>
                </c:pt>
                <c:pt idx="166">
                  <c:v>10.8729</c:v>
                </c:pt>
                <c:pt idx="167">
                  <c:v>10.8729</c:v>
                </c:pt>
                <c:pt idx="168">
                  <c:v>10.8729</c:v>
                </c:pt>
                <c:pt idx="169">
                  <c:v>8.4267000000000003</c:v>
                </c:pt>
                <c:pt idx="170">
                  <c:v>8.4267000000000003</c:v>
                </c:pt>
                <c:pt idx="171">
                  <c:v>8.4267000000000003</c:v>
                </c:pt>
                <c:pt idx="172">
                  <c:v>8.4267000000000003</c:v>
                </c:pt>
                <c:pt idx="173">
                  <c:v>8.4267000000000003</c:v>
                </c:pt>
                <c:pt idx="174">
                  <c:v>8.4267000000000003</c:v>
                </c:pt>
                <c:pt idx="175">
                  <c:v>8.4267000000000003</c:v>
                </c:pt>
                <c:pt idx="176">
                  <c:v>8.4267000000000003</c:v>
                </c:pt>
                <c:pt idx="177">
                  <c:v>8.4267000000000003</c:v>
                </c:pt>
                <c:pt idx="178">
                  <c:v>8.4267000000000003</c:v>
                </c:pt>
                <c:pt idx="179">
                  <c:v>8.4267000000000003</c:v>
                </c:pt>
                <c:pt idx="180">
                  <c:v>8.4267000000000003</c:v>
                </c:pt>
                <c:pt idx="181">
                  <c:v>8.4267000000000003</c:v>
                </c:pt>
                <c:pt idx="182">
                  <c:v>6.9909999999999997</c:v>
                </c:pt>
                <c:pt idx="183">
                  <c:v>6.9909999999999997</c:v>
                </c:pt>
                <c:pt idx="184">
                  <c:v>6.9909999999999997</c:v>
                </c:pt>
                <c:pt idx="185">
                  <c:v>6.9909999999999997</c:v>
                </c:pt>
                <c:pt idx="186">
                  <c:v>6.9909999999999997</c:v>
                </c:pt>
                <c:pt idx="187">
                  <c:v>6.9909999999999997</c:v>
                </c:pt>
                <c:pt idx="188">
                  <c:v>6.9909999999999997</c:v>
                </c:pt>
                <c:pt idx="189">
                  <c:v>6.9909999999999997</c:v>
                </c:pt>
                <c:pt idx="190">
                  <c:v>6.9909999999999997</c:v>
                </c:pt>
                <c:pt idx="191">
                  <c:v>6.9909999999999997</c:v>
                </c:pt>
                <c:pt idx="192">
                  <c:v>6.9909999999999997</c:v>
                </c:pt>
                <c:pt idx="193">
                  <c:v>6.9909999999999997</c:v>
                </c:pt>
                <c:pt idx="194">
                  <c:v>6.9909999999999997</c:v>
                </c:pt>
                <c:pt idx="195">
                  <c:v>3.5183</c:v>
                </c:pt>
                <c:pt idx="196">
                  <c:v>3.5183</c:v>
                </c:pt>
                <c:pt idx="197">
                  <c:v>3.5183</c:v>
                </c:pt>
                <c:pt idx="198">
                  <c:v>3.5183</c:v>
                </c:pt>
                <c:pt idx="199">
                  <c:v>3.5183</c:v>
                </c:pt>
                <c:pt idx="200">
                  <c:v>3.5183</c:v>
                </c:pt>
                <c:pt idx="201">
                  <c:v>3.5183</c:v>
                </c:pt>
                <c:pt idx="202">
                  <c:v>3.5183</c:v>
                </c:pt>
                <c:pt idx="203">
                  <c:v>3.5183</c:v>
                </c:pt>
                <c:pt idx="204">
                  <c:v>3.5183</c:v>
                </c:pt>
                <c:pt idx="205">
                  <c:v>3.5183</c:v>
                </c:pt>
                <c:pt idx="206">
                  <c:v>3.5183</c:v>
                </c:pt>
                <c:pt idx="207">
                  <c:v>3.5183</c:v>
                </c:pt>
                <c:pt idx="208">
                  <c:v>6.6223000000000001</c:v>
                </c:pt>
                <c:pt idx="209">
                  <c:v>6.6223000000000001</c:v>
                </c:pt>
                <c:pt idx="210">
                  <c:v>6.6223000000000001</c:v>
                </c:pt>
                <c:pt idx="211">
                  <c:v>6.6223000000000001</c:v>
                </c:pt>
                <c:pt idx="212">
                  <c:v>6.6223000000000001</c:v>
                </c:pt>
                <c:pt idx="213">
                  <c:v>6.6223000000000001</c:v>
                </c:pt>
                <c:pt idx="214">
                  <c:v>6.6223000000000001</c:v>
                </c:pt>
                <c:pt idx="215">
                  <c:v>6.6223000000000001</c:v>
                </c:pt>
                <c:pt idx="216">
                  <c:v>6.6223000000000001</c:v>
                </c:pt>
                <c:pt idx="217">
                  <c:v>6.6223000000000001</c:v>
                </c:pt>
                <c:pt idx="218">
                  <c:v>6.6223000000000001</c:v>
                </c:pt>
                <c:pt idx="219">
                  <c:v>6.6223000000000001</c:v>
                </c:pt>
                <c:pt idx="220">
                  <c:v>6.6223000000000001</c:v>
                </c:pt>
                <c:pt idx="221">
                  <c:v>8.7759999999999998</c:v>
                </c:pt>
                <c:pt idx="222">
                  <c:v>8.7759999999999998</c:v>
                </c:pt>
                <c:pt idx="223">
                  <c:v>8.7759999999999998</c:v>
                </c:pt>
                <c:pt idx="224">
                  <c:v>8.7759999999999998</c:v>
                </c:pt>
                <c:pt idx="225">
                  <c:v>8.7759999999999998</c:v>
                </c:pt>
                <c:pt idx="226">
                  <c:v>8.7759999999999998</c:v>
                </c:pt>
                <c:pt idx="227">
                  <c:v>8.7759999999999998</c:v>
                </c:pt>
                <c:pt idx="228">
                  <c:v>8.7759999999999998</c:v>
                </c:pt>
                <c:pt idx="229">
                  <c:v>8.7759999999999998</c:v>
                </c:pt>
                <c:pt idx="230">
                  <c:v>8.7759999999999998</c:v>
                </c:pt>
                <c:pt idx="231">
                  <c:v>8.7759999999999998</c:v>
                </c:pt>
                <c:pt idx="232">
                  <c:v>8.7759999999999998</c:v>
                </c:pt>
                <c:pt idx="233">
                  <c:v>8.7759999999999998</c:v>
                </c:pt>
                <c:pt idx="234">
                  <c:v>7.5549999999999997</c:v>
                </c:pt>
                <c:pt idx="235">
                  <c:v>7.5549999999999997</c:v>
                </c:pt>
                <c:pt idx="236">
                  <c:v>7.5549999999999997</c:v>
                </c:pt>
                <c:pt idx="237">
                  <c:v>7.5549999999999997</c:v>
                </c:pt>
                <c:pt idx="238">
                  <c:v>7.5549999999999997</c:v>
                </c:pt>
                <c:pt idx="239">
                  <c:v>7.5549999999999997</c:v>
                </c:pt>
                <c:pt idx="240">
                  <c:v>7.5549999999999997</c:v>
                </c:pt>
                <c:pt idx="241">
                  <c:v>7.5549999999999997</c:v>
                </c:pt>
                <c:pt idx="242">
                  <c:v>7.5549999999999997</c:v>
                </c:pt>
                <c:pt idx="243">
                  <c:v>7.5549999999999997</c:v>
                </c:pt>
                <c:pt idx="244">
                  <c:v>7.5549999999999997</c:v>
                </c:pt>
                <c:pt idx="245">
                  <c:v>7.5549999999999997</c:v>
                </c:pt>
                <c:pt idx="246">
                  <c:v>7.5549999999999997</c:v>
                </c:pt>
                <c:pt idx="247">
                  <c:v>6.4673999999999996</c:v>
                </c:pt>
                <c:pt idx="248">
                  <c:v>6.4673999999999996</c:v>
                </c:pt>
                <c:pt idx="249">
                  <c:v>6.4673999999999996</c:v>
                </c:pt>
                <c:pt idx="250">
                  <c:v>6.4673999999999996</c:v>
                </c:pt>
                <c:pt idx="251">
                  <c:v>6.4673999999999996</c:v>
                </c:pt>
                <c:pt idx="252">
                  <c:v>6.4673999999999996</c:v>
                </c:pt>
                <c:pt idx="253">
                  <c:v>6.4673999999999996</c:v>
                </c:pt>
                <c:pt idx="254">
                  <c:v>6.4673999999999996</c:v>
                </c:pt>
                <c:pt idx="255">
                  <c:v>6.4673999999999996</c:v>
                </c:pt>
                <c:pt idx="256">
                  <c:v>6.4673999999999996</c:v>
                </c:pt>
                <c:pt idx="257">
                  <c:v>6.4673999999999996</c:v>
                </c:pt>
                <c:pt idx="258">
                  <c:v>6.4673999999999996</c:v>
                </c:pt>
                <c:pt idx="259">
                  <c:v>6.4673999999999996</c:v>
                </c:pt>
                <c:pt idx="260">
                  <c:v>10.4163</c:v>
                </c:pt>
                <c:pt idx="261">
                  <c:v>10.4163</c:v>
                </c:pt>
                <c:pt idx="262">
                  <c:v>10.4163</c:v>
                </c:pt>
                <c:pt idx="263">
                  <c:v>10.4163</c:v>
                </c:pt>
                <c:pt idx="264">
                  <c:v>10.4163</c:v>
                </c:pt>
                <c:pt idx="265">
                  <c:v>10.4163</c:v>
                </c:pt>
                <c:pt idx="266">
                  <c:v>10.4163</c:v>
                </c:pt>
                <c:pt idx="267">
                  <c:v>10.4163</c:v>
                </c:pt>
                <c:pt idx="268">
                  <c:v>10.4163</c:v>
                </c:pt>
                <c:pt idx="269">
                  <c:v>10.4163</c:v>
                </c:pt>
                <c:pt idx="270">
                  <c:v>10.4163</c:v>
                </c:pt>
                <c:pt idx="271">
                  <c:v>10.4163</c:v>
                </c:pt>
                <c:pt idx="272">
                  <c:v>10.4163</c:v>
                </c:pt>
                <c:pt idx="273">
                  <c:v>10.4163</c:v>
                </c:pt>
                <c:pt idx="274">
                  <c:v>17.7563</c:v>
                </c:pt>
                <c:pt idx="275">
                  <c:v>17.7563</c:v>
                </c:pt>
                <c:pt idx="276">
                  <c:v>17.7563</c:v>
                </c:pt>
                <c:pt idx="277">
                  <c:v>17.7563</c:v>
                </c:pt>
                <c:pt idx="278">
                  <c:v>17.7563</c:v>
                </c:pt>
                <c:pt idx="279">
                  <c:v>17.7563</c:v>
                </c:pt>
                <c:pt idx="280">
                  <c:v>17.7563</c:v>
                </c:pt>
                <c:pt idx="281">
                  <c:v>17.7563</c:v>
                </c:pt>
                <c:pt idx="282">
                  <c:v>17.7563</c:v>
                </c:pt>
                <c:pt idx="283">
                  <c:v>17.7563</c:v>
                </c:pt>
                <c:pt idx="284">
                  <c:v>17.7563</c:v>
                </c:pt>
                <c:pt idx="285">
                  <c:v>17.7563</c:v>
                </c:pt>
                <c:pt idx="286">
                  <c:v>17.7563</c:v>
                </c:pt>
                <c:pt idx="287">
                  <c:v>20.827300000000001</c:v>
                </c:pt>
                <c:pt idx="288">
                  <c:v>20.827300000000001</c:v>
                </c:pt>
                <c:pt idx="289">
                  <c:v>20.827300000000001</c:v>
                </c:pt>
                <c:pt idx="290">
                  <c:v>20.827300000000001</c:v>
                </c:pt>
                <c:pt idx="291">
                  <c:v>20.827300000000001</c:v>
                </c:pt>
                <c:pt idx="292">
                  <c:v>20.827300000000001</c:v>
                </c:pt>
                <c:pt idx="293">
                  <c:v>20.827300000000001</c:v>
                </c:pt>
                <c:pt idx="294">
                  <c:v>20.827300000000001</c:v>
                </c:pt>
                <c:pt idx="295">
                  <c:v>20.827300000000001</c:v>
                </c:pt>
                <c:pt idx="296">
                  <c:v>20.827300000000001</c:v>
                </c:pt>
                <c:pt idx="297">
                  <c:v>20.827300000000001</c:v>
                </c:pt>
                <c:pt idx="298">
                  <c:v>20.827300000000001</c:v>
                </c:pt>
                <c:pt idx="299">
                  <c:v>20.827300000000001</c:v>
                </c:pt>
                <c:pt idx="300">
                  <c:v>23.638500000000001</c:v>
                </c:pt>
                <c:pt idx="301">
                  <c:v>23.638500000000001</c:v>
                </c:pt>
                <c:pt idx="302">
                  <c:v>23.638500000000001</c:v>
                </c:pt>
                <c:pt idx="303">
                  <c:v>23.638500000000001</c:v>
                </c:pt>
                <c:pt idx="304">
                  <c:v>23.638500000000001</c:v>
                </c:pt>
                <c:pt idx="305">
                  <c:v>23.638500000000001</c:v>
                </c:pt>
                <c:pt idx="306">
                  <c:v>23.638500000000001</c:v>
                </c:pt>
                <c:pt idx="307">
                  <c:v>23.638500000000001</c:v>
                </c:pt>
                <c:pt idx="308">
                  <c:v>23.638500000000001</c:v>
                </c:pt>
                <c:pt idx="309">
                  <c:v>23.638500000000001</c:v>
                </c:pt>
                <c:pt idx="310">
                  <c:v>23.638500000000001</c:v>
                </c:pt>
                <c:pt idx="311">
                  <c:v>23.638500000000001</c:v>
                </c:pt>
                <c:pt idx="312">
                  <c:v>23.638500000000001</c:v>
                </c:pt>
                <c:pt idx="313">
                  <c:v>23.4071</c:v>
                </c:pt>
                <c:pt idx="314">
                  <c:v>23.4071</c:v>
                </c:pt>
                <c:pt idx="315">
                  <c:v>23.4071</c:v>
                </c:pt>
                <c:pt idx="316">
                  <c:v>23.4071</c:v>
                </c:pt>
                <c:pt idx="317">
                  <c:v>23.4071</c:v>
                </c:pt>
                <c:pt idx="318">
                  <c:v>23.4071</c:v>
                </c:pt>
                <c:pt idx="319">
                  <c:v>23.4071</c:v>
                </c:pt>
                <c:pt idx="320">
                  <c:v>23.4071</c:v>
                </c:pt>
                <c:pt idx="321">
                  <c:v>23.4071</c:v>
                </c:pt>
                <c:pt idx="322">
                  <c:v>23.4071</c:v>
                </c:pt>
                <c:pt idx="323">
                  <c:v>23.4071</c:v>
                </c:pt>
                <c:pt idx="324">
                  <c:v>23.4071</c:v>
                </c:pt>
                <c:pt idx="325">
                  <c:v>23.4071</c:v>
                </c:pt>
                <c:pt idx="326">
                  <c:v>22.4161</c:v>
                </c:pt>
                <c:pt idx="327">
                  <c:v>22.4161</c:v>
                </c:pt>
                <c:pt idx="328">
                  <c:v>22.4161</c:v>
                </c:pt>
                <c:pt idx="329">
                  <c:v>22.4161</c:v>
                </c:pt>
                <c:pt idx="330">
                  <c:v>22.4161</c:v>
                </c:pt>
                <c:pt idx="331">
                  <c:v>22.4161</c:v>
                </c:pt>
                <c:pt idx="332">
                  <c:v>22.4161</c:v>
                </c:pt>
                <c:pt idx="333">
                  <c:v>22.4161</c:v>
                </c:pt>
                <c:pt idx="334">
                  <c:v>22.4161</c:v>
                </c:pt>
                <c:pt idx="335">
                  <c:v>22.4161</c:v>
                </c:pt>
                <c:pt idx="336">
                  <c:v>22.4161</c:v>
                </c:pt>
                <c:pt idx="337">
                  <c:v>22.4161</c:v>
                </c:pt>
                <c:pt idx="338">
                  <c:v>22.4161</c:v>
                </c:pt>
                <c:pt idx="339">
                  <c:v>21.266300000000001</c:v>
                </c:pt>
                <c:pt idx="340">
                  <c:v>21.266300000000001</c:v>
                </c:pt>
                <c:pt idx="341">
                  <c:v>21.266300000000001</c:v>
                </c:pt>
                <c:pt idx="342">
                  <c:v>21.266300000000001</c:v>
                </c:pt>
                <c:pt idx="343">
                  <c:v>21.266300000000001</c:v>
                </c:pt>
                <c:pt idx="344">
                  <c:v>21.266300000000001</c:v>
                </c:pt>
                <c:pt idx="345">
                  <c:v>21.266300000000001</c:v>
                </c:pt>
                <c:pt idx="346">
                  <c:v>21.266300000000001</c:v>
                </c:pt>
                <c:pt idx="347">
                  <c:v>21.266300000000001</c:v>
                </c:pt>
                <c:pt idx="348">
                  <c:v>21.266300000000001</c:v>
                </c:pt>
                <c:pt idx="349">
                  <c:v>21.266300000000001</c:v>
                </c:pt>
                <c:pt idx="350">
                  <c:v>21.266300000000001</c:v>
                </c:pt>
                <c:pt idx="351">
                  <c:v>21.266300000000001</c:v>
                </c:pt>
                <c:pt idx="352">
                  <c:v>20.771699999999999</c:v>
                </c:pt>
                <c:pt idx="353">
                  <c:v>20.771699999999999</c:v>
                </c:pt>
                <c:pt idx="354">
                  <c:v>20.771699999999999</c:v>
                </c:pt>
                <c:pt idx="355">
                  <c:v>20.771699999999999</c:v>
                </c:pt>
                <c:pt idx="356">
                  <c:v>20.771699999999999</c:v>
                </c:pt>
                <c:pt idx="357">
                  <c:v>20.771699999999999</c:v>
                </c:pt>
                <c:pt idx="358">
                  <c:v>20.771699999999999</c:v>
                </c:pt>
                <c:pt idx="359">
                  <c:v>20.771699999999999</c:v>
                </c:pt>
                <c:pt idx="360">
                  <c:v>20.771699999999999</c:v>
                </c:pt>
                <c:pt idx="361">
                  <c:v>20.771699999999999</c:v>
                </c:pt>
                <c:pt idx="362">
                  <c:v>20.771699999999999</c:v>
                </c:pt>
                <c:pt idx="363">
                  <c:v>20.771699999999999</c:v>
                </c:pt>
                <c:pt idx="364">
                  <c:v>20.771699999999999</c:v>
                </c:pt>
                <c:pt idx="365">
                  <c:v>22.445599999999999</c:v>
                </c:pt>
                <c:pt idx="366">
                  <c:v>22.445599999999999</c:v>
                </c:pt>
                <c:pt idx="367">
                  <c:v>22.445599999999999</c:v>
                </c:pt>
                <c:pt idx="368">
                  <c:v>22.445599999999999</c:v>
                </c:pt>
                <c:pt idx="369">
                  <c:v>22.445599999999999</c:v>
                </c:pt>
                <c:pt idx="370">
                  <c:v>22.445599999999999</c:v>
                </c:pt>
                <c:pt idx="371">
                  <c:v>22.445599999999999</c:v>
                </c:pt>
                <c:pt idx="372">
                  <c:v>22.445599999999999</c:v>
                </c:pt>
                <c:pt idx="373">
                  <c:v>22.445599999999999</c:v>
                </c:pt>
                <c:pt idx="374">
                  <c:v>22.445599999999999</c:v>
                </c:pt>
                <c:pt idx="375">
                  <c:v>22.445599999999999</c:v>
                </c:pt>
                <c:pt idx="376">
                  <c:v>22.445599999999999</c:v>
                </c:pt>
                <c:pt idx="377">
                  <c:v>22.445599999999999</c:v>
                </c:pt>
                <c:pt idx="378">
                  <c:v>22.445599999999999</c:v>
                </c:pt>
                <c:pt idx="379">
                  <c:v>22.445599999999999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72-41E9-9278-36567CFD133C}"/>
            </c:ext>
          </c:extLst>
        </c:ser>
        <c:ser>
          <c:idx val="1"/>
          <c:order val="5"/>
          <c:tx>
            <c:strRef>
              <c:f>Base!$N$4</c:f>
              <c:strCache>
                <c:ptCount val="1"/>
                <c:pt idx="0">
                  <c:v>TGSU2 AR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Base!$M$6:$M$2000</c:f>
              <c:numCache>
                <c:formatCode>m/d/yyyy</c:formatCode>
                <c:ptCount val="1995"/>
                <c:pt idx="0">
                  <c:v>43651</c:v>
                </c:pt>
                <c:pt idx="1">
                  <c:v>43658</c:v>
                </c:pt>
                <c:pt idx="2">
                  <c:v>43665</c:v>
                </c:pt>
                <c:pt idx="3">
                  <c:v>43672</c:v>
                </c:pt>
                <c:pt idx="4">
                  <c:v>43679</c:v>
                </c:pt>
                <c:pt idx="5">
                  <c:v>43686</c:v>
                </c:pt>
                <c:pt idx="6">
                  <c:v>43693</c:v>
                </c:pt>
                <c:pt idx="7">
                  <c:v>43700</c:v>
                </c:pt>
                <c:pt idx="8">
                  <c:v>43707</c:v>
                </c:pt>
                <c:pt idx="9">
                  <c:v>43714</c:v>
                </c:pt>
                <c:pt idx="10">
                  <c:v>43721</c:v>
                </c:pt>
                <c:pt idx="11">
                  <c:v>43728</c:v>
                </c:pt>
                <c:pt idx="12">
                  <c:v>43735</c:v>
                </c:pt>
                <c:pt idx="13">
                  <c:v>43742</c:v>
                </c:pt>
                <c:pt idx="14">
                  <c:v>43749</c:v>
                </c:pt>
                <c:pt idx="15">
                  <c:v>43756</c:v>
                </c:pt>
                <c:pt idx="16">
                  <c:v>43763</c:v>
                </c:pt>
                <c:pt idx="17">
                  <c:v>43770</c:v>
                </c:pt>
                <c:pt idx="18">
                  <c:v>43777</c:v>
                </c:pt>
                <c:pt idx="19">
                  <c:v>43784</c:v>
                </c:pt>
                <c:pt idx="20">
                  <c:v>43791</c:v>
                </c:pt>
                <c:pt idx="21">
                  <c:v>43798</c:v>
                </c:pt>
                <c:pt idx="22">
                  <c:v>43805</c:v>
                </c:pt>
                <c:pt idx="23">
                  <c:v>43812</c:v>
                </c:pt>
                <c:pt idx="24">
                  <c:v>43819</c:v>
                </c:pt>
                <c:pt idx="25">
                  <c:v>43826</c:v>
                </c:pt>
                <c:pt idx="26">
                  <c:v>43833</c:v>
                </c:pt>
                <c:pt idx="27">
                  <c:v>43840</c:v>
                </c:pt>
                <c:pt idx="28">
                  <c:v>43847</c:v>
                </c:pt>
                <c:pt idx="29">
                  <c:v>43854</c:v>
                </c:pt>
                <c:pt idx="30">
                  <c:v>43861</c:v>
                </c:pt>
                <c:pt idx="31">
                  <c:v>43868</c:v>
                </c:pt>
                <c:pt idx="32">
                  <c:v>43875</c:v>
                </c:pt>
                <c:pt idx="33">
                  <c:v>43882</c:v>
                </c:pt>
                <c:pt idx="34">
                  <c:v>43889</c:v>
                </c:pt>
                <c:pt idx="35">
                  <c:v>43896</c:v>
                </c:pt>
                <c:pt idx="36">
                  <c:v>43903</c:v>
                </c:pt>
                <c:pt idx="37">
                  <c:v>43910</c:v>
                </c:pt>
                <c:pt idx="38">
                  <c:v>43917</c:v>
                </c:pt>
                <c:pt idx="39">
                  <c:v>43924</c:v>
                </c:pt>
                <c:pt idx="40">
                  <c:v>43931</c:v>
                </c:pt>
                <c:pt idx="41">
                  <c:v>43938</c:v>
                </c:pt>
                <c:pt idx="42">
                  <c:v>43945</c:v>
                </c:pt>
                <c:pt idx="43">
                  <c:v>43952</c:v>
                </c:pt>
                <c:pt idx="44">
                  <c:v>43959</c:v>
                </c:pt>
                <c:pt idx="45">
                  <c:v>43966</c:v>
                </c:pt>
                <c:pt idx="46">
                  <c:v>43973</c:v>
                </c:pt>
                <c:pt idx="47">
                  <c:v>43980</c:v>
                </c:pt>
                <c:pt idx="48">
                  <c:v>43987</c:v>
                </c:pt>
                <c:pt idx="49">
                  <c:v>43994</c:v>
                </c:pt>
                <c:pt idx="50">
                  <c:v>44001</c:v>
                </c:pt>
                <c:pt idx="51">
                  <c:v>44008</c:v>
                </c:pt>
                <c:pt idx="52">
                  <c:v>44015</c:v>
                </c:pt>
                <c:pt idx="53">
                  <c:v>44022</c:v>
                </c:pt>
                <c:pt idx="54">
                  <c:v>44029</c:v>
                </c:pt>
                <c:pt idx="55">
                  <c:v>44036</c:v>
                </c:pt>
                <c:pt idx="56">
                  <c:v>44043</c:v>
                </c:pt>
                <c:pt idx="57">
                  <c:v>44050</c:v>
                </c:pt>
                <c:pt idx="58">
                  <c:v>44057</c:v>
                </c:pt>
                <c:pt idx="59">
                  <c:v>44064</c:v>
                </c:pt>
                <c:pt idx="60">
                  <c:v>44071</c:v>
                </c:pt>
                <c:pt idx="61">
                  <c:v>44078</c:v>
                </c:pt>
                <c:pt idx="62">
                  <c:v>44085</c:v>
                </c:pt>
                <c:pt idx="63">
                  <c:v>44092</c:v>
                </c:pt>
                <c:pt idx="64">
                  <c:v>44099</c:v>
                </c:pt>
                <c:pt idx="65">
                  <c:v>44106</c:v>
                </c:pt>
                <c:pt idx="66">
                  <c:v>44113</c:v>
                </c:pt>
                <c:pt idx="67">
                  <c:v>44120</c:v>
                </c:pt>
                <c:pt idx="68">
                  <c:v>44127</c:v>
                </c:pt>
                <c:pt idx="69">
                  <c:v>44134</c:v>
                </c:pt>
                <c:pt idx="70">
                  <c:v>44141</c:v>
                </c:pt>
                <c:pt idx="71">
                  <c:v>44148</c:v>
                </c:pt>
                <c:pt idx="72">
                  <c:v>44155</c:v>
                </c:pt>
                <c:pt idx="73">
                  <c:v>44162</c:v>
                </c:pt>
                <c:pt idx="74">
                  <c:v>44169</c:v>
                </c:pt>
                <c:pt idx="75">
                  <c:v>44176</c:v>
                </c:pt>
                <c:pt idx="76">
                  <c:v>44183</c:v>
                </c:pt>
                <c:pt idx="77">
                  <c:v>44190</c:v>
                </c:pt>
                <c:pt idx="78">
                  <c:v>44197</c:v>
                </c:pt>
                <c:pt idx="79">
                  <c:v>44204</c:v>
                </c:pt>
                <c:pt idx="80">
                  <c:v>44211</c:v>
                </c:pt>
                <c:pt idx="81">
                  <c:v>44218</c:v>
                </c:pt>
                <c:pt idx="82">
                  <c:v>44225</c:v>
                </c:pt>
                <c:pt idx="83">
                  <c:v>44232</c:v>
                </c:pt>
                <c:pt idx="84">
                  <c:v>44239</c:v>
                </c:pt>
                <c:pt idx="85">
                  <c:v>44246</c:v>
                </c:pt>
                <c:pt idx="86">
                  <c:v>44253</c:v>
                </c:pt>
                <c:pt idx="87">
                  <c:v>44260</c:v>
                </c:pt>
                <c:pt idx="88">
                  <c:v>44267</c:v>
                </c:pt>
                <c:pt idx="89">
                  <c:v>44274</c:v>
                </c:pt>
                <c:pt idx="90">
                  <c:v>44281</c:v>
                </c:pt>
                <c:pt idx="91">
                  <c:v>44288</c:v>
                </c:pt>
                <c:pt idx="92">
                  <c:v>44295</c:v>
                </c:pt>
                <c:pt idx="93">
                  <c:v>44302</c:v>
                </c:pt>
                <c:pt idx="94">
                  <c:v>44309</c:v>
                </c:pt>
                <c:pt idx="95">
                  <c:v>44316</c:v>
                </c:pt>
                <c:pt idx="96">
                  <c:v>44323</c:v>
                </c:pt>
                <c:pt idx="97">
                  <c:v>44330</c:v>
                </c:pt>
                <c:pt idx="98">
                  <c:v>44337</c:v>
                </c:pt>
                <c:pt idx="99">
                  <c:v>44344</c:v>
                </c:pt>
                <c:pt idx="100">
                  <c:v>44351</c:v>
                </c:pt>
                <c:pt idx="101">
                  <c:v>44358</c:v>
                </c:pt>
                <c:pt idx="102">
                  <c:v>44365</c:v>
                </c:pt>
                <c:pt idx="103">
                  <c:v>44372</c:v>
                </c:pt>
                <c:pt idx="104">
                  <c:v>44379</c:v>
                </c:pt>
                <c:pt idx="105">
                  <c:v>44386</c:v>
                </c:pt>
                <c:pt idx="106">
                  <c:v>44393</c:v>
                </c:pt>
                <c:pt idx="107">
                  <c:v>44400</c:v>
                </c:pt>
                <c:pt idx="108">
                  <c:v>44407</c:v>
                </c:pt>
                <c:pt idx="109">
                  <c:v>44414</c:v>
                </c:pt>
                <c:pt idx="110">
                  <c:v>44421</c:v>
                </c:pt>
                <c:pt idx="111">
                  <c:v>44428</c:v>
                </c:pt>
                <c:pt idx="112">
                  <c:v>44435</c:v>
                </c:pt>
                <c:pt idx="113">
                  <c:v>44442</c:v>
                </c:pt>
                <c:pt idx="114">
                  <c:v>44449</c:v>
                </c:pt>
                <c:pt idx="115">
                  <c:v>44456</c:v>
                </c:pt>
                <c:pt idx="116">
                  <c:v>44463</c:v>
                </c:pt>
                <c:pt idx="117">
                  <c:v>44470</c:v>
                </c:pt>
                <c:pt idx="118">
                  <c:v>44477</c:v>
                </c:pt>
                <c:pt idx="119">
                  <c:v>44484</c:v>
                </c:pt>
                <c:pt idx="120">
                  <c:v>44491</c:v>
                </c:pt>
                <c:pt idx="121">
                  <c:v>44498</c:v>
                </c:pt>
                <c:pt idx="122">
                  <c:v>44505</c:v>
                </c:pt>
                <c:pt idx="123">
                  <c:v>44512</c:v>
                </c:pt>
                <c:pt idx="124">
                  <c:v>44519</c:v>
                </c:pt>
                <c:pt idx="125">
                  <c:v>44526</c:v>
                </c:pt>
                <c:pt idx="126">
                  <c:v>44533</c:v>
                </c:pt>
                <c:pt idx="127">
                  <c:v>44540</c:v>
                </c:pt>
                <c:pt idx="128">
                  <c:v>44547</c:v>
                </c:pt>
                <c:pt idx="129">
                  <c:v>44554</c:v>
                </c:pt>
                <c:pt idx="130">
                  <c:v>44561</c:v>
                </c:pt>
                <c:pt idx="131">
                  <c:v>44568</c:v>
                </c:pt>
                <c:pt idx="132">
                  <c:v>44575</c:v>
                </c:pt>
                <c:pt idx="133">
                  <c:v>44582</c:v>
                </c:pt>
                <c:pt idx="134">
                  <c:v>44589</c:v>
                </c:pt>
                <c:pt idx="135">
                  <c:v>44596</c:v>
                </c:pt>
                <c:pt idx="136">
                  <c:v>44603</c:v>
                </c:pt>
                <c:pt idx="137">
                  <c:v>44610</c:v>
                </c:pt>
                <c:pt idx="138">
                  <c:v>44617</c:v>
                </c:pt>
                <c:pt idx="139">
                  <c:v>44624</c:v>
                </c:pt>
                <c:pt idx="140">
                  <c:v>44631</c:v>
                </c:pt>
                <c:pt idx="141">
                  <c:v>44638</c:v>
                </c:pt>
                <c:pt idx="142">
                  <c:v>44645</c:v>
                </c:pt>
                <c:pt idx="143">
                  <c:v>44652</c:v>
                </c:pt>
                <c:pt idx="144">
                  <c:v>44659</c:v>
                </c:pt>
                <c:pt idx="145">
                  <c:v>44666</c:v>
                </c:pt>
                <c:pt idx="146">
                  <c:v>44673</c:v>
                </c:pt>
                <c:pt idx="147">
                  <c:v>44680</c:v>
                </c:pt>
                <c:pt idx="148">
                  <c:v>44687</c:v>
                </c:pt>
                <c:pt idx="149">
                  <c:v>44694</c:v>
                </c:pt>
                <c:pt idx="150">
                  <c:v>44701</c:v>
                </c:pt>
                <c:pt idx="151">
                  <c:v>44708</c:v>
                </c:pt>
                <c:pt idx="152">
                  <c:v>44715</c:v>
                </c:pt>
                <c:pt idx="153">
                  <c:v>44722</c:v>
                </c:pt>
                <c:pt idx="154">
                  <c:v>44729</c:v>
                </c:pt>
                <c:pt idx="155">
                  <c:v>44736</c:v>
                </c:pt>
                <c:pt idx="156">
                  <c:v>44743</c:v>
                </c:pt>
                <c:pt idx="157">
                  <c:v>44750</c:v>
                </c:pt>
                <c:pt idx="158">
                  <c:v>44757</c:v>
                </c:pt>
                <c:pt idx="159">
                  <c:v>44764</c:v>
                </c:pt>
                <c:pt idx="160">
                  <c:v>44771</c:v>
                </c:pt>
                <c:pt idx="161">
                  <c:v>44778</c:v>
                </c:pt>
                <c:pt idx="162">
                  <c:v>44785</c:v>
                </c:pt>
                <c:pt idx="163">
                  <c:v>44792</c:v>
                </c:pt>
                <c:pt idx="164">
                  <c:v>44799</c:v>
                </c:pt>
                <c:pt idx="165">
                  <c:v>44806</c:v>
                </c:pt>
                <c:pt idx="166">
                  <c:v>44813</c:v>
                </c:pt>
                <c:pt idx="167">
                  <c:v>44820</c:v>
                </c:pt>
                <c:pt idx="168">
                  <c:v>44827</c:v>
                </c:pt>
                <c:pt idx="169">
                  <c:v>44834</c:v>
                </c:pt>
                <c:pt idx="170">
                  <c:v>44841</c:v>
                </c:pt>
                <c:pt idx="171">
                  <c:v>44848</c:v>
                </c:pt>
                <c:pt idx="172">
                  <c:v>44855</c:v>
                </c:pt>
                <c:pt idx="173">
                  <c:v>44862</c:v>
                </c:pt>
                <c:pt idx="174">
                  <c:v>44869</c:v>
                </c:pt>
                <c:pt idx="175">
                  <c:v>44876</c:v>
                </c:pt>
                <c:pt idx="176">
                  <c:v>44883</c:v>
                </c:pt>
                <c:pt idx="177">
                  <c:v>44890</c:v>
                </c:pt>
                <c:pt idx="178">
                  <c:v>44897</c:v>
                </c:pt>
                <c:pt idx="179">
                  <c:v>44904</c:v>
                </c:pt>
                <c:pt idx="180">
                  <c:v>44911</c:v>
                </c:pt>
                <c:pt idx="181">
                  <c:v>44918</c:v>
                </c:pt>
                <c:pt idx="182">
                  <c:v>44925</c:v>
                </c:pt>
                <c:pt idx="183">
                  <c:v>44932</c:v>
                </c:pt>
                <c:pt idx="184">
                  <c:v>44939</c:v>
                </c:pt>
                <c:pt idx="185">
                  <c:v>44946</c:v>
                </c:pt>
                <c:pt idx="186">
                  <c:v>44953</c:v>
                </c:pt>
                <c:pt idx="187">
                  <c:v>44960</c:v>
                </c:pt>
                <c:pt idx="188">
                  <c:v>44967</c:v>
                </c:pt>
                <c:pt idx="189">
                  <c:v>44974</c:v>
                </c:pt>
                <c:pt idx="190">
                  <c:v>44981</c:v>
                </c:pt>
                <c:pt idx="191">
                  <c:v>44988</c:v>
                </c:pt>
                <c:pt idx="192">
                  <c:v>44995</c:v>
                </c:pt>
                <c:pt idx="193">
                  <c:v>45002</c:v>
                </c:pt>
                <c:pt idx="194">
                  <c:v>45009</c:v>
                </c:pt>
                <c:pt idx="195">
                  <c:v>45016</c:v>
                </c:pt>
                <c:pt idx="196">
                  <c:v>45023</c:v>
                </c:pt>
                <c:pt idx="197">
                  <c:v>45030</c:v>
                </c:pt>
                <c:pt idx="198">
                  <c:v>45037</c:v>
                </c:pt>
                <c:pt idx="199">
                  <c:v>45044</c:v>
                </c:pt>
                <c:pt idx="200">
                  <c:v>45051</c:v>
                </c:pt>
                <c:pt idx="201">
                  <c:v>45058</c:v>
                </c:pt>
                <c:pt idx="202">
                  <c:v>45065</c:v>
                </c:pt>
                <c:pt idx="203">
                  <c:v>45072</c:v>
                </c:pt>
                <c:pt idx="204">
                  <c:v>45079</c:v>
                </c:pt>
                <c:pt idx="205">
                  <c:v>45086</c:v>
                </c:pt>
                <c:pt idx="206">
                  <c:v>45093</c:v>
                </c:pt>
                <c:pt idx="207">
                  <c:v>45100</c:v>
                </c:pt>
                <c:pt idx="208">
                  <c:v>45107</c:v>
                </c:pt>
                <c:pt idx="209">
                  <c:v>45114</c:v>
                </c:pt>
                <c:pt idx="210">
                  <c:v>45121</c:v>
                </c:pt>
                <c:pt idx="211">
                  <c:v>45128</c:v>
                </c:pt>
                <c:pt idx="212">
                  <c:v>45135</c:v>
                </c:pt>
                <c:pt idx="213">
                  <c:v>45142</c:v>
                </c:pt>
                <c:pt idx="214">
                  <c:v>45149</c:v>
                </c:pt>
                <c:pt idx="215">
                  <c:v>45156</c:v>
                </c:pt>
                <c:pt idx="216">
                  <c:v>45163</c:v>
                </c:pt>
                <c:pt idx="217">
                  <c:v>45170</c:v>
                </c:pt>
                <c:pt idx="218">
                  <c:v>45177</c:v>
                </c:pt>
                <c:pt idx="219">
                  <c:v>45184</c:v>
                </c:pt>
                <c:pt idx="220">
                  <c:v>45191</c:v>
                </c:pt>
                <c:pt idx="221">
                  <c:v>45198</c:v>
                </c:pt>
                <c:pt idx="222">
                  <c:v>45205</c:v>
                </c:pt>
                <c:pt idx="223">
                  <c:v>45212</c:v>
                </c:pt>
                <c:pt idx="224">
                  <c:v>45219</c:v>
                </c:pt>
                <c:pt idx="225">
                  <c:v>45226</c:v>
                </c:pt>
                <c:pt idx="226">
                  <c:v>45233</c:v>
                </c:pt>
                <c:pt idx="227">
                  <c:v>45240</c:v>
                </c:pt>
                <c:pt idx="228">
                  <c:v>45247</c:v>
                </c:pt>
                <c:pt idx="229">
                  <c:v>45254</c:v>
                </c:pt>
                <c:pt idx="230">
                  <c:v>45261</c:v>
                </c:pt>
                <c:pt idx="231">
                  <c:v>45268</c:v>
                </c:pt>
                <c:pt idx="232">
                  <c:v>45275</c:v>
                </c:pt>
                <c:pt idx="233">
                  <c:v>45282</c:v>
                </c:pt>
                <c:pt idx="234">
                  <c:v>45289</c:v>
                </c:pt>
                <c:pt idx="235">
                  <c:v>45296</c:v>
                </c:pt>
                <c:pt idx="236">
                  <c:v>45303</c:v>
                </c:pt>
                <c:pt idx="237">
                  <c:v>45310</c:v>
                </c:pt>
                <c:pt idx="238">
                  <c:v>45317</c:v>
                </c:pt>
                <c:pt idx="239">
                  <c:v>45324</c:v>
                </c:pt>
                <c:pt idx="240">
                  <c:v>45331</c:v>
                </c:pt>
                <c:pt idx="241">
                  <c:v>45338</c:v>
                </c:pt>
                <c:pt idx="242">
                  <c:v>45345</c:v>
                </c:pt>
                <c:pt idx="243">
                  <c:v>45352</c:v>
                </c:pt>
                <c:pt idx="244">
                  <c:v>45359</c:v>
                </c:pt>
                <c:pt idx="245">
                  <c:v>45366</c:v>
                </c:pt>
                <c:pt idx="246">
                  <c:v>45373</c:v>
                </c:pt>
                <c:pt idx="247">
                  <c:v>45380</c:v>
                </c:pt>
                <c:pt idx="248">
                  <c:v>45387</c:v>
                </c:pt>
                <c:pt idx="249">
                  <c:v>45394</c:v>
                </c:pt>
                <c:pt idx="250">
                  <c:v>45401</c:v>
                </c:pt>
                <c:pt idx="251">
                  <c:v>45408</c:v>
                </c:pt>
                <c:pt idx="252">
                  <c:v>45415</c:v>
                </c:pt>
                <c:pt idx="253">
                  <c:v>45422</c:v>
                </c:pt>
                <c:pt idx="254">
                  <c:v>45429</c:v>
                </c:pt>
                <c:pt idx="255">
                  <c:v>45436</c:v>
                </c:pt>
                <c:pt idx="256">
                  <c:v>45443</c:v>
                </c:pt>
                <c:pt idx="257">
                  <c:v>45450</c:v>
                </c:pt>
                <c:pt idx="258">
                  <c:v>45457</c:v>
                </c:pt>
                <c:pt idx="259">
                  <c:v>45464</c:v>
                </c:pt>
                <c:pt idx="260">
                  <c:v>45471</c:v>
                </c:pt>
                <c:pt idx="261">
                  <c:v>45478</c:v>
                </c:pt>
                <c:pt idx="262">
                  <c:v>45485</c:v>
                </c:pt>
                <c:pt idx="263">
                  <c:v>45492</c:v>
                </c:pt>
                <c:pt idx="264">
                  <c:v>45499</c:v>
                </c:pt>
                <c:pt idx="265">
                  <c:v>45506</c:v>
                </c:pt>
                <c:pt idx="266">
                  <c:v>45513</c:v>
                </c:pt>
                <c:pt idx="267">
                  <c:v>45520</c:v>
                </c:pt>
                <c:pt idx="268">
                  <c:v>45527</c:v>
                </c:pt>
                <c:pt idx="269">
                  <c:v>45534</c:v>
                </c:pt>
                <c:pt idx="270">
                  <c:v>45541</c:v>
                </c:pt>
                <c:pt idx="271">
                  <c:v>45548</c:v>
                </c:pt>
                <c:pt idx="272">
                  <c:v>45555</c:v>
                </c:pt>
                <c:pt idx="273">
                  <c:v>45562</c:v>
                </c:pt>
                <c:pt idx="274">
                  <c:v>45569</c:v>
                </c:pt>
                <c:pt idx="275">
                  <c:v>45576</c:v>
                </c:pt>
                <c:pt idx="276">
                  <c:v>45583</c:v>
                </c:pt>
                <c:pt idx="277">
                  <c:v>45590</c:v>
                </c:pt>
                <c:pt idx="278">
                  <c:v>45597</c:v>
                </c:pt>
                <c:pt idx="279">
                  <c:v>45604</c:v>
                </c:pt>
                <c:pt idx="280">
                  <c:v>45611</c:v>
                </c:pt>
                <c:pt idx="281">
                  <c:v>45618</c:v>
                </c:pt>
                <c:pt idx="282">
                  <c:v>45625</c:v>
                </c:pt>
                <c:pt idx="283">
                  <c:v>45632</c:v>
                </c:pt>
                <c:pt idx="284">
                  <c:v>45639</c:v>
                </c:pt>
                <c:pt idx="285">
                  <c:v>45646</c:v>
                </c:pt>
                <c:pt idx="286">
                  <c:v>45653</c:v>
                </c:pt>
                <c:pt idx="287">
                  <c:v>45660</c:v>
                </c:pt>
                <c:pt idx="288">
                  <c:v>45667</c:v>
                </c:pt>
                <c:pt idx="289">
                  <c:v>45674</c:v>
                </c:pt>
                <c:pt idx="290">
                  <c:v>45681</c:v>
                </c:pt>
                <c:pt idx="291">
                  <c:v>45688</c:v>
                </c:pt>
                <c:pt idx="292">
                  <c:v>45695</c:v>
                </c:pt>
                <c:pt idx="293">
                  <c:v>45702</c:v>
                </c:pt>
                <c:pt idx="294">
                  <c:v>45709</c:v>
                </c:pt>
                <c:pt idx="295">
                  <c:v>45716</c:v>
                </c:pt>
                <c:pt idx="296">
                  <c:v>45723</c:v>
                </c:pt>
                <c:pt idx="297">
                  <c:v>45730</c:v>
                </c:pt>
                <c:pt idx="298">
                  <c:v>45737</c:v>
                </c:pt>
                <c:pt idx="299">
                  <c:v>45744</c:v>
                </c:pt>
                <c:pt idx="300">
                  <c:v>45751</c:v>
                </c:pt>
                <c:pt idx="301">
                  <c:v>45758</c:v>
                </c:pt>
                <c:pt idx="302">
                  <c:v>45765</c:v>
                </c:pt>
                <c:pt idx="303">
                  <c:v>45772</c:v>
                </c:pt>
                <c:pt idx="304">
                  <c:v>45779</c:v>
                </c:pt>
                <c:pt idx="305">
                  <c:v>45786</c:v>
                </c:pt>
                <c:pt idx="306">
                  <c:v>45793</c:v>
                </c:pt>
                <c:pt idx="307">
                  <c:v>45800</c:v>
                </c:pt>
                <c:pt idx="308">
                  <c:v>45807</c:v>
                </c:pt>
                <c:pt idx="309">
                  <c:v>45814</c:v>
                </c:pt>
                <c:pt idx="310">
                  <c:v>45821</c:v>
                </c:pt>
                <c:pt idx="311">
                  <c:v>45828</c:v>
                </c:pt>
                <c:pt idx="312">
                  <c:v>45835</c:v>
                </c:pt>
                <c:pt idx="313">
                  <c:v>45842</c:v>
                </c:pt>
                <c:pt idx="314">
                  <c:v>45849</c:v>
                </c:pt>
                <c:pt idx="315">
                  <c:v>45856</c:v>
                </c:pt>
                <c:pt idx="316">
                  <c:v>45863</c:v>
                </c:pt>
                <c:pt idx="317">
                  <c:v>45870</c:v>
                </c:pt>
                <c:pt idx="318">
                  <c:v>45877</c:v>
                </c:pt>
                <c:pt idx="319">
                  <c:v>45884</c:v>
                </c:pt>
                <c:pt idx="320">
                  <c:v>45891</c:v>
                </c:pt>
                <c:pt idx="321">
                  <c:v>45898</c:v>
                </c:pt>
                <c:pt idx="322">
                  <c:v>45905</c:v>
                </c:pt>
                <c:pt idx="323">
                  <c:v>45912</c:v>
                </c:pt>
                <c:pt idx="324">
                  <c:v>45919</c:v>
                </c:pt>
                <c:pt idx="325">
                  <c:v>45926</c:v>
                </c:pt>
                <c:pt idx="326">
                  <c:v>45933</c:v>
                </c:pt>
                <c:pt idx="327">
                  <c:v>45940</c:v>
                </c:pt>
                <c:pt idx="328">
                  <c:v>45947</c:v>
                </c:pt>
                <c:pt idx="329">
                  <c:v>45954</c:v>
                </c:pt>
                <c:pt idx="330">
                  <c:v>45961</c:v>
                </c:pt>
                <c:pt idx="331">
                  <c:v>45968</c:v>
                </c:pt>
                <c:pt idx="332">
                  <c:v>45975</c:v>
                </c:pt>
                <c:pt idx="333">
                  <c:v>45982</c:v>
                </c:pt>
                <c:pt idx="334">
                  <c:v>45989</c:v>
                </c:pt>
                <c:pt idx="335">
                  <c:v>45996</c:v>
                </c:pt>
                <c:pt idx="336">
                  <c:v>46003</c:v>
                </c:pt>
                <c:pt idx="337">
                  <c:v>46010</c:v>
                </c:pt>
                <c:pt idx="338">
                  <c:v>46017</c:v>
                </c:pt>
                <c:pt idx="339">
                  <c:v>46024</c:v>
                </c:pt>
                <c:pt idx="340">
                  <c:v>46031</c:v>
                </c:pt>
                <c:pt idx="341">
                  <c:v>46038</c:v>
                </c:pt>
                <c:pt idx="342">
                  <c:v>46045</c:v>
                </c:pt>
                <c:pt idx="343">
                  <c:v>46052</c:v>
                </c:pt>
                <c:pt idx="344">
                  <c:v>46059</c:v>
                </c:pt>
                <c:pt idx="345">
                  <c:v>46066</c:v>
                </c:pt>
                <c:pt idx="346">
                  <c:v>46073</c:v>
                </c:pt>
                <c:pt idx="347">
                  <c:v>46080</c:v>
                </c:pt>
                <c:pt idx="348">
                  <c:v>46087</c:v>
                </c:pt>
                <c:pt idx="349">
                  <c:v>46094</c:v>
                </c:pt>
                <c:pt idx="350">
                  <c:v>46101</c:v>
                </c:pt>
                <c:pt idx="351">
                  <c:v>46108</c:v>
                </c:pt>
                <c:pt idx="352">
                  <c:v>46115</c:v>
                </c:pt>
                <c:pt idx="353">
                  <c:v>46122</c:v>
                </c:pt>
                <c:pt idx="354">
                  <c:v>46129</c:v>
                </c:pt>
                <c:pt idx="355">
                  <c:v>46136</c:v>
                </c:pt>
                <c:pt idx="356">
                  <c:v>46143</c:v>
                </c:pt>
                <c:pt idx="357">
                  <c:v>46150</c:v>
                </c:pt>
                <c:pt idx="358">
                  <c:v>46157</c:v>
                </c:pt>
                <c:pt idx="359">
                  <c:v>46164</c:v>
                </c:pt>
                <c:pt idx="360">
                  <c:v>46171</c:v>
                </c:pt>
                <c:pt idx="361">
                  <c:v>46178</c:v>
                </c:pt>
                <c:pt idx="362">
                  <c:v>46185</c:v>
                </c:pt>
                <c:pt idx="363">
                  <c:v>46192</c:v>
                </c:pt>
                <c:pt idx="364">
                  <c:v>46199</c:v>
                </c:pt>
                <c:pt idx="365">
                  <c:v>46206</c:v>
                </c:pt>
                <c:pt idx="366">
                  <c:v>46213</c:v>
                </c:pt>
                <c:pt idx="367">
                  <c:v>46220</c:v>
                </c:pt>
                <c:pt idx="368">
                  <c:v>46227</c:v>
                </c:pt>
                <c:pt idx="369">
                  <c:v>46234</c:v>
                </c:pt>
                <c:pt idx="370">
                  <c:v>46241</c:v>
                </c:pt>
                <c:pt idx="371">
                  <c:v>46248</c:v>
                </c:pt>
                <c:pt idx="372">
                  <c:v>46255</c:v>
                </c:pt>
                <c:pt idx="373">
                  <c:v>46262</c:v>
                </c:pt>
                <c:pt idx="374">
                  <c:v>46269</c:v>
                </c:pt>
                <c:pt idx="375">
                  <c:v>46276</c:v>
                </c:pt>
                <c:pt idx="376">
                  <c:v>46283</c:v>
                </c:pt>
                <c:pt idx="377">
                  <c:v>46290</c:v>
                </c:pt>
                <c:pt idx="378">
                  <c:v>46297</c:v>
                </c:pt>
                <c:pt idx="379">
                  <c:v>46304</c:v>
                </c:pt>
              </c:numCache>
            </c:numRef>
          </c:cat>
          <c:val>
            <c:numRef>
              <c:f>Base!$T$6:$T$2000</c:f>
              <c:numCache>
                <c:formatCode>General</c:formatCode>
                <c:ptCount val="1995"/>
                <c:pt idx="0">
                  <c:v>49.3598</c:v>
                </c:pt>
                <c:pt idx="1">
                  <c:v>49.3598</c:v>
                </c:pt>
                <c:pt idx="2">
                  <c:v>49.3598</c:v>
                </c:pt>
                <c:pt idx="3">
                  <c:v>49.3598</c:v>
                </c:pt>
                <c:pt idx="4">
                  <c:v>49.3598</c:v>
                </c:pt>
                <c:pt idx="5">
                  <c:v>49.3598</c:v>
                </c:pt>
                <c:pt idx="6">
                  <c:v>49.3598</c:v>
                </c:pt>
                <c:pt idx="7">
                  <c:v>49.3598</c:v>
                </c:pt>
                <c:pt idx="8">
                  <c:v>49.3598</c:v>
                </c:pt>
                <c:pt idx="9">
                  <c:v>49.3598</c:v>
                </c:pt>
                <c:pt idx="10">
                  <c:v>49.3598</c:v>
                </c:pt>
                <c:pt idx="11">
                  <c:v>49.3598</c:v>
                </c:pt>
                <c:pt idx="12">
                  <c:v>49.3598</c:v>
                </c:pt>
                <c:pt idx="13">
                  <c:v>47.790799999999997</c:v>
                </c:pt>
                <c:pt idx="14">
                  <c:v>47.790799999999997</c:v>
                </c:pt>
                <c:pt idx="15">
                  <c:v>47.790799999999997</c:v>
                </c:pt>
                <c:pt idx="16">
                  <c:v>47.790799999999997</c:v>
                </c:pt>
                <c:pt idx="17">
                  <c:v>47.790799999999997</c:v>
                </c:pt>
                <c:pt idx="18">
                  <c:v>47.790799999999997</c:v>
                </c:pt>
                <c:pt idx="19">
                  <c:v>47.790799999999997</c:v>
                </c:pt>
                <c:pt idx="20">
                  <c:v>47.790799999999997</c:v>
                </c:pt>
                <c:pt idx="21">
                  <c:v>47.790799999999997</c:v>
                </c:pt>
                <c:pt idx="22">
                  <c:v>47.790799999999997</c:v>
                </c:pt>
                <c:pt idx="23">
                  <c:v>47.790799999999997</c:v>
                </c:pt>
                <c:pt idx="24">
                  <c:v>47.790799999999997</c:v>
                </c:pt>
                <c:pt idx="25">
                  <c:v>47.790799999999997</c:v>
                </c:pt>
                <c:pt idx="26">
                  <c:v>48.515099999999997</c:v>
                </c:pt>
                <c:pt idx="27">
                  <c:v>48.515099999999997</c:v>
                </c:pt>
                <c:pt idx="28">
                  <c:v>48.515099999999997</c:v>
                </c:pt>
                <c:pt idx="29">
                  <c:v>48.515099999999997</c:v>
                </c:pt>
                <c:pt idx="30">
                  <c:v>48.515099999999997</c:v>
                </c:pt>
                <c:pt idx="31">
                  <c:v>48.515099999999997</c:v>
                </c:pt>
                <c:pt idx="32">
                  <c:v>48.515099999999997</c:v>
                </c:pt>
                <c:pt idx="33">
                  <c:v>48.515099999999997</c:v>
                </c:pt>
                <c:pt idx="34">
                  <c:v>48.515099999999997</c:v>
                </c:pt>
                <c:pt idx="35">
                  <c:v>48.515099999999997</c:v>
                </c:pt>
                <c:pt idx="36">
                  <c:v>48.515099999999997</c:v>
                </c:pt>
                <c:pt idx="37">
                  <c:v>48.515099999999997</c:v>
                </c:pt>
                <c:pt idx="38">
                  <c:v>48.515099999999997</c:v>
                </c:pt>
                <c:pt idx="39">
                  <c:v>49.129199999999997</c:v>
                </c:pt>
                <c:pt idx="40">
                  <c:v>49.129199999999997</c:v>
                </c:pt>
                <c:pt idx="41">
                  <c:v>49.129199999999997</c:v>
                </c:pt>
                <c:pt idx="42">
                  <c:v>49.129199999999997</c:v>
                </c:pt>
                <c:pt idx="43">
                  <c:v>49.129199999999997</c:v>
                </c:pt>
                <c:pt idx="44">
                  <c:v>49.129199999999997</c:v>
                </c:pt>
                <c:pt idx="45">
                  <c:v>49.129199999999997</c:v>
                </c:pt>
                <c:pt idx="46">
                  <c:v>49.129199999999997</c:v>
                </c:pt>
                <c:pt idx="47">
                  <c:v>49.129199999999997</c:v>
                </c:pt>
                <c:pt idx="48">
                  <c:v>49.129199999999997</c:v>
                </c:pt>
                <c:pt idx="49">
                  <c:v>49.129199999999997</c:v>
                </c:pt>
                <c:pt idx="50">
                  <c:v>49.129199999999997</c:v>
                </c:pt>
                <c:pt idx="51">
                  <c:v>49.129199999999997</c:v>
                </c:pt>
                <c:pt idx="52">
                  <c:v>49.403300000000002</c:v>
                </c:pt>
                <c:pt idx="53">
                  <c:v>49.403300000000002</c:v>
                </c:pt>
                <c:pt idx="54">
                  <c:v>49.403300000000002</c:v>
                </c:pt>
                <c:pt idx="55">
                  <c:v>49.403300000000002</c:v>
                </c:pt>
                <c:pt idx="56">
                  <c:v>49.403300000000002</c:v>
                </c:pt>
                <c:pt idx="57">
                  <c:v>49.403300000000002</c:v>
                </c:pt>
                <c:pt idx="58">
                  <c:v>49.403300000000002</c:v>
                </c:pt>
                <c:pt idx="59">
                  <c:v>49.403300000000002</c:v>
                </c:pt>
                <c:pt idx="60">
                  <c:v>49.403300000000002</c:v>
                </c:pt>
                <c:pt idx="61">
                  <c:v>49.403300000000002</c:v>
                </c:pt>
                <c:pt idx="62">
                  <c:v>49.403300000000002</c:v>
                </c:pt>
                <c:pt idx="63">
                  <c:v>49.403300000000002</c:v>
                </c:pt>
                <c:pt idx="64">
                  <c:v>49.403300000000002</c:v>
                </c:pt>
                <c:pt idx="65">
                  <c:v>51.430999999999997</c:v>
                </c:pt>
                <c:pt idx="66">
                  <c:v>51.430999999999997</c:v>
                </c:pt>
                <c:pt idx="67">
                  <c:v>51.430999999999997</c:v>
                </c:pt>
                <c:pt idx="68">
                  <c:v>51.430999999999997</c:v>
                </c:pt>
                <c:pt idx="69">
                  <c:v>51.430999999999997</c:v>
                </c:pt>
                <c:pt idx="70">
                  <c:v>51.430999999999997</c:v>
                </c:pt>
                <c:pt idx="71">
                  <c:v>51.430999999999997</c:v>
                </c:pt>
                <c:pt idx="72">
                  <c:v>51.430999999999997</c:v>
                </c:pt>
                <c:pt idx="73">
                  <c:v>51.430999999999997</c:v>
                </c:pt>
                <c:pt idx="74">
                  <c:v>51.430999999999997</c:v>
                </c:pt>
                <c:pt idx="75">
                  <c:v>51.430999999999997</c:v>
                </c:pt>
                <c:pt idx="76">
                  <c:v>51.430999999999997</c:v>
                </c:pt>
                <c:pt idx="77">
                  <c:v>51.430999999999997</c:v>
                </c:pt>
                <c:pt idx="78">
                  <c:v>51.192</c:v>
                </c:pt>
                <c:pt idx="79">
                  <c:v>51.192</c:v>
                </c:pt>
                <c:pt idx="80">
                  <c:v>51.192</c:v>
                </c:pt>
                <c:pt idx="81">
                  <c:v>51.192</c:v>
                </c:pt>
                <c:pt idx="82">
                  <c:v>51.192</c:v>
                </c:pt>
                <c:pt idx="83">
                  <c:v>51.192</c:v>
                </c:pt>
                <c:pt idx="84">
                  <c:v>51.192</c:v>
                </c:pt>
                <c:pt idx="85">
                  <c:v>51.192</c:v>
                </c:pt>
                <c:pt idx="86">
                  <c:v>51.192</c:v>
                </c:pt>
                <c:pt idx="87">
                  <c:v>51.192</c:v>
                </c:pt>
                <c:pt idx="88">
                  <c:v>51.192</c:v>
                </c:pt>
                <c:pt idx="89">
                  <c:v>51.192</c:v>
                </c:pt>
                <c:pt idx="90">
                  <c:v>51.192</c:v>
                </c:pt>
                <c:pt idx="91">
                  <c:v>54.738300000000002</c:v>
                </c:pt>
                <c:pt idx="92">
                  <c:v>54.738300000000002</c:v>
                </c:pt>
                <c:pt idx="93">
                  <c:v>54.738300000000002</c:v>
                </c:pt>
                <c:pt idx="94">
                  <c:v>54.738300000000002</c:v>
                </c:pt>
                <c:pt idx="95">
                  <c:v>54.738300000000002</c:v>
                </c:pt>
                <c:pt idx="96">
                  <c:v>54.738300000000002</c:v>
                </c:pt>
                <c:pt idx="97">
                  <c:v>54.738300000000002</c:v>
                </c:pt>
                <c:pt idx="98">
                  <c:v>54.738300000000002</c:v>
                </c:pt>
                <c:pt idx="99">
                  <c:v>54.738300000000002</c:v>
                </c:pt>
                <c:pt idx="100">
                  <c:v>54.738300000000002</c:v>
                </c:pt>
                <c:pt idx="101">
                  <c:v>54.738300000000002</c:v>
                </c:pt>
                <c:pt idx="102">
                  <c:v>54.738300000000002</c:v>
                </c:pt>
                <c:pt idx="103">
                  <c:v>54.738300000000002</c:v>
                </c:pt>
                <c:pt idx="104">
                  <c:v>50.696899999999999</c:v>
                </c:pt>
                <c:pt idx="105">
                  <c:v>50.696899999999999</c:v>
                </c:pt>
                <c:pt idx="106">
                  <c:v>50.696899999999999</c:v>
                </c:pt>
                <c:pt idx="107">
                  <c:v>50.696899999999999</c:v>
                </c:pt>
                <c:pt idx="108">
                  <c:v>50.696899999999999</c:v>
                </c:pt>
                <c:pt idx="109">
                  <c:v>50.696899999999999</c:v>
                </c:pt>
                <c:pt idx="110">
                  <c:v>50.696899999999999</c:v>
                </c:pt>
                <c:pt idx="111">
                  <c:v>50.696899999999999</c:v>
                </c:pt>
                <c:pt idx="112">
                  <c:v>50.696899999999999</c:v>
                </c:pt>
                <c:pt idx="113">
                  <c:v>50.696899999999999</c:v>
                </c:pt>
                <c:pt idx="114">
                  <c:v>50.696899999999999</c:v>
                </c:pt>
                <c:pt idx="115">
                  <c:v>50.696899999999999</c:v>
                </c:pt>
                <c:pt idx="116">
                  <c:v>50.696899999999999</c:v>
                </c:pt>
                <c:pt idx="117">
                  <c:v>48.149500000000003</c:v>
                </c:pt>
                <c:pt idx="118">
                  <c:v>48.149500000000003</c:v>
                </c:pt>
                <c:pt idx="119">
                  <c:v>48.149500000000003</c:v>
                </c:pt>
                <c:pt idx="120">
                  <c:v>48.149500000000003</c:v>
                </c:pt>
                <c:pt idx="121">
                  <c:v>48.149500000000003</c:v>
                </c:pt>
                <c:pt idx="122">
                  <c:v>48.149500000000003</c:v>
                </c:pt>
                <c:pt idx="123">
                  <c:v>48.149500000000003</c:v>
                </c:pt>
                <c:pt idx="124">
                  <c:v>48.149500000000003</c:v>
                </c:pt>
                <c:pt idx="125">
                  <c:v>48.149500000000003</c:v>
                </c:pt>
                <c:pt idx="126">
                  <c:v>48.149500000000003</c:v>
                </c:pt>
                <c:pt idx="127">
                  <c:v>48.149500000000003</c:v>
                </c:pt>
                <c:pt idx="128">
                  <c:v>48.149500000000003</c:v>
                </c:pt>
                <c:pt idx="129">
                  <c:v>48.149500000000003</c:v>
                </c:pt>
                <c:pt idx="130">
                  <c:v>48.524099999999997</c:v>
                </c:pt>
                <c:pt idx="131">
                  <c:v>48.524099999999997</c:v>
                </c:pt>
                <c:pt idx="132">
                  <c:v>48.524099999999997</c:v>
                </c:pt>
                <c:pt idx="133">
                  <c:v>48.524099999999997</c:v>
                </c:pt>
                <c:pt idx="134">
                  <c:v>48.524099999999997</c:v>
                </c:pt>
                <c:pt idx="135">
                  <c:v>48.524099999999997</c:v>
                </c:pt>
                <c:pt idx="136">
                  <c:v>48.524099999999997</c:v>
                </c:pt>
                <c:pt idx="137">
                  <c:v>48.524099999999997</c:v>
                </c:pt>
                <c:pt idx="138">
                  <c:v>48.524099999999997</c:v>
                </c:pt>
                <c:pt idx="139">
                  <c:v>48.524099999999997</c:v>
                </c:pt>
                <c:pt idx="140">
                  <c:v>48.524099999999997</c:v>
                </c:pt>
                <c:pt idx="141">
                  <c:v>48.524099999999997</c:v>
                </c:pt>
                <c:pt idx="142">
                  <c:v>48.524099999999997</c:v>
                </c:pt>
                <c:pt idx="143">
                  <c:v>48.1526</c:v>
                </c:pt>
                <c:pt idx="144">
                  <c:v>48.1526</c:v>
                </c:pt>
                <c:pt idx="145">
                  <c:v>48.1526</c:v>
                </c:pt>
                <c:pt idx="146">
                  <c:v>48.1526</c:v>
                </c:pt>
                <c:pt idx="147">
                  <c:v>48.1526</c:v>
                </c:pt>
                <c:pt idx="148">
                  <c:v>48.1526</c:v>
                </c:pt>
                <c:pt idx="149">
                  <c:v>48.1526</c:v>
                </c:pt>
                <c:pt idx="150">
                  <c:v>48.1526</c:v>
                </c:pt>
                <c:pt idx="151">
                  <c:v>48.1526</c:v>
                </c:pt>
                <c:pt idx="152">
                  <c:v>48.1526</c:v>
                </c:pt>
                <c:pt idx="153">
                  <c:v>48.1526</c:v>
                </c:pt>
                <c:pt idx="154">
                  <c:v>48.1526</c:v>
                </c:pt>
                <c:pt idx="155">
                  <c:v>48.1526</c:v>
                </c:pt>
                <c:pt idx="156">
                  <c:v>48.812800000000003</c:v>
                </c:pt>
                <c:pt idx="157">
                  <c:v>48.812800000000003</c:v>
                </c:pt>
                <c:pt idx="158">
                  <c:v>48.812800000000003</c:v>
                </c:pt>
                <c:pt idx="159">
                  <c:v>48.812800000000003</c:v>
                </c:pt>
                <c:pt idx="160">
                  <c:v>48.812800000000003</c:v>
                </c:pt>
                <c:pt idx="161">
                  <c:v>48.812800000000003</c:v>
                </c:pt>
                <c:pt idx="162">
                  <c:v>48.812800000000003</c:v>
                </c:pt>
                <c:pt idx="163">
                  <c:v>48.812800000000003</c:v>
                </c:pt>
                <c:pt idx="164">
                  <c:v>48.812800000000003</c:v>
                </c:pt>
                <c:pt idx="165">
                  <c:v>48.812800000000003</c:v>
                </c:pt>
                <c:pt idx="166">
                  <c:v>48.812800000000003</c:v>
                </c:pt>
                <c:pt idx="167">
                  <c:v>48.812800000000003</c:v>
                </c:pt>
                <c:pt idx="168">
                  <c:v>48.812800000000003</c:v>
                </c:pt>
                <c:pt idx="169">
                  <c:v>47.88</c:v>
                </c:pt>
                <c:pt idx="170">
                  <c:v>47.88</c:v>
                </c:pt>
                <c:pt idx="171">
                  <c:v>47.88</c:v>
                </c:pt>
                <c:pt idx="172">
                  <c:v>47.88</c:v>
                </c:pt>
                <c:pt idx="173">
                  <c:v>47.88</c:v>
                </c:pt>
                <c:pt idx="174">
                  <c:v>47.88</c:v>
                </c:pt>
                <c:pt idx="175">
                  <c:v>47.88</c:v>
                </c:pt>
                <c:pt idx="176">
                  <c:v>47.88</c:v>
                </c:pt>
                <c:pt idx="177">
                  <c:v>47.88</c:v>
                </c:pt>
                <c:pt idx="178">
                  <c:v>47.88</c:v>
                </c:pt>
                <c:pt idx="179">
                  <c:v>47.88</c:v>
                </c:pt>
                <c:pt idx="180">
                  <c:v>47.88</c:v>
                </c:pt>
                <c:pt idx="181">
                  <c:v>47.88</c:v>
                </c:pt>
                <c:pt idx="182">
                  <c:v>44.353099999999998</c:v>
                </c:pt>
                <c:pt idx="183">
                  <c:v>44.353099999999998</c:v>
                </c:pt>
                <c:pt idx="184">
                  <c:v>44.353099999999998</c:v>
                </c:pt>
                <c:pt idx="185">
                  <c:v>44.353099999999998</c:v>
                </c:pt>
                <c:pt idx="186">
                  <c:v>44.353099999999998</c:v>
                </c:pt>
                <c:pt idx="187">
                  <c:v>44.353099999999998</c:v>
                </c:pt>
                <c:pt idx="188">
                  <c:v>44.353099999999998</c:v>
                </c:pt>
                <c:pt idx="189">
                  <c:v>44.353099999999998</c:v>
                </c:pt>
                <c:pt idx="190">
                  <c:v>44.353099999999998</c:v>
                </c:pt>
                <c:pt idx="191">
                  <c:v>44.353099999999998</c:v>
                </c:pt>
                <c:pt idx="192">
                  <c:v>44.353099999999998</c:v>
                </c:pt>
                <c:pt idx="193">
                  <c:v>44.353099999999998</c:v>
                </c:pt>
                <c:pt idx="194">
                  <c:v>44.353099999999998</c:v>
                </c:pt>
                <c:pt idx="195">
                  <c:v>42.936300000000003</c:v>
                </c:pt>
                <c:pt idx="196">
                  <c:v>42.936300000000003</c:v>
                </c:pt>
                <c:pt idx="197">
                  <c:v>42.936300000000003</c:v>
                </c:pt>
                <c:pt idx="198">
                  <c:v>42.936300000000003</c:v>
                </c:pt>
                <c:pt idx="199">
                  <c:v>42.936300000000003</c:v>
                </c:pt>
                <c:pt idx="200">
                  <c:v>42.936300000000003</c:v>
                </c:pt>
                <c:pt idx="201">
                  <c:v>42.936300000000003</c:v>
                </c:pt>
                <c:pt idx="202">
                  <c:v>42.936300000000003</c:v>
                </c:pt>
                <c:pt idx="203">
                  <c:v>42.936300000000003</c:v>
                </c:pt>
                <c:pt idx="204">
                  <c:v>42.936300000000003</c:v>
                </c:pt>
                <c:pt idx="205">
                  <c:v>42.936300000000003</c:v>
                </c:pt>
                <c:pt idx="206">
                  <c:v>42.936300000000003</c:v>
                </c:pt>
                <c:pt idx="207">
                  <c:v>42.936300000000003</c:v>
                </c:pt>
                <c:pt idx="208">
                  <c:v>41.997100000000003</c:v>
                </c:pt>
                <c:pt idx="209">
                  <c:v>41.997100000000003</c:v>
                </c:pt>
                <c:pt idx="210">
                  <c:v>41.997100000000003</c:v>
                </c:pt>
                <c:pt idx="211">
                  <c:v>41.997100000000003</c:v>
                </c:pt>
                <c:pt idx="212">
                  <c:v>41.997100000000003</c:v>
                </c:pt>
                <c:pt idx="213">
                  <c:v>41.997100000000003</c:v>
                </c:pt>
                <c:pt idx="214">
                  <c:v>41.997100000000003</c:v>
                </c:pt>
                <c:pt idx="215">
                  <c:v>41.997100000000003</c:v>
                </c:pt>
                <c:pt idx="216">
                  <c:v>41.997100000000003</c:v>
                </c:pt>
                <c:pt idx="217">
                  <c:v>41.997100000000003</c:v>
                </c:pt>
                <c:pt idx="218">
                  <c:v>41.997100000000003</c:v>
                </c:pt>
                <c:pt idx="219">
                  <c:v>41.997100000000003</c:v>
                </c:pt>
                <c:pt idx="220">
                  <c:v>41.997100000000003</c:v>
                </c:pt>
                <c:pt idx="221">
                  <c:v>41.062800000000003</c:v>
                </c:pt>
                <c:pt idx="222">
                  <c:v>41.062800000000003</c:v>
                </c:pt>
                <c:pt idx="223">
                  <c:v>41.062800000000003</c:v>
                </c:pt>
                <c:pt idx="224">
                  <c:v>41.062800000000003</c:v>
                </c:pt>
                <c:pt idx="225">
                  <c:v>41.062800000000003</c:v>
                </c:pt>
                <c:pt idx="226">
                  <c:v>41.062800000000003</c:v>
                </c:pt>
                <c:pt idx="227">
                  <c:v>41.062800000000003</c:v>
                </c:pt>
                <c:pt idx="228">
                  <c:v>41.062800000000003</c:v>
                </c:pt>
                <c:pt idx="229">
                  <c:v>41.062800000000003</c:v>
                </c:pt>
                <c:pt idx="230">
                  <c:v>41.062800000000003</c:v>
                </c:pt>
                <c:pt idx="231">
                  <c:v>41.062800000000003</c:v>
                </c:pt>
                <c:pt idx="232">
                  <c:v>41.062800000000003</c:v>
                </c:pt>
                <c:pt idx="233">
                  <c:v>41.062800000000003</c:v>
                </c:pt>
                <c:pt idx="234">
                  <c:v>40.052900000000001</c:v>
                </c:pt>
                <c:pt idx="235">
                  <c:v>40.052900000000001</c:v>
                </c:pt>
                <c:pt idx="236">
                  <c:v>40.052900000000001</c:v>
                </c:pt>
                <c:pt idx="237">
                  <c:v>40.052900000000001</c:v>
                </c:pt>
                <c:pt idx="238">
                  <c:v>40.052900000000001</c:v>
                </c:pt>
                <c:pt idx="239">
                  <c:v>40.052900000000001</c:v>
                </c:pt>
                <c:pt idx="240">
                  <c:v>40.052900000000001</c:v>
                </c:pt>
                <c:pt idx="241">
                  <c:v>40.052900000000001</c:v>
                </c:pt>
                <c:pt idx="242">
                  <c:v>40.052900000000001</c:v>
                </c:pt>
                <c:pt idx="243">
                  <c:v>40.052900000000001</c:v>
                </c:pt>
                <c:pt idx="244">
                  <c:v>40.052900000000001</c:v>
                </c:pt>
                <c:pt idx="245">
                  <c:v>40.052900000000001</c:v>
                </c:pt>
                <c:pt idx="246">
                  <c:v>40.052900000000001</c:v>
                </c:pt>
                <c:pt idx="247">
                  <c:v>41.349800000000002</c:v>
                </c:pt>
                <c:pt idx="248">
                  <c:v>41.349800000000002</c:v>
                </c:pt>
                <c:pt idx="249">
                  <c:v>41.349800000000002</c:v>
                </c:pt>
                <c:pt idx="250">
                  <c:v>41.349800000000002</c:v>
                </c:pt>
                <c:pt idx="251">
                  <c:v>41.349800000000002</c:v>
                </c:pt>
                <c:pt idx="252">
                  <c:v>41.349800000000002</c:v>
                </c:pt>
                <c:pt idx="253">
                  <c:v>41.349800000000002</c:v>
                </c:pt>
                <c:pt idx="254">
                  <c:v>41.349800000000002</c:v>
                </c:pt>
                <c:pt idx="255">
                  <c:v>41.349800000000002</c:v>
                </c:pt>
                <c:pt idx="256">
                  <c:v>41.349800000000002</c:v>
                </c:pt>
                <c:pt idx="257">
                  <c:v>41.349800000000002</c:v>
                </c:pt>
                <c:pt idx="258">
                  <c:v>41.349800000000002</c:v>
                </c:pt>
                <c:pt idx="259">
                  <c:v>41.349800000000002</c:v>
                </c:pt>
                <c:pt idx="260">
                  <c:v>46.659599999999998</c:v>
                </c:pt>
                <c:pt idx="261">
                  <c:v>46.659599999999998</c:v>
                </c:pt>
                <c:pt idx="262">
                  <c:v>46.659599999999998</c:v>
                </c:pt>
                <c:pt idx="263">
                  <c:v>46.659599999999998</c:v>
                </c:pt>
                <c:pt idx="264">
                  <c:v>46.659599999999998</c:v>
                </c:pt>
                <c:pt idx="265">
                  <c:v>46.659599999999998</c:v>
                </c:pt>
                <c:pt idx="266">
                  <c:v>46.659599999999998</c:v>
                </c:pt>
                <c:pt idx="267">
                  <c:v>46.659599999999998</c:v>
                </c:pt>
                <c:pt idx="268">
                  <c:v>46.659599999999998</c:v>
                </c:pt>
                <c:pt idx="269">
                  <c:v>46.659599999999998</c:v>
                </c:pt>
                <c:pt idx="270">
                  <c:v>46.659599999999998</c:v>
                </c:pt>
                <c:pt idx="271">
                  <c:v>46.659599999999998</c:v>
                </c:pt>
                <c:pt idx="272">
                  <c:v>46.659599999999998</c:v>
                </c:pt>
                <c:pt idx="273">
                  <c:v>46.659599999999998</c:v>
                </c:pt>
                <c:pt idx="274">
                  <c:v>49.9133</c:v>
                </c:pt>
                <c:pt idx="275">
                  <c:v>49.9133</c:v>
                </c:pt>
                <c:pt idx="276">
                  <c:v>49.9133</c:v>
                </c:pt>
                <c:pt idx="277">
                  <c:v>49.9133</c:v>
                </c:pt>
                <c:pt idx="278">
                  <c:v>49.9133</c:v>
                </c:pt>
                <c:pt idx="279">
                  <c:v>49.9133</c:v>
                </c:pt>
                <c:pt idx="280">
                  <c:v>49.9133</c:v>
                </c:pt>
                <c:pt idx="281">
                  <c:v>49.9133</c:v>
                </c:pt>
                <c:pt idx="282">
                  <c:v>49.9133</c:v>
                </c:pt>
                <c:pt idx="283">
                  <c:v>49.9133</c:v>
                </c:pt>
                <c:pt idx="284">
                  <c:v>49.9133</c:v>
                </c:pt>
                <c:pt idx="285">
                  <c:v>49.9133</c:v>
                </c:pt>
                <c:pt idx="286">
                  <c:v>49.9133</c:v>
                </c:pt>
                <c:pt idx="287">
                  <c:v>57.1096</c:v>
                </c:pt>
                <c:pt idx="288">
                  <c:v>57.1096</c:v>
                </c:pt>
                <c:pt idx="289">
                  <c:v>57.1096</c:v>
                </c:pt>
                <c:pt idx="290">
                  <c:v>57.1096</c:v>
                </c:pt>
                <c:pt idx="291">
                  <c:v>57.1096</c:v>
                </c:pt>
                <c:pt idx="292">
                  <c:v>57.1096</c:v>
                </c:pt>
                <c:pt idx="293">
                  <c:v>57.1096</c:v>
                </c:pt>
                <c:pt idx="294">
                  <c:v>57.1096</c:v>
                </c:pt>
                <c:pt idx="295">
                  <c:v>57.1096</c:v>
                </c:pt>
                <c:pt idx="296">
                  <c:v>57.1096</c:v>
                </c:pt>
                <c:pt idx="297">
                  <c:v>57.1096</c:v>
                </c:pt>
                <c:pt idx="298">
                  <c:v>57.1096</c:v>
                </c:pt>
                <c:pt idx="299">
                  <c:v>57.1096</c:v>
                </c:pt>
                <c:pt idx="300">
                  <c:v>58.838999999999999</c:v>
                </c:pt>
                <c:pt idx="301">
                  <c:v>58.838999999999999</c:v>
                </c:pt>
                <c:pt idx="302">
                  <c:v>58.838999999999999</c:v>
                </c:pt>
                <c:pt idx="303">
                  <c:v>58.838999999999999</c:v>
                </c:pt>
                <c:pt idx="304">
                  <c:v>58.838999999999999</c:v>
                </c:pt>
                <c:pt idx="305">
                  <c:v>58.838999999999999</c:v>
                </c:pt>
                <c:pt idx="306">
                  <c:v>58.838999999999999</c:v>
                </c:pt>
                <c:pt idx="307">
                  <c:v>58.838999999999999</c:v>
                </c:pt>
                <c:pt idx="308">
                  <c:v>58.838999999999999</c:v>
                </c:pt>
                <c:pt idx="309">
                  <c:v>58.838999999999999</c:v>
                </c:pt>
                <c:pt idx="310">
                  <c:v>58.838999999999999</c:v>
                </c:pt>
                <c:pt idx="311">
                  <c:v>58.838999999999999</c:v>
                </c:pt>
                <c:pt idx="312">
                  <c:v>58.838999999999999</c:v>
                </c:pt>
                <c:pt idx="313">
                  <c:v>56.368699999999997</c:v>
                </c:pt>
                <c:pt idx="314">
                  <c:v>56.368699999999997</c:v>
                </c:pt>
                <c:pt idx="315">
                  <c:v>56.368699999999997</c:v>
                </c:pt>
                <c:pt idx="316">
                  <c:v>56.368699999999997</c:v>
                </c:pt>
                <c:pt idx="317">
                  <c:v>56.368699999999997</c:v>
                </c:pt>
                <c:pt idx="318">
                  <c:v>56.368699999999997</c:v>
                </c:pt>
                <c:pt idx="319">
                  <c:v>56.368699999999997</c:v>
                </c:pt>
                <c:pt idx="320">
                  <c:v>56.368699999999997</c:v>
                </c:pt>
                <c:pt idx="321">
                  <c:v>56.368699999999997</c:v>
                </c:pt>
                <c:pt idx="322">
                  <c:v>56.368699999999997</c:v>
                </c:pt>
                <c:pt idx="323">
                  <c:v>56.368699999999997</c:v>
                </c:pt>
                <c:pt idx="324">
                  <c:v>56.368699999999997</c:v>
                </c:pt>
                <c:pt idx="325">
                  <c:v>56.368699999999997</c:v>
                </c:pt>
                <c:pt idx="326">
                  <c:v>55.951300000000003</c:v>
                </c:pt>
                <c:pt idx="327">
                  <c:v>55.951300000000003</c:v>
                </c:pt>
                <c:pt idx="328">
                  <c:v>55.951300000000003</c:v>
                </c:pt>
                <c:pt idx="329">
                  <c:v>55.951300000000003</c:v>
                </c:pt>
                <c:pt idx="330">
                  <c:v>55.951300000000003</c:v>
                </c:pt>
                <c:pt idx="331">
                  <c:v>55.951300000000003</c:v>
                </c:pt>
                <c:pt idx="332">
                  <c:v>55.951300000000003</c:v>
                </c:pt>
                <c:pt idx="333">
                  <c:v>55.951300000000003</c:v>
                </c:pt>
                <c:pt idx="334">
                  <c:v>55.951300000000003</c:v>
                </c:pt>
                <c:pt idx="335">
                  <c:v>55.951300000000003</c:v>
                </c:pt>
                <c:pt idx="336">
                  <c:v>55.951300000000003</c:v>
                </c:pt>
                <c:pt idx="337">
                  <c:v>55.951300000000003</c:v>
                </c:pt>
                <c:pt idx="338">
                  <c:v>55.951300000000003</c:v>
                </c:pt>
                <c:pt idx="339">
                  <c:v>52.9754</c:v>
                </c:pt>
                <c:pt idx="340">
                  <c:v>52.9754</c:v>
                </c:pt>
                <c:pt idx="341">
                  <c:v>52.9754</c:v>
                </c:pt>
                <c:pt idx="342">
                  <c:v>52.9754</c:v>
                </c:pt>
                <c:pt idx="343">
                  <c:v>52.9754</c:v>
                </c:pt>
                <c:pt idx="344">
                  <c:v>52.9754</c:v>
                </c:pt>
                <c:pt idx="345">
                  <c:v>52.9754</c:v>
                </c:pt>
                <c:pt idx="346">
                  <c:v>52.9754</c:v>
                </c:pt>
                <c:pt idx="347">
                  <c:v>52.9754</c:v>
                </c:pt>
                <c:pt idx="348">
                  <c:v>52.9754</c:v>
                </c:pt>
                <c:pt idx="349">
                  <c:v>52.9754</c:v>
                </c:pt>
                <c:pt idx="350">
                  <c:v>52.9754</c:v>
                </c:pt>
                <c:pt idx="351">
                  <c:v>52.9754</c:v>
                </c:pt>
                <c:pt idx="352">
                  <c:v>54.832599999999999</c:v>
                </c:pt>
                <c:pt idx="353">
                  <c:v>54.832599999999999</c:v>
                </c:pt>
                <c:pt idx="354">
                  <c:v>54.832599999999999</c:v>
                </c:pt>
                <c:pt idx="355">
                  <c:v>54.832599999999999</c:v>
                </c:pt>
                <c:pt idx="356">
                  <c:v>54.832599999999999</c:v>
                </c:pt>
                <c:pt idx="357">
                  <c:v>54.832599999999999</c:v>
                </c:pt>
                <c:pt idx="358">
                  <c:v>54.832599999999999</c:v>
                </c:pt>
                <c:pt idx="359">
                  <c:v>54.832599999999999</c:v>
                </c:pt>
                <c:pt idx="360">
                  <c:v>54.832599999999999</c:v>
                </c:pt>
                <c:pt idx="361">
                  <c:v>54.832599999999999</c:v>
                </c:pt>
                <c:pt idx="362">
                  <c:v>54.832599999999999</c:v>
                </c:pt>
                <c:pt idx="363">
                  <c:v>54.832599999999999</c:v>
                </c:pt>
                <c:pt idx="364">
                  <c:v>54.832599999999999</c:v>
                </c:pt>
                <c:pt idx="365">
                  <c:v>55.659100000000002</c:v>
                </c:pt>
                <c:pt idx="366">
                  <c:v>55.659100000000002</c:v>
                </c:pt>
                <c:pt idx="367">
                  <c:v>55.659100000000002</c:v>
                </c:pt>
                <c:pt idx="368">
                  <c:v>55.659100000000002</c:v>
                </c:pt>
                <c:pt idx="369">
                  <c:v>55.659100000000002</c:v>
                </c:pt>
                <c:pt idx="370">
                  <c:v>55.659100000000002</c:v>
                </c:pt>
                <c:pt idx="371">
                  <c:v>55.659100000000002</c:v>
                </c:pt>
                <c:pt idx="372">
                  <c:v>55.659100000000002</c:v>
                </c:pt>
                <c:pt idx="373">
                  <c:v>55.659100000000002</c:v>
                </c:pt>
                <c:pt idx="374">
                  <c:v>55.659100000000002</c:v>
                </c:pt>
                <c:pt idx="375">
                  <c:v>55.659100000000002</c:v>
                </c:pt>
                <c:pt idx="376">
                  <c:v>55.659100000000002</c:v>
                </c:pt>
                <c:pt idx="377">
                  <c:v>55.659100000000002</c:v>
                </c:pt>
                <c:pt idx="378">
                  <c:v>55.659100000000002</c:v>
                </c:pt>
                <c:pt idx="379">
                  <c:v>55.659100000000002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6-4B0D-A70E-19B309BA2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909279"/>
        <c:axId val="1153908319"/>
      </c:lineChart>
      <c:dateAx>
        <c:axId val="11539092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3908319"/>
        <c:crosses val="autoZero"/>
        <c:auto val="1"/>
        <c:lblOffset val="100"/>
        <c:baseTimeUnit val="days"/>
      </c:dateAx>
      <c:valAx>
        <c:axId val="11539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390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C7130F-AB29-4988-8B56-BBC00BCDA683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01650A-3C88-4C4F-BA21-6F75A9ACC626}">
  <sheetPr/>
  <sheetViews>
    <sheetView tabSelected="1" zoomScale="5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A17B1A-864B-4445-8EAE-9F5F75F3E439}">
  <sheetPr codeName="Chart4"/>
  <sheetViews>
    <sheetView zoomScale="8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4EF2C5-9465-49C2-8AD9-C904019607F0}">
  <sheetPr codeName="Chart5"/>
  <sheetViews>
    <sheetView zoomScale="9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7E8453-6A8C-4026-9408-31B744D45BAB}">
  <sheetPr codeName="Chart6"/>
  <sheetViews>
    <sheetView zoomScale="9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1718B4-0613-4437-945F-C6A66AB1D2B9}">
  <sheetPr codeName="Chart7"/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F3325F-BF68-4F7C-91AE-40C9DC9B4019}">
  <sheetPr codeName="Chart8"/>
  <sheetViews>
    <sheetView zoomScale="9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AC578E-0412-494F-884F-D96CEFBE2180}">
  <sheetPr codeName="Chart9"/>
  <sheetViews>
    <sheetView zoomScale="9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9F703-803D-9226-CECE-5D7DFA0EAE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8306D-8CF0-953E-2609-E32211D142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24</xdr:row>
      <xdr:rowOff>157161</xdr:rowOff>
    </xdr:from>
    <xdr:to>
      <xdr:col>7</xdr:col>
      <xdr:colOff>390524</xdr:colOff>
      <xdr:row>43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A28569-79E5-2565-EA87-302FEC1A0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ED00F-C445-9798-EB2F-3C74011C05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E3524-EC60-C0A8-3ABE-9FD5D80591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4AD85-5597-4ED1-361B-266155193F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4992C-ED48-0E30-886F-1837A9739D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76200</xdr:rowOff>
    </xdr:from>
    <xdr:to>
      <xdr:col>13</xdr:col>
      <xdr:colOff>254000</xdr:colOff>
      <xdr:row>16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3E5A3B-E099-1F90-F085-549BC0F5A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DCFB2-7282-B294-F6C9-FE11D6B069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70214-AF36-73C7-B94E-37E92A00DD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Mercados%20Equity%20Global\ANALISIS%20BANCOS%20ARG%201.xlsx" TargetMode="External"/><Relationship Id="rId1" Type="http://schemas.openxmlformats.org/officeDocument/2006/relationships/externalLinkPath" Target="ANALISIS%20BANCOS%20ARG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V EW"/>
      <sheetName val="Ratio MktCapW"/>
      <sheetName val="Ratio Bancos_Util"/>
      <sheetName val="PBV Sector"/>
      <sheetName val="Beta_graf"/>
      <sheetName val="Indice Bancos"/>
      <sheetName val="Relativos"/>
      <sheetName val="Beta Rolling"/>
      <sheetName val="BASE"/>
      <sheetName val="PBV"/>
      <sheetName val="ROE"/>
      <sheetName val="Ratios"/>
      <sheetName val="rel ROE PBV"/>
      <sheetName val="ROE_WACC"/>
      <sheetName val="NIM"/>
      <sheetName val="Cost of Income"/>
      <sheetName val="PE"/>
      <sheetName val="Valuación"/>
      <sheetName val="Correl EMB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F365-B8C8-44AF-A515-3FC859C0A733}">
  <dimension ref="B1:AS1324"/>
  <sheetViews>
    <sheetView showGridLines="0" topLeftCell="O483" zoomScale="70" zoomScaleNormal="70" workbookViewId="0">
      <selection activeCell="AH522" sqref="AH522"/>
    </sheetView>
  </sheetViews>
  <sheetFormatPr defaultRowHeight="15" x14ac:dyDescent="0.25"/>
  <cols>
    <col min="2" max="2" width="13.140625" style="5" bestFit="1" customWidth="1"/>
    <col min="3" max="3" width="19.7109375" bestFit="1" customWidth="1"/>
    <col min="4" max="4" width="18.140625" bestFit="1" customWidth="1"/>
    <col min="5" max="5" width="19.7109375" bestFit="1" customWidth="1"/>
    <col min="6" max="6" width="23.42578125" bestFit="1" customWidth="1"/>
    <col min="7" max="7" width="23.140625" bestFit="1" customWidth="1"/>
    <col min="8" max="8" width="19.7109375" bestFit="1" customWidth="1"/>
    <col min="9" max="9" width="18.28515625" style="6" bestFit="1" customWidth="1"/>
    <col min="10" max="10" width="3.42578125" customWidth="1"/>
    <col min="11" max="11" width="14.140625" style="5" bestFit="1" customWidth="1"/>
    <col min="12" max="12" width="13.42578125" bestFit="1" customWidth="1"/>
    <col min="13" max="14" width="14.140625" bestFit="1" customWidth="1"/>
    <col min="15" max="16" width="14.140625" customWidth="1"/>
    <col min="17" max="17" width="14.140625" style="6" customWidth="1"/>
    <col min="18" max="18" width="3.28515625" customWidth="1"/>
    <col min="19" max="19" width="8.28515625" style="20" customWidth="1"/>
    <col min="20" max="20" width="2.85546875" customWidth="1"/>
    <col min="21" max="21" width="8.7109375" style="5"/>
    <col min="22" max="22" width="8.7109375" style="6"/>
    <col min="23" max="23" width="4.5703125" customWidth="1"/>
    <col min="24" max="24" width="15.140625" style="20" bestFit="1" customWidth="1"/>
    <col min="25" max="25" width="2.85546875" customWidth="1"/>
    <col min="26" max="26" width="15" style="5" customWidth="1"/>
    <col min="27" max="31" width="15" customWidth="1"/>
    <col min="32" max="32" width="15" style="6" customWidth="1"/>
    <col min="33" max="33" width="3.42578125" customWidth="1"/>
    <col min="34" max="34" width="12.85546875" bestFit="1" customWidth="1"/>
    <col min="35" max="35" width="5.140625" customWidth="1"/>
    <col min="39" max="39" width="11" bestFit="1" customWidth="1"/>
  </cols>
  <sheetData>
    <row r="1" spans="2:45" x14ac:dyDescent="0.25">
      <c r="B1"/>
      <c r="I1"/>
      <c r="K1"/>
      <c r="Q1"/>
      <c r="S1"/>
      <c r="U1"/>
      <c r="V1"/>
      <c r="X1"/>
      <c r="Z1"/>
      <c r="AF1"/>
    </row>
    <row r="2" spans="2:45" x14ac:dyDescent="0.25">
      <c r="B2" s="9" t="s">
        <v>6</v>
      </c>
      <c r="C2" s="10">
        <v>42736</v>
      </c>
      <c r="I2"/>
      <c r="K2"/>
      <c r="Q2"/>
      <c r="S2"/>
      <c r="U2"/>
      <c r="V2"/>
      <c r="X2"/>
      <c r="Z2"/>
      <c r="AA2" s="1"/>
      <c r="AF2"/>
    </row>
    <row r="3" spans="2:45" x14ac:dyDescent="0.25">
      <c r="B3" s="11" t="s">
        <v>5</v>
      </c>
      <c r="C3" s="12"/>
      <c r="I3"/>
      <c r="K3"/>
      <c r="Q3"/>
      <c r="S3"/>
      <c r="U3"/>
      <c r="V3"/>
      <c r="X3"/>
      <c r="Z3"/>
      <c r="AF3"/>
    </row>
    <row r="4" spans="2:45" x14ac:dyDescent="0.25">
      <c r="B4" s="3"/>
      <c r="C4" s="37" t="s">
        <v>44</v>
      </c>
      <c r="D4" s="38"/>
      <c r="E4" s="38"/>
      <c r="F4" s="38"/>
      <c r="G4" s="38"/>
      <c r="H4" s="38"/>
      <c r="I4" s="39"/>
      <c r="K4" s="37" t="s">
        <v>31</v>
      </c>
      <c r="L4" s="38"/>
      <c r="M4" s="38"/>
      <c r="N4" s="38"/>
      <c r="O4" s="38"/>
      <c r="P4" s="38"/>
      <c r="Q4" s="39"/>
      <c r="S4" s="13" t="s">
        <v>32</v>
      </c>
      <c r="U4" s="40" t="s">
        <v>33</v>
      </c>
      <c r="V4" s="41"/>
      <c r="X4" s="29" t="s">
        <v>0</v>
      </c>
      <c r="Z4" s="40" t="s">
        <v>34</v>
      </c>
      <c r="AA4" s="42"/>
      <c r="AB4" s="42"/>
      <c r="AC4" s="42"/>
      <c r="AD4" s="42"/>
      <c r="AE4" s="42"/>
      <c r="AF4" s="41"/>
      <c r="AG4" s="15"/>
      <c r="AH4" s="14" t="s">
        <v>35</v>
      </c>
      <c r="AI4" s="16"/>
      <c r="AJ4" s="17" t="s">
        <v>36</v>
      </c>
      <c r="AK4" s="17"/>
    </row>
    <row r="5" spans="2:45" x14ac:dyDescent="0.25">
      <c r="B5" s="18" t="s">
        <v>4</v>
      </c>
      <c r="C5" s="2" t="s">
        <v>7</v>
      </c>
      <c r="D5" s="2" t="s">
        <v>10</v>
      </c>
      <c r="E5" s="2" t="s">
        <v>8</v>
      </c>
      <c r="F5" s="2" t="s">
        <v>11</v>
      </c>
      <c r="G5" s="2" t="s">
        <v>12</v>
      </c>
      <c r="H5" s="2" t="s">
        <v>9</v>
      </c>
      <c r="I5" s="19" t="s">
        <v>3</v>
      </c>
      <c r="K5" s="18" t="s">
        <v>7</v>
      </c>
      <c r="L5" s="2" t="s">
        <v>10</v>
      </c>
      <c r="M5" s="2" t="s">
        <v>8</v>
      </c>
      <c r="N5" s="2" t="s">
        <v>11</v>
      </c>
      <c r="O5" s="2" t="s">
        <v>12</v>
      </c>
      <c r="P5" s="2" t="s">
        <v>9</v>
      </c>
      <c r="Q5" s="19" t="str">
        <f>+I5</f>
        <v>MERVAL Index</v>
      </c>
      <c r="R5" s="2"/>
      <c r="U5" s="18" t="s">
        <v>2</v>
      </c>
      <c r="V5" s="19" t="s">
        <v>1</v>
      </c>
      <c r="Z5" s="18" t="s">
        <v>4</v>
      </c>
      <c r="AA5" s="2" t="s">
        <v>7</v>
      </c>
      <c r="AB5" s="2" t="s">
        <v>10</v>
      </c>
      <c r="AC5" s="2" t="s">
        <v>8</v>
      </c>
      <c r="AD5" s="2" t="s">
        <v>11</v>
      </c>
      <c r="AE5" s="2" t="s">
        <v>12</v>
      </c>
      <c r="AF5" s="19" t="s">
        <v>9</v>
      </c>
      <c r="AG5" s="2"/>
      <c r="AH5" s="21"/>
      <c r="AJ5" s="18" t="s">
        <v>2</v>
      </c>
      <c r="AK5" s="19" t="s">
        <v>1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</row>
    <row r="6" spans="2:45" x14ac:dyDescent="0.25">
      <c r="B6" s="22">
        <f>_xll.BDH(C$5,"PX_LAST",$C2,$C3,"Dir=V","Per=W","Days=A","Dts=S","cols=2;rows=510")</f>
        <v>42741</v>
      </c>
      <c r="C6">
        <v>18.375</v>
      </c>
      <c r="D6">
        <f>_xll.BDH(D$5,"PX_LAST",$C2,$C3,"Dir=V","Per=W","Days=A","Dts=H","cols=1;rows=510")</f>
        <v>24.8</v>
      </c>
      <c r="E6">
        <f>_xll.BDH(E$5,"PX_LAST",$C2,$C3,"Dir=V","Per=W","Days=A","Dts=H","cols=1;rows=510")</f>
        <v>10.012</v>
      </c>
      <c r="F6">
        <f>_xll.BDH(F$5,"PX_LAST",$C2,$C3,"Dir=V","Per=W","Days=A","Dts=H","cols=1;rows=510")</f>
        <v>10.779</v>
      </c>
      <c r="G6">
        <f>_xll.BDH(G$5,"PX_LAST",$C2,$C3,"Dir=V","Per=W","Days=A","Dts=H","cols=1;rows=510")</f>
        <v>24.027000000000001</v>
      </c>
      <c r="H6">
        <f>_xll.BDH(H$5,"PX_LAST",$C2,$C3,"Dir=V","Per=W","Days=A","Dts=H","cols=1;rows=510")</f>
        <v>13.555999999999999</v>
      </c>
      <c r="I6" s="6">
        <f>_xll.BDH(I$5,"PX_LAST",$C2,$C3,"Dir=V","Per=W","Days=A","Dts=H","cols=1;rows=510")</f>
        <v>18284.28</v>
      </c>
      <c r="U6" s="5">
        <v>100</v>
      </c>
      <c r="V6" s="6">
        <v>100</v>
      </c>
      <c r="X6" s="20">
        <f>+(U6/$U$6)/(V6/$V$6)</f>
        <v>1</v>
      </c>
      <c r="Z6" s="22">
        <f>_xll.BDH(AA$5,"CUR_MKT_CAP",$C2,$C3,"Dir=V","Per=W","Days=A","Dts=S","cols=2;rows=510")</f>
        <v>42741</v>
      </c>
      <c r="AA6" s="33">
        <v>36904.292500000003</v>
      </c>
      <c r="AB6" s="33">
        <f>_xll.BDH(AB$5,"CUR_MKT_CAP",$C2,$C3,"Dir=V","Per=W","Days=A","Dts=H","cols=1;rows=510")</f>
        <v>22480.086599999999</v>
      </c>
      <c r="AC6" s="33">
        <f>_xll.BDH(AC$5,"CUR_MKT_CAP",$C2,$C3,"Dir=V","Per=W","Days=A","Dts=H","cols=1;rows=510")</f>
        <v>7759.5577999999996</v>
      </c>
      <c r="AD6" s="33">
        <f>_xll.BDH(AD$5,"CUR_MKT_CAP",$C2,$C3,"Dir=V","Per=W","Days=A","Dts=H","cols=1;rows=510")</f>
        <v>7051.9528</v>
      </c>
      <c r="AE6" s="33">
        <f>_xll.BDH(AE$5,"CUR_MKT_CAP",$C2,$C3,"Dir=V","Per=W","Days=A","Dts=H","cols=1;rows=510")</f>
        <v>23795.1342</v>
      </c>
      <c r="AF6" s="34">
        <f>_xll.BDH(AF$5,"PX_LAST",$C2,$C3,"Dir=V","Per=W","Days=A","Dts=H","cols=1;rows=510")</f>
        <v>13.555999999999999</v>
      </c>
      <c r="AH6" s="20"/>
      <c r="AJ6" s="5">
        <v>100</v>
      </c>
      <c r="AK6" s="6">
        <v>100</v>
      </c>
      <c r="AM6" s="1">
        <f>+B6</f>
        <v>42741</v>
      </c>
      <c r="AN6">
        <f>+(AJ6/$AJ$6)/(AK6/$AK$6)</f>
        <v>1</v>
      </c>
    </row>
    <row r="7" spans="2:45" x14ac:dyDescent="0.25">
      <c r="B7" s="22">
        <v>42748</v>
      </c>
      <c r="C7">
        <v>18.657</v>
      </c>
      <c r="D7" s="27">
        <v>24.85</v>
      </c>
      <c r="E7">
        <v>9.9550000000000001</v>
      </c>
      <c r="F7">
        <v>10.744999999999999</v>
      </c>
      <c r="G7">
        <v>25.271000000000001</v>
      </c>
      <c r="H7">
        <v>13.327999999999999</v>
      </c>
      <c r="I7" s="6">
        <v>18885.09</v>
      </c>
      <c r="K7" s="23">
        <f t="shared" ref="K7:K38" si="0">+C7/C6-1</f>
        <v>1.5346938775510299E-2</v>
      </c>
      <c r="L7" s="24">
        <f t="shared" ref="L7:L38" si="1">+D7/D6-1</f>
        <v>2.0161290322580072E-3</v>
      </c>
      <c r="M7" s="24">
        <f t="shared" ref="M7:M38" si="2">+E7/E6-1</f>
        <v>-5.6931681981622351E-3</v>
      </c>
      <c r="N7" s="24">
        <f t="shared" ref="N7:N38" si="3">+F7/F6-1</f>
        <v>-3.1542814732350433E-3</v>
      </c>
      <c r="O7" s="24">
        <f t="shared" ref="O7:O38" si="4">+G7/G6-1</f>
        <v>5.1775086361177003E-2</v>
      </c>
      <c r="P7" s="24">
        <f t="shared" ref="P7:P38" si="5">+H7/H6-1</f>
        <v>-1.6819120684567701E-2</v>
      </c>
      <c r="Q7" s="25">
        <f t="shared" ref="Q7:Q38" si="6">+I7/I6-1</f>
        <v>3.2859374282170339E-2</v>
      </c>
      <c r="S7" s="26">
        <f>+AVERAGE(K7:P7)</f>
        <v>7.2452639688300553E-3</v>
      </c>
      <c r="U7" s="5">
        <f>+U6*(1+S7)</f>
        <v>100.72452639688301</v>
      </c>
      <c r="V7" s="6">
        <f>+V6*(1+Q7)</f>
        <v>103.28593742821704</v>
      </c>
      <c r="X7" s="20">
        <f t="shared" ref="X7:X70" si="7">+(U7/$U$6)/(V7/$V$6)</f>
        <v>0.97520077664866833</v>
      </c>
      <c r="Z7" s="22">
        <v>42748</v>
      </c>
      <c r="AA7" s="33">
        <v>37472.050799999997</v>
      </c>
      <c r="AB7" s="27">
        <v>22525.409299999999</v>
      </c>
      <c r="AC7" s="33">
        <v>7715.0904</v>
      </c>
      <c r="AD7" s="33">
        <v>7029.9840999999997</v>
      </c>
      <c r="AE7" s="33">
        <v>25026.601999999999</v>
      </c>
      <c r="AF7" s="34">
        <v>13.327999999999999</v>
      </c>
      <c r="AH7" s="28">
        <f>+SUMPRODUCT(K7:P7,AA6:AF6)/SUM(AA6:AF6)</f>
        <v>1.8132188220397902E-2</v>
      </c>
      <c r="AJ7" s="5">
        <f>+AJ6*(1+AH7)</f>
        <v>101.8132188220398</v>
      </c>
      <c r="AK7" s="6">
        <f>+AK6*(1+Q7)</f>
        <v>103.28593742821704</v>
      </c>
      <c r="AM7" s="1">
        <f t="shared" ref="AM7:AM70" si="8">+B7</f>
        <v>42748</v>
      </c>
      <c r="AN7">
        <f t="shared" ref="AN7:AN70" si="9">+(AJ7/$AJ$6)/(AK7/$AK$6)</f>
        <v>0.9857413444380968</v>
      </c>
    </row>
    <row r="8" spans="2:45" x14ac:dyDescent="0.25">
      <c r="B8" s="22">
        <v>42755</v>
      </c>
      <c r="C8">
        <v>18.280999999999999</v>
      </c>
      <c r="D8">
        <v>24.7</v>
      </c>
      <c r="E8">
        <v>9.8979999999999997</v>
      </c>
      <c r="F8">
        <v>10.813000000000001</v>
      </c>
      <c r="G8">
        <v>25.550999999999998</v>
      </c>
      <c r="H8">
        <v>13.42</v>
      </c>
      <c r="I8" s="6">
        <v>19039.490000000002</v>
      </c>
      <c r="K8" s="23">
        <f t="shared" si="0"/>
        <v>-2.0153293669936234E-2</v>
      </c>
      <c r="L8" s="24">
        <f t="shared" si="1"/>
        <v>-6.0362173038229772E-3</v>
      </c>
      <c r="M8" s="24">
        <f t="shared" si="2"/>
        <v>-5.7257659467604416E-3</v>
      </c>
      <c r="N8" s="24">
        <f t="shared" si="3"/>
        <v>6.3285248953002249E-3</v>
      </c>
      <c r="O8" s="24">
        <f t="shared" si="4"/>
        <v>1.1079893949586417E-2</v>
      </c>
      <c r="P8" s="24">
        <f t="shared" si="5"/>
        <v>6.9027611044418791E-3</v>
      </c>
      <c r="Q8" s="25">
        <f t="shared" si="6"/>
        <v>8.1757619370625978E-3</v>
      </c>
      <c r="S8" s="26">
        <f t="shared" ref="S8:S71" si="10">+AVERAGE(K8:P8)</f>
        <v>-1.267349495198522E-3</v>
      </c>
      <c r="U8" s="5">
        <f t="shared" ref="U8:U71" si="11">+U7*(1+S8)</f>
        <v>100.59687321919981</v>
      </c>
      <c r="V8" s="6">
        <f t="shared" ref="V8:V71" si="12">+V7*(1+Q8)</f>
        <v>104.13037866407649</v>
      </c>
      <c r="X8" s="20">
        <f t="shared" si="7"/>
        <v>0.9660665265006313</v>
      </c>
      <c r="Z8" s="22">
        <v>42755</v>
      </c>
      <c r="AA8" s="33">
        <v>36715.039700000001</v>
      </c>
      <c r="AB8" s="33">
        <v>22389.4411</v>
      </c>
      <c r="AC8" s="33">
        <v>7670.6229999999996</v>
      </c>
      <c r="AD8" s="33">
        <v>7073.9215000000004</v>
      </c>
      <c r="AE8" s="33">
        <v>25304.675299999999</v>
      </c>
      <c r="AF8" s="34">
        <v>13.42</v>
      </c>
      <c r="AH8" s="28">
        <f t="shared" ref="AH8:AH71" si="13">+SUMPRODUCT(K8:P8,AA7:AF7)/SUM(AA7:AF7)</f>
        <v>-6.1479217661967855E-3</v>
      </c>
      <c r="AJ8" s="5">
        <f t="shared" ref="AJ8:AJ71" si="14">+AJ7*(1+AH8)</f>
        <v>101.18727911795722</v>
      </c>
      <c r="AK8" s="6">
        <f t="shared" ref="AK8:AK71" si="15">+AK7*(1+Q8)</f>
        <v>104.13037866407649</v>
      </c>
      <c r="AM8" s="1">
        <f t="shared" si="8"/>
        <v>42755</v>
      </c>
      <c r="AN8">
        <f t="shared" si="9"/>
        <v>0.97173639831260317</v>
      </c>
    </row>
    <row r="9" spans="2:45" x14ac:dyDescent="0.25">
      <c r="B9" s="22">
        <v>42762</v>
      </c>
      <c r="C9">
        <v>18.463999999999999</v>
      </c>
      <c r="D9">
        <v>24.4</v>
      </c>
      <c r="E9">
        <v>10.098000000000001</v>
      </c>
      <c r="F9">
        <v>11.148</v>
      </c>
      <c r="G9">
        <v>25.510999999999999</v>
      </c>
      <c r="H9">
        <v>13.510999999999999</v>
      </c>
      <c r="I9" s="6">
        <v>19215.78</v>
      </c>
      <c r="K9" s="23">
        <f t="shared" si="0"/>
        <v>1.0010393304523912E-2</v>
      </c>
      <c r="L9" s="24">
        <f t="shared" si="1"/>
        <v>-1.2145748987854255E-2</v>
      </c>
      <c r="M9" s="24">
        <f t="shared" si="2"/>
        <v>2.0206102242877444E-2</v>
      </c>
      <c r="N9" s="24">
        <f t="shared" si="3"/>
        <v>3.098122630167377E-2</v>
      </c>
      <c r="O9" s="24">
        <f t="shared" si="4"/>
        <v>-1.5654964580642527E-3</v>
      </c>
      <c r="P9" s="24">
        <f t="shared" si="5"/>
        <v>6.7809239940386234E-3</v>
      </c>
      <c r="Q9" s="25">
        <f t="shared" si="6"/>
        <v>9.2591765850869034E-3</v>
      </c>
      <c r="S9" s="26">
        <f t="shared" si="10"/>
        <v>9.0445667328658743E-3</v>
      </c>
      <c r="U9" s="5">
        <f t="shared" si="11"/>
        <v>101.5067283521485</v>
      </c>
      <c r="V9" s="6">
        <f t="shared" si="12"/>
        <v>105.09454022799913</v>
      </c>
      <c r="X9" s="20">
        <f t="shared" si="7"/>
        <v>0.9658611011755035</v>
      </c>
      <c r="Z9" s="22">
        <v>42762</v>
      </c>
      <c r="AA9" s="33">
        <v>37084.082600000002</v>
      </c>
      <c r="AB9" s="33">
        <v>22117.504499999999</v>
      </c>
      <c r="AC9" s="33">
        <v>7826.2587999999996</v>
      </c>
      <c r="AD9" s="33">
        <v>7293.6085000000003</v>
      </c>
      <c r="AE9" s="33">
        <v>25264.950499999999</v>
      </c>
      <c r="AF9" s="34">
        <v>13.510999999999999</v>
      </c>
      <c r="AH9" s="28">
        <f t="shared" si="13"/>
        <v>4.3383757568835682E-3</v>
      </c>
      <c r="AJ9" s="5">
        <f t="shared" si="14"/>
        <v>101.62626755658758</v>
      </c>
      <c r="AK9" s="6">
        <f t="shared" si="15"/>
        <v>105.09454022799913</v>
      </c>
      <c r="AM9" s="1">
        <f t="shared" si="8"/>
        <v>42762</v>
      </c>
      <c r="AN9">
        <f t="shared" si="9"/>
        <v>0.96699854565339682</v>
      </c>
    </row>
    <row r="10" spans="2:45" x14ac:dyDescent="0.25">
      <c r="B10" s="22">
        <v>42769</v>
      </c>
      <c r="C10">
        <v>20.353999999999999</v>
      </c>
      <c r="D10">
        <v>26.7</v>
      </c>
      <c r="E10">
        <v>10.07</v>
      </c>
      <c r="F10">
        <v>11.853999999999999</v>
      </c>
      <c r="G10">
        <v>27.276</v>
      </c>
      <c r="H10">
        <v>15.154</v>
      </c>
      <c r="I10" s="6">
        <v>19200.5</v>
      </c>
      <c r="K10" s="23">
        <f t="shared" si="0"/>
        <v>0.10236135181975747</v>
      </c>
      <c r="L10" s="24">
        <f t="shared" si="1"/>
        <v>9.4262295081967151E-2</v>
      </c>
      <c r="M10" s="24">
        <f t="shared" si="2"/>
        <v>-2.7728263022380739E-3</v>
      </c>
      <c r="N10" s="24">
        <f t="shared" si="3"/>
        <v>6.3329745245783942E-2</v>
      </c>
      <c r="O10" s="24">
        <f t="shared" si="4"/>
        <v>6.9185841401748327E-2</v>
      </c>
      <c r="P10" s="24">
        <f t="shared" si="5"/>
        <v>0.12160461845903336</v>
      </c>
      <c r="Q10" s="25">
        <f t="shared" si="6"/>
        <v>-7.9517979493926028E-4</v>
      </c>
      <c r="S10" s="26">
        <f t="shared" si="10"/>
        <v>7.4661837617675364E-2</v>
      </c>
      <c r="U10" s="5">
        <f t="shared" si="11"/>
        <v>109.08540722147809</v>
      </c>
      <c r="V10" s="6">
        <f t="shared" si="12"/>
        <v>105.0109711730514</v>
      </c>
      <c r="X10" s="20">
        <f t="shared" si="7"/>
        <v>1.0388000987221828</v>
      </c>
      <c r="Z10" s="22">
        <v>42769</v>
      </c>
      <c r="AA10" s="33">
        <v>40878.600899999998</v>
      </c>
      <c r="AB10" s="33">
        <v>24202.351299999998</v>
      </c>
      <c r="AC10" s="33">
        <v>7804.0250999999998</v>
      </c>
      <c r="AD10" s="33">
        <v>7754.9512000000004</v>
      </c>
      <c r="AE10" s="33">
        <v>27012.840199999999</v>
      </c>
      <c r="AF10" s="34">
        <v>15.154</v>
      </c>
      <c r="AH10" s="28">
        <f t="shared" si="13"/>
        <v>8.1030640025691311E-2</v>
      </c>
      <c r="AJ10" s="5">
        <f t="shared" si="14"/>
        <v>109.86110906012001</v>
      </c>
      <c r="AK10" s="6">
        <f t="shared" si="15"/>
        <v>105.0109711730514</v>
      </c>
      <c r="AM10" s="1">
        <f t="shared" si="8"/>
        <v>42769</v>
      </c>
      <c r="AN10">
        <f t="shared" si="9"/>
        <v>1.0461869634466658</v>
      </c>
    </row>
    <row r="11" spans="2:45" x14ac:dyDescent="0.25">
      <c r="B11" s="22">
        <v>42776</v>
      </c>
      <c r="C11">
        <v>20.277999999999999</v>
      </c>
      <c r="D11">
        <v>25.35</v>
      </c>
      <c r="E11">
        <v>10.327999999999999</v>
      </c>
      <c r="F11">
        <v>12.257</v>
      </c>
      <c r="G11">
        <v>28.239000000000001</v>
      </c>
      <c r="H11">
        <v>17.254000000000001</v>
      </c>
      <c r="I11" s="6">
        <v>19502.93</v>
      </c>
      <c r="K11" s="23">
        <f t="shared" si="0"/>
        <v>-3.7339097966001544E-3</v>
      </c>
      <c r="L11" s="24">
        <f t="shared" si="1"/>
        <v>-5.056179775280889E-2</v>
      </c>
      <c r="M11" s="24">
        <f t="shared" si="2"/>
        <v>2.5620655412115001E-2</v>
      </c>
      <c r="N11" s="24">
        <f t="shared" si="3"/>
        <v>3.3996963050447082E-2</v>
      </c>
      <c r="O11" s="24">
        <f t="shared" si="4"/>
        <v>3.5305763308403071E-2</v>
      </c>
      <c r="P11" s="24">
        <f t="shared" si="5"/>
        <v>0.1385772733271744</v>
      </c>
      <c r="Q11" s="25">
        <f t="shared" si="6"/>
        <v>1.5751152313741912E-2</v>
      </c>
      <c r="S11" s="26">
        <f t="shared" si="10"/>
        <v>2.9867491258121753E-2</v>
      </c>
      <c r="U11" s="5">
        <f t="shared" si="11"/>
        <v>112.34351466805425</v>
      </c>
      <c r="V11" s="6">
        <f t="shared" si="12"/>
        <v>106.66501497461209</v>
      </c>
      <c r="X11" s="20">
        <f t="shared" si="7"/>
        <v>1.0532367589766309</v>
      </c>
      <c r="Z11" s="22">
        <v>42776</v>
      </c>
      <c r="AA11" s="33">
        <v>40727.198700000001</v>
      </c>
      <c r="AB11" s="33">
        <v>22978.636900000001</v>
      </c>
      <c r="AC11" s="33">
        <v>8004.1283999999996</v>
      </c>
      <c r="AD11" s="33">
        <v>8018.5756000000001</v>
      </c>
      <c r="AE11" s="33">
        <v>27966.2346</v>
      </c>
      <c r="AF11" s="34">
        <v>17.254000000000001</v>
      </c>
      <c r="AH11" s="28">
        <f t="shared" si="13"/>
        <v>3.9980867730703167E-4</v>
      </c>
      <c r="AJ11" s="5">
        <f t="shared" si="14"/>
        <v>109.90503248482081</v>
      </c>
      <c r="AK11" s="6">
        <f t="shared" si="15"/>
        <v>106.66501497461209</v>
      </c>
      <c r="AM11" s="1">
        <f t="shared" si="8"/>
        <v>42776</v>
      </c>
      <c r="AN11">
        <f t="shared" si="9"/>
        <v>1.0303756345131521</v>
      </c>
    </row>
    <row r="12" spans="2:45" x14ac:dyDescent="0.25">
      <c r="B12" s="22">
        <v>42783</v>
      </c>
      <c r="C12">
        <v>19.600000000000001</v>
      </c>
      <c r="D12">
        <v>27</v>
      </c>
      <c r="E12">
        <v>11.446999999999999</v>
      </c>
      <c r="F12">
        <v>12.356999999999999</v>
      </c>
      <c r="G12">
        <v>28.038</v>
      </c>
      <c r="H12">
        <v>19.308</v>
      </c>
      <c r="I12" s="6">
        <v>19681.34</v>
      </c>
      <c r="K12" s="23">
        <f t="shared" si="0"/>
        <v>-3.3435250024657082E-2</v>
      </c>
      <c r="L12" s="24">
        <f t="shared" si="1"/>
        <v>6.5088757396449592E-2</v>
      </c>
      <c r="M12" s="24">
        <f t="shared" si="2"/>
        <v>0.10834624322230835</v>
      </c>
      <c r="N12" s="24">
        <f t="shared" si="3"/>
        <v>8.158603247124141E-3</v>
      </c>
      <c r="O12" s="24">
        <f t="shared" si="4"/>
        <v>-7.1178157866780278E-3</v>
      </c>
      <c r="P12" s="24">
        <f t="shared" si="5"/>
        <v>0.1190448591630926</v>
      </c>
      <c r="Q12" s="25">
        <f t="shared" si="6"/>
        <v>9.1478562451898782E-3</v>
      </c>
      <c r="S12" s="26">
        <f t="shared" si="10"/>
        <v>4.3347566202939926E-2</v>
      </c>
      <c r="U12" s="5">
        <f t="shared" si="11"/>
        <v>117.21333260759869</v>
      </c>
      <c r="V12" s="6">
        <f t="shared" si="12"/>
        <v>107.64077119799087</v>
      </c>
      <c r="X12" s="20">
        <f t="shared" si="7"/>
        <v>1.0889306282653846</v>
      </c>
      <c r="Z12" s="22">
        <v>42783</v>
      </c>
      <c r="AA12" s="33">
        <v>39364.578699999998</v>
      </c>
      <c r="AB12" s="33">
        <v>24474.287799999998</v>
      </c>
      <c r="AC12" s="33">
        <v>8871.2422999999999</v>
      </c>
      <c r="AD12" s="33">
        <v>8084.4817999999996</v>
      </c>
      <c r="AE12" s="33">
        <v>27767.610700000001</v>
      </c>
      <c r="AF12" s="34">
        <v>19.308</v>
      </c>
      <c r="AH12" s="28">
        <f t="shared" si="13"/>
        <v>8.0730070623017975E-3</v>
      </c>
      <c r="AJ12" s="5">
        <f t="shared" si="14"/>
        <v>110.79229658825328</v>
      </c>
      <c r="AK12" s="6">
        <f t="shared" si="15"/>
        <v>107.64077119799087</v>
      </c>
      <c r="AM12" s="1">
        <f t="shared" si="8"/>
        <v>42783</v>
      </c>
      <c r="AN12">
        <f t="shared" si="9"/>
        <v>1.0292781755016005</v>
      </c>
    </row>
    <row r="13" spans="2:45" x14ac:dyDescent="0.25">
      <c r="B13" s="22">
        <v>42790</v>
      </c>
      <c r="C13">
        <v>19.826000000000001</v>
      </c>
      <c r="D13">
        <v>26.2</v>
      </c>
      <c r="E13">
        <v>11.992000000000001</v>
      </c>
      <c r="F13">
        <v>12.558999999999999</v>
      </c>
      <c r="G13">
        <v>29.523</v>
      </c>
      <c r="H13">
        <v>19.992000000000001</v>
      </c>
      <c r="I13" s="6">
        <v>19117.45</v>
      </c>
      <c r="K13" s="23">
        <f t="shared" si="0"/>
        <v>1.1530612244897931E-2</v>
      </c>
      <c r="L13" s="24">
        <f t="shared" si="1"/>
        <v>-2.9629629629629672E-2</v>
      </c>
      <c r="M13" s="24">
        <f t="shared" si="2"/>
        <v>4.7610727701581368E-2</v>
      </c>
      <c r="N13" s="24">
        <f t="shared" si="3"/>
        <v>1.6347009792020639E-2</v>
      </c>
      <c r="O13" s="24">
        <f t="shared" si="4"/>
        <v>5.296383479563449E-2</v>
      </c>
      <c r="P13" s="24">
        <f t="shared" si="5"/>
        <v>3.5425730267246713E-2</v>
      </c>
      <c r="Q13" s="25">
        <f t="shared" si="6"/>
        <v>-2.8650996324437239E-2</v>
      </c>
      <c r="S13" s="26">
        <f t="shared" si="10"/>
        <v>2.2374714195291912E-2</v>
      </c>
      <c r="U13" s="5">
        <f t="shared" si="11"/>
        <v>119.8359474245714</v>
      </c>
      <c r="V13" s="6">
        <f t="shared" si="12"/>
        <v>104.55675585803765</v>
      </c>
      <c r="X13" s="20">
        <f t="shared" si="7"/>
        <v>1.146132991992207</v>
      </c>
      <c r="Z13" s="22">
        <v>42790</v>
      </c>
      <c r="AA13" s="33">
        <v>39818.785300000003</v>
      </c>
      <c r="AB13" s="33">
        <v>23749.1237</v>
      </c>
      <c r="AC13" s="33">
        <v>9293.6823999999997</v>
      </c>
      <c r="AD13" s="33">
        <v>8216.2939999999999</v>
      </c>
      <c r="AE13" s="33">
        <v>29237.427100000001</v>
      </c>
      <c r="AF13" s="34">
        <v>19.992000000000001</v>
      </c>
      <c r="AH13" s="28">
        <f t="shared" si="13"/>
        <v>1.6159474775903303E-2</v>
      </c>
      <c r="AJ13" s="5">
        <f t="shared" si="14"/>
        <v>112.58264191033555</v>
      </c>
      <c r="AK13" s="6">
        <f t="shared" si="15"/>
        <v>104.55675585803765</v>
      </c>
      <c r="AM13" s="1">
        <f t="shared" si="8"/>
        <v>42790</v>
      </c>
      <c r="AN13">
        <f t="shared" si="9"/>
        <v>1.0767610470163695</v>
      </c>
    </row>
    <row r="14" spans="2:45" x14ac:dyDescent="0.25">
      <c r="B14" s="22">
        <v>42797</v>
      </c>
      <c r="C14">
        <v>19.713000000000001</v>
      </c>
      <c r="D14">
        <v>26.15</v>
      </c>
      <c r="E14">
        <v>12.048999999999999</v>
      </c>
      <c r="F14">
        <v>13.835000000000001</v>
      </c>
      <c r="G14">
        <v>29.603000000000002</v>
      </c>
      <c r="H14">
        <v>21.908999999999999</v>
      </c>
      <c r="I14" s="6">
        <v>19265.45</v>
      </c>
      <c r="K14" s="23">
        <f t="shared" si="0"/>
        <v>-5.6995864016947673E-3</v>
      </c>
      <c r="L14" s="24">
        <f t="shared" si="1"/>
        <v>-1.9083969465648609E-3</v>
      </c>
      <c r="M14" s="24">
        <f t="shared" si="2"/>
        <v>4.7531687791859678E-3</v>
      </c>
      <c r="N14" s="24">
        <f t="shared" si="3"/>
        <v>0.10160044589537387</v>
      </c>
      <c r="O14" s="24">
        <f t="shared" si="4"/>
        <v>2.7097517189988984E-3</v>
      </c>
      <c r="P14" s="24">
        <f t="shared" si="5"/>
        <v>9.58883553421368E-2</v>
      </c>
      <c r="Q14" s="25">
        <f t="shared" si="6"/>
        <v>7.7416182597573879E-3</v>
      </c>
      <c r="S14" s="26">
        <f t="shared" si="10"/>
        <v>3.2890623064572654E-2</v>
      </c>
      <c r="U14" s="5">
        <f t="shared" si="11"/>
        <v>123.77742640089893</v>
      </c>
      <c r="V14" s="6">
        <f t="shared" si="12"/>
        <v>105.36619434836922</v>
      </c>
      <c r="X14" s="20">
        <f t="shared" si="7"/>
        <v>1.1747356651380725</v>
      </c>
      <c r="Z14" s="22">
        <v>42797</v>
      </c>
      <c r="AA14" s="33">
        <v>39591.682000000001</v>
      </c>
      <c r="AB14" s="33">
        <v>23703.800999999999</v>
      </c>
      <c r="AC14" s="33">
        <v>9338.1496999999999</v>
      </c>
      <c r="AD14" s="33">
        <v>9051.1046000000006</v>
      </c>
      <c r="AE14" s="33">
        <v>29316.8766</v>
      </c>
      <c r="AF14" s="34">
        <v>21.908999999999999</v>
      </c>
      <c r="AH14" s="28">
        <f t="shared" si="13"/>
        <v>6.2339373975952572E-3</v>
      </c>
      <c r="AJ14" s="5">
        <f t="shared" si="14"/>
        <v>113.28447505206047</v>
      </c>
      <c r="AK14" s="6">
        <f t="shared" si="15"/>
        <v>105.36619434836922</v>
      </c>
      <c r="AM14" s="1">
        <f t="shared" si="8"/>
        <v>42797</v>
      </c>
      <c r="AN14">
        <f t="shared" si="9"/>
        <v>1.0751501062808748</v>
      </c>
    </row>
    <row r="15" spans="2:45" x14ac:dyDescent="0.25">
      <c r="B15" s="22">
        <v>42804</v>
      </c>
      <c r="C15">
        <v>19.600000000000001</v>
      </c>
      <c r="D15">
        <v>24.5</v>
      </c>
      <c r="E15">
        <v>11.561</v>
      </c>
      <c r="F15">
        <v>13.901999999999999</v>
      </c>
      <c r="G15">
        <v>32.21</v>
      </c>
      <c r="H15">
        <v>19.353000000000002</v>
      </c>
      <c r="I15" s="6">
        <v>18895.91</v>
      </c>
      <c r="K15" s="23">
        <f t="shared" si="0"/>
        <v>-5.7322579008776131E-3</v>
      </c>
      <c r="L15" s="24">
        <f t="shared" si="1"/>
        <v>-6.3097514340344163E-2</v>
      </c>
      <c r="M15" s="24">
        <f t="shared" si="2"/>
        <v>-4.0501286413810234E-2</v>
      </c>
      <c r="N15" s="24">
        <f t="shared" si="3"/>
        <v>4.8427900252980827E-3</v>
      </c>
      <c r="O15" s="24">
        <f t="shared" si="4"/>
        <v>8.8065398777150916E-2</v>
      </c>
      <c r="P15" s="24">
        <f t="shared" si="5"/>
        <v>-0.11666438449952066</v>
      </c>
      <c r="Q15" s="25">
        <f t="shared" si="6"/>
        <v>-1.9181488104352606E-2</v>
      </c>
      <c r="S15" s="26">
        <f t="shared" si="10"/>
        <v>-2.2181209058683943E-2</v>
      </c>
      <c r="U15" s="5">
        <f t="shared" si="11"/>
        <v>121.03189342915474</v>
      </c>
      <c r="V15" s="6">
        <f t="shared" si="12"/>
        <v>103.34511394487507</v>
      </c>
      <c r="X15" s="20">
        <f t="shared" si="7"/>
        <v>1.1711428708058118</v>
      </c>
      <c r="Z15" s="22">
        <v>42804</v>
      </c>
      <c r="AA15" s="33">
        <v>39364.578699999998</v>
      </c>
      <c r="AB15" s="33">
        <v>22208.15</v>
      </c>
      <c r="AC15" s="33">
        <v>8960.1769999999997</v>
      </c>
      <c r="AD15" s="33">
        <v>9095.0419999999995</v>
      </c>
      <c r="AE15" s="33">
        <v>31898.9863</v>
      </c>
      <c r="AF15" s="34">
        <v>19.353000000000002</v>
      </c>
      <c r="AH15" s="28">
        <f t="shared" si="13"/>
        <v>4.7041499230601304E-3</v>
      </c>
      <c r="AJ15" s="5">
        <f t="shared" si="14"/>
        <v>113.81738220666054</v>
      </c>
      <c r="AK15" s="6">
        <f t="shared" si="15"/>
        <v>103.34511394487507</v>
      </c>
      <c r="AM15" s="1">
        <f t="shared" si="8"/>
        <v>42804</v>
      </c>
      <c r="AN15">
        <f t="shared" si="9"/>
        <v>1.1013329790063557</v>
      </c>
    </row>
    <row r="16" spans="2:45" x14ac:dyDescent="0.25">
      <c r="B16" s="22">
        <v>42811</v>
      </c>
      <c r="C16">
        <v>19.184999999999999</v>
      </c>
      <c r="D16">
        <v>25.3</v>
      </c>
      <c r="E16">
        <v>11.877000000000001</v>
      </c>
      <c r="F16">
        <v>14.976000000000001</v>
      </c>
      <c r="G16">
        <v>35.298999999999999</v>
      </c>
      <c r="H16">
        <v>19.262</v>
      </c>
      <c r="I16" s="6">
        <v>19434</v>
      </c>
      <c r="K16" s="23">
        <f t="shared" si="0"/>
        <v>-2.1173469387755217E-2</v>
      </c>
      <c r="L16" s="24">
        <f t="shared" si="1"/>
        <v>3.2653061224489743E-2</v>
      </c>
      <c r="M16" s="24">
        <f t="shared" si="2"/>
        <v>2.7333275668194768E-2</v>
      </c>
      <c r="N16" s="24">
        <f t="shared" si="3"/>
        <v>7.7255071212775306E-2</v>
      </c>
      <c r="O16" s="24">
        <f t="shared" si="4"/>
        <v>9.5901893821794371E-2</v>
      </c>
      <c r="P16" s="24">
        <f t="shared" si="5"/>
        <v>-4.7021133674366444E-3</v>
      </c>
      <c r="Q16" s="25">
        <f t="shared" si="6"/>
        <v>2.8476532752325756E-2</v>
      </c>
      <c r="S16" s="26">
        <f t="shared" si="10"/>
        <v>3.4544619862010385E-2</v>
      </c>
      <c r="U16" s="5">
        <f t="shared" si="11"/>
        <v>125.21289417884422</v>
      </c>
      <c r="V16" s="6">
        <f t="shared" si="12"/>
        <v>106.28802446691914</v>
      </c>
      <c r="X16" s="20">
        <f t="shared" si="7"/>
        <v>1.1780526997923009</v>
      </c>
      <c r="Z16" s="22">
        <v>42811</v>
      </c>
      <c r="AA16" s="33">
        <v>38531.866399999999</v>
      </c>
      <c r="AB16" s="33">
        <v>22933.3141</v>
      </c>
      <c r="AC16" s="33">
        <v>9204.7476000000006</v>
      </c>
      <c r="AD16" s="33">
        <v>9798.0403999999999</v>
      </c>
      <c r="AE16" s="33">
        <v>34957.7932</v>
      </c>
      <c r="AF16" s="34">
        <v>19.262</v>
      </c>
      <c r="AH16" s="28">
        <f t="shared" si="13"/>
        <v>3.4947919710691888E-2</v>
      </c>
      <c r="AJ16" s="5">
        <f t="shared" si="14"/>
        <v>117.79506294170004</v>
      </c>
      <c r="AK16" s="6">
        <f t="shared" si="15"/>
        <v>106.28802446691914</v>
      </c>
      <c r="AM16" s="1">
        <f t="shared" si="8"/>
        <v>42811</v>
      </c>
      <c r="AN16">
        <f t="shared" si="9"/>
        <v>1.1082627937859766</v>
      </c>
    </row>
    <row r="17" spans="2:40" x14ac:dyDescent="0.25">
      <c r="B17" s="22">
        <v>42818</v>
      </c>
      <c r="C17">
        <v>18.808</v>
      </c>
      <c r="D17">
        <v>25.55</v>
      </c>
      <c r="E17">
        <v>12.279</v>
      </c>
      <c r="F17">
        <v>14.775</v>
      </c>
      <c r="G17">
        <v>34.737000000000002</v>
      </c>
      <c r="H17">
        <v>18.943000000000001</v>
      </c>
      <c r="I17" s="6">
        <v>19705.099999999999</v>
      </c>
      <c r="K17" s="23">
        <f t="shared" si="0"/>
        <v>-1.9650768829814869E-2</v>
      </c>
      <c r="L17" s="24">
        <f t="shared" si="1"/>
        <v>9.8814229249011287E-3</v>
      </c>
      <c r="M17" s="24">
        <f t="shared" si="2"/>
        <v>3.3846931043192585E-2</v>
      </c>
      <c r="N17" s="24">
        <f t="shared" si="3"/>
        <v>-1.3421474358974339E-2</v>
      </c>
      <c r="O17" s="24">
        <f t="shared" si="4"/>
        <v>-1.5921130910224068E-2</v>
      </c>
      <c r="P17" s="24">
        <f t="shared" si="5"/>
        <v>-1.6561104765860146E-2</v>
      </c>
      <c r="Q17" s="25">
        <f t="shared" si="6"/>
        <v>1.3949778738293617E-2</v>
      </c>
      <c r="S17" s="26">
        <f t="shared" si="10"/>
        <v>-3.6376874827966179E-3</v>
      </c>
      <c r="U17" s="5">
        <f t="shared" si="11"/>
        <v>124.75740880100511</v>
      </c>
      <c r="V17" s="6">
        <f t="shared" si="12"/>
        <v>107.77071889076301</v>
      </c>
      <c r="X17" s="20">
        <f t="shared" si="7"/>
        <v>1.1576187863000145</v>
      </c>
      <c r="Z17" s="22">
        <v>42818</v>
      </c>
      <c r="AA17" s="33">
        <v>37774.855300000003</v>
      </c>
      <c r="AB17" s="33">
        <v>23159.927899999999</v>
      </c>
      <c r="AC17" s="33">
        <v>9516.0192999999999</v>
      </c>
      <c r="AD17" s="33">
        <v>9666.2281999999996</v>
      </c>
      <c r="AE17" s="33">
        <v>34401.646500000003</v>
      </c>
      <c r="AF17" s="34">
        <v>18.943000000000001</v>
      </c>
      <c r="AH17" s="28">
        <f t="shared" si="13"/>
        <v>-7.8600643580218291E-3</v>
      </c>
      <c r="AJ17" s="5">
        <f t="shared" si="14"/>
        <v>116.86918616592105</v>
      </c>
      <c r="AK17" s="6">
        <f t="shared" si="15"/>
        <v>107.77071889076301</v>
      </c>
      <c r="AM17" s="1">
        <f t="shared" si="8"/>
        <v>42818</v>
      </c>
      <c r="AN17">
        <f t="shared" si="9"/>
        <v>1.0844242978872609</v>
      </c>
    </row>
    <row r="18" spans="2:40" x14ac:dyDescent="0.25">
      <c r="B18" s="22">
        <v>42825</v>
      </c>
      <c r="C18">
        <v>19.297999999999998</v>
      </c>
      <c r="D18">
        <v>26.65</v>
      </c>
      <c r="E18">
        <v>13.57</v>
      </c>
      <c r="F18">
        <v>16.957999999999998</v>
      </c>
      <c r="G18">
        <v>35.219000000000001</v>
      </c>
      <c r="H18">
        <v>22.274999999999999</v>
      </c>
      <c r="I18" s="6">
        <v>20265.32</v>
      </c>
      <c r="K18" s="23">
        <f t="shared" si="0"/>
        <v>2.6052743513398369E-2</v>
      </c>
      <c r="L18" s="24">
        <f t="shared" si="1"/>
        <v>4.3052837573385405E-2</v>
      </c>
      <c r="M18" s="24">
        <f t="shared" si="2"/>
        <v>0.10513885495561537</v>
      </c>
      <c r="N18" s="24">
        <f t="shared" si="3"/>
        <v>0.14774957698815561</v>
      </c>
      <c r="O18" s="24">
        <f t="shared" si="4"/>
        <v>1.3875694504418945E-2</v>
      </c>
      <c r="P18" s="24">
        <f t="shared" si="5"/>
        <v>0.17589610938077382</v>
      </c>
      <c r="Q18" s="25">
        <f t="shared" si="6"/>
        <v>2.8430203348371874E-2</v>
      </c>
      <c r="S18" s="26">
        <f t="shared" si="10"/>
        <v>8.5294302819291248E-2</v>
      </c>
      <c r="U18" s="5">
        <f t="shared" si="11"/>
        <v>135.39850500622813</v>
      </c>
      <c r="V18" s="6">
        <f t="shared" si="12"/>
        <v>110.83466234382762</v>
      </c>
      <c r="X18" s="20">
        <f t="shared" si="7"/>
        <v>1.2216259980672779</v>
      </c>
      <c r="Z18" s="22">
        <v>42825</v>
      </c>
      <c r="AA18" s="33">
        <v>38758.969799999999</v>
      </c>
      <c r="AB18" s="33">
        <v>24157.0285</v>
      </c>
      <c r="AC18" s="33">
        <v>10516.5353</v>
      </c>
      <c r="AD18" s="33">
        <v>11094.1937</v>
      </c>
      <c r="AE18" s="33">
        <v>34878.343699999998</v>
      </c>
      <c r="AF18" s="34">
        <v>22.274999999999999</v>
      </c>
      <c r="AH18" s="28">
        <f t="shared" si="13"/>
        <v>4.2698656212504273E-2</v>
      </c>
      <c r="AJ18" s="5">
        <f t="shared" si="14"/>
        <v>121.85934336785488</v>
      </c>
      <c r="AK18" s="6">
        <f t="shared" si="15"/>
        <v>110.83466234382762</v>
      </c>
      <c r="AM18" s="1">
        <f t="shared" si="8"/>
        <v>42825</v>
      </c>
      <c r="AN18">
        <f t="shared" si="9"/>
        <v>1.099469613484515</v>
      </c>
    </row>
    <row r="19" spans="2:40" x14ac:dyDescent="0.25">
      <c r="B19" s="22">
        <v>42832</v>
      </c>
      <c r="C19">
        <v>19.373999999999999</v>
      </c>
      <c r="D19">
        <v>26.2</v>
      </c>
      <c r="E19">
        <v>13.57</v>
      </c>
      <c r="F19">
        <v>19.341999999999999</v>
      </c>
      <c r="G19">
        <v>36.662999999999997</v>
      </c>
      <c r="H19">
        <v>21.407</v>
      </c>
      <c r="I19" s="6">
        <v>20727.560000000001</v>
      </c>
      <c r="K19" s="23">
        <f t="shared" si="0"/>
        <v>3.9382319411338518E-3</v>
      </c>
      <c r="L19" s="24">
        <f t="shared" si="1"/>
        <v>-1.6885553470919246E-2</v>
      </c>
      <c r="M19" s="24">
        <f t="shared" si="2"/>
        <v>0</v>
      </c>
      <c r="N19" s="24">
        <f t="shared" si="3"/>
        <v>0.14058261587451359</v>
      </c>
      <c r="O19" s="24">
        <f t="shared" si="4"/>
        <v>4.1000596269059164E-2</v>
      </c>
      <c r="P19" s="24">
        <f t="shared" si="5"/>
        <v>-3.8967452300785577E-2</v>
      </c>
      <c r="Q19" s="25">
        <f t="shared" si="6"/>
        <v>2.2809410362135907E-2</v>
      </c>
      <c r="S19" s="26">
        <f t="shared" si="10"/>
        <v>2.1611406385500298E-2</v>
      </c>
      <c r="U19" s="5">
        <f t="shared" si="11"/>
        <v>138.32465712190694</v>
      </c>
      <c r="V19" s="6">
        <f t="shared" si="12"/>
        <v>113.36273563957675</v>
      </c>
      <c r="X19" s="20">
        <f t="shared" si="7"/>
        <v>1.2201951226873495</v>
      </c>
      <c r="Z19" s="22">
        <v>42832</v>
      </c>
      <c r="AA19" s="33">
        <v>38910.372000000003</v>
      </c>
      <c r="AB19" s="33">
        <v>23749.1237</v>
      </c>
      <c r="AC19" s="33">
        <v>10516.5353</v>
      </c>
      <c r="AD19" s="33">
        <v>12653.9714</v>
      </c>
      <c r="AE19" s="33">
        <v>36308.4352</v>
      </c>
      <c r="AF19" s="34">
        <v>21.407</v>
      </c>
      <c r="AH19" s="28">
        <f t="shared" si="13"/>
        <v>2.2888833821847338E-2</v>
      </c>
      <c r="AJ19" s="5">
        <f t="shared" si="14"/>
        <v>124.64856162784115</v>
      </c>
      <c r="AK19" s="6">
        <f t="shared" si="15"/>
        <v>113.36273563957675</v>
      </c>
      <c r="AM19" s="1">
        <f t="shared" si="8"/>
        <v>42832</v>
      </c>
      <c r="AN19">
        <f t="shared" si="9"/>
        <v>1.0995549897820598</v>
      </c>
    </row>
    <row r="20" spans="2:40" x14ac:dyDescent="0.25">
      <c r="B20" s="22">
        <v>42839</v>
      </c>
      <c r="C20">
        <v>18.469000000000001</v>
      </c>
      <c r="D20">
        <v>27.2</v>
      </c>
      <c r="E20">
        <v>14.172000000000001</v>
      </c>
      <c r="F20">
        <v>19.274999999999999</v>
      </c>
      <c r="G20">
        <v>41.316000000000003</v>
      </c>
      <c r="H20">
        <v>21.27</v>
      </c>
      <c r="I20" s="6">
        <v>20812.169999999998</v>
      </c>
      <c r="K20" s="23">
        <f t="shared" si="0"/>
        <v>-4.6712088365851057E-2</v>
      </c>
      <c r="L20" s="24">
        <f t="shared" si="1"/>
        <v>3.8167938931297662E-2</v>
      </c>
      <c r="M20" s="24">
        <f t="shared" si="2"/>
        <v>4.4362564480471711E-2</v>
      </c>
      <c r="N20" s="24">
        <f t="shared" si="3"/>
        <v>-3.4639644297383976E-3</v>
      </c>
      <c r="O20" s="24">
        <f t="shared" si="4"/>
        <v>0.12691269126912719</v>
      </c>
      <c r="P20" s="24">
        <f t="shared" si="5"/>
        <v>-6.3997757742794148E-3</v>
      </c>
      <c r="Q20" s="25">
        <f t="shared" si="6"/>
        <v>4.08200482835408E-3</v>
      </c>
      <c r="S20" s="26">
        <f t="shared" si="10"/>
        <v>2.5477894351837949E-2</v>
      </c>
      <c r="U20" s="5">
        <f t="shared" si="11"/>
        <v>141.8488781223131</v>
      </c>
      <c r="V20" s="6">
        <f t="shared" si="12"/>
        <v>113.82548287381293</v>
      </c>
      <c r="X20" s="20">
        <f t="shared" si="7"/>
        <v>1.2461961464250229</v>
      </c>
      <c r="Z20" s="22">
        <v>42839</v>
      </c>
      <c r="AA20" s="33">
        <v>37093.545299999998</v>
      </c>
      <c r="AB20" s="33">
        <v>24655.578799999999</v>
      </c>
      <c r="AC20" s="33">
        <v>10983.442800000001</v>
      </c>
      <c r="AD20" s="33">
        <v>12610.034</v>
      </c>
      <c r="AE20" s="33">
        <v>40916.508000000002</v>
      </c>
      <c r="AF20" s="34">
        <v>21.27</v>
      </c>
      <c r="AH20" s="28">
        <f t="shared" si="13"/>
        <v>3.372173709671604E-2</v>
      </c>
      <c r="AJ20" s="5">
        <f t="shared" si="14"/>
        <v>128.85192765253902</v>
      </c>
      <c r="AK20" s="6">
        <f t="shared" si="15"/>
        <v>113.82548287381293</v>
      </c>
      <c r="AM20" s="1">
        <f t="shared" si="8"/>
        <v>42839</v>
      </c>
      <c r="AN20">
        <f t="shared" si="9"/>
        <v>1.1320130114922018</v>
      </c>
    </row>
    <row r="21" spans="2:40" x14ac:dyDescent="0.25">
      <c r="B21" s="22">
        <v>42846</v>
      </c>
      <c r="C21">
        <v>18.280999999999999</v>
      </c>
      <c r="D21">
        <v>28.35</v>
      </c>
      <c r="E21">
        <v>13.77</v>
      </c>
      <c r="F21">
        <v>18.334</v>
      </c>
      <c r="G21">
        <v>40.512999999999998</v>
      </c>
      <c r="H21">
        <v>20.722999999999999</v>
      </c>
      <c r="I21" s="6">
        <v>20768.98</v>
      </c>
      <c r="K21" s="23">
        <f t="shared" si="0"/>
        <v>-1.0179219232227088E-2</v>
      </c>
      <c r="L21" s="24">
        <f t="shared" si="1"/>
        <v>4.2279411764706065E-2</v>
      </c>
      <c r="M21" s="24">
        <f t="shared" si="2"/>
        <v>-2.8365791701947529E-2</v>
      </c>
      <c r="N21" s="24">
        <f t="shared" si="3"/>
        <v>-4.8819714656290536E-2</v>
      </c>
      <c r="O21" s="24">
        <f t="shared" si="4"/>
        <v>-1.9435569755058668E-2</v>
      </c>
      <c r="P21" s="24">
        <f t="shared" si="5"/>
        <v>-2.5716972261401017E-2</v>
      </c>
      <c r="Q21" s="25">
        <f t="shared" si="6"/>
        <v>-2.0752280997127226E-3</v>
      </c>
      <c r="S21" s="26">
        <f t="shared" si="10"/>
        <v>-1.5039642640369796E-2</v>
      </c>
      <c r="U21" s="5">
        <f t="shared" si="11"/>
        <v>139.71552168641614</v>
      </c>
      <c r="V21" s="6">
        <f t="shared" si="12"/>
        <v>113.58926903328982</v>
      </c>
      <c r="X21" s="20">
        <f t="shared" si="7"/>
        <v>1.2300063454538954</v>
      </c>
      <c r="Z21" s="22">
        <v>42846</v>
      </c>
      <c r="AA21" s="33">
        <v>36715.039700000001</v>
      </c>
      <c r="AB21" s="33">
        <v>25698.002199999999</v>
      </c>
      <c r="AC21" s="33">
        <v>10672.1711</v>
      </c>
      <c r="AD21" s="33">
        <v>11994.910400000001</v>
      </c>
      <c r="AE21" s="33">
        <v>40122.012699999999</v>
      </c>
      <c r="AF21" s="34">
        <v>20.722999999999999</v>
      </c>
      <c r="AH21" s="28">
        <f t="shared" si="13"/>
        <v>-8.3790920508196431E-3</v>
      </c>
      <c r="AJ21" s="5">
        <f t="shared" si="14"/>
        <v>127.77226548981284</v>
      </c>
      <c r="AK21" s="6">
        <f t="shared" si="15"/>
        <v>113.58926903328982</v>
      </c>
      <c r="AM21" s="1">
        <f t="shared" si="8"/>
        <v>42846</v>
      </c>
      <c r="AN21">
        <f t="shared" si="9"/>
        <v>1.1248621157370629</v>
      </c>
    </row>
    <row r="22" spans="2:40" x14ac:dyDescent="0.25">
      <c r="B22" s="22">
        <v>42853</v>
      </c>
      <c r="C22">
        <v>18.167000000000002</v>
      </c>
      <c r="D22">
        <v>26.8</v>
      </c>
      <c r="E22">
        <v>14.631</v>
      </c>
      <c r="F22">
        <v>18.501999999999999</v>
      </c>
      <c r="G22">
        <v>37.143999999999998</v>
      </c>
      <c r="H22">
        <v>23.553000000000001</v>
      </c>
      <c r="I22" s="6">
        <v>21019.91</v>
      </c>
      <c r="K22" s="23">
        <f t="shared" si="0"/>
        <v>-6.2359827142933755E-3</v>
      </c>
      <c r="L22" s="24">
        <f t="shared" si="1"/>
        <v>-5.467372134038806E-2</v>
      </c>
      <c r="M22" s="24">
        <f t="shared" si="2"/>
        <v>6.2527233115468484E-2</v>
      </c>
      <c r="N22" s="24">
        <f t="shared" si="3"/>
        <v>9.1633031526126008E-3</v>
      </c>
      <c r="O22" s="24">
        <f t="shared" si="4"/>
        <v>-8.3158492335793421E-2</v>
      </c>
      <c r="P22" s="24">
        <f t="shared" si="5"/>
        <v>0.13656323891328492</v>
      </c>
      <c r="Q22" s="25">
        <f t="shared" si="6"/>
        <v>1.208196069330314E-2</v>
      </c>
      <c r="S22" s="26">
        <f t="shared" si="10"/>
        <v>1.0697596465148526E-2</v>
      </c>
      <c r="U22" s="5">
        <f t="shared" si="11"/>
        <v>141.21014195733514</v>
      </c>
      <c r="V22" s="6">
        <f t="shared" si="12"/>
        <v>114.96165011693107</v>
      </c>
      <c r="X22" s="20">
        <f t="shared" si="7"/>
        <v>1.2283238959575296</v>
      </c>
      <c r="Z22" s="22">
        <v>42853</v>
      </c>
      <c r="AA22" s="33">
        <v>36487.936399999999</v>
      </c>
      <c r="AB22" s="33">
        <v>24292.996800000001</v>
      </c>
      <c r="AC22" s="33">
        <v>11339.1818</v>
      </c>
      <c r="AD22" s="33">
        <v>12104.7539</v>
      </c>
      <c r="AE22" s="33">
        <v>36785.132400000002</v>
      </c>
      <c r="AF22" s="34">
        <v>23.553000000000001</v>
      </c>
      <c r="AH22" s="28">
        <f t="shared" si="13"/>
        <v>-3.3463550899863935E-2</v>
      </c>
      <c r="AJ22" s="5">
        <f t="shared" si="14"/>
        <v>123.49655178000356</v>
      </c>
      <c r="AK22" s="6">
        <f t="shared" si="15"/>
        <v>114.96165011693107</v>
      </c>
      <c r="AM22" s="1">
        <f t="shared" si="8"/>
        <v>42853</v>
      </c>
      <c r="AN22">
        <f t="shared" si="9"/>
        <v>1.0742412939827446</v>
      </c>
    </row>
    <row r="23" spans="2:40" x14ac:dyDescent="0.25">
      <c r="B23" s="22">
        <v>42860</v>
      </c>
      <c r="C23">
        <v>17.904</v>
      </c>
      <c r="D23">
        <v>25.85</v>
      </c>
      <c r="E23">
        <v>13.77</v>
      </c>
      <c r="F23">
        <v>17.460999999999999</v>
      </c>
      <c r="G23">
        <v>36.982999999999997</v>
      </c>
      <c r="H23">
        <v>23.734999999999999</v>
      </c>
      <c r="I23" s="6">
        <v>21169.68</v>
      </c>
      <c r="K23" s="23">
        <f t="shared" si="0"/>
        <v>-1.4476798590851603E-2</v>
      </c>
      <c r="L23" s="24">
        <f t="shared" si="1"/>
        <v>-3.5447761194029814E-2</v>
      </c>
      <c r="M23" s="24">
        <f t="shared" si="2"/>
        <v>-5.8847652245232807E-2</v>
      </c>
      <c r="N23" s="24">
        <f t="shared" si="3"/>
        <v>-5.6264187655388653E-2</v>
      </c>
      <c r="O23" s="24">
        <f t="shared" si="4"/>
        <v>-4.3344820159380015E-3</v>
      </c>
      <c r="P23" s="24">
        <f t="shared" si="5"/>
        <v>7.7272534284378303E-3</v>
      </c>
      <c r="Q23" s="25">
        <f t="shared" si="6"/>
        <v>7.1251494416484373E-3</v>
      </c>
      <c r="S23" s="26">
        <f t="shared" si="10"/>
        <v>-2.6940604712167176E-2</v>
      </c>
      <c r="U23" s="5">
        <f t="shared" si="11"/>
        <v>137.40585534151356</v>
      </c>
      <c r="V23" s="6">
        <f t="shared" si="12"/>
        <v>115.78076905407271</v>
      </c>
      <c r="X23" s="20">
        <f t="shared" si="7"/>
        <v>1.1867761499955261</v>
      </c>
      <c r="Z23" s="22">
        <v>42860</v>
      </c>
      <c r="AA23" s="33">
        <v>35958.028599999998</v>
      </c>
      <c r="AB23" s="33">
        <v>23431.864399999999</v>
      </c>
      <c r="AC23" s="33">
        <v>10672.1711</v>
      </c>
      <c r="AD23" s="33">
        <v>11423.724200000001</v>
      </c>
      <c r="AE23" s="33">
        <v>36626.2333</v>
      </c>
      <c r="AF23" s="34">
        <v>23.734999999999999</v>
      </c>
      <c r="AH23" s="28">
        <f t="shared" si="13"/>
        <v>-2.3935277612662842E-2</v>
      </c>
      <c r="AJ23" s="5">
        <f t="shared" si="14"/>
        <v>120.54062752894258</v>
      </c>
      <c r="AK23" s="6">
        <f t="shared" si="15"/>
        <v>115.78076905407271</v>
      </c>
      <c r="AM23" s="1">
        <f t="shared" si="8"/>
        <v>42860</v>
      </c>
      <c r="AN23">
        <f t="shared" si="9"/>
        <v>1.0411109592185115</v>
      </c>
    </row>
    <row r="24" spans="2:40" x14ac:dyDescent="0.25">
      <c r="B24" s="22">
        <v>42867</v>
      </c>
      <c r="C24">
        <v>18.204999999999998</v>
      </c>
      <c r="D24">
        <v>26</v>
      </c>
      <c r="E24">
        <v>14.488</v>
      </c>
      <c r="F24">
        <v>17.763999999999999</v>
      </c>
      <c r="G24">
        <v>37.223999999999997</v>
      </c>
      <c r="H24">
        <v>21.818000000000001</v>
      </c>
      <c r="I24" s="6">
        <v>21502.41</v>
      </c>
      <c r="K24" s="23">
        <f t="shared" si="0"/>
        <v>1.6811885612153521E-2</v>
      </c>
      <c r="L24" s="24">
        <f t="shared" si="1"/>
        <v>5.8027079303675233E-3</v>
      </c>
      <c r="M24" s="24">
        <f t="shared" si="2"/>
        <v>5.2142338416848233E-2</v>
      </c>
      <c r="N24" s="24">
        <f t="shared" si="3"/>
        <v>1.735295802073189E-2</v>
      </c>
      <c r="O24" s="24">
        <f t="shared" si="4"/>
        <v>6.5165075845659004E-3</v>
      </c>
      <c r="P24" s="24">
        <f t="shared" si="5"/>
        <v>-8.0766800084263624E-2</v>
      </c>
      <c r="Q24" s="25">
        <f t="shared" si="6"/>
        <v>1.5717290010996754E-2</v>
      </c>
      <c r="S24" s="26">
        <f t="shared" si="10"/>
        <v>2.9765995800672407E-3</v>
      </c>
      <c r="U24" s="5">
        <f t="shared" si="11"/>
        <v>137.81485755282188</v>
      </c>
      <c r="V24" s="6">
        <f t="shared" si="12"/>
        <v>117.6005289789918</v>
      </c>
      <c r="X24" s="20">
        <f t="shared" si="7"/>
        <v>1.171889775916239</v>
      </c>
      <c r="Z24" s="22">
        <v>42867</v>
      </c>
      <c r="AA24" s="33">
        <v>36563.637499999997</v>
      </c>
      <c r="AB24" s="33">
        <v>23567.832699999999</v>
      </c>
      <c r="AC24" s="33">
        <v>11228.0134</v>
      </c>
      <c r="AD24" s="33">
        <v>11621.442499999999</v>
      </c>
      <c r="AE24" s="33">
        <v>36864.581899999997</v>
      </c>
      <c r="AF24" s="34">
        <v>21.818000000000001</v>
      </c>
      <c r="AH24" s="28">
        <f t="shared" si="13"/>
        <v>1.4660726520070201E-2</v>
      </c>
      <c r="AJ24" s="5">
        <f t="shared" si="14"/>
        <v>122.30784070370206</v>
      </c>
      <c r="AK24" s="6">
        <f t="shared" si="15"/>
        <v>117.6005289789918</v>
      </c>
      <c r="AM24" s="1">
        <f t="shared" si="8"/>
        <v>42867</v>
      </c>
      <c r="AN24">
        <f t="shared" si="9"/>
        <v>1.0400279808737185</v>
      </c>
    </row>
    <row r="25" spans="2:40" x14ac:dyDescent="0.25">
      <c r="B25" s="22">
        <v>42874</v>
      </c>
      <c r="C25">
        <v>16.811</v>
      </c>
      <c r="D25">
        <v>25.75</v>
      </c>
      <c r="E25">
        <v>15.348000000000001</v>
      </c>
      <c r="F25">
        <v>17.73</v>
      </c>
      <c r="G25">
        <v>38.628</v>
      </c>
      <c r="H25">
        <v>21.042000000000002</v>
      </c>
      <c r="I25" s="6">
        <v>21614.87</v>
      </c>
      <c r="K25" s="23">
        <f t="shared" si="0"/>
        <v>-7.6572370227959263E-2</v>
      </c>
      <c r="L25" s="24">
        <f t="shared" si="1"/>
        <v>-9.6153846153845812E-3</v>
      </c>
      <c r="M25" s="24">
        <f t="shared" si="2"/>
        <v>5.9359469906129281E-2</v>
      </c>
      <c r="N25" s="24">
        <f t="shared" si="3"/>
        <v>-1.9139833370861448E-3</v>
      </c>
      <c r="O25" s="24">
        <f t="shared" si="4"/>
        <v>3.771760154738879E-2</v>
      </c>
      <c r="P25" s="24">
        <f t="shared" si="5"/>
        <v>-3.5566963058025425E-2</v>
      </c>
      <c r="Q25" s="25">
        <f t="shared" si="6"/>
        <v>5.2301114154180706E-3</v>
      </c>
      <c r="S25" s="26">
        <f t="shared" si="10"/>
        <v>-4.4319382974895571E-3</v>
      </c>
      <c r="U25" s="5">
        <f t="shared" si="11"/>
        <v>137.20407060767045</v>
      </c>
      <c r="V25" s="6">
        <f t="shared" si="12"/>
        <v>118.21559284806403</v>
      </c>
      <c r="X25" s="20">
        <f t="shared" si="7"/>
        <v>1.1606258303336618</v>
      </c>
      <c r="Z25" s="22">
        <v>42874</v>
      </c>
      <c r="AA25" s="33">
        <v>33762.696300000003</v>
      </c>
      <c r="AB25" s="33">
        <v>23341.2189</v>
      </c>
      <c r="AC25" s="33">
        <v>11895.024100000001</v>
      </c>
      <c r="AD25" s="33">
        <v>11599.4738</v>
      </c>
      <c r="AE25" s="33">
        <v>38254.948700000001</v>
      </c>
      <c r="AF25" s="34">
        <v>21.042000000000002</v>
      </c>
      <c r="AH25" s="28">
        <f t="shared" si="13"/>
        <v>-8.279694801501954E-3</v>
      </c>
      <c r="AJ25" s="5">
        <f t="shared" si="14"/>
        <v>121.29516911084468</v>
      </c>
      <c r="AK25" s="6">
        <f t="shared" si="15"/>
        <v>118.21559284806403</v>
      </c>
      <c r="AM25" s="1">
        <f t="shared" si="8"/>
        <v>42874</v>
      </c>
      <c r="AN25">
        <f t="shared" si="9"/>
        <v>1.0260505081316866</v>
      </c>
    </row>
    <row r="26" spans="2:40" x14ac:dyDescent="0.25">
      <c r="B26" s="22">
        <v>42881</v>
      </c>
      <c r="C26">
        <v>17.414000000000001</v>
      </c>
      <c r="D26">
        <v>26.05</v>
      </c>
      <c r="E26">
        <v>15.205</v>
      </c>
      <c r="F26">
        <v>19.14</v>
      </c>
      <c r="G26">
        <v>40.874000000000002</v>
      </c>
      <c r="H26">
        <v>21.544</v>
      </c>
      <c r="I26" s="6">
        <v>22141.71</v>
      </c>
      <c r="K26" s="23">
        <f t="shared" si="0"/>
        <v>3.5869371245018211E-2</v>
      </c>
      <c r="L26" s="24">
        <f t="shared" si="1"/>
        <v>1.1650485436893288E-2</v>
      </c>
      <c r="M26" s="24">
        <f t="shared" si="2"/>
        <v>-9.3171748762054252E-3</v>
      </c>
      <c r="N26" s="24">
        <f t="shared" si="3"/>
        <v>7.9526226734348615E-2</v>
      </c>
      <c r="O26" s="24">
        <f t="shared" si="4"/>
        <v>5.8144351247799486E-2</v>
      </c>
      <c r="P26" s="24">
        <f t="shared" si="5"/>
        <v>2.385704780914355E-2</v>
      </c>
      <c r="Q26" s="25">
        <f t="shared" si="6"/>
        <v>2.4373961074019901E-2</v>
      </c>
      <c r="S26" s="26">
        <f t="shared" si="10"/>
        <v>3.3288384599499621E-2</v>
      </c>
      <c r="U26" s="5">
        <f t="shared" si="11"/>
        <v>141.77137247867546</v>
      </c>
      <c r="V26" s="6">
        <f t="shared" si="12"/>
        <v>121.09697510648493</v>
      </c>
      <c r="X26" s="20">
        <f t="shared" si="7"/>
        <v>1.1707259603636737</v>
      </c>
      <c r="Z26" s="22">
        <v>42881</v>
      </c>
      <c r="AA26" s="33">
        <v>34973.914100000002</v>
      </c>
      <c r="AB26" s="33">
        <v>23613.1554</v>
      </c>
      <c r="AC26" s="33">
        <v>11783.855600000001</v>
      </c>
      <c r="AD26" s="33">
        <v>12522.1592</v>
      </c>
      <c r="AE26" s="33">
        <v>40479.535499999998</v>
      </c>
      <c r="AF26" s="34">
        <v>21.544</v>
      </c>
      <c r="AH26" s="28">
        <f t="shared" si="13"/>
        <v>3.8018518807428923E-2</v>
      </c>
      <c r="AJ26" s="5">
        <f t="shared" si="14"/>
        <v>125.9066317789356</v>
      </c>
      <c r="AK26" s="6">
        <f t="shared" si="15"/>
        <v>121.09697510648493</v>
      </c>
      <c r="AM26" s="1">
        <f t="shared" si="8"/>
        <v>42881</v>
      </c>
      <c r="AN26">
        <f t="shared" si="9"/>
        <v>1.0397173973026275</v>
      </c>
    </row>
    <row r="27" spans="2:40" x14ac:dyDescent="0.25">
      <c r="B27" s="22">
        <v>42888</v>
      </c>
      <c r="C27">
        <v>18.695</v>
      </c>
      <c r="D27">
        <v>25.95</v>
      </c>
      <c r="E27">
        <v>16.295000000000002</v>
      </c>
      <c r="F27">
        <v>22.901</v>
      </c>
      <c r="G27">
        <v>43.722000000000001</v>
      </c>
      <c r="H27">
        <v>23.050999999999998</v>
      </c>
      <c r="I27" s="6">
        <v>22518.99</v>
      </c>
      <c r="K27" s="23">
        <f t="shared" si="0"/>
        <v>7.3561502239577248E-2</v>
      </c>
      <c r="L27" s="24">
        <f t="shared" si="1"/>
        <v>-3.8387715930903177E-3</v>
      </c>
      <c r="M27" s="24">
        <f t="shared" si="2"/>
        <v>7.1686945083854203E-2</v>
      </c>
      <c r="N27" s="24">
        <f t="shared" si="3"/>
        <v>0.19649947753396035</v>
      </c>
      <c r="O27" s="24">
        <f t="shared" si="4"/>
        <v>6.9677545628027637E-2</v>
      </c>
      <c r="P27" s="24">
        <f t="shared" si="5"/>
        <v>6.9949870033419792E-2</v>
      </c>
      <c r="Q27" s="25">
        <f t="shared" si="6"/>
        <v>1.7039334360354319E-2</v>
      </c>
      <c r="S27" s="26">
        <f t="shared" si="10"/>
        <v>7.9589428154291486E-2</v>
      </c>
      <c r="U27" s="5">
        <f t="shared" si="11"/>
        <v>153.0548749429023</v>
      </c>
      <c r="V27" s="6">
        <f t="shared" si="12"/>
        <v>123.16038695535184</v>
      </c>
      <c r="X27" s="20">
        <f t="shared" si="7"/>
        <v>1.2427281102842576</v>
      </c>
      <c r="Z27" s="22">
        <v>42888</v>
      </c>
      <c r="AA27" s="33">
        <v>37547.751900000003</v>
      </c>
      <c r="AB27" s="33">
        <v>23522.509900000001</v>
      </c>
      <c r="AC27" s="33">
        <v>12628.7359</v>
      </c>
      <c r="AD27" s="33">
        <v>14982.653700000001</v>
      </c>
      <c r="AE27" s="33">
        <v>43299.993900000001</v>
      </c>
      <c r="AF27" s="34">
        <v>23.050999999999998</v>
      </c>
      <c r="AH27" s="28">
        <f t="shared" si="13"/>
        <v>6.9771988533011503E-2</v>
      </c>
      <c r="AJ27" s="5">
        <f t="shared" si="14"/>
        <v>134.69138784764559</v>
      </c>
      <c r="AK27" s="6">
        <f t="shared" si="15"/>
        <v>123.16038695535184</v>
      </c>
      <c r="AM27" s="1">
        <f t="shared" si="8"/>
        <v>42888</v>
      </c>
      <c r="AN27">
        <f t="shared" si="9"/>
        <v>1.0936258904129132</v>
      </c>
    </row>
    <row r="28" spans="2:40" x14ac:dyDescent="0.25">
      <c r="B28" s="22">
        <v>42895</v>
      </c>
      <c r="C28">
        <v>16.885999999999999</v>
      </c>
      <c r="D28">
        <v>24.75</v>
      </c>
      <c r="E28">
        <v>15.893000000000001</v>
      </c>
      <c r="F28">
        <v>22.297000000000001</v>
      </c>
      <c r="G28">
        <v>39.631</v>
      </c>
      <c r="H28">
        <v>21.908999999999999</v>
      </c>
      <c r="I28" s="6">
        <v>21614.25</v>
      </c>
      <c r="K28" s="23">
        <f t="shared" si="0"/>
        <v>-9.6763840599090711E-2</v>
      </c>
      <c r="L28" s="24">
        <f t="shared" si="1"/>
        <v>-4.6242774566473965E-2</v>
      </c>
      <c r="M28" s="24">
        <f t="shared" si="2"/>
        <v>-2.4670144216017209E-2</v>
      </c>
      <c r="N28" s="24">
        <f t="shared" si="3"/>
        <v>-2.6374394131260637E-2</v>
      </c>
      <c r="O28" s="24">
        <f t="shared" si="4"/>
        <v>-9.3568455239924964E-2</v>
      </c>
      <c r="P28" s="24">
        <f t="shared" si="5"/>
        <v>-4.9542319205240548E-2</v>
      </c>
      <c r="Q28" s="25">
        <f t="shared" si="6"/>
        <v>-4.0176757483350811E-2</v>
      </c>
      <c r="S28" s="26">
        <f t="shared" si="10"/>
        <v>-5.6193654659668003E-2</v>
      </c>
      <c r="U28" s="5">
        <f t="shared" si="11"/>
        <v>144.45416215638218</v>
      </c>
      <c r="V28" s="6">
        <f t="shared" si="12"/>
        <v>118.21220195709103</v>
      </c>
      <c r="X28" s="20">
        <f t="shared" si="7"/>
        <v>1.2219902832773264</v>
      </c>
      <c r="Z28" s="22">
        <v>42895</v>
      </c>
      <c r="AA28" s="33">
        <v>33914.0985</v>
      </c>
      <c r="AB28" s="33">
        <v>22434.763800000001</v>
      </c>
      <c r="AC28" s="33">
        <v>12317.4642</v>
      </c>
      <c r="AD28" s="33">
        <v>14587.2171</v>
      </c>
      <c r="AE28" s="33">
        <v>39248.067799999997</v>
      </c>
      <c r="AF28" s="34">
        <v>21.908999999999999</v>
      </c>
      <c r="AH28" s="28">
        <f t="shared" si="13"/>
        <v>-7.1818486454146818E-2</v>
      </c>
      <c r="AJ28" s="5">
        <f t="shared" si="14"/>
        <v>125.01805623401923</v>
      </c>
      <c r="AK28" s="6">
        <f t="shared" si="15"/>
        <v>118.21220195709103</v>
      </c>
      <c r="AM28" s="1">
        <f t="shared" si="8"/>
        <v>42895</v>
      </c>
      <c r="AN28">
        <f t="shared" si="9"/>
        <v>1.0575731960343535</v>
      </c>
    </row>
    <row r="29" spans="2:40" x14ac:dyDescent="0.25">
      <c r="B29" s="22">
        <v>42902</v>
      </c>
      <c r="C29">
        <v>17.338000000000001</v>
      </c>
      <c r="D29">
        <v>25.2</v>
      </c>
      <c r="E29">
        <v>16.18</v>
      </c>
      <c r="F29">
        <v>22.062000000000001</v>
      </c>
      <c r="G29">
        <v>41.234999999999999</v>
      </c>
      <c r="H29">
        <v>21.178999999999998</v>
      </c>
      <c r="I29" s="6">
        <v>21291.38</v>
      </c>
      <c r="K29" s="23">
        <f t="shared" si="0"/>
        <v>2.676773658652154E-2</v>
      </c>
      <c r="L29" s="24">
        <f t="shared" si="1"/>
        <v>1.8181818181818077E-2</v>
      </c>
      <c r="M29" s="24">
        <f t="shared" si="2"/>
        <v>1.8058264644812194E-2</v>
      </c>
      <c r="N29" s="24">
        <f t="shared" si="3"/>
        <v>-1.0539534466520117E-2</v>
      </c>
      <c r="O29" s="24">
        <f t="shared" si="4"/>
        <v>4.0473366808811306E-2</v>
      </c>
      <c r="P29" s="24">
        <f t="shared" si="5"/>
        <v>-3.3319640330457867E-2</v>
      </c>
      <c r="Q29" s="25">
        <f t="shared" si="6"/>
        <v>-1.4937830366540505E-2</v>
      </c>
      <c r="S29" s="26">
        <f t="shared" si="10"/>
        <v>9.9370019041641888E-3</v>
      </c>
      <c r="U29" s="5">
        <f t="shared" si="11"/>
        <v>145.88960344079462</v>
      </c>
      <c r="V29" s="6">
        <f t="shared" si="12"/>
        <v>116.44636813700077</v>
      </c>
      <c r="X29" s="20">
        <f t="shared" si="7"/>
        <v>1.2528480344629853</v>
      </c>
      <c r="Z29" s="22">
        <v>42902</v>
      </c>
      <c r="AA29" s="33">
        <v>34822.511899999998</v>
      </c>
      <c r="AB29" s="33">
        <v>22842.6685</v>
      </c>
      <c r="AC29" s="33">
        <v>12539.801100000001</v>
      </c>
      <c r="AD29" s="33">
        <v>14433.4362</v>
      </c>
      <c r="AE29" s="33">
        <v>40837.057500000003</v>
      </c>
      <c r="AF29" s="34">
        <v>21.178999999999998</v>
      </c>
      <c r="AH29" s="28">
        <f t="shared" si="13"/>
        <v>2.4257950125533719E-2</v>
      </c>
      <c r="AJ29" s="5">
        <f t="shared" si="14"/>
        <v>128.05073800693523</v>
      </c>
      <c r="AK29" s="6">
        <f t="shared" si="15"/>
        <v>116.44636813700077</v>
      </c>
      <c r="AM29" s="1">
        <f t="shared" si="8"/>
        <v>42902</v>
      </c>
      <c r="AN29">
        <f t="shared" si="9"/>
        <v>1.099654201806292</v>
      </c>
    </row>
    <row r="30" spans="2:40" x14ac:dyDescent="0.25">
      <c r="B30" s="22">
        <v>42909</v>
      </c>
      <c r="C30">
        <v>17.338000000000001</v>
      </c>
      <c r="D30">
        <v>25.2</v>
      </c>
      <c r="E30">
        <v>16.238</v>
      </c>
      <c r="F30">
        <v>23.001999999999999</v>
      </c>
      <c r="G30">
        <v>43.682000000000002</v>
      </c>
      <c r="H30">
        <v>20.905000000000001</v>
      </c>
      <c r="I30" s="6">
        <v>21066.14</v>
      </c>
      <c r="K30" s="23">
        <f t="shared" si="0"/>
        <v>0</v>
      </c>
      <c r="L30" s="24">
        <f t="shared" si="1"/>
        <v>0</v>
      </c>
      <c r="M30" s="24">
        <f t="shared" si="2"/>
        <v>3.584672435104963E-3</v>
      </c>
      <c r="N30" s="24">
        <f t="shared" si="3"/>
        <v>4.2607197896836091E-2</v>
      </c>
      <c r="O30" s="24">
        <f t="shared" si="4"/>
        <v>5.9342791318055088E-2</v>
      </c>
      <c r="P30" s="24">
        <f t="shared" si="5"/>
        <v>-1.2937343595070483E-2</v>
      </c>
      <c r="Q30" s="25">
        <f t="shared" si="6"/>
        <v>-1.0578929125308112E-2</v>
      </c>
      <c r="S30" s="26">
        <f t="shared" si="10"/>
        <v>1.5432886342487609E-2</v>
      </c>
      <c r="U30" s="5">
        <f t="shared" si="11"/>
        <v>148.14110110924699</v>
      </c>
      <c r="V30" s="6">
        <f t="shared" si="12"/>
        <v>115.21449026157991</v>
      </c>
      <c r="X30" s="20">
        <f t="shared" si="7"/>
        <v>1.2857853276346698</v>
      </c>
      <c r="Z30" s="22">
        <v>42909</v>
      </c>
      <c r="AA30" s="33">
        <v>34822.511899999998</v>
      </c>
      <c r="AB30" s="33">
        <v>22842.6685</v>
      </c>
      <c r="AC30" s="33">
        <v>12584.2685</v>
      </c>
      <c r="AD30" s="33">
        <v>15048.559800000001</v>
      </c>
      <c r="AE30" s="33">
        <v>43260.268199999999</v>
      </c>
      <c r="AF30" s="34">
        <v>20.905000000000001</v>
      </c>
      <c r="AH30" s="28">
        <f t="shared" si="13"/>
        <v>2.4566633690506337E-2</v>
      </c>
      <c r="AJ30" s="5">
        <f t="shared" si="14"/>
        <v>131.19651358135062</v>
      </c>
      <c r="AK30" s="6">
        <f t="shared" si="15"/>
        <v>115.21449026157991</v>
      </c>
      <c r="AM30" s="1">
        <f t="shared" si="8"/>
        <v>42909</v>
      </c>
      <c r="AN30">
        <f t="shared" si="9"/>
        <v>1.1387153932069269</v>
      </c>
    </row>
    <row r="31" spans="2:40" x14ac:dyDescent="0.25">
      <c r="B31" s="22">
        <v>42916</v>
      </c>
      <c r="C31">
        <v>17.866</v>
      </c>
      <c r="D31">
        <v>26.4</v>
      </c>
      <c r="E31">
        <v>16.439</v>
      </c>
      <c r="F31">
        <v>26.931000000000001</v>
      </c>
      <c r="G31">
        <v>45.247</v>
      </c>
      <c r="H31">
        <v>20.997</v>
      </c>
      <c r="I31" s="6">
        <v>21912.63</v>
      </c>
      <c r="K31" s="23">
        <f t="shared" si="0"/>
        <v>3.045333948552309E-2</v>
      </c>
      <c r="L31" s="24">
        <f t="shared" si="1"/>
        <v>4.7619047619047672E-2</v>
      </c>
      <c r="M31" s="24">
        <f t="shared" si="2"/>
        <v>1.2378371720655368E-2</v>
      </c>
      <c r="N31" s="24">
        <f t="shared" si="3"/>
        <v>0.17081123380575614</v>
      </c>
      <c r="O31" s="24">
        <f t="shared" si="4"/>
        <v>3.5827114143125227E-2</v>
      </c>
      <c r="P31" s="24">
        <f t="shared" si="5"/>
        <v>4.400861038029058E-3</v>
      </c>
      <c r="Q31" s="25">
        <f t="shared" si="6"/>
        <v>4.0182491904069861E-2</v>
      </c>
      <c r="S31" s="26">
        <f t="shared" si="10"/>
        <v>5.0248327968689423E-2</v>
      </c>
      <c r="U31" s="5">
        <f t="shared" si="11"/>
        <v>155.5849437434272</v>
      </c>
      <c r="V31" s="6">
        <f t="shared" si="12"/>
        <v>119.84409558374738</v>
      </c>
      <c r="X31" s="20">
        <f t="shared" si="7"/>
        <v>1.2982278600008628</v>
      </c>
      <c r="Z31" s="22">
        <v>42916</v>
      </c>
      <c r="AA31" s="33">
        <v>35882.327499999999</v>
      </c>
      <c r="AB31" s="33">
        <v>23930.4146</v>
      </c>
      <c r="AC31" s="33">
        <v>12739.9043</v>
      </c>
      <c r="AD31" s="33">
        <v>17618.897799999999</v>
      </c>
      <c r="AE31" s="33">
        <v>44809.534</v>
      </c>
      <c r="AF31" s="34">
        <v>20.997</v>
      </c>
      <c r="AH31" s="28">
        <f t="shared" si="13"/>
        <v>4.9964746914475701E-2</v>
      </c>
      <c r="AJ31" s="5">
        <f t="shared" si="14"/>
        <v>137.75171417850439</v>
      </c>
      <c r="AK31" s="6">
        <f t="shared" si="15"/>
        <v>119.84409558374738</v>
      </c>
      <c r="AM31" s="1">
        <f t="shared" si="8"/>
        <v>42916</v>
      </c>
      <c r="AN31">
        <f t="shared" si="9"/>
        <v>1.1494242875089586</v>
      </c>
    </row>
    <row r="32" spans="2:40" x14ac:dyDescent="0.25">
      <c r="B32" s="22">
        <v>42923</v>
      </c>
      <c r="C32">
        <v>17.451000000000001</v>
      </c>
      <c r="D32">
        <v>26.6</v>
      </c>
      <c r="E32">
        <v>17.155999999999999</v>
      </c>
      <c r="F32">
        <v>29.013000000000002</v>
      </c>
      <c r="G32">
        <v>45.688000000000002</v>
      </c>
      <c r="H32">
        <v>20.358000000000001</v>
      </c>
      <c r="I32" s="6">
        <v>22027.84</v>
      </c>
      <c r="K32" s="23">
        <f t="shared" si="0"/>
        <v>-2.3228478674577335E-2</v>
      </c>
      <c r="L32" s="24">
        <f t="shared" si="1"/>
        <v>7.5757575757577911E-3</v>
      </c>
      <c r="M32" s="24">
        <f t="shared" si="2"/>
        <v>4.3615791714824326E-2</v>
      </c>
      <c r="N32" s="24">
        <f t="shared" si="3"/>
        <v>7.7308677731981801E-2</v>
      </c>
      <c r="O32" s="24">
        <f t="shared" si="4"/>
        <v>9.746502530554535E-3</v>
      </c>
      <c r="P32" s="24">
        <f t="shared" si="5"/>
        <v>-3.0432918988426927E-2</v>
      </c>
      <c r="Q32" s="25">
        <f t="shared" si="6"/>
        <v>5.2576984141108341E-3</v>
      </c>
      <c r="S32" s="26">
        <f t="shared" si="10"/>
        <v>1.4097555315019031E-2</v>
      </c>
      <c r="U32" s="5">
        <f t="shared" si="11"/>
        <v>157.77831109403431</v>
      </c>
      <c r="V32" s="6">
        <f t="shared" si="12"/>
        <v>120.47419969503859</v>
      </c>
      <c r="X32" s="20">
        <f t="shared" si="7"/>
        <v>1.3096439859606885</v>
      </c>
      <c r="Z32" s="22">
        <v>42923</v>
      </c>
      <c r="AA32" s="33">
        <v>35049.6152</v>
      </c>
      <c r="AB32" s="33">
        <v>24111.705699999999</v>
      </c>
      <c r="AC32" s="33">
        <v>13295.7466</v>
      </c>
      <c r="AD32" s="33">
        <v>18980.957200000001</v>
      </c>
      <c r="AE32" s="33">
        <v>45246.506399999998</v>
      </c>
      <c r="AF32" s="34">
        <v>20.358000000000001</v>
      </c>
      <c r="AH32" s="28">
        <f t="shared" si="13"/>
        <v>1.2604629069594572E-2</v>
      </c>
      <c r="AJ32" s="5">
        <f t="shared" si="14"/>
        <v>139.48802343942523</v>
      </c>
      <c r="AK32" s="6">
        <f t="shared" si="15"/>
        <v>120.47419969503859</v>
      </c>
      <c r="AM32" s="1">
        <f t="shared" si="8"/>
        <v>42923</v>
      </c>
      <c r="AN32">
        <f t="shared" si="9"/>
        <v>1.1578248603644361</v>
      </c>
    </row>
    <row r="33" spans="2:40" x14ac:dyDescent="0.25">
      <c r="B33" s="22">
        <v>42930</v>
      </c>
      <c r="C33">
        <v>16.811</v>
      </c>
      <c r="D33">
        <v>26.05</v>
      </c>
      <c r="E33">
        <v>15.836</v>
      </c>
      <c r="F33">
        <v>27.065000000000001</v>
      </c>
      <c r="G33">
        <v>44.685000000000002</v>
      </c>
      <c r="H33">
        <v>19.353000000000002</v>
      </c>
      <c r="I33" s="6">
        <v>21880.16</v>
      </c>
      <c r="K33" s="23">
        <f t="shared" si="0"/>
        <v>-3.6674116096498843E-2</v>
      </c>
      <c r="L33" s="24">
        <f t="shared" si="1"/>
        <v>-2.0676691729323293E-2</v>
      </c>
      <c r="M33" s="24">
        <f t="shared" si="2"/>
        <v>-7.6941011890883537E-2</v>
      </c>
      <c r="N33" s="24">
        <f t="shared" si="3"/>
        <v>-6.7142315513735285E-2</v>
      </c>
      <c r="O33" s="24">
        <f t="shared" si="4"/>
        <v>-2.1953248117667634E-2</v>
      </c>
      <c r="P33" s="24">
        <f t="shared" si="5"/>
        <v>-4.9366342469790658E-2</v>
      </c>
      <c r="Q33" s="25">
        <f t="shared" si="6"/>
        <v>-6.704243357496753E-3</v>
      </c>
      <c r="S33" s="26">
        <f t="shared" si="10"/>
        <v>-4.5458954302983211E-2</v>
      </c>
      <c r="U33" s="5">
        <f t="shared" si="11"/>
        <v>150.60587406000874</v>
      </c>
      <c r="V33" s="6">
        <f t="shared" si="12"/>
        <v>119.66651134198339</v>
      </c>
      <c r="X33" s="20">
        <f t="shared" si="7"/>
        <v>1.2585465421450011</v>
      </c>
      <c r="Z33" s="22">
        <v>42930</v>
      </c>
      <c r="AA33" s="33">
        <v>33762.696300000003</v>
      </c>
      <c r="AB33" s="33">
        <v>23613.1554</v>
      </c>
      <c r="AC33" s="33">
        <v>12272.996800000001</v>
      </c>
      <c r="AD33" s="33">
        <v>17706.7726</v>
      </c>
      <c r="AE33" s="33">
        <v>44253.387300000002</v>
      </c>
      <c r="AF33" s="34">
        <v>19.353000000000002</v>
      </c>
      <c r="AH33" s="28">
        <f t="shared" si="13"/>
        <v>-3.7128813695004807E-2</v>
      </c>
      <c r="AJ33" s="5">
        <f t="shared" si="14"/>
        <v>134.30899860445837</v>
      </c>
      <c r="AK33" s="6">
        <f t="shared" si="15"/>
        <v>119.66651134198339</v>
      </c>
      <c r="AM33" s="1">
        <f t="shared" si="8"/>
        <v>42930</v>
      </c>
      <c r="AN33">
        <f t="shared" si="9"/>
        <v>1.1223607766138484</v>
      </c>
    </row>
    <row r="34" spans="2:40" x14ac:dyDescent="0.25">
      <c r="B34" s="22">
        <v>42937</v>
      </c>
      <c r="C34">
        <v>17.64</v>
      </c>
      <c r="D34">
        <v>26.9</v>
      </c>
      <c r="E34">
        <v>15.32</v>
      </c>
      <c r="F34">
        <v>26.795999999999999</v>
      </c>
      <c r="G34">
        <v>41.595999999999997</v>
      </c>
      <c r="H34">
        <v>19.809999999999999</v>
      </c>
      <c r="I34" s="6">
        <v>21498.58</v>
      </c>
      <c r="K34" s="23">
        <f t="shared" si="0"/>
        <v>4.9312949854262156E-2</v>
      </c>
      <c r="L34" s="24">
        <f t="shared" si="1"/>
        <v>3.2629558541266812E-2</v>
      </c>
      <c r="M34" s="24">
        <f t="shared" si="2"/>
        <v>-3.2583985855013875E-2</v>
      </c>
      <c r="N34" s="24">
        <f t="shared" si="3"/>
        <v>-9.9390356549049486E-3</v>
      </c>
      <c r="O34" s="24">
        <f t="shared" si="4"/>
        <v>-6.9128342844355095E-2</v>
      </c>
      <c r="P34" s="24">
        <f t="shared" si="5"/>
        <v>2.3613909988115411E-2</v>
      </c>
      <c r="Q34" s="25">
        <f t="shared" si="6"/>
        <v>-1.7439543403704461E-2</v>
      </c>
      <c r="S34" s="26">
        <f t="shared" si="10"/>
        <v>-1.0158243284382567E-3</v>
      </c>
      <c r="U34" s="5">
        <f t="shared" si="11"/>
        <v>150.45288494913288</v>
      </c>
      <c r="V34" s="6">
        <f t="shared" si="12"/>
        <v>117.57958202346498</v>
      </c>
      <c r="X34" s="20">
        <f t="shared" si="7"/>
        <v>1.2795834307278577</v>
      </c>
      <c r="Z34" s="22">
        <v>42937</v>
      </c>
      <c r="AA34" s="33">
        <v>35428.120799999997</v>
      </c>
      <c r="AB34" s="33">
        <v>24383.642199999998</v>
      </c>
      <c r="AC34" s="33">
        <v>11872.7904</v>
      </c>
      <c r="AD34" s="33">
        <v>17531.023000000001</v>
      </c>
      <c r="AE34" s="33">
        <v>41194.580399999999</v>
      </c>
      <c r="AF34" s="34">
        <v>19.809999999999999</v>
      </c>
      <c r="AH34" s="28">
        <f t="shared" si="13"/>
        <v>-9.1102914966321308E-3</v>
      </c>
      <c r="AJ34" s="5">
        <f t="shared" si="14"/>
        <v>133.08540447655099</v>
      </c>
      <c r="AK34" s="6">
        <f t="shared" si="15"/>
        <v>117.57958202346498</v>
      </c>
      <c r="AM34" s="1">
        <f t="shared" si="8"/>
        <v>42937</v>
      </c>
      <c r="AN34">
        <f t="shared" si="9"/>
        <v>1.131875128200333</v>
      </c>
    </row>
    <row r="35" spans="2:40" x14ac:dyDescent="0.25">
      <c r="B35" s="22">
        <v>42944</v>
      </c>
      <c r="C35">
        <v>16.66</v>
      </c>
      <c r="D35">
        <v>26.5</v>
      </c>
      <c r="E35">
        <v>14.888999999999999</v>
      </c>
      <c r="F35">
        <v>24.646999999999998</v>
      </c>
      <c r="G35">
        <v>42.88</v>
      </c>
      <c r="H35">
        <v>18.167000000000002</v>
      </c>
      <c r="I35" s="6">
        <v>21689.22</v>
      </c>
      <c r="K35" s="23">
        <f t="shared" si="0"/>
        <v>-5.555555555555558E-2</v>
      </c>
      <c r="L35" s="24">
        <f t="shared" si="1"/>
        <v>-1.4869888475836368E-2</v>
      </c>
      <c r="M35" s="24">
        <f t="shared" si="2"/>
        <v>-2.8133159268929564E-2</v>
      </c>
      <c r="N35" s="24">
        <f t="shared" si="3"/>
        <v>-8.019853709508884E-2</v>
      </c>
      <c r="O35" s="24">
        <f t="shared" si="4"/>
        <v>3.0868352726223902E-2</v>
      </c>
      <c r="P35" s="24">
        <f t="shared" si="5"/>
        <v>-8.2937910146390625E-2</v>
      </c>
      <c r="Q35" s="25">
        <f t="shared" si="6"/>
        <v>8.867562415750152E-3</v>
      </c>
      <c r="S35" s="26">
        <f t="shared" si="10"/>
        <v>-3.8471116302596177E-2</v>
      </c>
      <c r="U35" s="5">
        <f t="shared" si="11"/>
        <v>144.66479451419366</v>
      </c>
      <c r="V35" s="6">
        <f t="shared" si="12"/>
        <v>118.62222630587587</v>
      </c>
      <c r="X35" s="20">
        <f t="shared" si="7"/>
        <v>1.2195420623885878</v>
      </c>
      <c r="Z35" s="22">
        <v>42944</v>
      </c>
      <c r="AA35" s="33">
        <v>33459.891900000002</v>
      </c>
      <c r="AB35" s="33">
        <v>24021.0602</v>
      </c>
      <c r="AC35" s="33">
        <v>11539.285099999999</v>
      </c>
      <c r="AD35" s="33">
        <v>16125.026099999999</v>
      </c>
      <c r="AE35" s="33">
        <v>42465.772900000004</v>
      </c>
      <c r="AF35" s="34">
        <v>18.167000000000002</v>
      </c>
      <c r="AH35" s="28">
        <f t="shared" si="13"/>
        <v>-2.1473797055020144E-2</v>
      </c>
      <c r="AJ35" s="5">
        <f t="shared" si="14"/>
        <v>130.22755550983626</v>
      </c>
      <c r="AK35" s="6">
        <f t="shared" si="15"/>
        <v>118.62222630587587</v>
      </c>
      <c r="AM35" s="1">
        <f t="shared" si="8"/>
        <v>42944</v>
      </c>
      <c r="AN35">
        <f t="shared" si="9"/>
        <v>1.0978343567253175</v>
      </c>
    </row>
    <row r="36" spans="2:40" x14ac:dyDescent="0.25">
      <c r="B36" s="22">
        <v>42951</v>
      </c>
      <c r="C36">
        <v>16.960999999999999</v>
      </c>
      <c r="D36">
        <v>26.85</v>
      </c>
      <c r="E36">
        <v>14.631</v>
      </c>
      <c r="F36">
        <v>25.184999999999999</v>
      </c>
      <c r="G36">
        <v>44.323999999999998</v>
      </c>
      <c r="H36">
        <v>18.440000000000001</v>
      </c>
      <c r="I36" s="6">
        <v>21703.9</v>
      </c>
      <c r="K36" s="23">
        <f t="shared" si="0"/>
        <v>1.8067226890756238E-2</v>
      </c>
      <c r="L36" s="24">
        <f t="shared" si="1"/>
        <v>1.3207547169811429E-2</v>
      </c>
      <c r="M36" s="24">
        <f t="shared" si="2"/>
        <v>-1.7328228893814135E-2</v>
      </c>
      <c r="N36" s="24">
        <f t="shared" si="3"/>
        <v>2.1828214387146438E-2</v>
      </c>
      <c r="O36" s="24">
        <f t="shared" si="4"/>
        <v>3.3675373134328224E-2</v>
      </c>
      <c r="P36" s="24">
        <f t="shared" si="5"/>
        <v>1.5027247206473193E-2</v>
      </c>
      <c r="Q36" s="25">
        <f t="shared" si="6"/>
        <v>6.7683392948203469E-4</v>
      </c>
      <c r="S36" s="26">
        <f t="shared" si="10"/>
        <v>1.4079563315783564E-2</v>
      </c>
      <c r="U36" s="5">
        <f t="shared" si="11"/>
        <v>146.70161164812106</v>
      </c>
      <c r="V36" s="6">
        <f t="shared" si="12"/>
        <v>118.70251385343039</v>
      </c>
      <c r="X36" s="20">
        <f t="shared" si="7"/>
        <v>1.23587619912804</v>
      </c>
      <c r="Z36" s="22">
        <v>42951</v>
      </c>
      <c r="AA36" s="33">
        <v>34065.500800000002</v>
      </c>
      <c r="AB36" s="33">
        <v>24338.3194</v>
      </c>
      <c r="AC36" s="33">
        <v>11339.1818</v>
      </c>
      <c r="AD36" s="33">
        <v>16476.525300000001</v>
      </c>
      <c r="AE36" s="33">
        <v>43895.864399999999</v>
      </c>
      <c r="AF36" s="34">
        <v>18.440000000000001</v>
      </c>
      <c r="AH36" s="28">
        <f t="shared" si="13"/>
        <v>1.9620397077182047E-2</v>
      </c>
      <c r="AJ36" s="5">
        <f t="shared" si="14"/>
        <v>132.78267185933001</v>
      </c>
      <c r="AK36" s="6">
        <f t="shared" si="15"/>
        <v>118.70251385343039</v>
      </c>
      <c r="AM36" s="1">
        <f t="shared" si="8"/>
        <v>42951</v>
      </c>
      <c r="AN36">
        <f t="shared" si="9"/>
        <v>1.1186171846645583</v>
      </c>
    </row>
    <row r="37" spans="2:40" x14ac:dyDescent="0.25">
      <c r="B37" s="22">
        <v>42958</v>
      </c>
      <c r="C37">
        <v>17.414000000000001</v>
      </c>
      <c r="D37">
        <v>27</v>
      </c>
      <c r="E37">
        <v>15.32</v>
      </c>
      <c r="F37">
        <v>25.52</v>
      </c>
      <c r="G37">
        <v>44.122999999999998</v>
      </c>
      <c r="H37">
        <v>19.445</v>
      </c>
      <c r="I37" s="6">
        <v>21632.98</v>
      </c>
      <c r="K37" s="23">
        <f t="shared" si="0"/>
        <v>2.6708330876717312E-2</v>
      </c>
      <c r="L37" s="24">
        <f t="shared" si="1"/>
        <v>5.5865921787709993E-3</v>
      </c>
      <c r="M37" s="24">
        <f t="shared" si="2"/>
        <v>4.7091791401818073E-2</v>
      </c>
      <c r="N37" s="24">
        <f t="shared" si="3"/>
        <v>1.3301568393885299E-2</v>
      </c>
      <c r="O37" s="24">
        <f t="shared" si="4"/>
        <v>-4.5347892789459054E-3</v>
      </c>
      <c r="P37" s="24">
        <f t="shared" si="5"/>
        <v>5.4501084598698402E-2</v>
      </c>
      <c r="Q37" s="25">
        <f t="shared" si="6"/>
        <v>-3.2676154976756244E-3</v>
      </c>
      <c r="S37" s="26">
        <f t="shared" si="10"/>
        <v>2.3775763028490698E-2</v>
      </c>
      <c r="U37" s="5">
        <f t="shared" si="11"/>
        <v>150.18955440256445</v>
      </c>
      <c r="V37" s="6">
        <f t="shared" si="12"/>
        <v>118.31463967954987</v>
      </c>
      <c r="X37" s="20">
        <f t="shared" si="7"/>
        <v>1.2694080361428342</v>
      </c>
      <c r="Z37" s="22">
        <v>42958</v>
      </c>
      <c r="AA37" s="33">
        <v>34973.914100000002</v>
      </c>
      <c r="AB37" s="33">
        <v>24474.287700000001</v>
      </c>
      <c r="AC37" s="33">
        <v>11872.7904</v>
      </c>
      <c r="AD37" s="33">
        <v>16696.212299999999</v>
      </c>
      <c r="AE37" s="33">
        <v>43697.240599999997</v>
      </c>
      <c r="AF37" s="34">
        <v>19.445</v>
      </c>
      <c r="AH37" s="28">
        <f t="shared" si="13"/>
        <v>1.230190049452904E-2</v>
      </c>
      <c r="AJ37" s="5">
        <f t="shared" si="14"/>
        <v>134.4161510759412</v>
      </c>
      <c r="AK37" s="6">
        <f t="shared" si="15"/>
        <v>118.31463967954987</v>
      </c>
      <c r="AM37" s="1">
        <f t="shared" si="8"/>
        <v>42958</v>
      </c>
      <c r="AN37">
        <f t="shared" si="9"/>
        <v>1.136090609243299</v>
      </c>
    </row>
    <row r="38" spans="2:40" x14ac:dyDescent="0.25">
      <c r="B38" s="22">
        <v>42965</v>
      </c>
      <c r="C38">
        <v>18.946999999999999</v>
      </c>
      <c r="D38">
        <v>29.8</v>
      </c>
      <c r="E38">
        <v>18.648</v>
      </c>
      <c r="F38">
        <v>29.181000000000001</v>
      </c>
      <c r="G38">
        <v>50.14</v>
      </c>
      <c r="H38">
        <v>22.411999999999999</v>
      </c>
      <c r="I38" s="6">
        <v>22967.35</v>
      </c>
      <c r="K38" s="23">
        <f t="shared" si="0"/>
        <v>8.8032617434248062E-2</v>
      </c>
      <c r="L38" s="24">
        <f t="shared" si="1"/>
        <v>0.10370370370370363</v>
      </c>
      <c r="M38" s="24">
        <f t="shared" si="2"/>
        <v>0.21723237597911216</v>
      </c>
      <c r="N38" s="24">
        <f t="shared" si="3"/>
        <v>0.14345611285266457</v>
      </c>
      <c r="O38" s="24">
        <f t="shared" si="4"/>
        <v>0.1363687872538133</v>
      </c>
      <c r="P38" s="24">
        <f t="shared" si="5"/>
        <v>0.15258421187966054</v>
      </c>
      <c r="Q38" s="25">
        <f t="shared" si="6"/>
        <v>6.1682209293402845E-2</v>
      </c>
      <c r="S38" s="26">
        <f t="shared" si="10"/>
        <v>0.14022963485053372</v>
      </c>
      <c r="U38" s="5">
        <f t="shared" si="11"/>
        <v>171.25058077480043</v>
      </c>
      <c r="V38" s="6">
        <f t="shared" si="12"/>
        <v>125.61254804673742</v>
      </c>
      <c r="X38" s="20">
        <f t="shared" si="7"/>
        <v>1.3633238353789479</v>
      </c>
      <c r="Z38" s="22">
        <v>42965</v>
      </c>
      <c r="AA38" s="33">
        <v>36790.7408</v>
      </c>
      <c r="AB38" s="33">
        <v>27012.362000000001</v>
      </c>
      <c r="AC38" s="33">
        <v>14451.8984</v>
      </c>
      <c r="AD38" s="33">
        <v>19090.8007</v>
      </c>
      <c r="AE38" s="33">
        <v>49655.955199999997</v>
      </c>
      <c r="AF38" s="34">
        <v>22.411999999999999</v>
      </c>
      <c r="AH38" s="28">
        <f t="shared" si="13"/>
        <v>0.12565600513696881</v>
      </c>
      <c r="AJ38" s="5">
        <f t="shared" si="14"/>
        <v>151.30634764603124</v>
      </c>
      <c r="AK38" s="6">
        <f t="shared" si="15"/>
        <v>125.61254804673742</v>
      </c>
      <c r="AM38" s="1">
        <f t="shared" si="8"/>
        <v>42965</v>
      </c>
      <c r="AN38">
        <f t="shared" si="9"/>
        <v>1.2045480328106533</v>
      </c>
    </row>
    <row r="39" spans="2:40" x14ac:dyDescent="0.25">
      <c r="B39" s="22">
        <v>42972</v>
      </c>
      <c r="C39">
        <v>19.337</v>
      </c>
      <c r="D39">
        <v>30.5</v>
      </c>
      <c r="E39">
        <v>20.024999999999999</v>
      </c>
      <c r="F39">
        <v>29.751999999999999</v>
      </c>
      <c r="G39">
        <v>50.381</v>
      </c>
      <c r="H39">
        <v>22.274999999999999</v>
      </c>
      <c r="I39" s="6">
        <v>23500.95</v>
      </c>
      <c r="K39" s="23">
        <f t="shared" ref="K39:K69" si="16">+C39/C38-1</f>
        <v>2.0583733572597351E-2</v>
      </c>
      <c r="L39" s="24">
        <f t="shared" ref="L39:L69" si="17">+D39/D38-1</f>
        <v>2.3489932885905951E-2</v>
      </c>
      <c r="M39" s="24">
        <f t="shared" ref="M39:M69" si="18">+E39/E38-1</f>
        <v>7.3841698841698777E-2</v>
      </c>
      <c r="N39" s="24">
        <f t="shared" ref="N39:N69" si="19">+F39/F38-1</f>
        <v>1.9567526815393421E-2</v>
      </c>
      <c r="O39" s="24">
        <f t="shared" ref="O39:O69" si="20">+G39/G38-1</f>
        <v>4.806541683286758E-3</v>
      </c>
      <c r="P39" s="24">
        <f t="shared" ref="P39:P69" si="21">+H39/H38-1</f>
        <v>-6.1127967160450325E-3</v>
      </c>
      <c r="Q39" s="25">
        <f t="shared" ref="Q39:Q69" si="22">+I39/I38-1</f>
        <v>2.3232980731342723E-2</v>
      </c>
      <c r="S39" s="26">
        <f t="shared" si="10"/>
        <v>2.269610618047287E-2</v>
      </c>
      <c r="U39" s="5">
        <f t="shared" si="11"/>
        <v>175.13730213953295</v>
      </c>
      <c r="V39" s="6">
        <f t="shared" si="12"/>
        <v>128.53090195512212</v>
      </c>
      <c r="X39" s="20">
        <f t="shared" si="7"/>
        <v>1.3626085204061196</v>
      </c>
      <c r="Z39" s="22">
        <v>42972</v>
      </c>
      <c r="AA39" s="33">
        <v>37547.751900000003</v>
      </c>
      <c r="AB39" s="33">
        <v>27646.8806</v>
      </c>
      <c r="AC39" s="33">
        <v>15519.115599999999</v>
      </c>
      <c r="AD39" s="33">
        <v>19464.268599999999</v>
      </c>
      <c r="AE39" s="33">
        <v>49894.303800000002</v>
      </c>
      <c r="AF39" s="34">
        <v>22.274999999999999</v>
      </c>
      <c r="AH39" s="28">
        <f t="shared" si="13"/>
        <v>2.0888118588224099E-2</v>
      </c>
      <c r="AJ39" s="5">
        <f t="shared" si="14"/>
        <v>154.46685257881262</v>
      </c>
      <c r="AK39" s="6">
        <f t="shared" si="15"/>
        <v>128.53090195512212</v>
      </c>
      <c r="AM39" s="1">
        <f t="shared" si="8"/>
        <v>42972</v>
      </c>
      <c r="AN39">
        <f t="shared" si="9"/>
        <v>1.2017876652942676</v>
      </c>
    </row>
    <row r="40" spans="2:40" x14ac:dyDescent="0.25">
      <c r="B40" s="22">
        <v>42979</v>
      </c>
      <c r="C40">
        <v>19.882999999999999</v>
      </c>
      <c r="D40">
        <v>30.7</v>
      </c>
      <c r="E40">
        <v>20.943000000000001</v>
      </c>
      <c r="F40">
        <v>30.826000000000001</v>
      </c>
      <c r="G40">
        <v>50.06</v>
      </c>
      <c r="H40">
        <v>24.556999999999999</v>
      </c>
      <c r="I40" s="6">
        <v>23657.64</v>
      </c>
      <c r="K40" s="23">
        <f t="shared" si="16"/>
        <v>2.8236024202306531E-2</v>
      </c>
      <c r="L40" s="24">
        <f t="shared" si="17"/>
        <v>6.5573770491802463E-3</v>
      </c>
      <c r="M40" s="24">
        <f t="shared" si="18"/>
        <v>4.5842696629213586E-2</v>
      </c>
      <c r="N40" s="24">
        <f t="shared" si="19"/>
        <v>3.609841355203014E-2</v>
      </c>
      <c r="O40" s="24">
        <f t="shared" si="20"/>
        <v>-6.371449554395503E-3</v>
      </c>
      <c r="P40" s="24">
        <f t="shared" si="21"/>
        <v>0.10244668911335575</v>
      </c>
      <c r="Q40" s="25">
        <f t="shared" si="22"/>
        <v>6.6673900416791554E-3</v>
      </c>
      <c r="S40" s="26">
        <f t="shared" si="10"/>
        <v>3.5468291831948461E-2</v>
      </c>
      <c r="U40" s="5">
        <f t="shared" si="11"/>
        <v>181.34912308247803</v>
      </c>
      <c r="V40" s="6">
        <f t="shared" si="12"/>
        <v>129.38786761086573</v>
      </c>
      <c r="X40" s="20">
        <f t="shared" si="7"/>
        <v>1.4015929501820517</v>
      </c>
      <c r="Z40" s="22">
        <v>42979</v>
      </c>
      <c r="AA40" s="33">
        <v>38607.567499999997</v>
      </c>
      <c r="AB40" s="33">
        <v>27828.171600000001</v>
      </c>
      <c r="AC40" s="33">
        <v>16230.5936</v>
      </c>
      <c r="AD40" s="33">
        <v>20167.267</v>
      </c>
      <c r="AE40" s="33">
        <v>49576.505700000002</v>
      </c>
      <c r="AF40" s="34">
        <v>24.556999999999999</v>
      </c>
      <c r="AH40" s="28">
        <f t="shared" si="13"/>
        <v>1.5589772103554353E-2</v>
      </c>
      <c r="AJ40" s="5">
        <f t="shared" si="14"/>
        <v>156.87495560806963</v>
      </c>
      <c r="AK40" s="6">
        <f t="shared" si="15"/>
        <v>129.38786761086573</v>
      </c>
      <c r="AM40" s="1">
        <f t="shared" si="8"/>
        <v>42979</v>
      </c>
      <c r="AN40">
        <f t="shared" si="9"/>
        <v>1.2124394543688699</v>
      </c>
    </row>
    <row r="41" spans="2:40" x14ac:dyDescent="0.25">
      <c r="B41" s="22">
        <v>42986</v>
      </c>
      <c r="C41">
        <v>19.454000000000001</v>
      </c>
      <c r="D41">
        <v>31.15</v>
      </c>
      <c r="E41">
        <v>20.454999999999998</v>
      </c>
      <c r="F41">
        <v>33.512</v>
      </c>
      <c r="G41">
        <v>49.378</v>
      </c>
      <c r="H41">
        <v>24.831</v>
      </c>
      <c r="I41" s="6">
        <v>24018.13</v>
      </c>
      <c r="K41" s="23">
        <f t="shared" si="16"/>
        <v>-2.1576220892219444E-2</v>
      </c>
      <c r="L41" s="24">
        <f t="shared" si="17"/>
        <v>1.4657980456026065E-2</v>
      </c>
      <c r="M41" s="24">
        <f t="shared" si="18"/>
        <v>-2.3301341737096082E-2</v>
      </c>
      <c r="N41" s="24">
        <f t="shared" si="19"/>
        <v>8.7134237332122222E-2</v>
      </c>
      <c r="O41" s="24">
        <f t="shared" si="20"/>
        <v>-1.3623651618058341E-2</v>
      </c>
      <c r="P41" s="24">
        <f t="shared" si="21"/>
        <v>1.1157714704564947E-2</v>
      </c>
      <c r="Q41" s="25">
        <f t="shared" si="22"/>
        <v>1.5237783650440262E-2</v>
      </c>
      <c r="S41" s="26">
        <f t="shared" si="10"/>
        <v>9.0747863742232284E-3</v>
      </c>
      <c r="U41" s="5">
        <f t="shared" si="11"/>
        <v>182.99482763360425</v>
      </c>
      <c r="V41" s="6">
        <f t="shared" si="12"/>
        <v>131.3594519445119</v>
      </c>
      <c r="X41" s="20">
        <f t="shared" si="7"/>
        <v>1.3930845852714417</v>
      </c>
      <c r="Z41" s="22">
        <v>42986</v>
      </c>
      <c r="AA41" s="33">
        <v>37774.855300000003</v>
      </c>
      <c r="AB41" s="33">
        <v>28236.076400000002</v>
      </c>
      <c r="AC41" s="33">
        <v>15852.6209</v>
      </c>
      <c r="AD41" s="33">
        <v>21924.762999999999</v>
      </c>
      <c r="AE41" s="33">
        <v>48901.184699999998</v>
      </c>
      <c r="AF41" s="34">
        <v>24.831</v>
      </c>
      <c r="AH41" s="28">
        <f t="shared" si="13"/>
        <v>1.8291454549102322E-3</v>
      </c>
      <c r="AJ41" s="5">
        <f t="shared" si="14"/>
        <v>157.16190272010937</v>
      </c>
      <c r="AK41" s="6">
        <f t="shared" si="15"/>
        <v>131.3594519445119</v>
      </c>
      <c r="AM41" s="1">
        <f t="shared" si="8"/>
        <v>42986</v>
      </c>
      <c r="AN41">
        <f t="shared" si="9"/>
        <v>1.1964262974125135</v>
      </c>
    </row>
    <row r="42" spans="2:40" x14ac:dyDescent="0.25">
      <c r="B42" s="22">
        <v>42993</v>
      </c>
      <c r="C42">
        <v>18.986000000000001</v>
      </c>
      <c r="D42">
        <v>31.1</v>
      </c>
      <c r="E42">
        <v>21.114999999999998</v>
      </c>
      <c r="F42">
        <v>31.263000000000002</v>
      </c>
      <c r="G42">
        <v>47.814</v>
      </c>
      <c r="H42">
        <v>24.556999999999999</v>
      </c>
      <c r="I42" s="6">
        <v>23715.54</v>
      </c>
      <c r="K42" s="23">
        <f t="shared" si="16"/>
        <v>-2.4056749254651955E-2</v>
      </c>
      <c r="L42" s="24">
        <f t="shared" si="17"/>
        <v>-1.6051364365969878E-3</v>
      </c>
      <c r="M42" s="24">
        <f t="shared" si="18"/>
        <v>3.2265949645563508E-2</v>
      </c>
      <c r="N42" s="24">
        <f t="shared" si="19"/>
        <v>-6.7110288851754518E-2</v>
      </c>
      <c r="O42" s="24">
        <f t="shared" si="20"/>
        <v>-3.1674024869374984E-2</v>
      </c>
      <c r="P42" s="24">
        <f t="shared" si="21"/>
        <v>-1.1034593854456154E-2</v>
      </c>
      <c r="Q42" s="25">
        <f t="shared" si="22"/>
        <v>-1.2598399625616152E-2</v>
      </c>
      <c r="S42" s="26">
        <f t="shared" si="10"/>
        <v>-1.7202473936878515E-2</v>
      </c>
      <c r="U42" s="5">
        <f t="shared" si="11"/>
        <v>179.84686388065359</v>
      </c>
      <c r="V42" s="6">
        <f t="shared" si="12"/>
        <v>129.70453307431302</v>
      </c>
      <c r="X42" s="20">
        <f t="shared" si="7"/>
        <v>1.3865888848897208</v>
      </c>
      <c r="Z42" s="22">
        <v>42993</v>
      </c>
      <c r="AA42" s="33">
        <v>36866.441899999998</v>
      </c>
      <c r="AB42" s="33">
        <v>28190.7536</v>
      </c>
      <c r="AC42" s="33">
        <v>16363.995800000001</v>
      </c>
      <c r="AD42" s="33">
        <v>20452.860100000002</v>
      </c>
      <c r="AE42" s="33">
        <v>47351.918899999997</v>
      </c>
      <c r="AF42" s="34">
        <v>24.556999999999999</v>
      </c>
      <c r="AH42" s="28">
        <f t="shared" si="13"/>
        <v>-2.2677057210120449E-2</v>
      </c>
      <c r="AJ42" s="5">
        <f t="shared" si="14"/>
        <v>153.59793326087407</v>
      </c>
      <c r="AK42" s="6">
        <f t="shared" si="15"/>
        <v>129.70453307431302</v>
      </c>
      <c r="AM42" s="1">
        <f t="shared" si="8"/>
        <v>42993</v>
      </c>
      <c r="AN42">
        <f t="shared" si="9"/>
        <v>1.1842140719389627</v>
      </c>
    </row>
    <row r="43" spans="2:40" x14ac:dyDescent="0.25">
      <c r="B43" s="22">
        <v>43000</v>
      </c>
      <c r="C43">
        <v>18.673999999999999</v>
      </c>
      <c r="D43">
        <v>33.15</v>
      </c>
      <c r="E43">
        <v>23.696999999999999</v>
      </c>
      <c r="F43">
        <v>36.064</v>
      </c>
      <c r="G43">
        <v>54.633000000000003</v>
      </c>
      <c r="H43">
        <v>27.113</v>
      </c>
      <c r="I43" s="6">
        <v>24994.48</v>
      </c>
      <c r="K43" s="23">
        <f t="shared" si="16"/>
        <v>-1.6433161276730335E-2</v>
      </c>
      <c r="L43" s="24">
        <f t="shared" si="17"/>
        <v>6.5916398713826263E-2</v>
      </c>
      <c r="M43" s="24">
        <f t="shared" si="18"/>
        <v>0.12228273739048068</v>
      </c>
      <c r="N43" s="24">
        <f t="shared" si="19"/>
        <v>0.15356811566388373</v>
      </c>
      <c r="O43" s="24">
        <f t="shared" si="20"/>
        <v>0.14261513364286627</v>
      </c>
      <c r="P43" s="24">
        <f t="shared" si="21"/>
        <v>0.1040843751272551</v>
      </c>
      <c r="Q43" s="25">
        <f t="shared" si="22"/>
        <v>5.3928352464249096E-2</v>
      </c>
      <c r="S43" s="26">
        <f t="shared" si="10"/>
        <v>9.5338933210263613E-2</v>
      </c>
      <c r="U43" s="5">
        <f t="shared" si="11"/>
        <v>196.99327202424661</v>
      </c>
      <c r="V43" s="6">
        <f t="shared" si="12"/>
        <v>136.69928485015544</v>
      </c>
      <c r="X43" s="20">
        <f t="shared" si="7"/>
        <v>1.4410702458332767</v>
      </c>
      <c r="Z43" s="22">
        <v>43000</v>
      </c>
      <c r="AA43" s="33">
        <v>36260.832999999999</v>
      </c>
      <c r="AB43" s="33">
        <v>30048.9866</v>
      </c>
      <c r="AC43" s="33">
        <v>18365.027900000001</v>
      </c>
      <c r="AD43" s="33">
        <v>23594.384300000002</v>
      </c>
      <c r="AE43" s="33">
        <v>54105.128799999999</v>
      </c>
      <c r="AF43" s="34">
        <v>27.113</v>
      </c>
      <c r="AH43" s="28">
        <f t="shared" si="13"/>
        <v>8.8106880662477571E-2</v>
      </c>
      <c r="AJ43" s="5">
        <f t="shared" si="14"/>
        <v>167.1309680366931</v>
      </c>
      <c r="AK43" s="6">
        <f t="shared" si="15"/>
        <v>136.69928485015544</v>
      </c>
      <c r="AM43" s="1">
        <f t="shared" si="8"/>
        <v>43000</v>
      </c>
      <c r="AN43">
        <f t="shared" si="9"/>
        <v>1.2226177204942639</v>
      </c>
    </row>
    <row r="44" spans="2:40" x14ac:dyDescent="0.25">
      <c r="B44" s="22">
        <v>43007</v>
      </c>
      <c r="C44">
        <v>23.821000000000002</v>
      </c>
      <c r="D44">
        <v>34.5</v>
      </c>
      <c r="E44">
        <v>23.439</v>
      </c>
      <c r="F44">
        <v>38.314</v>
      </c>
      <c r="G44">
        <v>57.441000000000003</v>
      </c>
      <c r="H44">
        <v>26.655999999999999</v>
      </c>
      <c r="I44" s="6">
        <v>26078.29</v>
      </c>
      <c r="K44" s="23">
        <f t="shared" si="16"/>
        <v>0.27562386205419309</v>
      </c>
      <c r="L44" s="24">
        <f t="shared" si="17"/>
        <v>4.0723981900452566E-2</v>
      </c>
      <c r="M44" s="24">
        <f t="shared" si="18"/>
        <v>-1.0887454108114869E-2</v>
      </c>
      <c r="N44" s="24">
        <f t="shared" si="19"/>
        <v>6.2389086069210231E-2</v>
      </c>
      <c r="O44" s="24">
        <f t="shared" si="20"/>
        <v>5.1397507001262888E-2</v>
      </c>
      <c r="P44" s="24">
        <f t="shared" si="21"/>
        <v>-1.6855383026592397E-2</v>
      </c>
      <c r="Q44" s="25">
        <f t="shared" si="22"/>
        <v>4.3361974323930852E-2</v>
      </c>
      <c r="S44" s="26">
        <f t="shared" si="10"/>
        <v>6.7065266648401914E-2</v>
      </c>
      <c r="U44" s="5">
        <f t="shared" si="11"/>
        <v>210.2046783404939</v>
      </c>
      <c r="V44" s="6">
        <f t="shared" si="12"/>
        <v>142.62683572992759</v>
      </c>
      <c r="X44" s="20">
        <f t="shared" si="7"/>
        <v>1.4738087489967804</v>
      </c>
      <c r="Z44" s="22">
        <v>43007</v>
      </c>
      <c r="AA44" s="33">
        <v>46253.3799</v>
      </c>
      <c r="AB44" s="33">
        <v>31272.701000000001</v>
      </c>
      <c r="AC44" s="33">
        <v>18164.924599999998</v>
      </c>
      <c r="AD44" s="33">
        <v>25066.287199999999</v>
      </c>
      <c r="AE44" s="33">
        <v>56885.862300000001</v>
      </c>
      <c r="AF44" s="34">
        <v>26.655999999999999</v>
      </c>
      <c r="AH44" s="28">
        <f t="shared" si="13"/>
        <v>9.4029692535234036E-2</v>
      </c>
      <c r="AJ44" s="5">
        <f t="shared" si="14"/>
        <v>182.84624157429937</v>
      </c>
      <c r="AK44" s="6">
        <f t="shared" si="15"/>
        <v>142.62683572992759</v>
      </c>
      <c r="AM44" s="1">
        <f t="shared" si="8"/>
        <v>43007</v>
      </c>
      <c r="AN44">
        <f t="shared" si="9"/>
        <v>1.2819904517865741</v>
      </c>
    </row>
    <row r="45" spans="2:40" x14ac:dyDescent="0.25">
      <c r="B45" s="22">
        <v>43014</v>
      </c>
      <c r="C45">
        <v>22.69</v>
      </c>
      <c r="D45">
        <v>36.950000000000003</v>
      </c>
      <c r="E45">
        <v>24.614999999999998</v>
      </c>
      <c r="F45">
        <v>42.512</v>
      </c>
      <c r="G45">
        <v>60.65</v>
      </c>
      <c r="H45">
        <v>28.254000000000001</v>
      </c>
      <c r="I45" s="6">
        <v>26797.79</v>
      </c>
      <c r="K45" s="23">
        <f t="shared" si="16"/>
        <v>-4.7479115066537902E-2</v>
      </c>
      <c r="L45" s="24">
        <f t="shared" si="17"/>
        <v>7.1014492753623371E-2</v>
      </c>
      <c r="M45" s="24">
        <f t="shared" si="18"/>
        <v>5.0172788941507784E-2</v>
      </c>
      <c r="N45" s="24">
        <f t="shared" si="19"/>
        <v>0.10956830401419837</v>
      </c>
      <c r="O45" s="24">
        <f t="shared" si="20"/>
        <v>5.5866019045629267E-2</v>
      </c>
      <c r="P45" s="24">
        <f t="shared" si="21"/>
        <v>5.9948979591836871E-2</v>
      </c>
      <c r="Q45" s="25">
        <f t="shared" si="22"/>
        <v>2.7589999190897885E-2</v>
      </c>
      <c r="S45" s="26">
        <f t="shared" si="10"/>
        <v>4.9848578213376293E-2</v>
      </c>
      <c r="U45" s="5">
        <f t="shared" si="11"/>
        <v>220.68308268956758</v>
      </c>
      <c r="V45" s="6">
        <f t="shared" si="12"/>
        <v>146.56191001231662</v>
      </c>
      <c r="X45" s="20">
        <f t="shared" si="7"/>
        <v>1.505732851537088</v>
      </c>
      <c r="Z45" s="22">
        <v>43014</v>
      </c>
      <c r="AA45" s="33">
        <v>44058.047599999998</v>
      </c>
      <c r="AB45" s="33">
        <v>33493.515899999999</v>
      </c>
      <c r="AC45" s="33">
        <v>19076.5059</v>
      </c>
      <c r="AD45" s="33">
        <v>27812.374800000001</v>
      </c>
      <c r="AE45" s="33">
        <v>60063.843399999998</v>
      </c>
      <c r="AF45" s="34">
        <v>28.254000000000001</v>
      </c>
      <c r="AH45" s="28">
        <f t="shared" si="13"/>
        <v>3.862325053788792E-2</v>
      </c>
      <c r="AJ45" s="5">
        <f t="shared" si="14"/>
        <v>189.90835777253469</v>
      </c>
      <c r="AK45" s="6">
        <f t="shared" si="15"/>
        <v>146.56191001231662</v>
      </c>
      <c r="AM45" s="1">
        <f t="shared" si="8"/>
        <v>43014</v>
      </c>
      <c r="AN45">
        <f t="shared" si="9"/>
        <v>1.2957552051319157</v>
      </c>
    </row>
    <row r="46" spans="2:40" x14ac:dyDescent="0.25">
      <c r="B46" s="22">
        <v>43021</v>
      </c>
      <c r="C46">
        <v>24.327000000000002</v>
      </c>
      <c r="D46">
        <v>36.799999999999997</v>
      </c>
      <c r="E46">
        <v>22.548999999999999</v>
      </c>
      <c r="F46">
        <v>41.100999999999999</v>
      </c>
      <c r="G46">
        <v>60.529000000000003</v>
      </c>
      <c r="H46">
        <v>29.395</v>
      </c>
      <c r="I46" s="6">
        <v>27140.799999999999</v>
      </c>
      <c r="K46" s="23">
        <f t="shared" si="16"/>
        <v>7.21463199647423E-2</v>
      </c>
      <c r="L46" s="24">
        <f t="shared" si="17"/>
        <v>-4.0595399188093628E-3</v>
      </c>
      <c r="M46" s="24">
        <f t="shared" si="18"/>
        <v>-8.3932561446272591E-2</v>
      </c>
      <c r="N46" s="24">
        <f t="shared" si="19"/>
        <v>-3.3190628528415589E-2</v>
      </c>
      <c r="O46" s="24">
        <f t="shared" si="20"/>
        <v>-1.9950535861499308E-3</v>
      </c>
      <c r="P46" s="24">
        <f t="shared" si="21"/>
        <v>4.0383662490266703E-2</v>
      </c>
      <c r="Q46" s="25">
        <f t="shared" si="22"/>
        <v>1.2799936114134658E-2</v>
      </c>
      <c r="S46" s="26">
        <f t="shared" si="10"/>
        <v>-1.7746335041064116E-3</v>
      </c>
      <c r="U46" s="5">
        <f t="shared" si="11"/>
        <v>220.29145109723717</v>
      </c>
      <c r="V46" s="6">
        <f t="shared" si="12"/>
        <v>148.43789309723982</v>
      </c>
      <c r="X46" s="20">
        <f t="shared" si="7"/>
        <v>1.4840647930304898</v>
      </c>
      <c r="Z46" s="22">
        <v>43021</v>
      </c>
      <c r="AA46" s="33">
        <v>47237.494400000003</v>
      </c>
      <c r="AB46" s="33">
        <v>33357.547700000003</v>
      </c>
      <c r="AC46" s="33">
        <v>17475.6803</v>
      </c>
      <c r="AD46" s="33">
        <v>26889.689399999999</v>
      </c>
      <c r="AE46" s="33">
        <v>59944.669099999999</v>
      </c>
      <c r="AF46" s="34">
        <v>29.395</v>
      </c>
      <c r="AH46" s="28">
        <f t="shared" si="13"/>
        <v>2.1661108691368287E-3</v>
      </c>
      <c r="AJ46" s="5">
        <f t="shared" si="14"/>
        <v>190.3197203304457</v>
      </c>
      <c r="AK46" s="6">
        <f t="shared" si="15"/>
        <v>148.43789309723982</v>
      </c>
      <c r="AM46" s="1">
        <f t="shared" si="8"/>
        <v>43021</v>
      </c>
      <c r="AN46">
        <f t="shared" si="9"/>
        <v>1.2821505099494346</v>
      </c>
    </row>
    <row r="47" spans="2:40" x14ac:dyDescent="0.25">
      <c r="B47" s="22">
        <v>43028</v>
      </c>
      <c r="C47">
        <v>24.327000000000002</v>
      </c>
      <c r="D47">
        <v>36.5</v>
      </c>
      <c r="E47">
        <v>23.466999999999999</v>
      </c>
      <c r="F47">
        <v>40.731999999999999</v>
      </c>
      <c r="G47">
        <v>59.326000000000001</v>
      </c>
      <c r="H47">
        <v>30.170999999999999</v>
      </c>
      <c r="I47" s="6">
        <v>26978.98</v>
      </c>
      <c r="K47" s="23">
        <f t="shared" si="16"/>
        <v>0</v>
      </c>
      <c r="L47" s="24">
        <f t="shared" si="17"/>
        <v>-8.1521739130433479E-3</v>
      </c>
      <c r="M47" s="24">
        <f t="shared" si="18"/>
        <v>4.0711339748991104E-2</v>
      </c>
      <c r="N47" s="24">
        <f t="shared" si="19"/>
        <v>-8.9778837497871411E-3</v>
      </c>
      <c r="O47" s="24">
        <f t="shared" si="20"/>
        <v>-1.9874770771035388E-2</v>
      </c>
      <c r="P47" s="24">
        <f t="shared" si="21"/>
        <v>2.6399047457050573E-2</v>
      </c>
      <c r="Q47" s="25">
        <f t="shared" si="22"/>
        <v>-5.9622413488179538E-3</v>
      </c>
      <c r="S47" s="26">
        <f t="shared" si="10"/>
        <v>5.017593128695967E-3</v>
      </c>
      <c r="U47" s="5">
        <f t="shared" si="11"/>
        <v>221.39678396857315</v>
      </c>
      <c r="V47" s="6">
        <f t="shared" si="12"/>
        <v>147.55287055328404</v>
      </c>
      <c r="X47" s="20">
        <f t="shared" si="7"/>
        <v>1.5004573149840736</v>
      </c>
      <c r="Z47" s="22">
        <v>43028</v>
      </c>
      <c r="AA47" s="33">
        <v>47237.494400000003</v>
      </c>
      <c r="AB47" s="33">
        <v>33085.611100000002</v>
      </c>
      <c r="AC47" s="33">
        <v>18187.158299999999</v>
      </c>
      <c r="AD47" s="33">
        <v>26648.033599999999</v>
      </c>
      <c r="AE47" s="33">
        <v>58752.926200000002</v>
      </c>
      <c r="AF47" s="34">
        <v>30.170999999999999</v>
      </c>
      <c r="AH47" s="28">
        <f t="shared" si="13"/>
        <v>-5.3667723668290894E-3</v>
      </c>
      <c r="AJ47" s="5">
        <f t="shared" si="14"/>
        <v>189.29831771451362</v>
      </c>
      <c r="AK47" s="6">
        <f t="shared" si="15"/>
        <v>147.55287055328404</v>
      </c>
      <c r="AM47" s="1">
        <f t="shared" si="8"/>
        <v>43028</v>
      </c>
      <c r="AN47">
        <f t="shared" si="9"/>
        <v>1.2829185701687487</v>
      </c>
    </row>
    <row r="48" spans="2:40" x14ac:dyDescent="0.25">
      <c r="B48" s="22">
        <v>43035</v>
      </c>
      <c r="C48">
        <v>23.314</v>
      </c>
      <c r="D48">
        <v>38.049999999999997</v>
      </c>
      <c r="E48">
        <v>22.835999999999999</v>
      </c>
      <c r="F48">
        <v>39.119999999999997</v>
      </c>
      <c r="G48">
        <v>58.203000000000003</v>
      </c>
      <c r="H48">
        <v>29.167000000000002</v>
      </c>
      <c r="I48" s="6">
        <v>27479.39</v>
      </c>
      <c r="K48" s="23">
        <f t="shared" si="16"/>
        <v>-4.1640975048300333E-2</v>
      </c>
      <c r="L48" s="24">
        <f t="shared" si="17"/>
        <v>4.2465753424657526E-2</v>
      </c>
      <c r="M48" s="24">
        <f t="shared" si="18"/>
        <v>-2.688882260195169E-2</v>
      </c>
      <c r="N48" s="24">
        <f t="shared" si="19"/>
        <v>-3.9575763527447738E-2</v>
      </c>
      <c r="O48" s="24">
        <f t="shared" si="20"/>
        <v>-1.8929305869264668E-2</v>
      </c>
      <c r="P48" s="24">
        <f t="shared" si="21"/>
        <v>-3.3276987836001415E-2</v>
      </c>
      <c r="Q48" s="25">
        <f t="shared" si="22"/>
        <v>1.854814377711822E-2</v>
      </c>
      <c r="S48" s="26">
        <f t="shared" si="10"/>
        <v>-1.9641016909718052E-2</v>
      </c>
      <c r="U48" s="5">
        <f t="shared" si="11"/>
        <v>217.0483259908892</v>
      </c>
      <c r="V48" s="6">
        <f t="shared" si="12"/>
        <v>150.28970241103286</v>
      </c>
      <c r="X48" s="20">
        <f t="shared" si="7"/>
        <v>1.4441995859255594</v>
      </c>
      <c r="Z48" s="22">
        <v>43035</v>
      </c>
      <c r="AA48" s="33">
        <v>45269.265500000001</v>
      </c>
      <c r="AB48" s="33">
        <v>34490.616600000001</v>
      </c>
      <c r="AC48" s="33">
        <v>17698.017199999998</v>
      </c>
      <c r="AD48" s="33">
        <v>25593.536</v>
      </c>
      <c r="AE48" s="33">
        <v>57640.632799999999</v>
      </c>
      <c r="AF48" s="34">
        <v>29.167000000000002</v>
      </c>
      <c r="AH48" s="28">
        <f t="shared" si="13"/>
        <v>-1.7499125685760369E-2</v>
      </c>
      <c r="AJ48" s="5">
        <f t="shared" si="14"/>
        <v>185.98576266072433</v>
      </c>
      <c r="AK48" s="6">
        <f t="shared" si="15"/>
        <v>150.28970241103286</v>
      </c>
      <c r="AM48" s="1">
        <f t="shared" si="8"/>
        <v>43035</v>
      </c>
      <c r="AN48">
        <f t="shared" si="9"/>
        <v>1.2375150105232426</v>
      </c>
    </row>
    <row r="49" spans="2:45" x14ac:dyDescent="0.25">
      <c r="B49" s="22">
        <v>43042</v>
      </c>
      <c r="C49">
        <v>23.431000000000001</v>
      </c>
      <c r="D49">
        <v>39.65</v>
      </c>
      <c r="E49">
        <v>23.094000000000001</v>
      </c>
      <c r="F49">
        <v>38.918999999999997</v>
      </c>
      <c r="G49">
        <v>59.567</v>
      </c>
      <c r="H49">
        <v>29.213000000000001</v>
      </c>
      <c r="I49" s="6">
        <v>27978.33</v>
      </c>
      <c r="K49" s="23">
        <f t="shared" si="16"/>
        <v>5.0184438534786047E-3</v>
      </c>
      <c r="L49" s="24">
        <f t="shared" si="17"/>
        <v>4.2049934296977787E-2</v>
      </c>
      <c r="M49" s="24">
        <f t="shared" si="18"/>
        <v>1.1297950604309159E-2</v>
      </c>
      <c r="N49" s="24">
        <f t="shared" si="19"/>
        <v>-5.138036809815949E-3</v>
      </c>
      <c r="O49" s="24">
        <f t="shared" si="20"/>
        <v>2.3435218115904544E-2</v>
      </c>
      <c r="P49" s="24">
        <f t="shared" si="21"/>
        <v>1.5771248328591003E-3</v>
      </c>
      <c r="Q49" s="25">
        <f t="shared" si="22"/>
        <v>1.8156880483882754E-2</v>
      </c>
      <c r="S49" s="26">
        <f t="shared" si="10"/>
        <v>1.3040105815618874E-2</v>
      </c>
      <c r="U49" s="5">
        <f t="shared" si="11"/>
        <v>219.87865912891334</v>
      </c>
      <c r="V49" s="6">
        <f t="shared" si="12"/>
        <v>153.01849457566829</v>
      </c>
      <c r="X49" s="20">
        <f t="shared" si="7"/>
        <v>1.43694172223203</v>
      </c>
      <c r="Z49" s="22">
        <v>43042</v>
      </c>
      <c r="AA49" s="33">
        <v>45496.368799999997</v>
      </c>
      <c r="AB49" s="33">
        <v>35940.9447</v>
      </c>
      <c r="AC49" s="33">
        <v>17898.1204</v>
      </c>
      <c r="AD49" s="33">
        <v>25461.7238</v>
      </c>
      <c r="AE49" s="33">
        <v>58991.274799999999</v>
      </c>
      <c r="AF49" s="34">
        <v>29.213000000000001</v>
      </c>
      <c r="AH49" s="28">
        <f t="shared" si="13"/>
        <v>1.7135933270065632E-2</v>
      </c>
      <c r="AJ49" s="5">
        <f t="shared" si="14"/>
        <v>189.17280227886076</v>
      </c>
      <c r="AK49" s="6">
        <f t="shared" si="15"/>
        <v>153.01849457566829</v>
      </c>
      <c r="AM49" s="1">
        <f t="shared" si="8"/>
        <v>43042</v>
      </c>
      <c r="AN49">
        <f t="shared" si="9"/>
        <v>1.236274104012401</v>
      </c>
    </row>
    <row r="50" spans="2:45" x14ac:dyDescent="0.25">
      <c r="B50" s="22">
        <v>43049</v>
      </c>
      <c r="C50">
        <v>24.094000000000001</v>
      </c>
      <c r="D50">
        <v>37.1</v>
      </c>
      <c r="E50">
        <v>24.701000000000001</v>
      </c>
      <c r="F50">
        <v>38.448999999999998</v>
      </c>
      <c r="G50">
        <v>57.762</v>
      </c>
      <c r="H50">
        <v>28.437000000000001</v>
      </c>
      <c r="I50" s="6">
        <v>27080.55</v>
      </c>
      <c r="K50" s="23">
        <f t="shared" si="16"/>
        <v>2.82958473816739E-2</v>
      </c>
      <c r="L50" s="24">
        <f t="shared" si="17"/>
        <v>-6.4312736443883911E-2</v>
      </c>
      <c r="M50" s="24">
        <f t="shared" si="18"/>
        <v>6.9585173638174291E-2</v>
      </c>
      <c r="N50" s="24">
        <f t="shared" si="19"/>
        <v>-1.2076363729797812E-2</v>
      </c>
      <c r="O50" s="24">
        <f t="shared" si="20"/>
        <v>-3.0302012859469207E-2</v>
      </c>
      <c r="P50" s="24">
        <f t="shared" si="21"/>
        <v>-2.6563516242768648E-2</v>
      </c>
      <c r="Q50" s="25">
        <f t="shared" si="22"/>
        <v>-3.2088405562447853E-2</v>
      </c>
      <c r="S50" s="26">
        <f t="shared" si="10"/>
        <v>-5.8956013760118981E-3</v>
      </c>
      <c r="U50" s="5">
        <f t="shared" si="11"/>
        <v>218.58234220359728</v>
      </c>
      <c r="V50" s="6">
        <f t="shared" si="12"/>
        <v>148.10837506316901</v>
      </c>
      <c r="X50" s="20">
        <f t="shared" si="7"/>
        <v>1.475827022680998</v>
      </c>
      <c r="Z50" s="22">
        <v>43049</v>
      </c>
      <c r="AA50" s="33">
        <v>46783.287700000001</v>
      </c>
      <c r="AB50" s="33">
        <v>33629.484199999999</v>
      </c>
      <c r="AC50" s="33">
        <v>19143.206999999999</v>
      </c>
      <c r="AD50" s="33">
        <v>25154.162</v>
      </c>
      <c r="AE50" s="33">
        <v>57203.660400000001</v>
      </c>
      <c r="AF50" s="34">
        <v>28.437000000000001</v>
      </c>
      <c r="AH50" s="28">
        <f t="shared" si="13"/>
        <v>-1.0197463798989517E-2</v>
      </c>
      <c r="AJ50" s="5">
        <f t="shared" si="14"/>
        <v>187.24371947586866</v>
      </c>
      <c r="AK50" s="6">
        <f t="shared" si="15"/>
        <v>148.10837506316901</v>
      </c>
      <c r="AM50" s="1">
        <f t="shared" si="8"/>
        <v>43049</v>
      </c>
      <c r="AN50">
        <f t="shared" si="9"/>
        <v>1.2642345133825701</v>
      </c>
    </row>
    <row r="51" spans="2:45" x14ac:dyDescent="0.25">
      <c r="B51" s="22">
        <v>43056</v>
      </c>
      <c r="C51">
        <v>23.391999999999999</v>
      </c>
      <c r="D51">
        <v>37.950000000000003</v>
      </c>
      <c r="E51">
        <v>25.16</v>
      </c>
      <c r="F51">
        <v>41.000999999999998</v>
      </c>
      <c r="G51">
        <v>58.162999999999997</v>
      </c>
      <c r="H51">
        <v>32.726999999999997</v>
      </c>
      <c r="I51" s="6">
        <v>27128.5</v>
      </c>
      <c r="K51" s="23">
        <f t="shared" si="16"/>
        <v>-2.9135884452560878E-2</v>
      </c>
      <c r="L51" s="24">
        <f t="shared" si="17"/>
        <v>2.2911051212938016E-2</v>
      </c>
      <c r="M51" s="24">
        <f t="shared" si="18"/>
        <v>1.8582243633860962E-2</v>
      </c>
      <c r="N51" s="24">
        <f t="shared" si="19"/>
        <v>6.6373637805924757E-2</v>
      </c>
      <c r="O51" s="24">
        <f t="shared" si="20"/>
        <v>6.942280391953215E-3</v>
      </c>
      <c r="P51" s="24">
        <f t="shared" si="21"/>
        <v>0.15085979533706073</v>
      </c>
      <c r="Q51" s="25">
        <f t="shared" si="22"/>
        <v>1.770643506132652E-3</v>
      </c>
      <c r="S51" s="26">
        <f t="shared" si="10"/>
        <v>3.9422187321529467E-2</v>
      </c>
      <c r="U51" s="5">
        <f t="shared" si="11"/>
        <v>227.19933624312614</v>
      </c>
      <c r="V51" s="6">
        <f t="shared" si="12"/>
        <v>148.37062219567846</v>
      </c>
      <c r="X51" s="20">
        <f t="shared" si="7"/>
        <v>1.531295972753181</v>
      </c>
      <c r="Z51" s="22">
        <v>43056</v>
      </c>
      <c r="AA51" s="33">
        <v>45420.667699999998</v>
      </c>
      <c r="AB51" s="33">
        <v>34399.970999999998</v>
      </c>
      <c r="AC51" s="33">
        <v>19498.946</v>
      </c>
      <c r="AD51" s="33">
        <v>26823.783200000002</v>
      </c>
      <c r="AE51" s="33">
        <v>57600.908000000003</v>
      </c>
      <c r="AF51" s="34">
        <v>32.726999999999997</v>
      </c>
      <c r="AH51" s="28">
        <f t="shared" si="13"/>
        <v>1.0080810324309592E-2</v>
      </c>
      <c r="AJ51" s="5">
        <f t="shared" si="14"/>
        <v>189.1312878963231</v>
      </c>
      <c r="AK51" s="6">
        <f t="shared" si="15"/>
        <v>148.37062219567846</v>
      </c>
      <c r="AM51" s="1">
        <f t="shared" si="8"/>
        <v>43056</v>
      </c>
      <c r="AN51">
        <f t="shared" si="9"/>
        <v>1.2747219435858903</v>
      </c>
    </row>
    <row r="52" spans="2:45" x14ac:dyDescent="0.25">
      <c r="B52" s="22">
        <v>43063</v>
      </c>
      <c r="C52">
        <v>23.587</v>
      </c>
      <c r="D52">
        <v>39.5</v>
      </c>
      <c r="E52">
        <v>26.393000000000001</v>
      </c>
      <c r="F52">
        <v>43.116</v>
      </c>
      <c r="G52">
        <v>60.088000000000001</v>
      </c>
      <c r="H52">
        <v>34.643999999999998</v>
      </c>
      <c r="I52" s="6">
        <v>27464.78</v>
      </c>
      <c r="K52" s="23">
        <f t="shared" si="16"/>
        <v>8.3361833105335403E-3</v>
      </c>
      <c r="L52" s="24">
        <f t="shared" si="17"/>
        <v>4.0843214756258073E-2</v>
      </c>
      <c r="M52" s="24">
        <f t="shared" si="18"/>
        <v>4.9006359300477031E-2</v>
      </c>
      <c r="N52" s="24">
        <f t="shared" si="19"/>
        <v>5.158410770469013E-2</v>
      </c>
      <c r="O52" s="24">
        <f t="shared" si="20"/>
        <v>3.3096642195210135E-2</v>
      </c>
      <c r="P52" s="24">
        <f t="shared" si="21"/>
        <v>5.8575488129067876E-2</v>
      </c>
      <c r="Q52" s="25">
        <f t="shared" si="22"/>
        <v>1.2395819894207127E-2</v>
      </c>
      <c r="S52" s="26">
        <f t="shared" si="10"/>
        <v>4.0240332566039462E-2</v>
      </c>
      <c r="U52" s="5">
        <f t="shared" si="11"/>
        <v>236.34191309233296</v>
      </c>
      <c r="V52" s="6">
        <f t="shared" si="12"/>
        <v>150.20979770600755</v>
      </c>
      <c r="X52" s="20">
        <f t="shared" si="7"/>
        <v>1.5734120989557834</v>
      </c>
      <c r="Z52" s="22">
        <v>43063</v>
      </c>
      <c r="AA52" s="33">
        <v>45799.173199999997</v>
      </c>
      <c r="AB52" s="33">
        <v>35804.9764</v>
      </c>
      <c r="AC52" s="33">
        <v>20454.994699999999</v>
      </c>
      <c r="AD52" s="33">
        <v>28207.811399999999</v>
      </c>
      <c r="AE52" s="33">
        <v>59507.6967</v>
      </c>
      <c r="AF52" s="34">
        <v>34.643999999999998</v>
      </c>
      <c r="AH52" s="28">
        <f t="shared" si="13"/>
        <v>3.2818074283025286E-2</v>
      </c>
      <c r="AJ52" s="5">
        <f t="shared" si="14"/>
        <v>195.33821255174888</v>
      </c>
      <c r="AK52" s="6">
        <f t="shared" si="15"/>
        <v>150.20979770600755</v>
      </c>
      <c r="AM52" s="1">
        <f t="shared" si="8"/>
        <v>43063</v>
      </c>
      <c r="AN52">
        <f t="shared" si="9"/>
        <v>1.3004358938959975</v>
      </c>
    </row>
    <row r="53" spans="2:45" x14ac:dyDescent="0.25">
      <c r="B53" s="22">
        <v>43070</v>
      </c>
      <c r="C53">
        <v>23.274999999999999</v>
      </c>
      <c r="D53">
        <v>38</v>
      </c>
      <c r="E53">
        <v>26.306999999999999</v>
      </c>
      <c r="F53">
        <v>42.377000000000002</v>
      </c>
      <c r="G53">
        <v>58.805</v>
      </c>
      <c r="H53">
        <v>34.598999999999997</v>
      </c>
      <c r="I53" s="6">
        <v>26941.63</v>
      </c>
      <c r="K53" s="23">
        <f t="shared" si="16"/>
        <v>-1.3227625386865727E-2</v>
      </c>
      <c r="L53" s="24">
        <f t="shared" si="17"/>
        <v>-3.7974683544303778E-2</v>
      </c>
      <c r="M53" s="24">
        <f t="shared" si="18"/>
        <v>-3.258439737809371E-3</v>
      </c>
      <c r="N53" s="24">
        <f t="shared" si="19"/>
        <v>-1.7139808887651875E-2</v>
      </c>
      <c r="O53" s="24">
        <f t="shared" si="20"/>
        <v>-2.1352017041672222E-2</v>
      </c>
      <c r="P53" s="24">
        <f t="shared" si="21"/>
        <v>-1.2989262209907038E-3</v>
      </c>
      <c r="Q53" s="25">
        <f t="shared" si="22"/>
        <v>-1.9048031697322831E-2</v>
      </c>
      <c r="S53" s="26">
        <f t="shared" si="10"/>
        <v>-1.5708583469882281E-2</v>
      </c>
      <c r="U53" s="5">
        <f t="shared" si="11"/>
        <v>232.62931642309039</v>
      </c>
      <c r="V53" s="6">
        <f t="shared" si="12"/>
        <v>147.34859671805506</v>
      </c>
      <c r="X53" s="20">
        <f t="shared" si="7"/>
        <v>1.5787684552450549</v>
      </c>
      <c r="Z53" s="22">
        <v>43070</v>
      </c>
      <c r="AA53" s="33">
        <v>45193.564299999998</v>
      </c>
      <c r="AB53" s="33">
        <v>34445.293799999999</v>
      </c>
      <c r="AC53" s="33">
        <v>20388.293600000001</v>
      </c>
      <c r="AD53" s="33">
        <v>27724.5</v>
      </c>
      <c r="AE53" s="33">
        <v>58236.504200000003</v>
      </c>
      <c r="AF53" s="34">
        <v>34.598999999999997</v>
      </c>
      <c r="AH53" s="28">
        <f t="shared" si="13"/>
        <v>-1.9947806794410498E-2</v>
      </c>
      <c r="AJ53" s="5">
        <f t="shared" si="14"/>
        <v>191.44164362820109</v>
      </c>
      <c r="AK53" s="6">
        <f t="shared" si="15"/>
        <v>147.34859671805506</v>
      </c>
      <c r="AM53" s="1">
        <f t="shared" si="8"/>
        <v>43070</v>
      </c>
      <c r="AN53">
        <f t="shared" si="9"/>
        <v>1.2992430731764353</v>
      </c>
    </row>
    <row r="54" spans="2:45" x14ac:dyDescent="0.25">
      <c r="B54" s="22">
        <v>43077</v>
      </c>
      <c r="C54">
        <v>22.417000000000002</v>
      </c>
      <c r="D54">
        <v>40.5</v>
      </c>
      <c r="E54">
        <v>25.704999999999998</v>
      </c>
      <c r="F54">
        <v>41.470999999999997</v>
      </c>
      <c r="G54">
        <v>60.167999999999999</v>
      </c>
      <c r="H54">
        <v>34.232999999999997</v>
      </c>
      <c r="I54" s="6">
        <v>26841.5</v>
      </c>
      <c r="K54" s="23">
        <f t="shared" si="16"/>
        <v>-3.6863587540279186E-2</v>
      </c>
      <c r="L54" s="24">
        <f t="shared" si="17"/>
        <v>6.578947368421062E-2</v>
      </c>
      <c r="M54" s="24">
        <f t="shared" si="18"/>
        <v>-2.2883643136807685E-2</v>
      </c>
      <c r="N54" s="24">
        <f t="shared" si="19"/>
        <v>-2.1379521910470434E-2</v>
      </c>
      <c r="O54" s="24">
        <f t="shared" si="20"/>
        <v>2.3178301164866966E-2</v>
      </c>
      <c r="P54" s="24">
        <f t="shared" si="21"/>
        <v>-1.0578340414462817E-2</v>
      </c>
      <c r="Q54" s="25">
        <f t="shared" si="22"/>
        <v>-3.7165531558409626E-3</v>
      </c>
      <c r="S54" s="26">
        <f t="shared" si="10"/>
        <v>-4.5621969215708935E-4</v>
      </c>
      <c r="U54" s="5">
        <f t="shared" si="11"/>
        <v>232.52318634796512</v>
      </c>
      <c r="V54" s="6">
        <f t="shared" si="12"/>
        <v>146.80096782591383</v>
      </c>
      <c r="X54" s="20">
        <f t="shared" si="7"/>
        <v>1.5839349684922126</v>
      </c>
      <c r="Z54" s="22">
        <v>43077</v>
      </c>
      <c r="AA54" s="33">
        <v>43528.139900000002</v>
      </c>
      <c r="AB54" s="33">
        <v>36711.431499999999</v>
      </c>
      <c r="AC54" s="33">
        <v>19921.386200000001</v>
      </c>
      <c r="AD54" s="33">
        <v>27131.345099999999</v>
      </c>
      <c r="AE54" s="33">
        <v>59587.146200000003</v>
      </c>
      <c r="AF54" s="34">
        <v>34.232999999999997</v>
      </c>
      <c r="AH54" s="28">
        <f t="shared" si="13"/>
        <v>4.785990185272003E-3</v>
      </c>
      <c r="AJ54" s="5">
        <f t="shared" si="14"/>
        <v>192.357881455658</v>
      </c>
      <c r="AK54" s="6">
        <f t="shared" si="15"/>
        <v>146.80096782591383</v>
      </c>
      <c r="AM54" s="1">
        <f t="shared" si="8"/>
        <v>43077</v>
      </c>
      <c r="AN54">
        <f t="shared" si="9"/>
        <v>1.3103311531553969</v>
      </c>
    </row>
    <row r="55" spans="2:45" x14ac:dyDescent="0.25">
      <c r="B55" s="22">
        <v>43084</v>
      </c>
      <c r="C55">
        <v>22.183</v>
      </c>
      <c r="D55">
        <v>42.9</v>
      </c>
      <c r="E55">
        <v>23.84</v>
      </c>
      <c r="F55">
        <v>44.258000000000003</v>
      </c>
      <c r="G55">
        <v>62.776000000000003</v>
      </c>
      <c r="H55">
        <v>35.512</v>
      </c>
      <c r="I55" s="6">
        <v>27021.94</v>
      </c>
      <c r="K55" s="23">
        <f t="shared" si="16"/>
        <v>-1.0438506490609845E-2</v>
      </c>
      <c r="L55" s="24">
        <f t="shared" si="17"/>
        <v>5.9259259259259123E-2</v>
      </c>
      <c r="M55" s="24">
        <f t="shared" si="18"/>
        <v>-7.2553977825325799E-2</v>
      </c>
      <c r="N55" s="24">
        <f t="shared" si="19"/>
        <v>6.7203588049480567E-2</v>
      </c>
      <c r="O55" s="24">
        <f t="shared" si="20"/>
        <v>4.334529982715063E-2</v>
      </c>
      <c r="P55" s="24">
        <f t="shared" si="21"/>
        <v>3.7361610142260471E-2</v>
      </c>
      <c r="Q55" s="25">
        <f t="shared" si="22"/>
        <v>6.7224260939215963E-3</v>
      </c>
      <c r="S55" s="26">
        <f t="shared" si="10"/>
        <v>2.0696212160369192E-2</v>
      </c>
      <c r="U55" s="5">
        <f t="shared" si="11"/>
        <v>237.33553554482765</v>
      </c>
      <c r="V55" s="6">
        <f t="shared" si="12"/>
        <v>147.7878264826397</v>
      </c>
      <c r="X55" s="20">
        <f t="shared" si="7"/>
        <v>1.6059207391666115</v>
      </c>
      <c r="Z55" s="22">
        <v>43084</v>
      </c>
      <c r="AA55" s="33">
        <v>43073.933199999999</v>
      </c>
      <c r="AB55" s="33">
        <v>38886.923799999997</v>
      </c>
      <c r="AC55" s="33">
        <v>18476.1963</v>
      </c>
      <c r="AD55" s="33">
        <v>28954.747200000002</v>
      </c>
      <c r="AE55" s="33">
        <v>62169.255899999996</v>
      </c>
      <c r="AF55" s="34">
        <v>35.512</v>
      </c>
      <c r="AH55" s="28">
        <f t="shared" si="13"/>
        <v>2.5055271840825635E-2</v>
      </c>
      <c r="AJ55" s="5">
        <f t="shared" si="14"/>
        <v>197.17746046625484</v>
      </c>
      <c r="AK55" s="6">
        <f t="shared" si="15"/>
        <v>147.7878264826397</v>
      </c>
      <c r="AM55" s="1">
        <f t="shared" si="8"/>
        <v>43084</v>
      </c>
      <c r="AN55">
        <f t="shared" si="9"/>
        <v>1.3341928436129806</v>
      </c>
    </row>
    <row r="56" spans="2:45" x14ac:dyDescent="0.25">
      <c r="B56" s="22">
        <v>43091</v>
      </c>
      <c r="C56">
        <v>24.094000000000001</v>
      </c>
      <c r="D56">
        <v>45.25</v>
      </c>
      <c r="E56">
        <v>27.484000000000002</v>
      </c>
      <c r="F56">
        <v>47.28</v>
      </c>
      <c r="G56">
        <v>68.271000000000001</v>
      </c>
      <c r="H56">
        <v>38.158999999999999</v>
      </c>
      <c r="I56" s="6">
        <v>28931.54</v>
      </c>
      <c r="K56" s="23">
        <f t="shared" si="16"/>
        <v>8.6147049542442566E-2</v>
      </c>
      <c r="L56" s="24">
        <f t="shared" si="17"/>
        <v>5.4778554778554867E-2</v>
      </c>
      <c r="M56" s="24">
        <f t="shared" si="18"/>
        <v>0.1528523489932887</v>
      </c>
      <c r="N56" s="24">
        <f t="shared" si="19"/>
        <v>6.8281440643499502E-2</v>
      </c>
      <c r="O56" s="24">
        <f t="shared" si="20"/>
        <v>8.753345227475462E-2</v>
      </c>
      <c r="P56" s="24">
        <f t="shared" si="21"/>
        <v>7.4538184275737773E-2</v>
      </c>
      <c r="Q56" s="25">
        <f t="shared" si="22"/>
        <v>7.0668501225300773E-2</v>
      </c>
      <c r="S56" s="26">
        <f t="shared" si="10"/>
        <v>8.7355171751379676E-2</v>
      </c>
      <c r="U56" s="5">
        <f t="shared" si="11"/>
        <v>258.06802201505172</v>
      </c>
      <c r="V56" s="6">
        <f t="shared" si="12"/>
        <v>158.23177067951266</v>
      </c>
      <c r="X56" s="20">
        <f t="shared" si="7"/>
        <v>1.6309494667651188</v>
      </c>
      <c r="Z56" s="22">
        <v>43091</v>
      </c>
      <c r="AA56" s="33">
        <v>46783.287700000001</v>
      </c>
      <c r="AB56" s="33">
        <v>41017.0933</v>
      </c>
      <c r="AC56" s="33">
        <v>21299.874899999999</v>
      </c>
      <c r="AD56" s="33">
        <v>30931.930199999999</v>
      </c>
      <c r="AE56" s="33">
        <v>67611.548599999995</v>
      </c>
      <c r="AF56" s="34">
        <v>38.158999999999999</v>
      </c>
      <c r="AH56" s="28">
        <f t="shared" si="13"/>
        <v>8.3960794959604054E-2</v>
      </c>
      <c r="AJ56" s="5">
        <f t="shared" si="14"/>
        <v>213.73263679511749</v>
      </c>
      <c r="AK56" s="6">
        <f t="shared" si="15"/>
        <v>158.23177067951266</v>
      </c>
      <c r="AM56" s="1">
        <f t="shared" si="8"/>
        <v>43091</v>
      </c>
      <c r="AN56">
        <f t="shared" si="9"/>
        <v>1.3507567783464796</v>
      </c>
    </row>
    <row r="57" spans="2:45" x14ac:dyDescent="0.25">
      <c r="B57" s="22">
        <v>43098</v>
      </c>
      <c r="C57">
        <v>24.795000000000002</v>
      </c>
      <c r="D57">
        <v>45.75</v>
      </c>
      <c r="E57">
        <v>28.085999999999999</v>
      </c>
      <c r="F57">
        <v>50.234999999999999</v>
      </c>
      <c r="G57">
        <v>66.626000000000005</v>
      </c>
      <c r="H57">
        <v>41.08</v>
      </c>
      <c r="I57" s="6">
        <v>30065.61</v>
      </c>
      <c r="K57" s="23">
        <f t="shared" si="16"/>
        <v>2.909438034365408E-2</v>
      </c>
      <c r="L57" s="24">
        <f t="shared" si="17"/>
        <v>1.1049723756906049E-2</v>
      </c>
      <c r="M57" s="24">
        <f t="shared" si="18"/>
        <v>2.1903653034492709E-2</v>
      </c>
      <c r="N57" s="24">
        <f t="shared" si="19"/>
        <v>6.25E-2</v>
      </c>
      <c r="O57" s="24">
        <f t="shared" si="20"/>
        <v>-2.4095150210191707E-2</v>
      </c>
      <c r="P57" s="24">
        <f t="shared" si="21"/>
        <v>7.654812757147722E-2</v>
      </c>
      <c r="Q57" s="25">
        <f t="shared" si="22"/>
        <v>3.9198397320018286E-2</v>
      </c>
      <c r="S57" s="26">
        <f t="shared" si="10"/>
        <v>2.9500122416056391E-2</v>
      </c>
      <c r="U57" s="5">
        <f t="shared" si="11"/>
        <v>265.68106025616532</v>
      </c>
      <c r="V57" s="6">
        <f t="shared" si="12"/>
        <v>164.43420249525823</v>
      </c>
      <c r="X57" s="20">
        <f t="shared" si="7"/>
        <v>1.6157287001396605</v>
      </c>
      <c r="Z57" s="22">
        <v>43098</v>
      </c>
      <c r="AA57" s="33">
        <v>48145.907700000003</v>
      </c>
      <c r="AB57" s="33">
        <v>41470.320800000001</v>
      </c>
      <c r="AC57" s="33">
        <v>21766.7824</v>
      </c>
      <c r="AD57" s="33">
        <v>32865.175900000002</v>
      </c>
      <c r="AE57" s="33">
        <v>65982.833299999998</v>
      </c>
      <c r="AF57" s="34">
        <v>41.08</v>
      </c>
      <c r="AH57" s="28">
        <f t="shared" si="13"/>
        <v>1.2461171061989689E-2</v>
      </c>
      <c r="AJ57" s="5">
        <f t="shared" si="14"/>
        <v>216.39599574375157</v>
      </c>
      <c r="AK57" s="6">
        <f t="shared" si="15"/>
        <v>164.43420249525823</v>
      </c>
      <c r="AM57" s="1">
        <f t="shared" si="8"/>
        <v>43098</v>
      </c>
      <c r="AN57">
        <f t="shared" si="9"/>
        <v>1.31600355923514</v>
      </c>
    </row>
    <row r="58" spans="2:45" x14ac:dyDescent="0.25">
      <c r="B58" s="22">
        <v>43105</v>
      </c>
      <c r="C58">
        <v>30.37</v>
      </c>
      <c r="D58">
        <v>47.25</v>
      </c>
      <c r="E58">
        <v>33.220999999999997</v>
      </c>
      <c r="F58">
        <v>52.384</v>
      </c>
      <c r="G58">
        <v>69.513999999999996</v>
      </c>
      <c r="H58">
        <v>44.823</v>
      </c>
      <c r="I58" s="6">
        <v>32190.3</v>
      </c>
      <c r="K58" s="23">
        <f t="shared" si="16"/>
        <v>0.22484371849163143</v>
      </c>
      <c r="L58" s="24">
        <f t="shared" si="17"/>
        <v>3.2786885245901676E-2</v>
      </c>
      <c r="M58" s="24">
        <f t="shared" si="18"/>
        <v>0.18283130385245316</v>
      </c>
      <c r="N58" s="24">
        <f t="shared" si="19"/>
        <v>4.2778938986762327E-2</v>
      </c>
      <c r="O58" s="24">
        <f t="shared" si="20"/>
        <v>4.3346441329210617E-2</v>
      </c>
      <c r="P58" s="24">
        <f t="shared" si="21"/>
        <v>9.1114897760467439E-2</v>
      </c>
      <c r="Q58" s="25">
        <f t="shared" si="22"/>
        <v>7.0668448103996528E-2</v>
      </c>
      <c r="S58" s="26">
        <f t="shared" si="10"/>
        <v>0.10295036427773778</v>
      </c>
      <c r="U58" s="5">
        <f t="shared" si="11"/>
        <v>293.03302219123316</v>
      </c>
      <c r="V58" s="6">
        <f t="shared" si="12"/>
        <v>176.05451240081644</v>
      </c>
      <c r="X58" s="20">
        <f t="shared" si="7"/>
        <v>1.6644448256122872</v>
      </c>
      <c r="Z58" s="22">
        <v>43105</v>
      </c>
      <c r="AA58" s="33">
        <v>58971.166899999997</v>
      </c>
      <c r="AB58" s="33">
        <v>42830.003499999999</v>
      </c>
      <c r="AC58" s="33">
        <v>25746.6129</v>
      </c>
      <c r="AD58" s="33">
        <v>34271.172700000003</v>
      </c>
      <c r="AE58" s="33">
        <v>68843.016300000003</v>
      </c>
      <c r="AF58" s="34">
        <v>44.823</v>
      </c>
      <c r="AH58" s="28">
        <f t="shared" si="13"/>
        <v>9.7180929522930462E-2</v>
      </c>
      <c r="AJ58" s="5">
        <f t="shared" si="14"/>
        <v>237.42555975516944</v>
      </c>
      <c r="AK58" s="6">
        <f t="shared" si="15"/>
        <v>176.05451240081644</v>
      </c>
      <c r="AM58" s="1">
        <f t="shared" si="8"/>
        <v>43105</v>
      </c>
      <c r="AN58">
        <f t="shared" si="9"/>
        <v>1.3485911637108849</v>
      </c>
      <c r="AO58">
        <f ca="1">+_xlfn.PERCENTILE.INC(OFFSET(AN58,-52,0,52,1),0.1)</f>
        <v>1.0293879214027557</v>
      </c>
      <c r="AP58">
        <f ca="1">+_xlfn.PERCENTILE.INC(OFFSET(AN58,-52,0,52,1),0.25)</f>
        <v>1.0749229032063423</v>
      </c>
      <c r="AQ58">
        <f ca="1">+_xlfn.PERCENTILE.INC(OFFSET(AN58,-52,0,52,1),0.5)</f>
        <v>1.1283686219686979</v>
      </c>
      <c r="AR58">
        <f ca="1">+_xlfn.PERCENTILE.INC(OFFSET(AN58,-52,0,52,1),0.75)</f>
        <v>1.2365843306401114</v>
      </c>
      <c r="AS58">
        <f ca="1">+_xlfn.PERCENTILE.INC(OFFSET(AN58,-52,0,52,1),0.9)</f>
        <v>1.2988942863719832</v>
      </c>
    </row>
    <row r="59" spans="2:45" x14ac:dyDescent="0.25">
      <c r="B59" s="22">
        <v>43112</v>
      </c>
      <c r="C59">
        <v>32.747999999999998</v>
      </c>
      <c r="D59">
        <v>50.15</v>
      </c>
      <c r="E59">
        <v>34.340000000000003</v>
      </c>
      <c r="F59">
        <v>51.914000000000001</v>
      </c>
      <c r="G59">
        <v>69.876000000000005</v>
      </c>
      <c r="H59">
        <v>46.375</v>
      </c>
      <c r="I59" s="6">
        <v>32719.7</v>
      </c>
      <c r="K59" s="23">
        <f t="shared" si="16"/>
        <v>7.8300954889693575E-2</v>
      </c>
      <c r="L59" s="24">
        <f t="shared" si="17"/>
        <v>6.1375661375661306E-2</v>
      </c>
      <c r="M59" s="24">
        <f t="shared" si="18"/>
        <v>3.3683513440293966E-2</v>
      </c>
      <c r="N59" s="24">
        <f t="shared" si="19"/>
        <v>-8.9722052535124996E-3</v>
      </c>
      <c r="O59" s="24">
        <f t="shared" si="20"/>
        <v>5.2075840837817466E-3</v>
      </c>
      <c r="P59" s="24">
        <f t="shared" si="21"/>
        <v>3.4625080873658565E-2</v>
      </c>
      <c r="Q59" s="25">
        <f t="shared" si="22"/>
        <v>1.6445948002969946E-2</v>
      </c>
      <c r="S59" s="26">
        <f t="shared" si="10"/>
        <v>3.4036764901596107E-2</v>
      </c>
      <c r="U59" s="5">
        <f t="shared" si="11"/>
        <v>303.00691827596034</v>
      </c>
      <c r="V59" s="6">
        <f t="shared" si="12"/>
        <v>178.9498957574485</v>
      </c>
      <c r="X59" s="20">
        <f t="shared" si="7"/>
        <v>1.693250040707823</v>
      </c>
      <c r="Z59" s="22">
        <v>43112</v>
      </c>
      <c r="AA59" s="33">
        <v>63588.934800000003</v>
      </c>
      <c r="AB59" s="33">
        <v>45458.723299999998</v>
      </c>
      <c r="AC59" s="33">
        <v>26613.7268</v>
      </c>
      <c r="AD59" s="33">
        <v>33963.6109</v>
      </c>
      <c r="AE59" s="33">
        <v>69200.539099999995</v>
      </c>
      <c r="AF59" s="34">
        <v>46.375</v>
      </c>
      <c r="AH59" s="28">
        <f t="shared" si="13"/>
        <v>3.5395683261192211E-2</v>
      </c>
      <c r="AJ59" s="5">
        <f t="shared" si="14"/>
        <v>245.82939966637466</v>
      </c>
      <c r="AK59" s="6">
        <f t="shared" si="15"/>
        <v>178.9498957574485</v>
      </c>
      <c r="AM59" s="1">
        <f t="shared" si="8"/>
        <v>43112</v>
      </c>
      <c r="AN59">
        <f t="shared" si="9"/>
        <v>1.3737331258330303</v>
      </c>
      <c r="AO59">
        <f t="shared" ref="AO59:AO122" ca="1" si="23">+_xlfn.PERCENTILE.INC(OFFSET(AN59,-52,0,52,1),0.1)</f>
        <v>1.0313098107920997</v>
      </c>
      <c r="AP59">
        <f t="shared" ref="AP59:AP122" ca="1" si="24">+_xlfn.PERCENTILE.INC(OFFSET(AN59,-52,0,52,1),0.25)</f>
        <v>1.0763583118324958</v>
      </c>
      <c r="AQ59">
        <f t="shared" ref="AQ59:AQ122" ca="1" si="25">+_xlfn.PERCENTILE.INC(OFFSET(AN59,-52,0,52,1),0.5)</f>
        <v>1.1319440698462673</v>
      </c>
      <c r="AR59">
        <f t="shared" ref="AR59:AR122" ca="1" si="26">+_xlfn.PERCENTILE.INC(OFFSET(AN59,-52,0,52,1),0.75)</f>
        <v>1.2441948862380745</v>
      </c>
      <c r="AS59">
        <f t="shared" ref="AS59:AS122" ca="1" si="27">+_xlfn.PERCENTILE.INC(OFFSET(AN59,-52,0,52,1),0.9)</f>
        <v>1.3003166118240412</v>
      </c>
    </row>
    <row r="60" spans="2:45" x14ac:dyDescent="0.25">
      <c r="B60" s="22">
        <v>43119</v>
      </c>
      <c r="C60">
        <v>33.177</v>
      </c>
      <c r="D60">
        <v>55.85</v>
      </c>
      <c r="E60">
        <v>34.426000000000002</v>
      </c>
      <c r="F60">
        <v>52.25</v>
      </c>
      <c r="G60">
        <v>71.319999999999993</v>
      </c>
      <c r="H60">
        <v>53.677999999999997</v>
      </c>
      <c r="I60" s="6">
        <v>33591.699999999997</v>
      </c>
      <c r="K60" s="23">
        <f t="shared" si="16"/>
        <v>1.3100036643459267E-2</v>
      </c>
      <c r="L60" s="24">
        <f t="shared" si="17"/>
        <v>0.11365902293120644</v>
      </c>
      <c r="M60" s="24">
        <f t="shared" si="18"/>
        <v>2.5043680838672255E-3</v>
      </c>
      <c r="N60" s="24">
        <f t="shared" si="19"/>
        <v>6.4722425549947893E-3</v>
      </c>
      <c r="O60" s="24">
        <f t="shared" si="20"/>
        <v>2.0665178315873556E-2</v>
      </c>
      <c r="P60" s="24">
        <f t="shared" si="21"/>
        <v>0.15747708894878709</v>
      </c>
      <c r="Q60" s="25">
        <f t="shared" si="22"/>
        <v>2.6650611099734878E-2</v>
      </c>
      <c r="S60" s="26">
        <f t="shared" si="10"/>
        <v>5.2312989579698065E-2</v>
      </c>
      <c r="U60" s="5">
        <f t="shared" si="11"/>
        <v>318.8581160343071</v>
      </c>
      <c r="V60" s="6">
        <f t="shared" si="12"/>
        <v>183.71901983561835</v>
      </c>
      <c r="X60" s="20">
        <f t="shared" si="7"/>
        <v>1.7355748812485705</v>
      </c>
      <c r="Z60" s="22">
        <v>43119</v>
      </c>
      <c r="AA60" s="33">
        <v>64421.646999999997</v>
      </c>
      <c r="AB60" s="33">
        <v>50625.5173</v>
      </c>
      <c r="AC60" s="33">
        <v>26680.427899999999</v>
      </c>
      <c r="AD60" s="33">
        <v>34183.297899999998</v>
      </c>
      <c r="AE60" s="33">
        <v>70630.630699999994</v>
      </c>
      <c r="AF60" s="34">
        <v>53.677999999999997</v>
      </c>
      <c r="AH60" s="28">
        <f t="shared" si="13"/>
        <v>3.2333760922517066E-2</v>
      </c>
      <c r="AJ60" s="5">
        <f t="shared" si="14"/>
        <v>253.77798870291312</v>
      </c>
      <c r="AK60" s="6">
        <f t="shared" si="15"/>
        <v>183.71901983561835</v>
      </c>
      <c r="AM60" s="1">
        <f t="shared" si="8"/>
        <v>43119</v>
      </c>
      <c r="AN60">
        <f t="shared" si="9"/>
        <v>1.3813375932986125</v>
      </c>
      <c r="AO60">
        <f t="shared" ca="1" si="23"/>
        <v>1.0397484556597365</v>
      </c>
      <c r="AP60">
        <f t="shared" ca="1" si="24"/>
        <v>1.0825084851695381</v>
      </c>
      <c r="AQ60">
        <f t="shared" ca="1" si="25"/>
        <v>1.1340518103677504</v>
      </c>
      <c r="AR60">
        <f t="shared" ca="1" si="26"/>
        <v>1.2668563709334002</v>
      </c>
      <c r="AS60">
        <f t="shared" ca="1" si="27"/>
        <v>1.3093416272294569</v>
      </c>
    </row>
    <row r="61" spans="2:45" x14ac:dyDescent="0.25">
      <c r="B61" s="22">
        <v>43126</v>
      </c>
      <c r="C61">
        <v>35.945</v>
      </c>
      <c r="D61">
        <v>62.1</v>
      </c>
      <c r="E61">
        <v>36.520000000000003</v>
      </c>
      <c r="F61">
        <v>52.216000000000001</v>
      </c>
      <c r="G61">
        <v>74.287999999999997</v>
      </c>
      <c r="H61">
        <v>62.030999999999999</v>
      </c>
      <c r="I61" s="6">
        <v>35126.22</v>
      </c>
      <c r="K61" s="23">
        <f t="shared" si="16"/>
        <v>8.3431292763058718E-2</v>
      </c>
      <c r="L61" s="24">
        <f t="shared" si="17"/>
        <v>0.11190689346463745</v>
      </c>
      <c r="M61" s="24">
        <f t="shared" si="18"/>
        <v>6.0826119793179645E-2</v>
      </c>
      <c r="N61" s="24">
        <f t="shared" si="19"/>
        <v>-6.5071770334923507E-4</v>
      </c>
      <c r="O61" s="24">
        <f t="shared" si="20"/>
        <v>4.1615255187885669E-2</v>
      </c>
      <c r="P61" s="24">
        <f t="shared" si="21"/>
        <v>0.15561310033905884</v>
      </c>
      <c r="Q61" s="25">
        <f t="shared" si="22"/>
        <v>4.5681522518955742E-2</v>
      </c>
      <c r="S61" s="26">
        <f t="shared" si="10"/>
        <v>7.5456990640745181E-2</v>
      </c>
      <c r="U61" s="5">
        <f t="shared" si="11"/>
        <v>342.91818991163348</v>
      </c>
      <c r="V61" s="6">
        <f t="shared" si="12"/>
        <v>192.11158437739962</v>
      </c>
      <c r="X61" s="20">
        <f t="shared" si="7"/>
        <v>1.7849948561039251</v>
      </c>
      <c r="Z61" s="22">
        <v>43126</v>
      </c>
      <c r="AA61" s="33">
        <v>69796.426000000007</v>
      </c>
      <c r="AB61" s="33">
        <v>56290.861700000001</v>
      </c>
      <c r="AC61" s="33">
        <v>28303.4872</v>
      </c>
      <c r="AD61" s="33">
        <v>34161.3292</v>
      </c>
      <c r="AE61" s="33">
        <v>73570.263200000001</v>
      </c>
      <c r="AF61" s="34">
        <v>62.030999999999999</v>
      </c>
      <c r="AH61" s="28">
        <f t="shared" si="13"/>
        <v>6.3214586841975423E-2</v>
      </c>
      <c r="AJ61" s="5">
        <f t="shared" si="14"/>
        <v>269.82045940835525</v>
      </c>
      <c r="AK61" s="6">
        <f t="shared" si="15"/>
        <v>192.11158437739962</v>
      </c>
      <c r="AM61" s="1">
        <f t="shared" si="8"/>
        <v>43126</v>
      </c>
      <c r="AN61">
        <f t="shared" si="9"/>
        <v>1.4044986421969121</v>
      </c>
      <c r="AO61">
        <f t="shared" ca="1" si="23"/>
        <v>1.0401362787081978</v>
      </c>
      <c r="AP61">
        <f t="shared" ca="1" si="24"/>
        <v>1.0913254922815001</v>
      </c>
      <c r="AQ61">
        <f t="shared" ca="1" si="25"/>
        <v>1.1374030012251128</v>
      </c>
      <c r="AR61">
        <f t="shared" ca="1" si="26"/>
        <v>1.2765390706360613</v>
      </c>
      <c r="AS61">
        <f t="shared" ca="1" si="27"/>
        <v>1.3154363186271656</v>
      </c>
    </row>
    <row r="62" spans="2:45" x14ac:dyDescent="0.25">
      <c r="B62" s="22">
        <v>43133</v>
      </c>
      <c r="C62">
        <v>27.29</v>
      </c>
      <c r="D62">
        <v>56.05</v>
      </c>
      <c r="E62">
        <v>35.085999999999999</v>
      </c>
      <c r="F62">
        <v>48.723999999999997</v>
      </c>
      <c r="G62">
        <v>67.028000000000006</v>
      </c>
      <c r="H62">
        <v>70.293000000000006</v>
      </c>
      <c r="I62" s="6">
        <v>32614.77</v>
      </c>
      <c r="K62" s="23">
        <f t="shared" si="16"/>
        <v>-0.24078453192377247</v>
      </c>
      <c r="L62" s="24">
        <f t="shared" si="17"/>
        <v>-9.7423510466988827E-2</v>
      </c>
      <c r="M62" s="24">
        <f t="shared" si="18"/>
        <v>-3.9266155531215929E-2</v>
      </c>
      <c r="N62" s="24">
        <f t="shared" si="19"/>
        <v>-6.6876053316991091E-2</v>
      </c>
      <c r="O62" s="24">
        <f t="shared" si="20"/>
        <v>-9.7727762222700743E-2</v>
      </c>
      <c r="P62" s="24">
        <f t="shared" si="21"/>
        <v>0.13319146878173838</v>
      </c>
      <c r="Q62" s="25">
        <f t="shared" si="22"/>
        <v>-7.1497872529409645E-2</v>
      </c>
      <c r="S62" s="26">
        <f t="shared" si="10"/>
        <v>-6.8147757446655119E-2</v>
      </c>
      <c r="U62" s="5">
        <f t="shared" si="11"/>
        <v>319.54908428148946</v>
      </c>
      <c r="V62" s="6">
        <f t="shared" si="12"/>
        <v>178.37601480616138</v>
      </c>
      <c r="X62" s="20">
        <f t="shared" si="7"/>
        <v>1.7914352702000815</v>
      </c>
      <c r="Z62" s="22">
        <v>43133</v>
      </c>
      <c r="AA62" s="33">
        <v>52990.779000000002</v>
      </c>
      <c r="AB62" s="33">
        <v>50806.808400000002</v>
      </c>
      <c r="AC62" s="33">
        <v>27191.8027</v>
      </c>
      <c r="AD62" s="33">
        <v>31876.5844</v>
      </c>
      <c r="AE62" s="33">
        <v>66380.080900000001</v>
      </c>
      <c r="AF62" s="34">
        <v>70.293000000000006</v>
      </c>
      <c r="AH62" s="28">
        <f t="shared" si="13"/>
        <v>-0.12536021412258291</v>
      </c>
      <c r="AJ62" s="5">
        <f t="shared" si="14"/>
        <v>235.99570884227015</v>
      </c>
      <c r="AK62" s="6">
        <f t="shared" si="15"/>
        <v>178.37601480616138</v>
      </c>
      <c r="AM62" s="1">
        <f t="shared" si="8"/>
        <v>43133</v>
      </c>
      <c r="AN62">
        <f t="shared" si="9"/>
        <v>1.323023777040446</v>
      </c>
      <c r="AO62">
        <f t="shared" ca="1" si="23"/>
        <v>1.041618559641327</v>
      </c>
      <c r="AP62">
        <f t="shared" ca="1" si="24"/>
        <v>1.0967822401472165</v>
      </c>
      <c r="AQ62">
        <f t="shared" ca="1" si="25"/>
        <v>1.1440698403579428</v>
      </c>
      <c r="AR62">
        <f t="shared" ca="1" si="26"/>
        <v>1.2820304663272892</v>
      </c>
      <c r="AS62">
        <f t="shared" ca="1" si="27"/>
        <v>1.3323739151751965</v>
      </c>
    </row>
    <row r="63" spans="2:45" x14ac:dyDescent="0.25">
      <c r="B63" s="22">
        <v>43140</v>
      </c>
      <c r="C63">
        <v>25.574999999999999</v>
      </c>
      <c r="D63">
        <v>53.5</v>
      </c>
      <c r="E63">
        <v>29.693000000000001</v>
      </c>
      <c r="F63">
        <v>46.238999999999997</v>
      </c>
      <c r="G63">
        <v>65.423000000000002</v>
      </c>
      <c r="H63">
        <v>53.951999999999998</v>
      </c>
      <c r="I63" s="6">
        <v>30143.439999999999</v>
      </c>
      <c r="K63" s="23">
        <f t="shared" si="16"/>
        <v>-6.2843532429461391E-2</v>
      </c>
      <c r="L63" s="24">
        <f t="shared" si="17"/>
        <v>-4.549509366636928E-2</v>
      </c>
      <c r="M63" s="24">
        <f t="shared" si="18"/>
        <v>-0.15370803169355296</v>
      </c>
      <c r="N63" s="24">
        <f t="shared" si="19"/>
        <v>-5.1001559806255647E-2</v>
      </c>
      <c r="O63" s="24">
        <f t="shared" si="20"/>
        <v>-2.394521692427054E-2</v>
      </c>
      <c r="P63" s="24">
        <f t="shared" si="21"/>
        <v>-0.23246980495924208</v>
      </c>
      <c r="Q63" s="25">
        <f t="shared" si="22"/>
        <v>-7.5773338275879398E-2</v>
      </c>
      <c r="S63" s="26">
        <f t="shared" si="10"/>
        <v>-9.4910539913191982E-2</v>
      </c>
      <c r="U63" s="5">
        <f t="shared" si="11"/>
        <v>289.22050816356722</v>
      </c>
      <c r="V63" s="6">
        <f t="shared" si="12"/>
        <v>164.85986869595084</v>
      </c>
      <c r="X63" s="20">
        <f t="shared" si="7"/>
        <v>1.7543414928770402</v>
      </c>
      <c r="Z63" s="22">
        <v>43140</v>
      </c>
      <c r="AA63" s="33">
        <v>49659.93</v>
      </c>
      <c r="AB63" s="33">
        <v>48495.347800000003</v>
      </c>
      <c r="AC63" s="33">
        <v>23011.868999999999</v>
      </c>
      <c r="AD63" s="33">
        <v>30250.9005</v>
      </c>
      <c r="AE63" s="33">
        <v>64791.090300000003</v>
      </c>
      <c r="AF63" s="34">
        <v>53.951999999999998</v>
      </c>
      <c r="AH63" s="28">
        <f t="shared" si="13"/>
        <v>-5.6920358143595494E-2</v>
      </c>
      <c r="AJ63" s="5">
        <f t="shared" si="14"/>
        <v>222.56274857461645</v>
      </c>
      <c r="AK63" s="6">
        <f t="shared" si="15"/>
        <v>164.85986869595084</v>
      </c>
      <c r="AM63" s="1">
        <f t="shared" si="8"/>
        <v>43140</v>
      </c>
      <c r="AN63">
        <f t="shared" si="9"/>
        <v>1.3500116816487726</v>
      </c>
      <c r="AO63">
        <f t="shared" ca="1" si="23"/>
        <v>1.0427571829000957</v>
      </c>
      <c r="AP63">
        <f t="shared" ca="1" si="24"/>
        <v>1.0990607992947157</v>
      </c>
      <c r="AQ63">
        <f t="shared" ca="1" si="25"/>
        <v>1.1536245739366975</v>
      </c>
      <c r="AR63">
        <f t="shared" ca="1" si="26"/>
        <v>1.282342525004263</v>
      </c>
      <c r="AS63">
        <f t="shared" ca="1" si="27"/>
        <v>1.3330759369557272</v>
      </c>
    </row>
    <row r="64" spans="2:45" x14ac:dyDescent="0.25">
      <c r="B64" s="22">
        <v>43147</v>
      </c>
      <c r="C64">
        <v>28.187000000000001</v>
      </c>
      <c r="D64">
        <v>57</v>
      </c>
      <c r="E64">
        <v>32.762</v>
      </c>
      <c r="F64">
        <v>48.152999999999999</v>
      </c>
      <c r="G64">
        <v>70.156000000000006</v>
      </c>
      <c r="H64">
        <v>69.38</v>
      </c>
      <c r="I64" s="6">
        <v>32677.25</v>
      </c>
      <c r="K64" s="23">
        <f t="shared" si="16"/>
        <v>0.10213098729227776</v>
      </c>
      <c r="L64" s="24">
        <f t="shared" si="17"/>
        <v>6.5420560747663448E-2</v>
      </c>
      <c r="M64" s="24">
        <f t="shared" si="18"/>
        <v>0.10335769373252957</v>
      </c>
      <c r="N64" s="24">
        <f t="shared" si="19"/>
        <v>4.1393628754947231E-2</v>
      </c>
      <c r="O64" s="24">
        <f t="shared" si="20"/>
        <v>7.2344588294636525E-2</v>
      </c>
      <c r="P64" s="24">
        <f t="shared" si="21"/>
        <v>0.2859578884934757</v>
      </c>
      <c r="Q64" s="25">
        <f t="shared" si="22"/>
        <v>8.4058421998285615E-2</v>
      </c>
      <c r="S64" s="26">
        <f t="shared" si="10"/>
        <v>0.1117675578859217</v>
      </c>
      <c r="U64" s="5">
        <f t="shared" si="11"/>
        <v>321.54597805153441</v>
      </c>
      <c r="V64" s="6">
        <f t="shared" si="12"/>
        <v>178.71772910937702</v>
      </c>
      <c r="X64" s="20">
        <f t="shared" si="7"/>
        <v>1.7991834366625432</v>
      </c>
      <c r="Z64" s="22">
        <v>43147</v>
      </c>
      <c r="AA64" s="33">
        <v>54731.904600000002</v>
      </c>
      <c r="AB64" s="33">
        <v>51667.940699999999</v>
      </c>
      <c r="AC64" s="33">
        <v>25390.873899999999</v>
      </c>
      <c r="AD64" s="33">
        <v>31503.116399999999</v>
      </c>
      <c r="AE64" s="33">
        <v>69478.612500000003</v>
      </c>
      <c r="AF64" s="34">
        <v>69.38</v>
      </c>
      <c r="AH64" s="28">
        <f t="shared" si="13"/>
        <v>7.6655575221761876E-2</v>
      </c>
      <c r="AJ64" s="5">
        <f t="shared" si="14"/>
        <v>239.62342408954004</v>
      </c>
      <c r="AK64" s="6">
        <f t="shared" si="15"/>
        <v>178.71772910937702</v>
      </c>
      <c r="AM64" s="1">
        <f t="shared" si="8"/>
        <v>43147</v>
      </c>
      <c r="AN64">
        <f t="shared" si="9"/>
        <v>1.3407926862302963</v>
      </c>
      <c r="AO64">
        <f t="shared" ca="1" si="23"/>
        <v>1.0592400058291926</v>
      </c>
      <c r="AP64">
        <f t="shared" ca="1" si="24"/>
        <v>1.0995336457076736</v>
      </c>
      <c r="AQ64">
        <f t="shared" ca="1" si="25"/>
        <v>1.1710194661516993</v>
      </c>
      <c r="AR64">
        <f t="shared" ca="1" si="26"/>
        <v>1.2861277289095403</v>
      </c>
      <c r="AS64">
        <f t="shared" ca="1" si="27"/>
        <v>1.3471513317010946</v>
      </c>
    </row>
    <row r="65" spans="2:45" x14ac:dyDescent="0.25">
      <c r="B65" s="22">
        <v>43154</v>
      </c>
      <c r="C65">
        <v>27.212</v>
      </c>
      <c r="D65">
        <v>57.55</v>
      </c>
      <c r="E65">
        <v>31.902000000000001</v>
      </c>
      <c r="F65">
        <v>46.709000000000003</v>
      </c>
      <c r="G65">
        <v>67.108000000000004</v>
      </c>
      <c r="H65">
        <v>62.944000000000003</v>
      </c>
      <c r="I65" s="6">
        <v>32742.39</v>
      </c>
      <c r="K65" s="23">
        <f t="shared" si="16"/>
        <v>-3.4590414020647886E-2</v>
      </c>
      <c r="L65" s="24">
        <f t="shared" si="17"/>
        <v>9.6491228070174628E-3</v>
      </c>
      <c r="M65" s="24">
        <f t="shared" si="18"/>
        <v>-2.6249923692082233E-2</v>
      </c>
      <c r="N65" s="24">
        <f t="shared" si="19"/>
        <v>-2.9987747388532271E-2</v>
      </c>
      <c r="O65" s="24">
        <f t="shared" si="20"/>
        <v>-4.3446034551570811E-2</v>
      </c>
      <c r="P65" s="24">
        <f t="shared" si="21"/>
        <v>-9.2764485442490496E-2</v>
      </c>
      <c r="Q65" s="25">
        <f t="shared" si="22"/>
        <v>1.9934358001361119E-3</v>
      </c>
      <c r="S65" s="26">
        <f t="shared" si="10"/>
        <v>-3.6231580381384375E-2</v>
      </c>
      <c r="U65" s="5">
        <f t="shared" si="11"/>
        <v>309.89585910144939</v>
      </c>
      <c r="V65" s="6">
        <f t="shared" si="12"/>
        <v>179.07399142870267</v>
      </c>
      <c r="X65" s="20">
        <f t="shared" si="7"/>
        <v>1.7305464441207408</v>
      </c>
      <c r="Z65" s="22">
        <v>43154</v>
      </c>
      <c r="AA65" s="33">
        <v>52839.376700000001</v>
      </c>
      <c r="AB65" s="33">
        <v>52166.491000000002</v>
      </c>
      <c r="AC65" s="33">
        <v>24723.8632</v>
      </c>
      <c r="AD65" s="33">
        <v>30558.462299999999</v>
      </c>
      <c r="AE65" s="33">
        <v>66459.530400000003</v>
      </c>
      <c r="AF65" s="34">
        <v>62.944000000000003</v>
      </c>
      <c r="AH65" s="28">
        <f t="shared" si="13"/>
        <v>-2.5901150075310787E-2</v>
      </c>
      <c r="AJ65" s="5">
        <f t="shared" si="14"/>
        <v>233.41690182063701</v>
      </c>
      <c r="AK65" s="6">
        <f t="shared" si="15"/>
        <v>179.07399142870267</v>
      </c>
      <c r="AM65" s="1">
        <f t="shared" si="8"/>
        <v>43154</v>
      </c>
      <c r="AN65">
        <f t="shared" si="9"/>
        <v>1.3034662373824992</v>
      </c>
      <c r="AO65">
        <f t="shared" ca="1" si="23"/>
        <v>1.0743321752125576</v>
      </c>
      <c r="AP65">
        <f t="shared" ca="1" si="24"/>
        <v>1.0996293988002339</v>
      </c>
      <c r="AQ65">
        <f t="shared" ca="1" si="25"/>
        <v>1.1903201846757381</v>
      </c>
      <c r="AR65">
        <f t="shared" ca="1" si="26"/>
        <v>1.2966271721430456</v>
      </c>
      <c r="AS65">
        <f t="shared" ca="1" si="27"/>
        <v>1.347811315962826</v>
      </c>
    </row>
    <row r="66" spans="2:45" x14ac:dyDescent="0.25">
      <c r="B66" s="22">
        <v>43161</v>
      </c>
      <c r="C66">
        <v>26.315999999999999</v>
      </c>
      <c r="D66">
        <v>55.55</v>
      </c>
      <c r="E66">
        <v>32.447000000000003</v>
      </c>
      <c r="F66">
        <v>45.667999999999999</v>
      </c>
      <c r="G66">
        <v>63.859000000000002</v>
      </c>
      <c r="H66">
        <v>56.371000000000002</v>
      </c>
      <c r="I66" s="6">
        <v>31900.7</v>
      </c>
      <c r="K66" s="23">
        <f t="shared" si="16"/>
        <v>-3.2926650007349734E-2</v>
      </c>
      <c r="L66" s="24">
        <f t="shared" si="17"/>
        <v>-3.4752389226759384E-2</v>
      </c>
      <c r="M66" s="24">
        <f t="shared" si="18"/>
        <v>1.7083568428311713E-2</v>
      </c>
      <c r="N66" s="24">
        <f t="shared" si="19"/>
        <v>-2.2286925431929672E-2</v>
      </c>
      <c r="O66" s="24">
        <f t="shared" si="20"/>
        <v>-4.8414496036240151E-2</v>
      </c>
      <c r="P66" s="24">
        <f t="shared" si="21"/>
        <v>-0.10442615658362986</v>
      </c>
      <c r="Q66" s="25">
        <f t="shared" si="22"/>
        <v>-2.5706431326485313E-2</v>
      </c>
      <c r="S66" s="26">
        <f t="shared" si="10"/>
        <v>-3.762050814293285E-2</v>
      </c>
      <c r="U66" s="5">
        <f t="shared" si="11"/>
        <v>298.23741941066214</v>
      </c>
      <c r="V66" s="6">
        <f t="shared" si="12"/>
        <v>174.47063816568109</v>
      </c>
      <c r="X66" s="20">
        <f t="shared" si="7"/>
        <v>1.7093845849721112</v>
      </c>
      <c r="Z66" s="22">
        <v>43161</v>
      </c>
      <c r="AA66" s="33">
        <v>51098.251100000001</v>
      </c>
      <c r="AB66" s="33">
        <v>50353.580800000003</v>
      </c>
      <c r="AC66" s="33">
        <v>25146.3033</v>
      </c>
      <c r="AD66" s="33">
        <v>29877.4326</v>
      </c>
      <c r="AE66" s="33">
        <v>63241.824500000002</v>
      </c>
      <c r="AF66" s="34">
        <v>56.371000000000002</v>
      </c>
      <c r="AH66" s="28">
        <f t="shared" si="13"/>
        <v>-3.1019678088368498E-2</v>
      </c>
      <c r="AJ66" s="5">
        <f t="shared" si="14"/>
        <v>226.17638466577654</v>
      </c>
      <c r="AK66" s="6">
        <f t="shared" si="15"/>
        <v>174.47063816568109</v>
      </c>
      <c r="AM66" s="1">
        <f t="shared" si="8"/>
        <v>43161</v>
      </c>
      <c r="AN66">
        <f t="shared" si="9"/>
        <v>1.2963578688294506</v>
      </c>
      <c r="AO66">
        <f t="shared" ca="1" si="23"/>
        <v>1.0743321752125576</v>
      </c>
      <c r="AP66">
        <f t="shared" ca="1" si="24"/>
        <v>1.1009132847063399</v>
      </c>
      <c r="AQ66">
        <f t="shared" ca="1" si="25"/>
        <v>1.1991069813533906</v>
      </c>
      <c r="AR66">
        <f t="shared" ca="1" si="26"/>
        <v>1.2995412783563258</v>
      </c>
      <c r="AS66">
        <f t="shared" ca="1" si="27"/>
        <v>1.347811315962826</v>
      </c>
    </row>
    <row r="67" spans="2:45" x14ac:dyDescent="0.25">
      <c r="B67" s="22">
        <v>43168</v>
      </c>
      <c r="C67">
        <v>27.018000000000001</v>
      </c>
      <c r="D67">
        <v>60.2</v>
      </c>
      <c r="E67">
        <v>35.171999999999997</v>
      </c>
      <c r="F67">
        <v>45.902999999999999</v>
      </c>
      <c r="G67">
        <v>69.956000000000003</v>
      </c>
      <c r="H67">
        <v>61.848999999999997</v>
      </c>
      <c r="I67" s="6">
        <v>33182.6</v>
      </c>
      <c r="K67" s="23">
        <f t="shared" si="16"/>
        <v>2.6675786593707285E-2</v>
      </c>
      <c r="L67" s="24">
        <f t="shared" si="17"/>
        <v>8.3708370837083823E-2</v>
      </c>
      <c r="M67" s="24">
        <f t="shared" si="18"/>
        <v>8.3983110919345183E-2</v>
      </c>
      <c r="N67" s="24">
        <f t="shared" si="19"/>
        <v>5.1458351580975226E-3</v>
      </c>
      <c r="O67" s="24">
        <f t="shared" si="20"/>
        <v>9.5475970497502338E-2</v>
      </c>
      <c r="P67" s="24">
        <f t="shared" si="21"/>
        <v>9.7177626793918837E-2</v>
      </c>
      <c r="Q67" s="25">
        <f t="shared" si="22"/>
        <v>4.0184071195929816E-2</v>
      </c>
      <c r="S67" s="26">
        <f t="shared" si="10"/>
        <v>6.5361116799942498E-2</v>
      </c>
      <c r="U67" s="5">
        <f t="shared" si="11"/>
        <v>317.73055021487585</v>
      </c>
      <c r="V67" s="6">
        <f t="shared" si="12"/>
        <v>181.48157871133014</v>
      </c>
      <c r="X67" s="20">
        <f t="shared" si="7"/>
        <v>1.7507592366730911</v>
      </c>
      <c r="Z67" s="22">
        <v>43168</v>
      </c>
      <c r="AA67" s="33">
        <v>52460.871200000001</v>
      </c>
      <c r="AB67" s="33">
        <v>54568.597000000002</v>
      </c>
      <c r="AC67" s="33">
        <v>27258.503799999999</v>
      </c>
      <c r="AD67" s="33">
        <v>30031.213500000002</v>
      </c>
      <c r="AE67" s="33">
        <v>69279.988700000002</v>
      </c>
      <c r="AF67" s="34">
        <v>61.848999999999997</v>
      </c>
      <c r="AH67" s="28">
        <f t="shared" si="13"/>
        <v>6.318890726648041E-2</v>
      </c>
      <c r="AJ67" s="5">
        <f t="shared" si="14"/>
        <v>240.46822326229008</v>
      </c>
      <c r="AK67" s="6">
        <f t="shared" si="15"/>
        <v>181.48157871133014</v>
      </c>
      <c r="AM67" s="1">
        <f t="shared" si="8"/>
        <v>43168</v>
      </c>
      <c r="AN67">
        <f t="shared" si="9"/>
        <v>1.3250282754305647</v>
      </c>
      <c r="AO67">
        <f t="shared" ca="1" si="23"/>
        <v>1.0752595943731962</v>
      </c>
      <c r="AP67">
        <f t="shared" ca="1" si="24"/>
        <v>1.1065303400910713</v>
      </c>
      <c r="AQ67">
        <f t="shared" ca="1" si="25"/>
        <v>1.2031678490524604</v>
      </c>
      <c r="AR67">
        <f t="shared" ca="1" si="26"/>
        <v>1.2995412783563258</v>
      </c>
      <c r="AS67">
        <f t="shared" ca="1" si="27"/>
        <v>1.347811315962826</v>
      </c>
    </row>
    <row r="68" spans="2:45" x14ac:dyDescent="0.25">
      <c r="B68" s="22">
        <v>43175</v>
      </c>
      <c r="C68">
        <v>27.056000000000001</v>
      </c>
      <c r="D68">
        <v>59.2</v>
      </c>
      <c r="E68">
        <v>35.085999999999999</v>
      </c>
      <c r="F68">
        <v>47.045000000000002</v>
      </c>
      <c r="G68">
        <v>68.992999999999995</v>
      </c>
      <c r="H68">
        <v>55.96</v>
      </c>
      <c r="I68" s="6">
        <v>32555.08</v>
      </c>
      <c r="K68" s="23">
        <f t="shared" si="16"/>
        <v>1.4064697609001975E-3</v>
      </c>
      <c r="L68" s="24">
        <f t="shared" si="17"/>
        <v>-1.6611295681063121E-2</v>
      </c>
      <c r="M68" s="24">
        <f t="shared" si="18"/>
        <v>-2.4451268054133113E-3</v>
      </c>
      <c r="N68" s="24">
        <f t="shared" si="19"/>
        <v>2.487854824303426E-2</v>
      </c>
      <c r="O68" s="24">
        <f t="shared" si="20"/>
        <v>-1.3765795642975753E-2</v>
      </c>
      <c r="P68" s="24">
        <f t="shared" si="21"/>
        <v>-9.5215767433588172E-2</v>
      </c>
      <c r="Q68" s="25">
        <f t="shared" si="22"/>
        <v>-1.891111606685425E-2</v>
      </c>
      <c r="S68" s="26">
        <f t="shared" si="10"/>
        <v>-1.695882792651765E-2</v>
      </c>
      <c r="U68" s="5">
        <f t="shared" si="11"/>
        <v>312.34221248678404</v>
      </c>
      <c r="V68" s="6">
        <f t="shared" si="12"/>
        <v>178.04955951232424</v>
      </c>
      <c r="X68" s="20">
        <f t="shared" si="7"/>
        <v>1.7542431070443862</v>
      </c>
      <c r="Z68" s="22">
        <v>43175</v>
      </c>
      <c r="AA68" s="33">
        <v>52536.5723</v>
      </c>
      <c r="AB68" s="33">
        <v>53662.141900000002</v>
      </c>
      <c r="AC68" s="33">
        <v>27191.8027</v>
      </c>
      <c r="AD68" s="33">
        <v>30778.149300000001</v>
      </c>
      <c r="AE68" s="33">
        <v>68326.594299999997</v>
      </c>
      <c r="AF68" s="34">
        <v>55.96</v>
      </c>
      <c r="AH68" s="28">
        <f t="shared" si="13"/>
        <v>-4.7580513280342102E-3</v>
      </c>
      <c r="AJ68" s="5">
        <f t="shared" si="14"/>
        <v>239.32406311324692</v>
      </c>
      <c r="AK68" s="6">
        <f t="shared" si="15"/>
        <v>178.04955951232424</v>
      </c>
      <c r="AM68" s="1">
        <f t="shared" si="8"/>
        <v>43175</v>
      </c>
      <c r="AN68">
        <f t="shared" si="9"/>
        <v>1.3441429665355695</v>
      </c>
      <c r="AO68">
        <f t="shared" ca="1" si="23"/>
        <v>1.0752595943731962</v>
      </c>
      <c r="AP68">
        <f t="shared" ca="1" si="24"/>
        <v>1.1160285869449129</v>
      </c>
      <c r="AQ68">
        <f t="shared" ca="1" si="25"/>
        <v>1.2084937435897616</v>
      </c>
      <c r="AR68">
        <f t="shared" ca="1" si="26"/>
        <v>1.301193479767623</v>
      </c>
      <c r="AS68">
        <f t="shared" ca="1" si="27"/>
        <v>1.347811315962826</v>
      </c>
    </row>
    <row r="69" spans="2:45" x14ac:dyDescent="0.25">
      <c r="B69" s="22">
        <v>43182</v>
      </c>
      <c r="C69">
        <v>27.212</v>
      </c>
      <c r="D69">
        <v>57.05</v>
      </c>
      <c r="E69">
        <v>32.533000000000001</v>
      </c>
      <c r="F69">
        <v>44.359000000000002</v>
      </c>
      <c r="G69">
        <v>62.575000000000003</v>
      </c>
      <c r="H69">
        <v>54.774000000000001</v>
      </c>
      <c r="I69" s="6">
        <v>31461.26</v>
      </c>
      <c r="K69" s="23">
        <f t="shared" si="16"/>
        <v>5.7658190419869193E-3</v>
      </c>
      <c r="L69" s="24">
        <f t="shared" si="17"/>
        <v>-3.6317567567567655E-2</v>
      </c>
      <c r="M69" s="24">
        <f t="shared" si="18"/>
        <v>-7.2764065439206438E-2</v>
      </c>
      <c r="N69" s="24">
        <f t="shared" si="19"/>
        <v>-5.7094271442236111E-2</v>
      </c>
      <c r="O69" s="24">
        <f t="shared" si="20"/>
        <v>-9.3023929963909291E-2</v>
      </c>
      <c r="P69" s="24">
        <f t="shared" si="21"/>
        <v>-2.119370979270907E-2</v>
      </c>
      <c r="Q69" s="25">
        <f t="shared" si="22"/>
        <v>-3.3599057351418105E-2</v>
      </c>
      <c r="S69" s="26">
        <f t="shared" si="10"/>
        <v>-4.5771287527273607E-2</v>
      </c>
      <c r="U69" s="5">
        <f t="shared" si="11"/>
        <v>298.04590727214668</v>
      </c>
      <c r="V69" s="6">
        <f t="shared" si="12"/>
        <v>172.06726215087491</v>
      </c>
      <c r="X69" s="20">
        <f t="shared" si="7"/>
        <v>1.7321476703151646</v>
      </c>
      <c r="Z69" s="22">
        <v>43182</v>
      </c>
      <c r="AA69" s="33">
        <v>52839.376700000001</v>
      </c>
      <c r="AB69" s="33">
        <v>51713.263500000001</v>
      </c>
      <c r="AC69" s="33">
        <v>25213.004300000001</v>
      </c>
      <c r="AD69" s="33">
        <v>29020.653300000002</v>
      </c>
      <c r="AE69" s="33">
        <v>61970.632100000003</v>
      </c>
      <c r="AF69" s="34">
        <v>54.774000000000001</v>
      </c>
      <c r="AH69" s="28">
        <f t="shared" si="13"/>
        <v>-5.0479195570757696E-2</v>
      </c>
      <c r="AJ69" s="5">
        <f t="shared" si="14"/>
        <v>227.24317692656496</v>
      </c>
      <c r="AK69" s="6">
        <f t="shared" si="15"/>
        <v>172.06726215087491</v>
      </c>
      <c r="AM69" s="1">
        <f t="shared" si="8"/>
        <v>43182</v>
      </c>
      <c r="AN69">
        <f t="shared" si="9"/>
        <v>1.3206648033215624</v>
      </c>
      <c r="AO69">
        <f t="shared" ca="1" si="23"/>
        <v>1.0752595943731962</v>
      </c>
      <c r="AP69">
        <f t="shared" ca="1" si="24"/>
        <v>1.121424878626526</v>
      </c>
      <c r="AQ69">
        <f t="shared" ca="1" si="25"/>
        <v>1.2175285874315669</v>
      </c>
      <c r="AR69">
        <f t="shared" ca="1" si="26"/>
        <v>1.3051824663257237</v>
      </c>
      <c r="AS69">
        <f t="shared" ca="1" si="27"/>
        <v>1.3481463439933534</v>
      </c>
    </row>
    <row r="70" spans="2:45" x14ac:dyDescent="0.25">
      <c r="B70" s="22">
        <v>43189</v>
      </c>
      <c r="C70">
        <v>27.212</v>
      </c>
      <c r="D70">
        <v>56.8</v>
      </c>
      <c r="E70">
        <v>32.533000000000001</v>
      </c>
      <c r="F70">
        <v>43.988999999999997</v>
      </c>
      <c r="G70">
        <v>65.582999999999998</v>
      </c>
      <c r="H70">
        <v>55.046999999999997</v>
      </c>
      <c r="I70" s="6">
        <v>31114.93</v>
      </c>
      <c r="K70" s="23">
        <f t="shared" ref="K70:K133" si="28">+C70/C69-1</f>
        <v>0</v>
      </c>
      <c r="L70" s="24">
        <f t="shared" ref="L70:L133" si="29">+D70/D69-1</f>
        <v>-4.382120946538115E-3</v>
      </c>
      <c r="M70" s="24">
        <f t="shared" ref="M70:M133" si="30">+E70/E69-1</f>
        <v>0</v>
      </c>
      <c r="N70" s="24">
        <f t="shared" ref="N70:N133" si="31">+F70/F69-1</f>
        <v>-8.341035641019956E-3</v>
      </c>
      <c r="O70" s="24">
        <f t="shared" ref="O70:O133" si="32">+G70/G69-1</f>
        <v>4.8070315621254522E-2</v>
      </c>
      <c r="P70" s="24">
        <f t="shared" ref="P70:P133" si="33">+H70/H69-1</f>
        <v>4.984116551648432E-3</v>
      </c>
      <c r="Q70" s="25">
        <f t="shared" ref="Q70:Q133" si="34">+I70/I69-1</f>
        <v>-1.100814144125184E-2</v>
      </c>
      <c r="S70" s="26">
        <f t="shared" si="10"/>
        <v>6.721879264224147E-3</v>
      </c>
      <c r="U70" s="5">
        <f t="shared" si="11"/>
        <v>300.04933587602619</v>
      </c>
      <c r="V70" s="6">
        <f t="shared" si="12"/>
        <v>170.17312139170912</v>
      </c>
      <c r="X70" s="20">
        <f t="shared" si="7"/>
        <v>1.7632005185199868</v>
      </c>
      <c r="Z70" s="22">
        <v>43189</v>
      </c>
      <c r="AA70" s="33">
        <v>52839.376700000001</v>
      </c>
      <c r="AB70" s="33">
        <v>51486.649700000002</v>
      </c>
      <c r="AC70" s="33">
        <v>25213.004300000001</v>
      </c>
      <c r="AD70" s="33">
        <v>28778.997599999999</v>
      </c>
      <c r="AE70" s="33">
        <v>64949.989399999999</v>
      </c>
      <c r="AF70" s="34">
        <v>55.046999999999997</v>
      </c>
      <c r="AH70" s="28">
        <f t="shared" si="13"/>
        <v>1.1369618191680775E-2</v>
      </c>
      <c r="AJ70" s="5">
        <f t="shared" si="14"/>
        <v>229.82684508488455</v>
      </c>
      <c r="AK70" s="6">
        <f t="shared" si="15"/>
        <v>170.17312139170912</v>
      </c>
      <c r="AM70" s="1">
        <f t="shared" si="8"/>
        <v>43189</v>
      </c>
      <c r="AN70">
        <f t="shared" si="9"/>
        <v>1.3505472733021266</v>
      </c>
      <c r="AO70">
        <f t="shared" ca="1" si="23"/>
        <v>1.0761797536257616</v>
      </c>
      <c r="AP70">
        <f t="shared" ca="1" si="24"/>
        <v>1.1242367809562592</v>
      </c>
      <c r="AQ70">
        <f t="shared" ca="1" si="25"/>
        <v>1.2294459122533326</v>
      </c>
      <c r="AR70">
        <f t="shared" ca="1" si="26"/>
        <v>1.3117492546753327</v>
      </c>
      <c r="AS70">
        <f t="shared" ca="1" si="27"/>
        <v>1.3481463439933534</v>
      </c>
    </row>
    <row r="71" spans="2:45" x14ac:dyDescent="0.25">
      <c r="B71" s="22">
        <v>43196</v>
      </c>
      <c r="C71">
        <v>27.094999999999999</v>
      </c>
      <c r="D71">
        <v>58.15</v>
      </c>
      <c r="E71">
        <v>33.220999999999997</v>
      </c>
      <c r="F71">
        <v>45.433</v>
      </c>
      <c r="G71">
        <v>67.87</v>
      </c>
      <c r="H71">
        <v>51.715000000000003</v>
      </c>
      <c r="I71" s="6">
        <v>31738.77</v>
      </c>
      <c r="K71" s="23">
        <f t="shared" si="28"/>
        <v>-4.2995737174775783E-3</v>
      </c>
      <c r="L71" s="24">
        <f t="shared" si="29"/>
        <v>2.3767605633802757E-2</v>
      </c>
      <c r="M71" s="24">
        <f t="shared" si="30"/>
        <v>2.1147757661451383E-2</v>
      </c>
      <c r="N71" s="24">
        <f t="shared" si="31"/>
        <v>3.2826388415285734E-2</v>
      </c>
      <c r="O71" s="24">
        <f t="shared" si="32"/>
        <v>3.4871841788268299E-2</v>
      </c>
      <c r="P71" s="24">
        <f t="shared" si="33"/>
        <v>-6.0530092466437702E-2</v>
      </c>
      <c r="Q71" s="25">
        <f t="shared" si="34"/>
        <v>2.0049538919097776E-2</v>
      </c>
      <c r="S71" s="26">
        <f t="shared" si="10"/>
        <v>7.9639878858154822E-3</v>
      </c>
      <c r="U71" s="5">
        <f t="shared" si="11"/>
        <v>302.43892515208984</v>
      </c>
      <c r="V71" s="6">
        <f t="shared" si="12"/>
        <v>173.58501401203654</v>
      </c>
      <c r="X71" s="20">
        <f t="shared" ref="X71:X134" si="35">+(U71/$U$6)/(V71/$V$6)</f>
        <v>1.7423101116961541</v>
      </c>
      <c r="Z71" s="22">
        <v>43196</v>
      </c>
      <c r="AA71" s="33">
        <v>52612.273399999998</v>
      </c>
      <c r="AB71" s="33">
        <v>52710.364099999999</v>
      </c>
      <c r="AC71" s="33">
        <v>25746.6129</v>
      </c>
      <c r="AD71" s="33">
        <v>29723.651699999999</v>
      </c>
      <c r="AE71" s="33">
        <v>67214.300900000002</v>
      </c>
      <c r="AF71" s="34">
        <v>51.715000000000003</v>
      </c>
      <c r="AH71" s="28">
        <f t="shared" si="13"/>
        <v>2.1207081361302588E-2</v>
      </c>
      <c r="AJ71" s="5">
        <f t="shared" si="14"/>
        <v>234.70080168761118</v>
      </c>
      <c r="AK71" s="6">
        <f t="shared" si="15"/>
        <v>173.58501401203654</v>
      </c>
      <c r="AM71" s="1">
        <f t="shared" ref="AM71:AM134" si="36">+B71</f>
        <v>43196</v>
      </c>
      <c r="AN71">
        <f t="shared" ref="AN71:AN134" si="37">+(AJ71/$AJ$6)/(AK71/$AK$6)</f>
        <v>1.3520798614063356</v>
      </c>
      <c r="AO71">
        <f t="shared" ca="1" si="23"/>
        <v>1.0761797536257616</v>
      </c>
      <c r="AP71">
        <f t="shared" ca="1" si="24"/>
        <v>1.1301218750845154</v>
      </c>
      <c r="AQ71">
        <f t="shared" ca="1" si="25"/>
        <v>1.2368945572678218</v>
      </c>
      <c r="AR71">
        <f t="shared" ca="1" si="26"/>
        <v>1.3171688702567457</v>
      </c>
      <c r="AS71">
        <f t="shared" ca="1" si="27"/>
        <v>1.3498696298549839</v>
      </c>
    </row>
    <row r="72" spans="2:45" x14ac:dyDescent="0.25">
      <c r="B72" s="22">
        <v>43203</v>
      </c>
      <c r="C72">
        <v>26.277000000000001</v>
      </c>
      <c r="D72">
        <v>58.25</v>
      </c>
      <c r="E72">
        <v>35.171999999999997</v>
      </c>
      <c r="F72">
        <v>44.896000000000001</v>
      </c>
      <c r="G72">
        <v>65.944999999999993</v>
      </c>
      <c r="H72">
        <v>45.143000000000001</v>
      </c>
      <c r="I72" s="6">
        <v>31593.11</v>
      </c>
      <c r="K72" s="23">
        <f t="shared" si="28"/>
        <v>-3.0190071968997922E-2</v>
      </c>
      <c r="L72" s="24">
        <f t="shared" si="29"/>
        <v>1.7196904557179593E-3</v>
      </c>
      <c r="M72" s="24">
        <f t="shared" si="30"/>
        <v>5.8727913067035953E-2</v>
      </c>
      <c r="N72" s="24">
        <f t="shared" si="31"/>
        <v>-1.1819602491580983E-2</v>
      </c>
      <c r="O72" s="24">
        <f t="shared" si="32"/>
        <v>-2.8363047001620956E-2</v>
      </c>
      <c r="P72" s="24">
        <f t="shared" si="33"/>
        <v>-0.12708111766412067</v>
      </c>
      <c r="Q72" s="25">
        <f t="shared" si="34"/>
        <v>-4.5893397885299336E-3</v>
      </c>
      <c r="S72" s="26">
        <f t="shared" ref="S72:S135" si="38">+AVERAGE(K72:P72)</f>
        <v>-2.2834372600594437E-2</v>
      </c>
      <c r="U72" s="5">
        <f t="shared" ref="U72:U135" si="39">+U71*(1+S72)</f>
        <v>295.53292204624375</v>
      </c>
      <c r="V72" s="6">
        <f t="shared" ref="V72:V135" si="40">+V71*(1+Q72)</f>
        <v>172.78837340053857</v>
      </c>
      <c r="X72" s="20">
        <f t="shared" si="35"/>
        <v>1.7103750456703044</v>
      </c>
      <c r="Z72" s="22">
        <v>43203</v>
      </c>
      <c r="AA72" s="33">
        <v>51022.55</v>
      </c>
      <c r="AB72" s="33">
        <v>52801.009599999998</v>
      </c>
      <c r="AC72" s="33">
        <v>27258.503799999999</v>
      </c>
      <c r="AD72" s="33">
        <v>29372.1525</v>
      </c>
      <c r="AE72" s="33">
        <v>65307.512300000002</v>
      </c>
      <c r="AF72" s="34">
        <v>45.143000000000001</v>
      </c>
      <c r="AH72" s="28">
        <f t="shared" ref="AH72:AH135" si="41">+SUMPRODUCT(K72:P72,AA71:AF71)/SUM(AA71:AF71)</f>
        <v>-9.8657579769653187E-3</v>
      </c>
      <c r="AJ72" s="5">
        <f t="shared" ref="AJ72:AJ135" si="42">+AJ71*(1+AH72)</f>
        <v>232.38530038116147</v>
      </c>
      <c r="AK72" s="6">
        <f t="shared" ref="AK72:AK135" si="43">+AK71*(1+Q72)</f>
        <v>172.78837340053857</v>
      </c>
      <c r="AM72" s="1">
        <f t="shared" si="36"/>
        <v>43203</v>
      </c>
      <c r="AN72">
        <f t="shared" si="37"/>
        <v>1.3449128306941811</v>
      </c>
      <c r="AO72">
        <f t="shared" ca="1" si="23"/>
        <v>1.0761797536257616</v>
      </c>
      <c r="AP72">
        <f t="shared" ca="1" si="24"/>
        <v>1.1319785406692346</v>
      </c>
      <c r="AQ72">
        <f t="shared" ca="1" si="25"/>
        <v>1.2508747619529064</v>
      </c>
      <c r="AR72">
        <f t="shared" ca="1" si="26"/>
        <v>1.3212545467512833</v>
      </c>
      <c r="AS72">
        <f t="shared" ca="1" si="27"/>
        <v>1.3504937141367912</v>
      </c>
    </row>
    <row r="73" spans="2:45" x14ac:dyDescent="0.25">
      <c r="B73" s="22">
        <v>43210</v>
      </c>
      <c r="C73">
        <v>25.536000000000001</v>
      </c>
      <c r="D73">
        <v>56.75</v>
      </c>
      <c r="E73">
        <v>32.991999999999997</v>
      </c>
      <c r="F73">
        <v>43.317999999999998</v>
      </c>
      <c r="G73">
        <v>62.936</v>
      </c>
      <c r="H73">
        <v>43.454000000000001</v>
      </c>
      <c r="I73" s="6">
        <v>31161.7</v>
      </c>
      <c r="K73" s="23">
        <f t="shared" si="28"/>
        <v>-2.8199566160520551E-2</v>
      </c>
      <c r="L73" s="24">
        <f t="shared" si="29"/>
        <v>-2.5751072961373356E-2</v>
      </c>
      <c r="M73" s="24">
        <f t="shared" si="30"/>
        <v>-6.1981121346525669E-2</v>
      </c>
      <c r="N73" s="24">
        <f t="shared" si="31"/>
        <v>-3.5147897362794112E-2</v>
      </c>
      <c r="O73" s="24">
        <f t="shared" si="32"/>
        <v>-4.5628933201910638E-2</v>
      </c>
      <c r="P73" s="24">
        <f t="shared" si="33"/>
        <v>-3.7414438561903296E-2</v>
      </c>
      <c r="Q73" s="25">
        <f t="shared" si="34"/>
        <v>-1.3655192540398819E-2</v>
      </c>
      <c r="S73" s="26">
        <f t="shared" si="38"/>
        <v>-3.9020504932504606E-2</v>
      </c>
      <c r="U73" s="5">
        <f t="shared" si="39"/>
        <v>284.00107820382078</v>
      </c>
      <c r="V73" s="6">
        <f t="shared" si="40"/>
        <v>170.42891489301189</v>
      </c>
      <c r="X73" s="20">
        <f t="shared" si="35"/>
        <v>1.6663902271636519</v>
      </c>
      <c r="Z73" s="22">
        <v>43210</v>
      </c>
      <c r="AA73" s="33">
        <v>49584.228900000002</v>
      </c>
      <c r="AB73" s="33">
        <v>51441.3269</v>
      </c>
      <c r="AC73" s="33">
        <v>25568.743399999999</v>
      </c>
      <c r="AD73" s="33">
        <v>28339.623599999999</v>
      </c>
      <c r="AE73" s="33">
        <v>62328.154999999999</v>
      </c>
      <c r="AF73" s="34">
        <v>43.454000000000001</v>
      </c>
      <c r="AH73" s="28">
        <f t="shared" si="41"/>
        <v>-3.7651553866947907E-2</v>
      </c>
      <c r="AJ73" s="5">
        <f t="shared" si="42"/>
        <v>223.6356327259733</v>
      </c>
      <c r="AK73" s="6">
        <f t="shared" si="43"/>
        <v>170.42891489301189</v>
      </c>
      <c r="AM73" s="1">
        <f t="shared" si="36"/>
        <v>43210</v>
      </c>
      <c r="AN73">
        <f t="shared" si="37"/>
        <v>1.3121930211570163</v>
      </c>
      <c r="AO73">
        <f t="shared" ca="1" si="23"/>
        <v>1.0761797536257616</v>
      </c>
      <c r="AP73">
        <f t="shared" ca="1" si="24"/>
        <v>1.1350367389825575</v>
      </c>
      <c r="AQ73">
        <f t="shared" ca="1" si="25"/>
        <v>1.2694782284842301</v>
      </c>
      <c r="AR73">
        <f t="shared" ca="1" si="26"/>
        <v>1.3235249016379758</v>
      </c>
      <c r="AS73">
        <f t="shared" ca="1" si="27"/>
        <v>1.3504937141367912</v>
      </c>
    </row>
    <row r="74" spans="2:45" x14ac:dyDescent="0.25">
      <c r="B74" s="22">
        <v>43217</v>
      </c>
      <c r="C74">
        <v>24.795000000000002</v>
      </c>
      <c r="D74">
        <v>54.05</v>
      </c>
      <c r="E74">
        <v>30.209</v>
      </c>
      <c r="F74">
        <v>38.728999999999999</v>
      </c>
      <c r="G74">
        <v>62.615000000000002</v>
      </c>
      <c r="H74">
        <v>41.125999999999998</v>
      </c>
      <c r="I74" s="6">
        <v>30006.35</v>
      </c>
      <c r="K74" s="23">
        <f t="shared" si="28"/>
        <v>-2.9017857142857095E-2</v>
      </c>
      <c r="L74" s="24">
        <f t="shared" si="29"/>
        <v>-4.7577092511013275E-2</v>
      </c>
      <c r="M74" s="24">
        <f t="shared" si="30"/>
        <v>-8.4353782735208438E-2</v>
      </c>
      <c r="N74" s="24">
        <f t="shared" si="31"/>
        <v>-0.1059374855718177</v>
      </c>
      <c r="O74" s="24">
        <f t="shared" si="32"/>
        <v>-5.1004194737510611E-3</v>
      </c>
      <c r="P74" s="24">
        <f t="shared" si="33"/>
        <v>-5.3573894232982089E-2</v>
      </c>
      <c r="Q74" s="25">
        <f t="shared" si="34"/>
        <v>-3.7075961837768845E-2</v>
      </c>
      <c r="S74" s="26">
        <f t="shared" si="38"/>
        <v>-5.4260088611271608E-2</v>
      </c>
      <c r="U74" s="5">
        <f t="shared" si="39"/>
        <v>268.59115453478478</v>
      </c>
      <c r="V74" s="6">
        <f t="shared" si="40"/>
        <v>164.11009894838622</v>
      </c>
      <c r="X74" s="20">
        <f t="shared" si="35"/>
        <v>1.6366522002966959</v>
      </c>
      <c r="Z74" s="22">
        <v>43217</v>
      </c>
      <c r="AA74" s="33">
        <v>48145.907700000003</v>
      </c>
      <c r="AB74" s="33">
        <v>48993.898200000003</v>
      </c>
      <c r="AC74" s="33">
        <v>23412.075499999999</v>
      </c>
      <c r="AD74" s="33">
        <v>25000.381099999999</v>
      </c>
      <c r="AE74" s="33">
        <v>62010.356800000001</v>
      </c>
      <c r="AF74" s="34">
        <v>41.125999999999998</v>
      </c>
      <c r="AH74" s="28">
        <f t="shared" si="41"/>
        <v>-4.3098457684573842E-2</v>
      </c>
      <c r="AJ74" s="5">
        <f t="shared" si="42"/>
        <v>213.99728187217002</v>
      </c>
      <c r="AK74" s="6">
        <f t="shared" si="43"/>
        <v>164.11009894838622</v>
      </c>
      <c r="AM74" s="1">
        <f t="shared" si="36"/>
        <v>43217</v>
      </c>
      <c r="AN74">
        <f t="shared" si="37"/>
        <v>1.3039860632798332</v>
      </c>
      <c r="AO74">
        <f t="shared" ca="1" si="23"/>
        <v>1.0761797536257616</v>
      </c>
      <c r="AP74">
        <f t="shared" ca="1" si="24"/>
        <v>1.1380591972160199</v>
      </c>
      <c r="AQ74">
        <f t="shared" ca="1" si="25"/>
        <v>1.2783561976862323</v>
      </c>
      <c r="AR74">
        <f t="shared" ca="1" si="26"/>
        <v>1.3235249016379758</v>
      </c>
      <c r="AS74">
        <f t="shared" ca="1" si="27"/>
        <v>1.3504937141367912</v>
      </c>
    </row>
    <row r="75" spans="2:45" x14ac:dyDescent="0.25">
      <c r="B75" s="22">
        <v>43224</v>
      </c>
      <c r="C75">
        <v>23.314</v>
      </c>
      <c r="D75">
        <v>52.6</v>
      </c>
      <c r="E75">
        <v>28.085999999999999</v>
      </c>
      <c r="F75">
        <v>37.844000000000001</v>
      </c>
      <c r="G75">
        <v>59.927999999999997</v>
      </c>
      <c r="H75">
        <v>38.204999999999998</v>
      </c>
      <c r="I75" s="6">
        <v>28553.27</v>
      </c>
      <c r="K75" s="23">
        <f t="shared" si="28"/>
        <v>-5.9729784230691751E-2</v>
      </c>
      <c r="L75" s="24">
        <f t="shared" si="29"/>
        <v>-2.6827012025901875E-2</v>
      </c>
      <c r="M75" s="24">
        <f t="shared" si="30"/>
        <v>-7.0277069747426313E-2</v>
      </c>
      <c r="N75" s="24">
        <f t="shared" si="31"/>
        <v>-2.2851093495829922E-2</v>
      </c>
      <c r="O75" s="24">
        <f t="shared" si="32"/>
        <v>-4.2913040006388292E-2</v>
      </c>
      <c r="P75" s="24">
        <f t="shared" si="33"/>
        <v>-7.1025628556144471E-2</v>
      </c>
      <c r="Q75" s="25">
        <f t="shared" si="34"/>
        <v>-4.8425749882941349E-2</v>
      </c>
      <c r="S75" s="26">
        <f t="shared" si="38"/>
        <v>-4.8937271343730437E-2</v>
      </c>
      <c r="U75" s="5">
        <f t="shared" si="39"/>
        <v>255.44703632479019</v>
      </c>
      <c r="V75" s="6">
        <f t="shared" si="40"/>
        <v>156.16294434344692</v>
      </c>
      <c r="X75" s="20">
        <f t="shared" si="35"/>
        <v>1.6357724132236464</v>
      </c>
      <c r="Z75" s="22">
        <v>43224</v>
      </c>
      <c r="AA75" s="33">
        <v>45269.265500000001</v>
      </c>
      <c r="AB75" s="33">
        <v>47679.5383</v>
      </c>
      <c r="AC75" s="33">
        <v>21766.7824</v>
      </c>
      <c r="AD75" s="33">
        <v>24429.194899999999</v>
      </c>
      <c r="AE75" s="33">
        <v>59348.797599999998</v>
      </c>
      <c r="AF75" s="34">
        <v>38.204999999999998</v>
      </c>
      <c r="AH75" s="28">
        <f t="shared" si="41"/>
        <v>-4.3692355321302653E-2</v>
      </c>
      <c r="AJ75" s="5">
        <f t="shared" si="42"/>
        <v>204.6472365948182</v>
      </c>
      <c r="AK75" s="6">
        <f t="shared" si="43"/>
        <v>156.16294434344692</v>
      </c>
      <c r="AM75" s="1">
        <f t="shared" si="36"/>
        <v>43224</v>
      </c>
      <c r="AN75">
        <f t="shared" si="37"/>
        <v>1.3104724520609734</v>
      </c>
      <c r="AO75">
        <f t="shared" ca="1" si="23"/>
        <v>1.0940467370441538</v>
      </c>
      <c r="AP75">
        <f t="shared" ca="1" si="24"/>
        <v>1.1467470639334507</v>
      </c>
      <c r="AQ75">
        <f t="shared" ca="1" si="25"/>
        <v>1.2820704808680043</v>
      </c>
      <c r="AR75">
        <f t="shared" ca="1" si="26"/>
        <v>1.3235249016379758</v>
      </c>
      <c r="AS75">
        <f t="shared" ca="1" si="27"/>
        <v>1.3504937141367912</v>
      </c>
    </row>
    <row r="76" spans="2:45" x14ac:dyDescent="0.25">
      <c r="B76" s="22">
        <v>43231</v>
      </c>
      <c r="C76">
        <v>24.751000000000001</v>
      </c>
      <c r="D76">
        <v>52.05</v>
      </c>
      <c r="E76">
        <v>29.175999999999998</v>
      </c>
      <c r="F76">
        <v>39.408999999999999</v>
      </c>
      <c r="G76">
        <v>66.546000000000006</v>
      </c>
      <c r="H76">
        <v>32.863999999999997</v>
      </c>
      <c r="I76" s="6">
        <v>29852.06</v>
      </c>
      <c r="K76" s="23">
        <f t="shared" si="28"/>
        <v>6.163678476451917E-2</v>
      </c>
      <c r="L76" s="24">
        <f t="shared" si="29"/>
        <v>-1.0456273764258617E-2</v>
      </c>
      <c r="M76" s="24">
        <f t="shared" si="30"/>
        <v>3.8809371216976363E-2</v>
      </c>
      <c r="N76" s="24">
        <f t="shared" si="31"/>
        <v>4.1353979494767934E-2</v>
      </c>
      <c r="O76" s="24">
        <f t="shared" si="32"/>
        <v>0.11043251902282747</v>
      </c>
      <c r="P76" s="24">
        <f t="shared" si="33"/>
        <v>-0.13979845569951577</v>
      </c>
      <c r="Q76" s="25">
        <f t="shared" si="34"/>
        <v>4.5486558982561487E-2</v>
      </c>
      <c r="S76" s="26">
        <f t="shared" si="38"/>
        <v>1.6996320839219425E-2</v>
      </c>
      <c r="U76" s="5">
        <f t="shared" si="39"/>
        <v>259.78869611159405</v>
      </c>
      <c r="V76" s="6">
        <f t="shared" si="40"/>
        <v>163.26625932221557</v>
      </c>
      <c r="X76" s="20">
        <f t="shared" si="35"/>
        <v>1.591196473723856</v>
      </c>
      <c r="Z76" s="22">
        <v>43231</v>
      </c>
      <c r="AA76" s="33">
        <v>46934.689899999998</v>
      </c>
      <c r="AB76" s="33">
        <v>47180.987999999998</v>
      </c>
      <c r="AC76" s="33">
        <v>22611.6626</v>
      </c>
      <c r="AD76" s="33">
        <v>25439.755099999998</v>
      </c>
      <c r="AE76" s="33">
        <v>65903.383700000006</v>
      </c>
      <c r="AF76" s="34">
        <v>32.863999999999997</v>
      </c>
      <c r="AH76" s="28">
        <f t="shared" si="41"/>
        <v>5.3872469448457853E-2</v>
      </c>
      <c r="AJ76" s="5">
        <f t="shared" si="42"/>
        <v>215.67208859598387</v>
      </c>
      <c r="AK76" s="6">
        <f t="shared" si="43"/>
        <v>163.26625932221557</v>
      </c>
      <c r="AM76" s="1">
        <f t="shared" si="36"/>
        <v>43231</v>
      </c>
      <c r="AN76">
        <f t="shared" si="37"/>
        <v>1.3209838302863441</v>
      </c>
      <c r="AO76">
        <f t="shared" ca="1" si="23"/>
        <v>1.098016341233415</v>
      </c>
      <c r="AP76">
        <f t="shared" ca="1" si="24"/>
        <v>1.1557247171505667</v>
      </c>
      <c r="AQ76">
        <f t="shared" ca="1" si="25"/>
        <v>1.2825345400590917</v>
      </c>
      <c r="AR76">
        <f t="shared" ca="1" si="26"/>
        <v>1.3235249016379758</v>
      </c>
      <c r="AS76">
        <f t="shared" ca="1" si="27"/>
        <v>1.3504937141367912</v>
      </c>
    </row>
    <row r="77" spans="2:45" x14ac:dyDescent="0.25">
      <c r="B77" s="22">
        <v>43238</v>
      </c>
      <c r="C77">
        <v>27.745000000000001</v>
      </c>
      <c r="D77">
        <v>59.15</v>
      </c>
      <c r="E77">
        <v>33.078000000000003</v>
      </c>
      <c r="F77">
        <v>46.25</v>
      </c>
      <c r="G77">
        <v>70.718000000000004</v>
      </c>
      <c r="H77">
        <v>42.585999999999999</v>
      </c>
      <c r="I77" s="6">
        <v>31869.82</v>
      </c>
      <c r="K77" s="23">
        <f t="shared" si="28"/>
        <v>0.12096480950264632</v>
      </c>
      <c r="L77" s="24">
        <f t="shared" si="29"/>
        <v>0.13640730067243045</v>
      </c>
      <c r="M77" s="24">
        <f t="shared" si="30"/>
        <v>0.13374006032355368</v>
      </c>
      <c r="N77" s="24">
        <f t="shared" si="31"/>
        <v>0.17358978913446177</v>
      </c>
      <c r="O77" s="24">
        <f t="shared" si="32"/>
        <v>6.269347519009405E-2</v>
      </c>
      <c r="P77" s="24">
        <f t="shared" si="33"/>
        <v>0.29582521908471282</v>
      </c>
      <c r="Q77" s="25">
        <f t="shared" si="34"/>
        <v>6.7591985276727939E-2</v>
      </c>
      <c r="S77" s="26">
        <f t="shared" si="38"/>
        <v>0.15387010898464984</v>
      </c>
      <c r="U77" s="5">
        <f t="shared" si="39"/>
        <v>299.76241109526512</v>
      </c>
      <c r="V77" s="6">
        <f t="shared" si="40"/>
        <v>174.30174991850922</v>
      </c>
      <c r="X77" s="20">
        <f t="shared" si="35"/>
        <v>1.7197900264077219</v>
      </c>
      <c r="Z77" s="22">
        <v>43238</v>
      </c>
      <c r="AA77" s="33">
        <v>52612.273399999998</v>
      </c>
      <c r="AB77" s="33">
        <v>53616.819199999998</v>
      </c>
      <c r="AC77" s="33">
        <v>25635.444500000001</v>
      </c>
      <c r="AD77" s="33">
        <v>29855.463899999999</v>
      </c>
      <c r="AE77" s="33">
        <v>70034.7592</v>
      </c>
      <c r="AF77" s="34">
        <v>42.585999999999999</v>
      </c>
      <c r="AH77" s="28">
        <f t="shared" si="41"/>
        <v>0.11386111178098503</v>
      </c>
      <c r="AJ77" s="5">
        <f t="shared" si="42"/>
        <v>240.22875238364972</v>
      </c>
      <c r="AK77" s="6">
        <f t="shared" si="43"/>
        <v>174.30174991850922</v>
      </c>
      <c r="AM77" s="1">
        <f t="shared" si="36"/>
        <v>43238</v>
      </c>
      <c r="AN77">
        <f t="shared" si="37"/>
        <v>1.3782348857424733</v>
      </c>
      <c r="AO77">
        <f t="shared" ca="1" si="23"/>
        <v>1.1015505000921186</v>
      </c>
      <c r="AP77">
        <f t="shared" ca="1" si="24"/>
        <v>1.177616769045331</v>
      </c>
      <c r="AQ77">
        <f t="shared" ca="1" si="25"/>
        <v>1.2893368876503322</v>
      </c>
      <c r="AR77">
        <f t="shared" ca="1" si="26"/>
        <v>1.3235249016379758</v>
      </c>
      <c r="AS77">
        <f t="shared" ca="1" si="27"/>
        <v>1.3504937141367912</v>
      </c>
    </row>
    <row r="78" spans="2:45" x14ac:dyDescent="0.25">
      <c r="B78" s="22">
        <v>43245</v>
      </c>
      <c r="C78">
        <v>26.547000000000001</v>
      </c>
      <c r="D78">
        <v>60</v>
      </c>
      <c r="E78">
        <v>30.381</v>
      </c>
      <c r="F78">
        <v>43.459000000000003</v>
      </c>
      <c r="G78">
        <v>69.594999999999999</v>
      </c>
      <c r="H78">
        <v>35.877000000000002</v>
      </c>
      <c r="I78" s="6">
        <v>29664.9</v>
      </c>
      <c r="K78" s="23">
        <f t="shared" si="28"/>
        <v>-4.3178951162371582E-2</v>
      </c>
      <c r="L78" s="24">
        <f t="shared" si="29"/>
        <v>1.4370245139475823E-2</v>
      </c>
      <c r="M78" s="24">
        <f t="shared" si="30"/>
        <v>-8.1534554688917127E-2</v>
      </c>
      <c r="N78" s="24">
        <f t="shared" si="31"/>
        <v>-6.0345945945945889E-2</v>
      </c>
      <c r="O78" s="24">
        <f t="shared" si="32"/>
        <v>-1.5879973981164697E-2</v>
      </c>
      <c r="P78" s="24">
        <f t="shared" si="33"/>
        <v>-0.15754003663175686</v>
      </c>
      <c r="Q78" s="25">
        <f t="shared" si="34"/>
        <v>-6.9185204058259453E-2</v>
      </c>
      <c r="S78" s="26">
        <f t="shared" si="38"/>
        <v>-5.7351536211780053E-2</v>
      </c>
      <c r="U78" s="5">
        <f t="shared" si="39"/>
        <v>282.57057632040454</v>
      </c>
      <c r="V78" s="6">
        <f t="shared" si="40"/>
        <v>162.24264778268545</v>
      </c>
      <c r="X78" s="20">
        <f t="shared" si="35"/>
        <v>1.7416541222804212</v>
      </c>
      <c r="Z78" s="22">
        <v>43245</v>
      </c>
      <c r="AA78" s="33">
        <v>50341.24</v>
      </c>
      <c r="AB78" s="33">
        <v>54387.305999999997</v>
      </c>
      <c r="AC78" s="33">
        <v>23545.477599999998</v>
      </c>
      <c r="AD78" s="33">
        <v>28054.030500000001</v>
      </c>
      <c r="AE78" s="33">
        <v>68922.465800000005</v>
      </c>
      <c r="AF78" s="34">
        <v>35.877000000000002</v>
      </c>
      <c r="AH78" s="28">
        <f t="shared" si="41"/>
        <v>-2.8093271864691478E-2</v>
      </c>
      <c r="AJ78" s="5">
        <f t="shared" si="42"/>
        <v>233.47994073322019</v>
      </c>
      <c r="AK78" s="6">
        <f t="shared" si="43"/>
        <v>162.24264778268545</v>
      </c>
      <c r="AM78" s="1">
        <f t="shared" si="36"/>
        <v>43245</v>
      </c>
      <c r="AN78">
        <f t="shared" si="37"/>
        <v>1.4390787128052358</v>
      </c>
      <c r="AO78">
        <f t="shared" ca="1" si="23"/>
        <v>1.1189915438594873</v>
      </c>
      <c r="AP78">
        <f t="shared" ca="1" si="24"/>
        <v>1.1933732410441258</v>
      </c>
      <c r="AQ78">
        <f t="shared" ca="1" si="25"/>
        <v>1.2960565369806831</v>
      </c>
      <c r="AR78">
        <f t="shared" ca="1" si="26"/>
        <v>1.3273194174761687</v>
      </c>
      <c r="AS78">
        <f t="shared" ca="1" si="27"/>
        <v>1.3507358278420443</v>
      </c>
    </row>
    <row r="79" spans="2:45" x14ac:dyDescent="0.25">
      <c r="B79" s="22">
        <v>43252</v>
      </c>
      <c r="C79">
        <v>27.026</v>
      </c>
      <c r="D79">
        <v>55.9</v>
      </c>
      <c r="E79">
        <v>29.033000000000001</v>
      </c>
      <c r="F79">
        <v>39.478000000000002</v>
      </c>
      <c r="G79">
        <v>68.512</v>
      </c>
      <c r="H79">
        <v>35.648000000000003</v>
      </c>
      <c r="I79" s="6">
        <v>28436.75</v>
      </c>
      <c r="K79" s="23">
        <f t="shared" si="28"/>
        <v>1.8043470071947842E-2</v>
      </c>
      <c r="L79" s="24">
        <f t="shared" si="29"/>
        <v>-6.8333333333333357E-2</v>
      </c>
      <c r="M79" s="24">
        <f t="shared" si="30"/>
        <v>-4.4369836410914631E-2</v>
      </c>
      <c r="N79" s="24">
        <f t="shared" si="31"/>
        <v>-9.160358038611105E-2</v>
      </c>
      <c r="O79" s="24">
        <f t="shared" si="32"/>
        <v>-1.556146274876069E-2</v>
      </c>
      <c r="P79" s="24">
        <f t="shared" si="33"/>
        <v>-6.3829194191263872E-3</v>
      </c>
      <c r="Q79" s="25">
        <f t="shared" si="34"/>
        <v>-4.1400780046452201E-2</v>
      </c>
      <c r="S79" s="26">
        <f t="shared" si="38"/>
        <v>-3.4701277037716381E-2</v>
      </c>
      <c r="U79" s="5">
        <f t="shared" si="39"/>
        <v>272.76501646880297</v>
      </c>
      <c r="V79" s="6">
        <f t="shared" si="40"/>
        <v>155.52567560768048</v>
      </c>
      <c r="X79" s="20">
        <f t="shared" si="35"/>
        <v>1.7538262759704271</v>
      </c>
      <c r="Z79" s="22">
        <v>43252</v>
      </c>
      <c r="AA79" s="33">
        <v>51249.653400000003</v>
      </c>
      <c r="AB79" s="33">
        <v>50670.840100000001</v>
      </c>
      <c r="AC79" s="33">
        <v>22500.494200000001</v>
      </c>
      <c r="AD79" s="33">
        <v>25483.692500000001</v>
      </c>
      <c r="AE79" s="33">
        <v>67849.897200000007</v>
      </c>
      <c r="AF79" s="34">
        <v>35.648000000000003</v>
      </c>
      <c r="AH79" s="28">
        <f t="shared" si="41"/>
        <v>-3.3270793830893326E-2</v>
      </c>
      <c r="AJ79" s="5">
        <f t="shared" si="42"/>
        <v>225.71187776143603</v>
      </c>
      <c r="AK79" s="6">
        <f t="shared" si="43"/>
        <v>155.52567560768048</v>
      </c>
      <c r="AM79" s="1">
        <f t="shared" si="36"/>
        <v>43252</v>
      </c>
      <c r="AN79">
        <f t="shared" si="37"/>
        <v>1.4512836988459894</v>
      </c>
      <c r="AO79">
        <f t="shared" ca="1" si="23"/>
        <v>1.1233122117724967</v>
      </c>
      <c r="AP79">
        <f t="shared" ca="1" si="24"/>
        <v>1.2004473233238291</v>
      </c>
      <c r="AQ79">
        <f t="shared" ca="1" si="25"/>
        <v>1.2978004710029429</v>
      </c>
      <c r="AR79">
        <f t="shared" ca="1" si="26"/>
        <v>1.3358428042673096</v>
      </c>
      <c r="AS79">
        <f t="shared" ca="1" si="27"/>
        <v>1.35194755310035</v>
      </c>
    </row>
    <row r="80" spans="2:45" x14ac:dyDescent="0.25">
      <c r="B80" s="22">
        <v>43259</v>
      </c>
      <c r="C80">
        <v>31.097999999999999</v>
      </c>
      <c r="D80">
        <v>60</v>
      </c>
      <c r="E80">
        <v>33.594000000000001</v>
      </c>
      <c r="F80">
        <v>44.582000000000001</v>
      </c>
      <c r="G80">
        <v>71.599999999999994</v>
      </c>
      <c r="H80">
        <v>41.536999999999999</v>
      </c>
      <c r="I80" s="6">
        <v>31444.080000000002</v>
      </c>
      <c r="K80" s="23">
        <f t="shared" si="28"/>
        <v>0.15066972544956703</v>
      </c>
      <c r="L80" s="24">
        <f t="shared" si="29"/>
        <v>7.3345259391770945E-2</v>
      </c>
      <c r="M80" s="24">
        <f t="shared" si="30"/>
        <v>0.15709709640753622</v>
      </c>
      <c r="N80" s="24">
        <f t="shared" si="31"/>
        <v>0.1292871979330259</v>
      </c>
      <c r="O80" s="24">
        <f t="shared" si="32"/>
        <v>4.5072396076599519E-2</v>
      </c>
      <c r="P80" s="24">
        <f t="shared" si="33"/>
        <v>0.16519860861759406</v>
      </c>
      <c r="Q80" s="25">
        <f t="shared" si="34"/>
        <v>0.10575505288051557</v>
      </c>
      <c r="S80" s="26">
        <f t="shared" si="38"/>
        <v>0.12011171397934894</v>
      </c>
      <c r="U80" s="5">
        <f t="shared" si="39"/>
        <v>305.52729011047626</v>
      </c>
      <c r="V80" s="6">
        <f t="shared" si="40"/>
        <v>171.97330165584864</v>
      </c>
      <c r="X80" s="20">
        <f t="shared" si="35"/>
        <v>1.776597222758999</v>
      </c>
      <c r="Z80" s="22">
        <v>43259</v>
      </c>
      <c r="AA80" s="33">
        <v>58971.166899999997</v>
      </c>
      <c r="AB80" s="33">
        <v>54387.305999999997</v>
      </c>
      <c r="AC80" s="33">
        <v>26035.650900000001</v>
      </c>
      <c r="AD80" s="33">
        <v>28778.997599999999</v>
      </c>
      <c r="AE80" s="33">
        <v>70908.703999999998</v>
      </c>
      <c r="AF80" s="34">
        <v>41.536999999999999</v>
      </c>
      <c r="AH80" s="28">
        <f t="shared" si="41"/>
        <v>9.7946365691755952E-2</v>
      </c>
      <c r="AJ80" s="5">
        <f t="shared" si="42"/>
        <v>247.81953588163054</v>
      </c>
      <c r="AK80" s="6">
        <f t="shared" si="43"/>
        <v>171.97330165584864</v>
      </c>
      <c r="AM80" s="1">
        <f t="shared" si="36"/>
        <v>43259</v>
      </c>
      <c r="AN80">
        <f t="shared" si="37"/>
        <v>1.4410349367924835</v>
      </c>
      <c r="AO80">
        <f t="shared" ca="1" si="23"/>
        <v>1.1322966763046296</v>
      </c>
      <c r="AP80">
        <f t="shared" ca="1" si="24"/>
        <v>1.2038579409315568</v>
      </c>
      <c r="AQ80">
        <f t="shared" ca="1" si="25"/>
        <v>1.2998394835362164</v>
      </c>
      <c r="AR80">
        <f t="shared" ca="1" si="26"/>
        <v>1.3416302563066147</v>
      </c>
      <c r="AS80">
        <f t="shared" ca="1" si="27"/>
        <v>1.3715677993903608</v>
      </c>
    </row>
    <row r="81" spans="2:45" x14ac:dyDescent="0.25">
      <c r="B81" s="22">
        <v>43266</v>
      </c>
      <c r="C81">
        <v>30.818999999999999</v>
      </c>
      <c r="D81">
        <v>60</v>
      </c>
      <c r="E81">
        <v>29.893000000000001</v>
      </c>
      <c r="F81">
        <v>37.945999999999998</v>
      </c>
      <c r="G81">
        <v>67.790000000000006</v>
      </c>
      <c r="H81">
        <v>36.014000000000003</v>
      </c>
      <c r="I81" s="6">
        <v>30147.65</v>
      </c>
      <c r="K81" s="23">
        <f t="shared" si="28"/>
        <v>-8.9716380474628155E-3</v>
      </c>
      <c r="L81" s="24">
        <f t="shared" si="29"/>
        <v>0</v>
      </c>
      <c r="M81" s="24">
        <f t="shared" si="30"/>
        <v>-0.1101684824671072</v>
      </c>
      <c r="N81" s="24">
        <f t="shared" si="31"/>
        <v>-0.148849311381275</v>
      </c>
      <c r="O81" s="24">
        <f t="shared" si="32"/>
        <v>-5.321229050279308E-2</v>
      </c>
      <c r="P81" s="24">
        <f t="shared" si="33"/>
        <v>-0.13296578953703919</v>
      </c>
      <c r="Q81" s="25">
        <f t="shared" si="34"/>
        <v>-4.1229700471440145E-2</v>
      </c>
      <c r="S81" s="26">
        <f t="shared" si="38"/>
        <v>-7.5694585322612876E-2</v>
      </c>
      <c r="U81" s="5">
        <f t="shared" si="39"/>
        <v>282.40052858082214</v>
      </c>
      <c r="V81" s="6">
        <f t="shared" si="40"/>
        <v>164.88289393949339</v>
      </c>
      <c r="X81" s="20">
        <f t="shared" si="35"/>
        <v>1.7127339400317285</v>
      </c>
      <c r="Z81" s="22">
        <v>43266</v>
      </c>
      <c r="AA81" s="33">
        <v>58441.259100000003</v>
      </c>
      <c r="AB81" s="33">
        <v>54387.305999999997</v>
      </c>
      <c r="AC81" s="33">
        <v>23167.5049</v>
      </c>
      <c r="AD81" s="33">
        <v>24495.100999999999</v>
      </c>
      <c r="AE81" s="33">
        <v>67134.8514</v>
      </c>
      <c r="AF81" s="34">
        <v>36.014000000000003</v>
      </c>
      <c r="AH81" s="28">
        <f t="shared" si="41"/>
        <v>-4.792441663068394E-2</v>
      </c>
      <c r="AJ81" s="5">
        <f t="shared" si="42"/>
        <v>235.94292919481657</v>
      </c>
      <c r="AK81" s="6">
        <f t="shared" si="43"/>
        <v>164.88289393949339</v>
      </c>
      <c r="AM81" s="1">
        <f t="shared" si="36"/>
        <v>43266</v>
      </c>
      <c r="AN81">
        <f t="shared" si="37"/>
        <v>1.4309727562241834</v>
      </c>
      <c r="AO81">
        <f t="shared" ca="1" si="23"/>
        <v>1.1363530876396617</v>
      </c>
      <c r="AP81">
        <f t="shared" ca="1" si="24"/>
        <v>1.2104665989793157</v>
      </c>
      <c r="AQ81">
        <f t="shared" ca="1" si="25"/>
        <v>1.3019510656392483</v>
      </c>
      <c r="AR81">
        <f t="shared" ca="1" si="26"/>
        <v>1.3443354325752224</v>
      </c>
      <c r="AS81">
        <f t="shared" ca="1" si="27"/>
        <v>1.377784709751529</v>
      </c>
    </row>
    <row r="82" spans="2:45" x14ac:dyDescent="0.25">
      <c r="B82" s="22">
        <v>43273</v>
      </c>
      <c r="C82">
        <v>27.785</v>
      </c>
      <c r="D82">
        <v>55.45</v>
      </c>
      <c r="E82">
        <v>29.951000000000001</v>
      </c>
      <c r="F82">
        <v>37.094999999999999</v>
      </c>
      <c r="G82">
        <v>69.113</v>
      </c>
      <c r="H82">
        <v>36.606999999999999</v>
      </c>
      <c r="I82" s="6">
        <v>30210.61</v>
      </c>
      <c r="K82" s="23">
        <f t="shared" si="28"/>
        <v>-9.844576397676752E-2</v>
      </c>
      <c r="L82" s="24">
        <f t="shared" si="29"/>
        <v>-7.5833333333333308E-2</v>
      </c>
      <c r="M82" s="24">
        <f t="shared" si="30"/>
        <v>1.940253571070194E-3</v>
      </c>
      <c r="N82" s="24">
        <f t="shared" si="31"/>
        <v>-2.2426606229905666E-2</v>
      </c>
      <c r="O82" s="24">
        <f t="shared" si="32"/>
        <v>1.9516152824900379E-2</v>
      </c>
      <c r="P82" s="24">
        <f t="shared" si="33"/>
        <v>1.6465818848225622E-2</v>
      </c>
      <c r="Q82" s="25">
        <f t="shared" si="34"/>
        <v>2.0883883155071725E-3</v>
      </c>
      <c r="S82" s="26">
        <f t="shared" si="38"/>
        <v>-2.6463913049301718E-2</v>
      </c>
      <c r="U82" s="5">
        <f t="shared" si="39"/>
        <v>274.92710554738244</v>
      </c>
      <c r="V82" s="6">
        <f t="shared" si="40"/>
        <v>165.22723344862362</v>
      </c>
      <c r="X82" s="20">
        <f t="shared" si="35"/>
        <v>1.6639333589814618</v>
      </c>
      <c r="Z82" s="22">
        <v>43273</v>
      </c>
      <c r="AA82" s="33">
        <v>52687.974499999997</v>
      </c>
      <c r="AB82" s="33">
        <v>50262.935299999997</v>
      </c>
      <c r="AC82" s="33">
        <v>23211.972300000001</v>
      </c>
      <c r="AD82" s="33">
        <v>23945.8835</v>
      </c>
      <c r="AE82" s="33">
        <v>68445.768599999996</v>
      </c>
      <c r="AF82" s="34">
        <v>36.606999999999999</v>
      </c>
      <c r="AH82" s="28">
        <f t="shared" si="41"/>
        <v>-3.9845243322430786E-2</v>
      </c>
      <c r="AJ82" s="5">
        <f t="shared" si="42"/>
        <v>226.54172577084205</v>
      </c>
      <c r="AK82" s="6">
        <f t="shared" si="43"/>
        <v>165.22723344862362</v>
      </c>
      <c r="AM82" s="1">
        <f t="shared" si="36"/>
        <v>43273</v>
      </c>
      <c r="AN82">
        <f t="shared" si="37"/>
        <v>1.3710919262064858</v>
      </c>
      <c r="AO82">
        <f t="shared" ca="1" si="23"/>
        <v>1.1397862826371301</v>
      </c>
      <c r="AP82">
        <f t="shared" ca="1" si="24"/>
        <v>1.2200731539629155</v>
      </c>
      <c r="AQ82">
        <f t="shared" ca="1" si="25"/>
        <v>1.3037261503311663</v>
      </c>
      <c r="AR82">
        <f t="shared" ca="1" si="26"/>
        <v>1.3458324139483571</v>
      </c>
      <c r="AS82">
        <f t="shared" ca="1" si="27"/>
        <v>1.3810273225429985</v>
      </c>
    </row>
    <row r="83" spans="2:45" x14ac:dyDescent="0.25">
      <c r="B83" s="22">
        <v>43280</v>
      </c>
      <c r="C83">
        <v>22.515000000000001</v>
      </c>
      <c r="D83">
        <v>47.25</v>
      </c>
      <c r="E83">
        <v>23.466999999999999</v>
      </c>
      <c r="F83">
        <v>29.914000000000001</v>
      </c>
      <c r="G83">
        <v>55.475000000000001</v>
      </c>
      <c r="H83">
        <v>27.25</v>
      </c>
      <c r="I83" s="6">
        <v>26037.01</v>
      </c>
      <c r="K83" s="23">
        <f t="shared" si="28"/>
        <v>-0.18967068562173828</v>
      </c>
      <c r="L83" s="24">
        <f t="shared" si="29"/>
        <v>-0.14788097385031562</v>
      </c>
      <c r="M83" s="24">
        <f t="shared" si="30"/>
        <v>-0.21648692865012864</v>
      </c>
      <c r="N83" s="24">
        <f t="shared" si="31"/>
        <v>-0.19358404097587267</v>
      </c>
      <c r="O83" s="24">
        <f t="shared" si="32"/>
        <v>-0.19732901190803465</v>
      </c>
      <c r="P83" s="24">
        <f t="shared" si="33"/>
        <v>-0.25560685114868742</v>
      </c>
      <c r="Q83" s="25">
        <f t="shared" si="34"/>
        <v>-0.13815013996738235</v>
      </c>
      <c r="S83" s="26">
        <f t="shared" si="38"/>
        <v>-0.20009308202579623</v>
      </c>
      <c r="U83" s="5">
        <f t="shared" si="39"/>
        <v>219.9160936659753</v>
      </c>
      <c r="V83" s="6">
        <f t="shared" si="40"/>
        <v>142.40106802127292</v>
      </c>
      <c r="X83" s="20">
        <f t="shared" si="35"/>
        <v>1.5443430075476863</v>
      </c>
      <c r="Z83" s="22">
        <v>43280</v>
      </c>
      <c r="AA83" s="33">
        <v>42695.427600000003</v>
      </c>
      <c r="AB83" s="33">
        <v>42830.003499999999</v>
      </c>
      <c r="AC83" s="33">
        <v>18187.158299999999</v>
      </c>
      <c r="AD83" s="33">
        <v>19310.487700000001</v>
      </c>
      <c r="AE83" s="33">
        <v>54939.3488</v>
      </c>
      <c r="AF83" s="34">
        <v>27.25</v>
      </c>
      <c r="AH83" s="28">
        <f t="shared" si="41"/>
        <v>-0.1857468615434695</v>
      </c>
      <c r="AJ83" s="5">
        <f t="shared" si="42"/>
        <v>184.46231120026681</v>
      </c>
      <c r="AK83" s="6">
        <f t="shared" si="43"/>
        <v>142.40106802127292</v>
      </c>
      <c r="AM83" s="1">
        <f t="shared" si="36"/>
        <v>43280</v>
      </c>
      <c r="AN83">
        <f t="shared" si="37"/>
        <v>1.2953716833971392</v>
      </c>
      <c r="AO83">
        <f t="shared" ca="1" si="23"/>
        <v>1.1502643447945065</v>
      </c>
      <c r="AP83">
        <f t="shared" ca="1" si="24"/>
        <v>1.2328600081328667</v>
      </c>
      <c r="AQ83">
        <f t="shared" ca="1" si="25"/>
        <v>1.3071586082176152</v>
      </c>
      <c r="AR83">
        <f t="shared" ca="1" si="26"/>
        <v>1.3489462931953569</v>
      </c>
      <c r="AS83">
        <f t="shared" ca="1" si="27"/>
        <v>1.3810273225429985</v>
      </c>
    </row>
    <row r="84" spans="2:45" x14ac:dyDescent="0.25">
      <c r="B84" s="22">
        <v>43287</v>
      </c>
      <c r="C84">
        <v>23.832999999999998</v>
      </c>
      <c r="D84">
        <v>44.55</v>
      </c>
      <c r="E84">
        <v>26.91</v>
      </c>
      <c r="F84">
        <v>31.99</v>
      </c>
      <c r="G84">
        <v>62.534999999999997</v>
      </c>
      <c r="H84">
        <v>31.404</v>
      </c>
      <c r="I84" s="6">
        <v>27611.040000000001</v>
      </c>
      <c r="K84" s="23">
        <f t="shared" si="28"/>
        <v>5.8538751943148837E-2</v>
      </c>
      <c r="L84" s="24">
        <f t="shared" si="29"/>
        <v>-5.7142857142857162E-2</v>
      </c>
      <c r="M84" s="24">
        <f t="shared" si="30"/>
        <v>0.14671666595644961</v>
      </c>
      <c r="N84" s="24">
        <f t="shared" si="31"/>
        <v>6.9398943638430133E-2</v>
      </c>
      <c r="O84" s="24">
        <f t="shared" si="32"/>
        <v>0.12726453357368173</v>
      </c>
      <c r="P84" s="24">
        <f t="shared" si="33"/>
        <v>0.15244036697247698</v>
      </c>
      <c r="Q84" s="25">
        <f t="shared" si="34"/>
        <v>6.0453562064154198E-2</v>
      </c>
      <c r="S84" s="26">
        <f t="shared" si="38"/>
        <v>8.2869400823555026E-2</v>
      </c>
      <c r="U84" s="5">
        <f t="shared" si="39"/>
        <v>238.14040857953148</v>
      </c>
      <c r="V84" s="6">
        <f t="shared" si="40"/>
        <v>151.00971982489878</v>
      </c>
      <c r="X84" s="20">
        <f t="shared" si="35"/>
        <v>1.5769872883392133</v>
      </c>
      <c r="Z84" s="22">
        <v>43287</v>
      </c>
      <c r="AA84" s="33">
        <v>45193.564299999998</v>
      </c>
      <c r="AB84" s="33">
        <v>40382.574699999997</v>
      </c>
      <c r="AC84" s="33">
        <v>20855.201099999998</v>
      </c>
      <c r="AD84" s="33">
        <v>20650.578399999999</v>
      </c>
      <c r="AE84" s="33">
        <v>61930.907299999999</v>
      </c>
      <c r="AF84" s="34">
        <v>31.404</v>
      </c>
      <c r="AH84" s="28">
        <f t="shared" si="41"/>
        <v>6.2118094740288128E-2</v>
      </c>
      <c r="AJ84" s="5">
        <f t="shared" si="42"/>
        <v>195.9207585234175</v>
      </c>
      <c r="AK84" s="6">
        <f t="shared" si="43"/>
        <v>151.00971982489878</v>
      </c>
      <c r="AM84" s="1">
        <f t="shared" si="36"/>
        <v>43287</v>
      </c>
      <c r="AN84">
        <f t="shared" si="37"/>
        <v>1.2974049534731584</v>
      </c>
      <c r="AO84">
        <f t="shared" ca="1" si="23"/>
        <v>1.1604637815218888</v>
      </c>
      <c r="AP84">
        <f t="shared" ca="1" si="24"/>
        <v>1.2372047838955322</v>
      </c>
      <c r="AQ84">
        <f t="shared" ca="1" si="25"/>
        <v>1.3071586082176152</v>
      </c>
      <c r="AR84">
        <f t="shared" ca="1" si="26"/>
        <v>1.3489462931953569</v>
      </c>
      <c r="AS84">
        <f t="shared" ca="1" si="27"/>
        <v>1.3810273225429985</v>
      </c>
    </row>
    <row r="85" spans="2:45" x14ac:dyDescent="0.25">
      <c r="B85" s="22">
        <v>43294</v>
      </c>
      <c r="C85">
        <v>22.914999999999999</v>
      </c>
      <c r="D85">
        <v>45.45</v>
      </c>
      <c r="E85">
        <v>25.332000000000001</v>
      </c>
      <c r="F85">
        <v>33.25</v>
      </c>
      <c r="G85">
        <v>62.207999999999998</v>
      </c>
      <c r="H85">
        <v>28.026</v>
      </c>
      <c r="I85" s="6">
        <v>26514.16</v>
      </c>
      <c r="K85" s="23">
        <f t="shared" si="28"/>
        <v>-3.851802123106618E-2</v>
      </c>
      <c r="L85" s="24">
        <f t="shared" si="29"/>
        <v>2.0202020202020332E-2</v>
      </c>
      <c r="M85" s="24">
        <f t="shared" si="30"/>
        <v>-5.8639910813823803E-2</v>
      </c>
      <c r="N85" s="24">
        <f t="shared" si="31"/>
        <v>3.938730853391692E-2</v>
      </c>
      <c r="O85" s="24">
        <f t="shared" si="32"/>
        <v>-5.2290717198368863E-3</v>
      </c>
      <c r="P85" s="24">
        <f t="shared" si="33"/>
        <v>-0.10756591517004199</v>
      </c>
      <c r="Q85" s="25">
        <f t="shared" si="34"/>
        <v>-3.9726138530095212E-2</v>
      </c>
      <c r="S85" s="26">
        <f t="shared" si="38"/>
        <v>-2.5060598366471936E-2</v>
      </c>
      <c r="U85" s="5">
        <f t="shared" si="39"/>
        <v>232.17246744529231</v>
      </c>
      <c r="V85" s="6">
        <f t="shared" si="40"/>
        <v>145.01068677574398</v>
      </c>
      <c r="X85" s="20">
        <f t="shared" si="35"/>
        <v>1.6010714286481671</v>
      </c>
      <c r="Z85" s="22">
        <v>43294</v>
      </c>
      <c r="AA85" s="33">
        <v>43452.438699999999</v>
      </c>
      <c r="AB85" s="33">
        <v>41198.384299999998</v>
      </c>
      <c r="AC85" s="33">
        <v>19632.3482</v>
      </c>
      <c r="AD85" s="33">
        <v>21463.420300000002</v>
      </c>
      <c r="AE85" s="33">
        <v>60699.439599999998</v>
      </c>
      <c r="AF85" s="34">
        <v>28.026</v>
      </c>
      <c r="AH85" s="28">
        <f t="shared" si="41"/>
        <v>-8.7902850390303138E-3</v>
      </c>
      <c r="AJ85" s="5">
        <f t="shared" si="42"/>
        <v>194.19855921093364</v>
      </c>
      <c r="AK85" s="6">
        <f t="shared" si="43"/>
        <v>145.01068677574398</v>
      </c>
      <c r="AM85" s="1">
        <f t="shared" si="36"/>
        <v>43294</v>
      </c>
      <c r="AN85">
        <f t="shared" si="37"/>
        <v>1.3392017066387505</v>
      </c>
      <c r="AO85">
        <f t="shared" ca="1" si="23"/>
        <v>1.1854352944863178</v>
      </c>
      <c r="AP85">
        <f t="shared" ca="1" si="24"/>
        <v>1.2575546376677382</v>
      </c>
      <c r="AQ85">
        <f t="shared" ca="1" si="25"/>
        <v>1.3071586082176152</v>
      </c>
      <c r="AR85">
        <f t="shared" ca="1" si="26"/>
        <v>1.3489462931953569</v>
      </c>
      <c r="AS85">
        <f t="shared" ca="1" si="27"/>
        <v>1.3810273225429985</v>
      </c>
    </row>
    <row r="86" spans="2:45" x14ac:dyDescent="0.25">
      <c r="B86" s="22">
        <v>43301</v>
      </c>
      <c r="C86">
        <v>24.192</v>
      </c>
      <c r="D86">
        <v>42.9</v>
      </c>
      <c r="E86">
        <v>26.135000000000002</v>
      </c>
      <c r="F86">
        <v>35.869999999999997</v>
      </c>
      <c r="G86">
        <v>64.569000000000003</v>
      </c>
      <c r="H86">
        <v>28.939</v>
      </c>
      <c r="I86" s="6">
        <v>27625.34</v>
      </c>
      <c r="K86" s="23">
        <f t="shared" si="28"/>
        <v>5.572768928649352E-2</v>
      </c>
      <c r="L86" s="24">
        <f t="shared" si="29"/>
        <v>-5.6105610561056229E-2</v>
      </c>
      <c r="M86" s="24">
        <f t="shared" si="30"/>
        <v>3.1699036791410062E-2</v>
      </c>
      <c r="N86" s="24">
        <f t="shared" si="31"/>
        <v>7.8796992481202865E-2</v>
      </c>
      <c r="O86" s="24">
        <f t="shared" si="32"/>
        <v>3.7953317901234573E-2</v>
      </c>
      <c r="P86" s="24">
        <f t="shared" si="33"/>
        <v>3.2576892885177955E-2</v>
      </c>
      <c r="Q86" s="25">
        <f t="shared" si="34"/>
        <v>4.1908927154395981E-2</v>
      </c>
      <c r="S86" s="26">
        <f t="shared" si="38"/>
        <v>3.010805313074379E-2</v>
      </c>
      <c r="U86" s="5">
        <f t="shared" si="39"/>
        <v>239.16272843063106</v>
      </c>
      <c r="V86" s="6">
        <f t="shared" si="40"/>
        <v>151.08792908443758</v>
      </c>
      <c r="X86" s="20">
        <f t="shared" si="35"/>
        <v>1.5829373655454082</v>
      </c>
      <c r="Z86" s="22">
        <v>43301</v>
      </c>
      <c r="AA86" s="33">
        <v>45874.874400000001</v>
      </c>
      <c r="AB86" s="33">
        <v>38886.923799999997</v>
      </c>
      <c r="AC86" s="33">
        <v>20254.891500000002</v>
      </c>
      <c r="AD86" s="33">
        <v>23155.010300000002</v>
      </c>
      <c r="AE86" s="33">
        <v>63003.475899999998</v>
      </c>
      <c r="AF86" s="34">
        <v>28.939</v>
      </c>
      <c r="AH86" s="28">
        <f t="shared" si="41"/>
        <v>2.5356240939494359E-2</v>
      </c>
      <c r="AJ86" s="5">
        <f t="shared" si="42"/>
        <v>199.12270466838871</v>
      </c>
      <c r="AK86" s="6">
        <f t="shared" si="43"/>
        <v>151.08792908443758</v>
      </c>
      <c r="AM86" s="1">
        <f t="shared" si="36"/>
        <v>43301</v>
      </c>
      <c r="AN86">
        <f t="shared" si="37"/>
        <v>1.3179259645362287</v>
      </c>
      <c r="AO86">
        <f t="shared" ca="1" si="23"/>
        <v>1.1969624342006888</v>
      </c>
      <c r="AP86">
        <f t="shared" ca="1" si="24"/>
        <v>1.2721000860350602</v>
      </c>
      <c r="AQ86">
        <f t="shared" ca="1" si="25"/>
        <v>1.3104018026081852</v>
      </c>
      <c r="AR86">
        <f t="shared" ca="1" si="26"/>
        <v>1.3489462931953569</v>
      </c>
      <c r="AS86">
        <f t="shared" ca="1" si="27"/>
        <v>1.3810273225429985</v>
      </c>
    </row>
    <row r="87" spans="2:45" x14ac:dyDescent="0.25">
      <c r="B87" s="22">
        <v>43308</v>
      </c>
      <c r="C87">
        <v>24.670999999999999</v>
      </c>
      <c r="D87">
        <v>47.25</v>
      </c>
      <c r="E87">
        <v>29.204999999999998</v>
      </c>
      <c r="F87">
        <v>40.497999999999998</v>
      </c>
      <c r="G87">
        <v>73.933000000000007</v>
      </c>
      <c r="H87">
        <v>33.411999999999999</v>
      </c>
      <c r="I87" s="6">
        <v>29259.02</v>
      </c>
      <c r="K87" s="23">
        <f t="shared" si="28"/>
        <v>1.9799933862433727E-2</v>
      </c>
      <c r="L87" s="24">
        <f t="shared" si="29"/>
        <v>0.10139860139860146</v>
      </c>
      <c r="M87" s="24">
        <f t="shared" si="30"/>
        <v>0.11746699827817086</v>
      </c>
      <c r="N87" s="24">
        <f t="shared" si="31"/>
        <v>0.12902146640646772</v>
      </c>
      <c r="O87" s="24">
        <f t="shared" si="32"/>
        <v>0.14502315352568584</v>
      </c>
      <c r="P87" s="24">
        <f t="shared" si="33"/>
        <v>0.15456650195238253</v>
      </c>
      <c r="Q87" s="25">
        <f t="shared" si="34"/>
        <v>5.9137009716441424E-2</v>
      </c>
      <c r="S87" s="26">
        <f t="shared" si="38"/>
        <v>0.11121277590395702</v>
      </c>
      <c r="U87" s="5">
        <f t="shared" si="39"/>
        <v>265.76067935216577</v>
      </c>
      <c r="V87" s="6">
        <f t="shared" si="40"/>
        <v>160.02281741474098</v>
      </c>
      <c r="X87" s="20">
        <f t="shared" si="35"/>
        <v>1.660767405834241</v>
      </c>
      <c r="Z87" s="22">
        <v>43308</v>
      </c>
      <c r="AA87" s="33">
        <v>46783.287700000001</v>
      </c>
      <c r="AB87" s="33">
        <v>42830.003499999999</v>
      </c>
      <c r="AC87" s="33">
        <v>22633.8963</v>
      </c>
      <c r="AD87" s="33">
        <v>26142.753499999999</v>
      </c>
      <c r="AE87" s="33">
        <v>72140.171700000006</v>
      </c>
      <c r="AF87" s="34">
        <v>33.411999999999999</v>
      </c>
      <c r="AH87" s="28">
        <f t="shared" si="41"/>
        <v>0.10125100927781809</v>
      </c>
      <c r="AJ87" s="5">
        <f t="shared" si="42"/>
        <v>219.28407948619196</v>
      </c>
      <c r="AK87" s="6">
        <f t="shared" si="43"/>
        <v>160.02281741474098</v>
      </c>
      <c r="AM87" s="1">
        <f t="shared" si="36"/>
        <v>43308</v>
      </c>
      <c r="AN87">
        <f t="shared" si="37"/>
        <v>1.3703300756032806</v>
      </c>
      <c r="AO87">
        <f t="shared" ca="1" si="23"/>
        <v>1.2020637020459062</v>
      </c>
      <c r="AP87">
        <f t="shared" ca="1" si="24"/>
        <v>1.2801733247364031</v>
      </c>
      <c r="AQ87">
        <f t="shared" ca="1" si="25"/>
        <v>1.3113327366089949</v>
      </c>
      <c r="AR87">
        <f t="shared" ca="1" si="26"/>
        <v>1.3489462931953569</v>
      </c>
      <c r="AS87">
        <f t="shared" ca="1" si="27"/>
        <v>1.3810273225429985</v>
      </c>
    </row>
    <row r="88" spans="2:45" x14ac:dyDescent="0.25">
      <c r="B88" s="22">
        <v>43315</v>
      </c>
      <c r="C88">
        <v>24.951000000000001</v>
      </c>
      <c r="D88">
        <v>46.8</v>
      </c>
      <c r="E88">
        <v>30.495999999999999</v>
      </c>
      <c r="F88">
        <v>40.26</v>
      </c>
      <c r="G88">
        <v>72.385999999999996</v>
      </c>
      <c r="H88">
        <v>33.503</v>
      </c>
      <c r="I88" s="6">
        <v>29215.98</v>
      </c>
      <c r="K88" s="23">
        <f t="shared" si="28"/>
        <v>1.134935754529609E-2</v>
      </c>
      <c r="L88" s="24">
        <f t="shared" si="29"/>
        <v>-9.523809523809601E-3</v>
      </c>
      <c r="M88" s="24">
        <f t="shared" si="30"/>
        <v>4.4204759458996712E-2</v>
      </c>
      <c r="N88" s="24">
        <f t="shared" si="31"/>
        <v>-5.8768334238727959E-3</v>
      </c>
      <c r="O88" s="24">
        <f t="shared" si="32"/>
        <v>-2.0924350425385319E-2</v>
      </c>
      <c r="P88" s="24">
        <f t="shared" si="33"/>
        <v>2.7235723692087266E-3</v>
      </c>
      <c r="Q88" s="25">
        <f t="shared" si="34"/>
        <v>-1.4709993704505875E-3</v>
      </c>
      <c r="S88" s="26">
        <f t="shared" si="38"/>
        <v>3.6587826667389689E-3</v>
      </c>
      <c r="U88" s="5">
        <f t="shared" si="39"/>
        <v>266.7330399192802</v>
      </c>
      <c r="V88" s="6">
        <f t="shared" si="40"/>
        <v>159.78742395106616</v>
      </c>
      <c r="X88" s="20">
        <f t="shared" si="35"/>
        <v>1.6692993310973299</v>
      </c>
      <c r="Z88" s="22">
        <v>43315</v>
      </c>
      <c r="AA88" s="33">
        <v>47313.195500000002</v>
      </c>
      <c r="AB88" s="33">
        <v>42422.098700000002</v>
      </c>
      <c r="AC88" s="33">
        <v>23634.412400000001</v>
      </c>
      <c r="AD88" s="33">
        <v>25988.972600000001</v>
      </c>
      <c r="AE88" s="33">
        <v>70630.630699999994</v>
      </c>
      <c r="AF88" s="34">
        <v>33.503</v>
      </c>
      <c r="AH88" s="28">
        <f t="shared" si="41"/>
        <v>-2.5619367606649042E-3</v>
      </c>
      <c r="AJ88" s="5">
        <f t="shared" si="42"/>
        <v>218.72228754192773</v>
      </c>
      <c r="AK88" s="6">
        <f t="shared" si="43"/>
        <v>159.78742395106616</v>
      </c>
      <c r="AM88" s="1">
        <f t="shared" si="36"/>
        <v>43315</v>
      </c>
      <c r="AN88">
        <f t="shared" si="37"/>
        <v>1.3688329289851371</v>
      </c>
      <c r="AO88">
        <f t="shared" ca="1" si="23"/>
        <v>1.205337174966475</v>
      </c>
      <c r="AP88">
        <f t="shared" ca="1" si="24"/>
        <v>1.2821104954087195</v>
      </c>
      <c r="AQ88">
        <f t="shared" ca="1" si="25"/>
        <v>1.3140982901960783</v>
      </c>
      <c r="AR88">
        <f t="shared" ca="1" si="26"/>
        <v>1.3501455795621111</v>
      </c>
      <c r="AS88">
        <f t="shared" ca="1" si="27"/>
        <v>1.3810273225429985</v>
      </c>
    </row>
    <row r="89" spans="2:45" x14ac:dyDescent="0.25">
      <c r="B89" s="22">
        <v>43322</v>
      </c>
      <c r="C89">
        <v>24.312000000000001</v>
      </c>
      <c r="D89">
        <v>43.4</v>
      </c>
      <c r="E89">
        <v>26.738</v>
      </c>
      <c r="F89">
        <v>35.155000000000001</v>
      </c>
      <c r="G89">
        <v>70.676000000000002</v>
      </c>
      <c r="H89">
        <v>26.428000000000001</v>
      </c>
      <c r="I89" s="6">
        <v>26856.15</v>
      </c>
      <c r="K89" s="23">
        <f t="shared" si="28"/>
        <v>-2.5610195984128836E-2</v>
      </c>
      <c r="L89" s="24">
        <f t="shared" si="29"/>
        <v>-7.2649572649572614E-2</v>
      </c>
      <c r="M89" s="24">
        <f t="shared" si="30"/>
        <v>-0.12322927597061906</v>
      </c>
      <c r="N89" s="24">
        <f t="shared" si="31"/>
        <v>-0.12680079483358164</v>
      </c>
      <c r="O89" s="24">
        <f t="shared" si="32"/>
        <v>-2.3623352581990886E-2</v>
      </c>
      <c r="P89" s="24">
        <f t="shared" si="33"/>
        <v>-0.2111751186460914</v>
      </c>
      <c r="Q89" s="25">
        <f t="shared" si="34"/>
        <v>-8.0771892642314214E-2</v>
      </c>
      <c r="S89" s="26">
        <f t="shared" si="38"/>
        <v>-9.7181385110997401E-2</v>
      </c>
      <c r="U89" s="5">
        <f t="shared" si="39"/>
        <v>240.81155364505759</v>
      </c>
      <c r="V89" s="6">
        <f t="shared" si="40"/>
        <v>146.88109129809871</v>
      </c>
      <c r="X89" s="20">
        <f t="shared" si="35"/>
        <v>1.6395000303771214</v>
      </c>
      <c r="Z89" s="22">
        <v>43322</v>
      </c>
      <c r="AA89" s="33">
        <v>46101.977700000003</v>
      </c>
      <c r="AB89" s="33">
        <v>39340.151299999998</v>
      </c>
      <c r="AC89" s="33">
        <v>20721.798999999999</v>
      </c>
      <c r="AD89" s="33">
        <v>22693.667600000001</v>
      </c>
      <c r="AE89" s="33">
        <v>68962.190600000002</v>
      </c>
      <c r="AF89" s="34">
        <v>26.428000000000001</v>
      </c>
      <c r="AH89" s="28">
        <f t="shared" si="41"/>
        <v>-5.798002886185074E-2</v>
      </c>
      <c r="AJ89" s="5">
        <f t="shared" si="42"/>
        <v>206.04076299751674</v>
      </c>
      <c r="AK89" s="6">
        <f t="shared" si="43"/>
        <v>146.88109129809871</v>
      </c>
      <c r="AM89" s="1">
        <f t="shared" si="36"/>
        <v>43322</v>
      </c>
      <c r="AN89">
        <f t="shared" si="37"/>
        <v>1.4027725500714863</v>
      </c>
      <c r="AO89">
        <f t="shared" ca="1" si="23"/>
        <v>1.2134572809814093</v>
      </c>
      <c r="AP89">
        <f t="shared" ca="1" si="24"/>
        <v>1.2827265551139202</v>
      </c>
      <c r="AQ89">
        <f t="shared" ca="1" si="25"/>
        <v>1.3169647618856843</v>
      </c>
      <c r="AR89">
        <f t="shared" ca="1" si="26"/>
        <v>1.3505996495632149</v>
      </c>
      <c r="AS89">
        <f t="shared" ca="1" si="27"/>
        <v>1.3810273225429985</v>
      </c>
    </row>
    <row r="90" spans="2:45" x14ac:dyDescent="0.25">
      <c r="B90" s="22">
        <v>43329</v>
      </c>
      <c r="C90">
        <v>23.513000000000002</v>
      </c>
      <c r="D90">
        <v>42.65</v>
      </c>
      <c r="E90">
        <v>26.335999999999999</v>
      </c>
      <c r="F90">
        <v>34.167999999999999</v>
      </c>
      <c r="G90">
        <v>67.680000000000007</v>
      </c>
      <c r="H90">
        <v>26.93</v>
      </c>
      <c r="I90" s="6">
        <v>26238.82</v>
      </c>
      <c r="K90" s="23">
        <f t="shared" si="28"/>
        <v>-3.2864429088515945E-2</v>
      </c>
      <c r="L90" s="24">
        <f t="shared" si="29"/>
        <v>-1.7281105990783363E-2</v>
      </c>
      <c r="M90" s="24">
        <f t="shared" si="30"/>
        <v>-1.5034781958261689E-2</v>
      </c>
      <c r="N90" s="24">
        <f t="shared" si="31"/>
        <v>-2.8075664912530329E-2</v>
      </c>
      <c r="O90" s="24">
        <f t="shared" si="32"/>
        <v>-4.2390627652951429E-2</v>
      </c>
      <c r="P90" s="24">
        <f t="shared" si="33"/>
        <v>1.8995005297411716E-2</v>
      </c>
      <c r="Q90" s="25">
        <f t="shared" si="34"/>
        <v>-2.2986541257775328E-2</v>
      </c>
      <c r="S90" s="26">
        <f t="shared" si="38"/>
        <v>-1.9441934050938508E-2</v>
      </c>
      <c r="U90" s="5">
        <f t="shared" si="39"/>
        <v>236.12971130038633</v>
      </c>
      <c r="V90" s="6">
        <f t="shared" si="40"/>
        <v>143.50480303298789</v>
      </c>
      <c r="X90" s="20">
        <f t="shared" si="35"/>
        <v>1.6454481404786601</v>
      </c>
      <c r="Z90" s="22">
        <v>43329</v>
      </c>
      <c r="AA90" s="33">
        <v>44587.955399999999</v>
      </c>
      <c r="AB90" s="33">
        <v>38660.31</v>
      </c>
      <c r="AC90" s="33">
        <v>20410.527300000002</v>
      </c>
      <c r="AD90" s="33">
        <v>22056.5753</v>
      </c>
      <c r="AE90" s="33">
        <v>64830.8151</v>
      </c>
      <c r="AF90" s="34">
        <v>26.93</v>
      </c>
      <c r="AH90" s="28">
        <f t="shared" si="41"/>
        <v>-3.0662666994055045E-2</v>
      </c>
      <c r="AJ90" s="5">
        <f t="shared" si="42"/>
        <v>199.72300369452284</v>
      </c>
      <c r="AK90" s="6">
        <f t="shared" si="43"/>
        <v>143.50480303298789</v>
      </c>
      <c r="AM90" s="1">
        <f t="shared" si="36"/>
        <v>43329</v>
      </c>
      <c r="AN90">
        <f t="shared" si="37"/>
        <v>1.3917513523823444</v>
      </c>
      <c r="AO90">
        <f t="shared" ca="1" si="23"/>
        <v>1.2239833588460776</v>
      </c>
      <c r="AP90">
        <f t="shared" ca="1" si="24"/>
        <v>1.2922584050900414</v>
      </c>
      <c r="AQ90">
        <f t="shared" ca="1" si="25"/>
        <v>1.3192953839288957</v>
      </c>
      <c r="AR90">
        <f t="shared" ca="1" si="26"/>
        <v>1.3510875491114436</v>
      </c>
      <c r="AS90">
        <f t="shared" ca="1" si="27"/>
        <v>1.4006290543941988</v>
      </c>
    </row>
    <row r="91" spans="2:45" x14ac:dyDescent="0.25">
      <c r="B91" s="22">
        <v>43336</v>
      </c>
      <c r="C91">
        <v>22.835000000000001</v>
      </c>
      <c r="D91">
        <v>41.1</v>
      </c>
      <c r="E91">
        <v>24.126999999999999</v>
      </c>
      <c r="F91">
        <v>31.956</v>
      </c>
      <c r="G91">
        <v>65.606999999999999</v>
      </c>
      <c r="H91">
        <v>25.286999999999999</v>
      </c>
      <c r="I91" s="6">
        <v>25167.96</v>
      </c>
      <c r="K91" s="23">
        <f t="shared" si="28"/>
        <v>-2.8835112490962489E-2</v>
      </c>
      <c r="L91" s="24">
        <f t="shared" si="29"/>
        <v>-3.6342321219226204E-2</v>
      </c>
      <c r="M91" s="24">
        <f t="shared" si="30"/>
        <v>-8.3877582017010899E-2</v>
      </c>
      <c r="N91" s="24">
        <f t="shared" si="31"/>
        <v>-6.4738937017091991E-2</v>
      </c>
      <c r="O91" s="24">
        <f t="shared" si="32"/>
        <v>-3.0629432624113551E-2</v>
      </c>
      <c r="P91" s="24">
        <f t="shared" si="33"/>
        <v>-6.1010025993316064E-2</v>
      </c>
      <c r="Q91" s="25">
        <f t="shared" si="34"/>
        <v>-4.0812048712556503E-2</v>
      </c>
      <c r="S91" s="26">
        <f t="shared" si="38"/>
        <v>-5.0905568560286864E-2</v>
      </c>
      <c r="U91" s="5">
        <f t="shared" si="39"/>
        <v>224.10939409266379</v>
      </c>
      <c r="V91" s="6">
        <f t="shared" si="40"/>
        <v>137.64807802111977</v>
      </c>
      <c r="X91" s="20">
        <f t="shared" si="35"/>
        <v>1.6281331153659695</v>
      </c>
      <c r="Z91" s="22">
        <v>43336</v>
      </c>
      <c r="AA91" s="33">
        <v>43301.036500000002</v>
      </c>
      <c r="AB91" s="33">
        <v>37255.304600000003</v>
      </c>
      <c r="AC91" s="33">
        <v>18698.533200000002</v>
      </c>
      <c r="AD91" s="33">
        <v>20628.609700000001</v>
      </c>
      <c r="AE91" s="33">
        <v>62844.5769</v>
      </c>
      <c r="AF91" s="34">
        <v>25.286999999999999</v>
      </c>
      <c r="AH91" s="28">
        <f t="shared" si="41"/>
        <v>-4.1023536777199929E-2</v>
      </c>
      <c r="AJ91" s="5">
        <f t="shared" si="42"/>
        <v>191.52965970720774</v>
      </c>
      <c r="AK91" s="6">
        <f t="shared" si="43"/>
        <v>137.64807802111977</v>
      </c>
      <c r="AM91" s="1">
        <f t="shared" si="36"/>
        <v>43336</v>
      </c>
      <c r="AN91">
        <f t="shared" si="37"/>
        <v>1.3914444898956071</v>
      </c>
      <c r="AO91">
        <f t="shared" ca="1" si="23"/>
        <v>1.2363981946634852</v>
      </c>
      <c r="AP91">
        <f t="shared" ca="1" si="24"/>
        <v>1.2956593246982215</v>
      </c>
      <c r="AQ91">
        <f t="shared" ca="1" si="25"/>
        <v>1.3208243168039533</v>
      </c>
      <c r="AR91">
        <f t="shared" ca="1" si="26"/>
        <v>1.356268128301036</v>
      </c>
      <c r="AS91">
        <f t="shared" ca="1" si="27"/>
        <v>1.401670430302572</v>
      </c>
    </row>
    <row r="92" spans="2:45" x14ac:dyDescent="0.25">
      <c r="B92" s="22">
        <v>43343</v>
      </c>
      <c r="C92">
        <v>28.663</v>
      </c>
      <c r="D92">
        <v>45.4</v>
      </c>
      <c r="E92">
        <v>25.361000000000001</v>
      </c>
      <c r="F92">
        <v>33.386000000000003</v>
      </c>
      <c r="G92">
        <v>81.614999999999995</v>
      </c>
      <c r="H92">
        <v>27.387</v>
      </c>
      <c r="I92" s="6">
        <v>29293.52</v>
      </c>
      <c r="K92" s="23">
        <f t="shared" si="28"/>
        <v>0.25522224655134651</v>
      </c>
      <c r="L92" s="24">
        <f t="shared" si="29"/>
        <v>0.10462287104622869</v>
      </c>
      <c r="M92" s="24">
        <f t="shared" si="30"/>
        <v>5.1146018982882291E-2</v>
      </c>
      <c r="N92" s="24">
        <f t="shared" si="31"/>
        <v>4.474902991613483E-2</v>
      </c>
      <c r="O92" s="24">
        <f t="shared" si="32"/>
        <v>0.24399835383419455</v>
      </c>
      <c r="P92" s="24">
        <f t="shared" si="33"/>
        <v>8.304662474789426E-2</v>
      </c>
      <c r="Q92" s="25">
        <f t="shared" si="34"/>
        <v>0.1639211123984623</v>
      </c>
      <c r="S92" s="26">
        <f t="shared" si="38"/>
        <v>0.13046419084644686</v>
      </c>
      <c r="U92" s="5">
        <f t="shared" si="39"/>
        <v>253.34764485405063</v>
      </c>
      <c r="V92" s="6">
        <f t="shared" si="40"/>
        <v>160.21150408985204</v>
      </c>
      <c r="X92" s="20">
        <f t="shared" si="35"/>
        <v>1.5813324161288984</v>
      </c>
      <c r="Z92" s="22">
        <v>43343</v>
      </c>
      <c r="AA92" s="33">
        <v>54353.398999999998</v>
      </c>
      <c r="AB92" s="33">
        <v>41153.061500000003</v>
      </c>
      <c r="AC92" s="33">
        <v>19654.581900000001</v>
      </c>
      <c r="AD92" s="33">
        <v>21551.295099999999</v>
      </c>
      <c r="AE92" s="33">
        <v>78178.335800000001</v>
      </c>
      <c r="AF92" s="34">
        <v>27.387</v>
      </c>
      <c r="AH92" s="28">
        <f t="shared" si="41"/>
        <v>0.17600051780000742</v>
      </c>
      <c r="AJ92" s="5">
        <f t="shared" si="42"/>
        <v>225.23897898973553</v>
      </c>
      <c r="AK92" s="6">
        <f t="shared" si="43"/>
        <v>160.21150408985204</v>
      </c>
      <c r="AM92" s="1">
        <f t="shared" si="36"/>
        <v>43343</v>
      </c>
      <c r="AN92">
        <f t="shared" si="37"/>
        <v>1.4058851782791695</v>
      </c>
      <c r="AO92">
        <f t="shared" ca="1" si="23"/>
        <v>1.2401869608091753</v>
      </c>
      <c r="AP92">
        <f t="shared" ca="1" si="24"/>
        <v>1.2962072029050669</v>
      </c>
      <c r="AQ92">
        <f t="shared" ca="1" si="25"/>
        <v>1.322003803663395</v>
      </c>
      <c r="AR92">
        <f t="shared" ca="1" si="26"/>
        <v>1.3692072156396731</v>
      </c>
      <c r="AS92">
        <f t="shared" ca="1" si="27"/>
        <v>1.401670430302572</v>
      </c>
    </row>
    <row r="93" spans="2:45" x14ac:dyDescent="0.25">
      <c r="B93" s="22">
        <v>43350</v>
      </c>
      <c r="C93">
        <v>29.501999999999999</v>
      </c>
      <c r="D93">
        <v>44</v>
      </c>
      <c r="E93">
        <v>27.512</v>
      </c>
      <c r="F93">
        <v>36.073999999999998</v>
      </c>
      <c r="G93">
        <v>93.765000000000001</v>
      </c>
      <c r="H93">
        <v>29.76</v>
      </c>
      <c r="I93" s="6">
        <v>29811.22</v>
      </c>
      <c r="K93" s="23">
        <f t="shared" si="28"/>
        <v>2.9271185849352843E-2</v>
      </c>
      <c r="L93" s="24">
        <f t="shared" si="29"/>
        <v>-3.0837004405286361E-2</v>
      </c>
      <c r="M93" s="24">
        <f t="shared" si="30"/>
        <v>8.4815267536769046E-2</v>
      </c>
      <c r="N93" s="24">
        <f t="shared" si="31"/>
        <v>8.0512789792128281E-2</v>
      </c>
      <c r="O93" s="24">
        <f t="shared" si="32"/>
        <v>0.14886969307112663</v>
      </c>
      <c r="P93" s="24">
        <f t="shared" si="33"/>
        <v>8.664694928250638E-2</v>
      </c>
      <c r="Q93" s="25">
        <f t="shared" si="34"/>
        <v>1.7672850514379945E-2</v>
      </c>
      <c r="S93" s="26">
        <f t="shared" si="38"/>
        <v>6.6546480187766141E-2</v>
      </c>
      <c r="U93" s="5">
        <f t="shared" si="39"/>
        <v>270.20703888294793</v>
      </c>
      <c r="V93" s="6">
        <f t="shared" si="40"/>
        <v>163.04289805231596</v>
      </c>
      <c r="X93" s="20">
        <f t="shared" si="35"/>
        <v>1.6572757360841683</v>
      </c>
      <c r="Z93" s="22">
        <v>43350</v>
      </c>
      <c r="AA93" s="33">
        <v>55943.1224</v>
      </c>
      <c r="AB93" s="33">
        <v>39884.024400000002</v>
      </c>
      <c r="AC93" s="33">
        <v>21322.1086</v>
      </c>
      <c r="AD93" s="33">
        <v>23286.822499999998</v>
      </c>
      <c r="AE93" s="33">
        <v>89817.691699999996</v>
      </c>
      <c r="AF93" s="34">
        <v>29.76</v>
      </c>
      <c r="AH93" s="28">
        <f t="shared" si="41"/>
        <v>7.1491770645625188E-2</v>
      </c>
      <c r="AJ93" s="5">
        <f t="shared" si="42"/>
        <v>241.34171241612452</v>
      </c>
      <c r="AK93" s="6">
        <f t="shared" si="43"/>
        <v>163.04289805231596</v>
      </c>
      <c r="AM93" s="1">
        <f t="shared" si="36"/>
        <v>43350</v>
      </c>
      <c r="AN93">
        <f t="shared" si="37"/>
        <v>1.4802344370662783</v>
      </c>
      <c r="AO93">
        <f t="shared" ca="1" si="23"/>
        <v>1.2652832564029022</v>
      </c>
      <c r="AP93">
        <f t="shared" ca="1" si="24"/>
        <v>1.2971431823122315</v>
      </c>
      <c r="AQ93">
        <f t="shared" ca="1" si="25"/>
        <v>1.3240260262355052</v>
      </c>
      <c r="AR93">
        <f t="shared" ca="1" si="26"/>
        <v>1.3705205382540819</v>
      </c>
      <c r="AS93">
        <f t="shared" ca="1" si="27"/>
        <v>1.4043260329843694</v>
      </c>
    </row>
    <row r="94" spans="2:45" x14ac:dyDescent="0.25">
      <c r="B94" s="22">
        <v>43357</v>
      </c>
      <c r="C94">
        <v>31.297999999999998</v>
      </c>
      <c r="D94">
        <v>42.1</v>
      </c>
      <c r="E94">
        <v>27.196999999999999</v>
      </c>
      <c r="F94">
        <v>36.073999999999998</v>
      </c>
      <c r="G94">
        <v>97.165999999999997</v>
      </c>
      <c r="H94">
        <v>28.3</v>
      </c>
      <c r="I94" s="6">
        <v>30177.43</v>
      </c>
      <c r="K94" s="23">
        <f t="shared" si="28"/>
        <v>6.0877228662463478E-2</v>
      </c>
      <c r="L94" s="24">
        <f t="shared" si="29"/>
        <v>-4.3181818181818099E-2</v>
      </c>
      <c r="M94" s="24">
        <f t="shared" si="30"/>
        <v>-1.1449549287583682E-2</v>
      </c>
      <c r="N94" s="24">
        <f t="shared" si="31"/>
        <v>0</v>
      </c>
      <c r="O94" s="24">
        <f t="shared" si="32"/>
        <v>3.6271529888551202E-2</v>
      </c>
      <c r="P94" s="24">
        <f t="shared" si="33"/>
        <v>-4.9059139784946248E-2</v>
      </c>
      <c r="Q94" s="25">
        <f t="shared" si="34"/>
        <v>1.2284301011498355E-2</v>
      </c>
      <c r="S94" s="26">
        <f t="shared" si="38"/>
        <v>-1.0902914505555583E-3</v>
      </c>
      <c r="U94" s="5">
        <f t="shared" si="39"/>
        <v>269.91243445857395</v>
      </c>
      <c r="V94" s="6">
        <f t="shared" si="40"/>
        <v>165.04576608977766</v>
      </c>
      <c r="X94" s="20">
        <f t="shared" si="35"/>
        <v>1.6353793305534019</v>
      </c>
      <c r="Z94" s="22">
        <v>43357</v>
      </c>
      <c r="AA94" s="33">
        <v>59349.672400000003</v>
      </c>
      <c r="AB94" s="33">
        <v>38161.759700000002</v>
      </c>
      <c r="AC94" s="33">
        <v>21077.538</v>
      </c>
      <c r="AD94" s="33">
        <v>23286.822499999998</v>
      </c>
      <c r="AE94" s="33">
        <v>93075.122399999993</v>
      </c>
      <c r="AF94" s="34">
        <v>28.3</v>
      </c>
      <c r="AH94" s="28">
        <f t="shared" si="41"/>
        <v>2.0390664188097023E-2</v>
      </c>
      <c r="AJ94" s="5">
        <f t="shared" si="42"/>
        <v>246.26283022858203</v>
      </c>
      <c r="AK94" s="6">
        <f t="shared" si="43"/>
        <v>165.04576608977766</v>
      </c>
      <c r="AM94" s="1">
        <f t="shared" si="36"/>
        <v>43357</v>
      </c>
      <c r="AN94">
        <f t="shared" si="37"/>
        <v>1.492088140538097</v>
      </c>
      <c r="AO94">
        <f t="shared" ca="1" si="23"/>
        <v>1.2754487944059587</v>
      </c>
      <c r="AP94">
        <f t="shared" ca="1" si="24"/>
        <v>1.2987835432506161</v>
      </c>
      <c r="AQ94">
        <f t="shared" ca="1" si="25"/>
        <v>1.3296105595217727</v>
      </c>
      <c r="AR94">
        <f t="shared" ca="1" si="26"/>
        <v>1.3717522261131219</v>
      </c>
      <c r="AS94">
        <f t="shared" ca="1" si="27"/>
        <v>1.4057465246709437</v>
      </c>
    </row>
    <row r="95" spans="2:45" x14ac:dyDescent="0.25">
      <c r="B95" s="22">
        <v>43364</v>
      </c>
      <c r="C95">
        <v>36.128</v>
      </c>
      <c r="D95">
        <v>52.65</v>
      </c>
      <c r="E95">
        <v>31.298999999999999</v>
      </c>
      <c r="F95">
        <v>45.161000000000001</v>
      </c>
      <c r="G95">
        <v>106.816</v>
      </c>
      <c r="H95">
        <v>36.195999999999998</v>
      </c>
      <c r="I95" s="6">
        <v>34327.120000000003</v>
      </c>
      <c r="K95" s="23">
        <f t="shared" si="28"/>
        <v>0.15432295993354206</v>
      </c>
      <c r="L95" s="24">
        <f t="shared" si="29"/>
        <v>0.25059382422802834</v>
      </c>
      <c r="M95" s="24">
        <f t="shared" si="30"/>
        <v>0.15082545869029684</v>
      </c>
      <c r="N95" s="24">
        <f t="shared" si="31"/>
        <v>0.25189887453567672</v>
      </c>
      <c r="O95" s="24">
        <f t="shared" si="32"/>
        <v>9.9314575057118715E-2</v>
      </c>
      <c r="P95" s="24">
        <f t="shared" si="33"/>
        <v>0.27901060070671369</v>
      </c>
      <c r="Q95" s="25">
        <f t="shared" si="34"/>
        <v>0.13750972166947295</v>
      </c>
      <c r="S95" s="26">
        <f t="shared" si="38"/>
        <v>0.19766104885856273</v>
      </c>
      <c r="U95" s="5">
        <f t="shared" si="39"/>
        <v>323.26360935362374</v>
      </c>
      <c r="V95" s="6">
        <f t="shared" si="40"/>
        <v>187.74116344750792</v>
      </c>
      <c r="X95" s="20">
        <f t="shared" si="35"/>
        <v>1.7218579208603213</v>
      </c>
      <c r="Z95" s="22">
        <v>43364</v>
      </c>
      <c r="AA95" s="33">
        <v>68509.507100000003</v>
      </c>
      <c r="AB95" s="33">
        <v>47724.860999999997</v>
      </c>
      <c r="AC95" s="33">
        <v>24256.955699999999</v>
      </c>
      <c r="AD95" s="33">
        <v>29152.465499999998</v>
      </c>
      <c r="AE95" s="33">
        <v>100702.27710000001</v>
      </c>
      <c r="AF95" s="34">
        <v>36.195999999999998</v>
      </c>
      <c r="AH95" s="28">
        <f t="shared" si="41"/>
        <v>0.1575402503751987</v>
      </c>
      <c r="AJ95" s="5">
        <f t="shared" si="42"/>
        <v>285.05913816089793</v>
      </c>
      <c r="AK95" s="6">
        <f t="shared" si="43"/>
        <v>187.74116344750792</v>
      </c>
      <c r="AM95" s="1">
        <f t="shared" si="36"/>
        <v>43364</v>
      </c>
      <c r="AN95">
        <f t="shared" si="37"/>
        <v>1.5183624780326874</v>
      </c>
      <c r="AO95">
        <f t="shared" ca="1" si="23"/>
        <v>1.2820064576028602</v>
      </c>
      <c r="AP95">
        <f t="shared" ca="1" si="24"/>
        <v>1.3001376887161069</v>
      </c>
      <c r="AQ95">
        <f t="shared" ca="1" si="25"/>
        <v>1.3366972751258657</v>
      </c>
      <c r="AR95">
        <f t="shared" ca="1" si="26"/>
        <v>1.3748585658103911</v>
      </c>
      <c r="AS95">
        <f t="shared" ca="1" si="27"/>
        <v>1.4284639984296821</v>
      </c>
    </row>
    <row r="96" spans="2:45" x14ac:dyDescent="0.25">
      <c r="B96" s="22">
        <v>43371</v>
      </c>
      <c r="C96">
        <v>32.854999999999997</v>
      </c>
      <c r="D96">
        <v>51.3</v>
      </c>
      <c r="E96">
        <v>27.77</v>
      </c>
      <c r="F96">
        <v>44.378</v>
      </c>
      <c r="G96">
        <v>101.17</v>
      </c>
      <c r="H96">
        <v>34.369999999999997</v>
      </c>
      <c r="I96" s="6">
        <v>33461.769999999997</v>
      </c>
      <c r="K96" s="23">
        <f t="shared" si="28"/>
        <v>-9.0594552701505848E-2</v>
      </c>
      <c r="L96" s="24">
        <f t="shared" si="29"/>
        <v>-2.5641025641025661E-2</v>
      </c>
      <c r="M96" s="24">
        <f t="shared" si="30"/>
        <v>-0.11275120610882139</v>
      </c>
      <c r="N96" s="24">
        <f t="shared" si="31"/>
        <v>-1.7337968601226716E-2</v>
      </c>
      <c r="O96" s="24">
        <f t="shared" si="32"/>
        <v>-5.2857249850209675E-2</v>
      </c>
      <c r="P96" s="24">
        <f t="shared" si="33"/>
        <v>-5.0447563266659334E-2</v>
      </c>
      <c r="Q96" s="25">
        <f t="shared" si="34"/>
        <v>-2.5208931014311875E-2</v>
      </c>
      <c r="S96" s="26">
        <f t="shared" si="38"/>
        <v>-5.8271594361574773E-2</v>
      </c>
      <c r="U96" s="5">
        <f t="shared" si="39"/>
        <v>304.42652343751081</v>
      </c>
      <c r="V96" s="6">
        <f t="shared" si="40"/>
        <v>183.00840940961305</v>
      </c>
      <c r="X96" s="20">
        <f t="shared" si="35"/>
        <v>1.6634564740472517</v>
      </c>
      <c r="Z96" s="22">
        <v>43371</v>
      </c>
      <c r="AA96" s="33">
        <v>62302.015800000001</v>
      </c>
      <c r="AB96" s="33">
        <v>46501.1466</v>
      </c>
      <c r="AC96" s="33">
        <v>21522.211800000001</v>
      </c>
      <c r="AD96" s="33">
        <v>28647.185399999998</v>
      </c>
      <c r="AE96" s="33">
        <v>95379.1587</v>
      </c>
      <c r="AF96" s="34">
        <v>34.369999999999997</v>
      </c>
      <c r="AH96" s="28">
        <f t="shared" si="41"/>
        <v>-5.91585385761269E-2</v>
      </c>
      <c r="AJ96" s="5">
        <f t="shared" si="42"/>
        <v>268.19545613952897</v>
      </c>
      <c r="AK96" s="6">
        <f t="shared" si="43"/>
        <v>183.00840940961305</v>
      </c>
      <c r="AM96" s="1">
        <f t="shared" si="36"/>
        <v>43371</v>
      </c>
      <c r="AN96">
        <f t="shared" si="37"/>
        <v>1.465481597292333</v>
      </c>
      <c r="AO96">
        <f t="shared" ca="1" si="23"/>
        <v>1.282227315971366</v>
      </c>
      <c r="AP96">
        <f t="shared" ca="1" si="24"/>
        <v>1.3027086515108737</v>
      </c>
      <c r="AQ96">
        <f t="shared" ca="1" si="25"/>
        <v>1.3399971964345234</v>
      </c>
      <c r="AR96">
        <f t="shared" ca="1" si="26"/>
        <v>1.3790105626315081</v>
      </c>
      <c r="AS96">
        <f t="shared" ca="1" si="27"/>
        <v>1.4382681171471305</v>
      </c>
    </row>
    <row r="97" spans="2:45" x14ac:dyDescent="0.25">
      <c r="B97" s="22">
        <v>43378</v>
      </c>
      <c r="C97">
        <v>27.664999999999999</v>
      </c>
      <c r="D97">
        <v>42.4</v>
      </c>
      <c r="E97">
        <v>25.216999999999999</v>
      </c>
      <c r="F97">
        <v>39.478000000000002</v>
      </c>
      <c r="G97">
        <v>88.95</v>
      </c>
      <c r="H97">
        <v>30.81</v>
      </c>
      <c r="I97" s="6">
        <v>30168.720000000001</v>
      </c>
      <c r="K97" s="23">
        <f t="shared" si="28"/>
        <v>-0.1579668239232993</v>
      </c>
      <c r="L97" s="24">
        <f t="shared" si="29"/>
        <v>-0.17348927875243658</v>
      </c>
      <c r="M97" s="24">
        <f t="shared" si="30"/>
        <v>-9.1933741447605355E-2</v>
      </c>
      <c r="N97" s="24">
        <f t="shared" si="31"/>
        <v>-0.11041507053044297</v>
      </c>
      <c r="O97" s="24">
        <f t="shared" si="32"/>
        <v>-0.12078679450429963</v>
      </c>
      <c r="P97" s="24">
        <f t="shared" si="33"/>
        <v>-0.10357870235670641</v>
      </c>
      <c r="Q97" s="25">
        <f t="shared" si="34"/>
        <v>-9.8412307537825927E-2</v>
      </c>
      <c r="S97" s="26">
        <f t="shared" si="38"/>
        <v>-0.12636173525246505</v>
      </c>
      <c r="U97" s="5">
        <f t="shared" si="39"/>
        <v>265.95865967907173</v>
      </c>
      <c r="V97" s="6">
        <f t="shared" si="40"/>
        <v>164.99812954078587</v>
      </c>
      <c r="X97" s="20">
        <f t="shared" si="35"/>
        <v>1.6118889372823431</v>
      </c>
      <c r="Z97" s="22">
        <v>43378</v>
      </c>
      <c r="AA97" s="33">
        <v>52460.871200000001</v>
      </c>
      <c r="AB97" s="33">
        <v>38433.696199999998</v>
      </c>
      <c r="AC97" s="33">
        <v>19543.413400000001</v>
      </c>
      <c r="AD97" s="33">
        <v>25483.692500000001</v>
      </c>
      <c r="AE97" s="33">
        <v>83858.977100000004</v>
      </c>
      <c r="AF97" s="34">
        <v>30.81</v>
      </c>
      <c r="AH97" s="28">
        <f t="shared" si="41"/>
        <v>-0.1359150709424698</v>
      </c>
      <c r="AJ97" s="5">
        <f t="shared" si="42"/>
        <v>231.74365169187683</v>
      </c>
      <c r="AK97" s="6">
        <f t="shared" si="43"/>
        <v>164.99812954078587</v>
      </c>
      <c r="AM97" s="1">
        <f t="shared" si="36"/>
        <v>43378</v>
      </c>
      <c r="AN97">
        <f t="shared" si="37"/>
        <v>1.4045229017859391</v>
      </c>
      <c r="AO97">
        <f t="shared" ca="1" si="23"/>
        <v>1.2841638814915877</v>
      </c>
      <c r="AP97">
        <f t="shared" ca="1" si="24"/>
        <v>1.3038561068054997</v>
      </c>
      <c r="AQ97">
        <f t="shared" ca="1" si="25"/>
        <v>1.3424678263829328</v>
      </c>
      <c r="AR97">
        <f t="shared" ca="1" si="26"/>
        <v>1.3838643174478611</v>
      </c>
      <c r="AS97">
        <f t="shared" ca="1" si="27"/>
        <v>1.4408393143937588</v>
      </c>
    </row>
    <row r="98" spans="2:45" x14ac:dyDescent="0.25">
      <c r="B98" s="22">
        <v>43385</v>
      </c>
      <c r="C98">
        <v>27.225999999999999</v>
      </c>
      <c r="D98">
        <v>41.8</v>
      </c>
      <c r="E98">
        <v>25.189</v>
      </c>
      <c r="F98">
        <v>36.619</v>
      </c>
      <c r="G98">
        <v>84.820999999999998</v>
      </c>
      <c r="H98">
        <v>28.437000000000001</v>
      </c>
      <c r="I98" s="6">
        <v>29598.18</v>
      </c>
      <c r="K98" s="23">
        <f t="shared" si="28"/>
        <v>-1.586842580878367E-2</v>
      </c>
      <c r="L98" s="24">
        <f t="shared" si="29"/>
        <v>-1.4150943396226467E-2</v>
      </c>
      <c r="M98" s="24">
        <f t="shared" si="30"/>
        <v>-1.1103620573421624E-3</v>
      </c>
      <c r="N98" s="24">
        <f t="shared" si="31"/>
        <v>-7.2420082071026903E-2</v>
      </c>
      <c r="O98" s="24">
        <f t="shared" si="32"/>
        <v>-4.6419336706014613E-2</v>
      </c>
      <c r="P98" s="24">
        <f t="shared" si="33"/>
        <v>-7.7020447906523737E-2</v>
      </c>
      <c r="Q98" s="25">
        <f t="shared" si="34"/>
        <v>-1.8911640931401852E-2</v>
      </c>
      <c r="S98" s="26">
        <f t="shared" si="38"/>
        <v>-3.7831599657652926E-2</v>
      </c>
      <c r="U98" s="5">
        <f t="shared" si="39"/>
        <v>255.89701814060712</v>
      </c>
      <c r="V98" s="6">
        <f t="shared" si="40"/>
        <v>161.8777441605576</v>
      </c>
      <c r="X98" s="20">
        <f t="shared" si="35"/>
        <v>1.5808042017610338</v>
      </c>
      <c r="Z98" s="22">
        <v>43385</v>
      </c>
      <c r="AA98" s="33">
        <v>51628.158900000002</v>
      </c>
      <c r="AB98" s="33">
        <v>37889.823199999999</v>
      </c>
      <c r="AC98" s="33">
        <v>19521.179700000001</v>
      </c>
      <c r="AD98" s="33">
        <v>23638.3217</v>
      </c>
      <c r="AE98" s="33">
        <v>79965.950200000007</v>
      </c>
      <c r="AF98" s="34">
        <v>28.437000000000001</v>
      </c>
      <c r="AH98" s="28">
        <f t="shared" si="41"/>
        <v>-3.2476136366160618E-2</v>
      </c>
      <c r="AJ98" s="5">
        <f t="shared" si="42"/>
        <v>224.21751325753939</v>
      </c>
      <c r="AK98" s="6">
        <f t="shared" si="43"/>
        <v>161.8777441605576</v>
      </c>
      <c r="AM98" s="1">
        <f t="shared" si="36"/>
        <v>43385</v>
      </c>
      <c r="AN98">
        <f t="shared" si="37"/>
        <v>1.3851040142686348</v>
      </c>
      <c r="AO98">
        <f t="shared" ca="1" si="23"/>
        <v>1.2841638814915877</v>
      </c>
      <c r="AP98">
        <f t="shared" ca="1" si="24"/>
        <v>1.3087448806865061</v>
      </c>
      <c r="AQ98">
        <f t="shared" ca="1" si="25"/>
        <v>1.3445278986148752</v>
      </c>
      <c r="AR98">
        <f t="shared" ca="1" si="26"/>
        <v>1.3915212055172914</v>
      </c>
      <c r="AS98">
        <f t="shared" ca="1" si="27"/>
        <v>1.4408393143937588</v>
      </c>
    </row>
    <row r="99" spans="2:45" x14ac:dyDescent="0.25">
      <c r="B99" s="22">
        <v>43392</v>
      </c>
      <c r="C99">
        <v>26.428000000000001</v>
      </c>
      <c r="D99">
        <v>41.5</v>
      </c>
      <c r="E99">
        <v>23.611000000000001</v>
      </c>
      <c r="F99">
        <v>36.619</v>
      </c>
      <c r="G99">
        <v>86.38</v>
      </c>
      <c r="H99">
        <v>27.888999999999999</v>
      </c>
      <c r="I99" s="6">
        <v>28673.279999999999</v>
      </c>
      <c r="K99" s="23">
        <f t="shared" si="28"/>
        <v>-2.9310218173804414E-2</v>
      </c>
      <c r="L99" s="24">
        <f t="shared" si="29"/>
        <v>-7.1770334928229484E-3</v>
      </c>
      <c r="M99" s="24">
        <f t="shared" si="30"/>
        <v>-6.2646393266902245E-2</v>
      </c>
      <c r="N99" s="24">
        <f t="shared" si="31"/>
        <v>0</v>
      </c>
      <c r="O99" s="24">
        <f t="shared" si="32"/>
        <v>1.8379882340458176E-2</v>
      </c>
      <c r="P99" s="24">
        <f t="shared" si="33"/>
        <v>-1.927066849527026E-2</v>
      </c>
      <c r="Q99" s="25">
        <f t="shared" si="34"/>
        <v>-3.1248542984737671E-2</v>
      </c>
      <c r="S99" s="26">
        <f t="shared" si="38"/>
        <v>-1.6670738514723615E-2</v>
      </c>
      <c r="U99" s="5">
        <f t="shared" si="39"/>
        <v>251.63102586448758</v>
      </c>
      <c r="V99" s="6">
        <f t="shared" si="40"/>
        <v>156.81930051388406</v>
      </c>
      <c r="X99" s="20">
        <f t="shared" si="35"/>
        <v>1.6045921964956689</v>
      </c>
      <c r="Z99" s="22">
        <v>43392</v>
      </c>
      <c r="AA99" s="33">
        <v>50114.136700000003</v>
      </c>
      <c r="AB99" s="33">
        <v>37617.886700000003</v>
      </c>
      <c r="AC99" s="33">
        <v>18298.326799999999</v>
      </c>
      <c r="AD99" s="33">
        <v>23638.3217</v>
      </c>
      <c r="AE99" s="33">
        <v>81435.766499999998</v>
      </c>
      <c r="AF99" s="34">
        <v>27.888999999999999</v>
      </c>
      <c r="AH99" s="28">
        <f t="shared" si="41"/>
        <v>-7.2359540119261902E-3</v>
      </c>
      <c r="AJ99" s="5">
        <f t="shared" si="42"/>
        <v>222.59508564293938</v>
      </c>
      <c r="AK99" s="6">
        <f t="shared" si="43"/>
        <v>156.81930051388406</v>
      </c>
      <c r="AM99" s="1">
        <f t="shared" si="36"/>
        <v>43392</v>
      </c>
      <c r="AN99">
        <f t="shared" si="37"/>
        <v>1.4194367970875614</v>
      </c>
      <c r="AO99">
        <f t="shared" ca="1" si="23"/>
        <v>1.2954703019403704</v>
      </c>
      <c r="AP99">
        <f t="shared" ca="1" si="24"/>
        <v>1.3104371273345792</v>
      </c>
      <c r="AQ99">
        <f t="shared" ca="1" si="25"/>
        <v>1.346751997202533</v>
      </c>
      <c r="AR99">
        <f t="shared" ca="1" si="26"/>
        <v>1.3915212055172914</v>
      </c>
      <c r="AS99">
        <f t="shared" ca="1" si="27"/>
        <v>1.4408393143937588</v>
      </c>
    </row>
    <row r="100" spans="2:45" x14ac:dyDescent="0.25">
      <c r="B100" s="22">
        <v>43399</v>
      </c>
      <c r="C100">
        <v>26.388000000000002</v>
      </c>
      <c r="D100">
        <v>39.5</v>
      </c>
      <c r="E100">
        <v>23.18</v>
      </c>
      <c r="F100">
        <v>33.692</v>
      </c>
      <c r="G100">
        <v>84.989000000000004</v>
      </c>
      <c r="H100">
        <v>26.792999999999999</v>
      </c>
      <c r="I100" s="6">
        <v>29369.87</v>
      </c>
      <c r="K100" s="23">
        <f t="shared" si="28"/>
        <v>-1.5135462388375931E-3</v>
      </c>
      <c r="L100" s="24">
        <f t="shared" si="29"/>
        <v>-4.8192771084337394E-2</v>
      </c>
      <c r="M100" s="24">
        <f t="shared" si="30"/>
        <v>-1.825420354919316E-2</v>
      </c>
      <c r="N100" s="24">
        <f t="shared" si="31"/>
        <v>-7.9931183265517847E-2</v>
      </c>
      <c r="O100" s="24">
        <f t="shared" si="32"/>
        <v>-1.6103264644593551E-2</v>
      </c>
      <c r="P100" s="24">
        <f t="shared" si="33"/>
        <v>-3.9298648212556908E-2</v>
      </c>
      <c r="Q100" s="25">
        <f t="shared" si="34"/>
        <v>2.4294046582741924E-2</v>
      </c>
      <c r="S100" s="26">
        <f t="shared" si="38"/>
        <v>-3.3882269499172744E-2</v>
      </c>
      <c r="U100" s="5">
        <f t="shared" si="39"/>
        <v>243.10519563179372</v>
      </c>
      <c r="V100" s="6">
        <f t="shared" si="40"/>
        <v>160.62907590564137</v>
      </c>
      <c r="X100" s="20">
        <f t="shared" si="35"/>
        <v>1.5134569769585269</v>
      </c>
      <c r="Z100" s="22">
        <v>43399</v>
      </c>
      <c r="AA100" s="33">
        <v>50038.435599999997</v>
      </c>
      <c r="AB100" s="33">
        <v>35804.9764</v>
      </c>
      <c r="AC100" s="33">
        <v>17964.821400000001</v>
      </c>
      <c r="AD100" s="33">
        <v>21749.0134</v>
      </c>
      <c r="AE100" s="33">
        <v>80124.849300000002</v>
      </c>
      <c r="AF100" s="34">
        <v>26.792999999999999</v>
      </c>
      <c r="AH100" s="28">
        <f t="shared" si="41"/>
        <v>-2.5693357515264942E-2</v>
      </c>
      <c r="AJ100" s="5">
        <f t="shared" si="42"/>
        <v>216.87587052637431</v>
      </c>
      <c r="AK100" s="6">
        <f t="shared" si="43"/>
        <v>160.62907590564137</v>
      </c>
      <c r="AM100" s="1">
        <f t="shared" si="36"/>
        <v>43399</v>
      </c>
      <c r="AN100">
        <f t="shared" si="37"/>
        <v>1.350165711304808</v>
      </c>
      <c r="AO100">
        <f t="shared" ca="1" si="23"/>
        <v>1.2964625772938214</v>
      </c>
      <c r="AP100">
        <f t="shared" ca="1" si="24"/>
        <v>1.3117628788830056</v>
      </c>
      <c r="AQ100">
        <f t="shared" ca="1" si="25"/>
        <v>1.3493014226798288</v>
      </c>
      <c r="AR100">
        <f t="shared" ca="1" si="26"/>
        <v>1.3945066518046298</v>
      </c>
      <c r="AS100">
        <f t="shared" ca="1" si="27"/>
        <v>1.4408393143937588</v>
      </c>
    </row>
    <row r="101" spans="2:45" x14ac:dyDescent="0.25">
      <c r="B101" s="22">
        <v>43406</v>
      </c>
      <c r="C101">
        <v>29.422000000000001</v>
      </c>
      <c r="D101">
        <v>43.65</v>
      </c>
      <c r="E101">
        <v>25.102</v>
      </c>
      <c r="F101">
        <v>35.53</v>
      </c>
      <c r="G101">
        <v>92.49</v>
      </c>
      <c r="H101">
        <v>29.120999999999999</v>
      </c>
      <c r="I101" s="6">
        <v>31419.26</v>
      </c>
      <c r="K101" s="23">
        <f t="shared" si="28"/>
        <v>0.11497650447172947</v>
      </c>
      <c r="L101" s="24">
        <f t="shared" si="29"/>
        <v>0.1050632911392404</v>
      </c>
      <c r="M101" s="24">
        <f t="shared" si="30"/>
        <v>8.2916307161346126E-2</v>
      </c>
      <c r="N101" s="24">
        <f t="shared" si="31"/>
        <v>5.4553009616526316E-2</v>
      </c>
      <c r="O101" s="24">
        <f t="shared" si="32"/>
        <v>8.8258480509242343E-2</v>
      </c>
      <c r="P101" s="24">
        <f t="shared" si="33"/>
        <v>8.6888366364348935E-2</v>
      </c>
      <c r="Q101" s="25">
        <f t="shared" si="34"/>
        <v>6.9778654110488114E-2</v>
      </c>
      <c r="S101" s="26">
        <f t="shared" si="38"/>
        <v>8.8775993210405593E-2</v>
      </c>
      <c r="U101" s="5">
        <f t="shared" si="39"/>
        <v>264.68710082861617</v>
      </c>
      <c r="V101" s="6">
        <f t="shared" si="40"/>
        <v>171.83755663334847</v>
      </c>
      <c r="X101" s="20">
        <f t="shared" si="35"/>
        <v>1.540333242711206</v>
      </c>
      <c r="Z101" s="22">
        <v>43406</v>
      </c>
      <c r="AA101" s="33">
        <v>55791.720099999999</v>
      </c>
      <c r="AB101" s="33">
        <v>39566.765099999997</v>
      </c>
      <c r="AC101" s="33">
        <v>19454.4787</v>
      </c>
      <c r="AD101" s="33">
        <v>22935.3233</v>
      </c>
      <c r="AE101" s="33">
        <v>87195.857300000003</v>
      </c>
      <c r="AF101" s="34">
        <v>29.120999999999999</v>
      </c>
      <c r="AH101" s="28">
        <f t="shared" si="41"/>
        <v>9.3652293759725003E-2</v>
      </c>
      <c r="AJ101" s="5">
        <f t="shared" si="42"/>
        <v>237.18679326230642</v>
      </c>
      <c r="AK101" s="6">
        <f t="shared" si="43"/>
        <v>171.83755663334847</v>
      </c>
      <c r="AM101" s="1">
        <f t="shared" si="36"/>
        <v>43406</v>
      </c>
      <c r="AN101">
        <f t="shared" si="37"/>
        <v>1.3802965888789622</v>
      </c>
      <c r="AO101">
        <f t="shared" ca="1" si="23"/>
        <v>1.2975887654434861</v>
      </c>
      <c r="AP101">
        <f t="shared" ca="1" si="24"/>
        <v>1.315050924715609</v>
      </c>
      <c r="AQ101">
        <f t="shared" ca="1" si="25"/>
        <v>1.3500886964767904</v>
      </c>
      <c r="AR101">
        <f t="shared" ca="1" si="26"/>
        <v>1.3945066518046298</v>
      </c>
      <c r="AS101">
        <f t="shared" ca="1" si="27"/>
        <v>1.4408393143937588</v>
      </c>
    </row>
    <row r="102" spans="2:45" x14ac:dyDescent="0.25">
      <c r="B102" s="22">
        <v>43413</v>
      </c>
      <c r="C102">
        <v>29.462</v>
      </c>
      <c r="D102">
        <v>40.85</v>
      </c>
      <c r="E102">
        <v>24.471</v>
      </c>
      <c r="F102">
        <v>33.317999999999998</v>
      </c>
      <c r="G102">
        <v>91.015000000000001</v>
      </c>
      <c r="H102">
        <v>27.387</v>
      </c>
      <c r="I102" s="6">
        <v>29912.49</v>
      </c>
      <c r="K102" s="23">
        <f t="shared" si="28"/>
        <v>1.3595268846440245E-3</v>
      </c>
      <c r="L102" s="24">
        <f t="shared" si="29"/>
        <v>-6.4146620847651659E-2</v>
      </c>
      <c r="M102" s="24">
        <f t="shared" si="30"/>
        <v>-2.5137439247868709E-2</v>
      </c>
      <c r="N102" s="24">
        <f t="shared" si="31"/>
        <v>-6.2257247396566351E-2</v>
      </c>
      <c r="O102" s="24">
        <f t="shared" si="32"/>
        <v>-1.5947670018380267E-2</v>
      </c>
      <c r="P102" s="24">
        <f t="shared" si="33"/>
        <v>-5.9544658493870362E-2</v>
      </c>
      <c r="Q102" s="25">
        <f t="shared" si="34"/>
        <v>-4.7956890136814034E-2</v>
      </c>
      <c r="S102" s="26">
        <f t="shared" si="38"/>
        <v>-3.7612351519948885E-2</v>
      </c>
      <c r="U102" s="5">
        <f t="shared" si="39"/>
        <v>254.73159654945411</v>
      </c>
      <c r="V102" s="6">
        <f t="shared" si="40"/>
        <v>163.59676180850443</v>
      </c>
      <c r="X102" s="20">
        <f t="shared" si="35"/>
        <v>1.5570699183375409</v>
      </c>
      <c r="Z102" s="22">
        <v>43413</v>
      </c>
      <c r="AA102" s="33">
        <v>55867.421199999997</v>
      </c>
      <c r="AB102" s="33">
        <v>37028.690799999997</v>
      </c>
      <c r="AC102" s="33">
        <v>18965.337500000001</v>
      </c>
      <c r="AD102" s="33">
        <v>21507.3577</v>
      </c>
      <c r="AE102" s="33">
        <v>85805.490600000005</v>
      </c>
      <c r="AF102" s="34">
        <v>27.387</v>
      </c>
      <c r="AH102" s="28">
        <f t="shared" si="41"/>
        <v>-2.5653957394506609E-2</v>
      </c>
      <c r="AJ102" s="5">
        <f t="shared" si="42"/>
        <v>231.10201337341556</v>
      </c>
      <c r="AK102" s="6">
        <f t="shared" si="43"/>
        <v>163.59676180850443</v>
      </c>
      <c r="AM102" s="1">
        <f t="shared" si="36"/>
        <v>43413</v>
      </c>
      <c r="AN102">
        <f t="shared" si="37"/>
        <v>1.4126319544388557</v>
      </c>
      <c r="AO102">
        <f t="shared" ca="1" si="23"/>
        <v>1.2993623552483915</v>
      </c>
      <c r="AP102">
        <f t="shared" ca="1" si="24"/>
        <v>1.3174453632109566</v>
      </c>
      <c r="AQ102">
        <f t="shared" ca="1" si="25"/>
        <v>1.3503564923034674</v>
      </c>
      <c r="AR102">
        <f t="shared" ca="1" si="26"/>
        <v>1.3945066518046298</v>
      </c>
      <c r="AS102">
        <f t="shared" ca="1" si="27"/>
        <v>1.4408393143937588</v>
      </c>
    </row>
    <row r="103" spans="2:45" x14ac:dyDescent="0.25">
      <c r="B103" s="22">
        <v>43420</v>
      </c>
      <c r="C103">
        <v>29.382000000000001</v>
      </c>
      <c r="D103">
        <v>45.45</v>
      </c>
      <c r="E103">
        <v>25.216999999999999</v>
      </c>
      <c r="F103">
        <v>34.713000000000001</v>
      </c>
      <c r="G103">
        <v>96.492999999999995</v>
      </c>
      <c r="H103">
        <v>26.291</v>
      </c>
      <c r="I103" s="6">
        <v>31109.25</v>
      </c>
      <c r="K103" s="23">
        <f t="shared" si="28"/>
        <v>-2.7153621614282031E-3</v>
      </c>
      <c r="L103" s="24">
        <f t="shared" si="29"/>
        <v>0.11260709914320688</v>
      </c>
      <c r="M103" s="24">
        <f t="shared" si="30"/>
        <v>3.0485063953250791E-2</v>
      </c>
      <c r="N103" s="24">
        <f t="shared" si="31"/>
        <v>4.1869259859535379E-2</v>
      </c>
      <c r="O103" s="24">
        <f t="shared" si="32"/>
        <v>6.0187881118496822E-2</v>
      </c>
      <c r="P103" s="24">
        <f t="shared" si="33"/>
        <v>-4.0018987110672977E-2</v>
      </c>
      <c r="Q103" s="25">
        <f t="shared" si="34"/>
        <v>4.0008705393633104E-2</v>
      </c>
      <c r="S103" s="26">
        <f t="shared" si="38"/>
        <v>3.3735825800398113E-2</v>
      </c>
      <c r="U103" s="5">
        <f t="shared" si="39"/>
        <v>263.32517731650381</v>
      </c>
      <c r="V103" s="6">
        <f t="shared" si="40"/>
        <v>170.14205645505325</v>
      </c>
      <c r="X103" s="20">
        <f t="shared" si="35"/>
        <v>1.5476783506849581</v>
      </c>
      <c r="Z103" s="22">
        <v>43420</v>
      </c>
      <c r="AA103" s="33">
        <v>55716.019</v>
      </c>
      <c r="AB103" s="33">
        <v>41198.384299999998</v>
      </c>
      <c r="AC103" s="33">
        <v>19543.413400000001</v>
      </c>
      <c r="AD103" s="33">
        <v>22408.074499999999</v>
      </c>
      <c r="AE103" s="33">
        <v>90969.709900000002</v>
      </c>
      <c r="AF103" s="34">
        <v>26.291</v>
      </c>
      <c r="AH103" s="28">
        <f t="shared" si="41"/>
        <v>4.8631033683727246E-2</v>
      </c>
      <c r="AJ103" s="5">
        <f t="shared" si="42"/>
        <v>242.34074317015532</v>
      </c>
      <c r="AK103" s="6">
        <f t="shared" si="43"/>
        <v>170.14205645505325</v>
      </c>
      <c r="AM103" s="1">
        <f t="shared" si="36"/>
        <v>43420</v>
      </c>
      <c r="AN103">
        <f t="shared" si="37"/>
        <v>1.4243435645446954</v>
      </c>
      <c r="AO103">
        <f t="shared" ca="1" si="23"/>
        <v>1.3007389282446475</v>
      </c>
      <c r="AP103">
        <f t="shared" ca="1" si="24"/>
        <v>1.3199800936252291</v>
      </c>
      <c r="AQ103">
        <f t="shared" ca="1" si="25"/>
        <v>1.3506520258243031</v>
      </c>
      <c r="AR103">
        <f t="shared" ca="1" si="26"/>
        <v>1.4032040731028428</v>
      </c>
      <c r="AS103">
        <f t="shared" ca="1" si="27"/>
        <v>1.4408393143937588</v>
      </c>
    </row>
    <row r="104" spans="2:45" x14ac:dyDescent="0.25">
      <c r="B104" s="22">
        <v>43427</v>
      </c>
      <c r="C104">
        <v>27.625</v>
      </c>
      <c r="D104">
        <v>46.1</v>
      </c>
      <c r="E104">
        <v>24.041</v>
      </c>
      <c r="F104">
        <v>33.76</v>
      </c>
      <c r="G104">
        <v>93.501000000000005</v>
      </c>
      <c r="H104">
        <v>25.835000000000001</v>
      </c>
      <c r="I104" s="6">
        <v>30723.48</v>
      </c>
      <c r="K104" s="23">
        <f t="shared" si="28"/>
        <v>-5.9798516098291565E-2</v>
      </c>
      <c r="L104" s="24">
        <f t="shared" si="29"/>
        <v>1.4301430143014215E-2</v>
      </c>
      <c r="M104" s="24">
        <f t="shared" si="30"/>
        <v>-4.6635206408375263E-2</v>
      </c>
      <c r="N104" s="24">
        <f t="shared" si="31"/>
        <v>-2.7453691700515703E-2</v>
      </c>
      <c r="O104" s="24">
        <f t="shared" si="32"/>
        <v>-3.1007430590820007E-2</v>
      </c>
      <c r="P104" s="24">
        <f t="shared" si="33"/>
        <v>-1.734433836674143E-2</v>
      </c>
      <c r="Q104" s="25">
        <f t="shared" si="34"/>
        <v>-1.2400491815135362E-2</v>
      </c>
      <c r="S104" s="26">
        <f t="shared" si="38"/>
        <v>-2.7989625503621624E-2</v>
      </c>
      <c r="U104" s="5">
        <f t="shared" si="39"/>
        <v>255.9548042177401</v>
      </c>
      <c r="V104" s="6">
        <f t="shared" si="40"/>
        <v>168.03221127657207</v>
      </c>
      <c r="X104" s="20">
        <f t="shared" si="35"/>
        <v>1.5232484431003062</v>
      </c>
      <c r="Z104" s="22">
        <v>43427</v>
      </c>
      <c r="AA104" s="33">
        <v>52385.170100000003</v>
      </c>
      <c r="AB104" s="33">
        <v>41787.580099999999</v>
      </c>
      <c r="AC104" s="33">
        <v>18631.8321</v>
      </c>
      <c r="AD104" s="33">
        <v>21792.950799999999</v>
      </c>
      <c r="AE104" s="33">
        <v>88149.251600000003</v>
      </c>
      <c r="AF104" s="34">
        <v>25.835000000000001</v>
      </c>
      <c r="AH104" s="28">
        <f t="shared" si="41"/>
        <v>-3.0846034684591333E-2</v>
      </c>
      <c r="AJ104" s="5">
        <f t="shared" si="42"/>
        <v>234.86549220083907</v>
      </c>
      <c r="AK104" s="6">
        <f t="shared" si="43"/>
        <v>168.03221127657207</v>
      </c>
      <c r="AM104" s="1">
        <f t="shared" si="36"/>
        <v>43427</v>
      </c>
      <c r="AN104">
        <f t="shared" si="37"/>
        <v>1.3977408879911899</v>
      </c>
      <c r="AO104">
        <f t="shared" ca="1" si="23"/>
        <v>1.3035182199722326</v>
      </c>
      <c r="AP104">
        <f t="shared" ca="1" si="24"/>
        <v>1.3209040735451487</v>
      </c>
      <c r="AQ104">
        <f t="shared" ca="1" si="25"/>
        <v>1.3514183198764076</v>
      </c>
      <c r="AR104">
        <f t="shared" ca="1" si="26"/>
        <v>1.4045047070941687</v>
      </c>
      <c r="AS104">
        <f t="shared" ca="1" si="27"/>
        <v>1.4408393143937588</v>
      </c>
    </row>
    <row r="105" spans="2:45" x14ac:dyDescent="0.25">
      <c r="B105" s="22">
        <v>43434</v>
      </c>
      <c r="C105">
        <v>28.184000000000001</v>
      </c>
      <c r="D105">
        <v>48.15</v>
      </c>
      <c r="E105">
        <v>25.274999999999999</v>
      </c>
      <c r="F105">
        <v>34.984999999999999</v>
      </c>
      <c r="G105">
        <v>97.293000000000006</v>
      </c>
      <c r="H105">
        <v>25.606999999999999</v>
      </c>
      <c r="I105" s="6">
        <v>31482.58</v>
      </c>
      <c r="K105" s="23">
        <f t="shared" si="28"/>
        <v>2.0235294117647129E-2</v>
      </c>
      <c r="L105" s="24">
        <f t="shared" si="29"/>
        <v>4.4468546637743911E-2</v>
      </c>
      <c r="M105" s="24">
        <f t="shared" si="30"/>
        <v>5.1328979659747809E-2</v>
      </c>
      <c r="N105" s="24">
        <f t="shared" si="31"/>
        <v>3.6285545023696741E-2</v>
      </c>
      <c r="O105" s="24">
        <f t="shared" si="32"/>
        <v>4.05557159816472E-2</v>
      </c>
      <c r="P105" s="24">
        <f t="shared" si="33"/>
        <v>-8.8252370814786429E-3</v>
      </c>
      <c r="Q105" s="25">
        <f t="shared" si="34"/>
        <v>2.4707487563257802E-2</v>
      </c>
      <c r="S105" s="26">
        <f t="shared" si="38"/>
        <v>3.0674807389834025E-2</v>
      </c>
      <c r="U105" s="5">
        <f t="shared" si="39"/>
        <v>263.80616853762194</v>
      </c>
      <c r="V105" s="6">
        <f t="shared" si="40"/>
        <v>172.18386504691469</v>
      </c>
      <c r="X105" s="20">
        <f t="shared" si="35"/>
        <v>1.5321189849335943</v>
      </c>
      <c r="Z105" s="22">
        <v>43434</v>
      </c>
      <c r="AA105" s="33">
        <v>53444.9856</v>
      </c>
      <c r="AB105" s="33">
        <v>43645.813099999999</v>
      </c>
      <c r="AC105" s="33">
        <v>19587.880799999999</v>
      </c>
      <c r="AD105" s="33">
        <v>22583.824100000002</v>
      </c>
      <c r="AE105" s="33">
        <v>91724.4804</v>
      </c>
      <c r="AF105" s="34">
        <v>25.606999999999999</v>
      </c>
      <c r="AH105" s="28">
        <f t="shared" si="41"/>
        <v>3.6988891768881461E-2</v>
      </c>
      <c r="AJ105" s="5">
        <f t="shared" si="42"/>
        <v>243.55290647210097</v>
      </c>
      <c r="AK105" s="6">
        <f t="shared" si="43"/>
        <v>172.18386504691469</v>
      </c>
      <c r="AM105" s="1">
        <f t="shared" si="36"/>
        <v>43434</v>
      </c>
      <c r="AN105">
        <f t="shared" si="37"/>
        <v>1.4144932012400839</v>
      </c>
      <c r="AO105">
        <f t="shared" ca="1" si="23"/>
        <v>1.3046205722673896</v>
      </c>
      <c r="AP105">
        <f t="shared" ca="1" si="24"/>
        <v>1.3225137903519206</v>
      </c>
      <c r="AQ105">
        <f t="shared" ca="1" si="25"/>
        <v>1.3604563951957362</v>
      </c>
      <c r="AR105">
        <f t="shared" ca="1" si="26"/>
        <v>1.4045047070941687</v>
      </c>
      <c r="AS105">
        <f t="shared" ca="1" si="27"/>
        <v>1.4408393143937588</v>
      </c>
    </row>
    <row r="106" spans="2:45" x14ac:dyDescent="0.25">
      <c r="B106" s="22">
        <v>43441</v>
      </c>
      <c r="C106">
        <v>28.783000000000001</v>
      </c>
      <c r="D106">
        <v>49.5</v>
      </c>
      <c r="E106">
        <v>26.507999999999999</v>
      </c>
      <c r="F106">
        <v>37.911999999999999</v>
      </c>
      <c r="G106">
        <v>102.60299999999999</v>
      </c>
      <c r="H106">
        <v>26.337</v>
      </c>
      <c r="I106" s="6">
        <v>31550.400000000001</v>
      </c>
      <c r="K106" s="23">
        <f t="shared" si="28"/>
        <v>2.1253193301163709E-2</v>
      </c>
      <c r="L106" s="24">
        <f t="shared" si="29"/>
        <v>2.8037383177570208E-2</v>
      </c>
      <c r="M106" s="24">
        <f t="shared" si="30"/>
        <v>4.8783382789317598E-2</v>
      </c>
      <c r="N106" s="24">
        <f t="shared" si="31"/>
        <v>8.366442761183368E-2</v>
      </c>
      <c r="O106" s="24">
        <f t="shared" si="32"/>
        <v>5.4577410502297141E-2</v>
      </c>
      <c r="P106" s="24">
        <f t="shared" si="33"/>
        <v>2.8507829890264347E-2</v>
      </c>
      <c r="Q106" s="25">
        <f t="shared" si="34"/>
        <v>2.1542071837823418E-3</v>
      </c>
      <c r="S106" s="26">
        <f t="shared" si="38"/>
        <v>4.4137271212074447E-2</v>
      </c>
      <c r="U106" s="5">
        <f t="shared" si="39"/>
        <v>275.44985294578521</v>
      </c>
      <c r="V106" s="6">
        <f t="shared" si="40"/>
        <v>172.55478476593015</v>
      </c>
      <c r="X106" s="20">
        <f t="shared" si="35"/>
        <v>1.5963037670582811</v>
      </c>
      <c r="Z106" s="22">
        <v>43441</v>
      </c>
      <c r="AA106" s="33">
        <v>54580.5023</v>
      </c>
      <c r="AB106" s="33">
        <v>44869.527399999999</v>
      </c>
      <c r="AC106" s="33">
        <v>20543.929499999998</v>
      </c>
      <c r="AD106" s="33">
        <v>24473.132300000001</v>
      </c>
      <c r="AE106" s="33">
        <v>96729.800700000007</v>
      </c>
      <c r="AF106" s="34">
        <v>26.337</v>
      </c>
      <c r="AH106" s="28">
        <f t="shared" si="41"/>
        <v>4.4202921474213036E-2</v>
      </c>
      <c r="AJ106" s="5">
        <f t="shared" si="42"/>
        <v>254.3186564717036</v>
      </c>
      <c r="AK106" s="6">
        <f t="shared" si="43"/>
        <v>172.55478476593015</v>
      </c>
      <c r="AM106" s="1">
        <f t="shared" si="36"/>
        <v>43441</v>
      </c>
      <c r="AN106">
        <f t="shared" si="37"/>
        <v>1.4738429700265097</v>
      </c>
      <c r="AO106">
        <f t="shared" ca="1" si="23"/>
        <v>1.3103452830459545</v>
      </c>
      <c r="AP106">
        <f t="shared" ca="1" si="24"/>
        <v>1.324527150833035</v>
      </c>
      <c r="AQ106">
        <f t="shared" ca="1" si="25"/>
        <v>1.3695815022942088</v>
      </c>
      <c r="AR106">
        <f t="shared" ca="1" si="26"/>
        <v>1.4048634709092467</v>
      </c>
      <c r="AS106">
        <f t="shared" ca="1" si="27"/>
        <v>1.4408393143937588</v>
      </c>
    </row>
    <row r="107" spans="2:45" x14ac:dyDescent="0.25">
      <c r="B107" s="22">
        <v>43448</v>
      </c>
      <c r="C107">
        <v>27.504999999999999</v>
      </c>
      <c r="D107">
        <v>50.7</v>
      </c>
      <c r="E107">
        <v>27.053000000000001</v>
      </c>
      <c r="F107">
        <v>39.478000000000002</v>
      </c>
      <c r="G107">
        <v>99.483999999999995</v>
      </c>
      <c r="H107">
        <v>26.245999999999999</v>
      </c>
      <c r="I107" s="6">
        <v>31109.45</v>
      </c>
      <c r="K107" s="23">
        <f t="shared" si="28"/>
        <v>-4.4401209047006951E-2</v>
      </c>
      <c r="L107" s="24">
        <f t="shared" si="29"/>
        <v>2.4242424242424399E-2</v>
      </c>
      <c r="M107" s="24">
        <f t="shared" si="30"/>
        <v>2.0559830994416828E-2</v>
      </c>
      <c r="N107" s="24">
        <f t="shared" si="31"/>
        <v>4.1306182738974462E-2</v>
      </c>
      <c r="O107" s="24">
        <f t="shared" si="32"/>
        <v>-3.039872128495269E-2</v>
      </c>
      <c r="P107" s="24">
        <f t="shared" si="33"/>
        <v>-3.4552150966321582E-3</v>
      </c>
      <c r="Q107" s="25">
        <f t="shared" si="34"/>
        <v>-1.3976051016785895E-2</v>
      </c>
      <c r="S107" s="26">
        <f t="shared" si="38"/>
        <v>1.3088820912039816E-3</v>
      </c>
      <c r="U107" s="5">
        <f t="shared" si="39"/>
        <v>275.81038432533069</v>
      </c>
      <c r="V107" s="6">
        <f t="shared" si="40"/>
        <v>170.143150290851</v>
      </c>
      <c r="X107" s="20">
        <f t="shared" si="35"/>
        <v>1.6210490040524523</v>
      </c>
      <c r="Z107" s="22">
        <v>43448</v>
      </c>
      <c r="AA107" s="33">
        <v>52158.066700000003</v>
      </c>
      <c r="AB107" s="33">
        <v>45957.2736</v>
      </c>
      <c r="AC107" s="33">
        <v>20966.369600000002</v>
      </c>
      <c r="AD107" s="33">
        <v>25483.692500000001</v>
      </c>
      <c r="AE107" s="33">
        <v>93790.1682</v>
      </c>
      <c r="AF107" s="34">
        <v>26.245999999999999</v>
      </c>
      <c r="AH107" s="28">
        <f t="shared" si="41"/>
        <v>-1.1785664428429215E-2</v>
      </c>
      <c r="AJ107" s="5">
        <f t="shared" si="42"/>
        <v>251.32134212863915</v>
      </c>
      <c r="AK107" s="6">
        <f t="shared" si="43"/>
        <v>170.143150290851</v>
      </c>
      <c r="AM107" s="1">
        <f t="shared" si="36"/>
        <v>43448</v>
      </c>
      <c r="AN107">
        <f t="shared" si="37"/>
        <v>1.477117014108521</v>
      </c>
      <c r="AO107">
        <f t="shared" ca="1" si="23"/>
        <v>1.3106445089705776</v>
      </c>
      <c r="AP107">
        <f t="shared" ca="1" si="24"/>
        <v>1.3319017015673766</v>
      </c>
      <c r="AQ107">
        <f t="shared" ca="1" si="25"/>
        <v>1.3707110009048833</v>
      </c>
      <c r="AR107">
        <f t="shared" ca="1" si="26"/>
        <v>1.4075718723190911</v>
      </c>
      <c r="AS107">
        <f t="shared" ca="1" si="27"/>
        <v>1.4502588226406388</v>
      </c>
    </row>
    <row r="108" spans="2:45" x14ac:dyDescent="0.25">
      <c r="B108" s="22">
        <v>43455</v>
      </c>
      <c r="C108">
        <v>26.108000000000001</v>
      </c>
      <c r="D108">
        <v>47.3</v>
      </c>
      <c r="E108">
        <v>26.529</v>
      </c>
      <c r="F108">
        <v>37.81</v>
      </c>
      <c r="G108">
        <v>89.034999999999997</v>
      </c>
      <c r="H108">
        <v>22.457000000000001</v>
      </c>
      <c r="I108" s="6">
        <v>28456.92</v>
      </c>
      <c r="K108" s="23">
        <f t="shared" si="28"/>
        <v>-5.0790765315397168E-2</v>
      </c>
      <c r="L108" s="24">
        <f t="shared" si="29"/>
        <v>-6.7061143984221028E-2</v>
      </c>
      <c r="M108" s="24">
        <f t="shared" si="30"/>
        <v>-1.9369386020034796E-2</v>
      </c>
      <c r="N108" s="24">
        <f t="shared" si="31"/>
        <v>-4.2251380515730297E-2</v>
      </c>
      <c r="O108" s="24">
        <f t="shared" si="32"/>
        <v>-0.10503196493908562</v>
      </c>
      <c r="P108" s="24">
        <f t="shared" si="33"/>
        <v>-0.14436485559704326</v>
      </c>
      <c r="Q108" s="25">
        <f t="shared" si="34"/>
        <v>-8.5264445369493957E-2</v>
      </c>
      <c r="S108" s="26">
        <f t="shared" si="38"/>
        <v>-7.1478249395252033E-2</v>
      </c>
      <c r="U108" s="5">
        <f t="shared" si="39"/>
        <v>256.09594088872439</v>
      </c>
      <c r="V108" s="6">
        <f t="shared" si="40"/>
        <v>155.63598894788313</v>
      </c>
      <c r="X108" s="20">
        <f t="shared" si="35"/>
        <v>1.6454802171397624</v>
      </c>
      <c r="Z108" s="22">
        <v>43455</v>
      </c>
      <c r="AA108" s="33">
        <v>49508.527800000003</v>
      </c>
      <c r="AB108" s="33">
        <v>42875.326200000003</v>
      </c>
      <c r="AC108" s="33">
        <v>19120.973300000001</v>
      </c>
      <c r="AD108" s="33">
        <v>24407.226200000001</v>
      </c>
      <c r="AE108" s="33">
        <v>83938.426600000006</v>
      </c>
      <c r="AF108" s="34">
        <v>22.457000000000001</v>
      </c>
      <c r="AH108" s="28">
        <f t="shared" si="41"/>
        <v>-7.1602260875103158E-2</v>
      </c>
      <c r="AJ108" s="5">
        <f t="shared" si="42"/>
        <v>233.32616582606329</v>
      </c>
      <c r="AK108" s="6">
        <f t="shared" si="43"/>
        <v>155.63598894788313</v>
      </c>
      <c r="AM108" s="1">
        <f t="shared" si="36"/>
        <v>43455</v>
      </c>
      <c r="AN108">
        <f t="shared" si="37"/>
        <v>1.4991787401061576</v>
      </c>
      <c r="AO108">
        <f t="shared" ca="1" si="23"/>
        <v>1.3106445089705776</v>
      </c>
      <c r="AP108">
        <f t="shared" ca="1" si="24"/>
        <v>1.335658348836704</v>
      </c>
      <c r="AQ108">
        <f t="shared" ca="1" si="25"/>
        <v>1.3724125260197582</v>
      </c>
      <c r="AR108">
        <f t="shared" ca="1" si="26"/>
        <v>1.4130972661391628</v>
      </c>
      <c r="AS108">
        <f t="shared" ca="1" si="27"/>
        <v>1.4640618074476985</v>
      </c>
    </row>
    <row r="109" spans="2:45" x14ac:dyDescent="0.25">
      <c r="B109" s="22">
        <v>43462</v>
      </c>
      <c r="C109">
        <v>26.587</v>
      </c>
      <c r="D109">
        <v>50.95</v>
      </c>
      <c r="E109">
        <v>27.794</v>
      </c>
      <c r="F109">
        <v>38.491</v>
      </c>
      <c r="G109">
        <v>92.406000000000006</v>
      </c>
      <c r="H109">
        <v>24.192</v>
      </c>
      <c r="I109" s="6">
        <v>30292.55</v>
      </c>
      <c r="K109" s="23">
        <f t="shared" si="28"/>
        <v>1.834686686073228E-2</v>
      </c>
      <c r="L109" s="24">
        <f t="shared" si="29"/>
        <v>7.716701902748424E-2</v>
      </c>
      <c r="M109" s="24">
        <f t="shared" si="30"/>
        <v>4.7683666930528945E-2</v>
      </c>
      <c r="N109" s="24">
        <f t="shared" si="31"/>
        <v>1.8011108172441004E-2</v>
      </c>
      <c r="O109" s="24">
        <f t="shared" si="32"/>
        <v>3.786151513449787E-2</v>
      </c>
      <c r="P109" s="24">
        <f t="shared" si="33"/>
        <v>7.7258761188048197E-2</v>
      </c>
      <c r="Q109" s="25">
        <f t="shared" si="34"/>
        <v>6.4505575445269692E-2</v>
      </c>
      <c r="S109" s="26">
        <f t="shared" si="38"/>
        <v>4.6054822885622092E-2</v>
      </c>
      <c r="U109" s="5">
        <f t="shared" si="39"/>
        <v>267.89039408808134</v>
      </c>
      <c r="V109" s="6">
        <f t="shared" si="40"/>
        <v>165.67537797495996</v>
      </c>
      <c r="X109" s="20">
        <f t="shared" si="35"/>
        <v>1.616959607169691</v>
      </c>
      <c r="Z109" s="22">
        <v>43462</v>
      </c>
      <c r="AA109" s="33">
        <v>50416.941099999996</v>
      </c>
      <c r="AB109" s="33">
        <v>46183.887300000002</v>
      </c>
      <c r="AC109" s="33">
        <v>20032.554599999999</v>
      </c>
      <c r="AD109" s="33">
        <v>24846.600200000001</v>
      </c>
      <c r="AE109" s="33">
        <v>87116.407800000001</v>
      </c>
      <c r="AF109" s="34">
        <v>24.192</v>
      </c>
      <c r="AH109" s="28">
        <f t="shared" si="41"/>
        <v>3.9786696437805802E-2</v>
      </c>
      <c r="AJ109" s="5">
        <f t="shared" si="42"/>
        <v>242.60944315678199</v>
      </c>
      <c r="AK109" s="6">
        <f t="shared" si="43"/>
        <v>165.67537797495996</v>
      </c>
      <c r="AM109" s="1">
        <f t="shared" si="36"/>
        <v>43462</v>
      </c>
      <c r="AN109">
        <f t="shared" si="37"/>
        <v>1.4643663175674169</v>
      </c>
      <c r="AO109">
        <f t="shared" ca="1" si="23"/>
        <v>1.3106445089705776</v>
      </c>
      <c r="AP109">
        <f t="shared" ca="1" si="24"/>
        <v>1.335658348836704</v>
      </c>
      <c r="AQ109">
        <f t="shared" ca="1" si="25"/>
        <v>1.3759840057877519</v>
      </c>
      <c r="AR109">
        <f t="shared" ca="1" si="26"/>
        <v>1.4157291002019532</v>
      </c>
      <c r="AS109">
        <f t="shared" ca="1" si="27"/>
        <v>1.4730068327530921</v>
      </c>
    </row>
    <row r="110" spans="2:45" x14ac:dyDescent="0.25">
      <c r="B110" s="22">
        <v>43469</v>
      </c>
      <c r="C110">
        <v>27.785</v>
      </c>
      <c r="D110">
        <v>50.55</v>
      </c>
      <c r="E110">
        <v>29.984000000000002</v>
      </c>
      <c r="F110">
        <v>39.58</v>
      </c>
      <c r="G110">
        <v>98.177999999999997</v>
      </c>
      <c r="H110">
        <v>24.831</v>
      </c>
      <c r="I110" s="6">
        <v>32303.05</v>
      </c>
      <c r="K110" s="23">
        <f t="shared" si="28"/>
        <v>4.505961560160987E-2</v>
      </c>
      <c r="L110" s="24">
        <f t="shared" si="29"/>
        <v>-7.8508341511286384E-3</v>
      </c>
      <c r="M110" s="24">
        <f t="shared" si="30"/>
        <v>7.8793984313161092E-2</v>
      </c>
      <c r="N110" s="24">
        <f t="shared" si="31"/>
        <v>2.829232807669313E-2</v>
      </c>
      <c r="O110" s="24">
        <f t="shared" si="32"/>
        <v>6.2463476397636386E-2</v>
      </c>
      <c r="P110" s="24">
        <f t="shared" si="33"/>
        <v>2.6413690476190466E-2</v>
      </c>
      <c r="Q110" s="25">
        <f t="shared" si="34"/>
        <v>6.6369453875622986E-2</v>
      </c>
      <c r="S110" s="26">
        <f t="shared" si="38"/>
        <v>3.8862043452360384E-2</v>
      </c>
      <c r="U110" s="5">
        <f t="shared" si="39"/>
        <v>278.30116222360226</v>
      </c>
      <c r="V110" s="6">
        <f t="shared" si="40"/>
        <v>176.67116233179547</v>
      </c>
      <c r="X110" s="20">
        <f t="shared" si="35"/>
        <v>1.5752495118639771</v>
      </c>
      <c r="Z110" s="22">
        <v>43469</v>
      </c>
      <c r="AA110" s="33">
        <v>52687.974499999997</v>
      </c>
      <c r="AB110" s="33">
        <v>45821.3053</v>
      </c>
      <c r="AC110" s="33">
        <v>21611.1466</v>
      </c>
      <c r="AD110" s="33">
        <v>25549.598600000001</v>
      </c>
      <c r="AE110" s="33">
        <v>92558.700500000006</v>
      </c>
      <c r="AF110" s="34">
        <v>24.831</v>
      </c>
      <c r="AH110" s="28">
        <f t="shared" si="41"/>
        <v>4.2134577121361927E-2</v>
      </c>
      <c r="AJ110" s="5">
        <f t="shared" si="42"/>
        <v>252.83168944984209</v>
      </c>
      <c r="AK110" s="6">
        <f t="shared" si="43"/>
        <v>176.67116233179547</v>
      </c>
      <c r="AM110" s="1">
        <f t="shared" si="36"/>
        <v>43469</v>
      </c>
      <c r="AN110">
        <f t="shared" si="37"/>
        <v>1.4310863533858125</v>
      </c>
      <c r="AO110">
        <f t="shared" ca="1" si="23"/>
        <v>1.3106445089705776</v>
      </c>
      <c r="AP110">
        <f t="shared" ca="1" si="24"/>
        <v>1.3403949413324099</v>
      </c>
      <c r="AQ110">
        <f t="shared" ca="1" si="25"/>
        <v>1.3792657373107178</v>
      </c>
      <c r="AR110">
        <f t="shared" ca="1" si="26"/>
        <v>1.420663488951845</v>
      </c>
      <c r="AS110">
        <f t="shared" ca="1" si="27"/>
        <v>1.4730068327530921</v>
      </c>
    </row>
    <row r="111" spans="2:45" x14ac:dyDescent="0.25">
      <c r="B111" s="22">
        <v>43476</v>
      </c>
      <c r="C111">
        <v>29.661000000000001</v>
      </c>
      <c r="D111">
        <v>51.4</v>
      </c>
      <c r="E111">
        <v>32.637</v>
      </c>
      <c r="F111">
        <v>43.289000000000001</v>
      </c>
      <c r="G111">
        <v>99.736999999999995</v>
      </c>
      <c r="H111">
        <v>24.055</v>
      </c>
      <c r="I111" s="6">
        <v>33884.6</v>
      </c>
      <c r="K111" s="23">
        <f t="shared" si="28"/>
        <v>6.7518445204246991E-2</v>
      </c>
      <c r="L111" s="24">
        <f t="shared" si="29"/>
        <v>1.6815034619188873E-2</v>
      </c>
      <c r="M111" s="24">
        <f t="shared" si="30"/>
        <v>8.8480522945570961E-2</v>
      </c>
      <c r="N111" s="24">
        <f t="shared" si="31"/>
        <v>9.3708943911066322E-2</v>
      </c>
      <c r="O111" s="24">
        <f t="shared" si="32"/>
        <v>1.5879321232862731E-2</v>
      </c>
      <c r="P111" s="24">
        <f t="shared" si="33"/>
        <v>-3.125125850751076E-2</v>
      </c>
      <c r="Q111" s="25">
        <f t="shared" si="34"/>
        <v>4.8959773148355978E-2</v>
      </c>
      <c r="S111" s="26">
        <f t="shared" si="38"/>
        <v>4.1858501567570851E-2</v>
      </c>
      <c r="U111" s="5">
        <f t="shared" si="39"/>
        <v>289.9504318587957</v>
      </c>
      <c r="V111" s="6">
        <f t="shared" si="40"/>
        <v>185.32094236141654</v>
      </c>
      <c r="X111" s="20">
        <f t="shared" si="35"/>
        <v>1.564585352114866</v>
      </c>
      <c r="Z111" s="22">
        <v>43476</v>
      </c>
      <c r="AA111" s="33">
        <v>56245.926800000001</v>
      </c>
      <c r="AB111" s="33">
        <v>46591.792099999999</v>
      </c>
      <c r="AC111" s="33">
        <v>23523.243900000001</v>
      </c>
      <c r="AD111" s="33">
        <v>27944.187000000002</v>
      </c>
      <c r="AE111" s="33">
        <v>94028.516699999993</v>
      </c>
      <c r="AF111" s="34">
        <v>24.055</v>
      </c>
      <c r="AH111" s="28">
        <f t="shared" si="41"/>
        <v>4.2405586281486739E-2</v>
      </c>
      <c r="AJ111" s="5">
        <f t="shared" si="42"/>
        <v>263.55316547150142</v>
      </c>
      <c r="AK111" s="6">
        <f t="shared" si="43"/>
        <v>185.32094236141654</v>
      </c>
      <c r="AM111" s="1">
        <f t="shared" si="36"/>
        <v>43476</v>
      </c>
      <c r="AN111">
        <f t="shared" si="37"/>
        <v>1.4221445353839981</v>
      </c>
      <c r="AO111">
        <f t="shared" ca="1" si="23"/>
        <v>1.3106445089705776</v>
      </c>
      <c r="AP111">
        <f t="shared" ca="1" si="24"/>
        <v>1.3403949413324099</v>
      </c>
      <c r="AQ111">
        <f t="shared" ca="1" si="25"/>
        <v>1.3808170910887874</v>
      </c>
      <c r="AR111">
        <f t="shared" ca="1" si="26"/>
        <v>1.4260008624645675</v>
      </c>
      <c r="AS111">
        <f t="shared" ca="1" si="27"/>
        <v>1.4730068327530921</v>
      </c>
    </row>
    <row r="112" spans="2:45" x14ac:dyDescent="0.25">
      <c r="B112" s="22">
        <v>43483</v>
      </c>
      <c r="C112">
        <v>30.699000000000002</v>
      </c>
      <c r="D112">
        <v>51.7</v>
      </c>
      <c r="E112">
        <v>34.610999999999997</v>
      </c>
      <c r="F112">
        <v>44.378</v>
      </c>
      <c r="G112">
        <v>105.173</v>
      </c>
      <c r="H112">
        <v>28.026</v>
      </c>
      <c r="I112" s="6">
        <v>35100.449999999997</v>
      </c>
      <c r="K112" s="23">
        <f t="shared" si="28"/>
        <v>3.4995448568827747E-2</v>
      </c>
      <c r="L112" s="24">
        <f t="shared" si="29"/>
        <v>5.8365758754863606E-3</v>
      </c>
      <c r="M112" s="24">
        <f t="shared" si="30"/>
        <v>6.0483500321720562E-2</v>
      </c>
      <c r="N112" s="24">
        <f t="shared" si="31"/>
        <v>2.5156506271801105E-2</v>
      </c>
      <c r="O112" s="24">
        <f t="shared" si="32"/>
        <v>5.4503343794178871E-2</v>
      </c>
      <c r="P112" s="24">
        <f t="shared" si="33"/>
        <v>0.16508002494283924</v>
      </c>
      <c r="Q112" s="25">
        <f t="shared" si="34"/>
        <v>3.5882082125803461E-2</v>
      </c>
      <c r="S112" s="26">
        <f t="shared" si="38"/>
        <v>5.767589996247565E-2</v>
      </c>
      <c r="U112" s="5">
        <f t="shared" si="39"/>
        <v>306.6735839607602</v>
      </c>
      <c r="V112" s="6">
        <f t="shared" si="40"/>
        <v>191.97064363486018</v>
      </c>
      <c r="X112" s="20">
        <f t="shared" si="35"/>
        <v>1.5975025043103568</v>
      </c>
      <c r="Z112" s="22">
        <v>43483</v>
      </c>
      <c r="AA112" s="33">
        <v>58214.155700000003</v>
      </c>
      <c r="AB112" s="33">
        <v>46863.7287</v>
      </c>
      <c r="AC112" s="33">
        <v>24946.200099999998</v>
      </c>
      <c r="AD112" s="33">
        <v>28647.185399999998</v>
      </c>
      <c r="AE112" s="33">
        <v>99153.011299999998</v>
      </c>
      <c r="AF112" s="34">
        <v>28.026</v>
      </c>
      <c r="AH112" s="28">
        <f t="shared" si="41"/>
        <v>3.8230636553726882E-2</v>
      </c>
      <c r="AJ112" s="5">
        <f t="shared" si="42"/>
        <v>273.62897075322661</v>
      </c>
      <c r="AK112" s="6">
        <f t="shared" si="43"/>
        <v>191.97064363486018</v>
      </c>
      <c r="AM112" s="1">
        <f t="shared" si="36"/>
        <v>43483</v>
      </c>
      <c r="AN112">
        <f t="shared" si="37"/>
        <v>1.425368825004752</v>
      </c>
      <c r="AO112">
        <f t="shared" ca="1" si="23"/>
        <v>1.3106445089705776</v>
      </c>
      <c r="AP112">
        <f t="shared" ca="1" si="24"/>
        <v>1.3403949413324099</v>
      </c>
      <c r="AQ112">
        <f t="shared" ca="1" si="25"/>
        <v>1.3832208037836238</v>
      </c>
      <c r="AR112">
        <f t="shared" ca="1" si="26"/>
        <v>1.4260008624645675</v>
      </c>
      <c r="AS112">
        <f t="shared" ca="1" si="27"/>
        <v>1.4730068327530921</v>
      </c>
    </row>
    <row r="113" spans="2:45" x14ac:dyDescent="0.25">
      <c r="B113" s="22">
        <v>43490</v>
      </c>
      <c r="C113">
        <v>29.940999999999999</v>
      </c>
      <c r="D113">
        <v>50.8</v>
      </c>
      <c r="E113">
        <v>34.981000000000002</v>
      </c>
      <c r="F113">
        <v>43.356999999999999</v>
      </c>
      <c r="G113">
        <v>102.09699999999999</v>
      </c>
      <c r="H113">
        <v>26.93</v>
      </c>
      <c r="I113" s="6">
        <v>34810.519999999997</v>
      </c>
      <c r="K113" s="23">
        <f t="shared" si="28"/>
        <v>-2.4691358024691468E-2</v>
      </c>
      <c r="L113" s="24">
        <f t="shared" si="29"/>
        <v>-1.740812379110257E-2</v>
      </c>
      <c r="M113" s="24">
        <f t="shared" si="30"/>
        <v>1.0690242986334031E-2</v>
      </c>
      <c r="N113" s="24">
        <f t="shared" si="31"/>
        <v>-2.3006895308486208E-2</v>
      </c>
      <c r="O113" s="24">
        <f t="shared" si="32"/>
        <v>-2.9247050098409333E-2</v>
      </c>
      <c r="P113" s="24">
        <f t="shared" si="33"/>
        <v>-3.9106543923499659E-2</v>
      </c>
      <c r="Q113" s="25">
        <f t="shared" si="34"/>
        <v>-8.260008062574653E-3</v>
      </c>
      <c r="S113" s="26">
        <f t="shared" si="38"/>
        <v>-2.0461621359975868E-2</v>
      </c>
      <c r="U113" s="5">
        <f t="shared" si="39"/>
        <v>300.39854520464837</v>
      </c>
      <c r="V113" s="6">
        <f t="shared" si="40"/>
        <v>190.38496457065858</v>
      </c>
      <c r="X113" s="20">
        <f t="shared" si="35"/>
        <v>1.5778480505647277</v>
      </c>
      <c r="Z113" s="22">
        <v>43490</v>
      </c>
      <c r="AA113" s="33">
        <v>56775.834600000002</v>
      </c>
      <c r="AB113" s="33">
        <v>46047.919099999999</v>
      </c>
      <c r="AC113" s="33">
        <v>25213.004300000001</v>
      </c>
      <c r="AD113" s="33">
        <v>27988.124400000001</v>
      </c>
      <c r="AE113" s="33">
        <v>96253.103499999997</v>
      </c>
      <c r="AF113" s="34">
        <v>26.93</v>
      </c>
      <c r="AH113" s="28">
        <f t="shared" si="41"/>
        <v>-2.1510868585476864E-2</v>
      </c>
      <c r="AJ113" s="5">
        <f t="shared" si="42"/>
        <v>267.74297392217466</v>
      </c>
      <c r="AK113" s="6">
        <f t="shared" si="43"/>
        <v>190.38496457065858</v>
      </c>
      <c r="AM113" s="1">
        <f t="shared" si="36"/>
        <v>43490</v>
      </c>
      <c r="AN113">
        <f t="shared" si="37"/>
        <v>1.4063241523613372</v>
      </c>
      <c r="AO113">
        <f t="shared" ca="1" si="23"/>
        <v>1.3106445089705776</v>
      </c>
      <c r="AP113">
        <f t="shared" ca="1" si="24"/>
        <v>1.3403949413324099</v>
      </c>
      <c r="AQ113">
        <f t="shared" ca="1" si="25"/>
        <v>1.388274252082121</v>
      </c>
      <c r="AR113">
        <f t="shared" ca="1" si="26"/>
        <v>1.4267698078096098</v>
      </c>
      <c r="AS113">
        <f t="shared" ca="1" si="27"/>
        <v>1.4730068327530921</v>
      </c>
    </row>
    <row r="114" spans="2:45" x14ac:dyDescent="0.25">
      <c r="B114" s="22">
        <v>43497</v>
      </c>
      <c r="C114">
        <v>31.777000000000001</v>
      </c>
      <c r="D114">
        <v>54.9</v>
      </c>
      <c r="E114">
        <v>36.338999999999999</v>
      </c>
      <c r="F114">
        <v>47.305</v>
      </c>
      <c r="G114">
        <v>104.878</v>
      </c>
      <c r="H114">
        <v>27.387</v>
      </c>
      <c r="I114" s="6">
        <v>36599.879999999997</v>
      </c>
      <c r="K114" s="23">
        <f t="shared" si="28"/>
        <v>6.1320597174443048E-2</v>
      </c>
      <c r="L114" s="24">
        <f t="shared" si="29"/>
        <v>8.0708661417322913E-2</v>
      </c>
      <c r="M114" s="24">
        <f t="shared" si="30"/>
        <v>3.8821074297475722E-2</v>
      </c>
      <c r="N114" s="24">
        <f t="shared" si="31"/>
        <v>9.105796065225924E-2</v>
      </c>
      <c r="O114" s="24">
        <f t="shared" si="32"/>
        <v>2.7238802315445065E-2</v>
      </c>
      <c r="P114" s="24">
        <f t="shared" si="33"/>
        <v>1.6969922020052097E-2</v>
      </c>
      <c r="Q114" s="25">
        <f t="shared" si="34"/>
        <v>5.1402851781587877E-2</v>
      </c>
      <c r="S114" s="26">
        <f t="shared" si="38"/>
        <v>5.2686169646166348E-2</v>
      </c>
      <c r="U114" s="5">
        <f t="shared" si="39"/>
        <v>316.22539391876205</v>
      </c>
      <c r="V114" s="6">
        <f t="shared" si="40"/>
        <v>200.17129468592699</v>
      </c>
      <c r="X114" s="20">
        <f t="shared" si="35"/>
        <v>1.579773935193487</v>
      </c>
      <c r="Z114" s="22">
        <v>43497</v>
      </c>
      <c r="AA114" s="33">
        <v>60258.085800000001</v>
      </c>
      <c r="AB114" s="33">
        <v>49764.385000000002</v>
      </c>
      <c r="AC114" s="33">
        <v>26191.286700000001</v>
      </c>
      <c r="AD114" s="33">
        <v>30536.493600000002</v>
      </c>
      <c r="AE114" s="33">
        <v>98874.937999999995</v>
      </c>
      <c r="AF114" s="34">
        <v>27.387</v>
      </c>
      <c r="AH114" s="28">
        <f t="shared" si="41"/>
        <v>5.2902685818761598E-2</v>
      </c>
      <c r="AJ114" s="5">
        <f t="shared" si="42"/>
        <v>281.90729635176035</v>
      </c>
      <c r="AK114" s="6">
        <f t="shared" si="43"/>
        <v>200.17129468592699</v>
      </c>
      <c r="AM114" s="1">
        <f t="shared" si="36"/>
        <v>43497</v>
      </c>
      <c r="AN114">
        <f t="shared" si="37"/>
        <v>1.4083302842901571</v>
      </c>
      <c r="AO114">
        <f t="shared" ca="1" si="23"/>
        <v>1.3106445089705776</v>
      </c>
      <c r="AP114">
        <f t="shared" ca="1" si="24"/>
        <v>1.3403949413324099</v>
      </c>
      <c r="AQ114">
        <f t="shared" ca="1" si="25"/>
        <v>1.388274252082121</v>
      </c>
      <c r="AR114">
        <f t="shared" ca="1" si="26"/>
        <v>1.4267698078096098</v>
      </c>
      <c r="AS114">
        <f t="shared" ca="1" si="27"/>
        <v>1.4730068327530921</v>
      </c>
    </row>
    <row r="115" spans="2:45" x14ac:dyDescent="0.25">
      <c r="B115" s="22">
        <v>43504</v>
      </c>
      <c r="C115">
        <v>32.295999999999999</v>
      </c>
      <c r="D115">
        <v>55.95</v>
      </c>
      <c r="E115">
        <v>36.709000000000003</v>
      </c>
      <c r="F115">
        <v>46.42</v>
      </c>
      <c r="G115">
        <v>100.496</v>
      </c>
      <c r="H115">
        <v>26.565000000000001</v>
      </c>
      <c r="I115" s="6">
        <v>36664.239999999998</v>
      </c>
      <c r="K115" s="23">
        <f t="shared" si="28"/>
        <v>1.6332567580325419E-2</v>
      </c>
      <c r="L115" s="24">
        <f t="shared" si="29"/>
        <v>1.9125683060109422E-2</v>
      </c>
      <c r="M115" s="24">
        <f t="shared" si="30"/>
        <v>1.0181898236055087E-2</v>
      </c>
      <c r="N115" s="24">
        <f t="shared" si="31"/>
        <v>-1.8708381777824745E-2</v>
      </c>
      <c r="O115" s="24">
        <f t="shared" si="32"/>
        <v>-4.1781879898548868E-2</v>
      </c>
      <c r="P115" s="24">
        <f t="shared" si="33"/>
        <v>-3.0014240333004705E-2</v>
      </c>
      <c r="Q115" s="25">
        <f t="shared" si="34"/>
        <v>1.7584757108493054E-3</v>
      </c>
      <c r="S115" s="26">
        <f t="shared" si="38"/>
        <v>-7.4773921888147315E-3</v>
      </c>
      <c r="U115" s="5">
        <f t="shared" si="39"/>
        <v>313.86085262836906</v>
      </c>
      <c r="V115" s="6">
        <f t="shared" si="40"/>
        <v>200.52329104564146</v>
      </c>
      <c r="X115" s="20">
        <f t="shared" si="35"/>
        <v>1.5652089639648425</v>
      </c>
      <c r="Z115" s="22">
        <v>43504</v>
      </c>
      <c r="AA115" s="33">
        <v>61242.200299999997</v>
      </c>
      <c r="AB115" s="33">
        <v>50716.162799999998</v>
      </c>
      <c r="AC115" s="33">
        <v>26458.091</v>
      </c>
      <c r="AD115" s="33">
        <v>29965.307400000002</v>
      </c>
      <c r="AE115" s="33">
        <v>94743.5625</v>
      </c>
      <c r="AF115" s="34">
        <v>26.565000000000001</v>
      </c>
      <c r="AH115" s="28">
        <f t="shared" si="41"/>
        <v>-9.4132986474201718E-3</v>
      </c>
      <c r="AJ115" s="5">
        <f t="shared" si="42"/>
        <v>279.25361878031447</v>
      </c>
      <c r="AK115" s="6">
        <f t="shared" si="43"/>
        <v>200.52329104564146</v>
      </c>
      <c r="AM115" s="1">
        <f t="shared" si="36"/>
        <v>43504</v>
      </c>
      <c r="AN115">
        <f t="shared" si="37"/>
        <v>1.3926243546279771</v>
      </c>
      <c r="AO115">
        <f t="shared" ca="1" si="23"/>
        <v>1.3106445089705776</v>
      </c>
      <c r="AP115">
        <f t="shared" ca="1" si="24"/>
        <v>1.3433053964592512</v>
      </c>
      <c r="AQ115">
        <f t="shared" ca="1" si="25"/>
        <v>1.3915979211389757</v>
      </c>
      <c r="AR115">
        <f t="shared" ca="1" si="26"/>
        <v>1.4267698078096098</v>
      </c>
      <c r="AS115">
        <f t="shared" ca="1" si="27"/>
        <v>1.4730068327530921</v>
      </c>
    </row>
    <row r="116" spans="2:45" x14ac:dyDescent="0.25">
      <c r="B116" s="22">
        <v>43511</v>
      </c>
      <c r="C116">
        <v>33.253999999999998</v>
      </c>
      <c r="D116">
        <v>55</v>
      </c>
      <c r="E116">
        <v>36.091999999999999</v>
      </c>
      <c r="F116">
        <v>47.237000000000002</v>
      </c>
      <c r="G116">
        <v>103.066</v>
      </c>
      <c r="H116">
        <v>26.885000000000002</v>
      </c>
      <c r="I116" s="6">
        <v>37469.97</v>
      </c>
      <c r="K116" s="23">
        <f t="shared" si="28"/>
        <v>2.9663116175377757E-2</v>
      </c>
      <c r="L116" s="24">
        <f t="shared" si="29"/>
        <v>-1.6979445933869575E-2</v>
      </c>
      <c r="M116" s="24">
        <f t="shared" si="30"/>
        <v>-1.6807867280503541E-2</v>
      </c>
      <c r="N116" s="24">
        <f t="shared" si="31"/>
        <v>1.7600172339508946E-2</v>
      </c>
      <c r="O116" s="24">
        <f t="shared" si="32"/>
        <v>2.5573157140582836E-2</v>
      </c>
      <c r="P116" s="24">
        <f t="shared" si="33"/>
        <v>1.2045925089403386E-2</v>
      </c>
      <c r="Q116" s="25">
        <f t="shared" si="34"/>
        <v>2.197590895106516E-2</v>
      </c>
      <c r="S116" s="26">
        <f t="shared" si="38"/>
        <v>8.5158429217499689E-3</v>
      </c>
      <c r="U116" s="5">
        <f t="shared" si="39"/>
        <v>316.53364234863875</v>
      </c>
      <c r="V116" s="6">
        <f t="shared" si="40"/>
        <v>204.92997263222841</v>
      </c>
      <c r="X116" s="20">
        <f t="shared" si="35"/>
        <v>1.5445941766492919</v>
      </c>
      <c r="Z116" s="22">
        <v>43511</v>
      </c>
      <c r="AA116" s="33">
        <v>63059.027000000002</v>
      </c>
      <c r="AB116" s="33">
        <v>49855.030500000001</v>
      </c>
      <c r="AC116" s="33">
        <v>26013.4172</v>
      </c>
      <c r="AD116" s="33">
        <v>30492.556199999999</v>
      </c>
      <c r="AE116" s="33">
        <v>97166.773100000006</v>
      </c>
      <c r="AF116" s="34">
        <v>26.885000000000002</v>
      </c>
      <c r="AH116" s="28">
        <f t="shared" si="41"/>
        <v>1.3153637906785979E-2</v>
      </c>
      <c r="AJ116" s="5">
        <f t="shared" si="42"/>
        <v>282.92681976591041</v>
      </c>
      <c r="AK116" s="6">
        <f t="shared" si="43"/>
        <v>204.92997263222841</v>
      </c>
      <c r="AM116" s="1">
        <f t="shared" si="36"/>
        <v>43511</v>
      </c>
      <c r="AN116">
        <f t="shared" si="37"/>
        <v>1.3806024376612629</v>
      </c>
      <c r="AO116">
        <f t="shared" ca="1" si="23"/>
        <v>1.3106445089705776</v>
      </c>
      <c r="AP116">
        <f t="shared" ca="1" si="24"/>
        <v>1.3433053964592512</v>
      </c>
      <c r="AQ116">
        <f t="shared" ca="1" si="25"/>
        <v>1.3921878535051606</v>
      </c>
      <c r="AR116">
        <f t="shared" ca="1" si="26"/>
        <v>1.4267698078096098</v>
      </c>
      <c r="AS116">
        <f t="shared" ca="1" si="27"/>
        <v>1.4730068327530921</v>
      </c>
    </row>
    <row r="117" spans="2:45" x14ac:dyDescent="0.25">
      <c r="B117" s="22">
        <v>43518</v>
      </c>
      <c r="C117">
        <v>33.134</v>
      </c>
      <c r="D117">
        <v>52.9</v>
      </c>
      <c r="E117">
        <v>34.363999999999997</v>
      </c>
      <c r="F117">
        <v>48.665999999999997</v>
      </c>
      <c r="G117">
        <v>100.622</v>
      </c>
      <c r="H117">
        <v>25.925999999999998</v>
      </c>
      <c r="I117" s="6">
        <v>36646.79</v>
      </c>
      <c r="K117" s="23">
        <f t="shared" si="28"/>
        <v>-3.6085884404882806E-3</v>
      </c>
      <c r="L117" s="24">
        <f t="shared" si="29"/>
        <v>-3.8181818181818206E-2</v>
      </c>
      <c r="M117" s="24">
        <f t="shared" si="30"/>
        <v>-4.7877646015737629E-2</v>
      </c>
      <c r="N117" s="24">
        <f t="shared" si="31"/>
        <v>3.0251709465037857E-2</v>
      </c>
      <c r="O117" s="24">
        <f t="shared" si="32"/>
        <v>-2.3712960627170987E-2</v>
      </c>
      <c r="P117" s="24">
        <f t="shared" si="33"/>
        <v>-3.5670448205319061E-2</v>
      </c>
      <c r="Q117" s="25">
        <f t="shared" si="34"/>
        <v>-2.1969059489505893E-2</v>
      </c>
      <c r="S117" s="26">
        <f t="shared" si="38"/>
        <v>-1.9799958667582718E-2</v>
      </c>
      <c r="U117" s="5">
        <f t="shared" si="39"/>
        <v>310.26628931323626</v>
      </c>
      <c r="V117" s="6">
        <f t="shared" si="40"/>
        <v>200.42785387228818</v>
      </c>
      <c r="X117" s="20">
        <f t="shared" si="35"/>
        <v>1.548019815204611</v>
      </c>
      <c r="Z117" s="22">
        <v>43518</v>
      </c>
      <c r="AA117" s="33">
        <v>62831.923600000002</v>
      </c>
      <c r="AB117" s="33">
        <v>47951.474800000004</v>
      </c>
      <c r="AC117" s="33">
        <v>24768.3305</v>
      </c>
      <c r="AD117" s="33">
        <v>31415.241600000001</v>
      </c>
      <c r="AE117" s="33">
        <v>94862.736799999999</v>
      </c>
      <c r="AF117" s="34">
        <v>25.925999999999998</v>
      </c>
      <c r="AH117" s="28">
        <f t="shared" si="41"/>
        <v>-1.7850508343713579E-2</v>
      </c>
      <c r="AJ117" s="5">
        <f t="shared" si="42"/>
        <v>277.87643220901867</v>
      </c>
      <c r="AK117" s="6">
        <f t="shared" si="43"/>
        <v>200.42785387228818</v>
      </c>
      <c r="AM117" s="1">
        <f t="shared" si="36"/>
        <v>43518</v>
      </c>
      <c r="AN117">
        <f t="shared" si="37"/>
        <v>1.3864162432536968</v>
      </c>
      <c r="AO117">
        <f t="shared" ca="1" si="23"/>
        <v>1.3106445089705776</v>
      </c>
      <c r="AP117">
        <f t="shared" ca="1" si="24"/>
        <v>1.3447203646545283</v>
      </c>
      <c r="AQ117">
        <f t="shared" ca="1" si="25"/>
        <v>1.3921878535051606</v>
      </c>
      <c r="AR117">
        <f t="shared" ca="1" si="26"/>
        <v>1.4267698078096098</v>
      </c>
      <c r="AS117">
        <f t="shared" ca="1" si="27"/>
        <v>1.4730068327530921</v>
      </c>
    </row>
    <row r="118" spans="2:45" x14ac:dyDescent="0.25">
      <c r="B118" s="22">
        <v>43525</v>
      </c>
      <c r="C118">
        <v>31.297999999999998</v>
      </c>
      <c r="D118">
        <v>50.4</v>
      </c>
      <c r="E118">
        <v>33.316000000000003</v>
      </c>
      <c r="F118">
        <v>46.965000000000003</v>
      </c>
      <c r="G118">
        <v>93.965000000000003</v>
      </c>
      <c r="H118">
        <v>24.466000000000001</v>
      </c>
      <c r="I118" s="6">
        <v>33834.86</v>
      </c>
      <c r="K118" s="23">
        <f t="shared" si="28"/>
        <v>-5.5411359932395765E-2</v>
      </c>
      <c r="L118" s="24">
        <f t="shared" si="29"/>
        <v>-4.7258979206049156E-2</v>
      </c>
      <c r="M118" s="24">
        <f t="shared" si="30"/>
        <v>-3.0497031777441341E-2</v>
      </c>
      <c r="N118" s="24">
        <f t="shared" si="31"/>
        <v>-3.4952533596350532E-2</v>
      </c>
      <c r="O118" s="24">
        <f t="shared" si="32"/>
        <v>-6.615849416628572E-2</v>
      </c>
      <c r="P118" s="24">
        <f t="shared" si="33"/>
        <v>-5.6314124816786104E-2</v>
      </c>
      <c r="Q118" s="25">
        <f t="shared" si="34"/>
        <v>-7.6730594957975851E-2</v>
      </c>
      <c r="S118" s="26">
        <f t="shared" si="38"/>
        <v>-4.8432087249218103E-2</v>
      </c>
      <c r="U118" s="5">
        <f t="shared" si="39"/>
        <v>295.23944531872644</v>
      </c>
      <c r="V118" s="6">
        <f t="shared" si="40"/>
        <v>185.04890539851726</v>
      </c>
      <c r="X118" s="20">
        <f t="shared" si="35"/>
        <v>1.5954671262869957</v>
      </c>
      <c r="Z118" s="22">
        <v>43525</v>
      </c>
      <c r="AA118" s="33">
        <v>59349.672400000003</v>
      </c>
      <c r="AB118" s="33">
        <v>45685.337</v>
      </c>
      <c r="AC118" s="33">
        <v>24012.3851</v>
      </c>
      <c r="AD118" s="33">
        <v>30316.8066</v>
      </c>
      <c r="AE118" s="33">
        <v>88586.224100000007</v>
      </c>
      <c r="AF118" s="34">
        <v>24.466000000000001</v>
      </c>
      <c r="AH118" s="28">
        <f t="shared" si="41"/>
        <v>-5.3000879066029301E-2</v>
      </c>
      <c r="AJ118" s="5">
        <f t="shared" si="42"/>
        <v>263.14873703020879</v>
      </c>
      <c r="AK118" s="6">
        <f t="shared" si="43"/>
        <v>185.04890539851726</v>
      </c>
      <c r="AM118" s="1">
        <f t="shared" si="36"/>
        <v>43525</v>
      </c>
      <c r="AN118">
        <f t="shared" si="37"/>
        <v>1.4220496817503323</v>
      </c>
      <c r="AO118">
        <f t="shared" ca="1" si="23"/>
        <v>1.3127663154949376</v>
      </c>
      <c r="AP118">
        <f t="shared" ca="1" si="24"/>
        <v>1.3488524911521513</v>
      </c>
      <c r="AQ118">
        <f t="shared" ca="1" si="25"/>
        <v>1.3921878535051606</v>
      </c>
      <c r="AR118">
        <f t="shared" ca="1" si="26"/>
        <v>1.4267698078096098</v>
      </c>
      <c r="AS118">
        <f t="shared" ca="1" si="27"/>
        <v>1.4730068327530921</v>
      </c>
    </row>
    <row r="119" spans="2:45" x14ac:dyDescent="0.25">
      <c r="B119" s="22">
        <v>43532</v>
      </c>
      <c r="C119">
        <v>31.896999999999998</v>
      </c>
      <c r="D119">
        <v>51.3</v>
      </c>
      <c r="E119">
        <v>31.465</v>
      </c>
      <c r="F119">
        <v>46.76</v>
      </c>
      <c r="G119">
        <v>98.093999999999994</v>
      </c>
      <c r="H119">
        <v>22.731000000000002</v>
      </c>
      <c r="I119" s="6">
        <v>33020.07</v>
      </c>
      <c r="K119" s="23">
        <f t="shared" si="28"/>
        <v>1.9138603105629759E-2</v>
      </c>
      <c r="L119" s="24">
        <f t="shared" si="29"/>
        <v>1.7857142857142794E-2</v>
      </c>
      <c r="M119" s="24">
        <f t="shared" si="30"/>
        <v>-5.5558890623124135E-2</v>
      </c>
      <c r="N119" s="24">
        <f t="shared" si="31"/>
        <v>-4.3649526242948156E-3</v>
      </c>
      <c r="O119" s="24">
        <f t="shared" si="32"/>
        <v>4.3941893258127918E-2</v>
      </c>
      <c r="P119" s="24">
        <f t="shared" si="33"/>
        <v>-7.0914738821221235E-2</v>
      </c>
      <c r="Q119" s="25">
        <f t="shared" si="34"/>
        <v>-2.4081376426561274E-2</v>
      </c>
      <c r="S119" s="26">
        <f t="shared" si="38"/>
        <v>-8.3168238079566192E-3</v>
      </c>
      <c r="U119" s="5">
        <f t="shared" si="39"/>
        <v>292.78399087085177</v>
      </c>
      <c r="V119" s="6">
        <f t="shared" si="40"/>
        <v>180.59267305029243</v>
      </c>
      <c r="X119" s="20">
        <f t="shared" si="35"/>
        <v>1.6212395881050816</v>
      </c>
      <c r="Z119" s="22">
        <v>43532</v>
      </c>
      <c r="AA119" s="33">
        <v>60485.189100000003</v>
      </c>
      <c r="AB119" s="33">
        <v>46501.1466</v>
      </c>
      <c r="AC119" s="33">
        <v>22678.363700000002</v>
      </c>
      <c r="AD119" s="33">
        <v>30184.9944</v>
      </c>
      <c r="AE119" s="33">
        <v>92479.250899999999</v>
      </c>
      <c r="AF119" s="34">
        <v>22.731000000000002</v>
      </c>
      <c r="AH119" s="28">
        <f t="shared" si="41"/>
        <v>1.7647584778700837E-2</v>
      </c>
      <c r="AJ119" s="5">
        <f t="shared" si="42"/>
        <v>267.79267667635742</v>
      </c>
      <c r="AK119" s="6">
        <f t="shared" si="43"/>
        <v>180.59267305029243</v>
      </c>
      <c r="AM119" s="1">
        <f t="shared" si="36"/>
        <v>43532</v>
      </c>
      <c r="AN119">
        <f t="shared" si="37"/>
        <v>1.4828546039726709</v>
      </c>
      <c r="AO119">
        <f t="shared" ca="1" si="23"/>
        <v>1.3181998484147621</v>
      </c>
      <c r="AP119">
        <f t="shared" ca="1" si="24"/>
        <v>1.3504518828027969</v>
      </c>
      <c r="AQ119">
        <f t="shared" ca="1" si="25"/>
        <v>1.3951826213095835</v>
      </c>
      <c r="AR119">
        <f t="shared" ca="1" si="26"/>
        <v>1.4267698078096098</v>
      </c>
      <c r="AS119">
        <f t="shared" ca="1" si="27"/>
        <v>1.4730068327530921</v>
      </c>
    </row>
    <row r="120" spans="2:45" x14ac:dyDescent="0.25">
      <c r="B120" s="22">
        <v>43539</v>
      </c>
      <c r="C120">
        <v>32.256</v>
      </c>
      <c r="D120">
        <v>50.55</v>
      </c>
      <c r="E120">
        <v>32.39</v>
      </c>
      <c r="F120">
        <v>47.576999999999998</v>
      </c>
      <c r="G120">
        <v>98.305000000000007</v>
      </c>
      <c r="H120">
        <v>22.547999999999998</v>
      </c>
      <c r="I120" s="6">
        <v>33933.08</v>
      </c>
      <c r="K120" s="23">
        <f t="shared" si="28"/>
        <v>1.1254976957080665E-2</v>
      </c>
      <c r="L120" s="24">
        <f t="shared" si="29"/>
        <v>-1.4619883040935644E-2</v>
      </c>
      <c r="M120" s="24">
        <f t="shared" si="30"/>
        <v>2.9397743524551156E-2</v>
      </c>
      <c r="N120" s="24">
        <f t="shared" si="31"/>
        <v>1.747219846022241E-2</v>
      </c>
      <c r="O120" s="24">
        <f t="shared" si="32"/>
        <v>2.1509980223053393E-3</v>
      </c>
      <c r="P120" s="24">
        <f t="shared" si="33"/>
        <v>-8.0506796885312371E-3</v>
      </c>
      <c r="Q120" s="25">
        <f t="shared" si="34"/>
        <v>2.7650153376416187E-2</v>
      </c>
      <c r="S120" s="26">
        <f t="shared" si="38"/>
        <v>6.2675590391154485E-3</v>
      </c>
      <c r="U120" s="5">
        <f t="shared" si="39"/>
        <v>294.61903181934269</v>
      </c>
      <c r="V120" s="6">
        <f t="shared" si="40"/>
        <v>185.58608815879001</v>
      </c>
      <c r="X120" s="20">
        <f t="shared" si="35"/>
        <v>1.5875060180548801</v>
      </c>
      <c r="Z120" s="22">
        <v>43539</v>
      </c>
      <c r="AA120" s="33">
        <v>61166.499100000001</v>
      </c>
      <c r="AB120" s="33">
        <v>45821.3053</v>
      </c>
      <c r="AC120" s="33">
        <v>23345.374400000001</v>
      </c>
      <c r="AD120" s="33">
        <v>30712.243200000001</v>
      </c>
      <c r="AE120" s="33">
        <v>92677.874800000005</v>
      </c>
      <c r="AF120" s="34">
        <v>22.547999999999998</v>
      </c>
      <c r="AH120" s="28">
        <f t="shared" si="41"/>
        <v>5.5230412051531178E-3</v>
      </c>
      <c r="AJ120" s="5">
        <f t="shared" si="42"/>
        <v>269.27170666407915</v>
      </c>
      <c r="AK120" s="6">
        <f t="shared" si="43"/>
        <v>185.58608815879001</v>
      </c>
      <c r="AM120" s="1">
        <f t="shared" si="36"/>
        <v>43539</v>
      </c>
      <c r="AN120">
        <f t="shared" si="37"/>
        <v>1.4509261407228251</v>
      </c>
      <c r="AO120">
        <f t="shared" ca="1" si="23"/>
        <v>1.3181998484147621</v>
      </c>
      <c r="AP120">
        <f t="shared" ca="1" si="24"/>
        <v>1.3516967143802834</v>
      </c>
      <c r="AQ120">
        <f t="shared" ca="1" si="25"/>
        <v>1.4002567190313382</v>
      </c>
      <c r="AR120">
        <f t="shared" ca="1" si="26"/>
        <v>1.4310011555145907</v>
      </c>
      <c r="AS120">
        <f t="shared" ca="1" si="27"/>
        <v>1.4767896097003199</v>
      </c>
    </row>
    <row r="121" spans="2:45" x14ac:dyDescent="0.25">
      <c r="B121" s="22">
        <v>43546</v>
      </c>
      <c r="C121">
        <v>30.899000000000001</v>
      </c>
      <c r="D121">
        <v>46.5</v>
      </c>
      <c r="E121">
        <v>29.552</v>
      </c>
      <c r="F121">
        <v>46.488</v>
      </c>
      <c r="G121">
        <v>95.524000000000001</v>
      </c>
      <c r="H121">
        <v>20.997</v>
      </c>
      <c r="I121" s="6">
        <v>32827.980000000003</v>
      </c>
      <c r="K121" s="23">
        <f t="shared" si="28"/>
        <v>-4.2069692460317443E-2</v>
      </c>
      <c r="L121" s="24">
        <f t="shared" si="29"/>
        <v>-8.0118694362017795E-2</v>
      </c>
      <c r="M121" s="24">
        <f t="shared" si="30"/>
        <v>-8.7619635690027842E-2</v>
      </c>
      <c r="N121" s="24">
        <f t="shared" si="31"/>
        <v>-2.2889211173466095E-2</v>
      </c>
      <c r="O121" s="24">
        <f t="shared" si="32"/>
        <v>-2.828950714612688E-2</v>
      </c>
      <c r="P121" s="24">
        <f t="shared" si="33"/>
        <v>-6.8786588610963206E-2</v>
      </c>
      <c r="Q121" s="25">
        <f t="shared" si="34"/>
        <v>-3.2567040775549949E-2</v>
      </c>
      <c r="S121" s="26">
        <f t="shared" si="38"/>
        <v>-5.4962221573819879E-2</v>
      </c>
      <c r="U121" s="5">
        <f t="shared" si="39"/>
        <v>278.42611531262366</v>
      </c>
      <c r="V121" s="6">
        <f t="shared" si="40"/>
        <v>179.54209845834788</v>
      </c>
      <c r="X121" s="20">
        <f t="shared" si="35"/>
        <v>1.5507567178024042</v>
      </c>
      <c r="Z121" s="22">
        <v>43546</v>
      </c>
      <c r="AA121" s="33">
        <v>58592.6613</v>
      </c>
      <c r="AB121" s="33">
        <v>42150.162199999999</v>
      </c>
      <c r="AC121" s="33">
        <v>21299.874899999999</v>
      </c>
      <c r="AD121" s="33">
        <v>30009.2448</v>
      </c>
      <c r="AE121" s="33">
        <v>90056.040299999993</v>
      </c>
      <c r="AF121" s="34">
        <v>20.997</v>
      </c>
      <c r="AH121" s="28">
        <f t="shared" si="41"/>
        <v>-4.5779088880844171E-2</v>
      </c>
      <c r="AJ121" s="5">
        <f t="shared" si="42"/>
        <v>256.94469327160766</v>
      </c>
      <c r="AK121" s="6">
        <f t="shared" si="43"/>
        <v>179.54209845834788</v>
      </c>
      <c r="AM121" s="1">
        <f t="shared" si="36"/>
        <v>43546</v>
      </c>
      <c r="AN121">
        <f t="shared" si="37"/>
        <v>1.4311111181047962</v>
      </c>
      <c r="AO121">
        <f t="shared" ca="1" si="23"/>
        <v>1.3181998484147621</v>
      </c>
      <c r="AP121">
        <f t="shared" ca="1" si="24"/>
        <v>1.3646446620904367</v>
      </c>
      <c r="AQ121">
        <f t="shared" ca="1" si="25"/>
        <v>1.4036477259287126</v>
      </c>
      <c r="AR121">
        <f t="shared" ca="1" si="26"/>
        <v>1.4330844432406682</v>
      </c>
      <c r="AS121">
        <f t="shared" ca="1" si="27"/>
        <v>1.4767896097003199</v>
      </c>
    </row>
    <row r="122" spans="2:45" x14ac:dyDescent="0.25">
      <c r="B122" s="22">
        <v>43553</v>
      </c>
      <c r="C122">
        <v>31.817</v>
      </c>
      <c r="D122">
        <v>43.1</v>
      </c>
      <c r="E122">
        <v>28.472999999999999</v>
      </c>
      <c r="F122">
        <v>44.106000000000002</v>
      </c>
      <c r="G122">
        <v>96.156000000000006</v>
      </c>
      <c r="H122">
        <v>20.814</v>
      </c>
      <c r="I122" s="6">
        <v>33466.03</v>
      </c>
      <c r="K122" s="23">
        <f t="shared" si="28"/>
        <v>2.9709699343020812E-2</v>
      </c>
      <c r="L122" s="24">
        <f t="shared" si="29"/>
        <v>-7.3118279569892475E-2</v>
      </c>
      <c r="M122" s="24">
        <f t="shared" si="30"/>
        <v>-3.6511911207363301E-2</v>
      </c>
      <c r="N122" s="24">
        <f t="shared" si="31"/>
        <v>-5.1239029426948801E-2</v>
      </c>
      <c r="O122" s="24">
        <f t="shared" si="32"/>
        <v>6.6161383526652795E-3</v>
      </c>
      <c r="P122" s="24">
        <f t="shared" si="33"/>
        <v>-8.7155307901128909E-3</v>
      </c>
      <c r="Q122" s="25">
        <f t="shared" si="34"/>
        <v>1.9436163906521031E-2</v>
      </c>
      <c r="S122" s="26">
        <f t="shared" si="38"/>
        <v>-2.2209818883105231E-2</v>
      </c>
      <c r="U122" s="5">
        <f t="shared" si="39"/>
        <v>272.24232171920374</v>
      </c>
      <c r="V122" s="6">
        <f t="shared" si="40"/>
        <v>183.03170811210506</v>
      </c>
      <c r="X122" s="20">
        <f t="shared" si="35"/>
        <v>1.4874052399295647</v>
      </c>
      <c r="Z122" s="22">
        <v>43553</v>
      </c>
      <c r="AA122" s="33">
        <v>60333.786899999999</v>
      </c>
      <c r="AB122" s="33">
        <v>39068.214800000002</v>
      </c>
      <c r="AC122" s="33">
        <v>20521.695800000001</v>
      </c>
      <c r="AD122" s="33">
        <v>28471.435799999999</v>
      </c>
      <c r="AE122" s="33">
        <v>90651.911800000002</v>
      </c>
      <c r="AF122" s="34">
        <v>20.814</v>
      </c>
      <c r="AH122" s="28">
        <f t="shared" si="41"/>
        <v>-1.2641528836206039E-2</v>
      </c>
      <c r="AJ122" s="5">
        <f t="shared" si="42"/>
        <v>253.6965195223045</v>
      </c>
      <c r="AK122" s="6">
        <f t="shared" si="43"/>
        <v>183.03170811210506</v>
      </c>
      <c r="AM122" s="1">
        <f t="shared" si="36"/>
        <v>43553</v>
      </c>
      <c r="AN122">
        <f t="shared" si="37"/>
        <v>1.3860796150518246</v>
      </c>
      <c r="AO122">
        <f t="shared" ca="1" si="23"/>
        <v>1.3182317511112402</v>
      </c>
      <c r="AP122">
        <f t="shared" ca="1" si="24"/>
        <v>1.3699557889487446</v>
      </c>
      <c r="AQ122">
        <f t="shared" ca="1" si="25"/>
        <v>1.4052040400325543</v>
      </c>
      <c r="AR122">
        <f t="shared" ca="1" si="26"/>
        <v>1.4331030167799061</v>
      </c>
      <c r="AS122">
        <f t="shared" ca="1" si="27"/>
        <v>1.4767896097003199</v>
      </c>
    </row>
    <row r="123" spans="2:45" x14ac:dyDescent="0.25">
      <c r="B123" s="22">
        <v>43560</v>
      </c>
      <c r="C123">
        <v>30.699000000000002</v>
      </c>
      <c r="D123">
        <v>40.75</v>
      </c>
      <c r="E123">
        <v>25.789000000000001</v>
      </c>
      <c r="F123">
        <v>39.954000000000001</v>
      </c>
      <c r="G123">
        <v>89.876999999999995</v>
      </c>
      <c r="H123">
        <v>18.486000000000001</v>
      </c>
      <c r="I123" s="6">
        <v>32666.880000000001</v>
      </c>
      <c r="K123" s="23">
        <f t="shared" si="28"/>
        <v>-3.5138447999497058E-2</v>
      </c>
      <c r="L123" s="24">
        <f t="shared" si="29"/>
        <v>-5.4524361948955935E-2</v>
      </c>
      <c r="M123" s="24">
        <f t="shared" si="30"/>
        <v>-9.4264742036315075E-2</v>
      </c>
      <c r="N123" s="24">
        <f t="shared" si="31"/>
        <v>-9.4136852128962056E-2</v>
      </c>
      <c r="O123" s="24">
        <f t="shared" si="32"/>
        <v>-6.5300137276925074E-2</v>
      </c>
      <c r="P123" s="24">
        <f t="shared" si="33"/>
        <v>-0.11184779475353124</v>
      </c>
      <c r="Q123" s="25">
        <f t="shared" si="34"/>
        <v>-2.3879438343896719E-2</v>
      </c>
      <c r="S123" s="26">
        <f t="shared" si="38"/>
        <v>-7.5868722690697735E-2</v>
      </c>
      <c r="U123" s="5">
        <f t="shared" si="39"/>
        <v>251.58764450801775</v>
      </c>
      <c r="V123" s="6">
        <f t="shared" si="40"/>
        <v>178.66101372326395</v>
      </c>
      <c r="X123" s="20">
        <f t="shared" si="35"/>
        <v>1.4081843557526945</v>
      </c>
      <c r="Z123" s="22">
        <v>43560</v>
      </c>
      <c r="AA123" s="33">
        <v>58214.155700000003</v>
      </c>
      <c r="AB123" s="33">
        <v>36938.045299999998</v>
      </c>
      <c r="AC123" s="33">
        <v>18587.364799999999</v>
      </c>
      <c r="AD123" s="33">
        <v>25791.254300000001</v>
      </c>
      <c r="AE123" s="33">
        <v>84732.921499999997</v>
      </c>
      <c r="AF123" s="34">
        <v>18.486000000000001</v>
      </c>
      <c r="AH123" s="28">
        <f t="shared" si="41"/>
        <v>-6.1851890761117433E-2</v>
      </c>
      <c r="AJ123" s="5">
        <f t="shared" si="42"/>
        <v>238.00491011033523</v>
      </c>
      <c r="AK123" s="6">
        <f t="shared" si="43"/>
        <v>178.66101372326395</v>
      </c>
      <c r="AM123" s="1">
        <f t="shared" si="36"/>
        <v>43560</v>
      </c>
      <c r="AN123">
        <f t="shared" si="37"/>
        <v>1.3321591831947832</v>
      </c>
      <c r="AO123">
        <f t="shared" ref="AO123:AO186" ca="1" si="44">+_xlfn.PERCENTILE.INC(OFFSET(AN123,-52,0,52,1),0.1)</f>
        <v>1.3182317511112402</v>
      </c>
      <c r="AP123">
        <f t="shared" ref="AP123:AP186" ca="1" si="45">+_xlfn.PERCENTILE.INC(OFFSET(AN123,-52,0,52,1),0.25)</f>
        <v>1.3709014635556844</v>
      </c>
      <c r="AQ123">
        <f t="shared" ref="AQ123:AQ186" ca="1" si="46">+_xlfn.PERCENTILE.INC(OFFSET(AN123,-52,0,52,1),0.5)</f>
        <v>1.4052040400325543</v>
      </c>
      <c r="AR123">
        <f t="shared" ref="AR123:AR186" ca="1" si="47">+_xlfn.PERCENTILE.INC(OFFSET(AN123,-52,0,52,1),0.75)</f>
        <v>1.4331030167799061</v>
      </c>
      <c r="AS123">
        <f t="shared" ref="AS123:AS186" ca="1" si="48">+_xlfn.PERCENTILE.INC(OFFSET(AN123,-52,0,52,1),0.9)</f>
        <v>1.4767896097003199</v>
      </c>
    </row>
    <row r="124" spans="2:45" x14ac:dyDescent="0.25">
      <c r="B124" s="22">
        <v>43567</v>
      </c>
      <c r="C124">
        <v>27.704999999999998</v>
      </c>
      <c r="D124">
        <v>36.799999999999997</v>
      </c>
      <c r="E124">
        <v>24</v>
      </c>
      <c r="F124">
        <v>38.387999999999998</v>
      </c>
      <c r="G124">
        <v>85.959000000000003</v>
      </c>
      <c r="H124">
        <v>16.888999999999999</v>
      </c>
      <c r="I124" s="6">
        <v>31357.03</v>
      </c>
      <c r="K124" s="23">
        <f t="shared" si="28"/>
        <v>-9.7527606762435326E-2</v>
      </c>
      <c r="L124" s="24">
        <f t="shared" si="29"/>
        <v>-9.6932515337423419E-2</v>
      </c>
      <c r="M124" s="24">
        <f t="shared" si="30"/>
        <v>-6.937066191011676E-2</v>
      </c>
      <c r="N124" s="24">
        <f t="shared" si="31"/>
        <v>-3.9195074335485858E-2</v>
      </c>
      <c r="O124" s="24">
        <f t="shared" si="32"/>
        <v>-4.359291031075796E-2</v>
      </c>
      <c r="P124" s="24">
        <f t="shared" si="33"/>
        <v>-8.6389700313751039E-2</v>
      </c>
      <c r="Q124" s="25">
        <f t="shared" si="34"/>
        <v>-4.009718712041066E-2</v>
      </c>
      <c r="S124" s="26">
        <f t="shared" si="38"/>
        <v>-7.2168078161661722E-2</v>
      </c>
      <c r="U124" s="5">
        <f t="shared" si="39"/>
        <v>233.43104771465477</v>
      </c>
      <c r="V124" s="6">
        <f t="shared" si="40"/>
        <v>171.49720962487999</v>
      </c>
      <c r="X124" s="20">
        <f t="shared" si="35"/>
        <v>1.3611361270847739</v>
      </c>
      <c r="Z124" s="22">
        <v>43567</v>
      </c>
      <c r="AA124" s="33">
        <v>52536.5723</v>
      </c>
      <c r="AB124" s="33">
        <v>33357.547700000003</v>
      </c>
      <c r="AC124" s="33">
        <v>17297.810700000002</v>
      </c>
      <c r="AD124" s="33">
        <v>24780.694100000001</v>
      </c>
      <c r="AE124" s="33">
        <v>81038.518500000006</v>
      </c>
      <c r="AF124" s="34">
        <v>16.888999999999999</v>
      </c>
      <c r="AH124" s="28">
        <f t="shared" si="41"/>
        <v>-6.8010937233290575E-2</v>
      </c>
      <c r="AJ124" s="5">
        <f t="shared" si="42"/>
        <v>221.81797310760626</v>
      </c>
      <c r="AK124" s="6">
        <f t="shared" si="43"/>
        <v>171.49720962487999</v>
      </c>
      <c r="AM124" s="1">
        <f t="shared" si="36"/>
        <v>43567</v>
      </c>
      <c r="AN124">
        <f t="shared" si="37"/>
        <v>1.2934203045798478</v>
      </c>
      <c r="AO124">
        <f t="shared" ca="1" si="44"/>
        <v>1.3182317511112402</v>
      </c>
      <c r="AP124">
        <f t="shared" ca="1" si="45"/>
        <v>1.3709014635556844</v>
      </c>
      <c r="AQ124">
        <f t="shared" ca="1" si="46"/>
        <v>1.4052040400325543</v>
      </c>
      <c r="AR124">
        <f t="shared" ca="1" si="47"/>
        <v>1.4331030167799061</v>
      </c>
      <c r="AS124">
        <f t="shared" ca="1" si="48"/>
        <v>1.4767896097003199</v>
      </c>
    </row>
    <row r="125" spans="2:45" x14ac:dyDescent="0.25">
      <c r="B125" s="22">
        <v>43574</v>
      </c>
      <c r="C125">
        <v>29.940999999999999</v>
      </c>
      <c r="D125">
        <v>37.549999999999997</v>
      </c>
      <c r="E125">
        <v>24.678000000000001</v>
      </c>
      <c r="F125">
        <v>38.323999999999998</v>
      </c>
      <c r="G125">
        <v>85.322000000000003</v>
      </c>
      <c r="H125">
        <v>16.614999999999998</v>
      </c>
      <c r="I125" s="6">
        <v>32036.78</v>
      </c>
      <c r="K125" s="23">
        <f t="shared" si="28"/>
        <v>8.0707453528243933E-2</v>
      </c>
      <c r="L125" s="24">
        <f t="shared" si="29"/>
        <v>2.0380434782608647E-2</v>
      </c>
      <c r="M125" s="24">
        <f t="shared" si="30"/>
        <v>2.8250000000000108E-2</v>
      </c>
      <c r="N125" s="24">
        <f t="shared" si="31"/>
        <v>-1.6671876628112647E-3</v>
      </c>
      <c r="O125" s="24">
        <f t="shared" si="32"/>
        <v>-7.4105096615828536E-3</v>
      </c>
      <c r="P125" s="24">
        <f t="shared" si="33"/>
        <v>-1.6223577476464079E-2</v>
      </c>
      <c r="Q125" s="25">
        <f t="shared" si="34"/>
        <v>2.1677754557749784E-2</v>
      </c>
      <c r="S125" s="26">
        <f t="shared" si="38"/>
        <v>1.7339435584999081E-2</v>
      </c>
      <c r="U125" s="5">
        <f t="shared" si="39"/>
        <v>237.4786103300419</v>
      </c>
      <c r="V125" s="6">
        <f t="shared" si="40"/>
        <v>175.21488404246711</v>
      </c>
      <c r="X125" s="20">
        <f t="shared" si="35"/>
        <v>1.3553563764165371</v>
      </c>
      <c r="Z125" s="22">
        <v>43574</v>
      </c>
      <c r="AA125" s="33">
        <v>56775.834600000002</v>
      </c>
      <c r="AB125" s="33">
        <v>34037.389000000003</v>
      </c>
      <c r="AC125" s="33">
        <v>17786.9519</v>
      </c>
      <c r="AD125" s="33">
        <v>22364.1371</v>
      </c>
      <c r="AE125" s="33">
        <v>73609.987599999993</v>
      </c>
      <c r="AF125" s="34">
        <v>16.614999999999998</v>
      </c>
      <c r="AH125" s="28">
        <f t="shared" si="41"/>
        <v>2.2803030774806061E-2</v>
      </c>
      <c r="AJ125" s="5">
        <f t="shared" si="42"/>
        <v>226.87609517478413</v>
      </c>
      <c r="AK125" s="6">
        <f t="shared" si="43"/>
        <v>175.21488404246711</v>
      </c>
      <c r="AM125" s="1">
        <f t="shared" si="36"/>
        <v>43574</v>
      </c>
      <c r="AN125">
        <f t="shared" si="37"/>
        <v>1.2948448781314481</v>
      </c>
      <c r="AO125">
        <f t="shared" ca="1" si="44"/>
        <v>1.3127663154949376</v>
      </c>
      <c r="AP125">
        <f t="shared" ca="1" si="45"/>
        <v>1.3709014635556844</v>
      </c>
      <c r="AQ125">
        <f t="shared" ca="1" si="46"/>
        <v>1.4052040400325543</v>
      </c>
      <c r="AR125">
        <f t="shared" ca="1" si="47"/>
        <v>1.4331030167799061</v>
      </c>
      <c r="AS125">
        <f t="shared" ca="1" si="48"/>
        <v>1.4767896097003199</v>
      </c>
    </row>
    <row r="126" spans="2:45" x14ac:dyDescent="0.25">
      <c r="B126" s="22">
        <v>43581</v>
      </c>
      <c r="C126">
        <v>27.984999999999999</v>
      </c>
      <c r="D126">
        <v>38.200000000000003</v>
      </c>
      <c r="E126">
        <v>24.123000000000001</v>
      </c>
      <c r="F126">
        <v>39.000999999999998</v>
      </c>
      <c r="G126">
        <v>85.644000000000005</v>
      </c>
      <c r="H126">
        <v>15.291</v>
      </c>
      <c r="I126" s="6">
        <v>30001.11</v>
      </c>
      <c r="K126" s="23">
        <f t="shared" si="28"/>
        <v>-6.5328479342707357E-2</v>
      </c>
      <c r="L126" s="24">
        <f t="shared" si="29"/>
        <v>1.7310252996005415E-2</v>
      </c>
      <c r="M126" s="24">
        <f t="shared" si="30"/>
        <v>-2.2489666909798145E-2</v>
      </c>
      <c r="N126" s="24">
        <f t="shared" si="31"/>
        <v>1.766517065024531E-2</v>
      </c>
      <c r="O126" s="24">
        <f t="shared" si="32"/>
        <v>3.7739387262372137E-3</v>
      </c>
      <c r="P126" s="24">
        <f t="shared" si="33"/>
        <v>-7.9687029792356201E-2</v>
      </c>
      <c r="Q126" s="25">
        <f t="shared" si="34"/>
        <v>-6.3541654311076168E-2</v>
      </c>
      <c r="S126" s="26">
        <f t="shared" si="38"/>
        <v>-2.145930227872896E-2</v>
      </c>
      <c r="U126" s="5">
        <f t="shared" si="39"/>
        <v>232.38248504623706</v>
      </c>
      <c r="V126" s="6">
        <f t="shared" si="40"/>
        <v>164.08144045048536</v>
      </c>
      <c r="X126" s="20">
        <f t="shared" si="35"/>
        <v>1.4162630728267092</v>
      </c>
      <c r="Z126" s="22">
        <v>43581</v>
      </c>
      <c r="AA126" s="33">
        <v>53066.480100000001</v>
      </c>
      <c r="AB126" s="33">
        <v>34626.584799999997</v>
      </c>
      <c r="AC126" s="33">
        <v>17386.745500000001</v>
      </c>
      <c r="AD126" s="33">
        <v>22759.573700000001</v>
      </c>
      <c r="AE126" s="33">
        <v>73888.060899999997</v>
      </c>
      <c r="AF126" s="34">
        <v>15.291</v>
      </c>
      <c r="AH126" s="28">
        <f t="shared" si="41"/>
        <v>-1.3922240205760397E-2</v>
      </c>
      <c r="AJ126" s="5">
        <f t="shared" si="42"/>
        <v>223.71747168081583</v>
      </c>
      <c r="AK126" s="6">
        <f t="shared" si="43"/>
        <v>164.08144045048536</v>
      </c>
      <c r="AM126" s="1">
        <f t="shared" si="36"/>
        <v>43581</v>
      </c>
      <c r="AN126">
        <f t="shared" si="37"/>
        <v>1.3634538499089222</v>
      </c>
      <c r="AO126">
        <f t="shared" ca="1" si="44"/>
        <v>1.3112178033084989</v>
      </c>
      <c r="AP126">
        <f t="shared" ca="1" si="45"/>
        <v>1.3709014635556844</v>
      </c>
      <c r="AQ126">
        <f t="shared" ca="1" si="46"/>
        <v>1.4052040400325543</v>
      </c>
      <c r="AR126">
        <f t="shared" ca="1" si="47"/>
        <v>1.4331030167799061</v>
      </c>
      <c r="AS126">
        <f t="shared" ca="1" si="48"/>
        <v>1.4767896097003199</v>
      </c>
    </row>
    <row r="127" spans="2:45" x14ac:dyDescent="0.25">
      <c r="B127" s="22">
        <v>43588</v>
      </c>
      <c r="C127">
        <v>31.378</v>
      </c>
      <c r="D127">
        <v>40.15</v>
      </c>
      <c r="E127">
        <v>26.622</v>
      </c>
      <c r="F127">
        <v>43.368000000000002</v>
      </c>
      <c r="G127">
        <v>90.248999999999995</v>
      </c>
      <c r="H127">
        <v>16.204000000000001</v>
      </c>
      <c r="I127" s="6">
        <v>32412.27</v>
      </c>
      <c r="K127" s="23">
        <f t="shared" si="28"/>
        <v>0.12124352331606225</v>
      </c>
      <c r="L127" s="24">
        <f t="shared" si="29"/>
        <v>5.1047120418848069E-2</v>
      </c>
      <c r="M127" s="24">
        <f t="shared" si="30"/>
        <v>0.10359408033826623</v>
      </c>
      <c r="N127" s="24">
        <f t="shared" si="31"/>
        <v>0.11197148791056644</v>
      </c>
      <c r="O127" s="24">
        <f t="shared" si="32"/>
        <v>5.3769090654336438E-2</v>
      </c>
      <c r="P127" s="24">
        <f t="shared" si="33"/>
        <v>5.9708325158589926E-2</v>
      </c>
      <c r="Q127" s="25">
        <f t="shared" si="34"/>
        <v>8.0369026346025274E-2</v>
      </c>
      <c r="S127" s="26">
        <f t="shared" si="38"/>
        <v>8.3555604632778224E-2</v>
      </c>
      <c r="U127" s="5">
        <f t="shared" si="39"/>
        <v>251.79934409034291</v>
      </c>
      <c r="V127" s="6">
        <f t="shared" si="40"/>
        <v>177.26850606094419</v>
      </c>
      <c r="X127" s="20">
        <f t="shared" si="35"/>
        <v>1.4204403798821168</v>
      </c>
      <c r="Z127" s="22">
        <v>43588</v>
      </c>
      <c r="AA127" s="33">
        <v>59501.074699999997</v>
      </c>
      <c r="AB127" s="33">
        <v>36394.172299999998</v>
      </c>
      <c r="AC127" s="33">
        <v>19187.6744</v>
      </c>
      <c r="AD127" s="33">
        <v>25307.942899999998</v>
      </c>
      <c r="AE127" s="33">
        <v>77860.537299999996</v>
      </c>
      <c r="AF127" s="34">
        <v>16.204000000000001</v>
      </c>
      <c r="AH127" s="28">
        <f t="shared" si="41"/>
        <v>8.1910996525977386E-2</v>
      </c>
      <c r="AJ127" s="5">
        <f t="shared" si="42"/>
        <v>242.04239272646359</v>
      </c>
      <c r="AK127" s="6">
        <f t="shared" si="43"/>
        <v>177.26850606094419</v>
      </c>
      <c r="AM127" s="1">
        <f t="shared" si="36"/>
        <v>43588</v>
      </c>
      <c r="AN127">
        <f t="shared" si="37"/>
        <v>1.3653998564372758</v>
      </c>
      <c r="AO127">
        <f t="shared" ca="1" si="44"/>
        <v>1.3182317511112402</v>
      </c>
      <c r="AP127">
        <f t="shared" ca="1" si="45"/>
        <v>1.3709014635556844</v>
      </c>
      <c r="AQ127">
        <f t="shared" ca="1" si="46"/>
        <v>1.4052040400325543</v>
      </c>
      <c r="AR127">
        <f t="shared" ca="1" si="47"/>
        <v>1.4331030167799061</v>
      </c>
      <c r="AS127">
        <f t="shared" ca="1" si="48"/>
        <v>1.4767896097003199</v>
      </c>
    </row>
    <row r="128" spans="2:45" x14ac:dyDescent="0.25">
      <c r="B128" s="22">
        <v>43595</v>
      </c>
      <c r="C128">
        <v>31.657</v>
      </c>
      <c r="D128">
        <v>43</v>
      </c>
      <c r="E128">
        <v>28.687999999999999</v>
      </c>
      <c r="F128">
        <v>49.692999999999998</v>
      </c>
      <c r="G128">
        <v>94.852999999999994</v>
      </c>
      <c r="H128">
        <v>15.976000000000001</v>
      </c>
      <c r="I128" s="6">
        <v>33393.81</v>
      </c>
      <c r="K128" s="23">
        <f t="shared" si="28"/>
        <v>8.8915800879596496E-3</v>
      </c>
      <c r="L128" s="24">
        <f t="shared" si="29"/>
        <v>7.0983810709838169E-2</v>
      </c>
      <c r="M128" s="24">
        <f t="shared" si="30"/>
        <v>7.7604988355495452E-2</v>
      </c>
      <c r="N128" s="24">
        <f t="shared" si="31"/>
        <v>0.14584486257148122</v>
      </c>
      <c r="O128" s="24">
        <f t="shared" si="32"/>
        <v>5.101441567219589E-2</v>
      </c>
      <c r="P128" s="24">
        <f t="shared" si="33"/>
        <v>-1.407059985188841E-2</v>
      </c>
      <c r="Q128" s="25">
        <f t="shared" si="34"/>
        <v>3.028297616920983E-2</v>
      </c>
      <c r="S128" s="26">
        <f t="shared" si="38"/>
        <v>5.6711509590846997E-2</v>
      </c>
      <c r="U128" s="5">
        <f t="shared" si="39"/>
        <v>266.07926500769139</v>
      </c>
      <c r="V128" s="6">
        <f t="shared" si="40"/>
        <v>182.63672400553918</v>
      </c>
      <c r="X128" s="20">
        <f t="shared" si="35"/>
        <v>1.456877122914346</v>
      </c>
      <c r="Z128" s="22">
        <v>43595</v>
      </c>
      <c r="AA128" s="33">
        <v>60030.982499999998</v>
      </c>
      <c r="AB128" s="33">
        <v>38977.569300000003</v>
      </c>
      <c r="AC128" s="33">
        <v>20677.331600000001</v>
      </c>
      <c r="AD128" s="33">
        <v>28998.684600000001</v>
      </c>
      <c r="AE128" s="33">
        <v>81833.013699999996</v>
      </c>
      <c r="AF128" s="34">
        <v>15.976000000000001</v>
      </c>
      <c r="AH128" s="28">
        <f t="shared" si="41"/>
        <v>5.6189419825569846E-2</v>
      </c>
      <c r="AJ128" s="5">
        <f t="shared" si="42"/>
        <v>255.64261434695632</v>
      </c>
      <c r="AK128" s="6">
        <f t="shared" si="43"/>
        <v>182.63672400553918</v>
      </c>
      <c r="AM128" s="1">
        <f t="shared" si="36"/>
        <v>43595</v>
      </c>
      <c r="AN128">
        <f t="shared" si="37"/>
        <v>1.3997328069638555</v>
      </c>
      <c r="AO128">
        <f t="shared" ca="1" si="44"/>
        <v>1.322101365577188</v>
      </c>
      <c r="AP128">
        <f t="shared" ca="1" si="45"/>
        <v>1.3709014635556844</v>
      </c>
      <c r="AQ128">
        <f t="shared" ca="1" si="46"/>
        <v>1.4052040400325543</v>
      </c>
      <c r="AR128">
        <f t="shared" ca="1" si="47"/>
        <v>1.4331030167799061</v>
      </c>
      <c r="AS128">
        <f t="shared" ca="1" si="48"/>
        <v>1.4767896097003199</v>
      </c>
    </row>
    <row r="129" spans="2:45" x14ac:dyDescent="0.25">
      <c r="B129" s="22">
        <v>43602</v>
      </c>
      <c r="C129">
        <v>27.225999999999999</v>
      </c>
      <c r="D129">
        <v>42.3</v>
      </c>
      <c r="E129">
        <v>28.038</v>
      </c>
      <c r="F129">
        <v>51.048000000000002</v>
      </c>
      <c r="G129">
        <v>96.879000000000005</v>
      </c>
      <c r="H129">
        <v>15.519</v>
      </c>
      <c r="I129" s="6">
        <v>33315.699999999997</v>
      </c>
      <c r="K129" s="23">
        <f t="shared" si="28"/>
        <v>-0.13996904318160286</v>
      </c>
      <c r="L129" s="24">
        <f t="shared" si="29"/>
        <v>-1.6279069767441978E-2</v>
      </c>
      <c r="M129" s="24">
        <f t="shared" si="30"/>
        <v>-2.2657557166759545E-2</v>
      </c>
      <c r="N129" s="24">
        <f t="shared" si="31"/>
        <v>2.7267421970901484E-2</v>
      </c>
      <c r="O129" s="24">
        <f t="shared" si="32"/>
        <v>2.1359366598842522E-2</v>
      </c>
      <c r="P129" s="24">
        <f t="shared" si="33"/>
        <v>-2.8605408112168274E-2</v>
      </c>
      <c r="Q129" s="25">
        <f t="shared" si="34"/>
        <v>-2.3390562502452195E-3</v>
      </c>
      <c r="S129" s="26">
        <f t="shared" si="38"/>
        <v>-2.6480714943038108E-2</v>
      </c>
      <c r="U129" s="5">
        <f t="shared" si="39"/>
        <v>259.03329583876962</v>
      </c>
      <c r="V129" s="6">
        <f t="shared" si="40"/>
        <v>182.20952643472972</v>
      </c>
      <c r="X129" s="20">
        <f t="shared" si="35"/>
        <v>1.4216232318213031</v>
      </c>
      <c r="Z129" s="22">
        <v>43602</v>
      </c>
      <c r="AA129" s="33">
        <v>51628.158900000002</v>
      </c>
      <c r="AB129" s="33">
        <v>38343.0507</v>
      </c>
      <c r="AC129" s="33">
        <v>16986.539100000002</v>
      </c>
      <c r="AD129" s="33">
        <v>29789.557799999999</v>
      </c>
      <c r="AE129" s="33">
        <v>83580.903399999996</v>
      </c>
      <c r="AF129" s="34">
        <v>15.519</v>
      </c>
      <c r="AH129" s="28">
        <f t="shared" si="41"/>
        <v>-3.022263628330718E-2</v>
      </c>
      <c r="AJ129" s="5">
        <f t="shared" si="42"/>
        <v>247.91642059503451</v>
      </c>
      <c r="AK129" s="6">
        <f t="shared" si="43"/>
        <v>182.20952643472972</v>
      </c>
      <c r="AM129" s="1">
        <f t="shared" si="36"/>
        <v>43602</v>
      </c>
      <c r="AN129">
        <f t="shared" si="37"/>
        <v>1.3606117388370582</v>
      </c>
      <c r="AO129">
        <f t="shared" ca="1" si="44"/>
        <v>1.33286343553918</v>
      </c>
      <c r="AP129">
        <f t="shared" ca="1" si="45"/>
        <v>1.3764491458584764</v>
      </c>
      <c r="AQ129">
        <f t="shared" ca="1" si="46"/>
        <v>1.4052040400325543</v>
      </c>
      <c r="AR129">
        <f t="shared" ca="1" si="47"/>
        <v>1.4331030167799061</v>
      </c>
      <c r="AS129">
        <f t="shared" ca="1" si="48"/>
        <v>1.4767896097003199</v>
      </c>
    </row>
    <row r="130" spans="2:45" x14ac:dyDescent="0.25">
      <c r="B130" s="22">
        <v>43609</v>
      </c>
      <c r="C130">
        <v>28.224</v>
      </c>
      <c r="D130">
        <v>42.05</v>
      </c>
      <c r="E130">
        <v>28.992000000000001</v>
      </c>
      <c r="F130">
        <v>51.951999999999998</v>
      </c>
      <c r="G130">
        <v>106.364</v>
      </c>
      <c r="H130">
        <v>16.431999999999999</v>
      </c>
      <c r="I130" s="6">
        <v>35084.92</v>
      </c>
      <c r="K130" s="23">
        <f t="shared" si="28"/>
        <v>3.6656137515610032E-2</v>
      </c>
      <c r="L130" s="24">
        <f t="shared" si="29"/>
        <v>-5.9101654846335228E-3</v>
      </c>
      <c r="M130" s="24">
        <f t="shared" si="30"/>
        <v>3.402525144446833E-2</v>
      </c>
      <c r="N130" s="24">
        <f t="shared" si="31"/>
        <v>1.7708823068484536E-2</v>
      </c>
      <c r="O130" s="24">
        <f t="shared" si="32"/>
        <v>9.7905634864108748E-2</v>
      </c>
      <c r="P130" s="24">
        <f t="shared" si="33"/>
        <v>5.8831110251949204E-2</v>
      </c>
      <c r="Q130" s="25">
        <f t="shared" si="34"/>
        <v>5.3104692382270224E-2</v>
      </c>
      <c r="S130" s="26">
        <f t="shared" si="38"/>
        <v>3.9869465276664552E-2</v>
      </c>
      <c r="U130" s="5">
        <f t="shared" si="39"/>
        <v>269.3608148327134</v>
      </c>
      <c r="V130" s="6">
        <f t="shared" si="40"/>
        <v>191.88570728516518</v>
      </c>
      <c r="X130" s="20">
        <f t="shared" si="35"/>
        <v>1.403756531133457</v>
      </c>
      <c r="Z130" s="22">
        <v>43609</v>
      </c>
      <c r="AA130" s="33">
        <v>53520.686699999998</v>
      </c>
      <c r="AB130" s="33">
        <v>38116.436999999998</v>
      </c>
      <c r="AC130" s="33">
        <v>17564.615000000002</v>
      </c>
      <c r="AD130" s="33">
        <v>30316.8066</v>
      </c>
      <c r="AE130" s="33">
        <v>91764.204700000002</v>
      </c>
      <c r="AF130" s="34">
        <v>16.431999999999999</v>
      </c>
      <c r="AH130" s="28">
        <f t="shared" si="41"/>
        <v>4.971931288671045E-2</v>
      </c>
      <c r="AJ130" s="5">
        <f t="shared" si="42"/>
        <v>260.2426546803523</v>
      </c>
      <c r="AK130" s="6">
        <f t="shared" si="43"/>
        <v>191.88570728516518</v>
      </c>
      <c r="AM130" s="1">
        <f t="shared" si="36"/>
        <v>43609</v>
      </c>
      <c r="AN130">
        <f t="shared" si="37"/>
        <v>1.3562378269977162</v>
      </c>
      <c r="AO130">
        <f t="shared" ca="1" si="44"/>
        <v>1.33286343553918</v>
      </c>
      <c r="AP130">
        <f t="shared" ca="1" si="45"/>
        <v>1.3709014635556844</v>
      </c>
      <c r="AQ130">
        <f t="shared" ca="1" si="46"/>
        <v>1.4052040400325543</v>
      </c>
      <c r="AR130">
        <f t="shared" ca="1" si="47"/>
        <v>1.4331030167799061</v>
      </c>
      <c r="AS130">
        <f t="shared" ca="1" si="48"/>
        <v>1.4767896097003199</v>
      </c>
    </row>
    <row r="131" spans="2:45" x14ac:dyDescent="0.25">
      <c r="B131" s="22">
        <v>43616</v>
      </c>
      <c r="C131">
        <v>28.663</v>
      </c>
      <c r="D131">
        <v>38.85</v>
      </c>
      <c r="E131">
        <v>28.367999999999999</v>
      </c>
      <c r="F131">
        <v>51.951999999999998</v>
      </c>
      <c r="G131">
        <v>107.14700000000001</v>
      </c>
      <c r="H131">
        <v>16.204000000000001</v>
      </c>
      <c r="I131" s="6">
        <v>33949.53</v>
      </c>
      <c r="K131" s="23">
        <f t="shared" si="28"/>
        <v>1.5554138321995481E-2</v>
      </c>
      <c r="L131" s="24">
        <f t="shared" si="29"/>
        <v>-7.6099881093935728E-2</v>
      </c>
      <c r="M131" s="24">
        <f t="shared" si="30"/>
        <v>-2.1523178807947074E-2</v>
      </c>
      <c r="N131" s="24">
        <f t="shared" si="31"/>
        <v>0</v>
      </c>
      <c r="O131" s="24">
        <f t="shared" si="32"/>
        <v>7.361513293971722E-3</v>
      </c>
      <c r="P131" s="24">
        <f t="shared" si="33"/>
        <v>-1.3875365141187812E-2</v>
      </c>
      <c r="Q131" s="25">
        <f t="shared" si="34"/>
        <v>-3.23611967762788E-2</v>
      </c>
      <c r="S131" s="26">
        <f t="shared" si="38"/>
        <v>-1.4763795571183902E-2</v>
      </c>
      <c r="U131" s="5">
        <f t="shared" si="39"/>
        <v>265.38402682763569</v>
      </c>
      <c r="V131" s="6">
        <f t="shared" si="40"/>
        <v>185.67605615315452</v>
      </c>
      <c r="X131" s="20">
        <f t="shared" si="35"/>
        <v>1.4292851341517843</v>
      </c>
      <c r="Z131" s="22">
        <v>43616</v>
      </c>
      <c r="AA131" s="33">
        <v>54353.398999999998</v>
      </c>
      <c r="AB131" s="33">
        <v>35215.780599999998</v>
      </c>
      <c r="AC131" s="33">
        <v>17186.6423</v>
      </c>
      <c r="AD131" s="33">
        <v>30316.8066</v>
      </c>
      <c r="AE131" s="33">
        <v>92439.525699999998</v>
      </c>
      <c r="AF131" s="34">
        <v>16.204000000000001</v>
      </c>
      <c r="AH131" s="28">
        <f t="shared" si="41"/>
        <v>-7.6564866361371981E-3</v>
      </c>
      <c r="AJ131" s="5">
        <f t="shared" si="42"/>
        <v>258.25011027263935</v>
      </c>
      <c r="AK131" s="6">
        <f t="shared" si="43"/>
        <v>185.67605615315452</v>
      </c>
      <c r="AM131" s="1">
        <f t="shared" si="36"/>
        <v>43616</v>
      </c>
      <c r="AN131">
        <f t="shared" si="37"/>
        <v>1.3908638282343861</v>
      </c>
      <c r="AO131">
        <f t="shared" ca="1" si="44"/>
        <v>1.33286343553918</v>
      </c>
      <c r="AP131">
        <f t="shared" ca="1" si="45"/>
        <v>1.3699557889487446</v>
      </c>
      <c r="AQ131">
        <f t="shared" ca="1" si="46"/>
        <v>1.4036477259287126</v>
      </c>
      <c r="AR131">
        <f t="shared" ca="1" si="47"/>
        <v>1.4310925445655585</v>
      </c>
      <c r="AS131">
        <f t="shared" ca="1" si="48"/>
        <v>1.4767896097003199</v>
      </c>
    </row>
    <row r="132" spans="2:45" x14ac:dyDescent="0.25">
      <c r="B132" s="22">
        <v>43623</v>
      </c>
      <c r="C132">
        <v>28.742999999999999</v>
      </c>
      <c r="D132">
        <v>37.9</v>
      </c>
      <c r="E132">
        <v>27.414000000000001</v>
      </c>
      <c r="F132">
        <v>51.048000000000002</v>
      </c>
      <c r="G132">
        <v>108.667</v>
      </c>
      <c r="H132">
        <v>15.792999999999999</v>
      </c>
      <c r="I132" s="6">
        <v>35662.879999999997</v>
      </c>
      <c r="K132" s="23">
        <f t="shared" si="28"/>
        <v>2.7910546697833549E-3</v>
      </c>
      <c r="L132" s="24">
        <f t="shared" si="29"/>
        <v>-2.4453024453024552E-2</v>
      </c>
      <c r="M132" s="24">
        <f t="shared" si="30"/>
        <v>-3.362944162436543E-2</v>
      </c>
      <c r="N132" s="24">
        <f t="shared" si="31"/>
        <v>-1.7400677548506271E-2</v>
      </c>
      <c r="O132" s="24">
        <f t="shared" si="32"/>
        <v>1.4186118136765291E-2</v>
      </c>
      <c r="P132" s="24">
        <f t="shared" si="33"/>
        <v>-2.5364107627746324E-2</v>
      </c>
      <c r="Q132" s="25">
        <f t="shared" si="34"/>
        <v>5.0467561701148744E-2</v>
      </c>
      <c r="S132" s="26">
        <f t="shared" si="38"/>
        <v>-1.3978346407848988E-2</v>
      </c>
      <c r="U132" s="5">
        <f t="shared" si="39"/>
        <v>261.67439696952908</v>
      </c>
      <c r="V132" s="6">
        <f t="shared" si="40"/>
        <v>195.04667397348982</v>
      </c>
      <c r="X132" s="20">
        <f t="shared" si="35"/>
        <v>1.3415988677925115</v>
      </c>
      <c r="Z132" s="22">
        <v>43623</v>
      </c>
      <c r="AA132" s="33">
        <v>54504.801200000002</v>
      </c>
      <c r="AB132" s="33">
        <v>34354.648300000001</v>
      </c>
      <c r="AC132" s="33">
        <v>16608.5664</v>
      </c>
      <c r="AD132" s="33">
        <v>29789.557799999999</v>
      </c>
      <c r="AE132" s="33">
        <v>93750.442899999995</v>
      </c>
      <c r="AF132" s="34">
        <v>15.792999999999999</v>
      </c>
      <c r="AH132" s="28">
        <f t="shared" si="41"/>
        <v>-2.1957729659461962E-3</v>
      </c>
      <c r="AJ132" s="5">
        <f t="shared" si="42"/>
        <v>257.68305166205005</v>
      </c>
      <c r="AK132" s="6">
        <f t="shared" si="43"/>
        <v>195.04667397348982</v>
      </c>
      <c r="AM132" s="1">
        <f t="shared" si="36"/>
        <v>43623</v>
      </c>
      <c r="AN132">
        <f t="shared" si="37"/>
        <v>1.3211353283423513</v>
      </c>
      <c r="AO132">
        <f t="shared" ca="1" si="44"/>
        <v>1.33286343553918</v>
      </c>
      <c r="AP132">
        <f t="shared" ca="1" si="45"/>
        <v>1.3699557889487446</v>
      </c>
      <c r="AQ132">
        <f t="shared" ca="1" si="46"/>
        <v>1.4012526785176709</v>
      </c>
      <c r="AR132">
        <f t="shared" ca="1" si="47"/>
        <v>1.4310011555145907</v>
      </c>
      <c r="AS132">
        <f t="shared" ca="1" si="48"/>
        <v>1.4767896097003199</v>
      </c>
    </row>
    <row r="133" spans="2:45" x14ac:dyDescent="0.25">
      <c r="B133" s="22">
        <v>43630</v>
      </c>
      <c r="C133">
        <v>31.138000000000002</v>
      </c>
      <c r="D133">
        <v>42.55</v>
      </c>
      <c r="E133">
        <v>32.441000000000003</v>
      </c>
      <c r="F133">
        <v>53.457000000000001</v>
      </c>
      <c r="G133">
        <v>120.54600000000001</v>
      </c>
      <c r="H133">
        <v>19.536000000000001</v>
      </c>
      <c r="I133" s="6">
        <v>40487.61</v>
      </c>
      <c r="K133" s="23">
        <f t="shared" si="28"/>
        <v>8.3324635563441607E-2</v>
      </c>
      <c r="L133" s="24">
        <f t="shared" si="29"/>
        <v>0.12269129287598934</v>
      </c>
      <c r="M133" s="24">
        <f t="shared" si="30"/>
        <v>0.18337345881666312</v>
      </c>
      <c r="N133" s="24">
        <f t="shared" si="31"/>
        <v>4.7190879172543498E-2</v>
      </c>
      <c r="O133" s="24">
        <f t="shared" si="32"/>
        <v>0.10931561559627112</v>
      </c>
      <c r="P133" s="24">
        <f t="shared" si="33"/>
        <v>0.23700373583233092</v>
      </c>
      <c r="Q133" s="25">
        <f t="shared" si="34"/>
        <v>0.13528716693660203</v>
      </c>
      <c r="S133" s="26">
        <f t="shared" si="38"/>
        <v>0.13048326964287327</v>
      </c>
      <c r="U133" s="5">
        <f t="shared" si="39"/>
        <v>295.81852786794042</v>
      </c>
      <c r="V133" s="6">
        <f t="shared" si="40"/>
        <v>221.43398591577034</v>
      </c>
      <c r="X133" s="20">
        <f t="shared" si="35"/>
        <v>1.3359219753216414</v>
      </c>
      <c r="Z133" s="22">
        <v>43630</v>
      </c>
      <c r="AA133" s="33">
        <v>59046.868000000002</v>
      </c>
      <c r="AB133" s="33">
        <v>38569.664499999999</v>
      </c>
      <c r="AC133" s="33">
        <v>19654.581900000001</v>
      </c>
      <c r="AD133" s="33">
        <v>31195.554599999999</v>
      </c>
      <c r="AE133" s="33">
        <v>103999.432</v>
      </c>
      <c r="AF133" s="34">
        <v>19.536000000000001</v>
      </c>
      <c r="AH133" s="28">
        <f t="shared" si="41"/>
        <v>0.10243522287566045</v>
      </c>
      <c r="AJ133" s="5">
        <f t="shared" si="42"/>
        <v>284.07887249033246</v>
      </c>
      <c r="AK133" s="6">
        <f t="shared" si="43"/>
        <v>221.43398591577034</v>
      </c>
      <c r="AM133" s="1">
        <f t="shared" si="36"/>
        <v>43630</v>
      </c>
      <c r="AN133">
        <f t="shared" si="37"/>
        <v>1.2829054732293494</v>
      </c>
      <c r="AO133">
        <f t="shared" ca="1" si="44"/>
        <v>1.3222377138275945</v>
      </c>
      <c r="AP133">
        <f t="shared" ca="1" si="45"/>
        <v>1.3679746608481718</v>
      </c>
      <c r="AQ133">
        <f t="shared" ca="1" si="46"/>
        <v>1.3987368474775228</v>
      </c>
      <c r="AR133">
        <f t="shared" ca="1" si="47"/>
        <v>1.4267698078096098</v>
      </c>
      <c r="AS133">
        <f t="shared" ca="1" si="48"/>
        <v>1.4767896097003199</v>
      </c>
    </row>
    <row r="134" spans="2:45" x14ac:dyDescent="0.25">
      <c r="B134" s="22">
        <v>43637</v>
      </c>
      <c r="C134">
        <v>29.382000000000001</v>
      </c>
      <c r="D134">
        <v>40.700000000000003</v>
      </c>
      <c r="E134">
        <v>30.57</v>
      </c>
      <c r="F134">
        <v>53.457000000000001</v>
      </c>
      <c r="G134">
        <v>115.85</v>
      </c>
      <c r="H134">
        <v>18.943000000000001</v>
      </c>
      <c r="I134" s="6">
        <v>40294.82</v>
      </c>
      <c r="K134" s="23">
        <f t="shared" ref="K134:K197" si="49">+C134/C133-1</f>
        <v>-5.6394116513584724E-2</v>
      </c>
      <c r="L134" s="24">
        <f t="shared" ref="L134:L197" si="50">+D134/D133-1</f>
        <v>-4.3478260869565077E-2</v>
      </c>
      <c r="M134" s="24">
        <f t="shared" ref="M134:M197" si="51">+E134/E133-1</f>
        <v>-5.7673931136524859E-2</v>
      </c>
      <c r="N134" s="24">
        <f t="shared" ref="N134:N197" si="52">+F134/F133-1</f>
        <v>0</v>
      </c>
      <c r="O134" s="24">
        <f t="shared" ref="O134:O197" si="53">+G134/G133-1</f>
        <v>-3.8956083154978227E-2</v>
      </c>
      <c r="P134" s="24">
        <f t="shared" ref="P134:P197" si="54">+H134/H133-1</f>
        <v>-3.035421785421788E-2</v>
      </c>
      <c r="Q134" s="25">
        <f t="shared" ref="Q134:Q197" si="55">+I134/I133-1</f>
        <v>-4.7617036421759851E-3</v>
      </c>
      <c r="S134" s="26">
        <f t="shared" si="38"/>
        <v>-3.7809434921478459E-2</v>
      </c>
      <c r="U134" s="5">
        <f t="shared" si="39"/>
        <v>284.63379648994993</v>
      </c>
      <c r="V134" s="6">
        <f t="shared" si="40"/>
        <v>220.37958289853367</v>
      </c>
      <c r="X134" s="20">
        <f t="shared" si="35"/>
        <v>1.2915615536898439</v>
      </c>
      <c r="Z134" s="22">
        <v>43637</v>
      </c>
      <c r="AA134" s="33">
        <v>55716.019</v>
      </c>
      <c r="AB134" s="33">
        <v>36892.722600000001</v>
      </c>
      <c r="AC134" s="33">
        <v>18520.663700000001</v>
      </c>
      <c r="AD134" s="33">
        <v>31195.554599999999</v>
      </c>
      <c r="AE134" s="33">
        <v>99947.506099999999</v>
      </c>
      <c r="AF134" s="34">
        <v>18.943000000000001</v>
      </c>
      <c r="AH134" s="28">
        <f t="shared" si="41"/>
        <v>-4.0368230580249416E-2</v>
      </c>
      <c r="AJ134" s="5">
        <f t="shared" si="42"/>
        <v>272.61111106266543</v>
      </c>
      <c r="AK134" s="6">
        <f t="shared" si="43"/>
        <v>220.37958289853367</v>
      </c>
      <c r="AM134" s="1">
        <f t="shared" si="36"/>
        <v>43637</v>
      </c>
      <c r="AN134">
        <f t="shared" si="37"/>
        <v>1.2370071105370046</v>
      </c>
      <c r="AO134">
        <f t="shared" ca="1" si="44"/>
        <v>1.3182469009168409</v>
      </c>
      <c r="AP134">
        <f t="shared" ca="1" si="45"/>
        <v>1.3649133548051875</v>
      </c>
      <c r="AQ134">
        <f t="shared" ca="1" si="46"/>
        <v>1.3951826213095835</v>
      </c>
      <c r="AR134">
        <f t="shared" ca="1" si="47"/>
        <v>1.4245998796597095</v>
      </c>
      <c r="AS134">
        <f t="shared" ca="1" si="48"/>
        <v>1.4767896097003199</v>
      </c>
    </row>
    <row r="135" spans="2:45" x14ac:dyDescent="0.25">
      <c r="B135" s="22">
        <v>43644</v>
      </c>
      <c r="C135">
        <v>31.457999999999998</v>
      </c>
      <c r="D135">
        <v>39.25</v>
      </c>
      <c r="E135">
        <v>31.707000000000001</v>
      </c>
      <c r="F135">
        <v>51.725999999999999</v>
      </c>
      <c r="G135">
        <v>114.652</v>
      </c>
      <c r="H135">
        <v>18.896999999999998</v>
      </c>
      <c r="I135" s="6">
        <v>41796.36</v>
      </c>
      <c r="K135" s="23">
        <f t="shared" si="49"/>
        <v>7.0655503369409844E-2</v>
      </c>
      <c r="L135" s="24">
        <f t="shared" si="50"/>
        <v>-3.5626535626535727E-2</v>
      </c>
      <c r="M135" s="24">
        <f t="shared" si="51"/>
        <v>3.7193326790971648E-2</v>
      </c>
      <c r="N135" s="24">
        <f t="shared" si="52"/>
        <v>-3.2381166170941111E-2</v>
      </c>
      <c r="O135" s="24">
        <f t="shared" si="53"/>
        <v>-1.0340958135520051E-2</v>
      </c>
      <c r="P135" s="24">
        <f t="shared" si="54"/>
        <v>-2.4283376445126681E-3</v>
      </c>
      <c r="Q135" s="25">
        <f t="shared" si="55"/>
        <v>3.7263846817034985E-2</v>
      </c>
      <c r="S135" s="26">
        <f t="shared" si="38"/>
        <v>4.5119720971453225E-3</v>
      </c>
      <c r="U135" s="5">
        <f t="shared" si="39"/>
        <v>285.91805623761712</v>
      </c>
      <c r="V135" s="6">
        <f t="shared" si="40"/>
        <v>228.59177391726669</v>
      </c>
      <c r="X135" s="20">
        <f t="shared" ref="X135:X198" si="56">+(U135/$U$6)/(V135/$V$6)</f>
        <v>1.2507801629865223</v>
      </c>
      <c r="Z135" s="22">
        <v>43644</v>
      </c>
      <c r="AA135" s="33">
        <v>59652.476900000001</v>
      </c>
      <c r="AB135" s="33">
        <v>35578.362699999998</v>
      </c>
      <c r="AC135" s="33">
        <v>19209.908100000001</v>
      </c>
      <c r="AD135" s="33">
        <v>30184.9944</v>
      </c>
      <c r="AE135" s="33">
        <v>98914.662200000006</v>
      </c>
      <c r="AF135" s="34">
        <v>18.896999999999998</v>
      </c>
      <c r="AH135" s="28">
        <f t="shared" si="41"/>
        <v>5.2308134287525976E-3</v>
      </c>
      <c r="AJ135" s="5">
        <f t="shared" si="42"/>
        <v>274.0370889232392</v>
      </c>
      <c r="AK135" s="6">
        <f t="shared" si="43"/>
        <v>228.59177391726669</v>
      </c>
      <c r="AM135" s="1">
        <f t="shared" ref="AM135:AM198" si="57">+B135</f>
        <v>43644</v>
      </c>
      <c r="AN135">
        <f t="shared" ref="AN135:AN198" si="58">+(AJ135/$AJ$6)/(AK135/$AK$6)</f>
        <v>1.1988055572919276</v>
      </c>
      <c r="AO135">
        <f t="shared" ca="1" si="44"/>
        <v>1.2994570545794655</v>
      </c>
      <c r="AP135">
        <f t="shared" ca="1" si="45"/>
        <v>1.3627433221409562</v>
      </c>
      <c r="AQ135">
        <f t="shared" ca="1" si="46"/>
        <v>1.3951826213095835</v>
      </c>
      <c r="AR135">
        <f t="shared" ca="1" si="47"/>
        <v>1.4245998796597095</v>
      </c>
      <c r="AS135">
        <f t="shared" ca="1" si="48"/>
        <v>1.4767896097003199</v>
      </c>
    </row>
    <row r="136" spans="2:45" x14ac:dyDescent="0.25">
      <c r="B136" s="22">
        <v>43651</v>
      </c>
      <c r="C136">
        <v>31.297999999999998</v>
      </c>
      <c r="D136">
        <v>42.4</v>
      </c>
      <c r="E136">
        <v>32.185000000000002</v>
      </c>
      <c r="F136">
        <v>53.006</v>
      </c>
      <c r="G136">
        <v>114.514</v>
      </c>
      <c r="H136">
        <v>18.713999999999999</v>
      </c>
      <c r="I136" s="6">
        <v>41755.69</v>
      </c>
      <c r="K136" s="23">
        <f t="shared" si="49"/>
        <v>-5.0861466081759676E-3</v>
      </c>
      <c r="L136" s="24">
        <f t="shared" si="50"/>
        <v>8.0254777070063676E-2</v>
      </c>
      <c r="M136" s="24">
        <f t="shared" si="51"/>
        <v>1.5075535370738358E-2</v>
      </c>
      <c r="N136" s="24">
        <f t="shared" si="52"/>
        <v>2.474577581873727E-2</v>
      </c>
      <c r="O136" s="24">
        <f t="shared" si="53"/>
        <v>-1.2036423263440676E-3</v>
      </c>
      <c r="P136" s="24">
        <f t="shared" si="54"/>
        <v>-9.6840768375933139E-3</v>
      </c>
      <c r="Q136" s="25">
        <f t="shared" si="55"/>
        <v>-9.7305124178270752E-4</v>
      </c>
      <c r="S136" s="26">
        <f t="shared" ref="S136:S199" si="59">+AVERAGE(K136:P136)</f>
        <v>1.7350370414570992E-2</v>
      </c>
      <c r="U136" s="5">
        <f t="shared" ref="U136:U199" si="60">+U135*(1+S136)</f>
        <v>290.87884042155395</v>
      </c>
      <c r="V136" s="6">
        <f t="shared" ref="V136:V199" si="61">+V135*(1+Q136)</f>
        <v>228.36934240779519</v>
      </c>
      <c r="X136" s="20">
        <f t="shared" si="56"/>
        <v>1.2737210579786873</v>
      </c>
      <c r="Z136" s="22">
        <v>43651</v>
      </c>
      <c r="AA136" s="33">
        <v>59349.672400000003</v>
      </c>
      <c r="AB136" s="33">
        <v>38433.696199999998</v>
      </c>
      <c r="AC136" s="33">
        <v>19498.946</v>
      </c>
      <c r="AD136" s="33">
        <v>30931.930199999999</v>
      </c>
      <c r="AE136" s="33">
        <v>98795.487899999993</v>
      </c>
      <c r="AF136" s="34">
        <v>18.713999999999999</v>
      </c>
      <c r="AH136" s="28">
        <f t="shared" ref="AH136:AH199" si="62">+SUMPRODUCT(K136:P136,AA135:AF135)/SUM(AA135:AF135)</f>
        <v>1.4243932318977364E-2</v>
      </c>
      <c r="AJ136" s="5">
        <f t="shared" ref="AJ136:AJ199" si="63">+AJ135*(1+AH136)</f>
        <v>277.94045467075142</v>
      </c>
      <c r="AK136" s="6">
        <f t="shared" ref="AK136:AK199" si="64">+AK135*(1+Q136)</f>
        <v>228.36934240779519</v>
      </c>
      <c r="AM136" s="1">
        <f t="shared" si="57"/>
        <v>43651</v>
      </c>
      <c r="AN136">
        <f t="shared" si="58"/>
        <v>1.2170655296385535</v>
      </c>
      <c r="AO136">
        <f t="shared" ca="1" si="44"/>
        <v>1.2994570545794655</v>
      </c>
      <c r="AP136">
        <f t="shared" ca="1" si="45"/>
        <v>1.3627433221409562</v>
      </c>
      <c r="AQ136">
        <f t="shared" ca="1" si="46"/>
        <v>1.3951826213095835</v>
      </c>
      <c r="AR136">
        <f t="shared" ca="1" si="47"/>
        <v>1.4245998796597095</v>
      </c>
      <c r="AS136">
        <f t="shared" ca="1" si="48"/>
        <v>1.4767896097003199</v>
      </c>
    </row>
    <row r="137" spans="2:45" x14ac:dyDescent="0.25">
      <c r="B137" s="22">
        <v>43658</v>
      </c>
      <c r="C137">
        <v>32.575000000000003</v>
      </c>
      <c r="D137">
        <v>44.3</v>
      </c>
      <c r="E137">
        <v>33.945999999999998</v>
      </c>
      <c r="F137">
        <v>53.533000000000001</v>
      </c>
      <c r="G137">
        <v>125.059</v>
      </c>
      <c r="H137">
        <v>21.315999999999999</v>
      </c>
      <c r="I137" s="6">
        <v>42753.1</v>
      </c>
      <c r="K137" s="23">
        <f t="shared" si="49"/>
        <v>4.0801329158412836E-2</v>
      </c>
      <c r="L137" s="24">
        <f t="shared" si="50"/>
        <v>4.4811320754716943E-2</v>
      </c>
      <c r="M137" s="24">
        <f t="shared" si="51"/>
        <v>5.4714929314898075E-2</v>
      </c>
      <c r="N137" s="24">
        <f t="shared" si="52"/>
        <v>9.9422706863374621E-3</v>
      </c>
      <c r="O137" s="24">
        <f t="shared" si="53"/>
        <v>9.2084810590844723E-2</v>
      </c>
      <c r="P137" s="24">
        <f t="shared" si="54"/>
        <v>0.13904029069146095</v>
      </c>
      <c r="Q137" s="25">
        <f t="shared" si="55"/>
        <v>2.3886804409171347E-2</v>
      </c>
      <c r="S137" s="26">
        <f t="shared" si="59"/>
        <v>6.3565825199445161E-2</v>
      </c>
      <c r="U137" s="5">
        <f t="shared" si="60"/>
        <v>309.36879394600771</v>
      </c>
      <c r="V137" s="6">
        <f t="shared" si="61"/>
        <v>233.82435622294128</v>
      </c>
      <c r="X137" s="20">
        <f t="shared" si="56"/>
        <v>1.3230819874514617</v>
      </c>
      <c r="Z137" s="22">
        <v>43658</v>
      </c>
      <c r="AA137" s="33">
        <v>61772.108</v>
      </c>
      <c r="AB137" s="33">
        <v>40155.960899999998</v>
      </c>
      <c r="AC137" s="33">
        <v>20566.163199999999</v>
      </c>
      <c r="AD137" s="33">
        <v>31239.491999999998</v>
      </c>
      <c r="AE137" s="33">
        <v>107892.4589</v>
      </c>
      <c r="AF137" s="34">
        <v>21.315999999999999</v>
      </c>
      <c r="AH137" s="28">
        <f t="shared" si="62"/>
        <v>5.9176962281201999E-2</v>
      </c>
      <c r="AJ137" s="5">
        <f t="shared" si="63"/>
        <v>294.3881264732226</v>
      </c>
      <c r="AK137" s="6">
        <f t="shared" si="64"/>
        <v>233.82435622294128</v>
      </c>
      <c r="AM137" s="1">
        <f t="shared" si="57"/>
        <v>43658</v>
      </c>
      <c r="AN137">
        <f t="shared" si="58"/>
        <v>1.2590139505934808</v>
      </c>
      <c r="AO137">
        <f t="shared" ca="1" si="44"/>
        <v>1.2971529867719263</v>
      </c>
      <c r="AP137">
        <f t="shared" ca="1" si="45"/>
        <v>1.3627433221409562</v>
      </c>
      <c r="AQ137">
        <f t="shared" ca="1" si="46"/>
        <v>1.3951826213095835</v>
      </c>
      <c r="AR137">
        <f t="shared" ca="1" si="47"/>
        <v>1.4245998796597095</v>
      </c>
      <c r="AS137">
        <f t="shared" ca="1" si="48"/>
        <v>1.4767896097003199</v>
      </c>
    </row>
    <row r="138" spans="2:45" x14ac:dyDescent="0.25">
      <c r="B138" s="22">
        <v>43665</v>
      </c>
      <c r="C138">
        <v>30.978999999999999</v>
      </c>
      <c r="D138">
        <v>40.950000000000003</v>
      </c>
      <c r="E138">
        <v>32.110999999999997</v>
      </c>
      <c r="F138">
        <v>52.328000000000003</v>
      </c>
      <c r="G138">
        <v>119.211</v>
      </c>
      <c r="H138">
        <v>18.257999999999999</v>
      </c>
      <c r="I138" s="6">
        <v>40161.599999999999</v>
      </c>
      <c r="K138" s="23">
        <f t="shared" si="49"/>
        <v>-4.8994627782041555E-2</v>
      </c>
      <c r="L138" s="24">
        <f t="shared" si="50"/>
        <v>-7.5620767494356533E-2</v>
      </c>
      <c r="M138" s="24">
        <f t="shared" si="51"/>
        <v>-5.4056442585282527E-2</v>
      </c>
      <c r="N138" s="24">
        <f t="shared" si="52"/>
        <v>-2.2509480133749205E-2</v>
      </c>
      <c r="O138" s="24">
        <f t="shared" si="53"/>
        <v>-4.6761928369809413E-2</v>
      </c>
      <c r="P138" s="24">
        <f t="shared" si="54"/>
        <v>-0.14346031150309624</v>
      </c>
      <c r="Q138" s="25">
        <f t="shared" si="55"/>
        <v>-6.0615487531898271E-2</v>
      </c>
      <c r="S138" s="26">
        <f t="shared" si="59"/>
        <v>-6.5233926311389245E-2</v>
      </c>
      <c r="U138" s="5">
        <f t="shared" si="60"/>
        <v>289.18745283869049</v>
      </c>
      <c r="V138" s="6">
        <f t="shared" si="61"/>
        <v>219.65097887365545</v>
      </c>
      <c r="X138" s="20">
        <f t="shared" si="56"/>
        <v>1.3165771184886585</v>
      </c>
      <c r="Z138" s="22">
        <v>43665</v>
      </c>
      <c r="AA138" s="33">
        <v>58744.063499999997</v>
      </c>
      <c r="AB138" s="33">
        <v>37119.336300000003</v>
      </c>
      <c r="AC138" s="33">
        <v>19454.4787</v>
      </c>
      <c r="AD138" s="33">
        <v>30536.493600000002</v>
      </c>
      <c r="AE138" s="33">
        <v>102847.4139</v>
      </c>
      <c r="AF138" s="34">
        <v>18.257999999999999</v>
      </c>
      <c r="AH138" s="28">
        <f t="shared" si="62"/>
        <v>-4.9403727726862849E-2</v>
      </c>
      <c r="AJ138" s="5">
        <f t="shared" si="63"/>
        <v>279.84425562691825</v>
      </c>
      <c r="AK138" s="6">
        <f t="shared" si="64"/>
        <v>219.65097887365545</v>
      </c>
      <c r="AM138" s="1">
        <f t="shared" si="57"/>
        <v>43665</v>
      </c>
      <c r="AN138">
        <f t="shared" si="58"/>
        <v>1.2740405577153668</v>
      </c>
      <c r="AO138">
        <f t="shared" ca="1" si="44"/>
        <v>1.2935627619350079</v>
      </c>
      <c r="AP138">
        <f t="shared" ca="1" si="45"/>
        <v>1.3627433221409562</v>
      </c>
      <c r="AQ138">
        <f t="shared" ca="1" si="46"/>
        <v>1.3951826213095835</v>
      </c>
      <c r="AR138">
        <f t="shared" ca="1" si="47"/>
        <v>1.4245998796597095</v>
      </c>
      <c r="AS138">
        <f t="shared" ca="1" si="48"/>
        <v>1.4767896097003199</v>
      </c>
    </row>
    <row r="139" spans="2:45" x14ac:dyDescent="0.25">
      <c r="B139" s="22">
        <v>43672</v>
      </c>
      <c r="C139">
        <v>31.538</v>
      </c>
      <c r="D139">
        <v>42.05</v>
      </c>
      <c r="E139">
        <v>33.652000000000001</v>
      </c>
      <c r="F139">
        <v>55.414999999999999</v>
      </c>
      <c r="G139">
        <v>122.80200000000001</v>
      </c>
      <c r="H139">
        <v>18.532</v>
      </c>
      <c r="I139" s="6">
        <v>41983.73</v>
      </c>
      <c r="K139" s="23">
        <f t="shared" si="49"/>
        <v>1.8044481745698837E-2</v>
      </c>
      <c r="L139" s="24">
        <f t="shared" si="50"/>
        <v>2.6862026862026767E-2</v>
      </c>
      <c r="M139" s="24">
        <f t="shared" si="51"/>
        <v>4.7989785431783671E-2</v>
      </c>
      <c r="N139" s="24">
        <f t="shared" si="52"/>
        <v>5.8993273199816398E-2</v>
      </c>
      <c r="O139" s="24">
        <f t="shared" si="53"/>
        <v>3.0123059113672523E-2</v>
      </c>
      <c r="P139" s="24">
        <f t="shared" si="54"/>
        <v>1.5007120166502297E-2</v>
      </c>
      <c r="Q139" s="25">
        <f t="shared" si="55"/>
        <v>4.5369955380263782E-2</v>
      </c>
      <c r="S139" s="26">
        <f t="shared" si="59"/>
        <v>3.2836624419916749E-2</v>
      </c>
      <c r="U139" s="5">
        <f t="shared" si="60"/>
        <v>298.68339261450694</v>
      </c>
      <c r="V139" s="6">
        <f t="shared" si="61"/>
        <v>229.61653398438446</v>
      </c>
      <c r="X139" s="20">
        <f t="shared" si="56"/>
        <v>1.300792183522897</v>
      </c>
      <c r="Z139" s="22">
        <v>43672</v>
      </c>
      <c r="AA139" s="33">
        <v>59803.879099999998</v>
      </c>
      <c r="AB139" s="33">
        <v>38116.436999999998</v>
      </c>
      <c r="AC139" s="33">
        <v>20388.293600000001</v>
      </c>
      <c r="AD139" s="33">
        <v>32337.927100000001</v>
      </c>
      <c r="AE139" s="33">
        <v>105945.9455</v>
      </c>
      <c r="AF139" s="34">
        <v>18.532</v>
      </c>
      <c r="AH139" s="28">
        <f t="shared" si="62"/>
        <v>3.1724517895681238E-2</v>
      </c>
      <c r="AJ139" s="5">
        <f t="shared" si="63"/>
        <v>288.72217972255805</v>
      </c>
      <c r="AK139" s="6">
        <f t="shared" si="64"/>
        <v>229.61653398438446</v>
      </c>
      <c r="AM139" s="1">
        <f t="shared" si="57"/>
        <v>43672</v>
      </c>
      <c r="AN139">
        <f t="shared" si="58"/>
        <v>1.2574102339781561</v>
      </c>
      <c r="AO139">
        <f t="shared" ca="1" si="44"/>
        <v>1.2839569563643993</v>
      </c>
      <c r="AP139">
        <f t="shared" ca="1" si="45"/>
        <v>1.3627433221409562</v>
      </c>
      <c r="AQ139">
        <f t="shared" ca="1" si="46"/>
        <v>1.3951826213095835</v>
      </c>
      <c r="AR139">
        <f t="shared" ca="1" si="47"/>
        <v>1.4245998796597095</v>
      </c>
      <c r="AS139">
        <f t="shared" ca="1" si="48"/>
        <v>1.4767896097003199</v>
      </c>
    </row>
    <row r="140" spans="2:45" x14ac:dyDescent="0.25">
      <c r="B140" s="22">
        <v>43679</v>
      </c>
      <c r="C140">
        <v>31.696999999999999</v>
      </c>
      <c r="D140">
        <v>41</v>
      </c>
      <c r="E140">
        <v>34.24</v>
      </c>
      <c r="F140">
        <v>57.749000000000002</v>
      </c>
      <c r="G140">
        <v>122.61799999999999</v>
      </c>
      <c r="H140">
        <v>19.033999999999999</v>
      </c>
      <c r="I140" s="6">
        <v>41359.15</v>
      </c>
      <c r="K140" s="23">
        <f t="shared" si="49"/>
        <v>5.0415371932270858E-3</v>
      </c>
      <c r="L140" s="24">
        <f t="shared" si="50"/>
        <v>-2.4970273483947647E-2</v>
      </c>
      <c r="M140" s="24">
        <f t="shared" si="51"/>
        <v>1.7472958516581594E-2</v>
      </c>
      <c r="N140" s="24">
        <f t="shared" si="52"/>
        <v>4.2118559956690449E-2</v>
      </c>
      <c r="O140" s="24">
        <f t="shared" si="53"/>
        <v>-1.4983469324604259E-3</v>
      </c>
      <c r="P140" s="24">
        <f t="shared" si="54"/>
        <v>2.7088279732354836E-2</v>
      </c>
      <c r="Q140" s="25">
        <f t="shared" si="55"/>
        <v>-1.4876715337107993E-2</v>
      </c>
      <c r="S140" s="26">
        <f t="shared" si="59"/>
        <v>1.0875452497074315E-2</v>
      </c>
      <c r="U140" s="5">
        <f t="shared" si="60"/>
        <v>301.93170966255099</v>
      </c>
      <c r="V140" s="6">
        <f t="shared" si="61"/>
        <v>226.20059417160539</v>
      </c>
      <c r="X140" s="20">
        <f t="shared" si="56"/>
        <v>1.3347962712842953</v>
      </c>
      <c r="Z140" s="22">
        <v>43679</v>
      </c>
      <c r="AA140" s="33">
        <v>60106.683599999997</v>
      </c>
      <c r="AB140" s="33">
        <v>37164.659099999997</v>
      </c>
      <c r="AC140" s="33">
        <v>20744.0327</v>
      </c>
      <c r="AD140" s="33">
        <v>33699.986499999999</v>
      </c>
      <c r="AE140" s="33">
        <v>105787.04640000001</v>
      </c>
      <c r="AF140" s="34">
        <v>19.033999999999999</v>
      </c>
      <c r="AH140" s="28">
        <f t="shared" si="62"/>
        <v>3.5452670432970642E-3</v>
      </c>
      <c r="AJ140" s="5">
        <f t="shared" si="63"/>
        <v>289.74577695099737</v>
      </c>
      <c r="AK140" s="6">
        <f t="shared" si="64"/>
        <v>226.20059417160539</v>
      </c>
      <c r="AM140" s="1">
        <f t="shared" si="57"/>
        <v>43679</v>
      </c>
      <c r="AN140">
        <f t="shared" si="58"/>
        <v>1.2809240312215269</v>
      </c>
      <c r="AO140">
        <f t="shared" ca="1" si="44"/>
        <v>1.274927049266765</v>
      </c>
      <c r="AP140">
        <f t="shared" ca="1" si="45"/>
        <v>1.3595182608772227</v>
      </c>
      <c r="AQ140">
        <f t="shared" ca="1" si="46"/>
        <v>1.3951826213095835</v>
      </c>
      <c r="AR140">
        <f t="shared" ca="1" si="47"/>
        <v>1.4245998796597095</v>
      </c>
      <c r="AS140">
        <f t="shared" ca="1" si="48"/>
        <v>1.4767896097003199</v>
      </c>
    </row>
    <row r="141" spans="2:45" x14ac:dyDescent="0.25">
      <c r="B141" s="22">
        <v>43686</v>
      </c>
      <c r="C141">
        <v>32.295999999999999</v>
      </c>
      <c r="D141">
        <v>42.3</v>
      </c>
      <c r="E141">
        <v>34.936999999999998</v>
      </c>
      <c r="F141">
        <v>58.125999999999998</v>
      </c>
      <c r="G141">
        <v>131.827</v>
      </c>
      <c r="H141">
        <v>18.120999999999999</v>
      </c>
      <c r="I141" s="6">
        <v>44355.09</v>
      </c>
      <c r="K141" s="23">
        <f t="shared" si="49"/>
        <v>1.8897687478310221E-2</v>
      </c>
      <c r="L141" s="24">
        <f t="shared" si="50"/>
        <v>3.170731707317076E-2</v>
      </c>
      <c r="M141" s="24">
        <f t="shared" si="51"/>
        <v>2.035630841121483E-2</v>
      </c>
      <c r="N141" s="24">
        <f t="shared" si="52"/>
        <v>6.5282515714557565E-3</v>
      </c>
      <c r="O141" s="24">
        <f t="shared" si="53"/>
        <v>7.5103165929961468E-2</v>
      </c>
      <c r="P141" s="24">
        <f t="shared" si="54"/>
        <v>-4.7966796259325428E-2</v>
      </c>
      <c r="Q141" s="25">
        <f t="shared" si="55"/>
        <v>7.2437175328796455E-2</v>
      </c>
      <c r="S141" s="26">
        <f t="shared" si="59"/>
        <v>1.7437655700797933E-2</v>
      </c>
      <c r="U141" s="5">
        <f t="shared" si="60"/>
        <v>307.19669086079989</v>
      </c>
      <c r="V141" s="6">
        <f t="shared" si="61"/>
        <v>242.58592627109189</v>
      </c>
      <c r="X141" s="20">
        <f t="shared" si="56"/>
        <v>1.266341768390574</v>
      </c>
      <c r="Z141" s="22">
        <v>43686</v>
      </c>
      <c r="AA141" s="33">
        <v>61242.200299999997</v>
      </c>
      <c r="AB141" s="33">
        <v>38343.0507</v>
      </c>
      <c r="AC141" s="33">
        <v>21166.4728</v>
      </c>
      <c r="AD141" s="33">
        <v>33919.673499999997</v>
      </c>
      <c r="AE141" s="33">
        <v>113731.99920000001</v>
      </c>
      <c r="AF141" s="34">
        <v>18.120999999999999</v>
      </c>
      <c r="AH141" s="28">
        <f t="shared" si="62"/>
        <v>4.2328793559301969E-2</v>
      </c>
      <c r="AJ141" s="5">
        <f t="shared" si="63"/>
        <v>302.01036612823572</v>
      </c>
      <c r="AK141" s="6">
        <f t="shared" si="64"/>
        <v>242.58592627109189</v>
      </c>
      <c r="AM141" s="1">
        <f t="shared" si="57"/>
        <v>43686</v>
      </c>
      <c r="AN141">
        <f t="shared" si="58"/>
        <v>1.2449624377250001</v>
      </c>
      <c r="AO141">
        <f t="shared" ca="1" si="44"/>
        <v>1.2747289050659829</v>
      </c>
      <c r="AP141">
        <f t="shared" ca="1" si="45"/>
        <v>1.3547197980744892</v>
      </c>
      <c r="AQ141">
        <f t="shared" ca="1" si="46"/>
        <v>1.3951826213095835</v>
      </c>
      <c r="AR141">
        <f t="shared" ca="1" si="47"/>
        <v>1.4245998796597095</v>
      </c>
      <c r="AS141">
        <f t="shared" ca="1" si="48"/>
        <v>1.4767896097003199</v>
      </c>
    </row>
    <row r="142" spans="2:45" x14ac:dyDescent="0.25">
      <c r="B142" s="22">
        <v>43693</v>
      </c>
      <c r="C142">
        <v>17.805</v>
      </c>
      <c r="D142">
        <v>21.45</v>
      </c>
      <c r="E142">
        <v>17.175000000000001</v>
      </c>
      <c r="F142">
        <v>35.237000000000002</v>
      </c>
      <c r="G142">
        <v>100.378</v>
      </c>
      <c r="H142">
        <v>12.689</v>
      </c>
      <c r="I142" s="6">
        <v>30406.65</v>
      </c>
      <c r="K142" s="23">
        <f t="shared" si="49"/>
        <v>-0.44869333663611588</v>
      </c>
      <c r="L142" s="24">
        <f t="shared" si="50"/>
        <v>-0.49290780141843971</v>
      </c>
      <c r="M142" s="24">
        <f t="shared" si="51"/>
        <v>-0.5084008357901364</v>
      </c>
      <c r="N142" s="24">
        <f t="shared" si="52"/>
        <v>-0.39378247255961185</v>
      </c>
      <c r="O142" s="24">
        <f t="shared" si="53"/>
        <v>-0.23856266167021933</v>
      </c>
      <c r="P142" s="24">
        <f t="shared" si="54"/>
        <v>-0.2997627062524143</v>
      </c>
      <c r="Q142" s="25">
        <f t="shared" si="55"/>
        <v>-0.31447213837239418</v>
      </c>
      <c r="S142" s="26">
        <f t="shared" si="59"/>
        <v>-0.39701830238782287</v>
      </c>
      <c r="U142" s="5">
        <f t="shared" si="60"/>
        <v>185.2339821560883</v>
      </c>
      <c r="V142" s="6">
        <f t="shared" si="61"/>
        <v>166.29941129757367</v>
      </c>
      <c r="X142" s="20">
        <f t="shared" si="56"/>
        <v>1.1138583156174462</v>
      </c>
      <c r="Z142" s="22">
        <v>43693</v>
      </c>
      <c r="AA142" s="33">
        <v>33762.696300000003</v>
      </c>
      <c r="AB142" s="33">
        <v>19443.461899999998</v>
      </c>
      <c r="AC142" s="33">
        <v>10405.366900000001</v>
      </c>
      <c r="AD142" s="33">
        <v>20562.703600000001</v>
      </c>
      <c r="AE142" s="33">
        <v>86599.985400000005</v>
      </c>
      <c r="AF142" s="34">
        <v>12.689</v>
      </c>
      <c r="AH142" s="28">
        <f t="shared" si="62"/>
        <v>-0.36373470626652837</v>
      </c>
      <c r="AJ142" s="5">
        <f t="shared" si="63"/>
        <v>192.1587143151352</v>
      </c>
      <c r="AK142" s="6">
        <f t="shared" si="64"/>
        <v>166.29941129757367</v>
      </c>
      <c r="AM142" s="1">
        <f t="shared" si="57"/>
        <v>43693</v>
      </c>
      <c r="AN142">
        <f t="shared" si="58"/>
        <v>1.1554984639800636</v>
      </c>
      <c r="AO142">
        <f t="shared" ca="1" si="44"/>
        <v>1.2605166113056694</v>
      </c>
      <c r="AP142">
        <f t="shared" ca="1" si="45"/>
        <v>1.3456640792773018</v>
      </c>
      <c r="AQ142">
        <f t="shared" ca="1" si="46"/>
        <v>1.3921878535051606</v>
      </c>
      <c r="AR142">
        <f t="shared" ca="1" si="47"/>
        <v>1.4245998796597095</v>
      </c>
      <c r="AS142">
        <f t="shared" ca="1" si="48"/>
        <v>1.4767896097003199</v>
      </c>
    </row>
    <row r="143" spans="2:45" x14ac:dyDescent="0.25">
      <c r="B143" s="22">
        <v>43700</v>
      </c>
      <c r="C143">
        <v>16.248000000000001</v>
      </c>
      <c r="D143">
        <v>17.8</v>
      </c>
      <c r="E143">
        <v>15.12</v>
      </c>
      <c r="F143">
        <v>29.439</v>
      </c>
      <c r="G143">
        <v>90.295000000000002</v>
      </c>
      <c r="H143">
        <v>11.913</v>
      </c>
      <c r="I143" s="6">
        <v>26585.97</v>
      </c>
      <c r="K143" s="23">
        <f t="shared" si="49"/>
        <v>-8.7447346251052993E-2</v>
      </c>
      <c r="L143" s="24">
        <f t="shared" si="50"/>
        <v>-0.17016317016317006</v>
      </c>
      <c r="M143" s="24">
        <f t="shared" si="51"/>
        <v>-0.11965065502183414</v>
      </c>
      <c r="N143" s="24">
        <f t="shared" si="52"/>
        <v>-0.1645429520106706</v>
      </c>
      <c r="O143" s="24">
        <f t="shared" si="53"/>
        <v>-0.10045029787403614</v>
      </c>
      <c r="P143" s="24">
        <f t="shared" si="54"/>
        <v>-6.1155331389392331E-2</v>
      </c>
      <c r="Q143" s="25">
        <f t="shared" si="55"/>
        <v>-0.12565277661301066</v>
      </c>
      <c r="S143" s="26">
        <f t="shared" si="59"/>
        <v>-0.11723495878502604</v>
      </c>
      <c r="U143" s="5">
        <f t="shared" si="60"/>
        <v>163.51808389243303</v>
      </c>
      <c r="V143" s="6">
        <f t="shared" si="61"/>
        <v>145.40342851892447</v>
      </c>
      <c r="X143" s="20">
        <f t="shared" si="56"/>
        <v>1.1245820374252793</v>
      </c>
      <c r="Z143" s="22">
        <v>43700</v>
      </c>
      <c r="AA143" s="33">
        <v>30810.352900000002</v>
      </c>
      <c r="AB143" s="33">
        <v>16134.900799999999</v>
      </c>
      <c r="AC143" s="33">
        <v>9160.2801999999992</v>
      </c>
      <c r="AD143" s="33">
        <v>17179.523799999999</v>
      </c>
      <c r="AE143" s="33">
        <v>77900.262100000007</v>
      </c>
      <c r="AF143" s="34">
        <v>11.913</v>
      </c>
      <c r="AH143" s="28">
        <f t="shared" si="62"/>
        <v>-0.11469993424733044</v>
      </c>
      <c r="AJ143" s="5">
        <f t="shared" si="63"/>
        <v>170.11812241813763</v>
      </c>
      <c r="AK143" s="6">
        <f t="shared" si="64"/>
        <v>145.40342851892447</v>
      </c>
      <c r="AM143" s="1">
        <f t="shared" si="57"/>
        <v>43700</v>
      </c>
      <c r="AN143">
        <f t="shared" si="58"/>
        <v>1.1699732540763061</v>
      </c>
      <c r="AO143">
        <f t="shared" ca="1" si="44"/>
        <v>1.2575706056396885</v>
      </c>
      <c r="AP143">
        <f t="shared" ca="1" si="45"/>
        <v>1.3294032194816752</v>
      </c>
      <c r="AQ143">
        <f t="shared" ca="1" si="46"/>
        <v>1.392034422261792</v>
      </c>
      <c r="AR143">
        <f t="shared" ca="1" si="47"/>
        <v>1.4245998796597095</v>
      </c>
      <c r="AS143">
        <f t="shared" ca="1" si="48"/>
        <v>1.4767896097003199</v>
      </c>
    </row>
    <row r="144" spans="2:45" x14ac:dyDescent="0.25">
      <c r="B144" s="22">
        <v>43707</v>
      </c>
      <c r="C144">
        <v>13.573</v>
      </c>
      <c r="D144">
        <v>17</v>
      </c>
      <c r="E144">
        <v>12.587999999999999</v>
      </c>
      <c r="F144">
        <v>18.295999999999999</v>
      </c>
      <c r="G144">
        <v>86.978999999999999</v>
      </c>
      <c r="H144">
        <v>10.407</v>
      </c>
      <c r="I144" s="6">
        <v>24608.560000000001</v>
      </c>
      <c r="K144" s="23">
        <f t="shared" si="49"/>
        <v>-0.16463564746430337</v>
      </c>
      <c r="L144" s="24">
        <f t="shared" si="50"/>
        <v>-4.49438202247191E-2</v>
      </c>
      <c r="M144" s="24">
        <f t="shared" si="51"/>
        <v>-0.16746031746031742</v>
      </c>
      <c r="N144" s="24">
        <f t="shared" si="52"/>
        <v>-0.37851149835252562</v>
      </c>
      <c r="O144" s="24">
        <f t="shared" si="53"/>
        <v>-3.6724071100282418E-2</v>
      </c>
      <c r="P144" s="24">
        <f t="shared" si="54"/>
        <v>-0.12641651976832036</v>
      </c>
      <c r="Q144" s="25">
        <f t="shared" si="55"/>
        <v>-7.4377951979935242E-2</v>
      </c>
      <c r="S144" s="26">
        <f t="shared" si="59"/>
        <v>-0.15311531239507806</v>
      </c>
      <c r="U144" s="5">
        <f t="shared" si="60"/>
        <v>138.48096139499856</v>
      </c>
      <c r="V144" s="6">
        <f t="shared" si="61"/>
        <v>134.58861929482595</v>
      </c>
      <c r="X144" s="20">
        <f t="shared" si="56"/>
        <v>1.028920291482047</v>
      </c>
      <c r="Z144" s="22">
        <v>43707</v>
      </c>
      <c r="AA144" s="33">
        <v>25738.378400000001</v>
      </c>
      <c r="AB144" s="33">
        <v>15409.736699999999</v>
      </c>
      <c r="AC144" s="33">
        <v>7626.1556</v>
      </c>
      <c r="AD144" s="33">
        <v>10676.788399999999</v>
      </c>
      <c r="AE144" s="33">
        <v>75040.079100000003</v>
      </c>
      <c r="AF144" s="34">
        <v>10.407</v>
      </c>
      <c r="AH144" s="28">
        <f t="shared" si="62"/>
        <v>-0.1104292562695858</v>
      </c>
      <c r="AJ144" s="5">
        <f t="shared" si="63"/>
        <v>151.33210468152436</v>
      </c>
      <c r="AK144" s="6">
        <f t="shared" si="64"/>
        <v>134.58861929482595</v>
      </c>
      <c r="AM144" s="1">
        <f t="shared" si="57"/>
        <v>43707</v>
      </c>
      <c r="AN144">
        <f t="shared" si="58"/>
        <v>1.1244049123501343</v>
      </c>
      <c r="AO144">
        <f t="shared" ca="1" si="44"/>
        <v>1.2462072173503158</v>
      </c>
      <c r="AP144">
        <f t="shared" ca="1" si="45"/>
        <v>1.3145627157896254</v>
      </c>
      <c r="AQ144">
        <f t="shared" ca="1" si="46"/>
        <v>1.3917440914311816</v>
      </c>
      <c r="AR144">
        <f t="shared" ca="1" si="47"/>
        <v>1.4245998796597095</v>
      </c>
      <c r="AS144">
        <f t="shared" ca="1" si="48"/>
        <v>1.4767896097003199</v>
      </c>
    </row>
    <row r="145" spans="2:45" x14ac:dyDescent="0.25">
      <c r="B145" s="22">
        <v>43714</v>
      </c>
      <c r="C145">
        <v>15.37</v>
      </c>
      <c r="D145">
        <v>20</v>
      </c>
      <c r="E145">
        <v>13.395</v>
      </c>
      <c r="F145">
        <v>23.529</v>
      </c>
      <c r="G145">
        <v>95.36</v>
      </c>
      <c r="H145">
        <v>14.195</v>
      </c>
      <c r="I145" s="6">
        <v>27659.66</v>
      </c>
      <c r="K145" s="23">
        <f t="shared" si="49"/>
        <v>0.13239519634568619</v>
      </c>
      <c r="L145" s="24">
        <f t="shared" si="50"/>
        <v>0.17647058823529416</v>
      </c>
      <c r="M145" s="24">
        <f t="shared" si="51"/>
        <v>6.4108674928503362E-2</v>
      </c>
      <c r="N145" s="24">
        <f t="shared" si="52"/>
        <v>0.28601880192391782</v>
      </c>
      <c r="O145" s="24">
        <f t="shared" si="53"/>
        <v>9.6356591821014304E-2</v>
      </c>
      <c r="P145" s="24">
        <f t="shared" si="54"/>
        <v>0.36398577880272898</v>
      </c>
      <c r="Q145" s="25">
        <f t="shared" si="55"/>
        <v>0.12398531242787048</v>
      </c>
      <c r="S145" s="26">
        <f t="shared" si="59"/>
        <v>0.1865559386761908</v>
      </c>
      <c r="U145" s="5">
        <f t="shared" si="60"/>
        <v>164.31540713682386</v>
      </c>
      <c r="V145" s="6">
        <f t="shared" si="61"/>
        <v>151.27563130733066</v>
      </c>
      <c r="X145" s="20">
        <f t="shared" si="56"/>
        <v>1.0861987863927778</v>
      </c>
      <c r="Z145" s="22">
        <v>43714</v>
      </c>
      <c r="AA145" s="33">
        <v>29144.928400000001</v>
      </c>
      <c r="AB145" s="33">
        <v>18129.101999999999</v>
      </c>
      <c r="AC145" s="33">
        <v>8115.2968000000001</v>
      </c>
      <c r="AD145" s="33">
        <v>13730.4378</v>
      </c>
      <c r="AE145" s="33">
        <v>82269.986099999995</v>
      </c>
      <c r="AF145" s="34">
        <v>14.195</v>
      </c>
      <c r="AH145" s="28">
        <f t="shared" si="62"/>
        <v>0.1256793159192692</v>
      </c>
      <c r="AJ145" s="5">
        <f t="shared" si="63"/>
        <v>170.3514200745216</v>
      </c>
      <c r="AK145" s="6">
        <f t="shared" si="64"/>
        <v>151.27563130733066</v>
      </c>
      <c r="AM145" s="1">
        <f t="shared" si="57"/>
        <v>43714</v>
      </c>
      <c r="AN145">
        <f t="shared" si="58"/>
        <v>1.1260995482374598</v>
      </c>
      <c r="AO145">
        <f t="shared" ca="1" si="44"/>
        <v>1.2378026432558042</v>
      </c>
      <c r="AP145">
        <f t="shared" ca="1" si="45"/>
        <v>1.2944887347435481</v>
      </c>
      <c r="AQ145">
        <f t="shared" ca="1" si="46"/>
        <v>1.3886400357440416</v>
      </c>
      <c r="AR145">
        <f t="shared" ca="1" si="47"/>
        <v>1.4245998796597095</v>
      </c>
      <c r="AS145">
        <f t="shared" ca="1" si="48"/>
        <v>1.4767896097003199</v>
      </c>
    </row>
    <row r="146" spans="2:45" x14ac:dyDescent="0.25">
      <c r="B146" s="22">
        <v>43721</v>
      </c>
      <c r="C146">
        <v>17.484999999999999</v>
      </c>
      <c r="D146">
        <v>24.4</v>
      </c>
      <c r="E146">
        <v>17.504999999999999</v>
      </c>
      <c r="F146">
        <v>34.71</v>
      </c>
      <c r="G146">
        <v>103.279</v>
      </c>
      <c r="H146">
        <v>16.067</v>
      </c>
      <c r="I146" s="6">
        <v>30136.28</v>
      </c>
      <c r="K146" s="23">
        <f t="shared" si="49"/>
        <v>0.13760572543916716</v>
      </c>
      <c r="L146" s="24">
        <f t="shared" si="50"/>
        <v>0.21999999999999997</v>
      </c>
      <c r="M146" s="24">
        <f t="shared" si="51"/>
        <v>0.30683090705487115</v>
      </c>
      <c r="N146" s="24">
        <f t="shared" si="52"/>
        <v>0.47520081601428021</v>
      </c>
      <c r="O146" s="24">
        <f t="shared" si="53"/>
        <v>8.3043204697986539E-2</v>
      </c>
      <c r="P146" s="24">
        <f t="shared" si="54"/>
        <v>0.13187742162733351</v>
      </c>
      <c r="Q146" s="25">
        <f t="shared" si="55"/>
        <v>8.9539061579209545E-2</v>
      </c>
      <c r="S146" s="26">
        <f t="shared" si="59"/>
        <v>0.22575967913893977</v>
      </c>
      <c r="U146" s="5">
        <f t="shared" si="60"/>
        <v>201.41120072961749</v>
      </c>
      <c r="V146" s="6">
        <f t="shared" si="61"/>
        <v>164.82070937439153</v>
      </c>
      <c r="X146" s="20">
        <f t="shared" si="56"/>
        <v>1.222001782992636</v>
      </c>
      <c r="Z146" s="22">
        <v>43721</v>
      </c>
      <c r="AA146" s="33">
        <v>33157.087399999997</v>
      </c>
      <c r="AB146" s="33">
        <v>22117.504400000002</v>
      </c>
      <c r="AC146" s="33">
        <v>10605.4701</v>
      </c>
      <c r="AD146" s="33">
        <v>20255.141800000001</v>
      </c>
      <c r="AE146" s="33">
        <v>89102.645499999999</v>
      </c>
      <c r="AF146" s="34">
        <v>16.067</v>
      </c>
      <c r="AH146" s="28">
        <f t="shared" si="62"/>
        <v>0.15750901142803309</v>
      </c>
      <c r="AJ146" s="5">
        <f t="shared" si="63"/>
        <v>197.18330384582109</v>
      </c>
      <c r="AK146" s="6">
        <f t="shared" si="64"/>
        <v>164.82070937439153</v>
      </c>
      <c r="AM146" s="1">
        <f t="shared" si="57"/>
        <v>43721</v>
      </c>
      <c r="AN146">
        <f t="shared" si="58"/>
        <v>1.1963502923526295</v>
      </c>
      <c r="AO146">
        <f t="shared" ca="1" si="44"/>
        <v>1.2190596877283986</v>
      </c>
      <c r="AP146">
        <f t="shared" ca="1" si="45"/>
        <v>1.2907915967422232</v>
      </c>
      <c r="AQ146">
        <f t="shared" ca="1" si="46"/>
        <v>1.3862479291527607</v>
      </c>
      <c r="AR146">
        <f t="shared" ca="1" si="47"/>
        <v>1.4226942926741724</v>
      </c>
      <c r="AS146">
        <f t="shared" ca="1" si="48"/>
        <v>1.4730068327530921</v>
      </c>
    </row>
    <row r="147" spans="2:45" x14ac:dyDescent="0.25">
      <c r="B147" s="22">
        <v>43728</v>
      </c>
      <c r="C147">
        <v>17.605</v>
      </c>
      <c r="D147">
        <v>26.2</v>
      </c>
      <c r="E147">
        <v>17.431999999999999</v>
      </c>
      <c r="F147">
        <v>36.253</v>
      </c>
      <c r="G147">
        <v>107.746</v>
      </c>
      <c r="H147">
        <v>15.428000000000001</v>
      </c>
      <c r="I147" s="6">
        <v>30060.46</v>
      </c>
      <c r="K147" s="23">
        <f t="shared" si="49"/>
        <v>6.8630254503860844E-3</v>
      </c>
      <c r="L147" s="24">
        <f t="shared" si="50"/>
        <v>7.3770491803278659E-2</v>
      </c>
      <c r="M147" s="24">
        <f t="shared" si="51"/>
        <v>-4.1702370751214302E-3</v>
      </c>
      <c r="N147" s="24">
        <f t="shared" si="52"/>
        <v>4.4454047824834308E-2</v>
      </c>
      <c r="O147" s="24">
        <f t="shared" si="53"/>
        <v>4.3251774320045788E-2</v>
      </c>
      <c r="P147" s="24">
        <f t="shared" si="54"/>
        <v>-3.9770959108732185E-2</v>
      </c>
      <c r="Q147" s="25">
        <f t="shared" si="55"/>
        <v>-2.5159044181962686E-3</v>
      </c>
      <c r="S147" s="26">
        <f t="shared" si="59"/>
        <v>2.0733023869115203E-2</v>
      </c>
      <c r="U147" s="5">
        <f t="shared" si="60"/>
        <v>205.58706396185181</v>
      </c>
      <c r="V147" s="6">
        <f t="shared" si="61"/>
        <v>164.40603622346626</v>
      </c>
      <c r="X147" s="20">
        <f t="shared" si="56"/>
        <v>1.2504836725241093</v>
      </c>
      <c r="Z147" s="22">
        <v>43728</v>
      </c>
      <c r="AA147" s="33">
        <v>33384.190699999999</v>
      </c>
      <c r="AB147" s="33">
        <v>23749.123599999999</v>
      </c>
      <c r="AC147" s="33">
        <v>10561.002699999999</v>
      </c>
      <c r="AD147" s="33">
        <v>21155.858499999998</v>
      </c>
      <c r="AE147" s="33">
        <v>92955.9476</v>
      </c>
      <c r="AF147" s="34">
        <v>15.428000000000001</v>
      </c>
      <c r="AH147" s="28">
        <f t="shared" si="62"/>
        <v>3.748036840666609E-2</v>
      </c>
      <c r="AJ147" s="5">
        <f t="shared" si="63"/>
        <v>204.57380671760603</v>
      </c>
      <c r="AK147" s="6">
        <f t="shared" si="64"/>
        <v>164.40603622346626</v>
      </c>
      <c r="AM147" s="1">
        <f t="shared" si="57"/>
        <v>43728</v>
      </c>
      <c r="AN147">
        <f t="shared" si="58"/>
        <v>1.2443205335815188</v>
      </c>
      <c r="AO147">
        <f t="shared" ca="1" si="44"/>
        <v>1.2006315545265902</v>
      </c>
      <c r="AP147">
        <f t="shared" ca="1" si="45"/>
        <v>1.2824101127273937</v>
      </c>
      <c r="AQ147">
        <f t="shared" ca="1" si="46"/>
        <v>1.3855918146602297</v>
      </c>
      <c r="AR147">
        <f t="shared" ca="1" si="47"/>
        <v>1.4220733951587488</v>
      </c>
      <c r="AS147">
        <f t="shared" ca="1" si="48"/>
        <v>1.4653700693198413</v>
      </c>
    </row>
    <row r="148" spans="2:45" x14ac:dyDescent="0.25">
      <c r="B148" s="22">
        <v>43735</v>
      </c>
      <c r="C148">
        <v>14.811</v>
      </c>
      <c r="D148">
        <v>22.5</v>
      </c>
      <c r="E148">
        <v>15.853999999999999</v>
      </c>
      <c r="F148">
        <v>32.225000000000001</v>
      </c>
      <c r="G148">
        <v>100.24</v>
      </c>
      <c r="H148">
        <v>13.009</v>
      </c>
      <c r="I148" s="6">
        <v>28877.51</v>
      </c>
      <c r="K148" s="23">
        <f t="shared" si="49"/>
        <v>-0.15870491337688164</v>
      </c>
      <c r="L148" s="24">
        <f t="shared" si="50"/>
        <v>-0.14122137404580148</v>
      </c>
      <c r="M148" s="24">
        <f t="shared" si="51"/>
        <v>-9.052317576870117E-2</v>
      </c>
      <c r="N148" s="24">
        <f t="shared" si="52"/>
        <v>-0.11110804623065673</v>
      </c>
      <c r="O148" s="24">
        <f t="shared" si="53"/>
        <v>-6.9663839028827113E-2</v>
      </c>
      <c r="P148" s="24">
        <f t="shared" si="54"/>
        <v>-0.15679284417941408</v>
      </c>
      <c r="Q148" s="25">
        <f t="shared" si="55"/>
        <v>-3.9352358546742128E-2</v>
      </c>
      <c r="S148" s="26">
        <f t="shared" si="59"/>
        <v>-0.1213356987717137</v>
      </c>
      <c r="U148" s="5">
        <f t="shared" si="60"/>
        <v>180.64201389761553</v>
      </c>
      <c r="V148" s="6">
        <f t="shared" si="61"/>
        <v>157.93627093875173</v>
      </c>
      <c r="X148" s="20">
        <f t="shared" si="56"/>
        <v>1.14376522140167</v>
      </c>
      <c r="Z148" s="22">
        <v>43735</v>
      </c>
      <c r="AA148" s="33">
        <v>28085.112799999999</v>
      </c>
      <c r="AB148" s="33">
        <v>20395.239799999999</v>
      </c>
      <c r="AC148" s="33">
        <v>9604.9539999999997</v>
      </c>
      <c r="AD148" s="33">
        <v>18805.207600000002</v>
      </c>
      <c r="AE148" s="33">
        <v>86480.811100000006</v>
      </c>
      <c r="AF148" s="34">
        <v>13.009</v>
      </c>
      <c r="AH148" s="28">
        <f t="shared" si="62"/>
        <v>-0.10140056350409121</v>
      </c>
      <c r="AJ148" s="5">
        <f t="shared" si="63"/>
        <v>183.82990743826375</v>
      </c>
      <c r="AK148" s="6">
        <f t="shared" si="64"/>
        <v>157.93627093875173</v>
      </c>
      <c r="AM148" s="1">
        <f t="shared" si="57"/>
        <v>43735</v>
      </c>
      <c r="AN148">
        <f t="shared" si="58"/>
        <v>1.1639499042595076</v>
      </c>
      <c r="AO148">
        <f t="shared" ca="1" si="44"/>
        <v>1.2006315545265902</v>
      </c>
      <c r="AP148">
        <f t="shared" ca="1" si="45"/>
        <v>1.2792031628449869</v>
      </c>
      <c r="AQ148">
        <f t="shared" ca="1" si="46"/>
        <v>1.3828532259649489</v>
      </c>
      <c r="AR148">
        <f t="shared" ca="1" si="47"/>
        <v>1.4200900182532541</v>
      </c>
      <c r="AS148">
        <f t="shared" ca="1" si="48"/>
        <v>1.4630222998829576</v>
      </c>
    </row>
    <row r="149" spans="2:45" x14ac:dyDescent="0.25">
      <c r="B149" s="22">
        <v>43742</v>
      </c>
      <c r="C149">
        <v>16.766999999999999</v>
      </c>
      <c r="D149">
        <v>24</v>
      </c>
      <c r="E149">
        <v>16.808</v>
      </c>
      <c r="F149">
        <v>40.959000000000003</v>
      </c>
      <c r="G149">
        <v>110.64700000000001</v>
      </c>
      <c r="H149">
        <v>14.423999999999999</v>
      </c>
      <c r="I149" s="6">
        <v>31816.5</v>
      </c>
      <c r="K149" s="23">
        <f t="shared" si="49"/>
        <v>0.13206400648166894</v>
      </c>
      <c r="L149" s="24">
        <f t="shared" si="50"/>
        <v>6.6666666666666652E-2</v>
      </c>
      <c r="M149" s="24">
        <f t="shared" si="51"/>
        <v>6.0174088558092587E-2</v>
      </c>
      <c r="N149" s="24">
        <f t="shared" si="52"/>
        <v>0.27103180760279288</v>
      </c>
      <c r="O149" s="24">
        <f t="shared" si="53"/>
        <v>0.10382083000798104</v>
      </c>
      <c r="P149" s="24">
        <f t="shared" si="54"/>
        <v>0.1087708509493428</v>
      </c>
      <c r="Q149" s="25">
        <f t="shared" si="55"/>
        <v>0.10177435658406853</v>
      </c>
      <c r="S149" s="26">
        <f t="shared" si="59"/>
        <v>0.12375470837775748</v>
      </c>
      <c r="U149" s="5">
        <f t="shared" si="60"/>
        <v>202.99731364828574</v>
      </c>
      <c r="V149" s="6">
        <f t="shared" si="61"/>
        <v>174.0101332948303</v>
      </c>
      <c r="X149" s="20">
        <f t="shared" si="56"/>
        <v>1.1665832891716807</v>
      </c>
      <c r="Z149" s="22">
        <v>43742</v>
      </c>
      <c r="AA149" s="33">
        <v>31794.467400000001</v>
      </c>
      <c r="AB149" s="33">
        <v>21754.922399999999</v>
      </c>
      <c r="AC149" s="33">
        <v>10183.030000000001</v>
      </c>
      <c r="AD149" s="33">
        <v>23901.946100000001</v>
      </c>
      <c r="AE149" s="33">
        <v>95458.607799999998</v>
      </c>
      <c r="AF149" s="34">
        <v>14.423999999999999</v>
      </c>
      <c r="AH149" s="28">
        <f t="shared" si="62"/>
        <v>0.12071792932673191</v>
      </c>
      <c r="AJ149" s="5">
        <f t="shared" si="63"/>
        <v>206.02147321253574</v>
      </c>
      <c r="AK149" s="6">
        <f t="shared" si="64"/>
        <v>174.0101332948303</v>
      </c>
      <c r="AM149" s="1">
        <f t="shared" si="57"/>
        <v>43742</v>
      </c>
      <c r="AN149">
        <f t="shared" si="58"/>
        <v>1.1839625044333926</v>
      </c>
      <c r="AO149">
        <f t="shared" ca="1" si="44"/>
        <v>1.1965958188465593</v>
      </c>
      <c r="AP149">
        <f t="shared" ca="1" si="45"/>
        <v>1.2702839059348954</v>
      </c>
      <c r="AQ149">
        <f t="shared" ca="1" si="46"/>
        <v>1.3804495132701127</v>
      </c>
      <c r="AR149">
        <f t="shared" ca="1" si="47"/>
        <v>1.4157291002019532</v>
      </c>
      <c r="AS149">
        <f t="shared" ca="1" si="48"/>
        <v>1.4489446384610223</v>
      </c>
    </row>
    <row r="150" spans="2:45" x14ac:dyDescent="0.25">
      <c r="B150" s="22">
        <v>43749</v>
      </c>
      <c r="C150">
        <v>16.925999999999998</v>
      </c>
      <c r="D150">
        <v>24.05</v>
      </c>
      <c r="E150">
        <v>16.478000000000002</v>
      </c>
      <c r="F150">
        <v>39.487000000000002</v>
      </c>
      <c r="G150">
        <v>104.983</v>
      </c>
      <c r="H150">
        <v>13.693</v>
      </c>
      <c r="I150" s="6">
        <v>31798.11</v>
      </c>
      <c r="K150" s="23">
        <f t="shared" si="49"/>
        <v>9.4829128645552707E-3</v>
      </c>
      <c r="L150" s="24">
        <f t="shared" si="50"/>
        <v>2.083333333333437E-3</v>
      </c>
      <c r="M150" s="24">
        <f t="shared" si="51"/>
        <v>-1.9633507853403009E-2</v>
      </c>
      <c r="N150" s="24">
        <f t="shared" si="52"/>
        <v>-3.5938377401792065E-2</v>
      </c>
      <c r="O150" s="24">
        <f t="shared" si="53"/>
        <v>-5.1189819877628828E-2</v>
      </c>
      <c r="P150" s="24">
        <f t="shared" si="54"/>
        <v>-5.0679423183582872E-2</v>
      </c>
      <c r="Q150" s="25">
        <f t="shared" si="55"/>
        <v>-5.7800198010460324E-4</v>
      </c>
      <c r="S150" s="26">
        <f t="shared" si="59"/>
        <v>-2.4312480353086346E-2</v>
      </c>
      <c r="U150" s="5">
        <f t="shared" si="60"/>
        <v>198.0619454484825</v>
      </c>
      <c r="V150" s="6">
        <f t="shared" si="61"/>
        <v>173.90955509322762</v>
      </c>
      <c r="X150" s="20">
        <f t="shared" si="56"/>
        <v>1.1388790302080154</v>
      </c>
      <c r="Z150" s="22">
        <v>43749</v>
      </c>
      <c r="AA150" s="33">
        <v>32097.271799999999</v>
      </c>
      <c r="AB150" s="33">
        <v>21800.245200000001</v>
      </c>
      <c r="AC150" s="33">
        <v>9982.9267999999993</v>
      </c>
      <c r="AD150" s="33">
        <v>22364.1371</v>
      </c>
      <c r="AE150" s="33">
        <v>90572.461800000005</v>
      </c>
      <c r="AF150" s="34">
        <v>13.693</v>
      </c>
      <c r="AH150" s="28">
        <f t="shared" si="62"/>
        <v>-3.0579533375005737E-2</v>
      </c>
      <c r="AJ150" s="5">
        <f t="shared" si="63"/>
        <v>199.72143269646514</v>
      </c>
      <c r="AK150" s="6">
        <f t="shared" si="64"/>
        <v>173.90955509322762</v>
      </c>
      <c r="AM150" s="1">
        <f t="shared" si="57"/>
        <v>43749</v>
      </c>
      <c r="AN150">
        <f t="shared" si="58"/>
        <v>1.1484212732842687</v>
      </c>
      <c r="AO150">
        <f t="shared" ca="1" si="44"/>
        <v>1.1852012832253163</v>
      </c>
      <c r="AP150">
        <f t="shared" ca="1" si="45"/>
        <v>1.2586130214396496</v>
      </c>
      <c r="AQ150">
        <f t="shared" ca="1" si="46"/>
        <v>1.3728482226581189</v>
      </c>
      <c r="AR150">
        <f t="shared" ca="1" si="47"/>
        <v>1.4157291002019532</v>
      </c>
      <c r="AS150">
        <f t="shared" ca="1" si="48"/>
        <v>1.4489446384610223</v>
      </c>
    </row>
    <row r="151" spans="2:45" x14ac:dyDescent="0.25">
      <c r="B151" s="22">
        <v>43756</v>
      </c>
      <c r="C151">
        <v>16.606999999999999</v>
      </c>
      <c r="D151">
        <v>23.2</v>
      </c>
      <c r="E151">
        <v>15.23</v>
      </c>
      <c r="F151">
        <v>35.259</v>
      </c>
      <c r="G151">
        <v>107.93</v>
      </c>
      <c r="H151">
        <v>12.644</v>
      </c>
      <c r="I151" s="6">
        <v>31968.47</v>
      </c>
      <c r="K151" s="23">
        <f t="shared" si="49"/>
        <v>-1.8846744653196246E-2</v>
      </c>
      <c r="L151" s="24">
        <f t="shared" si="50"/>
        <v>-3.5343035343035401E-2</v>
      </c>
      <c r="M151" s="24">
        <f t="shared" si="51"/>
        <v>-7.5737346765384239E-2</v>
      </c>
      <c r="N151" s="24">
        <f t="shared" si="52"/>
        <v>-0.10707321396915448</v>
      </c>
      <c r="O151" s="24">
        <f t="shared" si="53"/>
        <v>2.8071211529485662E-2</v>
      </c>
      <c r="P151" s="24">
        <f t="shared" si="54"/>
        <v>-7.6608486087782035E-2</v>
      </c>
      <c r="Q151" s="25">
        <f t="shared" si="55"/>
        <v>5.357551124894E-3</v>
      </c>
      <c r="S151" s="26">
        <f t="shared" si="59"/>
        <v>-4.758960254817779E-2</v>
      </c>
      <c r="U151" s="5">
        <f t="shared" si="60"/>
        <v>188.63625618467034</v>
      </c>
      <c r="V151" s="6">
        <f t="shared" si="61"/>
        <v>174.84128442574715</v>
      </c>
      <c r="X151" s="20">
        <f t="shared" si="56"/>
        <v>1.0788999680723677</v>
      </c>
      <c r="Z151" s="22">
        <v>43756</v>
      </c>
      <c r="AA151" s="33">
        <v>31491.662899999999</v>
      </c>
      <c r="AB151" s="33">
        <v>21029.758300000001</v>
      </c>
      <c r="AC151" s="33">
        <v>9226.9812999999995</v>
      </c>
      <c r="AD151" s="33">
        <v>19969.548699999999</v>
      </c>
      <c r="AE151" s="33">
        <v>93114.846699999995</v>
      </c>
      <c r="AF151" s="34">
        <v>12.644</v>
      </c>
      <c r="AH151" s="28">
        <f t="shared" si="62"/>
        <v>-1.1223538748552909E-2</v>
      </c>
      <c r="AJ151" s="5">
        <f t="shared" si="63"/>
        <v>197.47985145767987</v>
      </c>
      <c r="AK151" s="6">
        <f t="shared" si="64"/>
        <v>174.84128442574715</v>
      </c>
      <c r="AM151" s="1">
        <f t="shared" si="57"/>
        <v>43756</v>
      </c>
      <c r="AN151">
        <f t="shared" si="58"/>
        <v>1.1294806721781263</v>
      </c>
      <c r="AO151">
        <f t="shared" ca="1" si="44"/>
        <v>1.1713721791120149</v>
      </c>
      <c r="AP151">
        <f t="shared" ca="1" si="45"/>
        <v>1.2542982849148672</v>
      </c>
      <c r="AQ151">
        <f t="shared" ca="1" si="46"/>
        <v>1.364426853173099</v>
      </c>
      <c r="AR151">
        <f t="shared" ca="1" si="47"/>
        <v>1.4157291002019532</v>
      </c>
      <c r="AS151">
        <f t="shared" ca="1" si="48"/>
        <v>1.4489446384610223</v>
      </c>
    </row>
    <row r="152" spans="2:45" x14ac:dyDescent="0.25">
      <c r="B152" s="22">
        <v>43763</v>
      </c>
      <c r="C152">
        <v>17.923999999999999</v>
      </c>
      <c r="D152">
        <v>22.9</v>
      </c>
      <c r="E152">
        <v>14.715999999999999</v>
      </c>
      <c r="F152">
        <v>29.363</v>
      </c>
      <c r="G152">
        <v>111.199</v>
      </c>
      <c r="H152">
        <v>11.731</v>
      </c>
      <c r="I152" s="6">
        <v>34522.25</v>
      </c>
      <c r="K152" s="23">
        <f t="shared" si="49"/>
        <v>7.9303907990606382E-2</v>
      </c>
      <c r="L152" s="24">
        <f t="shared" si="50"/>
        <v>-1.2931034482758674E-2</v>
      </c>
      <c r="M152" s="24">
        <f t="shared" si="51"/>
        <v>-3.3749179251477468E-2</v>
      </c>
      <c r="N152" s="24">
        <f t="shared" si="52"/>
        <v>-0.16721971695170035</v>
      </c>
      <c r="O152" s="24">
        <f t="shared" si="53"/>
        <v>3.0288149726674707E-2</v>
      </c>
      <c r="P152" s="24">
        <f t="shared" si="54"/>
        <v>-7.2208161974058882E-2</v>
      </c>
      <c r="Q152" s="25">
        <f t="shared" si="55"/>
        <v>7.9884336034849346E-2</v>
      </c>
      <c r="S152" s="26">
        <f t="shared" si="59"/>
        <v>-2.9419339157119046E-2</v>
      </c>
      <c r="U152" s="5">
        <f t="shared" si="60"/>
        <v>183.08670218664435</v>
      </c>
      <c r="V152" s="6">
        <f t="shared" si="61"/>
        <v>188.80836434357821</v>
      </c>
      <c r="X152" s="20">
        <f t="shared" si="56"/>
        <v>0.96969592858438181</v>
      </c>
      <c r="Z152" s="22">
        <v>43763</v>
      </c>
      <c r="AA152" s="33">
        <v>33989.799599999998</v>
      </c>
      <c r="AB152" s="33">
        <v>20757.821800000002</v>
      </c>
      <c r="AC152" s="33">
        <v>8915.7096000000001</v>
      </c>
      <c r="AD152" s="33">
        <v>16630.306199999999</v>
      </c>
      <c r="AE152" s="33">
        <v>95935.304900000003</v>
      </c>
      <c r="AF152" s="34">
        <v>11.731</v>
      </c>
      <c r="AH152" s="28">
        <f t="shared" si="62"/>
        <v>7.9735192620222807E-3</v>
      </c>
      <c r="AJ152" s="5">
        <f t="shared" si="63"/>
        <v>199.05446085713899</v>
      </c>
      <c r="AK152" s="6">
        <f t="shared" si="64"/>
        <v>188.80836434357821</v>
      </c>
      <c r="AM152" s="1">
        <f t="shared" si="57"/>
        <v>43763</v>
      </c>
      <c r="AN152">
        <f t="shared" si="58"/>
        <v>1.0542671748107291</v>
      </c>
      <c r="AO152">
        <f t="shared" ca="1" si="44"/>
        <v>1.1645522392411876</v>
      </c>
      <c r="AP152">
        <f t="shared" ca="1" si="45"/>
        <v>1.2448019616891299</v>
      </c>
      <c r="AQ152">
        <f t="shared" ca="1" si="46"/>
        <v>1.3620327943729902</v>
      </c>
      <c r="AR152">
        <f t="shared" ca="1" si="47"/>
        <v>1.4130972661391628</v>
      </c>
      <c r="AS152">
        <f t="shared" ca="1" si="48"/>
        <v>1.4489446384610223</v>
      </c>
    </row>
    <row r="153" spans="2:45" x14ac:dyDescent="0.25">
      <c r="B153" s="22">
        <v>43770</v>
      </c>
      <c r="C153">
        <v>21.477</v>
      </c>
      <c r="D153">
        <v>21.9</v>
      </c>
      <c r="E153">
        <v>16.111000000000001</v>
      </c>
      <c r="F153">
        <v>34.057000000000002</v>
      </c>
      <c r="G153">
        <v>109.956</v>
      </c>
      <c r="H153">
        <v>13.327999999999999</v>
      </c>
      <c r="I153" s="6">
        <v>35743.040000000001</v>
      </c>
      <c r="K153" s="23">
        <f t="shared" si="49"/>
        <v>0.19822584244588271</v>
      </c>
      <c r="L153" s="24">
        <f t="shared" si="50"/>
        <v>-4.3668122270742349E-2</v>
      </c>
      <c r="M153" s="24">
        <f t="shared" si="51"/>
        <v>9.4794781190540967E-2</v>
      </c>
      <c r="N153" s="24">
        <f t="shared" si="52"/>
        <v>0.15986104962027059</v>
      </c>
      <c r="O153" s="24">
        <f t="shared" si="53"/>
        <v>-1.1178158076961098E-2</v>
      </c>
      <c r="P153" s="24">
        <f t="shared" si="54"/>
        <v>0.1361350268519308</v>
      </c>
      <c r="Q153" s="25">
        <f t="shared" si="55"/>
        <v>3.5362411198574861E-2</v>
      </c>
      <c r="S153" s="26">
        <f t="shared" si="59"/>
        <v>8.9028403293486935E-2</v>
      </c>
      <c r="U153" s="5">
        <f t="shared" si="60"/>
        <v>199.38661894659145</v>
      </c>
      <c r="V153" s="6">
        <f t="shared" si="61"/>
        <v>195.48508336122615</v>
      </c>
      <c r="X153" s="20">
        <f t="shared" si="56"/>
        <v>1.0199582265730009</v>
      </c>
      <c r="Z153" s="22">
        <v>43770</v>
      </c>
      <c r="AA153" s="33">
        <v>40727.198700000001</v>
      </c>
      <c r="AB153" s="33">
        <v>19851.366699999999</v>
      </c>
      <c r="AC153" s="33">
        <v>9760.5899000000009</v>
      </c>
      <c r="AD153" s="33">
        <v>19288.519</v>
      </c>
      <c r="AE153" s="33">
        <v>94862.736300000004</v>
      </c>
      <c r="AF153" s="34">
        <v>13.327999999999999</v>
      </c>
      <c r="AH153" s="28">
        <f t="shared" si="62"/>
        <v>4.689110269765126E-2</v>
      </c>
      <c r="AJ153" s="5">
        <f t="shared" si="63"/>
        <v>208.3883440236167</v>
      </c>
      <c r="AK153" s="6">
        <f t="shared" si="64"/>
        <v>195.48508336122615</v>
      </c>
      <c r="AM153" s="1">
        <f t="shared" si="57"/>
        <v>43770</v>
      </c>
      <c r="AN153">
        <f t="shared" si="58"/>
        <v>1.0660063695936703</v>
      </c>
      <c r="AO153">
        <f t="shared" ca="1" si="44"/>
        <v>1.1563436080080081</v>
      </c>
      <c r="AP153">
        <f t="shared" ca="1" si="45"/>
        <v>1.2424921778203903</v>
      </c>
      <c r="AQ153">
        <f t="shared" ca="1" si="46"/>
        <v>1.3620327943729902</v>
      </c>
      <c r="AR153">
        <f t="shared" ca="1" si="47"/>
        <v>1.4130972661391628</v>
      </c>
      <c r="AS153">
        <f t="shared" ca="1" si="48"/>
        <v>1.4489446384610223</v>
      </c>
    </row>
    <row r="154" spans="2:45" x14ac:dyDescent="0.25">
      <c r="B154" s="22">
        <v>43777</v>
      </c>
      <c r="C154">
        <v>20.478999999999999</v>
      </c>
      <c r="D154">
        <v>19.45</v>
      </c>
      <c r="E154">
        <v>16.257000000000001</v>
      </c>
      <c r="F154">
        <v>33.398000000000003</v>
      </c>
      <c r="G154">
        <v>99.227000000000004</v>
      </c>
      <c r="H154">
        <v>12.781000000000001</v>
      </c>
      <c r="I154" s="6">
        <v>34131.050000000003</v>
      </c>
      <c r="K154" s="23">
        <f t="shared" si="49"/>
        <v>-4.6468314941565447E-2</v>
      </c>
      <c r="L154" s="24">
        <f t="shared" si="50"/>
        <v>-0.11187214611872143</v>
      </c>
      <c r="M154" s="24">
        <f t="shared" si="51"/>
        <v>9.0621314629757421E-3</v>
      </c>
      <c r="N154" s="24">
        <f t="shared" si="52"/>
        <v>-1.9349913380509065E-2</v>
      </c>
      <c r="O154" s="24">
        <f t="shared" si="53"/>
        <v>-9.7575393793881138E-2</v>
      </c>
      <c r="P154" s="24">
        <f t="shared" si="54"/>
        <v>-4.1041416566626521E-2</v>
      </c>
      <c r="Q154" s="25">
        <f t="shared" si="55"/>
        <v>-4.5099409563372328E-2</v>
      </c>
      <c r="S154" s="26">
        <f t="shared" si="59"/>
        <v>-5.1207508889721309E-2</v>
      </c>
      <c r="U154" s="5">
        <f t="shared" si="60"/>
        <v>189.17652688439242</v>
      </c>
      <c r="V154" s="6">
        <f t="shared" si="61"/>
        <v>186.66882152318823</v>
      </c>
      <c r="X154" s="20">
        <f t="shared" si="56"/>
        <v>1.0134339807834094</v>
      </c>
      <c r="Z154" s="22">
        <v>43777</v>
      </c>
      <c r="AA154" s="33">
        <v>38834.670899999997</v>
      </c>
      <c r="AB154" s="33">
        <v>17630.5517</v>
      </c>
      <c r="AC154" s="33">
        <v>9849.5246000000006</v>
      </c>
      <c r="AD154" s="33">
        <v>18915.051100000001</v>
      </c>
      <c r="AE154" s="33">
        <v>85606.866299999994</v>
      </c>
      <c r="AF154" s="34">
        <v>12.781000000000001</v>
      </c>
      <c r="AH154" s="28">
        <f t="shared" si="62"/>
        <v>-7.4008985777234249E-2</v>
      </c>
      <c r="AJ154" s="5">
        <f t="shared" si="63"/>
        <v>192.96573403463145</v>
      </c>
      <c r="AK154" s="6">
        <f t="shared" si="64"/>
        <v>186.66882152318823</v>
      </c>
      <c r="AM154" s="1">
        <f t="shared" si="57"/>
        <v>43777</v>
      </c>
      <c r="AN154">
        <f t="shared" si="58"/>
        <v>1.0337330704724088</v>
      </c>
      <c r="AO154">
        <f t="shared" ca="1" si="44"/>
        <v>1.1491289923538481</v>
      </c>
      <c r="AP154">
        <f t="shared" ca="1" si="45"/>
        <v>1.2320217153123918</v>
      </c>
      <c r="AQ154">
        <f t="shared" ca="1" si="46"/>
        <v>1.3584247829173872</v>
      </c>
      <c r="AR154">
        <f t="shared" ca="1" si="47"/>
        <v>1.4130972661391628</v>
      </c>
      <c r="AS154">
        <f t="shared" ca="1" si="48"/>
        <v>1.4489446384610223</v>
      </c>
    </row>
    <row r="155" spans="2:45" x14ac:dyDescent="0.25">
      <c r="B155" s="22">
        <v>43784</v>
      </c>
      <c r="C155">
        <v>19.841000000000001</v>
      </c>
      <c r="D155">
        <v>16.75</v>
      </c>
      <c r="E155">
        <v>14.385999999999999</v>
      </c>
      <c r="F155">
        <v>28.704000000000001</v>
      </c>
      <c r="G155">
        <v>89.581999999999994</v>
      </c>
      <c r="H155">
        <v>11.411</v>
      </c>
      <c r="I155" s="6">
        <v>31851.61</v>
      </c>
      <c r="K155" s="23">
        <f t="shared" si="49"/>
        <v>-3.1153864934811204E-2</v>
      </c>
      <c r="L155" s="24">
        <f t="shared" si="50"/>
        <v>-0.13881748071979427</v>
      </c>
      <c r="M155" s="24">
        <f t="shared" si="51"/>
        <v>-0.11508888478809143</v>
      </c>
      <c r="N155" s="24">
        <f t="shared" si="52"/>
        <v>-0.14054733816396203</v>
      </c>
      <c r="O155" s="24">
        <f t="shared" si="53"/>
        <v>-9.7201366563536284E-2</v>
      </c>
      <c r="P155" s="24">
        <f t="shared" si="54"/>
        <v>-0.10719036069165178</v>
      </c>
      <c r="Q155" s="25">
        <f t="shared" si="55"/>
        <v>-6.6784936297008213E-2</v>
      </c>
      <c r="S155" s="26">
        <f t="shared" si="59"/>
        <v>-0.10499988264364117</v>
      </c>
      <c r="U155" s="5">
        <f t="shared" si="60"/>
        <v>169.31301376259958</v>
      </c>
      <c r="V155" s="6">
        <f t="shared" si="61"/>
        <v>174.20215616912449</v>
      </c>
      <c r="X155" s="20">
        <f t="shared" si="56"/>
        <v>0.97193408787788893</v>
      </c>
      <c r="Z155" s="22">
        <v>43784</v>
      </c>
      <c r="AA155" s="33">
        <v>37623.453099999999</v>
      </c>
      <c r="AB155" s="33">
        <v>15183.1229</v>
      </c>
      <c r="AC155" s="33">
        <v>8715.6064000000006</v>
      </c>
      <c r="AD155" s="33">
        <v>16256.838299999999</v>
      </c>
      <c r="AE155" s="33">
        <v>74205.859400000001</v>
      </c>
      <c r="AF155" s="34">
        <v>11.411</v>
      </c>
      <c r="AH155" s="28">
        <f t="shared" si="62"/>
        <v>-9.2313932211727748E-2</v>
      </c>
      <c r="AJ155" s="5">
        <f t="shared" si="63"/>
        <v>175.15230834377218</v>
      </c>
      <c r="AK155" s="6">
        <f t="shared" si="64"/>
        <v>174.20215616912449</v>
      </c>
      <c r="AM155" s="1">
        <f t="shared" si="57"/>
        <v>43784</v>
      </c>
      <c r="AN155">
        <f t="shared" si="58"/>
        <v>1.0054543077740394</v>
      </c>
      <c r="AO155">
        <f t="shared" ca="1" si="44"/>
        <v>1.1313747322887406</v>
      </c>
      <c r="AP155">
        <f t="shared" ca="1" si="45"/>
        <v>1.212500536551897</v>
      </c>
      <c r="AQ155">
        <f t="shared" ca="1" si="46"/>
        <v>1.3441985050962497</v>
      </c>
      <c r="AR155">
        <f t="shared" ca="1" si="47"/>
        <v>1.4098710135276389</v>
      </c>
      <c r="AS155">
        <f t="shared" ca="1" si="48"/>
        <v>1.4489446384610223</v>
      </c>
    </row>
    <row r="156" spans="2:45" x14ac:dyDescent="0.25">
      <c r="B156" s="22">
        <v>43791</v>
      </c>
      <c r="C156">
        <v>22.236000000000001</v>
      </c>
      <c r="D156">
        <v>19.45</v>
      </c>
      <c r="E156">
        <v>15.56</v>
      </c>
      <c r="F156">
        <v>30.023</v>
      </c>
      <c r="G156">
        <v>88.718999999999994</v>
      </c>
      <c r="H156">
        <v>12.598000000000001</v>
      </c>
      <c r="I156" s="6">
        <v>33588.83</v>
      </c>
      <c r="K156" s="23">
        <f t="shared" si="49"/>
        <v>0.12070964165112641</v>
      </c>
      <c r="L156" s="24">
        <f t="shared" si="50"/>
        <v>0.16119402985074616</v>
      </c>
      <c r="M156" s="24">
        <f t="shared" si="51"/>
        <v>8.1607118031419512E-2</v>
      </c>
      <c r="N156" s="24">
        <f t="shared" si="52"/>
        <v>4.5951783723522821E-2</v>
      </c>
      <c r="O156" s="24">
        <f t="shared" si="53"/>
        <v>-9.633631756379657E-3</v>
      </c>
      <c r="P156" s="24">
        <f t="shared" si="54"/>
        <v>0.10402243449303317</v>
      </c>
      <c r="Q156" s="25">
        <f t="shared" si="55"/>
        <v>5.4541042038377396E-2</v>
      </c>
      <c r="S156" s="26">
        <f t="shared" si="59"/>
        <v>8.397522933224473E-2</v>
      </c>
      <c r="U156" s="5">
        <f t="shared" si="60"/>
        <v>183.53111292224739</v>
      </c>
      <c r="V156" s="6">
        <f t="shared" si="61"/>
        <v>183.7033232919207</v>
      </c>
      <c r="X156" s="20">
        <f t="shared" si="56"/>
        <v>0.99906256257868764</v>
      </c>
      <c r="Z156" s="22">
        <v>43791</v>
      </c>
      <c r="AA156" s="33">
        <v>42165.519800000002</v>
      </c>
      <c r="AB156" s="33">
        <v>17630.5517</v>
      </c>
      <c r="AC156" s="33">
        <v>9427.0845000000008</v>
      </c>
      <c r="AD156" s="33">
        <v>17003.774099999999</v>
      </c>
      <c r="AE156" s="33">
        <v>73490.813699999999</v>
      </c>
      <c r="AF156" s="34">
        <v>12.598000000000001</v>
      </c>
      <c r="AH156" s="28">
        <f t="shared" si="62"/>
        <v>5.0879817958360045E-2</v>
      </c>
      <c r="AJ156" s="5">
        <f t="shared" si="63"/>
        <v>184.06402590728985</v>
      </c>
      <c r="AK156" s="6">
        <f t="shared" si="64"/>
        <v>183.7033232919207</v>
      </c>
      <c r="AM156" s="1">
        <f t="shared" si="57"/>
        <v>43791</v>
      </c>
      <c r="AN156">
        <f t="shared" si="58"/>
        <v>1.0019635062061232</v>
      </c>
      <c r="AO156">
        <f t="shared" ca="1" si="44"/>
        <v>1.1264376606315265</v>
      </c>
      <c r="AP156">
        <f t="shared" ca="1" si="45"/>
        <v>1.198191741057103</v>
      </c>
      <c r="AQ156">
        <f t="shared" ca="1" si="46"/>
        <v>1.3266472557685671</v>
      </c>
      <c r="AR156">
        <f t="shared" ca="1" si="47"/>
        <v>1.4068256853435421</v>
      </c>
      <c r="AS156">
        <f t="shared" ca="1" si="48"/>
        <v>1.4489446384610223</v>
      </c>
    </row>
    <row r="157" spans="2:45" x14ac:dyDescent="0.25">
      <c r="B157" s="22">
        <v>43798</v>
      </c>
      <c r="C157">
        <v>23.937000000000001</v>
      </c>
      <c r="D157">
        <v>19.649999999999999</v>
      </c>
      <c r="E157">
        <v>16.917999999999999</v>
      </c>
      <c r="F157">
        <v>27.888999999999999</v>
      </c>
      <c r="G157">
        <v>87.951999999999998</v>
      </c>
      <c r="H157">
        <v>12.781000000000001</v>
      </c>
      <c r="I157" s="6">
        <v>34500.21</v>
      </c>
      <c r="K157" s="23">
        <f t="shared" si="49"/>
        <v>7.6497571505666606E-2</v>
      </c>
      <c r="L157" s="24">
        <f t="shared" si="50"/>
        <v>1.0282776349614275E-2</v>
      </c>
      <c r="M157" s="24">
        <f t="shared" si="51"/>
        <v>8.7275064267352098E-2</v>
      </c>
      <c r="N157" s="24">
        <f t="shared" si="52"/>
        <v>-7.1078839556340201E-2</v>
      </c>
      <c r="O157" s="24">
        <f t="shared" si="53"/>
        <v>-8.645273278553578E-3</v>
      </c>
      <c r="P157" s="24">
        <f t="shared" si="54"/>
        <v>1.4526115256389804E-2</v>
      </c>
      <c r="Q157" s="25">
        <f t="shared" si="55"/>
        <v>2.713342501063587E-2</v>
      </c>
      <c r="S157" s="26">
        <f t="shared" si="59"/>
        <v>1.8142902424021501E-2</v>
      </c>
      <c r="U157" s="5">
        <f t="shared" si="60"/>
        <v>186.86089999576777</v>
      </c>
      <c r="V157" s="6">
        <f t="shared" si="61"/>
        <v>188.68782363866663</v>
      </c>
      <c r="X157" s="20">
        <f t="shared" si="56"/>
        <v>0.99031774489912294</v>
      </c>
      <c r="Z157" s="22">
        <v>43798</v>
      </c>
      <c r="AA157" s="33">
        <v>44285.150999999998</v>
      </c>
      <c r="AB157" s="33">
        <v>17811.842700000001</v>
      </c>
      <c r="AC157" s="33">
        <v>10249.731</v>
      </c>
      <c r="AD157" s="33">
        <v>15795.4956</v>
      </c>
      <c r="AE157" s="33">
        <v>72855.217499999999</v>
      </c>
      <c r="AF157" s="34">
        <v>12.781000000000001</v>
      </c>
      <c r="AH157" s="28">
        <f t="shared" si="62"/>
        <v>1.4936589790799846E-2</v>
      </c>
      <c r="AJ157" s="5">
        <f t="shared" si="63"/>
        <v>186.81331475751017</v>
      </c>
      <c r="AK157" s="6">
        <f t="shared" si="64"/>
        <v>188.68782363866663</v>
      </c>
      <c r="AM157" s="1">
        <f t="shared" si="57"/>
        <v>43798</v>
      </c>
      <c r="AN157">
        <f t="shared" si="58"/>
        <v>0.99006555460226142</v>
      </c>
      <c r="AO157">
        <f t="shared" ca="1" si="44"/>
        <v>1.1245743759388669</v>
      </c>
      <c r="AP157">
        <f t="shared" ca="1" si="45"/>
        <v>1.1932533453728202</v>
      </c>
      <c r="AQ157">
        <f t="shared" ca="1" si="46"/>
        <v>1.3079901032368997</v>
      </c>
      <c r="AR157">
        <f t="shared" ca="1" si="47"/>
        <v>1.4068256853435421</v>
      </c>
      <c r="AS157">
        <f t="shared" ca="1" si="48"/>
        <v>1.4489446384610223</v>
      </c>
    </row>
    <row r="158" spans="2:45" x14ac:dyDescent="0.25">
      <c r="B158" s="22">
        <v>43805</v>
      </c>
      <c r="C158">
        <v>25.451000000000001</v>
      </c>
      <c r="D158">
        <v>20.9</v>
      </c>
      <c r="E158">
        <v>17.248000000000001</v>
      </c>
      <c r="F158">
        <v>27.423999999999999</v>
      </c>
      <c r="G158">
        <v>91.308999999999997</v>
      </c>
      <c r="H158">
        <v>13.191000000000001</v>
      </c>
      <c r="I158" s="6">
        <v>36561.949999999997</v>
      </c>
      <c r="K158" s="23">
        <f t="shared" si="49"/>
        <v>6.3249362910974716E-2</v>
      </c>
      <c r="L158" s="24">
        <f t="shared" si="50"/>
        <v>6.3613231552162919E-2</v>
      </c>
      <c r="M158" s="24">
        <f t="shared" si="51"/>
        <v>1.950585175552666E-2</v>
      </c>
      <c r="N158" s="24">
        <f t="shared" si="52"/>
        <v>-1.6673240345655982E-2</v>
      </c>
      <c r="O158" s="24">
        <f t="shared" si="53"/>
        <v>3.8168546479898202E-2</v>
      </c>
      <c r="P158" s="24">
        <f t="shared" si="54"/>
        <v>3.207886706830454E-2</v>
      </c>
      <c r="Q158" s="25">
        <f t="shared" si="55"/>
        <v>5.9760215952308737E-2</v>
      </c>
      <c r="S158" s="26">
        <f t="shared" si="59"/>
        <v>3.3323769903535173E-2</v>
      </c>
      <c r="U158" s="5">
        <f t="shared" si="60"/>
        <v>193.08780963119423</v>
      </c>
      <c r="V158" s="6">
        <f t="shared" si="61"/>
        <v>199.96384872688449</v>
      </c>
      <c r="X158" s="20">
        <f t="shared" si="56"/>
        <v>0.96561358895886362</v>
      </c>
      <c r="Z158" s="22">
        <v>43805</v>
      </c>
      <c r="AA158" s="33">
        <v>47086.092199999999</v>
      </c>
      <c r="AB158" s="33">
        <v>18944.911599999999</v>
      </c>
      <c r="AC158" s="33">
        <v>10449.8343</v>
      </c>
      <c r="AD158" s="33">
        <v>15531.8712</v>
      </c>
      <c r="AE158" s="33">
        <v>75635.950899999996</v>
      </c>
      <c r="AF158" s="34">
        <v>13.191000000000001</v>
      </c>
      <c r="AH158" s="28">
        <f t="shared" si="62"/>
        <v>4.131310363492554E-2</v>
      </c>
      <c r="AJ158" s="5">
        <f t="shared" si="63"/>
        <v>194.53115259047115</v>
      </c>
      <c r="AK158" s="6">
        <f t="shared" si="64"/>
        <v>199.96384872688449</v>
      </c>
      <c r="AM158" s="1">
        <f t="shared" si="57"/>
        <v>43805</v>
      </c>
      <c r="AN158">
        <f t="shared" si="58"/>
        <v>0.9728316084582197</v>
      </c>
      <c r="AO158">
        <f t="shared" ca="1" si="44"/>
        <v>1.0718462238693167</v>
      </c>
      <c r="AP158">
        <f t="shared" ca="1" si="45"/>
        <v>1.1804651918441209</v>
      </c>
      <c r="AQ158">
        <f t="shared" ca="1" si="46"/>
        <v>1.2941325913556478</v>
      </c>
      <c r="AR158">
        <f t="shared" ca="1" si="47"/>
        <v>1.4013806433132259</v>
      </c>
      <c r="AS158">
        <f t="shared" ca="1" si="48"/>
        <v>1.4489446384610223</v>
      </c>
    </row>
    <row r="159" spans="2:45" x14ac:dyDescent="0.25">
      <c r="B159" s="22">
        <v>43812</v>
      </c>
      <c r="C159">
        <v>26.76</v>
      </c>
      <c r="D159">
        <v>19.899999999999999</v>
      </c>
      <c r="E159">
        <v>16.331</v>
      </c>
      <c r="F159">
        <v>28.51</v>
      </c>
      <c r="G159">
        <v>93.802000000000007</v>
      </c>
      <c r="H159">
        <v>13.1</v>
      </c>
      <c r="I159" s="6">
        <v>36769.589999999997</v>
      </c>
      <c r="K159" s="23">
        <f t="shared" si="49"/>
        <v>5.1432163765667394E-2</v>
      </c>
      <c r="L159" s="24">
        <f t="shared" si="50"/>
        <v>-4.7846889952153138E-2</v>
      </c>
      <c r="M159" s="24">
        <f t="shared" si="51"/>
        <v>-5.3165584415584499E-2</v>
      </c>
      <c r="N159" s="24">
        <f t="shared" si="52"/>
        <v>3.9600350058343059E-2</v>
      </c>
      <c r="O159" s="24">
        <f t="shared" si="53"/>
        <v>2.7302894566800795E-2</v>
      </c>
      <c r="P159" s="24">
        <f t="shared" si="54"/>
        <v>-6.8986430141764199E-3</v>
      </c>
      <c r="Q159" s="25">
        <f t="shared" si="55"/>
        <v>5.6791281646628722E-3</v>
      </c>
      <c r="S159" s="26">
        <f t="shared" si="59"/>
        <v>1.7373818348161985E-3</v>
      </c>
      <c r="U159" s="5">
        <f t="shared" si="60"/>
        <v>193.42327688417188</v>
      </c>
      <c r="V159" s="6">
        <f t="shared" si="61"/>
        <v>201.09946905210373</v>
      </c>
      <c r="X159" s="20">
        <f t="shared" si="56"/>
        <v>0.96182887899150549</v>
      </c>
      <c r="Z159" s="22">
        <v>43812</v>
      </c>
      <c r="AA159" s="33">
        <v>49508.527800000003</v>
      </c>
      <c r="AB159" s="33">
        <v>18038.4565</v>
      </c>
      <c r="AC159" s="33">
        <v>9893.9920000000002</v>
      </c>
      <c r="AD159" s="33">
        <v>16146.9948</v>
      </c>
      <c r="AE159" s="33">
        <v>77701.638699999996</v>
      </c>
      <c r="AF159" s="34">
        <v>13.1</v>
      </c>
      <c r="AH159" s="28">
        <f t="shared" si="62"/>
        <v>2.1708992596970938E-2</v>
      </c>
      <c r="AJ159" s="5">
        <f t="shared" si="63"/>
        <v>198.7542279419379</v>
      </c>
      <c r="AK159" s="6">
        <f t="shared" si="64"/>
        <v>201.09946905210373</v>
      </c>
      <c r="AM159" s="1">
        <f t="shared" si="57"/>
        <v>43812</v>
      </c>
      <c r="AN159">
        <f t="shared" si="58"/>
        <v>0.98833790501178198</v>
      </c>
      <c r="AO159">
        <f t="shared" ca="1" si="44"/>
        <v>1.0554410942890231</v>
      </c>
      <c r="AP159">
        <f t="shared" ca="1" si="45"/>
        <v>1.1684674166221065</v>
      </c>
      <c r="AQ159">
        <f t="shared" ca="1" si="46"/>
        <v>1.2881628889045986</v>
      </c>
      <c r="AR159">
        <f t="shared" ca="1" si="47"/>
        <v>1.3944014677119467</v>
      </c>
      <c r="AS159">
        <f t="shared" ca="1" si="48"/>
        <v>1.4311086416328977</v>
      </c>
    </row>
    <row r="160" spans="2:45" x14ac:dyDescent="0.25">
      <c r="B160" s="22">
        <v>43819</v>
      </c>
      <c r="C160">
        <v>28.928999999999998</v>
      </c>
      <c r="D160">
        <v>20.8</v>
      </c>
      <c r="E160">
        <v>16.881</v>
      </c>
      <c r="F160">
        <v>28.548999999999999</v>
      </c>
      <c r="G160">
        <v>95.673000000000002</v>
      </c>
      <c r="H160">
        <v>13.1</v>
      </c>
      <c r="I160" s="6">
        <v>38632.410000000003</v>
      </c>
      <c r="K160" s="23">
        <f t="shared" si="49"/>
        <v>8.1053811659192787E-2</v>
      </c>
      <c r="L160" s="24">
        <f t="shared" si="50"/>
        <v>4.5226130653266416E-2</v>
      </c>
      <c r="M160" s="24">
        <f t="shared" si="51"/>
        <v>3.3678280570693886E-2</v>
      </c>
      <c r="N160" s="24">
        <f t="shared" si="52"/>
        <v>1.3679410733076214E-3</v>
      </c>
      <c r="O160" s="24">
        <f t="shared" si="53"/>
        <v>1.9946269802349592E-2</v>
      </c>
      <c r="P160" s="24">
        <f t="shared" si="54"/>
        <v>0</v>
      </c>
      <c r="Q160" s="25">
        <f t="shared" si="55"/>
        <v>5.0661973658123749E-2</v>
      </c>
      <c r="S160" s="26">
        <f t="shared" si="59"/>
        <v>3.021207229313505E-2</v>
      </c>
      <c r="U160" s="5">
        <f t="shared" si="60"/>
        <v>199.26699490857158</v>
      </c>
      <c r="V160" s="6">
        <f t="shared" si="61"/>
        <v>211.28756505588407</v>
      </c>
      <c r="X160" s="20">
        <f t="shared" si="56"/>
        <v>0.9431080094839791</v>
      </c>
      <c r="Z160" s="22">
        <v>43819</v>
      </c>
      <c r="AA160" s="33">
        <v>53520.686699999998</v>
      </c>
      <c r="AB160" s="33">
        <v>18854.266100000001</v>
      </c>
      <c r="AC160" s="33">
        <v>10227.4974</v>
      </c>
      <c r="AD160" s="33">
        <v>16168.9635</v>
      </c>
      <c r="AE160" s="33">
        <v>79250.904500000004</v>
      </c>
      <c r="AF160" s="34">
        <v>13.1</v>
      </c>
      <c r="AH160" s="28">
        <f t="shared" si="62"/>
        <v>3.9309495522118508E-2</v>
      </c>
      <c r="AJ160" s="5">
        <f t="shared" si="63"/>
        <v>206.56715637522362</v>
      </c>
      <c r="AK160" s="6">
        <f t="shared" si="64"/>
        <v>211.28756505588407</v>
      </c>
      <c r="AM160" s="1">
        <f t="shared" si="57"/>
        <v>43819</v>
      </c>
      <c r="AN160">
        <f t="shared" si="58"/>
        <v>0.97765884291670468</v>
      </c>
      <c r="AO160">
        <f t="shared" ca="1" si="44"/>
        <v>1.0357864809062409</v>
      </c>
      <c r="AP160">
        <f t="shared" ca="1" si="45"/>
        <v>1.1618370441896466</v>
      </c>
      <c r="AQ160">
        <f t="shared" ca="1" si="46"/>
        <v>1.2819147522254382</v>
      </c>
      <c r="AR160">
        <f t="shared" ca="1" si="47"/>
        <v>1.3913039598327839</v>
      </c>
      <c r="AS160">
        <f t="shared" ca="1" si="48"/>
        <v>1.4305146005477065</v>
      </c>
    </row>
    <row r="161" spans="2:45" x14ac:dyDescent="0.25">
      <c r="B161" s="22">
        <v>43826</v>
      </c>
      <c r="C161">
        <v>30.074000000000002</v>
      </c>
      <c r="D161">
        <v>24.8</v>
      </c>
      <c r="E161">
        <v>19.597000000000001</v>
      </c>
      <c r="F161">
        <v>31.187000000000001</v>
      </c>
      <c r="G161">
        <v>101.28400000000001</v>
      </c>
      <c r="H161">
        <v>14.743</v>
      </c>
      <c r="I161" s="6">
        <v>41681.93</v>
      </c>
      <c r="K161" s="23">
        <f t="shared" si="49"/>
        <v>3.9579660548238804E-2</v>
      </c>
      <c r="L161" s="24">
        <f t="shared" si="50"/>
        <v>0.19230769230769229</v>
      </c>
      <c r="M161" s="24">
        <f t="shared" si="51"/>
        <v>0.16089094247971092</v>
      </c>
      <c r="N161" s="24">
        <f t="shared" si="52"/>
        <v>9.2402535990752765E-2</v>
      </c>
      <c r="O161" s="24">
        <f t="shared" si="53"/>
        <v>5.8647685344872746E-2</v>
      </c>
      <c r="P161" s="24">
        <f t="shared" si="54"/>
        <v>0.1254198473282444</v>
      </c>
      <c r="Q161" s="25">
        <f t="shared" si="55"/>
        <v>7.8936830500608179E-2</v>
      </c>
      <c r="S161" s="26">
        <f t="shared" si="59"/>
        <v>0.11154139399991865</v>
      </c>
      <c r="U161" s="5">
        <f t="shared" si="60"/>
        <v>221.49351329884834</v>
      </c>
      <c r="V161" s="6">
        <f t="shared" si="61"/>
        <v>227.96593576558661</v>
      </c>
      <c r="X161" s="20">
        <f t="shared" si="56"/>
        <v>0.9716079402608917</v>
      </c>
      <c r="Z161" s="22">
        <v>43826</v>
      </c>
      <c r="AA161" s="33">
        <v>55640.317900000002</v>
      </c>
      <c r="AB161" s="33">
        <v>22480.086500000001</v>
      </c>
      <c r="AC161" s="33">
        <v>11872.7904</v>
      </c>
      <c r="AD161" s="33">
        <v>17662.835200000001</v>
      </c>
      <c r="AE161" s="33">
        <v>83898.7019</v>
      </c>
      <c r="AF161" s="34">
        <v>14.743</v>
      </c>
      <c r="AH161" s="28">
        <f t="shared" si="62"/>
        <v>7.6014318895733429E-2</v>
      </c>
      <c r="AJ161" s="5">
        <f t="shared" si="63"/>
        <v>222.2692180733147</v>
      </c>
      <c r="AK161" s="6">
        <f t="shared" si="64"/>
        <v>227.96593576558661</v>
      </c>
      <c r="AM161" s="1">
        <f t="shared" si="57"/>
        <v>43826</v>
      </c>
      <c r="AN161">
        <f t="shared" si="58"/>
        <v>0.97501066256614</v>
      </c>
      <c r="AO161">
        <f t="shared" ca="1" si="44"/>
        <v>1.0082821840438765</v>
      </c>
      <c r="AP161">
        <f t="shared" ca="1" si="45"/>
        <v>1.1537291663061149</v>
      </c>
      <c r="AQ161">
        <f t="shared" ca="1" si="46"/>
        <v>1.277482294468447</v>
      </c>
      <c r="AR161">
        <f t="shared" ca="1" si="47"/>
        <v>1.3875281394988692</v>
      </c>
      <c r="AS161">
        <f t="shared" ca="1" si="48"/>
        <v>1.4250463960426767</v>
      </c>
    </row>
    <row r="162" spans="2:45" x14ac:dyDescent="0.25">
      <c r="B162" s="22">
        <v>43833</v>
      </c>
      <c r="C162">
        <v>26.515000000000001</v>
      </c>
      <c r="D162">
        <v>21.75</v>
      </c>
      <c r="E162">
        <v>18.312999999999999</v>
      </c>
      <c r="F162">
        <v>30.914999999999999</v>
      </c>
      <c r="G162">
        <v>101.47499999999999</v>
      </c>
      <c r="H162">
        <v>14.698</v>
      </c>
      <c r="I162" s="6">
        <v>40499.15</v>
      </c>
      <c r="K162" s="23">
        <f t="shared" si="49"/>
        <v>-0.11834142448626728</v>
      </c>
      <c r="L162" s="24">
        <f t="shared" si="50"/>
        <v>-0.12298387096774199</v>
      </c>
      <c r="M162" s="24">
        <f t="shared" si="51"/>
        <v>-6.5520232688676905E-2</v>
      </c>
      <c r="N162" s="24">
        <f t="shared" si="52"/>
        <v>-8.7215827107449684E-3</v>
      </c>
      <c r="O162" s="24">
        <f t="shared" si="53"/>
        <v>1.8857865013228725E-3</v>
      </c>
      <c r="P162" s="24">
        <f t="shared" si="54"/>
        <v>-3.0522960048836589E-3</v>
      </c>
      <c r="Q162" s="25">
        <f t="shared" si="55"/>
        <v>-2.8376325184558349E-2</v>
      </c>
      <c r="S162" s="26">
        <f t="shared" si="59"/>
        <v>-5.2788936726165324E-2</v>
      </c>
      <c r="U162" s="5">
        <f t="shared" si="60"/>
        <v>209.80110624005937</v>
      </c>
      <c r="V162" s="6">
        <f t="shared" si="61"/>
        <v>221.49710024130019</v>
      </c>
      <c r="X162" s="20">
        <f t="shared" si="56"/>
        <v>0.94719572405914498</v>
      </c>
      <c r="Z162" s="22">
        <v>43833</v>
      </c>
      <c r="AA162" s="33">
        <v>49054.321100000001</v>
      </c>
      <c r="AB162" s="33">
        <v>19715.398399999998</v>
      </c>
      <c r="AC162" s="33">
        <v>11094.6113</v>
      </c>
      <c r="AD162" s="33">
        <v>17509.0543</v>
      </c>
      <c r="AE162" s="33">
        <v>84057.600900000005</v>
      </c>
      <c r="AF162" s="34">
        <v>14.698</v>
      </c>
      <c r="AH162" s="28">
        <f t="shared" si="62"/>
        <v>-5.2842595983269819E-2</v>
      </c>
      <c r="AJ162" s="5">
        <f t="shared" si="63"/>
        <v>210.52393558314924</v>
      </c>
      <c r="AK162" s="6">
        <f t="shared" si="64"/>
        <v>221.49710024130019</v>
      </c>
      <c r="AM162" s="1">
        <f t="shared" si="57"/>
        <v>43833</v>
      </c>
      <c r="AN162">
        <f t="shared" si="58"/>
        <v>0.95045910467361994</v>
      </c>
      <c r="AO162">
        <f t="shared" ca="1" si="44"/>
        <v>1.0023125863629148</v>
      </c>
      <c r="AP162">
        <f t="shared" ca="1" si="45"/>
        <v>1.1436861230077331</v>
      </c>
      <c r="AQ162">
        <f t="shared" ca="1" si="46"/>
        <v>1.2665272541544237</v>
      </c>
      <c r="AR162">
        <f t="shared" ca="1" si="47"/>
        <v>1.3861637721022926</v>
      </c>
      <c r="AS162">
        <f t="shared" ca="1" si="48"/>
        <v>1.4221350500206316</v>
      </c>
    </row>
    <row r="163" spans="2:45" x14ac:dyDescent="0.25">
      <c r="B163" s="22">
        <v>43840</v>
      </c>
      <c r="C163">
        <v>29.050999999999998</v>
      </c>
      <c r="D163">
        <v>23.45</v>
      </c>
      <c r="E163">
        <v>19.157</v>
      </c>
      <c r="F163">
        <v>33.475000000000001</v>
      </c>
      <c r="G163">
        <v>107.518</v>
      </c>
      <c r="H163">
        <v>15.291</v>
      </c>
      <c r="I163" s="6">
        <v>42740.38</v>
      </c>
      <c r="K163" s="23">
        <f t="shared" si="49"/>
        <v>9.5643975108429036E-2</v>
      </c>
      <c r="L163" s="24">
        <f t="shared" si="50"/>
        <v>7.8160919540229745E-2</v>
      </c>
      <c r="M163" s="24">
        <f t="shared" si="51"/>
        <v>4.6087478840168172E-2</v>
      </c>
      <c r="N163" s="24">
        <f t="shared" si="52"/>
        <v>8.2807698528222673E-2</v>
      </c>
      <c r="O163" s="24">
        <f t="shared" si="53"/>
        <v>5.9551613697955252E-2</v>
      </c>
      <c r="P163" s="24">
        <f t="shared" si="54"/>
        <v>4.0345625255136852E-2</v>
      </c>
      <c r="Q163" s="25">
        <f t="shared" si="55"/>
        <v>5.5340173806116777E-2</v>
      </c>
      <c r="S163" s="26">
        <f t="shared" si="59"/>
        <v>6.709955182835696E-2</v>
      </c>
      <c r="U163" s="5">
        <f t="shared" si="60"/>
        <v>223.87866644186087</v>
      </c>
      <c r="V163" s="6">
        <f t="shared" si="61"/>
        <v>233.7547882662046</v>
      </c>
      <c r="X163" s="20">
        <f t="shared" si="56"/>
        <v>0.95775007691779734</v>
      </c>
      <c r="Z163" s="22">
        <v>43840</v>
      </c>
      <c r="AA163" s="33">
        <v>53747.790099999998</v>
      </c>
      <c r="AB163" s="33">
        <v>21256.372100000001</v>
      </c>
      <c r="AC163" s="33">
        <v>11605.9861</v>
      </c>
      <c r="AD163" s="33">
        <v>18958.988499999999</v>
      </c>
      <c r="AE163" s="33">
        <v>89062.921199999997</v>
      </c>
      <c r="AF163" s="34">
        <v>15.291</v>
      </c>
      <c r="AH163" s="28">
        <f t="shared" si="62"/>
        <v>7.2750641260699675E-2</v>
      </c>
      <c r="AJ163" s="5">
        <f t="shared" si="63"/>
        <v>225.8396868975496</v>
      </c>
      <c r="AK163" s="6">
        <f t="shared" si="64"/>
        <v>233.7547882662046</v>
      </c>
      <c r="AM163" s="1">
        <f t="shared" si="57"/>
        <v>43840</v>
      </c>
      <c r="AN163">
        <f t="shared" si="58"/>
        <v>0.96613929739209814</v>
      </c>
      <c r="AO163">
        <f t="shared" ca="1" si="44"/>
        <v>0.99125534976264762</v>
      </c>
      <c r="AP163">
        <f t="shared" ca="1" si="45"/>
        <v>1.1286353911929596</v>
      </c>
      <c r="AQ163">
        <f t="shared" ca="1" si="46"/>
        <v>1.2582120922858184</v>
      </c>
      <c r="AR163">
        <f t="shared" ca="1" si="47"/>
        <v>1.3819717320089033</v>
      </c>
      <c r="AS163">
        <f t="shared" ca="1" si="48"/>
        <v>1.4206777420043148</v>
      </c>
    </row>
    <row r="164" spans="2:45" x14ac:dyDescent="0.25">
      <c r="B164" s="22">
        <v>43847</v>
      </c>
      <c r="C164">
        <v>27.169</v>
      </c>
      <c r="D164">
        <v>23.7</v>
      </c>
      <c r="E164">
        <v>21.762</v>
      </c>
      <c r="F164">
        <v>34.639000000000003</v>
      </c>
      <c r="G164">
        <v>106.07899999999999</v>
      </c>
      <c r="H164">
        <v>17.390999999999998</v>
      </c>
      <c r="I164" s="6">
        <v>42339.82</v>
      </c>
      <c r="K164" s="23">
        <f t="shared" si="49"/>
        <v>-6.4782623661835959E-2</v>
      </c>
      <c r="L164" s="24">
        <f t="shared" si="50"/>
        <v>1.0660980810234477E-2</v>
      </c>
      <c r="M164" s="24">
        <f t="shared" si="51"/>
        <v>0.13598162551547732</v>
      </c>
      <c r="N164" s="24">
        <f t="shared" si="52"/>
        <v>3.4772218073189087E-2</v>
      </c>
      <c r="O164" s="24">
        <f t="shared" si="53"/>
        <v>-1.3383805502334534E-2</v>
      </c>
      <c r="P164" s="24">
        <f t="shared" si="54"/>
        <v>0.1373356876594074</v>
      </c>
      <c r="Q164" s="25">
        <f t="shared" si="55"/>
        <v>-9.3719335204787146E-3</v>
      </c>
      <c r="S164" s="26">
        <f t="shared" si="59"/>
        <v>4.0097347149022966E-2</v>
      </c>
      <c r="U164" s="5">
        <f t="shared" si="60"/>
        <v>232.85560704944047</v>
      </c>
      <c r="V164" s="6">
        <f t="shared" si="61"/>
        <v>231.56405393048016</v>
      </c>
      <c r="X164" s="20">
        <f t="shared" si="56"/>
        <v>1.005577519900166</v>
      </c>
      <c r="Z164" s="22">
        <v>43847</v>
      </c>
      <c r="AA164" s="33">
        <v>50265.5389</v>
      </c>
      <c r="AB164" s="33">
        <v>21482.9859</v>
      </c>
      <c r="AC164" s="33">
        <v>13184.578100000001</v>
      </c>
      <c r="AD164" s="33">
        <v>19618.049500000001</v>
      </c>
      <c r="AE164" s="33">
        <v>87871.1783</v>
      </c>
      <c r="AF164" s="34">
        <v>17.390999999999998</v>
      </c>
      <c r="AH164" s="28">
        <f t="shared" si="62"/>
        <v>-1.134237363953915E-2</v>
      </c>
      <c r="AJ164" s="5">
        <f t="shared" si="63"/>
        <v>223.27812878612104</v>
      </c>
      <c r="AK164" s="6">
        <f t="shared" si="64"/>
        <v>231.56405393048016</v>
      </c>
      <c r="AM164" s="1">
        <f t="shared" si="57"/>
        <v>43847</v>
      </c>
      <c r="AN164">
        <f t="shared" si="58"/>
        <v>0.96421756743450915</v>
      </c>
      <c r="AO164">
        <f t="shared" ca="1" si="44"/>
        <v>0.98851066997082992</v>
      </c>
      <c r="AP164">
        <f t="shared" ca="1" si="45"/>
        <v>1.1256758892656284</v>
      </c>
      <c r="AQ164">
        <f t="shared" ca="1" si="46"/>
        <v>1.2511863358515782</v>
      </c>
      <c r="AR164">
        <f t="shared" ca="1" si="47"/>
        <v>1.3692005017432725</v>
      </c>
      <c r="AS164">
        <f t="shared" ca="1" si="48"/>
        <v>1.408129671097275</v>
      </c>
    </row>
    <row r="165" spans="2:45" x14ac:dyDescent="0.25">
      <c r="B165" s="22">
        <v>43854</v>
      </c>
      <c r="C165">
        <v>25.082000000000001</v>
      </c>
      <c r="D165">
        <v>22.15</v>
      </c>
      <c r="E165">
        <v>21.027999999999999</v>
      </c>
      <c r="F165">
        <v>31.536000000000001</v>
      </c>
      <c r="G165">
        <v>99.269000000000005</v>
      </c>
      <c r="H165">
        <v>16.158000000000001</v>
      </c>
      <c r="I165" s="6">
        <v>39917.82</v>
      </c>
      <c r="K165" s="23">
        <f t="shared" si="49"/>
        <v>-7.6815488240273844E-2</v>
      </c>
      <c r="L165" s="24">
        <f t="shared" si="50"/>
        <v>-6.5400843881856519E-2</v>
      </c>
      <c r="M165" s="24">
        <f t="shared" si="51"/>
        <v>-3.3728517599485475E-2</v>
      </c>
      <c r="N165" s="24">
        <f t="shared" si="52"/>
        <v>-8.9581107999653575E-2</v>
      </c>
      <c r="O165" s="24">
        <f t="shared" si="53"/>
        <v>-6.4197437758651499E-2</v>
      </c>
      <c r="P165" s="24">
        <f t="shared" si="54"/>
        <v>-7.0898740727962539E-2</v>
      </c>
      <c r="Q165" s="25">
        <f t="shared" si="55"/>
        <v>-5.7203833176428187E-2</v>
      </c>
      <c r="S165" s="26">
        <f t="shared" si="59"/>
        <v>-6.6770356034647246E-2</v>
      </c>
      <c r="U165" s="5">
        <f t="shared" si="60"/>
        <v>217.30775526208541</v>
      </c>
      <c r="V165" s="6">
        <f t="shared" si="61"/>
        <v>218.31770241978356</v>
      </c>
      <c r="X165" s="20">
        <f t="shared" si="56"/>
        <v>0.99537395663977724</v>
      </c>
      <c r="Z165" s="22">
        <v>43854</v>
      </c>
      <c r="AA165" s="33">
        <v>46404.782099999997</v>
      </c>
      <c r="AB165" s="33">
        <v>20077.980500000001</v>
      </c>
      <c r="AC165" s="33">
        <v>12739.9043</v>
      </c>
      <c r="AD165" s="33">
        <v>17860.553500000002</v>
      </c>
      <c r="AE165" s="33">
        <v>82230.261799999993</v>
      </c>
      <c r="AF165" s="34">
        <v>16.158000000000001</v>
      </c>
      <c r="AH165" s="28">
        <f t="shared" si="62"/>
        <v>-6.8128438290135568E-2</v>
      </c>
      <c r="AJ165" s="5">
        <f t="shared" si="63"/>
        <v>208.06653856757885</v>
      </c>
      <c r="AK165" s="6">
        <f t="shared" si="64"/>
        <v>218.31770241978356</v>
      </c>
      <c r="AM165" s="1">
        <f t="shared" si="57"/>
        <v>43854</v>
      </c>
      <c r="AN165">
        <f t="shared" si="58"/>
        <v>0.95304474287433794</v>
      </c>
      <c r="AO165">
        <f t="shared" ca="1" si="44"/>
        <v>0.97872674912621238</v>
      </c>
      <c r="AP165">
        <f t="shared" ca="1" si="45"/>
        <v>1.1098052766610182</v>
      </c>
      <c r="AQ165">
        <f t="shared" ca="1" si="46"/>
        <v>1.2446414856532595</v>
      </c>
      <c r="AR165">
        <f t="shared" ca="1" si="47"/>
        <v>1.3639403515410105</v>
      </c>
      <c r="AS165">
        <f t="shared" ca="1" si="48"/>
        <v>1.405665017821589</v>
      </c>
    </row>
    <row r="166" spans="2:45" x14ac:dyDescent="0.25">
      <c r="B166" s="22">
        <v>43861</v>
      </c>
      <c r="C166">
        <v>25.736999999999998</v>
      </c>
      <c r="D166">
        <v>22</v>
      </c>
      <c r="E166">
        <v>21.504999999999999</v>
      </c>
      <c r="F166">
        <v>30.643999999999998</v>
      </c>
      <c r="G166">
        <v>100.03700000000001</v>
      </c>
      <c r="H166">
        <v>16.478000000000002</v>
      </c>
      <c r="I166" s="6">
        <v>40105.040000000001</v>
      </c>
      <c r="K166" s="23">
        <f t="shared" si="49"/>
        <v>2.6114344948568569E-2</v>
      </c>
      <c r="L166" s="24">
        <f t="shared" si="50"/>
        <v>-6.7720090293452717E-3</v>
      </c>
      <c r="M166" s="24">
        <f t="shared" si="51"/>
        <v>2.2684040327182853E-2</v>
      </c>
      <c r="N166" s="24">
        <f t="shared" si="52"/>
        <v>-2.8285134449518079E-2</v>
      </c>
      <c r="O166" s="24">
        <f t="shared" si="53"/>
        <v>7.7365542112843855E-3</v>
      </c>
      <c r="P166" s="24">
        <f t="shared" si="54"/>
        <v>1.9804431241490228E-2</v>
      </c>
      <c r="Q166" s="25">
        <f t="shared" si="55"/>
        <v>4.690135884173996E-3</v>
      </c>
      <c r="S166" s="26">
        <f t="shared" si="59"/>
        <v>6.880371208277114E-3</v>
      </c>
      <c r="U166" s="5">
        <f t="shared" si="60"/>
        <v>218.802913284726</v>
      </c>
      <c r="V166" s="6">
        <f t="shared" si="61"/>
        <v>219.34164211005302</v>
      </c>
      <c r="X166" s="20">
        <f t="shared" si="56"/>
        <v>0.99754388259272408</v>
      </c>
      <c r="Z166" s="22">
        <v>43861</v>
      </c>
      <c r="AA166" s="33">
        <v>47616</v>
      </c>
      <c r="AB166" s="33">
        <v>19942.012200000001</v>
      </c>
      <c r="AC166" s="33">
        <v>13028.942300000001</v>
      </c>
      <c r="AD166" s="33">
        <v>17355.273399999998</v>
      </c>
      <c r="AE166" s="33">
        <v>82865.857999999993</v>
      </c>
      <c r="AF166" s="34">
        <v>16.478000000000002</v>
      </c>
      <c r="AH166" s="28">
        <f t="shared" si="62"/>
        <v>8.3431018104763287E-3</v>
      </c>
      <c r="AJ166" s="5">
        <f t="shared" si="63"/>
        <v>209.80245888220153</v>
      </c>
      <c r="AK166" s="6">
        <f t="shared" si="64"/>
        <v>219.34164211005302</v>
      </c>
      <c r="AM166" s="1">
        <f t="shared" si="57"/>
        <v>43861</v>
      </c>
      <c r="AN166">
        <f t="shared" si="58"/>
        <v>0.95650993064479173</v>
      </c>
      <c r="AO166">
        <f t="shared" ca="1" si="44"/>
        <v>0.97527548060119651</v>
      </c>
      <c r="AP166">
        <f t="shared" ca="1" si="45"/>
        <v>1.063071570897935</v>
      </c>
      <c r="AQ166">
        <f t="shared" ca="1" si="46"/>
        <v>1.2406638220592616</v>
      </c>
      <c r="AR166">
        <f t="shared" ca="1" si="47"/>
        <v>1.3613222666050242</v>
      </c>
      <c r="AS166">
        <f t="shared" ca="1" si="48"/>
        <v>1.3990219617302677</v>
      </c>
    </row>
    <row r="167" spans="2:45" x14ac:dyDescent="0.25">
      <c r="B167" s="22">
        <v>43868</v>
      </c>
      <c r="C167">
        <v>25.164000000000001</v>
      </c>
      <c r="D167">
        <v>22.45</v>
      </c>
      <c r="E167">
        <v>20.440999999999999</v>
      </c>
      <c r="F167">
        <v>29.324999999999999</v>
      </c>
      <c r="G167">
        <v>100.277</v>
      </c>
      <c r="H167">
        <v>16.067</v>
      </c>
      <c r="I167" s="6">
        <v>41213.89</v>
      </c>
      <c r="K167" s="23">
        <f t="shared" si="49"/>
        <v>-2.2263667094066797E-2</v>
      </c>
      <c r="L167" s="24">
        <f t="shared" si="50"/>
        <v>2.0454545454545503E-2</v>
      </c>
      <c r="M167" s="24">
        <f t="shared" si="51"/>
        <v>-4.9476865845152318E-2</v>
      </c>
      <c r="N167" s="24">
        <f t="shared" si="52"/>
        <v>-4.3042683722751551E-2</v>
      </c>
      <c r="O167" s="24">
        <f t="shared" si="53"/>
        <v>2.3991123284383686E-3</v>
      </c>
      <c r="P167" s="24">
        <f t="shared" si="54"/>
        <v>-2.4942347372253981E-2</v>
      </c>
      <c r="Q167" s="25">
        <f t="shared" si="55"/>
        <v>2.7648644659125088E-2</v>
      </c>
      <c r="S167" s="26">
        <f t="shared" si="59"/>
        <v>-1.9478651041873463E-2</v>
      </c>
      <c r="U167" s="5">
        <f t="shared" si="60"/>
        <v>214.54092768990753</v>
      </c>
      <c r="V167" s="6">
        <f t="shared" si="61"/>
        <v>225.40614123170286</v>
      </c>
      <c r="X167" s="20">
        <f t="shared" si="56"/>
        <v>0.95179717161908817</v>
      </c>
      <c r="Z167" s="22">
        <v>43868</v>
      </c>
      <c r="AA167" s="33">
        <v>46556.184399999998</v>
      </c>
      <c r="AB167" s="33">
        <v>20349.917000000001</v>
      </c>
      <c r="AC167" s="33">
        <v>12384.165300000001</v>
      </c>
      <c r="AD167" s="33">
        <v>16608.337500000001</v>
      </c>
      <c r="AE167" s="33">
        <v>83064.481799999994</v>
      </c>
      <c r="AF167" s="34">
        <v>16.067</v>
      </c>
      <c r="AH167" s="28">
        <f t="shared" si="62"/>
        <v>-1.0205788473498834E-2</v>
      </c>
      <c r="AJ167" s="5">
        <f t="shared" si="63"/>
        <v>207.66125936562986</v>
      </c>
      <c r="AK167" s="6">
        <f t="shared" si="64"/>
        <v>225.40614123170286</v>
      </c>
      <c r="AM167" s="1">
        <f t="shared" si="57"/>
        <v>43868</v>
      </c>
      <c r="AN167">
        <f t="shared" si="58"/>
        <v>0.92127596094273045</v>
      </c>
      <c r="AO167">
        <f t="shared" ca="1" si="44"/>
        <v>0.97304951386901173</v>
      </c>
      <c r="AP167">
        <f t="shared" ca="1" si="45"/>
        <v>1.0491336487261491</v>
      </c>
      <c r="AQ167">
        <f t="shared" ca="1" si="46"/>
        <v>1.227036320087779</v>
      </c>
      <c r="AR167">
        <f t="shared" ca="1" si="47"/>
        <v>1.3573313049575517</v>
      </c>
      <c r="AS167">
        <f t="shared" ca="1" si="48"/>
        <v>1.392448301988618</v>
      </c>
    </row>
    <row r="168" spans="2:45" x14ac:dyDescent="0.25">
      <c r="B168" s="22">
        <v>43875</v>
      </c>
      <c r="C168">
        <v>24.222999999999999</v>
      </c>
      <c r="D168">
        <v>21.4</v>
      </c>
      <c r="E168">
        <v>18.129000000000001</v>
      </c>
      <c r="F168">
        <v>25.872</v>
      </c>
      <c r="G168">
        <v>98.79</v>
      </c>
      <c r="H168">
        <v>15.337</v>
      </c>
      <c r="I168" s="6">
        <v>38647.68</v>
      </c>
      <c r="K168" s="23">
        <f t="shared" si="49"/>
        <v>-3.7394690828167265E-2</v>
      </c>
      <c r="L168" s="24">
        <f t="shared" si="50"/>
        <v>-4.6770601336302953E-2</v>
      </c>
      <c r="M168" s="24">
        <f t="shared" si="51"/>
        <v>-0.11310601242600649</v>
      </c>
      <c r="N168" s="24">
        <f t="shared" si="52"/>
        <v>-0.11774936061381069</v>
      </c>
      <c r="O168" s="24">
        <f t="shared" si="53"/>
        <v>-1.4828923880849998E-2</v>
      </c>
      <c r="P168" s="24">
        <f t="shared" si="54"/>
        <v>-4.5434742017800511E-2</v>
      </c>
      <c r="Q168" s="25">
        <f t="shared" si="55"/>
        <v>-6.226565849523058E-2</v>
      </c>
      <c r="S168" s="26">
        <f t="shared" si="59"/>
        <v>-6.2547388517156313E-2</v>
      </c>
      <c r="U168" s="5">
        <f t="shared" si="60"/>
        <v>201.12195293285575</v>
      </c>
      <c r="V168" s="6">
        <f t="shared" si="61"/>
        <v>211.37107941904193</v>
      </c>
      <c r="X168" s="20">
        <f t="shared" si="56"/>
        <v>0.95151121660372773</v>
      </c>
      <c r="Z168" s="22">
        <v>43875</v>
      </c>
      <c r="AA168" s="33">
        <v>44815.058799999999</v>
      </c>
      <c r="AB168" s="33">
        <v>19398.1391</v>
      </c>
      <c r="AC168" s="33">
        <v>10983.442800000001</v>
      </c>
      <c r="AD168" s="33">
        <v>14653.1232</v>
      </c>
      <c r="AE168" s="33">
        <v>81833.0141</v>
      </c>
      <c r="AF168" s="34">
        <v>15.337</v>
      </c>
      <c r="AH168" s="28">
        <f t="shared" si="62"/>
        <v>-4.068386406218126E-2</v>
      </c>
      <c r="AJ168" s="5">
        <f t="shared" si="63"/>
        <v>199.21279691861722</v>
      </c>
      <c r="AK168" s="6">
        <f t="shared" si="64"/>
        <v>211.37107941904193</v>
      </c>
      <c r="AM168" s="1">
        <f t="shared" si="57"/>
        <v>43875</v>
      </c>
      <c r="AN168">
        <f t="shared" si="58"/>
        <v>0.94247896858055502</v>
      </c>
      <c r="AO168">
        <f t="shared" ca="1" si="44"/>
        <v>0.96680852849871035</v>
      </c>
      <c r="AP168">
        <f t="shared" ca="1" si="45"/>
        <v>1.0266633797978164</v>
      </c>
      <c r="AQ168">
        <f t="shared" ca="1" si="46"/>
        <v>1.2079355434652406</v>
      </c>
      <c r="AR168">
        <f t="shared" ca="1" si="47"/>
        <v>1.3381788441455165</v>
      </c>
      <c r="AS168">
        <f t="shared" ca="1" si="48"/>
        <v>1.3904190697363172</v>
      </c>
    </row>
    <row r="169" spans="2:45" x14ac:dyDescent="0.25">
      <c r="B169" s="22">
        <v>43882</v>
      </c>
      <c r="C169">
        <v>23.405000000000001</v>
      </c>
      <c r="D169">
        <v>21.3</v>
      </c>
      <c r="E169">
        <v>18.495999999999999</v>
      </c>
      <c r="F169">
        <v>27.888999999999999</v>
      </c>
      <c r="G169">
        <v>99.653000000000006</v>
      </c>
      <c r="H169">
        <v>15.61</v>
      </c>
      <c r="I169" s="6">
        <v>38602.480000000003</v>
      </c>
      <c r="K169" s="23">
        <f t="shared" si="49"/>
        <v>-3.3769557858233767E-2</v>
      </c>
      <c r="L169" s="24">
        <f t="shared" si="50"/>
        <v>-4.6728971962616273E-3</v>
      </c>
      <c r="M169" s="24">
        <f t="shared" si="51"/>
        <v>2.0243808263003871E-2</v>
      </c>
      <c r="N169" s="24">
        <f t="shared" si="52"/>
        <v>7.7960729746443969E-2</v>
      </c>
      <c r="O169" s="24">
        <f t="shared" si="53"/>
        <v>8.735701994128986E-3</v>
      </c>
      <c r="P169" s="24">
        <f t="shared" si="54"/>
        <v>1.7800091282519359E-2</v>
      </c>
      <c r="Q169" s="25">
        <f t="shared" si="55"/>
        <v>-1.1695398016128289E-3</v>
      </c>
      <c r="S169" s="26">
        <f t="shared" si="59"/>
        <v>1.4382979371933466E-2</v>
      </c>
      <c r="U169" s="5">
        <f t="shared" si="60"/>
        <v>204.01468583313198</v>
      </c>
      <c r="V169" s="6">
        <f t="shared" si="61"/>
        <v>211.12387252875149</v>
      </c>
      <c r="X169" s="20">
        <f t="shared" si="56"/>
        <v>0.96632694062273139</v>
      </c>
      <c r="Z169" s="22">
        <v>43882</v>
      </c>
      <c r="AA169" s="33">
        <v>43301.036500000002</v>
      </c>
      <c r="AB169" s="33">
        <v>19307.493600000002</v>
      </c>
      <c r="AC169" s="33">
        <v>11205.779699999999</v>
      </c>
      <c r="AD169" s="33">
        <v>15795.4956</v>
      </c>
      <c r="AE169" s="33">
        <v>82548.059899999993</v>
      </c>
      <c r="AF169" s="34">
        <v>15.61</v>
      </c>
      <c r="AH169" s="28">
        <f t="shared" si="62"/>
        <v>2.7712970606959932E-3</v>
      </c>
      <c r="AJ169" s="5">
        <f t="shared" si="63"/>
        <v>199.76487475717079</v>
      </c>
      <c r="AK169" s="6">
        <f t="shared" si="64"/>
        <v>211.12387252875149</v>
      </c>
      <c r="AM169" s="1">
        <f t="shared" si="57"/>
        <v>43882</v>
      </c>
      <c r="AN169">
        <f t="shared" si="58"/>
        <v>0.94619747338125482</v>
      </c>
      <c r="AO169">
        <f t="shared" ca="1" si="44"/>
        <v>0.96440974043026806</v>
      </c>
      <c r="AP169">
        <f t="shared" ca="1" si="45"/>
        <v>1.0045816073820604</v>
      </c>
      <c r="AQ169">
        <f t="shared" ca="1" si="46"/>
        <v>1.1975779248222786</v>
      </c>
      <c r="AR169">
        <f t="shared" ca="1" si="47"/>
        <v>1.3238912920554593</v>
      </c>
      <c r="AS169">
        <f t="shared" ca="1" si="48"/>
        <v>1.3904190697363172</v>
      </c>
    </row>
    <row r="170" spans="2:45" x14ac:dyDescent="0.25">
      <c r="B170" s="22">
        <v>43889</v>
      </c>
      <c r="C170">
        <v>21.440999999999999</v>
      </c>
      <c r="D170">
        <v>18.899999999999999</v>
      </c>
      <c r="E170">
        <v>16.698</v>
      </c>
      <c r="F170">
        <v>25.213000000000001</v>
      </c>
      <c r="G170">
        <v>89.341999999999999</v>
      </c>
      <c r="H170">
        <v>14.058999999999999</v>
      </c>
      <c r="I170" s="6">
        <v>34973.18</v>
      </c>
      <c r="K170" s="23">
        <f t="shared" si="49"/>
        <v>-8.391369365520196E-2</v>
      </c>
      <c r="L170" s="24">
        <f t="shared" si="50"/>
        <v>-0.11267605633802824</v>
      </c>
      <c r="M170" s="24">
        <f t="shared" si="51"/>
        <v>-9.7210207612456689E-2</v>
      </c>
      <c r="N170" s="24">
        <f t="shared" si="52"/>
        <v>-9.5951808956936335E-2</v>
      </c>
      <c r="O170" s="24">
        <f t="shared" si="53"/>
        <v>-0.10346903756033443</v>
      </c>
      <c r="P170" s="24">
        <f t="shared" si="54"/>
        <v>-9.935938500960928E-2</v>
      </c>
      <c r="Q170" s="25">
        <f t="shared" si="55"/>
        <v>-9.4017275574004633E-2</v>
      </c>
      <c r="S170" s="26">
        <f t="shared" si="59"/>
        <v>-9.8763364855427818E-2</v>
      </c>
      <c r="U170" s="5">
        <f t="shared" si="60"/>
        <v>183.86550898032888</v>
      </c>
      <c r="V170" s="6">
        <f t="shared" si="61"/>
        <v>191.27458122496483</v>
      </c>
      <c r="X170" s="20">
        <f t="shared" si="56"/>
        <v>0.96126473158541703</v>
      </c>
      <c r="Z170" s="22">
        <v>43889</v>
      </c>
      <c r="AA170" s="33">
        <v>39667.383099999999</v>
      </c>
      <c r="AB170" s="33">
        <v>17132.001400000001</v>
      </c>
      <c r="AC170" s="33">
        <v>10116.3289</v>
      </c>
      <c r="AD170" s="33">
        <v>14279.6553</v>
      </c>
      <c r="AE170" s="33">
        <v>74007.2356</v>
      </c>
      <c r="AF170" s="34">
        <v>14.058999999999999</v>
      </c>
      <c r="AH170" s="28">
        <f t="shared" si="62"/>
        <v>-9.8486041339998776E-2</v>
      </c>
      <c r="AJ170" s="5">
        <f t="shared" si="63"/>
        <v>180.09082304355638</v>
      </c>
      <c r="AK170" s="6">
        <f t="shared" si="64"/>
        <v>191.27458122496483</v>
      </c>
      <c r="AM170" s="1">
        <f t="shared" si="57"/>
        <v>43889</v>
      </c>
      <c r="AN170">
        <f t="shared" si="58"/>
        <v>0.94153034810069813</v>
      </c>
      <c r="AO170">
        <f t="shared" ca="1" si="44"/>
        <v>0.9572806943237635</v>
      </c>
      <c r="AP170">
        <f t="shared" ca="1" si="45"/>
        <v>0.99898901830515774</v>
      </c>
      <c r="AQ170">
        <f t="shared" ca="1" si="46"/>
        <v>1.190156398393011</v>
      </c>
      <c r="AR170">
        <f t="shared" ca="1" si="47"/>
        <v>1.301417490684174</v>
      </c>
      <c r="AS170">
        <f t="shared" ca="1" si="48"/>
        <v>1.3903854069161299</v>
      </c>
    </row>
    <row r="171" spans="2:45" x14ac:dyDescent="0.25">
      <c r="B171" s="22">
        <v>43896</v>
      </c>
      <c r="C171">
        <v>22.094999999999999</v>
      </c>
      <c r="D171">
        <v>19.25</v>
      </c>
      <c r="E171">
        <v>17.614999999999998</v>
      </c>
      <c r="F171">
        <v>27.734000000000002</v>
      </c>
      <c r="G171">
        <v>91.021000000000001</v>
      </c>
      <c r="H171">
        <v>14.789</v>
      </c>
      <c r="I171" s="6">
        <v>35222.43</v>
      </c>
      <c r="K171" s="23">
        <f t="shared" si="49"/>
        <v>3.0502308660976585E-2</v>
      </c>
      <c r="L171" s="24">
        <f t="shared" si="50"/>
        <v>1.8518518518518601E-2</v>
      </c>
      <c r="M171" s="24">
        <f t="shared" si="51"/>
        <v>5.4916756497783936E-2</v>
      </c>
      <c r="N171" s="24">
        <f t="shared" si="52"/>
        <v>9.998810137627423E-2</v>
      </c>
      <c r="O171" s="24">
        <f t="shared" si="53"/>
        <v>1.8792952922477735E-2</v>
      </c>
      <c r="P171" s="24">
        <f t="shared" si="54"/>
        <v>5.1924034426346077E-2</v>
      </c>
      <c r="Q171" s="25">
        <f t="shared" si="55"/>
        <v>7.1268898052736507E-3</v>
      </c>
      <c r="S171" s="26">
        <f t="shared" si="59"/>
        <v>4.577377873372953E-2</v>
      </c>
      <c r="U171" s="5">
        <f t="shared" si="60"/>
        <v>192.28172810515903</v>
      </c>
      <c r="V171" s="6">
        <f t="shared" si="61"/>
        <v>192.63777408790503</v>
      </c>
      <c r="X171" s="20">
        <f t="shared" si="56"/>
        <v>0.9981517333013642</v>
      </c>
      <c r="Z171" s="22">
        <v>43896</v>
      </c>
      <c r="AA171" s="33">
        <v>40878.600899999998</v>
      </c>
      <c r="AB171" s="33">
        <v>17449.260699999999</v>
      </c>
      <c r="AC171" s="33">
        <v>10672.171200000001</v>
      </c>
      <c r="AD171" s="33">
        <v>15707.620800000001</v>
      </c>
      <c r="AE171" s="33">
        <v>75397.602400000003</v>
      </c>
      <c r="AF171" s="34">
        <v>14.789</v>
      </c>
      <c r="AH171" s="28">
        <f t="shared" si="62"/>
        <v>3.1582318748605363E-2</v>
      </c>
      <c r="AJ171" s="5">
        <f t="shared" si="63"/>
        <v>185.77850882061665</v>
      </c>
      <c r="AK171" s="6">
        <f t="shared" si="64"/>
        <v>192.63777408790503</v>
      </c>
      <c r="AM171" s="1">
        <f t="shared" si="57"/>
        <v>43896</v>
      </c>
      <c r="AN171">
        <f t="shared" si="58"/>
        <v>0.96439293747155563</v>
      </c>
      <c r="AO171">
        <f t="shared" ca="1" si="44"/>
        <v>0.95339126165138333</v>
      </c>
      <c r="AP171">
        <f t="shared" ca="1" si="45"/>
        <v>0.98963364220464156</v>
      </c>
      <c r="AQ171">
        <f t="shared" ca="1" si="46"/>
        <v>1.1769678792548492</v>
      </c>
      <c r="AR171">
        <f t="shared" ca="1" si="47"/>
        <v>1.2937764479677478</v>
      </c>
      <c r="AS171">
        <f t="shared" ca="1" si="48"/>
        <v>1.3840116391903696</v>
      </c>
    </row>
    <row r="172" spans="2:45" x14ac:dyDescent="0.25">
      <c r="B172" s="22">
        <v>43903</v>
      </c>
      <c r="C172">
        <v>17.431000000000001</v>
      </c>
      <c r="D172">
        <v>17.8</v>
      </c>
      <c r="E172">
        <v>14.496</v>
      </c>
      <c r="F172">
        <v>20.286999999999999</v>
      </c>
      <c r="G172">
        <v>79.703000000000003</v>
      </c>
      <c r="H172">
        <v>13.602</v>
      </c>
      <c r="I172" s="6">
        <v>28447.97</v>
      </c>
      <c r="K172" s="23">
        <f t="shared" si="49"/>
        <v>-0.21108848155691329</v>
      </c>
      <c r="L172" s="24">
        <f t="shared" si="50"/>
        <v>-7.5324675324675239E-2</v>
      </c>
      <c r="M172" s="24">
        <f t="shared" si="51"/>
        <v>-0.17706500141924486</v>
      </c>
      <c r="N172" s="24">
        <f t="shared" si="52"/>
        <v>-0.26851517992355967</v>
      </c>
      <c r="O172" s="24">
        <f t="shared" si="53"/>
        <v>-0.12434493138945957</v>
      </c>
      <c r="P172" s="24">
        <f t="shared" si="54"/>
        <v>-8.0262357157346642E-2</v>
      </c>
      <c r="Q172" s="25">
        <f t="shared" si="55"/>
        <v>-0.19233369191165972</v>
      </c>
      <c r="S172" s="26">
        <f t="shared" si="59"/>
        <v>-0.15610010446186653</v>
      </c>
      <c r="U172" s="5">
        <f t="shared" si="60"/>
        <v>162.2665302618355</v>
      </c>
      <c r="V172" s="6">
        <f t="shared" si="61"/>
        <v>155.587039795934</v>
      </c>
      <c r="X172" s="20">
        <f t="shared" si="56"/>
        <v>1.0429308924102048</v>
      </c>
      <c r="Z172" s="22">
        <v>43903</v>
      </c>
      <c r="AA172" s="33">
        <v>32248.6741</v>
      </c>
      <c r="AB172" s="33">
        <v>16134.900799999999</v>
      </c>
      <c r="AC172" s="33">
        <v>8782.3075000000008</v>
      </c>
      <c r="AD172" s="33">
        <v>11489.630300000001</v>
      </c>
      <c r="AE172" s="33">
        <v>66022.558000000005</v>
      </c>
      <c r="AF172" s="34">
        <v>13.602</v>
      </c>
      <c r="AH172" s="28">
        <f t="shared" si="62"/>
        <v>-0.15880123578750191</v>
      </c>
      <c r="AJ172" s="5">
        <f t="shared" si="63"/>
        <v>156.27665203714341</v>
      </c>
      <c r="AK172" s="6">
        <f t="shared" si="64"/>
        <v>155.587039795934</v>
      </c>
      <c r="AM172" s="1">
        <f t="shared" si="57"/>
        <v>43903</v>
      </c>
      <c r="AN172">
        <f t="shared" si="58"/>
        <v>1.004432324453977</v>
      </c>
      <c r="AO172">
        <f t="shared" ca="1" si="44"/>
        <v>0.95339126165138333</v>
      </c>
      <c r="AP172">
        <f t="shared" ca="1" si="45"/>
        <v>0.98566813948801268</v>
      </c>
      <c r="AQ172">
        <f t="shared" ca="1" si="46"/>
        <v>1.1669615791679069</v>
      </c>
      <c r="AR172">
        <f t="shared" ca="1" si="47"/>
        <v>1.285534181066974</v>
      </c>
      <c r="AS172">
        <f t="shared" ca="1" si="48"/>
        <v>1.3652052557844405</v>
      </c>
    </row>
    <row r="173" spans="2:45" x14ac:dyDescent="0.25">
      <c r="B173" s="22">
        <v>43910</v>
      </c>
      <c r="C173">
        <v>16.285</v>
      </c>
      <c r="D173">
        <v>14.35</v>
      </c>
      <c r="E173">
        <v>11.964</v>
      </c>
      <c r="F173">
        <v>16.484999999999999</v>
      </c>
      <c r="G173">
        <v>69.584999999999994</v>
      </c>
      <c r="H173">
        <v>11.593999999999999</v>
      </c>
      <c r="I173" s="6">
        <v>23890.35</v>
      </c>
      <c r="K173" s="23">
        <f t="shared" si="49"/>
        <v>-6.5744937180884699E-2</v>
      </c>
      <c r="L173" s="24">
        <f t="shared" si="50"/>
        <v>-0.19382022471910121</v>
      </c>
      <c r="M173" s="24">
        <f t="shared" si="51"/>
        <v>-0.17466887417218546</v>
      </c>
      <c r="N173" s="24">
        <f t="shared" si="52"/>
        <v>-0.18741065707103066</v>
      </c>
      <c r="O173" s="24">
        <f t="shared" si="53"/>
        <v>-0.12694628809455111</v>
      </c>
      <c r="P173" s="24">
        <f t="shared" si="54"/>
        <v>-0.14762534921335102</v>
      </c>
      <c r="Q173" s="25">
        <f t="shared" si="55"/>
        <v>-0.16020897097402742</v>
      </c>
      <c r="S173" s="26">
        <f t="shared" si="59"/>
        <v>-0.14936938840851735</v>
      </c>
      <c r="U173" s="5">
        <f t="shared" si="60"/>
        <v>138.02887787745297</v>
      </c>
      <c r="V173" s="6">
        <f t="shared" si="61"/>
        <v>130.66060025333238</v>
      </c>
      <c r="X173" s="20">
        <f t="shared" si="56"/>
        <v>1.0563924978902175</v>
      </c>
      <c r="Z173" s="22">
        <v>43910</v>
      </c>
      <c r="AA173" s="33">
        <v>30129.0429</v>
      </c>
      <c r="AB173" s="33">
        <v>13007.6307</v>
      </c>
      <c r="AC173" s="33">
        <v>7248.1828999999998</v>
      </c>
      <c r="AD173" s="33">
        <v>9336.6977000000006</v>
      </c>
      <c r="AE173" s="33">
        <v>57640.632799999999</v>
      </c>
      <c r="AF173" s="34">
        <v>11.593999999999999</v>
      </c>
      <c r="AH173" s="28">
        <f t="shared" si="62"/>
        <v>-0.12857557116105298</v>
      </c>
      <c r="AJ173" s="5">
        <f t="shared" si="63"/>
        <v>136.18329224233057</v>
      </c>
      <c r="AK173" s="6">
        <f t="shared" si="64"/>
        <v>130.66060025333238</v>
      </c>
      <c r="AM173" s="1">
        <f t="shared" si="57"/>
        <v>43910</v>
      </c>
      <c r="AN173">
        <f t="shared" si="58"/>
        <v>1.042267462251746</v>
      </c>
      <c r="AO173">
        <f t="shared" ca="1" si="44"/>
        <v>0.95339126165138333</v>
      </c>
      <c r="AP173">
        <f t="shared" ca="1" si="45"/>
        <v>0.98566813948801268</v>
      </c>
      <c r="AQ173">
        <f t="shared" ca="1" si="46"/>
        <v>1.1597241841197856</v>
      </c>
      <c r="AR173">
        <f t="shared" ca="1" si="47"/>
        <v>1.2814193917234826</v>
      </c>
      <c r="AS173">
        <f t="shared" ca="1" si="48"/>
        <v>1.3631696388017358</v>
      </c>
    </row>
    <row r="174" spans="2:45" x14ac:dyDescent="0.25">
      <c r="B174" s="22">
        <v>43917</v>
      </c>
      <c r="C174">
        <v>16.161999999999999</v>
      </c>
      <c r="D174">
        <v>13.4</v>
      </c>
      <c r="E174">
        <v>12.257</v>
      </c>
      <c r="F174">
        <v>16.640999999999998</v>
      </c>
      <c r="G174">
        <v>69.393000000000001</v>
      </c>
      <c r="H174">
        <v>11.638999999999999</v>
      </c>
      <c r="I174" s="6">
        <v>24058.6</v>
      </c>
      <c r="K174" s="23">
        <f t="shared" si="49"/>
        <v>-7.5529628492478906E-3</v>
      </c>
      <c r="L174" s="24">
        <f t="shared" si="50"/>
        <v>-6.6202090592334395E-2</v>
      </c>
      <c r="M174" s="24">
        <f t="shared" si="51"/>
        <v>2.4490137077900265E-2</v>
      </c>
      <c r="N174" s="24">
        <f t="shared" si="52"/>
        <v>9.4631483166514041E-3</v>
      </c>
      <c r="O174" s="24">
        <f t="shared" si="53"/>
        <v>-2.7592153481352799E-3</v>
      </c>
      <c r="P174" s="24">
        <f t="shared" si="54"/>
        <v>3.8813179230636763E-3</v>
      </c>
      <c r="Q174" s="25">
        <f t="shared" si="55"/>
        <v>7.0425925112023169E-3</v>
      </c>
      <c r="S174" s="26">
        <f t="shared" si="59"/>
        <v>-6.4466109120170367E-3</v>
      </c>
      <c r="U174" s="5">
        <f t="shared" si="60"/>
        <v>137.13905940715472</v>
      </c>
      <c r="V174" s="6">
        <f t="shared" si="61"/>
        <v>131.58078961818569</v>
      </c>
      <c r="X174" s="20">
        <f t="shared" si="56"/>
        <v>1.0422422589581484</v>
      </c>
      <c r="Z174" s="22">
        <v>43917</v>
      </c>
      <c r="AA174" s="33">
        <v>29901.939600000002</v>
      </c>
      <c r="AB174" s="33">
        <v>12146.498299999999</v>
      </c>
      <c r="AC174" s="33">
        <v>7426.0523999999996</v>
      </c>
      <c r="AD174" s="33">
        <v>9424.5725000000002</v>
      </c>
      <c r="AE174" s="33">
        <v>57481.733699999997</v>
      </c>
      <c r="AF174" s="34">
        <v>11.638999999999999</v>
      </c>
      <c r="AH174" s="28">
        <f t="shared" si="62"/>
        <v>-8.3649879055066392E-3</v>
      </c>
      <c r="AJ174" s="5">
        <f t="shared" si="63"/>
        <v>135.04412064979138</v>
      </c>
      <c r="AK174" s="6">
        <f t="shared" si="64"/>
        <v>131.58078961818569</v>
      </c>
      <c r="AM174" s="1">
        <f t="shared" si="57"/>
        <v>43917</v>
      </c>
      <c r="AN174">
        <f t="shared" si="58"/>
        <v>1.0263209473180348</v>
      </c>
      <c r="AO174">
        <f t="shared" ca="1" si="44"/>
        <v>0.95339126165138333</v>
      </c>
      <c r="AP174">
        <f t="shared" ca="1" si="45"/>
        <v>0.98566813948801268</v>
      </c>
      <c r="AQ174">
        <f t="shared" ca="1" si="46"/>
        <v>1.1519598686321662</v>
      </c>
      <c r="AR174">
        <f t="shared" ca="1" si="47"/>
        <v>1.2757614260919068</v>
      </c>
      <c r="AS174">
        <f t="shared" ca="1" si="48"/>
        <v>1.3601743476531241</v>
      </c>
    </row>
    <row r="175" spans="2:45" x14ac:dyDescent="0.25">
      <c r="B175" s="22">
        <v>43924</v>
      </c>
      <c r="C175">
        <v>17.675999999999998</v>
      </c>
      <c r="D175">
        <v>14.15</v>
      </c>
      <c r="E175">
        <v>13.651999999999999</v>
      </c>
      <c r="F175">
        <v>18.231000000000002</v>
      </c>
      <c r="G175">
        <v>80.375</v>
      </c>
      <c r="H175">
        <v>12.324</v>
      </c>
      <c r="I175" s="6">
        <v>26505.41</v>
      </c>
      <c r="K175" s="23">
        <f t="shared" si="49"/>
        <v>9.3676525182526893E-2</v>
      </c>
      <c r="L175" s="24">
        <f t="shared" si="50"/>
        <v>5.5970149253731449E-2</v>
      </c>
      <c r="M175" s="24">
        <f t="shared" si="51"/>
        <v>0.11381251529738101</v>
      </c>
      <c r="N175" s="24">
        <f t="shared" si="52"/>
        <v>9.5547142599603507E-2</v>
      </c>
      <c r="O175" s="24">
        <f t="shared" si="53"/>
        <v>0.15825803755422019</v>
      </c>
      <c r="P175" s="24">
        <f t="shared" si="54"/>
        <v>5.8853853423833646E-2</v>
      </c>
      <c r="Q175" s="25">
        <f t="shared" si="55"/>
        <v>0.10170209405368569</v>
      </c>
      <c r="S175" s="26">
        <f t="shared" si="59"/>
        <v>9.6019703885216121E-2</v>
      </c>
      <c r="U175" s="5">
        <f t="shared" si="60"/>
        <v>150.30711128252679</v>
      </c>
      <c r="V175" s="6">
        <f t="shared" si="61"/>
        <v>144.96283145959265</v>
      </c>
      <c r="X175" s="20">
        <f t="shared" si="56"/>
        <v>1.0368665524060476</v>
      </c>
      <c r="Z175" s="22">
        <v>43924</v>
      </c>
      <c r="AA175" s="33">
        <v>32702.880700000002</v>
      </c>
      <c r="AB175" s="33">
        <v>12826.3397</v>
      </c>
      <c r="AC175" s="33">
        <v>8270.9326000000001</v>
      </c>
      <c r="AD175" s="33">
        <v>10325.289199999999</v>
      </c>
      <c r="AE175" s="33">
        <v>66578.704700000002</v>
      </c>
      <c r="AF175" s="34">
        <v>12.324</v>
      </c>
      <c r="AH175" s="28">
        <f t="shared" si="62"/>
        <v>0.12306857490111744</v>
      </c>
      <c r="AJ175" s="5">
        <f t="shared" si="63"/>
        <v>151.66380812693575</v>
      </c>
      <c r="AK175" s="6">
        <f t="shared" si="64"/>
        <v>144.96283145959265</v>
      </c>
      <c r="AM175" s="1">
        <f t="shared" si="57"/>
        <v>43924</v>
      </c>
      <c r="AN175">
        <f t="shared" si="58"/>
        <v>1.0462254813863161</v>
      </c>
      <c r="AO175">
        <f t="shared" ca="1" si="44"/>
        <v>0.95339126165138333</v>
      </c>
      <c r="AP175">
        <f t="shared" ca="1" si="45"/>
        <v>0.98566813948801268</v>
      </c>
      <c r="AQ175">
        <f t="shared" ca="1" si="46"/>
        <v>1.1389509727311975</v>
      </c>
      <c r="AR175">
        <f t="shared" ca="1" si="47"/>
        <v>1.2627706023739522</v>
      </c>
      <c r="AS175">
        <f t="shared" ca="1" si="48"/>
        <v>1.3538299626174228</v>
      </c>
    </row>
    <row r="176" spans="2:45" x14ac:dyDescent="0.25">
      <c r="B176" s="22">
        <v>43931</v>
      </c>
      <c r="C176">
        <v>18.658000000000001</v>
      </c>
      <c r="D176">
        <v>15.9</v>
      </c>
      <c r="E176">
        <v>14.936</v>
      </c>
      <c r="F176">
        <v>20.170000000000002</v>
      </c>
      <c r="G176">
        <v>86.992999999999995</v>
      </c>
      <c r="H176">
        <v>13.054</v>
      </c>
      <c r="I176" s="6">
        <v>28017.59</v>
      </c>
      <c r="K176" s="23">
        <f t="shared" si="49"/>
        <v>5.5555555555555802E-2</v>
      </c>
      <c r="L176" s="24">
        <f t="shared" si="50"/>
        <v>0.12367491166077738</v>
      </c>
      <c r="M176" s="24">
        <f t="shared" si="51"/>
        <v>9.4052153530618243E-2</v>
      </c>
      <c r="N176" s="24">
        <f t="shared" si="52"/>
        <v>0.10635730349404859</v>
      </c>
      <c r="O176" s="24">
        <f t="shared" si="53"/>
        <v>8.2339035769828817E-2</v>
      </c>
      <c r="P176" s="24">
        <f t="shared" si="54"/>
        <v>5.9234014930217516E-2</v>
      </c>
      <c r="Q176" s="25">
        <f t="shared" si="55"/>
        <v>5.7051749058022461E-2</v>
      </c>
      <c r="S176" s="26">
        <f t="shared" si="59"/>
        <v>8.6868829156841063E-2</v>
      </c>
      <c r="U176" s="5">
        <f t="shared" si="60"/>
        <v>163.36411405358692</v>
      </c>
      <c r="V176" s="6">
        <f t="shared" si="61"/>
        <v>153.23321454276572</v>
      </c>
      <c r="X176" s="20">
        <f t="shared" si="56"/>
        <v>1.0661142529774037</v>
      </c>
      <c r="Z176" s="22">
        <v>43931</v>
      </c>
      <c r="AA176" s="33">
        <v>34519.707399999999</v>
      </c>
      <c r="AB176" s="33">
        <v>14412.6361</v>
      </c>
      <c r="AC176" s="33">
        <v>9049.1118000000006</v>
      </c>
      <c r="AD176" s="33">
        <v>11423.724200000001</v>
      </c>
      <c r="AE176" s="33">
        <v>72060.722200000004</v>
      </c>
      <c r="AF176" s="34">
        <v>13.054</v>
      </c>
      <c r="AH176" s="28">
        <f t="shared" si="62"/>
        <v>8.2330469514926077E-2</v>
      </c>
      <c r="AJ176" s="5">
        <f t="shared" si="63"/>
        <v>164.15036065844802</v>
      </c>
      <c r="AK176" s="6">
        <f t="shared" si="64"/>
        <v>153.23321454276572</v>
      </c>
      <c r="AM176" s="1">
        <f t="shared" si="57"/>
        <v>43931</v>
      </c>
      <c r="AN176">
        <f t="shared" si="58"/>
        <v>1.0712452985356868</v>
      </c>
      <c r="AO176">
        <f t="shared" ca="1" si="44"/>
        <v>0.95339126165138333</v>
      </c>
      <c r="AP176">
        <f t="shared" ca="1" si="45"/>
        <v>0.98566813948801268</v>
      </c>
      <c r="AQ176">
        <f t="shared" ca="1" si="46"/>
        <v>1.1277901102077932</v>
      </c>
      <c r="AR176">
        <f t="shared" ca="1" si="47"/>
        <v>1.2578111631319873</v>
      </c>
      <c r="AS176">
        <f t="shared" ca="1" si="48"/>
        <v>1.3527275771321796</v>
      </c>
    </row>
    <row r="177" spans="2:45" x14ac:dyDescent="0.25">
      <c r="B177" s="22">
        <v>43938</v>
      </c>
      <c r="C177">
        <v>19.885999999999999</v>
      </c>
      <c r="D177">
        <v>16.350000000000001</v>
      </c>
      <c r="E177">
        <v>14.753</v>
      </c>
      <c r="F177">
        <v>19.123000000000001</v>
      </c>
      <c r="G177">
        <v>86.561000000000007</v>
      </c>
      <c r="H177">
        <v>13.510999999999999</v>
      </c>
      <c r="I177" s="6">
        <v>29883.279999999999</v>
      </c>
      <c r="K177" s="23">
        <f t="shared" si="49"/>
        <v>6.581627184049732E-2</v>
      </c>
      <c r="L177" s="24">
        <f t="shared" si="50"/>
        <v>2.8301886792452935E-2</v>
      </c>
      <c r="M177" s="24">
        <f t="shared" si="51"/>
        <v>-1.2252276379217997E-2</v>
      </c>
      <c r="N177" s="24">
        <f t="shared" si="52"/>
        <v>-5.1908775409023278E-2</v>
      </c>
      <c r="O177" s="24">
        <f t="shared" si="53"/>
        <v>-4.9659167979031471E-3</v>
      </c>
      <c r="P177" s="24">
        <f t="shared" si="54"/>
        <v>3.5008426535927617E-2</v>
      </c>
      <c r="Q177" s="25">
        <f t="shared" si="55"/>
        <v>6.658995295455461E-2</v>
      </c>
      <c r="S177" s="26">
        <f t="shared" si="59"/>
        <v>9.9999360971222417E-3</v>
      </c>
      <c r="U177" s="5">
        <f t="shared" si="60"/>
        <v>164.99774475468575</v>
      </c>
      <c r="V177" s="6">
        <f t="shared" si="61"/>
        <v>163.43700709024367</v>
      </c>
      <c r="X177" s="20">
        <f t="shared" si="56"/>
        <v>1.0095494753130196</v>
      </c>
      <c r="Z177" s="22">
        <v>43938</v>
      </c>
      <c r="AA177" s="33">
        <v>36790.7408</v>
      </c>
      <c r="AB177" s="33">
        <v>14820.5409</v>
      </c>
      <c r="AC177" s="33">
        <v>8937.9433000000008</v>
      </c>
      <c r="AD177" s="33">
        <v>10830.569299999999</v>
      </c>
      <c r="AE177" s="33">
        <v>71703.199299999993</v>
      </c>
      <c r="AF177" s="34">
        <v>13.510999999999999</v>
      </c>
      <c r="AH177" s="28">
        <f t="shared" si="62"/>
        <v>1.1440633908646868E-2</v>
      </c>
      <c r="AJ177" s="5">
        <f t="shared" si="63"/>
        <v>166.02834484071366</v>
      </c>
      <c r="AK177" s="6">
        <f t="shared" si="64"/>
        <v>163.43700709024367</v>
      </c>
      <c r="AM177" s="1">
        <f t="shared" si="57"/>
        <v>43938</v>
      </c>
      <c r="AN177">
        <f t="shared" si="58"/>
        <v>1.0158552692355602</v>
      </c>
      <c r="AO177">
        <f t="shared" ca="1" si="44"/>
        <v>0.95339126165138333</v>
      </c>
      <c r="AP177">
        <f t="shared" ca="1" si="45"/>
        <v>0.98566813948801268</v>
      </c>
      <c r="AQ177">
        <f t="shared" ca="1" si="46"/>
        <v>1.1252522302937971</v>
      </c>
      <c r="AR177">
        <f t="shared" ca="1" si="47"/>
        <v>1.2480743867882891</v>
      </c>
      <c r="AS177">
        <f t="shared" ca="1" si="48"/>
        <v>1.3527275771321796</v>
      </c>
    </row>
    <row r="178" spans="2:45" x14ac:dyDescent="0.25">
      <c r="B178" s="22">
        <v>43945</v>
      </c>
      <c r="C178">
        <v>19.477</v>
      </c>
      <c r="D178">
        <v>15.7</v>
      </c>
      <c r="E178">
        <v>14.276</v>
      </c>
      <c r="F178">
        <v>17.3</v>
      </c>
      <c r="G178">
        <v>89.87</v>
      </c>
      <c r="H178">
        <v>13.009</v>
      </c>
      <c r="I178" s="6">
        <v>29258.1</v>
      </c>
      <c r="K178" s="23">
        <f t="shared" si="49"/>
        <v>-2.0567233229407567E-2</v>
      </c>
      <c r="L178" s="24">
        <f t="shared" si="50"/>
        <v>-3.9755351681957318E-2</v>
      </c>
      <c r="M178" s="24">
        <f t="shared" si="51"/>
        <v>-3.2332406968074268E-2</v>
      </c>
      <c r="N178" s="24">
        <f t="shared" si="52"/>
        <v>-9.5330230612351685E-2</v>
      </c>
      <c r="O178" s="24">
        <f t="shared" si="53"/>
        <v>3.8227377225309223E-2</v>
      </c>
      <c r="P178" s="24">
        <f t="shared" si="54"/>
        <v>-3.7154910813411268E-2</v>
      </c>
      <c r="Q178" s="25">
        <f t="shared" si="55"/>
        <v>-2.0920728915969078E-2</v>
      </c>
      <c r="S178" s="26">
        <f t="shared" si="59"/>
        <v>-3.1152126013315479E-2</v>
      </c>
      <c r="U178" s="5">
        <f t="shared" si="60"/>
        <v>159.85771421817492</v>
      </c>
      <c r="V178" s="6">
        <f t="shared" si="61"/>
        <v>160.01778577007136</v>
      </c>
      <c r="X178" s="20">
        <f t="shared" si="56"/>
        <v>0.99899966399906048</v>
      </c>
      <c r="Z178" s="22">
        <v>43945</v>
      </c>
      <c r="AA178" s="33">
        <v>36033.729700000004</v>
      </c>
      <c r="AB178" s="33">
        <v>14231.3451</v>
      </c>
      <c r="AC178" s="33">
        <v>8648.9053999999996</v>
      </c>
      <c r="AD178" s="33">
        <v>9798.0403999999999</v>
      </c>
      <c r="AE178" s="33">
        <v>74444.207999999999</v>
      </c>
      <c r="AF178" s="34">
        <v>13.009</v>
      </c>
      <c r="AH178" s="28">
        <f t="shared" si="62"/>
        <v>5.1138772766910702E-4</v>
      </c>
      <c r="AJ178" s="5">
        <f t="shared" si="63"/>
        <v>166.1132496987104</v>
      </c>
      <c r="AK178" s="6">
        <f t="shared" si="64"/>
        <v>160.01778577007136</v>
      </c>
      <c r="AM178" s="1">
        <f t="shared" si="57"/>
        <v>43945</v>
      </c>
      <c r="AN178">
        <f t="shared" si="58"/>
        <v>1.0380924151606346</v>
      </c>
      <c r="AO178">
        <f t="shared" ca="1" si="44"/>
        <v>0.95339126165138333</v>
      </c>
      <c r="AP178">
        <f t="shared" ca="1" si="45"/>
        <v>0.98566813948801268</v>
      </c>
      <c r="AQ178">
        <f t="shared" ca="1" si="46"/>
        <v>1.0978251054429107</v>
      </c>
      <c r="AR178">
        <f t="shared" ca="1" si="47"/>
        <v>1.2444810096173891</v>
      </c>
      <c r="AS178">
        <f t="shared" ca="1" si="48"/>
        <v>1.3527275771321796</v>
      </c>
    </row>
    <row r="179" spans="2:45" x14ac:dyDescent="0.25">
      <c r="B179" s="22">
        <v>43952</v>
      </c>
      <c r="C179">
        <v>21.809000000000001</v>
      </c>
      <c r="D179">
        <v>16.75</v>
      </c>
      <c r="E179">
        <v>16.917999999999999</v>
      </c>
      <c r="F179">
        <v>19.395</v>
      </c>
      <c r="G179">
        <v>97.638999999999996</v>
      </c>
      <c r="H179">
        <v>14.058999999999999</v>
      </c>
      <c r="I179" s="6">
        <v>32742.84</v>
      </c>
      <c r="K179" s="23">
        <f t="shared" si="49"/>
        <v>0.11973096472762745</v>
      </c>
      <c r="L179" s="24">
        <f t="shared" si="50"/>
        <v>6.6878980891719841E-2</v>
      </c>
      <c r="M179" s="24">
        <f t="shared" si="51"/>
        <v>0.18506584477444665</v>
      </c>
      <c r="N179" s="24">
        <f t="shared" si="52"/>
        <v>0.12109826589595363</v>
      </c>
      <c r="O179" s="24">
        <f t="shared" si="53"/>
        <v>8.6447090241459801E-2</v>
      </c>
      <c r="P179" s="24">
        <f t="shared" si="54"/>
        <v>8.0713352294565111E-2</v>
      </c>
      <c r="Q179" s="25">
        <f t="shared" si="55"/>
        <v>0.11910342776872063</v>
      </c>
      <c r="S179" s="26">
        <f t="shared" si="59"/>
        <v>0.10998908313762874</v>
      </c>
      <c r="U179" s="5">
        <f t="shared" si="60"/>
        <v>177.44031763750905</v>
      </c>
      <c r="V179" s="6">
        <f t="shared" si="61"/>
        <v>179.07645255924766</v>
      </c>
      <c r="X179" s="20">
        <f t="shared" si="56"/>
        <v>0.99086348373358979</v>
      </c>
      <c r="Z179" s="22">
        <v>43952</v>
      </c>
      <c r="AA179" s="33">
        <v>40348.693099999997</v>
      </c>
      <c r="AB179" s="33">
        <v>15183.1229</v>
      </c>
      <c r="AC179" s="33">
        <v>10249.731</v>
      </c>
      <c r="AD179" s="33">
        <v>10984.350200000001</v>
      </c>
      <c r="AE179" s="33">
        <v>80879.6198</v>
      </c>
      <c r="AF179" s="34">
        <v>14.058999999999999</v>
      </c>
      <c r="AH179" s="28">
        <f t="shared" si="62"/>
        <v>0.10120755807877338</v>
      </c>
      <c r="AJ179" s="5">
        <f t="shared" si="63"/>
        <v>182.92516606524643</v>
      </c>
      <c r="AK179" s="6">
        <f t="shared" si="64"/>
        <v>179.07645255924766</v>
      </c>
      <c r="AM179" s="1">
        <f t="shared" si="57"/>
        <v>43952</v>
      </c>
      <c r="AN179">
        <f t="shared" si="58"/>
        <v>1.0214920133328274</v>
      </c>
      <c r="AO179">
        <f t="shared" ca="1" si="44"/>
        <v>0.95339126165138333</v>
      </c>
      <c r="AP179">
        <f t="shared" ca="1" si="45"/>
        <v>0.98566813948801268</v>
      </c>
      <c r="AQ179">
        <f t="shared" ca="1" si="46"/>
        <v>1.0686258340646786</v>
      </c>
      <c r="AR179">
        <f t="shared" ca="1" si="47"/>
        <v>1.2388354662981331</v>
      </c>
      <c r="AS179">
        <f t="shared" ca="1" si="48"/>
        <v>1.3173123428310509</v>
      </c>
    </row>
    <row r="180" spans="2:45" x14ac:dyDescent="0.25">
      <c r="B180" s="22">
        <v>43959</v>
      </c>
      <c r="C180">
        <v>23.241</v>
      </c>
      <c r="D180">
        <v>18.600000000000001</v>
      </c>
      <c r="E180">
        <v>20.001000000000001</v>
      </c>
      <c r="F180">
        <v>23.274000000000001</v>
      </c>
      <c r="G180">
        <v>105.935</v>
      </c>
      <c r="H180">
        <v>16.113</v>
      </c>
      <c r="I180" s="6">
        <v>36183.9</v>
      </c>
      <c r="K180" s="23">
        <f t="shared" si="49"/>
        <v>6.5660965656380244E-2</v>
      </c>
      <c r="L180" s="24">
        <f t="shared" si="50"/>
        <v>0.11044776119402999</v>
      </c>
      <c r="M180" s="24">
        <f t="shared" si="51"/>
        <v>0.18223194230996587</v>
      </c>
      <c r="N180" s="24">
        <f t="shared" si="52"/>
        <v>0.20000000000000018</v>
      </c>
      <c r="O180" s="24">
        <f t="shared" si="53"/>
        <v>8.4966048402789873E-2</v>
      </c>
      <c r="P180" s="24">
        <f t="shared" si="54"/>
        <v>0.14609858453659585</v>
      </c>
      <c r="Q180" s="25">
        <f t="shared" si="55"/>
        <v>0.10509351052016269</v>
      </c>
      <c r="S180" s="26">
        <f t="shared" si="59"/>
        <v>0.13156755034996034</v>
      </c>
      <c r="U180" s="5">
        <f t="shared" si="60"/>
        <v>200.78570556239498</v>
      </c>
      <c r="V180" s="6">
        <f t="shared" si="61"/>
        <v>197.89622561019635</v>
      </c>
      <c r="X180" s="20">
        <f t="shared" si="56"/>
        <v>1.0146009856594747</v>
      </c>
      <c r="Z180" s="22">
        <v>43959</v>
      </c>
      <c r="AA180" s="33">
        <v>42998.232100000001</v>
      </c>
      <c r="AB180" s="33">
        <v>16860.064900000001</v>
      </c>
      <c r="AC180" s="33">
        <v>12117.361000000001</v>
      </c>
      <c r="AD180" s="33">
        <v>13181.220300000001</v>
      </c>
      <c r="AE180" s="33">
        <v>87752.004000000001</v>
      </c>
      <c r="AF180" s="34">
        <v>16.113</v>
      </c>
      <c r="AH180" s="28">
        <f t="shared" si="62"/>
        <v>9.6822854598876046E-2</v>
      </c>
      <c r="AJ180" s="5">
        <f t="shared" si="63"/>
        <v>200.63650282165705</v>
      </c>
      <c r="AK180" s="6">
        <f t="shared" si="64"/>
        <v>197.89622561019635</v>
      </c>
      <c r="AM180" s="1">
        <f t="shared" si="57"/>
        <v>43959</v>
      </c>
      <c r="AN180">
        <f t="shared" si="58"/>
        <v>1.0138470413117344</v>
      </c>
      <c r="AO180">
        <f t="shared" ca="1" si="44"/>
        <v>0.95339126165138333</v>
      </c>
      <c r="AP180">
        <f t="shared" ca="1" si="45"/>
        <v>0.98566813948801268</v>
      </c>
      <c r="AQ180">
        <f t="shared" ca="1" si="46"/>
        <v>1.0601367722021997</v>
      </c>
      <c r="AR180">
        <f t="shared" ca="1" si="47"/>
        <v>1.2220509248631664</v>
      </c>
      <c r="AS180">
        <f t="shared" ca="1" si="48"/>
        <v>1.2827073290285671</v>
      </c>
    </row>
    <row r="181" spans="2:45" x14ac:dyDescent="0.25">
      <c r="B181" s="22">
        <v>43966</v>
      </c>
      <c r="C181">
        <v>29.050999999999998</v>
      </c>
      <c r="D181">
        <v>20.25</v>
      </c>
      <c r="E181">
        <v>21.614999999999998</v>
      </c>
      <c r="F181">
        <v>23.855</v>
      </c>
      <c r="G181">
        <v>121.617</v>
      </c>
      <c r="H181">
        <v>16.295000000000002</v>
      </c>
      <c r="I181" s="6">
        <v>39388.32</v>
      </c>
      <c r="K181" s="23">
        <f t="shared" si="49"/>
        <v>0.24998924314788518</v>
      </c>
      <c r="L181" s="24">
        <f t="shared" si="50"/>
        <v>8.870967741935476E-2</v>
      </c>
      <c r="M181" s="24">
        <f t="shared" si="51"/>
        <v>8.0695965201739828E-2</v>
      </c>
      <c r="N181" s="24">
        <f t="shared" si="52"/>
        <v>2.4963478559766328E-2</v>
      </c>
      <c r="O181" s="24">
        <f t="shared" si="53"/>
        <v>0.14803417189786194</v>
      </c>
      <c r="P181" s="24">
        <f t="shared" si="54"/>
        <v>1.1295227456091572E-2</v>
      </c>
      <c r="Q181" s="25">
        <f t="shared" si="55"/>
        <v>8.8559276363244344E-2</v>
      </c>
      <c r="S181" s="26">
        <f t="shared" si="59"/>
        <v>0.10061462728044994</v>
      </c>
      <c r="U181" s="5">
        <f t="shared" si="60"/>
        <v>220.98768449079753</v>
      </c>
      <c r="V181" s="6">
        <f t="shared" si="61"/>
        <v>215.42177214525267</v>
      </c>
      <c r="X181" s="20">
        <f t="shared" si="56"/>
        <v>1.0258372786098517</v>
      </c>
      <c r="Z181" s="22">
        <v>43966</v>
      </c>
      <c r="AA181" s="33">
        <v>53747.790099999998</v>
      </c>
      <c r="AB181" s="33">
        <v>18355.715800000002</v>
      </c>
      <c r="AC181" s="33">
        <v>13095.643400000001</v>
      </c>
      <c r="AD181" s="33">
        <v>13510.7508</v>
      </c>
      <c r="AE181" s="33">
        <v>100742.0019</v>
      </c>
      <c r="AF181" s="34">
        <v>16.295000000000002</v>
      </c>
      <c r="AH181" s="28">
        <f t="shared" si="62"/>
        <v>0.15348905962575951</v>
      </c>
      <c r="AJ181" s="5">
        <f t="shared" si="63"/>
        <v>231.43201096635423</v>
      </c>
      <c r="AK181" s="6">
        <f t="shared" si="64"/>
        <v>215.42177214525267</v>
      </c>
      <c r="AM181" s="1">
        <f t="shared" si="57"/>
        <v>43966</v>
      </c>
      <c r="AN181">
        <f t="shared" si="58"/>
        <v>1.0743204303894887</v>
      </c>
      <c r="AO181">
        <f t="shared" ca="1" si="44"/>
        <v>0.95339126165138333</v>
      </c>
      <c r="AP181">
        <f t="shared" ca="1" si="45"/>
        <v>0.98566813948801268</v>
      </c>
      <c r="AQ181">
        <f t="shared" ca="1" si="46"/>
        <v>1.0502463280985226</v>
      </c>
      <c r="AR181">
        <f t="shared" ca="1" si="47"/>
        <v>1.2033705503785841</v>
      </c>
      <c r="AS181">
        <f t="shared" ca="1" si="48"/>
        <v>1.2802356838709108</v>
      </c>
    </row>
    <row r="182" spans="2:45" x14ac:dyDescent="0.25">
      <c r="B182" s="22">
        <v>43973</v>
      </c>
      <c r="C182">
        <v>29.87</v>
      </c>
      <c r="D182">
        <v>19.95</v>
      </c>
      <c r="E182">
        <v>20.367999999999999</v>
      </c>
      <c r="F182">
        <v>23.623000000000001</v>
      </c>
      <c r="G182">
        <v>124.926</v>
      </c>
      <c r="H182">
        <v>15.976000000000001</v>
      </c>
      <c r="I182" s="6">
        <v>40962.730000000003</v>
      </c>
      <c r="K182" s="23">
        <f t="shared" si="49"/>
        <v>2.819180062648452E-2</v>
      </c>
      <c r="L182" s="24">
        <f t="shared" si="50"/>
        <v>-1.4814814814814836E-2</v>
      </c>
      <c r="M182" s="24">
        <f t="shared" si="51"/>
        <v>-5.7691417996761474E-2</v>
      </c>
      <c r="N182" s="24">
        <f t="shared" si="52"/>
        <v>-9.7254244393208955E-3</v>
      </c>
      <c r="O182" s="24">
        <f t="shared" si="53"/>
        <v>2.7208367251288834E-2</v>
      </c>
      <c r="P182" s="24">
        <f t="shared" si="54"/>
        <v>-1.9576557226143043E-2</v>
      </c>
      <c r="Q182" s="25">
        <f t="shared" si="55"/>
        <v>3.9971494087587489E-2</v>
      </c>
      <c r="S182" s="26">
        <f t="shared" si="59"/>
        <v>-7.7346744332111488E-3</v>
      </c>
      <c r="U182" s="5">
        <f t="shared" si="60"/>
        <v>219.27841669751203</v>
      </c>
      <c r="V182" s="6">
        <f t="shared" si="61"/>
        <v>224.03250223689426</v>
      </c>
      <c r="X182" s="20">
        <f t="shared" si="56"/>
        <v>0.97877948292361971</v>
      </c>
      <c r="Z182" s="22">
        <v>43973</v>
      </c>
      <c r="AA182" s="33">
        <v>55261.812299999998</v>
      </c>
      <c r="AB182" s="33">
        <v>18083.779200000001</v>
      </c>
      <c r="AC182" s="33">
        <v>12339.697899999999</v>
      </c>
      <c r="AD182" s="33">
        <v>13378.938599999999</v>
      </c>
      <c r="AE182" s="33">
        <v>103483.01059999999</v>
      </c>
      <c r="AF182" s="34">
        <v>15.976000000000001</v>
      </c>
      <c r="AH182" s="28">
        <f t="shared" si="62"/>
        <v>1.5526850198672924E-2</v>
      </c>
      <c r="AJ182" s="5">
        <f t="shared" si="63"/>
        <v>235.02542113180644</v>
      </c>
      <c r="AK182" s="6">
        <f t="shared" si="64"/>
        <v>224.03250223689426</v>
      </c>
      <c r="AM182" s="1">
        <f t="shared" si="57"/>
        <v>43973</v>
      </c>
      <c r="AN182">
        <f t="shared" si="58"/>
        <v>1.0490684109901525</v>
      </c>
      <c r="AO182">
        <f t="shared" ca="1" si="44"/>
        <v>0.95339126165138333</v>
      </c>
      <c r="AP182">
        <f t="shared" ca="1" si="45"/>
        <v>0.98566813948801268</v>
      </c>
      <c r="AQ182">
        <f t="shared" ca="1" si="46"/>
        <v>1.0502463280985226</v>
      </c>
      <c r="AR182">
        <f t="shared" ca="1" si="47"/>
        <v>1.1969641085874541</v>
      </c>
      <c r="AS182">
        <f t="shared" ca="1" si="48"/>
        <v>1.2725378970031782</v>
      </c>
    </row>
    <row r="183" spans="2:45" x14ac:dyDescent="0.25">
      <c r="B183" s="22">
        <v>43980</v>
      </c>
      <c r="C183">
        <v>24.550999999999998</v>
      </c>
      <c r="D183">
        <v>18.75</v>
      </c>
      <c r="E183">
        <v>19.010000000000002</v>
      </c>
      <c r="F183">
        <v>23.545000000000002</v>
      </c>
      <c r="G183">
        <v>116.53400000000001</v>
      </c>
      <c r="H183">
        <v>15.108000000000001</v>
      </c>
      <c r="I183" s="6">
        <v>37824.730000000003</v>
      </c>
      <c r="K183" s="23">
        <f t="shared" si="49"/>
        <v>-0.17807164378975571</v>
      </c>
      <c r="L183" s="24">
        <f t="shared" si="50"/>
        <v>-6.0150375939849621E-2</v>
      </c>
      <c r="M183" s="24">
        <f t="shared" si="51"/>
        <v>-6.667321288295347E-2</v>
      </c>
      <c r="N183" s="24">
        <f t="shared" si="52"/>
        <v>-3.3018668247046801E-3</v>
      </c>
      <c r="O183" s="24">
        <f t="shared" si="53"/>
        <v>-6.717576805468839E-2</v>
      </c>
      <c r="P183" s="24">
        <f t="shared" si="54"/>
        <v>-5.4331497245868832E-2</v>
      </c>
      <c r="Q183" s="25">
        <f t="shared" si="55"/>
        <v>-7.6606222290360071E-2</v>
      </c>
      <c r="S183" s="26">
        <f t="shared" si="59"/>
        <v>-7.1617394122970121E-2</v>
      </c>
      <c r="U183" s="5">
        <f t="shared" si="60"/>
        <v>203.57426790622546</v>
      </c>
      <c r="V183" s="6">
        <f t="shared" si="61"/>
        <v>206.87021857026915</v>
      </c>
      <c r="X183" s="20">
        <f t="shared" si="56"/>
        <v>0.98406754395667562</v>
      </c>
      <c r="Z183" s="22">
        <v>43980</v>
      </c>
      <c r="AA183" s="33">
        <v>45420.667699999998</v>
      </c>
      <c r="AB183" s="33">
        <v>16996.033100000001</v>
      </c>
      <c r="AC183" s="33">
        <v>11517.0514</v>
      </c>
      <c r="AD183" s="33">
        <v>13335.001200000001</v>
      </c>
      <c r="AE183" s="33">
        <v>96531.176900000006</v>
      </c>
      <c r="AF183" s="34">
        <v>15.108000000000001</v>
      </c>
      <c r="AH183" s="28">
        <f t="shared" si="62"/>
        <v>-9.2551993734664828E-2</v>
      </c>
      <c r="AJ183" s="5">
        <f t="shared" si="63"/>
        <v>213.27334982772854</v>
      </c>
      <c r="AK183" s="6">
        <f t="shared" si="64"/>
        <v>206.87021857026915</v>
      </c>
      <c r="AM183" s="1">
        <f t="shared" si="57"/>
        <v>43980</v>
      </c>
      <c r="AN183">
        <f t="shared" si="58"/>
        <v>1.0309524072711529</v>
      </c>
      <c r="AO183">
        <f t="shared" ca="1" si="44"/>
        <v>0.95339126165138333</v>
      </c>
      <c r="AP183">
        <f t="shared" ca="1" si="45"/>
        <v>0.98566813948801268</v>
      </c>
      <c r="AQ183">
        <f t="shared" ca="1" si="46"/>
        <v>1.0476469461882343</v>
      </c>
      <c r="AR183">
        <f t="shared" ca="1" si="47"/>
        <v>1.1870594514132018</v>
      </c>
      <c r="AS183">
        <f t="shared" ca="1" si="48"/>
        <v>1.2588535789319484</v>
      </c>
    </row>
    <row r="184" spans="2:45" x14ac:dyDescent="0.25">
      <c r="B184" s="22">
        <v>43987</v>
      </c>
      <c r="C184">
        <v>26.433</v>
      </c>
      <c r="D184">
        <v>24.05</v>
      </c>
      <c r="E184">
        <v>20.331</v>
      </c>
      <c r="F184">
        <v>27.888999999999999</v>
      </c>
      <c r="G184">
        <v>133.94200000000001</v>
      </c>
      <c r="H184">
        <v>18.257999999999999</v>
      </c>
      <c r="I184" s="6">
        <v>45128.75</v>
      </c>
      <c r="K184" s="23">
        <f t="shared" si="49"/>
        <v>7.6656755325648751E-2</v>
      </c>
      <c r="L184" s="24">
        <f t="shared" si="50"/>
        <v>0.28266666666666662</v>
      </c>
      <c r="M184" s="24">
        <f t="shared" si="51"/>
        <v>6.9489742240925745E-2</v>
      </c>
      <c r="N184" s="24">
        <f t="shared" si="52"/>
        <v>0.18449777022722436</v>
      </c>
      <c r="O184" s="24">
        <f t="shared" si="53"/>
        <v>0.14938129644567244</v>
      </c>
      <c r="P184" s="24">
        <f t="shared" si="54"/>
        <v>0.20849880857823666</v>
      </c>
      <c r="Q184" s="25">
        <f t="shared" si="55"/>
        <v>0.19310170885555555</v>
      </c>
      <c r="S184" s="26">
        <f t="shared" si="59"/>
        <v>0.16186517324739577</v>
      </c>
      <c r="U184" s="5">
        <f t="shared" si="60"/>
        <v>236.52585204957839</v>
      </c>
      <c r="V184" s="6">
        <f t="shared" si="61"/>
        <v>246.81721128751039</v>
      </c>
      <c r="X184" s="20">
        <f t="shared" si="56"/>
        <v>0.95830372126705587</v>
      </c>
      <c r="Z184" s="22">
        <v>43987</v>
      </c>
      <c r="AA184" s="33">
        <v>48902.918899999997</v>
      </c>
      <c r="AB184" s="33">
        <v>21800.245200000001</v>
      </c>
      <c r="AC184" s="33">
        <v>12317.4642</v>
      </c>
      <c r="AD184" s="33">
        <v>15795.4956</v>
      </c>
      <c r="AE184" s="33">
        <v>110951.2663</v>
      </c>
      <c r="AF184" s="34">
        <v>18.257999999999999</v>
      </c>
      <c r="AH184" s="28">
        <f t="shared" si="62"/>
        <v>0.14128175010600985</v>
      </c>
      <c r="AJ184" s="5">
        <f t="shared" si="63"/>
        <v>243.40498194236133</v>
      </c>
      <c r="AK184" s="6">
        <f t="shared" si="64"/>
        <v>246.81721128751039</v>
      </c>
      <c r="AM184" s="1">
        <f t="shared" si="57"/>
        <v>43987</v>
      </c>
      <c r="AN184">
        <f t="shared" si="58"/>
        <v>0.98617507536306193</v>
      </c>
      <c r="AO184">
        <f t="shared" ca="1" si="44"/>
        <v>0.95339126165138333</v>
      </c>
      <c r="AP184">
        <f t="shared" ca="1" si="45"/>
        <v>0.98566813948801268</v>
      </c>
      <c r="AQ184">
        <f t="shared" ca="1" si="46"/>
        <v>1.0442464718190312</v>
      </c>
      <c r="AR184">
        <f t="shared" ca="1" si="47"/>
        <v>1.1734705666655778</v>
      </c>
      <c r="AS184">
        <f t="shared" ca="1" si="48"/>
        <v>1.2561654543528404</v>
      </c>
    </row>
    <row r="185" spans="2:45" x14ac:dyDescent="0.25">
      <c r="B185" s="22">
        <v>43994</v>
      </c>
      <c r="C185">
        <v>24.428000000000001</v>
      </c>
      <c r="D185">
        <v>25.5</v>
      </c>
      <c r="E185">
        <v>19.082999999999998</v>
      </c>
      <c r="F185">
        <v>28.626000000000001</v>
      </c>
      <c r="G185">
        <v>122.57599999999999</v>
      </c>
      <c r="H185">
        <v>17.071000000000002</v>
      </c>
      <c r="I185" s="6">
        <v>43417.15</v>
      </c>
      <c r="K185" s="23">
        <f t="shared" si="49"/>
        <v>-7.5852154503839864E-2</v>
      </c>
      <c r="L185" s="24">
        <f t="shared" si="50"/>
        <v>6.0291060291060239E-2</v>
      </c>
      <c r="M185" s="24">
        <f t="shared" si="51"/>
        <v>-6.1384093256603323E-2</v>
      </c>
      <c r="N185" s="24">
        <f t="shared" si="52"/>
        <v>2.6426189537093636E-2</v>
      </c>
      <c r="O185" s="24">
        <f t="shared" si="53"/>
        <v>-8.485762494213922E-2</v>
      </c>
      <c r="P185" s="24">
        <f t="shared" si="54"/>
        <v>-6.5012597217657841E-2</v>
      </c>
      <c r="Q185" s="25">
        <f t="shared" si="55"/>
        <v>-3.7927042074065831E-2</v>
      </c>
      <c r="S185" s="26">
        <f t="shared" si="59"/>
        <v>-3.3398203348681064E-2</v>
      </c>
      <c r="U185" s="5">
        <f t="shared" si="60"/>
        <v>228.62631354560654</v>
      </c>
      <c r="V185" s="6">
        <f t="shared" si="61"/>
        <v>237.45616453040537</v>
      </c>
      <c r="X185" s="20">
        <f t="shared" si="56"/>
        <v>0.96281481677992742</v>
      </c>
      <c r="Z185" s="22">
        <v>43994</v>
      </c>
      <c r="AA185" s="33">
        <v>45193.564299999998</v>
      </c>
      <c r="AB185" s="33">
        <v>23114.605</v>
      </c>
      <c r="AC185" s="33">
        <v>11561.518700000001</v>
      </c>
      <c r="AD185" s="33">
        <v>16212.900900000001</v>
      </c>
      <c r="AE185" s="33">
        <v>101536.4972</v>
      </c>
      <c r="AF185" s="34">
        <v>17.071000000000002</v>
      </c>
      <c r="AH185" s="28">
        <f t="shared" si="62"/>
        <v>-5.7916075383363658E-2</v>
      </c>
      <c r="AJ185" s="5">
        <f t="shared" si="63"/>
        <v>229.30792065950126</v>
      </c>
      <c r="AK185" s="6">
        <f t="shared" si="64"/>
        <v>237.45616453040537</v>
      </c>
      <c r="AM185" s="1">
        <f t="shared" si="57"/>
        <v>43994</v>
      </c>
      <c r="AN185">
        <f t="shared" si="58"/>
        <v>0.96568527127093917</v>
      </c>
      <c r="AO185">
        <f t="shared" ca="1" si="44"/>
        <v>0.95339126165138333</v>
      </c>
      <c r="AP185">
        <f t="shared" ca="1" si="45"/>
        <v>0.98404601725147267</v>
      </c>
      <c r="AQ185">
        <f t="shared" ca="1" si="46"/>
        <v>1.0401799387061903</v>
      </c>
      <c r="AR185">
        <f t="shared" ca="1" si="47"/>
        <v>1.1654557417137072</v>
      </c>
      <c r="AS185">
        <f t="shared" ca="1" si="48"/>
        <v>1.244898247310652</v>
      </c>
    </row>
    <row r="186" spans="2:45" x14ac:dyDescent="0.25">
      <c r="B186" s="22">
        <v>44001</v>
      </c>
      <c r="C186">
        <v>22.954999999999998</v>
      </c>
      <c r="D186">
        <v>22.35</v>
      </c>
      <c r="E186">
        <v>18.202000000000002</v>
      </c>
      <c r="F186">
        <v>26.997</v>
      </c>
      <c r="G186">
        <v>114.759</v>
      </c>
      <c r="H186">
        <v>17.071000000000002</v>
      </c>
      <c r="I186" s="6">
        <v>40951.449999999997</v>
      </c>
      <c r="K186" s="23">
        <f t="shared" si="49"/>
        <v>-6.0299656132307256E-2</v>
      </c>
      <c r="L186" s="24">
        <f t="shared" si="50"/>
        <v>-0.12352941176470578</v>
      </c>
      <c r="M186" s="24">
        <f t="shared" si="51"/>
        <v>-4.6166745270659559E-2</v>
      </c>
      <c r="N186" s="24">
        <f t="shared" si="52"/>
        <v>-5.6906308949905671E-2</v>
      </c>
      <c r="O186" s="24">
        <f t="shared" si="53"/>
        <v>-6.377267980681367E-2</v>
      </c>
      <c r="P186" s="24">
        <f t="shared" si="54"/>
        <v>0</v>
      </c>
      <c r="Q186" s="25">
        <f t="shared" si="55"/>
        <v>-5.6790922481093409E-2</v>
      </c>
      <c r="S186" s="26">
        <f t="shared" si="59"/>
        <v>-5.8445800320731989E-2</v>
      </c>
      <c r="U186" s="5">
        <f t="shared" si="60"/>
        <v>215.26406567605494</v>
      </c>
      <c r="V186" s="6">
        <f t="shared" si="61"/>
        <v>223.97080989790135</v>
      </c>
      <c r="X186" s="20">
        <f t="shared" si="56"/>
        <v>0.96112554030672359</v>
      </c>
      <c r="Z186" s="22">
        <v>44001</v>
      </c>
      <c r="AA186" s="33">
        <v>42468.3243</v>
      </c>
      <c r="AB186" s="33">
        <v>20259.271499999999</v>
      </c>
      <c r="AC186" s="33">
        <v>11027.9102</v>
      </c>
      <c r="AD186" s="33">
        <v>15290.2155</v>
      </c>
      <c r="AE186" s="33">
        <v>95061.3606</v>
      </c>
      <c r="AF186" s="34">
        <v>17.071000000000002</v>
      </c>
      <c r="AH186" s="28">
        <f t="shared" si="62"/>
        <v>-6.8368656346953174E-2</v>
      </c>
      <c r="AJ186" s="5">
        <f t="shared" si="63"/>
        <v>213.63044623429741</v>
      </c>
      <c r="AK186" s="6">
        <f t="shared" si="64"/>
        <v>223.97080989790135</v>
      </c>
      <c r="AM186" s="1">
        <f t="shared" si="57"/>
        <v>44001</v>
      </c>
      <c r="AN186">
        <f t="shared" si="58"/>
        <v>0.95383164588136427</v>
      </c>
      <c r="AO186">
        <f t="shared" ca="1" si="44"/>
        <v>0.95339126165138333</v>
      </c>
      <c r="AP186">
        <f t="shared" ca="1" si="45"/>
        <v>0.97699679782906346</v>
      </c>
      <c r="AQ186">
        <f t="shared" ca="1" si="46"/>
        <v>1.0359127428165218</v>
      </c>
      <c r="AR186">
        <f t="shared" ca="1" si="47"/>
        <v>1.1576113240499246</v>
      </c>
      <c r="AS186">
        <f t="shared" ca="1" si="48"/>
        <v>1.2435891912770674</v>
      </c>
    </row>
    <row r="187" spans="2:45" x14ac:dyDescent="0.25">
      <c r="B187" s="22">
        <v>44008</v>
      </c>
      <c r="C187">
        <v>23.2</v>
      </c>
      <c r="D187">
        <v>21.8</v>
      </c>
      <c r="E187">
        <v>16.954999999999998</v>
      </c>
      <c r="F187">
        <v>25.291</v>
      </c>
      <c r="G187">
        <v>113.273</v>
      </c>
      <c r="H187">
        <v>17.344999999999999</v>
      </c>
      <c r="I187" s="6">
        <v>40589.89</v>
      </c>
      <c r="K187" s="23">
        <f t="shared" si="49"/>
        <v>1.0673055979089519E-2</v>
      </c>
      <c r="L187" s="24">
        <f t="shared" si="50"/>
        <v>-2.4608501118568271E-2</v>
      </c>
      <c r="M187" s="24">
        <f t="shared" si="51"/>
        <v>-6.8508955059883747E-2</v>
      </c>
      <c r="N187" s="24">
        <f t="shared" si="52"/>
        <v>-6.319220654146751E-2</v>
      </c>
      <c r="O187" s="24">
        <f t="shared" si="53"/>
        <v>-1.2948875469462107E-2</v>
      </c>
      <c r="P187" s="24">
        <f t="shared" si="54"/>
        <v>1.6050612149258736E-2</v>
      </c>
      <c r="Q187" s="25">
        <f t="shared" si="55"/>
        <v>-8.8289914032347871E-3</v>
      </c>
      <c r="S187" s="26">
        <f t="shared" si="59"/>
        <v>-2.3755811676838896E-2</v>
      </c>
      <c r="U187" s="5">
        <f t="shared" si="60"/>
        <v>210.15029307106389</v>
      </c>
      <c r="V187" s="6">
        <f t="shared" si="61"/>
        <v>221.99337354273723</v>
      </c>
      <c r="X187" s="20">
        <f t="shared" si="56"/>
        <v>0.94665119826473831</v>
      </c>
      <c r="Z187" s="22">
        <v>44008</v>
      </c>
      <c r="AA187" s="33">
        <v>42922.531000000003</v>
      </c>
      <c r="AB187" s="33">
        <v>19760.7212</v>
      </c>
      <c r="AC187" s="33">
        <v>10271.9647</v>
      </c>
      <c r="AD187" s="33">
        <v>14323.592699999999</v>
      </c>
      <c r="AE187" s="33">
        <v>93829.892900000006</v>
      </c>
      <c r="AF187" s="34">
        <v>17.344999999999999</v>
      </c>
      <c r="AH187" s="28">
        <f t="shared" si="62"/>
        <v>-1.6280755310531362E-2</v>
      </c>
      <c r="AJ187" s="5">
        <f t="shared" si="63"/>
        <v>210.15238121227716</v>
      </c>
      <c r="AK187" s="6">
        <f t="shared" si="64"/>
        <v>221.99337354273723</v>
      </c>
      <c r="AM187" s="1">
        <f t="shared" si="57"/>
        <v>44008</v>
      </c>
      <c r="AN187">
        <f t="shared" si="58"/>
        <v>0.94666060458700796</v>
      </c>
      <c r="AO187">
        <f t="shared" ref="AO187:AO250" ca="1" si="65">+_xlfn.PERCENTILE.INC(OFFSET(AN187,-52,0,52,1),0.1)</f>
        <v>0.95312343317504056</v>
      </c>
      <c r="AP187">
        <f t="shared" ref="AP187:AP250" ca="1" si="66">+_xlfn.PERCENTILE.INC(OFFSET(AN187,-52,0,52,1),0.25)</f>
        <v>0.97446589903915992</v>
      </c>
      <c r="AQ187">
        <f t="shared" ref="AQ187:AQ250" ca="1" si="67">+_xlfn.PERCENTILE.INC(OFFSET(AN187,-52,0,52,1),0.5)</f>
        <v>1.032342738871781</v>
      </c>
      <c r="AR187">
        <f t="shared" ref="AR187:AR250" ca="1" si="68">+_xlfn.PERCENTILE.INC(OFFSET(AN187,-52,0,52,1),0.75)</f>
        <v>1.1501905709582174</v>
      </c>
      <c r="AS187">
        <f t="shared" ref="AS187:AS250" ca="1" si="69">+_xlfn.PERCENTILE.INC(OFFSET(AN187,-52,0,52,1),0.9)</f>
        <v>1.2415950331872223</v>
      </c>
    </row>
    <row r="188" spans="2:45" x14ac:dyDescent="0.25">
      <c r="B188" s="22">
        <v>44015</v>
      </c>
      <c r="C188">
        <v>22.135999999999999</v>
      </c>
      <c r="D188">
        <v>21.45</v>
      </c>
      <c r="E188">
        <v>16.734000000000002</v>
      </c>
      <c r="F188">
        <v>27.114000000000001</v>
      </c>
      <c r="G188">
        <v>113.129</v>
      </c>
      <c r="H188">
        <v>16.341000000000001</v>
      </c>
      <c r="I188" s="6">
        <v>39758.199999999997</v>
      </c>
      <c r="K188" s="23">
        <f t="shared" si="49"/>
        <v>-4.5862068965517255E-2</v>
      </c>
      <c r="L188" s="24">
        <f t="shared" si="50"/>
        <v>-1.6055045871559703E-2</v>
      </c>
      <c r="M188" s="24">
        <f t="shared" si="51"/>
        <v>-1.3034503096431505E-2</v>
      </c>
      <c r="N188" s="24">
        <f t="shared" si="52"/>
        <v>7.208097742279862E-2</v>
      </c>
      <c r="O188" s="24">
        <f t="shared" si="53"/>
        <v>-1.27126499695418E-3</v>
      </c>
      <c r="P188" s="24">
        <f t="shared" si="54"/>
        <v>-5.7884116460074853E-2</v>
      </c>
      <c r="Q188" s="25">
        <f t="shared" si="55"/>
        <v>-2.0490077701614928E-2</v>
      </c>
      <c r="S188" s="26">
        <f t="shared" si="59"/>
        <v>-1.033767032795648E-2</v>
      </c>
      <c r="U188" s="5">
        <f t="shared" si="60"/>
        <v>207.97782862197178</v>
      </c>
      <c r="V188" s="6">
        <f t="shared" si="61"/>
        <v>217.44471206960293</v>
      </c>
      <c r="X188" s="20">
        <f t="shared" si="56"/>
        <v>0.95646303210813033</v>
      </c>
      <c r="Z188" s="22">
        <v>44015</v>
      </c>
      <c r="AA188" s="33">
        <v>40954.302000000003</v>
      </c>
      <c r="AB188" s="33">
        <v>19443.461899999998</v>
      </c>
      <c r="AC188" s="33">
        <v>10138.562599999999</v>
      </c>
      <c r="AD188" s="33">
        <v>15356.1216</v>
      </c>
      <c r="AE188" s="33">
        <v>93710.718599999993</v>
      </c>
      <c r="AF188" s="34">
        <v>16.341000000000001</v>
      </c>
      <c r="AH188" s="28">
        <f t="shared" si="62"/>
        <v>-8.3228968732170124E-3</v>
      </c>
      <c r="AJ188" s="5">
        <f t="shared" si="63"/>
        <v>208.4033046157864</v>
      </c>
      <c r="AK188" s="6">
        <f t="shared" si="64"/>
        <v>217.44471206960293</v>
      </c>
      <c r="AM188" s="1">
        <f t="shared" si="57"/>
        <v>44015</v>
      </c>
      <c r="AN188">
        <f t="shared" si="58"/>
        <v>0.95841974096421145</v>
      </c>
      <c r="AO188">
        <f t="shared" ca="1" si="65"/>
        <v>0.95071766849369177</v>
      </c>
      <c r="AP188">
        <f t="shared" ca="1" si="66"/>
        <v>0.97115853069168934</v>
      </c>
      <c r="AQ188">
        <f t="shared" ca="1" si="67"/>
        <v>1.0286366772945938</v>
      </c>
      <c r="AR188">
        <f t="shared" ca="1" si="68"/>
        <v>1.1342158224546619</v>
      </c>
      <c r="AS188">
        <f t="shared" ca="1" si="69"/>
        <v>1.2415950331872223</v>
      </c>
    </row>
    <row r="189" spans="2:45" x14ac:dyDescent="0.25">
      <c r="B189" s="22">
        <v>44022</v>
      </c>
      <c r="C189">
        <v>24.632000000000001</v>
      </c>
      <c r="D189">
        <v>23.5</v>
      </c>
      <c r="E189">
        <v>19.634</v>
      </c>
      <c r="F189">
        <v>31.497</v>
      </c>
      <c r="G189">
        <v>125.645</v>
      </c>
      <c r="H189">
        <v>17.344999999999999</v>
      </c>
      <c r="I189" s="6">
        <v>42747.55</v>
      </c>
      <c r="K189" s="23">
        <f t="shared" si="49"/>
        <v>0.11275749909649457</v>
      </c>
      <c r="L189" s="24">
        <f t="shared" si="50"/>
        <v>9.5571095571095555E-2</v>
      </c>
      <c r="M189" s="24">
        <f t="shared" si="51"/>
        <v>0.17329986853113422</v>
      </c>
      <c r="N189" s="24">
        <f t="shared" si="52"/>
        <v>0.16165080770081874</v>
      </c>
      <c r="O189" s="24">
        <f t="shared" si="53"/>
        <v>0.1106347620857604</v>
      </c>
      <c r="P189" s="24">
        <f t="shared" si="54"/>
        <v>6.1440548314056542E-2</v>
      </c>
      <c r="Q189" s="25">
        <f t="shared" si="55"/>
        <v>7.5188263050138149E-2</v>
      </c>
      <c r="S189" s="26">
        <f t="shared" si="59"/>
        <v>0.11922576354989334</v>
      </c>
      <c r="U189" s="5">
        <f t="shared" si="60"/>
        <v>232.7741440408752</v>
      </c>
      <c r="V189" s="6">
        <f t="shared" si="61"/>
        <v>233.79400227955378</v>
      </c>
      <c r="X189" s="20">
        <f t="shared" si="56"/>
        <v>0.99563779126609475</v>
      </c>
      <c r="Z189" s="22">
        <v>44022</v>
      </c>
      <c r="AA189" s="33">
        <v>45572.069900000002</v>
      </c>
      <c r="AB189" s="33">
        <v>21301.694899999999</v>
      </c>
      <c r="AC189" s="33">
        <v>11895.024100000001</v>
      </c>
      <c r="AD189" s="33">
        <v>17838.584800000001</v>
      </c>
      <c r="AE189" s="33">
        <v>104078.8821</v>
      </c>
      <c r="AF189" s="34">
        <v>17.344999999999999</v>
      </c>
      <c r="AH189" s="28">
        <f t="shared" si="62"/>
        <v>0.11738227088406461</v>
      </c>
      <c r="AJ189" s="5">
        <f t="shared" si="63"/>
        <v>232.86615777133088</v>
      </c>
      <c r="AK189" s="6">
        <f t="shared" si="64"/>
        <v>233.79400227955378</v>
      </c>
      <c r="AM189" s="1">
        <f t="shared" si="57"/>
        <v>44022</v>
      </c>
      <c r="AN189">
        <f t="shared" si="58"/>
        <v>0.99603135880657256</v>
      </c>
      <c r="AO189">
        <f t="shared" ca="1" si="65"/>
        <v>0.95071766849369177</v>
      </c>
      <c r="AP189">
        <f t="shared" ca="1" si="66"/>
        <v>0.9660257908618084</v>
      </c>
      <c r="AQ189">
        <f t="shared" ca="1" si="67"/>
        <v>1.0239064803254312</v>
      </c>
      <c r="AR189">
        <f t="shared" ca="1" si="68"/>
        <v>1.1269448292226265</v>
      </c>
      <c r="AS189">
        <f t="shared" ca="1" si="69"/>
        <v>1.2395235094586299</v>
      </c>
    </row>
    <row r="190" spans="2:45" x14ac:dyDescent="0.25">
      <c r="B190" s="22">
        <v>44029</v>
      </c>
      <c r="C190">
        <v>25.655000000000001</v>
      </c>
      <c r="D190">
        <v>24</v>
      </c>
      <c r="E190">
        <v>20.001000000000001</v>
      </c>
      <c r="F190">
        <v>30.643999999999998</v>
      </c>
      <c r="G190">
        <v>123.48699999999999</v>
      </c>
      <c r="H190">
        <v>17.344999999999999</v>
      </c>
      <c r="I190" s="6">
        <v>45475.24</v>
      </c>
      <c r="K190" s="23">
        <f t="shared" si="49"/>
        <v>4.1531341344592354E-2</v>
      </c>
      <c r="L190" s="24">
        <f t="shared" si="50"/>
        <v>2.1276595744680771E-2</v>
      </c>
      <c r="M190" s="24">
        <f t="shared" si="51"/>
        <v>1.8692064785576168E-2</v>
      </c>
      <c r="N190" s="24">
        <f t="shared" si="52"/>
        <v>-2.7081944312156714E-2</v>
      </c>
      <c r="O190" s="24">
        <f t="shared" si="53"/>
        <v>-1.7175375064666376E-2</v>
      </c>
      <c r="P190" s="24">
        <f t="shared" si="54"/>
        <v>0</v>
      </c>
      <c r="Q190" s="25">
        <f t="shared" si="55"/>
        <v>6.3809270940673679E-2</v>
      </c>
      <c r="S190" s="26">
        <f t="shared" si="59"/>
        <v>6.2071137496710338E-3</v>
      </c>
      <c r="U190" s="5">
        <f t="shared" si="60"/>
        <v>234.21899963091923</v>
      </c>
      <c r="V190" s="6">
        <f t="shared" si="61"/>
        <v>248.71222711531431</v>
      </c>
      <c r="X190" s="20">
        <f t="shared" si="56"/>
        <v>0.94172692009357728</v>
      </c>
      <c r="Z190" s="22">
        <v>44029</v>
      </c>
      <c r="AA190" s="33">
        <v>47464.597699999998</v>
      </c>
      <c r="AB190" s="33">
        <v>21754.922399999999</v>
      </c>
      <c r="AC190" s="33">
        <v>12117.361000000001</v>
      </c>
      <c r="AD190" s="33">
        <v>17355.273399999998</v>
      </c>
      <c r="AE190" s="33">
        <v>102291.2677</v>
      </c>
      <c r="AF190" s="34">
        <v>17.344999999999999</v>
      </c>
      <c r="AH190" s="28">
        <f t="shared" si="62"/>
        <v>1.482494111902169E-3</v>
      </c>
      <c r="AJ190" s="5">
        <f t="shared" si="63"/>
        <v>233.21138047908818</v>
      </c>
      <c r="AK190" s="6">
        <f t="shared" si="64"/>
        <v>248.71222711531431</v>
      </c>
      <c r="AM190" s="1">
        <f t="shared" si="57"/>
        <v>44029</v>
      </c>
      <c r="AN190">
        <f t="shared" si="58"/>
        <v>0.93767557463494056</v>
      </c>
      <c r="AO190">
        <f t="shared" ca="1" si="65"/>
        <v>0.95071766849369177</v>
      </c>
      <c r="AP190">
        <f t="shared" ca="1" si="66"/>
        <v>0.9660257908618084</v>
      </c>
      <c r="AQ190">
        <f t="shared" ca="1" si="67"/>
        <v>1.0186736412841939</v>
      </c>
      <c r="AR190">
        <f t="shared" ca="1" si="68"/>
        <v>1.1248285713219657</v>
      </c>
      <c r="AS190">
        <f t="shared" ca="1" si="69"/>
        <v>1.1951115135607058</v>
      </c>
    </row>
    <row r="191" spans="2:45" x14ac:dyDescent="0.25">
      <c r="B191" s="22">
        <v>44036</v>
      </c>
      <c r="C191">
        <v>27.905999999999999</v>
      </c>
      <c r="D191">
        <v>23.85</v>
      </c>
      <c r="E191">
        <v>20.184000000000001</v>
      </c>
      <c r="F191">
        <v>30.411000000000001</v>
      </c>
      <c r="G191">
        <v>138.066</v>
      </c>
      <c r="H191">
        <v>17.390999999999998</v>
      </c>
      <c r="I191" s="6">
        <v>48605.06</v>
      </c>
      <c r="K191" s="23">
        <f t="shared" si="49"/>
        <v>8.7741181056324224E-2</v>
      </c>
      <c r="L191" s="24">
        <f t="shared" si="50"/>
        <v>-6.2499999999999778E-3</v>
      </c>
      <c r="M191" s="24">
        <f t="shared" si="51"/>
        <v>9.1495425228738103E-3</v>
      </c>
      <c r="N191" s="24">
        <f t="shared" si="52"/>
        <v>-7.6034460253229241E-3</v>
      </c>
      <c r="O191" s="24">
        <f t="shared" si="53"/>
        <v>0.1180610104707378</v>
      </c>
      <c r="P191" s="24">
        <f t="shared" si="54"/>
        <v>2.6520611127125449E-3</v>
      </c>
      <c r="Q191" s="25">
        <f t="shared" si="55"/>
        <v>6.882470548808528E-2</v>
      </c>
      <c r="S191" s="26">
        <f t="shared" si="59"/>
        <v>3.3958391522887578E-2</v>
      </c>
      <c r="U191" s="5">
        <f t="shared" si="60"/>
        <v>242.17270012248505</v>
      </c>
      <c r="V191" s="6">
        <f t="shared" si="61"/>
        <v>265.82977289781161</v>
      </c>
      <c r="X191" s="20">
        <f t="shared" si="56"/>
        <v>0.91100668477634883</v>
      </c>
      <c r="Z191" s="22">
        <v>44036</v>
      </c>
      <c r="AA191" s="33">
        <v>51628.158900000002</v>
      </c>
      <c r="AB191" s="33">
        <v>21618.954099999999</v>
      </c>
      <c r="AC191" s="33">
        <v>12228.529399999999</v>
      </c>
      <c r="AD191" s="33">
        <v>17223.461200000002</v>
      </c>
      <c r="AE191" s="33">
        <v>114367.59600000001</v>
      </c>
      <c r="AF191" s="34">
        <v>17.390999999999998</v>
      </c>
      <c r="AH191" s="28">
        <f t="shared" si="62"/>
        <v>8.002057241769038E-2</v>
      </c>
      <c r="AJ191" s="5">
        <f t="shared" si="63"/>
        <v>251.87308863934459</v>
      </c>
      <c r="AK191" s="6">
        <f t="shared" si="64"/>
        <v>265.82977289781161</v>
      </c>
      <c r="AM191" s="1">
        <f t="shared" si="57"/>
        <v>44036</v>
      </c>
      <c r="AN191">
        <f t="shared" si="58"/>
        <v>0.94749766323641949</v>
      </c>
      <c r="AO191">
        <f t="shared" ca="1" si="65"/>
        <v>0.94704045459566921</v>
      </c>
      <c r="AP191">
        <f t="shared" ca="1" si="66"/>
        <v>0.96536218782109329</v>
      </c>
      <c r="AQ191">
        <f t="shared" ca="1" si="67"/>
        <v>1.0148511552736474</v>
      </c>
      <c r="AR191">
        <f t="shared" ca="1" si="68"/>
        <v>1.0868415508796501</v>
      </c>
      <c r="AS191">
        <f t="shared" ca="1" si="69"/>
        <v>1.1825635793976839</v>
      </c>
    </row>
    <row r="192" spans="2:45" x14ac:dyDescent="0.25">
      <c r="B192" s="22">
        <v>44043</v>
      </c>
      <c r="C192">
        <v>26.596</v>
      </c>
      <c r="D192">
        <v>23.7</v>
      </c>
      <c r="E192">
        <v>19.524000000000001</v>
      </c>
      <c r="F192">
        <v>29.596</v>
      </c>
      <c r="G192">
        <v>135.572</v>
      </c>
      <c r="H192">
        <v>18.074999999999999</v>
      </c>
      <c r="I192" s="6">
        <v>49253.62</v>
      </c>
      <c r="K192" s="23">
        <f t="shared" si="49"/>
        <v>-4.6943309682505485E-2</v>
      </c>
      <c r="L192" s="24">
        <f t="shared" si="50"/>
        <v>-6.2893081761007386E-3</v>
      </c>
      <c r="M192" s="24">
        <f t="shared" si="51"/>
        <v>-3.2699167657550543E-2</v>
      </c>
      <c r="N192" s="24">
        <f t="shared" si="52"/>
        <v>-2.6799513333990999E-2</v>
      </c>
      <c r="O192" s="24">
        <f t="shared" si="53"/>
        <v>-1.8063824547680074E-2</v>
      </c>
      <c r="P192" s="24">
        <f t="shared" si="54"/>
        <v>3.9330688287045001E-2</v>
      </c>
      <c r="Q192" s="25">
        <f t="shared" si="55"/>
        <v>1.3343466709021756E-2</v>
      </c>
      <c r="S192" s="26">
        <f t="shared" si="59"/>
        <v>-1.5244072518463806E-2</v>
      </c>
      <c r="U192" s="5">
        <f t="shared" si="60"/>
        <v>238.4810019198257</v>
      </c>
      <c r="V192" s="6">
        <f t="shared" si="61"/>
        <v>269.37686362274036</v>
      </c>
      <c r="X192" s="20">
        <f t="shared" si="56"/>
        <v>0.88530617927832134</v>
      </c>
      <c r="Z192" s="22">
        <v>44043</v>
      </c>
      <c r="AA192" s="33">
        <v>49205.723299999998</v>
      </c>
      <c r="AB192" s="33">
        <v>21482.9859</v>
      </c>
      <c r="AC192" s="33">
        <v>11828.323</v>
      </c>
      <c r="AD192" s="33">
        <v>16762.118399999999</v>
      </c>
      <c r="AE192" s="33">
        <v>112301.9083</v>
      </c>
      <c r="AF192" s="34">
        <v>18.074999999999999</v>
      </c>
      <c r="AH192" s="28">
        <f t="shared" si="62"/>
        <v>-2.5272419551444082E-2</v>
      </c>
      <c r="AJ192" s="5">
        <f t="shared" si="63"/>
        <v>245.50764626953301</v>
      </c>
      <c r="AK192" s="6">
        <f t="shared" si="64"/>
        <v>269.37686362274036</v>
      </c>
      <c r="AM192" s="1">
        <f t="shared" si="57"/>
        <v>44043</v>
      </c>
      <c r="AN192">
        <f t="shared" si="58"/>
        <v>0.91139098944059294</v>
      </c>
      <c r="AO192">
        <f t="shared" ca="1" si="65"/>
        <v>0.94674431045194907</v>
      </c>
      <c r="AP192">
        <f t="shared" ca="1" si="66"/>
        <v>0.96434909496229404</v>
      </c>
      <c r="AQ192">
        <f t="shared" ca="1" si="67"/>
        <v>1.009650674542887</v>
      </c>
      <c r="AR192">
        <f t="shared" ca="1" si="68"/>
        <v>1.0720140814991372</v>
      </c>
      <c r="AS192">
        <f t="shared" ca="1" si="69"/>
        <v>1.1693709190946262</v>
      </c>
    </row>
    <row r="193" spans="2:45" x14ac:dyDescent="0.25">
      <c r="B193" s="22">
        <v>44050</v>
      </c>
      <c r="C193">
        <v>28.437999999999999</v>
      </c>
      <c r="D193">
        <v>28</v>
      </c>
      <c r="E193">
        <v>20.294</v>
      </c>
      <c r="F193">
        <v>32.466999999999999</v>
      </c>
      <c r="G193">
        <v>145.739</v>
      </c>
      <c r="H193">
        <v>18.03</v>
      </c>
      <c r="I193" s="6">
        <v>52325.83</v>
      </c>
      <c r="K193" s="23">
        <f t="shared" si="49"/>
        <v>6.9258535118062792E-2</v>
      </c>
      <c r="L193" s="24">
        <f t="shared" si="50"/>
        <v>0.18143459915611815</v>
      </c>
      <c r="M193" s="24">
        <f t="shared" si="51"/>
        <v>3.943863962302796E-2</v>
      </c>
      <c r="N193" s="24">
        <f t="shared" si="52"/>
        <v>9.7006352209757951E-2</v>
      </c>
      <c r="O193" s="24">
        <f t="shared" si="53"/>
        <v>7.4993361461068719E-2</v>
      </c>
      <c r="P193" s="24">
        <f t="shared" si="54"/>
        <v>-2.4896265560164776E-3</v>
      </c>
      <c r="Q193" s="25">
        <f t="shared" si="55"/>
        <v>6.2375313733284976E-2</v>
      </c>
      <c r="S193" s="26">
        <f t="shared" si="59"/>
        <v>7.6606976835336515E-2</v>
      </c>
      <c r="U193" s="5">
        <f t="shared" si="60"/>
        <v>256.75031050956562</v>
      </c>
      <c r="V193" s="6">
        <f t="shared" si="61"/>
        <v>286.17933000369709</v>
      </c>
      <c r="X193" s="20">
        <f t="shared" si="56"/>
        <v>0.89716581035481735</v>
      </c>
      <c r="Z193" s="22">
        <v>44050</v>
      </c>
      <c r="AA193" s="33">
        <v>52612.273399999998</v>
      </c>
      <c r="AB193" s="33">
        <v>25380.7428</v>
      </c>
      <c r="AC193" s="33">
        <v>12295.2305</v>
      </c>
      <c r="AD193" s="33">
        <v>18387.802299999999</v>
      </c>
      <c r="AE193" s="33">
        <v>120723.5583</v>
      </c>
      <c r="AF193" s="34">
        <v>18.03</v>
      </c>
      <c r="AH193" s="28">
        <f t="shared" si="62"/>
        <v>8.4216085640458752E-2</v>
      </c>
      <c r="AJ193" s="5">
        <f t="shared" si="63"/>
        <v>266.18333923315549</v>
      </c>
      <c r="AK193" s="6">
        <f t="shared" si="64"/>
        <v>286.17933000369709</v>
      </c>
      <c r="AM193" s="1">
        <f t="shared" si="57"/>
        <v>44050</v>
      </c>
      <c r="AN193">
        <f t="shared" si="58"/>
        <v>0.93012776020447296</v>
      </c>
      <c r="AO193">
        <f t="shared" ca="1" si="65"/>
        <v>0.94624378650183016</v>
      </c>
      <c r="AP193">
        <f t="shared" ca="1" si="66"/>
        <v>0.9627681108169347</v>
      </c>
      <c r="AQ193">
        <f t="shared" ca="1" si="67"/>
        <v>1.0049433161140082</v>
      </c>
      <c r="AR193">
        <f t="shared" ca="1" si="68"/>
        <v>1.0673161018291744</v>
      </c>
      <c r="AS193">
        <f t="shared" ca="1" si="69"/>
        <v>1.1631047602315632</v>
      </c>
    </row>
    <row r="194" spans="2:45" x14ac:dyDescent="0.25">
      <c r="B194" s="22">
        <v>44057</v>
      </c>
      <c r="C194">
        <v>28.396999999999998</v>
      </c>
      <c r="D194">
        <v>25</v>
      </c>
      <c r="E194">
        <v>19.670000000000002</v>
      </c>
      <c r="F194">
        <v>35.57</v>
      </c>
      <c r="G194">
        <v>129.14599999999999</v>
      </c>
      <c r="H194">
        <v>18.074999999999999</v>
      </c>
      <c r="I194" s="6">
        <v>48547.91</v>
      </c>
      <c r="K194" s="23">
        <f t="shared" si="49"/>
        <v>-1.441732892608516E-3</v>
      </c>
      <c r="L194" s="24">
        <f t="shared" si="50"/>
        <v>-0.1071428571428571</v>
      </c>
      <c r="M194" s="24">
        <f t="shared" si="51"/>
        <v>-3.0748004336256907E-2</v>
      </c>
      <c r="N194" s="24">
        <f t="shared" si="52"/>
        <v>9.5573967413065564E-2</v>
      </c>
      <c r="O194" s="24">
        <f t="shared" si="53"/>
        <v>-0.11385421884327473</v>
      </c>
      <c r="P194" s="24">
        <f t="shared" si="54"/>
        <v>2.4958402662229595E-3</v>
      </c>
      <c r="Q194" s="25">
        <f t="shared" si="55"/>
        <v>-7.2199905859113955E-2</v>
      </c>
      <c r="S194" s="26">
        <f t="shared" si="59"/>
        <v>-2.5852834255951456E-2</v>
      </c>
      <c r="U194" s="5">
        <f t="shared" si="60"/>
        <v>250.11258728679775</v>
      </c>
      <c r="V194" s="6">
        <f t="shared" si="61"/>
        <v>265.51720931860586</v>
      </c>
      <c r="X194" s="20">
        <f t="shared" si="56"/>
        <v>0.94198258534224255</v>
      </c>
      <c r="Z194" s="22">
        <v>44057</v>
      </c>
      <c r="AA194" s="33">
        <v>52536.5723</v>
      </c>
      <c r="AB194" s="33">
        <v>22661.377499999999</v>
      </c>
      <c r="AC194" s="33">
        <v>11917.257799999999</v>
      </c>
      <c r="AD194" s="33">
        <v>20145.298299999999</v>
      </c>
      <c r="AE194" s="33">
        <v>106978.7899</v>
      </c>
      <c r="AF194" s="34">
        <v>18.074999999999999</v>
      </c>
      <c r="AH194" s="28">
        <f t="shared" si="62"/>
        <v>-6.608349006065678E-2</v>
      </c>
      <c r="AJ194" s="5">
        <f t="shared" si="63"/>
        <v>248.59301518062881</v>
      </c>
      <c r="AK194" s="6">
        <f t="shared" si="64"/>
        <v>265.51720931860586</v>
      </c>
      <c r="AM194" s="1">
        <f t="shared" si="57"/>
        <v>44057</v>
      </c>
      <c r="AN194">
        <f t="shared" si="58"/>
        <v>0.93625952087471298</v>
      </c>
      <c r="AO194">
        <f t="shared" ca="1" si="65"/>
        <v>0.94285081906062496</v>
      </c>
      <c r="AP194">
        <f t="shared" ca="1" si="66"/>
        <v>0.95794228838435647</v>
      </c>
      <c r="AQ194">
        <f t="shared" ca="1" si="67"/>
        <v>1.0031979153300501</v>
      </c>
      <c r="AR194">
        <f t="shared" ca="1" si="68"/>
        <v>1.0572019735064644</v>
      </c>
      <c r="AS194">
        <f t="shared" ca="1" si="69"/>
        <v>1.1547907449104842</v>
      </c>
    </row>
    <row r="195" spans="2:45" x14ac:dyDescent="0.25">
      <c r="B195" s="22">
        <v>44064</v>
      </c>
      <c r="C195">
        <v>26.146000000000001</v>
      </c>
      <c r="D195">
        <v>24.05</v>
      </c>
      <c r="E195">
        <v>19.634</v>
      </c>
      <c r="F195">
        <v>35.027000000000001</v>
      </c>
      <c r="G195">
        <v>125.31</v>
      </c>
      <c r="H195">
        <v>17.254000000000001</v>
      </c>
      <c r="I195" s="6">
        <v>47411.28</v>
      </c>
      <c r="K195" s="23">
        <f t="shared" si="49"/>
        <v>-7.9268936859527295E-2</v>
      </c>
      <c r="L195" s="24">
        <f t="shared" si="50"/>
        <v>-3.7999999999999923E-2</v>
      </c>
      <c r="M195" s="24">
        <f t="shared" si="51"/>
        <v>-1.8301982714794551E-3</v>
      </c>
      <c r="N195" s="24">
        <f t="shared" si="52"/>
        <v>-1.5265673320213669E-2</v>
      </c>
      <c r="O195" s="24">
        <f t="shared" si="53"/>
        <v>-2.9702816966843626E-2</v>
      </c>
      <c r="P195" s="24">
        <f t="shared" si="54"/>
        <v>-4.5421853388658229E-2</v>
      </c>
      <c r="Q195" s="25">
        <f t="shared" si="55"/>
        <v>-2.3412542373090872E-2</v>
      </c>
      <c r="S195" s="26">
        <f t="shared" si="59"/>
        <v>-3.4914913134453697E-2</v>
      </c>
      <c r="U195" s="5">
        <f t="shared" si="60"/>
        <v>241.37992802784572</v>
      </c>
      <c r="V195" s="6">
        <f t="shared" si="61"/>
        <v>259.30077640464918</v>
      </c>
      <c r="X195" s="20">
        <f t="shared" si="56"/>
        <v>0.93088779514937792</v>
      </c>
      <c r="Z195" s="22">
        <v>44064</v>
      </c>
      <c r="AA195" s="33">
        <v>48373.011100000003</v>
      </c>
      <c r="AB195" s="33">
        <v>21800.245200000001</v>
      </c>
      <c r="AC195" s="33">
        <v>11895.024100000001</v>
      </c>
      <c r="AD195" s="33">
        <v>19837.736499999999</v>
      </c>
      <c r="AE195" s="33">
        <v>103800.80869999999</v>
      </c>
      <c r="AF195" s="34">
        <v>17.254000000000001</v>
      </c>
      <c r="AH195" s="28">
        <f t="shared" si="62"/>
        <v>-3.9827733574574413E-2</v>
      </c>
      <c r="AJ195" s="5">
        <f t="shared" si="63"/>
        <v>238.6921188035146</v>
      </c>
      <c r="AK195" s="6">
        <f t="shared" si="64"/>
        <v>259.30077640464918</v>
      </c>
      <c r="AM195" s="1">
        <f t="shared" si="57"/>
        <v>44064</v>
      </c>
      <c r="AN195">
        <f t="shared" si="58"/>
        <v>0.92052219092096377</v>
      </c>
      <c r="AO195">
        <f t="shared" ca="1" si="65"/>
        <v>0.94162521014868383</v>
      </c>
      <c r="AP195">
        <f t="shared" ca="1" si="66"/>
        <v>0.95584035945393486</v>
      </c>
      <c r="AQ195">
        <f t="shared" ca="1" si="67"/>
        <v>0.99899743250634787</v>
      </c>
      <c r="AR195">
        <f t="shared" ca="1" si="68"/>
        <v>1.0503681019452966</v>
      </c>
      <c r="AS195">
        <f t="shared" ca="1" si="69"/>
        <v>1.1465272131736544</v>
      </c>
    </row>
    <row r="196" spans="2:45" x14ac:dyDescent="0.25">
      <c r="B196" s="22">
        <v>44071</v>
      </c>
      <c r="C196">
        <v>26.965</v>
      </c>
      <c r="D196">
        <v>22.9</v>
      </c>
      <c r="E196">
        <v>17.872</v>
      </c>
      <c r="F196">
        <v>33.204000000000001</v>
      </c>
      <c r="G196">
        <v>115.958</v>
      </c>
      <c r="H196">
        <v>16.797000000000001</v>
      </c>
      <c r="I196" s="6">
        <v>46396.58</v>
      </c>
      <c r="K196" s="23">
        <f t="shared" si="49"/>
        <v>3.1324103113286927E-2</v>
      </c>
      <c r="L196" s="24">
        <f t="shared" si="50"/>
        <v>-4.7817047817047875E-2</v>
      </c>
      <c r="M196" s="24">
        <f t="shared" si="51"/>
        <v>-8.9742283793419642E-2</v>
      </c>
      <c r="N196" s="24">
        <f t="shared" si="52"/>
        <v>-5.2045564849972914E-2</v>
      </c>
      <c r="O196" s="24">
        <f t="shared" si="53"/>
        <v>-7.4630915329981673E-2</v>
      </c>
      <c r="P196" s="24">
        <f t="shared" si="54"/>
        <v>-2.6486611800162319E-2</v>
      </c>
      <c r="Q196" s="25">
        <f t="shared" si="55"/>
        <v>-2.1402079842602784E-2</v>
      </c>
      <c r="S196" s="26">
        <f t="shared" si="59"/>
        <v>-4.3233053412882916E-2</v>
      </c>
      <c r="U196" s="5">
        <f t="shared" si="60"/>
        <v>230.94433670662005</v>
      </c>
      <c r="V196" s="6">
        <f t="shared" si="61"/>
        <v>253.751200484788</v>
      </c>
      <c r="X196" s="20">
        <f t="shared" si="56"/>
        <v>0.91012115909364855</v>
      </c>
      <c r="Z196" s="22">
        <v>44071</v>
      </c>
      <c r="AA196" s="33">
        <v>49887.033300000003</v>
      </c>
      <c r="AB196" s="33">
        <v>20757.821800000002</v>
      </c>
      <c r="AC196" s="33">
        <v>10827.807000000001</v>
      </c>
      <c r="AD196" s="33">
        <v>18805.207600000002</v>
      </c>
      <c r="AE196" s="33">
        <v>96054.479699999996</v>
      </c>
      <c r="AF196" s="34">
        <v>16.797000000000001</v>
      </c>
      <c r="AH196" s="28">
        <f t="shared" si="62"/>
        <v>-4.5567545583651316E-2</v>
      </c>
      <c r="AJ196" s="5">
        <f t="shared" si="63"/>
        <v>227.81550479947714</v>
      </c>
      <c r="AK196" s="6">
        <f t="shared" si="64"/>
        <v>253.751200484788</v>
      </c>
      <c r="AM196" s="1">
        <f t="shared" si="57"/>
        <v>44071</v>
      </c>
      <c r="AN196">
        <f t="shared" si="58"/>
        <v>0.89779084538019482</v>
      </c>
      <c r="AO196">
        <f t="shared" ca="1" si="65"/>
        <v>0.93806105198151635</v>
      </c>
      <c r="AP196">
        <f t="shared" ca="1" si="66"/>
        <v>0.95363492012960771</v>
      </c>
      <c r="AQ196">
        <f t="shared" ca="1" si="67"/>
        <v>0.99304845670441699</v>
      </c>
      <c r="AR196">
        <f t="shared" ca="1" si="68"/>
        <v>1.0469362137872751</v>
      </c>
      <c r="AS196">
        <f t="shared" ca="1" si="69"/>
        <v>1.1291425597840596</v>
      </c>
    </row>
    <row r="197" spans="2:45" x14ac:dyDescent="0.25">
      <c r="B197" s="22">
        <v>44078</v>
      </c>
      <c r="C197">
        <v>24.591000000000001</v>
      </c>
      <c r="D197">
        <v>21.55</v>
      </c>
      <c r="E197">
        <v>17.175000000000001</v>
      </c>
      <c r="F197">
        <v>32.661000000000001</v>
      </c>
      <c r="G197">
        <v>116.438</v>
      </c>
      <c r="H197">
        <v>16.478000000000002</v>
      </c>
      <c r="I197" s="6">
        <v>45075.06</v>
      </c>
      <c r="K197" s="23">
        <f t="shared" si="49"/>
        <v>-8.8040051919154427E-2</v>
      </c>
      <c r="L197" s="24">
        <f t="shared" si="50"/>
        <v>-5.8951965065502043E-2</v>
      </c>
      <c r="M197" s="24">
        <f t="shared" si="51"/>
        <v>-3.8999552372426138E-2</v>
      </c>
      <c r="N197" s="24">
        <f t="shared" si="52"/>
        <v>-1.6353451391398655E-2</v>
      </c>
      <c r="O197" s="24">
        <f t="shared" si="53"/>
        <v>4.139429793545979E-3</v>
      </c>
      <c r="P197" s="24">
        <f t="shared" si="54"/>
        <v>-1.8991486574983618E-2</v>
      </c>
      <c r="Q197" s="25">
        <f t="shared" si="55"/>
        <v>-2.8483133886161527E-2</v>
      </c>
      <c r="S197" s="26">
        <f t="shared" si="59"/>
        <v>-3.6199512921653153E-2</v>
      </c>
      <c r="U197" s="5">
        <f t="shared" si="60"/>
        <v>222.58426420582614</v>
      </c>
      <c r="V197" s="6">
        <f t="shared" si="61"/>
        <v>246.52357106760556</v>
      </c>
      <c r="X197" s="20">
        <f t="shared" si="56"/>
        <v>0.902892422180537</v>
      </c>
      <c r="Z197" s="22">
        <v>44078</v>
      </c>
      <c r="AA197" s="33">
        <v>45496.368799999997</v>
      </c>
      <c r="AB197" s="33">
        <v>19534.107400000001</v>
      </c>
      <c r="AC197" s="33">
        <v>10405.366900000001</v>
      </c>
      <c r="AD197" s="33">
        <v>18497.645799999998</v>
      </c>
      <c r="AE197" s="33">
        <v>96451.727400000003</v>
      </c>
      <c r="AF197" s="34">
        <v>16.478000000000002</v>
      </c>
      <c r="AH197" s="28">
        <f t="shared" si="62"/>
        <v>-3.029444943340558E-2</v>
      </c>
      <c r="AJ197" s="5">
        <f t="shared" si="63"/>
        <v>220.91395950918363</v>
      </c>
      <c r="AK197" s="6">
        <f t="shared" si="64"/>
        <v>246.52357106760556</v>
      </c>
      <c r="AM197" s="1">
        <f t="shared" si="57"/>
        <v>44078</v>
      </c>
      <c r="AN197">
        <f t="shared" si="58"/>
        <v>0.89611698610597013</v>
      </c>
      <c r="AO197">
        <f t="shared" ca="1" si="65"/>
        <v>0.93640112625073579</v>
      </c>
      <c r="AP197">
        <f t="shared" ca="1" si="66"/>
        <v>0.95239833332415846</v>
      </c>
      <c r="AQ197">
        <f t="shared" ca="1" si="67"/>
        <v>0.9892017298070217</v>
      </c>
      <c r="AR197">
        <f t="shared" ca="1" si="68"/>
        <v>1.0432569670353886</v>
      </c>
      <c r="AS197">
        <f t="shared" ca="1" si="69"/>
        <v>1.1291425597840596</v>
      </c>
    </row>
    <row r="198" spans="2:45" x14ac:dyDescent="0.25">
      <c r="B198" s="22">
        <v>44085</v>
      </c>
      <c r="C198">
        <v>24.795999999999999</v>
      </c>
      <c r="D198">
        <v>21.9</v>
      </c>
      <c r="E198">
        <v>18.495999999999999</v>
      </c>
      <c r="F198">
        <v>32.466999999999999</v>
      </c>
      <c r="G198">
        <v>115.76600000000001</v>
      </c>
      <c r="H198">
        <v>16.113</v>
      </c>
      <c r="I198" s="6">
        <v>45839.99</v>
      </c>
      <c r="K198" s="23">
        <f t="shared" ref="K198:K261" si="70">+C198/C197-1</f>
        <v>8.3363832296368123E-3</v>
      </c>
      <c r="L198" s="24">
        <f t="shared" ref="L198:L261" si="71">+D198/D197-1</f>
        <v>1.6241299303944245E-2</v>
      </c>
      <c r="M198" s="24">
        <f t="shared" ref="M198:M261" si="72">+E198/E197-1</f>
        <v>7.6914119359534183E-2</v>
      </c>
      <c r="N198" s="24">
        <f t="shared" ref="N198:N261" si="73">+F198/F197-1</f>
        <v>-5.939805884694338E-3</v>
      </c>
      <c r="O198" s="24">
        <f t="shared" ref="O198:O261" si="74">+G198/G197-1</f>
        <v>-5.7713117710712636E-3</v>
      </c>
      <c r="P198" s="24">
        <f t="shared" ref="P198:P261" si="75">+H198/H197-1</f>
        <v>-2.2150746449811964E-2</v>
      </c>
      <c r="Q198" s="25">
        <f t="shared" ref="Q198:Q261" si="76">+I198/I197-1</f>
        <v>1.6970138253836975E-2</v>
      </c>
      <c r="S198" s="26">
        <f t="shared" si="59"/>
        <v>1.1271656297922946E-2</v>
      </c>
      <c r="U198" s="5">
        <f t="shared" si="60"/>
        <v>225.09315752928029</v>
      </c>
      <c r="V198" s="6">
        <f t="shared" si="61"/>
        <v>250.70711015145244</v>
      </c>
      <c r="X198" s="20">
        <f t="shared" si="56"/>
        <v>0.89783316234350607</v>
      </c>
      <c r="Z198" s="22">
        <v>44085</v>
      </c>
      <c r="AA198" s="33">
        <v>45874.874400000001</v>
      </c>
      <c r="AB198" s="33">
        <v>19851.366699999999</v>
      </c>
      <c r="AC198" s="33">
        <v>11205.779699999999</v>
      </c>
      <c r="AD198" s="33">
        <v>18387.802299999999</v>
      </c>
      <c r="AE198" s="33">
        <v>95895.580700000006</v>
      </c>
      <c r="AF198" s="34">
        <v>16.113</v>
      </c>
      <c r="AH198" s="28">
        <f t="shared" si="62"/>
        <v>4.3590140860381085E-3</v>
      </c>
      <c r="AJ198" s="5">
        <f t="shared" si="63"/>
        <v>221.8769265704866</v>
      </c>
      <c r="AK198" s="6">
        <f t="shared" si="64"/>
        <v>250.70711015145244</v>
      </c>
      <c r="AM198" s="1">
        <f t="shared" si="57"/>
        <v>44085</v>
      </c>
      <c r="AN198">
        <f t="shared" si="58"/>
        <v>0.88500452355120884</v>
      </c>
      <c r="AO198">
        <f t="shared" ca="1" si="65"/>
        <v>0.93074093627149701</v>
      </c>
      <c r="AP198">
        <f t="shared" ca="1" si="66"/>
        <v>0.9497187443143198</v>
      </c>
      <c r="AQ198">
        <f t="shared" ca="1" si="67"/>
        <v>0.9872564901874219</v>
      </c>
      <c r="AR198">
        <f t="shared" ca="1" si="68"/>
        <v>1.0391361769334124</v>
      </c>
      <c r="AS198">
        <f t="shared" ca="1" si="69"/>
        <v>1.1239646479992624</v>
      </c>
    </row>
    <row r="199" spans="2:45" x14ac:dyDescent="0.25">
      <c r="B199" s="22">
        <v>44092</v>
      </c>
      <c r="C199">
        <v>22.954999999999998</v>
      </c>
      <c r="D199">
        <v>21</v>
      </c>
      <c r="E199">
        <v>16.808</v>
      </c>
      <c r="F199">
        <v>27.190999999999999</v>
      </c>
      <c r="G199">
        <v>108.285</v>
      </c>
      <c r="H199">
        <v>15.291</v>
      </c>
      <c r="I199" s="6">
        <v>41484.06</v>
      </c>
      <c r="K199" s="23">
        <f t="shared" si="70"/>
        <v>-7.4245846104210367E-2</v>
      </c>
      <c r="L199" s="24">
        <f t="shared" si="71"/>
        <v>-4.1095890410958846E-2</v>
      </c>
      <c r="M199" s="24">
        <f t="shared" si="72"/>
        <v>-9.1262975778546696E-2</v>
      </c>
      <c r="N199" s="24">
        <f t="shared" si="73"/>
        <v>-0.16250346505682689</v>
      </c>
      <c r="O199" s="24">
        <f t="shared" si="74"/>
        <v>-6.4621736952127695E-2</v>
      </c>
      <c r="P199" s="24">
        <f t="shared" si="75"/>
        <v>-5.101470862036861E-2</v>
      </c>
      <c r="Q199" s="25">
        <f t="shared" si="76"/>
        <v>-9.5024671689500795E-2</v>
      </c>
      <c r="S199" s="26">
        <f t="shared" si="59"/>
        <v>-8.0790770487173189E-2</v>
      </c>
      <c r="U199" s="5">
        <f t="shared" si="60"/>
        <v>206.90770790109909</v>
      </c>
      <c r="V199" s="6">
        <f t="shared" si="61"/>
        <v>226.88374931908717</v>
      </c>
      <c r="X199" s="20">
        <f t="shared" ref="X199:X262" si="77">+(U199/$U$6)/(V199/$V$6)</f>
        <v>0.9119547280140633</v>
      </c>
      <c r="Z199" s="22">
        <v>44092</v>
      </c>
      <c r="AA199" s="33">
        <v>42468.3243</v>
      </c>
      <c r="AB199" s="33">
        <v>19035.557100000002</v>
      </c>
      <c r="AC199" s="33">
        <v>10183.030000000001</v>
      </c>
      <c r="AD199" s="33">
        <v>15400.058999999999</v>
      </c>
      <c r="AE199" s="33">
        <v>89698.517500000002</v>
      </c>
      <c r="AF199" s="34">
        <v>15.291</v>
      </c>
      <c r="AH199" s="28">
        <f t="shared" si="62"/>
        <v>-7.5460071003845067E-2</v>
      </c>
      <c r="AJ199" s="5">
        <f t="shared" si="63"/>
        <v>205.13407793736275</v>
      </c>
      <c r="AK199" s="6">
        <f t="shared" si="64"/>
        <v>226.88374931908717</v>
      </c>
      <c r="AM199" s="1">
        <f t="shared" ref="AM199:AM262" si="78">+B199</f>
        <v>44092</v>
      </c>
      <c r="AN199">
        <f t="shared" ref="AN199:AN262" si="79">+(AJ199/$AJ$6)/(AK199/$AK$6)</f>
        <v>0.90413737675352024</v>
      </c>
      <c r="AO199">
        <f t="shared" ca="1" si="65"/>
        <v>0.92216114086890466</v>
      </c>
      <c r="AP199">
        <f t="shared" ca="1" si="66"/>
        <v>0.94728839857406655</v>
      </c>
      <c r="AQ199">
        <f t="shared" ca="1" si="67"/>
        <v>0.98191695913988331</v>
      </c>
      <c r="AR199">
        <f t="shared" ca="1" si="68"/>
        <v>1.0348229066444652</v>
      </c>
      <c r="AS199">
        <f t="shared" ca="1" si="69"/>
        <v>1.0740129172041084</v>
      </c>
    </row>
    <row r="200" spans="2:45" x14ac:dyDescent="0.25">
      <c r="B200" s="22">
        <v>44099</v>
      </c>
      <c r="C200">
        <v>25.245999999999999</v>
      </c>
      <c r="D200">
        <v>22.5</v>
      </c>
      <c r="E200">
        <v>18.239000000000001</v>
      </c>
      <c r="F200">
        <v>29.635000000000002</v>
      </c>
      <c r="G200">
        <v>113.848</v>
      </c>
      <c r="H200">
        <v>16.158000000000001</v>
      </c>
      <c r="I200" s="6">
        <v>42042.45</v>
      </c>
      <c r="K200" s="23">
        <f t="shared" si="70"/>
        <v>9.9803964277935142E-2</v>
      </c>
      <c r="L200" s="24">
        <f t="shared" si="71"/>
        <v>7.1428571428571397E-2</v>
      </c>
      <c r="M200" s="24">
        <f t="shared" si="72"/>
        <v>8.513802950975724E-2</v>
      </c>
      <c r="N200" s="24">
        <f t="shared" si="73"/>
        <v>8.9882681769703376E-2</v>
      </c>
      <c r="O200" s="24">
        <f t="shared" si="74"/>
        <v>5.1373689800064737E-2</v>
      </c>
      <c r="P200" s="24">
        <f t="shared" si="75"/>
        <v>5.670001961938409E-2</v>
      </c>
      <c r="Q200" s="25">
        <f t="shared" si="76"/>
        <v>1.3460350794979981E-2</v>
      </c>
      <c r="S200" s="26">
        <f t="shared" ref="S200:S263" si="80">+AVERAGE(K200:P200)</f>
        <v>7.5721159400902668E-2</v>
      </c>
      <c r="U200" s="5">
        <f t="shared" ref="U200:U263" si="81">+U199*(1+S200)</f>
        <v>222.57499943235362</v>
      </c>
      <c r="V200" s="6">
        <f t="shared" ref="V200:V263" si="82">+V199*(1+Q200)</f>
        <v>229.9376841746024</v>
      </c>
      <c r="X200" s="20">
        <f t="shared" si="77"/>
        <v>0.96797965166658828</v>
      </c>
      <c r="Z200" s="22">
        <v>44099</v>
      </c>
      <c r="AA200" s="33">
        <v>46707.586600000002</v>
      </c>
      <c r="AB200" s="33">
        <v>20395.239799999999</v>
      </c>
      <c r="AC200" s="33">
        <v>11050.143899999999</v>
      </c>
      <c r="AD200" s="33">
        <v>16784.087100000001</v>
      </c>
      <c r="AE200" s="33">
        <v>94306.590100000001</v>
      </c>
      <c r="AF200" s="34">
        <v>16.158000000000001</v>
      </c>
      <c r="AH200" s="28">
        <f t="shared" ref="AH200:AH263" si="83">+SUMPRODUCT(K200:P200,AA199:AF199)/SUM(AA199:AF199)</f>
        <v>7.0465539651092812E-2</v>
      </c>
      <c r="AJ200" s="5">
        <f t="shared" ref="AJ200:AJ263" si="84">+AJ199*(1+AH200)</f>
        <v>219.58896144004831</v>
      </c>
      <c r="AK200" s="6">
        <f t="shared" ref="AK200:AK263" si="85">+AK199*(1+Q200)</f>
        <v>229.9376841746024</v>
      </c>
      <c r="AM200" s="1">
        <f t="shared" si="78"/>
        <v>44099</v>
      </c>
      <c r="AN200">
        <f t="shared" si="79"/>
        <v>0.95499335930209761</v>
      </c>
      <c r="AO200">
        <f t="shared" ca="1" si="65"/>
        <v>0.9205975679231404</v>
      </c>
      <c r="AP200">
        <f t="shared" ca="1" si="66"/>
        <v>0.94654482178556965</v>
      </c>
      <c r="AQ200">
        <f t="shared" ca="1" si="67"/>
        <v>0.97633475274142234</v>
      </c>
      <c r="AR200">
        <f t="shared" ca="1" si="68"/>
        <v>1.0316475730714669</v>
      </c>
      <c r="AS200">
        <f t="shared" ca="1" si="69"/>
        <v>1.0707214056414851</v>
      </c>
    </row>
    <row r="201" spans="2:45" x14ac:dyDescent="0.25">
      <c r="B201" s="22">
        <v>44106</v>
      </c>
      <c r="C201">
        <v>25.983000000000001</v>
      </c>
      <c r="D201">
        <v>23.35</v>
      </c>
      <c r="E201">
        <v>19.010000000000002</v>
      </c>
      <c r="F201">
        <v>29.945</v>
      </c>
      <c r="G201">
        <v>121.617</v>
      </c>
      <c r="H201">
        <v>16.295000000000002</v>
      </c>
      <c r="I201" s="6">
        <v>43654.37</v>
      </c>
      <c r="K201" s="23">
        <f t="shared" si="70"/>
        <v>2.9192743404895971E-2</v>
      </c>
      <c r="L201" s="24">
        <f t="shared" si="71"/>
        <v>3.777777777777791E-2</v>
      </c>
      <c r="M201" s="24">
        <f t="shared" si="72"/>
        <v>4.2272054388946767E-2</v>
      </c>
      <c r="N201" s="24">
        <f t="shared" si="73"/>
        <v>1.0460604015522179E-2</v>
      </c>
      <c r="O201" s="24">
        <f t="shared" si="74"/>
        <v>6.8240109619843947E-2</v>
      </c>
      <c r="P201" s="24">
        <f t="shared" si="75"/>
        <v>8.4787721252630455E-3</v>
      </c>
      <c r="Q201" s="25">
        <f t="shared" si="76"/>
        <v>3.8340296533622809E-2</v>
      </c>
      <c r="S201" s="26">
        <f t="shared" si="80"/>
        <v>3.2737010222041639E-2</v>
      </c>
      <c r="U201" s="5">
        <f t="shared" si="81"/>
        <v>229.86143946394151</v>
      </c>
      <c r="V201" s="6">
        <f t="shared" si="82"/>
        <v>238.75356317011116</v>
      </c>
      <c r="X201" s="20">
        <f t="shared" si="77"/>
        <v>0.96275605864012159</v>
      </c>
      <c r="Z201" s="22">
        <v>44106</v>
      </c>
      <c r="AA201" s="33">
        <v>48070.206599999998</v>
      </c>
      <c r="AB201" s="33">
        <v>21165.726600000002</v>
      </c>
      <c r="AC201" s="33">
        <v>11517.0514</v>
      </c>
      <c r="AD201" s="33">
        <v>16959.8367</v>
      </c>
      <c r="AE201" s="33">
        <v>100742.0019</v>
      </c>
      <c r="AF201" s="34">
        <v>16.295000000000002</v>
      </c>
      <c r="AH201" s="28">
        <f t="shared" si="83"/>
        <v>4.8675535845480726E-2</v>
      </c>
      <c r="AJ201" s="5">
        <f t="shared" si="84"/>
        <v>230.27757180389526</v>
      </c>
      <c r="AK201" s="6">
        <f t="shared" si="85"/>
        <v>238.75356317011116</v>
      </c>
      <c r="AM201" s="1">
        <f t="shared" si="78"/>
        <v>44106</v>
      </c>
      <c r="AN201">
        <f t="shared" si="79"/>
        <v>0.96449899530849403</v>
      </c>
      <c r="AO201">
        <f t="shared" ca="1" si="65"/>
        <v>0.9205975679231404</v>
      </c>
      <c r="AP201">
        <f t="shared" ca="1" si="66"/>
        <v>0.94654482178556965</v>
      </c>
      <c r="AQ201">
        <f t="shared" ca="1" si="67"/>
        <v>0.97392113551217985</v>
      </c>
      <c r="AR201">
        <f t="shared" ca="1" si="68"/>
        <v>1.0274788123063143</v>
      </c>
      <c r="AS201">
        <f t="shared" ca="1" si="69"/>
        <v>1.0648324501153763</v>
      </c>
    </row>
    <row r="202" spans="2:45" x14ac:dyDescent="0.25">
      <c r="B202" s="22">
        <v>44113</v>
      </c>
      <c r="C202">
        <v>27.536999999999999</v>
      </c>
      <c r="D202">
        <v>22.3</v>
      </c>
      <c r="E202">
        <v>18.056000000000001</v>
      </c>
      <c r="F202">
        <v>30.605</v>
      </c>
      <c r="G202">
        <v>128.523</v>
      </c>
      <c r="H202">
        <v>16.067</v>
      </c>
      <c r="I202" s="6">
        <v>45856.11</v>
      </c>
      <c r="K202" s="23">
        <f t="shared" si="70"/>
        <v>5.9808336219836056E-2</v>
      </c>
      <c r="L202" s="24">
        <f t="shared" si="71"/>
        <v>-4.4967880085653111E-2</v>
      </c>
      <c r="M202" s="24">
        <f t="shared" si="72"/>
        <v>-5.0184113624408222E-2</v>
      </c>
      <c r="N202" s="24">
        <f t="shared" si="73"/>
        <v>2.204040741359159E-2</v>
      </c>
      <c r="O202" s="24">
        <f t="shared" si="74"/>
        <v>5.678482448999711E-2</v>
      </c>
      <c r="P202" s="24">
        <f t="shared" si="75"/>
        <v>-1.3992022092666589E-2</v>
      </c>
      <c r="Q202" s="25">
        <f t="shared" si="76"/>
        <v>5.0435729573007126E-2</v>
      </c>
      <c r="S202" s="26">
        <f t="shared" si="80"/>
        <v>4.9149253867828051E-3</v>
      </c>
      <c r="U202" s="5">
        <f t="shared" si="81"/>
        <v>230.99119128820527</v>
      </c>
      <c r="V202" s="6">
        <f t="shared" si="82"/>
        <v>250.79527331675075</v>
      </c>
      <c r="X202" s="20">
        <f t="shared" si="77"/>
        <v>0.92103486733765827</v>
      </c>
      <c r="Z202" s="22">
        <v>44113</v>
      </c>
      <c r="AA202" s="33">
        <v>50946.848899999997</v>
      </c>
      <c r="AB202" s="33">
        <v>20213.948700000001</v>
      </c>
      <c r="AC202" s="33">
        <v>10938.975399999999</v>
      </c>
      <c r="AD202" s="33">
        <v>17333.304700000001</v>
      </c>
      <c r="AE202" s="33">
        <v>106462.3679</v>
      </c>
      <c r="AF202" s="34">
        <v>16.067</v>
      </c>
      <c r="AH202" s="28">
        <f t="shared" si="83"/>
        <v>3.7483735071423364E-2</v>
      </c>
      <c r="AJ202" s="5">
        <f t="shared" si="84"/>
        <v>238.90923529828316</v>
      </c>
      <c r="AK202" s="6">
        <f t="shared" si="85"/>
        <v>250.79527331675075</v>
      </c>
      <c r="AM202" s="1">
        <f t="shared" si="78"/>
        <v>44113</v>
      </c>
      <c r="AN202">
        <f t="shared" si="79"/>
        <v>0.95260661071767605</v>
      </c>
      <c r="AO202">
        <f t="shared" ca="1" si="65"/>
        <v>0.9205975679231404</v>
      </c>
      <c r="AP202">
        <f t="shared" ca="1" si="66"/>
        <v>0.94654482178556965</v>
      </c>
      <c r="AQ202">
        <f t="shared" ca="1" si="67"/>
        <v>0.96948545292515886</v>
      </c>
      <c r="AR202">
        <f t="shared" ca="1" si="68"/>
        <v>1.0226992468291292</v>
      </c>
      <c r="AS202">
        <f t="shared" ca="1" si="69"/>
        <v>1.0537472984286713</v>
      </c>
    </row>
    <row r="203" spans="2:45" x14ac:dyDescent="0.25">
      <c r="B203" s="22">
        <v>44120</v>
      </c>
      <c r="C203">
        <v>29.42</v>
      </c>
      <c r="D203">
        <v>26.4</v>
      </c>
      <c r="E203">
        <v>19.376999999999999</v>
      </c>
      <c r="F203">
        <v>33.475000000000001</v>
      </c>
      <c r="G203">
        <v>151.87700000000001</v>
      </c>
      <c r="H203">
        <v>16.021000000000001</v>
      </c>
      <c r="I203" s="6">
        <v>49024.09</v>
      </c>
      <c r="K203" s="23">
        <f t="shared" si="70"/>
        <v>6.8380724116643199E-2</v>
      </c>
      <c r="L203" s="24">
        <f t="shared" si="71"/>
        <v>0.18385650224215233</v>
      </c>
      <c r="M203" s="24">
        <f t="shared" si="72"/>
        <v>7.3161276030128342E-2</v>
      </c>
      <c r="N203" s="24">
        <f t="shared" si="73"/>
        <v>9.3775526874693815E-2</v>
      </c>
      <c r="O203" s="24">
        <f t="shared" si="74"/>
        <v>0.18171066657329837</v>
      </c>
      <c r="P203" s="24">
        <f t="shared" si="75"/>
        <v>-2.8630111408476377E-3</v>
      </c>
      <c r="Q203" s="25">
        <f t="shared" si="76"/>
        <v>6.9085232044322931E-2</v>
      </c>
      <c r="S203" s="26">
        <f t="shared" si="80"/>
        <v>9.9670280782678075E-2</v>
      </c>
      <c r="U203" s="5">
        <f t="shared" si="81"/>
        <v>254.01414818222599</v>
      </c>
      <c r="V203" s="6">
        <f t="shared" si="82"/>
        <v>268.12152296945789</v>
      </c>
      <c r="X203" s="20">
        <f t="shared" si="77"/>
        <v>0.94738440006235958</v>
      </c>
      <c r="Z203" s="22">
        <v>44120</v>
      </c>
      <c r="AA203" s="33">
        <v>54429.100100000003</v>
      </c>
      <c r="AB203" s="33">
        <v>23930.4146</v>
      </c>
      <c r="AC203" s="33">
        <v>11739.388300000001</v>
      </c>
      <c r="AD203" s="33">
        <v>18958.988499999999</v>
      </c>
      <c r="AE203" s="33">
        <v>125808.3281</v>
      </c>
      <c r="AF203" s="34">
        <v>16.021000000000001</v>
      </c>
      <c r="AH203" s="28">
        <f t="shared" si="83"/>
        <v>0.14069781224683464</v>
      </c>
      <c r="AJ203" s="5">
        <f t="shared" si="84"/>
        <v>272.52324203031583</v>
      </c>
      <c r="AK203" s="6">
        <f t="shared" si="85"/>
        <v>268.12152296945789</v>
      </c>
      <c r="AM203" s="1">
        <f t="shared" si="78"/>
        <v>44120</v>
      </c>
      <c r="AN203">
        <f t="shared" si="79"/>
        <v>1.0164168807192675</v>
      </c>
      <c r="AO203">
        <f t="shared" ca="1" si="65"/>
        <v>0.9205975679231404</v>
      </c>
      <c r="AP203">
        <f t="shared" ca="1" si="66"/>
        <v>0.94654482178556965</v>
      </c>
      <c r="AQ203">
        <f t="shared" ca="1" si="67"/>
        <v>0.96591228433151866</v>
      </c>
      <c r="AR203">
        <f t="shared" ca="1" si="68"/>
        <v>1.0172644552598771</v>
      </c>
      <c r="AS203">
        <f t="shared" ca="1" si="69"/>
        <v>1.0487841180297688</v>
      </c>
    </row>
    <row r="204" spans="2:45" x14ac:dyDescent="0.25">
      <c r="B204" s="22">
        <v>44127</v>
      </c>
      <c r="C204">
        <v>33.552</v>
      </c>
      <c r="D204">
        <v>30.55</v>
      </c>
      <c r="E204">
        <v>22.716000000000001</v>
      </c>
      <c r="F204">
        <v>37.625999999999998</v>
      </c>
      <c r="G204">
        <v>166.50399999999999</v>
      </c>
      <c r="H204">
        <v>19.308</v>
      </c>
      <c r="I204" s="6">
        <v>52512.6</v>
      </c>
      <c r="K204" s="23">
        <f t="shared" si="70"/>
        <v>0.14044867437117592</v>
      </c>
      <c r="L204" s="24">
        <f t="shared" si="71"/>
        <v>0.15719696969696972</v>
      </c>
      <c r="M204" s="24">
        <f t="shared" si="72"/>
        <v>0.1723176962378079</v>
      </c>
      <c r="N204" s="24">
        <f t="shared" si="73"/>
        <v>0.12400298730395809</v>
      </c>
      <c r="O204" s="24">
        <f t="shared" si="74"/>
        <v>9.6308196764486986E-2</v>
      </c>
      <c r="P204" s="24">
        <f t="shared" si="75"/>
        <v>0.20516821671556085</v>
      </c>
      <c r="Q204" s="25">
        <f t="shared" si="76"/>
        <v>7.1159097496761303E-2</v>
      </c>
      <c r="S204" s="26">
        <f t="shared" si="80"/>
        <v>0.14924045684832657</v>
      </c>
      <c r="U204" s="5">
        <f t="shared" si="81"/>
        <v>291.92333570287991</v>
      </c>
      <c r="V204" s="6">
        <f t="shared" si="82"/>
        <v>287.20080856342167</v>
      </c>
      <c r="X204" s="20">
        <f t="shared" si="77"/>
        <v>1.0164432933287351</v>
      </c>
      <c r="Z204" s="22">
        <v>44127</v>
      </c>
      <c r="AA204" s="33">
        <v>62074.912499999999</v>
      </c>
      <c r="AB204" s="33">
        <v>27692.203300000001</v>
      </c>
      <c r="AC204" s="33">
        <v>13762.654</v>
      </c>
      <c r="AD204" s="33">
        <v>21309.6394</v>
      </c>
      <c r="AE204" s="33">
        <v>137924.3811</v>
      </c>
      <c r="AF204" s="34">
        <v>19.308</v>
      </c>
      <c r="AH204" s="28">
        <f t="shared" si="83"/>
        <v>0.11878215789464654</v>
      </c>
      <c r="AJ204" s="5">
        <f t="shared" si="84"/>
        <v>304.89414079512181</v>
      </c>
      <c r="AK204" s="6">
        <f t="shared" si="85"/>
        <v>287.20080856342167</v>
      </c>
      <c r="AM204" s="1">
        <f t="shared" si="78"/>
        <v>44127</v>
      </c>
      <c r="AN204">
        <f t="shared" si="79"/>
        <v>1.0616061365572131</v>
      </c>
      <c r="AO204">
        <f t="shared" ca="1" si="65"/>
        <v>0.9205975679231404</v>
      </c>
      <c r="AP204">
        <f t="shared" ca="1" si="66"/>
        <v>0.94654482178556965</v>
      </c>
      <c r="AQ204">
        <f t="shared" ca="1" si="67"/>
        <v>0.96591228433151866</v>
      </c>
      <c r="AR204">
        <f t="shared" ca="1" si="68"/>
        <v>1.0159956721064871</v>
      </c>
      <c r="AS204">
        <f t="shared" ca="1" si="69"/>
        <v>1.045829679472859</v>
      </c>
    </row>
    <row r="205" spans="2:45" x14ac:dyDescent="0.25">
      <c r="B205" s="22">
        <v>44134</v>
      </c>
      <c r="C205">
        <v>27.905999999999999</v>
      </c>
      <c r="D205">
        <v>26.45</v>
      </c>
      <c r="E205">
        <v>19.193000000000001</v>
      </c>
      <c r="F205">
        <v>32.118000000000002</v>
      </c>
      <c r="G205">
        <v>146.69800000000001</v>
      </c>
      <c r="H205">
        <v>17.436</v>
      </c>
      <c r="I205" s="6">
        <v>45290.02</v>
      </c>
      <c r="K205" s="23">
        <f t="shared" si="70"/>
        <v>-0.16827610872675258</v>
      </c>
      <c r="L205" s="24">
        <f t="shared" si="71"/>
        <v>-0.13420621931260235</v>
      </c>
      <c r="M205" s="24">
        <f t="shared" si="72"/>
        <v>-0.15508892410635677</v>
      </c>
      <c r="N205" s="24">
        <f t="shared" si="73"/>
        <v>-0.14638813586349853</v>
      </c>
      <c r="O205" s="24">
        <f t="shared" si="74"/>
        <v>-0.11895209724691291</v>
      </c>
      <c r="P205" s="24">
        <f t="shared" si="75"/>
        <v>-9.6954630205096315E-2</v>
      </c>
      <c r="Q205" s="25">
        <f t="shared" si="76"/>
        <v>-0.13753994279468174</v>
      </c>
      <c r="S205" s="26">
        <f t="shared" si="80"/>
        <v>-0.13664435257686991</v>
      </c>
      <c r="U205" s="5">
        <f t="shared" si="81"/>
        <v>252.03366049367963</v>
      </c>
      <c r="V205" s="6">
        <f t="shared" si="82"/>
        <v>247.69922578302231</v>
      </c>
      <c r="X205" s="20">
        <f t="shared" si="77"/>
        <v>1.0174987818268522</v>
      </c>
      <c r="Z205" s="22">
        <v>44134</v>
      </c>
      <c r="AA205" s="33">
        <v>51628.158900000002</v>
      </c>
      <c r="AB205" s="33">
        <v>23975.737400000002</v>
      </c>
      <c r="AC205" s="33">
        <v>11628.219800000001</v>
      </c>
      <c r="AD205" s="33">
        <v>18190.083999999999</v>
      </c>
      <c r="AE205" s="33">
        <v>121518.05349999999</v>
      </c>
      <c r="AF205" s="34">
        <v>17.436</v>
      </c>
      <c r="AH205" s="28">
        <f t="shared" si="83"/>
        <v>-0.13632676853596379</v>
      </c>
      <c r="AJ205" s="5">
        <f t="shared" si="84"/>
        <v>263.32890783497368</v>
      </c>
      <c r="AK205" s="6">
        <f t="shared" si="85"/>
        <v>247.69922578302231</v>
      </c>
      <c r="AM205" s="1">
        <f t="shared" si="78"/>
        <v>44134</v>
      </c>
      <c r="AN205">
        <f t="shared" si="79"/>
        <v>1.0630994384521919</v>
      </c>
      <c r="AO205">
        <f t="shared" ca="1" si="65"/>
        <v>0.9205975679231404</v>
      </c>
      <c r="AP205">
        <f t="shared" ca="1" si="66"/>
        <v>0.94654482178556965</v>
      </c>
      <c r="AQ205">
        <f t="shared" ca="1" si="67"/>
        <v>0.96591228433151866</v>
      </c>
      <c r="AR205">
        <f t="shared" ca="1" si="68"/>
        <v>1.0159956721064871</v>
      </c>
      <c r="AS205">
        <f t="shared" ca="1" si="69"/>
        <v>1.045829679472859</v>
      </c>
    </row>
    <row r="206" spans="2:45" x14ac:dyDescent="0.25">
      <c r="B206" s="22">
        <v>44141</v>
      </c>
      <c r="C206">
        <v>31.466000000000001</v>
      </c>
      <c r="D206">
        <v>27.95</v>
      </c>
      <c r="E206">
        <v>21.248000000000001</v>
      </c>
      <c r="F206">
        <v>34.29</v>
      </c>
      <c r="G206">
        <v>153.46</v>
      </c>
      <c r="H206">
        <v>17.117000000000001</v>
      </c>
      <c r="I206" s="6">
        <v>48492.54</v>
      </c>
      <c r="K206" s="23">
        <f t="shared" si="70"/>
        <v>0.12757113165627465</v>
      </c>
      <c r="L206" s="24">
        <f t="shared" si="71"/>
        <v>5.6710775047259077E-2</v>
      </c>
      <c r="M206" s="24">
        <f t="shared" si="72"/>
        <v>0.10707028604178603</v>
      </c>
      <c r="N206" s="24">
        <f t="shared" si="73"/>
        <v>6.762563048757686E-2</v>
      </c>
      <c r="O206" s="24">
        <f t="shared" si="74"/>
        <v>4.6094697950892272E-2</v>
      </c>
      <c r="P206" s="24">
        <f t="shared" si="75"/>
        <v>-1.8295480614819892E-2</v>
      </c>
      <c r="Q206" s="25">
        <f t="shared" si="76"/>
        <v>7.0711384097423835E-2</v>
      </c>
      <c r="S206" s="26">
        <f t="shared" si="80"/>
        <v>6.4462840094828167E-2</v>
      </c>
      <c r="U206" s="5">
        <f t="shared" si="81"/>
        <v>268.28046604859793</v>
      </c>
      <c r="V206" s="6">
        <f t="shared" si="82"/>
        <v>265.2143808780001</v>
      </c>
      <c r="X206" s="20">
        <f t="shared" si="77"/>
        <v>1.0115607802278574</v>
      </c>
      <c r="Z206" s="22">
        <v>44141</v>
      </c>
      <c r="AA206" s="33">
        <v>58214.155700000003</v>
      </c>
      <c r="AB206" s="33">
        <v>24458.324700000001</v>
      </c>
      <c r="AC206" s="33">
        <v>12873.306500000001</v>
      </c>
      <c r="AD206" s="33">
        <v>19420.331200000001</v>
      </c>
      <c r="AE206" s="33">
        <v>127119.2453</v>
      </c>
      <c r="AF206" s="34">
        <v>17.117000000000001</v>
      </c>
      <c r="AH206" s="28">
        <f t="shared" si="83"/>
        <v>7.0595171398035506E-2</v>
      </c>
      <c r="AJ206" s="5">
        <f t="shared" si="84"/>
        <v>281.91865721764111</v>
      </c>
      <c r="AK206" s="6">
        <f t="shared" si="85"/>
        <v>265.2143808780001</v>
      </c>
      <c r="AM206" s="1">
        <f t="shared" si="78"/>
        <v>44141</v>
      </c>
      <c r="AN206">
        <f t="shared" si="79"/>
        <v>1.0629840519369314</v>
      </c>
      <c r="AO206">
        <f t="shared" ca="1" si="65"/>
        <v>0.9205975679231404</v>
      </c>
      <c r="AP206">
        <f t="shared" ca="1" si="66"/>
        <v>0.94654482178556965</v>
      </c>
      <c r="AQ206">
        <f t="shared" ca="1" si="67"/>
        <v>0.96591228433151866</v>
      </c>
      <c r="AR206">
        <f t="shared" ca="1" si="68"/>
        <v>1.0159956721064871</v>
      </c>
      <c r="AS206">
        <f t="shared" ca="1" si="69"/>
        <v>1.045829679472859</v>
      </c>
    </row>
    <row r="207" spans="2:45" x14ac:dyDescent="0.25">
      <c r="B207" s="22">
        <v>44148</v>
      </c>
      <c r="C207">
        <v>29.582999999999998</v>
      </c>
      <c r="D207">
        <v>27.4</v>
      </c>
      <c r="E207">
        <v>20.440999999999999</v>
      </c>
      <c r="F207">
        <v>33.125999999999998</v>
      </c>
      <c r="G207">
        <v>151.59</v>
      </c>
      <c r="H207">
        <v>17.436</v>
      </c>
      <c r="I207" s="6">
        <v>49895.5</v>
      </c>
      <c r="K207" s="23">
        <f t="shared" si="70"/>
        <v>-5.9842369541727614E-2</v>
      </c>
      <c r="L207" s="24">
        <f t="shared" si="71"/>
        <v>-1.9677996422182487E-2</v>
      </c>
      <c r="M207" s="24">
        <f t="shared" si="72"/>
        <v>-3.7980045180722954E-2</v>
      </c>
      <c r="N207" s="24">
        <f t="shared" si="73"/>
        <v>-3.3945756780402458E-2</v>
      </c>
      <c r="O207" s="24">
        <f t="shared" si="74"/>
        <v>-1.2185585820409295E-2</v>
      </c>
      <c r="P207" s="24">
        <f t="shared" si="75"/>
        <v>1.8636443301980332E-2</v>
      </c>
      <c r="Q207" s="25">
        <f t="shared" si="76"/>
        <v>2.8931460385453134E-2</v>
      </c>
      <c r="S207" s="26">
        <f t="shared" si="80"/>
        <v>-2.4165885073910747E-2</v>
      </c>
      <c r="U207" s="5">
        <f t="shared" si="81"/>
        <v>261.79723113849229</v>
      </c>
      <c r="V207" s="6">
        <f t="shared" si="82"/>
        <v>272.88742023202445</v>
      </c>
      <c r="X207" s="20">
        <f t="shared" si="77"/>
        <v>0.95935983753262566</v>
      </c>
      <c r="Z207" s="22">
        <v>44148</v>
      </c>
      <c r="AA207" s="33">
        <v>54731.904600000002</v>
      </c>
      <c r="AB207" s="33">
        <v>24836.869699999999</v>
      </c>
      <c r="AC207" s="33">
        <v>12384.165300000001</v>
      </c>
      <c r="AD207" s="33">
        <v>18761.270199999999</v>
      </c>
      <c r="AE207" s="33">
        <v>125569.9795</v>
      </c>
      <c r="AF207" s="34">
        <v>17.436</v>
      </c>
      <c r="AH207" s="28">
        <f t="shared" si="83"/>
        <v>-2.7516586810369635E-2</v>
      </c>
      <c r="AJ207" s="5">
        <f t="shared" si="84"/>
        <v>274.16121801284908</v>
      </c>
      <c r="AK207" s="6">
        <f t="shared" si="85"/>
        <v>272.88742023202445</v>
      </c>
      <c r="AM207" s="1">
        <f t="shared" si="78"/>
        <v>44148</v>
      </c>
      <c r="AN207">
        <f t="shared" si="79"/>
        <v>1.004667850865905</v>
      </c>
      <c r="AO207">
        <f t="shared" ca="1" si="65"/>
        <v>0.9205975679231404</v>
      </c>
      <c r="AP207">
        <f t="shared" ca="1" si="66"/>
        <v>0.94654482178556965</v>
      </c>
      <c r="AQ207">
        <f t="shared" ca="1" si="67"/>
        <v>0.96591228433151866</v>
      </c>
      <c r="AR207">
        <f t="shared" ca="1" si="68"/>
        <v>1.0159956721064871</v>
      </c>
      <c r="AS207">
        <f t="shared" ca="1" si="69"/>
        <v>1.0487841180297688</v>
      </c>
    </row>
    <row r="208" spans="2:45" x14ac:dyDescent="0.25">
      <c r="B208" s="22">
        <v>44155</v>
      </c>
      <c r="C208">
        <v>30.402000000000001</v>
      </c>
      <c r="D208">
        <v>25.95</v>
      </c>
      <c r="E208">
        <v>19.376999999999999</v>
      </c>
      <c r="F208">
        <v>32.854999999999997</v>
      </c>
      <c r="G208">
        <v>154.899</v>
      </c>
      <c r="H208">
        <v>16.98</v>
      </c>
      <c r="I208" s="6">
        <v>51492.34</v>
      </c>
      <c r="K208" s="23">
        <f t="shared" si="70"/>
        <v>2.768481898387587E-2</v>
      </c>
      <c r="L208" s="24">
        <f t="shared" si="71"/>
        <v>-5.2919708029197099E-2</v>
      </c>
      <c r="M208" s="24">
        <f t="shared" si="72"/>
        <v>-5.2052247933075724E-2</v>
      </c>
      <c r="N208" s="24">
        <f t="shared" si="73"/>
        <v>-8.1808851053553067E-3</v>
      </c>
      <c r="O208" s="24">
        <f t="shared" si="74"/>
        <v>2.1828616663368328E-2</v>
      </c>
      <c r="P208" s="24">
        <f t="shared" si="75"/>
        <v>-2.6152787336545025E-2</v>
      </c>
      <c r="Q208" s="25">
        <f t="shared" si="76"/>
        <v>3.2003687707308215E-2</v>
      </c>
      <c r="S208" s="26">
        <f t="shared" si="80"/>
        <v>-1.4965365459488159E-2</v>
      </c>
      <c r="U208" s="5">
        <f t="shared" si="81"/>
        <v>257.87933989822267</v>
      </c>
      <c r="V208" s="6">
        <f t="shared" si="82"/>
        <v>281.62082400838312</v>
      </c>
      <c r="X208" s="20">
        <f t="shared" si="77"/>
        <v>0.91569698656426868</v>
      </c>
      <c r="Z208" s="22">
        <v>44155</v>
      </c>
      <c r="AA208" s="33">
        <v>56245.926800000001</v>
      </c>
      <c r="AB208" s="33">
        <v>23522.5098</v>
      </c>
      <c r="AC208" s="33">
        <v>11739.388300000001</v>
      </c>
      <c r="AD208" s="33">
        <v>18607.489300000001</v>
      </c>
      <c r="AE208" s="33">
        <v>128310.98820000001</v>
      </c>
      <c r="AF208" s="34">
        <v>16.98</v>
      </c>
      <c r="AH208" s="28">
        <f t="shared" si="83"/>
        <v>9.0703501689649631E-3</v>
      </c>
      <c r="AJ208" s="5">
        <f t="shared" si="84"/>
        <v>276.64795626297558</v>
      </c>
      <c r="AK208" s="6">
        <f t="shared" si="85"/>
        <v>281.62082400838312</v>
      </c>
      <c r="AM208" s="1">
        <f t="shared" si="78"/>
        <v>44155</v>
      </c>
      <c r="AN208">
        <f t="shared" si="79"/>
        <v>0.98234197430918857</v>
      </c>
      <c r="AO208">
        <f t="shared" ca="1" si="65"/>
        <v>0.9205975679231404</v>
      </c>
      <c r="AP208">
        <f t="shared" ca="1" si="66"/>
        <v>0.94654482178556965</v>
      </c>
      <c r="AQ208">
        <f t="shared" ca="1" si="67"/>
        <v>0.96591228433151866</v>
      </c>
      <c r="AR208">
        <f t="shared" ca="1" si="68"/>
        <v>1.0159956721064871</v>
      </c>
      <c r="AS208">
        <f t="shared" ca="1" si="69"/>
        <v>1.0487841180297688</v>
      </c>
    </row>
    <row r="209" spans="2:45" x14ac:dyDescent="0.25">
      <c r="B209" s="22">
        <v>44162</v>
      </c>
      <c r="C209">
        <v>31.916</v>
      </c>
      <c r="D209">
        <v>27.4</v>
      </c>
      <c r="E209">
        <v>21.431999999999999</v>
      </c>
      <c r="F209">
        <v>36.034999999999997</v>
      </c>
      <c r="G209">
        <v>158.59100000000001</v>
      </c>
      <c r="H209">
        <v>17.800999999999998</v>
      </c>
      <c r="I209" s="6">
        <v>55427.27</v>
      </c>
      <c r="K209" s="23">
        <f t="shared" si="70"/>
        <v>4.9799355305572002E-2</v>
      </c>
      <c r="L209" s="24">
        <f t="shared" si="71"/>
        <v>5.5876685934489467E-2</v>
      </c>
      <c r="M209" s="24">
        <f t="shared" si="72"/>
        <v>0.10605356866387994</v>
      </c>
      <c r="N209" s="24">
        <f t="shared" si="73"/>
        <v>9.6788921016587981E-2</v>
      </c>
      <c r="O209" s="24">
        <f t="shared" si="74"/>
        <v>2.3834885957946916E-2</v>
      </c>
      <c r="P209" s="24">
        <f t="shared" si="75"/>
        <v>4.835100117785629E-2</v>
      </c>
      <c r="Q209" s="25">
        <f t="shared" si="76"/>
        <v>7.6417773983470161E-2</v>
      </c>
      <c r="S209" s="26">
        <f t="shared" si="80"/>
        <v>6.3450736342722094E-2</v>
      </c>
      <c r="U209" s="5">
        <f t="shared" si="81"/>
        <v>274.24197390234002</v>
      </c>
      <c r="V209" s="6">
        <f t="shared" si="82"/>
        <v>303.14166048649435</v>
      </c>
      <c r="X209" s="20">
        <f t="shared" si="77"/>
        <v>0.90466606754817225</v>
      </c>
      <c r="Z209" s="22">
        <v>44162</v>
      </c>
      <c r="AA209" s="33">
        <v>59046.868000000002</v>
      </c>
      <c r="AB209" s="33">
        <v>24836.869699999999</v>
      </c>
      <c r="AC209" s="33">
        <v>12984.474899999999</v>
      </c>
      <c r="AD209" s="33">
        <v>20408.922699999999</v>
      </c>
      <c r="AE209" s="33">
        <v>131369.79500000001</v>
      </c>
      <c r="AF209" s="34">
        <v>17.800999999999998</v>
      </c>
      <c r="AH209" s="28">
        <f t="shared" si="83"/>
        <v>4.2863327031221587E-2</v>
      </c>
      <c r="AJ209" s="5">
        <f t="shared" si="84"/>
        <v>288.50600808479459</v>
      </c>
      <c r="AK209" s="6">
        <f t="shared" si="85"/>
        <v>303.14166048649435</v>
      </c>
      <c r="AM209" s="1">
        <f t="shared" si="78"/>
        <v>44162</v>
      </c>
      <c r="AN209">
        <f t="shared" si="79"/>
        <v>0.95172008895705107</v>
      </c>
      <c r="AO209">
        <f t="shared" ca="1" si="65"/>
        <v>0.9205975679231404</v>
      </c>
      <c r="AP209">
        <f t="shared" ca="1" si="66"/>
        <v>0.94654482178556965</v>
      </c>
      <c r="AQ209">
        <f t="shared" ca="1" si="67"/>
        <v>0.96591228433151866</v>
      </c>
      <c r="AR209">
        <f t="shared" ca="1" si="68"/>
        <v>1.0159956721064871</v>
      </c>
      <c r="AS209">
        <f t="shared" ca="1" si="69"/>
        <v>1.0487841180297688</v>
      </c>
    </row>
    <row r="210" spans="2:45" x14ac:dyDescent="0.25">
      <c r="B210" s="22">
        <v>44169</v>
      </c>
      <c r="C210">
        <v>32.488999999999997</v>
      </c>
      <c r="D210">
        <v>27</v>
      </c>
      <c r="E210">
        <v>22.202999999999999</v>
      </c>
      <c r="F210">
        <v>34.366999999999997</v>
      </c>
      <c r="G210">
        <v>161.613</v>
      </c>
      <c r="H210">
        <v>17.436</v>
      </c>
      <c r="I210" s="6">
        <v>54730.38</v>
      </c>
      <c r="K210" s="23">
        <f t="shared" si="70"/>
        <v>1.7953377616242605E-2</v>
      </c>
      <c r="L210" s="24">
        <f t="shared" si="71"/>
        <v>-1.4598540145985384E-2</v>
      </c>
      <c r="M210" s="24">
        <f t="shared" si="72"/>
        <v>3.5974244120940746E-2</v>
      </c>
      <c r="N210" s="24">
        <f t="shared" si="73"/>
        <v>-4.6288330789510224E-2</v>
      </c>
      <c r="O210" s="24">
        <f t="shared" si="74"/>
        <v>1.9055305786582988E-2</v>
      </c>
      <c r="P210" s="24">
        <f t="shared" si="75"/>
        <v>-2.0504466041233571E-2</v>
      </c>
      <c r="Q210" s="25">
        <f t="shared" si="76"/>
        <v>-1.2573052939464646E-2</v>
      </c>
      <c r="S210" s="26">
        <f t="shared" si="80"/>
        <v>-1.4014015754938065E-3</v>
      </c>
      <c r="U210" s="5">
        <f t="shared" si="81"/>
        <v>273.85765076804677</v>
      </c>
      <c r="V210" s="6">
        <f t="shared" si="82"/>
        <v>299.33024434104044</v>
      </c>
      <c r="X210" s="20">
        <f t="shared" si="77"/>
        <v>0.91490137046100961</v>
      </c>
      <c r="Z210" s="22">
        <v>44169</v>
      </c>
      <c r="AA210" s="33">
        <v>60106.683599999997</v>
      </c>
      <c r="AB210" s="33">
        <v>24474.287700000001</v>
      </c>
      <c r="AC210" s="33">
        <v>13451.3824</v>
      </c>
      <c r="AD210" s="33">
        <v>19464.268599999999</v>
      </c>
      <c r="AE210" s="33">
        <v>133872.4552</v>
      </c>
      <c r="AF210" s="34">
        <v>17.436</v>
      </c>
      <c r="AH210" s="28">
        <f t="shared" si="83"/>
        <v>1.0949872079948551E-2</v>
      </c>
      <c r="AJ210" s="5">
        <f t="shared" si="84"/>
        <v>291.66511196761968</v>
      </c>
      <c r="AK210" s="6">
        <f t="shared" si="85"/>
        <v>299.33024434104044</v>
      </c>
      <c r="AM210" s="1">
        <f t="shared" si="78"/>
        <v>44169</v>
      </c>
      <c r="AN210">
        <f t="shared" si="79"/>
        <v>0.97439238928129324</v>
      </c>
      <c r="AO210">
        <f t="shared" ca="1" si="65"/>
        <v>0.9205975679231404</v>
      </c>
      <c r="AP210">
        <f t="shared" ca="1" si="66"/>
        <v>0.94654482178556965</v>
      </c>
      <c r="AQ210">
        <f t="shared" ca="1" si="67"/>
        <v>0.96509213328971666</v>
      </c>
      <c r="AR210">
        <f t="shared" ca="1" si="68"/>
        <v>1.0159956721064871</v>
      </c>
      <c r="AS210">
        <f t="shared" ca="1" si="69"/>
        <v>1.0487841180297688</v>
      </c>
    </row>
    <row r="211" spans="2:45" x14ac:dyDescent="0.25">
      <c r="B211" s="22">
        <v>44176</v>
      </c>
      <c r="C211">
        <v>31.67</v>
      </c>
      <c r="D211">
        <v>26.15</v>
      </c>
      <c r="E211">
        <v>21.981999999999999</v>
      </c>
      <c r="F211">
        <v>34.639000000000003</v>
      </c>
      <c r="G211">
        <v>155.81</v>
      </c>
      <c r="H211">
        <v>17.436</v>
      </c>
      <c r="I211" s="6">
        <v>53822.44</v>
      </c>
      <c r="K211" s="23">
        <f t="shared" si="70"/>
        <v>-2.5208532118563109E-2</v>
      </c>
      <c r="L211" s="24">
        <f t="shared" si="71"/>
        <v>-3.1481481481481555E-2</v>
      </c>
      <c r="M211" s="24">
        <f t="shared" si="72"/>
        <v>-9.9536098725397926E-3</v>
      </c>
      <c r="N211" s="24">
        <f t="shared" si="73"/>
        <v>7.9145692088342656E-3</v>
      </c>
      <c r="O211" s="24">
        <f t="shared" si="74"/>
        <v>-3.5906764926088797E-2</v>
      </c>
      <c r="P211" s="24">
        <f t="shared" si="75"/>
        <v>0</v>
      </c>
      <c r="Q211" s="25">
        <f t="shared" si="76"/>
        <v>-1.6589323881909701E-2</v>
      </c>
      <c r="S211" s="26">
        <f t="shared" si="80"/>
        <v>-1.5772636531639832E-2</v>
      </c>
      <c r="U211" s="5">
        <f t="shared" si="81"/>
        <v>269.53819358107359</v>
      </c>
      <c r="V211" s="6">
        <f t="shared" si="82"/>
        <v>294.36455797001577</v>
      </c>
      <c r="X211" s="20">
        <f t="shared" si="77"/>
        <v>0.9156611632862709</v>
      </c>
      <c r="Z211" s="22">
        <v>44176</v>
      </c>
      <c r="AA211" s="33">
        <v>58592.6613</v>
      </c>
      <c r="AB211" s="33">
        <v>23703.800899999998</v>
      </c>
      <c r="AC211" s="33">
        <v>13317.980299999999</v>
      </c>
      <c r="AD211" s="33">
        <v>19618.049500000001</v>
      </c>
      <c r="AE211" s="33">
        <v>129065.75870000001</v>
      </c>
      <c r="AF211" s="34">
        <v>17.436</v>
      </c>
      <c r="AH211" s="28">
        <f t="shared" si="83"/>
        <v>-2.8133782084286615E-2</v>
      </c>
      <c r="AJ211" s="5">
        <f t="shared" si="84"/>
        <v>283.45946926593359</v>
      </c>
      <c r="AK211" s="6">
        <f t="shared" si="85"/>
        <v>294.36455797001577</v>
      </c>
      <c r="AM211" s="1">
        <f t="shared" si="78"/>
        <v>44176</v>
      </c>
      <c r="AN211">
        <f t="shared" si="79"/>
        <v>0.96295379858470254</v>
      </c>
      <c r="AO211">
        <f t="shared" ca="1" si="65"/>
        <v>0.9205975679231404</v>
      </c>
      <c r="AP211">
        <f t="shared" ca="1" si="66"/>
        <v>0.94654482178556965</v>
      </c>
      <c r="AQ211">
        <f t="shared" ca="1" si="67"/>
        <v>0.96509213328971666</v>
      </c>
      <c r="AR211">
        <f t="shared" ca="1" si="68"/>
        <v>1.0159956721064871</v>
      </c>
      <c r="AS211">
        <f t="shared" ca="1" si="69"/>
        <v>1.0487841180297688</v>
      </c>
    </row>
    <row r="212" spans="2:45" x14ac:dyDescent="0.25">
      <c r="B212" s="22">
        <v>44183</v>
      </c>
      <c r="C212">
        <v>30.77</v>
      </c>
      <c r="D212">
        <v>25.65</v>
      </c>
      <c r="E212">
        <v>20.734999999999999</v>
      </c>
      <c r="F212">
        <v>33.359000000000002</v>
      </c>
      <c r="G212">
        <v>151.82900000000001</v>
      </c>
      <c r="H212">
        <v>17.71</v>
      </c>
      <c r="I212" s="6">
        <v>52346.77</v>
      </c>
      <c r="K212" s="23">
        <f t="shared" si="70"/>
        <v>-2.841806125670987E-2</v>
      </c>
      <c r="L212" s="24">
        <f t="shared" si="71"/>
        <v>-1.9120458891013437E-2</v>
      </c>
      <c r="M212" s="24">
        <f t="shared" si="72"/>
        <v>-5.6728232189973582E-2</v>
      </c>
      <c r="N212" s="24">
        <f t="shared" si="73"/>
        <v>-3.6952567914778189E-2</v>
      </c>
      <c r="O212" s="24">
        <f t="shared" si="74"/>
        <v>-2.5550349784994486E-2</v>
      </c>
      <c r="P212" s="24">
        <f t="shared" si="75"/>
        <v>1.5714613443450487E-2</v>
      </c>
      <c r="Q212" s="25">
        <f t="shared" si="76"/>
        <v>-2.7417374611779177E-2</v>
      </c>
      <c r="S212" s="26">
        <f t="shared" si="80"/>
        <v>-2.5175842765669847E-2</v>
      </c>
      <c r="U212" s="5">
        <f t="shared" si="81"/>
        <v>262.75234240013378</v>
      </c>
      <c r="V212" s="6">
        <f t="shared" si="82"/>
        <v>286.29385461172103</v>
      </c>
      <c r="X212" s="20">
        <f t="shared" si="77"/>
        <v>0.91777150702897603</v>
      </c>
      <c r="Z212" s="22">
        <v>44183</v>
      </c>
      <c r="AA212" s="33">
        <v>56927.236799999999</v>
      </c>
      <c r="AB212" s="33">
        <v>23250.5733</v>
      </c>
      <c r="AC212" s="33">
        <v>12562.034799999999</v>
      </c>
      <c r="AD212" s="33">
        <v>18893.082399999999</v>
      </c>
      <c r="AE212" s="33">
        <v>125768.6033</v>
      </c>
      <c r="AF212" s="34">
        <v>17.71</v>
      </c>
      <c r="AH212" s="28">
        <f t="shared" si="83"/>
        <v>-2.8226437471733128E-2</v>
      </c>
      <c r="AJ212" s="5">
        <f t="shared" si="84"/>
        <v>275.45841828092807</v>
      </c>
      <c r="AK212" s="6">
        <f t="shared" si="85"/>
        <v>286.29385461172103</v>
      </c>
      <c r="AM212" s="1">
        <f t="shared" si="78"/>
        <v>44183</v>
      </c>
      <c r="AN212">
        <f t="shared" si="79"/>
        <v>0.96215274566236053</v>
      </c>
      <c r="AO212">
        <f t="shared" ca="1" si="65"/>
        <v>0.9205975679231404</v>
      </c>
      <c r="AP212">
        <f t="shared" ca="1" si="66"/>
        <v>0.94654482178556965</v>
      </c>
      <c r="AQ212">
        <f t="shared" ca="1" si="67"/>
        <v>0.96444596639002489</v>
      </c>
      <c r="AR212">
        <f t="shared" ca="1" si="68"/>
        <v>1.0159956721064871</v>
      </c>
      <c r="AS212">
        <f t="shared" ca="1" si="69"/>
        <v>1.0487841180297688</v>
      </c>
    </row>
    <row r="213" spans="2:45" x14ac:dyDescent="0.25">
      <c r="B213" s="22">
        <v>44190</v>
      </c>
      <c r="C213">
        <v>30.687999999999999</v>
      </c>
      <c r="D213">
        <v>25.75</v>
      </c>
      <c r="E213">
        <v>19.559999999999999</v>
      </c>
      <c r="F213">
        <v>33.280999999999999</v>
      </c>
      <c r="G213">
        <v>147.03399999999999</v>
      </c>
      <c r="H213">
        <v>17.344999999999999</v>
      </c>
      <c r="I213" s="6">
        <v>51618.98</v>
      </c>
      <c r="K213" s="23">
        <f t="shared" si="70"/>
        <v>-2.6649333766656236E-3</v>
      </c>
      <c r="L213" s="24">
        <f t="shared" si="71"/>
        <v>3.8986354775829568E-3</v>
      </c>
      <c r="M213" s="24">
        <f t="shared" si="72"/>
        <v>-5.6667470460573965E-2</v>
      </c>
      <c r="N213" s="24">
        <f t="shared" si="73"/>
        <v>-2.3381995863186456E-3</v>
      </c>
      <c r="O213" s="24">
        <f t="shared" si="74"/>
        <v>-3.1581581911229173E-2</v>
      </c>
      <c r="P213" s="24">
        <f t="shared" si="75"/>
        <v>-2.0609824957651179E-2</v>
      </c>
      <c r="Q213" s="25">
        <f t="shared" si="76"/>
        <v>-1.3903245606175729E-2</v>
      </c>
      <c r="S213" s="26">
        <f t="shared" si="80"/>
        <v>-1.8327229135809271E-2</v>
      </c>
      <c r="U213" s="5">
        <f t="shared" si="81"/>
        <v>257.93682001499593</v>
      </c>
      <c r="V213" s="6">
        <f t="shared" si="82"/>
        <v>282.31344083551551</v>
      </c>
      <c r="X213" s="20">
        <f t="shared" si="77"/>
        <v>0.91365405505180275</v>
      </c>
      <c r="Z213" s="22">
        <v>44190</v>
      </c>
      <c r="AA213" s="33">
        <v>56775.834600000002</v>
      </c>
      <c r="AB213" s="33">
        <v>23341.218799999999</v>
      </c>
      <c r="AC213" s="33">
        <v>11850.556699999999</v>
      </c>
      <c r="AD213" s="33">
        <v>18849.145</v>
      </c>
      <c r="AE213" s="33">
        <v>121796.1269</v>
      </c>
      <c r="AF213" s="34">
        <v>17.344999999999999</v>
      </c>
      <c r="AH213" s="28">
        <f t="shared" si="83"/>
        <v>-2.0172892271620078E-2</v>
      </c>
      <c r="AJ213" s="5">
        <f t="shared" si="84"/>
        <v>269.90162528363606</v>
      </c>
      <c r="AK213" s="6">
        <f t="shared" si="85"/>
        <v>282.31344083551551</v>
      </c>
      <c r="AM213" s="1">
        <f t="shared" si="78"/>
        <v>44190</v>
      </c>
      <c r="AN213">
        <f t="shared" si="79"/>
        <v>0.95603533606070512</v>
      </c>
      <c r="AO213">
        <f t="shared" ca="1" si="65"/>
        <v>0.9205975679231404</v>
      </c>
      <c r="AP213">
        <f t="shared" ca="1" si="66"/>
        <v>0.94654482178556965</v>
      </c>
      <c r="AQ213">
        <f t="shared" ca="1" si="67"/>
        <v>0.96430525245303245</v>
      </c>
      <c r="AR213">
        <f t="shared" ca="1" si="68"/>
        <v>1.0159956721064871</v>
      </c>
      <c r="AS213">
        <f t="shared" ca="1" si="69"/>
        <v>1.0487841180297688</v>
      </c>
    </row>
    <row r="214" spans="2:45" x14ac:dyDescent="0.25">
      <c r="B214" s="22">
        <v>44197</v>
      </c>
      <c r="C214">
        <v>29.379000000000001</v>
      </c>
      <c r="D214">
        <v>28.6</v>
      </c>
      <c r="E214">
        <v>21.469000000000001</v>
      </c>
      <c r="F214">
        <v>32.466999999999999</v>
      </c>
      <c r="G214">
        <v>146.88999999999999</v>
      </c>
      <c r="H214">
        <v>18.120999999999999</v>
      </c>
      <c r="I214" s="6">
        <v>51226.49</v>
      </c>
      <c r="K214" s="23">
        <f t="shared" si="70"/>
        <v>-4.2655109489051046E-2</v>
      </c>
      <c r="L214" s="24">
        <f t="shared" si="71"/>
        <v>0.11067961165048557</v>
      </c>
      <c r="M214" s="24">
        <f t="shared" si="72"/>
        <v>9.7597137014315161E-2</v>
      </c>
      <c r="N214" s="24">
        <f t="shared" si="73"/>
        <v>-2.4458399687509402E-2</v>
      </c>
      <c r="O214" s="24">
        <f t="shared" si="74"/>
        <v>-9.7936531686548811E-4</v>
      </c>
      <c r="P214" s="24">
        <f t="shared" si="75"/>
        <v>4.4739117901412495E-2</v>
      </c>
      <c r="Q214" s="25">
        <f t="shared" si="76"/>
        <v>-7.6035985213191992E-3</v>
      </c>
      <c r="S214" s="26">
        <f t="shared" si="80"/>
        <v>3.0820498678797881E-2</v>
      </c>
      <c r="U214" s="5">
        <f t="shared" si="81"/>
        <v>265.88656143548144</v>
      </c>
      <c r="V214" s="6">
        <f t="shared" si="82"/>
        <v>280.16684277423002</v>
      </c>
      <c r="X214" s="20">
        <f t="shared" si="77"/>
        <v>0.94902936693955542</v>
      </c>
      <c r="Z214" s="22">
        <v>44197</v>
      </c>
      <c r="AA214" s="33">
        <v>54353.398999999998</v>
      </c>
      <c r="AB214" s="33">
        <v>25924.615900000001</v>
      </c>
      <c r="AC214" s="33">
        <v>13006.7086</v>
      </c>
      <c r="AD214" s="33">
        <v>18387.802299999999</v>
      </c>
      <c r="AE214" s="33">
        <v>121676.9526</v>
      </c>
      <c r="AF214" s="34">
        <v>18.120999999999999</v>
      </c>
      <c r="AH214" s="28">
        <f t="shared" si="83"/>
        <v>3.1753017736226648E-3</v>
      </c>
      <c r="AJ214" s="5">
        <f t="shared" si="84"/>
        <v>270.75864439310283</v>
      </c>
      <c r="AK214" s="6">
        <f t="shared" si="85"/>
        <v>280.16684277423002</v>
      </c>
      <c r="AM214" s="1">
        <f t="shared" si="78"/>
        <v>44197</v>
      </c>
      <c r="AN214">
        <f t="shared" si="79"/>
        <v>0.9664193011279758</v>
      </c>
      <c r="AO214">
        <f t="shared" ca="1" si="65"/>
        <v>0.9205975679231404</v>
      </c>
      <c r="AP214">
        <f t="shared" ca="1" si="66"/>
        <v>0.94654482178556965</v>
      </c>
      <c r="AQ214">
        <f t="shared" ca="1" si="67"/>
        <v>0.9635856830096059</v>
      </c>
      <c r="AR214">
        <f t="shared" ca="1" si="68"/>
        <v>1.0159956721064871</v>
      </c>
      <c r="AS214">
        <f t="shared" ca="1" si="69"/>
        <v>1.0487841180297688</v>
      </c>
    </row>
    <row r="215" spans="2:45" x14ac:dyDescent="0.25">
      <c r="B215" s="22">
        <v>44204</v>
      </c>
      <c r="C215">
        <v>30.033000000000001</v>
      </c>
      <c r="D215">
        <v>26.9</v>
      </c>
      <c r="E215">
        <v>20.440999999999999</v>
      </c>
      <c r="F215">
        <v>32.118000000000002</v>
      </c>
      <c r="G215">
        <v>149.33600000000001</v>
      </c>
      <c r="H215">
        <v>17.344999999999999</v>
      </c>
      <c r="I215" s="6">
        <v>51673.77</v>
      </c>
      <c r="K215" s="23">
        <f t="shared" si="70"/>
        <v>2.2260798529561976E-2</v>
      </c>
      <c r="L215" s="24">
        <f t="shared" si="71"/>
        <v>-5.9440559440559482E-2</v>
      </c>
      <c r="M215" s="24">
        <f t="shared" si="72"/>
        <v>-4.7882994084494035E-2</v>
      </c>
      <c r="N215" s="24">
        <f t="shared" si="73"/>
        <v>-1.0749376289771018E-2</v>
      </c>
      <c r="O215" s="24">
        <f t="shared" si="74"/>
        <v>1.6651916400027389E-2</v>
      </c>
      <c r="P215" s="24">
        <f t="shared" si="75"/>
        <v>-4.2823243750344853E-2</v>
      </c>
      <c r="Q215" s="25">
        <f t="shared" si="76"/>
        <v>8.7314200133563613E-3</v>
      </c>
      <c r="S215" s="26">
        <f t="shared" si="80"/>
        <v>-2.0330576439263337E-2</v>
      </c>
      <c r="U215" s="5">
        <f t="shared" si="81"/>
        <v>260.48093437404447</v>
      </c>
      <c r="V215" s="6">
        <f t="shared" si="82"/>
        <v>282.61309715230777</v>
      </c>
      <c r="X215" s="20">
        <f t="shared" si="77"/>
        <v>0.9216874129285817</v>
      </c>
      <c r="Z215" s="22">
        <v>44204</v>
      </c>
      <c r="AA215" s="33">
        <v>55564.616800000003</v>
      </c>
      <c r="AB215" s="33">
        <v>24383.642199999998</v>
      </c>
      <c r="AC215" s="33">
        <v>12384.165300000001</v>
      </c>
      <c r="AD215" s="33">
        <v>18190.083999999999</v>
      </c>
      <c r="AE215" s="33">
        <v>123702.91559999999</v>
      </c>
      <c r="AF215" s="34">
        <v>17.344999999999999</v>
      </c>
      <c r="AH215" s="28">
        <f t="shared" si="83"/>
        <v>3.7447241172007041E-3</v>
      </c>
      <c r="AJ215" s="5">
        <f t="shared" si="84"/>
        <v>271.77256081870223</v>
      </c>
      <c r="AK215" s="6">
        <f t="shared" si="85"/>
        <v>282.61309715230777</v>
      </c>
      <c r="AM215" s="1">
        <f t="shared" si="78"/>
        <v>44204</v>
      </c>
      <c r="AN215">
        <f t="shared" si="79"/>
        <v>0.96164177653888672</v>
      </c>
      <c r="AO215">
        <f t="shared" ca="1" si="65"/>
        <v>0.9205975679231404</v>
      </c>
      <c r="AP215">
        <f t="shared" ca="1" si="66"/>
        <v>0.94654482178556965</v>
      </c>
      <c r="AQ215">
        <f t="shared" ca="1" si="67"/>
        <v>0.96430525245303245</v>
      </c>
      <c r="AR215">
        <f t="shared" ca="1" si="68"/>
        <v>1.0159956721064871</v>
      </c>
      <c r="AS215">
        <f t="shared" ca="1" si="69"/>
        <v>1.0487841180297688</v>
      </c>
    </row>
    <row r="216" spans="2:45" x14ac:dyDescent="0.25">
      <c r="B216" s="22">
        <v>44211</v>
      </c>
      <c r="C216">
        <v>29.542000000000002</v>
      </c>
      <c r="D216">
        <v>27.05</v>
      </c>
      <c r="E216">
        <v>20.074000000000002</v>
      </c>
      <c r="F216">
        <v>30.876000000000001</v>
      </c>
      <c r="G216">
        <v>151.11000000000001</v>
      </c>
      <c r="H216">
        <v>17.664000000000001</v>
      </c>
      <c r="I216" s="6">
        <v>50500.83</v>
      </c>
      <c r="K216" s="23">
        <f t="shared" si="70"/>
        <v>-1.6348683115239848E-2</v>
      </c>
      <c r="L216" s="24">
        <f t="shared" si="71"/>
        <v>5.5762081784387352E-3</v>
      </c>
      <c r="M216" s="24">
        <f t="shared" si="72"/>
        <v>-1.7954111834058817E-2</v>
      </c>
      <c r="N216" s="24">
        <f t="shared" si="73"/>
        <v>-3.8669904726321702E-2</v>
      </c>
      <c r="O216" s="24">
        <f t="shared" si="74"/>
        <v>1.1879252156211439E-2</v>
      </c>
      <c r="P216" s="24">
        <f t="shared" si="75"/>
        <v>1.839146728163743E-2</v>
      </c>
      <c r="Q216" s="25">
        <f t="shared" si="76"/>
        <v>-2.2698943777471503E-2</v>
      </c>
      <c r="S216" s="26">
        <f t="shared" si="80"/>
        <v>-6.1876286765554607E-3</v>
      </c>
      <c r="U216" s="5">
        <f t="shared" si="81"/>
        <v>258.8691750748157</v>
      </c>
      <c r="V216" s="6">
        <f t="shared" si="82"/>
        <v>276.19807834927047</v>
      </c>
      <c r="X216" s="20">
        <f t="shared" si="77"/>
        <v>0.93725914612432148</v>
      </c>
      <c r="Z216" s="22">
        <v>44211</v>
      </c>
      <c r="AA216" s="33">
        <v>54656.203399999999</v>
      </c>
      <c r="AB216" s="33">
        <v>24519.610499999999</v>
      </c>
      <c r="AC216" s="33">
        <v>12161.8284</v>
      </c>
      <c r="AD216" s="33">
        <v>17487.085599999999</v>
      </c>
      <c r="AE216" s="33">
        <v>125172.73179999999</v>
      </c>
      <c r="AF216" s="34">
        <v>17.664000000000001</v>
      </c>
      <c r="AH216" s="28">
        <f t="shared" si="83"/>
        <v>-9.7496467293375791E-4</v>
      </c>
      <c r="AJ216" s="5">
        <f t="shared" si="84"/>
        <v>271.50759217283127</v>
      </c>
      <c r="AK216" s="6">
        <f t="shared" si="85"/>
        <v>276.19807834927047</v>
      </c>
      <c r="AM216" s="1">
        <f t="shared" si="78"/>
        <v>44211</v>
      </c>
      <c r="AN216">
        <f t="shared" si="79"/>
        <v>0.98301767266277718</v>
      </c>
      <c r="AO216">
        <f t="shared" ca="1" si="65"/>
        <v>0.9205975679231404</v>
      </c>
      <c r="AP216">
        <f t="shared" ca="1" si="66"/>
        <v>0.94654482178556965</v>
      </c>
      <c r="AQ216">
        <f t="shared" ca="1" si="67"/>
        <v>0.9635856830096059</v>
      </c>
      <c r="AR216">
        <f t="shared" ca="1" si="68"/>
        <v>1.0159956721064871</v>
      </c>
      <c r="AS216">
        <f t="shared" ca="1" si="69"/>
        <v>1.0487841180297688</v>
      </c>
    </row>
    <row r="217" spans="2:45" x14ac:dyDescent="0.25">
      <c r="B217" s="22">
        <v>44218</v>
      </c>
      <c r="C217">
        <v>28.52</v>
      </c>
      <c r="D217">
        <v>26.1</v>
      </c>
      <c r="E217">
        <v>19.927</v>
      </c>
      <c r="F217">
        <v>29.17</v>
      </c>
      <c r="G217">
        <v>147.465</v>
      </c>
      <c r="H217">
        <v>16.843</v>
      </c>
      <c r="I217" s="6">
        <v>48470.91</v>
      </c>
      <c r="K217" s="23">
        <f t="shared" si="70"/>
        <v>-3.4594814162886789E-2</v>
      </c>
      <c r="L217" s="24">
        <f t="shared" si="71"/>
        <v>-3.512014787430684E-2</v>
      </c>
      <c r="M217" s="24">
        <f t="shared" si="72"/>
        <v>-7.3229052505729975E-3</v>
      </c>
      <c r="N217" s="24">
        <f t="shared" si="73"/>
        <v>-5.5253271149112604E-2</v>
      </c>
      <c r="O217" s="24">
        <f t="shared" si="74"/>
        <v>-2.4121500893388936E-2</v>
      </c>
      <c r="P217" s="24">
        <f t="shared" si="75"/>
        <v>-4.6478713768116076E-2</v>
      </c>
      <c r="Q217" s="25">
        <f t="shared" si="76"/>
        <v>-4.0195775000133604E-2</v>
      </c>
      <c r="S217" s="26">
        <f t="shared" si="80"/>
        <v>-3.3815225516397374E-2</v>
      </c>
      <c r="U217" s="5">
        <f t="shared" si="81"/>
        <v>250.11545554041706</v>
      </c>
      <c r="V217" s="6">
        <f t="shared" si="82"/>
        <v>265.09608253647394</v>
      </c>
      <c r="X217" s="20">
        <f t="shared" si="77"/>
        <v>0.9434898213028261</v>
      </c>
      <c r="Z217" s="22">
        <v>44218</v>
      </c>
      <c r="AA217" s="33">
        <v>52763.675600000002</v>
      </c>
      <c r="AB217" s="33">
        <v>23658.4781</v>
      </c>
      <c r="AC217" s="33">
        <v>12072.893599999999</v>
      </c>
      <c r="AD217" s="33">
        <v>16520.4627</v>
      </c>
      <c r="AE217" s="33">
        <v>122153.6498</v>
      </c>
      <c r="AF217" s="34">
        <v>16.843</v>
      </c>
      <c r="AH217" s="28">
        <f t="shared" si="83"/>
        <v>-2.9175068685124695E-2</v>
      </c>
      <c r="AJ217" s="5">
        <f t="shared" si="84"/>
        <v>263.58633952265609</v>
      </c>
      <c r="AK217" s="6">
        <f t="shared" si="85"/>
        <v>265.09608253647394</v>
      </c>
      <c r="AM217" s="1">
        <f t="shared" si="78"/>
        <v>44218</v>
      </c>
      <c r="AN217">
        <f t="shared" si="79"/>
        <v>0.99430492144820681</v>
      </c>
      <c r="AO217">
        <f t="shared" ca="1" si="65"/>
        <v>0.9205975679231404</v>
      </c>
      <c r="AP217">
        <f t="shared" ca="1" si="66"/>
        <v>0.94654482178556965</v>
      </c>
      <c r="AQ217">
        <f t="shared" ca="1" si="67"/>
        <v>0.96367336802812908</v>
      </c>
      <c r="AR217">
        <f t="shared" ca="1" si="68"/>
        <v>1.0159956721064871</v>
      </c>
      <c r="AS217">
        <f t="shared" ca="1" si="69"/>
        <v>1.0487841180297688</v>
      </c>
    </row>
    <row r="218" spans="2:45" x14ac:dyDescent="0.25">
      <c r="B218" s="22">
        <v>44225</v>
      </c>
      <c r="C218">
        <v>27.783000000000001</v>
      </c>
      <c r="D218">
        <v>26.1</v>
      </c>
      <c r="E218">
        <v>19.376999999999999</v>
      </c>
      <c r="F218">
        <v>32.195</v>
      </c>
      <c r="G218">
        <v>145.45099999999999</v>
      </c>
      <c r="H218">
        <v>16.385999999999999</v>
      </c>
      <c r="I218" s="6">
        <v>48257.14</v>
      </c>
      <c r="K218" s="23">
        <f t="shared" si="70"/>
        <v>-2.5841514726507642E-2</v>
      </c>
      <c r="L218" s="24">
        <f t="shared" si="71"/>
        <v>0</v>
      </c>
      <c r="M218" s="24">
        <f t="shared" si="72"/>
        <v>-2.7600742710894854E-2</v>
      </c>
      <c r="N218" s="24">
        <f t="shared" si="73"/>
        <v>0.10370243400754187</v>
      </c>
      <c r="O218" s="24">
        <f t="shared" si="74"/>
        <v>-1.3657478045637994E-2</v>
      </c>
      <c r="P218" s="24">
        <f t="shared" si="75"/>
        <v>-2.7132933562904471E-2</v>
      </c>
      <c r="Q218" s="25">
        <f t="shared" si="76"/>
        <v>-4.4102741211172747E-3</v>
      </c>
      <c r="S218" s="26">
        <f t="shared" si="80"/>
        <v>1.5782941602661509E-3</v>
      </c>
      <c r="U218" s="5">
        <f t="shared" si="81"/>
        <v>250.51021130328883</v>
      </c>
      <c r="V218" s="6">
        <f t="shared" si="82"/>
        <v>263.92693614405374</v>
      </c>
      <c r="X218" s="20">
        <f t="shared" si="77"/>
        <v>0.9491650036302397</v>
      </c>
      <c r="Z218" s="22">
        <v>44225</v>
      </c>
      <c r="AA218" s="33">
        <v>51401.0556</v>
      </c>
      <c r="AB218" s="33">
        <v>23658.4781</v>
      </c>
      <c r="AC218" s="33">
        <v>11739.388300000001</v>
      </c>
      <c r="AD218" s="33">
        <v>18234.021400000001</v>
      </c>
      <c r="AE218" s="33">
        <v>120485.20970000001</v>
      </c>
      <c r="AF218" s="34">
        <v>16.385999999999999</v>
      </c>
      <c r="AH218" s="28">
        <f t="shared" si="83"/>
        <v>-7.2727619973290292E-3</v>
      </c>
      <c r="AJ218" s="5">
        <f t="shared" si="84"/>
        <v>261.66933880956066</v>
      </c>
      <c r="AK218" s="6">
        <f t="shared" si="85"/>
        <v>263.92693614405374</v>
      </c>
      <c r="AM218" s="1">
        <f t="shared" si="78"/>
        <v>44225</v>
      </c>
      <c r="AN218">
        <f t="shared" si="79"/>
        <v>0.99144612760078077</v>
      </c>
      <c r="AO218">
        <f t="shared" ca="1" si="65"/>
        <v>0.9205975679231404</v>
      </c>
      <c r="AP218">
        <f t="shared" ca="1" si="66"/>
        <v>0.94654482178556965</v>
      </c>
      <c r="AQ218">
        <f t="shared" ca="1" si="67"/>
        <v>0.96444596639002489</v>
      </c>
      <c r="AR218">
        <f t="shared" ca="1" si="68"/>
        <v>1.0159956721064871</v>
      </c>
      <c r="AS218">
        <f t="shared" ca="1" si="69"/>
        <v>1.0487841180297688</v>
      </c>
    </row>
    <row r="219" spans="2:45" x14ac:dyDescent="0.25">
      <c r="B219" s="22">
        <v>44232</v>
      </c>
      <c r="C219">
        <v>29.788</v>
      </c>
      <c r="D219">
        <v>27.45</v>
      </c>
      <c r="E219">
        <v>20.111000000000001</v>
      </c>
      <c r="F219">
        <v>32.195</v>
      </c>
      <c r="G219">
        <v>150.583</v>
      </c>
      <c r="H219">
        <v>16.98</v>
      </c>
      <c r="I219" s="6">
        <v>51052.73</v>
      </c>
      <c r="K219" s="23">
        <f t="shared" si="70"/>
        <v>7.2166432710650374E-2</v>
      </c>
      <c r="L219" s="24">
        <f t="shared" si="71"/>
        <v>5.1724137931034475E-2</v>
      </c>
      <c r="M219" s="24">
        <f t="shared" si="72"/>
        <v>3.7879960778242294E-2</v>
      </c>
      <c r="N219" s="24">
        <f t="shared" si="73"/>
        <v>0</v>
      </c>
      <c r="O219" s="24">
        <f t="shared" si="74"/>
        <v>3.5283360031900912E-2</v>
      </c>
      <c r="P219" s="24">
        <f t="shared" si="75"/>
        <v>3.6250457707799333E-2</v>
      </c>
      <c r="Q219" s="25">
        <f t="shared" si="76"/>
        <v>5.7931116514571723E-2</v>
      </c>
      <c r="S219" s="26">
        <f t="shared" si="80"/>
        <v>3.8884058193271231E-2</v>
      </c>
      <c r="U219" s="5">
        <f t="shared" si="81"/>
        <v>260.25106493761456</v>
      </c>
      <c r="V219" s="6">
        <f t="shared" si="82"/>
        <v>279.21651823314886</v>
      </c>
      <c r="X219" s="20">
        <f t="shared" si="77"/>
        <v>0.93207617724214309</v>
      </c>
      <c r="Z219" s="22">
        <v>44232</v>
      </c>
      <c r="AA219" s="33">
        <v>55110.410100000001</v>
      </c>
      <c r="AB219" s="33">
        <v>24882.192500000001</v>
      </c>
      <c r="AC219" s="33">
        <v>12184.062099999999</v>
      </c>
      <c r="AD219" s="33">
        <v>18234.021400000001</v>
      </c>
      <c r="AE219" s="33">
        <v>124735.7594</v>
      </c>
      <c r="AF219" s="34">
        <v>16.98</v>
      </c>
      <c r="AH219" s="28">
        <f t="shared" si="83"/>
        <v>4.2696563656512213E-2</v>
      </c>
      <c r="AJ219" s="5">
        <f t="shared" si="84"/>
        <v>272.84172039100054</v>
      </c>
      <c r="AK219" s="6">
        <f t="shared" si="85"/>
        <v>279.21651823314886</v>
      </c>
      <c r="AM219" s="1">
        <f t="shared" si="78"/>
        <v>44232</v>
      </c>
      <c r="AN219">
        <f t="shared" si="79"/>
        <v>0.97716898025056909</v>
      </c>
      <c r="AO219">
        <f t="shared" ca="1" si="65"/>
        <v>0.9205975679231404</v>
      </c>
      <c r="AP219">
        <f t="shared" ca="1" si="66"/>
        <v>0.94654482178556965</v>
      </c>
      <c r="AQ219">
        <f t="shared" ca="1" si="67"/>
        <v>0.96509213328971666</v>
      </c>
      <c r="AR219">
        <f t="shared" ca="1" si="68"/>
        <v>1.0159956721064871</v>
      </c>
      <c r="AS219">
        <f t="shared" ca="1" si="69"/>
        <v>1.0487841180297688</v>
      </c>
    </row>
    <row r="220" spans="2:45" x14ac:dyDescent="0.25">
      <c r="B220" s="22">
        <v>44239</v>
      </c>
      <c r="C220">
        <v>28.683</v>
      </c>
      <c r="D220">
        <v>27.75</v>
      </c>
      <c r="E220">
        <v>20.734999999999999</v>
      </c>
      <c r="F220">
        <v>32.816000000000003</v>
      </c>
      <c r="G220">
        <v>144.636</v>
      </c>
      <c r="H220">
        <v>17.024999999999999</v>
      </c>
      <c r="I220" s="6">
        <v>51466.21</v>
      </c>
      <c r="K220" s="23">
        <f t="shared" si="70"/>
        <v>-3.7095474687793728E-2</v>
      </c>
      <c r="L220" s="24">
        <f t="shared" si="71"/>
        <v>1.0928961748633892E-2</v>
      </c>
      <c r="M220" s="24">
        <f t="shared" si="72"/>
        <v>3.1027795733677976E-2</v>
      </c>
      <c r="N220" s="24">
        <f t="shared" si="73"/>
        <v>1.9288709426929618E-2</v>
      </c>
      <c r="O220" s="24">
        <f t="shared" si="74"/>
        <v>-3.9493169879734169E-2</v>
      </c>
      <c r="P220" s="24">
        <f t="shared" si="75"/>
        <v>2.6501766784450265E-3</v>
      </c>
      <c r="Q220" s="25">
        <f t="shared" si="76"/>
        <v>8.099077169820168E-3</v>
      </c>
      <c r="S220" s="26">
        <f t="shared" si="80"/>
        <v>-2.1155001633068973E-3</v>
      </c>
      <c r="U220" s="5">
        <f t="shared" si="81"/>
        <v>259.70050376723827</v>
      </c>
      <c r="V220" s="6">
        <f t="shared" si="82"/>
        <v>281.47791436140761</v>
      </c>
      <c r="X220" s="20">
        <f t="shared" si="77"/>
        <v>0.92263190295559772</v>
      </c>
      <c r="Z220" s="22">
        <v>44239</v>
      </c>
      <c r="AA220" s="33">
        <v>53066.480100000001</v>
      </c>
      <c r="AB220" s="33">
        <v>25154.129000000001</v>
      </c>
      <c r="AC220" s="33">
        <v>12562.034799999999</v>
      </c>
      <c r="AD220" s="33">
        <v>18585.5206</v>
      </c>
      <c r="AE220" s="33">
        <v>119809.8887</v>
      </c>
      <c r="AF220" s="34">
        <v>17.024999999999999</v>
      </c>
      <c r="AH220" s="28">
        <f t="shared" si="83"/>
        <v>-2.5381585107040468E-2</v>
      </c>
      <c r="AJ220" s="5">
        <f t="shared" si="84"/>
        <v>265.91656504414499</v>
      </c>
      <c r="AK220" s="6">
        <f t="shared" si="85"/>
        <v>281.47791436140761</v>
      </c>
      <c r="AM220" s="1">
        <f t="shared" si="78"/>
        <v>44239</v>
      </c>
      <c r="AN220">
        <f t="shared" si="79"/>
        <v>0.94471555840334087</v>
      </c>
      <c r="AO220">
        <f t="shared" ca="1" si="65"/>
        <v>0.92148274784931472</v>
      </c>
      <c r="AP220">
        <f t="shared" ca="1" si="66"/>
        <v>0.94728839857406655</v>
      </c>
      <c r="AQ220">
        <f t="shared" ca="1" si="67"/>
        <v>0.96605228619945749</v>
      </c>
      <c r="AR220">
        <f t="shared" ca="1" si="68"/>
        <v>1.0159956721064871</v>
      </c>
      <c r="AS220">
        <f t="shared" ca="1" si="69"/>
        <v>1.0487841180297688</v>
      </c>
    </row>
    <row r="221" spans="2:45" x14ac:dyDescent="0.25">
      <c r="B221" s="22">
        <v>44246</v>
      </c>
      <c r="C221">
        <v>28.068999999999999</v>
      </c>
      <c r="D221">
        <v>27.85</v>
      </c>
      <c r="E221">
        <v>20.734999999999999</v>
      </c>
      <c r="F221">
        <v>34.6</v>
      </c>
      <c r="G221">
        <v>143.821</v>
      </c>
      <c r="H221">
        <v>17.344999999999999</v>
      </c>
      <c r="I221" s="6">
        <v>50992.85</v>
      </c>
      <c r="K221" s="23">
        <f t="shared" si="70"/>
        <v>-2.140640797685045E-2</v>
      </c>
      <c r="L221" s="24">
        <f t="shared" si="71"/>
        <v>3.6036036036035668E-3</v>
      </c>
      <c r="M221" s="24">
        <f t="shared" si="72"/>
        <v>0</v>
      </c>
      <c r="N221" s="24">
        <f t="shared" si="73"/>
        <v>5.4363725012189112E-2</v>
      </c>
      <c r="O221" s="24">
        <f t="shared" si="74"/>
        <v>-5.6348350341547393E-3</v>
      </c>
      <c r="P221" s="24">
        <f t="shared" si="75"/>
        <v>1.8795888399412597E-2</v>
      </c>
      <c r="Q221" s="25">
        <f t="shared" si="76"/>
        <v>-9.1974909362861901E-3</v>
      </c>
      <c r="S221" s="26">
        <f t="shared" si="80"/>
        <v>8.2869956673666811E-3</v>
      </c>
      <c r="U221" s="5">
        <f t="shared" si="81"/>
        <v>261.85264071677034</v>
      </c>
      <c r="V221" s="6">
        <f t="shared" si="82"/>
        <v>278.88902379530384</v>
      </c>
      <c r="X221" s="20">
        <f t="shared" si="77"/>
        <v>0.93891339699680076</v>
      </c>
      <c r="Z221" s="22">
        <v>44246</v>
      </c>
      <c r="AA221" s="33">
        <v>51930.963400000001</v>
      </c>
      <c r="AB221" s="33">
        <v>25244.7745</v>
      </c>
      <c r="AC221" s="33">
        <v>12562.034799999999</v>
      </c>
      <c r="AD221" s="33">
        <v>19596.0808</v>
      </c>
      <c r="AE221" s="33">
        <v>119134.5677</v>
      </c>
      <c r="AF221" s="34">
        <v>17.344999999999999</v>
      </c>
      <c r="AH221" s="28">
        <f t="shared" si="83"/>
        <v>-3.0966111740189663E-3</v>
      </c>
      <c r="AJ221" s="5">
        <f t="shared" si="84"/>
        <v>265.09312483747254</v>
      </c>
      <c r="AK221" s="6">
        <f t="shared" si="85"/>
        <v>278.88902379530384</v>
      </c>
      <c r="AM221" s="1">
        <f t="shared" si="78"/>
        <v>44246</v>
      </c>
      <c r="AN221">
        <f t="shared" si="79"/>
        <v>0.95053265714767943</v>
      </c>
      <c r="AO221">
        <f t="shared" ca="1" si="65"/>
        <v>0.92148274784931472</v>
      </c>
      <c r="AP221">
        <f t="shared" ca="1" si="66"/>
        <v>0.94728839857406655</v>
      </c>
      <c r="AQ221">
        <f t="shared" ca="1" si="67"/>
        <v>0.96605228619945749</v>
      </c>
      <c r="AR221">
        <f t="shared" ca="1" si="68"/>
        <v>1.0159956721064871</v>
      </c>
      <c r="AS221">
        <f t="shared" ca="1" si="69"/>
        <v>1.0487841180297688</v>
      </c>
    </row>
    <row r="222" spans="2:45" x14ac:dyDescent="0.25">
      <c r="B222" s="22">
        <v>44253</v>
      </c>
      <c r="C222">
        <v>26.228000000000002</v>
      </c>
      <c r="D222">
        <v>27</v>
      </c>
      <c r="E222">
        <v>19.34</v>
      </c>
      <c r="F222">
        <v>32.118000000000002</v>
      </c>
      <c r="G222">
        <v>133.17500000000001</v>
      </c>
      <c r="H222">
        <v>17.573</v>
      </c>
      <c r="I222" s="6">
        <v>48432.27</v>
      </c>
      <c r="K222" s="23">
        <f t="shared" si="70"/>
        <v>-6.5588371513057075E-2</v>
      </c>
      <c r="L222" s="24">
        <f t="shared" si="71"/>
        <v>-3.0520646319569189E-2</v>
      </c>
      <c r="M222" s="24">
        <f t="shared" si="72"/>
        <v>-6.7277550036170752E-2</v>
      </c>
      <c r="N222" s="24">
        <f t="shared" si="73"/>
        <v>-7.1734104046242697E-2</v>
      </c>
      <c r="O222" s="24">
        <f t="shared" si="74"/>
        <v>-7.4022569722084985E-2</v>
      </c>
      <c r="P222" s="24">
        <f t="shared" si="75"/>
        <v>1.3144998558662468E-2</v>
      </c>
      <c r="Q222" s="25">
        <f t="shared" si="76"/>
        <v>-5.0214490855090554E-2</v>
      </c>
      <c r="S222" s="26">
        <f t="shared" si="80"/>
        <v>-4.9333040513077041E-2</v>
      </c>
      <c r="U222" s="5">
        <f t="shared" si="81"/>
        <v>248.93465378383368</v>
      </c>
      <c r="V222" s="6">
        <f t="shared" si="82"/>
        <v>264.88475346034943</v>
      </c>
      <c r="X222" s="20">
        <f t="shared" si="77"/>
        <v>0.93978475745338319</v>
      </c>
      <c r="Z222" s="22">
        <v>44253</v>
      </c>
      <c r="AA222" s="33">
        <v>48524.4133</v>
      </c>
      <c r="AB222" s="33">
        <v>24474.287700000001</v>
      </c>
      <c r="AC222" s="33">
        <v>11717.1546</v>
      </c>
      <c r="AD222" s="33">
        <v>18190.083999999999</v>
      </c>
      <c r="AE222" s="33">
        <v>110315.67</v>
      </c>
      <c r="AF222" s="34">
        <v>17.573</v>
      </c>
      <c r="AH222" s="28">
        <f t="shared" si="83"/>
        <v>-6.6725483498168786E-2</v>
      </c>
      <c r="AJ222" s="5">
        <f t="shared" si="84"/>
        <v>247.40465791065179</v>
      </c>
      <c r="AK222" s="6">
        <f t="shared" si="85"/>
        <v>264.88475346034943</v>
      </c>
      <c r="AM222" s="1">
        <f t="shared" si="78"/>
        <v>44253</v>
      </c>
      <c r="AN222">
        <f t="shared" si="79"/>
        <v>0.93400867614558936</v>
      </c>
      <c r="AO222">
        <f t="shared" ca="1" si="65"/>
        <v>0.92148274784931472</v>
      </c>
      <c r="AP222">
        <f t="shared" ca="1" si="66"/>
        <v>0.94977390866986444</v>
      </c>
      <c r="AQ222">
        <f t="shared" ca="1" si="67"/>
        <v>0.96605228619945749</v>
      </c>
      <c r="AR222">
        <f t="shared" ca="1" si="68"/>
        <v>1.0159956721064871</v>
      </c>
      <c r="AS222">
        <f t="shared" ca="1" si="69"/>
        <v>1.0487841180297688</v>
      </c>
    </row>
    <row r="223" spans="2:45" x14ac:dyDescent="0.25">
      <c r="B223" s="22">
        <v>44260</v>
      </c>
      <c r="C223">
        <v>25.736999999999998</v>
      </c>
      <c r="D223">
        <v>26</v>
      </c>
      <c r="E223">
        <v>17.285</v>
      </c>
      <c r="F223">
        <v>30.256</v>
      </c>
      <c r="G223">
        <v>131.44800000000001</v>
      </c>
      <c r="H223">
        <v>17.071000000000002</v>
      </c>
      <c r="I223" s="6">
        <v>47242.26</v>
      </c>
      <c r="K223" s="23">
        <f t="shared" si="70"/>
        <v>-1.872045142595713E-2</v>
      </c>
      <c r="L223" s="24">
        <f t="shared" si="71"/>
        <v>-3.703703703703709E-2</v>
      </c>
      <c r="M223" s="24">
        <f t="shared" si="72"/>
        <v>-0.10625646328852123</v>
      </c>
      <c r="N223" s="24">
        <f t="shared" si="73"/>
        <v>-5.7973721900491992E-2</v>
      </c>
      <c r="O223" s="24">
        <f t="shared" si="74"/>
        <v>-1.2967899380514347E-2</v>
      </c>
      <c r="P223" s="24">
        <f t="shared" si="75"/>
        <v>-2.8566550958857295E-2</v>
      </c>
      <c r="Q223" s="25">
        <f t="shared" si="76"/>
        <v>-2.4570601377965406E-2</v>
      </c>
      <c r="S223" s="26">
        <f t="shared" si="80"/>
        <v>-4.3587020665229848E-2</v>
      </c>
      <c r="U223" s="5">
        <f t="shared" si="81"/>
        <v>238.08433388506589</v>
      </c>
      <c r="V223" s="6">
        <f t="shared" si="82"/>
        <v>258.37637577197455</v>
      </c>
      <c r="X223" s="20">
        <f t="shared" si="77"/>
        <v>0.92146324590907236</v>
      </c>
      <c r="Z223" s="22">
        <v>44260</v>
      </c>
      <c r="AA223" s="33">
        <v>47616</v>
      </c>
      <c r="AB223" s="33">
        <v>23567.832600000002</v>
      </c>
      <c r="AC223" s="33">
        <v>10472.0679</v>
      </c>
      <c r="AD223" s="33">
        <v>17135.5864</v>
      </c>
      <c r="AE223" s="33">
        <v>108885.5785</v>
      </c>
      <c r="AF223" s="34">
        <v>17.071000000000002</v>
      </c>
      <c r="AH223" s="28">
        <f t="shared" si="83"/>
        <v>-2.6005956044089437E-2</v>
      </c>
      <c r="AJ223" s="5">
        <f t="shared" si="84"/>
        <v>240.97066325192441</v>
      </c>
      <c r="AK223" s="6">
        <f t="shared" si="85"/>
        <v>258.37637577197455</v>
      </c>
      <c r="AM223" s="1">
        <f t="shared" si="78"/>
        <v>44260</v>
      </c>
      <c r="AN223">
        <f t="shared" si="79"/>
        <v>0.93263427251022657</v>
      </c>
      <c r="AO223">
        <f t="shared" ca="1" si="65"/>
        <v>0.92148274784931472</v>
      </c>
      <c r="AP223">
        <f t="shared" ca="1" si="66"/>
        <v>0.94977390866986444</v>
      </c>
      <c r="AQ223">
        <f t="shared" ca="1" si="67"/>
        <v>0.96605228619945749</v>
      </c>
      <c r="AR223">
        <f t="shared" ca="1" si="68"/>
        <v>1.0159956721064871</v>
      </c>
      <c r="AS223">
        <f t="shared" ca="1" si="69"/>
        <v>1.0487841180297688</v>
      </c>
    </row>
    <row r="224" spans="2:45" x14ac:dyDescent="0.25">
      <c r="B224" s="22">
        <v>44267</v>
      </c>
      <c r="C224">
        <v>26.76</v>
      </c>
      <c r="D224">
        <v>26.25</v>
      </c>
      <c r="E224">
        <v>18.312999999999999</v>
      </c>
      <c r="F224">
        <v>29.013999999999999</v>
      </c>
      <c r="G224">
        <v>134.08600000000001</v>
      </c>
      <c r="H224">
        <v>16.523</v>
      </c>
      <c r="I224" s="6">
        <v>49070.98</v>
      </c>
      <c r="K224" s="23">
        <f t="shared" si="70"/>
        <v>3.9748222403543698E-2</v>
      </c>
      <c r="L224" s="24">
        <f t="shared" si="71"/>
        <v>9.6153846153845812E-3</v>
      </c>
      <c r="M224" s="24">
        <f t="shared" si="72"/>
        <v>5.9473531964130633E-2</v>
      </c>
      <c r="N224" s="24">
        <f t="shared" si="73"/>
        <v>-4.1049709148598623E-2</v>
      </c>
      <c r="O224" s="24">
        <f t="shared" si="74"/>
        <v>2.0068772442334737E-2</v>
      </c>
      <c r="P224" s="24">
        <f t="shared" si="75"/>
        <v>-3.2101224298518027E-2</v>
      </c>
      <c r="Q224" s="25">
        <f t="shared" si="76"/>
        <v>3.8709409753047375E-2</v>
      </c>
      <c r="S224" s="26">
        <f t="shared" si="80"/>
        <v>9.2924963297128325E-3</v>
      </c>
      <c r="U224" s="5">
        <f t="shared" si="81"/>
        <v>240.29673168385497</v>
      </c>
      <c r="V224" s="6">
        <f t="shared" si="82"/>
        <v>268.37797277223927</v>
      </c>
      <c r="X224" s="20">
        <f t="shared" si="77"/>
        <v>0.89536681867622714</v>
      </c>
      <c r="Z224" s="22">
        <v>44267</v>
      </c>
      <c r="AA224" s="33">
        <v>49508.527800000003</v>
      </c>
      <c r="AB224" s="33">
        <v>23794.446400000001</v>
      </c>
      <c r="AC224" s="33">
        <v>11094.6113</v>
      </c>
      <c r="AD224" s="33">
        <v>16432.587899999999</v>
      </c>
      <c r="AE224" s="33">
        <v>111070.4406</v>
      </c>
      <c r="AF224" s="34">
        <v>16.523</v>
      </c>
      <c r="AH224" s="28">
        <f t="shared" si="83"/>
        <v>2.0334310493833115E-2</v>
      </c>
      <c r="AJ224" s="5">
        <f t="shared" si="84"/>
        <v>245.87063553839394</v>
      </c>
      <c r="AK224" s="6">
        <f t="shared" si="85"/>
        <v>268.37797277223927</v>
      </c>
      <c r="AM224" s="1">
        <f t="shared" si="78"/>
        <v>44267</v>
      </c>
      <c r="AN224">
        <f t="shared" si="79"/>
        <v>0.91613567610876045</v>
      </c>
      <c r="AO224">
        <f t="shared" ca="1" si="65"/>
        <v>0.92148274784931472</v>
      </c>
      <c r="AP224">
        <f t="shared" ca="1" si="66"/>
        <v>0.94728839857406655</v>
      </c>
      <c r="AQ224">
        <f t="shared" ca="1" si="67"/>
        <v>0.96605228619945749</v>
      </c>
      <c r="AR224">
        <f t="shared" ca="1" si="68"/>
        <v>1.0159956721064871</v>
      </c>
      <c r="AS224">
        <f t="shared" ca="1" si="69"/>
        <v>1.0487841180297688</v>
      </c>
    </row>
    <row r="225" spans="2:45" x14ac:dyDescent="0.25">
      <c r="B225" s="22">
        <v>44274</v>
      </c>
      <c r="C225">
        <v>26.187000000000001</v>
      </c>
      <c r="D225">
        <v>25.9</v>
      </c>
      <c r="E225">
        <v>16.661000000000001</v>
      </c>
      <c r="F225">
        <v>28.433</v>
      </c>
      <c r="G225">
        <v>130.58500000000001</v>
      </c>
      <c r="H225">
        <v>16.431999999999999</v>
      </c>
      <c r="I225" s="6">
        <v>48976</v>
      </c>
      <c r="K225" s="23">
        <f t="shared" si="70"/>
        <v>-2.1412556053811649E-2</v>
      </c>
      <c r="L225" s="24">
        <f t="shared" si="71"/>
        <v>-1.3333333333333419E-2</v>
      </c>
      <c r="M225" s="24">
        <f t="shared" si="72"/>
        <v>-9.0209141047343233E-2</v>
      </c>
      <c r="N225" s="24">
        <f t="shared" si="73"/>
        <v>-2.0024815606259017E-2</v>
      </c>
      <c r="O225" s="24">
        <f t="shared" si="74"/>
        <v>-2.6110108437868318E-2</v>
      </c>
      <c r="P225" s="24">
        <f t="shared" si="75"/>
        <v>-5.5074744295831035E-3</v>
      </c>
      <c r="Q225" s="25">
        <f t="shared" si="76"/>
        <v>-1.9355635448895514E-3</v>
      </c>
      <c r="S225" s="26">
        <f t="shared" si="80"/>
        <v>-2.9432904818033123E-2</v>
      </c>
      <c r="U225" s="5">
        <f t="shared" si="81"/>
        <v>233.22410085211965</v>
      </c>
      <c r="V225" s="6">
        <f t="shared" si="82"/>
        <v>267.85851015188996</v>
      </c>
      <c r="X225" s="20">
        <f t="shared" si="77"/>
        <v>0.87069886530717</v>
      </c>
      <c r="Z225" s="22">
        <v>44274</v>
      </c>
      <c r="AA225" s="33">
        <v>48448.712200000002</v>
      </c>
      <c r="AB225" s="33">
        <v>23477.187099999999</v>
      </c>
      <c r="AC225" s="33">
        <v>10094.0952</v>
      </c>
      <c r="AD225" s="33">
        <v>16103.0574</v>
      </c>
      <c r="AE225" s="33">
        <v>108170.5328</v>
      </c>
      <c r="AF225" s="34">
        <v>16.431999999999999</v>
      </c>
      <c r="AH225" s="28">
        <f t="shared" si="83"/>
        <v>-2.6460392198289426E-2</v>
      </c>
      <c r="AJ225" s="5">
        <f t="shared" si="84"/>
        <v>239.36480209200536</v>
      </c>
      <c r="AK225" s="6">
        <f t="shared" si="85"/>
        <v>267.85851015188996</v>
      </c>
      <c r="AM225" s="1">
        <f t="shared" si="78"/>
        <v>44274</v>
      </c>
      <c r="AN225">
        <f t="shared" si="79"/>
        <v>0.89362403291302128</v>
      </c>
      <c r="AO225">
        <f t="shared" ca="1" si="65"/>
        <v>0.91657432758998081</v>
      </c>
      <c r="AP225">
        <f t="shared" ca="1" si="66"/>
        <v>0.94617434304109116</v>
      </c>
      <c r="AQ225">
        <f t="shared" ca="1" si="67"/>
        <v>0.96509213328971666</v>
      </c>
      <c r="AR225">
        <f t="shared" ca="1" si="68"/>
        <v>1.0159956721064871</v>
      </c>
      <c r="AS225">
        <f t="shared" ca="1" si="69"/>
        <v>1.0487841180297688</v>
      </c>
    </row>
    <row r="226" spans="2:45" x14ac:dyDescent="0.25">
      <c r="B226" s="22">
        <v>44281</v>
      </c>
      <c r="C226">
        <v>24.550999999999998</v>
      </c>
      <c r="D226">
        <v>25.15</v>
      </c>
      <c r="E226">
        <v>16.184000000000001</v>
      </c>
      <c r="F226">
        <v>25.600999999999999</v>
      </c>
      <c r="G226">
        <v>125.502</v>
      </c>
      <c r="H226">
        <v>16.888999999999999</v>
      </c>
      <c r="I226" s="6">
        <v>46440.78</v>
      </c>
      <c r="K226" s="23">
        <f t="shared" si="70"/>
        <v>-6.2473746515446682E-2</v>
      </c>
      <c r="L226" s="24">
        <f t="shared" si="71"/>
        <v>-2.8957528957529011E-2</v>
      </c>
      <c r="M226" s="24">
        <f t="shared" si="72"/>
        <v>-2.8629734109597238E-2</v>
      </c>
      <c r="N226" s="24">
        <f t="shared" si="73"/>
        <v>-9.9602574473323324E-2</v>
      </c>
      <c r="O226" s="24">
        <f t="shared" si="74"/>
        <v>-3.8924838227974212E-2</v>
      </c>
      <c r="P226" s="24">
        <f t="shared" si="75"/>
        <v>2.7811587147030137E-2</v>
      </c>
      <c r="Q226" s="25">
        <f t="shared" si="76"/>
        <v>-5.1764537732767124E-2</v>
      </c>
      <c r="S226" s="26">
        <f t="shared" si="80"/>
        <v>-3.8462805856140057E-2</v>
      </c>
      <c r="U226" s="5">
        <f t="shared" si="81"/>
        <v>224.25364754007174</v>
      </c>
      <c r="V226" s="6">
        <f t="shared" si="82"/>
        <v>253.99293819608965</v>
      </c>
      <c r="X226" s="20">
        <f t="shared" si="77"/>
        <v>0.88291292322049375</v>
      </c>
      <c r="Z226" s="22">
        <v>44281</v>
      </c>
      <c r="AA226" s="33">
        <v>45420.667699999998</v>
      </c>
      <c r="AB226" s="33">
        <v>22797.345799999999</v>
      </c>
      <c r="AC226" s="33">
        <v>9805.0571999999993</v>
      </c>
      <c r="AD226" s="33">
        <v>14499.3423</v>
      </c>
      <c r="AE226" s="33">
        <v>103959.7078</v>
      </c>
      <c r="AF226" s="34">
        <v>16.888999999999999</v>
      </c>
      <c r="AH226" s="28">
        <f t="shared" si="83"/>
        <v>-4.7547737977235334E-2</v>
      </c>
      <c r="AJ226" s="5">
        <f t="shared" si="84"/>
        <v>227.98354720116191</v>
      </c>
      <c r="AK226" s="6">
        <f t="shared" si="85"/>
        <v>253.99293819608965</v>
      </c>
      <c r="AM226" s="1">
        <f t="shared" si="78"/>
        <v>44281</v>
      </c>
      <c r="AN226">
        <f t="shared" si="79"/>
        <v>0.89759797583487233</v>
      </c>
      <c r="AO226">
        <f t="shared" ca="1" si="65"/>
        <v>0.91186545810740971</v>
      </c>
      <c r="AP226">
        <f t="shared" ca="1" si="66"/>
        <v>0.94295556246124079</v>
      </c>
      <c r="AQ226">
        <f t="shared" ca="1" si="67"/>
        <v>0.96372639694659834</v>
      </c>
      <c r="AR226">
        <f t="shared" ca="1" si="68"/>
        <v>1.0143490982926908</v>
      </c>
      <c r="AS226">
        <f t="shared" ca="1" si="69"/>
        <v>1.0487841180297688</v>
      </c>
    </row>
    <row r="227" spans="2:45" x14ac:dyDescent="0.25">
      <c r="B227" s="22">
        <v>44288</v>
      </c>
      <c r="C227">
        <v>26.433</v>
      </c>
      <c r="D227">
        <v>25.55</v>
      </c>
      <c r="E227">
        <v>16.367999999999999</v>
      </c>
      <c r="F227">
        <v>25.911000000000001</v>
      </c>
      <c r="G227">
        <v>133.41399999999999</v>
      </c>
      <c r="H227">
        <v>16.248999999999999</v>
      </c>
      <c r="I227" s="6">
        <v>47982.39</v>
      </c>
      <c r="K227" s="23">
        <f t="shared" si="70"/>
        <v>7.6656755325648751E-2</v>
      </c>
      <c r="L227" s="24">
        <f t="shared" si="71"/>
        <v>1.5904572564612307E-2</v>
      </c>
      <c r="M227" s="24">
        <f t="shared" si="72"/>
        <v>1.1369253583786376E-2</v>
      </c>
      <c r="N227" s="24">
        <f t="shared" si="73"/>
        <v>1.2108901996015886E-2</v>
      </c>
      <c r="O227" s="24">
        <f t="shared" si="74"/>
        <v>6.3042820034740377E-2</v>
      </c>
      <c r="P227" s="24">
        <f t="shared" si="75"/>
        <v>-3.789448753626623E-2</v>
      </c>
      <c r="Q227" s="25">
        <f t="shared" si="76"/>
        <v>3.3195178892344135E-2</v>
      </c>
      <c r="S227" s="26">
        <f t="shared" si="80"/>
        <v>2.353130266142291E-2</v>
      </c>
      <c r="U227" s="5">
        <f t="shared" si="81"/>
        <v>229.53062799326526</v>
      </c>
      <c r="V227" s="6">
        <f t="shared" si="82"/>
        <v>262.42427921690097</v>
      </c>
      <c r="X227" s="20">
        <f t="shared" si="77"/>
        <v>0.87465469535900608</v>
      </c>
      <c r="Z227" s="22">
        <v>44288</v>
      </c>
      <c r="AA227" s="33">
        <v>48902.918899999997</v>
      </c>
      <c r="AB227" s="33">
        <v>23159.927800000001</v>
      </c>
      <c r="AC227" s="33">
        <v>9916.2257000000009</v>
      </c>
      <c r="AD227" s="33">
        <v>14675.091899999999</v>
      </c>
      <c r="AE227" s="33">
        <v>110514.2939</v>
      </c>
      <c r="AF227" s="34">
        <v>16.248999999999999</v>
      </c>
      <c r="AH227" s="28">
        <f t="shared" si="83"/>
        <v>5.4375355419681463E-2</v>
      </c>
      <c r="AJ227" s="5">
        <f t="shared" si="84"/>
        <v>240.38023361006483</v>
      </c>
      <c r="AK227" s="6">
        <f t="shared" si="85"/>
        <v>262.42427921690097</v>
      </c>
      <c r="AM227" s="1">
        <f t="shared" si="78"/>
        <v>44288</v>
      </c>
      <c r="AN227">
        <f t="shared" si="79"/>
        <v>0.91599845230548915</v>
      </c>
      <c r="AO227">
        <f t="shared" ca="1" si="65"/>
        <v>0.9048627380222275</v>
      </c>
      <c r="AP227">
        <f t="shared" ca="1" si="66"/>
        <v>0.93732156119488363</v>
      </c>
      <c r="AQ227">
        <f t="shared" ca="1" si="67"/>
        <v>0.96255327212353148</v>
      </c>
      <c r="AR227">
        <f t="shared" ca="1" si="68"/>
        <v>1.0069626484773624</v>
      </c>
      <c r="AS227">
        <f t="shared" ca="1" si="69"/>
        <v>1.0487841180297688</v>
      </c>
    </row>
    <row r="228" spans="2:45" x14ac:dyDescent="0.25">
      <c r="B228" s="22">
        <v>44295</v>
      </c>
      <c r="C228">
        <v>26.555</v>
      </c>
      <c r="D228">
        <v>27.1</v>
      </c>
      <c r="E228">
        <v>16.734000000000002</v>
      </c>
      <c r="F228">
        <v>26.492999999999999</v>
      </c>
      <c r="G228">
        <v>132.935</v>
      </c>
      <c r="H228">
        <v>16.478000000000002</v>
      </c>
      <c r="I228" s="6">
        <v>48845.99</v>
      </c>
      <c r="K228" s="23">
        <f t="shared" si="70"/>
        <v>4.6154428176901074E-3</v>
      </c>
      <c r="L228" s="24">
        <f t="shared" si="71"/>
        <v>6.0665362035225101E-2</v>
      </c>
      <c r="M228" s="24">
        <f t="shared" si="72"/>
        <v>2.2360703812316807E-2</v>
      </c>
      <c r="N228" s="24">
        <f t="shared" si="73"/>
        <v>2.2461502836633063E-2</v>
      </c>
      <c r="O228" s="24">
        <f t="shared" si="74"/>
        <v>-3.5903278516495885E-3</v>
      </c>
      <c r="P228" s="24">
        <f t="shared" si="75"/>
        <v>1.4093174964613375E-2</v>
      </c>
      <c r="Q228" s="25">
        <f t="shared" si="76"/>
        <v>1.7998269781892784E-2</v>
      </c>
      <c r="S228" s="26">
        <f t="shared" si="80"/>
        <v>2.0100976435804812E-2</v>
      </c>
      <c r="U228" s="5">
        <f t="shared" si="81"/>
        <v>234.14441773785339</v>
      </c>
      <c r="V228" s="6">
        <f t="shared" si="82"/>
        <v>267.14746219156552</v>
      </c>
      <c r="X228" s="20">
        <f t="shared" si="77"/>
        <v>0.87646132146280165</v>
      </c>
      <c r="Z228" s="22">
        <v>44295</v>
      </c>
      <c r="AA228" s="33">
        <v>49130.022199999999</v>
      </c>
      <c r="AB228" s="33">
        <v>24564.933199999999</v>
      </c>
      <c r="AC228" s="33">
        <v>10138.562599999999</v>
      </c>
      <c r="AD228" s="33">
        <v>15004.6224</v>
      </c>
      <c r="AE228" s="33">
        <v>110117.0462</v>
      </c>
      <c r="AF228" s="34">
        <v>16.478000000000002</v>
      </c>
      <c r="AH228" s="28">
        <f t="shared" si="83"/>
        <v>8.6180052156701256E-3</v>
      </c>
      <c r="AJ228" s="5">
        <f t="shared" si="84"/>
        <v>242.45183171706037</v>
      </c>
      <c r="AK228" s="6">
        <f t="shared" si="85"/>
        <v>267.14746219156552</v>
      </c>
      <c r="AM228" s="1">
        <f t="shared" si="78"/>
        <v>44295</v>
      </c>
      <c r="AN228">
        <f t="shared" si="79"/>
        <v>0.90755805699252168</v>
      </c>
      <c r="AO228">
        <f t="shared" ca="1" si="65"/>
        <v>0.9048627380222275</v>
      </c>
      <c r="AP228">
        <f t="shared" ca="1" si="66"/>
        <v>0.93569680969243207</v>
      </c>
      <c r="AQ228">
        <f t="shared" ca="1" si="67"/>
        <v>0.96189726110062357</v>
      </c>
      <c r="AR228">
        <f t="shared" ca="1" si="68"/>
        <v>0.99819048182140568</v>
      </c>
      <c r="AS228">
        <f t="shared" ca="1" si="69"/>
        <v>1.0479708114072006</v>
      </c>
    </row>
    <row r="229" spans="2:45" x14ac:dyDescent="0.25">
      <c r="B229" s="22">
        <v>44302</v>
      </c>
      <c r="C229">
        <v>25.901</v>
      </c>
      <c r="D229">
        <v>27</v>
      </c>
      <c r="E229">
        <v>16.221</v>
      </c>
      <c r="F229">
        <v>25.173999999999999</v>
      </c>
      <c r="G229">
        <v>125.741</v>
      </c>
      <c r="H229">
        <v>15.565</v>
      </c>
      <c r="I229" s="6">
        <v>47664.34</v>
      </c>
      <c r="K229" s="23">
        <f t="shared" si="70"/>
        <v>-2.4628130295612838E-2</v>
      </c>
      <c r="L229" s="24">
        <f t="shared" si="71"/>
        <v>-3.6900369003690647E-3</v>
      </c>
      <c r="M229" s="24">
        <f t="shared" si="72"/>
        <v>-3.0656149157404222E-2</v>
      </c>
      <c r="N229" s="24">
        <f t="shared" si="73"/>
        <v>-4.9786736118974773E-2</v>
      </c>
      <c r="O229" s="24">
        <f t="shared" si="74"/>
        <v>-5.4116673562267237E-2</v>
      </c>
      <c r="P229" s="24">
        <f t="shared" si="75"/>
        <v>-5.5407209612817199E-2</v>
      </c>
      <c r="Q229" s="25">
        <f t="shared" si="76"/>
        <v>-2.4191340988277688E-2</v>
      </c>
      <c r="S229" s="26">
        <f t="shared" si="80"/>
        <v>-3.6380822607907558E-2</v>
      </c>
      <c r="U229" s="5">
        <f t="shared" si="81"/>
        <v>225.62605121150074</v>
      </c>
      <c r="V229" s="6">
        <f t="shared" si="82"/>
        <v>260.68480683953635</v>
      </c>
      <c r="X229" s="20">
        <f t="shared" si="77"/>
        <v>0.86551285418940471</v>
      </c>
      <c r="Z229" s="22">
        <v>44302</v>
      </c>
      <c r="AA229" s="33">
        <v>47918.804400000001</v>
      </c>
      <c r="AB229" s="33">
        <v>24474.287700000001</v>
      </c>
      <c r="AC229" s="33">
        <v>9827.2909</v>
      </c>
      <c r="AD229" s="33">
        <v>14257.686600000001</v>
      </c>
      <c r="AE229" s="33">
        <v>104158.3316</v>
      </c>
      <c r="AF229" s="34">
        <v>15.565</v>
      </c>
      <c r="AH229" s="28">
        <f t="shared" si="83"/>
        <v>-3.9807061020456121E-2</v>
      </c>
      <c r="AJ229" s="5">
        <f t="shared" si="84"/>
        <v>232.80053685737798</v>
      </c>
      <c r="AK229" s="6">
        <f t="shared" si="85"/>
        <v>260.68480683953635</v>
      </c>
      <c r="AM229" s="1">
        <f t="shared" si="78"/>
        <v>44302</v>
      </c>
      <c r="AN229">
        <f t="shared" si="79"/>
        <v>0.89303454113717318</v>
      </c>
      <c r="AO229">
        <f t="shared" ca="1" si="65"/>
        <v>0.90447944477742037</v>
      </c>
      <c r="AP229">
        <f t="shared" ca="1" si="66"/>
        <v>0.93366507523674869</v>
      </c>
      <c r="AQ229">
        <f t="shared" ca="1" si="67"/>
        <v>0.96003075875154908</v>
      </c>
      <c r="AR229">
        <f t="shared" ca="1" si="68"/>
        <v>0.99473653078779822</v>
      </c>
      <c r="AS229">
        <f t="shared" ca="1" si="69"/>
        <v>1.0373784143716864</v>
      </c>
    </row>
    <row r="230" spans="2:45" x14ac:dyDescent="0.25">
      <c r="B230" s="22">
        <v>44309</v>
      </c>
      <c r="C230">
        <v>25.492000000000001</v>
      </c>
      <c r="D230">
        <v>26.5</v>
      </c>
      <c r="E230">
        <v>16.771000000000001</v>
      </c>
      <c r="F230">
        <v>28.433</v>
      </c>
      <c r="G230">
        <v>128.90600000000001</v>
      </c>
      <c r="H230">
        <v>15.244999999999999</v>
      </c>
      <c r="I230" s="6">
        <v>47374.47</v>
      </c>
      <c r="K230" s="23">
        <f t="shared" si="70"/>
        <v>-1.5790896104397434E-2</v>
      </c>
      <c r="L230" s="24">
        <f t="shared" si="71"/>
        <v>-1.851851851851849E-2</v>
      </c>
      <c r="M230" s="24">
        <f t="shared" si="72"/>
        <v>3.3906664200727521E-2</v>
      </c>
      <c r="N230" s="24">
        <f t="shared" si="73"/>
        <v>0.12945896559942804</v>
      </c>
      <c r="O230" s="24">
        <f t="shared" si="74"/>
        <v>2.5170787571277442E-2</v>
      </c>
      <c r="P230" s="24">
        <f t="shared" si="75"/>
        <v>-2.0558946353999352E-2</v>
      </c>
      <c r="Q230" s="25">
        <f t="shared" si="76"/>
        <v>-6.0814856557332986E-3</v>
      </c>
      <c r="S230" s="26">
        <f t="shared" si="80"/>
        <v>2.227800939908629E-2</v>
      </c>
      <c r="U230" s="5">
        <f t="shared" si="81"/>
        <v>230.65255050106924</v>
      </c>
      <c r="V230" s="6">
        <f t="shared" si="82"/>
        <v>259.09945592607409</v>
      </c>
      <c r="X230" s="20">
        <f t="shared" si="77"/>
        <v>0.89020854820659567</v>
      </c>
      <c r="Z230" s="22">
        <v>44309</v>
      </c>
      <c r="AA230" s="33">
        <v>47161.793299999998</v>
      </c>
      <c r="AB230" s="33">
        <v>24021.0602</v>
      </c>
      <c r="AC230" s="33">
        <v>10160.7963</v>
      </c>
      <c r="AD230" s="33">
        <v>16103.0574</v>
      </c>
      <c r="AE230" s="33">
        <v>106780.166</v>
      </c>
      <c r="AF230" s="34">
        <v>15.244999999999999</v>
      </c>
      <c r="AH230" s="28">
        <f t="shared" si="83"/>
        <v>1.7894241987153395E-2</v>
      </c>
      <c r="AJ230" s="5">
        <f t="shared" si="84"/>
        <v>236.96632599864316</v>
      </c>
      <c r="AK230" s="6">
        <f t="shared" si="85"/>
        <v>259.09945592607409</v>
      </c>
      <c r="AM230" s="1">
        <f t="shared" si="78"/>
        <v>44309</v>
      </c>
      <c r="AN230">
        <f t="shared" si="79"/>
        <v>0.91457670241597899</v>
      </c>
      <c r="AO230">
        <f t="shared" ca="1" si="65"/>
        <v>0.8984254985175274</v>
      </c>
      <c r="AP230">
        <f t="shared" ca="1" si="66"/>
        <v>0.93200764443378814</v>
      </c>
      <c r="AQ230">
        <f t="shared" ca="1" si="67"/>
        <v>0.95722753851245823</v>
      </c>
      <c r="AR230">
        <f t="shared" ca="1" si="68"/>
        <v>0.99216082606263734</v>
      </c>
      <c r="AS230">
        <f t="shared" ca="1" si="69"/>
        <v>1.0373784143716864</v>
      </c>
    </row>
    <row r="231" spans="2:45" x14ac:dyDescent="0.25">
      <c r="B231" s="22">
        <v>44316</v>
      </c>
      <c r="C231">
        <v>26.474</v>
      </c>
      <c r="D231">
        <v>27.75</v>
      </c>
      <c r="E231">
        <v>17.468</v>
      </c>
      <c r="F231">
        <v>28.2</v>
      </c>
      <c r="G231">
        <v>133.654</v>
      </c>
      <c r="H231">
        <v>15.93</v>
      </c>
      <c r="I231" s="6">
        <v>49056.1</v>
      </c>
      <c r="K231" s="23">
        <f t="shared" si="70"/>
        <v>3.8521889220147543E-2</v>
      </c>
      <c r="L231" s="24">
        <f t="shared" si="71"/>
        <v>4.7169811320754818E-2</v>
      </c>
      <c r="M231" s="24">
        <f t="shared" si="72"/>
        <v>4.1559835430206915E-2</v>
      </c>
      <c r="N231" s="24">
        <f t="shared" si="73"/>
        <v>-8.1947033376710277E-3</v>
      </c>
      <c r="O231" s="24">
        <f t="shared" si="74"/>
        <v>3.6833041130746258E-2</v>
      </c>
      <c r="P231" s="24">
        <f t="shared" si="75"/>
        <v>4.493276484093145E-2</v>
      </c>
      <c r="Q231" s="25">
        <f t="shared" si="76"/>
        <v>3.5496544868997892E-2</v>
      </c>
      <c r="S231" s="26">
        <f t="shared" si="80"/>
        <v>3.3470439767519324E-2</v>
      </c>
      <c r="U231" s="5">
        <f t="shared" si="81"/>
        <v>238.37259279984002</v>
      </c>
      <c r="V231" s="6">
        <f t="shared" si="82"/>
        <v>268.2965913888869</v>
      </c>
      <c r="X231" s="20">
        <f t="shared" si="77"/>
        <v>0.88846672097420332</v>
      </c>
      <c r="Z231" s="22">
        <v>44316</v>
      </c>
      <c r="AA231" s="33">
        <v>48978.62</v>
      </c>
      <c r="AB231" s="33">
        <v>25154.129000000001</v>
      </c>
      <c r="AC231" s="33">
        <v>10583.2364</v>
      </c>
      <c r="AD231" s="33">
        <v>15971.245199999999</v>
      </c>
      <c r="AE231" s="33">
        <v>110712.91770000001</v>
      </c>
      <c r="AF231" s="34">
        <v>15.93</v>
      </c>
      <c r="AH231" s="28">
        <f t="shared" si="83"/>
        <v>3.5124365177857185E-2</v>
      </c>
      <c r="AJ231" s="5">
        <f t="shared" si="84"/>
        <v>245.28961776787466</v>
      </c>
      <c r="AK231" s="6">
        <f t="shared" si="85"/>
        <v>268.2965913888869</v>
      </c>
      <c r="AM231" s="1">
        <f t="shared" si="78"/>
        <v>44316</v>
      </c>
      <c r="AN231">
        <f t="shared" si="79"/>
        <v>0.91424798391245909</v>
      </c>
      <c r="AO231">
        <f t="shared" ca="1" si="65"/>
        <v>0.8984254985175274</v>
      </c>
      <c r="AP231">
        <f t="shared" ca="1" si="66"/>
        <v>0.92772636788359564</v>
      </c>
      <c r="AQ231">
        <f t="shared" ca="1" si="67"/>
        <v>0.95551434768140142</v>
      </c>
      <c r="AR231">
        <f t="shared" ca="1" si="68"/>
        <v>0.98749283842249169</v>
      </c>
      <c r="AS231">
        <f t="shared" ca="1" si="69"/>
        <v>1.0300063678773204</v>
      </c>
    </row>
    <row r="232" spans="2:45" x14ac:dyDescent="0.25">
      <c r="B232" s="22">
        <v>44323</v>
      </c>
      <c r="C232">
        <v>26.515000000000001</v>
      </c>
      <c r="D232">
        <v>27.45</v>
      </c>
      <c r="E232">
        <v>17.614999999999998</v>
      </c>
      <c r="F232">
        <v>28.471</v>
      </c>
      <c r="G232">
        <v>134.18199999999999</v>
      </c>
      <c r="H232">
        <v>15.382</v>
      </c>
      <c r="I232" s="6">
        <v>51419.49</v>
      </c>
      <c r="K232" s="23">
        <f t="shared" si="70"/>
        <v>1.5486892800482543E-3</v>
      </c>
      <c r="L232" s="24">
        <f t="shared" si="71"/>
        <v>-1.0810810810810811E-2</v>
      </c>
      <c r="M232" s="24">
        <f t="shared" si="72"/>
        <v>8.4153881383099982E-3</v>
      </c>
      <c r="N232" s="24">
        <f t="shared" si="73"/>
        <v>9.6099290780142788E-3</v>
      </c>
      <c r="O232" s="24">
        <f t="shared" si="74"/>
        <v>3.9504990497851722E-3</v>
      </c>
      <c r="P232" s="24">
        <f t="shared" si="75"/>
        <v>-3.4400502197112326E-2</v>
      </c>
      <c r="Q232" s="25">
        <f t="shared" si="76"/>
        <v>4.8177290897564173E-2</v>
      </c>
      <c r="S232" s="26">
        <f t="shared" si="80"/>
        <v>-3.614467910294239E-3</v>
      </c>
      <c r="U232" s="5">
        <f t="shared" si="81"/>
        <v>237.51100271247134</v>
      </c>
      <c r="V232" s="6">
        <f t="shared" si="82"/>
        <v>281.22239431905422</v>
      </c>
      <c r="X232" s="20">
        <f t="shared" si="77"/>
        <v>0.84456646238140221</v>
      </c>
      <c r="Z232" s="22">
        <v>44323</v>
      </c>
      <c r="AA232" s="33">
        <v>49054.321100000001</v>
      </c>
      <c r="AB232" s="33">
        <v>24882.192500000001</v>
      </c>
      <c r="AC232" s="33">
        <v>10672.171200000001</v>
      </c>
      <c r="AD232" s="33">
        <v>16125.026099999999</v>
      </c>
      <c r="AE232" s="33">
        <v>111149.8901</v>
      </c>
      <c r="AF232" s="34">
        <v>15.382</v>
      </c>
      <c r="AH232" s="28">
        <f t="shared" si="83"/>
        <v>2.285937710129627E-3</v>
      </c>
      <c r="AJ232" s="5">
        <f t="shared" si="84"/>
        <v>245.85033455503353</v>
      </c>
      <c r="AK232" s="6">
        <f t="shared" si="85"/>
        <v>281.22239431905422</v>
      </c>
      <c r="AM232" s="1">
        <f t="shared" si="78"/>
        <v>44323</v>
      </c>
      <c r="AN232">
        <f t="shared" si="79"/>
        <v>0.87422033067576355</v>
      </c>
      <c r="AO232">
        <f t="shared" ca="1" si="65"/>
        <v>0.8984254985175274</v>
      </c>
      <c r="AP232">
        <f t="shared" ca="1" si="66"/>
        <v>0.91942556221791294</v>
      </c>
      <c r="AQ232">
        <f t="shared" ca="1" si="67"/>
        <v>0.95441250259173094</v>
      </c>
      <c r="AR232">
        <f t="shared" ca="1" si="68"/>
        <v>0.98380702333784842</v>
      </c>
      <c r="AS232">
        <f t="shared" ca="1" si="69"/>
        <v>1.0294988546159642</v>
      </c>
    </row>
    <row r="233" spans="2:45" x14ac:dyDescent="0.25">
      <c r="B233" s="22">
        <v>44330</v>
      </c>
      <c r="C233">
        <v>26.555</v>
      </c>
      <c r="D233">
        <v>27.85</v>
      </c>
      <c r="E233">
        <v>17.762</v>
      </c>
      <c r="F233">
        <v>29.596</v>
      </c>
      <c r="G233">
        <v>141.75899999999999</v>
      </c>
      <c r="H233">
        <v>15.747</v>
      </c>
      <c r="I233" s="6">
        <v>54850.06</v>
      </c>
      <c r="K233" s="23">
        <f t="shared" si="70"/>
        <v>1.5085800490288737E-3</v>
      </c>
      <c r="L233" s="24">
        <f t="shared" si="71"/>
        <v>1.4571948998178597E-2</v>
      </c>
      <c r="M233" s="24">
        <f t="shared" si="72"/>
        <v>8.3451603746806935E-3</v>
      </c>
      <c r="N233" s="24">
        <f t="shared" si="73"/>
        <v>3.9513891328017969E-2</v>
      </c>
      <c r="O233" s="24">
        <f t="shared" si="74"/>
        <v>5.6468080666557396E-2</v>
      </c>
      <c r="P233" s="24">
        <f t="shared" si="75"/>
        <v>2.3729033935769195E-2</v>
      </c>
      <c r="Q233" s="25">
        <f t="shared" si="76"/>
        <v>6.6717308942581877E-2</v>
      </c>
      <c r="S233" s="26">
        <f t="shared" si="80"/>
        <v>2.4022782558705453E-2</v>
      </c>
      <c r="U233" s="5">
        <f t="shared" si="81"/>
        <v>243.21667788593311</v>
      </c>
      <c r="V233" s="6">
        <f t="shared" si="82"/>
        <v>299.98479568241112</v>
      </c>
      <c r="X233" s="20">
        <f t="shared" si="77"/>
        <v>0.81076334996465149</v>
      </c>
      <c r="Z233" s="22">
        <v>44330</v>
      </c>
      <c r="AA233" s="33">
        <v>49130.022199999999</v>
      </c>
      <c r="AB233" s="33">
        <v>25244.7745</v>
      </c>
      <c r="AC233" s="33">
        <v>10761.1059</v>
      </c>
      <c r="AD233" s="33">
        <v>16762.118399999999</v>
      </c>
      <c r="AE233" s="33">
        <v>117426.4028</v>
      </c>
      <c r="AF233" s="34">
        <v>15.747</v>
      </c>
      <c r="AH233" s="28">
        <f t="shared" si="83"/>
        <v>3.510915330648693E-2</v>
      </c>
      <c r="AJ233" s="5">
        <f t="shared" si="84"/>
        <v>254.48193164137729</v>
      </c>
      <c r="AK233" s="6">
        <f t="shared" si="85"/>
        <v>299.98479568241112</v>
      </c>
      <c r="AM233" s="1">
        <f t="shared" si="78"/>
        <v>44330</v>
      </c>
      <c r="AN233">
        <f t="shared" si="79"/>
        <v>0.84831609902920901</v>
      </c>
      <c r="AO233">
        <f t="shared" ca="1" si="65"/>
        <v>0.89761726278940457</v>
      </c>
      <c r="AP233">
        <f t="shared" ca="1" si="66"/>
        <v>0.91610137015794257</v>
      </c>
      <c r="AQ233">
        <f t="shared" ca="1" si="67"/>
        <v>0.95321912829952016</v>
      </c>
      <c r="AR233">
        <f t="shared" ca="1" si="68"/>
        <v>0.98251089889758569</v>
      </c>
      <c r="AS233">
        <f t="shared" ca="1" si="69"/>
        <v>1.0294988546159642</v>
      </c>
    </row>
    <row r="234" spans="2:45" x14ac:dyDescent="0.25">
      <c r="B234" s="22">
        <v>44337</v>
      </c>
      <c r="C234">
        <v>26.474</v>
      </c>
      <c r="D234">
        <v>28.45</v>
      </c>
      <c r="E234">
        <v>17.614999999999998</v>
      </c>
      <c r="F234">
        <v>28.161000000000001</v>
      </c>
      <c r="G234">
        <v>143.869</v>
      </c>
      <c r="H234">
        <v>15.976000000000001</v>
      </c>
      <c r="I234" s="6">
        <v>56221.88</v>
      </c>
      <c r="K234" s="23">
        <f t="shared" si="70"/>
        <v>-3.0502730182639937E-3</v>
      </c>
      <c r="L234" s="24">
        <f t="shared" si="71"/>
        <v>2.1543985637342722E-2</v>
      </c>
      <c r="M234" s="24">
        <f t="shared" si="72"/>
        <v>-8.2760950343431228E-3</v>
      </c>
      <c r="N234" s="24">
        <f t="shared" si="73"/>
        <v>-4.8486281929990493E-2</v>
      </c>
      <c r="O234" s="24">
        <f t="shared" si="74"/>
        <v>1.4884416509710174E-2</v>
      </c>
      <c r="P234" s="24">
        <f t="shared" si="75"/>
        <v>1.4542452530640793E-2</v>
      </c>
      <c r="Q234" s="25">
        <f t="shared" si="76"/>
        <v>2.501036461947348E-2</v>
      </c>
      <c r="S234" s="26">
        <f t="shared" si="80"/>
        <v>-1.4736325508173203E-3</v>
      </c>
      <c r="U234" s="5">
        <f t="shared" si="81"/>
        <v>242.85826587249875</v>
      </c>
      <c r="V234" s="6">
        <f t="shared" si="82"/>
        <v>307.48752480272645</v>
      </c>
      <c r="X234" s="20">
        <f t="shared" si="77"/>
        <v>0.78981502104291335</v>
      </c>
      <c r="Z234" s="22">
        <v>44337</v>
      </c>
      <c r="AA234" s="33">
        <v>48978.62</v>
      </c>
      <c r="AB234" s="33">
        <v>25788.6476</v>
      </c>
      <c r="AC234" s="33">
        <v>10672.171200000001</v>
      </c>
      <c r="AD234" s="33">
        <v>15949.2765</v>
      </c>
      <c r="AE234" s="33">
        <v>119174.2925</v>
      </c>
      <c r="AF234" s="34">
        <v>15.976000000000001</v>
      </c>
      <c r="AH234" s="28">
        <f t="shared" si="83"/>
        <v>5.6545630859218344E-3</v>
      </c>
      <c r="AJ234" s="5">
        <f t="shared" si="84"/>
        <v>255.92091577807074</v>
      </c>
      <c r="AK234" s="6">
        <f t="shared" si="85"/>
        <v>307.48752480272645</v>
      </c>
      <c r="AM234" s="1">
        <f t="shared" si="78"/>
        <v>44337</v>
      </c>
      <c r="AN234">
        <f t="shared" si="79"/>
        <v>0.83229690681682411</v>
      </c>
      <c r="AO234">
        <f t="shared" ca="1" si="65"/>
        <v>0.89626508507886038</v>
      </c>
      <c r="AP234">
        <f t="shared" ca="1" si="66"/>
        <v>0.91564301483311161</v>
      </c>
      <c r="AQ234">
        <f t="shared" ca="1" si="67"/>
        <v>0.95216334983736362</v>
      </c>
      <c r="AR234">
        <f t="shared" ca="1" si="68"/>
        <v>0.97846222876522393</v>
      </c>
      <c r="AS234">
        <f t="shared" ca="1" si="69"/>
        <v>1.0152419777339312</v>
      </c>
    </row>
    <row r="235" spans="2:45" x14ac:dyDescent="0.25">
      <c r="B235" s="22">
        <v>44344</v>
      </c>
      <c r="C235">
        <v>29.338000000000001</v>
      </c>
      <c r="D235">
        <v>31.25</v>
      </c>
      <c r="E235">
        <v>19.413</v>
      </c>
      <c r="F235">
        <v>30.023</v>
      </c>
      <c r="G235">
        <v>146.74600000000001</v>
      </c>
      <c r="H235">
        <v>16.706</v>
      </c>
      <c r="I235" s="6">
        <v>59212.959999999999</v>
      </c>
      <c r="K235" s="23">
        <f t="shared" si="70"/>
        <v>0.10818161214776767</v>
      </c>
      <c r="L235" s="24">
        <f t="shared" si="71"/>
        <v>9.8418277680140553E-2</v>
      </c>
      <c r="M235" s="24">
        <f t="shared" si="72"/>
        <v>0.10207209764405345</v>
      </c>
      <c r="N235" s="24">
        <f t="shared" si="73"/>
        <v>6.6119811086253977E-2</v>
      </c>
      <c r="O235" s="24">
        <f t="shared" si="74"/>
        <v>1.9997358708269353E-2</v>
      </c>
      <c r="P235" s="24">
        <f t="shared" si="75"/>
        <v>4.5693540310465686E-2</v>
      </c>
      <c r="Q235" s="25">
        <f t="shared" si="76"/>
        <v>5.3201351502297767E-2</v>
      </c>
      <c r="S235" s="26">
        <f t="shared" si="80"/>
        <v>7.3413782929491786E-2</v>
      </c>
      <c r="U235" s="5">
        <f t="shared" si="81"/>
        <v>260.68740988589519</v>
      </c>
      <c r="V235" s="6">
        <f t="shared" si="82"/>
        <v>323.84627669232782</v>
      </c>
      <c r="X235" s="20">
        <f t="shared" si="77"/>
        <v>0.80497269429335727</v>
      </c>
      <c r="Z235" s="22">
        <v>44344</v>
      </c>
      <c r="AA235" s="33">
        <v>54277.697899999999</v>
      </c>
      <c r="AB235" s="33">
        <v>28326.7219</v>
      </c>
      <c r="AC235" s="33">
        <v>11761.621999999999</v>
      </c>
      <c r="AD235" s="33">
        <v>17003.774099999999</v>
      </c>
      <c r="AE235" s="33">
        <v>121557.77830000001</v>
      </c>
      <c r="AF235" s="34">
        <v>16.706</v>
      </c>
      <c r="AH235" s="28">
        <f t="shared" si="83"/>
        <v>5.6054549104032021E-2</v>
      </c>
      <c r="AJ235" s="5">
        <f t="shared" si="84"/>
        <v>270.26644731830146</v>
      </c>
      <c r="AK235" s="6">
        <f t="shared" si="85"/>
        <v>323.84627669232782</v>
      </c>
      <c r="AM235" s="1">
        <f t="shared" si="78"/>
        <v>44344</v>
      </c>
      <c r="AN235">
        <f t="shared" si="79"/>
        <v>0.83455165851750635</v>
      </c>
      <c r="AO235">
        <f t="shared" ca="1" si="65"/>
        <v>0.89387332823231613</v>
      </c>
      <c r="AP235">
        <f t="shared" ca="1" si="66"/>
        <v>0.91449452279009902</v>
      </c>
      <c r="AQ235">
        <f t="shared" ca="1" si="67"/>
        <v>0.95112637305236525</v>
      </c>
      <c r="AR235">
        <f t="shared" ca="1" si="68"/>
        <v>0.97508653702361214</v>
      </c>
      <c r="AS235">
        <f t="shared" ca="1" si="69"/>
        <v>1.0038042016599718</v>
      </c>
    </row>
    <row r="236" spans="2:45" x14ac:dyDescent="0.25">
      <c r="B236" s="22">
        <v>44351</v>
      </c>
      <c r="C236">
        <v>35.435000000000002</v>
      </c>
      <c r="D236">
        <v>36.1</v>
      </c>
      <c r="E236">
        <v>21.614999999999998</v>
      </c>
      <c r="F236">
        <v>38.401000000000003</v>
      </c>
      <c r="G236">
        <v>171.15600000000001</v>
      </c>
      <c r="H236">
        <v>19.033999999999999</v>
      </c>
      <c r="I236" s="6">
        <v>66190.06</v>
      </c>
      <c r="K236" s="23">
        <f t="shared" si="70"/>
        <v>0.20781921058013508</v>
      </c>
      <c r="L236" s="24">
        <f t="shared" si="71"/>
        <v>0.1552</v>
      </c>
      <c r="M236" s="24">
        <f t="shared" si="72"/>
        <v>0.11342914541801874</v>
      </c>
      <c r="N236" s="24">
        <f t="shared" si="73"/>
        <v>0.27905272624321364</v>
      </c>
      <c r="O236" s="24">
        <f t="shared" si="74"/>
        <v>0.16634184236708327</v>
      </c>
      <c r="P236" s="24">
        <f t="shared" si="75"/>
        <v>0.13935113133006105</v>
      </c>
      <c r="Q236" s="25">
        <f t="shared" si="76"/>
        <v>0.11783062356619234</v>
      </c>
      <c r="S236" s="26">
        <f t="shared" si="80"/>
        <v>0.17686567598975197</v>
      </c>
      <c r="U236" s="5">
        <f t="shared" si="81"/>
        <v>306.79406485738161</v>
      </c>
      <c r="V236" s="6">
        <f t="shared" si="82"/>
        <v>362.00528541457447</v>
      </c>
      <c r="X236" s="20">
        <f t="shared" si="77"/>
        <v>0.84748504294912697</v>
      </c>
      <c r="Z236" s="22">
        <v>44351</v>
      </c>
      <c r="AA236" s="33">
        <v>65557.163700000005</v>
      </c>
      <c r="AB236" s="33">
        <v>32723.0291</v>
      </c>
      <c r="AC236" s="33">
        <v>13095.643400000001</v>
      </c>
      <c r="AD236" s="33">
        <v>21749.0134</v>
      </c>
      <c r="AE236" s="33">
        <v>141777.6833</v>
      </c>
      <c r="AF236" s="34">
        <v>19.033999999999999</v>
      </c>
      <c r="AH236" s="28">
        <f t="shared" si="83"/>
        <v>0.18020526185965477</v>
      </c>
      <c r="AJ236" s="5">
        <f t="shared" si="84"/>
        <v>318.96988322917457</v>
      </c>
      <c r="AK236" s="6">
        <f t="shared" si="85"/>
        <v>362.00528541457447</v>
      </c>
      <c r="AM236" s="1">
        <f t="shared" si="78"/>
        <v>44351</v>
      </c>
      <c r="AN236">
        <f t="shared" si="79"/>
        <v>0.88111940924808585</v>
      </c>
      <c r="AO236">
        <f t="shared" ca="1" si="65"/>
        <v>0.89309349031475804</v>
      </c>
      <c r="AP236">
        <f t="shared" ca="1" si="66"/>
        <v>0.91353373529449255</v>
      </c>
      <c r="AQ236">
        <f t="shared" ca="1" si="67"/>
        <v>0.94901516019204946</v>
      </c>
      <c r="AR236">
        <f t="shared" ca="1" si="68"/>
        <v>0.96841257316630514</v>
      </c>
      <c r="AS236">
        <f t="shared" ca="1" si="69"/>
        <v>0.99585871507073598</v>
      </c>
    </row>
    <row r="237" spans="2:45" x14ac:dyDescent="0.25">
      <c r="B237" s="22">
        <v>44358</v>
      </c>
      <c r="C237">
        <v>36.58</v>
      </c>
      <c r="D237">
        <v>42.25</v>
      </c>
      <c r="E237">
        <v>23.047000000000001</v>
      </c>
      <c r="F237">
        <v>39.177</v>
      </c>
      <c r="G237">
        <v>169.429</v>
      </c>
      <c r="H237">
        <v>26.474</v>
      </c>
      <c r="I237" s="6">
        <v>66093.97</v>
      </c>
      <c r="K237" s="23">
        <f t="shared" si="70"/>
        <v>3.2312685198250257E-2</v>
      </c>
      <c r="L237" s="24">
        <f t="shared" si="71"/>
        <v>0.17036011080332414</v>
      </c>
      <c r="M237" s="24">
        <f t="shared" si="72"/>
        <v>6.6250289151052577E-2</v>
      </c>
      <c r="N237" s="24">
        <f t="shared" si="73"/>
        <v>2.0207807088356899E-2</v>
      </c>
      <c r="O237" s="24">
        <f t="shared" si="74"/>
        <v>-1.009021010072686E-2</v>
      </c>
      <c r="P237" s="24">
        <f t="shared" si="75"/>
        <v>0.39087947882736174</v>
      </c>
      <c r="Q237" s="25">
        <f t="shared" si="76"/>
        <v>-1.4517285525953438E-3</v>
      </c>
      <c r="S237" s="26">
        <f t="shared" si="80"/>
        <v>0.1116533601612698</v>
      </c>
      <c r="U237" s="5">
        <f t="shared" si="81"/>
        <v>341.04865307624277</v>
      </c>
      <c r="V237" s="6">
        <f t="shared" si="82"/>
        <v>361.47975200554771</v>
      </c>
      <c r="X237" s="20">
        <f t="shared" si="77"/>
        <v>0.94347927147800148</v>
      </c>
      <c r="Z237" s="22">
        <v>44358</v>
      </c>
      <c r="AA237" s="33">
        <v>67676.794800000003</v>
      </c>
      <c r="AB237" s="33">
        <v>38297.728000000003</v>
      </c>
      <c r="AC237" s="33">
        <v>13962.757299999999</v>
      </c>
      <c r="AD237" s="33">
        <v>22188.387500000001</v>
      </c>
      <c r="AE237" s="33">
        <v>140347.59169999999</v>
      </c>
      <c r="AF237" s="34">
        <v>26.474</v>
      </c>
      <c r="AH237" s="28">
        <f t="shared" si="83"/>
        <v>2.7560552483347964E-2</v>
      </c>
      <c r="AJ237" s="5">
        <f t="shared" si="84"/>
        <v>327.76086943651961</v>
      </c>
      <c r="AK237" s="6">
        <f t="shared" si="85"/>
        <v>361.47975200554771</v>
      </c>
      <c r="AM237" s="1">
        <f t="shared" si="78"/>
        <v>44358</v>
      </c>
      <c r="AN237">
        <f t="shared" si="79"/>
        <v>0.90671985807794131</v>
      </c>
      <c r="AO237">
        <f t="shared" ca="1" si="65"/>
        <v>0.88580752530980533</v>
      </c>
      <c r="AP237">
        <f t="shared" ca="1" si="66"/>
        <v>0.91043275632857512</v>
      </c>
      <c r="AQ237">
        <f t="shared" ca="1" si="67"/>
        <v>0.94707913391171372</v>
      </c>
      <c r="AR237">
        <f t="shared" ca="1" si="68"/>
        <v>0.96586877873519827</v>
      </c>
      <c r="AS237">
        <f t="shared" ca="1" si="69"/>
        <v>0.99585871507073598</v>
      </c>
    </row>
    <row r="238" spans="2:45" x14ac:dyDescent="0.25">
      <c r="B238" s="22">
        <v>44365</v>
      </c>
      <c r="C238">
        <v>35.189</v>
      </c>
      <c r="D238">
        <v>40.75</v>
      </c>
      <c r="E238">
        <v>23.890999999999998</v>
      </c>
      <c r="F238">
        <v>45.073</v>
      </c>
      <c r="G238">
        <v>163.67500000000001</v>
      </c>
      <c r="H238">
        <v>24.648</v>
      </c>
      <c r="I238" s="6">
        <v>65136</v>
      </c>
      <c r="K238" s="23">
        <f t="shared" si="70"/>
        <v>-3.8026243849097807E-2</v>
      </c>
      <c r="L238" s="24">
        <f t="shared" si="71"/>
        <v>-3.5502958579881616E-2</v>
      </c>
      <c r="M238" s="24">
        <f t="shared" si="72"/>
        <v>3.6620818327764981E-2</v>
      </c>
      <c r="N238" s="24">
        <f t="shared" si="73"/>
        <v>0.15049646476248824</v>
      </c>
      <c r="O238" s="24">
        <f t="shared" si="74"/>
        <v>-3.3961128260215134E-2</v>
      </c>
      <c r="P238" s="24">
        <f t="shared" si="75"/>
        <v>-6.8973332326055736E-2</v>
      </c>
      <c r="Q238" s="25">
        <f t="shared" si="76"/>
        <v>-1.4494060502039718E-2</v>
      </c>
      <c r="S238" s="26">
        <f t="shared" si="80"/>
        <v>1.7756033458338205E-3</v>
      </c>
      <c r="U238" s="5">
        <f t="shared" si="81"/>
        <v>341.65422020573709</v>
      </c>
      <c r="V238" s="6">
        <f t="shared" si="82"/>
        <v>356.24044260971698</v>
      </c>
      <c r="X238" s="20">
        <f t="shared" si="77"/>
        <v>0.95905511935386856</v>
      </c>
      <c r="Z238" s="22">
        <v>44365</v>
      </c>
      <c r="AA238" s="33">
        <v>65102.957000000002</v>
      </c>
      <c r="AB238" s="33">
        <v>36938.045299999998</v>
      </c>
      <c r="AC238" s="33">
        <v>14474.132100000001</v>
      </c>
      <c r="AD238" s="33">
        <v>25527.6299</v>
      </c>
      <c r="AE238" s="33">
        <v>135580.62</v>
      </c>
      <c r="AF238" s="34">
        <v>24.648</v>
      </c>
      <c r="AH238" s="28">
        <f t="shared" si="83"/>
        <v>-1.7170862368547136E-2</v>
      </c>
      <c r="AJ238" s="5">
        <f t="shared" si="84"/>
        <v>322.13293265762979</v>
      </c>
      <c r="AK238" s="6">
        <f t="shared" si="85"/>
        <v>356.24044260971698</v>
      </c>
      <c r="AM238" s="1">
        <f t="shared" si="78"/>
        <v>44365</v>
      </c>
      <c r="AN238">
        <f t="shared" si="79"/>
        <v>0.90425705261809919</v>
      </c>
      <c r="AO238">
        <f t="shared" ca="1" si="65"/>
        <v>0.88580752530980533</v>
      </c>
      <c r="AP238">
        <f t="shared" ca="1" si="66"/>
        <v>0.90734850726387661</v>
      </c>
      <c r="AQ238">
        <f t="shared" ca="1" si="67"/>
        <v>0.94568808149517447</v>
      </c>
      <c r="AR238">
        <f t="shared" ca="1" si="68"/>
        <v>0.9649790717633645</v>
      </c>
      <c r="AS238">
        <f t="shared" ca="1" si="69"/>
        <v>0.99585871507073598</v>
      </c>
    </row>
    <row r="239" spans="2:45" x14ac:dyDescent="0.25">
      <c r="B239" s="22">
        <v>44372</v>
      </c>
      <c r="C239">
        <v>34.453000000000003</v>
      </c>
      <c r="D239">
        <v>42.2</v>
      </c>
      <c r="E239">
        <v>23.193000000000001</v>
      </c>
      <c r="F239">
        <v>47.09</v>
      </c>
      <c r="G239">
        <v>162.13999999999999</v>
      </c>
      <c r="H239">
        <v>22.867999999999999</v>
      </c>
      <c r="I239" s="6">
        <v>65133.46</v>
      </c>
      <c r="K239" s="23">
        <f t="shared" si="70"/>
        <v>-2.0915627042541574E-2</v>
      </c>
      <c r="L239" s="24">
        <f t="shared" si="71"/>
        <v>3.5582822085889587E-2</v>
      </c>
      <c r="M239" s="24">
        <f t="shared" si="72"/>
        <v>-2.9216022770080619E-2</v>
      </c>
      <c r="N239" s="24">
        <f t="shared" si="73"/>
        <v>4.4749628380627016E-2</v>
      </c>
      <c r="O239" s="24">
        <f t="shared" si="74"/>
        <v>-9.3783412249887066E-3</v>
      </c>
      <c r="P239" s="24">
        <f t="shared" si="75"/>
        <v>-7.2216812723141843E-2</v>
      </c>
      <c r="Q239" s="25">
        <f t="shared" si="76"/>
        <v>-3.8995332842017838E-5</v>
      </c>
      <c r="S239" s="26">
        <f t="shared" si="80"/>
        <v>-8.5657255490393571E-3</v>
      </c>
      <c r="U239" s="5">
        <f t="shared" si="81"/>
        <v>338.72770392278369</v>
      </c>
      <c r="V239" s="6">
        <f t="shared" si="82"/>
        <v>356.22655089508561</v>
      </c>
      <c r="X239" s="20">
        <f t="shared" si="77"/>
        <v>0.9508771961878395</v>
      </c>
      <c r="Z239" s="22">
        <v>44372</v>
      </c>
      <c r="AA239" s="33">
        <v>63740.337</v>
      </c>
      <c r="AB239" s="33">
        <v>38252.405200000001</v>
      </c>
      <c r="AC239" s="33">
        <v>14051.691999999999</v>
      </c>
      <c r="AD239" s="33">
        <v>26670.0023</v>
      </c>
      <c r="AE239" s="33">
        <v>134309.4276</v>
      </c>
      <c r="AF239" s="34">
        <v>22.867999999999999</v>
      </c>
      <c r="AH239" s="28">
        <f t="shared" si="83"/>
        <v>-2.1650980498279285E-3</v>
      </c>
      <c r="AJ239" s="5">
        <f t="shared" si="84"/>
        <v>321.43548327334742</v>
      </c>
      <c r="AK239" s="6">
        <f t="shared" si="85"/>
        <v>356.22655089508561</v>
      </c>
      <c r="AM239" s="1">
        <f t="shared" si="78"/>
        <v>44372</v>
      </c>
      <c r="AN239">
        <f t="shared" si="79"/>
        <v>0.90233443426853177</v>
      </c>
      <c r="AO239">
        <f t="shared" ca="1" si="65"/>
        <v>0.88580752530980533</v>
      </c>
      <c r="AP239">
        <f t="shared" ca="1" si="66"/>
        <v>0.90610415671298083</v>
      </c>
      <c r="AQ239">
        <f t="shared" ca="1" si="67"/>
        <v>0.94119556651914071</v>
      </c>
      <c r="AR239">
        <f t="shared" ca="1" si="68"/>
        <v>0.9649790717633645</v>
      </c>
      <c r="AS239">
        <f t="shared" ca="1" si="69"/>
        <v>0.99585871507073598</v>
      </c>
    </row>
    <row r="240" spans="2:45" x14ac:dyDescent="0.25">
      <c r="B240" s="22">
        <v>44379</v>
      </c>
      <c r="C240">
        <v>34.862000000000002</v>
      </c>
      <c r="D240">
        <v>38.700000000000003</v>
      </c>
      <c r="E240">
        <v>23.634</v>
      </c>
      <c r="F240">
        <v>43.055999999999997</v>
      </c>
      <c r="G240">
        <v>152.405</v>
      </c>
      <c r="H240">
        <v>23.460999999999999</v>
      </c>
      <c r="I240" s="6">
        <v>63330.37</v>
      </c>
      <c r="K240" s="23">
        <f t="shared" si="70"/>
        <v>1.1871244884335219E-2</v>
      </c>
      <c r="L240" s="24">
        <f t="shared" si="71"/>
        <v>-8.2938388625592441E-2</v>
      </c>
      <c r="M240" s="24">
        <f t="shared" si="72"/>
        <v>1.9014357780364755E-2</v>
      </c>
      <c r="N240" s="24">
        <f t="shared" si="73"/>
        <v>-8.5665746442981638E-2</v>
      </c>
      <c r="O240" s="24">
        <f t="shared" si="74"/>
        <v>-6.0040705563093488E-2</v>
      </c>
      <c r="P240" s="24">
        <f t="shared" si="75"/>
        <v>2.5931432569529456E-2</v>
      </c>
      <c r="Q240" s="25">
        <f t="shared" si="76"/>
        <v>-2.7683006553006595E-2</v>
      </c>
      <c r="S240" s="26">
        <f t="shared" si="80"/>
        <v>-2.8637967566239691E-2</v>
      </c>
      <c r="U240" s="5">
        <f t="shared" si="81"/>
        <v>329.02723092405614</v>
      </c>
      <c r="V240" s="6">
        <f t="shared" si="82"/>
        <v>346.36512895230203</v>
      </c>
      <c r="X240" s="20">
        <f t="shared" si="77"/>
        <v>0.94994329226879681</v>
      </c>
      <c r="Z240" s="22">
        <v>44379</v>
      </c>
      <c r="AA240" s="33">
        <v>64497.348100000003</v>
      </c>
      <c r="AB240" s="33">
        <v>35079.812400000003</v>
      </c>
      <c r="AC240" s="33">
        <v>14318.496300000001</v>
      </c>
      <c r="AD240" s="33">
        <v>24385.2575</v>
      </c>
      <c r="AE240" s="33">
        <v>126245.3005</v>
      </c>
      <c r="AF240" s="34">
        <v>23.460999999999999</v>
      </c>
      <c r="AH240" s="28">
        <f t="shared" si="83"/>
        <v>-4.5107470340890729E-2</v>
      </c>
      <c r="AJ240" s="5">
        <f t="shared" si="84"/>
        <v>306.93634174508503</v>
      </c>
      <c r="AK240" s="6">
        <f t="shared" si="85"/>
        <v>346.36512895230203</v>
      </c>
      <c r="AM240" s="1">
        <f t="shared" si="78"/>
        <v>44379</v>
      </c>
      <c r="AN240">
        <f t="shared" si="79"/>
        <v>0.88616409704267107</v>
      </c>
      <c r="AO240">
        <f t="shared" ca="1" si="65"/>
        <v>0.88580752530980533</v>
      </c>
      <c r="AP240">
        <f t="shared" ca="1" si="66"/>
        <v>0.90422713365195451</v>
      </c>
      <c r="AQ240">
        <f t="shared" ca="1" si="67"/>
        <v>0.93696754775482671</v>
      </c>
      <c r="AR240">
        <f t="shared" ca="1" si="68"/>
        <v>0.9649790717633645</v>
      </c>
      <c r="AS240">
        <f t="shared" ca="1" si="69"/>
        <v>0.99585871507073598</v>
      </c>
    </row>
    <row r="241" spans="2:45" x14ac:dyDescent="0.25">
      <c r="B241" s="22">
        <v>44386</v>
      </c>
      <c r="C241">
        <v>33.101999999999997</v>
      </c>
      <c r="D241">
        <v>36.6</v>
      </c>
      <c r="E241">
        <v>22.606000000000002</v>
      </c>
      <c r="F241">
        <v>41.97</v>
      </c>
      <c r="G241">
        <v>148.61600000000001</v>
      </c>
      <c r="H241">
        <v>23.553000000000001</v>
      </c>
      <c r="I241" s="6">
        <v>62371.57</v>
      </c>
      <c r="K241" s="23">
        <f t="shared" si="70"/>
        <v>-5.0484768515862699E-2</v>
      </c>
      <c r="L241" s="24">
        <f t="shared" si="71"/>
        <v>-5.4263565891472854E-2</v>
      </c>
      <c r="M241" s="24">
        <f t="shared" si="72"/>
        <v>-4.3496657358043422E-2</v>
      </c>
      <c r="N241" s="24">
        <f t="shared" si="73"/>
        <v>-2.5222965440356737E-2</v>
      </c>
      <c r="O241" s="24">
        <f t="shared" si="74"/>
        <v>-2.4861389062038608E-2</v>
      </c>
      <c r="P241" s="24">
        <f t="shared" si="75"/>
        <v>3.9214014747881443E-3</v>
      </c>
      <c r="Q241" s="25">
        <f t="shared" si="76"/>
        <v>-1.5139655744945135E-2</v>
      </c>
      <c r="S241" s="26">
        <f t="shared" si="80"/>
        <v>-3.2401324132164365E-2</v>
      </c>
      <c r="U241" s="5">
        <f t="shared" si="81"/>
        <v>318.36631296657731</v>
      </c>
      <c r="V241" s="6">
        <f t="shared" si="82"/>
        <v>341.12128013791067</v>
      </c>
      <c r="X241" s="20">
        <f t="shared" si="77"/>
        <v>0.93329361580100234</v>
      </c>
      <c r="Z241" s="22">
        <v>44386</v>
      </c>
      <c r="AA241" s="33">
        <v>61242.200299999997</v>
      </c>
      <c r="AB241" s="33">
        <v>33176.256699999998</v>
      </c>
      <c r="AC241" s="33">
        <v>13695.953</v>
      </c>
      <c r="AD241" s="33">
        <v>23770.133900000001</v>
      </c>
      <c r="AE241" s="33">
        <v>123107.0441</v>
      </c>
      <c r="AF241" s="34">
        <v>23.553000000000001</v>
      </c>
      <c r="AH241" s="28">
        <f t="shared" si="83"/>
        <v>-3.6046561535601443E-2</v>
      </c>
      <c r="AJ241" s="5">
        <f t="shared" si="84"/>
        <v>295.87234201485842</v>
      </c>
      <c r="AK241" s="6">
        <f t="shared" si="85"/>
        <v>341.12128013791067</v>
      </c>
      <c r="AM241" s="1">
        <f t="shared" si="78"/>
        <v>44386</v>
      </c>
      <c r="AN241">
        <f t="shared" si="79"/>
        <v>0.86735234429010499</v>
      </c>
      <c r="AO241">
        <f t="shared" ca="1" si="65"/>
        <v>0.88512048090035511</v>
      </c>
      <c r="AP241">
        <f t="shared" ca="1" si="66"/>
        <v>0.90368664113227315</v>
      </c>
      <c r="AQ241">
        <f t="shared" ca="1" si="67"/>
        <v>0.93513409851015117</v>
      </c>
      <c r="AR241">
        <f t="shared" ca="1" si="68"/>
        <v>0.9649790717633645</v>
      </c>
      <c r="AS241">
        <f t="shared" ca="1" si="69"/>
        <v>0.99585871507073598</v>
      </c>
    </row>
    <row r="242" spans="2:45" x14ac:dyDescent="0.25">
      <c r="B242" s="22">
        <v>44393</v>
      </c>
      <c r="C242">
        <v>33.307000000000002</v>
      </c>
      <c r="D242">
        <v>37.5</v>
      </c>
      <c r="E242">
        <v>24.221</v>
      </c>
      <c r="F242">
        <v>42.591000000000001</v>
      </c>
      <c r="G242">
        <v>150.10300000000001</v>
      </c>
      <c r="H242">
        <v>24.739000000000001</v>
      </c>
      <c r="I242" s="6">
        <v>63090.8</v>
      </c>
      <c r="K242" s="23">
        <f t="shared" si="70"/>
        <v>6.192979276176791E-3</v>
      </c>
      <c r="L242" s="24">
        <f t="shared" si="71"/>
        <v>2.4590163934426146E-2</v>
      </c>
      <c r="M242" s="24">
        <f t="shared" si="72"/>
        <v>7.1441210298150759E-2</v>
      </c>
      <c r="N242" s="24">
        <f t="shared" si="73"/>
        <v>1.479628305932823E-2</v>
      </c>
      <c r="O242" s="24">
        <f t="shared" si="74"/>
        <v>1.0005652150508748E-2</v>
      </c>
      <c r="P242" s="24">
        <f t="shared" si="75"/>
        <v>5.0354519594106861E-2</v>
      </c>
      <c r="Q242" s="25">
        <f t="shared" si="76"/>
        <v>1.1531375593078819E-2</v>
      </c>
      <c r="S242" s="26">
        <f t="shared" si="80"/>
        <v>2.9563468052116255E-2</v>
      </c>
      <c r="U242" s="5">
        <f t="shared" si="81"/>
        <v>327.77832528883476</v>
      </c>
      <c r="V242" s="6">
        <f t="shared" si="82"/>
        <v>345.0548777419728</v>
      </c>
      <c r="X242" s="20">
        <f t="shared" si="77"/>
        <v>0.94993100063910063</v>
      </c>
      <c r="Z242" s="22">
        <v>44393</v>
      </c>
      <c r="AA242" s="33">
        <v>61620.705800000003</v>
      </c>
      <c r="AB242" s="33">
        <v>33992.066200000001</v>
      </c>
      <c r="AC242" s="33">
        <v>14674.2353</v>
      </c>
      <c r="AD242" s="33">
        <v>24121.633099999999</v>
      </c>
      <c r="AE242" s="33">
        <v>124338.51179999999</v>
      </c>
      <c r="AF242" s="34">
        <v>24.739000000000001</v>
      </c>
      <c r="AH242" s="28">
        <f t="shared" si="83"/>
        <v>1.4737158751134839E-2</v>
      </c>
      <c r="AJ242" s="5">
        <f t="shared" si="84"/>
        <v>300.23265968920145</v>
      </c>
      <c r="AK242" s="6">
        <f t="shared" si="85"/>
        <v>345.0548777419728</v>
      </c>
      <c r="AM242" s="1">
        <f t="shared" si="78"/>
        <v>44393</v>
      </c>
      <c r="AN242">
        <f t="shared" si="79"/>
        <v>0.87010118985685292</v>
      </c>
      <c r="AO242">
        <f t="shared" ca="1" si="65"/>
        <v>0.88150792067839812</v>
      </c>
      <c r="AP242">
        <f t="shared" ca="1" si="66"/>
        <v>0.90119853704644748</v>
      </c>
      <c r="AQ242">
        <f t="shared" ca="1" si="67"/>
        <v>0.93332147432790791</v>
      </c>
      <c r="AR242">
        <f t="shared" ca="1" si="68"/>
        <v>0.96334009776565044</v>
      </c>
      <c r="AS242">
        <f t="shared" ca="1" si="69"/>
        <v>0.99401904206346425</v>
      </c>
    </row>
    <row r="243" spans="2:45" x14ac:dyDescent="0.25">
      <c r="B243" s="22">
        <v>44400</v>
      </c>
      <c r="C243">
        <v>33.347999999999999</v>
      </c>
      <c r="D243">
        <v>38.85</v>
      </c>
      <c r="E243">
        <v>25.248999999999999</v>
      </c>
      <c r="F243">
        <v>43.055999999999997</v>
      </c>
      <c r="G243">
        <v>152.453</v>
      </c>
      <c r="H243">
        <v>24.192</v>
      </c>
      <c r="I243" s="6">
        <v>64841.23</v>
      </c>
      <c r="K243" s="23">
        <f t="shared" si="70"/>
        <v>1.2309724682497691E-3</v>
      </c>
      <c r="L243" s="24">
        <f t="shared" si="71"/>
        <v>3.6000000000000032E-2</v>
      </c>
      <c r="M243" s="24">
        <f t="shared" si="72"/>
        <v>4.244250856694598E-2</v>
      </c>
      <c r="N243" s="24">
        <f t="shared" si="73"/>
        <v>1.0917799535113071E-2</v>
      </c>
      <c r="O243" s="24">
        <f t="shared" si="74"/>
        <v>1.5655916270827408E-2</v>
      </c>
      <c r="P243" s="24">
        <f t="shared" si="75"/>
        <v>-2.2110837139738937E-2</v>
      </c>
      <c r="Q243" s="25">
        <f t="shared" si="76"/>
        <v>2.7744615696741803E-2</v>
      </c>
      <c r="S243" s="26">
        <f t="shared" si="80"/>
        <v>1.4022726616899553E-2</v>
      </c>
      <c r="U243" s="5">
        <f t="shared" si="81"/>
        <v>332.37467113530528</v>
      </c>
      <c r="V243" s="6">
        <f t="shared" si="82"/>
        <v>354.62829271921004</v>
      </c>
      <c r="X243" s="20">
        <f t="shared" si="77"/>
        <v>0.93724803677318291</v>
      </c>
      <c r="Z243" s="22">
        <v>44400</v>
      </c>
      <c r="AA243" s="33">
        <v>61696.406900000002</v>
      </c>
      <c r="AB243" s="33">
        <v>35215.780599999998</v>
      </c>
      <c r="AC243" s="33">
        <v>15296.778700000001</v>
      </c>
      <c r="AD243" s="33">
        <v>24385.2575</v>
      </c>
      <c r="AE243" s="33">
        <v>126285.0252</v>
      </c>
      <c r="AF243" s="34">
        <v>24.192</v>
      </c>
      <c r="AH243" s="28">
        <f t="shared" si="83"/>
        <v>1.5967037990148543E-2</v>
      </c>
      <c r="AJ243" s="5">
        <f t="shared" si="84"/>
        <v>305.0264859723423</v>
      </c>
      <c r="AK243" s="6">
        <f t="shared" si="85"/>
        <v>354.62829271921004</v>
      </c>
      <c r="AM243" s="1">
        <f t="shared" si="78"/>
        <v>44400</v>
      </c>
      <c r="AN243">
        <f t="shared" si="79"/>
        <v>0.86013014819959155</v>
      </c>
      <c r="AO243">
        <f t="shared" ca="1" si="65"/>
        <v>0.87491023853299577</v>
      </c>
      <c r="AP243">
        <f t="shared" ca="1" si="66"/>
        <v>0.89774262799386417</v>
      </c>
      <c r="AQ243">
        <f t="shared" ca="1" si="67"/>
        <v>0.93138101635734971</v>
      </c>
      <c r="AR243">
        <f t="shared" ca="1" si="68"/>
        <v>0.96334009776565044</v>
      </c>
      <c r="AS243">
        <f t="shared" ca="1" si="69"/>
        <v>0.99401904206346425</v>
      </c>
    </row>
    <row r="244" spans="2:45" x14ac:dyDescent="0.25">
      <c r="B244" s="22">
        <v>44407</v>
      </c>
      <c r="C244">
        <v>36.539000000000001</v>
      </c>
      <c r="D244">
        <v>39</v>
      </c>
      <c r="E244">
        <v>23.817</v>
      </c>
      <c r="F244">
        <v>40.107999999999997</v>
      </c>
      <c r="G244">
        <v>152.54900000000001</v>
      </c>
      <c r="H244">
        <v>24.602</v>
      </c>
      <c r="I244" s="6">
        <v>66005.289999999994</v>
      </c>
      <c r="K244" s="23">
        <f t="shared" si="70"/>
        <v>9.5687897325176907E-2</v>
      </c>
      <c r="L244" s="24">
        <f t="shared" si="71"/>
        <v>3.8610038610038533E-3</v>
      </c>
      <c r="M244" s="24">
        <f t="shared" si="72"/>
        <v>-5.6715117430393258E-2</v>
      </c>
      <c r="N244" s="24">
        <f t="shared" si="73"/>
        <v>-6.8468970642883709E-2</v>
      </c>
      <c r="O244" s="24">
        <f t="shared" si="74"/>
        <v>6.297022688959153E-4</v>
      </c>
      <c r="P244" s="24">
        <f t="shared" si="75"/>
        <v>1.6947751322751392E-2</v>
      </c>
      <c r="Q244" s="25">
        <f t="shared" si="76"/>
        <v>1.795246635512604E-2</v>
      </c>
      <c r="S244" s="26">
        <f t="shared" si="80"/>
        <v>-1.3429555492414831E-3</v>
      </c>
      <c r="U244" s="5">
        <f t="shared" si="81"/>
        <v>331.92830672627679</v>
      </c>
      <c r="V244" s="6">
        <f t="shared" si="82"/>
        <v>360.99474521282747</v>
      </c>
      <c r="X244" s="20">
        <f t="shared" si="77"/>
        <v>0.91948237786836939</v>
      </c>
      <c r="Z244" s="22">
        <v>44407</v>
      </c>
      <c r="AA244" s="33">
        <v>67601.093699999998</v>
      </c>
      <c r="AB244" s="33">
        <v>35351.748899999999</v>
      </c>
      <c r="AC244" s="33">
        <v>14429.664699999999</v>
      </c>
      <c r="AD244" s="33">
        <v>22715.636299999998</v>
      </c>
      <c r="AE244" s="33">
        <v>126364.4748</v>
      </c>
      <c r="AF244" s="34">
        <v>24.602</v>
      </c>
      <c r="AH244" s="28">
        <f t="shared" si="83"/>
        <v>1.3625944141747143E-2</v>
      </c>
      <c r="AJ244" s="5">
        <f t="shared" si="84"/>
        <v>309.18275983195485</v>
      </c>
      <c r="AK244" s="6">
        <f t="shared" si="85"/>
        <v>360.99474521282747</v>
      </c>
      <c r="AM244" s="1">
        <f t="shared" si="78"/>
        <v>44407</v>
      </c>
      <c r="AN244">
        <f t="shared" si="79"/>
        <v>0.85647440560297783</v>
      </c>
      <c r="AO244">
        <f t="shared" ca="1" si="65"/>
        <v>0.87051310393874404</v>
      </c>
      <c r="AP244">
        <f t="shared" ca="1" si="66"/>
        <v>0.89722772840264675</v>
      </c>
      <c r="AQ244">
        <f t="shared" ca="1" si="67"/>
        <v>0.92532497556271842</v>
      </c>
      <c r="AR244">
        <f t="shared" ca="1" si="68"/>
        <v>0.96334009776565044</v>
      </c>
      <c r="AS244">
        <f t="shared" ca="1" si="69"/>
        <v>0.99401904206346425</v>
      </c>
    </row>
    <row r="245" spans="2:45" x14ac:dyDescent="0.25">
      <c r="B245" s="22">
        <v>44414</v>
      </c>
      <c r="C245">
        <v>35.148000000000003</v>
      </c>
      <c r="D245">
        <v>40.299999999999997</v>
      </c>
      <c r="E245">
        <v>24.001000000000001</v>
      </c>
      <c r="F245">
        <v>41.194000000000003</v>
      </c>
      <c r="G245">
        <v>164.82599999999999</v>
      </c>
      <c r="H245">
        <v>23.917999999999999</v>
      </c>
      <c r="I245" s="6">
        <v>65860.91</v>
      </c>
      <c r="K245" s="23">
        <f t="shared" si="70"/>
        <v>-3.8068912668655308E-2</v>
      </c>
      <c r="L245" s="24">
        <f t="shared" si="71"/>
        <v>3.3333333333333215E-2</v>
      </c>
      <c r="M245" s="24">
        <f t="shared" si="72"/>
        <v>7.7255741697106473E-3</v>
      </c>
      <c r="N245" s="24">
        <f t="shared" si="73"/>
        <v>2.7076892390545559E-2</v>
      </c>
      <c r="O245" s="24">
        <f t="shared" si="74"/>
        <v>8.0479059187539725E-2</v>
      </c>
      <c r="P245" s="24">
        <f t="shared" si="75"/>
        <v>-2.7802617673359897E-2</v>
      </c>
      <c r="Q245" s="25">
        <f t="shared" si="76"/>
        <v>-2.187400434116582E-3</v>
      </c>
      <c r="S245" s="26">
        <f t="shared" si="80"/>
        <v>1.3790554789852324E-2</v>
      </c>
      <c r="U245" s="5">
        <f t="shared" si="81"/>
        <v>336.50578222648841</v>
      </c>
      <c r="V245" s="6">
        <f t="shared" si="82"/>
        <v>360.20510515043514</v>
      </c>
      <c r="X245" s="20">
        <f t="shared" si="77"/>
        <v>0.93420603266006175</v>
      </c>
      <c r="Z245" s="22">
        <v>44414</v>
      </c>
      <c r="AA245" s="33">
        <v>65027.255899999996</v>
      </c>
      <c r="AB245" s="33">
        <v>36530.140500000001</v>
      </c>
      <c r="AC245" s="33">
        <v>14540.833199999999</v>
      </c>
      <c r="AD245" s="33">
        <v>23330.759900000001</v>
      </c>
      <c r="AE245" s="33">
        <v>136534.01439999999</v>
      </c>
      <c r="AF245" s="34">
        <v>23.917999999999999</v>
      </c>
      <c r="AH245" s="28">
        <f t="shared" si="83"/>
        <v>3.5650669531402633E-2</v>
      </c>
      <c r="AJ245" s="5">
        <f t="shared" si="84"/>
        <v>320.20533222753096</v>
      </c>
      <c r="AK245" s="6">
        <f t="shared" si="85"/>
        <v>360.20510515043514</v>
      </c>
      <c r="AM245" s="1">
        <f t="shared" si="78"/>
        <v>44414</v>
      </c>
      <c r="AN245">
        <f t="shared" si="79"/>
        <v>0.88895278731211003</v>
      </c>
      <c r="AO245">
        <f t="shared" ca="1" si="65"/>
        <v>0.86762722884677979</v>
      </c>
      <c r="AP245">
        <f t="shared" ca="1" si="66"/>
        <v>0.89549374780773294</v>
      </c>
      <c r="AQ245">
        <f t="shared" ca="1" si="67"/>
        <v>0.92532497556271842</v>
      </c>
      <c r="AR245">
        <f t="shared" ca="1" si="68"/>
        <v>0.96334009776565044</v>
      </c>
      <c r="AS245">
        <f t="shared" ca="1" si="69"/>
        <v>0.99401904206346425</v>
      </c>
    </row>
    <row r="246" spans="2:45" x14ac:dyDescent="0.25">
      <c r="B246" s="22">
        <v>44421</v>
      </c>
      <c r="C246">
        <v>37.399000000000001</v>
      </c>
      <c r="D246">
        <v>41.45</v>
      </c>
      <c r="E246">
        <v>24.771000000000001</v>
      </c>
      <c r="F246">
        <v>46.003999999999998</v>
      </c>
      <c r="G246">
        <v>164.49</v>
      </c>
      <c r="H246">
        <v>24.009</v>
      </c>
      <c r="I246" s="6">
        <v>69544.77</v>
      </c>
      <c r="K246" s="23">
        <f t="shared" si="70"/>
        <v>6.4043473312848542E-2</v>
      </c>
      <c r="L246" s="24">
        <f t="shared" si="71"/>
        <v>2.8535980148883588E-2</v>
      </c>
      <c r="M246" s="24">
        <f t="shared" si="72"/>
        <v>3.2081996583475769E-2</v>
      </c>
      <c r="N246" s="24">
        <f t="shared" si="73"/>
        <v>0.11676457736563561</v>
      </c>
      <c r="O246" s="24">
        <f t="shared" si="74"/>
        <v>-2.0385133413416412E-3</v>
      </c>
      <c r="P246" s="24">
        <f t="shared" si="75"/>
        <v>3.804665941968377E-3</v>
      </c>
      <c r="Q246" s="25">
        <f t="shared" si="76"/>
        <v>5.5933937141166234E-2</v>
      </c>
      <c r="S246" s="26">
        <f t="shared" si="80"/>
        <v>4.0532030001911711E-2</v>
      </c>
      <c r="U246" s="5">
        <f t="shared" si="81"/>
        <v>350.1450446875092</v>
      </c>
      <c r="V246" s="6">
        <f t="shared" si="82"/>
        <v>380.35279485984677</v>
      </c>
      <c r="X246" s="20">
        <f t="shared" si="77"/>
        <v>0.92057965504507833</v>
      </c>
      <c r="Z246" s="22">
        <v>44421</v>
      </c>
      <c r="AA246" s="33">
        <v>69190.8171</v>
      </c>
      <c r="AB246" s="33">
        <v>37572.563900000001</v>
      </c>
      <c r="AC246" s="33">
        <v>15007.740599999999</v>
      </c>
      <c r="AD246" s="33">
        <v>26054.874599999999</v>
      </c>
      <c r="AE246" s="33">
        <v>136255.94099999999</v>
      </c>
      <c r="AF246" s="34">
        <v>24.009</v>
      </c>
      <c r="AH246" s="28">
        <f t="shared" si="83"/>
        <v>2.9419743901524086E-2</v>
      </c>
      <c r="AJ246" s="5">
        <f t="shared" si="84"/>
        <v>329.62569109756731</v>
      </c>
      <c r="AK246" s="6">
        <f t="shared" si="85"/>
        <v>380.35279485984677</v>
      </c>
      <c r="AM246" s="1">
        <f t="shared" si="78"/>
        <v>44421</v>
      </c>
      <c r="AN246">
        <f t="shared" si="79"/>
        <v>0.86663144205113185</v>
      </c>
      <c r="AO246">
        <f t="shared" ca="1" si="65"/>
        <v>0.86762722884677979</v>
      </c>
      <c r="AP246">
        <f t="shared" ca="1" si="66"/>
        <v>0.89347665996905923</v>
      </c>
      <c r="AQ246">
        <f t="shared" ca="1" si="67"/>
        <v>0.91832893351486211</v>
      </c>
      <c r="AR246">
        <f t="shared" ca="1" si="68"/>
        <v>0.96334009776565044</v>
      </c>
      <c r="AS246">
        <f t="shared" ca="1" si="69"/>
        <v>0.99401904206346425</v>
      </c>
    </row>
    <row r="247" spans="2:45" x14ac:dyDescent="0.25">
      <c r="B247" s="22">
        <v>44428</v>
      </c>
      <c r="C247">
        <v>36.375999999999998</v>
      </c>
      <c r="D247">
        <v>40.549999999999997</v>
      </c>
      <c r="E247">
        <v>23.597000000000001</v>
      </c>
      <c r="F247">
        <v>46.78</v>
      </c>
      <c r="G247">
        <v>161.32499999999999</v>
      </c>
      <c r="H247">
        <v>24.192</v>
      </c>
      <c r="I247" s="6">
        <v>67822.2</v>
      </c>
      <c r="K247" s="23">
        <f t="shared" si="70"/>
        <v>-2.7353672558089848E-2</v>
      </c>
      <c r="L247" s="24">
        <f t="shared" si="71"/>
        <v>-2.1712907117008573E-2</v>
      </c>
      <c r="M247" s="24">
        <f t="shared" si="72"/>
        <v>-4.7394130232933596E-2</v>
      </c>
      <c r="N247" s="24">
        <f t="shared" si="73"/>
        <v>1.6868098426223943E-2</v>
      </c>
      <c r="O247" s="24">
        <f t="shared" si="74"/>
        <v>-1.9241291263906724E-2</v>
      </c>
      <c r="P247" s="24">
        <f t="shared" si="75"/>
        <v>7.6221416968635936E-3</v>
      </c>
      <c r="Q247" s="25">
        <f t="shared" si="76"/>
        <v>-2.4769224199030493E-2</v>
      </c>
      <c r="S247" s="26">
        <f t="shared" si="80"/>
        <v>-1.5201960174808534E-2</v>
      </c>
      <c r="U247" s="5">
        <f t="shared" si="81"/>
        <v>344.82215366276313</v>
      </c>
      <c r="V247" s="6">
        <f t="shared" si="82"/>
        <v>370.93175120923536</v>
      </c>
      <c r="X247" s="20">
        <f t="shared" si="77"/>
        <v>0.92961077755852639</v>
      </c>
      <c r="Z247" s="22">
        <v>44428</v>
      </c>
      <c r="AA247" s="33">
        <v>67298.289300000004</v>
      </c>
      <c r="AB247" s="33">
        <v>36756.754300000001</v>
      </c>
      <c r="AC247" s="33">
        <v>14296.262500000001</v>
      </c>
      <c r="AD247" s="33">
        <v>26494.248500000002</v>
      </c>
      <c r="AE247" s="33">
        <v>133634.1066</v>
      </c>
      <c r="AF247" s="34">
        <v>24.192</v>
      </c>
      <c r="AH247" s="28">
        <f t="shared" si="83"/>
        <v>-1.9717195259358167E-2</v>
      </c>
      <c r="AJ247" s="5">
        <f t="shared" si="84"/>
        <v>323.12639698369566</v>
      </c>
      <c r="AK247" s="6">
        <f t="shared" si="85"/>
        <v>370.93175120923536</v>
      </c>
      <c r="AM247" s="1">
        <f t="shared" si="78"/>
        <v>44428</v>
      </c>
      <c r="AN247">
        <f t="shared" si="79"/>
        <v>0.8711208893018878</v>
      </c>
      <c r="AO247">
        <f t="shared" ca="1" si="65"/>
        <v>0.86670353227502916</v>
      </c>
      <c r="AP247">
        <f t="shared" ca="1" si="66"/>
        <v>0.89201410268090742</v>
      </c>
      <c r="AQ247">
        <f t="shared" ca="1" si="67"/>
        <v>0.9160670642071248</v>
      </c>
      <c r="AR247">
        <f t="shared" ca="1" si="68"/>
        <v>0.96334009776565044</v>
      </c>
      <c r="AS247">
        <f t="shared" ca="1" si="69"/>
        <v>0.99401904206346425</v>
      </c>
    </row>
    <row r="248" spans="2:45" x14ac:dyDescent="0.25">
      <c r="B248" s="22">
        <v>44435</v>
      </c>
      <c r="C248">
        <v>39.198999999999998</v>
      </c>
      <c r="D248">
        <v>54.45</v>
      </c>
      <c r="E248">
        <v>28.954999999999998</v>
      </c>
      <c r="F248">
        <v>55.158000000000001</v>
      </c>
      <c r="G248">
        <v>176.43100000000001</v>
      </c>
      <c r="H248">
        <v>27.113</v>
      </c>
      <c r="I248" s="6">
        <v>73203.63</v>
      </c>
      <c r="K248" s="23">
        <f t="shared" si="70"/>
        <v>7.7606113921266706E-2</v>
      </c>
      <c r="L248" s="24">
        <f t="shared" si="71"/>
        <v>0.34278668310727523</v>
      </c>
      <c r="M248" s="24">
        <f t="shared" si="72"/>
        <v>0.22706276221553567</v>
      </c>
      <c r="N248" s="24">
        <f t="shared" si="73"/>
        <v>0.17909362975630616</v>
      </c>
      <c r="O248" s="24">
        <f t="shared" si="74"/>
        <v>9.3637068030373527E-2</v>
      </c>
      <c r="P248" s="24">
        <f t="shared" si="75"/>
        <v>0.12074239417989419</v>
      </c>
      <c r="Q248" s="25">
        <f t="shared" si="76"/>
        <v>7.9346143298212102E-2</v>
      </c>
      <c r="S248" s="26">
        <f t="shared" si="80"/>
        <v>0.17348810853510857</v>
      </c>
      <c r="U248" s="5">
        <f t="shared" si="81"/>
        <v>404.64469688271845</v>
      </c>
      <c r="V248" s="6">
        <f t="shared" si="82"/>
        <v>400.36375509454012</v>
      </c>
      <c r="X248" s="20">
        <f t="shared" si="77"/>
        <v>1.0106926307231967</v>
      </c>
      <c r="Z248" s="22">
        <v>44435</v>
      </c>
      <c r="AA248" s="33">
        <v>72521.666100000002</v>
      </c>
      <c r="AB248" s="33">
        <v>49356.480199999998</v>
      </c>
      <c r="AC248" s="33">
        <v>17542.3812</v>
      </c>
      <c r="AD248" s="33">
        <v>31239.487099999998</v>
      </c>
      <c r="AE248" s="33">
        <v>146147.40729999999</v>
      </c>
      <c r="AF248" s="34">
        <v>27.113</v>
      </c>
      <c r="AH248" s="28">
        <f t="shared" si="83"/>
        <v>0.13762686249767689</v>
      </c>
      <c r="AJ248" s="5">
        <f t="shared" si="84"/>
        <v>367.59726919074046</v>
      </c>
      <c r="AK248" s="6">
        <f t="shared" si="85"/>
        <v>400.36375509454012</v>
      </c>
      <c r="AM248" s="1">
        <f t="shared" si="78"/>
        <v>44435</v>
      </c>
      <c r="AN248">
        <f t="shared" si="79"/>
        <v>0.91815821115959317</v>
      </c>
      <c r="AO248">
        <f t="shared" ca="1" si="65"/>
        <v>0.86670353227502916</v>
      </c>
      <c r="AP248">
        <f t="shared" ca="1" si="66"/>
        <v>0.88825561474475023</v>
      </c>
      <c r="AQ248">
        <f t="shared" ca="1" si="67"/>
        <v>0.91528757736073407</v>
      </c>
      <c r="AR248">
        <f t="shared" ca="1" si="68"/>
        <v>0.96334009776565044</v>
      </c>
      <c r="AS248">
        <f t="shared" ca="1" si="69"/>
        <v>0.99401904206346425</v>
      </c>
    </row>
    <row r="249" spans="2:45" x14ac:dyDescent="0.25">
      <c r="B249" s="22">
        <v>44442</v>
      </c>
      <c r="C249">
        <v>38.707999999999998</v>
      </c>
      <c r="D249">
        <v>64.2</v>
      </c>
      <c r="E249">
        <v>30.018999999999998</v>
      </c>
      <c r="F249">
        <v>54.537999999999997</v>
      </c>
      <c r="G249">
        <v>174.03299999999999</v>
      </c>
      <c r="H249">
        <v>30.125</v>
      </c>
      <c r="I249" s="6">
        <v>74734.95</v>
      </c>
      <c r="K249" s="23">
        <f t="shared" si="70"/>
        <v>-1.2525829740554606E-2</v>
      </c>
      <c r="L249" s="24">
        <f t="shared" si="71"/>
        <v>0.17906336088154262</v>
      </c>
      <c r="M249" s="24">
        <f t="shared" si="72"/>
        <v>3.6746675876359935E-2</v>
      </c>
      <c r="N249" s="24">
        <f t="shared" si="73"/>
        <v>-1.1240436564052492E-2</v>
      </c>
      <c r="O249" s="24">
        <f t="shared" si="74"/>
        <v>-1.3591715741564814E-2</v>
      </c>
      <c r="P249" s="24">
        <f t="shared" si="75"/>
        <v>0.11109062073544052</v>
      </c>
      <c r="Q249" s="25">
        <f t="shared" si="76"/>
        <v>2.0918634772619793E-2</v>
      </c>
      <c r="S249" s="26">
        <f t="shared" si="80"/>
        <v>4.8257112574528527E-2</v>
      </c>
      <c r="U249" s="5">
        <f t="shared" si="81"/>
        <v>424.17168157287381</v>
      </c>
      <c r="V249" s="6">
        <f t="shared" si="82"/>
        <v>408.73881826355739</v>
      </c>
      <c r="X249" s="20">
        <f t="shared" si="77"/>
        <v>1.0377572733974223</v>
      </c>
      <c r="Z249" s="22">
        <v>44442</v>
      </c>
      <c r="AA249" s="33">
        <v>71613.252699999997</v>
      </c>
      <c r="AB249" s="33">
        <v>58194.417399999998</v>
      </c>
      <c r="AC249" s="33">
        <v>18187.158200000002</v>
      </c>
      <c r="AD249" s="33">
        <v>30887.9879</v>
      </c>
      <c r="AE249" s="33">
        <v>144161.1691</v>
      </c>
      <c r="AF249" s="34">
        <v>30.125</v>
      </c>
      <c r="AH249" s="28">
        <f t="shared" si="83"/>
        <v>1.9693686145739443E-2</v>
      </c>
      <c r="AJ249" s="5">
        <f t="shared" si="84"/>
        <v>374.83661443821381</v>
      </c>
      <c r="AK249" s="6">
        <f t="shared" si="85"/>
        <v>408.73881826355739</v>
      </c>
      <c r="AM249" s="1">
        <f t="shared" si="78"/>
        <v>44442</v>
      </c>
      <c r="AN249">
        <f t="shared" si="79"/>
        <v>0.91705655956688892</v>
      </c>
      <c r="AO249">
        <f t="shared" ca="1" si="65"/>
        <v>0.86670353227502916</v>
      </c>
      <c r="AP249">
        <f t="shared" ca="1" si="66"/>
        <v>0.88825561474475023</v>
      </c>
      <c r="AQ249">
        <f t="shared" ca="1" si="67"/>
        <v>0.9160670642071248</v>
      </c>
      <c r="AR249">
        <f t="shared" ca="1" si="68"/>
        <v>0.96334009776565044</v>
      </c>
      <c r="AS249">
        <f t="shared" ca="1" si="69"/>
        <v>0.99401904206346425</v>
      </c>
    </row>
    <row r="250" spans="2:45" x14ac:dyDescent="0.25">
      <c r="B250" s="22">
        <v>44449</v>
      </c>
      <c r="C250">
        <v>40.017000000000003</v>
      </c>
      <c r="D250">
        <v>59.1</v>
      </c>
      <c r="E250">
        <v>29.762</v>
      </c>
      <c r="F250">
        <v>57.02</v>
      </c>
      <c r="G250">
        <v>175.28</v>
      </c>
      <c r="H250">
        <v>29.896999999999998</v>
      </c>
      <c r="I250" s="6">
        <v>75895.02</v>
      </c>
      <c r="K250" s="23">
        <f t="shared" si="70"/>
        <v>3.381729874961259E-2</v>
      </c>
      <c r="L250" s="24">
        <f t="shared" si="71"/>
        <v>-7.9439252336448662E-2</v>
      </c>
      <c r="M250" s="24">
        <f t="shared" si="72"/>
        <v>-8.5612445451213048E-3</v>
      </c>
      <c r="N250" s="24">
        <f t="shared" si="73"/>
        <v>4.5509552972239575E-2</v>
      </c>
      <c r="O250" s="24">
        <f t="shared" si="74"/>
        <v>7.1653077289939304E-3</v>
      </c>
      <c r="P250" s="24">
        <f t="shared" si="75"/>
        <v>-7.5684647302904917E-3</v>
      </c>
      <c r="Q250" s="25">
        <f t="shared" si="76"/>
        <v>1.552245636077898E-2</v>
      </c>
      <c r="S250" s="26">
        <f t="shared" si="80"/>
        <v>-1.5128003601690605E-3</v>
      </c>
      <c r="U250" s="5">
        <f t="shared" si="81"/>
        <v>423.52999450021684</v>
      </c>
      <c r="V250" s="6">
        <f t="shared" si="82"/>
        <v>415.08344873300985</v>
      </c>
      <c r="X250" s="20">
        <f t="shared" si="77"/>
        <v>1.0203490305214264</v>
      </c>
      <c r="Z250" s="22">
        <v>44449</v>
      </c>
      <c r="AA250" s="33">
        <v>74035.688299999994</v>
      </c>
      <c r="AB250" s="33">
        <v>53571.496400000004</v>
      </c>
      <c r="AC250" s="33">
        <v>18031.522400000002</v>
      </c>
      <c r="AD250" s="33">
        <v>32293.984499999999</v>
      </c>
      <c r="AE250" s="33">
        <v>145194.01300000001</v>
      </c>
      <c r="AF250" s="34">
        <v>29.896999999999998</v>
      </c>
      <c r="AH250" s="28">
        <f t="shared" si="83"/>
        <v>2.5248294975850849E-4</v>
      </c>
      <c r="AJ250" s="5">
        <f t="shared" si="84"/>
        <v>374.93125429230469</v>
      </c>
      <c r="AK250" s="6">
        <f t="shared" si="85"/>
        <v>415.08344873300985</v>
      </c>
      <c r="AM250" s="1">
        <f t="shared" si="78"/>
        <v>44449</v>
      </c>
      <c r="AN250">
        <f t="shared" si="79"/>
        <v>0.90326717539987511</v>
      </c>
      <c r="AO250">
        <f t="shared" ca="1" si="65"/>
        <v>0.86670353227502916</v>
      </c>
      <c r="AP250">
        <f t="shared" ca="1" si="66"/>
        <v>0.88825561474475023</v>
      </c>
      <c r="AQ250">
        <f t="shared" ca="1" si="67"/>
        <v>0.91659611783782469</v>
      </c>
      <c r="AR250">
        <f t="shared" ca="1" si="68"/>
        <v>0.96334009776565044</v>
      </c>
      <c r="AS250">
        <f t="shared" ca="1" si="69"/>
        <v>0.99401904206346425</v>
      </c>
    </row>
    <row r="251" spans="2:45" x14ac:dyDescent="0.25">
      <c r="B251" s="22">
        <v>44456</v>
      </c>
      <c r="C251">
        <v>50.491999999999997</v>
      </c>
      <c r="D251">
        <v>62.75</v>
      </c>
      <c r="E251">
        <v>38.24</v>
      </c>
      <c r="F251">
        <v>68.89</v>
      </c>
      <c r="G251">
        <v>184.24799999999999</v>
      </c>
      <c r="H251">
        <v>32.682000000000002</v>
      </c>
      <c r="I251" s="6">
        <v>78512.09</v>
      </c>
      <c r="K251" s="23">
        <f t="shared" si="70"/>
        <v>0.26176375040607724</v>
      </c>
      <c r="L251" s="24">
        <f t="shared" si="71"/>
        <v>6.1759729272419683E-2</v>
      </c>
      <c r="M251" s="24">
        <f t="shared" si="72"/>
        <v>0.28485988844835708</v>
      </c>
      <c r="N251" s="24">
        <f t="shared" si="73"/>
        <v>0.20817257102770959</v>
      </c>
      <c r="O251" s="24">
        <f t="shared" si="74"/>
        <v>5.1163852122318554E-2</v>
      </c>
      <c r="P251" s="24">
        <f t="shared" si="75"/>
        <v>9.3153159179850897E-2</v>
      </c>
      <c r="Q251" s="25">
        <f t="shared" si="76"/>
        <v>3.4482763164170649E-2</v>
      </c>
      <c r="S251" s="26">
        <f t="shared" si="80"/>
        <v>0.16014549174278883</v>
      </c>
      <c r="U251" s="5">
        <f t="shared" si="81"/>
        <v>491.35641373727475</v>
      </c>
      <c r="V251" s="6">
        <f t="shared" si="82"/>
        <v>429.39667298903737</v>
      </c>
      <c r="X251" s="20">
        <f t="shared" si="77"/>
        <v>1.1442948784789937</v>
      </c>
      <c r="Z251" s="22">
        <v>44456</v>
      </c>
      <c r="AA251" s="33">
        <v>92869.014200000005</v>
      </c>
      <c r="AB251" s="33">
        <v>54910.907899999998</v>
      </c>
      <c r="AC251" s="33">
        <v>23167.504700000001</v>
      </c>
      <c r="AD251" s="33">
        <v>39016.4058</v>
      </c>
      <c r="AE251" s="33">
        <v>144605.39920000001</v>
      </c>
      <c r="AF251" s="34">
        <v>32.682000000000002</v>
      </c>
      <c r="AH251" s="28">
        <f t="shared" si="83"/>
        <v>0.12990317880411759</v>
      </c>
      <c r="AJ251" s="5">
        <f t="shared" si="84"/>
        <v>423.63601605789</v>
      </c>
      <c r="AK251" s="6">
        <f t="shared" si="85"/>
        <v>429.39667298903737</v>
      </c>
      <c r="AM251" s="1">
        <f t="shared" si="78"/>
        <v>44456</v>
      </c>
      <c r="AN251">
        <f t="shared" si="79"/>
        <v>0.98658430003416797</v>
      </c>
      <c r="AO251">
        <f t="shared" ref="AO251:AO314" ca="1" si="86">+_xlfn.PERCENTILE.INC(OFFSET(AN251,-52,0,52,1),0.1)</f>
        <v>0.86670353227502916</v>
      </c>
      <c r="AP251">
        <f t="shared" ref="AP251:AP314" ca="1" si="87">+_xlfn.PERCENTILE.INC(OFFSET(AN251,-52,0,52,1),0.25)</f>
        <v>0.89201410268090742</v>
      </c>
      <c r="AQ251">
        <f t="shared" ref="AQ251:AQ314" ca="1" si="88">+_xlfn.PERCENTILE.INC(OFFSET(AN251,-52,0,52,1),0.5)</f>
        <v>0.91659611783782469</v>
      </c>
      <c r="AR251">
        <f t="shared" ref="AR251:AR314" ca="1" si="89">+_xlfn.PERCENTILE.INC(OFFSET(AN251,-52,0,52,1),0.75)</f>
        <v>0.96334009776565044</v>
      </c>
      <c r="AS251">
        <f t="shared" ref="AS251:AS314" ca="1" si="90">+_xlfn.PERCENTILE.INC(OFFSET(AN251,-52,0,52,1),0.9)</f>
        <v>0.99401904206346425</v>
      </c>
    </row>
    <row r="252" spans="2:45" x14ac:dyDescent="0.25">
      <c r="B252" s="22">
        <v>44463</v>
      </c>
      <c r="C252">
        <v>48.487000000000002</v>
      </c>
      <c r="D252">
        <v>60.05</v>
      </c>
      <c r="E252">
        <v>35.524000000000001</v>
      </c>
      <c r="F252">
        <v>63.459000000000003</v>
      </c>
      <c r="G252">
        <v>174.60900000000001</v>
      </c>
      <c r="H252">
        <v>32.408000000000001</v>
      </c>
      <c r="I252" s="6">
        <v>74180.2</v>
      </c>
      <c r="K252" s="23">
        <f t="shared" si="70"/>
        <v>-3.9709260873009522E-2</v>
      </c>
      <c r="L252" s="24">
        <f t="shared" si="71"/>
        <v>-4.302788844621519E-2</v>
      </c>
      <c r="M252" s="24">
        <f t="shared" si="72"/>
        <v>-7.1025104602510436E-2</v>
      </c>
      <c r="N252" s="24">
        <f t="shared" si="73"/>
        <v>-7.8835825228625311E-2</v>
      </c>
      <c r="O252" s="24">
        <f t="shared" si="74"/>
        <v>-5.2315357561547371E-2</v>
      </c>
      <c r="P252" s="24">
        <f t="shared" si="75"/>
        <v>-8.3838198396670727E-3</v>
      </c>
      <c r="Q252" s="25">
        <f t="shared" si="76"/>
        <v>-5.5174814477617407E-2</v>
      </c>
      <c r="S252" s="26">
        <f t="shared" si="80"/>
        <v>-4.8882876091929151E-2</v>
      </c>
      <c r="U252" s="5">
        <f t="shared" si="81"/>
        <v>467.33749904758088</v>
      </c>
      <c r="V252" s="6">
        <f t="shared" si="82"/>
        <v>405.70479121956106</v>
      </c>
      <c r="X252" s="20">
        <f t="shared" si="77"/>
        <v>1.1519151589084025</v>
      </c>
      <c r="Z252" s="22">
        <v>44463</v>
      </c>
      <c r="AA252" s="33">
        <v>89181.346699999995</v>
      </c>
      <c r="AB252" s="33">
        <v>52548.207499999997</v>
      </c>
      <c r="AC252" s="33">
        <v>21522.2117</v>
      </c>
      <c r="AD252" s="33">
        <v>35940.788200000003</v>
      </c>
      <c r="AE252" s="33">
        <v>137040.15059999999</v>
      </c>
      <c r="AF252" s="34">
        <v>32.408000000000001</v>
      </c>
      <c r="AH252" s="28">
        <f t="shared" si="83"/>
        <v>-5.1712023471209748E-2</v>
      </c>
      <c r="AJ252" s="5">
        <f t="shared" si="84"/>
        <v>401.72894045225462</v>
      </c>
      <c r="AK252" s="6">
        <f t="shared" si="85"/>
        <v>405.70479121956106</v>
      </c>
      <c r="AM252" s="1">
        <f t="shared" si="78"/>
        <v>44463</v>
      </c>
      <c r="AN252">
        <f t="shared" si="79"/>
        <v>0.99020013849145105</v>
      </c>
      <c r="AO252">
        <f t="shared" ca="1" si="86"/>
        <v>0.86670353227502916</v>
      </c>
      <c r="AP252">
        <f t="shared" ca="1" si="87"/>
        <v>0.89201410268090742</v>
      </c>
      <c r="AQ252">
        <f t="shared" ca="1" si="88"/>
        <v>0.91760738536324105</v>
      </c>
      <c r="AR252">
        <f t="shared" ca="1" si="89"/>
        <v>0.9649790717633645</v>
      </c>
      <c r="AS252">
        <f t="shared" ca="1" si="90"/>
        <v>0.99401904206346425</v>
      </c>
    </row>
    <row r="253" spans="2:45" x14ac:dyDescent="0.25">
      <c r="B253" s="22">
        <v>44470</v>
      </c>
      <c r="C253">
        <v>49.838000000000001</v>
      </c>
      <c r="D253">
        <v>63.6</v>
      </c>
      <c r="E253">
        <v>37.139000000000003</v>
      </c>
      <c r="F253">
        <v>68.811999999999998</v>
      </c>
      <c r="G253">
        <v>188.56399999999999</v>
      </c>
      <c r="H253">
        <v>34.188000000000002</v>
      </c>
      <c r="I253" s="6">
        <v>77626.16</v>
      </c>
      <c r="K253" s="23">
        <f t="shared" si="70"/>
        <v>2.7863138573225754E-2</v>
      </c>
      <c r="L253" s="24">
        <f t="shared" si="71"/>
        <v>5.9117402164862609E-2</v>
      </c>
      <c r="M253" s="24">
        <f t="shared" si="72"/>
        <v>4.5462222722666423E-2</v>
      </c>
      <c r="N253" s="24">
        <f t="shared" si="73"/>
        <v>8.4353677177390063E-2</v>
      </c>
      <c r="O253" s="24">
        <f t="shared" si="74"/>
        <v>7.9921424439748145E-2</v>
      </c>
      <c r="P253" s="24">
        <f t="shared" si="75"/>
        <v>5.4924709948160899E-2</v>
      </c>
      <c r="Q253" s="25">
        <f t="shared" si="76"/>
        <v>4.6453905489605152E-2</v>
      </c>
      <c r="S253" s="26">
        <f t="shared" si="80"/>
        <v>5.8607095837675649E-2</v>
      </c>
      <c r="U253" s="5">
        <f t="shared" si="81"/>
        <v>494.72679264280208</v>
      </c>
      <c r="V253" s="6">
        <f t="shared" si="82"/>
        <v>424.55136324755455</v>
      </c>
      <c r="X253" s="20">
        <f t="shared" si="77"/>
        <v>1.1652931434690235</v>
      </c>
      <c r="Z253" s="22">
        <v>44470</v>
      </c>
      <c r="AA253" s="33">
        <v>91664.877800000002</v>
      </c>
      <c r="AB253" s="33">
        <v>55654.720999999998</v>
      </c>
      <c r="AC253" s="33">
        <v>22500.493999999999</v>
      </c>
      <c r="AD253" s="33">
        <v>38972.468399999998</v>
      </c>
      <c r="AE253" s="33">
        <v>147992.82399999999</v>
      </c>
      <c r="AF253" s="34">
        <v>34.188000000000002</v>
      </c>
      <c r="AH253" s="28">
        <f t="shared" si="83"/>
        <v>6.1129728387586811E-2</v>
      </c>
      <c r="AJ253" s="5">
        <f t="shared" si="84"/>
        <v>426.28652146753404</v>
      </c>
      <c r="AK253" s="6">
        <f t="shared" si="85"/>
        <v>424.55136324755455</v>
      </c>
      <c r="AM253" s="1">
        <f t="shared" si="78"/>
        <v>44470</v>
      </c>
      <c r="AN253">
        <f t="shared" si="79"/>
        <v>1.0040870395673838</v>
      </c>
      <c r="AO253">
        <f t="shared" ca="1" si="86"/>
        <v>0.86670353227502916</v>
      </c>
      <c r="AP253">
        <f t="shared" ca="1" si="87"/>
        <v>0.89201410268090742</v>
      </c>
      <c r="AQ253">
        <f t="shared" ca="1" si="88"/>
        <v>0.91760738536324105</v>
      </c>
      <c r="AR253">
        <f t="shared" ca="1" si="89"/>
        <v>0.96841257316630514</v>
      </c>
      <c r="AS253">
        <f t="shared" ca="1" si="90"/>
        <v>0.99401904206346425</v>
      </c>
    </row>
    <row r="254" spans="2:45" x14ac:dyDescent="0.25">
      <c r="B254" s="22">
        <v>44477</v>
      </c>
      <c r="C254">
        <v>51.555999999999997</v>
      </c>
      <c r="D254">
        <v>64</v>
      </c>
      <c r="E254">
        <v>38.46</v>
      </c>
      <c r="F254">
        <v>69.975999999999999</v>
      </c>
      <c r="G254">
        <v>194.654</v>
      </c>
      <c r="H254">
        <v>32.726999999999997</v>
      </c>
      <c r="I254" s="6">
        <v>77553.31</v>
      </c>
      <c r="K254" s="23">
        <f t="shared" si="70"/>
        <v>3.4471688269994694E-2</v>
      </c>
      <c r="L254" s="24">
        <f t="shared" si="71"/>
        <v>6.2893081761006275E-3</v>
      </c>
      <c r="M254" s="24">
        <f t="shared" si="72"/>
        <v>3.5569078327364778E-2</v>
      </c>
      <c r="N254" s="24">
        <f t="shared" si="73"/>
        <v>1.6915654246352441E-2</v>
      </c>
      <c r="O254" s="24">
        <f t="shared" si="74"/>
        <v>3.2296726840754353E-2</v>
      </c>
      <c r="P254" s="24">
        <f t="shared" si="75"/>
        <v>-4.2734292734292856E-2</v>
      </c>
      <c r="Q254" s="25">
        <f t="shared" si="76"/>
        <v>-9.3847228820809203E-4</v>
      </c>
      <c r="S254" s="26">
        <f t="shared" si="80"/>
        <v>1.3801360521045672E-2</v>
      </c>
      <c r="U254" s="5">
        <f t="shared" si="81"/>
        <v>501.554695467486</v>
      </c>
      <c r="V254" s="6">
        <f t="shared" si="82"/>
        <v>424.15293355822575</v>
      </c>
      <c r="X254" s="20">
        <f t="shared" si="77"/>
        <v>1.1824855041315772</v>
      </c>
      <c r="Z254" s="22">
        <v>44477</v>
      </c>
      <c r="AA254" s="33">
        <v>94825.735700000005</v>
      </c>
      <c r="AB254" s="33">
        <v>56004.750699999997</v>
      </c>
      <c r="AC254" s="33">
        <v>23300.906900000002</v>
      </c>
      <c r="AD254" s="33">
        <v>39631.529300000002</v>
      </c>
      <c r="AE254" s="33">
        <v>152772.8567</v>
      </c>
      <c r="AF254" s="34">
        <v>32.726999999999997</v>
      </c>
      <c r="AH254" s="28">
        <f t="shared" si="83"/>
        <v>2.7318182526888887E-2</v>
      </c>
      <c r="AJ254" s="5">
        <f t="shared" si="84"/>
        <v>437.93189446973668</v>
      </c>
      <c r="AK254" s="6">
        <f t="shared" si="85"/>
        <v>424.15293355822575</v>
      </c>
      <c r="AM254" s="1">
        <f t="shared" si="78"/>
        <v>44477</v>
      </c>
      <c r="AN254">
        <f t="shared" si="79"/>
        <v>1.0324858319284014</v>
      </c>
      <c r="AO254">
        <f t="shared" ca="1" si="86"/>
        <v>0.86670353227502916</v>
      </c>
      <c r="AP254">
        <f t="shared" ca="1" si="87"/>
        <v>0.89201410268090742</v>
      </c>
      <c r="AQ254">
        <f t="shared" ca="1" si="88"/>
        <v>0.91760738536324105</v>
      </c>
      <c r="AR254">
        <f t="shared" ca="1" si="89"/>
        <v>0.97508653702361214</v>
      </c>
      <c r="AS254">
        <f t="shared" ca="1" si="90"/>
        <v>1.0031088277554661</v>
      </c>
    </row>
    <row r="255" spans="2:45" x14ac:dyDescent="0.25">
      <c r="B255" s="22">
        <v>44484</v>
      </c>
      <c r="C255">
        <v>59.78</v>
      </c>
      <c r="D255">
        <v>65.45</v>
      </c>
      <c r="E255">
        <v>41.029000000000003</v>
      </c>
      <c r="F255">
        <v>73.543999999999997</v>
      </c>
      <c r="G255">
        <v>206.78700000000001</v>
      </c>
      <c r="H255">
        <v>32.863999999999997</v>
      </c>
      <c r="I255" s="6">
        <v>81990.22</v>
      </c>
      <c r="K255" s="23">
        <f t="shared" si="70"/>
        <v>0.15951586624253244</v>
      </c>
      <c r="L255" s="24">
        <f t="shared" si="71"/>
        <v>2.2656250000000044E-2</v>
      </c>
      <c r="M255" s="24">
        <f t="shared" si="72"/>
        <v>6.6796671866874657E-2</v>
      </c>
      <c r="N255" s="24">
        <f t="shared" si="73"/>
        <v>5.098891048359433E-2</v>
      </c>
      <c r="O255" s="24">
        <f t="shared" si="74"/>
        <v>6.2331110585962746E-2</v>
      </c>
      <c r="P255" s="24">
        <f t="shared" si="75"/>
        <v>4.1861459956611391E-3</v>
      </c>
      <c r="Q255" s="25">
        <f t="shared" si="76"/>
        <v>5.7211097759721774E-2</v>
      </c>
      <c r="S255" s="26">
        <f t="shared" si="80"/>
        <v>6.1079159195770893E-2</v>
      </c>
      <c r="U255" s="5">
        <f t="shared" si="81"/>
        <v>532.18923455733102</v>
      </c>
      <c r="V255" s="6">
        <f t="shared" si="82"/>
        <v>448.41918850509819</v>
      </c>
      <c r="X255" s="20">
        <f t="shared" si="77"/>
        <v>1.1868119121563427</v>
      </c>
      <c r="Z255" s="22">
        <v>44484</v>
      </c>
      <c r="AA255" s="33">
        <v>109952.6983</v>
      </c>
      <c r="AB255" s="33">
        <v>57273.6083</v>
      </c>
      <c r="AC255" s="33">
        <v>24857.265100000001</v>
      </c>
      <c r="AD255" s="33">
        <v>41652.649400000002</v>
      </c>
      <c r="AE255" s="33">
        <v>162295.28409999999</v>
      </c>
      <c r="AF255" s="34">
        <v>32.863999999999997</v>
      </c>
      <c r="AH255" s="28">
        <f t="shared" si="83"/>
        <v>8.046216970665189E-2</v>
      </c>
      <c r="AJ255" s="5">
        <f t="shared" si="84"/>
        <v>473.16884488251617</v>
      </c>
      <c r="AK255" s="6">
        <f t="shared" si="85"/>
        <v>448.41918850509819</v>
      </c>
      <c r="AM255" s="1">
        <f t="shared" si="78"/>
        <v>44484</v>
      </c>
      <c r="AN255">
        <f t="shared" si="79"/>
        <v>1.0551931251201054</v>
      </c>
      <c r="AO255">
        <f t="shared" ca="1" si="86"/>
        <v>0.86670353227502916</v>
      </c>
      <c r="AP255">
        <f t="shared" ca="1" si="87"/>
        <v>0.89201410268090742</v>
      </c>
      <c r="AQ255">
        <f t="shared" ca="1" si="88"/>
        <v>0.91760738536324105</v>
      </c>
      <c r="AR255">
        <f t="shared" ca="1" si="89"/>
        <v>0.97846222876522393</v>
      </c>
      <c r="AS255">
        <f t="shared" ca="1" si="90"/>
        <v>1.004609769736053</v>
      </c>
    </row>
    <row r="256" spans="2:45" x14ac:dyDescent="0.25">
      <c r="B256" s="22">
        <v>44491</v>
      </c>
      <c r="C256">
        <v>68.619</v>
      </c>
      <c r="D256">
        <v>73.05</v>
      </c>
      <c r="E256">
        <v>49.91</v>
      </c>
      <c r="F256">
        <v>80.099999999999994</v>
      </c>
      <c r="G256">
        <v>223.28399999999999</v>
      </c>
      <c r="H256">
        <v>39.072000000000003</v>
      </c>
      <c r="I256" s="6">
        <v>86898.52</v>
      </c>
      <c r="K256" s="23">
        <f t="shared" si="70"/>
        <v>0.14785881565741055</v>
      </c>
      <c r="L256" s="24">
        <f t="shared" si="71"/>
        <v>0.11611917494270418</v>
      </c>
      <c r="M256" s="24">
        <f t="shared" si="72"/>
        <v>0.21645665261156721</v>
      </c>
      <c r="N256" s="24">
        <f t="shared" si="73"/>
        <v>8.914391384749254E-2</v>
      </c>
      <c r="O256" s="24">
        <f t="shared" si="74"/>
        <v>7.9777742314555589E-2</v>
      </c>
      <c r="P256" s="24">
        <f t="shared" si="75"/>
        <v>0.18889970788704979</v>
      </c>
      <c r="Q256" s="25">
        <f t="shared" si="76"/>
        <v>5.9864457004750182E-2</v>
      </c>
      <c r="S256" s="26">
        <f t="shared" si="80"/>
        <v>0.13970933454346332</v>
      </c>
      <c r="U256" s="5">
        <f t="shared" si="81"/>
        <v>606.54103836853085</v>
      </c>
      <c r="V256" s="6">
        <f t="shared" si="82"/>
        <v>475.26355973546663</v>
      </c>
      <c r="X256" s="20">
        <f t="shared" si="77"/>
        <v>1.2762203748718579</v>
      </c>
      <c r="Z256" s="22">
        <v>44491</v>
      </c>
      <c r="AA256" s="33">
        <v>126208.5387</v>
      </c>
      <c r="AB256" s="33">
        <v>63924.172400000003</v>
      </c>
      <c r="AC256" s="33">
        <v>30237.8181</v>
      </c>
      <c r="AD256" s="33">
        <v>45365.359199999999</v>
      </c>
      <c r="AE256" s="33">
        <v>175242.77429999999</v>
      </c>
      <c r="AF256" s="34">
        <v>39.072000000000003</v>
      </c>
      <c r="AH256" s="28">
        <f t="shared" si="83"/>
        <v>0.11350528683411124</v>
      </c>
      <c r="AJ256" s="5">
        <f t="shared" si="84"/>
        <v>526.87601034187128</v>
      </c>
      <c r="AK256" s="6">
        <f t="shared" si="85"/>
        <v>475.26355973546663</v>
      </c>
      <c r="AM256" s="1">
        <f t="shared" si="78"/>
        <v>44491</v>
      </c>
      <c r="AN256">
        <f t="shared" si="79"/>
        <v>1.108597534040128</v>
      </c>
      <c r="AO256">
        <f t="shared" ca="1" si="86"/>
        <v>0.86670353227502916</v>
      </c>
      <c r="AP256">
        <f t="shared" ca="1" si="87"/>
        <v>0.89201410268090742</v>
      </c>
      <c r="AQ256">
        <f t="shared" ca="1" si="88"/>
        <v>0.91760738536324105</v>
      </c>
      <c r="AR256">
        <f t="shared" ca="1" si="89"/>
        <v>0.97846222876522393</v>
      </c>
      <c r="AS256">
        <f t="shared" ca="1" si="90"/>
        <v>1.004609769736053</v>
      </c>
    </row>
    <row r="257" spans="2:45" x14ac:dyDescent="0.25">
      <c r="B257" s="22">
        <v>44498</v>
      </c>
      <c r="C257">
        <v>59.698999999999998</v>
      </c>
      <c r="D257">
        <v>68.7</v>
      </c>
      <c r="E257">
        <v>45.139000000000003</v>
      </c>
      <c r="F257">
        <v>75.561000000000007</v>
      </c>
      <c r="G257">
        <v>208.41800000000001</v>
      </c>
      <c r="H257">
        <v>38.524000000000001</v>
      </c>
      <c r="I257" s="6">
        <v>83560.960000000006</v>
      </c>
      <c r="K257" s="23">
        <f t="shared" si="70"/>
        <v>-0.12999315058511496</v>
      </c>
      <c r="L257" s="24">
        <f t="shared" si="71"/>
        <v>-5.9548254620123142E-2</v>
      </c>
      <c r="M257" s="24">
        <f t="shared" si="72"/>
        <v>-9.5592065718292818E-2</v>
      </c>
      <c r="N257" s="24">
        <f t="shared" si="73"/>
        <v>-5.6666666666666532E-2</v>
      </c>
      <c r="O257" s="24">
        <f t="shared" si="74"/>
        <v>-6.6578886082298672E-2</v>
      </c>
      <c r="P257" s="24">
        <f t="shared" si="75"/>
        <v>-1.4025389025389079E-2</v>
      </c>
      <c r="Q257" s="25">
        <f t="shared" si="76"/>
        <v>-3.8407558609743875E-2</v>
      </c>
      <c r="S257" s="26">
        <f t="shared" si="80"/>
        <v>-7.0400735449647533E-2</v>
      </c>
      <c r="U257" s="5">
        <f t="shared" si="81"/>
        <v>563.84010318699336</v>
      </c>
      <c r="V257" s="6">
        <f t="shared" si="82"/>
        <v>457.00984670985116</v>
      </c>
      <c r="X257" s="20">
        <f t="shared" si="77"/>
        <v>1.2337592006961005</v>
      </c>
      <c r="Z257" s="22">
        <v>44498</v>
      </c>
      <c r="AA257" s="33">
        <v>109802.1813</v>
      </c>
      <c r="AB257" s="33">
        <v>60117.599499999997</v>
      </c>
      <c r="AC257" s="33">
        <v>27347.438399999999</v>
      </c>
      <c r="AD257" s="33">
        <v>42795.021699999998</v>
      </c>
      <c r="AE257" s="33">
        <v>163574.9779</v>
      </c>
      <c r="AF257" s="34">
        <v>38.524000000000001</v>
      </c>
      <c r="AH257" s="28">
        <f t="shared" si="83"/>
        <v>-8.4672409797924883E-2</v>
      </c>
      <c r="AJ257" s="5">
        <f t="shared" si="84"/>
        <v>482.26414888150862</v>
      </c>
      <c r="AK257" s="6">
        <f t="shared" si="85"/>
        <v>457.00984670985116</v>
      </c>
      <c r="AM257" s="1">
        <f t="shared" si="78"/>
        <v>44498</v>
      </c>
      <c r="AN257">
        <f t="shared" si="79"/>
        <v>1.0552598644284594</v>
      </c>
      <c r="AO257">
        <f t="shared" ca="1" si="86"/>
        <v>0.86670353227502916</v>
      </c>
      <c r="AP257">
        <f t="shared" ca="1" si="87"/>
        <v>0.89201410268090742</v>
      </c>
      <c r="AQ257">
        <f t="shared" ca="1" si="88"/>
        <v>0.91760738536324105</v>
      </c>
      <c r="AR257">
        <f t="shared" ca="1" si="89"/>
        <v>0.97846222876522393</v>
      </c>
      <c r="AS257">
        <f t="shared" ca="1" si="90"/>
        <v>1.004609769736053</v>
      </c>
    </row>
    <row r="258" spans="2:45" x14ac:dyDescent="0.25">
      <c r="B258" s="22">
        <v>44505</v>
      </c>
      <c r="C258">
        <v>68.25</v>
      </c>
      <c r="D258">
        <v>70.5</v>
      </c>
      <c r="E258">
        <v>47.927999999999997</v>
      </c>
      <c r="F258">
        <v>76.957999999999998</v>
      </c>
      <c r="G258">
        <v>219.78299999999999</v>
      </c>
      <c r="H258">
        <v>38.021999999999998</v>
      </c>
      <c r="I258" s="6">
        <v>92895.88</v>
      </c>
      <c r="K258" s="23">
        <f t="shared" si="70"/>
        <v>0.14323523007085548</v>
      </c>
      <c r="L258" s="24">
        <f t="shared" si="71"/>
        <v>2.6200873362445476E-2</v>
      </c>
      <c r="M258" s="24">
        <f t="shared" si="72"/>
        <v>6.1786924832184953E-2</v>
      </c>
      <c r="N258" s="24">
        <f t="shared" si="73"/>
        <v>1.8488373631899924E-2</v>
      </c>
      <c r="O258" s="24">
        <f t="shared" si="74"/>
        <v>5.4529839073400366E-2</v>
      </c>
      <c r="P258" s="24">
        <f t="shared" si="75"/>
        <v>-1.3030837919219218E-2</v>
      </c>
      <c r="Q258" s="25">
        <f t="shared" si="76"/>
        <v>0.11171389127171349</v>
      </c>
      <c r="S258" s="26">
        <f t="shared" si="80"/>
        <v>4.8535067175261161E-2</v>
      </c>
      <c r="U258" s="5">
        <f t="shared" si="81"/>
        <v>591.2061204712802</v>
      </c>
      <c r="V258" s="6">
        <f t="shared" si="82"/>
        <v>508.06419503529793</v>
      </c>
      <c r="X258" s="20">
        <f t="shared" si="77"/>
        <v>1.1636445280900103</v>
      </c>
      <c r="Z258" s="22">
        <v>44505</v>
      </c>
      <c r="AA258" s="33">
        <v>125531.212</v>
      </c>
      <c r="AB258" s="33">
        <v>61692.733099999998</v>
      </c>
      <c r="AC258" s="33">
        <v>29037.198799999998</v>
      </c>
      <c r="AD258" s="33">
        <v>43585.894699999997</v>
      </c>
      <c r="AE258" s="33">
        <v>172495.19639999999</v>
      </c>
      <c r="AF258" s="34">
        <v>38.021999999999998</v>
      </c>
      <c r="AH258" s="28">
        <f t="shared" si="83"/>
        <v>7.110363829622586E-2</v>
      </c>
      <c r="AJ258" s="5">
        <f t="shared" si="84"/>
        <v>516.5548844868166</v>
      </c>
      <c r="AK258" s="6">
        <f t="shared" si="85"/>
        <v>508.06419503529793</v>
      </c>
      <c r="AM258" s="1">
        <f t="shared" si="78"/>
        <v>44505</v>
      </c>
      <c r="AN258">
        <f t="shared" si="79"/>
        <v>1.016711843767949</v>
      </c>
      <c r="AO258">
        <f t="shared" ca="1" si="86"/>
        <v>0.86670353227502916</v>
      </c>
      <c r="AP258">
        <f t="shared" ca="1" si="87"/>
        <v>0.89201410268090742</v>
      </c>
      <c r="AQ258">
        <f t="shared" ca="1" si="88"/>
        <v>0.91760738536324105</v>
      </c>
      <c r="AR258">
        <f t="shared" ca="1" si="89"/>
        <v>0.97846222876522393</v>
      </c>
      <c r="AS258">
        <f t="shared" ca="1" si="90"/>
        <v>1.004609769736053</v>
      </c>
    </row>
    <row r="259" spans="2:45" x14ac:dyDescent="0.25">
      <c r="B259" s="22">
        <v>44512</v>
      </c>
      <c r="C259">
        <v>67.472999999999999</v>
      </c>
      <c r="D259">
        <v>67.5</v>
      </c>
      <c r="E259">
        <v>44.991999999999997</v>
      </c>
      <c r="F259">
        <v>72.457999999999998</v>
      </c>
      <c r="G259">
        <v>225.39400000000001</v>
      </c>
      <c r="H259">
        <v>36.104999999999997</v>
      </c>
      <c r="I259" s="6">
        <v>94963.42</v>
      </c>
      <c r="K259" s="23">
        <f t="shared" si="70"/>
        <v>-1.1384615384615437E-2</v>
      </c>
      <c r="L259" s="24">
        <f t="shared" si="71"/>
        <v>-4.2553191489361653E-2</v>
      </c>
      <c r="M259" s="24">
        <f t="shared" si="72"/>
        <v>-6.125855449841433E-2</v>
      </c>
      <c r="N259" s="24">
        <f t="shared" si="73"/>
        <v>-5.8473453052314217E-2</v>
      </c>
      <c r="O259" s="24">
        <f t="shared" si="74"/>
        <v>2.5529727048952955E-2</v>
      </c>
      <c r="P259" s="24">
        <f t="shared" si="75"/>
        <v>-5.0418178949029557E-2</v>
      </c>
      <c r="Q259" s="25">
        <f t="shared" si="76"/>
        <v>2.2256530644846562E-2</v>
      </c>
      <c r="S259" s="26">
        <f t="shared" si="80"/>
        <v>-3.3093044387463709E-2</v>
      </c>
      <c r="U259" s="5">
        <f t="shared" si="81"/>
        <v>571.64131008438392</v>
      </c>
      <c r="V259" s="6">
        <f t="shared" si="82"/>
        <v>519.37194136165033</v>
      </c>
      <c r="X259" s="20">
        <f t="shared" si="77"/>
        <v>1.1006395697574607</v>
      </c>
      <c r="Z259" s="22">
        <v>44512</v>
      </c>
      <c r="AA259" s="33">
        <v>124101.30009999999</v>
      </c>
      <c r="AB259" s="33">
        <v>59067.510499999997</v>
      </c>
      <c r="AC259" s="33">
        <v>27258.5036</v>
      </c>
      <c r="AD259" s="33">
        <v>41037.525900000001</v>
      </c>
      <c r="AE259" s="33">
        <v>176898.8486</v>
      </c>
      <c r="AF259" s="34">
        <v>36.104999999999997</v>
      </c>
      <c r="AH259" s="28">
        <f t="shared" si="83"/>
        <v>-9.2046375831589412E-3</v>
      </c>
      <c r="AJ259" s="5">
        <f t="shared" si="84"/>
        <v>511.80018398330492</v>
      </c>
      <c r="AK259" s="6">
        <f t="shared" si="85"/>
        <v>519.37194136165033</v>
      </c>
      <c r="AM259" s="1">
        <f t="shared" si="78"/>
        <v>44512</v>
      </c>
      <c r="AN259">
        <f t="shared" si="79"/>
        <v>0.98542131991479098</v>
      </c>
      <c r="AO259">
        <f t="shared" ca="1" si="86"/>
        <v>0.86670353227502916</v>
      </c>
      <c r="AP259">
        <f t="shared" ca="1" si="87"/>
        <v>0.89201410268090742</v>
      </c>
      <c r="AQ259">
        <f t="shared" ca="1" si="88"/>
        <v>0.91760738536324105</v>
      </c>
      <c r="AR259">
        <f t="shared" ca="1" si="89"/>
        <v>0.97846222876522393</v>
      </c>
      <c r="AS259">
        <f t="shared" ca="1" si="90"/>
        <v>1.004609769736053</v>
      </c>
    </row>
    <row r="260" spans="2:45" x14ac:dyDescent="0.25">
      <c r="B260" s="22">
        <v>44519</v>
      </c>
      <c r="C260">
        <v>56.424999999999997</v>
      </c>
      <c r="D260">
        <v>58.6</v>
      </c>
      <c r="E260">
        <v>41.249000000000002</v>
      </c>
      <c r="F260">
        <v>67.415999999999997</v>
      </c>
      <c r="G260">
        <v>198.203</v>
      </c>
      <c r="H260">
        <v>32.590000000000003</v>
      </c>
      <c r="I260" s="6">
        <v>85695.15</v>
      </c>
      <c r="K260" s="23">
        <f t="shared" si="70"/>
        <v>-0.16373956990203486</v>
      </c>
      <c r="L260" s="24">
        <f t="shared" si="71"/>
        <v>-0.13185185185185178</v>
      </c>
      <c r="M260" s="24">
        <f t="shared" si="72"/>
        <v>-8.3192567567567433E-2</v>
      </c>
      <c r="N260" s="24">
        <f t="shared" si="73"/>
        <v>-6.9585138977062644E-2</v>
      </c>
      <c r="O260" s="24">
        <f t="shared" si="74"/>
        <v>-0.12063763897885482</v>
      </c>
      <c r="P260" s="24">
        <f t="shared" si="75"/>
        <v>-9.7354936989336505E-2</v>
      </c>
      <c r="Q260" s="25">
        <f t="shared" si="76"/>
        <v>-9.7598317331031303E-2</v>
      </c>
      <c r="S260" s="26">
        <f t="shared" si="80"/>
        <v>-0.11106028404445134</v>
      </c>
      <c r="U260" s="5">
        <f t="shared" si="81"/>
        <v>508.15466381486993</v>
      </c>
      <c r="V260" s="6">
        <f t="shared" si="82"/>
        <v>468.68211381580221</v>
      </c>
      <c r="X260" s="20">
        <f t="shared" si="77"/>
        <v>1.0842203037741289</v>
      </c>
      <c r="Z260" s="22">
        <v>44519</v>
      </c>
      <c r="AA260" s="33">
        <v>103781.4996</v>
      </c>
      <c r="AB260" s="33">
        <v>51293.791799999999</v>
      </c>
      <c r="AC260" s="33">
        <v>24990.667300000001</v>
      </c>
      <c r="AD260" s="33">
        <v>38181.595300000001</v>
      </c>
      <c r="AE260" s="33">
        <v>155558.07260000001</v>
      </c>
      <c r="AF260" s="34">
        <v>32.590000000000003</v>
      </c>
      <c r="AH260" s="28">
        <f t="shared" si="83"/>
        <v>-0.12739486859632218</v>
      </c>
      <c r="AJ260" s="5">
        <f t="shared" si="84"/>
        <v>446.59946679717825</v>
      </c>
      <c r="AK260" s="6">
        <f t="shared" si="85"/>
        <v>468.68211381580221</v>
      </c>
      <c r="AM260" s="1">
        <f t="shared" si="78"/>
        <v>44519</v>
      </c>
      <c r="AN260">
        <f t="shared" si="79"/>
        <v>0.95288352943781696</v>
      </c>
      <c r="AO260">
        <f t="shared" ca="1" si="86"/>
        <v>0.86670353227502916</v>
      </c>
      <c r="AP260">
        <f t="shared" ca="1" si="87"/>
        <v>0.89201410268090742</v>
      </c>
      <c r="AQ260">
        <f t="shared" ca="1" si="88"/>
        <v>0.91760738536324105</v>
      </c>
      <c r="AR260">
        <f t="shared" ca="1" si="89"/>
        <v>0.97846222876522393</v>
      </c>
      <c r="AS260">
        <f t="shared" ca="1" si="90"/>
        <v>1.0031088277554661</v>
      </c>
    </row>
    <row r="261" spans="2:45" x14ac:dyDescent="0.25">
      <c r="B261" s="22">
        <v>44526</v>
      </c>
      <c r="C261">
        <v>53.601999999999997</v>
      </c>
      <c r="D261">
        <v>59.5</v>
      </c>
      <c r="E261">
        <v>40.222000000000001</v>
      </c>
      <c r="F261">
        <v>64.468000000000004</v>
      </c>
      <c r="G261">
        <v>181.131</v>
      </c>
      <c r="H261">
        <v>30.582000000000001</v>
      </c>
      <c r="I261" s="6">
        <v>80369.02</v>
      </c>
      <c r="K261" s="23">
        <f t="shared" si="70"/>
        <v>-5.0031014621178538E-2</v>
      </c>
      <c r="L261" s="24">
        <f t="shared" si="71"/>
        <v>1.5358361774743923E-2</v>
      </c>
      <c r="M261" s="24">
        <f t="shared" si="72"/>
        <v>-2.4897573274503593E-2</v>
      </c>
      <c r="N261" s="24">
        <f t="shared" si="73"/>
        <v>-4.372849175269955E-2</v>
      </c>
      <c r="O261" s="24">
        <f t="shared" si="74"/>
        <v>-8.6133913210193591E-2</v>
      </c>
      <c r="P261" s="24">
        <f t="shared" si="75"/>
        <v>-6.1613992022092723E-2</v>
      </c>
      <c r="Q261" s="25">
        <f t="shared" si="76"/>
        <v>-6.2152058780455932E-2</v>
      </c>
      <c r="S261" s="26">
        <f t="shared" si="80"/>
        <v>-4.1841103850987348E-2</v>
      </c>
      <c r="U261" s="5">
        <f t="shared" si="81"/>
        <v>486.8929117538284</v>
      </c>
      <c r="V261" s="6">
        <f t="shared" si="82"/>
        <v>439.55255552857415</v>
      </c>
      <c r="X261" s="20">
        <f t="shared" si="77"/>
        <v>1.1077012421605106</v>
      </c>
      <c r="Z261" s="22">
        <v>44526</v>
      </c>
      <c r="AA261" s="33">
        <v>98588.661699999997</v>
      </c>
      <c r="AB261" s="33">
        <v>52081.580499999996</v>
      </c>
      <c r="AC261" s="33">
        <v>24368.124</v>
      </c>
      <c r="AD261" s="33">
        <v>36511.974300000002</v>
      </c>
      <c r="AE261" s="33">
        <v>142158.9258</v>
      </c>
      <c r="AF261" s="34">
        <v>30.582000000000001</v>
      </c>
      <c r="AH261" s="28">
        <f t="shared" si="83"/>
        <v>-5.375900132776177E-2</v>
      </c>
      <c r="AJ261" s="5">
        <f t="shared" si="84"/>
        <v>422.59072546865104</v>
      </c>
      <c r="AK261" s="6">
        <f t="shared" si="85"/>
        <v>439.55255552857415</v>
      </c>
      <c r="AM261" s="1">
        <f t="shared" si="78"/>
        <v>44526</v>
      </c>
      <c r="AN261">
        <f t="shared" si="79"/>
        <v>0.96141114447730602</v>
      </c>
      <c r="AO261">
        <f t="shared" ca="1" si="86"/>
        <v>0.86670353227502916</v>
      </c>
      <c r="AP261">
        <f t="shared" ca="1" si="87"/>
        <v>0.89201410268090742</v>
      </c>
      <c r="AQ261">
        <f t="shared" ca="1" si="88"/>
        <v>0.91760738536324105</v>
      </c>
      <c r="AR261">
        <f t="shared" ca="1" si="89"/>
        <v>0.97508653702361214</v>
      </c>
      <c r="AS261">
        <f t="shared" ca="1" si="90"/>
        <v>1.0031088277554661</v>
      </c>
    </row>
    <row r="262" spans="2:45" x14ac:dyDescent="0.25">
      <c r="B262" s="22">
        <v>44533</v>
      </c>
      <c r="C262">
        <v>58.307000000000002</v>
      </c>
      <c r="D262">
        <v>61.4</v>
      </c>
      <c r="E262">
        <v>43.744999999999997</v>
      </c>
      <c r="F262">
        <v>75.328999999999994</v>
      </c>
      <c r="G262">
        <v>192.976</v>
      </c>
      <c r="H262">
        <v>36.195999999999998</v>
      </c>
      <c r="I262" s="6">
        <v>86359.77</v>
      </c>
      <c r="K262" s="23">
        <f t="shared" ref="K262:K325" si="91">+C262/C261-1</f>
        <v>8.7776575500914333E-2</v>
      </c>
      <c r="L262" s="24">
        <f t="shared" ref="L262:L325" si="92">+D262/D261-1</f>
        <v>3.1932773109243584E-2</v>
      </c>
      <c r="M262" s="24">
        <f t="shared" ref="M262:M325" si="93">+E262/E261-1</f>
        <v>8.7588881706528676E-2</v>
      </c>
      <c r="N262" s="24">
        <f t="shared" ref="N262:N325" si="94">+F262/F261-1</f>
        <v>0.16847117949990675</v>
      </c>
      <c r="O262" s="24">
        <f t="shared" ref="O262:O325" si="95">+G262/G261-1</f>
        <v>6.53946591141219E-2</v>
      </c>
      <c r="P262" s="24">
        <f t="shared" ref="P262:P325" si="96">+H262/H261-1</f>
        <v>0.18357203583807458</v>
      </c>
      <c r="Q262" s="25">
        <f t="shared" ref="Q262:Q325" si="97">+I262/I261-1</f>
        <v>7.4540538132728207E-2</v>
      </c>
      <c r="S262" s="26">
        <f t="shared" si="80"/>
        <v>0.10412268412813164</v>
      </c>
      <c r="U262" s="5">
        <f t="shared" si="81"/>
        <v>537.58950860859863</v>
      </c>
      <c r="V262" s="6">
        <f t="shared" si="82"/>
        <v>472.31703955528997</v>
      </c>
      <c r="X262" s="20">
        <f t="shared" si="77"/>
        <v>1.1381963037259168</v>
      </c>
      <c r="Z262" s="22">
        <v>44533</v>
      </c>
      <c r="AA262" s="33">
        <v>107243.3916</v>
      </c>
      <c r="AB262" s="33">
        <v>53744.6898</v>
      </c>
      <c r="AC262" s="33">
        <v>26502.558199999999</v>
      </c>
      <c r="AD262" s="33">
        <v>42663.209499999997</v>
      </c>
      <c r="AE262" s="33">
        <v>151455.52489999999</v>
      </c>
      <c r="AF262" s="34">
        <v>36.195999999999998</v>
      </c>
      <c r="AH262" s="28">
        <f t="shared" si="83"/>
        <v>7.8884313243144197E-2</v>
      </c>
      <c r="AJ262" s="5">
        <f t="shared" si="84"/>
        <v>455.9265046301677</v>
      </c>
      <c r="AK262" s="6">
        <f t="shared" si="85"/>
        <v>472.31703955528997</v>
      </c>
      <c r="AM262" s="1">
        <f t="shared" si="78"/>
        <v>44533</v>
      </c>
      <c r="AN262">
        <f t="shared" si="79"/>
        <v>0.9652975998059381</v>
      </c>
      <c r="AO262">
        <f t="shared" ca="1" si="86"/>
        <v>0.86670353227502916</v>
      </c>
      <c r="AP262">
        <f t="shared" ca="1" si="87"/>
        <v>0.89201410268090742</v>
      </c>
      <c r="AQ262">
        <f t="shared" ca="1" si="88"/>
        <v>0.91760738536324105</v>
      </c>
      <c r="AR262">
        <f t="shared" ca="1" si="89"/>
        <v>0.97508653702361214</v>
      </c>
      <c r="AS262">
        <f t="shared" ca="1" si="90"/>
        <v>1.0031088277554661</v>
      </c>
    </row>
    <row r="263" spans="2:45" x14ac:dyDescent="0.25">
      <c r="B263" s="22">
        <v>44540</v>
      </c>
      <c r="C263">
        <v>58.470999999999997</v>
      </c>
      <c r="D263">
        <v>58</v>
      </c>
      <c r="E263">
        <v>44.698999999999998</v>
      </c>
      <c r="F263">
        <v>74.707999999999998</v>
      </c>
      <c r="G263">
        <v>190.09899999999999</v>
      </c>
      <c r="H263">
        <v>35.009</v>
      </c>
      <c r="I263" s="6">
        <v>85441.38</v>
      </c>
      <c r="K263" s="23">
        <f t="shared" si="91"/>
        <v>2.8126983038057052E-3</v>
      </c>
      <c r="L263" s="24">
        <f t="shared" si="92"/>
        <v>-5.5374592833876246E-2</v>
      </c>
      <c r="M263" s="24">
        <f t="shared" si="93"/>
        <v>2.1808206652188744E-2</v>
      </c>
      <c r="N263" s="24">
        <f t="shared" si="94"/>
        <v>-8.2438370348736356E-3</v>
      </c>
      <c r="O263" s="24">
        <f t="shared" si="95"/>
        <v>-1.4908589669181738E-2</v>
      </c>
      <c r="P263" s="24">
        <f t="shared" si="96"/>
        <v>-3.279367885954243E-2</v>
      </c>
      <c r="Q263" s="25">
        <f t="shared" si="97"/>
        <v>-1.0634465561916162E-2</v>
      </c>
      <c r="S263" s="26">
        <f t="shared" si="80"/>
        <v>-1.4449965573579934E-2</v>
      </c>
      <c r="U263" s="5">
        <f t="shared" si="81"/>
        <v>529.82135871648666</v>
      </c>
      <c r="V263" s="6">
        <f t="shared" si="82"/>
        <v>467.29420026383303</v>
      </c>
      <c r="X263" s="20">
        <f t="shared" ref="X263:X326" si="98">+(U263/$U$6)/(V263/$V$6)</f>
        <v>1.1338068360731868</v>
      </c>
      <c r="Z263" s="22">
        <v>44540</v>
      </c>
      <c r="AA263" s="33">
        <v>107544.42570000001</v>
      </c>
      <c r="AB263" s="33">
        <v>50768.599399999999</v>
      </c>
      <c r="AC263" s="33">
        <v>27080.634099999999</v>
      </c>
      <c r="AD263" s="33">
        <v>42311.710299999999</v>
      </c>
      <c r="AE263" s="33">
        <v>149197.24170000001</v>
      </c>
      <c r="AF263" s="34">
        <v>35.009</v>
      </c>
      <c r="AH263" s="28">
        <f t="shared" si="83"/>
        <v>-1.2334369722515951E-2</v>
      </c>
      <c r="AJ263" s="5">
        <f t="shared" si="84"/>
        <v>450.3029385557648</v>
      </c>
      <c r="AK263" s="6">
        <f t="shared" si="85"/>
        <v>467.29420026383303</v>
      </c>
      <c r="AM263" s="1">
        <f t="shared" ref="AM263:AM326" si="99">+B263</f>
        <v>44540</v>
      </c>
      <c r="AN263">
        <f t="shared" ref="AN263:AN326" si="100">+(AJ263/$AJ$6)/(AK263/$AK$6)</f>
        <v>0.96363904859406546</v>
      </c>
      <c r="AO263">
        <f t="shared" ca="1" si="86"/>
        <v>0.86670353227502916</v>
      </c>
      <c r="AP263">
        <f t="shared" ca="1" si="87"/>
        <v>0.89201410268090742</v>
      </c>
      <c r="AQ263">
        <f t="shared" ca="1" si="88"/>
        <v>0.91760738536324105</v>
      </c>
      <c r="AR263">
        <f t="shared" ca="1" si="89"/>
        <v>0.96910672090862415</v>
      </c>
      <c r="AS263">
        <f t="shared" ca="1" si="90"/>
        <v>1.0031088277554661</v>
      </c>
    </row>
    <row r="264" spans="2:45" x14ac:dyDescent="0.25">
      <c r="B264" s="22">
        <v>44547</v>
      </c>
      <c r="C264">
        <v>52.62</v>
      </c>
      <c r="D264">
        <v>54.25</v>
      </c>
      <c r="E264">
        <v>41.616</v>
      </c>
      <c r="F264">
        <v>76.569999999999993</v>
      </c>
      <c r="G264">
        <v>179.35599999999999</v>
      </c>
      <c r="H264">
        <v>33.366</v>
      </c>
      <c r="I264" s="6">
        <v>83234.039999999994</v>
      </c>
      <c r="K264" s="23">
        <f t="shared" si="91"/>
        <v>-0.10006669973149085</v>
      </c>
      <c r="L264" s="24">
        <f t="shared" si="92"/>
        <v>-6.4655172413793149E-2</v>
      </c>
      <c r="M264" s="24">
        <f t="shared" si="93"/>
        <v>-6.8972460234009714E-2</v>
      </c>
      <c r="N264" s="24">
        <f t="shared" si="94"/>
        <v>2.492370295015256E-2</v>
      </c>
      <c r="O264" s="24">
        <f t="shared" si="95"/>
        <v>-5.6512659193367676E-2</v>
      </c>
      <c r="P264" s="24">
        <f t="shared" si="96"/>
        <v>-4.6930789225627767E-2</v>
      </c>
      <c r="Q264" s="25">
        <f t="shared" si="97"/>
        <v>-2.5834554638513696E-2</v>
      </c>
      <c r="S264" s="26">
        <f t="shared" ref="S264:S327" si="101">+AVERAGE(K264:P264)</f>
        <v>-5.2035679641356102E-2</v>
      </c>
      <c r="U264" s="5">
        <f t="shared" ref="U264:U327" si="102">+U263*(1+S264)</f>
        <v>502.25174422716753</v>
      </c>
      <c r="V264" s="6">
        <f t="shared" ref="V264:V327" si="103">+V263*(1+Q264)</f>
        <v>455.22186271485646</v>
      </c>
      <c r="X264" s="20">
        <f t="shared" si="98"/>
        <v>1.1033120009479196</v>
      </c>
      <c r="Z264" s="22">
        <v>44547</v>
      </c>
      <c r="AA264" s="33">
        <v>96782.457200000004</v>
      </c>
      <c r="AB264" s="33">
        <v>47486.1469</v>
      </c>
      <c r="AC264" s="33">
        <v>25213.004199999999</v>
      </c>
      <c r="AD264" s="33">
        <v>43366.207799999996</v>
      </c>
      <c r="AE264" s="33">
        <v>140766.31779999999</v>
      </c>
      <c r="AF264" s="34">
        <v>33.366</v>
      </c>
      <c r="AH264" s="28">
        <f t="shared" ref="AH264:AH327" si="104">+SUMPRODUCT(K264:P264,AA263:AF263)/SUM(AA263:AF263)</f>
        <v>-6.1788732103471355E-2</v>
      </c>
      <c r="AJ264" s="5">
        <f t="shared" ref="AJ264:AJ327" si="105">+AJ263*(1+AH264)</f>
        <v>422.47929091993672</v>
      </c>
      <c r="AK264" s="6">
        <f t="shared" ref="AK264:AK327" si="106">+AK263*(1+Q264)</f>
        <v>455.22186271485646</v>
      </c>
      <c r="AM264" s="1">
        <f t="shared" si="99"/>
        <v>44547</v>
      </c>
      <c r="AN264">
        <f t="shared" si="100"/>
        <v>0.92807337591465988</v>
      </c>
      <c r="AO264">
        <f t="shared" ca="1" si="86"/>
        <v>0.86670353227502916</v>
      </c>
      <c r="AP264">
        <f t="shared" ca="1" si="87"/>
        <v>0.89201410268090742</v>
      </c>
      <c r="AQ264">
        <f t="shared" ca="1" si="88"/>
        <v>0.91760738536324105</v>
      </c>
      <c r="AR264">
        <f t="shared" ca="1" si="89"/>
        <v>0.96910672090862415</v>
      </c>
      <c r="AS264">
        <f t="shared" ca="1" si="90"/>
        <v>1.0031088277554661</v>
      </c>
    </row>
    <row r="265" spans="2:45" x14ac:dyDescent="0.25">
      <c r="B265" s="22">
        <v>44554</v>
      </c>
      <c r="C265">
        <v>54.502000000000002</v>
      </c>
      <c r="D265">
        <v>52.25</v>
      </c>
      <c r="E265">
        <v>40.442</v>
      </c>
      <c r="F265">
        <v>72.147999999999996</v>
      </c>
      <c r="G265">
        <v>180.316</v>
      </c>
      <c r="H265">
        <v>32.909999999999997</v>
      </c>
      <c r="I265" s="6">
        <v>84850.3</v>
      </c>
      <c r="K265" s="23">
        <f t="shared" si="91"/>
        <v>3.576586849106822E-2</v>
      </c>
      <c r="L265" s="24">
        <f t="shared" si="92"/>
        <v>-3.686635944700456E-2</v>
      </c>
      <c r="M265" s="24">
        <f t="shared" si="93"/>
        <v>-2.8210303729334862E-2</v>
      </c>
      <c r="N265" s="24">
        <f t="shared" si="94"/>
        <v>-5.7751077445474697E-2</v>
      </c>
      <c r="O265" s="24">
        <f t="shared" si="95"/>
        <v>5.3524833292446505E-3</v>
      </c>
      <c r="P265" s="24">
        <f t="shared" si="96"/>
        <v>-1.3666606725409203E-2</v>
      </c>
      <c r="Q265" s="25">
        <f t="shared" si="97"/>
        <v>1.9418257241868853E-2</v>
      </c>
      <c r="S265" s="26">
        <f t="shared" si="101"/>
        <v>-1.5895999254485076E-2</v>
      </c>
      <c r="U265" s="5">
        <f t="shared" si="102"/>
        <v>494.26795087536868</v>
      </c>
      <c r="V265" s="6">
        <f t="shared" si="103"/>
        <v>464.06147794717623</v>
      </c>
      <c r="X265" s="20">
        <f t="shared" si="98"/>
        <v>1.0650915328327055</v>
      </c>
      <c r="Z265" s="22">
        <v>44554</v>
      </c>
      <c r="AA265" s="33">
        <v>100244.3492</v>
      </c>
      <c r="AB265" s="33">
        <v>45735.505499999999</v>
      </c>
      <c r="AC265" s="33">
        <v>24501.526099999999</v>
      </c>
      <c r="AD265" s="33">
        <v>40861.776299999998</v>
      </c>
      <c r="AE265" s="33">
        <v>141519.07889999999</v>
      </c>
      <c r="AF265" s="34">
        <v>32.909999999999997</v>
      </c>
      <c r="AH265" s="28">
        <f t="shared" si="104"/>
        <v>-2.1259901070000814E-3</v>
      </c>
      <c r="AJ265" s="5">
        <f t="shared" si="105"/>
        <v>421.58110412702854</v>
      </c>
      <c r="AK265" s="6">
        <f t="shared" si="106"/>
        <v>464.06147794717623</v>
      </c>
      <c r="AM265" s="1">
        <f t="shared" si="99"/>
        <v>44554</v>
      </c>
      <c r="AN265">
        <f t="shared" si="100"/>
        <v>0.90845959891335093</v>
      </c>
      <c r="AO265">
        <f t="shared" ca="1" si="86"/>
        <v>0.86670353227502916</v>
      </c>
      <c r="AP265">
        <f t="shared" ca="1" si="87"/>
        <v>0.89201410268090742</v>
      </c>
      <c r="AQ265">
        <f t="shared" ca="1" si="88"/>
        <v>0.91760738536324105</v>
      </c>
      <c r="AR265">
        <f t="shared" ca="1" si="89"/>
        <v>0.96910672090862415</v>
      </c>
      <c r="AS265">
        <f t="shared" ca="1" si="90"/>
        <v>1.0031088277554661</v>
      </c>
    </row>
    <row r="266" spans="2:45" x14ac:dyDescent="0.25">
      <c r="B266" s="22">
        <v>44561</v>
      </c>
      <c r="C266">
        <v>52.865000000000002</v>
      </c>
      <c r="D266">
        <v>57.05</v>
      </c>
      <c r="E266">
        <v>39.707999999999998</v>
      </c>
      <c r="F266">
        <v>72.924000000000007</v>
      </c>
      <c r="G266">
        <v>173.69800000000001</v>
      </c>
      <c r="H266">
        <v>35.238</v>
      </c>
      <c r="I266" s="6">
        <v>83500.11</v>
      </c>
      <c r="K266" s="23">
        <f t="shared" si="91"/>
        <v>-3.0035595024035855E-2</v>
      </c>
      <c r="L266" s="24">
        <f t="shared" si="92"/>
        <v>9.1866028708133873E-2</v>
      </c>
      <c r="M266" s="24">
        <f t="shared" si="93"/>
        <v>-1.8149448593046902E-2</v>
      </c>
      <c r="N266" s="24">
        <f t="shared" si="94"/>
        <v>1.0755668902810989E-2</v>
      </c>
      <c r="O266" s="24">
        <f t="shared" si="95"/>
        <v>-3.670223385611926E-2</v>
      </c>
      <c r="P266" s="24">
        <f t="shared" si="96"/>
        <v>7.0738377392889795E-2</v>
      </c>
      <c r="Q266" s="25">
        <f t="shared" si="97"/>
        <v>-1.5912613155168565E-2</v>
      </c>
      <c r="S266" s="26">
        <f t="shared" si="101"/>
        <v>1.4745466255105441E-2</v>
      </c>
      <c r="U266" s="5">
        <f t="shared" si="102"/>
        <v>501.55616226598153</v>
      </c>
      <c r="V266" s="6">
        <f t="shared" si="103"/>
        <v>456.67704716838705</v>
      </c>
      <c r="X266" s="20">
        <f t="shared" si="98"/>
        <v>1.0982732006696332</v>
      </c>
      <c r="Z266" s="22">
        <v>44561</v>
      </c>
      <c r="AA266" s="33">
        <v>97234.008400000006</v>
      </c>
      <c r="AB266" s="33">
        <v>49937.044800000003</v>
      </c>
      <c r="AC266" s="33">
        <v>24056.852299999999</v>
      </c>
      <c r="AD266" s="33">
        <v>41301.150300000001</v>
      </c>
      <c r="AE266" s="33">
        <v>136325.0276</v>
      </c>
      <c r="AF266" s="34">
        <v>35.238</v>
      </c>
      <c r="AH266" s="28">
        <f t="shared" si="104"/>
        <v>-1.1352638994374916E-2</v>
      </c>
      <c r="AJ266" s="5">
        <f t="shared" si="105"/>
        <v>416.79504604502443</v>
      </c>
      <c r="AK266" s="6">
        <f t="shared" si="106"/>
        <v>456.67704716838705</v>
      </c>
      <c r="AM266" s="1">
        <f t="shared" si="99"/>
        <v>44561</v>
      </c>
      <c r="AN266">
        <f t="shared" si="100"/>
        <v>0.91266913594486554</v>
      </c>
      <c r="AO266">
        <f t="shared" ca="1" si="86"/>
        <v>0.86670353227502916</v>
      </c>
      <c r="AP266">
        <f t="shared" ca="1" si="87"/>
        <v>0.89201410268090742</v>
      </c>
      <c r="AQ266">
        <f t="shared" ca="1" si="88"/>
        <v>0.91659611783782469</v>
      </c>
      <c r="AR266">
        <f t="shared" ca="1" si="89"/>
        <v>0.96910672090862415</v>
      </c>
      <c r="AS266">
        <f t="shared" ca="1" si="90"/>
        <v>1.0031088277554661</v>
      </c>
    </row>
    <row r="267" spans="2:45" x14ac:dyDescent="0.25">
      <c r="B267" s="22">
        <v>44568</v>
      </c>
      <c r="C267">
        <v>53.601999999999997</v>
      </c>
      <c r="D267">
        <v>54.8</v>
      </c>
      <c r="E267">
        <v>38.826999999999998</v>
      </c>
      <c r="F267">
        <v>71.061999999999998</v>
      </c>
      <c r="G267">
        <v>177.774</v>
      </c>
      <c r="H267">
        <v>34.142000000000003</v>
      </c>
      <c r="I267" s="6">
        <v>84402.07</v>
      </c>
      <c r="K267" s="23">
        <f t="shared" si="91"/>
        <v>1.3941170907027178E-2</v>
      </c>
      <c r="L267" s="24">
        <f t="shared" si="92"/>
        <v>-3.9439088518843146E-2</v>
      </c>
      <c r="M267" s="24">
        <f t="shared" si="93"/>
        <v>-2.2186964843356471E-2</v>
      </c>
      <c r="N267" s="24">
        <f t="shared" si="94"/>
        <v>-2.5533432066260908E-2</v>
      </c>
      <c r="O267" s="24">
        <f t="shared" si="95"/>
        <v>2.3466015728448086E-2</v>
      </c>
      <c r="P267" s="24">
        <f t="shared" si="96"/>
        <v>-3.1102786764288459E-2</v>
      </c>
      <c r="Q267" s="25">
        <f t="shared" si="97"/>
        <v>1.0801901937614211E-2</v>
      </c>
      <c r="S267" s="26">
        <f t="shared" si="101"/>
        <v>-1.3475847592878953E-2</v>
      </c>
      <c r="U267" s="5">
        <f t="shared" si="102"/>
        <v>494.79726786401591</v>
      </c>
      <c r="V267" s="6">
        <f t="shared" si="103"/>
        <v>461.61002784905918</v>
      </c>
      <c r="X267" s="20">
        <f t="shared" si="98"/>
        <v>1.0718945387074836</v>
      </c>
      <c r="Z267" s="22">
        <v>44568</v>
      </c>
      <c r="AA267" s="33">
        <v>98588.661699999997</v>
      </c>
      <c r="AB267" s="33">
        <v>47967.573299999996</v>
      </c>
      <c r="AC267" s="33">
        <v>23523.2438</v>
      </c>
      <c r="AD267" s="33">
        <v>40246.652800000003</v>
      </c>
      <c r="AE267" s="33">
        <v>139524.26209999999</v>
      </c>
      <c r="AF267" s="34">
        <v>34.142000000000003</v>
      </c>
      <c r="AH267" s="28">
        <f t="shared" si="104"/>
        <v>2.853870634460751E-3</v>
      </c>
      <c r="AJ267" s="5">
        <f t="shared" si="105"/>
        <v>417.98452518752106</v>
      </c>
      <c r="AK267" s="6">
        <f t="shared" si="106"/>
        <v>461.61002784905918</v>
      </c>
      <c r="AM267" s="1">
        <f t="shared" si="99"/>
        <v>44568</v>
      </c>
      <c r="AN267">
        <f t="shared" si="100"/>
        <v>0.90549273189575696</v>
      </c>
      <c r="AO267">
        <f t="shared" ca="1" si="86"/>
        <v>0.86670353227502916</v>
      </c>
      <c r="AP267">
        <f t="shared" ca="1" si="87"/>
        <v>0.89201410268090742</v>
      </c>
      <c r="AQ267">
        <f t="shared" ca="1" si="88"/>
        <v>0.9160670642071248</v>
      </c>
      <c r="AR267">
        <f t="shared" ca="1" si="89"/>
        <v>0.96826544491709587</v>
      </c>
      <c r="AS267">
        <f t="shared" ca="1" si="90"/>
        <v>1.0031088277554661</v>
      </c>
    </row>
    <row r="268" spans="2:45" x14ac:dyDescent="0.25">
      <c r="B268" s="22">
        <v>44575</v>
      </c>
      <c r="C268">
        <v>57.939</v>
      </c>
      <c r="D268">
        <v>52.6</v>
      </c>
      <c r="E268">
        <v>38.753999999999998</v>
      </c>
      <c r="F268">
        <v>68.89</v>
      </c>
      <c r="G268">
        <v>189.90700000000001</v>
      </c>
      <c r="H268">
        <v>32.773000000000003</v>
      </c>
      <c r="I268" s="6">
        <v>85481.07</v>
      </c>
      <c r="K268" s="23">
        <f t="shared" si="91"/>
        <v>8.0911160031342133E-2</v>
      </c>
      <c r="L268" s="24">
        <f t="shared" si="92"/>
        <v>-4.0145985401459749E-2</v>
      </c>
      <c r="M268" s="24">
        <f t="shared" si="93"/>
        <v>-1.8801349576326176E-3</v>
      </c>
      <c r="N268" s="24">
        <f t="shared" si="94"/>
        <v>-3.0564858855647192E-2</v>
      </c>
      <c r="O268" s="24">
        <f t="shared" si="95"/>
        <v>6.8249575303475307E-2</v>
      </c>
      <c r="P268" s="24">
        <f t="shared" si="96"/>
        <v>-4.0097240934918843E-2</v>
      </c>
      <c r="Q268" s="25">
        <f t="shared" si="97"/>
        <v>1.2784046647197123E-2</v>
      </c>
      <c r="S268" s="26">
        <f t="shared" si="101"/>
        <v>6.0787525308598394E-3</v>
      </c>
      <c r="U268" s="5">
        <f t="shared" si="102"/>
        <v>497.80501800830683</v>
      </c>
      <c r="V268" s="6">
        <f t="shared" si="103"/>
        <v>467.51127197789549</v>
      </c>
      <c r="X268" s="20">
        <f t="shared" si="98"/>
        <v>1.0647978943956748</v>
      </c>
      <c r="Z268" s="22">
        <v>44575</v>
      </c>
      <c r="AA268" s="33">
        <v>106566.0649</v>
      </c>
      <c r="AB268" s="33">
        <v>46041.8678</v>
      </c>
      <c r="AC268" s="33">
        <v>23478.776399999999</v>
      </c>
      <c r="AD268" s="33">
        <v>39016.4058</v>
      </c>
      <c r="AE268" s="33">
        <v>149046.68950000001</v>
      </c>
      <c r="AF268" s="34">
        <v>32.773000000000003</v>
      </c>
      <c r="AH268" s="28">
        <f t="shared" si="104"/>
        <v>4.0864795455049722E-2</v>
      </c>
      <c r="AJ268" s="5">
        <f t="shared" si="105"/>
        <v>435.06537731268514</v>
      </c>
      <c r="AK268" s="6">
        <f t="shared" si="106"/>
        <v>467.51127197789549</v>
      </c>
      <c r="AM268" s="1">
        <f t="shared" si="99"/>
        <v>44575</v>
      </c>
      <c r="AN268">
        <f t="shared" si="100"/>
        <v>0.93059869010656837</v>
      </c>
      <c r="AO268">
        <f t="shared" ca="1" si="86"/>
        <v>0.86670353227502916</v>
      </c>
      <c r="AP268">
        <f t="shared" ca="1" si="87"/>
        <v>0.89201410268090742</v>
      </c>
      <c r="AQ268">
        <f t="shared" ca="1" si="88"/>
        <v>0.91528757736073407</v>
      </c>
      <c r="AR268">
        <f t="shared" ca="1" si="89"/>
        <v>0.96826544491709587</v>
      </c>
      <c r="AS268">
        <f t="shared" ca="1" si="90"/>
        <v>1.0031088277554661</v>
      </c>
    </row>
    <row r="269" spans="2:45" x14ac:dyDescent="0.25">
      <c r="B269" s="22">
        <v>44582</v>
      </c>
      <c r="C269">
        <v>53.765999999999998</v>
      </c>
      <c r="D269">
        <v>53.3</v>
      </c>
      <c r="E269">
        <v>36.075000000000003</v>
      </c>
      <c r="F269">
        <v>64.156999999999996</v>
      </c>
      <c r="G269">
        <v>187.941</v>
      </c>
      <c r="H269">
        <v>31.951000000000001</v>
      </c>
      <c r="I269" s="6">
        <v>83622.48</v>
      </c>
      <c r="K269" s="23">
        <f t="shared" si="91"/>
        <v>-7.2024025267954261E-2</v>
      </c>
      <c r="L269" s="24">
        <f t="shared" si="92"/>
        <v>1.3307984790874361E-2</v>
      </c>
      <c r="M269" s="24">
        <f t="shared" si="93"/>
        <v>-6.9128348041492371E-2</v>
      </c>
      <c r="N269" s="24">
        <f t="shared" si="94"/>
        <v>-6.8703730584990574E-2</v>
      </c>
      <c r="O269" s="24">
        <f t="shared" si="95"/>
        <v>-1.0352435665878623E-2</v>
      </c>
      <c r="P269" s="24">
        <f t="shared" si="96"/>
        <v>-2.5081622066945419E-2</v>
      </c>
      <c r="Q269" s="25">
        <f t="shared" si="97"/>
        <v>-2.1742708648827325E-2</v>
      </c>
      <c r="S269" s="26">
        <f t="shared" si="101"/>
        <v>-3.8663696139397817E-2</v>
      </c>
      <c r="U269" s="5">
        <f t="shared" si="102"/>
        <v>478.55803605536619</v>
      </c>
      <c r="V269" s="6">
        <f t="shared" si="103"/>
        <v>457.34631060123746</v>
      </c>
      <c r="X269" s="20">
        <f t="shared" si="98"/>
        <v>1.0463800078024974</v>
      </c>
      <c r="Z269" s="22">
        <v>44582</v>
      </c>
      <c r="AA269" s="33">
        <v>98889.695800000001</v>
      </c>
      <c r="AB269" s="33">
        <v>46654.592199999999</v>
      </c>
      <c r="AC269" s="33">
        <v>21855.717000000001</v>
      </c>
      <c r="AD269" s="33">
        <v>36336.224800000004</v>
      </c>
      <c r="AE269" s="33">
        <v>147503.52929999999</v>
      </c>
      <c r="AF269" s="34">
        <v>31.951000000000001</v>
      </c>
      <c r="AH269" s="28">
        <f t="shared" si="104"/>
        <v>-3.5449341069836104E-2</v>
      </c>
      <c r="AJ269" s="5">
        <f t="shared" si="105"/>
        <v>419.64259636465084</v>
      </c>
      <c r="AK269" s="6">
        <f t="shared" si="106"/>
        <v>457.34631060123746</v>
      </c>
      <c r="AM269" s="1">
        <f t="shared" si="99"/>
        <v>44582</v>
      </c>
      <c r="AN269">
        <f t="shared" si="100"/>
        <v>0.91755981547763987</v>
      </c>
      <c r="AO269">
        <f t="shared" ca="1" si="86"/>
        <v>0.86670353227502916</v>
      </c>
      <c r="AP269">
        <f t="shared" ca="1" si="87"/>
        <v>0.89201410268090742</v>
      </c>
      <c r="AQ269">
        <f t="shared" ca="1" si="88"/>
        <v>0.91528757736073407</v>
      </c>
      <c r="AR269">
        <f t="shared" ca="1" si="89"/>
        <v>0.96405368639703359</v>
      </c>
      <c r="AS269">
        <f t="shared" ca="1" si="90"/>
        <v>1.0031088277554661</v>
      </c>
    </row>
    <row r="270" spans="2:45" x14ac:dyDescent="0.25">
      <c r="B270" s="22">
        <v>44589</v>
      </c>
      <c r="C270">
        <v>55.689</v>
      </c>
      <c r="D270">
        <v>54.8</v>
      </c>
      <c r="E270">
        <v>37.432000000000002</v>
      </c>
      <c r="F270">
        <v>66.251999999999995</v>
      </c>
      <c r="G270">
        <v>202.51900000000001</v>
      </c>
      <c r="H270">
        <v>34.69</v>
      </c>
      <c r="I270" s="6">
        <v>88269.84</v>
      </c>
      <c r="K270" s="23">
        <f t="shared" si="91"/>
        <v>3.5766097533757479E-2</v>
      </c>
      <c r="L270" s="24">
        <f t="shared" si="92"/>
        <v>2.814258911819878E-2</v>
      </c>
      <c r="M270" s="24">
        <f t="shared" si="93"/>
        <v>3.7616077616077659E-2</v>
      </c>
      <c r="N270" s="24">
        <f t="shared" si="94"/>
        <v>3.2654269993921181E-2</v>
      </c>
      <c r="O270" s="24">
        <f t="shared" si="95"/>
        <v>7.7566895993955498E-2</v>
      </c>
      <c r="P270" s="24">
        <f t="shared" si="96"/>
        <v>8.5725016431410506E-2</v>
      </c>
      <c r="Q270" s="25">
        <f t="shared" si="97"/>
        <v>5.5575486400307739E-2</v>
      </c>
      <c r="S270" s="26">
        <f t="shared" si="101"/>
        <v>4.9578491114553515E-2</v>
      </c>
      <c r="U270" s="5">
        <f t="shared" si="102"/>
        <v>502.28422139373538</v>
      </c>
      <c r="V270" s="6">
        <f t="shared" si="103"/>
        <v>482.76355426628743</v>
      </c>
      <c r="X270" s="20">
        <f t="shared" si="98"/>
        <v>1.0404352543909736</v>
      </c>
      <c r="Z270" s="22">
        <v>44589</v>
      </c>
      <c r="AA270" s="33">
        <v>102426.8463</v>
      </c>
      <c r="AB270" s="33">
        <v>47967.573299999996</v>
      </c>
      <c r="AC270" s="33">
        <v>22678.363499999999</v>
      </c>
      <c r="AD270" s="33">
        <v>37522.534399999997</v>
      </c>
      <c r="AE270" s="33">
        <v>158945.49739999999</v>
      </c>
      <c r="AF270" s="34">
        <v>34.69</v>
      </c>
      <c r="AH270" s="28">
        <f t="shared" si="104"/>
        <v>5.2104021347970875E-2</v>
      </c>
      <c r="AJ270" s="5">
        <f t="shared" si="105"/>
        <v>441.50766316415252</v>
      </c>
      <c r="AK270" s="6">
        <f t="shared" si="106"/>
        <v>482.76355426628743</v>
      </c>
      <c r="AM270" s="1">
        <f t="shared" si="99"/>
        <v>44589</v>
      </c>
      <c r="AN270">
        <f t="shared" si="100"/>
        <v>0.91454224177126131</v>
      </c>
      <c r="AO270">
        <f t="shared" ca="1" si="86"/>
        <v>0.86670353227502916</v>
      </c>
      <c r="AP270">
        <f t="shared" ca="1" si="87"/>
        <v>0.89201410268090742</v>
      </c>
      <c r="AQ270">
        <f t="shared" ca="1" si="88"/>
        <v>0.91528757736073407</v>
      </c>
      <c r="AR270">
        <f t="shared" ca="1" si="89"/>
        <v>0.96196812050649583</v>
      </c>
      <c r="AS270">
        <f t="shared" ca="1" si="90"/>
        <v>1.0028229483707234</v>
      </c>
    </row>
    <row r="271" spans="2:45" x14ac:dyDescent="0.25">
      <c r="B271" s="22">
        <v>44596</v>
      </c>
      <c r="C271">
        <v>59.902999999999999</v>
      </c>
      <c r="D271">
        <v>66.55</v>
      </c>
      <c r="E271">
        <v>42.57</v>
      </c>
      <c r="F271">
        <v>73.932000000000002</v>
      </c>
      <c r="G271">
        <v>202.184</v>
      </c>
      <c r="H271">
        <v>37.884999999999998</v>
      </c>
      <c r="I271" s="6">
        <v>87934.02</v>
      </c>
      <c r="K271" s="23">
        <f t="shared" si="91"/>
        <v>7.5670240083319795E-2</v>
      </c>
      <c r="L271" s="24">
        <f t="shared" si="92"/>
        <v>0.21441605839416056</v>
      </c>
      <c r="M271" s="24">
        <f t="shared" si="93"/>
        <v>0.13726223552041028</v>
      </c>
      <c r="N271" s="24">
        <f t="shared" si="94"/>
        <v>0.1159210287991308</v>
      </c>
      <c r="O271" s="24">
        <f t="shared" si="95"/>
        <v>-1.6541657819760802E-3</v>
      </c>
      <c r="P271" s="24">
        <f t="shared" si="96"/>
        <v>9.2101470164312582E-2</v>
      </c>
      <c r="Q271" s="25">
        <f t="shared" si="97"/>
        <v>-3.8044704737200119E-3</v>
      </c>
      <c r="S271" s="26">
        <f t="shared" si="101"/>
        <v>0.10561947786322633</v>
      </c>
      <c r="U271" s="5">
        <f t="shared" si="102"/>
        <v>555.33521859627888</v>
      </c>
      <c r="V271" s="6">
        <f t="shared" si="103"/>
        <v>480.92689457829323</v>
      </c>
      <c r="X271" s="20">
        <f t="shared" si="98"/>
        <v>1.1547185754359433</v>
      </c>
      <c r="Z271" s="22">
        <v>44596</v>
      </c>
      <c r="AA271" s="33">
        <v>110178.4739</v>
      </c>
      <c r="AB271" s="33">
        <v>58252.5913</v>
      </c>
      <c r="AC271" s="33">
        <v>25791.080099999999</v>
      </c>
      <c r="AD271" s="33">
        <v>41872.3364</v>
      </c>
      <c r="AE271" s="33">
        <v>158682.03099999999</v>
      </c>
      <c r="AF271" s="34">
        <v>37.884999999999998</v>
      </c>
      <c r="AH271" s="28">
        <f t="shared" si="104"/>
        <v>6.82904796810095E-2</v>
      </c>
      <c r="AJ271" s="5">
        <f t="shared" si="105"/>
        <v>471.65843326447407</v>
      </c>
      <c r="AK271" s="6">
        <f t="shared" si="106"/>
        <v>480.92689457829323</v>
      </c>
      <c r="AM271" s="1">
        <f t="shared" si="99"/>
        <v>44596</v>
      </c>
      <c r="AN271">
        <f t="shared" si="100"/>
        <v>0.98072792056691616</v>
      </c>
      <c r="AO271">
        <f t="shared" ca="1" si="86"/>
        <v>0.86670353227502916</v>
      </c>
      <c r="AP271">
        <f t="shared" ca="1" si="87"/>
        <v>0.89201410268090742</v>
      </c>
      <c r="AQ271">
        <f t="shared" ca="1" si="88"/>
        <v>0.9145594720936201</v>
      </c>
      <c r="AR271">
        <f t="shared" ca="1" si="89"/>
        <v>0.95501543319768922</v>
      </c>
      <c r="AS271">
        <f t="shared" ca="1" si="90"/>
        <v>1.0026983494597905</v>
      </c>
    </row>
    <row r="272" spans="2:45" x14ac:dyDescent="0.25">
      <c r="B272" s="22">
        <v>44603</v>
      </c>
      <c r="C272">
        <v>59.698999999999998</v>
      </c>
      <c r="D272">
        <v>64.150000000000006</v>
      </c>
      <c r="E272">
        <v>43.378</v>
      </c>
      <c r="F272">
        <v>76.724999999999994</v>
      </c>
      <c r="G272">
        <v>201.75200000000001</v>
      </c>
      <c r="H272">
        <v>38.615000000000002</v>
      </c>
      <c r="I272" s="6">
        <v>88184.98</v>
      </c>
      <c r="K272" s="23">
        <f t="shared" si="91"/>
        <v>-3.4055055673338774E-3</v>
      </c>
      <c r="L272" s="24">
        <f t="shared" si="92"/>
        <v>-3.6063110443275592E-2</v>
      </c>
      <c r="M272" s="24">
        <f t="shared" si="93"/>
        <v>1.8980502701432922E-2</v>
      </c>
      <c r="N272" s="24">
        <f t="shared" si="94"/>
        <v>3.777795812368101E-2</v>
      </c>
      <c r="O272" s="24">
        <f t="shared" si="95"/>
        <v>-2.1366675899180398E-3</v>
      </c>
      <c r="P272" s="24">
        <f t="shared" si="96"/>
        <v>1.9268839910254743E-2</v>
      </c>
      <c r="Q272" s="25">
        <f t="shared" si="97"/>
        <v>2.8539580016926358E-3</v>
      </c>
      <c r="S272" s="26">
        <f t="shared" si="101"/>
        <v>5.7370028558068609E-3</v>
      </c>
      <c r="U272" s="5">
        <f t="shared" si="102"/>
        <v>558.5211783312958</v>
      </c>
      <c r="V272" s="6">
        <f t="shared" si="103"/>
        <v>482.29943973730411</v>
      </c>
      <c r="X272" s="20">
        <f t="shared" si="98"/>
        <v>1.1580382067943262</v>
      </c>
      <c r="Z272" s="22">
        <v>44603</v>
      </c>
      <c r="AA272" s="33">
        <v>109802.1813</v>
      </c>
      <c r="AB272" s="33">
        <v>56151.821600000003</v>
      </c>
      <c r="AC272" s="33">
        <v>26280.221300000001</v>
      </c>
      <c r="AD272" s="33">
        <v>43454.082600000002</v>
      </c>
      <c r="AE272" s="33">
        <v>158343.2886</v>
      </c>
      <c r="AF272" s="34">
        <v>38.615000000000002</v>
      </c>
      <c r="AH272" s="28">
        <f t="shared" si="104"/>
        <v>-1.8817063420758771E-3</v>
      </c>
      <c r="AJ272" s="5">
        <f t="shared" si="105"/>
        <v>470.77091059930677</v>
      </c>
      <c r="AK272" s="6">
        <f t="shared" si="106"/>
        <v>482.29943973730411</v>
      </c>
      <c r="AM272" s="1">
        <f t="shared" si="99"/>
        <v>44603</v>
      </c>
      <c r="AN272">
        <f t="shared" si="100"/>
        <v>0.97609673951875919</v>
      </c>
      <c r="AO272">
        <f t="shared" ca="1" si="86"/>
        <v>0.86670353227502916</v>
      </c>
      <c r="AP272">
        <f t="shared" ca="1" si="87"/>
        <v>0.89201410268090742</v>
      </c>
      <c r="AQ272">
        <f t="shared" ca="1" si="88"/>
        <v>0.9145594720936201</v>
      </c>
      <c r="AR272">
        <f t="shared" ca="1" si="89"/>
        <v>0.95501543319768922</v>
      </c>
      <c r="AS272">
        <f t="shared" ca="1" si="90"/>
        <v>1.0026983494597905</v>
      </c>
    </row>
    <row r="273" spans="2:45" x14ac:dyDescent="0.25">
      <c r="B273" s="22">
        <v>44610</v>
      </c>
      <c r="C273">
        <v>62.686</v>
      </c>
      <c r="D273">
        <v>64.75</v>
      </c>
      <c r="E273">
        <v>46.533999999999999</v>
      </c>
      <c r="F273">
        <v>89.215000000000003</v>
      </c>
      <c r="G273">
        <v>211.77500000000001</v>
      </c>
      <c r="H273">
        <v>40.988999999999997</v>
      </c>
      <c r="I273" s="6">
        <v>89443.19</v>
      </c>
      <c r="K273" s="23">
        <f t="shared" si="91"/>
        <v>5.0034338933650613E-2</v>
      </c>
      <c r="L273" s="24">
        <f t="shared" si="92"/>
        <v>9.3530787217457334E-3</v>
      </c>
      <c r="M273" s="24">
        <f t="shared" si="93"/>
        <v>7.2755774816727348E-2</v>
      </c>
      <c r="N273" s="24">
        <f t="shared" si="94"/>
        <v>0.16278918214402105</v>
      </c>
      <c r="O273" s="24">
        <f t="shared" si="95"/>
        <v>4.967980490899726E-2</v>
      </c>
      <c r="P273" s="24">
        <f t="shared" si="96"/>
        <v>6.1478699987051577E-2</v>
      </c>
      <c r="Q273" s="25">
        <f t="shared" si="97"/>
        <v>1.4267849241446751E-2</v>
      </c>
      <c r="S273" s="26">
        <f t="shared" si="101"/>
        <v>6.7681813252032264E-2</v>
      </c>
      <c r="U273" s="5">
        <f t="shared" si="102"/>
        <v>596.3229044204196</v>
      </c>
      <c r="V273" s="6">
        <f t="shared" si="103"/>
        <v>489.18081543271018</v>
      </c>
      <c r="X273" s="20">
        <f t="shared" si="98"/>
        <v>1.2190234890813036</v>
      </c>
      <c r="Z273" s="22">
        <v>44610</v>
      </c>
      <c r="AA273" s="33">
        <v>115296.0533</v>
      </c>
      <c r="AB273" s="33">
        <v>56677.014000000003</v>
      </c>
      <c r="AC273" s="33">
        <v>28192.318599999999</v>
      </c>
      <c r="AD273" s="33">
        <v>50528.002999999997</v>
      </c>
      <c r="AE273" s="33">
        <v>166209.6416</v>
      </c>
      <c r="AF273" s="34">
        <v>40.988999999999997</v>
      </c>
      <c r="AH273" s="28">
        <f t="shared" si="104"/>
        <v>5.8044991667857683E-2</v>
      </c>
      <c r="AJ273" s="5">
        <f t="shared" si="105"/>
        <v>498.09680418251327</v>
      </c>
      <c r="AK273" s="6">
        <f t="shared" si="106"/>
        <v>489.18081543271018</v>
      </c>
      <c r="AM273" s="1">
        <f t="shared" si="99"/>
        <v>44610</v>
      </c>
      <c r="AN273">
        <f t="shared" si="100"/>
        <v>1.0182263663425075</v>
      </c>
      <c r="AO273">
        <f t="shared" ca="1" si="86"/>
        <v>0.86670353227502916</v>
      </c>
      <c r="AP273">
        <f t="shared" ca="1" si="87"/>
        <v>0.89201410268090742</v>
      </c>
      <c r="AQ273">
        <f t="shared" ca="1" si="88"/>
        <v>0.9145594720936201</v>
      </c>
      <c r="AR273">
        <f t="shared" ca="1" si="89"/>
        <v>0.96196812050649583</v>
      </c>
      <c r="AS273">
        <f t="shared" ca="1" si="90"/>
        <v>1.0026983494597905</v>
      </c>
    </row>
    <row r="274" spans="2:45" x14ac:dyDescent="0.25">
      <c r="B274" s="22">
        <v>44617</v>
      </c>
      <c r="C274">
        <v>59.944000000000003</v>
      </c>
      <c r="D274">
        <v>68.2</v>
      </c>
      <c r="E274">
        <v>46.46</v>
      </c>
      <c r="F274">
        <v>84.754999999999995</v>
      </c>
      <c r="G274">
        <v>223.09200000000001</v>
      </c>
      <c r="H274">
        <v>42.631999999999998</v>
      </c>
      <c r="I274" s="6">
        <v>87969.87</v>
      </c>
      <c r="K274" s="23">
        <f t="shared" si="91"/>
        <v>-4.3741824330791546E-2</v>
      </c>
      <c r="L274" s="24">
        <f t="shared" si="92"/>
        <v>5.3281853281853309E-2</v>
      </c>
      <c r="M274" s="24">
        <f t="shared" si="93"/>
        <v>-1.5902350969183576E-3</v>
      </c>
      <c r="N274" s="24">
        <f t="shared" si="94"/>
        <v>-4.9991593341926932E-2</v>
      </c>
      <c r="O274" s="24">
        <f t="shared" si="95"/>
        <v>5.3438791169873712E-2</v>
      </c>
      <c r="P274" s="24">
        <f t="shared" si="96"/>
        <v>4.0083924955475858E-2</v>
      </c>
      <c r="Q274" s="25">
        <f t="shared" si="97"/>
        <v>-1.6472131640206555E-2</v>
      </c>
      <c r="S274" s="26">
        <f t="shared" si="101"/>
        <v>8.5801527729276739E-3</v>
      </c>
      <c r="U274" s="5">
        <f t="shared" si="102"/>
        <v>601.43944604234275</v>
      </c>
      <c r="V274" s="6">
        <f t="shared" si="103"/>
        <v>481.12296464503896</v>
      </c>
      <c r="X274" s="20">
        <f t="shared" si="98"/>
        <v>1.2500742850345348</v>
      </c>
      <c r="Z274" s="22">
        <v>44617</v>
      </c>
      <c r="AA274" s="33">
        <v>110253.73239999999</v>
      </c>
      <c r="AB274" s="33">
        <v>59696.8704</v>
      </c>
      <c r="AC274" s="33">
        <v>28147.851200000001</v>
      </c>
      <c r="AD274" s="33">
        <v>48001.602800000001</v>
      </c>
      <c r="AE274" s="33">
        <v>175092.22210000001</v>
      </c>
      <c r="AF274" s="34">
        <v>42.631999999999998</v>
      </c>
      <c r="AH274" s="28">
        <f t="shared" si="104"/>
        <v>1.028788990687138E-2</v>
      </c>
      <c r="AJ274" s="5">
        <f t="shared" si="105"/>
        <v>503.22116926690745</v>
      </c>
      <c r="AK274" s="6">
        <f t="shared" si="106"/>
        <v>481.12296464503896</v>
      </c>
      <c r="AM274" s="1">
        <f t="shared" si="99"/>
        <v>44617</v>
      </c>
      <c r="AN274">
        <f t="shared" si="100"/>
        <v>1.045930471512978</v>
      </c>
      <c r="AO274">
        <f t="shared" ca="1" si="86"/>
        <v>0.86670353227502916</v>
      </c>
      <c r="AP274">
        <f t="shared" ca="1" si="87"/>
        <v>0.89201410268090742</v>
      </c>
      <c r="AQ274">
        <f t="shared" ca="1" si="88"/>
        <v>0.9145594720936201</v>
      </c>
      <c r="AR274">
        <f t="shared" ca="1" si="89"/>
        <v>0.96405368639703359</v>
      </c>
      <c r="AS274">
        <f t="shared" ca="1" si="90"/>
        <v>1.0154493633478925</v>
      </c>
    </row>
    <row r="275" spans="2:45" x14ac:dyDescent="0.25">
      <c r="B275" s="22">
        <v>44624</v>
      </c>
      <c r="C275">
        <v>62.603999999999999</v>
      </c>
      <c r="D275">
        <v>69.5</v>
      </c>
      <c r="E275">
        <v>46.826999999999998</v>
      </c>
      <c r="F275">
        <v>88.245999999999995</v>
      </c>
      <c r="G275">
        <v>246.351</v>
      </c>
      <c r="H275">
        <v>42.814999999999998</v>
      </c>
      <c r="I275" s="6">
        <v>89515.44</v>
      </c>
      <c r="K275" s="23">
        <f t="shared" si="91"/>
        <v>4.4374749766448618E-2</v>
      </c>
      <c r="L275" s="24">
        <f t="shared" si="92"/>
        <v>1.9061583577712593E-2</v>
      </c>
      <c r="M275" s="24">
        <f t="shared" si="93"/>
        <v>7.8992681876883797E-3</v>
      </c>
      <c r="N275" s="24">
        <f t="shared" si="94"/>
        <v>4.1189310365170151E-2</v>
      </c>
      <c r="O275" s="24">
        <f t="shared" si="95"/>
        <v>0.10425743639395391</v>
      </c>
      <c r="P275" s="24">
        <f t="shared" si="96"/>
        <v>4.2925501970350055E-3</v>
      </c>
      <c r="Q275" s="25">
        <f t="shared" si="97"/>
        <v>1.7569310947032291E-2</v>
      </c>
      <c r="S275" s="26">
        <f t="shared" si="101"/>
        <v>3.6845816414668109E-2</v>
      </c>
      <c r="U275" s="5">
        <f t="shared" si="102"/>
        <v>623.59997345575857</v>
      </c>
      <c r="V275" s="6">
        <f t="shared" si="103"/>
        <v>489.57596361464567</v>
      </c>
      <c r="X275" s="20">
        <f t="shared" si="98"/>
        <v>1.2737552898871598</v>
      </c>
      <c r="Z275" s="22">
        <v>44624</v>
      </c>
      <c r="AA275" s="33">
        <v>115145.5362</v>
      </c>
      <c r="AB275" s="33">
        <v>60834.787300000004</v>
      </c>
      <c r="AC275" s="33">
        <v>28370.188099999999</v>
      </c>
      <c r="AD275" s="33">
        <v>49978.785600000003</v>
      </c>
      <c r="AE275" s="33">
        <v>193346.6777</v>
      </c>
      <c r="AF275" s="34">
        <v>42.814999999999998</v>
      </c>
      <c r="AH275" s="28">
        <f t="shared" si="104"/>
        <v>6.2874058002209215E-2</v>
      </c>
      <c r="AJ275" s="5">
        <f t="shared" si="105"/>
        <v>534.86072625133454</v>
      </c>
      <c r="AK275" s="6">
        <f t="shared" si="106"/>
        <v>489.57596361464567</v>
      </c>
      <c r="AM275" s="1">
        <f t="shared" si="99"/>
        <v>44624</v>
      </c>
      <c r="AN275">
        <f t="shared" si="100"/>
        <v>1.0924979288246541</v>
      </c>
      <c r="AO275">
        <f t="shared" ca="1" si="86"/>
        <v>0.86670353227502916</v>
      </c>
      <c r="AP275">
        <f t="shared" ca="1" si="87"/>
        <v>0.89201410268090742</v>
      </c>
      <c r="AQ275">
        <f t="shared" ca="1" si="88"/>
        <v>0.9145594720936201</v>
      </c>
      <c r="AR275">
        <f t="shared" ca="1" si="89"/>
        <v>0.96799738473414343</v>
      </c>
      <c r="AS275">
        <f t="shared" ca="1" si="90"/>
        <v>1.0180749140850516</v>
      </c>
    </row>
    <row r="276" spans="2:45" x14ac:dyDescent="0.25">
      <c r="B276" s="22">
        <v>44631</v>
      </c>
      <c r="C276">
        <v>63.298999999999999</v>
      </c>
      <c r="D276">
        <v>66.95</v>
      </c>
      <c r="E276">
        <v>45.652999999999999</v>
      </c>
      <c r="F276">
        <v>83.590999999999994</v>
      </c>
      <c r="G276">
        <v>236.28</v>
      </c>
      <c r="H276">
        <v>42.084000000000003</v>
      </c>
      <c r="I276" s="6">
        <v>88999.06</v>
      </c>
      <c r="K276" s="23">
        <f t="shared" si="91"/>
        <v>1.1101527058973826E-2</v>
      </c>
      <c r="L276" s="24">
        <f t="shared" si="92"/>
        <v>-3.6690647482014338E-2</v>
      </c>
      <c r="M276" s="24">
        <f t="shared" si="93"/>
        <v>-2.507100604352186E-2</v>
      </c>
      <c r="N276" s="24">
        <f t="shared" si="94"/>
        <v>-5.2750266301022197E-2</v>
      </c>
      <c r="O276" s="24">
        <f t="shared" si="95"/>
        <v>-4.0880694618653846E-2</v>
      </c>
      <c r="P276" s="24">
        <f t="shared" si="96"/>
        <v>-1.7073455564638462E-2</v>
      </c>
      <c r="Q276" s="25">
        <f t="shared" si="97"/>
        <v>-5.7686137721045805E-3</v>
      </c>
      <c r="S276" s="26">
        <f t="shared" si="101"/>
        <v>-2.6894090491812812E-2</v>
      </c>
      <c r="U276" s="5">
        <f t="shared" si="102"/>
        <v>606.82881933894737</v>
      </c>
      <c r="V276" s="6">
        <f t="shared" si="103"/>
        <v>486.75178896844687</v>
      </c>
      <c r="X276" s="20">
        <f t="shared" si="98"/>
        <v>1.2466904757042083</v>
      </c>
      <c r="Z276" s="22">
        <v>44631</v>
      </c>
      <c r="AA276" s="33">
        <v>116424.9311</v>
      </c>
      <c r="AB276" s="33">
        <v>58602.719499999999</v>
      </c>
      <c r="AC276" s="33">
        <v>27658.71</v>
      </c>
      <c r="AD276" s="33">
        <v>47342.541899999997</v>
      </c>
      <c r="AE276" s="33">
        <v>185442.68659999999</v>
      </c>
      <c r="AF276" s="34">
        <v>42.084000000000003</v>
      </c>
      <c r="AH276" s="28">
        <f t="shared" si="104"/>
        <v>-2.7263357309723908E-2</v>
      </c>
      <c r="AJ276" s="5">
        <f t="shared" si="105"/>
        <v>520.27862716060599</v>
      </c>
      <c r="AK276" s="6">
        <f t="shared" si="106"/>
        <v>486.75178896844687</v>
      </c>
      <c r="AM276" s="1">
        <f t="shared" si="99"/>
        <v>44631</v>
      </c>
      <c r="AN276">
        <f t="shared" si="100"/>
        <v>1.0688787159122952</v>
      </c>
      <c r="AO276">
        <f t="shared" ca="1" si="86"/>
        <v>0.86670353227502916</v>
      </c>
      <c r="AP276">
        <f t="shared" ca="1" si="87"/>
        <v>0.89201410268090742</v>
      </c>
      <c r="AQ276">
        <f t="shared" ca="1" si="88"/>
        <v>0.9145594720936201</v>
      </c>
      <c r="AR276">
        <f t="shared" ca="1" si="89"/>
        <v>0.97725453478079838</v>
      </c>
      <c r="AS276">
        <f t="shared" ca="1" si="90"/>
        <v>1.0310598853698121</v>
      </c>
    </row>
    <row r="277" spans="2:45" x14ac:dyDescent="0.25">
      <c r="B277" s="22">
        <v>44638</v>
      </c>
      <c r="C277">
        <v>61.457999999999998</v>
      </c>
      <c r="D277">
        <v>62.3</v>
      </c>
      <c r="E277">
        <v>41.835999999999999</v>
      </c>
      <c r="F277">
        <v>78.742000000000004</v>
      </c>
      <c r="G277">
        <v>218.96799999999999</v>
      </c>
      <c r="H277">
        <v>38.387</v>
      </c>
      <c r="I277" s="6">
        <v>89057.56</v>
      </c>
      <c r="K277" s="23">
        <f t="shared" si="91"/>
        <v>-2.9084187743882217E-2</v>
      </c>
      <c r="L277" s="24">
        <f t="shared" si="92"/>
        <v>-6.9454817027632676E-2</v>
      </c>
      <c r="M277" s="24">
        <f t="shared" si="93"/>
        <v>-8.3608963266379011E-2</v>
      </c>
      <c r="N277" s="24">
        <f t="shared" si="94"/>
        <v>-5.8008637293488374E-2</v>
      </c>
      <c r="O277" s="24">
        <f t="shared" si="95"/>
        <v>-7.3269002877941469E-2</v>
      </c>
      <c r="P277" s="24">
        <f t="shared" si="96"/>
        <v>-8.7848113297215202E-2</v>
      </c>
      <c r="Q277" s="25">
        <f t="shared" si="97"/>
        <v>6.5731031316507149E-4</v>
      </c>
      <c r="S277" s="26">
        <f t="shared" si="101"/>
        <v>-6.6878953584423154E-2</v>
      </c>
      <c r="U277" s="5">
        <f t="shared" si="102"/>
        <v>566.24474289668763</v>
      </c>
      <c r="V277" s="6">
        <f t="shared" si="103"/>
        <v>487.07173593928741</v>
      </c>
      <c r="X277" s="20">
        <f t="shared" si="98"/>
        <v>1.1625489658206509</v>
      </c>
      <c r="Z277" s="22">
        <v>44638</v>
      </c>
      <c r="AA277" s="33">
        <v>113038.29760000001</v>
      </c>
      <c r="AB277" s="33">
        <v>54532.4784</v>
      </c>
      <c r="AC277" s="33">
        <v>25346.406299999999</v>
      </c>
      <c r="AD277" s="33">
        <v>44596.4548</v>
      </c>
      <c r="AE277" s="33">
        <v>171855.34950000001</v>
      </c>
      <c r="AF277" s="34">
        <v>38.387</v>
      </c>
      <c r="AH277" s="28">
        <f t="shared" si="104"/>
        <v>-5.9943137207964833E-2</v>
      </c>
      <c r="AJ277" s="5">
        <f t="shared" si="105"/>
        <v>489.0914940263462</v>
      </c>
      <c r="AK277" s="6">
        <f t="shared" si="106"/>
        <v>487.07173593928741</v>
      </c>
      <c r="AM277" s="1">
        <f t="shared" si="99"/>
        <v>44638</v>
      </c>
      <c r="AN277">
        <f t="shared" si="100"/>
        <v>1.0041467363799377</v>
      </c>
      <c r="AO277">
        <f t="shared" ca="1" si="86"/>
        <v>0.86670353227502916</v>
      </c>
      <c r="AP277">
        <f t="shared" ca="1" si="87"/>
        <v>0.89201410268090742</v>
      </c>
      <c r="AQ277">
        <f t="shared" ca="1" si="88"/>
        <v>0.9145594720936201</v>
      </c>
      <c r="AR277">
        <f t="shared" ca="1" si="89"/>
        <v>0.98190127040388486</v>
      </c>
      <c r="AS277">
        <f t="shared" ca="1" si="90"/>
        <v>1.0445860075545204</v>
      </c>
    </row>
    <row r="278" spans="2:45" x14ac:dyDescent="0.25">
      <c r="B278" s="22">
        <v>44645</v>
      </c>
      <c r="C278">
        <v>61.293999999999997</v>
      </c>
      <c r="D278">
        <v>65.099999999999994</v>
      </c>
      <c r="E278">
        <v>43.156999999999996</v>
      </c>
      <c r="F278">
        <v>86.305999999999997</v>
      </c>
      <c r="G278">
        <v>251.77</v>
      </c>
      <c r="H278">
        <v>39.026000000000003</v>
      </c>
      <c r="I278" s="6">
        <v>93010.43</v>
      </c>
      <c r="K278" s="23">
        <f t="shared" si="91"/>
        <v>-2.6684890494321767E-3</v>
      </c>
      <c r="L278" s="24">
        <f t="shared" si="92"/>
        <v>4.4943820224718989E-2</v>
      </c>
      <c r="M278" s="24">
        <f t="shared" si="93"/>
        <v>3.1575676450903423E-2</v>
      </c>
      <c r="N278" s="24">
        <f t="shared" si="94"/>
        <v>9.6060552183078851E-2</v>
      </c>
      <c r="O278" s="24">
        <f t="shared" si="95"/>
        <v>0.14980271089839614</v>
      </c>
      <c r="P278" s="24">
        <f t="shared" si="96"/>
        <v>1.6646260452757522E-2</v>
      </c>
      <c r="Q278" s="25">
        <f t="shared" si="97"/>
        <v>4.4385563673650985E-2</v>
      </c>
      <c r="S278" s="26">
        <f t="shared" si="101"/>
        <v>5.6060088526737127E-2</v>
      </c>
      <c r="U278" s="5">
        <f t="shared" si="102"/>
        <v>597.98847331127536</v>
      </c>
      <c r="V278" s="6">
        <f t="shared" si="103"/>
        <v>508.69068948845637</v>
      </c>
      <c r="X278" s="20">
        <f t="shared" si="98"/>
        <v>1.1755443645186776</v>
      </c>
      <c r="Z278" s="22">
        <v>44645</v>
      </c>
      <c r="AA278" s="33">
        <v>112737.26360000001</v>
      </c>
      <c r="AB278" s="33">
        <v>56983.376300000004</v>
      </c>
      <c r="AC278" s="33">
        <v>26146.819100000001</v>
      </c>
      <c r="AD278" s="33">
        <v>48880.350700000003</v>
      </c>
      <c r="AE278" s="33">
        <v>197599.77770000001</v>
      </c>
      <c r="AF278" s="34">
        <v>39.026000000000003</v>
      </c>
      <c r="AH278" s="28">
        <f t="shared" si="104"/>
        <v>8.0551999813358768E-2</v>
      </c>
      <c r="AJ278" s="5">
        <f t="shared" si="105"/>
        <v>528.48879196187181</v>
      </c>
      <c r="AK278" s="6">
        <f t="shared" si="106"/>
        <v>508.69068948845637</v>
      </c>
      <c r="AM278" s="1">
        <f t="shared" si="99"/>
        <v>44645</v>
      </c>
      <c r="AN278">
        <f t="shared" si="100"/>
        <v>1.038919726432038</v>
      </c>
      <c r="AO278">
        <f t="shared" ca="1" si="86"/>
        <v>0.86670353227502916</v>
      </c>
      <c r="AP278">
        <f t="shared" ca="1" si="87"/>
        <v>0.89201410268090742</v>
      </c>
      <c r="AQ278">
        <f t="shared" ca="1" si="88"/>
        <v>0.91528757736073407</v>
      </c>
      <c r="AR278">
        <f t="shared" ca="1" si="89"/>
        <v>0.98571206494463526</v>
      </c>
      <c r="AS278">
        <f t="shared" ca="1" si="90"/>
        <v>1.0445860075545204</v>
      </c>
    </row>
    <row r="279" spans="2:45" x14ac:dyDescent="0.25">
      <c r="B279" s="22">
        <v>44652</v>
      </c>
      <c r="C279">
        <v>63.954000000000001</v>
      </c>
      <c r="D279">
        <v>64.75</v>
      </c>
      <c r="E279">
        <v>41.469000000000001</v>
      </c>
      <c r="F279">
        <v>86.5</v>
      </c>
      <c r="G279">
        <v>257.71699999999998</v>
      </c>
      <c r="H279">
        <v>38.25</v>
      </c>
      <c r="I279" s="6">
        <v>92390.98</v>
      </c>
      <c r="K279" s="23">
        <f t="shared" si="91"/>
        <v>4.3397396156230617E-2</v>
      </c>
      <c r="L279" s="24">
        <f t="shared" si="92"/>
        <v>-5.3763440860213896E-3</v>
      </c>
      <c r="M279" s="24">
        <f t="shared" si="93"/>
        <v>-3.911300600134382E-2</v>
      </c>
      <c r="N279" s="24">
        <f t="shared" si="94"/>
        <v>2.2478159108290097E-3</v>
      </c>
      <c r="O279" s="24">
        <f t="shared" si="95"/>
        <v>2.3620764983913745E-2</v>
      </c>
      <c r="P279" s="24">
        <f t="shared" si="96"/>
        <v>-1.9884179777584277E-2</v>
      </c>
      <c r="Q279" s="25">
        <f t="shared" si="97"/>
        <v>-6.6600057649448541E-3</v>
      </c>
      <c r="S279" s="26">
        <f t="shared" si="101"/>
        <v>8.1540786433731416E-4</v>
      </c>
      <c r="U279" s="5">
        <f t="shared" si="102"/>
        <v>598.47607781519639</v>
      </c>
      <c r="V279" s="6">
        <f t="shared" si="103"/>
        <v>505.30280656388948</v>
      </c>
      <c r="X279" s="20">
        <f t="shared" si="98"/>
        <v>1.1843909632817886</v>
      </c>
      <c r="Z279" s="22">
        <v>44652</v>
      </c>
      <c r="AA279" s="33">
        <v>117629.0674</v>
      </c>
      <c r="AB279" s="33">
        <v>56677.014000000003</v>
      </c>
      <c r="AC279" s="33">
        <v>25124.0694</v>
      </c>
      <c r="AD279" s="33">
        <v>48990.194199999998</v>
      </c>
      <c r="AE279" s="33">
        <v>202266.89629999999</v>
      </c>
      <c r="AF279" s="34">
        <v>38.25</v>
      </c>
      <c r="AH279" s="28">
        <f t="shared" si="104"/>
        <v>1.8852326103020983E-2</v>
      </c>
      <c r="AJ279" s="5">
        <f t="shared" si="105"/>
        <v>538.45203500972855</v>
      </c>
      <c r="AK279" s="6">
        <f t="shared" si="106"/>
        <v>505.30280656388948</v>
      </c>
      <c r="AM279" s="1">
        <f t="shared" si="99"/>
        <v>44652</v>
      </c>
      <c r="AN279">
        <f t="shared" si="100"/>
        <v>1.0656027000349695</v>
      </c>
      <c r="AO279">
        <f t="shared" ca="1" si="86"/>
        <v>0.86670353227502916</v>
      </c>
      <c r="AP279">
        <f t="shared" ca="1" si="87"/>
        <v>0.89201410268090742</v>
      </c>
      <c r="AQ279">
        <f t="shared" ca="1" si="88"/>
        <v>0.91652750593618904</v>
      </c>
      <c r="AR279">
        <f t="shared" ca="1" si="89"/>
        <v>0.98748825964848874</v>
      </c>
      <c r="AS279">
        <f t="shared" ca="1" si="90"/>
        <v>1.045229397004884</v>
      </c>
    </row>
    <row r="280" spans="2:45" x14ac:dyDescent="0.25">
      <c r="B280" s="22">
        <v>44659</v>
      </c>
      <c r="C280">
        <v>66.941000000000003</v>
      </c>
      <c r="D280">
        <v>64</v>
      </c>
      <c r="E280">
        <v>43.156999999999996</v>
      </c>
      <c r="F280">
        <v>88.052000000000007</v>
      </c>
      <c r="G280">
        <v>260.54599999999999</v>
      </c>
      <c r="H280">
        <v>38.295999999999999</v>
      </c>
      <c r="I280" s="6">
        <v>92091.48</v>
      </c>
      <c r="K280" s="23">
        <f t="shared" si="91"/>
        <v>4.6705444538261975E-2</v>
      </c>
      <c r="L280" s="24">
        <f t="shared" si="92"/>
        <v>-1.158301158301156E-2</v>
      </c>
      <c r="M280" s="24">
        <f t="shared" si="93"/>
        <v>4.0705105018206345E-2</v>
      </c>
      <c r="N280" s="24">
        <f t="shared" si="94"/>
        <v>1.7942196531792076E-2</v>
      </c>
      <c r="O280" s="24">
        <f t="shared" si="95"/>
        <v>1.0977157114198999E-2</v>
      </c>
      <c r="P280" s="24">
        <f t="shared" si="96"/>
        <v>1.2026143790848653E-3</v>
      </c>
      <c r="Q280" s="25">
        <f t="shared" si="97"/>
        <v>-3.2416584389515224E-3</v>
      </c>
      <c r="S280" s="26">
        <f t="shared" si="101"/>
        <v>1.7658250999755449E-2</v>
      </c>
      <c r="U280" s="5">
        <f t="shared" si="102"/>
        <v>609.0441186146063</v>
      </c>
      <c r="V280" s="6">
        <f t="shared" si="103"/>
        <v>503.66478745676574</v>
      </c>
      <c r="X280" s="20">
        <f t="shared" si="98"/>
        <v>1.2092251310439013</v>
      </c>
      <c r="Z280" s="22">
        <v>44659</v>
      </c>
      <c r="AA280" s="33">
        <v>123122.9394</v>
      </c>
      <c r="AB280" s="33">
        <v>56020.523500000003</v>
      </c>
      <c r="AC280" s="33">
        <v>26146.819100000001</v>
      </c>
      <c r="AD280" s="33">
        <v>49868.9421</v>
      </c>
      <c r="AE280" s="33">
        <v>204487.54139999999</v>
      </c>
      <c r="AF280" s="34">
        <v>38.295999999999999</v>
      </c>
      <c r="AH280" s="28">
        <f t="shared" si="104"/>
        <v>1.9877860521289169E-2</v>
      </c>
      <c r="AJ280" s="5">
        <f t="shared" si="105"/>
        <v>549.1553094590563</v>
      </c>
      <c r="AK280" s="6">
        <f t="shared" si="106"/>
        <v>503.66478745676574</v>
      </c>
      <c r="AM280" s="1">
        <f t="shared" si="99"/>
        <v>44659</v>
      </c>
      <c r="AN280">
        <f t="shared" si="100"/>
        <v>1.0903190438068799</v>
      </c>
      <c r="AO280">
        <f t="shared" ca="1" si="86"/>
        <v>0.86670353227502916</v>
      </c>
      <c r="AP280">
        <f t="shared" ca="1" si="87"/>
        <v>0.89201410268090742</v>
      </c>
      <c r="AQ280">
        <f t="shared" ca="1" si="88"/>
        <v>0.9173081875222644</v>
      </c>
      <c r="AR280">
        <f t="shared" ca="1" si="89"/>
        <v>0.99367186376043426</v>
      </c>
      <c r="AS280">
        <f t="shared" ca="1" si="90"/>
        <v>1.0542668597593927</v>
      </c>
    </row>
    <row r="281" spans="2:45" x14ac:dyDescent="0.25">
      <c r="B281" s="22">
        <v>44666</v>
      </c>
      <c r="C281">
        <v>64.363</v>
      </c>
      <c r="D281">
        <v>62.4</v>
      </c>
      <c r="E281">
        <v>41.101999999999997</v>
      </c>
      <c r="F281">
        <v>86.888000000000005</v>
      </c>
      <c r="G281">
        <v>261.93700000000001</v>
      </c>
      <c r="H281">
        <v>37.701999999999998</v>
      </c>
      <c r="I281" s="6">
        <v>91041.37</v>
      </c>
      <c r="K281" s="23">
        <f t="shared" si="91"/>
        <v>-3.8511525074319208E-2</v>
      </c>
      <c r="L281" s="24">
        <f t="shared" si="92"/>
        <v>-2.5000000000000022E-2</v>
      </c>
      <c r="M281" s="24">
        <f t="shared" si="93"/>
        <v>-4.7616840836944174E-2</v>
      </c>
      <c r="N281" s="24">
        <f t="shared" si="94"/>
        <v>-1.3219461227456542E-2</v>
      </c>
      <c r="O281" s="24">
        <f t="shared" si="95"/>
        <v>5.338788544057449E-3</v>
      </c>
      <c r="P281" s="24">
        <f t="shared" si="96"/>
        <v>-1.551075830373938E-2</v>
      </c>
      <c r="Q281" s="25">
        <f t="shared" si="97"/>
        <v>-1.1402900680931638E-2</v>
      </c>
      <c r="S281" s="26">
        <f t="shared" si="101"/>
        <v>-2.2419966149733645E-2</v>
      </c>
      <c r="U281" s="5">
        <f t="shared" si="102"/>
        <v>595.38937009157246</v>
      </c>
      <c r="V281" s="6">
        <f t="shared" si="103"/>
        <v>497.92154790891368</v>
      </c>
      <c r="X281" s="20">
        <f t="shared" si="98"/>
        <v>1.1957493556806038</v>
      </c>
      <c r="Z281" s="22">
        <v>44666</v>
      </c>
      <c r="AA281" s="33">
        <v>118381.6526</v>
      </c>
      <c r="AB281" s="33">
        <v>54620.010399999999</v>
      </c>
      <c r="AC281" s="33">
        <v>24901.732499999998</v>
      </c>
      <c r="AD281" s="33">
        <v>49209.881200000003</v>
      </c>
      <c r="AE281" s="33">
        <v>205579.04490000001</v>
      </c>
      <c r="AF281" s="34">
        <v>37.701999999999998</v>
      </c>
      <c r="AH281" s="28">
        <f t="shared" si="104"/>
        <v>-1.5130604765194202E-2</v>
      </c>
      <c r="AJ281" s="5">
        <f t="shared" si="105"/>
        <v>540.8462575169234</v>
      </c>
      <c r="AK281" s="6">
        <f t="shared" si="106"/>
        <v>497.92154790891368</v>
      </c>
      <c r="AM281" s="1">
        <f t="shared" si="99"/>
        <v>44666</v>
      </c>
      <c r="AN281">
        <f t="shared" si="100"/>
        <v>1.0862077766834506</v>
      </c>
      <c r="AO281">
        <f t="shared" ca="1" si="86"/>
        <v>0.86670353227502916</v>
      </c>
      <c r="AP281">
        <f t="shared" ca="1" si="87"/>
        <v>0.89201410268090742</v>
      </c>
      <c r="AQ281">
        <f t="shared" ca="1" si="88"/>
        <v>0.91785901331861652</v>
      </c>
      <c r="AR281">
        <f t="shared" ca="1" si="89"/>
        <v>1.0041019637705222</v>
      </c>
      <c r="AS281">
        <f t="shared" ca="1" si="90"/>
        <v>1.0552531904976241</v>
      </c>
    </row>
    <row r="282" spans="2:45" x14ac:dyDescent="0.25">
      <c r="B282" s="22">
        <v>44673</v>
      </c>
      <c r="C282">
        <v>63.012999999999998</v>
      </c>
      <c r="D282">
        <v>62.95</v>
      </c>
      <c r="E282">
        <v>38.387</v>
      </c>
      <c r="F282">
        <v>80.099999999999994</v>
      </c>
      <c r="G282">
        <v>261.88900000000001</v>
      </c>
      <c r="H282">
        <v>34.826999999999998</v>
      </c>
      <c r="I282" s="6">
        <v>91717.07</v>
      </c>
      <c r="K282" s="23">
        <f t="shared" si="91"/>
        <v>-2.0974783648990858E-2</v>
      </c>
      <c r="L282" s="24">
        <f t="shared" si="92"/>
        <v>8.8141025641026438E-3</v>
      </c>
      <c r="M282" s="24">
        <f t="shared" si="93"/>
        <v>-6.6055179796603469E-2</v>
      </c>
      <c r="N282" s="24">
        <f t="shared" si="94"/>
        <v>-7.8123561366356786E-2</v>
      </c>
      <c r="O282" s="24">
        <f t="shared" si="95"/>
        <v>-1.832501708426415E-4</v>
      </c>
      <c r="P282" s="24">
        <f t="shared" si="96"/>
        <v>-7.6255901543684668E-2</v>
      </c>
      <c r="Q282" s="25">
        <f t="shared" si="97"/>
        <v>7.4219006150721967E-3</v>
      </c>
      <c r="S282" s="26">
        <f t="shared" si="101"/>
        <v>-3.8796428993729294E-2</v>
      </c>
      <c r="U282" s="5">
        <f t="shared" si="102"/>
        <v>572.29038867119357</v>
      </c>
      <c r="V282" s="6">
        <f t="shared" si="103"/>
        <v>501.61707215159657</v>
      </c>
      <c r="X282" s="20">
        <f t="shared" si="98"/>
        <v>1.1408909713069701</v>
      </c>
      <c r="Z282" s="22">
        <v>44673</v>
      </c>
      <c r="AA282" s="33">
        <v>115898.1214</v>
      </c>
      <c r="AB282" s="33">
        <v>55101.436800000003</v>
      </c>
      <c r="AC282" s="33">
        <v>23256.4395</v>
      </c>
      <c r="AD282" s="33">
        <v>45365.359199999999</v>
      </c>
      <c r="AE282" s="33">
        <v>205541.4069</v>
      </c>
      <c r="AF282" s="34">
        <v>34.826999999999998</v>
      </c>
      <c r="AH282" s="28">
        <f t="shared" si="104"/>
        <v>-1.6635720564944629E-2</v>
      </c>
      <c r="AJ282" s="5">
        <f t="shared" si="105"/>
        <v>531.84889030827571</v>
      </c>
      <c r="AK282" s="6">
        <f t="shared" si="106"/>
        <v>501.61707215159657</v>
      </c>
      <c r="AM282" s="1">
        <f t="shared" si="99"/>
        <v>44673</v>
      </c>
      <c r="AN282">
        <f t="shared" si="100"/>
        <v>1.0602687185805004</v>
      </c>
      <c r="AO282">
        <f t="shared" ca="1" si="86"/>
        <v>0.86670353227502916</v>
      </c>
      <c r="AP282">
        <f t="shared" ca="1" si="87"/>
        <v>0.89898902252942636</v>
      </c>
      <c r="AQ282">
        <f t="shared" ca="1" si="88"/>
        <v>0.92311579353712658</v>
      </c>
      <c r="AR282">
        <f t="shared" ca="1" si="89"/>
        <v>1.0072880132269404</v>
      </c>
      <c r="AS282">
        <f t="shared" ca="1" si="90"/>
        <v>1.0645684164743185</v>
      </c>
    </row>
    <row r="283" spans="2:45" x14ac:dyDescent="0.25">
      <c r="B283" s="22">
        <v>44680</v>
      </c>
      <c r="C283">
        <v>62.072000000000003</v>
      </c>
      <c r="D283">
        <v>58.85</v>
      </c>
      <c r="E283">
        <v>36.991999999999997</v>
      </c>
      <c r="F283">
        <v>76.492000000000004</v>
      </c>
      <c r="G283">
        <v>251.626</v>
      </c>
      <c r="H283">
        <v>35.146000000000001</v>
      </c>
      <c r="I283" s="6">
        <v>88250.97</v>
      </c>
      <c r="K283" s="23">
        <f t="shared" si="91"/>
        <v>-1.4933426435814745E-2</v>
      </c>
      <c r="L283" s="24">
        <f t="shared" si="92"/>
        <v>-6.5131056393963438E-2</v>
      </c>
      <c r="M283" s="24">
        <f t="shared" si="93"/>
        <v>-3.6340427748977611E-2</v>
      </c>
      <c r="N283" s="24">
        <f t="shared" si="94"/>
        <v>-4.5043695380773907E-2</v>
      </c>
      <c r="O283" s="24">
        <f t="shared" si="95"/>
        <v>-3.9188358426661685E-2</v>
      </c>
      <c r="P283" s="24">
        <f t="shared" si="96"/>
        <v>9.1595601114078384E-3</v>
      </c>
      <c r="Q283" s="25">
        <f t="shared" si="97"/>
        <v>-3.7791220325725683E-2</v>
      </c>
      <c r="S283" s="26">
        <f t="shared" si="101"/>
        <v>-3.1912900712463922E-2</v>
      </c>
      <c r="U283" s="5">
        <f t="shared" si="102"/>
        <v>554.02694231883243</v>
      </c>
      <c r="V283" s="6">
        <f t="shared" si="103"/>
        <v>482.66035085877013</v>
      </c>
      <c r="X283" s="20">
        <f t="shared" si="98"/>
        <v>1.147860895002218</v>
      </c>
      <c r="Z283" s="22">
        <v>44680</v>
      </c>
      <c r="AA283" s="33">
        <v>114167.17539999999</v>
      </c>
      <c r="AB283" s="33">
        <v>51512.622000000003</v>
      </c>
      <c r="AC283" s="33">
        <v>22411.559300000001</v>
      </c>
      <c r="AD283" s="33">
        <v>43322.270400000001</v>
      </c>
      <c r="AE283" s="33">
        <v>197486.86360000001</v>
      </c>
      <c r="AF283" s="34">
        <v>35.146000000000001</v>
      </c>
      <c r="AH283" s="28">
        <f t="shared" si="104"/>
        <v>-3.6529071357892802E-2</v>
      </c>
      <c r="AJ283" s="5">
        <f t="shared" si="105"/>
        <v>512.42094424258858</v>
      </c>
      <c r="AK283" s="6">
        <f t="shared" si="106"/>
        <v>482.66035085877013</v>
      </c>
      <c r="AM283" s="1">
        <f t="shared" si="99"/>
        <v>44680</v>
      </c>
      <c r="AN283">
        <f t="shared" si="100"/>
        <v>1.0616594947790245</v>
      </c>
      <c r="AO283">
        <f t="shared" ca="1" si="86"/>
        <v>0.86670353227502916</v>
      </c>
      <c r="AP283">
        <f t="shared" ca="1" si="87"/>
        <v>0.89898902252942636</v>
      </c>
      <c r="AQ283">
        <f t="shared" ca="1" si="88"/>
        <v>0.92933603301061418</v>
      </c>
      <c r="AR283">
        <f t="shared" ca="1" si="89"/>
        <v>1.0170904744115887</v>
      </c>
      <c r="AS283">
        <f t="shared" ca="1" si="90"/>
        <v>1.0650693018895225</v>
      </c>
    </row>
    <row r="284" spans="2:45" x14ac:dyDescent="0.25">
      <c r="B284" s="22">
        <v>44687</v>
      </c>
      <c r="C284">
        <v>59.78</v>
      </c>
      <c r="D284">
        <v>58.85</v>
      </c>
      <c r="E284">
        <v>36.110999999999997</v>
      </c>
      <c r="F284">
        <v>74.707999999999998</v>
      </c>
      <c r="G284">
        <v>240.64400000000001</v>
      </c>
      <c r="H284">
        <v>34.826999999999998</v>
      </c>
      <c r="I284" s="6">
        <v>86507.22</v>
      </c>
      <c r="K284" s="23">
        <f t="shared" si="91"/>
        <v>-3.6924861451217983E-2</v>
      </c>
      <c r="L284" s="24">
        <f t="shared" si="92"/>
        <v>0</v>
      </c>
      <c r="M284" s="24">
        <f t="shared" si="93"/>
        <v>-2.3815960207612452E-2</v>
      </c>
      <c r="N284" s="24">
        <f t="shared" si="94"/>
        <v>-2.3322700413115127E-2</v>
      </c>
      <c r="O284" s="24">
        <f t="shared" si="95"/>
        <v>-4.364413852304605E-2</v>
      </c>
      <c r="P284" s="24">
        <f t="shared" si="96"/>
        <v>-9.0764240596370449E-3</v>
      </c>
      <c r="Q284" s="25">
        <f t="shared" si="97"/>
        <v>-1.9758989617904454E-2</v>
      </c>
      <c r="S284" s="26">
        <f t="shared" si="101"/>
        <v>-2.279734744243811E-2</v>
      </c>
      <c r="U284" s="5">
        <f t="shared" si="102"/>
        <v>541.39659762231838</v>
      </c>
      <c r="V284" s="6">
        <f t="shared" si="103"/>
        <v>473.12346999717755</v>
      </c>
      <c r="X284" s="20">
        <f t="shared" si="98"/>
        <v>1.144302982106443</v>
      </c>
      <c r="Z284" s="22">
        <v>44687</v>
      </c>
      <c r="AA284" s="33">
        <v>109952.6983</v>
      </c>
      <c r="AB284" s="33">
        <v>51512.622000000003</v>
      </c>
      <c r="AC284" s="33">
        <v>21877.950700000001</v>
      </c>
      <c r="AD284" s="33">
        <v>42311.710299999999</v>
      </c>
      <c r="AE284" s="33">
        <v>188867.74950000001</v>
      </c>
      <c r="AF284" s="34">
        <v>34.826999999999998</v>
      </c>
      <c r="AH284" s="28">
        <f t="shared" si="104"/>
        <v>-3.3523013882042207E-2</v>
      </c>
      <c r="AJ284" s="5">
        <f t="shared" si="105"/>
        <v>495.24304981529514</v>
      </c>
      <c r="AK284" s="6">
        <f t="shared" si="106"/>
        <v>473.12346999717755</v>
      </c>
      <c r="AM284" s="1">
        <f t="shared" si="99"/>
        <v>44687</v>
      </c>
      <c r="AN284">
        <f t="shared" si="100"/>
        <v>1.046752235348311</v>
      </c>
      <c r="AO284">
        <f t="shared" ca="1" si="86"/>
        <v>0.86670353227502916</v>
      </c>
      <c r="AP284">
        <f t="shared" ca="1" si="87"/>
        <v>0.89898902252942636</v>
      </c>
      <c r="AQ284">
        <f t="shared" ca="1" si="88"/>
        <v>0.94174110977219261</v>
      </c>
      <c r="AR284">
        <f t="shared" ca="1" si="89"/>
        <v>1.0217912327389809</v>
      </c>
      <c r="AS284">
        <f t="shared" ca="1" si="90"/>
        <v>1.065208379509375</v>
      </c>
    </row>
    <row r="285" spans="2:45" x14ac:dyDescent="0.25">
      <c r="B285" s="22">
        <v>44694</v>
      </c>
      <c r="C285">
        <v>61.457999999999998</v>
      </c>
      <c r="D285">
        <v>59.95</v>
      </c>
      <c r="E285">
        <v>37.579000000000001</v>
      </c>
      <c r="F285">
        <v>71.527000000000001</v>
      </c>
      <c r="G285">
        <v>248.989</v>
      </c>
      <c r="H285">
        <v>35.100999999999999</v>
      </c>
      <c r="I285" s="6">
        <v>88795.77</v>
      </c>
      <c r="K285" s="23">
        <f t="shared" si="91"/>
        <v>2.8069588491134168E-2</v>
      </c>
      <c r="L285" s="24">
        <f t="shared" si="92"/>
        <v>1.8691588785046731E-2</v>
      </c>
      <c r="M285" s="24">
        <f t="shared" si="93"/>
        <v>4.0652432776716374E-2</v>
      </c>
      <c r="N285" s="24">
        <f t="shared" si="94"/>
        <v>-4.2579107993789167E-2</v>
      </c>
      <c r="O285" s="24">
        <f t="shared" si="95"/>
        <v>3.4677781286880149E-2</v>
      </c>
      <c r="P285" s="24">
        <f t="shared" si="96"/>
        <v>7.8674591552532203E-3</v>
      </c>
      <c r="Q285" s="25">
        <f t="shared" si="97"/>
        <v>2.6455017280638593E-2</v>
      </c>
      <c r="S285" s="26">
        <f t="shared" si="101"/>
        <v>1.4563290416873579E-2</v>
      </c>
      <c r="U285" s="5">
        <f t="shared" si="102"/>
        <v>549.28111350419942</v>
      </c>
      <c r="V285" s="6">
        <f t="shared" si="103"/>
        <v>485.63995957182857</v>
      </c>
      <c r="X285" s="20">
        <f t="shared" si="98"/>
        <v>1.1310459583854693</v>
      </c>
      <c r="Z285" s="22">
        <v>44694</v>
      </c>
      <c r="AA285" s="33">
        <v>113038.29760000001</v>
      </c>
      <c r="AB285" s="33">
        <v>52475.474800000004</v>
      </c>
      <c r="AC285" s="33">
        <v>22767.298299999999</v>
      </c>
      <c r="AD285" s="33">
        <v>40510.277199999997</v>
      </c>
      <c r="AE285" s="33">
        <v>195416.77069999999</v>
      </c>
      <c r="AF285" s="34">
        <v>35.100999999999999</v>
      </c>
      <c r="AH285" s="28">
        <f t="shared" si="104"/>
        <v>2.3366514751305998E-2</v>
      </c>
      <c r="AJ285" s="5">
        <f t="shared" si="105"/>
        <v>506.81515384428599</v>
      </c>
      <c r="AK285" s="6">
        <f t="shared" si="106"/>
        <v>485.63995957182857</v>
      </c>
      <c r="AM285" s="1">
        <f t="shared" si="99"/>
        <v>44694</v>
      </c>
      <c r="AN285">
        <f t="shared" si="100"/>
        <v>1.0436026604794357</v>
      </c>
      <c r="AO285">
        <f t="shared" ca="1" si="86"/>
        <v>0.86670353227502916</v>
      </c>
      <c r="AP285">
        <f t="shared" ca="1" si="87"/>
        <v>0.90303399011703922</v>
      </c>
      <c r="AQ285">
        <f t="shared" ca="1" si="88"/>
        <v>0.95714733695756149</v>
      </c>
      <c r="AR285">
        <f t="shared" ca="1" si="89"/>
        <v>1.0340943055543106</v>
      </c>
      <c r="AS285">
        <f t="shared" ca="1" si="90"/>
        <v>1.065208379509375</v>
      </c>
    </row>
    <row r="286" spans="2:45" x14ac:dyDescent="0.25">
      <c r="B286" s="22">
        <v>44701</v>
      </c>
      <c r="C286">
        <v>62.195</v>
      </c>
      <c r="D286">
        <v>58.75</v>
      </c>
      <c r="E286">
        <v>36.661999999999999</v>
      </c>
      <c r="F286">
        <v>68.269000000000005</v>
      </c>
      <c r="G286">
        <v>251.291</v>
      </c>
      <c r="H286">
        <v>35.375</v>
      </c>
      <c r="I286" s="6">
        <v>88118.96</v>
      </c>
      <c r="K286" s="23">
        <f t="shared" si="91"/>
        <v>1.1991929447753069E-2</v>
      </c>
      <c r="L286" s="24">
        <f t="shared" si="92"/>
        <v>-2.0016680567139344E-2</v>
      </c>
      <c r="M286" s="24">
        <f t="shared" si="93"/>
        <v>-2.4401926607945934E-2</v>
      </c>
      <c r="N286" s="24">
        <f t="shared" si="94"/>
        <v>-4.5549233156710001E-2</v>
      </c>
      <c r="O286" s="24">
        <f t="shared" si="95"/>
        <v>9.2453883504892698E-3</v>
      </c>
      <c r="P286" s="24">
        <f t="shared" si="96"/>
        <v>7.806045411811624E-3</v>
      </c>
      <c r="Q286" s="25">
        <f t="shared" si="97"/>
        <v>-7.6220973138697579E-3</v>
      </c>
      <c r="S286" s="26">
        <f t="shared" si="101"/>
        <v>-1.0154079520290219E-2</v>
      </c>
      <c r="U286" s="5">
        <f t="shared" si="102"/>
        <v>543.70366939868427</v>
      </c>
      <c r="V286" s="6">
        <f t="shared" si="103"/>
        <v>481.93836454046834</v>
      </c>
      <c r="X286" s="20">
        <f t="shared" si="98"/>
        <v>1.1281601744179666</v>
      </c>
      <c r="Z286" s="22">
        <v>44701</v>
      </c>
      <c r="AA286" s="33">
        <v>114392.951</v>
      </c>
      <c r="AB286" s="33">
        <v>51425.09</v>
      </c>
      <c r="AC286" s="33">
        <v>22211.456099999999</v>
      </c>
      <c r="AD286" s="33">
        <v>38664.906600000002</v>
      </c>
      <c r="AE286" s="33">
        <v>197223.39720000001</v>
      </c>
      <c r="AF286" s="34">
        <v>35.375</v>
      </c>
      <c r="AH286" s="28">
        <f t="shared" si="104"/>
        <v>-6.8035877043114796E-4</v>
      </c>
      <c r="AJ286" s="5">
        <f t="shared" si="105"/>
        <v>506.4703377093806</v>
      </c>
      <c r="AK286" s="6">
        <f t="shared" si="106"/>
        <v>481.93836454046834</v>
      </c>
      <c r="AM286" s="1">
        <f t="shared" si="99"/>
        <v>44701</v>
      </c>
      <c r="AN286">
        <f t="shared" si="100"/>
        <v>1.0509027190485314</v>
      </c>
      <c r="AO286">
        <f t="shared" ca="1" si="86"/>
        <v>0.86762722884677979</v>
      </c>
      <c r="AP286">
        <f t="shared" ca="1" si="87"/>
        <v>0.9040095833135432</v>
      </c>
      <c r="AQ286">
        <f t="shared" ca="1" si="88"/>
        <v>0.96252509653568574</v>
      </c>
      <c r="AR286">
        <f t="shared" ca="1" si="89"/>
        <v>1.0400904599438874</v>
      </c>
      <c r="AS286">
        <f t="shared" ca="1" si="90"/>
        <v>1.065208379509375</v>
      </c>
    </row>
    <row r="287" spans="2:45" x14ac:dyDescent="0.25">
      <c r="B287" s="22">
        <v>44708</v>
      </c>
      <c r="C287">
        <v>66.941000000000003</v>
      </c>
      <c r="D287">
        <v>61</v>
      </c>
      <c r="E287">
        <v>41.249000000000002</v>
      </c>
      <c r="F287">
        <v>77.772000000000006</v>
      </c>
      <c r="G287">
        <v>270.08999999999997</v>
      </c>
      <c r="H287">
        <v>35.603000000000002</v>
      </c>
      <c r="I287" s="6">
        <v>93683.29</v>
      </c>
      <c r="K287" s="23">
        <f t="shared" si="91"/>
        <v>7.6308384918401861E-2</v>
      </c>
      <c r="L287" s="24">
        <f t="shared" si="92"/>
        <v>3.8297872340425476E-2</v>
      </c>
      <c r="M287" s="24">
        <f t="shared" si="93"/>
        <v>0.12511592384485315</v>
      </c>
      <c r="N287" s="24">
        <f t="shared" si="94"/>
        <v>0.13919934377242971</v>
      </c>
      <c r="O287" s="24">
        <f t="shared" si="95"/>
        <v>7.4809682798030908E-2</v>
      </c>
      <c r="P287" s="24">
        <f t="shared" si="96"/>
        <v>6.4452296819788035E-3</v>
      </c>
      <c r="Q287" s="25">
        <f t="shared" si="97"/>
        <v>6.3145661274259135E-2</v>
      </c>
      <c r="S287" s="26">
        <f t="shared" si="101"/>
        <v>7.6696072892686651E-2</v>
      </c>
      <c r="U287" s="5">
        <f t="shared" si="102"/>
        <v>585.40360565890694</v>
      </c>
      <c r="V287" s="6">
        <f t="shared" si="103"/>
        <v>512.37068126281122</v>
      </c>
      <c r="X287" s="20">
        <f t="shared" si="98"/>
        <v>1.1425392339313709</v>
      </c>
      <c r="Z287" s="22">
        <v>44708</v>
      </c>
      <c r="AA287" s="33">
        <v>123122.9394</v>
      </c>
      <c r="AB287" s="33">
        <v>53394.561500000003</v>
      </c>
      <c r="AC287" s="33">
        <v>24990.667300000001</v>
      </c>
      <c r="AD287" s="33">
        <v>44047.237399999998</v>
      </c>
      <c r="AE287" s="33">
        <v>211977.51389999999</v>
      </c>
      <c r="AF287" s="34">
        <v>35.603000000000002</v>
      </c>
      <c r="AH287" s="28">
        <f t="shared" si="104"/>
        <v>7.9287522868371596E-2</v>
      </c>
      <c r="AJ287" s="5">
        <f t="shared" si="105"/>
        <v>546.62711619266497</v>
      </c>
      <c r="AK287" s="6">
        <f t="shared" si="106"/>
        <v>512.37068126281122</v>
      </c>
      <c r="AM287" s="1">
        <f t="shared" si="99"/>
        <v>44708</v>
      </c>
      <c r="AN287">
        <f t="shared" si="100"/>
        <v>1.0668586946572038</v>
      </c>
      <c r="AO287">
        <f t="shared" ca="1" si="86"/>
        <v>0.87020315980135643</v>
      </c>
      <c r="AP287">
        <f t="shared" ca="1" si="87"/>
        <v>0.90518381207634246</v>
      </c>
      <c r="AQ287">
        <f t="shared" ca="1" si="88"/>
        <v>0.96446832420000184</v>
      </c>
      <c r="AR287">
        <f t="shared" ca="1" si="89"/>
        <v>1.0441846132378214</v>
      </c>
      <c r="AS287">
        <f t="shared" ca="1" si="90"/>
        <v>1.065208379509375</v>
      </c>
    </row>
    <row r="288" spans="2:45" x14ac:dyDescent="0.25">
      <c r="B288" s="22">
        <v>44715</v>
      </c>
      <c r="C288">
        <v>66.777000000000001</v>
      </c>
      <c r="D288">
        <v>62.95</v>
      </c>
      <c r="E288">
        <v>43.965000000000003</v>
      </c>
      <c r="F288">
        <v>78.353999999999999</v>
      </c>
      <c r="G288">
        <v>262.99200000000002</v>
      </c>
      <c r="H288">
        <v>36.058999999999997</v>
      </c>
      <c r="I288" s="6">
        <v>91775.17</v>
      </c>
      <c r="K288" s="23">
        <f t="shared" si="91"/>
        <v>-2.4499185850226368E-3</v>
      </c>
      <c r="L288" s="24">
        <f t="shared" si="92"/>
        <v>3.1967213114754145E-2</v>
      </c>
      <c r="M288" s="24">
        <f t="shared" si="93"/>
        <v>6.584402046110216E-2</v>
      </c>
      <c r="N288" s="24">
        <f t="shared" si="94"/>
        <v>7.4834130535410548E-3</v>
      </c>
      <c r="O288" s="24">
        <f t="shared" si="95"/>
        <v>-2.6280128845940109E-2</v>
      </c>
      <c r="P288" s="24">
        <f t="shared" si="96"/>
        <v>1.2807909445833099E-2</v>
      </c>
      <c r="Q288" s="25">
        <f t="shared" si="97"/>
        <v>-2.0367773164242986E-2</v>
      </c>
      <c r="S288" s="26">
        <f t="shared" si="101"/>
        <v>1.4895418107377953E-2</v>
      </c>
      <c r="U288" s="5">
        <f t="shared" si="102"/>
        <v>594.12343712676295</v>
      </c>
      <c r="V288" s="6">
        <f t="shared" si="103"/>
        <v>501.93483145084161</v>
      </c>
      <c r="X288" s="20">
        <f t="shared" si="98"/>
        <v>1.1836664839725315</v>
      </c>
      <c r="Z288" s="22">
        <v>44715</v>
      </c>
      <c r="AA288" s="33">
        <v>122821.9053</v>
      </c>
      <c r="AB288" s="33">
        <v>55101.436800000003</v>
      </c>
      <c r="AC288" s="33">
        <v>26635.960299999999</v>
      </c>
      <c r="AD288" s="33">
        <v>44376.767800000001</v>
      </c>
      <c r="AE288" s="33">
        <v>206407.0821</v>
      </c>
      <c r="AF288" s="34">
        <v>36.058999999999997</v>
      </c>
      <c r="AH288" s="28">
        <f t="shared" si="104"/>
        <v>-4.7861608491742589E-3</v>
      </c>
      <c r="AJ288" s="5">
        <f t="shared" si="105"/>
        <v>544.01087089004659</v>
      </c>
      <c r="AK288" s="6">
        <f t="shared" si="106"/>
        <v>501.93483145084161</v>
      </c>
      <c r="AM288" s="1">
        <f t="shared" si="99"/>
        <v>44715</v>
      </c>
      <c r="AN288">
        <f t="shared" si="100"/>
        <v>1.0838276939609555</v>
      </c>
      <c r="AO288">
        <f t="shared" ca="1" si="86"/>
        <v>0.87212074129650763</v>
      </c>
      <c r="AP288">
        <f t="shared" ca="1" si="87"/>
        <v>0.90641307653239522</v>
      </c>
      <c r="AQ288">
        <f t="shared" ca="1" si="88"/>
        <v>0.97069716966234865</v>
      </c>
      <c r="AR288">
        <f t="shared" ca="1" si="89"/>
        <v>1.0461359124718113</v>
      </c>
      <c r="AS288">
        <f t="shared" ca="1" si="90"/>
        <v>1.0667330951949805</v>
      </c>
    </row>
    <row r="289" spans="2:45" x14ac:dyDescent="0.25">
      <c r="B289" s="22">
        <v>44722</v>
      </c>
      <c r="C289">
        <v>62.113</v>
      </c>
      <c r="D289">
        <v>57.9</v>
      </c>
      <c r="E289">
        <v>40.661999999999999</v>
      </c>
      <c r="F289">
        <v>70.751999999999995</v>
      </c>
      <c r="G289">
        <v>267.83600000000001</v>
      </c>
      <c r="H289">
        <v>34.598999999999997</v>
      </c>
      <c r="I289" s="6">
        <v>89141.39</v>
      </c>
      <c r="K289" s="23">
        <f t="shared" si="91"/>
        <v>-6.9844407505578299E-2</v>
      </c>
      <c r="L289" s="24">
        <f t="shared" si="92"/>
        <v>-8.0222398729150157E-2</v>
      </c>
      <c r="M289" s="24">
        <f t="shared" si="93"/>
        <v>-7.5127942681678661E-2</v>
      </c>
      <c r="N289" s="24">
        <f t="shared" si="94"/>
        <v>-9.7021211425070919E-2</v>
      </c>
      <c r="O289" s="24">
        <f t="shared" si="95"/>
        <v>1.8418811218592124E-2</v>
      </c>
      <c r="P289" s="24">
        <f t="shared" si="96"/>
        <v>-4.0489198258409909E-2</v>
      </c>
      <c r="Q289" s="25">
        <f t="shared" si="97"/>
        <v>-2.8698176206047865E-2</v>
      </c>
      <c r="S289" s="26">
        <f t="shared" si="101"/>
        <v>-5.7381057896882637E-2</v>
      </c>
      <c r="U289" s="5">
        <f t="shared" si="102"/>
        <v>560.03200578309725</v>
      </c>
      <c r="V289" s="6">
        <f t="shared" si="103"/>
        <v>487.53021721391241</v>
      </c>
      <c r="X289" s="20">
        <f t="shared" si="98"/>
        <v>1.148712399784183</v>
      </c>
      <c r="Z289" s="22">
        <v>44722</v>
      </c>
      <c r="AA289" s="33">
        <v>114242.43399999999</v>
      </c>
      <c r="AB289" s="33">
        <v>50681.0674</v>
      </c>
      <c r="AC289" s="33">
        <v>24634.928199999998</v>
      </c>
      <c r="AD289" s="33">
        <v>40070.903200000001</v>
      </c>
      <c r="AE289" s="33">
        <v>210208.52540000001</v>
      </c>
      <c r="AF289" s="34">
        <v>34.598999999999997</v>
      </c>
      <c r="AH289" s="28">
        <f t="shared" si="104"/>
        <v>-3.4048704559952792E-2</v>
      </c>
      <c r="AJ289" s="5">
        <f t="shared" si="105"/>
        <v>525.48800546970881</v>
      </c>
      <c r="AK289" s="6">
        <f t="shared" si="106"/>
        <v>487.53021721391241</v>
      </c>
      <c r="AM289" s="1">
        <f t="shared" si="99"/>
        <v>44722</v>
      </c>
      <c r="AN289">
        <f t="shared" si="100"/>
        <v>1.0778573038461363</v>
      </c>
      <c r="AO289">
        <f t="shared" ca="1" si="86"/>
        <v>0.87262521007596616</v>
      </c>
      <c r="AP289">
        <f t="shared" ca="1" si="87"/>
        <v>0.90802466370449852</v>
      </c>
      <c r="AQ289">
        <f t="shared" ca="1" si="88"/>
        <v>0.97841233004283767</v>
      </c>
      <c r="AR289">
        <f t="shared" ca="1" si="89"/>
        <v>1.0477898562733661</v>
      </c>
      <c r="AS289">
        <f t="shared" ca="1" si="90"/>
        <v>1.0686767137867861</v>
      </c>
    </row>
    <row r="290" spans="2:45" x14ac:dyDescent="0.25">
      <c r="B290" s="22">
        <v>44729</v>
      </c>
      <c r="C290">
        <v>63.012999999999998</v>
      </c>
      <c r="D290">
        <v>56.75</v>
      </c>
      <c r="E290">
        <v>38.533000000000001</v>
      </c>
      <c r="F290">
        <v>62.915999999999997</v>
      </c>
      <c r="G290">
        <v>244.001</v>
      </c>
      <c r="H290">
        <v>33.823</v>
      </c>
      <c r="I290" s="6">
        <v>87060.9</v>
      </c>
      <c r="K290" s="23">
        <f t="shared" si="91"/>
        <v>1.448972034839735E-2</v>
      </c>
      <c r="L290" s="24">
        <f t="shared" si="92"/>
        <v>-1.9861830742659681E-2</v>
      </c>
      <c r="M290" s="24">
        <f t="shared" si="93"/>
        <v>-5.2358467365107408E-2</v>
      </c>
      <c r="N290" s="24">
        <f t="shared" si="94"/>
        <v>-0.11075305291723203</v>
      </c>
      <c r="O290" s="24">
        <f t="shared" si="95"/>
        <v>-8.8991024358189397E-2</v>
      </c>
      <c r="P290" s="24">
        <f t="shared" si="96"/>
        <v>-2.2428393884216247E-2</v>
      </c>
      <c r="Q290" s="25">
        <f t="shared" si="97"/>
        <v>-2.3339214252773077E-2</v>
      </c>
      <c r="S290" s="26">
        <f t="shared" si="101"/>
        <v>-4.6650508153167902E-2</v>
      </c>
      <c r="U290" s="5">
        <f t="shared" si="102"/>
        <v>533.90622813127789</v>
      </c>
      <c r="V290" s="6">
        <f t="shared" si="103"/>
        <v>476.15164501965592</v>
      </c>
      <c r="X290" s="20">
        <f t="shared" si="98"/>
        <v>1.1212945155513172</v>
      </c>
      <c r="Z290" s="22">
        <v>44729</v>
      </c>
      <c r="AA290" s="33">
        <v>115898.1214</v>
      </c>
      <c r="AB290" s="33">
        <v>49674.448600000003</v>
      </c>
      <c r="AC290" s="33">
        <v>23345.374199999998</v>
      </c>
      <c r="AD290" s="33">
        <v>35633.226499999997</v>
      </c>
      <c r="AE290" s="33">
        <v>191502.41320000001</v>
      </c>
      <c r="AF290" s="34">
        <v>33.823</v>
      </c>
      <c r="AH290" s="28">
        <f t="shared" si="104"/>
        <v>-5.4076010951700733E-2</v>
      </c>
      <c r="AJ290" s="5">
        <f t="shared" si="105"/>
        <v>497.07171033094141</v>
      </c>
      <c r="AK290" s="6">
        <f t="shared" si="106"/>
        <v>476.15164501965592</v>
      </c>
      <c r="AM290" s="1">
        <f t="shared" si="99"/>
        <v>44729</v>
      </c>
      <c r="AN290">
        <f t="shared" si="100"/>
        <v>1.043935719912134</v>
      </c>
      <c r="AO290">
        <f t="shared" ca="1" si="86"/>
        <v>0.87262521007596616</v>
      </c>
      <c r="AP290">
        <f t="shared" ca="1" si="87"/>
        <v>0.91161675168698686</v>
      </c>
      <c r="AQ290">
        <f t="shared" ca="1" si="88"/>
        <v>0.98307462024085357</v>
      </c>
      <c r="AR290">
        <f t="shared" ca="1" si="89"/>
        <v>1.0519753205664248</v>
      </c>
      <c r="AS290">
        <f t="shared" ca="1" si="90"/>
        <v>1.0769594450527522</v>
      </c>
    </row>
    <row r="291" spans="2:45" x14ac:dyDescent="0.25">
      <c r="B291" s="22">
        <v>44736</v>
      </c>
      <c r="C291">
        <v>60.884999999999998</v>
      </c>
      <c r="D291">
        <v>54.9</v>
      </c>
      <c r="E291">
        <v>36.258000000000003</v>
      </c>
      <c r="F291">
        <v>57.485999999999997</v>
      </c>
      <c r="G291">
        <v>232.684</v>
      </c>
      <c r="H291">
        <v>31.266999999999999</v>
      </c>
      <c r="I291" s="6">
        <v>82605.64</v>
      </c>
      <c r="K291" s="23">
        <f t="shared" si="91"/>
        <v>-3.3770809198101936E-2</v>
      </c>
      <c r="L291" s="24">
        <f t="shared" si="92"/>
        <v>-3.2599118942731264E-2</v>
      </c>
      <c r="M291" s="24">
        <f t="shared" si="93"/>
        <v>-5.9040303116808968E-2</v>
      </c>
      <c r="N291" s="24">
        <f t="shared" si="94"/>
        <v>-8.6305550257486208E-2</v>
      </c>
      <c r="O291" s="24">
        <f t="shared" si="95"/>
        <v>-4.6380957455092409E-2</v>
      </c>
      <c r="P291" s="24">
        <f t="shared" si="96"/>
        <v>-7.5569878485054587E-2</v>
      </c>
      <c r="Q291" s="25">
        <f t="shared" si="97"/>
        <v>-5.1174063213221932E-2</v>
      </c>
      <c r="S291" s="26">
        <f t="shared" si="101"/>
        <v>-5.5611102909212562E-2</v>
      </c>
      <c r="U291" s="5">
        <f t="shared" si="102"/>
        <v>504.21511393479989</v>
      </c>
      <c r="V291" s="6">
        <f t="shared" si="103"/>
        <v>451.78503063834046</v>
      </c>
      <c r="X291" s="20">
        <f t="shared" si="98"/>
        <v>1.1160509528666307</v>
      </c>
      <c r="Z291" s="22">
        <v>44736</v>
      </c>
      <c r="AA291" s="33">
        <v>111984.6784</v>
      </c>
      <c r="AB291" s="33">
        <v>48055.105300000003</v>
      </c>
      <c r="AC291" s="33">
        <v>21966.8855</v>
      </c>
      <c r="AD291" s="33">
        <v>32557.608899999999</v>
      </c>
      <c r="AE291" s="33">
        <v>182619.8327</v>
      </c>
      <c r="AF291" s="34">
        <v>31.266999999999999</v>
      </c>
      <c r="AH291" s="28">
        <f t="shared" si="104"/>
        <v>-4.5354896010903638E-2</v>
      </c>
      <c r="AJ291" s="5">
        <f t="shared" si="105"/>
        <v>474.52707459891957</v>
      </c>
      <c r="AK291" s="6">
        <f t="shared" si="106"/>
        <v>451.78503063834046</v>
      </c>
      <c r="AM291" s="1">
        <f t="shared" si="99"/>
        <v>44736</v>
      </c>
      <c r="AN291">
        <f t="shared" si="100"/>
        <v>1.0503381971918062</v>
      </c>
      <c r="AO291">
        <f t="shared" ca="1" si="86"/>
        <v>0.87262521007596616</v>
      </c>
      <c r="AP291">
        <f t="shared" ca="1" si="87"/>
        <v>0.91407396531466234</v>
      </c>
      <c r="AQ291">
        <f t="shared" ca="1" si="88"/>
        <v>0.98600280997447953</v>
      </c>
      <c r="AR291">
        <f t="shared" ca="1" si="89"/>
        <v>1.0519753205664248</v>
      </c>
      <c r="AS291">
        <f t="shared" ca="1" si="90"/>
        <v>1.0769594450527522</v>
      </c>
    </row>
    <row r="292" spans="2:45" x14ac:dyDescent="0.25">
      <c r="B292" s="22">
        <v>44743</v>
      </c>
      <c r="C292">
        <v>62.521999999999998</v>
      </c>
      <c r="D292">
        <v>55.2</v>
      </c>
      <c r="E292">
        <v>39.780999999999999</v>
      </c>
      <c r="F292">
        <v>65.244</v>
      </c>
      <c r="G292">
        <v>255.31899999999999</v>
      </c>
      <c r="H292">
        <v>33.64</v>
      </c>
      <c r="I292" s="6">
        <v>90050.77</v>
      </c>
      <c r="K292" s="23">
        <f t="shared" si="91"/>
        <v>2.6886753716022005E-2</v>
      </c>
      <c r="L292" s="24">
        <f t="shared" si="92"/>
        <v>5.464480874316946E-3</v>
      </c>
      <c r="M292" s="24">
        <f t="shared" si="93"/>
        <v>9.7164763638369456E-2</v>
      </c>
      <c r="N292" s="24">
        <f t="shared" si="94"/>
        <v>0.1349545976411648</v>
      </c>
      <c r="O292" s="24">
        <f t="shared" si="95"/>
        <v>9.7277853225834043E-2</v>
      </c>
      <c r="P292" s="24">
        <f t="shared" si="96"/>
        <v>7.5894713275977965E-2</v>
      </c>
      <c r="Q292" s="25">
        <f t="shared" si="97"/>
        <v>9.0128591703907857E-2</v>
      </c>
      <c r="S292" s="26">
        <f t="shared" si="101"/>
        <v>7.2940527061947535E-2</v>
      </c>
      <c r="U292" s="5">
        <f t="shared" si="102"/>
        <v>540.99283009780402</v>
      </c>
      <c r="V292" s="6">
        <f t="shared" si="103"/>
        <v>492.50377920268096</v>
      </c>
      <c r="X292" s="20">
        <f t="shared" si="98"/>
        <v>1.098454170186516</v>
      </c>
      <c r="Z292" s="22">
        <v>44743</v>
      </c>
      <c r="AA292" s="33">
        <v>114995.0192</v>
      </c>
      <c r="AB292" s="33">
        <v>48317.701500000003</v>
      </c>
      <c r="AC292" s="33">
        <v>24101.3197</v>
      </c>
      <c r="AD292" s="33">
        <v>36951.348299999998</v>
      </c>
      <c r="AE292" s="33">
        <v>200384.99359999999</v>
      </c>
      <c r="AF292" s="34">
        <v>33.64</v>
      </c>
      <c r="AH292" s="28">
        <f t="shared" si="104"/>
        <v>6.9405533473753056E-2</v>
      </c>
      <c r="AJ292" s="5">
        <f t="shared" si="105"/>
        <v>507.46187935919704</v>
      </c>
      <c r="AK292" s="6">
        <f t="shared" si="106"/>
        <v>492.50377920268096</v>
      </c>
      <c r="AM292" s="1">
        <f t="shared" si="99"/>
        <v>44743</v>
      </c>
      <c r="AN292">
        <f t="shared" si="100"/>
        <v>1.0303715439112606</v>
      </c>
      <c r="AO292">
        <f t="shared" ca="1" si="86"/>
        <v>0.87262521007596616</v>
      </c>
      <c r="AP292">
        <f t="shared" ca="1" si="87"/>
        <v>0.91642798011798199</v>
      </c>
      <c r="AQ292">
        <f t="shared" ca="1" si="88"/>
        <v>0.98839221926280951</v>
      </c>
      <c r="AR292">
        <f t="shared" ca="1" si="89"/>
        <v>1.0519753205664248</v>
      </c>
      <c r="AS292">
        <f t="shared" ca="1" si="90"/>
        <v>1.0769594450527522</v>
      </c>
    </row>
    <row r="293" spans="2:45" x14ac:dyDescent="0.25">
      <c r="B293" s="22">
        <v>44750</v>
      </c>
      <c r="C293">
        <v>78.111999999999995</v>
      </c>
      <c r="D293">
        <v>63.6</v>
      </c>
      <c r="E293">
        <v>46.167000000000002</v>
      </c>
      <c r="F293">
        <v>70.596000000000004</v>
      </c>
      <c r="G293">
        <v>299.00700000000001</v>
      </c>
      <c r="H293">
        <v>38.57</v>
      </c>
      <c r="I293" s="6">
        <v>105850</v>
      </c>
      <c r="K293" s="23">
        <f t="shared" si="91"/>
        <v>0.24935222801573831</v>
      </c>
      <c r="L293" s="24">
        <f t="shared" si="92"/>
        <v>0.15217391304347827</v>
      </c>
      <c r="M293" s="24">
        <f t="shared" si="93"/>
        <v>0.16052889570397944</v>
      </c>
      <c r="N293" s="24">
        <f t="shared" si="94"/>
        <v>8.2030531543130447E-2</v>
      </c>
      <c r="O293" s="24">
        <f t="shared" si="95"/>
        <v>0.1711114331483361</v>
      </c>
      <c r="P293" s="24">
        <f t="shared" si="96"/>
        <v>0.14655172413793105</v>
      </c>
      <c r="Q293" s="25">
        <f t="shared" si="97"/>
        <v>0.17544802781808522</v>
      </c>
      <c r="S293" s="26">
        <f t="shared" si="101"/>
        <v>0.16029145426543226</v>
      </c>
      <c r="U293" s="5">
        <f t="shared" si="102"/>
        <v>627.70935758135295</v>
      </c>
      <c r="V293" s="6">
        <f t="shared" si="103"/>
        <v>578.91259595674501</v>
      </c>
      <c r="X293" s="20">
        <f t="shared" si="98"/>
        <v>1.0842903781424267</v>
      </c>
      <c r="Z293" s="22">
        <v>44750</v>
      </c>
      <c r="AA293" s="33">
        <v>143668.5154</v>
      </c>
      <c r="AB293" s="33">
        <v>55670.395199999999</v>
      </c>
      <c r="AC293" s="33">
        <v>27969.9817</v>
      </c>
      <c r="AD293" s="33">
        <v>39983.028400000003</v>
      </c>
      <c r="AE293" s="33">
        <v>234673.2598</v>
      </c>
      <c r="AF293" s="34">
        <v>38.57</v>
      </c>
      <c r="AH293" s="28">
        <f t="shared" si="104"/>
        <v>0.18178684770602871</v>
      </c>
      <c r="AJ293" s="5">
        <f t="shared" si="105"/>
        <v>599.71177473888247</v>
      </c>
      <c r="AK293" s="6">
        <f t="shared" si="106"/>
        <v>578.91259595674501</v>
      </c>
      <c r="AM293" s="1">
        <f t="shared" si="99"/>
        <v>44750</v>
      </c>
      <c r="AN293">
        <f t="shared" si="100"/>
        <v>1.0359280121514087</v>
      </c>
      <c r="AO293">
        <f t="shared" ca="1" si="86"/>
        <v>0.87290407910291001</v>
      </c>
      <c r="AP293">
        <f t="shared" ca="1" si="87"/>
        <v>0.91743400149995213</v>
      </c>
      <c r="AQ293">
        <f t="shared" ca="1" si="88"/>
        <v>0.99714358902941735</v>
      </c>
      <c r="AR293">
        <f t="shared" ca="1" si="89"/>
        <v>1.0519753205664248</v>
      </c>
      <c r="AS293">
        <f t="shared" ca="1" si="90"/>
        <v>1.0769594450527522</v>
      </c>
    </row>
    <row r="294" spans="2:45" x14ac:dyDescent="0.25">
      <c r="B294" s="22">
        <v>44757</v>
      </c>
      <c r="C294">
        <v>76.802000000000007</v>
      </c>
      <c r="D294">
        <v>65.7</v>
      </c>
      <c r="E294">
        <v>45.212000000000003</v>
      </c>
      <c r="F294">
        <v>69.433000000000007</v>
      </c>
      <c r="G294">
        <v>281.35899999999998</v>
      </c>
      <c r="H294">
        <v>37.884999999999998</v>
      </c>
      <c r="I294" s="6">
        <v>104222.9</v>
      </c>
      <c r="K294" s="23">
        <f t="shared" si="91"/>
        <v>-1.6770790659565549E-2</v>
      </c>
      <c r="L294" s="24">
        <f t="shared" si="92"/>
        <v>3.3018867924528239E-2</v>
      </c>
      <c r="M294" s="24">
        <f t="shared" si="93"/>
        <v>-2.0685771221868432E-2</v>
      </c>
      <c r="N294" s="24">
        <f t="shared" si="94"/>
        <v>-1.6474021191002275E-2</v>
      </c>
      <c r="O294" s="24">
        <f t="shared" si="95"/>
        <v>-5.9022029584591795E-2</v>
      </c>
      <c r="P294" s="24">
        <f t="shared" si="96"/>
        <v>-1.775991703396429E-2</v>
      </c>
      <c r="Q294" s="25">
        <f t="shared" si="97"/>
        <v>-1.5371752479924505E-2</v>
      </c>
      <c r="S294" s="26">
        <f t="shared" si="101"/>
        <v>-1.6282276961077351E-2</v>
      </c>
      <c r="U294" s="5">
        <f t="shared" si="102"/>
        <v>617.48881997015349</v>
      </c>
      <c r="V294" s="6">
        <f t="shared" si="103"/>
        <v>570.01369482418738</v>
      </c>
      <c r="X294" s="20">
        <f t="shared" si="98"/>
        <v>1.0832876921678332</v>
      </c>
      <c r="Z294" s="22">
        <v>44757</v>
      </c>
      <c r="AA294" s="33">
        <v>141260.24280000001</v>
      </c>
      <c r="AB294" s="33">
        <v>57508.568700000003</v>
      </c>
      <c r="AC294" s="33">
        <v>27391.9058</v>
      </c>
      <c r="AD294" s="33">
        <v>39323.967499999999</v>
      </c>
      <c r="AE294" s="33">
        <v>220822.4564</v>
      </c>
      <c r="AF294" s="34">
        <v>37.884999999999998</v>
      </c>
      <c r="AH294" s="28">
        <f t="shared" si="104"/>
        <v>-3.119518556669661E-2</v>
      </c>
      <c r="AJ294" s="5">
        <f t="shared" si="105"/>
        <v>581.0036546393701</v>
      </c>
      <c r="AK294" s="6">
        <f t="shared" si="106"/>
        <v>570.01369482418738</v>
      </c>
      <c r="AM294" s="1">
        <f t="shared" si="99"/>
        <v>44757</v>
      </c>
      <c r="AN294">
        <f t="shared" si="100"/>
        <v>1.0192801680292478</v>
      </c>
      <c r="AO294">
        <f t="shared" ca="1" si="86"/>
        <v>0.89038422612088652</v>
      </c>
      <c r="AP294">
        <f t="shared" ca="1" si="87"/>
        <v>0.9180086122391049</v>
      </c>
      <c r="AQ294">
        <f t="shared" ca="1" si="88"/>
        <v>1.0041168879736606</v>
      </c>
      <c r="AR294">
        <f t="shared" ca="1" si="89"/>
        <v>1.0519753205664248</v>
      </c>
      <c r="AS294">
        <f t="shared" ca="1" si="90"/>
        <v>1.0769594450527522</v>
      </c>
    </row>
    <row r="295" spans="2:45" x14ac:dyDescent="0.25">
      <c r="B295" s="22">
        <v>44764</v>
      </c>
      <c r="C295">
        <v>79.38</v>
      </c>
      <c r="D295">
        <v>74.7</v>
      </c>
      <c r="E295">
        <v>51.524999999999999</v>
      </c>
      <c r="F295">
        <v>80.682000000000002</v>
      </c>
      <c r="G295">
        <v>300.63799999999998</v>
      </c>
      <c r="H295">
        <v>42.814999999999998</v>
      </c>
      <c r="I295" s="6">
        <v>113851.4</v>
      </c>
      <c r="K295" s="23">
        <f t="shared" si="91"/>
        <v>3.3566834197025885E-2</v>
      </c>
      <c r="L295" s="24">
        <f t="shared" si="92"/>
        <v>0.13698630136986312</v>
      </c>
      <c r="M295" s="24">
        <f t="shared" si="93"/>
        <v>0.13963107139697417</v>
      </c>
      <c r="N295" s="24">
        <f t="shared" si="94"/>
        <v>0.16201229962697838</v>
      </c>
      <c r="O295" s="24">
        <f t="shared" si="95"/>
        <v>6.8520999861387155E-2</v>
      </c>
      <c r="P295" s="24">
        <f t="shared" si="96"/>
        <v>0.13013065857199413</v>
      </c>
      <c r="Q295" s="25">
        <f t="shared" si="97"/>
        <v>9.2383727568509322E-2</v>
      </c>
      <c r="S295" s="26">
        <f t="shared" si="101"/>
        <v>0.11180802750403714</v>
      </c>
      <c r="U295" s="5">
        <f t="shared" si="102"/>
        <v>686.52902693681187</v>
      </c>
      <c r="V295" s="6">
        <f t="shared" si="103"/>
        <v>622.67368471714451</v>
      </c>
      <c r="X295" s="20">
        <f t="shared" si="98"/>
        <v>1.1025502502947018</v>
      </c>
      <c r="Z295" s="22">
        <v>44764</v>
      </c>
      <c r="AA295" s="33">
        <v>146001.52960000001</v>
      </c>
      <c r="AB295" s="33">
        <v>65386.4548</v>
      </c>
      <c r="AC295" s="33">
        <v>31216.100399999999</v>
      </c>
      <c r="AD295" s="33">
        <v>45694.8897</v>
      </c>
      <c r="AE295" s="33">
        <v>235952.95360000001</v>
      </c>
      <c r="AF295" s="34">
        <v>42.814999999999998</v>
      </c>
      <c r="AH295" s="28">
        <f t="shared" si="104"/>
        <v>7.8033445993022907E-2</v>
      </c>
      <c r="AJ295" s="5">
        <f t="shared" si="105"/>
        <v>626.34137194542041</v>
      </c>
      <c r="AK295" s="6">
        <f t="shared" si="106"/>
        <v>622.67368471714451</v>
      </c>
      <c r="AM295" s="1">
        <f t="shared" si="99"/>
        <v>44764</v>
      </c>
      <c r="AN295">
        <f t="shared" si="100"/>
        <v>1.0058902235927025</v>
      </c>
      <c r="AO295">
        <f t="shared" ca="1" si="86"/>
        <v>0.90348973104946328</v>
      </c>
      <c r="AP295">
        <f t="shared" ca="1" si="87"/>
        <v>0.92559458472589318</v>
      </c>
      <c r="AQ295">
        <f t="shared" ca="1" si="88"/>
        <v>1.0104292900739433</v>
      </c>
      <c r="AR295">
        <f t="shared" ca="1" si="89"/>
        <v>1.0519753205664248</v>
      </c>
      <c r="AS295">
        <f t="shared" ca="1" si="90"/>
        <v>1.0769594450527522</v>
      </c>
    </row>
    <row r="296" spans="2:45" x14ac:dyDescent="0.25">
      <c r="B296" s="22">
        <v>44771</v>
      </c>
      <c r="C296">
        <v>93.373999999999995</v>
      </c>
      <c r="D296">
        <v>89</v>
      </c>
      <c r="E296">
        <v>55.634999999999998</v>
      </c>
      <c r="F296">
        <v>87.858000000000004</v>
      </c>
      <c r="G296">
        <v>335.358</v>
      </c>
      <c r="H296">
        <v>46.558</v>
      </c>
      <c r="I296" s="6">
        <v>122528.3</v>
      </c>
      <c r="K296" s="23">
        <f t="shared" si="91"/>
        <v>0.17629125724363814</v>
      </c>
      <c r="L296" s="24">
        <f t="shared" si="92"/>
        <v>0.1914323962516733</v>
      </c>
      <c r="M296" s="24">
        <f t="shared" si="93"/>
        <v>7.9767103347889279E-2</v>
      </c>
      <c r="N296" s="24">
        <f t="shared" si="94"/>
        <v>8.8941771398824976E-2</v>
      </c>
      <c r="O296" s="24">
        <f t="shared" si="95"/>
        <v>0.11548772942874819</v>
      </c>
      <c r="P296" s="24">
        <f t="shared" si="96"/>
        <v>8.7422632255050869E-2</v>
      </c>
      <c r="Q296" s="25">
        <f t="shared" si="97"/>
        <v>7.6212501559049795E-2</v>
      </c>
      <c r="S296" s="26">
        <f t="shared" si="101"/>
        <v>0.12322381498763746</v>
      </c>
      <c r="U296" s="5">
        <f t="shared" si="102"/>
        <v>771.12575273571633</v>
      </c>
      <c r="V296" s="6">
        <f t="shared" si="103"/>
        <v>670.12920388442922</v>
      </c>
      <c r="X296" s="20">
        <f t="shared" si="98"/>
        <v>1.1507120541320344</v>
      </c>
      <c r="Z296" s="22">
        <v>44771</v>
      </c>
      <c r="AA296" s="33">
        <v>171739.9436</v>
      </c>
      <c r="AB296" s="33">
        <v>77903.540500000003</v>
      </c>
      <c r="AC296" s="33">
        <v>33706.273699999998</v>
      </c>
      <c r="AD296" s="33">
        <v>49759.098599999998</v>
      </c>
      <c r="AE296" s="33">
        <v>263202.90389999998</v>
      </c>
      <c r="AF296" s="34">
        <v>46.558</v>
      </c>
      <c r="AH296" s="28">
        <f t="shared" si="104"/>
        <v>0.13744844114808669</v>
      </c>
      <c r="AJ296" s="5">
        <f t="shared" si="105"/>
        <v>712.43101714587237</v>
      </c>
      <c r="AK296" s="6">
        <f t="shared" si="106"/>
        <v>670.12920388442922</v>
      </c>
      <c r="AM296" s="1">
        <f t="shared" si="99"/>
        <v>44771</v>
      </c>
      <c r="AN296">
        <f t="shared" si="100"/>
        <v>1.0631248616180868</v>
      </c>
      <c r="AO296">
        <f t="shared" ca="1" si="86"/>
        <v>0.90578941859751638</v>
      </c>
      <c r="AP296">
        <f t="shared" ca="1" si="87"/>
        <v>0.92996736155859128</v>
      </c>
      <c r="AQ296">
        <f t="shared" ca="1" si="88"/>
        <v>1.0113010336803256</v>
      </c>
      <c r="AR296">
        <f t="shared" ca="1" si="89"/>
        <v>1.0519753205664248</v>
      </c>
      <c r="AS296">
        <f t="shared" ca="1" si="90"/>
        <v>1.0769594450527522</v>
      </c>
    </row>
    <row r="297" spans="2:45" x14ac:dyDescent="0.25">
      <c r="B297" s="22">
        <v>44778</v>
      </c>
      <c r="C297">
        <v>93.128</v>
      </c>
      <c r="D297">
        <v>100.05</v>
      </c>
      <c r="E297">
        <v>61.213000000000001</v>
      </c>
      <c r="F297">
        <v>100.464</v>
      </c>
      <c r="G297">
        <v>325.43099999999998</v>
      </c>
      <c r="H297">
        <v>58.698999999999998</v>
      </c>
      <c r="I297" s="6">
        <v>121003.9</v>
      </c>
      <c r="K297" s="23">
        <f t="shared" si="91"/>
        <v>-2.6345663675112485E-3</v>
      </c>
      <c r="L297" s="24">
        <f t="shared" si="92"/>
        <v>0.12415730337078656</v>
      </c>
      <c r="M297" s="24">
        <f t="shared" si="93"/>
        <v>0.10026062730295693</v>
      </c>
      <c r="N297" s="24">
        <f t="shared" si="94"/>
        <v>0.14348152700949246</v>
      </c>
      <c r="O297" s="24">
        <f t="shared" si="95"/>
        <v>-2.9601202297246609E-2</v>
      </c>
      <c r="P297" s="24">
        <f t="shared" si="96"/>
        <v>0.26077151080372873</v>
      </c>
      <c r="Q297" s="25">
        <f t="shared" si="97"/>
        <v>-1.2441207459827686E-2</v>
      </c>
      <c r="S297" s="26">
        <f t="shared" si="101"/>
        <v>9.9405866637034476E-2</v>
      </c>
      <c r="U297" s="5">
        <f t="shared" si="102"/>
        <v>847.7801764725458</v>
      </c>
      <c r="V297" s="6">
        <f t="shared" si="103"/>
        <v>661.79198743401389</v>
      </c>
      <c r="X297" s="20">
        <f t="shared" si="98"/>
        <v>1.2810372331035158</v>
      </c>
      <c r="Z297" s="22">
        <v>44778</v>
      </c>
      <c r="AA297" s="33">
        <v>171288.39240000001</v>
      </c>
      <c r="AB297" s="33">
        <v>87575.834000000003</v>
      </c>
      <c r="AC297" s="33">
        <v>37085.794500000004</v>
      </c>
      <c r="AD297" s="33">
        <v>56898.9251</v>
      </c>
      <c r="AE297" s="33">
        <v>255411.82699999999</v>
      </c>
      <c r="AF297" s="34">
        <v>58.698999999999998</v>
      </c>
      <c r="AH297" s="28">
        <f t="shared" si="104"/>
        <v>2.0054680309695986E-2</v>
      </c>
      <c r="AJ297" s="5">
        <f t="shared" si="105"/>
        <v>726.71859343744438</v>
      </c>
      <c r="AK297" s="6">
        <f t="shared" si="106"/>
        <v>661.79198743401389</v>
      </c>
      <c r="AM297" s="1">
        <f t="shared" si="99"/>
        <v>44778</v>
      </c>
      <c r="AN297">
        <f t="shared" si="100"/>
        <v>1.0981072712215396</v>
      </c>
      <c r="AO297">
        <f t="shared" ca="1" si="86"/>
        <v>0.90888055261650236</v>
      </c>
      <c r="AP297">
        <f t="shared" ca="1" si="87"/>
        <v>0.94731231960500484</v>
      </c>
      <c r="AQ297">
        <f t="shared" ca="1" si="88"/>
        <v>1.0174691050552283</v>
      </c>
      <c r="AR297">
        <f t="shared" ca="1" si="89"/>
        <v>1.0552098099471938</v>
      </c>
      <c r="AS297">
        <f t="shared" ca="1" si="90"/>
        <v>1.0769594450527522</v>
      </c>
    </row>
    <row r="298" spans="2:45" x14ac:dyDescent="0.25">
      <c r="B298" s="22">
        <v>44785</v>
      </c>
      <c r="C298">
        <v>92.841999999999999</v>
      </c>
      <c r="D298">
        <v>100</v>
      </c>
      <c r="E298">
        <v>61.874000000000002</v>
      </c>
      <c r="F298">
        <v>101.434</v>
      </c>
      <c r="G298">
        <v>362.214</v>
      </c>
      <c r="H298">
        <v>62.350999999999999</v>
      </c>
      <c r="I298" s="6">
        <v>125979.6</v>
      </c>
      <c r="K298" s="23">
        <f t="shared" si="91"/>
        <v>-3.0710420067004973E-3</v>
      </c>
      <c r="L298" s="24">
        <f t="shared" si="92"/>
        <v>-4.997501249375258E-4</v>
      </c>
      <c r="M298" s="24">
        <f t="shared" si="93"/>
        <v>1.0798359825527237E-2</v>
      </c>
      <c r="N298" s="24">
        <f t="shared" si="94"/>
        <v>9.6551998725911137E-3</v>
      </c>
      <c r="O298" s="24">
        <f t="shared" si="95"/>
        <v>0.11302856826792773</v>
      </c>
      <c r="P298" s="24">
        <f t="shared" si="96"/>
        <v>6.2215710659466072E-2</v>
      </c>
      <c r="Q298" s="25">
        <f t="shared" si="97"/>
        <v>4.112016224270465E-2</v>
      </c>
      <c r="S298" s="26">
        <f t="shared" si="101"/>
        <v>3.2021174415645691E-2</v>
      </c>
      <c r="U298" s="5">
        <f t="shared" si="102"/>
        <v>874.9270933695002</v>
      </c>
      <c r="V298" s="6">
        <f t="shared" si="103"/>
        <v>689.00498132822247</v>
      </c>
      <c r="X298" s="20">
        <f t="shared" si="98"/>
        <v>1.2698414628046202</v>
      </c>
      <c r="Z298" s="22">
        <v>44785</v>
      </c>
      <c r="AA298" s="33">
        <v>170761.5828</v>
      </c>
      <c r="AB298" s="33">
        <v>87532.067999999999</v>
      </c>
      <c r="AC298" s="33">
        <v>37486.000899999999</v>
      </c>
      <c r="AD298" s="33">
        <v>57448.142500000002</v>
      </c>
      <c r="AE298" s="33">
        <v>284280.21360000002</v>
      </c>
      <c r="AF298" s="34">
        <v>62.350999999999999</v>
      </c>
      <c r="AH298" s="28">
        <f t="shared" si="104"/>
        <v>4.8087432404275703E-2</v>
      </c>
      <c r="AJ298" s="5">
        <f t="shared" si="105"/>
        <v>761.66462467629776</v>
      </c>
      <c r="AK298" s="6">
        <f t="shared" si="106"/>
        <v>689.00498132822247</v>
      </c>
      <c r="AM298" s="1">
        <f t="shared" si="99"/>
        <v>44785</v>
      </c>
      <c r="AN298">
        <f t="shared" si="100"/>
        <v>1.105455904263575</v>
      </c>
      <c r="AO298">
        <f t="shared" ca="1" si="86"/>
        <v>0.91285644652750508</v>
      </c>
      <c r="AP298">
        <f t="shared" ca="1" si="87"/>
        <v>0.95927924071743376</v>
      </c>
      <c r="AQ298">
        <f t="shared" ca="1" si="88"/>
        <v>1.0187532671858777</v>
      </c>
      <c r="AR298">
        <f t="shared" ca="1" si="89"/>
        <v>1.0565120779664696</v>
      </c>
      <c r="AS298">
        <f t="shared" ca="1" si="90"/>
        <v>1.0832306549494735</v>
      </c>
    </row>
    <row r="299" spans="2:45" x14ac:dyDescent="0.25">
      <c r="B299" s="22">
        <v>44792</v>
      </c>
      <c r="C299">
        <v>94.765000000000001</v>
      </c>
      <c r="D299">
        <v>102.55</v>
      </c>
      <c r="E299">
        <v>63.781999999999996</v>
      </c>
      <c r="F299">
        <v>109.774</v>
      </c>
      <c r="G299">
        <v>374.05900000000003</v>
      </c>
      <c r="H299">
        <v>63.994</v>
      </c>
      <c r="I299" s="6">
        <v>131009.1</v>
      </c>
      <c r="K299" s="23">
        <f t="shared" si="91"/>
        <v>2.071260851769674E-2</v>
      </c>
      <c r="L299" s="24">
        <f t="shared" si="92"/>
        <v>2.5500000000000078E-2</v>
      </c>
      <c r="M299" s="24">
        <f t="shared" si="93"/>
        <v>3.0836862009890886E-2</v>
      </c>
      <c r="N299" s="24">
        <f t="shared" si="94"/>
        <v>8.2220951554705657E-2</v>
      </c>
      <c r="O299" s="24">
        <f t="shared" si="95"/>
        <v>3.2701662553076494E-2</v>
      </c>
      <c r="P299" s="24">
        <f t="shared" si="96"/>
        <v>2.6350820355728111E-2</v>
      </c>
      <c r="Q299" s="25">
        <f t="shared" si="97"/>
        <v>3.9923130411590346E-2</v>
      </c>
      <c r="S299" s="26">
        <f t="shared" si="101"/>
        <v>3.6387150831849659E-2</v>
      </c>
      <c r="U299" s="5">
        <f t="shared" si="102"/>
        <v>906.76319748280798</v>
      </c>
      <c r="V299" s="6">
        <f t="shared" si="103"/>
        <v>716.51221705202443</v>
      </c>
      <c r="X299" s="20">
        <f t="shared" si="98"/>
        <v>1.2655237076257275</v>
      </c>
      <c r="Z299" s="22">
        <v>44792</v>
      </c>
      <c r="AA299" s="33">
        <v>174298.73319999999</v>
      </c>
      <c r="AB299" s="33">
        <v>89764.135699999999</v>
      </c>
      <c r="AC299" s="33">
        <v>38642.152800000003</v>
      </c>
      <c r="AD299" s="33">
        <v>62171.412400000001</v>
      </c>
      <c r="AE299" s="33">
        <v>293576.8126</v>
      </c>
      <c r="AF299" s="34">
        <v>63.994</v>
      </c>
      <c r="AH299" s="28">
        <f t="shared" si="104"/>
        <v>3.2853559538029521E-2</v>
      </c>
      <c r="AJ299" s="5">
        <f t="shared" si="105"/>
        <v>786.68801877111139</v>
      </c>
      <c r="AK299" s="6">
        <f t="shared" si="106"/>
        <v>716.51221705202443</v>
      </c>
      <c r="AM299" s="1">
        <f t="shared" si="99"/>
        <v>44792</v>
      </c>
      <c r="AN299">
        <f t="shared" si="100"/>
        <v>1.09794083066415</v>
      </c>
      <c r="AO299">
        <f t="shared" ca="1" si="86"/>
        <v>0.91479367355082408</v>
      </c>
      <c r="AP299">
        <f t="shared" ca="1" si="87"/>
        <v>0.96308207256487566</v>
      </c>
      <c r="AQ299">
        <f t="shared" ca="1" si="88"/>
        <v>1.0248258559702541</v>
      </c>
      <c r="AR299">
        <f t="shared" ca="1" si="89"/>
        <v>1.0606164126301314</v>
      </c>
      <c r="AS299">
        <f t="shared" ca="1" si="90"/>
        <v>1.0859697684112011</v>
      </c>
    </row>
    <row r="300" spans="2:45" x14ac:dyDescent="0.25">
      <c r="B300" s="22">
        <v>44799</v>
      </c>
      <c r="C300">
        <v>107.53100000000001</v>
      </c>
      <c r="D300">
        <v>96.7</v>
      </c>
      <c r="E300">
        <v>70.093999999999994</v>
      </c>
      <c r="F300">
        <v>124.126</v>
      </c>
      <c r="G300">
        <v>405.71</v>
      </c>
      <c r="H300">
        <v>72.391999999999996</v>
      </c>
      <c r="I300" s="6">
        <v>141460</v>
      </c>
      <c r="K300" s="23">
        <f t="shared" si="91"/>
        <v>0.13471218276789965</v>
      </c>
      <c r="L300" s="24">
        <f t="shared" si="92"/>
        <v>-5.7045343734763443E-2</v>
      </c>
      <c r="M300" s="24">
        <f t="shared" si="93"/>
        <v>9.896208961776054E-2</v>
      </c>
      <c r="N300" s="24">
        <f t="shared" si="94"/>
        <v>0.13074134130121884</v>
      </c>
      <c r="O300" s="24">
        <f t="shared" si="95"/>
        <v>8.4614993891337864E-2</v>
      </c>
      <c r="P300" s="24">
        <f t="shared" si="96"/>
        <v>0.1312310529112104</v>
      </c>
      <c r="Q300" s="25">
        <f t="shared" si="97"/>
        <v>7.9772321159369719E-2</v>
      </c>
      <c r="S300" s="26">
        <f t="shared" si="101"/>
        <v>8.7202719459110636E-2</v>
      </c>
      <c r="U300" s="5">
        <f t="shared" si="102"/>
        <v>985.83541420874747</v>
      </c>
      <c r="V300" s="6">
        <f t="shared" si="103"/>
        <v>773.6700597453106</v>
      </c>
      <c r="X300" s="20">
        <f t="shared" si="98"/>
        <v>1.2742323446422121</v>
      </c>
      <c r="Z300" s="22">
        <v>44799</v>
      </c>
      <c r="AA300" s="33">
        <v>197779.3916</v>
      </c>
      <c r="AB300" s="33">
        <v>84643.5098</v>
      </c>
      <c r="AC300" s="33">
        <v>42466.347399999999</v>
      </c>
      <c r="AD300" s="33">
        <v>70299.830199999997</v>
      </c>
      <c r="AE300" s="33">
        <v>318417.92749999999</v>
      </c>
      <c r="AF300" s="34">
        <v>72.391999999999996</v>
      </c>
      <c r="AH300" s="28">
        <f t="shared" si="104"/>
        <v>8.3766093973980896E-2</v>
      </c>
      <c r="AJ300" s="5">
        <f t="shared" si="105"/>
        <v>852.58580127969708</v>
      </c>
      <c r="AK300" s="6">
        <f t="shared" si="106"/>
        <v>773.6700597453106</v>
      </c>
      <c r="AM300" s="1">
        <f t="shared" si="99"/>
        <v>44799</v>
      </c>
      <c r="AN300">
        <f t="shared" si="100"/>
        <v>1.1020018036633927</v>
      </c>
      <c r="AO300">
        <f t="shared" ca="1" si="86"/>
        <v>0.91710688515796401</v>
      </c>
      <c r="AP300">
        <f t="shared" ca="1" si="87"/>
        <v>0.96488296200296997</v>
      </c>
      <c r="AQ300">
        <f t="shared" ca="1" si="88"/>
        <v>1.0314286879198309</v>
      </c>
      <c r="AR300">
        <f t="shared" ca="1" si="89"/>
        <v>1.06202583648879</v>
      </c>
      <c r="AS300">
        <f t="shared" ca="1" si="90"/>
        <v>1.0899079170945369</v>
      </c>
    </row>
    <row r="301" spans="2:45" x14ac:dyDescent="0.25">
      <c r="B301" s="22">
        <v>44806</v>
      </c>
      <c r="C301">
        <v>100.575</v>
      </c>
      <c r="D301">
        <v>97.05</v>
      </c>
      <c r="E301">
        <v>64.956000000000003</v>
      </c>
      <c r="F301">
        <v>115.592</v>
      </c>
      <c r="G301">
        <v>368.30399999999997</v>
      </c>
      <c r="H301">
        <v>64.358999999999995</v>
      </c>
      <c r="I301" s="6">
        <v>136340.29999999999</v>
      </c>
      <c r="K301" s="23">
        <f t="shared" si="91"/>
        <v>-6.4688322437250645E-2</v>
      </c>
      <c r="L301" s="24">
        <f t="shared" si="92"/>
        <v>3.6194415718717732E-3</v>
      </c>
      <c r="M301" s="24">
        <f t="shared" si="93"/>
        <v>-7.3301566467885881E-2</v>
      </c>
      <c r="N301" s="24">
        <f t="shared" si="94"/>
        <v>-6.875271901132729E-2</v>
      </c>
      <c r="O301" s="24">
        <f t="shared" si="95"/>
        <v>-9.2198861255576636E-2</v>
      </c>
      <c r="P301" s="24">
        <f t="shared" si="96"/>
        <v>-0.11096530003315286</v>
      </c>
      <c r="Q301" s="25">
        <f t="shared" si="97"/>
        <v>-3.6191856355153429E-2</v>
      </c>
      <c r="S301" s="26">
        <f t="shared" si="101"/>
        <v>-6.771455460555359E-2</v>
      </c>
      <c r="U301" s="5">
        <f t="shared" si="102"/>
        <v>919.08000822122074</v>
      </c>
      <c r="V301" s="6">
        <f t="shared" si="103"/>
        <v>745.66950407672539</v>
      </c>
      <c r="X301" s="20">
        <f t="shared" si="98"/>
        <v>1.2325567871509095</v>
      </c>
      <c r="Z301" s="22">
        <v>44806</v>
      </c>
      <c r="AA301" s="33">
        <v>184985.4431</v>
      </c>
      <c r="AB301" s="33">
        <v>84949.872000000003</v>
      </c>
      <c r="AC301" s="33">
        <v>39353.630899999996</v>
      </c>
      <c r="AD301" s="33">
        <v>65466.716899999999</v>
      </c>
      <c r="AE301" s="33">
        <v>289060.2463</v>
      </c>
      <c r="AF301" s="34">
        <v>64.358999999999995</v>
      </c>
      <c r="AH301" s="28">
        <f t="shared" si="104"/>
        <v>-6.977868844120716E-2</v>
      </c>
      <c r="AJ301" s="5">
        <f t="shared" si="105"/>
        <v>793.09348228280419</v>
      </c>
      <c r="AK301" s="6">
        <f t="shared" si="106"/>
        <v>745.66950407672539</v>
      </c>
      <c r="AM301" s="1">
        <f t="shared" si="99"/>
        <v>44806</v>
      </c>
      <c r="AN301">
        <f t="shared" si="100"/>
        <v>1.063599192332263</v>
      </c>
      <c r="AO301">
        <f t="shared" ca="1" si="86"/>
        <v>0.91710688515796401</v>
      </c>
      <c r="AP301">
        <f t="shared" ca="1" si="87"/>
        <v>0.97339695459055386</v>
      </c>
      <c r="AQ301">
        <f t="shared" ca="1" si="88"/>
        <v>1.0342069220399051</v>
      </c>
      <c r="AR301">
        <f t="shared" ca="1" si="89"/>
        <v>1.0637443212223074</v>
      </c>
      <c r="AS301">
        <f t="shared" ca="1" si="90"/>
        <v>1.0922800403228767</v>
      </c>
    </row>
    <row r="302" spans="2:45" x14ac:dyDescent="0.25">
      <c r="B302" s="22">
        <v>44813</v>
      </c>
      <c r="C302">
        <v>110.477</v>
      </c>
      <c r="D302">
        <v>95.35</v>
      </c>
      <c r="E302">
        <v>69.212999999999994</v>
      </c>
      <c r="F302">
        <v>131.30199999999999</v>
      </c>
      <c r="G302">
        <v>409.88200000000001</v>
      </c>
      <c r="H302">
        <v>65.272000000000006</v>
      </c>
      <c r="I302" s="6">
        <v>144642.20000000001</v>
      </c>
      <c r="K302" s="23">
        <f t="shared" si="91"/>
        <v>9.8453890131742439E-2</v>
      </c>
      <c r="L302" s="24">
        <f t="shared" si="92"/>
        <v>-1.7516743946419444E-2</v>
      </c>
      <c r="M302" s="24">
        <f t="shared" si="93"/>
        <v>6.553667097727689E-2</v>
      </c>
      <c r="N302" s="24">
        <f t="shared" si="94"/>
        <v>0.13590905945048104</v>
      </c>
      <c r="O302" s="24">
        <f t="shared" si="95"/>
        <v>0.11289043833355072</v>
      </c>
      <c r="P302" s="24">
        <f t="shared" si="96"/>
        <v>1.4186050125079896E-2</v>
      </c>
      <c r="Q302" s="25">
        <f t="shared" si="97"/>
        <v>6.0891020483305525E-2</v>
      </c>
      <c r="S302" s="26">
        <f t="shared" si="101"/>
        <v>6.8243227511951929E-2</v>
      </c>
      <c r="U302" s="5">
        <f t="shared" si="102"/>
        <v>981.8009943239482</v>
      </c>
      <c r="V302" s="6">
        <f t="shared" si="103"/>
        <v>791.07408112323753</v>
      </c>
      <c r="X302" s="20">
        <f t="shared" si="98"/>
        <v>1.2410986755246733</v>
      </c>
      <c r="Z302" s="22">
        <v>44813</v>
      </c>
      <c r="AA302" s="33">
        <v>203198.00510000001</v>
      </c>
      <c r="AB302" s="33">
        <v>83461.826799999995</v>
      </c>
      <c r="AC302" s="33">
        <v>41932.738899999997</v>
      </c>
      <c r="AD302" s="33">
        <v>74364.039199999999</v>
      </c>
      <c r="AE302" s="33">
        <v>321692.43810000003</v>
      </c>
      <c r="AF302" s="34">
        <v>65.272000000000006</v>
      </c>
      <c r="AH302" s="28">
        <f t="shared" si="104"/>
        <v>9.1634246471327077E-2</v>
      </c>
      <c r="AJ302" s="5">
        <f t="shared" si="105"/>
        <v>865.76800591310973</v>
      </c>
      <c r="AK302" s="6">
        <f t="shared" si="106"/>
        <v>791.07408112323753</v>
      </c>
      <c r="AM302" s="1">
        <f t="shared" si="99"/>
        <v>44813</v>
      </c>
      <c r="AN302">
        <f t="shared" si="100"/>
        <v>1.094420897577399</v>
      </c>
      <c r="AO302">
        <f t="shared" ca="1" si="86"/>
        <v>0.91861117152134186</v>
      </c>
      <c r="AP302">
        <f t="shared" ca="1" si="87"/>
        <v>0.97957012530487697</v>
      </c>
      <c r="AQ302">
        <f t="shared" ca="1" si="88"/>
        <v>1.0374238692917235</v>
      </c>
      <c r="AR302">
        <f t="shared" ca="1" si="89"/>
        <v>1.0641000692579397</v>
      </c>
      <c r="AS302">
        <f t="shared" ca="1" si="90"/>
        <v>1.0922800403228767</v>
      </c>
    </row>
    <row r="303" spans="2:45" x14ac:dyDescent="0.25">
      <c r="B303" s="22">
        <v>44820</v>
      </c>
      <c r="C303">
        <v>113.914</v>
      </c>
      <c r="D303">
        <v>97.2</v>
      </c>
      <c r="E303">
        <v>75.231999999999999</v>
      </c>
      <c r="F303">
        <v>134.79300000000001</v>
      </c>
      <c r="G303">
        <v>446.47300000000001</v>
      </c>
      <c r="H303">
        <v>62.99</v>
      </c>
      <c r="I303" s="6">
        <v>145741.79999999999</v>
      </c>
      <c r="K303" s="23">
        <f t="shared" si="91"/>
        <v>3.1110547896847196E-2</v>
      </c>
      <c r="L303" s="24">
        <f t="shared" si="92"/>
        <v>1.9402202412165837E-2</v>
      </c>
      <c r="M303" s="24">
        <f t="shared" si="93"/>
        <v>8.6963431725254114E-2</v>
      </c>
      <c r="N303" s="24">
        <f t="shared" si="94"/>
        <v>2.658756149944419E-2</v>
      </c>
      <c r="O303" s="24">
        <f t="shared" si="95"/>
        <v>8.9272034390385446E-2</v>
      </c>
      <c r="P303" s="24">
        <f t="shared" si="96"/>
        <v>-3.4961392327491181E-2</v>
      </c>
      <c r="Q303" s="25">
        <f t="shared" si="97"/>
        <v>7.602207377929604E-3</v>
      </c>
      <c r="S303" s="26">
        <f t="shared" si="101"/>
        <v>3.63957309327676E-2</v>
      </c>
      <c r="U303" s="5">
        <f t="shared" si="102"/>
        <v>1017.5343591428863</v>
      </c>
      <c r="V303" s="6">
        <f t="shared" si="103"/>
        <v>797.08799033924151</v>
      </c>
      <c r="X303" s="20">
        <f t="shared" si="98"/>
        <v>1.276564659705665</v>
      </c>
      <c r="Z303" s="22">
        <v>44820</v>
      </c>
      <c r="AA303" s="33">
        <v>209519.72080000001</v>
      </c>
      <c r="AB303" s="33">
        <v>85081.170100000003</v>
      </c>
      <c r="AC303" s="33">
        <v>45579.063999999998</v>
      </c>
      <c r="AD303" s="33">
        <v>76341.221900000004</v>
      </c>
      <c r="AE303" s="33">
        <v>350410.27250000002</v>
      </c>
      <c r="AF303" s="34">
        <v>62.99</v>
      </c>
      <c r="AH303" s="28">
        <f t="shared" si="104"/>
        <v>5.8341022240027289E-2</v>
      </c>
      <c r="AJ303" s="5">
        <f t="shared" si="105"/>
        <v>916.27779640079063</v>
      </c>
      <c r="AK303" s="6">
        <f t="shared" si="106"/>
        <v>797.08799033924151</v>
      </c>
      <c r="AM303" s="1">
        <f t="shared" si="99"/>
        <v>44820</v>
      </c>
      <c r="AN303">
        <f t="shared" si="100"/>
        <v>1.1495315542401057</v>
      </c>
      <c r="AO303">
        <f t="shared" ca="1" si="86"/>
        <v>0.92832590733385079</v>
      </c>
      <c r="AP303">
        <f t="shared" ca="1" si="87"/>
        <v>0.98424797007782228</v>
      </c>
      <c r="AQ303">
        <f t="shared" ca="1" si="88"/>
        <v>1.0412611934557368</v>
      </c>
      <c r="AR303">
        <f t="shared" ca="1" si="89"/>
        <v>1.0659166986905282</v>
      </c>
      <c r="AS303">
        <f t="shared" ca="1" si="90"/>
        <v>1.0942286007021245</v>
      </c>
    </row>
    <row r="304" spans="2:45" x14ac:dyDescent="0.25">
      <c r="B304" s="22">
        <v>44827</v>
      </c>
      <c r="C304">
        <v>109.577</v>
      </c>
      <c r="D304">
        <v>94.1</v>
      </c>
      <c r="E304">
        <v>69.066000000000003</v>
      </c>
      <c r="F304">
        <v>123.738</v>
      </c>
      <c r="G304">
        <v>432.13400000000001</v>
      </c>
      <c r="H304">
        <v>61.712000000000003</v>
      </c>
      <c r="I304" s="6">
        <v>142931.70000000001</v>
      </c>
      <c r="K304" s="23">
        <f t="shared" si="91"/>
        <v>-3.8072581069929945E-2</v>
      </c>
      <c r="L304" s="24">
        <f t="shared" si="92"/>
        <v>-3.1893004115226442E-2</v>
      </c>
      <c r="M304" s="24">
        <f t="shared" si="93"/>
        <v>-8.1959804338579301E-2</v>
      </c>
      <c r="N304" s="24">
        <f t="shared" si="94"/>
        <v>-8.2014644677394277E-2</v>
      </c>
      <c r="O304" s="24">
        <f t="shared" si="95"/>
        <v>-3.211616379937865E-2</v>
      </c>
      <c r="P304" s="24">
        <f t="shared" si="96"/>
        <v>-2.0288934751547805E-2</v>
      </c>
      <c r="Q304" s="25">
        <f t="shared" si="97"/>
        <v>-1.9281359225698957E-2</v>
      </c>
      <c r="S304" s="26">
        <f t="shared" si="101"/>
        <v>-4.7724188792009403E-2</v>
      </c>
      <c r="U304" s="5">
        <f t="shared" si="102"/>
        <v>968.97335728479482</v>
      </c>
      <c r="V304" s="6">
        <f t="shared" si="103"/>
        <v>781.71905046302015</v>
      </c>
      <c r="X304" s="20">
        <f t="shared" si="98"/>
        <v>1.2395416955885392</v>
      </c>
      <c r="Z304" s="22">
        <v>44827</v>
      </c>
      <c r="AA304" s="33">
        <v>201542.31760000001</v>
      </c>
      <c r="AB304" s="33">
        <v>82367.676000000007</v>
      </c>
      <c r="AC304" s="33">
        <v>41843.804100000001</v>
      </c>
      <c r="AD304" s="33">
        <v>70080.143299999996</v>
      </c>
      <c r="AE304" s="33">
        <v>339156.49469999998</v>
      </c>
      <c r="AF304" s="34">
        <v>61.712000000000003</v>
      </c>
      <c r="AH304" s="28">
        <f t="shared" si="104"/>
        <v>-4.1646079934456931E-2</v>
      </c>
      <c r="AJ304" s="5">
        <f t="shared" si="105"/>
        <v>878.11841804971527</v>
      </c>
      <c r="AK304" s="6">
        <f t="shared" si="106"/>
        <v>781.71905046302015</v>
      </c>
      <c r="AM304" s="1">
        <f t="shared" si="99"/>
        <v>44827</v>
      </c>
      <c r="AN304">
        <f t="shared" si="100"/>
        <v>1.1233171527924217</v>
      </c>
      <c r="AO304">
        <f t="shared" ca="1" si="86"/>
        <v>0.92832590733385079</v>
      </c>
      <c r="AP304">
        <f t="shared" ca="1" si="87"/>
        <v>0.98424797007782228</v>
      </c>
      <c r="AQ304">
        <f t="shared" ca="1" si="88"/>
        <v>1.0437691901957848</v>
      </c>
      <c r="AR304">
        <f t="shared" ca="1" si="89"/>
        <v>1.0673636999709766</v>
      </c>
      <c r="AS304">
        <f t="shared" ca="1" si="90"/>
        <v>1.097588837355475</v>
      </c>
    </row>
    <row r="305" spans="2:45" x14ac:dyDescent="0.25">
      <c r="B305" s="22">
        <v>44834</v>
      </c>
      <c r="C305">
        <v>113.38200000000001</v>
      </c>
      <c r="D305">
        <v>105</v>
      </c>
      <c r="E305">
        <v>67.525000000000006</v>
      </c>
      <c r="F305">
        <v>118.113</v>
      </c>
      <c r="G305">
        <v>439.80700000000002</v>
      </c>
      <c r="H305">
        <v>62.99</v>
      </c>
      <c r="I305" s="6">
        <v>139115.1</v>
      </c>
      <c r="K305" s="23">
        <f t="shared" si="91"/>
        <v>3.4724440347883245E-2</v>
      </c>
      <c r="L305" s="24">
        <f t="shared" si="92"/>
        <v>0.11583421891604684</v>
      </c>
      <c r="M305" s="24">
        <f t="shared" si="93"/>
        <v>-2.2311991428488609E-2</v>
      </c>
      <c r="N305" s="24">
        <f t="shared" si="94"/>
        <v>-4.5458953595500118E-2</v>
      </c>
      <c r="O305" s="24">
        <f t="shared" si="95"/>
        <v>1.7756066405328008E-2</v>
      </c>
      <c r="P305" s="24">
        <f t="shared" si="96"/>
        <v>2.0709100337049424E-2</v>
      </c>
      <c r="Q305" s="25">
        <f t="shared" si="97"/>
        <v>-2.6702264088372285E-2</v>
      </c>
      <c r="S305" s="26">
        <f t="shared" si="101"/>
        <v>2.020881349705313E-2</v>
      </c>
      <c r="U305" s="5">
        <f t="shared" si="102"/>
        <v>988.55515914577654</v>
      </c>
      <c r="V305" s="6">
        <f t="shared" si="103"/>
        <v>760.84538193464493</v>
      </c>
      <c r="X305" s="20">
        <f t="shared" si="98"/>
        <v>1.2992852195962878</v>
      </c>
      <c r="Z305" s="22">
        <v>44834</v>
      </c>
      <c r="AA305" s="33">
        <v>208541.36</v>
      </c>
      <c r="AB305" s="33">
        <v>91908.671400000007</v>
      </c>
      <c r="AC305" s="33">
        <v>40909.989099999999</v>
      </c>
      <c r="AD305" s="33">
        <v>66894.682199999996</v>
      </c>
      <c r="AE305" s="33">
        <v>345178.58309999999</v>
      </c>
      <c r="AF305" s="34">
        <v>62.99</v>
      </c>
      <c r="AH305" s="28">
        <f t="shared" si="104"/>
        <v>2.5091300416183491E-2</v>
      </c>
      <c r="AJ305" s="5">
        <f t="shared" si="105"/>
        <v>900.15155107798444</v>
      </c>
      <c r="AK305" s="6">
        <f t="shared" si="106"/>
        <v>760.84538193464493</v>
      </c>
      <c r="AM305" s="1">
        <f t="shared" si="99"/>
        <v>44834</v>
      </c>
      <c r="AN305">
        <f t="shared" si="100"/>
        <v>1.1830939274273018</v>
      </c>
      <c r="AO305">
        <f t="shared" ca="1" si="86"/>
        <v>0.92832590733385079</v>
      </c>
      <c r="AP305">
        <f t="shared" ca="1" si="87"/>
        <v>0.98424797007782228</v>
      </c>
      <c r="AQ305">
        <f t="shared" ca="1" si="88"/>
        <v>1.044933095712556</v>
      </c>
      <c r="AR305">
        <f t="shared" ca="1" si="89"/>
        <v>1.0711233628957555</v>
      </c>
      <c r="AS305">
        <f t="shared" ca="1" si="90"/>
        <v>1.0980906271658006</v>
      </c>
    </row>
    <row r="306" spans="2:45" x14ac:dyDescent="0.25">
      <c r="B306" s="22">
        <v>44841</v>
      </c>
      <c r="C306">
        <v>114.242</v>
      </c>
      <c r="D306">
        <v>105.2</v>
      </c>
      <c r="E306">
        <v>67.010999999999996</v>
      </c>
      <c r="F306">
        <v>123.932</v>
      </c>
      <c r="G306">
        <v>490.59199999999998</v>
      </c>
      <c r="H306">
        <v>65.546000000000006</v>
      </c>
      <c r="I306" s="6">
        <v>144645.29999999999</v>
      </c>
      <c r="K306" s="23">
        <f t="shared" si="91"/>
        <v>7.5849782152370704E-3</v>
      </c>
      <c r="L306" s="24">
        <f t="shared" si="92"/>
        <v>1.9047619047618536E-3</v>
      </c>
      <c r="M306" s="24">
        <f t="shared" si="93"/>
        <v>-7.6119955572011566E-3</v>
      </c>
      <c r="N306" s="24">
        <f t="shared" si="94"/>
        <v>4.9266380500029738E-2</v>
      </c>
      <c r="O306" s="24">
        <f t="shared" si="95"/>
        <v>0.11547110437078079</v>
      </c>
      <c r="P306" s="24">
        <f t="shared" si="96"/>
        <v>4.0577869503095831E-2</v>
      </c>
      <c r="Q306" s="25">
        <f t="shared" si="97"/>
        <v>3.9752693992240795E-2</v>
      </c>
      <c r="S306" s="26">
        <f t="shared" si="101"/>
        <v>3.4532183156117356E-2</v>
      </c>
      <c r="U306" s="5">
        <f t="shared" si="102"/>
        <v>1022.6921269613233</v>
      </c>
      <c r="V306" s="6">
        <f t="shared" si="103"/>
        <v>791.09103557810249</v>
      </c>
      <c r="X306" s="20">
        <f t="shared" si="98"/>
        <v>1.2927616177750956</v>
      </c>
      <c r="Z306" s="22">
        <v>44841</v>
      </c>
      <c r="AA306" s="33">
        <v>210121.78899999999</v>
      </c>
      <c r="AB306" s="33">
        <v>92083.735499999995</v>
      </c>
      <c r="AC306" s="33">
        <v>40598.717499999999</v>
      </c>
      <c r="AD306" s="33">
        <v>70189.986799999999</v>
      </c>
      <c r="AE306" s="33">
        <v>385037.28120000003</v>
      </c>
      <c r="AF306" s="34">
        <v>65.546000000000006</v>
      </c>
      <c r="AH306" s="28">
        <f t="shared" si="104"/>
        <v>5.9193134257152294E-2</v>
      </c>
      <c r="AJ306" s="5">
        <f t="shared" si="105"/>
        <v>953.43434269272745</v>
      </c>
      <c r="AK306" s="6">
        <f t="shared" si="106"/>
        <v>791.09103557810249</v>
      </c>
      <c r="AM306" s="1">
        <f t="shared" si="99"/>
        <v>44841</v>
      </c>
      <c r="AN306">
        <f t="shared" si="100"/>
        <v>1.2052144441201889</v>
      </c>
      <c r="AO306">
        <f t="shared" ca="1" si="86"/>
        <v>0.92832590733385079</v>
      </c>
      <c r="AP306">
        <f t="shared" ca="1" si="87"/>
        <v>0.98424797007782228</v>
      </c>
      <c r="AQ306">
        <f t="shared" ca="1" si="88"/>
        <v>1.0463413534306445</v>
      </c>
      <c r="AR306">
        <f t="shared" ca="1" si="89"/>
        <v>1.0793499013748411</v>
      </c>
      <c r="AS306">
        <f t="shared" ca="1" si="90"/>
        <v>1.1016123504192075</v>
      </c>
    </row>
    <row r="307" spans="2:45" x14ac:dyDescent="0.25">
      <c r="B307" s="22">
        <v>44848</v>
      </c>
      <c r="C307">
        <v>107.122</v>
      </c>
      <c r="D307">
        <v>100.2</v>
      </c>
      <c r="E307">
        <v>64.882999999999996</v>
      </c>
      <c r="F307">
        <v>110.937</v>
      </c>
      <c r="G307">
        <v>456.49599999999998</v>
      </c>
      <c r="H307">
        <v>60.798999999999999</v>
      </c>
      <c r="I307" s="6">
        <v>137290.70000000001</v>
      </c>
      <c r="K307" s="23">
        <f t="shared" si="91"/>
        <v>-6.2323838868367232E-2</v>
      </c>
      <c r="L307" s="24">
        <f t="shared" si="92"/>
        <v>-4.7528517110266177E-2</v>
      </c>
      <c r="M307" s="24">
        <f t="shared" si="93"/>
        <v>-3.1755980361433234E-2</v>
      </c>
      <c r="N307" s="24">
        <f t="shared" si="94"/>
        <v>-0.10485588871316531</v>
      </c>
      <c r="O307" s="24">
        <f t="shared" si="95"/>
        <v>-6.9499706477072598E-2</v>
      </c>
      <c r="P307" s="24">
        <f t="shared" si="96"/>
        <v>-7.2422420895249195E-2</v>
      </c>
      <c r="Q307" s="25">
        <f t="shared" si="97"/>
        <v>-5.0845758555583709E-2</v>
      </c>
      <c r="S307" s="26">
        <f t="shared" si="101"/>
        <v>-6.4731058737592287E-2</v>
      </c>
      <c r="U307" s="5">
        <f t="shared" si="102"/>
        <v>956.49218282051663</v>
      </c>
      <c r="V307" s="6">
        <f t="shared" si="103"/>
        <v>750.86741178761156</v>
      </c>
      <c r="X307" s="20">
        <f t="shared" si="98"/>
        <v>1.2738496408352153</v>
      </c>
      <c r="Z307" s="22">
        <v>44848</v>
      </c>
      <c r="AA307" s="33">
        <v>197026.8064</v>
      </c>
      <c r="AB307" s="33">
        <v>87707.132100000003</v>
      </c>
      <c r="AC307" s="33">
        <v>39309.163500000002</v>
      </c>
      <c r="AD307" s="33">
        <v>62830.473299999998</v>
      </c>
      <c r="AE307" s="33">
        <v>358276.62560000003</v>
      </c>
      <c r="AF307" s="34">
        <v>60.798999999999999</v>
      </c>
      <c r="AH307" s="28">
        <f t="shared" si="104"/>
        <v>-6.6265136636585731E-2</v>
      </c>
      <c r="AJ307" s="5">
        <f t="shared" si="105"/>
        <v>890.25488570018058</v>
      </c>
      <c r="AK307" s="6">
        <f t="shared" si="106"/>
        <v>750.86741178761156</v>
      </c>
      <c r="AM307" s="1">
        <f t="shared" si="99"/>
        <v>44848</v>
      </c>
      <c r="AN307">
        <f t="shared" si="100"/>
        <v>1.185635268922812</v>
      </c>
      <c r="AO307">
        <f t="shared" ca="1" si="86"/>
        <v>0.92832590733385079</v>
      </c>
      <c r="AP307">
        <f t="shared" ca="1" si="87"/>
        <v>0.98424797007782228</v>
      </c>
      <c r="AQ307">
        <f t="shared" ca="1" si="88"/>
        <v>1.0485452162700586</v>
      </c>
      <c r="AR307">
        <f t="shared" ca="1" si="89"/>
        <v>1.0844227146415792</v>
      </c>
      <c r="AS307">
        <f t="shared" ca="1" si="90"/>
        <v>1.1051104942035568</v>
      </c>
    </row>
    <row r="308" spans="2:45" x14ac:dyDescent="0.25">
      <c r="B308" s="22">
        <v>44855</v>
      </c>
      <c r="C308">
        <v>106.14</v>
      </c>
      <c r="D308">
        <v>101.1</v>
      </c>
      <c r="E308">
        <v>63.048000000000002</v>
      </c>
      <c r="F308">
        <v>102.792</v>
      </c>
      <c r="G308">
        <v>471.02600000000001</v>
      </c>
      <c r="H308">
        <v>58.698999999999998</v>
      </c>
      <c r="I308" s="6">
        <v>138944.79999999999</v>
      </c>
      <c r="K308" s="23">
        <f t="shared" si="91"/>
        <v>-9.1671178656111962E-3</v>
      </c>
      <c r="L308" s="24">
        <f t="shared" si="92"/>
        <v>8.9820359281436168E-3</v>
      </c>
      <c r="M308" s="24">
        <f t="shared" si="93"/>
        <v>-2.8281676248015586E-2</v>
      </c>
      <c r="N308" s="24">
        <f t="shared" si="94"/>
        <v>-7.3420049217123196E-2</v>
      </c>
      <c r="O308" s="24">
        <f t="shared" si="95"/>
        <v>3.1829413620272806E-2</v>
      </c>
      <c r="P308" s="24">
        <f t="shared" si="96"/>
        <v>-3.4540041777002983E-2</v>
      </c>
      <c r="Q308" s="25">
        <f t="shared" si="97"/>
        <v>1.2048157668363313E-2</v>
      </c>
      <c r="S308" s="26">
        <f t="shared" si="101"/>
        <v>-1.7432905926556091E-2</v>
      </c>
      <c r="U308" s="5">
        <f t="shared" si="102"/>
        <v>939.81774457792028</v>
      </c>
      <c r="V308" s="6">
        <f t="shared" si="103"/>
        <v>759.91398075286463</v>
      </c>
      <c r="X308" s="20">
        <f t="shared" si="98"/>
        <v>1.2367422739700362</v>
      </c>
      <c r="Z308" s="22">
        <v>44855</v>
      </c>
      <c r="AA308" s="33">
        <v>195220.60190000001</v>
      </c>
      <c r="AB308" s="33">
        <v>88494.920700000002</v>
      </c>
      <c r="AC308" s="33">
        <v>38197.478999999999</v>
      </c>
      <c r="AD308" s="33">
        <v>58217.046900000001</v>
      </c>
      <c r="AE308" s="33">
        <v>369680.95559999999</v>
      </c>
      <c r="AF308" s="34">
        <v>58.698999999999998</v>
      </c>
      <c r="AH308" s="28">
        <f t="shared" si="104"/>
        <v>6.2512631782643728E-3</v>
      </c>
      <c r="AJ308" s="5">
        <f t="shared" si="105"/>
        <v>895.82010328642798</v>
      </c>
      <c r="AK308" s="6">
        <f t="shared" si="106"/>
        <v>759.91398075286463</v>
      </c>
      <c r="AM308" s="1">
        <f t="shared" si="99"/>
        <v>44855</v>
      </c>
      <c r="AN308">
        <f t="shared" si="100"/>
        <v>1.178844087588595</v>
      </c>
      <c r="AO308">
        <f t="shared" ca="1" si="86"/>
        <v>0.92832590733385079</v>
      </c>
      <c r="AP308">
        <f t="shared" ca="1" si="87"/>
        <v>0.98424797007782228</v>
      </c>
      <c r="AQ308">
        <f t="shared" ca="1" si="88"/>
        <v>1.0485452162700586</v>
      </c>
      <c r="AR308">
        <f t="shared" ca="1" si="89"/>
        <v>1.0872355934643079</v>
      </c>
      <c r="AS308">
        <f t="shared" ca="1" si="90"/>
        <v>1.1082833710624727</v>
      </c>
    </row>
    <row r="309" spans="2:45" x14ac:dyDescent="0.25">
      <c r="B309" s="22">
        <v>44862</v>
      </c>
      <c r="C309">
        <v>120.05200000000001</v>
      </c>
      <c r="D309">
        <v>113</v>
      </c>
      <c r="E309">
        <v>72.296000000000006</v>
      </c>
      <c r="F309">
        <v>129.16800000000001</v>
      </c>
      <c r="G309">
        <v>501.57400000000001</v>
      </c>
      <c r="H309">
        <v>66.641000000000005</v>
      </c>
      <c r="I309" s="6">
        <v>147845.4</v>
      </c>
      <c r="K309" s="23">
        <f t="shared" si="91"/>
        <v>0.13107216883361605</v>
      </c>
      <c r="L309" s="24">
        <f t="shared" si="92"/>
        <v>0.11770524233432256</v>
      </c>
      <c r="M309" s="24">
        <f t="shared" si="93"/>
        <v>0.14668189316076652</v>
      </c>
      <c r="N309" s="24">
        <f t="shared" si="94"/>
        <v>0.25659584403455526</v>
      </c>
      <c r="O309" s="24">
        <f t="shared" si="95"/>
        <v>6.4854169408907314E-2</v>
      </c>
      <c r="P309" s="24">
        <f t="shared" si="96"/>
        <v>0.13530043101245348</v>
      </c>
      <c r="Q309" s="25">
        <f t="shared" si="97"/>
        <v>6.405853259711769E-2</v>
      </c>
      <c r="S309" s="26">
        <f t="shared" si="101"/>
        <v>0.14203495813077019</v>
      </c>
      <c r="U309" s="5">
        <f t="shared" si="102"/>
        <v>1073.3047185796001</v>
      </c>
      <c r="V309" s="6">
        <f t="shared" si="103"/>
        <v>808.59295525992752</v>
      </c>
      <c r="X309" s="20">
        <f t="shared" si="98"/>
        <v>1.3273733237443051</v>
      </c>
      <c r="Z309" s="22">
        <v>44862</v>
      </c>
      <c r="AA309" s="33">
        <v>220808.49890000001</v>
      </c>
      <c r="AB309" s="33">
        <v>98911.236799999999</v>
      </c>
      <c r="AC309" s="33">
        <v>43800.368799999997</v>
      </c>
      <c r="AD309" s="33">
        <v>73155.760800000004</v>
      </c>
      <c r="AE309" s="33">
        <v>393656.39529999997</v>
      </c>
      <c r="AF309" s="34">
        <v>66.641000000000005</v>
      </c>
      <c r="AH309" s="28">
        <f t="shared" si="104"/>
        <v>0.10739029405695381</v>
      </c>
      <c r="AJ309" s="5">
        <f t="shared" si="105"/>
        <v>992.02248760048815</v>
      </c>
      <c r="AK309" s="6">
        <f t="shared" si="106"/>
        <v>808.59295525992752</v>
      </c>
      <c r="AM309" s="1">
        <f t="shared" si="99"/>
        <v>44862</v>
      </c>
      <c r="AN309">
        <f t="shared" si="100"/>
        <v>1.2268502726215269</v>
      </c>
      <c r="AO309">
        <f t="shared" ca="1" si="86"/>
        <v>0.92832590733385079</v>
      </c>
      <c r="AP309">
        <f t="shared" ca="1" si="87"/>
        <v>0.98424797007782228</v>
      </c>
      <c r="AQ309">
        <f t="shared" ca="1" si="88"/>
        <v>1.0485452162700586</v>
      </c>
      <c r="AR309">
        <f t="shared" ca="1" si="89"/>
        <v>1.0872355934643079</v>
      </c>
      <c r="AS309">
        <f t="shared" ca="1" si="90"/>
        <v>1.121531027939537</v>
      </c>
    </row>
    <row r="310" spans="2:45" x14ac:dyDescent="0.25">
      <c r="B310" s="22">
        <v>44869</v>
      </c>
      <c r="C310">
        <v>128.31700000000001</v>
      </c>
      <c r="D310">
        <v>109.55</v>
      </c>
      <c r="E310">
        <v>74.498000000000005</v>
      </c>
      <c r="F310">
        <v>136.92599999999999</v>
      </c>
      <c r="G310">
        <v>551.78499999999997</v>
      </c>
      <c r="H310">
        <v>63.72</v>
      </c>
      <c r="I310" s="6">
        <v>151263.29999999999</v>
      </c>
      <c r="K310" s="23">
        <f t="shared" si="91"/>
        <v>6.8845167094259141E-2</v>
      </c>
      <c r="L310" s="24">
        <f t="shared" si="92"/>
        <v>-3.0530973451327492E-2</v>
      </c>
      <c r="M310" s="24">
        <f t="shared" si="93"/>
        <v>3.0458116631625565E-2</v>
      </c>
      <c r="N310" s="24">
        <f t="shared" si="94"/>
        <v>6.0061315496098056E-2</v>
      </c>
      <c r="O310" s="24">
        <f t="shared" si="95"/>
        <v>0.10010686359340792</v>
      </c>
      <c r="P310" s="24">
        <f t="shared" si="96"/>
        <v>-4.3831875271979848E-2</v>
      </c>
      <c r="Q310" s="25">
        <f t="shared" si="97"/>
        <v>2.3118067927713648E-2</v>
      </c>
      <c r="S310" s="26">
        <f t="shared" si="101"/>
        <v>3.085143568201389E-2</v>
      </c>
      <c r="U310" s="5">
        <f t="shared" si="102"/>
        <v>1106.4177100720608</v>
      </c>
      <c r="V310" s="6">
        <f t="shared" si="103"/>
        <v>827.28606212549721</v>
      </c>
      <c r="X310" s="20">
        <f t="shared" si="98"/>
        <v>1.3374064434609318</v>
      </c>
      <c r="Z310" s="22">
        <v>44869</v>
      </c>
      <c r="AA310" s="33">
        <v>235999.42490000001</v>
      </c>
      <c r="AB310" s="33">
        <v>95891.380499999999</v>
      </c>
      <c r="AC310" s="33">
        <v>45134.390200000002</v>
      </c>
      <c r="AD310" s="33">
        <v>77549.500199999995</v>
      </c>
      <c r="AE310" s="33">
        <v>433063.43670000002</v>
      </c>
      <c r="AF310" s="34">
        <v>63.72</v>
      </c>
      <c r="AH310" s="28">
        <f t="shared" si="104"/>
        <v>6.9020365496083813E-2</v>
      </c>
      <c r="AJ310" s="5">
        <f t="shared" si="105"/>
        <v>1060.492242275008</v>
      </c>
      <c r="AK310" s="6">
        <f t="shared" si="106"/>
        <v>827.28606212549721</v>
      </c>
      <c r="AM310" s="1">
        <f t="shared" si="99"/>
        <v>44869</v>
      </c>
      <c r="AN310">
        <f t="shared" si="100"/>
        <v>1.2818930365517678</v>
      </c>
      <c r="AO310">
        <f t="shared" ca="1" si="86"/>
        <v>0.92832590733385079</v>
      </c>
      <c r="AP310">
        <f t="shared" ca="1" si="87"/>
        <v>0.98424797007782228</v>
      </c>
      <c r="AQ310">
        <f t="shared" ca="1" si="88"/>
        <v>1.0485452162700586</v>
      </c>
      <c r="AR310">
        <f t="shared" ca="1" si="89"/>
        <v>1.0908637650613235</v>
      </c>
      <c r="AS310">
        <f t="shared" ca="1" si="90"/>
        <v>1.1469101140953373</v>
      </c>
    </row>
    <row r="311" spans="2:45" x14ac:dyDescent="0.25">
      <c r="B311" s="22">
        <v>44876</v>
      </c>
      <c r="C311">
        <v>120.25700000000001</v>
      </c>
      <c r="D311">
        <v>105.15</v>
      </c>
      <c r="E311">
        <v>74.864999999999995</v>
      </c>
      <c r="F311">
        <v>133.82300000000001</v>
      </c>
      <c r="G311">
        <v>508.48</v>
      </c>
      <c r="H311">
        <v>64.45</v>
      </c>
      <c r="I311" s="6">
        <v>150413.4</v>
      </c>
      <c r="K311" s="23">
        <f t="shared" si="91"/>
        <v>-6.2813189211094467E-2</v>
      </c>
      <c r="L311" s="24">
        <f t="shared" si="92"/>
        <v>-4.0164308534915483E-2</v>
      </c>
      <c r="M311" s="24">
        <f t="shared" si="93"/>
        <v>4.9263067464897503E-3</v>
      </c>
      <c r="N311" s="24">
        <f t="shared" si="94"/>
        <v>-2.2661875757708394E-2</v>
      </c>
      <c r="O311" s="24">
        <f t="shared" si="95"/>
        <v>-7.8481654992433536E-2</v>
      </c>
      <c r="P311" s="24">
        <f t="shared" si="96"/>
        <v>1.1456371625863104E-2</v>
      </c>
      <c r="Q311" s="25">
        <f t="shared" si="97"/>
        <v>-5.6186794814075958E-3</v>
      </c>
      <c r="S311" s="26">
        <f t="shared" si="101"/>
        <v>-3.1289725020633173E-2</v>
      </c>
      <c r="U311" s="5">
        <f t="shared" si="102"/>
        <v>1071.7982041659473</v>
      </c>
      <c r="V311" s="6">
        <f t="shared" si="103"/>
        <v>822.63780690297824</v>
      </c>
      <c r="X311" s="20">
        <f t="shared" si="98"/>
        <v>1.3028798277591864</v>
      </c>
      <c r="Z311" s="22">
        <v>44876</v>
      </c>
      <c r="AA311" s="33">
        <v>221174.2059</v>
      </c>
      <c r="AB311" s="33">
        <v>92039.969500000007</v>
      </c>
      <c r="AC311" s="33">
        <v>45356.727099999996</v>
      </c>
      <c r="AD311" s="33">
        <v>75792.004499999995</v>
      </c>
      <c r="AE311" s="33">
        <v>399076.27490000002</v>
      </c>
      <c r="AF311" s="34">
        <v>64.45</v>
      </c>
      <c r="AH311" s="28">
        <f t="shared" si="104"/>
        <v>-6.1053341148440327E-2</v>
      </c>
      <c r="AJ311" s="5">
        <f t="shared" si="105"/>
        <v>995.74564762211753</v>
      </c>
      <c r="AK311" s="6">
        <f t="shared" si="106"/>
        <v>822.63780690297824</v>
      </c>
      <c r="AM311" s="1">
        <f t="shared" si="99"/>
        <v>44876</v>
      </c>
      <c r="AN311">
        <f t="shared" si="100"/>
        <v>1.2104302030207512</v>
      </c>
      <c r="AO311">
        <f t="shared" ca="1" si="86"/>
        <v>0.92832590733385079</v>
      </c>
      <c r="AP311">
        <f t="shared" ca="1" si="87"/>
        <v>0.98424797007782228</v>
      </c>
      <c r="AQ311">
        <f t="shared" ca="1" si="88"/>
        <v>1.0506204581201688</v>
      </c>
      <c r="AR311">
        <f t="shared" ca="1" si="89"/>
        <v>1.0929786710128404</v>
      </c>
      <c r="AS311">
        <f t="shared" ca="1" si="90"/>
        <v>1.1759128342537462</v>
      </c>
    </row>
    <row r="312" spans="2:45" x14ac:dyDescent="0.25">
      <c r="B312" s="22">
        <v>44883</v>
      </c>
      <c r="C312">
        <v>130.11799999999999</v>
      </c>
      <c r="D312">
        <v>119.35</v>
      </c>
      <c r="E312">
        <v>87.893000000000001</v>
      </c>
      <c r="F312">
        <v>160.97499999999999</v>
      </c>
      <c r="G312">
        <v>552.45600000000002</v>
      </c>
      <c r="H312">
        <v>68.923000000000002</v>
      </c>
      <c r="I312" s="6">
        <v>157253.6</v>
      </c>
      <c r="K312" s="23">
        <f t="shared" si="91"/>
        <v>8.1999384651205265E-2</v>
      </c>
      <c r="L312" s="24">
        <f t="shared" si="92"/>
        <v>0.13504517356157852</v>
      </c>
      <c r="M312" s="24">
        <f t="shared" si="93"/>
        <v>0.17401990249115085</v>
      </c>
      <c r="N312" s="24">
        <f t="shared" si="94"/>
        <v>0.20289486859508443</v>
      </c>
      <c r="O312" s="24">
        <f t="shared" si="95"/>
        <v>8.6485210824417846E-2</v>
      </c>
      <c r="P312" s="24">
        <f t="shared" si="96"/>
        <v>6.9402637703646297E-2</v>
      </c>
      <c r="Q312" s="25">
        <f t="shared" si="97"/>
        <v>4.5476001473273131E-2</v>
      </c>
      <c r="S312" s="26">
        <f t="shared" si="101"/>
        <v>0.12497452963784721</v>
      </c>
      <c r="U312" s="5">
        <f t="shared" si="102"/>
        <v>1205.7456805982758</v>
      </c>
      <c r="V312" s="6">
        <f t="shared" si="103"/>
        <v>860.04808502166827</v>
      </c>
      <c r="X312" s="20">
        <f t="shared" si="98"/>
        <v>1.4019514741061228</v>
      </c>
      <c r="Z312" s="22">
        <v>44883</v>
      </c>
      <c r="AA312" s="33">
        <v>239310.64129999999</v>
      </c>
      <c r="AB312" s="33">
        <v>104469.5232</v>
      </c>
      <c r="AC312" s="33">
        <v>53249.686999999998</v>
      </c>
      <c r="AD312" s="33">
        <v>91170.092300000004</v>
      </c>
      <c r="AE312" s="33">
        <v>433590.36940000003</v>
      </c>
      <c r="AF312" s="34">
        <v>68.923000000000002</v>
      </c>
      <c r="AH312" s="28">
        <f t="shared" si="104"/>
        <v>0.10600452097543402</v>
      </c>
      <c r="AJ312" s="5">
        <f t="shared" si="105"/>
        <v>1101.2991880116736</v>
      </c>
      <c r="AK312" s="6">
        <f t="shared" si="106"/>
        <v>860.04808502166827</v>
      </c>
      <c r="AM312" s="1">
        <f t="shared" si="99"/>
        <v>44883</v>
      </c>
      <c r="AN312">
        <f t="shared" si="100"/>
        <v>1.2805088543205434</v>
      </c>
      <c r="AO312">
        <f t="shared" ca="1" si="86"/>
        <v>0.92832590733385079</v>
      </c>
      <c r="AP312">
        <f t="shared" ca="1" si="87"/>
        <v>0.9982920324266823</v>
      </c>
      <c r="AQ312">
        <f t="shared" ca="1" si="88"/>
        <v>1.0555857188145159</v>
      </c>
      <c r="AR312">
        <f t="shared" ca="1" si="89"/>
        <v>1.0953008808490867</v>
      </c>
      <c r="AS312">
        <f t="shared" ca="1" si="90"/>
        <v>1.1826689434434312</v>
      </c>
    </row>
    <row r="313" spans="2:45" x14ac:dyDescent="0.25">
      <c r="B313" s="22">
        <v>44890</v>
      </c>
      <c r="C313">
        <v>143.21100000000001</v>
      </c>
      <c r="D313">
        <v>116.3</v>
      </c>
      <c r="E313">
        <v>88.81</v>
      </c>
      <c r="F313">
        <v>172.80600000000001</v>
      </c>
      <c r="G313">
        <v>577.34500000000003</v>
      </c>
      <c r="H313">
        <v>78.509</v>
      </c>
      <c r="I313" s="6">
        <v>163716.9</v>
      </c>
      <c r="K313" s="23">
        <f t="shared" si="91"/>
        <v>0.10062404894019283</v>
      </c>
      <c r="L313" s="24">
        <f t="shared" si="92"/>
        <v>-2.5555090071219033E-2</v>
      </c>
      <c r="M313" s="24">
        <f t="shared" si="93"/>
        <v>1.0433140295586618E-2</v>
      </c>
      <c r="N313" s="24">
        <f t="shared" si="94"/>
        <v>7.3495884454107818E-2</v>
      </c>
      <c r="O313" s="24">
        <f t="shared" si="95"/>
        <v>4.5051551616780428E-2</v>
      </c>
      <c r="P313" s="24">
        <f t="shared" si="96"/>
        <v>0.13908274451199154</v>
      </c>
      <c r="Q313" s="25">
        <f t="shared" si="97"/>
        <v>4.1101125824782425E-2</v>
      </c>
      <c r="S313" s="26">
        <f t="shared" si="101"/>
        <v>5.7188713291240034E-2</v>
      </c>
      <c r="U313" s="5">
        <f t="shared" si="102"/>
        <v>1274.7007246281619</v>
      </c>
      <c r="V313" s="6">
        <f t="shared" si="103"/>
        <v>895.39702957950703</v>
      </c>
      <c r="X313" s="20">
        <f t="shared" si="98"/>
        <v>1.4236150919852639</v>
      </c>
      <c r="Z313" s="22">
        <v>44890</v>
      </c>
      <c r="AA313" s="33">
        <v>263392.21529999998</v>
      </c>
      <c r="AB313" s="33">
        <v>101799.7951</v>
      </c>
      <c r="AC313" s="33">
        <v>53805.529199999997</v>
      </c>
      <c r="AD313" s="33">
        <v>97870.544899999994</v>
      </c>
      <c r="AE313" s="33">
        <v>453124.51890000002</v>
      </c>
      <c r="AF313" s="34">
        <v>78.509</v>
      </c>
      <c r="AH313" s="28">
        <f t="shared" si="104"/>
        <v>5.2296889422962477E-2</v>
      </c>
      <c r="AJ313" s="5">
        <f t="shared" si="105"/>
        <v>1158.8937098687184</v>
      </c>
      <c r="AK313" s="6">
        <f t="shared" si="106"/>
        <v>895.39702957950703</v>
      </c>
      <c r="AM313" s="1">
        <f t="shared" si="99"/>
        <v>44890</v>
      </c>
      <c r="AN313">
        <f t="shared" si="100"/>
        <v>1.2942791539223151</v>
      </c>
      <c r="AO313">
        <f t="shared" ca="1" si="86"/>
        <v>0.92832590733385079</v>
      </c>
      <c r="AP313">
        <f t="shared" ca="1" si="87"/>
        <v>1.0054543517895114</v>
      </c>
      <c r="AQ313">
        <f t="shared" ca="1" si="88"/>
        <v>1.0609641066797626</v>
      </c>
      <c r="AR313">
        <f t="shared" ca="1" si="89"/>
        <v>1.0979824408034975</v>
      </c>
      <c r="AS313">
        <f t="shared" ca="1" si="90"/>
        <v>1.185381134773261</v>
      </c>
    </row>
    <row r="314" spans="2:45" x14ac:dyDescent="0.25">
      <c r="B314" s="22">
        <v>44897</v>
      </c>
      <c r="C314">
        <v>146.11600000000001</v>
      </c>
      <c r="D314">
        <v>118.75</v>
      </c>
      <c r="E314">
        <v>108.627</v>
      </c>
      <c r="F314">
        <v>203.64400000000001</v>
      </c>
      <c r="G314">
        <v>617.62900000000002</v>
      </c>
      <c r="H314">
        <v>85.721000000000004</v>
      </c>
      <c r="I314" s="6">
        <v>169691.74</v>
      </c>
      <c r="K314" s="23">
        <f t="shared" si="91"/>
        <v>2.0284754662700522E-2</v>
      </c>
      <c r="L314" s="24">
        <f t="shared" si="92"/>
        <v>2.1066208082545224E-2</v>
      </c>
      <c r="M314" s="24">
        <f t="shared" si="93"/>
        <v>0.2231392861164283</v>
      </c>
      <c r="N314" s="24">
        <f t="shared" si="94"/>
        <v>0.17845445181301578</v>
      </c>
      <c r="O314" s="24">
        <f t="shared" si="95"/>
        <v>6.977457153002109E-2</v>
      </c>
      <c r="P314" s="24">
        <f t="shared" si="96"/>
        <v>9.1862079506808136E-2</v>
      </c>
      <c r="Q314" s="25">
        <f t="shared" si="97"/>
        <v>3.6494949513458774E-2</v>
      </c>
      <c r="S314" s="26">
        <f t="shared" si="101"/>
        <v>0.1007635586185865</v>
      </c>
      <c r="U314" s="5">
        <f t="shared" si="102"/>
        <v>1403.1441058153862</v>
      </c>
      <c r="V314" s="6">
        <f t="shared" si="103"/>
        <v>928.0744989685121</v>
      </c>
      <c r="X314" s="20">
        <f t="shared" si="98"/>
        <v>1.5118873618172675</v>
      </c>
      <c r="Z314" s="22">
        <v>44897</v>
      </c>
      <c r="AA314" s="33">
        <v>268703.17570000002</v>
      </c>
      <c r="AB314" s="33">
        <v>103944.33070000001</v>
      </c>
      <c r="AC314" s="33">
        <v>65811.721699999995</v>
      </c>
      <c r="AD314" s="33">
        <v>115335.659</v>
      </c>
      <c r="AE314" s="33">
        <v>484740.48330000002</v>
      </c>
      <c r="AF314" s="34">
        <v>85.721000000000004</v>
      </c>
      <c r="AH314" s="28">
        <f t="shared" si="104"/>
        <v>7.0698657270244575E-2</v>
      </c>
      <c r="AJ314" s="5">
        <f t="shared" si="105"/>
        <v>1240.8259390753692</v>
      </c>
      <c r="AK314" s="6">
        <f t="shared" si="106"/>
        <v>928.0744989685121</v>
      </c>
      <c r="AM314" s="1">
        <f t="shared" si="99"/>
        <v>44897</v>
      </c>
      <c r="AN314">
        <f t="shared" si="100"/>
        <v>1.3369895848387794</v>
      </c>
      <c r="AO314">
        <f t="shared" ca="1" si="86"/>
        <v>0.92832590733385079</v>
      </c>
      <c r="AP314">
        <f t="shared" ca="1" si="87"/>
        <v>1.0151423306550562</v>
      </c>
      <c r="AQ314">
        <f t="shared" ca="1" si="88"/>
        <v>1.0623921781985557</v>
      </c>
      <c r="AR314">
        <f t="shared" ca="1" si="89"/>
        <v>1.0990809043320029</v>
      </c>
      <c r="AS314">
        <f t="shared" ca="1" si="90"/>
        <v>1.2032565266004511</v>
      </c>
    </row>
    <row r="315" spans="2:45" x14ac:dyDescent="0.25">
      <c r="B315" s="22">
        <v>44904</v>
      </c>
      <c r="C315">
        <v>148.40799999999999</v>
      </c>
      <c r="D315">
        <v>117.7</v>
      </c>
      <c r="E315">
        <v>111.93</v>
      </c>
      <c r="F315">
        <v>209.46199999999999</v>
      </c>
      <c r="G315">
        <v>619.78700000000003</v>
      </c>
      <c r="H315">
        <v>84.99</v>
      </c>
      <c r="I315" s="6">
        <v>171177.9</v>
      </c>
      <c r="K315" s="23">
        <f t="shared" si="91"/>
        <v>1.5686167154863151E-2</v>
      </c>
      <c r="L315" s="24">
        <f t="shared" si="92"/>
        <v>-8.8421052631578734E-3</v>
      </c>
      <c r="M315" s="24">
        <f t="shared" si="93"/>
        <v>3.0406804937998855E-2</v>
      </c>
      <c r="N315" s="24">
        <f t="shared" si="94"/>
        <v>2.8569464359372132E-2</v>
      </c>
      <c r="O315" s="24">
        <f t="shared" si="95"/>
        <v>3.4940069200117829E-3</v>
      </c>
      <c r="P315" s="24">
        <f t="shared" si="96"/>
        <v>-8.5276653328824059E-3</v>
      </c>
      <c r="Q315" s="25">
        <f t="shared" si="97"/>
        <v>8.7579984741743555E-3</v>
      </c>
      <c r="S315" s="26">
        <f t="shared" si="101"/>
        <v>1.0131112129367606E-2</v>
      </c>
      <c r="U315" s="5">
        <f t="shared" si="102"/>
        <v>1417.3595160850632</v>
      </c>
      <c r="V315" s="6">
        <f t="shared" si="103"/>
        <v>936.20257401439846</v>
      </c>
      <c r="X315" s="20">
        <f t="shared" si="98"/>
        <v>1.5139453313052573</v>
      </c>
      <c r="Z315" s="22">
        <v>44904</v>
      </c>
      <c r="AA315" s="33">
        <v>272916.94709999999</v>
      </c>
      <c r="AB315" s="33">
        <v>103025.24400000001</v>
      </c>
      <c r="AC315" s="33">
        <v>67812.753700000001</v>
      </c>
      <c r="AD315" s="33">
        <v>118630.9635</v>
      </c>
      <c r="AE315" s="33">
        <v>486434.19569999998</v>
      </c>
      <c r="AF315" s="34">
        <v>84.99</v>
      </c>
      <c r="AH315" s="28">
        <f t="shared" si="104"/>
        <v>9.902546835672597E-3</v>
      </c>
      <c r="AJ315" s="5">
        <f t="shared" si="105"/>
        <v>1253.1132760519804</v>
      </c>
      <c r="AK315" s="6">
        <f t="shared" si="106"/>
        <v>936.20257401439846</v>
      </c>
      <c r="AM315" s="1">
        <f t="shared" si="99"/>
        <v>44904</v>
      </c>
      <c r="AN315">
        <f t="shared" si="100"/>
        <v>1.3385065485119121</v>
      </c>
      <c r="AO315">
        <f t="shared" ref="AO315:AO378" ca="1" si="107">+_xlfn.PERCENTILE.INC(OFFSET(AN315,-52,0,52,1),0.1)</f>
        <v>0.92832590733385079</v>
      </c>
      <c r="AP315">
        <f t="shared" ref="AP315:AP378" ca="1" si="108">+_xlfn.PERCENTILE.INC(OFFSET(AN315,-52,0,52,1),0.25)</f>
        <v>1.0190167176075628</v>
      </c>
      <c r="AQ315">
        <f t="shared" ref="AQ315:AQ378" ca="1" si="109">+_xlfn.PERCENTILE.INC(OFFSET(AN315,-52,0,52,1),0.5)</f>
        <v>1.0633620269751749</v>
      </c>
      <c r="AR315">
        <f t="shared" ref="AR315:AR378" ca="1" si="110">+_xlfn.PERCENTILE.INC(OFFSET(AN315,-52,0,52,1),0.75)</f>
        <v>1.1028653288134382</v>
      </c>
      <c r="AS315">
        <f t="shared" ref="AS315:AS378" ca="1" si="111">+_xlfn.PERCENTILE.INC(OFFSET(AN315,-52,0,52,1),0.9)</f>
        <v>1.2099086271306949</v>
      </c>
    </row>
    <row r="316" spans="2:45" x14ac:dyDescent="0.25">
      <c r="B316" s="22">
        <v>44911</v>
      </c>
      <c r="C316">
        <v>146.11600000000001</v>
      </c>
      <c r="D316">
        <v>124.1</v>
      </c>
      <c r="E316">
        <v>114.499</v>
      </c>
      <c r="F316">
        <v>212.565</v>
      </c>
      <c r="G316">
        <v>581.23</v>
      </c>
      <c r="H316">
        <v>83.346999999999994</v>
      </c>
      <c r="I316" s="6">
        <v>165109.6</v>
      </c>
      <c r="K316" s="23">
        <f t="shared" si="91"/>
        <v>-1.5443911379440234E-2</v>
      </c>
      <c r="L316" s="24">
        <f t="shared" si="92"/>
        <v>5.4375531011044975E-2</v>
      </c>
      <c r="M316" s="24">
        <f t="shared" si="93"/>
        <v>2.2951844903064345E-2</v>
      </c>
      <c r="N316" s="24">
        <f t="shared" si="94"/>
        <v>1.4814142899428173E-2</v>
      </c>
      <c r="O316" s="24">
        <f t="shared" si="95"/>
        <v>-6.2210081850700316E-2</v>
      </c>
      <c r="P316" s="24">
        <f t="shared" si="96"/>
        <v>-1.9331686080715338E-2</v>
      </c>
      <c r="Q316" s="25">
        <f t="shared" si="97"/>
        <v>-3.5450253800286102E-2</v>
      </c>
      <c r="S316" s="26">
        <f t="shared" si="101"/>
        <v>-8.0736008288639916E-4</v>
      </c>
      <c r="U316" s="5">
        <f t="shared" si="102"/>
        <v>1416.2151965886769</v>
      </c>
      <c r="V316" s="6">
        <f t="shared" si="103"/>
        <v>903.01395515710692</v>
      </c>
      <c r="X316" s="20">
        <f t="shared" si="98"/>
        <v>1.5683203880744931</v>
      </c>
      <c r="Z316" s="22">
        <v>44911</v>
      </c>
      <c r="AA316" s="33">
        <v>268703.17570000002</v>
      </c>
      <c r="AB316" s="33">
        <v>108627.29640000001</v>
      </c>
      <c r="AC316" s="33">
        <v>69369.111999999994</v>
      </c>
      <c r="AD316" s="33">
        <v>120388.4593</v>
      </c>
      <c r="AE316" s="33">
        <v>456173.20110000001</v>
      </c>
      <c r="AF316" s="34">
        <v>83.346999999999994</v>
      </c>
      <c r="AH316" s="28">
        <f t="shared" si="104"/>
        <v>-2.4369948453540381E-2</v>
      </c>
      <c r="AJ316" s="5">
        <f t="shared" si="105"/>
        <v>1222.5749701081465</v>
      </c>
      <c r="AK316" s="6">
        <f t="shared" si="106"/>
        <v>903.01395515710692</v>
      </c>
      <c r="AM316" s="1">
        <f t="shared" si="99"/>
        <v>44911</v>
      </c>
      <c r="AN316">
        <f t="shared" si="100"/>
        <v>1.3538826981864771</v>
      </c>
      <c r="AO316">
        <f t="shared" ca="1" si="107"/>
        <v>0.92832590733385079</v>
      </c>
      <c r="AP316">
        <f t="shared" ca="1" si="108"/>
        <v>1.0275986999407574</v>
      </c>
      <c r="AQ316">
        <f t="shared" ca="1" si="109"/>
        <v>1.0646009461836163</v>
      </c>
      <c r="AR316">
        <f t="shared" ca="1" si="110"/>
        <v>1.1099212163957866</v>
      </c>
      <c r="AS316">
        <f t="shared" ca="1" si="111"/>
        <v>1.2252082656614494</v>
      </c>
    </row>
    <row r="317" spans="2:45" x14ac:dyDescent="0.25">
      <c r="B317" s="22">
        <v>44918</v>
      </c>
      <c r="C317">
        <v>161.215</v>
      </c>
      <c r="D317">
        <v>134.25</v>
      </c>
      <c r="E317">
        <v>123.857</v>
      </c>
      <c r="F317">
        <v>248.251</v>
      </c>
      <c r="G317">
        <v>697.09199999999998</v>
      </c>
      <c r="H317">
        <v>93.114999999999995</v>
      </c>
      <c r="I317" s="6">
        <v>187784</v>
      </c>
      <c r="K317" s="23">
        <f t="shared" si="91"/>
        <v>0.10333570587752194</v>
      </c>
      <c r="L317" s="24">
        <f t="shared" si="92"/>
        <v>8.1788879935535963E-2</v>
      </c>
      <c r="M317" s="24">
        <f t="shared" si="93"/>
        <v>8.1729971440798632E-2</v>
      </c>
      <c r="N317" s="24">
        <f t="shared" si="94"/>
        <v>0.16788276527179935</v>
      </c>
      <c r="O317" s="24">
        <f t="shared" si="95"/>
        <v>0.19933933210605081</v>
      </c>
      <c r="P317" s="24">
        <f t="shared" si="96"/>
        <v>0.11719677972812459</v>
      </c>
      <c r="Q317" s="25">
        <f t="shared" si="97"/>
        <v>0.1373293860562923</v>
      </c>
      <c r="S317" s="26">
        <f t="shared" si="101"/>
        <v>0.12521223905997189</v>
      </c>
      <c r="U317" s="5">
        <f t="shared" si="102"/>
        <v>1593.5426723443034</v>
      </c>
      <c r="V317" s="6">
        <f t="shared" si="103"/>
        <v>1027.0243072190967</v>
      </c>
      <c r="X317" s="20">
        <f t="shared" si="98"/>
        <v>1.5516114478918077</v>
      </c>
      <c r="Z317" s="22">
        <v>44918</v>
      </c>
      <c r="AA317" s="33">
        <v>296468.91970000003</v>
      </c>
      <c r="AB317" s="33">
        <v>117511.80130000001</v>
      </c>
      <c r="AC317" s="33">
        <v>75038.702900000004</v>
      </c>
      <c r="AD317" s="33">
        <v>140599.6605</v>
      </c>
      <c r="AE317" s="33">
        <v>547106.73699999996</v>
      </c>
      <c r="AF317" s="34">
        <v>93.114999999999995</v>
      </c>
      <c r="AH317" s="28">
        <f t="shared" si="104"/>
        <v>0.14997377299780745</v>
      </c>
      <c r="AJ317" s="5">
        <f t="shared" si="105"/>
        <v>1405.9291511479469</v>
      </c>
      <c r="AK317" s="6">
        <f t="shared" si="106"/>
        <v>1027.0243072190967</v>
      </c>
      <c r="AM317" s="1">
        <f t="shared" si="99"/>
        <v>44918</v>
      </c>
      <c r="AN317">
        <f t="shared" si="100"/>
        <v>1.3689346408507328</v>
      </c>
      <c r="AO317">
        <f t="shared" ca="1" si="107"/>
        <v>0.93514849504778752</v>
      </c>
      <c r="AP317">
        <f t="shared" ca="1" si="108"/>
        <v>1.0345388950913716</v>
      </c>
      <c r="AQ317">
        <f t="shared" ca="1" si="109"/>
        <v>1.0662306973460867</v>
      </c>
      <c r="AR317">
        <f t="shared" ca="1" si="110"/>
        <v>1.1298707531543428</v>
      </c>
      <c r="AS317">
        <f t="shared" ca="1" si="111"/>
        <v>1.2751429961506417</v>
      </c>
    </row>
    <row r="318" spans="2:45" x14ac:dyDescent="0.25">
      <c r="B318" s="22">
        <v>44925</v>
      </c>
      <c r="C318">
        <v>173.095</v>
      </c>
      <c r="D318">
        <v>136.44999999999999</v>
      </c>
      <c r="E318">
        <v>135.417</v>
      </c>
      <c r="F318">
        <v>278.89499999999998</v>
      </c>
      <c r="G318">
        <v>777.89800000000002</v>
      </c>
      <c r="H318">
        <v>92.201999999999998</v>
      </c>
      <c r="I318" s="6">
        <v>202085.1</v>
      </c>
      <c r="K318" s="23">
        <f t="shared" si="91"/>
        <v>7.3690413423068479E-2</v>
      </c>
      <c r="L318" s="24">
        <f t="shared" si="92"/>
        <v>1.6387337057728102E-2</v>
      </c>
      <c r="M318" s="24">
        <f t="shared" si="93"/>
        <v>9.3333440984360916E-2</v>
      </c>
      <c r="N318" s="24">
        <f t="shared" si="94"/>
        <v>0.12343958332494109</v>
      </c>
      <c r="O318" s="24">
        <f t="shared" si="95"/>
        <v>0.11591870226598511</v>
      </c>
      <c r="P318" s="24">
        <f t="shared" si="96"/>
        <v>-9.8050797401062484E-3</v>
      </c>
      <c r="Q318" s="25">
        <f t="shared" si="97"/>
        <v>7.6157180590465723E-2</v>
      </c>
      <c r="S318" s="26">
        <f t="shared" si="101"/>
        <v>6.8827399552662913E-2</v>
      </c>
      <c r="U318" s="5">
        <f t="shared" si="102"/>
        <v>1703.222070557963</v>
      </c>
      <c r="V318" s="6">
        <f t="shared" si="103"/>
        <v>1105.2395828547794</v>
      </c>
      <c r="X318" s="20">
        <f t="shared" si="98"/>
        <v>1.5410433149332421</v>
      </c>
      <c r="Z318" s="22">
        <v>44925</v>
      </c>
      <c r="AA318" s="33">
        <v>318290.23609999998</v>
      </c>
      <c r="AB318" s="33">
        <v>119437.5068</v>
      </c>
      <c r="AC318" s="33">
        <v>82042.315199999997</v>
      </c>
      <c r="AD318" s="33">
        <v>157954.93109999999</v>
      </c>
      <c r="AE318" s="33">
        <v>610526.85609999998</v>
      </c>
      <c r="AF318" s="34">
        <v>92.201999999999998</v>
      </c>
      <c r="AH318" s="28">
        <f t="shared" si="104"/>
        <v>9.4790110114660195E-2</v>
      </c>
      <c r="AJ318" s="5">
        <f t="shared" si="105"/>
        <v>1539.1973301986716</v>
      </c>
      <c r="AK318" s="6">
        <f t="shared" si="106"/>
        <v>1105.2395828547794</v>
      </c>
      <c r="AM318" s="1">
        <f t="shared" si="99"/>
        <v>44925</v>
      </c>
      <c r="AN318">
        <f t="shared" si="100"/>
        <v>1.3926368129369748</v>
      </c>
      <c r="AO318">
        <f t="shared" ca="1" si="107"/>
        <v>0.97655985762357489</v>
      </c>
      <c r="AP318">
        <f t="shared" ca="1" si="108"/>
        <v>1.0381717978618807</v>
      </c>
      <c r="AQ318">
        <f t="shared" ca="1" si="109"/>
        <v>1.0678687052847495</v>
      </c>
      <c r="AR318">
        <f t="shared" ca="1" si="110"/>
        <v>1.1568596875772279</v>
      </c>
      <c r="AS318">
        <f t="shared" ca="1" si="111"/>
        <v>1.2817546183286452</v>
      </c>
    </row>
    <row r="319" spans="2:45" x14ac:dyDescent="0.25">
      <c r="B319" s="22">
        <v>44932</v>
      </c>
      <c r="C319">
        <v>175.304</v>
      </c>
      <c r="D319">
        <v>157.55000000000001</v>
      </c>
      <c r="E319">
        <v>147.34399999999999</v>
      </c>
      <c r="F319">
        <v>310.31400000000002</v>
      </c>
      <c r="G319">
        <v>794.827</v>
      </c>
      <c r="H319">
        <v>110.46</v>
      </c>
      <c r="I319" s="6">
        <v>213794.3</v>
      </c>
      <c r="K319" s="23">
        <f t="shared" si="91"/>
        <v>1.2761778214275488E-2</v>
      </c>
      <c r="L319" s="24">
        <f t="shared" si="92"/>
        <v>0.15463539758153177</v>
      </c>
      <c r="M319" s="24">
        <f t="shared" si="93"/>
        <v>8.8076090889622316E-2</v>
      </c>
      <c r="N319" s="24">
        <f t="shared" si="94"/>
        <v>0.11265530038186422</v>
      </c>
      <c r="O319" s="24">
        <f t="shared" si="95"/>
        <v>2.1762493283181028E-2</v>
      </c>
      <c r="P319" s="24">
        <f t="shared" si="96"/>
        <v>0.19802173488644503</v>
      </c>
      <c r="Q319" s="25">
        <f t="shared" si="97"/>
        <v>5.7941926445838732E-2</v>
      </c>
      <c r="S319" s="26">
        <f t="shared" si="101"/>
        <v>9.7985465872819977E-2</v>
      </c>
      <c r="U319" s="5">
        <f t="shared" si="102"/>
        <v>1870.1130786264539</v>
      </c>
      <c r="V319" s="6">
        <f t="shared" si="103"/>
        <v>1169.2792934695806</v>
      </c>
      <c r="X319" s="20">
        <f t="shared" si="98"/>
        <v>1.5993724417006498</v>
      </c>
      <c r="Z319" s="22">
        <v>44932</v>
      </c>
      <c r="AA319" s="33">
        <v>322353.51569999999</v>
      </c>
      <c r="AB319" s="33">
        <v>137906.77309999999</v>
      </c>
      <c r="AC319" s="33">
        <v>89268.264299999995</v>
      </c>
      <c r="AD319" s="33">
        <v>175749.57560000001</v>
      </c>
      <c r="AE319" s="33">
        <v>623813.08880000003</v>
      </c>
      <c r="AF319" s="34">
        <v>110.46</v>
      </c>
      <c r="AH319" s="28">
        <f t="shared" si="104"/>
        <v>4.7236207675950798E-2</v>
      </c>
      <c r="AJ319" s="5">
        <f t="shared" si="105"/>
        <v>1611.9031749422049</v>
      </c>
      <c r="AK319" s="6">
        <f t="shared" si="106"/>
        <v>1169.2792934695806</v>
      </c>
      <c r="AM319" s="1">
        <f t="shared" si="99"/>
        <v>44932</v>
      </c>
      <c r="AN319">
        <f t="shared" si="100"/>
        <v>1.3785441886679057</v>
      </c>
      <c r="AO319">
        <f t="shared" ca="1" si="107"/>
        <v>0.98306980214821837</v>
      </c>
      <c r="AP319">
        <f t="shared" ca="1" si="108"/>
        <v>1.0424319269675864</v>
      </c>
      <c r="AQ319">
        <f t="shared" ca="1" si="109"/>
        <v>1.0733680098792158</v>
      </c>
      <c r="AR319">
        <f t="shared" ca="1" si="110"/>
        <v>1.1799065475482717</v>
      </c>
      <c r="AS319">
        <f t="shared" ca="1" si="111"/>
        <v>1.2930405421852604</v>
      </c>
    </row>
    <row r="320" spans="2:45" x14ac:dyDescent="0.25">
      <c r="B320" s="22">
        <v>44939</v>
      </c>
      <c r="C320">
        <v>184.43</v>
      </c>
      <c r="D320">
        <v>172.6</v>
      </c>
      <c r="E320">
        <v>153.03299999999999</v>
      </c>
      <c r="F320">
        <v>308.375</v>
      </c>
      <c r="G320">
        <v>800.726</v>
      </c>
      <c r="H320">
        <v>109.547</v>
      </c>
      <c r="I320" s="6">
        <v>242154.5</v>
      </c>
      <c r="K320" s="23">
        <f t="shared" si="91"/>
        <v>5.2058139004244053E-2</v>
      </c>
      <c r="L320" s="24">
        <f t="shared" si="92"/>
        <v>9.552523008568703E-2</v>
      </c>
      <c r="M320" s="24">
        <f t="shared" si="93"/>
        <v>3.8610326854164434E-2</v>
      </c>
      <c r="N320" s="24">
        <f t="shared" si="94"/>
        <v>-6.2485095741733332E-3</v>
      </c>
      <c r="O320" s="24">
        <f t="shared" si="95"/>
        <v>7.4217408316525901E-3</v>
      </c>
      <c r="P320" s="24">
        <f t="shared" si="96"/>
        <v>-8.2654354517471829E-3</v>
      </c>
      <c r="Q320" s="25">
        <f t="shared" si="97"/>
        <v>0.13265180596489246</v>
      </c>
      <c r="S320" s="26">
        <f t="shared" si="101"/>
        <v>2.9850248624971265E-2</v>
      </c>
      <c r="U320" s="5">
        <f t="shared" si="102"/>
        <v>1925.9364189802639</v>
      </c>
      <c r="V320" s="6">
        <f t="shared" si="103"/>
        <v>1324.386303425674</v>
      </c>
      <c r="X320" s="20">
        <f t="shared" si="98"/>
        <v>1.4542104626109564</v>
      </c>
      <c r="Z320" s="22">
        <v>44939</v>
      </c>
      <c r="AA320" s="33">
        <v>339133.35560000001</v>
      </c>
      <c r="AB320" s="33">
        <v>151080.34940000001</v>
      </c>
      <c r="AC320" s="33">
        <v>92714.486300000004</v>
      </c>
      <c r="AD320" s="33">
        <v>174651.14079999999</v>
      </c>
      <c r="AE320" s="33">
        <v>628442.56929999997</v>
      </c>
      <c r="AF320" s="34">
        <v>109.547</v>
      </c>
      <c r="AH320" s="28">
        <f t="shared" si="104"/>
        <v>2.7373276363695614E-2</v>
      </c>
      <c r="AJ320" s="5">
        <f t="shared" si="105"/>
        <v>1656.0262460214162</v>
      </c>
      <c r="AK320" s="6">
        <f t="shared" si="106"/>
        <v>1324.386303425674</v>
      </c>
      <c r="AM320" s="1">
        <f t="shared" si="99"/>
        <v>44939</v>
      </c>
      <c r="AN320">
        <f t="shared" si="100"/>
        <v>1.2504102781325344</v>
      </c>
      <c r="AO320">
        <f t="shared" ca="1" si="107"/>
        <v>1.0043210851012141</v>
      </c>
      <c r="AP320">
        <f t="shared" ca="1" si="108"/>
        <v>1.0438524550539594</v>
      </c>
      <c r="AQ320">
        <f t="shared" ca="1" si="109"/>
        <v>1.0808424989035459</v>
      </c>
      <c r="AR320">
        <f t="shared" ca="1" si="110"/>
        <v>1.1837292628011793</v>
      </c>
      <c r="AS320">
        <f t="shared" ca="1" si="111"/>
        <v>1.332718541747133</v>
      </c>
    </row>
    <row r="321" spans="2:45" x14ac:dyDescent="0.25">
      <c r="B321" s="22">
        <v>44946</v>
      </c>
      <c r="C321">
        <v>182.38399999999999</v>
      </c>
      <c r="D321">
        <v>160.80000000000001</v>
      </c>
      <c r="E321">
        <v>153.4</v>
      </c>
      <c r="F321">
        <v>304.49599999999998</v>
      </c>
      <c r="G321">
        <v>730.18200000000002</v>
      </c>
      <c r="H321">
        <v>104.07</v>
      </c>
      <c r="I321" s="6">
        <v>247680</v>
      </c>
      <c r="K321" s="23">
        <f t="shared" si="91"/>
        <v>-1.109363986336287E-2</v>
      </c>
      <c r="L321" s="24">
        <f t="shared" si="92"/>
        <v>-6.8366164542294272E-2</v>
      </c>
      <c r="M321" s="24">
        <f t="shared" si="93"/>
        <v>2.3981755569062457E-3</v>
      </c>
      <c r="N321" s="24">
        <f t="shared" si="94"/>
        <v>-1.2578840697203164E-2</v>
      </c>
      <c r="O321" s="24">
        <f t="shared" si="95"/>
        <v>-8.8100049205346087E-2</v>
      </c>
      <c r="P321" s="24">
        <f t="shared" si="96"/>
        <v>-4.9996805024327462E-2</v>
      </c>
      <c r="Q321" s="25">
        <f t="shared" si="97"/>
        <v>2.281807688892834E-2</v>
      </c>
      <c r="S321" s="26">
        <f t="shared" si="101"/>
        <v>-3.7956220629271266E-2</v>
      </c>
      <c r="U321" s="5">
        <f t="shared" si="102"/>
        <v>1852.8351513435002</v>
      </c>
      <c r="V321" s="6">
        <f t="shared" si="103"/>
        <v>1354.6062519278846</v>
      </c>
      <c r="X321" s="20">
        <f t="shared" si="98"/>
        <v>1.3678034843752809</v>
      </c>
      <c r="Z321" s="22">
        <v>44946</v>
      </c>
      <c r="AA321" s="33">
        <v>335371.05959999998</v>
      </c>
      <c r="AB321" s="33">
        <v>140751.56529999999</v>
      </c>
      <c r="AC321" s="33">
        <v>92936.823199999999</v>
      </c>
      <c r="AD321" s="33">
        <v>172454.27110000001</v>
      </c>
      <c r="AE321" s="33">
        <v>573076.99349999998</v>
      </c>
      <c r="AF321" s="34">
        <v>104.07</v>
      </c>
      <c r="AH321" s="28">
        <f t="shared" si="104"/>
        <v>-5.153686467635029E-2</v>
      </c>
      <c r="AJ321" s="5">
        <f t="shared" si="105"/>
        <v>1570.6798454797261</v>
      </c>
      <c r="AK321" s="6">
        <f t="shared" si="106"/>
        <v>1354.6062519278846</v>
      </c>
      <c r="AM321" s="1">
        <f t="shared" si="99"/>
        <v>44946</v>
      </c>
      <c r="AN321">
        <f t="shared" si="100"/>
        <v>1.1595102586041692</v>
      </c>
      <c r="AO321">
        <f t="shared" ca="1" si="107"/>
        <v>1.007123837867683</v>
      </c>
      <c r="AP321">
        <f t="shared" ca="1" si="108"/>
        <v>1.0454317836127669</v>
      </c>
      <c r="AQ321">
        <f t="shared" ca="1" si="109"/>
        <v>1.085017735322203</v>
      </c>
      <c r="AR321">
        <f t="shared" ca="1" si="110"/>
        <v>1.1905300627221562</v>
      </c>
      <c r="AS321">
        <f t="shared" ca="1" si="111"/>
        <v>1.332718541747133</v>
      </c>
    </row>
    <row r="322" spans="2:45" x14ac:dyDescent="0.25">
      <c r="B322" s="22">
        <v>44953</v>
      </c>
      <c r="C322">
        <v>194.905</v>
      </c>
      <c r="D322">
        <v>180.9</v>
      </c>
      <c r="E322">
        <v>181.29</v>
      </c>
      <c r="F322">
        <v>338.24200000000002</v>
      </c>
      <c r="G322">
        <v>793.43600000000004</v>
      </c>
      <c r="H322">
        <v>116.39400000000001</v>
      </c>
      <c r="I322" s="6">
        <v>254295.4</v>
      </c>
      <c r="K322" s="23">
        <f t="shared" si="91"/>
        <v>6.8651855425914565E-2</v>
      </c>
      <c r="L322" s="24">
        <f t="shared" si="92"/>
        <v>0.125</v>
      </c>
      <c r="M322" s="24">
        <f t="shared" si="93"/>
        <v>0.18181225554106906</v>
      </c>
      <c r="N322" s="24">
        <f t="shared" si="94"/>
        <v>0.11082575797383232</v>
      </c>
      <c r="O322" s="24">
        <f t="shared" si="95"/>
        <v>8.662771747317799E-2</v>
      </c>
      <c r="P322" s="24">
        <f t="shared" si="96"/>
        <v>0.11842029403286269</v>
      </c>
      <c r="Q322" s="25">
        <f t="shared" si="97"/>
        <v>2.6709463824289292E-2</v>
      </c>
      <c r="S322" s="26">
        <f t="shared" si="101"/>
        <v>0.11522298007447611</v>
      </c>
      <c r="U322" s="5">
        <f t="shared" si="102"/>
        <v>2066.3243390680414</v>
      </c>
      <c r="V322" s="6">
        <f t="shared" si="103"/>
        <v>1390.7870586099086</v>
      </c>
      <c r="X322" s="20">
        <f t="shared" si="98"/>
        <v>1.4857230129343684</v>
      </c>
      <c r="Z322" s="22">
        <v>44953</v>
      </c>
      <c r="AA322" s="33">
        <v>358396.31079999998</v>
      </c>
      <c r="AB322" s="33">
        <v>158345.511</v>
      </c>
      <c r="AC322" s="33">
        <v>109834.4274</v>
      </c>
      <c r="AD322" s="33">
        <v>191567.0374</v>
      </c>
      <c r="AE322" s="33">
        <v>622721.58519999997</v>
      </c>
      <c r="AF322" s="34">
        <v>116.39400000000001</v>
      </c>
      <c r="AH322" s="28">
        <f t="shared" si="104"/>
        <v>9.6055675784638556E-2</v>
      </c>
      <c r="AJ322" s="5">
        <f t="shared" si="105"/>
        <v>1721.5525594785927</v>
      </c>
      <c r="AK322" s="6">
        <f t="shared" si="106"/>
        <v>1390.7870586099086</v>
      </c>
      <c r="AM322" s="1">
        <f t="shared" si="99"/>
        <v>44953</v>
      </c>
      <c r="AN322">
        <f t="shared" si="100"/>
        <v>1.2378261278899763</v>
      </c>
      <c r="AO322">
        <f t="shared" ca="1" si="107"/>
        <v>1.0183317465111816</v>
      </c>
      <c r="AP322">
        <f t="shared" ca="1" si="108"/>
        <v>1.0465467943894777</v>
      </c>
      <c r="AQ322">
        <f t="shared" ca="1" si="109"/>
        <v>1.0882634102451654</v>
      </c>
      <c r="AR322">
        <f t="shared" ca="1" si="110"/>
        <v>1.1905300627221562</v>
      </c>
      <c r="AS322">
        <f t="shared" ca="1" si="111"/>
        <v>1.332718541747133</v>
      </c>
    </row>
    <row r="323" spans="2:45" x14ac:dyDescent="0.25">
      <c r="B323" s="22">
        <v>44960</v>
      </c>
      <c r="C323">
        <v>178.619</v>
      </c>
      <c r="D323">
        <v>158.55000000000001</v>
      </c>
      <c r="E323">
        <v>175.05199999999999</v>
      </c>
      <c r="F323">
        <v>315.35700000000003</v>
      </c>
      <c r="G323">
        <v>738.67</v>
      </c>
      <c r="H323">
        <v>109.547</v>
      </c>
      <c r="I323" s="6">
        <v>239370</v>
      </c>
      <c r="K323" s="23">
        <f t="shared" si="91"/>
        <v>-8.3558656781508978E-2</v>
      </c>
      <c r="L323" s="24">
        <f t="shared" si="92"/>
        <v>-0.12354892205638468</v>
      </c>
      <c r="M323" s="24">
        <f t="shared" si="93"/>
        <v>-3.440895802305699E-2</v>
      </c>
      <c r="N323" s="24">
        <f t="shared" si="94"/>
        <v>-6.7658658593551357E-2</v>
      </c>
      <c r="O323" s="24">
        <f t="shared" si="95"/>
        <v>-6.9023840612223331E-2</v>
      </c>
      <c r="P323" s="24">
        <f t="shared" si="96"/>
        <v>-5.8826056325927523E-2</v>
      </c>
      <c r="Q323" s="25">
        <f t="shared" si="97"/>
        <v>-5.8693157642647042E-2</v>
      </c>
      <c r="S323" s="26">
        <f t="shared" si="101"/>
        <v>-7.2837515398775476E-2</v>
      </c>
      <c r="U323" s="5">
        <f t="shared" si="102"/>
        <v>1915.8184082023083</v>
      </c>
      <c r="V323" s="6">
        <f t="shared" si="103"/>
        <v>1309.1573745315638</v>
      </c>
      <c r="X323" s="20">
        <f t="shared" si="98"/>
        <v>1.4633980951967802</v>
      </c>
      <c r="Z323" s="22">
        <v>44960</v>
      </c>
      <c r="AA323" s="33">
        <v>328448.4351</v>
      </c>
      <c r="AB323" s="33">
        <v>138782.0938</v>
      </c>
      <c r="AC323" s="33">
        <v>106054.7001</v>
      </c>
      <c r="AD323" s="33">
        <v>178605.5062</v>
      </c>
      <c r="AE323" s="33">
        <v>579738.92879999999</v>
      </c>
      <c r="AF323" s="34">
        <v>109.547</v>
      </c>
      <c r="AH323" s="28">
        <f t="shared" si="104"/>
        <v>-7.5809778753452031E-2</v>
      </c>
      <c r="AJ323" s="5">
        <f t="shared" si="105"/>
        <v>1591.0420408320815</v>
      </c>
      <c r="AK323" s="6">
        <f t="shared" si="106"/>
        <v>1309.1573745315638</v>
      </c>
      <c r="AM323" s="1">
        <f t="shared" si="99"/>
        <v>44960</v>
      </c>
      <c r="AN323">
        <f t="shared" si="100"/>
        <v>1.2153176323827226</v>
      </c>
      <c r="AO323">
        <f t="shared" ca="1" si="107"/>
        <v>1.0203893056174491</v>
      </c>
      <c r="AP323">
        <f t="shared" ca="1" si="108"/>
        <v>1.0494417067309323</v>
      </c>
      <c r="AQ323">
        <f t="shared" ca="1" si="109"/>
        <v>1.0914084863157671</v>
      </c>
      <c r="AR323">
        <f t="shared" ca="1" si="110"/>
        <v>1.2065183838453295</v>
      </c>
      <c r="AS323">
        <f t="shared" ca="1" si="111"/>
        <v>1.332718541747133</v>
      </c>
    </row>
    <row r="324" spans="2:45" x14ac:dyDescent="0.25">
      <c r="B324" s="22">
        <v>44967</v>
      </c>
      <c r="C324">
        <v>188.52199999999999</v>
      </c>
      <c r="D324">
        <v>165.95</v>
      </c>
      <c r="E324">
        <v>181.29</v>
      </c>
      <c r="F324">
        <v>403.02</v>
      </c>
      <c r="G324">
        <v>807.34299999999996</v>
      </c>
      <c r="H324">
        <v>118.676</v>
      </c>
      <c r="I324" s="6">
        <v>249897.5</v>
      </c>
      <c r="K324" s="23">
        <f t="shared" si="91"/>
        <v>5.5442030243143092E-2</v>
      </c>
      <c r="L324" s="24">
        <f t="shared" si="92"/>
        <v>4.6672973825291564E-2</v>
      </c>
      <c r="M324" s="24">
        <f t="shared" si="93"/>
        <v>3.5635125562689884E-2</v>
      </c>
      <c r="N324" s="24">
        <f t="shared" si="94"/>
        <v>0.27798019387551243</v>
      </c>
      <c r="O324" s="24">
        <f t="shared" si="95"/>
        <v>9.2968443283198088E-2</v>
      </c>
      <c r="P324" s="24">
        <f t="shared" si="96"/>
        <v>8.3334094041826789E-2</v>
      </c>
      <c r="Q324" s="25">
        <f t="shared" si="97"/>
        <v>4.398003091448377E-2</v>
      </c>
      <c r="S324" s="26">
        <f t="shared" si="101"/>
        <v>9.8672143471943641E-2</v>
      </c>
      <c r="U324" s="5">
        <f t="shared" si="102"/>
        <v>2104.8563170426373</v>
      </c>
      <c r="V324" s="6">
        <f t="shared" si="103"/>
        <v>1366.7341563353864</v>
      </c>
      <c r="X324" s="20">
        <f t="shared" si="98"/>
        <v>1.5400627161366716</v>
      </c>
      <c r="Z324" s="22">
        <v>44967</v>
      </c>
      <c r="AA324" s="33">
        <v>346657.94750000001</v>
      </c>
      <c r="AB324" s="33">
        <v>145259.46679999999</v>
      </c>
      <c r="AC324" s="33">
        <v>109834.4274</v>
      </c>
      <c r="AD324" s="33">
        <v>228254.76130000001</v>
      </c>
      <c r="AE324" s="33">
        <v>633636.62060000002</v>
      </c>
      <c r="AF324" s="34">
        <v>118.676</v>
      </c>
      <c r="AH324" s="28">
        <f t="shared" si="104"/>
        <v>9.9134906090833377E-2</v>
      </c>
      <c r="AJ324" s="5">
        <f t="shared" si="105"/>
        <v>1748.7698441365376</v>
      </c>
      <c r="AK324" s="6">
        <f t="shared" si="106"/>
        <v>1366.7341563353864</v>
      </c>
      <c r="AM324" s="1">
        <f t="shared" si="99"/>
        <v>44967</v>
      </c>
      <c r="AN324">
        <f t="shared" si="100"/>
        <v>1.2795245044767889</v>
      </c>
      <c r="AO324">
        <f t="shared" ca="1" si="107"/>
        <v>1.0309271907352755</v>
      </c>
      <c r="AP324">
        <f t="shared" ca="1" si="108"/>
        <v>1.0507615885843502</v>
      </c>
      <c r="AQ324">
        <f t="shared" ca="1" si="109"/>
        <v>1.0934594132010265</v>
      </c>
      <c r="AR324">
        <f t="shared" ca="1" si="110"/>
        <v>1.211652060361244</v>
      </c>
      <c r="AS324">
        <f t="shared" ca="1" si="111"/>
        <v>1.332718541747133</v>
      </c>
    </row>
    <row r="325" spans="2:45" x14ac:dyDescent="0.25">
      <c r="B325" s="22">
        <v>44974</v>
      </c>
      <c r="C325">
        <v>191.714</v>
      </c>
      <c r="D325">
        <v>175</v>
      </c>
      <c r="E325">
        <v>178.721</v>
      </c>
      <c r="F325">
        <v>381.68599999999998</v>
      </c>
      <c r="G325">
        <v>804.65800000000002</v>
      </c>
      <c r="H325">
        <v>109.319</v>
      </c>
      <c r="I325" s="6">
        <v>248979.4</v>
      </c>
      <c r="K325" s="23">
        <f t="shared" si="91"/>
        <v>1.6931710887853946E-2</v>
      </c>
      <c r="L325" s="24">
        <f t="shared" si="92"/>
        <v>5.4534498342874382E-2</v>
      </c>
      <c r="M325" s="24">
        <f t="shared" si="93"/>
        <v>-1.4170665784102754E-2</v>
      </c>
      <c r="N325" s="24">
        <f t="shared" si="94"/>
        <v>-5.2935338196615556E-2</v>
      </c>
      <c r="O325" s="24">
        <f t="shared" si="95"/>
        <v>-3.3257240107363861E-3</v>
      </c>
      <c r="P325" s="24">
        <f t="shared" si="96"/>
        <v>-7.8844922309481258E-2</v>
      </c>
      <c r="Q325" s="25">
        <f t="shared" si="97"/>
        <v>-3.673906301583707E-3</v>
      </c>
      <c r="S325" s="26">
        <f t="shared" si="101"/>
        <v>-1.2968406845034605E-2</v>
      </c>
      <c r="U325" s="5">
        <f t="shared" si="102"/>
        <v>2077.5596839728873</v>
      </c>
      <c r="V325" s="6">
        <f t="shared" si="103"/>
        <v>1361.7129031058362</v>
      </c>
      <c r="X325" s="20">
        <f t="shared" si="98"/>
        <v>1.525695819753434</v>
      </c>
      <c r="Z325" s="22">
        <v>44974</v>
      </c>
      <c r="AA325" s="33">
        <v>352527.12910000002</v>
      </c>
      <c r="AB325" s="33">
        <v>153181.11900000001</v>
      </c>
      <c r="AC325" s="33">
        <v>108278.06909999999</v>
      </c>
      <c r="AD325" s="33">
        <v>216171.978</v>
      </c>
      <c r="AE325" s="33">
        <v>631528.88959999999</v>
      </c>
      <c r="AF325" s="34">
        <v>109.319</v>
      </c>
      <c r="AH325" s="28">
        <f t="shared" si="104"/>
        <v>-1.3422013340331175E-3</v>
      </c>
      <c r="AJ325" s="5">
        <f t="shared" si="105"/>
        <v>1746.4226429188207</v>
      </c>
      <c r="AK325" s="6">
        <f t="shared" si="106"/>
        <v>1361.7129031058362</v>
      </c>
      <c r="AM325" s="1">
        <f t="shared" si="99"/>
        <v>44974</v>
      </c>
      <c r="AN325">
        <f t="shared" si="100"/>
        <v>1.2825189795407876</v>
      </c>
      <c r="AO325">
        <f t="shared" ca="1" si="107"/>
        <v>1.0362271835794716</v>
      </c>
      <c r="AP325">
        <f t="shared" ca="1" si="108"/>
        <v>1.0579272186975082</v>
      </c>
      <c r="AQ325">
        <f t="shared" ca="1" si="109"/>
        <v>1.0961808641207744</v>
      </c>
      <c r="AR325">
        <f t="shared" ca="1" si="110"/>
        <v>1.2182007924424236</v>
      </c>
      <c r="AS325">
        <f t="shared" ca="1" si="111"/>
        <v>1.332718541747133</v>
      </c>
    </row>
    <row r="326" spans="2:45" x14ac:dyDescent="0.25">
      <c r="B326" s="22">
        <v>44981</v>
      </c>
      <c r="C326">
        <v>187.66200000000001</v>
      </c>
      <c r="D326">
        <v>168.45</v>
      </c>
      <c r="E326">
        <v>163.67500000000001</v>
      </c>
      <c r="F326">
        <v>374.31599999999997</v>
      </c>
      <c r="G326">
        <v>805.90499999999997</v>
      </c>
      <c r="H326">
        <v>108.634</v>
      </c>
      <c r="I326" s="6">
        <v>248324.7</v>
      </c>
      <c r="K326" s="23">
        <f t="shared" ref="K326:K389" si="112">+C326/C325-1</f>
        <v>-2.1135649978613946E-2</v>
      </c>
      <c r="L326" s="24">
        <f t="shared" ref="L326:L389" si="113">+D326/D325-1</f>
        <v>-3.7428571428571478E-2</v>
      </c>
      <c r="M326" s="24">
        <f t="shared" ref="M326:M389" si="114">+E326/E325-1</f>
        <v>-8.4187084897689668E-2</v>
      </c>
      <c r="N326" s="24">
        <f t="shared" ref="N326:N389" si="115">+F326/F325-1</f>
        <v>-1.9309065566984418E-2</v>
      </c>
      <c r="O326" s="24">
        <f t="shared" ref="O326:O389" si="116">+G326/G325-1</f>
        <v>1.5497267161947992E-3</v>
      </c>
      <c r="P326" s="24">
        <f t="shared" ref="P326:P389" si="117">+H326/H325-1</f>
        <v>-6.2660653683257461E-3</v>
      </c>
      <c r="Q326" s="25">
        <f t="shared" ref="Q326:Q389" si="118">+I326/I325-1</f>
        <v>-2.6295348129201646E-3</v>
      </c>
      <c r="S326" s="26">
        <f t="shared" si="101"/>
        <v>-2.7796118420665077E-2</v>
      </c>
      <c r="U326" s="5">
        <f t="shared" si="102"/>
        <v>2019.8115889711773</v>
      </c>
      <c r="V326" s="6">
        <f t="shared" si="103"/>
        <v>1358.1322316219168</v>
      </c>
      <c r="X326" s="20">
        <f t="shared" si="98"/>
        <v>1.4871980370858777</v>
      </c>
      <c r="Z326" s="22">
        <v>44981</v>
      </c>
      <c r="AA326" s="33">
        <v>345077.78320000001</v>
      </c>
      <c r="AB326" s="33">
        <v>147447.76850000001</v>
      </c>
      <c r="AC326" s="33">
        <v>99162.256299999994</v>
      </c>
      <c r="AD326" s="33">
        <v>211997.92559999999</v>
      </c>
      <c r="AE326" s="33">
        <v>632507.47900000005</v>
      </c>
      <c r="AF326" s="34">
        <v>108.634</v>
      </c>
      <c r="AH326" s="28">
        <f t="shared" si="104"/>
        <v>-1.7441498934297583E-2</v>
      </c>
      <c r="AJ326" s="5">
        <f t="shared" si="105"/>
        <v>1715.9624142535188</v>
      </c>
      <c r="AK326" s="6">
        <f t="shared" si="106"/>
        <v>1358.1322316219168</v>
      </c>
      <c r="AM326" s="1">
        <f t="shared" si="99"/>
        <v>44981</v>
      </c>
      <c r="AN326">
        <f t="shared" si="100"/>
        <v>1.263472270446208</v>
      </c>
      <c r="AO326">
        <f t="shared" ca="1" si="107"/>
        <v>1.0393880198367778</v>
      </c>
      <c r="AP326">
        <f t="shared" ca="1" si="108"/>
        <v>1.0613118007293936</v>
      </c>
      <c r="AQ326">
        <f t="shared" ca="1" si="109"/>
        <v>1.0980240509428447</v>
      </c>
      <c r="AR326">
        <f t="shared" ca="1" si="110"/>
        <v>1.2295942364386392</v>
      </c>
      <c r="AS326">
        <f t="shared" ca="1" si="111"/>
        <v>1.332718541747133</v>
      </c>
    </row>
    <row r="327" spans="2:45" x14ac:dyDescent="0.25">
      <c r="B327" s="22">
        <v>44988</v>
      </c>
      <c r="C327">
        <v>182.30199999999999</v>
      </c>
      <c r="D327">
        <v>165.3</v>
      </c>
      <c r="E327">
        <v>175.41900000000001</v>
      </c>
      <c r="F327">
        <v>331.26</v>
      </c>
      <c r="G327">
        <v>764.471</v>
      </c>
      <c r="H327">
        <v>102.244</v>
      </c>
      <c r="I327" s="6">
        <v>245865.2</v>
      </c>
      <c r="K327" s="23">
        <f t="shared" si="112"/>
        <v>-2.856198910807739E-2</v>
      </c>
      <c r="L327" s="24">
        <f t="shared" si="113"/>
        <v>-1.8699910952804877E-2</v>
      </c>
      <c r="M327" s="24">
        <f t="shared" si="114"/>
        <v>7.1751947456850429E-2</v>
      </c>
      <c r="N327" s="24">
        <f t="shared" si="115"/>
        <v>-0.11502580707209942</v>
      </c>
      <c r="O327" s="24">
        <f t="shared" si="116"/>
        <v>-5.1413007736643812E-2</v>
      </c>
      <c r="P327" s="24">
        <f t="shared" si="117"/>
        <v>-5.882136347736433E-2</v>
      </c>
      <c r="Q327" s="25">
        <f t="shared" si="118"/>
        <v>-9.904371172098414E-3</v>
      </c>
      <c r="S327" s="26">
        <f t="shared" si="101"/>
        <v>-3.34616884816899E-2</v>
      </c>
      <c r="U327" s="5">
        <f t="shared" si="102"/>
        <v>1952.2252827893169</v>
      </c>
      <c r="V327" s="6">
        <f t="shared" si="103"/>
        <v>1344.6807858991431</v>
      </c>
      <c r="X327" s="20">
        <f t="shared" ref="X327:X390" si="119">+(U327/$U$6)/(V327/$V$6)</f>
        <v>1.4518131762282371</v>
      </c>
      <c r="Z327" s="22">
        <v>44988</v>
      </c>
      <c r="AA327" s="33">
        <v>335220.56780000002</v>
      </c>
      <c r="AB327" s="33">
        <v>144690.50839999999</v>
      </c>
      <c r="AC327" s="33">
        <v>106277.037</v>
      </c>
      <c r="AD327" s="33">
        <v>187612.67199999999</v>
      </c>
      <c r="AE327" s="33">
        <v>599988.20129999996</v>
      </c>
      <c r="AF327" s="34">
        <v>102.244</v>
      </c>
      <c r="AH327" s="28">
        <f t="shared" si="104"/>
        <v>-4.3451185119196448E-2</v>
      </c>
      <c r="AJ327" s="5">
        <f t="shared" si="105"/>
        <v>1641.4018137342059</v>
      </c>
      <c r="AK327" s="6">
        <f t="shared" si="106"/>
        <v>1344.6807858991431</v>
      </c>
      <c r="AM327" s="1">
        <f t="shared" ref="AM327:AM390" si="120">+B327</f>
        <v>44988</v>
      </c>
      <c r="AN327">
        <f t="shared" ref="AN327:AN390" si="121">+(AJ327/$AJ$6)/(AK327/$AK$6)</f>
        <v>1.2206628003810251</v>
      </c>
      <c r="AO327">
        <f t="shared" ca="1" si="107"/>
        <v>1.0393880198367778</v>
      </c>
      <c r="AP327">
        <f t="shared" ca="1" si="108"/>
        <v>1.0627585199083214</v>
      </c>
      <c r="AQ327">
        <f t="shared" ca="1" si="109"/>
        <v>1.1000545374424662</v>
      </c>
      <c r="AR327">
        <f t="shared" ca="1" si="110"/>
        <v>1.2409721654506158</v>
      </c>
      <c r="AS327">
        <f t="shared" ca="1" si="111"/>
        <v>1.332718541747133</v>
      </c>
    </row>
    <row r="328" spans="2:45" x14ac:dyDescent="0.25">
      <c r="B328" s="22">
        <v>44995</v>
      </c>
      <c r="C328">
        <v>174.977</v>
      </c>
      <c r="D328">
        <v>154.30000000000001</v>
      </c>
      <c r="E328">
        <v>155.601</v>
      </c>
      <c r="F328">
        <v>284.71300000000002</v>
      </c>
      <c r="G328">
        <v>747.25400000000002</v>
      </c>
      <c r="H328">
        <v>96.995000000000005</v>
      </c>
      <c r="I328" s="6">
        <v>236419.4</v>
      </c>
      <c r="K328" s="23">
        <f t="shared" si="112"/>
        <v>-4.0180579478008904E-2</v>
      </c>
      <c r="L328" s="24">
        <f t="shared" si="113"/>
        <v>-6.6545674531155452E-2</v>
      </c>
      <c r="M328" s="24">
        <f t="shared" si="114"/>
        <v>-0.1129752193319995</v>
      </c>
      <c r="N328" s="24">
        <f t="shared" si="115"/>
        <v>-0.14051500332065436</v>
      </c>
      <c r="O328" s="24">
        <f t="shared" si="116"/>
        <v>-2.2521456013373964E-2</v>
      </c>
      <c r="P328" s="24">
        <f t="shared" si="117"/>
        <v>-5.133797582254207E-2</v>
      </c>
      <c r="Q328" s="25">
        <f t="shared" si="118"/>
        <v>-3.8418613126217194E-2</v>
      </c>
      <c r="S328" s="26">
        <f t="shared" ref="S328:S391" si="122">+AVERAGE(K328:P328)</f>
        <v>-7.234598474962238E-2</v>
      </c>
      <c r="U328" s="5">
        <f t="shared" ref="U328:U391" si="123">+U327*(1+S328)</f>
        <v>1810.9896222528137</v>
      </c>
      <c r="V328" s="6">
        <f t="shared" ref="V328:V391" si="124">+V327*(1+Q328)</f>
        <v>1293.0200150074263</v>
      </c>
      <c r="X328" s="20">
        <f t="shared" si="119"/>
        <v>1.4005890096313878</v>
      </c>
      <c r="Z328" s="22">
        <v>44995</v>
      </c>
      <c r="AA328" s="33">
        <v>321751.54840000003</v>
      </c>
      <c r="AB328" s="33">
        <v>135061.9809</v>
      </c>
      <c r="AC328" s="33">
        <v>94270.844500000007</v>
      </c>
      <c r="AD328" s="33">
        <v>161250.23560000001</v>
      </c>
      <c r="AE328" s="33">
        <v>586476.14029999997</v>
      </c>
      <c r="AF328" s="34">
        <v>96.995000000000005</v>
      </c>
      <c r="AH328" s="28">
        <f t="shared" ref="AH328:AH391" si="125">+SUMPRODUCT(K328:P328,AA327:AF327)/SUM(AA327:AF327)</f>
        <v>-5.4578416515420905E-2</v>
      </c>
      <c r="AJ328" s="5">
        <f t="shared" ref="AJ328:AJ391" si="126">+AJ327*(1+AH328)</f>
        <v>1551.816701875053</v>
      </c>
      <c r="AK328" s="6">
        <f t="shared" ref="AK328:AK391" si="127">+AK327*(1+Q328)</f>
        <v>1293.0200150074263</v>
      </c>
      <c r="AM328" s="1">
        <f t="shared" si="120"/>
        <v>44995</v>
      </c>
      <c r="AN328">
        <f t="shared" si="121"/>
        <v>1.2001490184714119</v>
      </c>
      <c r="AO328">
        <f t="shared" ca="1" si="107"/>
        <v>1.0393880198367778</v>
      </c>
      <c r="AP328">
        <f t="shared" ca="1" si="108"/>
        <v>1.0627585199083214</v>
      </c>
      <c r="AQ328">
        <f t="shared" ca="1" si="109"/>
        <v>1.1037288539634837</v>
      </c>
      <c r="AR328">
        <f t="shared" ca="1" si="110"/>
        <v>1.2409721654506158</v>
      </c>
      <c r="AS328">
        <f t="shared" ca="1" si="111"/>
        <v>1.332718541747133</v>
      </c>
    </row>
    <row r="329" spans="2:45" x14ac:dyDescent="0.25">
      <c r="B329" s="22">
        <v>45002</v>
      </c>
      <c r="C329">
        <v>171.33500000000001</v>
      </c>
      <c r="D329">
        <v>142</v>
      </c>
      <c r="E329">
        <v>139.08699999999999</v>
      </c>
      <c r="F329">
        <v>275.79199999999997</v>
      </c>
      <c r="G329">
        <v>678.96500000000003</v>
      </c>
      <c r="H329">
        <v>96.766999999999996</v>
      </c>
      <c r="I329" s="6">
        <v>221740.3</v>
      </c>
      <c r="K329" s="23">
        <f t="shared" si="112"/>
        <v>-2.0814164147287872E-2</v>
      </c>
      <c r="L329" s="24">
        <f t="shared" si="113"/>
        <v>-7.9714841218405774E-2</v>
      </c>
      <c r="M329" s="24">
        <f t="shared" si="114"/>
        <v>-0.10613042332632827</v>
      </c>
      <c r="N329" s="24">
        <f t="shared" si="115"/>
        <v>-3.1333307576401626E-2</v>
      </c>
      <c r="O329" s="24">
        <f t="shared" si="116"/>
        <v>-9.1386596793058272E-2</v>
      </c>
      <c r="P329" s="24">
        <f t="shared" si="117"/>
        <v>-2.3506366307542992E-3</v>
      </c>
      <c r="Q329" s="25">
        <f t="shared" si="118"/>
        <v>-6.2089236331705489E-2</v>
      </c>
      <c r="S329" s="26">
        <f t="shared" si="122"/>
        <v>-5.5288328282039355E-2</v>
      </c>
      <c r="U329" s="5">
        <f t="shared" si="123"/>
        <v>1710.8630335023338</v>
      </c>
      <c r="V329" s="6">
        <f t="shared" si="124"/>
        <v>1212.7373897140048</v>
      </c>
      <c r="X329" s="20">
        <f t="shared" si="119"/>
        <v>1.4107448554099582</v>
      </c>
      <c r="Z329" s="22">
        <v>45002</v>
      </c>
      <c r="AA329" s="33">
        <v>315054.66159999999</v>
      </c>
      <c r="AB329" s="33">
        <v>124295.53660000001</v>
      </c>
      <c r="AC329" s="33">
        <v>84265.684200000003</v>
      </c>
      <c r="AD329" s="33">
        <v>156197.43530000001</v>
      </c>
      <c r="AE329" s="33">
        <v>532879.55299999996</v>
      </c>
      <c r="AF329" s="34">
        <v>96.766999999999996</v>
      </c>
      <c r="AH329" s="28">
        <f t="shared" si="125"/>
        <v>-6.6299726583200158E-2</v>
      </c>
      <c r="AJ329" s="5">
        <f t="shared" si="126"/>
        <v>1448.9316788334936</v>
      </c>
      <c r="AK329" s="6">
        <f t="shared" si="127"/>
        <v>1212.7373897140048</v>
      </c>
      <c r="AM329" s="1">
        <f t="shared" si="120"/>
        <v>45002</v>
      </c>
      <c r="AN329">
        <f t="shared" si="121"/>
        <v>1.1947612823046461</v>
      </c>
      <c r="AO329">
        <f t="shared" ca="1" si="107"/>
        <v>1.0393880198367778</v>
      </c>
      <c r="AP329">
        <f t="shared" ca="1" si="108"/>
        <v>1.0627585199083214</v>
      </c>
      <c r="AQ329">
        <f t="shared" ca="1" si="109"/>
        <v>1.1143865285279984</v>
      </c>
      <c r="AR329">
        <f t="shared" ca="1" si="110"/>
        <v>1.2409721654506158</v>
      </c>
      <c r="AS329">
        <f t="shared" ca="1" si="111"/>
        <v>1.332718541747133</v>
      </c>
    </row>
    <row r="330" spans="2:45" x14ac:dyDescent="0.25">
      <c r="B330" s="22">
        <v>45009</v>
      </c>
      <c r="C330">
        <v>163.56</v>
      </c>
      <c r="D330">
        <v>151.80000000000001</v>
      </c>
      <c r="E330">
        <v>135.78399999999999</v>
      </c>
      <c r="F330">
        <v>283.54899999999998</v>
      </c>
      <c r="G330">
        <v>679.15599999999995</v>
      </c>
      <c r="H330">
        <v>98.591999999999999</v>
      </c>
      <c r="I330" s="6">
        <v>219276.7</v>
      </c>
      <c r="K330" s="23">
        <f t="shared" si="112"/>
        <v>-4.5378936002568149E-2</v>
      </c>
      <c r="L330" s="24">
        <f t="shared" si="113"/>
        <v>6.9014084507042384E-2</v>
      </c>
      <c r="M330" s="24">
        <f t="shared" si="114"/>
        <v>-2.3747726243286582E-2</v>
      </c>
      <c r="N330" s="24">
        <f t="shared" si="115"/>
        <v>2.8126269072344501E-2</v>
      </c>
      <c r="O330" s="24">
        <f t="shared" si="116"/>
        <v>2.81310524106404E-4</v>
      </c>
      <c r="P330" s="24">
        <f t="shared" si="117"/>
        <v>1.8859735240319475E-2</v>
      </c>
      <c r="Q330" s="25">
        <f t="shared" si="118"/>
        <v>-1.1110294339819915E-2</v>
      </c>
      <c r="S330" s="26">
        <f t="shared" si="122"/>
        <v>7.8591228496596721E-3</v>
      </c>
      <c r="U330" s="5">
        <f t="shared" si="123"/>
        <v>1724.3089162615699</v>
      </c>
      <c r="V330" s="6">
        <f t="shared" si="124"/>
        <v>1199.2635203573773</v>
      </c>
      <c r="X330" s="20">
        <f t="shared" si="119"/>
        <v>1.4378065262484852</v>
      </c>
      <c r="Z330" s="22">
        <v>45009</v>
      </c>
      <c r="AA330" s="33">
        <v>300757.93699999998</v>
      </c>
      <c r="AB330" s="33">
        <v>132873.67920000001</v>
      </c>
      <c r="AC330" s="33">
        <v>82264.652100000007</v>
      </c>
      <c r="AD330" s="33">
        <v>160591.1747</v>
      </c>
      <c r="AE330" s="33">
        <v>533030.10519999999</v>
      </c>
      <c r="AF330" s="34">
        <v>98.591999999999999</v>
      </c>
      <c r="AH330" s="28">
        <f t="shared" si="125"/>
        <v>-2.6177996914653941E-3</v>
      </c>
      <c r="AJ330" s="5">
        <f t="shared" si="126"/>
        <v>1445.1386659316888</v>
      </c>
      <c r="AK330" s="6">
        <f t="shared" si="127"/>
        <v>1199.2635203573773</v>
      </c>
      <c r="AM330" s="1">
        <f t="shared" si="120"/>
        <v>45009</v>
      </c>
      <c r="AN330">
        <f t="shared" si="121"/>
        <v>1.2050217832866637</v>
      </c>
      <c r="AO330">
        <f t="shared" ca="1" si="107"/>
        <v>1.0436359664227055</v>
      </c>
      <c r="AP330">
        <f t="shared" ca="1" si="108"/>
        <v>1.0634806096537188</v>
      </c>
      <c r="AQ330">
        <f t="shared" ca="1" si="109"/>
        <v>1.1364243535162637</v>
      </c>
      <c r="AR330">
        <f t="shared" ca="1" si="110"/>
        <v>1.2409721654506158</v>
      </c>
      <c r="AS330">
        <f t="shared" ca="1" si="111"/>
        <v>1.332718541747133</v>
      </c>
    </row>
    <row r="331" spans="2:45" x14ac:dyDescent="0.25">
      <c r="B331" s="22">
        <v>45016</v>
      </c>
      <c r="C331">
        <v>179.15100000000001</v>
      </c>
      <c r="D331">
        <v>166.15</v>
      </c>
      <c r="E331">
        <v>146.61000000000001</v>
      </c>
      <c r="F331">
        <v>301.005</v>
      </c>
      <c r="G331">
        <v>791.03800000000001</v>
      </c>
      <c r="H331">
        <v>104.983</v>
      </c>
      <c r="I331" s="6">
        <v>245716.2</v>
      </c>
      <c r="K331" s="23">
        <f t="shared" si="112"/>
        <v>9.5322817314746899E-2</v>
      </c>
      <c r="L331" s="24">
        <f t="shared" si="113"/>
        <v>9.4532279314887946E-2</v>
      </c>
      <c r="M331" s="24">
        <f t="shared" si="114"/>
        <v>7.9729570494314617E-2</v>
      </c>
      <c r="N331" s="24">
        <f t="shared" si="115"/>
        <v>6.156255179880743E-2</v>
      </c>
      <c r="O331" s="24">
        <f t="shared" si="116"/>
        <v>0.16473682040650472</v>
      </c>
      <c r="P331" s="24">
        <f t="shared" si="117"/>
        <v>6.4822703667640535E-2</v>
      </c>
      <c r="Q331" s="25">
        <f t="shared" si="118"/>
        <v>0.12057596634754164</v>
      </c>
      <c r="S331" s="26">
        <f t="shared" si="122"/>
        <v>9.3451123832817021E-2</v>
      </c>
      <c r="U331" s="5">
        <f t="shared" si="123"/>
        <v>1885.4475223211605</v>
      </c>
      <c r="V331" s="6">
        <f t="shared" si="124"/>
        <v>1343.8658782298228</v>
      </c>
      <c r="X331" s="20">
        <f t="shared" si="119"/>
        <v>1.4030027496529072</v>
      </c>
      <c r="Z331" s="22">
        <v>45016</v>
      </c>
      <c r="AA331" s="33">
        <v>329426.63209999999</v>
      </c>
      <c r="AB331" s="33">
        <v>145434.53099999999</v>
      </c>
      <c r="AC331" s="33">
        <v>88823.590599999996</v>
      </c>
      <c r="AD331" s="33">
        <v>170477.0883</v>
      </c>
      <c r="AE331" s="33">
        <v>620839.68259999994</v>
      </c>
      <c r="AF331" s="34">
        <v>104.983</v>
      </c>
      <c r="AH331" s="28">
        <f t="shared" si="125"/>
        <v>0.12027894172904852</v>
      </c>
      <c r="AJ331" s="5">
        <f t="shared" si="126"/>
        <v>1618.9584153216811</v>
      </c>
      <c r="AK331" s="6">
        <f t="shared" si="127"/>
        <v>1343.8658782298228</v>
      </c>
      <c r="AM331" s="1">
        <f t="shared" si="120"/>
        <v>45016</v>
      </c>
      <c r="AN331">
        <f t="shared" si="121"/>
        <v>1.2047023751017607</v>
      </c>
      <c r="AO331">
        <f t="shared" ca="1" si="107"/>
        <v>1.0442173714557517</v>
      </c>
      <c r="AP331">
        <f t="shared" ca="1" si="108"/>
        <v>1.0651018231092928</v>
      </c>
      <c r="AQ331">
        <f t="shared" ca="1" si="109"/>
        <v>1.1545209064221376</v>
      </c>
      <c r="AR331">
        <f t="shared" ca="1" si="110"/>
        <v>1.2409721654506158</v>
      </c>
      <c r="AS331">
        <f t="shared" ca="1" si="111"/>
        <v>1.332718541747133</v>
      </c>
    </row>
    <row r="332" spans="2:45" x14ac:dyDescent="0.25">
      <c r="B332" s="22">
        <v>45023</v>
      </c>
      <c r="C332">
        <v>184.22499999999999</v>
      </c>
      <c r="D332">
        <v>164.95</v>
      </c>
      <c r="E332">
        <v>146.61000000000001</v>
      </c>
      <c r="F332">
        <v>317.29599999999999</v>
      </c>
      <c r="G332">
        <v>796.36099999999999</v>
      </c>
      <c r="H332">
        <v>104.983</v>
      </c>
      <c r="I332" s="6">
        <v>252848.7</v>
      </c>
      <c r="K332" s="23">
        <f t="shared" si="112"/>
        <v>2.8322476570044275E-2</v>
      </c>
      <c r="L332" s="24">
        <f t="shared" si="113"/>
        <v>-7.2223894071623551E-3</v>
      </c>
      <c r="M332" s="24">
        <f t="shared" si="114"/>
        <v>0</v>
      </c>
      <c r="N332" s="24">
        <f t="shared" si="115"/>
        <v>5.4122024551087167E-2</v>
      </c>
      <c r="O332" s="24">
        <f t="shared" si="116"/>
        <v>6.7291331137062649E-3</v>
      </c>
      <c r="P332" s="24">
        <f t="shared" si="117"/>
        <v>0</v>
      </c>
      <c r="Q332" s="25">
        <f t="shared" si="118"/>
        <v>2.9027390135448972E-2</v>
      </c>
      <c r="S332" s="26">
        <f t="shared" si="122"/>
        <v>1.3658540804612559E-2</v>
      </c>
      <c r="U332" s="5">
        <f t="shared" si="123"/>
        <v>1911.1999842397397</v>
      </c>
      <c r="V332" s="6">
        <f t="shared" si="124"/>
        <v>1382.8747973669176</v>
      </c>
      <c r="X332" s="20">
        <f t="shared" si="119"/>
        <v>1.3820484601200247</v>
      </c>
      <c r="Z332" s="22">
        <v>45023</v>
      </c>
      <c r="AA332" s="33">
        <v>338757.12599999999</v>
      </c>
      <c r="AB332" s="33">
        <v>144384.14619999999</v>
      </c>
      <c r="AC332" s="33">
        <v>88823.590599999996</v>
      </c>
      <c r="AD332" s="33">
        <v>179703.9411</v>
      </c>
      <c r="AE332" s="33">
        <v>625017.50650000002</v>
      </c>
      <c r="AF332" s="34">
        <v>104.983</v>
      </c>
      <c r="AH332" s="28">
        <f t="shared" si="125"/>
        <v>1.6001746841532046E-2</v>
      </c>
      <c r="AJ332" s="5">
        <f t="shared" si="126"/>
        <v>1644.8645780306265</v>
      </c>
      <c r="AK332" s="6">
        <f t="shared" si="127"/>
        <v>1382.8747973669176</v>
      </c>
      <c r="AM332" s="1">
        <f t="shared" si="120"/>
        <v>45023</v>
      </c>
      <c r="AN332">
        <f t="shared" si="121"/>
        <v>1.1894530012135258</v>
      </c>
      <c r="AO332">
        <f t="shared" ca="1" si="107"/>
        <v>1.0442173714557517</v>
      </c>
      <c r="AP332">
        <f t="shared" ca="1" si="108"/>
        <v>1.0660438190759687</v>
      </c>
      <c r="AQ332">
        <f t="shared" ca="1" si="109"/>
        <v>1.169177173096382</v>
      </c>
      <c r="AR332">
        <f t="shared" ca="1" si="110"/>
        <v>1.2409721654506158</v>
      </c>
      <c r="AS332">
        <f t="shared" ca="1" si="111"/>
        <v>1.332718541747133</v>
      </c>
    </row>
    <row r="333" spans="2:45" x14ac:dyDescent="0.25">
      <c r="B333" s="22">
        <v>45030</v>
      </c>
      <c r="C333">
        <v>209.596</v>
      </c>
      <c r="D333">
        <v>194.7</v>
      </c>
      <c r="E333">
        <v>176.15299999999999</v>
      </c>
      <c r="F333">
        <v>358.02499999999998</v>
      </c>
      <c r="G333">
        <v>879.80499999999995</v>
      </c>
      <c r="H333">
        <v>115.937</v>
      </c>
      <c r="I333" s="6">
        <v>275717.40000000002</v>
      </c>
      <c r="K333" s="23">
        <f t="shared" si="112"/>
        <v>0.1377174650563171</v>
      </c>
      <c r="L333" s="24">
        <f t="shared" si="113"/>
        <v>0.18035768414671116</v>
      </c>
      <c r="M333" s="24">
        <f t="shared" si="114"/>
        <v>0.20150740058659</v>
      </c>
      <c r="N333" s="24">
        <f t="shared" si="115"/>
        <v>0.12836279058040434</v>
      </c>
      <c r="O333" s="24">
        <f t="shared" si="116"/>
        <v>0.1047816254186229</v>
      </c>
      <c r="P333" s="24">
        <f t="shared" si="117"/>
        <v>0.10434070278045016</v>
      </c>
      <c r="Q333" s="25">
        <f t="shared" si="118"/>
        <v>9.0444206357398693E-2</v>
      </c>
      <c r="S333" s="26">
        <f t="shared" si="122"/>
        <v>0.14284461142818261</v>
      </c>
      <c r="U333" s="5">
        <f t="shared" si="123"/>
        <v>2184.2046033500137</v>
      </c>
      <c r="V333" s="6">
        <f t="shared" si="124"/>
        <v>1507.9478109064171</v>
      </c>
      <c r="X333" s="20">
        <f t="shared" si="119"/>
        <v>1.4484616692650014</v>
      </c>
      <c r="Z333" s="22">
        <v>45030</v>
      </c>
      <c r="AA333" s="33">
        <v>385409.5956</v>
      </c>
      <c r="AB333" s="33">
        <v>170424.93640000001</v>
      </c>
      <c r="AC333" s="33">
        <v>106721.7108</v>
      </c>
      <c r="AD333" s="33">
        <v>202771.07279999999</v>
      </c>
      <c r="AE333" s="33">
        <v>690507.71849999996</v>
      </c>
      <c r="AF333" s="34">
        <v>115.937</v>
      </c>
      <c r="AH333" s="28">
        <f t="shared" si="125"/>
        <v>0.13012922017599851</v>
      </c>
      <c r="AJ333" s="5">
        <f t="shared" si="126"/>
        <v>1858.9095228648748</v>
      </c>
      <c r="AK333" s="6">
        <f t="shared" si="127"/>
        <v>1507.9478109064171</v>
      </c>
      <c r="AM333" s="1">
        <f t="shared" si="120"/>
        <v>45030</v>
      </c>
      <c r="AN333">
        <f t="shared" si="121"/>
        <v>1.2327412854875244</v>
      </c>
      <c r="AO333">
        <f t="shared" ca="1" si="107"/>
        <v>1.0442173714557517</v>
      </c>
      <c r="AP333">
        <f t="shared" ca="1" si="108"/>
        <v>1.0660438190759687</v>
      </c>
      <c r="AQ333">
        <f t="shared" ca="1" si="109"/>
        <v>1.1809690075079484</v>
      </c>
      <c r="AR333">
        <f t="shared" ca="1" si="110"/>
        <v>1.2409721654506158</v>
      </c>
      <c r="AS333">
        <f t="shared" ca="1" si="111"/>
        <v>1.332718541747133</v>
      </c>
    </row>
    <row r="334" spans="2:45" x14ac:dyDescent="0.25">
      <c r="B334" s="22">
        <v>45037</v>
      </c>
      <c r="C334">
        <v>223.673</v>
      </c>
      <c r="D334">
        <v>194.9</v>
      </c>
      <c r="E334">
        <v>177.43700000000001</v>
      </c>
      <c r="F334">
        <v>396.03800000000001</v>
      </c>
      <c r="G334">
        <v>900.28300000000002</v>
      </c>
      <c r="H334">
        <v>125.979</v>
      </c>
      <c r="I334" s="6">
        <v>290890.5</v>
      </c>
      <c r="K334" s="23">
        <f t="shared" si="112"/>
        <v>6.7162541269871534E-2</v>
      </c>
      <c r="L334" s="24">
        <f t="shared" si="113"/>
        <v>1.0272213662045893E-3</v>
      </c>
      <c r="M334" s="24">
        <f t="shared" si="114"/>
        <v>7.2891179826628516E-3</v>
      </c>
      <c r="N334" s="24">
        <f t="shared" si="115"/>
        <v>0.10617414984987095</v>
      </c>
      <c r="O334" s="24">
        <f t="shared" si="116"/>
        <v>2.3275612209523677E-2</v>
      </c>
      <c r="P334" s="24">
        <f t="shared" si="117"/>
        <v>8.6616006969302273E-2</v>
      </c>
      <c r="Q334" s="25">
        <f t="shared" si="118"/>
        <v>5.5031347314315138E-2</v>
      </c>
      <c r="S334" s="26">
        <f t="shared" si="122"/>
        <v>4.8590774941239312E-2</v>
      </c>
      <c r="U334" s="5">
        <f t="shared" si="123"/>
        <v>2290.336797657013</v>
      </c>
      <c r="V334" s="6">
        <f t="shared" si="124"/>
        <v>1590.9322106202694</v>
      </c>
      <c r="X334" s="20">
        <f t="shared" si="119"/>
        <v>1.4396193517032767</v>
      </c>
      <c r="Z334" s="22">
        <v>45037</v>
      </c>
      <c r="AA334" s="33">
        <v>411294.19160000002</v>
      </c>
      <c r="AB334" s="33">
        <v>170600.00049999999</v>
      </c>
      <c r="AC334" s="33">
        <v>107499.88989999999</v>
      </c>
      <c r="AD334" s="33">
        <v>224300.3959</v>
      </c>
      <c r="AE334" s="33">
        <v>706579.16709999996</v>
      </c>
      <c r="AF334" s="34">
        <v>125.979</v>
      </c>
      <c r="AH334" s="28">
        <f t="shared" si="125"/>
        <v>4.1421059208722071E-2</v>
      </c>
      <c r="AJ334" s="5">
        <f t="shared" si="126"/>
        <v>1935.907524275118</v>
      </c>
      <c r="AK334" s="6">
        <f t="shared" si="127"/>
        <v>1590.9322106202694</v>
      </c>
      <c r="AM334" s="1">
        <f t="shared" si="120"/>
        <v>45037</v>
      </c>
      <c r="AN334">
        <f t="shared" si="121"/>
        <v>1.216838474544651</v>
      </c>
      <c r="AO334">
        <f t="shared" ca="1" si="107"/>
        <v>1.0442173714557517</v>
      </c>
      <c r="AP334">
        <f t="shared" ca="1" si="108"/>
        <v>1.0660438190759687</v>
      </c>
      <c r="AQ334">
        <f t="shared" ca="1" si="109"/>
        <v>1.184364598175057</v>
      </c>
      <c r="AR334">
        <f t="shared" ca="1" si="110"/>
        <v>1.2409721654506158</v>
      </c>
      <c r="AS334">
        <f t="shared" ca="1" si="111"/>
        <v>1.332718541747133</v>
      </c>
    </row>
    <row r="335" spans="2:45" x14ac:dyDescent="0.25">
      <c r="B335" s="22">
        <v>45044</v>
      </c>
      <c r="C335">
        <v>226.04599999999999</v>
      </c>
      <c r="D335">
        <v>201.8</v>
      </c>
      <c r="E335">
        <v>181.84100000000001</v>
      </c>
      <c r="F335">
        <v>444.91300000000001</v>
      </c>
      <c r="G335">
        <v>995.476</v>
      </c>
      <c r="H335">
        <v>131</v>
      </c>
      <c r="I335" s="6">
        <v>297960</v>
      </c>
      <c r="K335" s="23">
        <f t="shared" si="112"/>
        <v>1.0609237592378085E-2</v>
      </c>
      <c r="L335" s="24">
        <f t="shared" si="113"/>
        <v>3.5402770651616233E-2</v>
      </c>
      <c r="M335" s="24">
        <f t="shared" si="114"/>
        <v>2.4820076985070827E-2</v>
      </c>
      <c r="N335" s="24">
        <f t="shared" si="115"/>
        <v>0.12340987480999299</v>
      </c>
      <c r="O335" s="24">
        <f t="shared" si="116"/>
        <v>0.10573675166586494</v>
      </c>
      <c r="P335" s="24">
        <f t="shared" si="117"/>
        <v>3.9855848990704823E-2</v>
      </c>
      <c r="Q335" s="25">
        <f t="shared" si="118"/>
        <v>2.430295936099669E-2</v>
      </c>
      <c r="S335" s="26">
        <f t="shared" si="122"/>
        <v>5.6639093449271316E-2</v>
      </c>
      <c r="U335" s="5">
        <f t="shared" si="123"/>
        <v>2420.0593975698134</v>
      </c>
      <c r="V335" s="6">
        <f t="shared" si="124"/>
        <v>1629.5965714810745</v>
      </c>
      <c r="X335" s="20">
        <f t="shared" si="119"/>
        <v>1.485066574097121</v>
      </c>
      <c r="Z335" s="22">
        <v>45044</v>
      </c>
      <c r="AA335" s="33">
        <v>415658.45490000001</v>
      </c>
      <c r="AB335" s="33">
        <v>176639.7132</v>
      </c>
      <c r="AC335" s="33">
        <v>110167.9327</v>
      </c>
      <c r="AD335" s="33">
        <v>251980.954</v>
      </c>
      <c r="AE335" s="33">
        <v>781290.70209999999</v>
      </c>
      <c r="AF335" s="34">
        <v>131</v>
      </c>
      <c r="AH335" s="28">
        <f t="shared" si="125"/>
        <v>7.1259382577404537E-2</v>
      </c>
      <c r="AJ335" s="5">
        <f t="shared" si="126"/>
        <v>2073.8590991819146</v>
      </c>
      <c r="AK335" s="6">
        <f t="shared" si="127"/>
        <v>1629.5965714810745</v>
      </c>
      <c r="AM335" s="1">
        <f t="shared" si="120"/>
        <v>45044</v>
      </c>
      <c r="AN335">
        <f t="shared" si="121"/>
        <v>1.2726211723046692</v>
      </c>
      <c r="AO335">
        <f t="shared" ca="1" si="107"/>
        <v>1.0442173714557517</v>
      </c>
      <c r="AP335">
        <f t="shared" ca="1" si="108"/>
        <v>1.0751076515489033</v>
      </c>
      <c r="AQ335">
        <f t="shared" ca="1" si="109"/>
        <v>1.187544135068169</v>
      </c>
      <c r="AR335">
        <f t="shared" ca="1" si="110"/>
        <v>1.2409721654506158</v>
      </c>
      <c r="AS335">
        <f t="shared" ca="1" si="111"/>
        <v>1.332718541747133</v>
      </c>
    </row>
    <row r="336" spans="2:45" x14ac:dyDescent="0.25">
      <c r="B336" s="22">
        <v>45051</v>
      </c>
      <c r="C336">
        <v>224.041</v>
      </c>
      <c r="D336">
        <v>204</v>
      </c>
      <c r="E336">
        <v>183.85900000000001</v>
      </c>
      <c r="F336">
        <v>424.74200000000002</v>
      </c>
      <c r="G336">
        <v>1031.299</v>
      </c>
      <c r="H336">
        <v>142.63999999999999</v>
      </c>
      <c r="I336" s="6">
        <v>297140.09999999998</v>
      </c>
      <c r="K336" s="23">
        <f t="shared" si="112"/>
        <v>-8.8698760429293255E-3</v>
      </c>
      <c r="L336" s="24">
        <f t="shared" si="113"/>
        <v>1.090188305252715E-2</v>
      </c>
      <c r="M336" s="24">
        <f t="shared" si="114"/>
        <v>1.1097607250290187E-2</v>
      </c>
      <c r="N336" s="24">
        <f t="shared" si="115"/>
        <v>-4.533695351675493E-2</v>
      </c>
      <c r="O336" s="24">
        <f t="shared" si="116"/>
        <v>3.5985799758105674E-2</v>
      </c>
      <c r="P336" s="24">
        <f t="shared" si="117"/>
        <v>8.8854961832060875E-2</v>
      </c>
      <c r="Q336" s="25">
        <f t="shared" si="118"/>
        <v>-2.751711639146226E-3</v>
      </c>
      <c r="S336" s="26">
        <f t="shared" si="122"/>
        <v>1.5438903722216605E-2</v>
      </c>
      <c r="U336" s="5">
        <f t="shared" si="123"/>
        <v>2457.4224616109395</v>
      </c>
      <c r="V336" s="6">
        <f t="shared" si="124"/>
        <v>1625.1123916282172</v>
      </c>
      <c r="X336" s="20">
        <f t="shared" si="119"/>
        <v>1.5121553895412871</v>
      </c>
      <c r="Z336" s="22">
        <v>45051</v>
      </c>
      <c r="AA336" s="33">
        <v>411971.40490000002</v>
      </c>
      <c r="AB336" s="33">
        <v>178565.41870000001</v>
      </c>
      <c r="AC336" s="33">
        <v>111390.7856</v>
      </c>
      <c r="AD336" s="33">
        <v>240557.2316</v>
      </c>
      <c r="AE336" s="33">
        <v>809406.32759999996</v>
      </c>
      <c r="AF336" s="34">
        <v>142.63999999999999</v>
      </c>
      <c r="AH336" s="28">
        <f t="shared" si="125"/>
        <v>9.3120109853021792E-3</v>
      </c>
      <c r="AJ336" s="5">
        <f t="shared" si="126"/>
        <v>2093.1708978954657</v>
      </c>
      <c r="AK336" s="6">
        <f t="shared" si="127"/>
        <v>1625.1123916282172</v>
      </c>
      <c r="AM336" s="1">
        <f t="shared" si="120"/>
        <v>45051</v>
      </c>
      <c r="AN336">
        <f t="shared" si="121"/>
        <v>1.2880160834896446</v>
      </c>
      <c r="AO336">
        <f t="shared" ca="1" si="107"/>
        <v>1.0442173714557517</v>
      </c>
      <c r="AP336">
        <f t="shared" ca="1" si="108"/>
        <v>1.0823350964322507</v>
      </c>
      <c r="AQ336">
        <f t="shared" ca="1" si="109"/>
        <v>1.1921071417590858</v>
      </c>
      <c r="AR336">
        <f t="shared" ca="1" si="110"/>
        <v>1.2536757762109527</v>
      </c>
      <c r="AS336">
        <f t="shared" ca="1" si="111"/>
        <v>1.332718541747133</v>
      </c>
    </row>
    <row r="337" spans="2:45" x14ac:dyDescent="0.25">
      <c r="B337" s="22">
        <v>45058</v>
      </c>
      <c r="C337">
        <v>239.87700000000001</v>
      </c>
      <c r="D337">
        <v>213.75</v>
      </c>
      <c r="E337">
        <v>209.18100000000001</v>
      </c>
      <c r="F337">
        <v>486.029</v>
      </c>
      <c r="G337">
        <v>1180.827</v>
      </c>
      <c r="H337">
        <v>152.453</v>
      </c>
      <c r="I337" s="6">
        <v>321529.59999999998</v>
      </c>
      <c r="K337" s="23">
        <f t="shared" si="112"/>
        <v>7.0683490968171059E-2</v>
      </c>
      <c r="L337" s="24">
        <f t="shared" si="113"/>
        <v>4.7794117647058876E-2</v>
      </c>
      <c r="M337" s="24">
        <f t="shared" si="114"/>
        <v>0.13772510456382347</v>
      </c>
      <c r="N337" s="24">
        <f t="shared" si="115"/>
        <v>0.14429229979611136</v>
      </c>
      <c r="O337" s="24">
        <f t="shared" si="116"/>
        <v>0.14498995926496594</v>
      </c>
      <c r="P337" s="24">
        <f t="shared" si="117"/>
        <v>6.8795569265283296E-2</v>
      </c>
      <c r="Q337" s="25">
        <f t="shared" si="118"/>
        <v>8.2080809692128387E-2</v>
      </c>
      <c r="S337" s="26">
        <f t="shared" si="122"/>
        <v>0.10238009025090233</v>
      </c>
      <c r="U337" s="5">
        <f t="shared" si="123"/>
        <v>2709.0135950152626</v>
      </c>
      <c r="V337" s="6">
        <f t="shared" si="124"/>
        <v>1758.5029325737726</v>
      </c>
      <c r="X337" s="20">
        <f t="shared" si="119"/>
        <v>1.5405226484611587</v>
      </c>
      <c r="Z337" s="22">
        <v>45058</v>
      </c>
      <c r="AA337" s="33">
        <v>441091.57539999997</v>
      </c>
      <c r="AB337" s="33">
        <v>187099.7953</v>
      </c>
      <c r="AC337" s="33">
        <v>126732.0316</v>
      </c>
      <c r="AD337" s="33">
        <v>275267.77279999998</v>
      </c>
      <c r="AE337" s="33">
        <v>926761.77659999998</v>
      </c>
      <c r="AF337" s="34">
        <v>152.453</v>
      </c>
      <c r="AH337" s="28">
        <f t="shared" si="125"/>
        <v>0.11704763912952121</v>
      </c>
      <c r="AJ337" s="5">
        <f t="shared" si="126"/>
        <v>2338.1716097887502</v>
      </c>
      <c r="AK337" s="6">
        <f t="shared" si="127"/>
        <v>1758.5029325737726</v>
      </c>
      <c r="AM337" s="1">
        <f t="shared" si="120"/>
        <v>45058</v>
      </c>
      <c r="AN337">
        <f t="shared" si="121"/>
        <v>1.3296375948412924</v>
      </c>
      <c r="AO337">
        <f t="shared" ca="1" si="107"/>
        <v>1.0445759676401012</v>
      </c>
      <c r="AP337">
        <f t="shared" ca="1" si="108"/>
        <v>1.0917725966732881</v>
      </c>
      <c r="AQ337">
        <f t="shared" ca="1" si="109"/>
        <v>1.1974551503880289</v>
      </c>
      <c r="AR337">
        <f t="shared" ca="1" si="110"/>
        <v>1.2657594959108234</v>
      </c>
      <c r="AS337">
        <f t="shared" ca="1" si="111"/>
        <v>1.332718541747133</v>
      </c>
    </row>
    <row r="338" spans="2:45" x14ac:dyDescent="0.25">
      <c r="B338" s="22">
        <v>45065</v>
      </c>
      <c r="C338">
        <v>252.80799999999999</v>
      </c>
      <c r="D338">
        <v>215.15</v>
      </c>
      <c r="E338">
        <v>223.494</v>
      </c>
      <c r="F338">
        <v>572.529</v>
      </c>
      <c r="G338">
        <v>1190.8979999999999</v>
      </c>
      <c r="H338">
        <v>174.59100000000001</v>
      </c>
      <c r="I338" s="6">
        <v>338677.6</v>
      </c>
      <c r="K338" s="23">
        <f t="shared" si="112"/>
        <v>5.3906793898539584E-2</v>
      </c>
      <c r="L338" s="24">
        <f t="shared" si="113"/>
        <v>6.5497076023393053E-3</v>
      </c>
      <c r="M338" s="24">
        <f t="shared" si="114"/>
        <v>6.8423996443271573E-2</v>
      </c>
      <c r="N338" s="24">
        <f t="shared" si="115"/>
        <v>0.17797291931139902</v>
      </c>
      <c r="O338" s="24">
        <f t="shared" si="116"/>
        <v>8.5287683970640682E-3</v>
      </c>
      <c r="P338" s="24">
        <f t="shared" si="117"/>
        <v>0.14521196696686856</v>
      </c>
      <c r="Q338" s="25">
        <f t="shared" si="118"/>
        <v>5.3332570313899597E-2</v>
      </c>
      <c r="S338" s="26">
        <f t="shared" si="122"/>
        <v>7.6765692103247019E-2</v>
      </c>
      <c r="U338" s="5">
        <f t="shared" si="123"/>
        <v>2916.9728985537149</v>
      </c>
      <c r="V338" s="6">
        <f t="shared" si="124"/>
        <v>1852.2884138724619</v>
      </c>
      <c r="X338" s="20">
        <f t="shared" si="119"/>
        <v>1.574794117755876</v>
      </c>
      <c r="Z338" s="22">
        <v>45065</v>
      </c>
      <c r="AA338" s="33">
        <v>464869.28570000001</v>
      </c>
      <c r="AB338" s="33">
        <v>188325.24429999999</v>
      </c>
      <c r="AC338" s="33">
        <v>135403.17060000001</v>
      </c>
      <c r="AD338" s="33">
        <v>324257.967</v>
      </c>
      <c r="AE338" s="33">
        <v>934665.76769999997</v>
      </c>
      <c r="AF338" s="34">
        <v>174.59100000000001</v>
      </c>
      <c r="AH338" s="28">
        <f t="shared" si="125"/>
        <v>4.6288399760416543E-2</v>
      </c>
      <c r="AJ338" s="5">
        <f t="shared" si="126"/>
        <v>2446.4018319711081</v>
      </c>
      <c r="AK338" s="6">
        <f t="shared" si="127"/>
        <v>1852.2884138724619</v>
      </c>
      <c r="AM338" s="1">
        <f t="shared" si="120"/>
        <v>45065</v>
      </c>
      <c r="AN338">
        <f t="shared" si="121"/>
        <v>1.3207456320781981</v>
      </c>
      <c r="AO338">
        <f t="shared" ca="1" si="107"/>
        <v>1.0503946493774787</v>
      </c>
      <c r="AP338">
        <f t="shared" ca="1" si="108"/>
        <v>1.0970608473924623</v>
      </c>
      <c r="AQ338">
        <f t="shared" ca="1" si="109"/>
        <v>1.2024256967865863</v>
      </c>
      <c r="AR338">
        <f t="shared" ca="1" si="110"/>
        <v>1.2743470053476991</v>
      </c>
      <c r="AS338">
        <f t="shared" ca="1" si="111"/>
        <v>1.3362543858390308</v>
      </c>
    </row>
    <row r="339" spans="2:45" x14ac:dyDescent="0.25">
      <c r="B339" s="22">
        <v>45072</v>
      </c>
      <c r="C339">
        <v>267.33499999999998</v>
      </c>
      <c r="D339">
        <v>220.7</v>
      </c>
      <c r="E339">
        <v>210.649</v>
      </c>
      <c r="F339">
        <v>551.971</v>
      </c>
      <c r="G339">
        <v>1209.3610000000001</v>
      </c>
      <c r="H339">
        <v>164.321</v>
      </c>
      <c r="I339" s="6">
        <v>341669.3</v>
      </c>
      <c r="K339" s="23">
        <f t="shared" si="112"/>
        <v>5.7462580298091703E-2</v>
      </c>
      <c r="L339" s="24">
        <f t="shared" si="113"/>
        <v>2.5795956309551338E-2</v>
      </c>
      <c r="M339" s="24">
        <f t="shared" si="114"/>
        <v>-5.7473578709048123E-2</v>
      </c>
      <c r="N339" s="24">
        <f t="shared" si="115"/>
        <v>-3.5907351418006717E-2</v>
      </c>
      <c r="O339" s="24">
        <f t="shared" si="116"/>
        <v>1.5503426825807187E-2</v>
      </c>
      <c r="P339" s="24">
        <f t="shared" si="117"/>
        <v>-5.8823192489876441E-2</v>
      </c>
      <c r="Q339" s="25">
        <f t="shared" si="118"/>
        <v>8.8334746673532916E-3</v>
      </c>
      <c r="S339" s="26">
        <f t="shared" si="122"/>
        <v>-8.9070265305801755E-3</v>
      </c>
      <c r="U339" s="5">
        <f t="shared" si="123"/>
        <v>2890.9913435573135</v>
      </c>
      <c r="V339" s="6">
        <f t="shared" si="124"/>
        <v>1868.6505566530363</v>
      </c>
      <c r="X339" s="20">
        <f t="shared" si="119"/>
        <v>1.5471011063381506</v>
      </c>
      <c r="Z339" s="22">
        <v>45072</v>
      </c>
      <c r="AA339" s="33">
        <v>491581.58689999999</v>
      </c>
      <c r="AB339" s="33">
        <v>193183.27410000001</v>
      </c>
      <c r="AC339" s="33">
        <v>127621.3792</v>
      </c>
      <c r="AD339" s="33">
        <v>312614.5576</v>
      </c>
      <c r="AE339" s="33">
        <v>949156.41799999995</v>
      </c>
      <c r="AF339" s="34">
        <v>164.321</v>
      </c>
      <c r="AH339" s="28">
        <f t="shared" si="125"/>
        <v>1.3002672697345468E-2</v>
      </c>
      <c r="AJ339" s="5">
        <f t="shared" si="126"/>
        <v>2478.2115942784149</v>
      </c>
      <c r="AK339" s="6">
        <f t="shared" si="127"/>
        <v>1868.6505566530363</v>
      </c>
      <c r="AM339" s="1">
        <f t="shared" si="120"/>
        <v>45072</v>
      </c>
      <c r="AN339">
        <f t="shared" si="121"/>
        <v>1.3262038669857947</v>
      </c>
      <c r="AO339">
        <f t="shared" ca="1" si="107"/>
        <v>1.0516168636344343</v>
      </c>
      <c r="AP339">
        <f t="shared" ca="1" si="108"/>
        <v>1.0980656610821922</v>
      </c>
      <c r="AQ339">
        <f t="shared" ca="1" si="109"/>
        <v>1.2048620791942122</v>
      </c>
      <c r="AR339">
        <f t="shared" ca="1" si="110"/>
        <v>1.2797705919377276</v>
      </c>
      <c r="AS339">
        <f t="shared" ca="1" si="111"/>
        <v>1.3362543858390308</v>
      </c>
    </row>
    <row r="340" spans="2:45" x14ac:dyDescent="0.25">
      <c r="B340" s="22">
        <v>45079</v>
      </c>
      <c r="C340">
        <v>284.97199999999998</v>
      </c>
      <c r="D340">
        <v>263.60000000000002</v>
      </c>
      <c r="E340">
        <v>224.595</v>
      </c>
      <c r="F340">
        <v>559.34100000000001</v>
      </c>
      <c r="G340">
        <v>1220.5820000000001</v>
      </c>
      <c r="H340">
        <v>176.18799999999999</v>
      </c>
      <c r="I340" s="6">
        <v>352936.8</v>
      </c>
      <c r="K340" s="23">
        <f t="shared" si="112"/>
        <v>6.5973404155834414E-2</v>
      </c>
      <c r="L340" s="24">
        <f t="shared" si="113"/>
        <v>0.19438151336656118</v>
      </c>
      <c r="M340" s="24">
        <f t="shared" si="114"/>
        <v>6.6204919083404201E-2</v>
      </c>
      <c r="N340" s="24">
        <f t="shared" si="115"/>
        <v>1.3352150747050207E-2</v>
      </c>
      <c r="O340" s="24">
        <f t="shared" si="116"/>
        <v>9.2784536627195102E-3</v>
      </c>
      <c r="P340" s="24">
        <f t="shared" si="117"/>
        <v>7.2218401786746655E-2</v>
      </c>
      <c r="Q340" s="25">
        <f t="shared" si="118"/>
        <v>3.2977794610168365E-2</v>
      </c>
      <c r="S340" s="26">
        <f t="shared" si="122"/>
        <v>7.0234807133719365E-2</v>
      </c>
      <c r="U340" s="5">
        <f t="shared" si="123"/>
        <v>3094.0395629973136</v>
      </c>
      <c r="V340" s="6">
        <f t="shared" si="124"/>
        <v>1930.2745309085169</v>
      </c>
      <c r="X340" s="20">
        <f t="shared" si="119"/>
        <v>1.6029013041689208</v>
      </c>
      <c r="Z340" s="22">
        <v>45079</v>
      </c>
      <c r="AA340" s="33">
        <v>524012.57780000003</v>
      </c>
      <c r="AB340" s="33">
        <v>230734.5312</v>
      </c>
      <c r="AC340" s="33">
        <v>136070.1813</v>
      </c>
      <c r="AD340" s="33">
        <v>316788.61</v>
      </c>
      <c r="AE340" s="33">
        <v>957963.72239999997</v>
      </c>
      <c r="AF340" s="34">
        <v>176.18799999999999</v>
      </c>
      <c r="AH340" s="28">
        <f t="shared" si="125"/>
        <v>4.4074352451141753E-2</v>
      </c>
      <c r="AJ340" s="5">
        <f t="shared" si="126"/>
        <v>2587.4371655331479</v>
      </c>
      <c r="AK340" s="6">
        <f t="shared" si="127"/>
        <v>1930.2745309085169</v>
      </c>
      <c r="AM340" s="1">
        <f t="shared" si="120"/>
        <v>45079</v>
      </c>
      <c r="AN340">
        <f t="shared" si="121"/>
        <v>1.3404503473997174</v>
      </c>
      <c r="AO340">
        <f t="shared" ca="1" si="107"/>
        <v>1.0516168636344343</v>
      </c>
      <c r="AP340">
        <f t="shared" ca="1" si="108"/>
        <v>1.1010281705529295</v>
      </c>
      <c r="AQ340">
        <f t="shared" ca="1" si="109"/>
        <v>1.2051181137034264</v>
      </c>
      <c r="AR340">
        <f t="shared" ca="1" si="110"/>
        <v>1.2808548998783496</v>
      </c>
      <c r="AS340">
        <f t="shared" ca="1" si="111"/>
        <v>1.3362543858390308</v>
      </c>
    </row>
    <row r="341" spans="2:45" x14ac:dyDescent="0.25">
      <c r="B341" s="22">
        <v>45086</v>
      </c>
      <c r="C341">
        <v>291.43700000000001</v>
      </c>
      <c r="D341">
        <v>288.85000000000002</v>
      </c>
      <c r="E341">
        <v>229.36500000000001</v>
      </c>
      <c r="F341">
        <v>536.84299999999996</v>
      </c>
      <c r="G341">
        <v>1223.9390000000001</v>
      </c>
      <c r="H341">
        <v>170.93899999999999</v>
      </c>
      <c r="I341" s="6">
        <v>381763.9</v>
      </c>
      <c r="K341" s="23">
        <f t="shared" si="112"/>
        <v>2.2686439369482114E-2</v>
      </c>
      <c r="L341" s="24">
        <f t="shared" si="113"/>
        <v>9.5789074355083548E-2</v>
      </c>
      <c r="M341" s="24">
        <f t="shared" si="114"/>
        <v>2.1238228811861326E-2</v>
      </c>
      <c r="N341" s="24">
        <f t="shared" si="115"/>
        <v>-4.0222333066948557E-2</v>
      </c>
      <c r="O341" s="24">
        <f t="shared" si="116"/>
        <v>2.7503273028768316E-3</v>
      </c>
      <c r="P341" s="24">
        <f t="shared" si="117"/>
        <v>-2.9792040320566593E-2</v>
      </c>
      <c r="Q341" s="25">
        <f t="shared" si="118"/>
        <v>8.1677796138005521E-2</v>
      </c>
      <c r="S341" s="26">
        <f t="shared" si="122"/>
        <v>1.2074949408631444E-2</v>
      </c>
      <c r="U341" s="5">
        <f t="shared" si="123"/>
        <v>3131.3999341888102</v>
      </c>
      <c r="V341" s="6">
        <f t="shared" si="124"/>
        <v>2087.935100534447</v>
      </c>
      <c r="X341" s="20">
        <f t="shared" si="119"/>
        <v>1.4997592278549599</v>
      </c>
      <c r="Z341" s="22">
        <v>45086</v>
      </c>
      <c r="AA341" s="33">
        <v>535901.43299999996</v>
      </c>
      <c r="AB341" s="33">
        <v>252836.37839999999</v>
      </c>
      <c r="AC341" s="33">
        <v>138960.56090000001</v>
      </c>
      <c r="AD341" s="33">
        <v>304046.76579999999</v>
      </c>
      <c r="AE341" s="33">
        <v>960598.3861</v>
      </c>
      <c r="AF341" s="34">
        <v>170.93899999999999</v>
      </c>
      <c r="AH341" s="28">
        <f t="shared" si="125"/>
        <v>1.2359347089963323E-2</v>
      </c>
      <c r="AJ341" s="5">
        <f t="shared" si="126"/>
        <v>2619.4161995354425</v>
      </c>
      <c r="AK341" s="6">
        <f t="shared" si="127"/>
        <v>2087.935100534447</v>
      </c>
      <c r="AM341" s="1">
        <f t="shared" si="120"/>
        <v>45086</v>
      </c>
      <c r="AN341">
        <f t="shared" si="121"/>
        <v>1.2545486681386564</v>
      </c>
      <c r="AO341">
        <f t="shared" ca="1" si="107"/>
        <v>1.0516168636344343</v>
      </c>
      <c r="AP341">
        <f t="shared" ca="1" si="108"/>
        <v>1.1045923791135295</v>
      </c>
      <c r="AQ341">
        <f t="shared" ca="1" si="109"/>
        <v>1.2078223235704701</v>
      </c>
      <c r="AR341">
        <f t="shared" ca="1" si="110"/>
        <v>1.2820495222990227</v>
      </c>
      <c r="AS341">
        <f t="shared" ca="1" si="111"/>
        <v>1.3383548521445987</v>
      </c>
    </row>
    <row r="342" spans="2:45" x14ac:dyDescent="0.25">
      <c r="B342" s="22">
        <v>45093</v>
      </c>
      <c r="C342">
        <v>300.89</v>
      </c>
      <c r="D342">
        <v>301.5</v>
      </c>
      <c r="E342">
        <v>222.02600000000001</v>
      </c>
      <c r="F342">
        <v>518.22400000000005</v>
      </c>
      <c r="G342">
        <v>1300.1420000000001</v>
      </c>
      <c r="H342">
        <v>173.90600000000001</v>
      </c>
      <c r="I342" s="6">
        <v>409416.5</v>
      </c>
      <c r="K342" s="23">
        <f t="shared" si="112"/>
        <v>3.2435826610897056E-2</v>
      </c>
      <c r="L342" s="24">
        <f t="shared" si="113"/>
        <v>4.379435693266398E-2</v>
      </c>
      <c r="M342" s="24">
        <f t="shared" si="114"/>
        <v>-3.1997035293091836E-2</v>
      </c>
      <c r="N342" s="24">
        <f t="shared" si="115"/>
        <v>-3.4682393176403425E-2</v>
      </c>
      <c r="O342" s="24">
        <f t="shared" si="116"/>
        <v>6.2260455790688951E-2</v>
      </c>
      <c r="P342" s="24">
        <f t="shared" si="117"/>
        <v>1.7357068895921923E-2</v>
      </c>
      <c r="Q342" s="25">
        <f t="shared" si="118"/>
        <v>7.2433773858659789E-2</v>
      </c>
      <c r="S342" s="26">
        <f t="shared" si="122"/>
        <v>1.4861379960112775E-2</v>
      </c>
      <c r="U342" s="5">
        <f t="shared" si="123"/>
        <v>3177.9368584178619</v>
      </c>
      <c r="V342" s="6">
        <f t="shared" si="124"/>
        <v>2239.1721194381171</v>
      </c>
      <c r="X342" s="20">
        <f t="shared" si="119"/>
        <v>1.419246350394588</v>
      </c>
      <c r="Z342" s="22">
        <v>45093</v>
      </c>
      <c r="AA342" s="33">
        <v>553283.2402</v>
      </c>
      <c r="AB342" s="33">
        <v>263909.185</v>
      </c>
      <c r="AC342" s="33">
        <v>134513.823</v>
      </c>
      <c r="AD342" s="33">
        <v>293501.79129999998</v>
      </c>
      <c r="AE342" s="33">
        <v>1020405.2522</v>
      </c>
      <c r="AF342" s="34">
        <v>173.90600000000001</v>
      </c>
      <c r="AH342" s="28">
        <f t="shared" si="125"/>
        <v>3.3420111336012921E-2</v>
      </c>
      <c r="AJ342" s="5">
        <f t="shared" si="126"/>
        <v>2706.9573805592727</v>
      </c>
      <c r="AK342" s="6">
        <f t="shared" si="127"/>
        <v>2239.1721194381171</v>
      </c>
      <c r="AM342" s="1">
        <f t="shared" si="120"/>
        <v>45093</v>
      </c>
      <c r="AN342">
        <f t="shared" si="121"/>
        <v>1.2089099167769821</v>
      </c>
      <c r="AO342">
        <f t="shared" ca="1" si="107"/>
        <v>1.0516168636344343</v>
      </c>
      <c r="AP342">
        <f t="shared" ca="1" si="108"/>
        <v>1.1188518406602102</v>
      </c>
      <c r="AQ342">
        <f t="shared" ca="1" si="109"/>
        <v>1.2128739177017369</v>
      </c>
      <c r="AR342">
        <f t="shared" ca="1" si="110"/>
        <v>1.2820495222990227</v>
      </c>
      <c r="AS342">
        <f t="shared" ca="1" si="111"/>
        <v>1.3383548521445987</v>
      </c>
    </row>
    <row r="343" spans="2:45" x14ac:dyDescent="0.25">
      <c r="B343" s="22">
        <v>45100</v>
      </c>
      <c r="C343">
        <v>290.86399999999998</v>
      </c>
      <c r="D343">
        <v>366.8</v>
      </c>
      <c r="E343">
        <v>251.017</v>
      </c>
      <c r="F343">
        <v>558.17700000000002</v>
      </c>
      <c r="G343">
        <v>1314.625</v>
      </c>
      <c r="H343">
        <v>183.49100000000001</v>
      </c>
      <c r="I343" s="6">
        <v>420736.7</v>
      </c>
      <c r="K343" s="23">
        <f t="shared" si="112"/>
        <v>-3.3321147263119411E-2</v>
      </c>
      <c r="L343" s="24">
        <f t="shared" si="113"/>
        <v>0.21658374792703161</v>
      </c>
      <c r="M343" s="24">
        <f t="shared" si="114"/>
        <v>0.13057479754623325</v>
      </c>
      <c r="N343" s="24">
        <f t="shared" si="115"/>
        <v>7.7096004816449959E-2</v>
      </c>
      <c r="O343" s="24">
        <f t="shared" si="116"/>
        <v>1.1139552448886203E-2</v>
      </c>
      <c r="P343" s="24">
        <f t="shared" si="117"/>
        <v>5.511598219727909E-2</v>
      </c>
      <c r="Q343" s="25">
        <f t="shared" si="118"/>
        <v>2.7649593995356936E-2</v>
      </c>
      <c r="S343" s="26">
        <f t="shared" si="122"/>
        <v>7.619815627879345E-2</v>
      </c>
      <c r="U343" s="5">
        <f t="shared" si="123"/>
        <v>3420.089787799724</v>
      </c>
      <c r="V343" s="6">
        <f t="shared" si="124"/>
        <v>2301.0843194263039</v>
      </c>
      <c r="X343" s="20">
        <f t="shared" si="119"/>
        <v>1.4862948562668949</v>
      </c>
      <c r="Z343" s="22">
        <v>45100</v>
      </c>
      <c r="AA343" s="33">
        <v>534847.99010000005</v>
      </c>
      <c r="AB343" s="33">
        <v>321067.62540000002</v>
      </c>
      <c r="AC343" s="33">
        <v>152078.43789999999</v>
      </c>
      <c r="AD343" s="33">
        <v>316129.5491</v>
      </c>
      <c r="AE343" s="33">
        <v>1031771.9441</v>
      </c>
      <c r="AF343" s="34">
        <v>183.49100000000001</v>
      </c>
      <c r="AH343" s="28">
        <f t="shared" si="125"/>
        <v>3.9849630059477621E-2</v>
      </c>
      <c r="AJ343" s="5">
        <f t="shared" si="126"/>
        <v>2814.8286307613325</v>
      </c>
      <c r="AK343" s="6">
        <f t="shared" si="127"/>
        <v>2301.0843194263039</v>
      </c>
      <c r="AM343" s="1">
        <f t="shared" si="120"/>
        <v>45100</v>
      </c>
      <c r="AN343">
        <f t="shared" si="121"/>
        <v>1.2232618366036727</v>
      </c>
      <c r="AO343">
        <f t="shared" ca="1" si="107"/>
        <v>1.0631722946895044</v>
      </c>
      <c r="AP343">
        <f t="shared" ca="1" si="108"/>
        <v>1.1429779538781846</v>
      </c>
      <c r="AQ343">
        <f t="shared" ca="1" si="109"/>
        <v>1.2128739177017369</v>
      </c>
      <c r="AR343">
        <f t="shared" ca="1" si="110"/>
        <v>1.2820495222990227</v>
      </c>
      <c r="AS343">
        <f t="shared" ca="1" si="111"/>
        <v>1.3383548521445987</v>
      </c>
    </row>
    <row r="344" spans="2:45" x14ac:dyDescent="0.25">
      <c r="B344" s="22">
        <v>45107</v>
      </c>
      <c r="C344">
        <v>289.8</v>
      </c>
      <c r="D344">
        <v>391.15</v>
      </c>
      <c r="E344">
        <v>253.953</v>
      </c>
      <c r="F344">
        <v>541.88599999999997</v>
      </c>
      <c r="G344">
        <v>1356.778</v>
      </c>
      <c r="H344">
        <v>211.791</v>
      </c>
      <c r="I344" s="6">
        <v>426280.97</v>
      </c>
      <c r="K344" s="23">
        <f t="shared" si="112"/>
        <v>-3.6580670003849569E-3</v>
      </c>
      <c r="L344" s="24">
        <f t="shared" si="113"/>
        <v>6.6384950926935637E-2</v>
      </c>
      <c r="M344" s="24">
        <f t="shared" si="114"/>
        <v>1.1696418967639621E-2</v>
      </c>
      <c r="N344" s="24">
        <f t="shared" si="115"/>
        <v>-2.9186082550875514E-2</v>
      </c>
      <c r="O344" s="24">
        <f t="shared" si="116"/>
        <v>3.2064657221641202E-2</v>
      </c>
      <c r="P344" s="24">
        <f t="shared" si="117"/>
        <v>0.15423099770560933</v>
      </c>
      <c r="Q344" s="25">
        <f t="shared" si="118"/>
        <v>1.3177528844048991E-2</v>
      </c>
      <c r="S344" s="26">
        <f t="shared" si="122"/>
        <v>3.858881254509422E-2</v>
      </c>
      <c r="U344" s="5">
        <f t="shared" si="123"/>
        <v>3552.0669915085186</v>
      </c>
      <c r="V344" s="6">
        <f t="shared" si="124"/>
        <v>2331.4069244181328</v>
      </c>
      <c r="X344" s="20">
        <f t="shared" si="119"/>
        <v>1.5235722920377939</v>
      </c>
      <c r="Z344" s="22">
        <v>45107</v>
      </c>
      <c r="AA344" s="33">
        <v>532891.59620000003</v>
      </c>
      <c r="AB344" s="33">
        <v>342381.68400000001</v>
      </c>
      <c r="AC344" s="33">
        <v>153857.13310000001</v>
      </c>
      <c r="AD344" s="33">
        <v>306902.69640000002</v>
      </c>
      <c r="AE344" s="33">
        <v>1064855.7926</v>
      </c>
      <c r="AF344" s="34">
        <v>211.791</v>
      </c>
      <c r="AH344" s="28">
        <f t="shared" si="125"/>
        <v>1.910863421065543E-2</v>
      </c>
      <c r="AJ344" s="5">
        <f t="shared" si="126"/>
        <v>2868.6161614322309</v>
      </c>
      <c r="AK344" s="6">
        <f t="shared" si="127"/>
        <v>2331.4069244181328</v>
      </c>
      <c r="AM344" s="1">
        <f t="shared" si="120"/>
        <v>45107</v>
      </c>
      <c r="AN344">
        <f t="shared" si="121"/>
        <v>1.2304227680666142</v>
      </c>
      <c r="AO344">
        <f t="shared" ca="1" si="107"/>
        <v>1.0666813628567766</v>
      </c>
      <c r="AP344">
        <f t="shared" ca="1" si="108"/>
        <v>1.1570155825131534</v>
      </c>
      <c r="AQ344">
        <f t="shared" ca="1" si="109"/>
        <v>1.2160780534636868</v>
      </c>
      <c r="AR344">
        <f t="shared" ca="1" si="110"/>
        <v>1.2820495222990227</v>
      </c>
      <c r="AS344">
        <f t="shared" ca="1" si="111"/>
        <v>1.3383548521445987</v>
      </c>
    </row>
    <row r="345" spans="2:45" x14ac:dyDescent="0.25">
      <c r="B345" s="22">
        <v>45114</v>
      </c>
      <c r="C345">
        <v>281.69799999999998</v>
      </c>
      <c r="D345">
        <v>391.4</v>
      </c>
      <c r="E345">
        <v>275.60500000000002</v>
      </c>
      <c r="F345">
        <v>518.22400000000005</v>
      </c>
      <c r="G345">
        <v>1366.3689999999999</v>
      </c>
      <c r="H345">
        <v>201.065</v>
      </c>
      <c r="I345" s="6">
        <v>423580.4</v>
      </c>
      <c r="K345" s="23">
        <f t="shared" si="112"/>
        <v>-2.7957211870255461E-2</v>
      </c>
      <c r="L345" s="24">
        <f t="shared" si="113"/>
        <v>6.3914099450346207E-4</v>
      </c>
      <c r="M345" s="24">
        <f t="shared" si="114"/>
        <v>8.5259870920997294E-2</v>
      </c>
      <c r="N345" s="24">
        <f t="shared" si="115"/>
        <v>-4.3666010932188581E-2</v>
      </c>
      <c r="O345" s="24">
        <f t="shared" si="116"/>
        <v>7.0689530638026188E-3</v>
      </c>
      <c r="P345" s="24">
        <f t="shared" si="117"/>
        <v>-5.0644267225708361E-2</v>
      </c>
      <c r="Q345" s="25">
        <f t="shared" si="118"/>
        <v>-6.3351877987890548E-3</v>
      </c>
      <c r="S345" s="26">
        <f t="shared" si="122"/>
        <v>-4.8832541748081715E-3</v>
      </c>
      <c r="U345" s="5">
        <f t="shared" si="123"/>
        <v>3534.7213455430365</v>
      </c>
      <c r="V345" s="6">
        <f t="shared" si="124"/>
        <v>2316.6370237165465</v>
      </c>
      <c r="X345" s="20">
        <f t="shared" si="119"/>
        <v>1.5257985214586336</v>
      </c>
      <c r="Z345" s="22">
        <v>45114</v>
      </c>
      <c r="AA345" s="33">
        <v>517992.90429999999</v>
      </c>
      <c r="AB345" s="33">
        <v>342600.51419999998</v>
      </c>
      <c r="AC345" s="33">
        <v>166975.01</v>
      </c>
      <c r="AD345" s="33">
        <v>293501.79129999998</v>
      </c>
      <c r="AE345" s="33">
        <v>1072383.4032000001</v>
      </c>
      <c r="AF345" s="34">
        <v>201.065</v>
      </c>
      <c r="AH345" s="28">
        <f t="shared" si="125"/>
        <v>-3.1010863808168831E-3</v>
      </c>
      <c r="AJ345" s="5">
        <f t="shared" si="126"/>
        <v>2859.7203349222223</v>
      </c>
      <c r="AK345" s="6">
        <f t="shared" si="127"/>
        <v>2316.6370237165465</v>
      </c>
      <c r="AM345" s="1">
        <f t="shared" si="120"/>
        <v>45114</v>
      </c>
      <c r="AN345">
        <f t="shared" si="121"/>
        <v>1.234427450500819</v>
      </c>
      <c r="AO345">
        <f t="shared" ca="1" si="107"/>
        <v>1.0947728908860741</v>
      </c>
      <c r="AP345">
        <f t="shared" ca="1" si="108"/>
        <v>1.1740106303424886</v>
      </c>
      <c r="AQ345">
        <f t="shared" ca="1" si="109"/>
        <v>1.2187506374628381</v>
      </c>
      <c r="AR345">
        <f t="shared" ca="1" si="110"/>
        <v>1.2820495222990227</v>
      </c>
      <c r="AS345">
        <f t="shared" ca="1" si="111"/>
        <v>1.3383548521445987</v>
      </c>
    </row>
    <row r="346" spans="2:45" x14ac:dyDescent="0.25">
      <c r="B346" s="22">
        <v>45121</v>
      </c>
      <c r="C346">
        <v>297.084</v>
      </c>
      <c r="D346">
        <v>414.7</v>
      </c>
      <c r="E346">
        <v>271.202</v>
      </c>
      <c r="F346">
        <v>504.26</v>
      </c>
      <c r="G346">
        <v>1340.569</v>
      </c>
      <c r="H346">
        <v>209.50899999999999</v>
      </c>
      <c r="I346" s="6">
        <v>443303.6</v>
      </c>
      <c r="K346" s="23">
        <f t="shared" si="112"/>
        <v>5.4618776136145852E-2</v>
      </c>
      <c r="L346" s="24">
        <f t="shared" si="113"/>
        <v>5.9529892692897324E-2</v>
      </c>
      <c r="M346" s="24">
        <f t="shared" si="114"/>
        <v>-1.5975762413599215E-2</v>
      </c>
      <c r="N346" s="24">
        <f t="shared" si="115"/>
        <v>-2.694587668652948E-2</v>
      </c>
      <c r="O346" s="24">
        <f t="shared" si="116"/>
        <v>-1.888216140735044E-2</v>
      </c>
      <c r="P346" s="24">
        <f t="shared" si="117"/>
        <v>4.1996369333300088E-2</v>
      </c>
      <c r="Q346" s="25">
        <f t="shared" si="118"/>
        <v>4.6563060991490435E-2</v>
      </c>
      <c r="S346" s="26">
        <f t="shared" si="122"/>
        <v>1.5723539609144022E-2</v>
      </c>
      <c r="U346" s="5">
        <f t="shared" si="123"/>
        <v>3590.2996766269689</v>
      </c>
      <c r="V346" s="6">
        <f t="shared" si="124"/>
        <v>2424.5067347470049</v>
      </c>
      <c r="X346" s="20">
        <f t="shared" si="119"/>
        <v>1.480837163771217</v>
      </c>
      <c r="Z346" s="22">
        <v>45121</v>
      </c>
      <c r="AA346" s="33">
        <v>546285.36979999999</v>
      </c>
      <c r="AB346" s="33">
        <v>362995.48599999998</v>
      </c>
      <c r="AC346" s="33">
        <v>164306.96729999999</v>
      </c>
      <c r="AD346" s="33">
        <v>285593.06040000002</v>
      </c>
      <c r="AE346" s="33">
        <v>1052134.1307999999</v>
      </c>
      <c r="AF346" s="34">
        <v>209.50899999999999</v>
      </c>
      <c r="AH346" s="28">
        <f t="shared" si="125"/>
        <v>7.4657475626372953E-3</v>
      </c>
      <c r="AJ346" s="5">
        <f t="shared" si="126"/>
        <v>2881.0702850424923</v>
      </c>
      <c r="AK346" s="6">
        <f t="shared" si="127"/>
        <v>2424.5067347470049</v>
      </c>
      <c r="AM346" s="1">
        <f t="shared" si="120"/>
        <v>45121</v>
      </c>
      <c r="AN346">
        <f t="shared" si="121"/>
        <v>1.1883119332077787</v>
      </c>
      <c r="AO346">
        <f t="shared" ca="1" si="107"/>
        <v>1.097957474719889</v>
      </c>
      <c r="AP346">
        <f t="shared" ca="1" si="108"/>
        <v>1.1820314674676251</v>
      </c>
      <c r="AQ346">
        <f t="shared" ca="1" si="109"/>
        <v>1.2219623184923489</v>
      </c>
      <c r="AR346">
        <f t="shared" ca="1" si="110"/>
        <v>1.2820495222990227</v>
      </c>
      <c r="AS346">
        <f t="shared" ca="1" si="111"/>
        <v>1.3383548521445987</v>
      </c>
    </row>
    <row r="347" spans="2:45" x14ac:dyDescent="0.25">
      <c r="B347" s="22">
        <v>45128</v>
      </c>
      <c r="C347">
        <v>316.48099999999999</v>
      </c>
      <c r="D347">
        <v>446.15</v>
      </c>
      <c r="E347">
        <v>280.37599999999998</v>
      </c>
      <c r="F347">
        <v>565.93499999999995</v>
      </c>
      <c r="G347">
        <v>1420.992</v>
      </c>
      <c r="H347">
        <v>223.202</v>
      </c>
      <c r="I347" s="6">
        <v>472973.6</v>
      </c>
      <c r="K347" s="23">
        <f t="shared" si="112"/>
        <v>6.5291298084043436E-2</v>
      </c>
      <c r="L347" s="24">
        <f t="shared" si="113"/>
        <v>7.583795514829994E-2</v>
      </c>
      <c r="M347" s="24">
        <f t="shared" si="114"/>
        <v>3.3827184165308388E-2</v>
      </c>
      <c r="N347" s="24">
        <f t="shared" si="115"/>
        <v>0.12230793638202497</v>
      </c>
      <c r="O347" s="24">
        <f t="shared" si="116"/>
        <v>5.9991690095772876E-2</v>
      </c>
      <c r="P347" s="24">
        <f t="shared" si="117"/>
        <v>6.5357574137626662E-2</v>
      </c>
      <c r="Q347" s="25">
        <f t="shared" si="118"/>
        <v>6.6929300822280657E-2</v>
      </c>
      <c r="S347" s="26">
        <f t="shared" si="122"/>
        <v>7.0435606335512713E-2</v>
      </c>
      <c r="U347" s="5">
        <f t="shared" si="123"/>
        <v>3843.1846112763847</v>
      </c>
      <c r="V347" s="6">
        <f t="shared" si="124"/>
        <v>2586.7772753425324</v>
      </c>
      <c r="X347" s="20">
        <f t="shared" si="119"/>
        <v>1.4857037163230389</v>
      </c>
      <c r="Z347" s="22">
        <v>45128</v>
      </c>
      <c r="AA347" s="33">
        <v>581951.93519999995</v>
      </c>
      <c r="AB347" s="33">
        <v>390524.32140000002</v>
      </c>
      <c r="AC347" s="33">
        <v>169865.3897</v>
      </c>
      <c r="AD347" s="33">
        <v>320523.28850000002</v>
      </c>
      <c r="AE347" s="33">
        <v>1115253.1455000001</v>
      </c>
      <c r="AF347" s="34">
        <v>223.202</v>
      </c>
      <c r="AH347" s="28">
        <f t="shared" si="125"/>
        <v>6.9175267475936358E-2</v>
      </c>
      <c r="AJ347" s="5">
        <f t="shared" si="126"/>
        <v>3080.3690926272789</v>
      </c>
      <c r="AK347" s="6">
        <f t="shared" si="127"/>
        <v>2586.7772753425324</v>
      </c>
      <c r="AM347" s="1">
        <f t="shared" si="120"/>
        <v>45128</v>
      </c>
      <c r="AN347">
        <f t="shared" si="121"/>
        <v>1.1908134194581506</v>
      </c>
      <c r="AO347">
        <f t="shared" ca="1" si="107"/>
        <v>1.0984967244657249</v>
      </c>
      <c r="AP347">
        <f t="shared" ca="1" si="108"/>
        <v>1.1849999335489345</v>
      </c>
      <c r="AQ347">
        <f t="shared" ca="1" si="109"/>
        <v>1.2219623184923489</v>
      </c>
      <c r="AR347">
        <f t="shared" ca="1" si="110"/>
        <v>1.2820495222990227</v>
      </c>
      <c r="AS347">
        <f t="shared" ca="1" si="111"/>
        <v>1.3383548521445987</v>
      </c>
    </row>
    <row r="348" spans="2:45" x14ac:dyDescent="0.25">
      <c r="B348" s="22">
        <v>45135</v>
      </c>
      <c r="C348">
        <v>303.91800000000001</v>
      </c>
      <c r="D348">
        <v>423.35</v>
      </c>
      <c r="E348">
        <v>266.43099999999998</v>
      </c>
      <c r="F348">
        <v>550.80700000000002</v>
      </c>
      <c r="G348">
        <v>1306.76</v>
      </c>
      <c r="H348">
        <v>209.73699999999999</v>
      </c>
      <c r="I348" s="6">
        <v>457787.8</v>
      </c>
      <c r="K348" s="23">
        <f t="shared" si="112"/>
        <v>-3.9695905915362983E-2</v>
      </c>
      <c r="L348" s="24">
        <f t="shared" si="113"/>
        <v>-5.1103888826627752E-2</v>
      </c>
      <c r="M348" s="24">
        <f t="shared" si="114"/>
        <v>-4.9736782035552207E-2</v>
      </c>
      <c r="N348" s="24">
        <f t="shared" si="115"/>
        <v>-2.6730985007112018E-2</v>
      </c>
      <c r="O348" s="24">
        <f t="shared" si="116"/>
        <v>-8.0388911408368235E-2</v>
      </c>
      <c r="P348" s="24">
        <f t="shared" si="117"/>
        <v>-6.0326520371681291E-2</v>
      </c>
      <c r="Q348" s="25">
        <f t="shared" si="118"/>
        <v>-3.2107077435188702E-2</v>
      </c>
      <c r="S348" s="26">
        <f t="shared" si="122"/>
        <v>-5.133049892745075E-2</v>
      </c>
      <c r="U348" s="5">
        <f t="shared" si="123"/>
        <v>3645.912027709267</v>
      </c>
      <c r="V348" s="6">
        <f t="shared" si="124"/>
        <v>2503.7234170555234</v>
      </c>
      <c r="X348" s="20">
        <f t="shared" si="119"/>
        <v>1.4561960010730748</v>
      </c>
      <c r="Z348" s="22">
        <v>45135</v>
      </c>
      <c r="AA348" s="33">
        <v>558851.43819999998</v>
      </c>
      <c r="AB348" s="33">
        <v>370567.0099</v>
      </c>
      <c r="AC348" s="33">
        <v>161416.5876</v>
      </c>
      <c r="AD348" s="33">
        <v>311955.49670000002</v>
      </c>
      <c r="AE348" s="33">
        <v>1025599.3035</v>
      </c>
      <c r="AF348" s="34">
        <v>209.73699999999999</v>
      </c>
      <c r="AH348" s="28">
        <f t="shared" si="125"/>
        <v>-5.807700252622322E-2</v>
      </c>
      <c r="AJ348" s="5">
        <f t="shared" si="126"/>
        <v>2901.4704890530647</v>
      </c>
      <c r="AK348" s="6">
        <f t="shared" si="127"/>
        <v>2503.7234170555234</v>
      </c>
      <c r="AM348" s="1">
        <f t="shared" si="120"/>
        <v>45135</v>
      </c>
      <c r="AN348">
        <f t="shared" si="121"/>
        <v>1.1588622246722873</v>
      </c>
      <c r="AO348">
        <f t="shared" ca="1" si="107"/>
        <v>1.1023472137234109</v>
      </c>
      <c r="AP348">
        <f t="shared" ca="1" si="108"/>
        <v>1.187642767136537</v>
      </c>
      <c r="AQ348">
        <f t="shared" ca="1" si="109"/>
        <v>1.2219623184923489</v>
      </c>
      <c r="AR348">
        <f t="shared" ca="1" si="110"/>
        <v>1.2820495222990227</v>
      </c>
      <c r="AS348">
        <f t="shared" ca="1" si="111"/>
        <v>1.3383548521445987</v>
      </c>
    </row>
    <row r="349" spans="2:45" x14ac:dyDescent="0.25">
      <c r="B349" s="22">
        <v>45142</v>
      </c>
      <c r="C349">
        <v>296.14299999999997</v>
      </c>
      <c r="D349">
        <v>423.75</v>
      </c>
      <c r="E349">
        <v>248.44900000000001</v>
      </c>
      <c r="F349">
        <v>521.32799999999997</v>
      </c>
      <c r="G349">
        <v>1300.3820000000001</v>
      </c>
      <c r="H349">
        <v>199.92400000000001</v>
      </c>
      <c r="I349" s="6">
        <v>451570.6</v>
      </c>
      <c r="K349" s="23">
        <f t="shared" si="112"/>
        <v>-2.5582558453267068E-2</v>
      </c>
      <c r="L349" s="24">
        <f t="shared" si="113"/>
        <v>9.4484469115374559E-4</v>
      </c>
      <c r="M349" s="24">
        <f t="shared" si="114"/>
        <v>-6.7492146184190194E-2</v>
      </c>
      <c r="N349" s="24">
        <f t="shared" si="115"/>
        <v>-5.3519653889656515E-2</v>
      </c>
      <c r="O349" s="24">
        <f t="shared" si="116"/>
        <v>-4.8807738222779173E-3</v>
      </c>
      <c r="P349" s="24">
        <f t="shared" si="117"/>
        <v>-4.678716678506889E-2</v>
      </c>
      <c r="Q349" s="25">
        <f t="shared" si="118"/>
        <v>-1.3580964805090967E-2</v>
      </c>
      <c r="S349" s="26">
        <f t="shared" si="122"/>
        <v>-3.2886242407217804E-2</v>
      </c>
      <c r="U349" s="5">
        <f t="shared" si="123"/>
        <v>3526.0116809706292</v>
      </c>
      <c r="V349" s="6">
        <f t="shared" si="124"/>
        <v>2469.7204374468101</v>
      </c>
      <c r="X349" s="20">
        <f t="shared" si="119"/>
        <v>1.4276966848182258</v>
      </c>
      <c r="Z349" s="22">
        <v>45142</v>
      </c>
      <c r="AA349" s="33">
        <v>544554.71360000002</v>
      </c>
      <c r="AB349" s="33">
        <v>370917.13819999999</v>
      </c>
      <c r="AC349" s="33">
        <v>150522.0796</v>
      </c>
      <c r="AD349" s="33">
        <v>295259.28700000001</v>
      </c>
      <c r="AE349" s="33">
        <v>1020593.4424000001</v>
      </c>
      <c r="AF349" s="34">
        <v>199.92400000000001</v>
      </c>
      <c r="AH349" s="28">
        <f t="shared" si="125"/>
        <v>-1.9168394495234258E-2</v>
      </c>
      <c r="AJ349" s="5">
        <f t="shared" si="126"/>
        <v>2845.8539581026153</v>
      </c>
      <c r="AK349" s="6">
        <f t="shared" si="127"/>
        <v>2469.7204374468101</v>
      </c>
      <c r="AM349" s="1">
        <f t="shared" si="120"/>
        <v>45142</v>
      </c>
      <c r="AN349">
        <f t="shared" si="121"/>
        <v>1.1522980151731874</v>
      </c>
      <c r="AO349">
        <f t="shared" ca="1" si="107"/>
        <v>1.1072420291164597</v>
      </c>
      <c r="AP349">
        <f t="shared" ca="1" si="108"/>
        <v>1.187642767136537</v>
      </c>
      <c r="AQ349">
        <f t="shared" ca="1" si="109"/>
        <v>1.2219623184923489</v>
      </c>
      <c r="AR349">
        <f t="shared" ca="1" si="110"/>
        <v>1.2820495222990227</v>
      </c>
      <c r="AS349">
        <f t="shared" ca="1" si="111"/>
        <v>1.3383548521445987</v>
      </c>
    </row>
    <row r="350" spans="2:45" x14ac:dyDescent="0.25">
      <c r="B350" s="22">
        <v>45149</v>
      </c>
      <c r="C350">
        <v>334.322</v>
      </c>
      <c r="D350">
        <v>405.8</v>
      </c>
      <c r="E350">
        <v>249.18199999999999</v>
      </c>
      <c r="F350">
        <v>510.85500000000002</v>
      </c>
      <c r="G350">
        <v>1429.48</v>
      </c>
      <c r="H350">
        <v>196.95699999999999</v>
      </c>
      <c r="I350" s="6">
        <v>480252.6</v>
      </c>
      <c r="K350" s="23">
        <f t="shared" si="112"/>
        <v>0.12892082541204775</v>
      </c>
      <c r="L350" s="24">
        <f t="shared" si="113"/>
        <v>-4.2359882005899685E-2</v>
      </c>
      <c r="M350" s="24">
        <f t="shared" si="114"/>
        <v>2.9503036840556884E-3</v>
      </c>
      <c r="N350" s="24">
        <f t="shared" si="115"/>
        <v>-2.0089080195193731E-2</v>
      </c>
      <c r="O350" s="24">
        <f t="shared" si="116"/>
        <v>9.9276981686919674E-2</v>
      </c>
      <c r="P350" s="24">
        <f t="shared" si="117"/>
        <v>-1.4840639442988413E-2</v>
      </c>
      <c r="Q350" s="25">
        <f t="shared" si="118"/>
        <v>6.3516092500264687E-2</v>
      </c>
      <c r="S350" s="26">
        <f t="shared" si="122"/>
        <v>2.5643084856490212E-2</v>
      </c>
      <c r="U350" s="5">
        <f t="shared" si="123"/>
        <v>3616.4294977107343</v>
      </c>
      <c r="V350" s="6">
        <f t="shared" si="124"/>
        <v>2626.587429201476</v>
      </c>
      <c r="X350" s="20">
        <f t="shared" si="119"/>
        <v>1.3768547955055834</v>
      </c>
      <c r="Z350" s="22">
        <v>45149</v>
      </c>
      <c r="AA350" s="33">
        <v>614759.15579999995</v>
      </c>
      <c r="AB350" s="33">
        <v>355205.13189999998</v>
      </c>
      <c r="AC350" s="33">
        <v>150966.75339999999</v>
      </c>
      <c r="AD350" s="33">
        <v>289327.73879999999</v>
      </c>
      <c r="AE350" s="33">
        <v>1121915.0808000001</v>
      </c>
      <c r="AF350" s="34">
        <v>196.95699999999999</v>
      </c>
      <c r="AH350" s="28">
        <f t="shared" si="125"/>
        <v>6.310687026543968E-2</v>
      </c>
      <c r="AJ350" s="5">
        <f t="shared" si="126"/>
        <v>3025.4468946309848</v>
      </c>
      <c r="AK350" s="6">
        <f t="shared" si="127"/>
        <v>2626.587429201476</v>
      </c>
      <c r="AM350" s="1">
        <f t="shared" si="120"/>
        <v>45149</v>
      </c>
      <c r="AN350">
        <f t="shared" si="121"/>
        <v>1.1518546312203926</v>
      </c>
      <c r="AO350">
        <f t="shared" ca="1" si="107"/>
        <v>1.1259385929371901</v>
      </c>
      <c r="AP350">
        <f t="shared" ca="1" si="108"/>
        <v>1.187642767136537</v>
      </c>
      <c r="AQ350">
        <f t="shared" ca="1" si="109"/>
        <v>1.2219623184923489</v>
      </c>
      <c r="AR350">
        <f t="shared" ca="1" si="110"/>
        <v>1.2820495222990227</v>
      </c>
      <c r="AS350">
        <f t="shared" ca="1" si="111"/>
        <v>1.3383548521445987</v>
      </c>
    </row>
    <row r="351" spans="2:45" x14ac:dyDescent="0.25">
      <c r="B351" s="22">
        <v>45156</v>
      </c>
      <c r="C351">
        <v>407.61099999999999</v>
      </c>
      <c r="D351">
        <v>501.3</v>
      </c>
      <c r="E351">
        <v>321.47800000000001</v>
      </c>
      <c r="F351">
        <v>668.72699999999998</v>
      </c>
      <c r="G351">
        <v>1851.3510000000001</v>
      </c>
      <c r="H351">
        <v>237.352</v>
      </c>
      <c r="I351" s="6">
        <v>584293.18999999994</v>
      </c>
      <c r="K351" s="23">
        <f t="shared" si="112"/>
        <v>0.21921680296241353</v>
      </c>
      <c r="L351" s="24">
        <f t="shared" si="113"/>
        <v>0.23533760473139487</v>
      </c>
      <c r="M351" s="24">
        <f t="shared" si="114"/>
        <v>0.29013331621064142</v>
      </c>
      <c r="N351" s="24">
        <f t="shared" si="115"/>
        <v>0.30903485333411629</v>
      </c>
      <c r="O351" s="24">
        <f t="shared" si="116"/>
        <v>0.29512200240646957</v>
      </c>
      <c r="P351" s="24">
        <f t="shared" si="117"/>
        <v>0.20509552846560419</v>
      </c>
      <c r="Q351" s="25">
        <f t="shared" si="118"/>
        <v>0.21663722382762729</v>
      </c>
      <c r="S351" s="26">
        <f t="shared" si="122"/>
        <v>0.25899001801843996</v>
      </c>
      <c r="U351" s="5">
        <f t="shared" si="123"/>
        <v>4553.0486384852547</v>
      </c>
      <c r="V351" s="6">
        <f t="shared" si="124"/>
        <v>3195.6040380042282</v>
      </c>
      <c r="X351" s="20">
        <f t="shared" si="119"/>
        <v>1.4247849809730495</v>
      </c>
      <c r="Z351" s="22">
        <v>45156</v>
      </c>
      <c r="AA351" s="33">
        <v>749524.59620000003</v>
      </c>
      <c r="AB351" s="33">
        <v>438798.25689999998</v>
      </c>
      <c r="AC351" s="33">
        <v>194767.12220000001</v>
      </c>
      <c r="AD351" s="33">
        <v>378740.33539999998</v>
      </c>
      <c r="AE351" s="33">
        <v>1453017.0322</v>
      </c>
      <c r="AF351" s="34">
        <v>237.352</v>
      </c>
      <c r="AH351" s="28">
        <f t="shared" si="125"/>
        <v>0.26959468857677765</v>
      </c>
      <c r="AJ351" s="5">
        <f t="shared" si="126"/>
        <v>3841.0913079946044</v>
      </c>
      <c r="AK351" s="6">
        <f t="shared" si="127"/>
        <v>3195.6040380042282</v>
      </c>
      <c r="AM351" s="1">
        <f t="shared" si="120"/>
        <v>45156</v>
      </c>
      <c r="AN351">
        <f t="shared" si="121"/>
        <v>1.2019922563352081</v>
      </c>
      <c r="AO351">
        <f t="shared" ca="1" si="107"/>
        <v>1.1497638619381343</v>
      </c>
      <c r="AP351">
        <f t="shared" ca="1" si="108"/>
        <v>1.187642767136537</v>
      </c>
      <c r="AQ351">
        <f t="shared" ca="1" si="109"/>
        <v>1.2219623184923489</v>
      </c>
      <c r="AR351">
        <f t="shared" ca="1" si="110"/>
        <v>1.2820495222990227</v>
      </c>
      <c r="AS351">
        <f t="shared" ca="1" si="111"/>
        <v>1.3383548521445987</v>
      </c>
    </row>
    <row r="352" spans="2:45" x14ac:dyDescent="0.25">
      <c r="B352" s="22">
        <v>45163</v>
      </c>
      <c r="C352">
        <v>454.30200000000002</v>
      </c>
      <c r="D352">
        <v>542.1</v>
      </c>
      <c r="E352">
        <v>323.31299999999999</v>
      </c>
      <c r="F352">
        <v>678.03599999999994</v>
      </c>
      <c r="G352">
        <v>1914.461</v>
      </c>
      <c r="H352">
        <v>247.39400000000001</v>
      </c>
      <c r="I352" s="6">
        <v>631166.1</v>
      </c>
      <c r="K352" s="23">
        <f t="shared" si="112"/>
        <v>0.11454793908898453</v>
      </c>
      <c r="L352" s="24">
        <f t="shared" si="113"/>
        <v>8.1388390185517689E-2</v>
      </c>
      <c r="M352" s="24">
        <f t="shared" si="114"/>
        <v>5.708011123622736E-3</v>
      </c>
      <c r="N352" s="24">
        <f t="shared" si="115"/>
        <v>1.3920478760391042E-2</v>
      </c>
      <c r="O352" s="24">
        <f t="shared" si="116"/>
        <v>3.4088619608059201E-2</v>
      </c>
      <c r="P352" s="24">
        <f t="shared" si="117"/>
        <v>4.2308470120327568E-2</v>
      </c>
      <c r="Q352" s="25">
        <f t="shared" si="118"/>
        <v>8.0221557947646183E-2</v>
      </c>
      <c r="S352" s="26">
        <f t="shared" si="122"/>
        <v>4.8660318147817128E-2</v>
      </c>
      <c r="U352" s="5">
        <f t="shared" si="123"/>
        <v>4774.6014337764327</v>
      </c>
      <c r="V352" s="6">
        <f t="shared" si="124"/>
        <v>3451.9603725167167</v>
      </c>
      <c r="X352" s="20">
        <f t="shared" si="119"/>
        <v>1.3831565019662784</v>
      </c>
      <c r="Z352" s="22">
        <v>45163</v>
      </c>
      <c r="AA352" s="33">
        <v>835380.18940000003</v>
      </c>
      <c r="AB352" s="33">
        <v>474511.3406</v>
      </c>
      <c r="AC352" s="33">
        <v>195878.80669999999</v>
      </c>
      <c r="AD352" s="33">
        <v>384012.82270000002</v>
      </c>
      <c r="AE352" s="33">
        <v>1502548.7098000001</v>
      </c>
      <c r="AF352" s="34">
        <v>247.39400000000001</v>
      </c>
      <c r="AH352" s="28">
        <f t="shared" si="125"/>
        <v>5.5206927645620178E-2</v>
      </c>
      <c r="AJ352" s="5">
        <f t="shared" si="126"/>
        <v>4053.1461579152833</v>
      </c>
      <c r="AK352" s="6">
        <f t="shared" si="127"/>
        <v>3451.9603725167167</v>
      </c>
      <c r="AM352" s="1">
        <f t="shared" si="120"/>
        <v>45163</v>
      </c>
      <c r="AN352">
        <f t="shared" si="121"/>
        <v>1.1741577887698234</v>
      </c>
      <c r="AO352">
        <f t="shared" ca="1" si="107"/>
        <v>1.1518989696156721</v>
      </c>
      <c r="AP352">
        <f t="shared" ca="1" si="108"/>
        <v>1.189167734212089</v>
      </c>
      <c r="AQ352">
        <f t="shared" ca="1" si="109"/>
        <v>1.2219623184923489</v>
      </c>
      <c r="AR352">
        <f t="shared" ca="1" si="110"/>
        <v>1.2820495222990227</v>
      </c>
      <c r="AS352">
        <f t="shared" ca="1" si="111"/>
        <v>1.3383548521445987</v>
      </c>
    </row>
    <row r="353" spans="2:45" x14ac:dyDescent="0.25">
      <c r="B353" s="22">
        <v>45170</v>
      </c>
      <c r="C353">
        <v>450.78300000000002</v>
      </c>
      <c r="D353">
        <v>529.79999999999995</v>
      </c>
      <c r="E353">
        <v>332.488</v>
      </c>
      <c r="F353">
        <v>653.21100000000001</v>
      </c>
      <c r="G353">
        <v>1846.172</v>
      </c>
      <c r="H353">
        <v>285.279</v>
      </c>
      <c r="I353" s="6">
        <v>634791.69999999995</v>
      </c>
      <c r="K353" s="23">
        <f t="shared" si="112"/>
        <v>-7.7459487301398955E-3</v>
      </c>
      <c r="L353" s="24">
        <f t="shared" si="113"/>
        <v>-2.2689540675152275E-2</v>
      </c>
      <c r="M353" s="24">
        <f t="shared" si="114"/>
        <v>2.8378073260277192E-2</v>
      </c>
      <c r="N353" s="24">
        <f t="shared" si="115"/>
        <v>-3.6613100189370362E-2</v>
      </c>
      <c r="O353" s="24">
        <f t="shared" si="116"/>
        <v>-3.567009199978477E-2</v>
      </c>
      <c r="P353" s="24">
        <f t="shared" si="117"/>
        <v>0.15313629271526397</v>
      </c>
      <c r="Q353" s="25">
        <f t="shared" si="118"/>
        <v>5.7442882309426402E-3</v>
      </c>
      <c r="S353" s="26">
        <f t="shared" si="122"/>
        <v>1.3132614063515643E-2</v>
      </c>
      <c r="U353" s="5">
        <f t="shared" si="123"/>
        <v>4837.3044317133272</v>
      </c>
      <c r="V353" s="6">
        <f t="shared" si="124"/>
        <v>3471.7894278582448</v>
      </c>
      <c r="X353" s="20">
        <f t="shared" si="119"/>
        <v>1.3933173460630852</v>
      </c>
      <c r="Z353" s="22">
        <v>45170</v>
      </c>
      <c r="AA353" s="33">
        <v>828909.04040000006</v>
      </c>
      <c r="AB353" s="33">
        <v>463744.89630000002</v>
      </c>
      <c r="AC353" s="33">
        <v>201437.2291</v>
      </c>
      <c r="AD353" s="33">
        <v>369952.8566</v>
      </c>
      <c r="AE353" s="33">
        <v>1448952.1225000001</v>
      </c>
      <c r="AF353" s="34">
        <v>285.279</v>
      </c>
      <c r="AH353" s="28">
        <f t="shared" si="125"/>
        <v>-2.3373561195268861E-2</v>
      </c>
      <c r="AJ353" s="5">
        <f t="shared" si="126"/>
        <v>3958.4096981598814</v>
      </c>
      <c r="AK353" s="6">
        <f t="shared" si="127"/>
        <v>3471.7894278582448</v>
      </c>
      <c r="AM353" s="1">
        <f t="shared" si="120"/>
        <v>45170</v>
      </c>
      <c r="AN353">
        <f t="shared" si="121"/>
        <v>1.1401641085709031</v>
      </c>
      <c r="AO353">
        <f t="shared" ca="1" si="107"/>
        <v>1.1529544361230974</v>
      </c>
      <c r="AP353">
        <f t="shared" ca="1" si="108"/>
        <v>1.189167734212089</v>
      </c>
      <c r="AQ353">
        <f t="shared" ca="1" si="109"/>
        <v>1.2219623184923489</v>
      </c>
      <c r="AR353">
        <f t="shared" ca="1" si="110"/>
        <v>1.2820495222990227</v>
      </c>
      <c r="AS353">
        <f t="shared" ca="1" si="111"/>
        <v>1.3383548521445987</v>
      </c>
    </row>
    <row r="354" spans="2:45" x14ac:dyDescent="0.25">
      <c r="B354" s="22">
        <v>45177</v>
      </c>
      <c r="C354">
        <v>364.48099999999999</v>
      </c>
      <c r="D354">
        <v>445.25</v>
      </c>
      <c r="E354">
        <v>295.79000000000002</v>
      </c>
      <c r="F354">
        <v>555.07399999999996</v>
      </c>
      <c r="G354">
        <v>1545.87</v>
      </c>
      <c r="H354">
        <v>242.37299999999999</v>
      </c>
      <c r="I354" s="6">
        <v>532550.40000000002</v>
      </c>
      <c r="K354" s="23">
        <f t="shared" si="112"/>
        <v>-0.19144910078685318</v>
      </c>
      <c r="L354" s="24">
        <f t="shared" si="113"/>
        <v>-0.15958852397130985</v>
      </c>
      <c r="M354" s="24">
        <f t="shared" si="114"/>
        <v>-0.11037390823127446</v>
      </c>
      <c r="N354" s="24">
        <f t="shared" si="115"/>
        <v>-0.1502378251437898</v>
      </c>
      <c r="O354" s="24">
        <f t="shared" si="116"/>
        <v>-0.1626619838238258</v>
      </c>
      <c r="P354" s="24">
        <f t="shared" si="117"/>
        <v>-0.15040013460507085</v>
      </c>
      <c r="Q354" s="25">
        <f t="shared" si="118"/>
        <v>-0.16106275491629762</v>
      </c>
      <c r="S354" s="26">
        <f t="shared" si="122"/>
        <v>-0.15411857942702065</v>
      </c>
      <c r="U354" s="5">
        <f t="shared" si="123"/>
        <v>4091.7859444416376</v>
      </c>
      <c r="V354" s="6">
        <f t="shared" si="124"/>
        <v>2912.6134581181191</v>
      </c>
      <c r="X354" s="20">
        <f t="shared" si="119"/>
        <v>1.4048503185470409</v>
      </c>
      <c r="Z354" s="22">
        <v>45177</v>
      </c>
      <c r="AA354" s="33">
        <v>670215.39789999998</v>
      </c>
      <c r="AB354" s="33">
        <v>389736.53279999999</v>
      </c>
      <c r="AC354" s="33">
        <v>179203.53940000001</v>
      </c>
      <c r="AD354" s="33">
        <v>314372.05339999998</v>
      </c>
      <c r="AE354" s="33">
        <v>1213262.6351999999</v>
      </c>
      <c r="AF354" s="34">
        <v>242.37299999999999</v>
      </c>
      <c r="AH354" s="28">
        <f t="shared" si="125"/>
        <v>-0.16486644011283363</v>
      </c>
      <c r="AJ354" s="5">
        <f t="shared" si="126"/>
        <v>3305.800782716145</v>
      </c>
      <c r="AK354" s="6">
        <f t="shared" si="127"/>
        <v>2912.6134581181191</v>
      </c>
      <c r="AM354" s="1">
        <f t="shared" si="120"/>
        <v>45177</v>
      </c>
      <c r="AN354">
        <f t="shared" si="121"/>
        <v>1.1349946809804516</v>
      </c>
      <c r="AO354">
        <f t="shared" ca="1" si="107"/>
        <v>1.1529544361230974</v>
      </c>
      <c r="AP354">
        <f t="shared" ca="1" si="108"/>
        <v>1.189167734212089</v>
      </c>
      <c r="AQ354">
        <f t="shared" ca="1" si="109"/>
        <v>1.2219623184923489</v>
      </c>
      <c r="AR354">
        <f t="shared" ca="1" si="110"/>
        <v>1.2820495222990227</v>
      </c>
      <c r="AS354">
        <f t="shared" ca="1" si="111"/>
        <v>1.3383548521445987</v>
      </c>
    </row>
    <row r="355" spans="2:45" x14ac:dyDescent="0.25">
      <c r="B355" s="22">
        <v>45184</v>
      </c>
      <c r="C355">
        <v>379.54</v>
      </c>
      <c r="D355">
        <v>486</v>
      </c>
      <c r="E355">
        <v>314.50599999999997</v>
      </c>
      <c r="F355">
        <v>622.95500000000004</v>
      </c>
      <c r="G355">
        <v>1613.056</v>
      </c>
      <c r="H355">
        <v>246.93799999999999</v>
      </c>
      <c r="I355" s="6">
        <v>567513.4</v>
      </c>
      <c r="K355" s="23">
        <f t="shared" si="112"/>
        <v>4.1316282604580312E-2</v>
      </c>
      <c r="L355" s="24">
        <f t="shared" si="113"/>
        <v>9.1521617069062255E-2</v>
      </c>
      <c r="M355" s="24">
        <f t="shared" si="114"/>
        <v>6.3274620507792534E-2</v>
      </c>
      <c r="N355" s="24">
        <f t="shared" si="115"/>
        <v>0.12229180253443706</v>
      </c>
      <c r="O355" s="24">
        <f t="shared" si="116"/>
        <v>4.3461610614087931E-2</v>
      </c>
      <c r="P355" s="24">
        <f t="shared" si="117"/>
        <v>1.8834606164878087E-2</v>
      </c>
      <c r="Q355" s="25">
        <f t="shared" si="118"/>
        <v>6.5652002139140242E-2</v>
      </c>
      <c r="S355" s="26">
        <f t="shared" si="122"/>
        <v>6.3450089915806362E-2</v>
      </c>
      <c r="U355" s="5">
        <f t="shared" si="123"/>
        <v>4351.4101305326922</v>
      </c>
      <c r="V355" s="6">
        <f t="shared" si="124"/>
        <v>3103.8323631009785</v>
      </c>
      <c r="X355" s="20">
        <f t="shared" si="119"/>
        <v>1.4019475350096817</v>
      </c>
      <c r="Z355" s="22">
        <v>45184</v>
      </c>
      <c r="AA355" s="33">
        <v>697905.8959</v>
      </c>
      <c r="AB355" s="33">
        <v>425405.8505</v>
      </c>
      <c r="AC355" s="33">
        <v>190542.7212</v>
      </c>
      <c r="AD355" s="33">
        <v>352817.27299999999</v>
      </c>
      <c r="AE355" s="33">
        <v>1265993.5473</v>
      </c>
      <c r="AF355" s="34">
        <v>246.93799999999999</v>
      </c>
      <c r="AH355" s="28">
        <f t="shared" si="125"/>
        <v>5.9948410019603972E-2</v>
      </c>
      <c r="AJ355" s="5">
        <f t="shared" si="126"/>
        <v>3503.9782834815401</v>
      </c>
      <c r="AK355" s="6">
        <f t="shared" si="127"/>
        <v>3103.8323631009785</v>
      </c>
      <c r="AM355" s="1">
        <f t="shared" si="120"/>
        <v>45184</v>
      </c>
      <c r="AN355">
        <f t="shared" si="121"/>
        <v>1.1289199523587619</v>
      </c>
      <c r="AO355">
        <f t="shared" ca="1" si="107"/>
        <v>1.1529544361230974</v>
      </c>
      <c r="AP355">
        <f t="shared" ca="1" si="108"/>
        <v>1.189167734212089</v>
      </c>
      <c r="AQ355">
        <f t="shared" ca="1" si="109"/>
        <v>1.2219623184923489</v>
      </c>
      <c r="AR355">
        <f t="shared" ca="1" si="110"/>
        <v>1.2820495222990227</v>
      </c>
      <c r="AS355">
        <f t="shared" ca="1" si="111"/>
        <v>1.3383548521445987</v>
      </c>
    </row>
    <row r="356" spans="2:45" x14ac:dyDescent="0.25">
      <c r="B356" s="22">
        <v>45191</v>
      </c>
      <c r="C356">
        <v>371.35500000000002</v>
      </c>
      <c r="D356">
        <v>468.65</v>
      </c>
      <c r="E356">
        <v>295.05599999999998</v>
      </c>
      <c r="F356">
        <v>570.97799999999995</v>
      </c>
      <c r="G356">
        <v>1566.827</v>
      </c>
      <c r="H356">
        <v>209.965</v>
      </c>
      <c r="I356" s="6">
        <v>553392.19999999995</v>
      </c>
      <c r="K356" s="23">
        <f t="shared" si="112"/>
        <v>-2.156557938557202E-2</v>
      </c>
      <c r="L356" s="24">
        <f t="shared" si="113"/>
        <v>-3.5699588477366317E-2</v>
      </c>
      <c r="M356" s="24">
        <f t="shared" si="114"/>
        <v>-6.184301730332642E-2</v>
      </c>
      <c r="N356" s="24">
        <f t="shared" si="115"/>
        <v>-8.3436203257057251E-2</v>
      </c>
      <c r="O356" s="24">
        <f t="shared" si="116"/>
        <v>-2.8659265394381905E-2</v>
      </c>
      <c r="P356" s="24">
        <f t="shared" si="117"/>
        <v>-0.1497258421142148</v>
      </c>
      <c r="Q356" s="25">
        <f t="shared" si="118"/>
        <v>-2.4882584270257024E-2</v>
      </c>
      <c r="S356" s="26">
        <f t="shared" si="122"/>
        <v>-6.3488249321986448E-2</v>
      </c>
      <c r="U356" s="5">
        <f t="shared" si="123"/>
        <v>4075.1467192632149</v>
      </c>
      <c r="V356" s="6">
        <f t="shared" si="124"/>
        <v>3026.6009927653672</v>
      </c>
      <c r="X356" s="20">
        <f t="shared" si="119"/>
        <v>1.3464433299943526</v>
      </c>
      <c r="Z356" s="22">
        <v>45191</v>
      </c>
      <c r="AA356" s="33">
        <v>682715.86369999999</v>
      </c>
      <c r="AB356" s="33">
        <v>410219.0367</v>
      </c>
      <c r="AC356" s="33">
        <v>178758.86559999999</v>
      </c>
      <c r="AD356" s="33">
        <v>323379.21909999999</v>
      </c>
      <c r="AE356" s="33">
        <v>1229710.4643000001</v>
      </c>
      <c r="AF356" s="34">
        <v>209.965</v>
      </c>
      <c r="AH356" s="28">
        <f t="shared" si="125"/>
        <v>-3.6747928020177942E-2</v>
      </c>
      <c r="AJ356" s="5">
        <f t="shared" si="126"/>
        <v>3375.2143417358939</v>
      </c>
      <c r="AK356" s="6">
        <f t="shared" si="127"/>
        <v>3026.6009927653672</v>
      </c>
      <c r="AM356" s="1">
        <f t="shared" si="120"/>
        <v>45191</v>
      </c>
      <c r="AN356">
        <f t="shared" si="121"/>
        <v>1.1151831211989403</v>
      </c>
      <c r="AO356">
        <f t="shared" ca="1" si="107"/>
        <v>1.1529544361230974</v>
      </c>
      <c r="AP356">
        <f t="shared" ca="1" si="108"/>
        <v>1.189167734212089</v>
      </c>
      <c r="AQ356">
        <f t="shared" ca="1" si="109"/>
        <v>1.2219623184923489</v>
      </c>
      <c r="AR356">
        <f t="shared" ca="1" si="110"/>
        <v>1.2820495222990227</v>
      </c>
      <c r="AS356">
        <f t="shared" ca="1" si="111"/>
        <v>1.3383548521445987</v>
      </c>
    </row>
    <row r="357" spans="2:45" x14ac:dyDescent="0.25">
      <c r="B357" s="22">
        <v>45198</v>
      </c>
      <c r="C357">
        <v>387.06900000000002</v>
      </c>
      <c r="D357">
        <v>481.75</v>
      </c>
      <c r="E357">
        <v>325.51499999999999</v>
      </c>
      <c r="F357">
        <v>589.98500000000001</v>
      </c>
      <c r="G357">
        <v>1606.1990000000001</v>
      </c>
      <c r="H357">
        <v>203.803</v>
      </c>
      <c r="I357" s="6">
        <v>562568.5</v>
      </c>
      <c r="K357" s="23">
        <f t="shared" si="112"/>
        <v>4.2315304762289507E-2</v>
      </c>
      <c r="L357" s="24">
        <f t="shared" si="113"/>
        <v>2.7952629894377523E-2</v>
      </c>
      <c r="M357" s="24">
        <f t="shared" si="114"/>
        <v>0.10323125101675612</v>
      </c>
      <c r="N357" s="24">
        <f t="shared" si="115"/>
        <v>3.3288497980657805E-2</v>
      </c>
      <c r="O357" s="24">
        <f t="shared" si="116"/>
        <v>2.5128492169205652E-2</v>
      </c>
      <c r="P357" s="24">
        <f t="shared" si="117"/>
        <v>-2.934774843426291E-2</v>
      </c>
      <c r="Q357" s="25">
        <f t="shared" si="118"/>
        <v>1.6581910623243434E-2</v>
      </c>
      <c r="S357" s="26">
        <f t="shared" si="122"/>
        <v>3.3761404564837283E-2</v>
      </c>
      <c r="U357" s="5">
        <f t="shared" si="123"/>
        <v>4212.7293963133297</v>
      </c>
      <c r="V357" s="6">
        <f t="shared" si="124"/>
        <v>3076.7878199196225</v>
      </c>
      <c r="X357" s="20">
        <f t="shared" si="119"/>
        <v>1.3691972416945484</v>
      </c>
      <c r="Z357" s="22">
        <v>45198</v>
      </c>
      <c r="AA357" s="33">
        <v>711604.33660000004</v>
      </c>
      <c r="AB357" s="33">
        <v>421685.73759999999</v>
      </c>
      <c r="AC357" s="33">
        <v>197212.82810000001</v>
      </c>
      <c r="AD357" s="33">
        <v>334143.88059999997</v>
      </c>
      <c r="AE357" s="33">
        <v>1260611.3058</v>
      </c>
      <c r="AF357" s="34">
        <v>203.803</v>
      </c>
      <c r="AH357" s="28">
        <f t="shared" si="125"/>
        <v>3.5564312403585194E-2</v>
      </c>
      <c r="AJ357" s="5">
        <f t="shared" si="126"/>
        <v>3495.2515190144504</v>
      </c>
      <c r="AK357" s="6">
        <f t="shared" si="127"/>
        <v>3076.7878199196225</v>
      </c>
      <c r="AM357" s="1">
        <f t="shared" si="120"/>
        <v>45198</v>
      </c>
      <c r="AN357">
        <f t="shared" si="121"/>
        <v>1.1360066808590523</v>
      </c>
      <c r="AO357">
        <f t="shared" ca="1" si="107"/>
        <v>1.1529544361230974</v>
      </c>
      <c r="AP357">
        <f t="shared" ca="1" si="108"/>
        <v>1.189167734212089</v>
      </c>
      <c r="AQ357">
        <f t="shared" ca="1" si="109"/>
        <v>1.2219623184923489</v>
      </c>
      <c r="AR357">
        <f t="shared" ca="1" si="110"/>
        <v>1.2820495222990227</v>
      </c>
      <c r="AS357">
        <f t="shared" ca="1" si="111"/>
        <v>1.3383548521445987</v>
      </c>
    </row>
    <row r="358" spans="2:45" x14ac:dyDescent="0.25">
      <c r="B358" s="22">
        <v>45205</v>
      </c>
      <c r="C358">
        <v>439.24299999999999</v>
      </c>
      <c r="D358">
        <v>521.25</v>
      </c>
      <c r="E358">
        <v>370.28699999999998</v>
      </c>
      <c r="F358">
        <v>664.072</v>
      </c>
      <c r="G358">
        <v>1829.0509999999999</v>
      </c>
      <c r="H358">
        <v>234.614</v>
      </c>
      <c r="I358" s="6">
        <v>628917.80000000005</v>
      </c>
      <c r="K358" s="23">
        <f t="shared" si="112"/>
        <v>0.13479250469554516</v>
      </c>
      <c r="L358" s="24">
        <f t="shared" si="113"/>
        <v>8.1992734820965252E-2</v>
      </c>
      <c r="M358" s="24">
        <f t="shared" si="114"/>
        <v>0.13754204875351372</v>
      </c>
      <c r="N358" s="24">
        <f t="shared" si="115"/>
        <v>0.12557437900963575</v>
      </c>
      <c r="O358" s="24">
        <f t="shared" si="116"/>
        <v>0.13874495003421106</v>
      </c>
      <c r="P358" s="24">
        <f t="shared" si="117"/>
        <v>0.15118030647242686</v>
      </c>
      <c r="Q358" s="25">
        <f t="shared" si="118"/>
        <v>0.11793994864625379</v>
      </c>
      <c r="S358" s="26">
        <f t="shared" si="122"/>
        <v>0.12830448729771629</v>
      </c>
      <c r="U358" s="5">
        <f t="shared" si="123"/>
        <v>4753.2414816313294</v>
      </c>
      <c r="V358" s="6">
        <f t="shared" si="124"/>
        <v>3439.6640173963619</v>
      </c>
      <c r="X358" s="20">
        <f t="shared" si="119"/>
        <v>1.3818912130927468</v>
      </c>
      <c r="Z358" s="22">
        <v>45205</v>
      </c>
      <c r="AA358" s="33">
        <v>806991.93519999995</v>
      </c>
      <c r="AB358" s="33">
        <v>456260.9045</v>
      </c>
      <c r="AC358" s="33">
        <v>224337.9296</v>
      </c>
      <c r="AD358" s="33">
        <v>376104.09179999999</v>
      </c>
      <c r="AE358" s="33">
        <v>1435515.3376</v>
      </c>
      <c r="AF358" s="34">
        <v>234.614</v>
      </c>
      <c r="AH358" s="28">
        <f t="shared" si="125"/>
        <v>0.12801852902792735</v>
      </c>
      <c r="AJ358" s="5">
        <f t="shared" si="126"/>
        <v>3942.7084770613092</v>
      </c>
      <c r="AK358" s="6">
        <f t="shared" si="127"/>
        <v>3439.6640173963619</v>
      </c>
      <c r="AM358" s="1">
        <f t="shared" si="120"/>
        <v>45205</v>
      </c>
      <c r="AN358">
        <f t="shared" si="121"/>
        <v>1.1462481385160765</v>
      </c>
      <c r="AO358">
        <f t="shared" ca="1" si="107"/>
        <v>1.1518989696156721</v>
      </c>
      <c r="AP358">
        <f t="shared" ca="1" si="108"/>
        <v>1.189167734212089</v>
      </c>
      <c r="AQ358">
        <f t="shared" ca="1" si="109"/>
        <v>1.2219623184923489</v>
      </c>
      <c r="AR358">
        <f t="shared" ca="1" si="110"/>
        <v>1.2820495222990227</v>
      </c>
      <c r="AS358">
        <f t="shared" ca="1" si="111"/>
        <v>1.3383548521445987</v>
      </c>
    </row>
    <row r="359" spans="2:45" x14ac:dyDescent="0.25">
      <c r="B359" s="22">
        <v>45212</v>
      </c>
      <c r="C359">
        <v>536.38900000000001</v>
      </c>
      <c r="D359">
        <v>590.65</v>
      </c>
      <c r="E359">
        <v>416.89400000000001</v>
      </c>
      <c r="F359">
        <v>752.51199999999994</v>
      </c>
      <c r="G359">
        <v>2251.498</v>
      </c>
      <c r="H359">
        <v>265.65199999999999</v>
      </c>
      <c r="I359" s="6">
        <v>760673.8</v>
      </c>
      <c r="K359" s="23">
        <f t="shared" si="112"/>
        <v>0.22116687118519818</v>
      </c>
      <c r="L359" s="24">
        <f t="shared" si="113"/>
        <v>0.1331414868105516</v>
      </c>
      <c r="M359" s="24">
        <f t="shared" si="114"/>
        <v>0.12586723271408395</v>
      </c>
      <c r="N359" s="24">
        <f t="shared" si="115"/>
        <v>0.13317833006059576</v>
      </c>
      <c r="O359" s="24">
        <f t="shared" si="116"/>
        <v>0.23096512891111298</v>
      </c>
      <c r="P359" s="24">
        <f t="shared" si="117"/>
        <v>0.13229389550495707</v>
      </c>
      <c r="Q359" s="25">
        <f t="shared" si="118"/>
        <v>0.20949637615599359</v>
      </c>
      <c r="S359" s="26">
        <f t="shared" si="122"/>
        <v>0.16276882419774993</v>
      </c>
      <c r="U359" s="5">
        <f t="shared" si="123"/>
        <v>5526.921008724431</v>
      </c>
      <c r="V359" s="6">
        <f t="shared" si="124"/>
        <v>4160.2611642350666</v>
      </c>
      <c r="X359" s="20">
        <f t="shared" si="119"/>
        <v>1.3285033776817345</v>
      </c>
      <c r="Z359" s="22">
        <v>45212</v>
      </c>
      <c r="AA359" s="33">
        <v>985471.42599999998</v>
      </c>
      <c r="AB359" s="33">
        <v>517008.15960000001</v>
      </c>
      <c r="AC359" s="33">
        <v>252574.7156</v>
      </c>
      <c r="AD359" s="33">
        <v>426192.72080000001</v>
      </c>
      <c r="AE359" s="33">
        <v>1767068.9456</v>
      </c>
      <c r="AF359" s="34">
        <v>265.65199999999999</v>
      </c>
      <c r="AH359" s="28">
        <f t="shared" si="125"/>
        <v>0.19674154462260302</v>
      </c>
      <c r="AJ359" s="5">
        <f t="shared" si="126"/>
        <v>4718.4030328349818</v>
      </c>
      <c r="AK359" s="6">
        <f t="shared" si="127"/>
        <v>4160.2611642350666</v>
      </c>
      <c r="AM359" s="1">
        <f t="shared" si="120"/>
        <v>45212</v>
      </c>
      <c r="AN359">
        <f t="shared" si="121"/>
        <v>1.134160295848287</v>
      </c>
      <c r="AO359">
        <f t="shared" ca="1" si="107"/>
        <v>1.1468087877865081</v>
      </c>
      <c r="AP359">
        <f t="shared" ca="1" si="108"/>
        <v>1.187642767136537</v>
      </c>
      <c r="AQ359">
        <f t="shared" ca="1" si="109"/>
        <v>1.2219623184923489</v>
      </c>
      <c r="AR359">
        <f t="shared" ca="1" si="110"/>
        <v>1.2820495222990227</v>
      </c>
      <c r="AS359">
        <f t="shared" ca="1" si="111"/>
        <v>1.3383548521445987</v>
      </c>
    </row>
    <row r="360" spans="2:45" x14ac:dyDescent="0.25">
      <c r="B360" s="22">
        <v>45219</v>
      </c>
      <c r="C360">
        <v>576.04100000000005</v>
      </c>
      <c r="D360">
        <v>588.70000000000005</v>
      </c>
      <c r="E360">
        <v>438.18</v>
      </c>
      <c r="F360">
        <v>742.03899999999999</v>
      </c>
      <c r="G360">
        <v>2488.6419999999998</v>
      </c>
      <c r="H360">
        <v>259.262</v>
      </c>
      <c r="I360" s="6">
        <v>800804.8</v>
      </c>
      <c r="K360" s="23">
        <f t="shared" si="112"/>
        <v>7.3923961900784763E-2</v>
      </c>
      <c r="L360" s="24">
        <f t="shared" si="113"/>
        <v>-3.3014475577751723E-3</v>
      </c>
      <c r="M360" s="24">
        <f t="shared" si="114"/>
        <v>5.1058542459234246E-2</v>
      </c>
      <c r="N360" s="24">
        <f t="shared" si="115"/>
        <v>-1.3917386035039891E-2</v>
      </c>
      <c r="O360" s="24">
        <f t="shared" si="116"/>
        <v>0.10532720881830659</v>
      </c>
      <c r="P360" s="24">
        <f t="shared" si="117"/>
        <v>-2.4054025567283421E-2</v>
      </c>
      <c r="Q360" s="25">
        <f t="shared" si="118"/>
        <v>5.2757173968657867E-2</v>
      </c>
      <c r="S360" s="26">
        <f t="shared" si="122"/>
        <v>3.1506142336371189E-2</v>
      </c>
      <c r="U360" s="5">
        <f t="shared" si="123"/>
        <v>5701.052968707183</v>
      </c>
      <c r="V360" s="6">
        <f t="shared" si="124"/>
        <v>4379.7447862316676</v>
      </c>
      <c r="X360" s="20">
        <f t="shared" si="119"/>
        <v>1.301686113453284</v>
      </c>
      <c r="Z360" s="22">
        <v>45219</v>
      </c>
      <c r="AA360" s="33">
        <v>1058321.7320000001</v>
      </c>
      <c r="AB360" s="33">
        <v>515301.2843</v>
      </c>
      <c r="AC360" s="33">
        <v>265470.25559999997</v>
      </c>
      <c r="AD360" s="33">
        <v>420261.1727</v>
      </c>
      <c r="AE360" s="33">
        <v>1953189.1172</v>
      </c>
      <c r="AF360" s="34">
        <v>259.262</v>
      </c>
      <c r="AH360" s="28">
        <f t="shared" si="125"/>
        <v>6.6915606749010578E-2</v>
      </c>
      <c r="AJ360" s="5">
        <f t="shared" si="126"/>
        <v>5034.1378346635065</v>
      </c>
      <c r="AK360" s="6">
        <f t="shared" si="127"/>
        <v>4379.7447862316676</v>
      </c>
      <c r="AM360" s="1">
        <f t="shared" si="120"/>
        <v>45219</v>
      </c>
      <c r="AN360">
        <f t="shared" si="121"/>
        <v>1.1494135116020947</v>
      </c>
      <c r="AO360">
        <f t="shared" ca="1" si="107"/>
        <v>1.1407725115654204</v>
      </c>
      <c r="AP360">
        <f t="shared" ca="1" si="108"/>
        <v>1.1859449718029829</v>
      </c>
      <c r="AQ360">
        <f t="shared" ca="1" si="109"/>
        <v>1.2219623184923489</v>
      </c>
      <c r="AR360">
        <f t="shared" ca="1" si="110"/>
        <v>1.2820495222990227</v>
      </c>
      <c r="AS360">
        <f t="shared" ca="1" si="111"/>
        <v>1.3383548521445987</v>
      </c>
    </row>
    <row r="361" spans="2:45" x14ac:dyDescent="0.25">
      <c r="B361" s="22">
        <v>45226</v>
      </c>
      <c r="C361">
        <v>445.05399999999997</v>
      </c>
      <c r="D361">
        <v>514.6</v>
      </c>
      <c r="E361">
        <v>405.88499999999999</v>
      </c>
      <c r="F361">
        <v>679.58799999999997</v>
      </c>
      <c r="G361">
        <v>1917.914</v>
      </c>
      <c r="H361">
        <v>230.04900000000001</v>
      </c>
      <c r="I361" s="6">
        <v>655565.19999999995</v>
      </c>
      <c r="K361" s="23">
        <f t="shared" si="112"/>
        <v>-0.22739180023644157</v>
      </c>
      <c r="L361" s="24">
        <f t="shared" si="113"/>
        <v>-0.12587056225581794</v>
      </c>
      <c r="M361" s="24">
        <f t="shared" si="114"/>
        <v>-7.3702587977543477E-2</v>
      </c>
      <c r="N361" s="24">
        <f t="shared" si="115"/>
        <v>-8.4161344619352874E-2</v>
      </c>
      <c r="O361" s="24">
        <f t="shared" si="116"/>
        <v>-0.22933310616794211</v>
      </c>
      <c r="P361" s="24">
        <f t="shared" si="117"/>
        <v>-0.11267752312332691</v>
      </c>
      <c r="Q361" s="25">
        <f t="shared" si="118"/>
        <v>-0.1813670447529786</v>
      </c>
      <c r="S361" s="26">
        <f t="shared" si="122"/>
        <v>-0.14218948739673748</v>
      </c>
      <c r="U361" s="5">
        <f t="shared" si="123"/>
        <v>4890.4231694650598</v>
      </c>
      <c r="V361" s="6">
        <f t="shared" si="124"/>
        <v>3585.4034175805641</v>
      </c>
      <c r="X361" s="20">
        <f t="shared" si="119"/>
        <v>1.3639812874293304</v>
      </c>
      <c r="Z361" s="22">
        <v>45226</v>
      </c>
      <c r="AA361" s="33">
        <v>817123.87560000003</v>
      </c>
      <c r="AB361" s="33">
        <v>450440.02189999999</v>
      </c>
      <c r="AC361" s="33">
        <v>245904.60860000001</v>
      </c>
      <c r="AD361" s="33">
        <v>384891.57059999998</v>
      </c>
      <c r="AE361" s="33">
        <v>1505258.6495999999</v>
      </c>
      <c r="AF361" s="34">
        <v>230.04900000000001</v>
      </c>
      <c r="AH361" s="28">
        <f t="shared" si="125"/>
        <v>-0.1918937843763201</v>
      </c>
      <c r="AJ361" s="5">
        <f t="shared" si="126"/>
        <v>4068.1180744979129</v>
      </c>
      <c r="AK361" s="6">
        <f t="shared" si="127"/>
        <v>3585.4034175805641</v>
      </c>
      <c r="AM361" s="1">
        <f t="shared" si="120"/>
        <v>45226</v>
      </c>
      <c r="AN361">
        <f t="shared" si="121"/>
        <v>1.134633289674021</v>
      </c>
      <c r="AO361">
        <f t="shared" ca="1" si="107"/>
        <v>1.1407725115654204</v>
      </c>
      <c r="AP361">
        <f t="shared" ca="1" si="108"/>
        <v>1.1847733970982899</v>
      </c>
      <c r="AQ361">
        <f t="shared" ca="1" si="109"/>
        <v>1.2219623184923489</v>
      </c>
      <c r="AR361">
        <f t="shared" ca="1" si="110"/>
        <v>1.2820495222990227</v>
      </c>
      <c r="AS361">
        <f t="shared" ca="1" si="111"/>
        <v>1.3383548521445987</v>
      </c>
    </row>
    <row r="362" spans="2:45" x14ac:dyDescent="0.25">
      <c r="B362" s="22">
        <v>45233</v>
      </c>
      <c r="C362">
        <v>434.57799999999997</v>
      </c>
      <c r="D362">
        <v>491.75</v>
      </c>
      <c r="E362">
        <v>375.42500000000001</v>
      </c>
      <c r="F362">
        <v>652.82299999999998</v>
      </c>
      <c r="G362">
        <v>1736.3040000000001</v>
      </c>
      <c r="H362">
        <v>237.352</v>
      </c>
      <c r="I362" s="6">
        <v>637284.1</v>
      </c>
      <c r="K362" s="23">
        <f t="shared" si="112"/>
        <v>-2.3538716650114422E-2</v>
      </c>
      <c r="L362" s="24">
        <f t="shared" si="113"/>
        <v>-4.4403420132141491E-2</v>
      </c>
      <c r="M362" s="24">
        <f t="shared" si="114"/>
        <v>-7.5045887381893883E-2</v>
      </c>
      <c r="N362" s="24">
        <f t="shared" si="115"/>
        <v>-3.9384156282924354E-2</v>
      </c>
      <c r="O362" s="24">
        <f t="shared" si="116"/>
        <v>-9.469141994896535E-2</v>
      </c>
      <c r="P362" s="24">
        <f t="shared" si="117"/>
        <v>3.1745410760316339E-2</v>
      </c>
      <c r="Q362" s="25">
        <f t="shared" si="118"/>
        <v>-2.7886013473564453E-2</v>
      </c>
      <c r="S362" s="26">
        <f t="shared" si="122"/>
        <v>-4.0886364939287191E-2</v>
      </c>
      <c r="U362" s="5">
        <f t="shared" si="123"/>
        <v>4690.4715430507658</v>
      </c>
      <c r="V362" s="6">
        <f t="shared" si="124"/>
        <v>3485.4208095697486</v>
      </c>
      <c r="X362" s="20">
        <f t="shared" si="119"/>
        <v>1.3457403852563135</v>
      </c>
      <c r="Z362" s="22">
        <v>45233</v>
      </c>
      <c r="AA362" s="33">
        <v>797890.36029999994</v>
      </c>
      <c r="AB362" s="33">
        <v>430438.94439999998</v>
      </c>
      <c r="AC362" s="33">
        <v>227450.64610000001</v>
      </c>
      <c r="AD362" s="33">
        <v>369733.16970000003</v>
      </c>
      <c r="AE362" s="33">
        <v>1362723.3433000001</v>
      </c>
      <c r="AF362" s="34">
        <v>237.352</v>
      </c>
      <c r="AH362" s="28">
        <f t="shared" si="125"/>
        <v>-6.3274156516200455E-2</v>
      </c>
      <c r="AJ362" s="5">
        <f t="shared" si="126"/>
        <v>3810.7113347257477</v>
      </c>
      <c r="AK362" s="6">
        <f t="shared" si="127"/>
        <v>3485.4208095697486</v>
      </c>
      <c r="AM362" s="1">
        <f t="shared" si="120"/>
        <v>45233</v>
      </c>
      <c r="AN362">
        <f t="shared" si="121"/>
        <v>1.0933289100308532</v>
      </c>
      <c r="AO362">
        <f t="shared" ca="1" si="107"/>
        <v>1.1364224236302374</v>
      </c>
      <c r="AP362">
        <f t="shared" ca="1" si="108"/>
        <v>1.1704959062284099</v>
      </c>
      <c r="AQ362">
        <f t="shared" ca="1" si="109"/>
        <v>1.2187506374628381</v>
      </c>
      <c r="AR362">
        <f t="shared" ca="1" si="110"/>
        <v>1.2820495222990227</v>
      </c>
      <c r="AS362">
        <f t="shared" ca="1" si="111"/>
        <v>1.3383548521445987</v>
      </c>
    </row>
    <row r="363" spans="2:45" x14ac:dyDescent="0.25">
      <c r="B363" s="22">
        <v>45240</v>
      </c>
      <c r="C363">
        <v>456.55099999999999</v>
      </c>
      <c r="D363">
        <v>463.8</v>
      </c>
      <c r="E363">
        <v>410.28899999999999</v>
      </c>
      <c r="F363">
        <v>677.64800000000002</v>
      </c>
      <c r="G363">
        <v>1746.327</v>
      </c>
      <c r="H363">
        <v>230.04900000000001</v>
      </c>
      <c r="I363" s="6">
        <v>660274.69999999995</v>
      </c>
      <c r="K363" s="23">
        <f t="shared" si="112"/>
        <v>5.0561694333353335E-2</v>
      </c>
      <c r="L363" s="24">
        <f t="shared" si="113"/>
        <v>-5.6837824097610512E-2</v>
      </c>
      <c r="M363" s="24">
        <f t="shared" si="114"/>
        <v>9.2865419191582754E-2</v>
      </c>
      <c r="N363" s="24">
        <f t="shared" si="115"/>
        <v>3.8027152842347922E-2</v>
      </c>
      <c r="O363" s="24">
        <f t="shared" si="116"/>
        <v>5.7726066403118725E-3</v>
      </c>
      <c r="P363" s="24">
        <f t="shared" si="117"/>
        <v>-3.0768647409754268E-2</v>
      </c>
      <c r="Q363" s="25">
        <f t="shared" si="118"/>
        <v>3.6075903980657964E-2</v>
      </c>
      <c r="S363" s="26">
        <f t="shared" si="122"/>
        <v>1.6603400250038518E-2</v>
      </c>
      <c r="U363" s="5">
        <f t="shared" si="123"/>
        <v>4768.3493194414541</v>
      </c>
      <c r="V363" s="6">
        <f t="shared" si="124"/>
        <v>3611.1605160279742</v>
      </c>
      <c r="X363" s="20">
        <f t="shared" si="119"/>
        <v>1.3204478998586047</v>
      </c>
      <c r="Z363" s="22">
        <v>45240</v>
      </c>
      <c r="AA363" s="33">
        <v>813818.11510000005</v>
      </c>
      <c r="AB363" s="33">
        <v>405973.73139999999</v>
      </c>
      <c r="AC363" s="33">
        <v>248572.6514</v>
      </c>
      <c r="AD363" s="33">
        <v>383793.13569999998</v>
      </c>
      <c r="AE363" s="33">
        <v>1370589.6964</v>
      </c>
      <c r="AF363" s="34">
        <v>230.04900000000001</v>
      </c>
      <c r="AH363" s="28">
        <f t="shared" si="125"/>
        <v>1.8478695789022351E-2</v>
      </c>
      <c r="AJ363" s="5">
        <f t="shared" si="126"/>
        <v>3881.1283102199245</v>
      </c>
      <c r="AK363" s="6">
        <f t="shared" si="127"/>
        <v>3611.1605160279742</v>
      </c>
      <c r="AM363" s="1">
        <f t="shared" si="120"/>
        <v>45240</v>
      </c>
      <c r="AN363">
        <f t="shared" si="121"/>
        <v>1.0747592894288998</v>
      </c>
      <c r="AO363">
        <f t="shared" ca="1" si="107"/>
        <v>1.1350958809683118</v>
      </c>
      <c r="AP363">
        <f t="shared" ca="1" si="108"/>
        <v>1.1593482501211987</v>
      </c>
      <c r="AQ363">
        <f t="shared" ca="1" si="109"/>
        <v>1.2160780534636868</v>
      </c>
      <c r="AR363">
        <f t="shared" ca="1" si="110"/>
        <v>1.2810113856256045</v>
      </c>
      <c r="AS363">
        <f t="shared" ca="1" si="111"/>
        <v>1.3383548521445987</v>
      </c>
    </row>
    <row r="364" spans="2:45" x14ac:dyDescent="0.25">
      <c r="B364" s="22">
        <v>45247</v>
      </c>
      <c r="C364">
        <v>472.77800000000002</v>
      </c>
      <c r="D364">
        <v>513.45000000000005</v>
      </c>
      <c r="E364">
        <v>373.22300000000001</v>
      </c>
      <c r="F364">
        <v>603.173</v>
      </c>
      <c r="G364">
        <v>1816.4390000000001</v>
      </c>
      <c r="H364">
        <v>217.26900000000001</v>
      </c>
      <c r="I364" s="6">
        <v>645079.6</v>
      </c>
      <c r="K364" s="23">
        <f t="shared" si="112"/>
        <v>3.5542579032791677E-2</v>
      </c>
      <c r="L364" s="24">
        <f t="shared" si="113"/>
        <v>0.10705045278137137</v>
      </c>
      <c r="M364" s="24">
        <f t="shared" si="114"/>
        <v>-9.0341198521042387E-2</v>
      </c>
      <c r="N364" s="24">
        <f t="shared" si="115"/>
        <v>-0.10990219110806798</v>
      </c>
      <c r="O364" s="24">
        <f t="shared" si="116"/>
        <v>4.0148265473763045E-2</v>
      </c>
      <c r="P364" s="24">
        <f t="shared" si="117"/>
        <v>-5.5553382105551385E-2</v>
      </c>
      <c r="Q364" s="25">
        <f t="shared" si="118"/>
        <v>-2.3013300373314283E-2</v>
      </c>
      <c r="S364" s="26">
        <f t="shared" si="122"/>
        <v>-1.2175912407789277E-2</v>
      </c>
      <c r="U364" s="5">
        <f t="shared" si="123"/>
        <v>4710.2903157981937</v>
      </c>
      <c r="V364" s="6">
        <f t="shared" si="124"/>
        <v>3528.0557943763697</v>
      </c>
      <c r="X364" s="20">
        <f t="shared" si="119"/>
        <v>1.3350951884905775</v>
      </c>
      <c r="Z364" s="22">
        <v>45247</v>
      </c>
      <c r="AA364" s="33">
        <v>842743.51899999997</v>
      </c>
      <c r="AB364" s="33">
        <v>449433.4031</v>
      </c>
      <c r="AC364" s="33">
        <v>226116.62479999999</v>
      </c>
      <c r="AD364" s="33">
        <v>341613.23759999999</v>
      </c>
      <c r="AE364" s="33">
        <v>1425616.5297000001</v>
      </c>
      <c r="AF364" s="34">
        <v>217.26900000000001</v>
      </c>
      <c r="AH364" s="28">
        <f t="shared" si="125"/>
        <v>1.9473555117356073E-2</v>
      </c>
      <c r="AJ364" s="5">
        <f t="shared" si="126"/>
        <v>3956.7076762865236</v>
      </c>
      <c r="AK364" s="6">
        <f t="shared" si="127"/>
        <v>3528.0557943763697</v>
      </c>
      <c r="AM364" s="1">
        <f t="shared" si="120"/>
        <v>45247</v>
      </c>
      <c r="AN364">
        <f t="shared" si="121"/>
        <v>1.1214980450687355</v>
      </c>
      <c r="AO364">
        <f t="shared" ca="1" si="107"/>
        <v>1.1346694288046641</v>
      </c>
      <c r="AP364">
        <f t="shared" ca="1" si="108"/>
        <v>1.1572211722975123</v>
      </c>
      <c r="AQ364">
        <f t="shared" ca="1" si="109"/>
        <v>1.2160780534636868</v>
      </c>
      <c r="AR364">
        <f t="shared" ca="1" si="110"/>
        <v>1.2810113856256045</v>
      </c>
      <c r="AS364">
        <f t="shared" ca="1" si="111"/>
        <v>1.3383548521445987</v>
      </c>
    </row>
    <row r="365" spans="2:45" x14ac:dyDescent="0.25">
      <c r="B365" s="22">
        <v>45254</v>
      </c>
      <c r="C365">
        <v>741.85299999999995</v>
      </c>
      <c r="D365">
        <v>917.8</v>
      </c>
      <c r="E365">
        <v>614.33199999999999</v>
      </c>
      <c r="F365">
        <v>963.13699999999994</v>
      </c>
      <c r="G365">
        <v>3086.7040000000002</v>
      </c>
      <c r="H365">
        <v>406.69400000000002</v>
      </c>
      <c r="I365" s="6">
        <v>917599.3</v>
      </c>
      <c r="K365" s="23">
        <f t="shared" si="112"/>
        <v>0.56913604270926288</v>
      </c>
      <c r="L365" s="24">
        <f t="shared" si="113"/>
        <v>0.78751582432563993</v>
      </c>
      <c r="M365" s="24">
        <f t="shared" si="114"/>
        <v>0.64601860013986268</v>
      </c>
      <c r="N365" s="24">
        <f t="shared" si="115"/>
        <v>0.59678400724170344</v>
      </c>
      <c r="O365" s="24">
        <f t="shared" si="116"/>
        <v>0.69931607942793561</v>
      </c>
      <c r="P365" s="24">
        <f t="shared" si="117"/>
        <v>0.87184550027845664</v>
      </c>
      <c r="Q365" s="25">
        <f t="shared" si="118"/>
        <v>0.42245902676196878</v>
      </c>
      <c r="S365" s="26">
        <f t="shared" si="122"/>
        <v>0.69510267568714357</v>
      </c>
      <c r="U365" s="5">
        <f t="shared" si="123"/>
        <v>7984.425717572758</v>
      </c>
      <c r="V365" s="6">
        <f t="shared" si="124"/>
        <v>5018.5148116305354</v>
      </c>
      <c r="X365" s="20">
        <f t="shared" si="119"/>
        <v>1.5909937535839584</v>
      </c>
      <c r="Z365" s="22">
        <v>45254</v>
      </c>
      <c r="AA365" s="33">
        <v>1322379.3062</v>
      </c>
      <c r="AB365" s="33">
        <v>803369.32010000001</v>
      </c>
      <c r="AC365" s="33">
        <v>372191.96639999998</v>
      </c>
      <c r="AD365" s="33">
        <v>545482.74529999995</v>
      </c>
      <c r="AE365" s="33">
        <v>2422573.2749000001</v>
      </c>
      <c r="AF365" s="34">
        <v>406.69400000000002</v>
      </c>
      <c r="AH365" s="28">
        <f t="shared" si="125"/>
        <v>0.66367457281773712</v>
      </c>
      <c r="AJ365" s="5">
        <f t="shared" si="126"/>
        <v>6582.6739531106432</v>
      </c>
      <c r="AK365" s="6">
        <f t="shared" si="127"/>
        <v>5018.5148116305354</v>
      </c>
      <c r="AM365" s="1">
        <f t="shared" si="120"/>
        <v>45254</v>
      </c>
      <c r="AN365">
        <f t="shared" si="121"/>
        <v>1.3116776975242015</v>
      </c>
      <c r="AO365">
        <f t="shared" ca="1" si="107"/>
        <v>1.1342075952308603</v>
      </c>
      <c r="AP365">
        <f t="shared" ca="1" si="108"/>
        <v>1.1521871691849888</v>
      </c>
      <c r="AQ365">
        <f t="shared" ca="1" si="109"/>
        <v>1.2121137745798523</v>
      </c>
      <c r="AR365">
        <f t="shared" ca="1" si="110"/>
        <v>1.2802731232427886</v>
      </c>
      <c r="AS365">
        <f t="shared" ca="1" si="111"/>
        <v>1.3383548521445987</v>
      </c>
    </row>
    <row r="366" spans="2:45" x14ac:dyDescent="0.25">
      <c r="B366" s="22">
        <v>45261</v>
      </c>
      <c r="C366">
        <v>645.50199999999995</v>
      </c>
      <c r="D366">
        <v>771.15</v>
      </c>
      <c r="E366">
        <v>630.846</v>
      </c>
      <c r="F366">
        <v>937.53599999999994</v>
      </c>
      <c r="G366">
        <v>2455.7919999999999</v>
      </c>
      <c r="H366">
        <v>461.01100000000002</v>
      </c>
      <c r="I366" s="6">
        <v>870169.2</v>
      </c>
      <c r="K366" s="23">
        <f t="shared" si="112"/>
        <v>-0.12987883044214965</v>
      </c>
      <c r="L366" s="24">
        <f t="shared" si="113"/>
        <v>-0.15978426672477664</v>
      </c>
      <c r="M366" s="24">
        <f t="shared" si="114"/>
        <v>2.6881230344504292E-2</v>
      </c>
      <c r="N366" s="24">
        <f t="shared" si="115"/>
        <v>-2.6580849868710232E-2</v>
      </c>
      <c r="O366" s="24">
        <f t="shared" si="116"/>
        <v>-0.2043966638848429</v>
      </c>
      <c r="P366" s="24">
        <f t="shared" si="117"/>
        <v>0.13355741663265253</v>
      </c>
      <c r="Q366" s="25">
        <f t="shared" si="118"/>
        <v>-5.1689337600846152E-2</v>
      </c>
      <c r="S366" s="26">
        <f t="shared" si="122"/>
        <v>-6.0033660657220433E-2</v>
      </c>
      <c r="U366" s="5">
        <f t="shared" si="123"/>
        <v>7505.0914135012108</v>
      </c>
      <c r="V366" s="6">
        <f t="shared" si="124"/>
        <v>4759.1111052773176</v>
      </c>
      <c r="X366" s="20">
        <f t="shared" si="119"/>
        <v>1.5769943687969188</v>
      </c>
      <c r="Z366" s="22">
        <v>45261</v>
      </c>
      <c r="AA366" s="33">
        <v>1150630.0253000001</v>
      </c>
      <c r="AB366" s="33">
        <v>675003.54240000003</v>
      </c>
      <c r="AC366" s="33">
        <v>382197.12680000003</v>
      </c>
      <c r="AD366" s="33">
        <v>530983.40529999998</v>
      </c>
      <c r="AE366" s="33">
        <v>1927407.051</v>
      </c>
      <c r="AF366" s="34">
        <v>461.01100000000002</v>
      </c>
      <c r="AH366" s="28">
        <f t="shared" si="125"/>
        <v>-0.14629744749821566</v>
      </c>
      <c r="AJ366" s="5">
        <f t="shared" si="126"/>
        <v>5619.6455560575669</v>
      </c>
      <c r="AK366" s="6">
        <f t="shared" si="127"/>
        <v>4759.1111052773176</v>
      </c>
      <c r="AM366" s="1">
        <f t="shared" si="120"/>
        <v>45261</v>
      </c>
      <c r="AN366">
        <f t="shared" si="121"/>
        <v>1.1808183149634841</v>
      </c>
      <c r="AO366">
        <f t="shared" ca="1" si="107"/>
        <v>1.1342075952308603</v>
      </c>
      <c r="AP366">
        <f t="shared" ca="1" si="108"/>
        <v>1.1521871691849888</v>
      </c>
      <c r="AQ366">
        <f t="shared" ca="1" si="109"/>
        <v>1.2121137745798523</v>
      </c>
      <c r="AR366">
        <f t="shared" ca="1" si="110"/>
        <v>1.2802731232427886</v>
      </c>
      <c r="AS366">
        <f t="shared" ca="1" si="111"/>
        <v>1.3383548521445987</v>
      </c>
    </row>
    <row r="367" spans="2:45" x14ac:dyDescent="0.25">
      <c r="B367" s="22">
        <v>45268</v>
      </c>
      <c r="C367">
        <v>729.94799999999998</v>
      </c>
      <c r="D367">
        <v>853.1</v>
      </c>
      <c r="E367">
        <v>768.83299999999997</v>
      </c>
      <c r="F367">
        <v>1153.5930000000001</v>
      </c>
      <c r="G367">
        <v>2659.174</v>
      </c>
      <c r="H367">
        <v>708.86099999999999</v>
      </c>
      <c r="I367" s="6">
        <v>941829.9</v>
      </c>
      <c r="K367" s="23">
        <f t="shared" si="112"/>
        <v>0.13082221278942585</v>
      </c>
      <c r="L367" s="24">
        <f t="shared" si="113"/>
        <v>0.10626985670751488</v>
      </c>
      <c r="M367" s="24">
        <f t="shared" si="114"/>
        <v>0.21873325661096366</v>
      </c>
      <c r="N367" s="24">
        <f t="shared" si="115"/>
        <v>0.23045195064509527</v>
      </c>
      <c r="O367" s="24">
        <f t="shared" si="116"/>
        <v>8.2817274427150256E-2</v>
      </c>
      <c r="P367" s="24">
        <f t="shared" si="117"/>
        <v>0.53762274652882458</v>
      </c>
      <c r="Q367" s="25">
        <f t="shared" si="118"/>
        <v>8.2352604527947015E-2</v>
      </c>
      <c r="S367" s="26">
        <f t="shared" si="122"/>
        <v>0.21778621628482908</v>
      </c>
      <c r="U367" s="5">
        <f t="shared" si="123"/>
        <v>9139.5968753193974</v>
      </c>
      <c r="V367" s="6">
        <f t="shared" si="124"/>
        <v>5151.0363000347816</v>
      </c>
      <c r="X367" s="20">
        <f t="shared" si="119"/>
        <v>1.7743219699806199</v>
      </c>
      <c r="Z367" s="22">
        <v>45268</v>
      </c>
      <c r="AA367" s="33">
        <v>1296985.0556000001</v>
      </c>
      <c r="AB367" s="33">
        <v>746736.07209999999</v>
      </c>
      <c r="AC367" s="33">
        <v>465795.8003</v>
      </c>
      <c r="AD367" s="33">
        <v>653349.04729999998</v>
      </c>
      <c r="AE367" s="33">
        <v>2087030.0333</v>
      </c>
      <c r="AF367" s="34">
        <v>708.86099999999999</v>
      </c>
      <c r="AH367" s="28">
        <f t="shared" si="125"/>
        <v>0.12602022330831819</v>
      </c>
      <c r="AJ367" s="5">
        <f t="shared" si="126"/>
        <v>6327.8345439455388</v>
      </c>
      <c r="AK367" s="6">
        <f t="shared" si="127"/>
        <v>5151.0363000347816</v>
      </c>
      <c r="AM367" s="1">
        <f t="shared" si="120"/>
        <v>45268</v>
      </c>
      <c r="AN367">
        <f t="shared" si="121"/>
        <v>1.2284585421971908</v>
      </c>
      <c r="AO367">
        <f t="shared" ca="1" si="107"/>
        <v>1.1342075952308603</v>
      </c>
      <c r="AP367">
        <f t="shared" ca="1" si="108"/>
        <v>1.1521871691849888</v>
      </c>
      <c r="AQ367">
        <f t="shared" ca="1" si="109"/>
        <v>1.206965850031823</v>
      </c>
      <c r="AR367">
        <f t="shared" ca="1" si="110"/>
        <v>1.2743470053476991</v>
      </c>
      <c r="AS367">
        <f t="shared" ca="1" si="111"/>
        <v>1.3376196531448501</v>
      </c>
    </row>
    <row r="368" spans="2:45" x14ac:dyDescent="0.25">
      <c r="B368" s="22">
        <v>45275</v>
      </c>
      <c r="C368">
        <v>783.09900000000005</v>
      </c>
      <c r="D368">
        <v>963.65</v>
      </c>
      <c r="E368">
        <v>818.00900000000001</v>
      </c>
      <c r="F368">
        <v>1317.671</v>
      </c>
      <c r="G368">
        <v>2914.877</v>
      </c>
      <c r="H368">
        <v>670.06299999999999</v>
      </c>
      <c r="I368" s="6">
        <v>925657.9</v>
      </c>
      <c r="K368" s="23">
        <f t="shared" si="112"/>
        <v>7.2814775847046764E-2</v>
      </c>
      <c r="L368" s="24">
        <f t="shared" si="113"/>
        <v>0.12958621498065881</v>
      </c>
      <c r="M368" s="24">
        <f t="shared" si="114"/>
        <v>6.3961874685399822E-2</v>
      </c>
      <c r="N368" s="24">
        <f t="shared" si="115"/>
        <v>0.14223213906464416</v>
      </c>
      <c r="O368" s="24">
        <f t="shared" si="116"/>
        <v>9.6158807208554187E-2</v>
      </c>
      <c r="P368" s="24">
        <f t="shared" si="117"/>
        <v>-5.4732874287060529E-2</v>
      </c>
      <c r="Q368" s="25">
        <f t="shared" si="118"/>
        <v>-1.7170828830131657E-2</v>
      </c>
      <c r="S368" s="26">
        <f t="shared" si="122"/>
        <v>7.5003489583207197E-2</v>
      </c>
      <c r="U368" s="5">
        <f t="shared" si="123"/>
        <v>9825.0985343521297</v>
      </c>
      <c r="V368" s="6">
        <f t="shared" si="124"/>
        <v>5062.5887374290896</v>
      </c>
      <c r="X368" s="20">
        <f t="shared" si="119"/>
        <v>1.9407261865283496</v>
      </c>
      <c r="Z368" s="22">
        <v>45275</v>
      </c>
      <c r="AA368" s="33">
        <v>1391424.6207999999</v>
      </c>
      <c r="AB368" s="33">
        <v>843502.7733</v>
      </c>
      <c r="AC368" s="33">
        <v>495588.94449999998</v>
      </c>
      <c r="AD368" s="33">
        <v>746276.63540000003</v>
      </c>
      <c r="AE368" s="33">
        <v>2287716.1313999998</v>
      </c>
      <c r="AF368" s="34">
        <v>670.06299999999999</v>
      </c>
      <c r="AH368" s="28">
        <f t="shared" si="125"/>
        <v>9.800286173206281E-2</v>
      </c>
      <c r="AJ368" s="5">
        <f t="shared" si="126"/>
        <v>6947.9804378192039</v>
      </c>
      <c r="AK368" s="6">
        <f t="shared" si="127"/>
        <v>5062.5887374290896</v>
      </c>
      <c r="AM368" s="1">
        <f t="shared" si="120"/>
        <v>45275</v>
      </c>
      <c r="AN368">
        <f t="shared" si="121"/>
        <v>1.3724165240701665</v>
      </c>
      <c r="AO368">
        <f t="shared" ca="1" si="107"/>
        <v>1.1342075952308603</v>
      </c>
      <c r="AP368">
        <f t="shared" ca="1" si="108"/>
        <v>1.1521871691849888</v>
      </c>
      <c r="AQ368">
        <f t="shared" ca="1" si="109"/>
        <v>1.206965850031823</v>
      </c>
      <c r="AR368">
        <f t="shared" ca="1" si="110"/>
        <v>1.2657594959108234</v>
      </c>
      <c r="AS368">
        <f t="shared" ca="1" si="111"/>
        <v>1.3292942220557427</v>
      </c>
    </row>
    <row r="369" spans="2:45" x14ac:dyDescent="0.25">
      <c r="B369" s="22">
        <v>45282</v>
      </c>
      <c r="C369">
        <v>789.27</v>
      </c>
      <c r="D369">
        <v>938.4</v>
      </c>
      <c r="E369">
        <v>860.94600000000003</v>
      </c>
      <c r="F369">
        <v>1317.671</v>
      </c>
      <c r="G369">
        <v>2810.2840000000001</v>
      </c>
      <c r="H369">
        <v>791.93499999999995</v>
      </c>
      <c r="I369" s="6">
        <v>948473.8</v>
      </c>
      <c r="K369" s="23">
        <f t="shared" si="112"/>
        <v>7.8802297027578128E-3</v>
      </c>
      <c r="L369" s="24">
        <f t="shared" si="113"/>
        <v>-2.6202459399159439E-2</v>
      </c>
      <c r="M369" s="24">
        <f t="shared" si="114"/>
        <v>5.2489642534495395E-2</v>
      </c>
      <c r="N369" s="24">
        <f t="shared" si="115"/>
        <v>0</v>
      </c>
      <c r="O369" s="24">
        <f t="shared" si="116"/>
        <v>-3.5882474629289618E-2</v>
      </c>
      <c r="P369" s="24">
        <f t="shared" si="117"/>
        <v>0.1818814051813038</v>
      </c>
      <c r="Q369" s="25">
        <f t="shared" si="118"/>
        <v>2.4648306896100536E-2</v>
      </c>
      <c r="S369" s="26">
        <f t="shared" si="122"/>
        <v>3.0027723898351327E-2</v>
      </c>
      <c r="U369" s="5">
        <f t="shared" si="123"/>
        <v>10120.123880415751</v>
      </c>
      <c r="V369" s="6">
        <f t="shared" si="124"/>
        <v>5187.3729783179842</v>
      </c>
      <c r="X369" s="20">
        <f t="shared" si="119"/>
        <v>1.9509150243708178</v>
      </c>
      <c r="Z369" s="22">
        <v>45282</v>
      </c>
      <c r="AA369" s="33">
        <v>1385188.7545</v>
      </c>
      <c r="AB369" s="33">
        <v>821400.92610000004</v>
      </c>
      <c r="AC369" s="33">
        <v>521602.3615</v>
      </c>
      <c r="AD369" s="33">
        <v>746276.63540000003</v>
      </c>
      <c r="AE369" s="33">
        <v>2205627.5380000002</v>
      </c>
      <c r="AF369" s="34">
        <v>791.93499999999995</v>
      </c>
      <c r="AH369" s="28">
        <f t="shared" si="125"/>
        <v>-1.1637254816876537E-2</v>
      </c>
      <c r="AJ369" s="5">
        <f t="shared" si="126"/>
        <v>6867.125019001629</v>
      </c>
      <c r="AK369" s="6">
        <f t="shared" si="127"/>
        <v>5187.3729783179842</v>
      </c>
      <c r="AM369" s="1">
        <f t="shared" si="120"/>
        <v>45282</v>
      </c>
      <c r="AN369">
        <f t="shared" si="121"/>
        <v>1.3238155512828207</v>
      </c>
      <c r="AO369">
        <f t="shared" ca="1" si="107"/>
        <v>1.1342075952308603</v>
      </c>
      <c r="AP369">
        <f t="shared" ca="1" si="108"/>
        <v>1.1521871691849888</v>
      </c>
      <c r="AQ369">
        <f t="shared" ca="1" si="109"/>
        <v>1.206965850031823</v>
      </c>
      <c r="AR369">
        <f t="shared" ca="1" si="110"/>
        <v>1.2657594959108234</v>
      </c>
      <c r="AS369">
        <f t="shared" ca="1" si="111"/>
        <v>1.3292942220557427</v>
      </c>
    </row>
    <row r="370" spans="2:45" x14ac:dyDescent="0.25">
      <c r="B370" s="22">
        <v>45289</v>
      </c>
      <c r="C370">
        <v>771.07600000000002</v>
      </c>
      <c r="D370">
        <v>942</v>
      </c>
      <c r="E370">
        <v>888.10299999999995</v>
      </c>
      <c r="F370">
        <v>1399.5160000000001</v>
      </c>
      <c r="G370">
        <v>2835.317</v>
      </c>
      <c r="H370">
        <v>701.10199999999998</v>
      </c>
      <c r="I370" s="6">
        <v>929704.2</v>
      </c>
      <c r="K370" s="23">
        <f t="shared" si="112"/>
        <v>-2.3051680666945407E-2</v>
      </c>
      <c r="L370" s="24">
        <f t="shared" si="113"/>
        <v>3.8363171355499937E-3</v>
      </c>
      <c r="M370" s="24">
        <f t="shared" si="114"/>
        <v>3.1543209446353027E-2</v>
      </c>
      <c r="N370" s="24">
        <f t="shared" si="115"/>
        <v>6.211338035063374E-2</v>
      </c>
      <c r="O370" s="24">
        <f t="shared" si="116"/>
        <v>8.9076406512651474E-3</v>
      </c>
      <c r="P370" s="24">
        <f t="shared" si="117"/>
        <v>-0.11469754462171766</v>
      </c>
      <c r="Q370" s="25">
        <f t="shared" si="118"/>
        <v>-1.9789265660263955E-2</v>
      </c>
      <c r="S370" s="26">
        <f t="shared" si="122"/>
        <v>-5.2247796174768601E-3</v>
      </c>
      <c r="U370" s="5">
        <f t="shared" si="123"/>
        <v>10067.248463439013</v>
      </c>
      <c r="V370" s="6">
        <f t="shared" si="124"/>
        <v>5084.7186763711752</v>
      </c>
      <c r="X370" s="20">
        <f t="shared" si="119"/>
        <v>1.9799027447126598</v>
      </c>
      <c r="Z370" s="22">
        <v>45289</v>
      </c>
      <c r="AA370" s="33">
        <v>1353258.1139</v>
      </c>
      <c r="AB370" s="33">
        <v>824552.08059999999</v>
      </c>
      <c r="AC370" s="33">
        <v>538055.29200000002</v>
      </c>
      <c r="AD370" s="33">
        <v>792630.58600000001</v>
      </c>
      <c r="AE370" s="33">
        <v>2225274.6016000002</v>
      </c>
      <c r="AF370" s="34">
        <v>701.10199999999998</v>
      </c>
      <c r="AH370" s="28">
        <f t="shared" si="125"/>
        <v>9.4321707720996188E-3</v>
      </c>
      <c r="AJ370" s="5">
        <f t="shared" si="126"/>
        <v>6931.8969148942106</v>
      </c>
      <c r="AK370" s="6">
        <f t="shared" si="127"/>
        <v>5084.7186763711752</v>
      </c>
      <c r="AM370" s="1">
        <f t="shared" si="120"/>
        <v>45289</v>
      </c>
      <c r="AN370">
        <f t="shared" si="121"/>
        <v>1.3632803220966623</v>
      </c>
      <c r="AO370">
        <f t="shared" ca="1" si="107"/>
        <v>1.1342075952308603</v>
      </c>
      <c r="AP370">
        <f t="shared" ca="1" si="108"/>
        <v>1.1521871691849888</v>
      </c>
      <c r="AQ370">
        <f t="shared" ca="1" si="109"/>
        <v>1.206965850031823</v>
      </c>
      <c r="AR370">
        <f t="shared" ca="1" si="110"/>
        <v>1.2657594959108234</v>
      </c>
      <c r="AS370">
        <f t="shared" ca="1" si="111"/>
        <v>1.3259650354154973</v>
      </c>
    </row>
    <row r="371" spans="2:45" x14ac:dyDescent="0.25">
      <c r="B371" s="22">
        <v>45296</v>
      </c>
      <c r="C371">
        <v>890.64200000000005</v>
      </c>
      <c r="D371">
        <v>1034.3</v>
      </c>
      <c r="E371">
        <v>869.75300000000004</v>
      </c>
      <c r="F371">
        <v>1649.319</v>
      </c>
      <c r="G371">
        <v>3105.8389999999999</v>
      </c>
      <c r="H371">
        <v>756.78800000000001</v>
      </c>
      <c r="I371" s="6">
        <v>1055381</v>
      </c>
      <c r="K371" s="23">
        <f t="shared" si="112"/>
        <v>0.15506383287769299</v>
      </c>
      <c r="L371" s="24">
        <f t="shared" si="113"/>
        <v>9.7983014861995787E-2</v>
      </c>
      <c r="M371" s="24">
        <f t="shared" si="114"/>
        <v>-2.0662017806493016E-2</v>
      </c>
      <c r="N371" s="24">
        <f t="shared" si="115"/>
        <v>0.17849242166577572</v>
      </c>
      <c r="O371" s="24">
        <f t="shared" si="116"/>
        <v>9.5411553628747647E-2</v>
      </c>
      <c r="P371" s="24">
        <f t="shared" si="117"/>
        <v>7.9426388742294352E-2</v>
      </c>
      <c r="Q371" s="25">
        <f t="shared" si="118"/>
        <v>0.13517933983733754</v>
      </c>
      <c r="S371" s="26">
        <f t="shared" si="122"/>
        <v>9.7619198995002252E-2</v>
      </c>
      <c r="U371" s="5">
        <f t="shared" si="123"/>
        <v>11050.005194523595</v>
      </c>
      <c r="V371" s="6">
        <f t="shared" si="124"/>
        <v>5772.0675903016117</v>
      </c>
      <c r="X371" s="20">
        <f t="shared" si="119"/>
        <v>1.9143928967654713</v>
      </c>
      <c r="Z371" s="22">
        <v>45296</v>
      </c>
      <c r="AA371" s="33">
        <v>1563098.7708000001</v>
      </c>
      <c r="AB371" s="33">
        <v>905344.17929999996</v>
      </c>
      <c r="AC371" s="33">
        <v>526938.44709999999</v>
      </c>
      <c r="AD371" s="33">
        <v>934108.99430000002</v>
      </c>
      <c r="AE371" s="33">
        <v>2437590.858</v>
      </c>
      <c r="AF371" s="34">
        <v>756.78800000000001</v>
      </c>
      <c r="AH371" s="28">
        <f t="shared" si="125"/>
        <v>0.11044911393031774</v>
      </c>
      <c r="AJ371" s="5">
        <f t="shared" si="126"/>
        <v>7697.5187870005784</v>
      </c>
      <c r="AK371" s="6">
        <f t="shared" si="127"/>
        <v>5772.0675903016117</v>
      </c>
      <c r="AM371" s="1">
        <f t="shared" si="120"/>
        <v>45296</v>
      </c>
      <c r="AN371">
        <f t="shared" si="121"/>
        <v>1.3335808471706332</v>
      </c>
      <c r="AO371">
        <f t="shared" ca="1" si="107"/>
        <v>1.1342075952308603</v>
      </c>
      <c r="AP371">
        <f t="shared" ca="1" si="108"/>
        <v>1.1521871691849888</v>
      </c>
      <c r="AQ371">
        <f t="shared" ca="1" si="109"/>
        <v>1.206965850031823</v>
      </c>
      <c r="AR371">
        <f t="shared" ca="1" si="110"/>
        <v>1.2657594959108234</v>
      </c>
      <c r="AS371">
        <f t="shared" ca="1" si="111"/>
        <v>1.3259650354154973</v>
      </c>
    </row>
    <row r="372" spans="2:45" x14ac:dyDescent="0.25">
      <c r="B372" s="22">
        <v>45303</v>
      </c>
      <c r="C372">
        <v>920.63499999999999</v>
      </c>
      <c r="D372">
        <v>1060.75</v>
      </c>
      <c r="E372">
        <v>918.19500000000005</v>
      </c>
      <c r="F372">
        <v>1622.1669999999999</v>
      </c>
      <c r="G372">
        <v>3180.123</v>
      </c>
      <c r="H372">
        <v>1180.3710000000001</v>
      </c>
      <c r="I372" s="6">
        <v>1033123</v>
      </c>
      <c r="K372" s="23">
        <f t="shared" si="112"/>
        <v>3.3675708084729861E-2</v>
      </c>
      <c r="L372" s="24">
        <f t="shared" si="113"/>
        <v>2.5572851203712776E-2</v>
      </c>
      <c r="M372" s="24">
        <f t="shared" si="114"/>
        <v>5.569627238997743E-2</v>
      </c>
      <c r="N372" s="24">
        <f t="shared" si="115"/>
        <v>-1.6462552119996254E-2</v>
      </c>
      <c r="O372" s="24">
        <f t="shared" si="116"/>
        <v>2.3917530818564625E-2</v>
      </c>
      <c r="P372" s="24">
        <f t="shared" si="117"/>
        <v>0.55971157047944753</v>
      </c>
      <c r="Q372" s="25">
        <f t="shared" si="118"/>
        <v>-2.1090013938094399E-2</v>
      </c>
      <c r="S372" s="26">
        <f t="shared" si="122"/>
        <v>0.11368523014273933</v>
      </c>
      <c r="U372" s="5">
        <f t="shared" si="123"/>
        <v>12306.227578141476</v>
      </c>
      <c r="V372" s="6">
        <f t="shared" si="124"/>
        <v>5650.3346043705278</v>
      </c>
      <c r="X372" s="20">
        <f t="shared" si="119"/>
        <v>2.1779643932277253</v>
      </c>
      <c r="Z372" s="22">
        <v>45303</v>
      </c>
      <c r="AA372" s="33">
        <v>1607501.1440000001</v>
      </c>
      <c r="AB372" s="33">
        <v>928496.41130000004</v>
      </c>
      <c r="AC372" s="33">
        <v>556286.91749999998</v>
      </c>
      <c r="AD372" s="33">
        <v>918730.90639999998</v>
      </c>
      <c r="AE372" s="33">
        <v>2495892.202</v>
      </c>
      <c r="AF372" s="34">
        <v>1180.3710000000001</v>
      </c>
      <c r="AH372" s="28">
        <f t="shared" si="125"/>
        <v>2.331813651215621E-2</v>
      </c>
      <c r="AJ372" s="5">
        <f t="shared" si="126"/>
        <v>7877.0105808807448</v>
      </c>
      <c r="AK372" s="6">
        <f t="shared" si="127"/>
        <v>5650.3346043705278</v>
      </c>
      <c r="AM372" s="1">
        <f t="shared" si="120"/>
        <v>45303</v>
      </c>
      <c r="AN372">
        <f t="shared" si="121"/>
        <v>1.3940786046171292</v>
      </c>
      <c r="AO372">
        <f t="shared" ca="1" si="107"/>
        <v>1.1342075952308603</v>
      </c>
      <c r="AP372">
        <f t="shared" ca="1" si="108"/>
        <v>1.1521871691849888</v>
      </c>
      <c r="AQ372">
        <f t="shared" ca="1" si="109"/>
        <v>1.206965850031823</v>
      </c>
      <c r="AR372">
        <f t="shared" ca="1" si="110"/>
        <v>1.2657594959108234</v>
      </c>
      <c r="AS372">
        <f t="shared" ca="1" si="111"/>
        <v>1.3259650354154973</v>
      </c>
    </row>
    <row r="373" spans="2:45" x14ac:dyDescent="0.25">
      <c r="B373" s="22">
        <v>45310</v>
      </c>
      <c r="C373">
        <v>1026.3130000000001</v>
      </c>
      <c r="D373">
        <v>1294.45</v>
      </c>
      <c r="E373">
        <v>1026.8230000000001</v>
      </c>
      <c r="F373">
        <v>1852.963</v>
      </c>
      <c r="G373">
        <v>3602.4740000000002</v>
      </c>
      <c r="H373">
        <v>1059.8689999999999</v>
      </c>
      <c r="I373" s="6">
        <v>1174875</v>
      </c>
      <c r="K373" s="23">
        <f t="shared" si="112"/>
        <v>0.11478816251826207</v>
      </c>
      <c r="L373" s="24">
        <f t="shared" si="113"/>
        <v>0.22031581428234737</v>
      </c>
      <c r="M373" s="24">
        <f t="shared" si="114"/>
        <v>0.11830602431945292</v>
      </c>
      <c r="N373" s="24">
        <f t="shared" si="115"/>
        <v>0.14227635009219153</v>
      </c>
      <c r="O373" s="24">
        <f t="shared" si="116"/>
        <v>0.13280964289746033</v>
      </c>
      <c r="P373" s="24">
        <f t="shared" si="117"/>
        <v>-0.1020882417477218</v>
      </c>
      <c r="Q373" s="25">
        <f t="shared" si="118"/>
        <v>0.13720728315989472</v>
      </c>
      <c r="S373" s="26">
        <f t="shared" si="122"/>
        <v>0.10440129206033207</v>
      </c>
      <c r="U373" s="5">
        <f t="shared" si="123"/>
        <v>13591.013637687936</v>
      </c>
      <c r="V373" s="6">
        <f t="shared" si="124"/>
        <v>6425.6016643805469</v>
      </c>
      <c r="X373" s="20">
        <f t="shared" si="119"/>
        <v>2.1151347916612822</v>
      </c>
      <c r="Z373" s="22">
        <v>45310</v>
      </c>
      <c r="AA373" s="33">
        <v>1792022.6812</v>
      </c>
      <c r="AB373" s="33">
        <v>1133058.8541999999</v>
      </c>
      <c r="AC373" s="33">
        <v>622098.63919999998</v>
      </c>
      <c r="AD373" s="33">
        <v>1049444.6532999999</v>
      </c>
      <c r="AE373" s="33">
        <v>2827370.5337999999</v>
      </c>
      <c r="AF373" s="34">
        <v>1059.8689999999999</v>
      </c>
      <c r="AH373" s="28">
        <f t="shared" si="125"/>
        <v>0.14089673894121169</v>
      </c>
      <c r="AJ373" s="5">
        <f t="shared" si="126"/>
        <v>8986.8556843322622</v>
      </c>
      <c r="AK373" s="6">
        <f t="shared" si="127"/>
        <v>6425.6016643805469</v>
      </c>
      <c r="AM373" s="1">
        <f t="shared" si="120"/>
        <v>45310</v>
      </c>
      <c r="AN373">
        <f t="shared" si="121"/>
        <v>1.3986014312324526</v>
      </c>
      <c r="AO373">
        <f t="shared" ca="1" si="107"/>
        <v>1.1342075952308603</v>
      </c>
      <c r="AP373">
        <f t="shared" ca="1" si="108"/>
        <v>1.1521871691849888</v>
      </c>
      <c r="AQ373">
        <f t="shared" ca="1" si="109"/>
        <v>1.206965850031823</v>
      </c>
      <c r="AR373">
        <f t="shared" ca="1" si="110"/>
        <v>1.2743470053476991</v>
      </c>
      <c r="AS373">
        <f t="shared" ca="1" si="111"/>
        <v>1.3292942220557427</v>
      </c>
    </row>
    <row r="374" spans="2:45" x14ac:dyDescent="0.25">
      <c r="B374" s="22">
        <v>45317</v>
      </c>
      <c r="C374">
        <v>1030.6590000000001</v>
      </c>
      <c r="D374">
        <v>1276.45</v>
      </c>
      <c r="E374">
        <v>1100.22</v>
      </c>
      <c r="F374">
        <v>1888.6489999999999</v>
      </c>
      <c r="G374">
        <v>3648.32</v>
      </c>
      <c r="H374">
        <v>1001.444</v>
      </c>
      <c r="I374" s="6">
        <v>1253620</v>
      </c>
      <c r="K374" s="23">
        <f t="shared" si="112"/>
        <v>4.23457561192353E-3</v>
      </c>
      <c r="L374" s="24">
        <f t="shared" si="113"/>
        <v>-1.3905519718799497E-2</v>
      </c>
      <c r="M374" s="24">
        <f t="shared" si="114"/>
        <v>7.1479700006719771E-2</v>
      </c>
      <c r="N374" s="24">
        <f t="shared" si="115"/>
        <v>1.925888428425182E-2</v>
      </c>
      <c r="O374" s="24">
        <f t="shared" si="116"/>
        <v>1.2726254235283951E-2</v>
      </c>
      <c r="P374" s="24">
        <f t="shared" si="117"/>
        <v>-5.5124737113737554E-2</v>
      </c>
      <c r="Q374" s="25">
        <f t="shared" si="118"/>
        <v>6.7024151505479246E-2</v>
      </c>
      <c r="S374" s="26">
        <f t="shared" si="122"/>
        <v>6.4448595509403366E-3</v>
      </c>
      <c r="U374" s="5">
        <f t="shared" si="123"/>
        <v>13678.605811737749</v>
      </c>
      <c r="V374" s="6">
        <f t="shared" si="124"/>
        <v>6856.2721638478479</v>
      </c>
      <c r="X374" s="20">
        <f t="shared" si="119"/>
        <v>1.9950500045583224</v>
      </c>
      <c r="Z374" s="22">
        <v>45317</v>
      </c>
      <c r="AA374" s="33">
        <v>1799610.9040000001</v>
      </c>
      <c r="AB374" s="33">
        <v>1157044.6124</v>
      </c>
      <c r="AC374" s="33">
        <v>666566.01870000002</v>
      </c>
      <c r="AD374" s="33">
        <v>1069655.8544999999</v>
      </c>
      <c r="AE374" s="33">
        <v>2863352.5123999999</v>
      </c>
      <c r="AF374" s="34">
        <v>1001.444</v>
      </c>
      <c r="AH374" s="28">
        <f t="shared" si="125"/>
        <v>1.244901874880679E-2</v>
      </c>
      <c r="AJ374" s="5">
        <f t="shared" si="126"/>
        <v>9098.7332192393369</v>
      </c>
      <c r="AK374" s="6">
        <f t="shared" si="127"/>
        <v>6856.2721638478479</v>
      </c>
      <c r="AM374" s="1">
        <f t="shared" si="120"/>
        <v>45317</v>
      </c>
      <c r="AN374">
        <f t="shared" si="121"/>
        <v>1.327067100284564</v>
      </c>
      <c r="AO374">
        <f t="shared" ca="1" si="107"/>
        <v>1.1342075952308603</v>
      </c>
      <c r="AP374">
        <f t="shared" ca="1" si="108"/>
        <v>1.1521871691849888</v>
      </c>
      <c r="AQ374">
        <f t="shared" ca="1" si="109"/>
        <v>1.2121137745798523</v>
      </c>
      <c r="AR374">
        <f t="shared" ca="1" si="110"/>
        <v>1.2802731232427886</v>
      </c>
      <c r="AS374">
        <f t="shared" ca="1" si="111"/>
        <v>1.333186521937699</v>
      </c>
    </row>
    <row r="375" spans="2:45" x14ac:dyDescent="0.25">
      <c r="B375" s="22">
        <v>45324</v>
      </c>
      <c r="C375">
        <v>1096.9659999999999</v>
      </c>
      <c r="D375">
        <v>1291</v>
      </c>
      <c r="E375">
        <v>1124.441</v>
      </c>
      <c r="F375">
        <v>1927.4380000000001</v>
      </c>
      <c r="G375">
        <v>3794.7779999999998</v>
      </c>
      <c r="H375">
        <v>1049.3710000000001</v>
      </c>
      <c r="I375" s="6">
        <v>1316205</v>
      </c>
      <c r="K375" s="23">
        <f t="shared" si="112"/>
        <v>6.4334566524912429E-2</v>
      </c>
      <c r="L375" s="24">
        <f t="shared" si="113"/>
        <v>1.1398801363155631E-2</v>
      </c>
      <c r="M375" s="24">
        <f t="shared" si="114"/>
        <v>2.2014687971496638E-2</v>
      </c>
      <c r="N375" s="24">
        <f t="shared" si="115"/>
        <v>2.0537961262256932E-2</v>
      </c>
      <c r="O375" s="24">
        <f t="shared" si="116"/>
        <v>4.0143956670467329E-2</v>
      </c>
      <c r="P375" s="24">
        <f t="shared" si="117"/>
        <v>4.7857893202216228E-2</v>
      </c>
      <c r="Q375" s="25">
        <f t="shared" si="118"/>
        <v>4.9923421770552423E-2</v>
      </c>
      <c r="S375" s="26">
        <f t="shared" si="122"/>
        <v>3.4381311165750862E-2</v>
      </c>
      <c r="U375" s="5">
        <f t="shared" si="123"/>
        <v>14148.894214464754</v>
      </c>
      <c r="V375" s="6">
        <f t="shared" si="124"/>
        <v>7198.5607308573217</v>
      </c>
      <c r="X375" s="20">
        <f t="shared" si="119"/>
        <v>1.9655171003578755</v>
      </c>
      <c r="Z375" s="22">
        <v>45324</v>
      </c>
      <c r="AA375" s="33">
        <v>1915387.6503000001</v>
      </c>
      <c r="AB375" s="33">
        <v>1170233.5341</v>
      </c>
      <c r="AC375" s="33">
        <v>681240.25390000001</v>
      </c>
      <c r="AD375" s="33">
        <v>1091624.5514</v>
      </c>
      <c r="AE375" s="33">
        <v>2978299.1260000002</v>
      </c>
      <c r="AF375" s="34">
        <v>1049.3710000000001</v>
      </c>
      <c r="AH375" s="28">
        <f t="shared" si="125"/>
        <v>3.7130414021761364E-2</v>
      </c>
      <c r="AJ375" s="5">
        <f t="shared" si="126"/>
        <v>9436.5729507432479</v>
      </c>
      <c r="AK375" s="6">
        <f t="shared" si="127"/>
        <v>7198.5607308573217</v>
      </c>
      <c r="AM375" s="1">
        <f t="shared" si="120"/>
        <v>45324</v>
      </c>
      <c r="AN375">
        <f t="shared" si="121"/>
        <v>1.3108971784168564</v>
      </c>
      <c r="AO375">
        <f t="shared" ca="1" si="107"/>
        <v>1.1342075952308603</v>
      </c>
      <c r="AP375">
        <f t="shared" ca="1" si="108"/>
        <v>1.1521871691849888</v>
      </c>
      <c r="AQ375">
        <f t="shared" ca="1" si="109"/>
        <v>1.2121137745798523</v>
      </c>
      <c r="AR375">
        <f t="shared" ca="1" si="110"/>
        <v>1.2838932555280018</v>
      </c>
      <c r="AS375">
        <f t="shared" ca="1" si="111"/>
        <v>1.333186521937699</v>
      </c>
    </row>
    <row r="376" spans="2:45" x14ac:dyDescent="0.25">
      <c r="B376" s="22">
        <v>45331</v>
      </c>
      <c r="C376">
        <v>896.798</v>
      </c>
      <c r="D376">
        <v>1102.3499999999999</v>
      </c>
      <c r="E376">
        <v>887.73599999999999</v>
      </c>
      <c r="F376">
        <v>1628.373</v>
      </c>
      <c r="G376">
        <v>3142.7170000000001</v>
      </c>
      <c r="H376">
        <v>837.57899999999995</v>
      </c>
      <c r="I376" s="6">
        <v>1128511</v>
      </c>
      <c r="K376" s="23">
        <f t="shared" si="112"/>
        <v>-0.18247420612853993</v>
      </c>
      <c r="L376" s="24">
        <f t="shared" si="113"/>
        <v>-0.14612703330751364</v>
      </c>
      <c r="M376" s="24">
        <f t="shared" si="114"/>
        <v>-0.21050904404944326</v>
      </c>
      <c r="N376" s="24">
        <f t="shared" si="115"/>
        <v>-0.15516192998166478</v>
      </c>
      <c r="O376" s="24">
        <f t="shared" si="116"/>
        <v>-0.17183113215055001</v>
      </c>
      <c r="P376" s="24">
        <f t="shared" si="117"/>
        <v>-0.20182757099252802</v>
      </c>
      <c r="Q376" s="25">
        <f t="shared" si="118"/>
        <v>-0.14260240616013464</v>
      </c>
      <c r="S376" s="26">
        <f t="shared" si="122"/>
        <v>-0.17798848610170662</v>
      </c>
      <c r="U376" s="5">
        <f t="shared" si="123"/>
        <v>11630.553953218978</v>
      </c>
      <c r="V376" s="6">
        <f t="shared" si="124"/>
        <v>6172.0286497472098</v>
      </c>
      <c r="X376" s="20">
        <f t="shared" si="119"/>
        <v>1.8843972724746403</v>
      </c>
      <c r="Z376" s="22">
        <v>45331</v>
      </c>
      <c r="AA376" s="33">
        <v>1565878.6148000001</v>
      </c>
      <c r="AB376" s="33">
        <v>999230.77949999995</v>
      </c>
      <c r="AC376" s="33">
        <v>537832.95510000002</v>
      </c>
      <c r="AD376" s="33">
        <v>922245.89800000004</v>
      </c>
      <c r="AE376" s="33">
        <v>2466534.5207000002</v>
      </c>
      <c r="AF376" s="34">
        <v>837.57899999999995</v>
      </c>
      <c r="AH376" s="28">
        <f t="shared" si="125"/>
        <v>-0.17163844265215716</v>
      </c>
      <c r="AJ376" s="5">
        <f t="shared" si="126"/>
        <v>7816.8942655042056</v>
      </c>
      <c r="AK376" s="6">
        <f t="shared" si="127"/>
        <v>6172.0286497472098</v>
      </c>
      <c r="AM376" s="1">
        <f t="shared" si="120"/>
        <v>45331</v>
      </c>
      <c r="AN376">
        <f t="shared" si="121"/>
        <v>1.2665032372823424</v>
      </c>
      <c r="AO376">
        <f t="shared" ca="1" si="107"/>
        <v>1.1342075952308603</v>
      </c>
      <c r="AP376">
        <f t="shared" ca="1" si="108"/>
        <v>1.1521871691849888</v>
      </c>
      <c r="AQ376">
        <f t="shared" ca="1" si="109"/>
        <v>1.2128741956608167</v>
      </c>
      <c r="AR376">
        <f t="shared" ca="1" si="110"/>
        <v>1.2937363572214475</v>
      </c>
      <c r="AS376">
        <f t="shared" ca="1" si="111"/>
        <v>1.333186521937699</v>
      </c>
    </row>
    <row r="377" spans="2:45" x14ac:dyDescent="0.25">
      <c r="B377" s="22">
        <v>45338</v>
      </c>
      <c r="C377">
        <v>809.66499999999996</v>
      </c>
      <c r="D377">
        <v>1049.95</v>
      </c>
      <c r="E377">
        <v>920.03</v>
      </c>
      <c r="F377">
        <v>1524.4179999999999</v>
      </c>
      <c r="G377">
        <v>2904.6619999999998</v>
      </c>
      <c r="H377">
        <v>844.42600000000004</v>
      </c>
      <c r="I377" s="6">
        <v>1065369</v>
      </c>
      <c r="K377" s="23">
        <f t="shared" si="112"/>
        <v>-9.7160118555126185E-2</v>
      </c>
      <c r="L377" s="24">
        <f t="shared" si="113"/>
        <v>-4.7534811992561266E-2</v>
      </c>
      <c r="M377" s="24">
        <f t="shared" si="114"/>
        <v>3.6377932178034866E-2</v>
      </c>
      <c r="N377" s="24">
        <f t="shared" si="115"/>
        <v>-6.3839795918994136E-2</v>
      </c>
      <c r="O377" s="24">
        <f t="shared" si="116"/>
        <v>-7.5748150406161341E-2</v>
      </c>
      <c r="P377" s="24">
        <f t="shared" si="117"/>
        <v>8.1747512771930264E-3</v>
      </c>
      <c r="Q377" s="25">
        <f t="shared" si="118"/>
        <v>-5.5951603484591605E-2</v>
      </c>
      <c r="S377" s="26">
        <f t="shared" si="122"/>
        <v>-3.9955032236269172E-2</v>
      </c>
      <c r="U377" s="5">
        <f t="shared" si="123"/>
        <v>11165.854795092446</v>
      </c>
      <c r="V377" s="6">
        <f t="shared" si="124"/>
        <v>5826.6937500410149</v>
      </c>
      <c r="X377" s="20">
        <f t="shared" si="119"/>
        <v>1.9163277278840762</v>
      </c>
      <c r="Z377" s="22">
        <v>45338</v>
      </c>
      <c r="AA377" s="33">
        <v>1413738.5038000001</v>
      </c>
      <c r="AB377" s="33">
        <v>951732.53220000002</v>
      </c>
      <c r="AC377" s="33">
        <v>557398.60199999996</v>
      </c>
      <c r="AD377" s="33">
        <v>863369.79009999998</v>
      </c>
      <c r="AE377" s="33">
        <v>2279699.2261000001</v>
      </c>
      <c r="AF377" s="34">
        <v>844.42600000000004</v>
      </c>
      <c r="AH377" s="28">
        <f t="shared" si="125"/>
        <v>-6.5579447297009791E-2</v>
      </c>
      <c r="AJ377" s="5">
        <f t="shared" si="126"/>
        <v>7304.2666599932745</v>
      </c>
      <c r="AK377" s="6">
        <f t="shared" si="127"/>
        <v>5826.6937500410149</v>
      </c>
      <c r="AM377" s="1">
        <f t="shared" si="120"/>
        <v>45338</v>
      </c>
      <c r="AN377">
        <f t="shared" si="121"/>
        <v>1.2535868493074409</v>
      </c>
      <c r="AO377">
        <f t="shared" ca="1" si="107"/>
        <v>1.1342075952308603</v>
      </c>
      <c r="AP377">
        <f t="shared" ca="1" si="108"/>
        <v>1.1521871691849888</v>
      </c>
      <c r="AQ377">
        <f t="shared" ca="1" si="109"/>
        <v>1.2128741956608167</v>
      </c>
      <c r="AR377">
        <f t="shared" ca="1" si="110"/>
        <v>1.2937363572214475</v>
      </c>
      <c r="AS377">
        <f t="shared" ca="1" si="111"/>
        <v>1.333186521937699</v>
      </c>
    </row>
    <row r="378" spans="2:45" x14ac:dyDescent="0.25">
      <c r="B378" s="22">
        <v>45345</v>
      </c>
      <c r="C378">
        <v>817.92700000000002</v>
      </c>
      <c r="D378">
        <v>1098.45</v>
      </c>
      <c r="E378">
        <v>923.7</v>
      </c>
      <c r="F378">
        <v>1413.481</v>
      </c>
      <c r="G378">
        <v>3091.404</v>
      </c>
      <c r="H378">
        <v>763.63499999999999</v>
      </c>
      <c r="I378" s="6">
        <v>1105610</v>
      </c>
      <c r="K378" s="23">
        <f t="shared" si="112"/>
        <v>1.0204220263936303E-2</v>
      </c>
      <c r="L378" s="24">
        <f t="shared" si="113"/>
        <v>4.6192675841706832E-2</v>
      </c>
      <c r="M378" s="24">
        <f t="shared" si="114"/>
        <v>3.9890003586839917E-3</v>
      </c>
      <c r="N378" s="24">
        <f t="shared" si="115"/>
        <v>-7.2773346942898831E-2</v>
      </c>
      <c r="O378" s="24">
        <f t="shared" si="116"/>
        <v>6.4290440677779337E-2</v>
      </c>
      <c r="P378" s="24">
        <f t="shared" si="117"/>
        <v>-9.5675642389031146E-2</v>
      </c>
      <c r="Q378" s="25">
        <f t="shared" si="118"/>
        <v>3.7771889364154543E-2</v>
      </c>
      <c r="S378" s="26">
        <f t="shared" si="122"/>
        <v>-7.2954420316372519E-3</v>
      </c>
      <c r="U378" s="5">
        <f t="shared" si="123"/>
        <v>11084.394948701171</v>
      </c>
      <c r="V378" s="6">
        <f t="shared" si="124"/>
        <v>6046.7789817263747</v>
      </c>
      <c r="X378" s="20">
        <f t="shared" si="119"/>
        <v>1.8331073423054962</v>
      </c>
      <c r="Z378" s="22">
        <v>45345</v>
      </c>
      <c r="AA378" s="33">
        <v>1428163.6402</v>
      </c>
      <c r="AB378" s="33">
        <v>974418.80819999997</v>
      </c>
      <c r="AC378" s="33">
        <v>559621.97100000002</v>
      </c>
      <c r="AD378" s="33">
        <v>800539.31689999998</v>
      </c>
      <c r="AE378" s="33">
        <v>2426261.8040999998</v>
      </c>
      <c r="AF378" s="34">
        <v>763.63499999999999</v>
      </c>
      <c r="AH378" s="28">
        <f t="shared" si="125"/>
        <v>2.377939021987463E-2</v>
      </c>
      <c r="AJ378" s="5">
        <f t="shared" si="126"/>
        <v>7477.9576671712748</v>
      </c>
      <c r="AK378" s="6">
        <f t="shared" si="127"/>
        <v>6046.7789817263747</v>
      </c>
      <c r="AM378" s="1">
        <f t="shared" si="120"/>
        <v>45345</v>
      </c>
      <c r="AN378">
        <f t="shared" si="121"/>
        <v>1.2366844711490173</v>
      </c>
      <c r="AO378">
        <f t="shared" ca="1" si="107"/>
        <v>1.1342075952308603</v>
      </c>
      <c r="AP378">
        <f t="shared" ca="1" si="108"/>
        <v>1.1521871691849888</v>
      </c>
      <c r="AQ378">
        <f t="shared" ca="1" si="109"/>
        <v>1.2128741956608167</v>
      </c>
      <c r="AR378">
        <f t="shared" ca="1" si="110"/>
        <v>1.2937363572214475</v>
      </c>
      <c r="AS378">
        <f t="shared" ca="1" si="111"/>
        <v>1.333186521937699</v>
      </c>
    </row>
    <row r="379" spans="2:45" x14ac:dyDescent="0.25">
      <c r="B379" s="22">
        <v>45352</v>
      </c>
      <c r="C379">
        <v>752.82500000000005</v>
      </c>
      <c r="D379">
        <v>952.15</v>
      </c>
      <c r="E379">
        <v>831.58699999999999</v>
      </c>
      <c r="F379">
        <v>1328.5319999999999</v>
      </c>
      <c r="G379">
        <v>2782.134</v>
      </c>
      <c r="H379">
        <v>710.23099999999999</v>
      </c>
      <c r="I379" s="6">
        <v>1054959</v>
      </c>
      <c r="K379" s="23">
        <f t="shared" si="112"/>
        <v>-7.9593900189136702E-2</v>
      </c>
      <c r="L379" s="24">
        <f t="shared" si="113"/>
        <v>-0.13318767353998817</v>
      </c>
      <c r="M379" s="24">
        <f t="shared" si="114"/>
        <v>-9.9721771137815329E-2</v>
      </c>
      <c r="N379" s="24">
        <f t="shared" si="115"/>
        <v>-6.0099145301564016E-2</v>
      </c>
      <c r="O379" s="24">
        <f t="shared" si="116"/>
        <v>-0.10004192269920076</v>
      </c>
      <c r="P379" s="24">
        <f t="shared" si="117"/>
        <v>-6.9933934405835285E-2</v>
      </c>
      <c r="Q379" s="25">
        <f t="shared" si="118"/>
        <v>-4.581271877063342E-2</v>
      </c>
      <c r="S379" s="26">
        <f t="shared" si="122"/>
        <v>-9.0429724545590048E-2</v>
      </c>
      <c r="U379" s="5">
        <f t="shared" si="123"/>
        <v>10082.036166735594</v>
      </c>
      <c r="V379" s="6">
        <f t="shared" si="124"/>
        <v>5769.7595967683674</v>
      </c>
      <c r="X379" s="20">
        <f t="shared" si="119"/>
        <v>1.7473927635360276</v>
      </c>
      <c r="Z379" s="22">
        <v>45352</v>
      </c>
      <c r="AA379" s="33">
        <v>1314490.5597000001</v>
      </c>
      <c r="AB379" s="33">
        <v>844638.2341</v>
      </c>
      <c r="AC379" s="33">
        <v>503815.40970000002</v>
      </c>
      <c r="AD379" s="33">
        <v>752427.87049999996</v>
      </c>
      <c r="AE379" s="33">
        <v>2183534.0008999999</v>
      </c>
      <c r="AF379" s="34">
        <v>710.23099999999999</v>
      </c>
      <c r="AH379" s="28">
        <f t="shared" si="125"/>
        <v>-9.534333095821787E-2</v>
      </c>
      <c r="AJ379" s="5">
        <f t="shared" si="126"/>
        <v>6764.9842744186208</v>
      </c>
      <c r="AK379" s="6">
        <f t="shared" si="127"/>
        <v>5769.7595967683674</v>
      </c>
      <c r="AM379" s="1">
        <f t="shared" si="120"/>
        <v>45352</v>
      </c>
      <c r="AN379">
        <f t="shared" si="121"/>
        <v>1.1724897997843231</v>
      </c>
      <c r="AO379">
        <f t="shared" ref="AO379:AO442" ca="1" si="128">+_xlfn.PERCENTILE.INC(OFFSET(AN379,-52,0,52,1),0.1)</f>
        <v>1.1342075952308603</v>
      </c>
      <c r="AP379">
        <f t="shared" ref="AP379:AP442" ca="1" si="129">+_xlfn.PERCENTILE.INC(OFFSET(AN379,-52,0,52,1),0.25)</f>
        <v>1.1521871691849888</v>
      </c>
      <c r="AQ379">
        <f t="shared" ref="AQ379:AQ442" ca="1" si="130">+_xlfn.PERCENTILE.INC(OFFSET(AN379,-52,0,52,1),0.5)</f>
        <v>1.2128741956608167</v>
      </c>
      <c r="AR379">
        <f t="shared" ref="AR379:AR442" ca="1" si="131">+_xlfn.PERCENTILE.INC(OFFSET(AN379,-52,0,52,1),0.75)</f>
        <v>1.2937363572214475</v>
      </c>
      <c r="AS379">
        <f t="shared" ref="AS379:AS442" ca="1" si="132">+_xlfn.PERCENTILE.INC(OFFSET(AN379,-52,0,52,1),0.9)</f>
        <v>1.333186521937699</v>
      </c>
    </row>
    <row r="380" spans="2:45" x14ac:dyDescent="0.25">
      <c r="B380" s="22">
        <v>45359</v>
      </c>
      <c r="C380">
        <v>708.76400000000001</v>
      </c>
      <c r="D380">
        <v>839.75</v>
      </c>
      <c r="E380">
        <v>669.38</v>
      </c>
      <c r="F380">
        <v>1210.6130000000001</v>
      </c>
      <c r="G380">
        <v>2455.6</v>
      </c>
      <c r="H380">
        <v>637.65599999999995</v>
      </c>
      <c r="I380" s="6">
        <v>1002336</v>
      </c>
      <c r="K380" s="23">
        <f t="shared" si="112"/>
        <v>-5.8527546242486683E-2</v>
      </c>
      <c r="L380" s="24">
        <f t="shared" si="113"/>
        <v>-0.11804862679199701</v>
      </c>
      <c r="M380" s="24">
        <f t="shared" si="114"/>
        <v>-0.19505716178824339</v>
      </c>
      <c r="N380" s="24">
        <f t="shared" si="115"/>
        <v>-8.8758870693366743E-2</v>
      </c>
      <c r="O380" s="24">
        <f t="shared" si="116"/>
        <v>-0.11736817852770576</v>
      </c>
      <c r="P380" s="24">
        <f t="shared" si="117"/>
        <v>-0.10218506373278557</v>
      </c>
      <c r="Q380" s="25">
        <f t="shared" si="118"/>
        <v>-4.9881559378136986E-2</v>
      </c>
      <c r="S380" s="26">
        <f t="shared" si="122"/>
        <v>-0.11332424129609753</v>
      </c>
      <c r="U380" s="5">
        <f t="shared" si="123"/>
        <v>8939.4970674204669</v>
      </c>
      <c r="V380" s="6">
        <f t="shared" si="124"/>
        <v>5481.9549908445906</v>
      </c>
      <c r="X380" s="20">
        <f t="shared" si="119"/>
        <v>1.6307133280645891</v>
      </c>
      <c r="Z380" s="22">
        <v>45359</v>
      </c>
      <c r="AA380" s="33">
        <v>1237556.4986</v>
      </c>
      <c r="AB380" s="33">
        <v>744929.8504</v>
      </c>
      <c r="AC380" s="33">
        <v>405542.50099999999</v>
      </c>
      <c r="AD380" s="33">
        <v>685643.0318</v>
      </c>
      <c r="AE380" s="33">
        <v>1927256.4987000001</v>
      </c>
      <c r="AF380" s="34">
        <v>637.65599999999995</v>
      </c>
      <c r="AH380" s="28">
        <f t="shared" si="125"/>
        <v>-0.10680191166733151</v>
      </c>
      <c r="AJ380" s="5">
        <f t="shared" si="126"/>
        <v>6042.4710215112764</v>
      </c>
      <c r="AK380" s="6">
        <f t="shared" si="127"/>
        <v>5481.9549908445906</v>
      </c>
      <c r="AM380" s="1">
        <f t="shared" si="120"/>
        <v>45359</v>
      </c>
      <c r="AN380">
        <f t="shared" si="121"/>
        <v>1.1022474704011256</v>
      </c>
      <c r="AO380">
        <f t="shared" ca="1" si="128"/>
        <v>1.1342075952308603</v>
      </c>
      <c r="AP380">
        <f t="shared" ca="1" si="129"/>
        <v>1.1521871691849888</v>
      </c>
      <c r="AQ380">
        <f t="shared" ca="1" si="130"/>
        <v>1.206965850031823</v>
      </c>
      <c r="AR380">
        <f t="shared" ca="1" si="131"/>
        <v>1.2937363572214475</v>
      </c>
      <c r="AS380">
        <f t="shared" ca="1" si="132"/>
        <v>1.333186521937699</v>
      </c>
    </row>
    <row r="381" spans="2:45" x14ac:dyDescent="0.25">
      <c r="B381" s="22">
        <v>45366</v>
      </c>
      <c r="C381">
        <v>732.42899999999997</v>
      </c>
      <c r="D381">
        <v>814.45</v>
      </c>
      <c r="E381">
        <v>781.31</v>
      </c>
      <c r="F381">
        <v>1454.2090000000001</v>
      </c>
      <c r="G381">
        <v>2626.8519999999999</v>
      </c>
      <c r="H381">
        <v>743.09500000000003</v>
      </c>
      <c r="I381" s="6">
        <v>1068974</v>
      </c>
      <c r="K381" s="23">
        <f t="shared" si="112"/>
        <v>3.3389111185105236E-2</v>
      </c>
      <c r="L381" s="24">
        <f t="shared" si="113"/>
        <v>-3.0128014289967253E-2</v>
      </c>
      <c r="M381" s="24">
        <f t="shared" si="114"/>
        <v>0.16721443724043139</v>
      </c>
      <c r="N381" s="24">
        <f t="shared" si="115"/>
        <v>0.2012170693689892</v>
      </c>
      <c r="O381" s="24">
        <f t="shared" si="116"/>
        <v>6.9739371233099812E-2</v>
      </c>
      <c r="P381" s="24">
        <f t="shared" si="117"/>
        <v>0.16535404669602438</v>
      </c>
      <c r="Q381" s="25">
        <f t="shared" si="118"/>
        <v>6.6482696421160226E-2</v>
      </c>
      <c r="S381" s="26">
        <f t="shared" si="122"/>
        <v>0.10113100357228046</v>
      </c>
      <c r="U381" s="5">
        <f t="shared" si="123"/>
        <v>9843.5573772801581</v>
      </c>
      <c r="V381" s="6">
        <f t="shared" si="124"/>
        <v>5846.4101402953756</v>
      </c>
      <c r="X381" s="20">
        <f t="shared" si="119"/>
        <v>1.6836925807574006</v>
      </c>
      <c r="Z381" s="22">
        <v>45366</v>
      </c>
      <c r="AA381" s="33">
        <v>1278878.5041</v>
      </c>
      <c r="AB381" s="33">
        <v>722486.59329999995</v>
      </c>
      <c r="AC381" s="33">
        <v>473355.2548</v>
      </c>
      <c r="AD381" s="33">
        <v>823606.44869999995</v>
      </c>
      <c r="AE381" s="33">
        <v>2061661.9857000001</v>
      </c>
      <c r="AF381" s="34">
        <v>743.09500000000003</v>
      </c>
      <c r="AH381" s="28">
        <f t="shared" si="125"/>
        <v>7.1810386932563045E-2</v>
      </c>
      <c r="AJ381" s="5">
        <f t="shared" si="126"/>
        <v>6476.3832035948008</v>
      </c>
      <c r="AK381" s="6">
        <f t="shared" si="127"/>
        <v>5846.4101402953756</v>
      </c>
      <c r="AM381" s="1">
        <f t="shared" si="120"/>
        <v>45366</v>
      </c>
      <c r="AN381">
        <f t="shared" si="121"/>
        <v>1.1077538263963804</v>
      </c>
      <c r="AO381">
        <f t="shared" ca="1" si="128"/>
        <v>1.1294439867077144</v>
      </c>
      <c r="AP381">
        <f t="shared" ca="1" si="129"/>
        <v>1.1512443513158181</v>
      </c>
      <c r="AQ381">
        <f t="shared" ca="1" si="130"/>
        <v>1.206965850031823</v>
      </c>
      <c r="AR381">
        <f t="shared" ca="1" si="131"/>
        <v>1.2937363572214475</v>
      </c>
      <c r="AS381">
        <f t="shared" ca="1" si="132"/>
        <v>1.333186521937699</v>
      </c>
    </row>
    <row r="382" spans="2:45" x14ac:dyDescent="0.25">
      <c r="B382" s="22">
        <v>45373</v>
      </c>
      <c r="C382">
        <v>910.73900000000003</v>
      </c>
      <c r="D382">
        <v>1012.05</v>
      </c>
      <c r="E382">
        <v>880.39599999999996</v>
      </c>
      <c r="F382">
        <v>1593.463</v>
      </c>
      <c r="G382">
        <v>3131.2069999999999</v>
      </c>
      <c r="H382">
        <v>814.75699999999995</v>
      </c>
      <c r="I382" s="6">
        <v>1227404</v>
      </c>
      <c r="K382" s="23">
        <f t="shared" si="112"/>
        <v>0.24345021838294234</v>
      </c>
      <c r="L382" s="24">
        <f t="shared" si="113"/>
        <v>0.24261771747805261</v>
      </c>
      <c r="M382" s="24">
        <f t="shared" si="114"/>
        <v>0.12682034019787292</v>
      </c>
      <c r="N382" s="24">
        <f t="shared" si="115"/>
        <v>9.5759275317371717E-2</v>
      </c>
      <c r="O382" s="24">
        <f t="shared" si="116"/>
        <v>0.19199977768066123</v>
      </c>
      <c r="P382" s="24">
        <f t="shared" si="117"/>
        <v>9.6437198473950048E-2</v>
      </c>
      <c r="Q382" s="25">
        <f t="shared" si="118"/>
        <v>0.14820753357892702</v>
      </c>
      <c r="S382" s="26">
        <f t="shared" si="122"/>
        <v>0.16618075458847514</v>
      </c>
      <c r="U382" s="5">
        <f t="shared" si="123"/>
        <v>11479.367170071526</v>
      </c>
      <c r="V382" s="6">
        <f t="shared" si="124"/>
        <v>6712.8921674793819</v>
      </c>
      <c r="X382" s="20">
        <f t="shared" si="119"/>
        <v>1.7100479024053659</v>
      </c>
      <c r="Z382" s="22">
        <v>45373</v>
      </c>
      <c r="AA382" s="33">
        <v>1590221.0326</v>
      </c>
      <c r="AB382" s="33">
        <v>917377.88399999996</v>
      </c>
      <c r="AC382" s="33">
        <v>533386.21710000001</v>
      </c>
      <c r="AD382" s="33">
        <v>902474.07070000004</v>
      </c>
      <c r="AE382" s="33">
        <v>2457501.3879999998</v>
      </c>
      <c r="AF382" s="34">
        <v>814.75699999999995</v>
      </c>
      <c r="AH382" s="28">
        <f t="shared" si="125"/>
        <v>0.19054126523633436</v>
      </c>
      <c r="AJ382" s="5">
        <f t="shared" si="126"/>
        <v>7710.401453363098</v>
      </c>
      <c r="AK382" s="6">
        <f t="shared" si="127"/>
        <v>6712.8921674793819</v>
      </c>
      <c r="AM382" s="1">
        <f t="shared" si="120"/>
        <v>45373</v>
      </c>
      <c r="AN382">
        <f t="shared" si="121"/>
        <v>1.1485960538314843</v>
      </c>
      <c r="AO382">
        <f t="shared" ca="1" si="128"/>
        <v>1.1222402357977381</v>
      </c>
      <c r="AP382">
        <f t="shared" ca="1" si="129"/>
        <v>1.1486221683305902</v>
      </c>
      <c r="AQ382">
        <f t="shared" ca="1" si="130"/>
        <v>1.206965850031823</v>
      </c>
      <c r="AR382">
        <f t="shared" ca="1" si="131"/>
        <v>1.2937363572214475</v>
      </c>
      <c r="AS382">
        <f t="shared" ca="1" si="132"/>
        <v>1.333186521937699</v>
      </c>
    </row>
    <row r="383" spans="2:45" x14ac:dyDescent="0.25">
      <c r="B383" s="22">
        <v>45380</v>
      </c>
      <c r="C383">
        <v>873.476</v>
      </c>
      <c r="D383">
        <v>977.4</v>
      </c>
      <c r="E383">
        <v>964.06799999999998</v>
      </c>
      <c r="F383">
        <v>1642.337</v>
      </c>
      <c r="G383">
        <v>3145.3069999999998</v>
      </c>
      <c r="H383">
        <v>808.36699999999996</v>
      </c>
      <c r="I383" s="6">
        <v>1213485</v>
      </c>
      <c r="K383" s="23">
        <f t="shared" si="112"/>
        <v>-4.0915124969941985E-2</v>
      </c>
      <c r="L383" s="24">
        <f t="shared" si="113"/>
        <v>-3.4237438861716263E-2</v>
      </c>
      <c r="M383" s="24">
        <f t="shared" si="114"/>
        <v>9.5039050609044162E-2</v>
      </c>
      <c r="N383" s="24">
        <f t="shared" si="115"/>
        <v>3.0671562502549543E-2</v>
      </c>
      <c r="O383" s="24">
        <f t="shared" si="116"/>
        <v>4.5030558503478257E-3</v>
      </c>
      <c r="P383" s="24">
        <f t="shared" si="117"/>
        <v>-7.8428292116544673E-3</v>
      </c>
      <c r="Q383" s="25">
        <f t="shared" si="118"/>
        <v>-1.1340194426610939E-2</v>
      </c>
      <c r="S383" s="26">
        <f t="shared" si="122"/>
        <v>7.8697126531048021E-3</v>
      </c>
      <c r="U383" s="5">
        <f t="shared" si="123"/>
        <v>11569.706491139474</v>
      </c>
      <c r="V383" s="6">
        <f t="shared" si="124"/>
        <v>6636.766665135292</v>
      </c>
      <c r="X383" s="20">
        <f t="shared" si="119"/>
        <v>1.7432745604750928</v>
      </c>
      <c r="Z383" s="22">
        <v>45380</v>
      </c>
      <c r="AA383" s="33">
        <v>1525157.6566999999</v>
      </c>
      <c r="AB383" s="33">
        <v>885969.21470000001</v>
      </c>
      <c r="AC383" s="33">
        <v>584079.02969999996</v>
      </c>
      <c r="AD383" s="33">
        <v>930154.62890000001</v>
      </c>
      <c r="AE383" s="33">
        <v>2468566.9756</v>
      </c>
      <c r="AF383" s="34">
        <v>808.36699999999996</v>
      </c>
      <c r="AH383" s="28">
        <f t="shared" si="125"/>
        <v>-1.0997068095882907E-3</v>
      </c>
      <c r="AJ383" s="5">
        <f t="shared" si="126"/>
        <v>7701.9222723801749</v>
      </c>
      <c r="AK383" s="6">
        <f t="shared" si="127"/>
        <v>6636.766665135292</v>
      </c>
      <c r="AM383" s="1">
        <f t="shared" si="120"/>
        <v>45380</v>
      </c>
      <c r="AN383">
        <f t="shared" si="121"/>
        <v>1.1604931529144198</v>
      </c>
      <c r="AO383">
        <f t="shared" ca="1" si="128"/>
        <v>1.1222402357977381</v>
      </c>
      <c r="AP383">
        <f t="shared" ca="1" si="129"/>
        <v>1.1480090750026324</v>
      </c>
      <c r="AQ383">
        <f t="shared" ca="1" si="130"/>
        <v>1.2068061459393715</v>
      </c>
      <c r="AR383">
        <f t="shared" ca="1" si="131"/>
        <v>1.2937363572214475</v>
      </c>
      <c r="AS383">
        <f t="shared" ca="1" si="132"/>
        <v>1.333186521937699</v>
      </c>
    </row>
    <row r="384" spans="2:45" x14ac:dyDescent="0.25">
      <c r="B384" s="22">
        <v>45387</v>
      </c>
      <c r="C384">
        <v>949.50699999999995</v>
      </c>
      <c r="D384">
        <v>1009.05</v>
      </c>
      <c r="E384">
        <v>1040.768</v>
      </c>
      <c r="F384">
        <v>1907.6559999999999</v>
      </c>
      <c r="G384">
        <v>3578.9270000000001</v>
      </c>
      <c r="H384">
        <v>863.14</v>
      </c>
      <c r="I384" s="6">
        <v>1214371</v>
      </c>
      <c r="K384" s="23">
        <f t="shared" si="112"/>
        <v>8.7044177516039323E-2</v>
      </c>
      <c r="L384" s="24">
        <f t="shared" si="113"/>
        <v>3.2381829343155255E-2</v>
      </c>
      <c r="M384" s="24">
        <f t="shared" si="114"/>
        <v>7.9558703327980984E-2</v>
      </c>
      <c r="N384" s="24">
        <f t="shared" si="115"/>
        <v>0.16154966976935903</v>
      </c>
      <c r="O384" s="24">
        <f t="shared" si="116"/>
        <v>0.13786253615306876</v>
      </c>
      <c r="P384" s="24">
        <f t="shared" si="117"/>
        <v>6.7757590302424564E-2</v>
      </c>
      <c r="Q384" s="25">
        <f t="shared" si="118"/>
        <v>7.30128514155437E-4</v>
      </c>
      <c r="S384" s="26">
        <f t="shared" si="122"/>
        <v>9.4359084402004648E-2</v>
      </c>
      <c r="U384" s="5">
        <f t="shared" si="123"/>
        <v>12661.413402443324</v>
      </c>
      <c r="V384" s="6">
        <f t="shared" si="124"/>
        <v>6641.6123577193039</v>
      </c>
      <c r="X384" s="20">
        <f t="shared" si="119"/>
        <v>1.9063764520564688</v>
      </c>
      <c r="Z384" s="22">
        <v>45387</v>
      </c>
      <c r="AA384" s="33">
        <v>1657913.9907</v>
      </c>
      <c r="AB384" s="33">
        <v>914658.51870000002</v>
      </c>
      <c r="AC384" s="33">
        <v>630547.44129999995</v>
      </c>
      <c r="AD384" s="33">
        <v>1080420.5160000001</v>
      </c>
      <c r="AE384" s="33">
        <v>2808890.2499000002</v>
      </c>
      <c r="AF384" s="34">
        <v>863.14</v>
      </c>
      <c r="AH384" s="28">
        <f t="shared" si="125"/>
        <v>0.10923951073785054</v>
      </c>
      <c r="AJ384" s="5">
        <f t="shared" si="126"/>
        <v>8543.2764931559395</v>
      </c>
      <c r="AK384" s="6">
        <f t="shared" si="127"/>
        <v>6641.6123577193039</v>
      </c>
      <c r="AM384" s="1">
        <f t="shared" si="120"/>
        <v>45387</v>
      </c>
      <c r="AN384">
        <f t="shared" si="121"/>
        <v>1.2863256741002658</v>
      </c>
      <c r="AO384">
        <f t="shared" ca="1" si="128"/>
        <v>1.1222402357977381</v>
      </c>
      <c r="AP384">
        <f t="shared" ca="1" si="129"/>
        <v>1.1480090750026324</v>
      </c>
      <c r="AQ384">
        <f t="shared" ca="1" si="130"/>
        <v>1.2054510865560952</v>
      </c>
      <c r="AR384">
        <f t="shared" ca="1" si="131"/>
        <v>1.2937363572214475</v>
      </c>
      <c r="AS384">
        <f t="shared" ca="1" si="132"/>
        <v>1.333186521937699</v>
      </c>
    </row>
    <row r="385" spans="2:45" x14ac:dyDescent="0.25">
      <c r="B385" s="22">
        <v>45394</v>
      </c>
      <c r="C385">
        <v>923.82</v>
      </c>
      <c r="D385">
        <v>923.6</v>
      </c>
      <c r="E385">
        <v>963.70100000000002</v>
      </c>
      <c r="F385">
        <v>1745.1289999999999</v>
      </c>
      <c r="G385">
        <v>3353.0050000000001</v>
      </c>
      <c r="H385">
        <v>754.50599999999997</v>
      </c>
      <c r="I385" s="6">
        <v>1244524</v>
      </c>
      <c r="K385" s="23">
        <f t="shared" si="112"/>
        <v>-2.7052986444544236E-2</v>
      </c>
      <c r="L385" s="24">
        <f t="shared" si="113"/>
        <v>-8.468361329963825E-2</v>
      </c>
      <c r="M385" s="24">
        <f t="shared" si="114"/>
        <v>-7.4048202865576229E-2</v>
      </c>
      <c r="N385" s="24">
        <f t="shared" si="115"/>
        <v>-8.5197226334307707E-2</v>
      </c>
      <c r="O385" s="24">
        <f t="shared" si="116"/>
        <v>-6.3125623964948141E-2</v>
      </c>
      <c r="P385" s="24">
        <f t="shared" si="117"/>
        <v>-0.12585907268809238</v>
      </c>
      <c r="Q385" s="25">
        <f t="shared" si="118"/>
        <v>2.4830138400867563E-2</v>
      </c>
      <c r="S385" s="26">
        <f t="shared" si="122"/>
        <v>-7.6661120932851157E-2</v>
      </c>
      <c r="U385" s="5">
        <f t="shared" si="123"/>
        <v>11690.775258417794</v>
      </c>
      <c r="V385" s="6">
        <f t="shared" si="124"/>
        <v>6806.5245117663862</v>
      </c>
      <c r="X385" s="20">
        <f t="shared" si="119"/>
        <v>1.7175836564179032</v>
      </c>
      <c r="Z385" s="22">
        <v>45394</v>
      </c>
      <c r="AA385" s="33">
        <v>1613060.8319999999</v>
      </c>
      <c r="AB385" s="33">
        <v>837201.93039999995</v>
      </c>
      <c r="AC385" s="33">
        <v>583856.69279999996</v>
      </c>
      <c r="AD385" s="33">
        <v>988371.67579999997</v>
      </c>
      <c r="AE385" s="33">
        <v>2631577.3827</v>
      </c>
      <c r="AF385" s="34">
        <v>754.50599999999997</v>
      </c>
      <c r="AH385" s="28">
        <f t="shared" si="125"/>
        <v>-6.1814643752435554E-2</v>
      </c>
      <c r="AJ385" s="5">
        <f t="shared" si="126"/>
        <v>8015.1769002529491</v>
      </c>
      <c r="AK385" s="6">
        <f t="shared" si="127"/>
        <v>6806.5245117663862</v>
      </c>
      <c r="AM385" s="1">
        <f t="shared" si="120"/>
        <v>45394</v>
      </c>
      <c r="AN385">
        <f t="shared" si="121"/>
        <v>1.1775726196823613</v>
      </c>
      <c r="AO385">
        <f t="shared" ca="1" si="128"/>
        <v>1.1222402357977381</v>
      </c>
      <c r="AP385">
        <f t="shared" ca="1" si="129"/>
        <v>1.1480090750026324</v>
      </c>
      <c r="AQ385">
        <f t="shared" ca="1" si="130"/>
        <v>1.2128741956608167</v>
      </c>
      <c r="AR385">
        <f t="shared" ca="1" si="131"/>
        <v>1.2937363572214475</v>
      </c>
      <c r="AS385">
        <f t="shared" ca="1" si="132"/>
        <v>1.333186521937699</v>
      </c>
    </row>
    <row r="386" spans="2:45" x14ac:dyDescent="0.25">
      <c r="B386" s="22">
        <v>45401</v>
      </c>
      <c r="C386">
        <v>832.90099999999995</v>
      </c>
      <c r="D386">
        <v>870.1</v>
      </c>
      <c r="E386">
        <v>846.26599999999996</v>
      </c>
      <c r="F386">
        <v>1550.7950000000001</v>
      </c>
      <c r="G386">
        <v>3258.1480000000001</v>
      </c>
      <c r="H386">
        <v>703.38400000000001</v>
      </c>
      <c r="I386" s="6">
        <v>1189210</v>
      </c>
      <c r="K386" s="23">
        <f t="shared" si="112"/>
        <v>-9.8416358165010598E-2</v>
      </c>
      <c r="L386" s="24">
        <f t="shared" si="113"/>
        <v>-5.7925508878302279E-2</v>
      </c>
      <c r="M386" s="24">
        <f t="shared" si="114"/>
        <v>-0.12185833572861293</v>
      </c>
      <c r="N386" s="24">
        <f t="shared" si="115"/>
        <v>-0.11135795691894401</v>
      </c>
      <c r="O386" s="24">
        <f t="shared" si="116"/>
        <v>-2.8290145705121228E-2</v>
      </c>
      <c r="P386" s="24">
        <f t="shared" si="117"/>
        <v>-6.7755591075485122E-2</v>
      </c>
      <c r="Q386" s="25">
        <f t="shared" si="118"/>
        <v>-4.4445908636555065E-2</v>
      </c>
      <c r="S386" s="26">
        <f t="shared" si="122"/>
        <v>-8.0933982745246033E-2</v>
      </c>
      <c r="U386" s="5">
        <f t="shared" si="123"/>
        <v>10744.594255374459</v>
      </c>
      <c r="V386" s="6">
        <f t="shared" si="124"/>
        <v>6504.0023451839452</v>
      </c>
      <c r="X386" s="20">
        <f t="shared" si="119"/>
        <v>1.6519972910727145</v>
      </c>
      <c r="Z386" s="22">
        <v>45401</v>
      </c>
      <c r="AA386" s="33">
        <v>1454309.2001</v>
      </c>
      <c r="AB386" s="33">
        <v>788706.58250000002</v>
      </c>
      <c r="AC386" s="33">
        <v>512708.88559999998</v>
      </c>
      <c r="AD386" s="33">
        <v>878308.50410000002</v>
      </c>
      <c r="AE386" s="33">
        <v>2557129.3139999998</v>
      </c>
      <c r="AF386" s="34">
        <v>703.38400000000001</v>
      </c>
      <c r="AH386" s="28">
        <f t="shared" si="125"/>
        <v>-6.9567080001835216E-2</v>
      </c>
      <c r="AJ386" s="5">
        <f t="shared" si="126"/>
        <v>7457.5844476041902</v>
      </c>
      <c r="AK386" s="6">
        <f t="shared" si="127"/>
        <v>6504.0023451839452</v>
      </c>
      <c r="AM386" s="1">
        <f t="shared" si="120"/>
        <v>45401</v>
      </c>
      <c r="AN386">
        <f t="shared" si="121"/>
        <v>1.1466146615285817</v>
      </c>
      <c r="AO386">
        <f t="shared" ca="1" si="128"/>
        <v>1.1222402357977381</v>
      </c>
      <c r="AP386">
        <f t="shared" ca="1" si="129"/>
        <v>1.1480090750026324</v>
      </c>
      <c r="AQ386">
        <f t="shared" ca="1" si="130"/>
        <v>1.2054510865560952</v>
      </c>
      <c r="AR386">
        <f t="shared" ca="1" si="131"/>
        <v>1.2937363572214475</v>
      </c>
      <c r="AS386">
        <f t="shared" ca="1" si="132"/>
        <v>1.333186521937699</v>
      </c>
    </row>
    <row r="387" spans="2:45" x14ac:dyDescent="0.25">
      <c r="B387" s="22">
        <v>45408</v>
      </c>
      <c r="C387">
        <v>943.18200000000002</v>
      </c>
      <c r="D387">
        <v>904.4</v>
      </c>
      <c r="E387">
        <v>938.37900000000002</v>
      </c>
      <c r="F387">
        <v>1773.057</v>
      </c>
      <c r="G387">
        <v>3479.1779999999999</v>
      </c>
      <c r="H387">
        <v>680.56200000000001</v>
      </c>
      <c r="I387" s="6">
        <v>1279459</v>
      </c>
      <c r="K387" s="23">
        <f t="shared" si="112"/>
        <v>0.13240589217686138</v>
      </c>
      <c r="L387" s="24">
        <f t="shared" si="113"/>
        <v>3.9420756234915366E-2</v>
      </c>
      <c r="M387" s="24">
        <f t="shared" si="114"/>
        <v>0.10884639108743599</v>
      </c>
      <c r="N387" s="24">
        <f t="shared" si="115"/>
        <v>0.14332132873784098</v>
      </c>
      <c r="O387" s="24">
        <f t="shared" si="116"/>
        <v>6.7839152794777702E-2</v>
      </c>
      <c r="P387" s="24">
        <f t="shared" si="117"/>
        <v>-3.244600388976715E-2</v>
      </c>
      <c r="Q387" s="25">
        <f t="shared" si="118"/>
        <v>7.5889876472616358E-2</v>
      </c>
      <c r="S387" s="26">
        <f t="shared" si="122"/>
        <v>7.656458619034405E-2</v>
      </c>
      <c r="U387" s="5">
        <f t="shared" si="123"/>
        <v>11567.249668320354</v>
      </c>
      <c r="V387" s="6">
        <f t="shared" si="124"/>
        <v>6997.590279737562</v>
      </c>
      <c r="X387" s="20">
        <f t="shared" si="119"/>
        <v>1.6530332880184251</v>
      </c>
      <c r="Z387" s="22">
        <v>45408</v>
      </c>
      <c r="AA387" s="33">
        <v>1646869.7456</v>
      </c>
      <c r="AB387" s="33">
        <v>819797.99239999999</v>
      </c>
      <c r="AC387" s="33">
        <v>568515.44689999998</v>
      </c>
      <c r="AD387" s="33">
        <v>1004189.1376</v>
      </c>
      <c r="AE387" s="33">
        <v>2730603.0998</v>
      </c>
      <c r="AF387" s="34">
        <v>680.56200000000001</v>
      </c>
      <c r="AH387" s="28">
        <f t="shared" si="125"/>
        <v>9.3475544717452147E-2</v>
      </c>
      <c r="AJ387" s="5">
        <f t="shared" si="126"/>
        <v>8154.6862161203917</v>
      </c>
      <c r="AK387" s="6">
        <f t="shared" si="127"/>
        <v>6997.590279737562</v>
      </c>
      <c r="AM387" s="1">
        <f t="shared" si="120"/>
        <v>45408</v>
      </c>
      <c r="AN387">
        <f t="shared" si="121"/>
        <v>1.1653563427017657</v>
      </c>
      <c r="AO387">
        <f t="shared" ca="1" si="128"/>
        <v>1.1222402357977381</v>
      </c>
      <c r="AP387">
        <f t="shared" ca="1" si="129"/>
        <v>1.1465230307754555</v>
      </c>
      <c r="AQ387">
        <f t="shared" ca="1" si="130"/>
        <v>1.1964028378966793</v>
      </c>
      <c r="AR387">
        <f t="shared" ca="1" si="131"/>
        <v>1.2937363572214475</v>
      </c>
      <c r="AS387">
        <f t="shared" ca="1" si="132"/>
        <v>1.333186521937699</v>
      </c>
    </row>
    <row r="388" spans="2:45" x14ac:dyDescent="0.25">
      <c r="B388" s="22">
        <v>45415</v>
      </c>
      <c r="C388">
        <v>1052.7760000000001</v>
      </c>
      <c r="D388">
        <v>1039.75</v>
      </c>
      <c r="E388">
        <v>1080.0350000000001</v>
      </c>
      <c r="F388">
        <v>2072.1219999999998</v>
      </c>
      <c r="G388">
        <v>4113.7830000000004</v>
      </c>
      <c r="H388">
        <v>807.45399999999995</v>
      </c>
      <c r="I388" s="6">
        <v>1452001.81</v>
      </c>
      <c r="K388" s="23">
        <f t="shared" si="112"/>
        <v>0.11619602579353727</v>
      </c>
      <c r="L388" s="24">
        <f t="shared" si="113"/>
        <v>0.149657231313578</v>
      </c>
      <c r="M388" s="24">
        <f t="shared" si="114"/>
        <v>0.15095819492976714</v>
      </c>
      <c r="N388" s="24">
        <f t="shared" si="115"/>
        <v>0.16867196034870835</v>
      </c>
      <c r="O388" s="24">
        <f t="shared" si="116"/>
        <v>0.18240084295773329</v>
      </c>
      <c r="P388" s="24">
        <f t="shared" si="117"/>
        <v>0.18645178543615404</v>
      </c>
      <c r="Q388" s="25">
        <f t="shared" si="118"/>
        <v>0.13485606807252126</v>
      </c>
      <c r="S388" s="26">
        <f t="shared" si="122"/>
        <v>0.15905600679657969</v>
      </c>
      <c r="U388" s="5">
        <f t="shared" si="123"/>
        <v>13407.090210182449</v>
      </c>
      <c r="V388" s="6">
        <f t="shared" si="124"/>
        <v>7941.2577908454641</v>
      </c>
      <c r="X388" s="20">
        <f t="shared" si="119"/>
        <v>1.6882829601172118</v>
      </c>
      <c r="Z388" s="22">
        <v>45415</v>
      </c>
      <c r="AA388" s="33">
        <v>1838228.1964</v>
      </c>
      <c r="AB388" s="33">
        <v>942486.69019999995</v>
      </c>
      <c r="AC388" s="33">
        <v>654337.48930000002</v>
      </c>
      <c r="AD388" s="33">
        <v>1173567.7911</v>
      </c>
      <c r="AE388" s="33">
        <v>3228667.4539000001</v>
      </c>
      <c r="AF388" s="34">
        <v>807.45399999999995</v>
      </c>
      <c r="AH388" s="28">
        <f t="shared" si="125"/>
        <v>0.15765684077475861</v>
      </c>
      <c r="AJ388" s="5">
        <f t="shared" si="126"/>
        <v>9440.3282824634025</v>
      </c>
      <c r="AK388" s="6">
        <f t="shared" si="127"/>
        <v>7941.2577908454641</v>
      </c>
      <c r="AM388" s="1">
        <f t="shared" si="120"/>
        <v>45415</v>
      </c>
      <c r="AN388">
        <f t="shared" si="121"/>
        <v>1.1887699066193316</v>
      </c>
      <c r="AO388">
        <f t="shared" ca="1" si="128"/>
        <v>1.1222402357977381</v>
      </c>
      <c r="AP388">
        <f t="shared" ca="1" si="129"/>
        <v>1.1465230307754555</v>
      </c>
      <c r="AQ388">
        <f t="shared" ca="1" si="130"/>
        <v>1.1895626763329648</v>
      </c>
      <c r="AR388">
        <f t="shared" ca="1" si="131"/>
        <v>1.2937363572214475</v>
      </c>
      <c r="AS388">
        <f t="shared" ca="1" si="132"/>
        <v>1.333186521937699</v>
      </c>
    </row>
    <row r="389" spans="2:45" x14ac:dyDescent="0.25">
      <c r="B389" s="22">
        <v>45422</v>
      </c>
      <c r="C389">
        <v>959.92</v>
      </c>
      <c r="D389">
        <v>1088.7</v>
      </c>
      <c r="E389">
        <v>1015.813</v>
      </c>
      <c r="F389">
        <v>1898.346</v>
      </c>
      <c r="G389">
        <v>3848.297</v>
      </c>
      <c r="H389">
        <v>978.62099999999998</v>
      </c>
      <c r="I389" s="6">
        <v>1407510.54</v>
      </c>
      <c r="K389" s="23">
        <f t="shared" si="112"/>
        <v>-8.8201098809243428E-2</v>
      </c>
      <c r="L389" s="24">
        <f t="shared" si="113"/>
        <v>4.7078624669391722E-2</v>
      </c>
      <c r="M389" s="24">
        <f t="shared" si="114"/>
        <v>-5.9462887776785101E-2</v>
      </c>
      <c r="N389" s="24">
        <f t="shared" si="115"/>
        <v>-8.3863787942987877E-2</v>
      </c>
      <c r="O389" s="24">
        <f t="shared" si="116"/>
        <v>-6.4535732682059366E-2</v>
      </c>
      <c r="P389" s="24">
        <f t="shared" si="117"/>
        <v>0.21198359287340218</v>
      </c>
      <c r="Q389" s="25">
        <f t="shared" si="118"/>
        <v>-3.0641332327264847E-2</v>
      </c>
      <c r="S389" s="26">
        <f t="shared" si="122"/>
        <v>-6.1668816113803109E-3</v>
      </c>
      <c r="U389" s="5">
        <f t="shared" si="123"/>
        <v>13324.410272103158</v>
      </c>
      <c r="V389" s="6">
        <f t="shared" si="124"/>
        <v>7697.9270717796871</v>
      </c>
      <c r="X389" s="20">
        <f t="shared" si="119"/>
        <v>1.7309088729808766</v>
      </c>
      <c r="Z389" s="22">
        <v>45422</v>
      </c>
      <c r="AA389" s="33">
        <v>1676095.6731</v>
      </c>
      <c r="AB389" s="33">
        <v>986857.66740000003</v>
      </c>
      <c r="AC389" s="33">
        <v>615428.53229999996</v>
      </c>
      <c r="AD389" s="33">
        <v>1075148.0286999999</v>
      </c>
      <c r="AE389" s="33">
        <v>3020303.193</v>
      </c>
      <c r="AF389" s="34">
        <v>978.62099999999998</v>
      </c>
      <c r="AH389" s="28">
        <f t="shared" si="125"/>
        <v>-5.9106792530808548E-2</v>
      </c>
      <c r="AJ389" s="5">
        <f t="shared" si="126"/>
        <v>8882.3407572491142</v>
      </c>
      <c r="AK389" s="6">
        <f t="shared" si="127"/>
        <v>7697.9270717796871</v>
      </c>
      <c r="AM389" s="1">
        <f t="shared" si="120"/>
        <v>45422</v>
      </c>
      <c r="AN389">
        <f t="shared" si="121"/>
        <v>1.1538613803982949</v>
      </c>
      <c r="AO389">
        <f t="shared" ca="1" si="128"/>
        <v>1.1222402357977381</v>
      </c>
      <c r="AP389">
        <f t="shared" ca="1" si="129"/>
        <v>1.1465230307754555</v>
      </c>
      <c r="AQ389">
        <f t="shared" ca="1" si="130"/>
        <v>1.1885409199135553</v>
      </c>
      <c r="AR389">
        <f t="shared" ca="1" si="131"/>
        <v>1.2924685501794135</v>
      </c>
      <c r="AS389">
        <f t="shared" ca="1" si="132"/>
        <v>1.333186521937699</v>
      </c>
    </row>
    <row r="390" spans="2:45" x14ac:dyDescent="0.25">
      <c r="B390" s="22">
        <v>45429</v>
      </c>
      <c r="C390">
        <v>995.03200000000004</v>
      </c>
      <c r="D390">
        <v>1044.3499999999999</v>
      </c>
      <c r="E390">
        <v>1120.037</v>
      </c>
      <c r="F390">
        <v>2110.136</v>
      </c>
      <c r="G390">
        <v>4016.384</v>
      </c>
      <c r="H390">
        <v>1037.9590000000001</v>
      </c>
      <c r="I390" s="6">
        <v>1473463.27</v>
      </c>
      <c r="K390" s="23">
        <f t="shared" ref="K390:K453" si="133">+C390/C389-1</f>
        <v>3.6578048170680999E-2</v>
      </c>
      <c r="L390" s="24">
        <f t="shared" ref="L390:L453" si="134">+D390/D389-1</f>
        <v>-4.0736658399926684E-2</v>
      </c>
      <c r="M390" s="24">
        <f t="shared" ref="M390:M453" si="135">+E390/E389-1</f>
        <v>0.10260156150787592</v>
      </c>
      <c r="N390" s="24">
        <f t="shared" ref="N390:N453" si="136">+F390/F389-1</f>
        <v>0.11156554179269751</v>
      </c>
      <c r="O390" s="24">
        <f t="shared" ref="O390:O453" si="137">+G390/G389-1</f>
        <v>4.3678281587933521E-2</v>
      </c>
      <c r="P390" s="24">
        <f t="shared" ref="P390:P453" si="138">+H390/H389-1</f>
        <v>6.0634300714985656E-2</v>
      </c>
      <c r="Q390" s="25">
        <f t="shared" ref="Q390:Q453" si="139">+I390/I389-1</f>
        <v>4.6857716603670996E-2</v>
      </c>
      <c r="S390" s="26">
        <f t="shared" si="122"/>
        <v>5.2386845895707822E-2</v>
      </c>
      <c r="U390" s="5">
        <f t="shared" si="123"/>
        <v>14022.434099679011</v>
      </c>
      <c r="V390" s="6">
        <f t="shared" si="124"/>
        <v>8058.6343569448663</v>
      </c>
      <c r="X390" s="20">
        <f t="shared" si="119"/>
        <v>1.7400509166413032</v>
      </c>
      <c r="Z390" s="22">
        <v>45429</v>
      </c>
      <c r="AA390" s="33">
        <v>1737402.503</v>
      </c>
      <c r="AB390" s="33">
        <v>946656.38370000001</v>
      </c>
      <c r="AC390" s="33">
        <v>678572.21120000002</v>
      </c>
      <c r="AD390" s="33">
        <v>1195097.1140999999</v>
      </c>
      <c r="AE390" s="33">
        <v>3152224.5684000002</v>
      </c>
      <c r="AF390" s="34">
        <v>1037.9590000000001</v>
      </c>
      <c r="AH390" s="28">
        <f t="shared" si="125"/>
        <v>4.5585084695934107E-2</v>
      </c>
      <c r="AJ390" s="5">
        <f t="shared" si="126"/>
        <v>9287.2430129664626</v>
      </c>
      <c r="AK390" s="6">
        <f t="shared" si="127"/>
        <v>8058.6343569448663</v>
      </c>
      <c r="AM390" s="1">
        <f t="shared" si="120"/>
        <v>45429</v>
      </c>
      <c r="AN390">
        <f t="shared" si="121"/>
        <v>1.1524586675114241</v>
      </c>
      <c r="AO390">
        <f t="shared" ca="1" si="128"/>
        <v>1.1222402357977381</v>
      </c>
      <c r="AP390">
        <f t="shared" ca="1" si="129"/>
        <v>1.1465230307754555</v>
      </c>
      <c r="AQ390">
        <f t="shared" ca="1" si="130"/>
        <v>1.1845651240856314</v>
      </c>
      <c r="AR390">
        <f t="shared" ca="1" si="131"/>
        <v>1.2714588464868233</v>
      </c>
      <c r="AS390">
        <f t="shared" ca="1" si="132"/>
        <v>1.3329294724820262</v>
      </c>
    </row>
    <row r="391" spans="2:45" x14ac:dyDescent="0.25">
      <c r="B391" s="22">
        <v>45436</v>
      </c>
      <c r="C391">
        <v>1013.663</v>
      </c>
      <c r="D391">
        <v>996.45</v>
      </c>
      <c r="E391">
        <v>1175.0840000000001</v>
      </c>
      <c r="F391">
        <v>2095.0079999999998</v>
      </c>
      <c r="G391">
        <v>4269.7370000000001</v>
      </c>
      <c r="H391">
        <v>979.53399999999999</v>
      </c>
      <c r="I391" s="6">
        <v>1520808.84</v>
      </c>
      <c r="K391" s="23">
        <f t="shared" si="133"/>
        <v>1.872402093601E-2</v>
      </c>
      <c r="L391" s="24">
        <f t="shared" si="134"/>
        <v>-4.5865849571503636E-2</v>
      </c>
      <c r="M391" s="24">
        <f t="shared" si="135"/>
        <v>4.9147483520633806E-2</v>
      </c>
      <c r="N391" s="24">
        <f t="shared" si="136"/>
        <v>-7.1692061554327058E-3</v>
      </c>
      <c r="O391" s="24">
        <f t="shared" si="137"/>
        <v>6.307987483268529E-2</v>
      </c>
      <c r="P391" s="24">
        <f t="shared" si="138"/>
        <v>-5.628835050324732E-2</v>
      </c>
      <c r="Q391" s="25">
        <f t="shared" si="139"/>
        <v>3.2132168452356558E-2</v>
      </c>
      <c r="S391" s="26">
        <f t="shared" si="122"/>
        <v>3.604662176524239E-3</v>
      </c>
      <c r="U391" s="5">
        <f t="shared" si="123"/>
        <v>14072.980237500928</v>
      </c>
      <c r="V391" s="6">
        <f t="shared" si="124"/>
        <v>8317.5757535981666</v>
      </c>
      <c r="X391" s="20">
        <f t="shared" ref="X391:X454" si="140">+(U391/$U$6)/(V391/$V$6)</f>
        <v>1.6919569661163574</v>
      </c>
      <c r="Z391" s="22">
        <v>45436</v>
      </c>
      <c r="AA391" s="33">
        <v>1769934.1910000001</v>
      </c>
      <c r="AB391" s="33">
        <v>903237.18440000003</v>
      </c>
      <c r="AC391" s="33">
        <v>711922.74580000003</v>
      </c>
      <c r="AD391" s="33">
        <v>1186529.3223000001</v>
      </c>
      <c r="AE391" s="33">
        <v>3351066.4018999999</v>
      </c>
      <c r="AF391" s="34">
        <v>979.53399999999999</v>
      </c>
      <c r="AH391" s="28">
        <f t="shared" si="125"/>
        <v>2.7581110383522896E-2</v>
      </c>
      <c r="AJ391" s="5">
        <f t="shared" si="126"/>
        <v>9543.3954876656917</v>
      </c>
      <c r="AK391" s="6">
        <f t="shared" si="127"/>
        <v>8317.5757535981666</v>
      </c>
      <c r="AM391" s="1">
        <f t="shared" ref="AM391:AM454" si="141">+B391</f>
        <v>45436</v>
      </c>
      <c r="AN391">
        <f t="shared" ref="AN391:AN454" si="142">+(AJ391/$AJ$6)/(AK391/$AK$6)</f>
        <v>1.147377044752161</v>
      </c>
      <c r="AO391">
        <f t="shared" ca="1" si="128"/>
        <v>1.1222402357977381</v>
      </c>
      <c r="AP391">
        <f t="shared" ca="1" si="129"/>
        <v>1.1465230307754555</v>
      </c>
      <c r="AQ391">
        <f t="shared" ca="1" si="130"/>
        <v>1.1791954673229226</v>
      </c>
      <c r="AR391">
        <f t="shared" ca="1" si="131"/>
        <v>1.2575373104245779</v>
      </c>
      <c r="AS391">
        <f t="shared" ca="1" si="132"/>
        <v>1.3329294724820262</v>
      </c>
    </row>
    <row r="392" spans="2:45" x14ac:dyDescent="0.25">
      <c r="B392" s="22">
        <v>45443</v>
      </c>
      <c r="C392">
        <v>1070.546</v>
      </c>
      <c r="D392">
        <v>1110</v>
      </c>
      <c r="E392">
        <v>1225.3610000000001</v>
      </c>
      <c r="F392">
        <v>2389.4180000000001</v>
      </c>
      <c r="G392">
        <v>4699.7129999999997</v>
      </c>
      <c r="H392">
        <v>1008.747</v>
      </c>
      <c r="I392" s="6">
        <v>1651417</v>
      </c>
      <c r="K392" s="23">
        <f t="shared" si="133"/>
        <v>5.6116283222333196E-2</v>
      </c>
      <c r="L392" s="24">
        <f t="shared" si="134"/>
        <v>0.11395453861207283</v>
      </c>
      <c r="M392" s="24">
        <f t="shared" si="135"/>
        <v>4.2785877435145059E-2</v>
      </c>
      <c r="N392" s="24">
        <f t="shared" si="136"/>
        <v>0.14052929630817657</v>
      </c>
      <c r="O392" s="24">
        <f t="shared" si="137"/>
        <v>0.10070315806336549</v>
      </c>
      <c r="P392" s="24">
        <f t="shared" si="138"/>
        <v>2.9823364987841217E-2</v>
      </c>
      <c r="Q392" s="25">
        <f t="shared" si="139"/>
        <v>8.5880721208853483E-2</v>
      </c>
      <c r="S392" s="26">
        <f t="shared" ref="S392:S455" si="143">+AVERAGE(K392:P392)</f>
        <v>8.0652086438155732E-2</v>
      </c>
      <c r="U392" s="5">
        <f t="shared" ref="U392:U455" si="144">+U391*(1+S392)</f>
        <v>15207.99545605831</v>
      </c>
      <c r="V392" s="6">
        <f t="shared" ref="V392:V455" si="145">+V391*(1+Q392)</f>
        <v>9031.8951580264493</v>
      </c>
      <c r="X392" s="20">
        <f t="shared" si="140"/>
        <v>1.6838100077527245</v>
      </c>
      <c r="Z392" s="22">
        <v>45443</v>
      </c>
      <c r="AA392" s="33">
        <v>1869257.2660000001</v>
      </c>
      <c r="AB392" s="33">
        <v>971605.95479999995</v>
      </c>
      <c r="AC392" s="33">
        <v>742382.90079999994</v>
      </c>
      <c r="AD392" s="33">
        <v>1353271.7320999999</v>
      </c>
      <c r="AE392" s="33">
        <v>3688529.1842</v>
      </c>
      <c r="AF392" s="34">
        <v>1008.747</v>
      </c>
      <c r="AH392" s="28">
        <f t="shared" ref="AH392:AH455" si="146">+SUMPRODUCT(K392:P392,AA391:AF391)/SUM(AA391:AF391)</f>
        <v>9.3005477926278224E-2</v>
      </c>
      <c r="AJ392" s="5">
        <f t="shared" ref="AJ392:AJ455" si="147">+AJ391*(1+AH392)</f>
        <v>10430.983546035528</v>
      </c>
      <c r="AK392" s="6">
        <f t="shared" ref="AK392:AK455" si="148">+AK391*(1+Q392)</f>
        <v>9031.8951580264493</v>
      </c>
      <c r="AM392" s="1">
        <f t="shared" si="141"/>
        <v>45443</v>
      </c>
      <c r="AN392">
        <f t="shared" si="142"/>
        <v>1.1549052954590309</v>
      </c>
      <c r="AO392">
        <f t="shared" ca="1" si="128"/>
        <v>1.1222402357977381</v>
      </c>
      <c r="AP392">
        <f t="shared" ca="1" si="129"/>
        <v>1.1465230307754555</v>
      </c>
      <c r="AQ392">
        <f t="shared" ca="1" si="130"/>
        <v>1.1758652042260924</v>
      </c>
      <c r="AR392">
        <f t="shared" ca="1" si="131"/>
        <v>1.2538273040152448</v>
      </c>
      <c r="AS392">
        <f t="shared" ca="1" si="132"/>
        <v>1.3329294724820262</v>
      </c>
    </row>
    <row r="393" spans="2:45" x14ac:dyDescent="0.25">
      <c r="B393" s="22">
        <v>45450</v>
      </c>
      <c r="C393">
        <v>989.56700000000001</v>
      </c>
      <c r="D393">
        <v>1069.05</v>
      </c>
      <c r="E393">
        <v>1162.9739999999999</v>
      </c>
      <c r="F393">
        <v>2162.1129999999998</v>
      </c>
      <c r="G393">
        <v>4281.0540000000001</v>
      </c>
      <c r="H393">
        <v>914.26199999999994</v>
      </c>
      <c r="I393" s="6">
        <v>1519209</v>
      </c>
      <c r="K393" s="23">
        <f t="shared" si="133"/>
        <v>-7.5642709421173904E-2</v>
      </c>
      <c r="L393" s="24">
        <f t="shared" si="134"/>
        <v>-3.6891891891891904E-2</v>
      </c>
      <c r="M393" s="24">
        <f t="shared" si="135"/>
        <v>-5.0913159468923941E-2</v>
      </c>
      <c r="N393" s="24">
        <f t="shared" si="136"/>
        <v>-9.5129860074712913E-2</v>
      </c>
      <c r="O393" s="24">
        <f t="shared" si="137"/>
        <v>-8.9081822655979082E-2</v>
      </c>
      <c r="P393" s="24">
        <f t="shared" si="138"/>
        <v>-9.3665706069014365E-2</v>
      </c>
      <c r="Q393" s="25">
        <f t="shared" si="139"/>
        <v>-8.0057308360032664E-2</v>
      </c>
      <c r="S393" s="26">
        <f t="shared" si="143"/>
        <v>-7.3554191596949356E-2</v>
      </c>
      <c r="U393" s="5">
        <f t="shared" si="144"/>
        <v>14089.383644477863</v>
      </c>
      <c r="V393" s="6">
        <f t="shared" si="145"/>
        <v>8308.8259422848405</v>
      </c>
      <c r="X393" s="20">
        <f t="shared" si="140"/>
        <v>1.6957129373447228</v>
      </c>
      <c r="Z393" s="22">
        <v>45450</v>
      </c>
      <c r="AA393" s="33">
        <v>1727860.8762999999</v>
      </c>
      <c r="AB393" s="33">
        <v>935761.57299999997</v>
      </c>
      <c r="AC393" s="33">
        <v>704585.62820000004</v>
      </c>
      <c r="AD393" s="33">
        <v>1224535.1680000001</v>
      </c>
      <c r="AE393" s="33">
        <v>3359948.9824000001</v>
      </c>
      <c r="AF393" s="34">
        <v>914.26199999999994</v>
      </c>
      <c r="AH393" s="28">
        <f t="shared" si="146"/>
        <v>-7.7955566251966826E-2</v>
      </c>
      <c r="AJ393" s="5">
        <f t="shared" si="147"/>
        <v>9617.83031713938</v>
      </c>
      <c r="AK393" s="6">
        <f t="shared" si="148"/>
        <v>8308.8259422848405</v>
      </c>
      <c r="AM393" s="1">
        <f t="shared" si="141"/>
        <v>45450</v>
      </c>
      <c r="AN393">
        <f t="shared" si="142"/>
        <v>1.1575438436124679</v>
      </c>
      <c r="AO393">
        <f t="shared" ca="1" si="128"/>
        <v>1.1222402357977381</v>
      </c>
      <c r="AP393">
        <f t="shared" ca="1" si="129"/>
        <v>1.1465230307754555</v>
      </c>
      <c r="AQ393">
        <f t="shared" ca="1" si="130"/>
        <v>1.1733237942770733</v>
      </c>
      <c r="AR393">
        <f t="shared" ca="1" si="131"/>
        <v>1.2409100656886232</v>
      </c>
      <c r="AS393">
        <f t="shared" ca="1" si="132"/>
        <v>1.3267419453843896</v>
      </c>
    </row>
    <row r="394" spans="2:45" x14ac:dyDescent="0.25">
      <c r="B394" s="22">
        <v>45457</v>
      </c>
      <c r="C394">
        <v>1045.0309999999999</v>
      </c>
      <c r="D394">
        <v>1094.3</v>
      </c>
      <c r="E394">
        <v>1232.701</v>
      </c>
      <c r="F394">
        <v>2337.4409999999998</v>
      </c>
      <c r="G394">
        <v>4640.7259999999997</v>
      </c>
      <c r="H394">
        <v>958.53800000000001</v>
      </c>
      <c r="I394" s="6">
        <v>1582372</v>
      </c>
      <c r="K394" s="23">
        <f t="shared" si="133"/>
        <v>5.6048756678426015E-2</v>
      </c>
      <c r="L394" s="24">
        <f t="shared" si="134"/>
        <v>2.3619101071044479E-2</v>
      </c>
      <c r="M394" s="24">
        <f t="shared" si="135"/>
        <v>5.9955768572642398E-2</v>
      </c>
      <c r="N394" s="24">
        <f t="shared" si="136"/>
        <v>8.1091043807608676E-2</v>
      </c>
      <c r="O394" s="24">
        <f t="shared" si="137"/>
        <v>8.4014824386704712E-2</v>
      </c>
      <c r="P394" s="24">
        <f t="shared" si="138"/>
        <v>4.8428131104650607E-2</v>
      </c>
      <c r="Q394" s="25">
        <f t="shared" si="139"/>
        <v>4.1576241320318674E-2</v>
      </c>
      <c r="S394" s="26">
        <f t="shared" si="143"/>
        <v>5.8859604270179479E-2</v>
      </c>
      <c r="U394" s="5">
        <f t="shared" si="144"/>
        <v>14918.679190202569</v>
      </c>
      <c r="V394" s="6">
        <f t="shared" si="145"/>
        <v>8654.2756947498001</v>
      </c>
      <c r="X394" s="20">
        <f t="shared" si="140"/>
        <v>1.7238506972054435</v>
      </c>
      <c r="Z394" s="22">
        <v>45457</v>
      </c>
      <c r="AA394" s="33">
        <v>1824704.6310000001</v>
      </c>
      <c r="AB394" s="33">
        <v>957863.42009999999</v>
      </c>
      <c r="AC394" s="33">
        <v>746829.63870000001</v>
      </c>
      <c r="AD394" s="33">
        <v>1323833.6782</v>
      </c>
      <c r="AE394" s="33">
        <v>3642234.3791</v>
      </c>
      <c r="AF394" s="34">
        <v>958.53800000000001</v>
      </c>
      <c r="AH394" s="28">
        <f t="shared" si="146"/>
        <v>6.8248147455011898E-2</v>
      </c>
      <c r="AJ394" s="5">
        <f t="shared" si="147"/>
        <v>10274.229418820792</v>
      </c>
      <c r="AK394" s="6">
        <f t="shared" si="148"/>
        <v>8654.2756947498001</v>
      </c>
      <c r="AM394" s="1">
        <f t="shared" si="141"/>
        <v>45457</v>
      </c>
      <c r="AN394">
        <f t="shared" si="142"/>
        <v>1.1871853614570833</v>
      </c>
      <c r="AO394">
        <f t="shared" ca="1" si="128"/>
        <v>1.1222402357977381</v>
      </c>
      <c r="AP394">
        <f t="shared" ca="1" si="129"/>
        <v>1.1465230307754555</v>
      </c>
      <c r="AQ394">
        <f t="shared" ca="1" si="130"/>
        <v>1.1689230712430443</v>
      </c>
      <c r="AR394">
        <f t="shared" ca="1" si="131"/>
        <v>1.2349917056628685</v>
      </c>
      <c r="AS394">
        <f t="shared" ca="1" si="132"/>
        <v>1.3267419453843896</v>
      </c>
    </row>
    <row r="395" spans="2:45" x14ac:dyDescent="0.25">
      <c r="B395" s="22">
        <v>45464</v>
      </c>
      <c r="C395">
        <v>1042.492</v>
      </c>
      <c r="D395">
        <v>1078.8</v>
      </c>
      <c r="E395">
        <v>1269.3989999999999</v>
      </c>
      <c r="F395">
        <v>2326.58</v>
      </c>
      <c r="G395">
        <v>4634.5879999999997</v>
      </c>
      <c r="H395">
        <v>951.69100000000003</v>
      </c>
      <c r="I395" s="6">
        <v>1576462</v>
      </c>
      <c r="K395" s="23">
        <f t="shared" si="133"/>
        <v>-2.4295929977197206E-3</v>
      </c>
      <c r="L395" s="24">
        <f t="shared" si="134"/>
        <v>-1.4164305949008527E-2</v>
      </c>
      <c r="M395" s="24">
        <f t="shared" si="135"/>
        <v>2.9770398498905948E-2</v>
      </c>
      <c r="N395" s="24">
        <f t="shared" si="136"/>
        <v>-4.6465343938092429E-3</v>
      </c>
      <c r="O395" s="24">
        <f t="shared" si="137"/>
        <v>-1.3226378803661287E-3</v>
      </c>
      <c r="P395" s="24">
        <f t="shared" si="138"/>
        <v>-7.1431701194945019E-3</v>
      </c>
      <c r="Q395" s="25">
        <f t="shared" si="139"/>
        <v>-3.7348992525145785E-3</v>
      </c>
      <c r="S395" s="26">
        <f t="shared" si="143"/>
        <v>1.0692859751304518E-5</v>
      </c>
      <c r="U395" s="5">
        <f t="shared" si="144"/>
        <v>14918.838713546826</v>
      </c>
      <c r="V395" s="6">
        <f t="shared" si="145"/>
        <v>8621.9528469264242</v>
      </c>
      <c r="X395" s="20">
        <f t="shared" si="140"/>
        <v>1.7303317448395847</v>
      </c>
      <c r="Z395" s="22">
        <v>45464</v>
      </c>
      <c r="AA395" s="33">
        <v>1820271.9066999999</v>
      </c>
      <c r="AB395" s="33">
        <v>944295.94960000005</v>
      </c>
      <c r="AC395" s="33">
        <v>769063.32849999995</v>
      </c>
      <c r="AD395" s="33">
        <v>1317682.4431</v>
      </c>
      <c r="AE395" s="33">
        <v>3637416.7083999999</v>
      </c>
      <c r="AF395" s="34">
        <v>951.69100000000003</v>
      </c>
      <c r="AH395" s="28">
        <f t="shared" si="146"/>
        <v>-7.9360291215504911E-4</v>
      </c>
      <c r="AJ395" s="5">
        <f t="shared" si="147"/>
        <v>10266.075760433867</v>
      </c>
      <c r="AK395" s="6">
        <f t="shared" si="148"/>
        <v>8621.9528469264242</v>
      </c>
      <c r="AM395" s="1">
        <f t="shared" si="141"/>
        <v>45464</v>
      </c>
      <c r="AN395">
        <f t="shared" si="142"/>
        <v>1.1906903160684232</v>
      </c>
      <c r="AO395">
        <f t="shared" ca="1" si="128"/>
        <v>1.1222402357977381</v>
      </c>
      <c r="AP395">
        <f t="shared" ca="1" si="129"/>
        <v>1.1465230307754555</v>
      </c>
      <c r="AQ395">
        <f t="shared" ca="1" si="130"/>
        <v>1.1689230712430443</v>
      </c>
      <c r="AR395">
        <f t="shared" ca="1" si="131"/>
        <v>1.2349917056628685</v>
      </c>
      <c r="AS395">
        <f t="shared" ca="1" si="132"/>
        <v>1.3267419453843896</v>
      </c>
    </row>
    <row r="396" spans="2:45" x14ac:dyDescent="0.25">
      <c r="B396" s="22">
        <v>45471</v>
      </c>
      <c r="C396">
        <v>1067.104</v>
      </c>
      <c r="D396">
        <v>1101.25</v>
      </c>
      <c r="E396">
        <v>1308.3</v>
      </c>
      <c r="F396">
        <v>2352.569</v>
      </c>
      <c r="G396">
        <v>4953.6409999999996</v>
      </c>
      <c r="H396">
        <v>981.81600000000003</v>
      </c>
      <c r="I396" s="6">
        <v>1611295</v>
      </c>
      <c r="K396" s="23">
        <f t="shared" si="133"/>
        <v>2.3608814264282296E-2</v>
      </c>
      <c r="L396" s="24">
        <f t="shared" si="134"/>
        <v>2.0810159436410958E-2</v>
      </c>
      <c r="M396" s="24">
        <f t="shared" si="135"/>
        <v>3.0645210843871951E-2</v>
      </c>
      <c r="N396" s="24">
        <f t="shared" si="136"/>
        <v>1.1170473398722569E-2</v>
      </c>
      <c r="O396" s="24">
        <f t="shared" si="137"/>
        <v>6.8841717969321037E-2</v>
      </c>
      <c r="P396" s="24">
        <f t="shared" si="138"/>
        <v>3.1654181872057263E-2</v>
      </c>
      <c r="Q396" s="25">
        <f t="shared" si="139"/>
        <v>2.2095680073481061E-2</v>
      </c>
      <c r="S396" s="26">
        <f t="shared" si="143"/>
        <v>3.1121759630777679E-2</v>
      </c>
      <c r="U396" s="5">
        <f t="shared" si="144"/>
        <v>15383.139225960169</v>
      </c>
      <c r="V396" s="6">
        <f t="shared" si="145"/>
        <v>8812.4607586407492</v>
      </c>
      <c r="X396" s="20">
        <f t="shared" si="140"/>
        <v>1.7456122242447176</v>
      </c>
      <c r="Z396" s="22">
        <v>45471</v>
      </c>
      <c r="AA396" s="33">
        <v>1863246.7923999999</v>
      </c>
      <c r="AB396" s="33">
        <v>963946.89890000003</v>
      </c>
      <c r="AC396" s="33">
        <v>792631.03960000002</v>
      </c>
      <c r="AD396" s="33">
        <v>1332401.47</v>
      </c>
      <c r="AE396" s="33">
        <v>3887822.6743000001</v>
      </c>
      <c r="AF396" s="34">
        <v>981.81600000000003</v>
      </c>
      <c r="AH396" s="28">
        <f t="shared" si="146"/>
        <v>4.138538925269955E-2</v>
      </c>
      <c r="AJ396" s="5">
        <f t="shared" si="147"/>
        <v>10690.941301877127</v>
      </c>
      <c r="AK396" s="6">
        <f t="shared" si="148"/>
        <v>8812.4607586407492</v>
      </c>
      <c r="AM396" s="1">
        <f t="shared" si="141"/>
        <v>45471</v>
      </c>
      <c r="AN396">
        <f t="shared" si="142"/>
        <v>1.2131618619004345</v>
      </c>
      <c r="AO396">
        <f t="shared" ca="1" si="128"/>
        <v>1.1222402357977381</v>
      </c>
      <c r="AP396">
        <f t="shared" ca="1" si="129"/>
        <v>1.1465230307754555</v>
      </c>
      <c r="AQ396">
        <f t="shared" ca="1" si="130"/>
        <v>1.1689230712430443</v>
      </c>
      <c r="AR396">
        <f t="shared" ca="1" si="131"/>
        <v>1.2349917056628685</v>
      </c>
      <c r="AS396">
        <f t="shared" ca="1" si="132"/>
        <v>1.3267419453843896</v>
      </c>
    </row>
    <row r="397" spans="2:45" x14ac:dyDescent="0.25">
      <c r="B397" s="22">
        <v>45478</v>
      </c>
      <c r="C397">
        <v>1078.0329999999999</v>
      </c>
      <c r="D397">
        <v>1085.1500000000001</v>
      </c>
      <c r="E397">
        <v>1364.4480000000001</v>
      </c>
      <c r="F397">
        <v>2368.86</v>
      </c>
      <c r="G397">
        <v>4827.3239999999996</v>
      </c>
      <c r="H397">
        <v>940.73599999999999</v>
      </c>
      <c r="I397" s="6">
        <v>1629030</v>
      </c>
      <c r="K397" s="23">
        <f t="shared" si="133"/>
        <v>1.0241738387261057E-2</v>
      </c>
      <c r="L397" s="24">
        <f t="shared" si="134"/>
        <v>-1.4619750283768385E-2</v>
      </c>
      <c r="M397" s="24">
        <f t="shared" si="135"/>
        <v>4.2916762210502224E-2</v>
      </c>
      <c r="N397" s="24">
        <f t="shared" si="136"/>
        <v>6.9247703255463922E-3</v>
      </c>
      <c r="O397" s="24">
        <f t="shared" si="137"/>
        <v>-2.5499829317465639E-2</v>
      </c>
      <c r="P397" s="24">
        <f t="shared" si="138"/>
        <v>-4.1840833720371284E-2</v>
      </c>
      <c r="Q397" s="25">
        <f t="shared" si="139"/>
        <v>1.1006674755398516E-2</v>
      </c>
      <c r="S397" s="26">
        <f t="shared" si="143"/>
        <v>-3.6461903997159393E-3</v>
      </c>
      <c r="U397" s="5">
        <f t="shared" si="144"/>
        <v>15327.049371396979</v>
      </c>
      <c r="V397" s="6">
        <f t="shared" si="145"/>
        <v>8909.4566480058202</v>
      </c>
      <c r="X397" s="20">
        <f t="shared" si="140"/>
        <v>1.7203124698774521</v>
      </c>
      <c r="Z397" s="22">
        <v>45478</v>
      </c>
      <c r="AA397" s="33">
        <v>1882330.0459</v>
      </c>
      <c r="AB397" s="33">
        <v>949854.23589999997</v>
      </c>
      <c r="AC397" s="33">
        <v>826648.58490000002</v>
      </c>
      <c r="AD397" s="33">
        <v>1341628.3226999999</v>
      </c>
      <c r="AE397" s="33">
        <v>3788684.0430000001</v>
      </c>
      <c r="AF397" s="34">
        <v>940.73599999999999</v>
      </c>
      <c r="AH397" s="28">
        <f t="shared" si="146"/>
        <v>-5.7624434449314111E-3</v>
      </c>
      <c r="AJ397" s="5">
        <f t="shared" si="147"/>
        <v>10629.335357251979</v>
      </c>
      <c r="AK397" s="6">
        <f t="shared" si="148"/>
        <v>8909.4566480058202</v>
      </c>
      <c r="AM397" s="1">
        <f t="shared" si="141"/>
        <v>45478</v>
      </c>
      <c r="AN397">
        <f t="shared" si="142"/>
        <v>1.1930396854931793</v>
      </c>
      <c r="AO397">
        <f t="shared" ca="1" si="128"/>
        <v>1.1222402357977381</v>
      </c>
      <c r="AP397">
        <f t="shared" ca="1" si="129"/>
        <v>1.1465230307754555</v>
      </c>
      <c r="AQ397">
        <f t="shared" ca="1" si="130"/>
        <v>1.1689230712430443</v>
      </c>
      <c r="AR397">
        <f t="shared" ca="1" si="131"/>
        <v>1.2349917056628685</v>
      </c>
      <c r="AS397">
        <f t="shared" ca="1" si="132"/>
        <v>1.3267419453843896</v>
      </c>
    </row>
    <row r="398" spans="2:45" x14ac:dyDescent="0.25">
      <c r="B398" s="22">
        <v>45485</v>
      </c>
      <c r="C398">
        <v>1140.252</v>
      </c>
      <c r="D398">
        <v>1210</v>
      </c>
      <c r="E398">
        <v>1390.8710000000001</v>
      </c>
      <c r="F398">
        <v>2664.8220000000001</v>
      </c>
      <c r="G398">
        <v>5169.6840000000002</v>
      </c>
      <c r="H398">
        <v>1049.827</v>
      </c>
      <c r="I398" s="6">
        <v>1715610</v>
      </c>
      <c r="K398" s="23">
        <f t="shared" si="133"/>
        <v>5.7715301850685519E-2</v>
      </c>
      <c r="L398" s="24">
        <f t="shared" si="134"/>
        <v>0.11505321844906224</v>
      </c>
      <c r="M398" s="24">
        <f t="shared" si="135"/>
        <v>1.936534041605098E-2</v>
      </c>
      <c r="N398" s="24">
        <f t="shared" si="136"/>
        <v>0.12493857805020125</v>
      </c>
      <c r="O398" s="24">
        <f t="shared" si="137"/>
        <v>7.0921280610126924E-2</v>
      </c>
      <c r="P398" s="24">
        <f t="shared" si="138"/>
        <v>0.11596345839853051</v>
      </c>
      <c r="Q398" s="25">
        <f t="shared" si="139"/>
        <v>5.3148192482643131E-2</v>
      </c>
      <c r="S398" s="26">
        <f t="shared" si="143"/>
        <v>8.3992862962442905E-2</v>
      </c>
      <c r="U398" s="5">
        <f t="shared" si="144"/>
        <v>16614.412128867323</v>
      </c>
      <c r="V398" s="6">
        <f t="shared" si="145"/>
        <v>9382.9781648497974</v>
      </c>
      <c r="X398" s="20">
        <f t="shared" si="140"/>
        <v>1.7706970896626069</v>
      </c>
      <c r="Z398" s="22">
        <v>45485</v>
      </c>
      <c r="AA398" s="33">
        <v>1990969.3548000001</v>
      </c>
      <c r="AB398" s="33">
        <v>1059138.0227999999</v>
      </c>
      <c r="AC398" s="33">
        <v>842656.84149999998</v>
      </c>
      <c r="AD398" s="33">
        <v>1509249.4805000001</v>
      </c>
      <c r="AE398" s="33">
        <v>4057382.1025999999</v>
      </c>
      <c r="AF398" s="34">
        <v>1049.827</v>
      </c>
      <c r="AH398" s="28">
        <f t="shared" si="146"/>
        <v>7.6263180747854195E-2</v>
      </c>
      <c r="AJ398" s="5">
        <f t="shared" si="147"/>
        <v>11439.962280831644</v>
      </c>
      <c r="AK398" s="6">
        <f t="shared" si="148"/>
        <v>9382.9781648497974</v>
      </c>
      <c r="AM398" s="1">
        <f t="shared" si="141"/>
        <v>45485</v>
      </c>
      <c r="AN398">
        <f t="shared" si="142"/>
        <v>1.2192250775652076</v>
      </c>
      <c r="AO398">
        <f t="shared" ca="1" si="128"/>
        <v>1.1222402357977381</v>
      </c>
      <c r="AP398">
        <f t="shared" ca="1" si="129"/>
        <v>1.1465230307754555</v>
      </c>
      <c r="AQ398">
        <f t="shared" ca="1" si="130"/>
        <v>1.1689230712430443</v>
      </c>
      <c r="AR398">
        <f t="shared" ca="1" si="131"/>
        <v>1.2305150244351473</v>
      </c>
      <c r="AS398">
        <f t="shared" ca="1" si="132"/>
        <v>1.3267419453843896</v>
      </c>
    </row>
    <row r="399" spans="2:45" x14ac:dyDescent="0.25">
      <c r="B399" s="22">
        <v>45492</v>
      </c>
      <c r="C399">
        <v>963.83600000000001</v>
      </c>
      <c r="D399">
        <v>1090</v>
      </c>
      <c r="E399">
        <v>1196.3699999999999</v>
      </c>
      <c r="F399">
        <v>2463.1179999999999</v>
      </c>
      <c r="G399">
        <v>4407.1790000000001</v>
      </c>
      <c r="H399">
        <v>880.94200000000001</v>
      </c>
      <c r="I399" s="6">
        <v>1569019</v>
      </c>
      <c r="K399" s="23">
        <f t="shared" si="133"/>
        <v>-0.15471667666445654</v>
      </c>
      <c r="L399" s="24">
        <f t="shared" si="134"/>
        <v>-9.9173553719008267E-2</v>
      </c>
      <c r="M399" s="24">
        <f t="shared" si="135"/>
        <v>-0.13984114989815744</v>
      </c>
      <c r="N399" s="24">
        <f t="shared" si="136"/>
        <v>-7.5691359497932709E-2</v>
      </c>
      <c r="O399" s="24">
        <f t="shared" si="137"/>
        <v>-0.14749547554550724</v>
      </c>
      <c r="P399" s="24">
        <f t="shared" si="138"/>
        <v>-0.16086936228540516</v>
      </c>
      <c r="Q399" s="25">
        <f t="shared" si="139"/>
        <v>-8.5445410087374163E-2</v>
      </c>
      <c r="S399" s="26">
        <f t="shared" si="143"/>
        <v>-0.1296312629350779</v>
      </c>
      <c r="U399" s="5">
        <f t="shared" si="144"/>
        <v>14460.664901678376</v>
      </c>
      <c r="V399" s="6">
        <f t="shared" si="145"/>
        <v>8581.2457477133285</v>
      </c>
      <c r="X399" s="20">
        <f t="shared" si="140"/>
        <v>1.6851475096761745</v>
      </c>
      <c r="Z399" s="22">
        <v>45492</v>
      </c>
      <c r="AA399" s="33">
        <v>1682932.5867000001</v>
      </c>
      <c r="AB399" s="33">
        <v>954099.54119999998</v>
      </c>
      <c r="AC399" s="33">
        <v>724818.28590000002</v>
      </c>
      <c r="AD399" s="33">
        <v>1395012.2563</v>
      </c>
      <c r="AE399" s="33">
        <v>3458937.0614999998</v>
      </c>
      <c r="AF399" s="34">
        <v>880.94200000000001</v>
      </c>
      <c r="AH399" s="28">
        <f t="shared" si="146"/>
        <v>-0.13146994619945079</v>
      </c>
      <c r="AJ399" s="5">
        <f t="shared" si="147"/>
        <v>9935.9510552469601</v>
      </c>
      <c r="AK399" s="6">
        <f t="shared" si="148"/>
        <v>8581.2457477133285</v>
      </c>
      <c r="AM399" s="1">
        <f t="shared" si="141"/>
        <v>45492</v>
      </c>
      <c r="AN399">
        <f t="shared" si="142"/>
        <v>1.1578681402865807</v>
      </c>
      <c r="AO399">
        <f t="shared" ca="1" si="128"/>
        <v>1.1222402357977381</v>
      </c>
      <c r="AP399">
        <f t="shared" ca="1" si="129"/>
        <v>1.1465230307754555</v>
      </c>
      <c r="AQ399">
        <f t="shared" ca="1" si="130"/>
        <v>1.1689230712430443</v>
      </c>
      <c r="AR399">
        <f t="shared" ca="1" si="131"/>
        <v>1.2305150244351473</v>
      </c>
      <c r="AS399">
        <f t="shared" ca="1" si="132"/>
        <v>1.3267419453843896</v>
      </c>
    </row>
    <row r="400" spans="2:45" x14ac:dyDescent="0.25">
      <c r="B400" s="22">
        <v>45499</v>
      </c>
      <c r="C400">
        <v>950.92700000000002</v>
      </c>
      <c r="D400">
        <v>1085</v>
      </c>
      <c r="E400">
        <v>1122.973</v>
      </c>
      <c r="F400">
        <v>2269.172</v>
      </c>
      <c r="G400">
        <v>4411.9750000000004</v>
      </c>
      <c r="H400">
        <v>840.774</v>
      </c>
      <c r="I400" s="6">
        <v>1542022</v>
      </c>
      <c r="K400" s="23">
        <f t="shared" si="133"/>
        <v>-1.3393357376151105E-2</v>
      </c>
      <c r="L400" s="24">
        <f t="shared" si="134"/>
        <v>-4.5871559633027248E-3</v>
      </c>
      <c r="M400" s="24">
        <f t="shared" si="135"/>
        <v>-6.1349749659386221E-2</v>
      </c>
      <c r="N400" s="24">
        <f t="shared" si="136"/>
        <v>-7.8740036003147162E-2</v>
      </c>
      <c r="O400" s="24">
        <f t="shared" si="137"/>
        <v>1.0882244628593885E-3</v>
      </c>
      <c r="P400" s="24">
        <f t="shared" si="138"/>
        <v>-4.5596645409118897E-2</v>
      </c>
      <c r="Q400" s="25">
        <f t="shared" si="139"/>
        <v>-1.7206292594289851E-2</v>
      </c>
      <c r="S400" s="26">
        <f t="shared" si="143"/>
        <v>-3.3763119991374456E-2</v>
      </c>
      <c r="U400" s="5">
        <f t="shared" si="144"/>
        <v>13972.427737447952</v>
      </c>
      <c r="V400" s="6">
        <f t="shared" si="145"/>
        <v>8433.5943225546671</v>
      </c>
      <c r="X400" s="20">
        <f t="shared" si="140"/>
        <v>1.6567583408749362</v>
      </c>
      <c r="Z400" s="22">
        <v>45499</v>
      </c>
      <c r="AA400" s="33">
        <v>1660393.311</v>
      </c>
      <c r="AB400" s="33">
        <v>949722.93779999996</v>
      </c>
      <c r="AC400" s="33">
        <v>680350.90639999998</v>
      </c>
      <c r="AD400" s="33">
        <v>1285168.7716000001</v>
      </c>
      <c r="AE400" s="33">
        <v>3462700.8668</v>
      </c>
      <c r="AF400" s="34">
        <v>840.774</v>
      </c>
      <c r="AH400" s="28">
        <f t="shared" si="146"/>
        <v>-2.1602826223069232E-2</v>
      </c>
      <c r="AJ400" s="5">
        <f t="shared" si="147"/>
        <v>9721.3064312395381</v>
      </c>
      <c r="AK400" s="6">
        <f t="shared" si="148"/>
        <v>8433.5943225546671</v>
      </c>
      <c r="AM400" s="1">
        <f t="shared" si="141"/>
        <v>45499</v>
      </c>
      <c r="AN400">
        <f t="shared" si="142"/>
        <v>1.1526884101172656</v>
      </c>
      <c r="AO400">
        <f t="shared" ca="1" si="128"/>
        <v>1.1222402357977381</v>
      </c>
      <c r="AP400">
        <f t="shared" ca="1" si="129"/>
        <v>1.1465230307754555</v>
      </c>
      <c r="AQ400">
        <f t="shared" ca="1" si="130"/>
        <v>1.1629247478080926</v>
      </c>
      <c r="AR400">
        <f t="shared" ca="1" si="131"/>
        <v>1.2305150244351473</v>
      </c>
      <c r="AS400">
        <f t="shared" ca="1" si="132"/>
        <v>1.3267419453843896</v>
      </c>
    </row>
    <row r="401" spans="2:45" x14ac:dyDescent="0.25">
      <c r="B401" s="22">
        <v>45506</v>
      </c>
      <c r="C401">
        <v>877.779</v>
      </c>
      <c r="D401">
        <v>1025</v>
      </c>
      <c r="E401">
        <v>1152.3309999999999</v>
      </c>
      <c r="F401">
        <v>2137.288</v>
      </c>
      <c r="G401">
        <v>4105.0550000000003</v>
      </c>
      <c r="H401">
        <v>827.08100000000002</v>
      </c>
      <c r="I401" s="6">
        <v>1433350</v>
      </c>
      <c r="K401" s="23">
        <f t="shared" si="133"/>
        <v>-7.6922834244899985E-2</v>
      </c>
      <c r="L401" s="24">
        <f t="shared" si="134"/>
        <v>-5.5299539170506895E-2</v>
      </c>
      <c r="M401" s="24">
        <f t="shared" si="135"/>
        <v>2.61431040639446E-2</v>
      </c>
      <c r="N401" s="24">
        <f t="shared" si="136"/>
        <v>-5.8119878087690147E-2</v>
      </c>
      <c r="O401" s="24">
        <f t="shared" si="137"/>
        <v>-6.956521739130439E-2</v>
      </c>
      <c r="P401" s="24">
        <f t="shared" si="138"/>
        <v>-1.6286183921006114E-2</v>
      </c>
      <c r="Q401" s="25">
        <f t="shared" si="139"/>
        <v>-7.0473702709818675E-2</v>
      </c>
      <c r="S401" s="26">
        <f t="shared" si="143"/>
        <v>-4.1675091458577153E-2</v>
      </c>
      <c r="U401" s="5">
        <f t="shared" si="144"/>
        <v>13390.125533591448</v>
      </c>
      <c r="V401" s="6">
        <f t="shared" si="145"/>
        <v>7839.2477034917347</v>
      </c>
      <c r="X401" s="20">
        <f t="shared" si="140"/>
        <v>1.7080880768223787</v>
      </c>
      <c r="Z401" s="22">
        <v>45506</v>
      </c>
      <c r="AA401" s="33">
        <v>1532670.7486</v>
      </c>
      <c r="AB401" s="33">
        <v>897203.69700000004</v>
      </c>
      <c r="AC401" s="33">
        <v>698137.85820000002</v>
      </c>
      <c r="AD401" s="33">
        <v>1210475.2019</v>
      </c>
      <c r="AE401" s="33">
        <v>3221817.3281999999</v>
      </c>
      <c r="AF401" s="34">
        <v>827.08100000000002</v>
      </c>
      <c r="AH401" s="28">
        <f t="shared" si="146"/>
        <v>-5.9464540441491083E-2</v>
      </c>
      <c r="AJ401" s="5">
        <f t="shared" si="147"/>
        <v>9143.2334118149665</v>
      </c>
      <c r="AK401" s="6">
        <f t="shared" si="148"/>
        <v>7839.2477034917347</v>
      </c>
      <c r="AM401" s="1">
        <f t="shared" si="141"/>
        <v>45506</v>
      </c>
      <c r="AN401">
        <f t="shared" si="142"/>
        <v>1.166340669110687</v>
      </c>
      <c r="AO401">
        <f t="shared" ca="1" si="128"/>
        <v>1.1222402357977381</v>
      </c>
      <c r="AP401">
        <f t="shared" ca="1" si="129"/>
        <v>1.1465230307754555</v>
      </c>
      <c r="AQ401">
        <f t="shared" ca="1" si="130"/>
        <v>1.1629247478080926</v>
      </c>
      <c r="AR401">
        <f t="shared" ca="1" si="131"/>
        <v>1.2305150244351473</v>
      </c>
      <c r="AS401">
        <f t="shared" ca="1" si="132"/>
        <v>1.3267419453843896</v>
      </c>
    </row>
    <row r="402" spans="2:45" x14ac:dyDescent="0.25">
      <c r="B402" s="22">
        <v>45513</v>
      </c>
      <c r="C402">
        <v>993.95600000000002</v>
      </c>
      <c r="D402">
        <v>1105</v>
      </c>
      <c r="E402">
        <v>1284.4459999999999</v>
      </c>
      <c r="F402">
        <v>2288.5659999999998</v>
      </c>
      <c r="G402">
        <v>4824.3990000000003</v>
      </c>
      <c r="H402">
        <v>836.21</v>
      </c>
      <c r="I402" s="6">
        <v>1583895</v>
      </c>
      <c r="K402" s="23">
        <f t="shared" si="133"/>
        <v>0.13235336001430897</v>
      </c>
      <c r="L402" s="24">
        <f t="shared" si="134"/>
        <v>7.8048780487804947E-2</v>
      </c>
      <c r="M402" s="24">
        <f t="shared" si="135"/>
        <v>0.11465021768918837</v>
      </c>
      <c r="N402" s="24">
        <f t="shared" si="136"/>
        <v>7.0780353419847897E-2</v>
      </c>
      <c r="O402" s="24">
        <f t="shared" si="137"/>
        <v>0.17523370576033703</v>
      </c>
      <c r="P402" s="24">
        <f t="shared" si="138"/>
        <v>1.1037613002837787E-2</v>
      </c>
      <c r="Q402" s="25">
        <f t="shared" si="139"/>
        <v>0.10503017406774351</v>
      </c>
      <c r="S402" s="26">
        <f t="shared" si="143"/>
        <v>9.701733839572084E-2</v>
      </c>
      <c r="U402" s="5">
        <f t="shared" si="144"/>
        <v>14689.199873645073</v>
      </c>
      <c r="V402" s="6">
        <f t="shared" si="145"/>
        <v>8662.6052543496298</v>
      </c>
      <c r="X402" s="20">
        <f t="shared" si="140"/>
        <v>1.695702325379469</v>
      </c>
      <c r="Z402" s="22">
        <v>45513</v>
      </c>
      <c r="AA402" s="33">
        <v>1735524.2301</v>
      </c>
      <c r="AB402" s="33">
        <v>967229.35140000004</v>
      </c>
      <c r="AC402" s="33">
        <v>778179.14119999995</v>
      </c>
      <c r="AD402" s="33">
        <v>1296153.1200000001</v>
      </c>
      <c r="AE402" s="33">
        <v>3786388.1217</v>
      </c>
      <c r="AF402" s="34">
        <v>836.21</v>
      </c>
      <c r="AH402" s="28">
        <f t="shared" si="146"/>
        <v>0.13267582523133575</v>
      </c>
      <c r="AJ402" s="5">
        <f t="shared" si="147"/>
        <v>10356.31945001024</v>
      </c>
      <c r="AK402" s="6">
        <f t="shared" si="148"/>
        <v>8662.6052543496298</v>
      </c>
      <c r="AM402" s="1">
        <f t="shared" si="141"/>
        <v>45513</v>
      </c>
      <c r="AN402">
        <f t="shared" si="142"/>
        <v>1.1955201865870744</v>
      </c>
      <c r="AO402">
        <f t="shared" ca="1" si="128"/>
        <v>1.1222402357977381</v>
      </c>
      <c r="AP402">
        <f t="shared" ca="1" si="129"/>
        <v>1.1465230307754555</v>
      </c>
      <c r="AQ402">
        <f t="shared" ca="1" si="130"/>
        <v>1.1658485059062262</v>
      </c>
      <c r="AR402">
        <f t="shared" ca="1" si="131"/>
        <v>1.2305150244351473</v>
      </c>
      <c r="AS402">
        <f t="shared" ca="1" si="132"/>
        <v>1.3267419453843896</v>
      </c>
    </row>
    <row r="403" spans="2:45" x14ac:dyDescent="0.25">
      <c r="B403" s="22">
        <v>45520</v>
      </c>
      <c r="C403">
        <v>1041.287</v>
      </c>
      <c r="D403">
        <v>1115</v>
      </c>
      <c r="E403">
        <v>1218.3889999999999</v>
      </c>
      <c r="F403">
        <v>2327.3560000000002</v>
      </c>
      <c r="G403">
        <v>4814.808</v>
      </c>
      <c r="H403">
        <v>935.71500000000003</v>
      </c>
      <c r="I403" s="6">
        <v>1649329</v>
      </c>
      <c r="K403" s="23">
        <f t="shared" si="133"/>
        <v>4.7618808076011376E-2</v>
      </c>
      <c r="L403" s="24">
        <f t="shared" si="134"/>
        <v>9.0497737556560764E-3</v>
      </c>
      <c r="M403" s="24">
        <f t="shared" si="135"/>
        <v>-5.14283979240856E-2</v>
      </c>
      <c r="N403" s="24">
        <f t="shared" si="136"/>
        <v>1.6949478407002561E-2</v>
      </c>
      <c r="O403" s="24">
        <f t="shared" si="137"/>
        <v>-1.988019647628736E-3</v>
      </c>
      <c r="P403" s="24">
        <f t="shared" si="138"/>
        <v>0.11899522847131694</v>
      </c>
      <c r="Q403" s="25">
        <f t="shared" si="139"/>
        <v>4.1312081924622435E-2</v>
      </c>
      <c r="S403" s="26">
        <f t="shared" si="143"/>
        <v>2.3199478523045436E-2</v>
      </c>
      <c r="U403" s="5">
        <f t="shared" si="144"/>
        <v>15029.981650634423</v>
      </c>
      <c r="V403" s="6">
        <f t="shared" si="145"/>
        <v>9020.4755122979859</v>
      </c>
      <c r="X403" s="20">
        <f t="shared" si="140"/>
        <v>1.6662072448557095</v>
      </c>
      <c r="Z403" s="22">
        <v>45520</v>
      </c>
      <c r="AA403" s="33">
        <v>1818168.2409999999</v>
      </c>
      <c r="AB403" s="33">
        <v>975982.55819999997</v>
      </c>
      <c r="AC403" s="33">
        <v>738158.49970000004</v>
      </c>
      <c r="AD403" s="33">
        <v>1318121.817</v>
      </c>
      <c r="AE403" s="33">
        <v>3778860.5112000001</v>
      </c>
      <c r="AF403" s="34">
        <v>935.71500000000003</v>
      </c>
      <c r="AH403" s="28">
        <f t="shared" si="146"/>
        <v>7.6967676896734852E-3</v>
      </c>
      <c r="AJ403" s="5">
        <f t="shared" si="147"/>
        <v>10436.029634937016</v>
      </c>
      <c r="AK403" s="6">
        <f t="shared" si="148"/>
        <v>9020.4755122979859</v>
      </c>
      <c r="AM403" s="1">
        <f t="shared" si="141"/>
        <v>45520</v>
      </c>
      <c r="AN403">
        <f t="shared" si="142"/>
        <v>1.1569267740607627</v>
      </c>
      <c r="AO403">
        <f t="shared" ca="1" si="128"/>
        <v>1.1222402357977381</v>
      </c>
      <c r="AP403">
        <f t="shared" ca="1" si="129"/>
        <v>1.1465230307754555</v>
      </c>
      <c r="AQ403">
        <f t="shared" ca="1" si="130"/>
        <v>1.1694152344475051</v>
      </c>
      <c r="AR403">
        <f t="shared" ca="1" si="131"/>
        <v>1.2305150244351473</v>
      </c>
      <c r="AS403">
        <f t="shared" ca="1" si="132"/>
        <v>1.3267419453843896</v>
      </c>
    </row>
    <row r="404" spans="2:45" x14ac:dyDescent="0.25">
      <c r="B404" s="22">
        <v>45527</v>
      </c>
      <c r="C404">
        <v>981.04700000000003</v>
      </c>
      <c r="D404">
        <v>1160</v>
      </c>
      <c r="E404">
        <v>1137.652</v>
      </c>
      <c r="F404">
        <v>2226.5030000000002</v>
      </c>
      <c r="G404">
        <v>4584.6180000000004</v>
      </c>
      <c r="H404">
        <v>931.15099999999995</v>
      </c>
      <c r="I404" s="6">
        <v>1606967</v>
      </c>
      <c r="K404" s="23">
        <f t="shared" si="133"/>
        <v>-5.7851485709511374E-2</v>
      </c>
      <c r="L404" s="24">
        <f t="shared" si="134"/>
        <v>4.0358744394618729E-2</v>
      </c>
      <c r="M404" s="24">
        <f t="shared" si="135"/>
        <v>-6.6265371732673106E-2</v>
      </c>
      <c r="N404" s="24">
        <f t="shared" si="136"/>
        <v>-4.3333722902727412E-2</v>
      </c>
      <c r="O404" s="24">
        <f t="shared" si="137"/>
        <v>-4.7808759975475623E-2</v>
      </c>
      <c r="P404" s="24">
        <f t="shared" si="138"/>
        <v>-4.8775535285852101E-3</v>
      </c>
      <c r="Q404" s="25">
        <f t="shared" si="139"/>
        <v>-2.5684384376919334E-2</v>
      </c>
      <c r="S404" s="26">
        <f t="shared" si="143"/>
        <v>-2.9963024909059E-2</v>
      </c>
      <c r="U404" s="5">
        <f t="shared" si="144"/>
        <v>14579.637936053765</v>
      </c>
      <c r="V404" s="6">
        <f t="shared" si="145"/>
        <v>8788.7901519775369</v>
      </c>
      <c r="X404" s="20">
        <f t="shared" si="140"/>
        <v>1.6588902094531464</v>
      </c>
      <c r="Z404" s="22">
        <v>45527</v>
      </c>
      <c r="AA404" s="33">
        <v>1712984.9543000001</v>
      </c>
      <c r="AB404" s="33">
        <v>1015371.9888000001</v>
      </c>
      <c r="AC404" s="33">
        <v>689244.38230000006</v>
      </c>
      <c r="AD404" s="33">
        <v>1261003.2049</v>
      </c>
      <c r="AE404" s="33">
        <v>3598197.8572</v>
      </c>
      <c r="AF404" s="34">
        <v>931.15099999999995</v>
      </c>
      <c r="AH404" s="28">
        <f t="shared" si="146"/>
        <v>-4.0844228263036741E-2</v>
      </c>
      <c r="AJ404" s="5">
        <f t="shared" si="147"/>
        <v>10009.778058367832</v>
      </c>
      <c r="AK404" s="6">
        <f t="shared" si="148"/>
        <v>8788.7901519775369</v>
      </c>
      <c r="AM404" s="1">
        <f t="shared" si="141"/>
        <v>45527</v>
      </c>
      <c r="AN404">
        <f t="shared" si="142"/>
        <v>1.1389255955912847</v>
      </c>
      <c r="AO404">
        <f t="shared" ca="1" si="128"/>
        <v>1.1222402357977381</v>
      </c>
      <c r="AP404">
        <f t="shared" ca="1" si="129"/>
        <v>1.1465230307754555</v>
      </c>
      <c r="AQ404">
        <f t="shared" ca="1" si="130"/>
        <v>1.1658485059062262</v>
      </c>
      <c r="AR404">
        <f t="shared" ca="1" si="131"/>
        <v>1.2305150244351473</v>
      </c>
      <c r="AS404">
        <f t="shared" ca="1" si="132"/>
        <v>1.3267419453843896</v>
      </c>
    </row>
    <row r="405" spans="2:45" x14ac:dyDescent="0.25">
      <c r="B405" s="22">
        <v>45534</v>
      </c>
      <c r="C405">
        <v>1024.076</v>
      </c>
      <c r="D405">
        <v>1260</v>
      </c>
      <c r="E405">
        <v>1273.4359999999999</v>
      </c>
      <c r="F405">
        <v>2338.9920000000002</v>
      </c>
      <c r="G405">
        <v>4790.8289999999997</v>
      </c>
      <c r="H405">
        <v>1022.44</v>
      </c>
      <c r="I405" s="6">
        <v>1717565</v>
      </c>
      <c r="K405" s="23">
        <f t="shared" si="133"/>
        <v>4.3860283961930424E-2</v>
      </c>
      <c r="L405" s="24">
        <f t="shared" si="134"/>
        <v>8.6206896551724199E-2</v>
      </c>
      <c r="M405" s="24">
        <f t="shared" si="135"/>
        <v>0.1193546005281052</v>
      </c>
      <c r="N405" s="24">
        <f t="shared" si="136"/>
        <v>5.0522725547641256E-2</v>
      </c>
      <c r="O405" s="24">
        <f t="shared" si="137"/>
        <v>4.4978883736878306E-2</v>
      </c>
      <c r="P405" s="24">
        <f t="shared" si="138"/>
        <v>9.8038878764024506E-2</v>
      </c>
      <c r="Q405" s="25">
        <f t="shared" si="139"/>
        <v>6.8824064215382119E-2</v>
      </c>
      <c r="S405" s="26">
        <f t="shared" si="143"/>
        <v>7.3827044848383983E-2</v>
      </c>
      <c r="U405" s="5">
        <f t="shared" si="144"/>
        <v>15656.009519832007</v>
      </c>
      <c r="V405" s="6">
        <f t="shared" si="145"/>
        <v>9393.6704097727561</v>
      </c>
      <c r="X405" s="20">
        <f t="shared" si="140"/>
        <v>1.6666551876829947</v>
      </c>
      <c r="Z405" s="22">
        <v>45534</v>
      </c>
      <c r="AA405" s="33">
        <v>1788115.8733999999</v>
      </c>
      <c r="AB405" s="33">
        <v>1102904.0567999999</v>
      </c>
      <c r="AC405" s="33">
        <v>771509.03430000006</v>
      </c>
      <c r="AD405" s="33">
        <v>1324712.4261</v>
      </c>
      <c r="AE405" s="33">
        <v>3760041.4846999999</v>
      </c>
      <c r="AF405" s="34">
        <v>1022.44</v>
      </c>
      <c r="AH405" s="28">
        <f t="shared" si="146"/>
        <v>5.6847939253210564E-2</v>
      </c>
      <c r="AJ405" s="5">
        <f t="shared" si="147"/>
        <v>10578.813313368048</v>
      </c>
      <c r="AK405" s="6">
        <f t="shared" si="148"/>
        <v>9393.6704097727561</v>
      </c>
      <c r="AM405" s="1">
        <f t="shared" si="141"/>
        <v>45534</v>
      </c>
      <c r="AN405">
        <f t="shared" si="142"/>
        <v>1.1261639861626742</v>
      </c>
      <c r="AO405">
        <f t="shared" ca="1" si="128"/>
        <v>1.1222402357977381</v>
      </c>
      <c r="AP405">
        <f t="shared" ca="1" si="129"/>
        <v>1.1447271310297831</v>
      </c>
      <c r="AQ405">
        <f t="shared" ca="1" si="130"/>
        <v>1.1629247478080926</v>
      </c>
      <c r="AR405">
        <f t="shared" ca="1" si="131"/>
        <v>1.2305150244351473</v>
      </c>
      <c r="AS405">
        <f t="shared" ca="1" si="132"/>
        <v>1.3267419453843896</v>
      </c>
    </row>
    <row r="406" spans="2:45" x14ac:dyDescent="0.25">
      <c r="B406" s="22">
        <v>45541</v>
      </c>
      <c r="C406">
        <v>1015.47</v>
      </c>
      <c r="D406">
        <v>1345</v>
      </c>
      <c r="E406">
        <v>1244.078</v>
      </c>
      <c r="F406">
        <v>2412.692</v>
      </c>
      <c r="G406">
        <v>4901.1289999999999</v>
      </c>
      <c r="H406">
        <v>1031.569</v>
      </c>
      <c r="I406" s="6">
        <v>1721668</v>
      </c>
      <c r="K406" s="23">
        <f t="shared" si="133"/>
        <v>-8.4036731648823304E-3</v>
      </c>
      <c r="L406" s="24">
        <f t="shared" si="134"/>
        <v>6.7460317460317443E-2</v>
      </c>
      <c r="M406" s="24">
        <f t="shared" si="135"/>
        <v>-2.3054162125147992E-2</v>
      </c>
      <c r="N406" s="24">
        <f t="shared" si="136"/>
        <v>3.1509299732534357E-2</v>
      </c>
      <c r="O406" s="24">
        <f t="shared" si="137"/>
        <v>2.3023155282728691E-2</v>
      </c>
      <c r="P406" s="24">
        <f t="shared" si="138"/>
        <v>8.9286412894642453E-3</v>
      </c>
      <c r="Q406" s="25">
        <f t="shared" si="139"/>
        <v>2.3888470014234997E-3</v>
      </c>
      <c r="S406" s="26">
        <f t="shared" si="143"/>
        <v>1.6577263079169069E-2</v>
      </c>
      <c r="U406" s="5">
        <f t="shared" si="144"/>
        <v>15915.543308412236</v>
      </c>
      <c r="V406" s="6">
        <f t="shared" si="145"/>
        <v>9416.1104511635021</v>
      </c>
      <c r="X406" s="20">
        <f t="shared" si="140"/>
        <v>1.6902460300309703</v>
      </c>
      <c r="Z406" s="22">
        <v>45541</v>
      </c>
      <c r="AA406" s="33">
        <v>1773089.6895999999</v>
      </c>
      <c r="AB406" s="33">
        <v>1177306.3145999999</v>
      </c>
      <c r="AC406" s="33">
        <v>753722.08250000002</v>
      </c>
      <c r="AD406" s="33">
        <v>1366452.9502999999</v>
      </c>
      <c r="AE406" s="33">
        <v>3846609.0063999998</v>
      </c>
      <c r="AF406" s="34">
        <v>1031.569</v>
      </c>
      <c r="AH406" s="28">
        <f t="shared" si="146"/>
        <v>1.9421696523238077E-2</v>
      </c>
      <c r="AJ406" s="5">
        <f t="shared" si="147"/>
        <v>10784.271815116274</v>
      </c>
      <c r="AK406" s="6">
        <f t="shared" si="148"/>
        <v>9416.1104511635021</v>
      </c>
      <c r="AM406" s="1">
        <f t="shared" si="141"/>
        <v>45541</v>
      </c>
      <c r="AN406">
        <f t="shared" si="142"/>
        <v>1.1453000547358398</v>
      </c>
      <c r="AO406">
        <f t="shared" ca="1" si="128"/>
        <v>1.1219646391781295</v>
      </c>
      <c r="AP406">
        <f t="shared" ca="1" si="129"/>
        <v>1.1444175027848786</v>
      </c>
      <c r="AQ406">
        <f t="shared" ca="1" si="130"/>
        <v>1.1629247478080926</v>
      </c>
      <c r="AR406">
        <f t="shared" ca="1" si="131"/>
        <v>1.2305150244351473</v>
      </c>
      <c r="AS406">
        <f t="shared" ca="1" si="132"/>
        <v>1.3267419453843896</v>
      </c>
    </row>
    <row r="407" spans="2:45" x14ac:dyDescent="0.25">
      <c r="B407" s="22">
        <v>45548</v>
      </c>
      <c r="C407">
        <v>1118.7380000000001</v>
      </c>
      <c r="D407">
        <v>1540</v>
      </c>
      <c r="E407">
        <v>1354.173</v>
      </c>
      <c r="F407">
        <v>2529.06</v>
      </c>
      <c r="G407">
        <v>5083.3630000000003</v>
      </c>
      <c r="H407">
        <v>1131.9870000000001</v>
      </c>
      <c r="I407" s="6">
        <v>1817734</v>
      </c>
      <c r="K407" s="23">
        <f t="shared" si="133"/>
        <v>0.10169478172668822</v>
      </c>
      <c r="L407" s="24">
        <f t="shared" si="134"/>
        <v>0.14498141263940512</v>
      </c>
      <c r="M407" s="24">
        <f t="shared" si="135"/>
        <v>8.8495255120659699E-2</v>
      </c>
      <c r="N407" s="24">
        <f t="shared" si="136"/>
        <v>4.8231601878731212E-2</v>
      </c>
      <c r="O407" s="24">
        <f t="shared" si="137"/>
        <v>3.7182045198157487E-2</v>
      </c>
      <c r="P407" s="24">
        <f t="shared" si="138"/>
        <v>9.7344918274977266E-2</v>
      </c>
      <c r="Q407" s="25">
        <f t="shared" si="139"/>
        <v>5.579821428986298E-2</v>
      </c>
      <c r="S407" s="26">
        <f t="shared" si="143"/>
        <v>8.6321669139769838E-2</v>
      </c>
      <c r="U407" s="5">
        <f t="shared" si="144"/>
        <v>17289.399572060676</v>
      </c>
      <c r="V407" s="6">
        <f t="shared" si="145"/>
        <v>9941.5125998945423</v>
      </c>
      <c r="X407" s="20">
        <f t="shared" si="140"/>
        <v>1.7391115686202598</v>
      </c>
      <c r="Z407" s="22">
        <v>45548</v>
      </c>
      <c r="AA407" s="33">
        <v>1953403.8953</v>
      </c>
      <c r="AB407" s="33">
        <v>1347993.8472</v>
      </c>
      <c r="AC407" s="33">
        <v>820423.15179999999</v>
      </c>
      <c r="AD407" s="33">
        <v>1432359.0411</v>
      </c>
      <c r="AE407" s="33">
        <v>3989633.6074000001</v>
      </c>
      <c r="AF407" s="34">
        <v>1131.9870000000001</v>
      </c>
      <c r="AH407" s="28">
        <f t="shared" si="146"/>
        <v>7.0275721120554982E-2</v>
      </c>
      <c r="AJ407" s="5">
        <f t="shared" si="147"/>
        <v>11542.144293683645</v>
      </c>
      <c r="AK407" s="6">
        <f t="shared" si="148"/>
        <v>9941.5125998945423</v>
      </c>
      <c r="AM407" s="1">
        <f t="shared" si="141"/>
        <v>45548</v>
      </c>
      <c r="AN407">
        <f t="shared" si="142"/>
        <v>1.1610048448569166</v>
      </c>
      <c r="AO407">
        <f t="shared" ca="1" si="128"/>
        <v>1.1219646391781295</v>
      </c>
      <c r="AP407">
        <f t="shared" ca="1" si="129"/>
        <v>1.1460111175710175</v>
      </c>
      <c r="AQ407">
        <f t="shared" ca="1" si="130"/>
        <v>1.1629247478080926</v>
      </c>
      <c r="AR407">
        <f t="shared" ca="1" si="131"/>
        <v>1.2305150244351473</v>
      </c>
      <c r="AS407">
        <f t="shared" ca="1" si="132"/>
        <v>1.3267419453843896</v>
      </c>
    </row>
    <row r="408" spans="2:45" x14ac:dyDescent="0.25">
      <c r="B408" s="22">
        <v>45555</v>
      </c>
      <c r="C408">
        <v>1071.4069999999999</v>
      </c>
      <c r="D408">
        <v>1495</v>
      </c>
      <c r="E408">
        <v>1288.116</v>
      </c>
      <c r="F408">
        <v>2482.5129999999999</v>
      </c>
      <c r="G408">
        <v>4824.3990000000003</v>
      </c>
      <c r="H408">
        <v>1068.085</v>
      </c>
      <c r="I408" s="6">
        <v>1822928</v>
      </c>
      <c r="K408" s="23">
        <f t="shared" si="133"/>
        <v>-4.2307492907186606E-2</v>
      </c>
      <c r="L408" s="24">
        <f t="shared" si="134"/>
        <v>-2.9220779220779258E-2</v>
      </c>
      <c r="M408" s="24">
        <f t="shared" si="135"/>
        <v>-4.8780325704322891E-2</v>
      </c>
      <c r="N408" s="24">
        <f t="shared" si="136"/>
        <v>-1.8404861885443657E-2</v>
      </c>
      <c r="O408" s="24">
        <f t="shared" si="137"/>
        <v>-5.0943440395659345E-2</v>
      </c>
      <c r="P408" s="24">
        <f t="shared" si="138"/>
        <v>-5.6451178326252904E-2</v>
      </c>
      <c r="Q408" s="25">
        <f t="shared" si="139"/>
        <v>2.8574037785507045E-3</v>
      </c>
      <c r="S408" s="26">
        <f t="shared" si="143"/>
        <v>-4.1018013073274108E-2</v>
      </c>
      <c r="U408" s="5">
        <f t="shared" si="144"/>
        <v>16580.222754384831</v>
      </c>
      <c r="V408" s="6">
        <f t="shared" si="145"/>
        <v>9969.9195155619909</v>
      </c>
      <c r="X408" s="20">
        <f t="shared" si="140"/>
        <v>1.663024734402806</v>
      </c>
      <c r="Z408" s="22">
        <v>45555</v>
      </c>
      <c r="AA408" s="33">
        <v>1870759.8843</v>
      </c>
      <c r="AB408" s="33">
        <v>1308604.4166000001</v>
      </c>
      <c r="AC408" s="33">
        <v>780402.51020000002</v>
      </c>
      <c r="AD408" s="33">
        <v>1405996.6048000001</v>
      </c>
      <c r="AE408" s="33">
        <v>3786388.1217</v>
      </c>
      <c r="AF408" s="34">
        <v>1068.085</v>
      </c>
      <c r="AH408" s="28">
        <f t="shared" si="146"/>
        <v>-4.1040097461359525E-2</v>
      </c>
      <c r="AJ408" s="5">
        <f t="shared" si="147"/>
        <v>11068.453566957793</v>
      </c>
      <c r="AK408" s="6">
        <f t="shared" si="148"/>
        <v>9969.9195155619909</v>
      </c>
      <c r="AM408" s="1">
        <f t="shared" si="141"/>
        <v>45555</v>
      </c>
      <c r="AN408">
        <f t="shared" si="142"/>
        <v>1.1101848464956119</v>
      </c>
      <c r="AO408">
        <f t="shared" ca="1" si="128"/>
        <v>1.1219646391781295</v>
      </c>
      <c r="AP408">
        <f t="shared" ca="1" si="129"/>
        <v>1.1465230307754555</v>
      </c>
      <c r="AQ408">
        <f t="shared" ca="1" si="130"/>
        <v>1.1631805937793411</v>
      </c>
      <c r="AR408">
        <f t="shared" ca="1" si="131"/>
        <v>1.2305150244351473</v>
      </c>
      <c r="AS408">
        <f t="shared" ca="1" si="132"/>
        <v>1.3267419453843896</v>
      </c>
    </row>
    <row r="409" spans="2:45" x14ac:dyDescent="0.25">
      <c r="B409" s="22">
        <v>45562</v>
      </c>
      <c r="C409">
        <v>1032.681</v>
      </c>
      <c r="D409">
        <v>1405</v>
      </c>
      <c r="E409">
        <v>1324.8140000000001</v>
      </c>
      <c r="F409">
        <v>2649.306</v>
      </c>
      <c r="G409">
        <v>4450.34</v>
      </c>
      <c r="H409">
        <v>1017.876</v>
      </c>
      <c r="I409" s="6">
        <v>1727777</v>
      </c>
      <c r="K409" s="23">
        <f t="shared" si="133"/>
        <v>-3.6144994385886919E-2</v>
      </c>
      <c r="L409" s="24">
        <f t="shared" si="134"/>
        <v>-6.020066889632103E-2</v>
      </c>
      <c r="M409" s="24">
        <f t="shared" si="135"/>
        <v>2.8489670184983495E-2</v>
      </c>
      <c r="N409" s="24">
        <f t="shared" si="136"/>
        <v>6.7187160752028241E-2</v>
      </c>
      <c r="O409" s="24">
        <f t="shared" si="137"/>
        <v>-7.7534839054564153E-2</v>
      </c>
      <c r="P409" s="24">
        <f t="shared" si="138"/>
        <v>-4.7008430976935411E-2</v>
      </c>
      <c r="Q409" s="25">
        <f t="shared" si="139"/>
        <v>-5.2196795485065839E-2</v>
      </c>
      <c r="S409" s="26">
        <f t="shared" si="143"/>
        <v>-2.0868683729449295E-2</v>
      </c>
      <c r="U409" s="5">
        <f t="shared" si="144"/>
        <v>16234.215329559756</v>
      </c>
      <c r="V409" s="6">
        <f t="shared" si="145"/>
        <v>9449.5216656056346</v>
      </c>
      <c r="X409" s="20">
        <f t="shared" si="140"/>
        <v>1.7179933444302318</v>
      </c>
      <c r="Z409" s="22">
        <v>45562</v>
      </c>
      <c r="AA409" s="33">
        <v>1803142.0571999999</v>
      </c>
      <c r="AB409" s="33">
        <v>1229825.5554</v>
      </c>
      <c r="AC409" s="33">
        <v>802636.2</v>
      </c>
      <c r="AD409" s="33">
        <v>1500462.0016999999</v>
      </c>
      <c r="AE409" s="33">
        <v>3492811.3091000002</v>
      </c>
      <c r="AF409" s="34">
        <v>1017.876</v>
      </c>
      <c r="AH409" s="28">
        <f t="shared" si="146"/>
        <v>-3.5323782519162621E-2</v>
      </c>
      <c r="AJ409" s="5">
        <f t="shared" si="147"/>
        <v>10677.473920335126</v>
      </c>
      <c r="AK409" s="6">
        <f t="shared" si="148"/>
        <v>9449.5216656056346</v>
      </c>
      <c r="AM409" s="1">
        <f t="shared" si="141"/>
        <v>45562</v>
      </c>
      <c r="AN409">
        <f t="shared" si="142"/>
        <v>1.1299486151980573</v>
      </c>
      <c r="AO409">
        <f t="shared" ca="1" si="128"/>
        <v>1.1219646391781295</v>
      </c>
      <c r="AP409">
        <f t="shared" ca="1" si="129"/>
        <v>1.1465230307754555</v>
      </c>
      <c r="AQ409">
        <f t="shared" ca="1" si="130"/>
        <v>1.1631805937793411</v>
      </c>
      <c r="AR409">
        <f t="shared" ca="1" si="131"/>
        <v>1.2305150244351473</v>
      </c>
      <c r="AS409">
        <f t="shared" ca="1" si="132"/>
        <v>1.3267419453843896</v>
      </c>
    </row>
    <row r="410" spans="2:45" x14ac:dyDescent="0.25">
      <c r="B410" s="22">
        <v>45569</v>
      </c>
      <c r="C410">
        <v>1049.893</v>
      </c>
      <c r="D410">
        <v>1375</v>
      </c>
      <c r="E410">
        <v>1394.5409999999999</v>
      </c>
      <c r="F410">
        <v>2572.4340000000002</v>
      </c>
      <c r="G410">
        <v>4622.9830000000002</v>
      </c>
      <c r="H410">
        <v>1040.6980000000001</v>
      </c>
      <c r="I410" s="6">
        <v>1756515</v>
      </c>
      <c r="K410" s="23">
        <f t="shared" si="133"/>
        <v>1.6667296096277484E-2</v>
      </c>
      <c r="L410" s="24">
        <f t="shared" si="134"/>
        <v>-2.1352313167259829E-2</v>
      </c>
      <c r="M410" s="24">
        <f t="shared" si="135"/>
        <v>5.2631539219845092E-2</v>
      </c>
      <c r="N410" s="24">
        <f t="shared" si="136"/>
        <v>-2.9015900767974667E-2</v>
      </c>
      <c r="O410" s="24">
        <f t="shared" si="137"/>
        <v>3.8793215799242331E-2</v>
      </c>
      <c r="P410" s="24">
        <f t="shared" si="138"/>
        <v>2.242119865288128E-2</v>
      </c>
      <c r="Q410" s="25">
        <f t="shared" si="139"/>
        <v>1.6632933532510163E-2</v>
      </c>
      <c r="S410" s="26">
        <f t="shared" si="143"/>
        <v>1.3357505972168615E-2</v>
      </c>
      <c r="U410" s="5">
        <f t="shared" si="144"/>
        <v>16451.063957777824</v>
      </c>
      <c r="V410" s="6">
        <f t="shared" si="145"/>
        <v>9606.6949313836685</v>
      </c>
      <c r="X410" s="20">
        <f t="shared" si="140"/>
        <v>1.7124582465957781</v>
      </c>
      <c r="Z410" s="22">
        <v>45569</v>
      </c>
      <c r="AA410" s="33">
        <v>1833194.4247999999</v>
      </c>
      <c r="AB410" s="33">
        <v>1203565.9350000001</v>
      </c>
      <c r="AC410" s="33">
        <v>844880.21050000004</v>
      </c>
      <c r="AD410" s="33">
        <v>1370846.6897</v>
      </c>
      <c r="AE410" s="33">
        <v>3628308.2996</v>
      </c>
      <c r="AF410" s="34">
        <v>1040.6980000000001</v>
      </c>
      <c r="AH410" s="28">
        <f t="shared" si="146"/>
        <v>1.5631081585053497E-2</v>
      </c>
      <c r="AJ410" s="5">
        <f t="shared" si="147"/>
        <v>10844.374386306166</v>
      </c>
      <c r="AK410" s="6">
        <f t="shared" si="148"/>
        <v>9606.6949313836685</v>
      </c>
      <c r="AM410" s="1">
        <f t="shared" si="141"/>
        <v>45569</v>
      </c>
      <c r="AN410">
        <f t="shared" si="142"/>
        <v>1.1288350950834485</v>
      </c>
      <c r="AO410">
        <f t="shared" ca="1" si="128"/>
        <v>1.1219646391781295</v>
      </c>
      <c r="AP410">
        <f t="shared" ca="1" si="129"/>
        <v>1.1465230307754555</v>
      </c>
      <c r="AQ410">
        <f t="shared" ca="1" si="130"/>
        <v>1.1631805937793411</v>
      </c>
      <c r="AR410">
        <f t="shared" ca="1" si="131"/>
        <v>1.2305150244351473</v>
      </c>
      <c r="AS410">
        <f t="shared" ca="1" si="132"/>
        <v>1.3267419453843896</v>
      </c>
    </row>
    <row r="411" spans="2:45" x14ac:dyDescent="0.25">
      <c r="B411" s="22">
        <v>45576</v>
      </c>
      <c r="C411">
        <v>1062.8009999999999</v>
      </c>
      <c r="D411">
        <v>1410</v>
      </c>
      <c r="E411">
        <v>1343.163</v>
      </c>
      <c r="F411">
        <v>2527.087</v>
      </c>
      <c r="G411">
        <v>4714.0990000000002</v>
      </c>
      <c r="H411">
        <v>1109.165</v>
      </c>
      <c r="I411" s="6">
        <v>1782989</v>
      </c>
      <c r="K411" s="23">
        <f t="shared" si="133"/>
        <v>1.2294586210213732E-2</v>
      </c>
      <c r="L411" s="24">
        <f t="shared" si="134"/>
        <v>2.5454545454545396E-2</v>
      </c>
      <c r="M411" s="24">
        <f t="shared" si="135"/>
        <v>-3.6842229808947802E-2</v>
      </c>
      <c r="N411" s="24">
        <f t="shared" si="136"/>
        <v>-1.76280518761609E-2</v>
      </c>
      <c r="O411" s="24">
        <f t="shared" si="137"/>
        <v>1.9709352165041549E-2</v>
      </c>
      <c r="P411" s="24">
        <f t="shared" si="138"/>
        <v>6.5789498970882931E-2</v>
      </c>
      <c r="Q411" s="25">
        <f t="shared" si="139"/>
        <v>1.5071889508486924E-2</v>
      </c>
      <c r="S411" s="26">
        <f t="shared" si="143"/>
        <v>1.1462950185929152E-2</v>
      </c>
      <c r="U411" s="5">
        <f t="shared" si="144"/>
        <v>16639.641684431364</v>
      </c>
      <c r="V411" s="6">
        <f t="shared" si="145"/>
        <v>9751.4859759312239</v>
      </c>
      <c r="X411" s="20">
        <f t="shared" si="140"/>
        <v>1.706369852297547</v>
      </c>
      <c r="Z411" s="22">
        <v>45576</v>
      </c>
      <c r="AA411" s="33">
        <v>1855733.7005</v>
      </c>
      <c r="AB411" s="33">
        <v>1234202.1588000001</v>
      </c>
      <c r="AC411" s="33">
        <v>813753.04480000003</v>
      </c>
      <c r="AD411" s="33">
        <v>1346681.1229999999</v>
      </c>
      <c r="AE411" s="33">
        <v>3699820.6000999999</v>
      </c>
      <c r="AF411" s="34">
        <v>1109.165</v>
      </c>
      <c r="AH411" s="28">
        <f t="shared" si="146"/>
        <v>7.8206841788983402E-3</v>
      </c>
      <c r="AJ411" s="5">
        <f t="shared" si="147"/>
        <v>10929.184813499201</v>
      </c>
      <c r="AK411" s="6">
        <f t="shared" si="148"/>
        <v>9751.4859759312239</v>
      </c>
      <c r="AM411" s="1">
        <f t="shared" si="141"/>
        <v>45576</v>
      </c>
      <c r="AN411">
        <f t="shared" si="142"/>
        <v>1.1207712178917952</v>
      </c>
      <c r="AO411">
        <f t="shared" ca="1" si="128"/>
        <v>1.1219646391781295</v>
      </c>
      <c r="AP411">
        <f t="shared" ca="1" si="129"/>
        <v>1.1462860098303962</v>
      </c>
      <c r="AQ411">
        <f t="shared" ca="1" si="130"/>
        <v>1.1631805937793411</v>
      </c>
      <c r="AR411">
        <f t="shared" ca="1" si="131"/>
        <v>1.2305150244351473</v>
      </c>
      <c r="AS411">
        <f t="shared" ca="1" si="132"/>
        <v>1.3267419453843896</v>
      </c>
    </row>
    <row r="412" spans="2:45" x14ac:dyDescent="0.25">
      <c r="B412" s="22">
        <v>45583</v>
      </c>
      <c r="C412">
        <v>1058.498</v>
      </c>
      <c r="D412">
        <v>1370</v>
      </c>
      <c r="E412">
        <v>1328.4839999999999</v>
      </c>
      <c r="F412">
        <v>2539.4540000000002</v>
      </c>
      <c r="G412">
        <v>4833.99</v>
      </c>
      <c r="H412">
        <v>1068.085</v>
      </c>
      <c r="I412" s="6">
        <v>1823330</v>
      </c>
      <c r="K412" s="23">
        <f t="shared" si="133"/>
        <v>-4.0487353700268125E-3</v>
      </c>
      <c r="L412" s="24">
        <f t="shared" si="134"/>
        <v>-2.8368794326241176E-2</v>
      </c>
      <c r="M412" s="24">
        <f t="shared" si="135"/>
        <v>-1.0928681031267318E-2</v>
      </c>
      <c r="N412" s="24">
        <f t="shared" si="136"/>
        <v>4.8937769059791414E-3</v>
      </c>
      <c r="O412" s="24">
        <f t="shared" si="137"/>
        <v>2.5432431520848287E-2</v>
      </c>
      <c r="P412" s="24">
        <f t="shared" si="138"/>
        <v>-3.7036870077941431E-2</v>
      </c>
      <c r="Q412" s="25">
        <f t="shared" si="139"/>
        <v>2.2625490117998526E-2</v>
      </c>
      <c r="S412" s="26">
        <f t="shared" si="143"/>
        <v>-8.3428120631082181E-3</v>
      </c>
      <c r="U412" s="5">
        <f t="shared" si="144"/>
        <v>16500.820281060693</v>
      </c>
      <c r="V412" s="6">
        <f t="shared" si="145"/>
        <v>9972.118125515457</v>
      </c>
      <c r="X412" s="20">
        <f t="shared" si="140"/>
        <v>1.6546956296917879</v>
      </c>
      <c r="Z412" s="22">
        <v>45583</v>
      </c>
      <c r="AA412" s="33">
        <v>1848220.6085999999</v>
      </c>
      <c r="AB412" s="33">
        <v>1199189.3315999999</v>
      </c>
      <c r="AC412" s="33">
        <v>804859.56900000002</v>
      </c>
      <c r="AD412" s="33">
        <v>1353271.7320999999</v>
      </c>
      <c r="AE412" s="33">
        <v>3793915.7322999998</v>
      </c>
      <c r="AF412" s="34">
        <v>1068.085</v>
      </c>
      <c r="AH412" s="28">
        <f t="shared" si="146"/>
        <v>5.4992305964782452E-3</v>
      </c>
      <c r="AJ412" s="5">
        <f t="shared" si="147"/>
        <v>10989.286921020162</v>
      </c>
      <c r="AK412" s="6">
        <f t="shared" si="148"/>
        <v>9972.118125515457</v>
      </c>
      <c r="AM412" s="1">
        <f t="shared" si="141"/>
        <v>45583</v>
      </c>
      <c r="AN412">
        <f t="shared" si="142"/>
        <v>1.1020012782341693</v>
      </c>
      <c r="AO412">
        <f t="shared" ca="1" si="128"/>
        <v>1.1208439006094892</v>
      </c>
      <c r="AP412">
        <f t="shared" ca="1" si="129"/>
        <v>1.1462860098303962</v>
      </c>
      <c r="AQ412">
        <f t="shared" ca="1" si="130"/>
        <v>1.1631805937793411</v>
      </c>
      <c r="AR412">
        <f t="shared" ca="1" si="131"/>
        <v>1.2305150244351473</v>
      </c>
      <c r="AS412">
        <f t="shared" ca="1" si="132"/>
        <v>1.3267419453843896</v>
      </c>
    </row>
    <row r="413" spans="2:45" x14ac:dyDescent="0.25">
      <c r="B413" s="22">
        <v>45590</v>
      </c>
      <c r="C413">
        <v>1123.0409999999999</v>
      </c>
      <c r="D413">
        <v>1540</v>
      </c>
      <c r="E413">
        <v>1354.173</v>
      </c>
      <c r="F413">
        <v>2477.6170000000002</v>
      </c>
      <c r="G413">
        <v>4977.8590000000004</v>
      </c>
      <c r="H413">
        <v>1141.116</v>
      </c>
      <c r="I413" s="6">
        <v>1872785</v>
      </c>
      <c r="K413" s="23">
        <f t="shared" si="133"/>
        <v>6.0976024517759964E-2</v>
      </c>
      <c r="L413" s="24">
        <f t="shared" si="134"/>
        <v>0.12408759124087587</v>
      </c>
      <c r="M413" s="24">
        <f t="shared" si="135"/>
        <v>1.9337078956163545E-2</v>
      </c>
      <c r="N413" s="24">
        <f t="shared" si="136"/>
        <v>-2.4350509991517888E-2</v>
      </c>
      <c r="O413" s="24">
        <f t="shared" si="137"/>
        <v>2.976195647901636E-2</v>
      </c>
      <c r="P413" s="24">
        <f t="shared" si="138"/>
        <v>6.8375644260522339E-2</v>
      </c>
      <c r="Q413" s="25">
        <f t="shared" si="139"/>
        <v>2.7123449951462542E-2</v>
      </c>
      <c r="S413" s="26">
        <f t="shared" si="143"/>
        <v>4.636463091047003E-2</v>
      </c>
      <c r="U413" s="5">
        <f t="shared" si="144"/>
        <v>17265.874723112069</v>
      </c>
      <c r="V413" s="6">
        <f t="shared" si="145"/>
        <v>10242.596372402948</v>
      </c>
      <c r="X413" s="20">
        <f t="shared" si="140"/>
        <v>1.6856931675675739</v>
      </c>
      <c r="Z413" s="22">
        <v>45590</v>
      </c>
      <c r="AA413" s="33">
        <v>1960916.9872000001</v>
      </c>
      <c r="AB413" s="33">
        <v>1347993.8472</v>
      </c>
      <c r="AC413" s="33">
        <v>820423.15179999999</v>
      </c>
      <c r="AD413" s="33">
        <v>1320318.6867</v>
      </c>
      <c r="AE413" s="33">
        <v>3906829.8909999998</v>
      </c>
      <c r="AF413" s="34">
        <v>1141.116</v>
      </c>
      <c r="AH413" s="28">
        <f t="shared" si="146"/>
        <v>3.9675443435760349E-2</v>
      </c>
      <c r="AJ413" s="5">
        <f t="shared" si="147"/>
        <v>11425.291752654441</v>
      </c>
      <c r="AK413" s="6">
        <f t="shared" si="148"/>
        <v>10242.596372402948</v>
      </c>
      <c r="AM413" s="1">
        <f t="shared" si="141"/>
        <v>45590</v>
      </c>
      <c r="AN413">
        <f t="shared" si="142"/>
        <v>1.1154683185054599</v>
      </c>
      <c r="AO413">
        <f t="shared" ca="1" si="128"/>
        <v>1.1112434836352303</v>
      </c>
      <c r="AP413">
        <f t="shared" ca="1" si="129"/>
        <v>1.143706439949701</v>
      </c>
      <c r="AQ413">
        <f t="shared" ca="1" si="130"/>
        <v>1.1631805937793411</v>
      </c>
      <c r="AR413">
        <f t="shared" ca="1" si="131"/>
        <v>1.2305150244351473</v>
      </c>
      <c r="AS413">
        <f t="shared" ca="1" si="132"/>
        <v>1.3267419453843896</v>
      </c>
    </row>
    <row r="414" spans="2:45" x14ac:dyDescent="0.25">
      <c r="B414" s="22">
        <v>45597</v>
      </c>
      <c r="C414">
        <v>1135.9490000000001</v>
      </c>
      <c r="D414">
        <v>1820</v>
      </c>
      <c r="E414">
        <v>1548.675</v>
      </c>
      <c r="F414">
        <v>2700.232</v>
      </c>
      <c r="G414">
        <v>5083.3630000000003</v>
      </c>
      <c r="H414">
        <v>1360.211</v>
      </c>
      <c r="I414" s="6">
        <v>1879879</v>
      </c>
      <c r="K414" s="23">
        <f t="shared" si="133"/>
        <v>1.1493792301438877E-2</v>
      </c>
      <c r="L414" s="24">
        <f t="shared" si="134"/>
        <v>0.18181818181818188</v>
      </c>
      <c r="M414" s="24">
        <f t="shared" si="135"/>
        <v>0.14363157440002117</v>
      </c>
      <c r="N414" s="24">
        <f t="shared" si="136"/>
        <v>8.9850449040348002E-2</v>
      </c>
      <c r="O414" s="24">
        <f t="shared" si="137"/>
        <v>2.1194654167584925E-2</v>
      </c>
      <c r="P414" s="24">
        <f t="shared" si="138"/>
        <v>0.19200063797195033</v>
      </c>
      <c r="Q414" s="25">
        <f t="shared" si="139"/>
        <v>3.7879414882113771E-3</v>
      </c>
      <c r="S414" s="26">
        <f t="shared" si="143"/>
        <v>0.10666488161658753</v>
      </c>
      <c r="U414" s="5">
        <f t="shared" si="144"/>
        <v>19107.537206459649</v>
      </c>
      <c r="V414" s="6">
        <f t="shared" si="145"/>
        <v>10281.394728148976</v>
      </c>
      <c r="X414" s="20">
        <f t="shared" si="140"/>
        <v>1.8584577006994942</v>
      </c>
      <c r="Z414" s="22">
        <v>45597</v>
      </c>
      <c r="AA414" s="33">
        <v>1983456.2629</v>
      </c>
      <c r="AB414" s="33">
        <v>1593083.6376</v>
      </c>
      <c r="AC414" s="33">
        <v>938261.70750000002</v>
      </c>
      <c r="AD414" s="33">
        <v>1438949.6502</v>
      </c>
      <c r="AE414" s="33">
        <v>3989633.6074000001</v>
      </c>
      <c r="AF414" s="34">
        <v>1360.211</v>
      </c>
      <c r="AH414" s="28">
        <f t="shared" si="146"/>
        <v>6.274253831208372E-2</v>
      </c>
      <c r="AJ414" s="5">
        <f t="shared" si="147"/>
        <v>12142.143558172094</v>
      </c>
      <c r="AK414" s="6">
        <f t="shared" si="148"/>
        <v>10281.394728148976</v>
      </c>
      <c r="AM414" s="1">
        <f t="shared" si="141"/>
        <v>45597</v>
      </c>
      <c r="AN414">
        <f t="shared" si="142"/>
        <v>1.1809821409666001</v>
      </c>
      <c r="AO414">
        <f t="shared" ca="1" si="128"/>
        <v>1.1107131936965966</v>
      </c>
      <c r="AP414">
        <f t="shared" ca="1" si="129"/>
        <v>1.143706439949701</v>
      </c>
      <c r="AQ414">
        <f t="shared" ca="1" si="130"/>
        <v>1.1631805937793411</v>
      </c>
      <c r="AR414">
        <f t="shared" ca="1" si="131"/>
        <v>1.2305150244351473</v>
      </c>
      <c r="AS414">
        <f t="shared" ca="1" si="132"/>
        <v>1.3267419453843896</v>
      </c>
    </row>
    <row r="415" spans="2:45" x14ac:dyDescent="0.25">
      <c r="B415" s="22">
        <v>45604</v>
      </c>
      <c r="C415">
        <v>1157.4639999999999</v>
      </c>
      <c r="D415">
        <v>1840</v>
      </c>
      <c r="E415">
        <v>1489.9570000000001</v>
      </c>
      <c r="F415">
        <v>2770.3139999999999</v>
      </c>
      <c r="G415">
        <v>5179.2749999999996</v>
      </c>
      <c r="H415">
        <v>1506.2729999999999</v>
      </c>
      <c r="I415" s="6">
        <v>1964487</v>
      </c>
      <c r="K415" s="23">
        <f t="shared" si="133"/>
        <v>1.8940110867653237E-2</v>
      </c>
      <c r="L415" s="24">
        <f t="shared" si="134"/>
        <v>1.098901098901095E-2</v>
      </c>
      <c r="M415" s="24">
        <f t="shared" si="135"/>
        <v>-3.7914991847869839E-2</v>
      </c>
      <c r="N415" s="24">
        <f t="shared" si="136"/>
        <v>2.5954066169129097E-2</v>
      </c>
      <c r="O415" s="24">
        <f t="shared" si="137"/>
        <v>1.8867824312369441E-2</v>
      </c>
      <c r="P415" s="24">
        <f t="shared" si="138"/>
        <v>0.1073818694305515</v>
      </c>
      <c r="Q415" s="25">
        <f t="shared" si="139"/>
        <v>4.5007152056063093E-2</v>
      </c>
      <c r="S415" s="26">
        <f t="shared" si="143"/>
        <v>2.4036314986807399E-2</v>
      </c>
      <c r="U415" s="5">
        <f t="shared" si="144"/>
        <v>19566.811989376256</v>
      </c>
      <c r="V415" s="6">
        <f t="shared" si="145"/>
        <v>10744.131024027183</v>
      </c>
      <c r="X415" s="20">
        <f t="shared" si="140"/>
        <v>1.8211628232770845</v>
      </c>
      <c r="Z415" s="22">
        <v>45604</v>
      </c>
      <c r="AA415" s="33">
        <v>2021021.7224000001</v>
      </c>
      <c r="AB415" s="33">
        <v>1610590.0512000001</v>
      </c>
      <c r="AC415" s="33">
        <v>902687.80390000006</v>
      </c>
      <c r="AD415" s="33">
        <v>1476296.4350000001</v>
      </c>
      <c r="AE415" s="33">
        <v>4064909.7132000001</v>
      </c>
      <c r="AF415" s="34">
        <v>1506.2729999999999</v>
      </c>
      <c r="AH415" s="28">
        <f t="shared" si="146"/>
        <v>1.3300237615054165E-2</v>
      </c>
      <c r="AJ415" s="5">
        <f t="shared" si="147"/>
        <v>12303.636952651883</v>
      </c>
      <c r="AK415" s="6">
        <f t="shared" si="148"/>
        <v>10744.131024027183</v>
      </c>
      <c r="AM415" s="1">
        <f t="shared" si="141"/>
        <v>45604</v>
      </c>
      <c r="AN415">
        <f t="shared" si="142"/>
        <v>1.1451495635279545</v>
      </c>
      <c r="AO415">
        <f t="shared" ca="1" si="128"/>
        <v>1.1159986084440934</v>
      </c>
      <c r="AP415">
        <f t="shared" ca="1" si="129"/>
        <v>1.1462860098303962</v>
      </c>
      <c r="AQ415">
        <f t="shared" ca="1" si="130"/>
        <v>1.1658485059062262</v>
      </c>
      <c r="AR415">
        <f t="shared" ca="1" si="131"/>
        <v>1.2305150244351473</v>
      </c>
      <c r="AS415">
        <f t="shared" ca="1" si="132"/>
        <v>1.3267419453843896</v>
      </c>
    </row>
    <row r="416" spans="2:45" x14ac:dyDescent="0.25">
      <c r="B416" s="22">
        <v>45611</v>
      </c>
      <c r="C416">
        <v>1281.4380000000001</v>
      </c>
      <c r="D416">
        <v>1905</v>
      </c>
      <c r="E416">
        <v>1589.0429999999999</v>
      </c>
      <c r="F416">
        <v>3042.3980000000001</v>
      </c>
      <c r="G416">
        <v>5860.2539999999999</v>
      </c>
      <c r="H416">
        <v>1693.4169999999999</v>
      </c>
      <c r="I416" s="6">
        <v>2066915</v>
      </c>
      <c r="K416" s="23">
        <f t="shared" si="133"/>
        <v>0.10710829883262041</v>
      </c>
      <c r="L416" s="24">
        <f t="shared" si="134"/>
        <v>3.5326086956521729E-2</v>
      </c>
      <c r="M416" s="24">
        <f t="shared" si="135"/>
        <v>6.6502590343211043E-2</v>
      </c>
      <c r="N416" s="24">
        <f t="shared" si="136"/>
        <v>9.8214137458786377E-2</v>
      </c>
      <c r="O416" s="24">
        <f t="shared" si="137"/>
        <v>0.13148152975078564</v>
      </c>
      <c r="P416" s="24">
        <f t="shared" si="138"/>
        <v>0.1242430820973357</v>
      </c>
      <c r="Q416" s="25">
        <f t="shared" si="139"/>
        <v>5.2139820726734287E-2</v>
      </c>
      <c r="S416" s="26">
        <f t="shared" si="143"/>
        <v>9.3812620906543479E-2</v>
      </c>
      <c r="U416" s="5">
        <f t="shared" si="144"/>
        <v>21402.425904885222</v>
      </c>
      <c r="V416" s="6">
        <f t="shared" si="145"/>
        <v>11304.328089484505</v>
      </c>
      <c r="X416" s="20">
        <f t="shared" si="140"/>
        <v>1.8932948279158808</v>
      </c>
      <c r="Z416" s="22">
        <v>45611</v>
      </c>
      <c r="AA416" s="33">
        <v>2231388.2958</v>
      </c>
      <c r="AB416" s="33">
        <v>1667485.8954</v>
      </c>
      <c r="AC416" s="33">
        <v>962718.76619999995</v>
      </c>
      <c r="AD416" s="33">
        <v>1621289.8348999999</v>
      </c>
      <c r="AE416" s="33">
        <v>4599370.0643999996</v>
      </c>
      <c r="AF416" s="34">
        <v>1693.4169999999999</v>
      </c>
      <c r="AH416" s="28">
        <f t="shared" si="146"/>
        <v>0.10052940222147884</v>
      </c>
      <c r="AJ416" s="5">
        <f t="shared" si="147"/>
        <v>13540.514220652074</v>
      </c>
      <c r="AK416" s="6">
        <f t="shared" si="148"/>
        <v>11304.328089484505</v>
      </c>
      <c r="AM416" s="1">
        <f t="shared" si="141"/>
        <v>45611</v>
      </c>
      <c r="AN416">
        <f t="shared" si="142"/>
        <v>1.1978168108237861</v>
      </c>
      <c r="AO416">
        <f t="shared" ca="1" si="128"/>
        <v>1.1208439006094892</v>
      </c>
      <c r="AP416">
        <f t="shared" ca="1" si="129"/>
        <v>1.1462860098303962</v>
      </c>
      <c r="AQ416">
        <f t="shared" ca="1" si="130"/>
        <v>1.1658485059062262</v>
      </c>
      <c r="AR416">
        <f t="shared" ca="1" si="131"/>
        <v>1.2305150244351473</v>
      </c>
      <c r="AS416">
        <f t="shared" ca="1" si="132"/>
        <v>1.3267419453843896</v>
      </c>
    </row>
    <row r="417" spans="2:45" x14ac:dyDescent="0.25">
      <c r="B417" s="22">
        <v>45618</v>
      </c>
      <c r="C417">
        <v>1346.1569999999999</v>
      </c>
      <c r="D417">
        <v>2035</v>
      </c>
      <c r="E417">
        <v>1574.364</v>
      </c>
      <c r="F417">
        <v>3392.81</v>
      </c>
      <c r="G417">
        <v>6311.0429999999997</v>
      </c>
      <c r="H417">
        <v>1976.413</v>
      </c>
      <c r="I417" s="6">
        <v>2211988</v>
      </c>
      <c r="K417" s="23">
        <f t="shared" si="133"/>
        <v>5.0504979562023156E-2</v>
      </c>
      <c r="L417" s="24">
        <f t="shared" si="134"/>
        <v>6.8241469816272993E-2</v>
      </c>
      <c r="M417" s="24">
        <f t="shared" si="135"/>
        <v>-9.2376354824884599E-3</v>
      </c>
      <c r="N417" s="24">
        <f t="shared" si="136"/>
        <v>0.11517625241667906</v>
      </c>
      <c r="O417" s="24">
        <f t="shared" si="137"/>
        <v>7.6923116301784722E-2</v>
      </c>
      <c r="P417" s="24">
        <f t="shared" si="138"/>
        <v>0.1671153649691719</v>
      </c>
      <c r="Q417" s="25">
        <f t="shared" si="139"/>
        <v>7.018817900107166E-2</v>
      </c>
      <c r="S417" s="26">
        <f t="shared" si="143"/>
        <v>7.8120591263907233E-2</v>
      </c>
      <c r="U417" s="5">
        <f t="shared" si="144"/>
        <v>23074.396071056817</v>
      </c>
      <c r="V417" s="6">
        <f t="shared" si="145"/>
        <v>12097.758292916085</v>
      </c>
      <c r="X417" s="20">
        <f t="shared" si="140"/>
        <v>1.9073282431645344</v>
      </c>
      <c r="Z417" s="22">
        <v>45618</v>
      </c>
      <c r="AA417" s="33">
        <v>2344084.6743999999</v>
      </c>
      <c r="AB417" s="33">
        <v>1781277.5837999999</v>
      </c>
      <c r="AC417" s="33">
        <v>953825.29029999999</v>
      </c>
      <c r="AD417" s="33">
        <v>1808023.7590000001</v>
      </c>
      <c r="AE417" s="33">
        <v>4953167.7615999999</v>
      </c>
      <c r="AF417" s="34">
        <v>1976.413</v>
      </c>
      <c r="AH417" s="28">
        <f t="shared" si="146"/>
        <v>6.8424152062464605E-2</v>
      </c>
      <c r="AJ417" s="5">
        <f t="shared" si="147"/>
        <v>14467.012424689936</v>
      </c>
      <c r="AK417" s="6">
        <f t="shared" si="148"/>
        <v>12097.758292916085</v>
      </c>
      <c r="AM417" s="1">
        <f t="shared" si="141"/>
        <v>45618</v>
      </c>
      <c r="AN417">
        <f t="shared" si="142"/>
        <v>1.1958424093462985</v>
      </c>
      <c r="AO417">
        <f t="shared" ca="1" si="128"/>
        <v>1.1213104947188832</v>
      </c>
      <c r="AP417">
        <f t="shared" ca="1" si="129"/>
        <v>1.1471864489462662</v>
      </c>
      <c r="AQ417">
        <f t="shared" ca="1" si="130"/>
        <v>1.1694152344475051</v>
      </c>
      <c r="AR417">
        <f t="shared" ca="1" si="131"/>
        <v>1.2305150244351473</v>
      </c>
      <c r="AS417">
        <f t="shared" ca="1" si="132"/>
        <v>1.3267419453843896</v>
      </c>
    </row>
    <row r="418" spans="2:45" x14ac:dyDescent="0.25">
      <c r="B418" s="22">
        <v>45625</v>
      </c>
      <c r="C418">
        <v>1307.325</v>
      </c>
      <c r="D418">
        <v>2160</v>
      </c>
      <c r="E418">
        <v>1622.0719999999999</v>
      </c>
      <c r="F418">
        <v>3425.79</v>
      </c>
      <c r="G418">
        <v>6330.2250000000004</v>
      </c>
      <c r="H418">
        <v>2095.0889999999999</v>
      </c>
      <c r="I418" s="6">
        <v>2258295</v>
      </c>
      <c r="K418" s="23">
        <f t="shared" si="133"/>
        <v>-2.8846560988057046E-2</v>
      </c>
      <c r="L418" s="24">
        <f t="shared" si="134"/>
        <v>6.1425061425061322E-2</v>
      </c>
      <c r="M418" s="24">
        <f t="shared" si="135"/>
        <v>3.0303030303030276E-2</v>
      </c>
      <c r="N418" s="24">
        <f t="shared" si="136"/>
        <v>9.7205561172006849E-3</v>
      </c>
      <c r="O418" s="24">
        <f t="shared" si="137"/>
        <v>3.0394342107953332E-3</v>
      </c>
      <c r="P418" s="24">
        <f t="shared" si="138"/>
        <v>6.0046154320984479E-2</v>
      </c>
      <c r="Q418" s="25">
        <f t="shared" si="139"/>
        <v>2.0934562031982074E-2</v>
      </c>
      <c r="S418" s="26">
        <f t="shared" si="143"/>
        <v>2.2614612564835841E-2</v>
      </c>
      <c r="U418" s="5">
        <f t="shared" si="144"/>
        <v>23596.214598371338</v>
      </c>
      <c r="V418" s="6">
        <f t="shared" si="145"/>
        <v>12351.019564347063</v>
      </c>
      <c r="X418" s="20">
        <f t="shared" si="140"/>
        <v>1.9104669436752488</v>
      </c>
      <c r="Z418" s="22">
        <v>45625</v>
      </c>
      <c r="AA418" s="33">
        <v>2276466.8472000002</v>
      </c>
      <c r="AB418" s="33">
        <v>1890692.6688000001</v>
      </c>
      <c r="AC418" s="33">
        <v>982729.08700000006</v>
      </c>
      <c r="AD418" s="33">
        <v>1825598.7165000001</v>
      </c>
      <c r="AE418" s="33">
        <v>4968222.9828000003</v>
      </c>
      <c r="AF418" s="34">
        <v>2095.0889999999999</v>
      </c>
      <c r="AH418" s="28">
        <f t="shared" si="146"/>
        <v>8.7354749878839674E-3</v>
      </c>
      <c r="AJ418" s="5">
        <f t="shared" si="147"/>
        <v>14593.388649875224</v>
      </c>
      <c r="AK418" s="6">
        <f t="shared" si="148"/>
        <v>12351.019564347063</v>
      </c>
      <c r="AM418" s="1">
        <f t="shared" si="141"/>
        <v>45625</v>
      </c>
      <c r="AN418">
        <f t="shared" si="142"/>
        <v>1.1815533587203659</v>
      </c>
      <c r="AO418">
        <f t="shared" ca="1" si="128"/>
        <v>1.1213104947188832</v>
      </c>
      <c r="AP418">
        <f t="shared" ca="1" si="129"/>
        <v>1.1471864489462662</v>
      </c>
      <c r="AQ418">
        <f t="shared" ca="1" si="130"/>
        <v>1.1694152344475051</v>
      </c>
      <c r="AR418">
        <f t="shared" ca="1" si="131"/>
        <v>1.2215334437232035</v>
      </c>
      <c r="AS418">
        <f t="shared" ca="1" si="132"/>
        <v>1.3267419453843896</v>
      </c>
    </row>
    <row r="419" spans="2:45" x14ac:dyDescent="0.25">
      <c r="B419" s="22">
        <v>45632</v>
      </c>
      <c r="C419">
        <v>1315.954</v>
      </c>
      <c r="D419">
        <v>2490</v>
      </c>
      <c r="E419">
        <v>1655.1</v>
      </c>
      <c r="F419">
        <v>3211.42</v>
      </c>
      <c r="G419">
        <v>5841.0709999999999</v>
      </c>
      <c r="H419">
        <v>2305.0549999999998</v>
      </c>
      <c r="I419" s="6">
        <v>2202444</v>
      </c>
      <c r="K419" s="23">
        <f t="shared" si="133"/>
        <v>6.6005010230814065E-3</v>
      </c>
      <c r="L419" s="24">
        <f t="shared" si="134"/>
        <v>0.15277777777777768</v>
      </c>
      <c r="M419" s="24">
        <f t="shared" si="135"/>
        <v>2.0361611568413762E-2</v>
      </c>
      <c r="N419" s="24">
        <f t="shared" si="136"/>
        <v>-6.2575347584060914E-2</v>
      </c>
      <c r="O419" s="24">
        <f t="shared" si="137"/>
        <v>-7.727276676579431E-2</v>
      </c>
      <c r="P419" s="24">
        <f t="shared" si="138"/>
        <v>0.10021817688890544</v>
      </c>
      <c r="Q419" s="25">
        <f t="shared" si="139"/>
        <v>-2.4731489907208748E-2</v>
      </c>
      <c r="S419" s="26">
        <f t="shared" si="143"/>
        <v>2.3351658818053844E-2</v>
      </c>
      <c r="U419" s="5">
        <f t="shared" si="144"/>
        <v>24147.225351070087</v>
      </c>
      <c r="V419" s="6">
        <f t="shared" si="145"/>
        <v>12045.560448647677</v>
      </c>
      <c r="X419" s="20">
        <f t="shared" si="140"/>
        <v>2.0046576872876871</v>
      </c>
      <c r="Z419" s="22">
        <v>45632</v>
      </c>
      <c r="AA419" s="33">
        <v>2291493.031</v>
      </c>
      <c r="AB419" s="33">
        <v>2179548.4931999999</v>
      </c>
      <c r="AC419" s="33">
        <v>1002739.4077</v>
      </c>
      <c r="AD419" s="33">
        <v>1711361.4924000001</v>
      </c>
      <c r="AE419" s="33">
        <v>4584314.8432</v>
      </c>
      <c r="AF419" s="34">
        <v>2305.0549999999998</v>
      </c>
      <c r="AH419" s="28">
        <f t="shared" si="146"/>
        <v>-1.4569486461807812E-2</v>
      </c>
      <c r="AJ419" s="5">
        <f t="shared" si="147"/>
        <v>14380.770471508968</v>
      </c>
      <c r="AK419" s="6">
        <f t="shared" si="148"/>
        <v>12045.560448647677</v>
      </c>
      <c r="AM419" s="1">
        <f t="shared" si="141"/>
        <v>45632</v>
      </c>
      <c r="AN419">
        <f t="shared" si="142"/>
        <v>1.1938647880118736</v>
      </c>
      <c r="AO419">
        <f t="shared" ca="1" si="128"/>
        <v>1.1213104947188832</v>
      </c>
      <c r="AP419">
        <f t="shared" ca="1" si="129"/>
        <v>1.1471864489462662</v>
      </c>
      <c r="AQ419">
        <f t="shared" ca="1" si="130"/>
        <v>1.1694152344475051</v>
      </c>
      <c r="AR419">
        <f t="shared" ca="1" si="131"/>
        <v>1.2215334437232035</v>
      </c>
      <c r="AS419">
        <f t="shared" ca="1" si="132"/>
        <v>1.3267419453843896</v>
      </c>
    </row>
    <row r="420" spans="2:45" x14ac:dyDescent="0.25">
      <c r="B420" s="22">
        <v>45639</v>
      </c>
      <c r="C420">
        <v>1445.393</v>
      </c>
      <c r="D420">
        <v>2705</v>
      </c>
      <c r="E420">
        <v>2022.085</v>
      </c>
      <c r="F420">
        <v>3339.2179999999998</v>
      </c>
      <c r="G420">
        <v>6224.7209999999995</v>
      </c>
      <c r="H420">
        <v>2656.5189999999998</v>
      </c>
      <c r="I420" s="6">
        <v>2370662</v>
      </c>
      <c r="K420" s="23">
        <f t="shared" si="133"/>
        <v>9.8361340897934246E-2</v>
      </c>
      <c r="L420" s="24">
        <f t="shared" si="134"/>
        <v>8.6345381526104381E-2</v>
      </c>
      <c r="M420" s="24">
        <f t="shared" si="135"/>
        <v>0.22172980484562865</v>
      </c>
      <c r="N420" s="24">
        <f t="shared" si="136"/>
        <v>3.9794857103711001E-2</v>
      </c>
      <c r="O420" s="24">
        <f t="shared" si="137"/>
        <v>6.5681447802979909E-2</v>
      </c>
      <c r="P420" s="24">
        <f t="shared" si="138"/>
        <v>0.15247532054549673</v>
      </c>
      <c r="Q420" s="25">
        <f t="shared" si="139"/>
        <v>7.6377878393275811E-2</v>
      </c>
      <c r="S420" s="26">
        <f t="shared" si="143"/>
        <v>0.11073135878697582</v>
      </c>
      <c r="U420" s="5">
        <f t="shared" si="144"/>
        <v>26821.080425129385</v>
      </c>
      <c r="V420" s="6">
        <f t="shared" si="145"/>
        <v>12965.574799773342</v>
      </c>
      <c r="X420" s="20">
        <f t="shared" si="140"/>
        <v>2.0686379770527612</v>
      </c>
      <c r="Z420" s="22">
        <v>45639</v>
      </c>
      <c r="AA420" s="33">
        <v>2516885.7881999998</v>
      </c>
      <c r="AB420" s="33">
        <v>2367742.4394</v>
      </c>
      <c r="AC420" s="33">
        <v>1225076.3052000001</v>
      </c>
      <c r="AD420" s="33">
        <v>1779464.453</v>
      </c>
      <c r="AE420" s="33">
        <v>4885419.2664000001</v>
      </c>
      <c r="AF420" s="34">
        <v>2656.5189999999998</v>
      </c>
      <c r="AH420" s="28">
        <f t="shared" si="146"/>
        <v>8.5414973998825583E-2</v>
      </c>
      <c r="AJ420" s="5">
        <f t="shared" si="147"/>
        <v>15609.103607415986</v>
      </c>
      <c r="AK420" s="6">
        <f t="shared" si="148"/>
        <v>12965.574799773342</v>
      </c>
      <c r="AM420" s="1">
        <f t="shared" si="141"/>
        <v>45639</v>
      </c>
      <c r="AN420">
        <f t="shared" si="142"/>
        <v>1.2038882848208825</v>
      </c>
      <c r="AO420">
        <f t="shared" ca="1" si="128"/>
        <v>1.1213104947188832</v>
      </c>
      <c r="AP420">
        <f t="shared" ca="1" si="129"/>
        <v>1.1471864489462662</v>
      </c>
      <c r="AQ420">
        <f t="shared" ca="1" si="130"/>
        <v>1.1694152344475051</v>
      </c>
      <c r="AR420">
        <f t="shared" ca="1" si="131"/>
        <v>1.2146776658166278</v>
      </c>
      <c r="AS420">
        <f t="shared" ca="1" si="132"/>
        <v>1.3267419453843896</v>
      </c>
    </row>
    <row r="421" spans="2:45" x14ac:dyDescent="0.25">
      <c r="B421" s="22">
        <v>45646</v>
      </c>
      <c r="C421">
        <v>1389.3030000000001</v>
      </c>
      <c r="D421">
        <v>2460</v>
      </c>
      <c r="E421">
        <v>2047.7739999999999</v>
      </c>
      <c r="F421">
        <v>3417.5450000000001</v>
      </c>
      <c r="G421">
        <v>6330.2250000000004</v>
      </c>
      <c r="H421">
        <v>2501.3270000000002</v>
      </c>
      <c r="I421" s="6">
        <v>2467562</v>
      </c>
      <c r="K421" s="23">
        <f t="shared" si="133"/>
        <v>-3.8806054823843694E-2</v>
      </c>
      <c r="L421" s="24">
        <f t="shared" si="134"/>
        <v>-9.0573012939001885E-2</v>
      </c>
      <c r="M421" s="24">
        <f t="shared" si="135"/>
        <v>1.270421371999686E-2</v>
      </c>
      <c r="N421" s="24">
        <f t="shared" si="136"/>
        <v>2.3456689560250377E-2</v>
      </c>
      <c r="O421" s="24">
        <f t="shared" si="137"/>
        <v>1.6949193385535022E-2</v>
      </c>
      <c r="P421" s="24">
        <f t="shared" si="138"/>
        <v>-5.8419307371789797E-2</v>
      </c>
      <c r="Q421" s="25">
        <f t="shared" si="139"/>
        <v>4.0874658639654227E-2</v>
      </c>
      <c r="S421" s="26">
        <f t="shared" si="143"/>
        <v>-2.244804641147552E-2</v>
      </c>
      <c r="U421" s="5">
        <f t="shared" si="144"/>
        <v>26218.999566940161</v>
      </c>
      <c r="V421" s="6">
        <f t="shared" si="145"/>
        <v>13495.53824378098</v>
      </c>
      <c r="X421" s="20">
        <f t="shared" si="140"/>
        <v>1.9427902091287401</v>
      </c>
      <c r="Z421" s="22">
        <v>45646</v>
      </c>
      <c r="AA421" s="33">
        <v>2419215.5934000001</v>
      </c>
      <c r="AB421" s="33">
        <v>2153288.8728</v>
      </c>
      <c r="AC421" s="33">
        <v>1240639.8881000001</v>
      </c>
      <c r="AD421" s="33">
        <v>1821204.9772000001</v>
      </c>
      <c r="AE421" s="33">
        <v>4968222.9828000003</v>
      </c>
      <c r="AF421" s="34">
        <v>2501.3270000000002</v>
      </c>
      <c r="AH421" s="28">
        <f t="shared" si="146"/>
        <v>-1.34748357089158E-2</v>
      </c>
      <c r="AJ421" s="5">
        <f t="shared" si="147"/>
        <v>15398.773500742609</v>
      </c>
      <c r="AK421" s="6">
        <f t="shared" si="148"/>
        <v>13495.53824378098</v>
      </c>
      <c r="AM421" s="1">
        <f t="shared" si="141"/>
        <v>45646</v>
      </c>
      <c r="AN421">
        <f t="shared" si="142"/>
        <v>1.1410269988926658</v>
      </c>
      <c r="AO421">
        <f t="shared" ca="1" si="128"/>
        <v>1.1213104947188832</v>
      </c>
      <c r="AP421">
        <f t="shared" ca="1" si="129"/>
        <v>1.1471864489462662</v>
      </c>
      <c r="AQ421">
        <f t="shared" ca="1" si="130"/>
        <v>1.1694152344475051</v>
      </c>
      <c r="AR421">
        <f t="shared" ca="1" si="131"/>
        <v>1.2062066790907706</v>
      </c>
      <c r="AS421">
        <f t="shared" ca="1" si="132"/>
        <v>1.3225237139962243</v>
      </c>
    </row>
    <row r="422" spans="2:45" x14ac:dyDescent="0.25">
      <c r="B422" s="22">
        <v>45653</v>
      </c>
      <c r="C422">
        <v>1484.2239999999999</v>
      </c>
      <c r="D422">
        <v>2610</v>
      </c>
      <c r="E422">
        <v>2099.152</v>
      </c>
      <c r="F422">
        <v>3401.0549999999998</v>
      </c>
      <c r="G422">
        <v>6790.6049999999996</v>
      </c>
      <c r="H422">
        <v>2642.8249999999998</v>
      </c>
      <c r="I422" s="6">
        <v>2577546</v>
      </c>
      <c r="K422" s="23">
        <f t="shared" si="133"/>
        <v>6.8322748889191098E-2</v>
      </c>
      <c r="L422" s="24">
        <f t="shared" si="134"/>
        <v>6.0975609756097615E-2</v>
      </c>
      <c r="M422" s="24">
        <f t="shared" si="135"/>
        <v>2.5089682748193898E-2</v>
      </c>
      <c r="N422" s="24">
        <f t="shared" si="136"/>
        <v>-4.825101059386272E-3</v>
      </c>
      <c r="O422" s="24">
        <f t="shared" si="137"/>
        <v>7.2727272727272529E-2</v>
      </c>
      <c r="P422" s="24">
        <f t="shared" si="138"/>
        <v>5.6569173082927415E-2</v>
      </c>
      <c r="Q422" s="25">
        <f t="shared" si="139"/>
        <v>4.4571929702272861E-2</v>
      </c>
      <c r="S422" s="26">
        <f t="shared" si="143"/>
        <v>4.6476564357382712E-2</v>
      </c>
      <c r="U422" s="5">
        <f t="shared" si="144"/>
        <v>27437.568587699247</v>
      </c>
      <c r="V422" s="6">
        <f t="shared" si="145"/>
        <v>14097.06042567712</v>
      </c>
      <c r="X422" s="20">
        <f t="shared" si="140"/>
        <v>1.9463326224893689</v>
      </c>
      <c r="Z422" s="22">
        <v>45653</v>
      </c>
      <c r="AA422" s="33">
        <v>2584503.6153000002</v>
      </c>
      <c r="AB422" s="33">
        <v>2284586.9748</v>
      </c>
      <c r="AC422" s="33">
        <v>1271767.0537</v>
      </c>
      <c r="AD422" s="33">
        <v>1812417.4983999999</v>
      </c>
      <c r="AE422" s="33">
        <v>5329548.2905999999</v>
      </c>
      <c r="AF422" s="34">
        <v>2642.8249999999998</v>
      </c>
      <c r="AH422" s="28">
        <f t="shared" si="146"/>
        <v>5.3977640260644159E-2</v>
      </c>
      <c r="AJ422" s="5">
        <f t="shared" si="147"/>
        <v>16229.962957220834</v>
      </c>
      <c r="AK422" s="6">
        <f t="shared" si="148"/>
        <v>14097.06042567712</v>
      </c>
      <c r="AM422" s="1">
        <f t="shared" si="141"/>
        <v>45653</v>
      </c>
      <c r="AN422">
        <f t="shared" si="142"/>
        <v>1.1513012264357423</v>
      </c>
      <c r="AO422">
        <f t="shared" ca="1" si="128"/>
        <v>1.1213104947188832</v>
      </c>
      <c r="AP422">
        <f t="shared" ca="1" si="129"/>
        <v>1.1462860098303962</v>
      </c>
      <c r="AQ422">
        <f t="shared" ca="1" si="130"/>
        <v>1.1658485059062262</v>
      </c>
      <c r="AR422">
        <f t="shared" ca="1" si="131"/>
        <v>1.1993346793230601</v>
      </c>
      <c r="AS422">
        <f t="shared" ca="1" si="132"/>
        <v>1.3084400279851973</v>
      </c>
    </row>
    <row r="423" spans="2:45" x14ac:dyDescent="0.25">
      <c r="B423" s="22">
        <v>45660</v>
      </c>
      <c r="C423">
        <v>1635.2349999999999</v>
      </c>
      <c r="D423">
        <v>2635</v>
      </c>
      <c r="E423">
        <v>2077.1320000000001</v>
      </c>
      <c r="F423">
        <v>3619.547</v>
      </c>
      <c r="G423">
        <v>7442.81</v>
      </c>
      <c r="H423">
        <v>2574.3580000000002</v>
      </c>
      <c r="I423" s="6">
        <v>2728911</v>
      </c>
      <c r="K423" s="23">
        <f t="shared" si="133"/>
        <v>0.10174407636583149</v>
      </c>
      <c r="L423" s="24">
        <f t="shared" si="134"/>
        <v>9.5785440613027628E-3</v>
      </c>
      <c r="M423" s="24">
        <f t="shared" si="135"/>
        <v>-1.0489950227520417E-2</v>
      </c>
      <c r="N423" s="24">
        <f t="shared" si="136"/>
        <v>6.4242418896489628E-2</v>
      </c>
      <c r="O423" s="24">
        <f t="shared" si="137"/>
        <v>9.6045197740113109E-2</v>
      </c>
      <c r="P423" s="24">
        <f t="shared" si="138"/>
        <v>-2.590674751449662E-2</v>
      </c>
      <c r="Q423" s="25">
        <f t="shared" si="139"/>
        <v>5.8724461173534914E-2</v>
      </c>
      <c r="S423" s="26">
        <f t="shared" si="143"/>
        <v>3.9202256553619995E-2</v>
      </c>
      <c r="U423" s="5">
        <f t="shared" si="144"/>
        <v>28513.183190681779</v>
      </c>
      <c r="V423" s="6">
        <f t="shared" si="145"/>
        <v>14924.902703305772</v>
      </c>
      <c r="X423" s="20">
        <f t="shared" si="140"/>
        <v>1.9104434888119095</v>
      </c>
      <c r="Z423" s="22">
        <v>45660</v>
      </c>
      <c r="AA423" s="33">
        <v>2847461.8319999999</v>
      </c>
      <c r="AB423" s="33">
        <v>2306469.9918</v>
      </c>
      <c r="AC423" s="33">
        <v>1258426.8399</v>
      </c>
      <c r="AD423" s="33">
        <v>1928851.5922000001</v>
      </c>
      <c r="AE423" s="33">
        <v>5841425.8101000004</v>
      </c>
      <c r="AF423" s="34">
        <v>2574.3580000000002</v>
      </c>
      <c r="AH423" s="28">
        <f t="shared" si="146"/>
        <v>6.7723879330466946E-2</v>
      </c>
      <c r="AJ423" s="5">
        <f t="shared" si="147"/>
        <v>17329.119010073606</v>
      </c>
      <c r="AK423" s="6">
        <f t="shared" si="148"/>
        <v>14924.902703305772</v>
      </c>
      <c r="AM423" s="1">
        <f t="shared" si="141"/>
        <v>45660</v>
      </c>
      <c r="AN423">
        <f t="shared" si="142"/>
        <v>1.161087569852989</v>
      </c>
      <c r="AO423">
        <f t="shared" ca="1" si="128"/>
        <v>1.1213104947188832</v>
      </c>
      <c r="AP423">
        <f t="shared" ca="1" si="129"/>
        <v>1.1462860098303962</v>
      </c>
      <c r="AQ423">
        <f t="shared" ca="1" si="130"/>
        <v>1.1631805937793411</v>
      </c>
      <c r="AR423">
        <f t="shared" ca="1" si="131"/>
        <v>1.1963360097156703</v>
      </c>
      <c r="AS423">
        <f t="shared" ca="1" si="132"/>
        <v>1.2843434304184733</v>
      </c>
    </row>
    <row r="424" spans="2:45" x14ac:dyDescent="0.25">
      <c r="B424" s="22">
        <v>45667</v>
      </c>
      <c r="C424">
        <v>1566.202</v>
      </c>
      <c r="D424">
        <v>2235</v>
      </c>
      <c r="E424">
        <v>2080.8020000000001</v>
      </c>
      <c r="F424">
        <v>3376.32</v>
      </c>
      <c r="G424">
        <v>7337.3059999999996</v>
      </c>
      <c r="H424">
        <v>2665.6480000000001</v>
      </c>
      <c r="I424" s="6">
        <v>2805140</v>
      </c>
      <c r="K424" s="23">
        <f t="shared" si="133"/>
        <v>-4.221595061260297E-2</v>
      </c>
      <c r="L424" s="24">
        <f t="shared" si="134"/>
        <v>-0.15180265654648961</v>
      </c>
      <c r="M424" s="24">
        <f t="shared" si="135"/>
        <v>1.7668593040789382E-3</v>
      </c>
      <c r="N424" s="24">
        <f t="shared" si="136"/>
        <v>-6.7198188060550113E-2</v>
      </c>
      <c r="O424" s="24">
        <f t="shared" si="137"/>
        <v>-1.4175291321423034E-2</v>
      </c>
      <c r="P424" s="24">
        <f t="shared" si="138"/>
        <v>3.5461268401675294E-2</v>
      </c>
      <c r="Q424" s="25">
        <f t="shared" si="139"/>
        <v>2.7933853467555281E-2</v>
      </c>
      <c r="S424" s="26">
        <f t="shared" si="143"/>
        <v>-3.9693993139218585E-2</v>
      </c>
      <c r="U424" s="5">
        <f t="shared" si="144"/>
        <v>27381.381092733573</v>
      </c>
      <c r="V424" s="6">
        <f t="shared" si="145"/>
        <v>15341.812748437434</v>
      </c>
      <c r="X424" s="20">
        <f t="shared" si="140"/>
        <v>1.7847552659983008</v>
      </c>
      <c r="Z424" s="22">
        <v>45667</v>
      </c>
      <c r="AA424" s="33">
        <v>2727252.3615000001</v>
      </c>
      <c r="AB424" s="33">
        <v>1956341.7198000001</v>
      </c>
      <c r="AC424" s="33">
        <v>1260650.2087999999</v>
      </c>
      <c r="AD424" s="33">
        <v>1799236.2801999999</v>
      </c>
      <c r="AE424" s="33">
        <v>5758622.0937000001</v>
      </c>
      <c r="AF424" s="34">
        <v>2665.6480000000001</v>
      </c>
      <c r="AH424" s="28">
        <f t="shared" si="146"/>
        <v>-4.7968345282587976E-2</v>
      </c>
      <c r="AJ424" s="5">
        <f t="shared" si="147"/>
        <v>16497.869845955334</v>
      </c>
      <c r="AK424" s="6">
        <f t="shared" si="148"/>
        <v>15341.812748437434</v>
      </c>
      <c r="AM424" s="1">
        <f t="shared" si="141"/>
        <v>45667</v>
      </c>
      <c r="AN424">
        <f t="shared" si="142"/>
        <v>1.0753533572905618</v>
      </c>
      <c r="AO424">
        <f t="shared" ca="1" si="128"/>
        <v>1.1213104947188832</v>
      </c>
      <c r="AP424">
        <f t="shared" ca="1" si="129"/>
        <v>1.1462860098303962</v>
      </c>
      <c r="AQ424">
        <f t="shared" ca="1" si="130"/>
        <v>1.1610462073549528</v>
      </c>
      <c r="AR424">
        <f t="shared" ca="1" si="131"/>
        <v>1.1956007422768804</v>
      </c>
      <c r="AS424">
        <f t="shared" ca="1" si="132"/>
        <v>1.2652115984848522</v>
      </c>
    </row>
    <row r="425" spans="2:45" x14ac:dyDescent="0.25">
      <c r="B425" s="22">
        <v>45674</v>
      </c>
      <c r="C425">
        <v>1320.269</v>
      </c>
      <c r="D425">
        <v>1960</v>
      </c>
      <c r="E425">
        <v>1820.2429999999999</v>
      </c>
      <c r="F425">
        <v>3095.991</v>
      </c>
      <c r="G425">
        <v>6445.32</v>
      </c>
      <c r="H425">
        <v>2218.33</v>
      </c>
      <c r="I425" s="6">
        <v>2510886</v>
      </c>
      <c r="K425" s="23">
        <f t="shared" si="133"/>
        <v>-0.15702508360990475</v>
      </c>
      <c r="L425" s="24">
        <f t="shared" si="134"/>
        <v>-0.12304250559284113</v>
      </c>
      <c r="M425" s="24">
        <f t="shared" si="135"/>
        <v>-0.12522046787728969</v>
      </c>
      <c r="N425" s="24">
        <f t="shared" si="136"/>
        <v>-8.3027971282342961E-2</v>
      </c>
      <c r="O425" s="24">
        <f t="shared" si="137"/>
        <v>-0.1215685975206704</v>
      </c>
      <c r="P425" s="24">
        <f t="shared" si="138"/>
        <v>-0.16780835279076611</v>
      </c>
      <c r="Q425" s="25">
        <f t="shared" si="139"/>
        <v>-0.10489815125091795</v>
      </c>
      <c r="S425" s="26">
        <f t="shared" si="143"/>
        <v>-0.12961549644563583</v>
      </c>
      <c r="U425" s="5">
        <f t="shared" si="144"/>
        <v>23832.329789031763</v>
      </c>
      <c r="V425" s="6">
        <f t="shared" si="145"/>
        <v>13732.484954288584</v>
      </c>
      <c r="X425" s="20">
        <f t="shared" si="140"/>
        <v>1.7354710286130006</v>
      </c>
      <c r="Z425" s="22">
        <v>45674</v>
      </c>
      <c r="AA425" s="33">
        <v>2299006.1228999998</v>
      </c>
      <c r="AB425" s="33">
        <v>1715628.5327999999</v>
      </c>
      <c r="AC425" s="33">
        <v>1102791.0116000001</v>
      </c>
      <c r="AD425" s="33">
        <v>1649849.1409</v>
      </c>
      <c r="AE425" s="33">
        <v>5058554.3097999999</v>
      </c>
      <c r="AF425" s="34">
        <v>2218.33</v>
      </c>
      <c r="AH425" s="28">
        <f t="shared" si="146"/>
        <v>-0.12415772378417961</v>
      </c>
      <c r="AJ425" s="5">
        <f t="shared" si="147"/>
        <v>14449.531878593867</v>
      </c>
      <c r="AK425" s="6">
        <f t="shared" si="148"/>
        <v>13732.484954288584</v>
      </c>
      <c r="AM425" s="1">
        <f t="shared" si="141"/>
        <v>45674</v>
      </c>
      <c r="AN425">
        <f t="shared" si="142"/>
        <v>1.0522153802965832</v>
      </c>
      <c r="AO425">
        <f t="shared" ca="1" si="128"/>
        <v>1.1159986084440934</v>
      </c>
      <c r="AP425">
        <f t="shared" ca="1" si="129"/>
        <v>1.1452624319338685</v>
      </c>
      <c r="AQ425">
        <f t="shared" ca="1" si="130"/>
        <v>1.1607489988856683</v>
      </c>
      <c r="AR425">
        <f t="shared" ca="1" si="131"/>
        <v>1.1942786376556738</v>
      </c>
      <c r="AS425">
        <f t="shared" ca="1" si="132"/>
        <v>1.2518966114915986</v>
      </c>
    </row>
    <row r="426" spans="2:45" x14ac:dyDescent="0.25">
      <c r="B426" s="22">
        <v>45681</v>
      </c>
      <c r="C426">
        <v>1397.932</v>
      </c>
      <c r="D426">
        <v>2135</v>
      </c>
      <c r="E426">
        <v>1974.377</v>
      </c>
      <c r="F426">
        <v>3186.6849999999999</v>
      </c>
      <c r="G426">
        <v>6474.0940000000001</v>
      </c>
      <c r="H426">
        <v>2437.424</v>
      </c>
      <c r="I426" s="6">
        <v>2566082</v>
      </c>
      <c r="K426" s="23">
        <f t="shared" si="133"/>
        <v>5.8823618520165155E-2</v>
      </c>
      <c r="L426" s="24">
        <f t="shared" si="134"/>
        <v>8.9285714285714191E-2</v>
      </c>
      <c r="M426" s="24">
        <f t="shared" si="135"/>
        <v>8.4677705119591273E-2</v>
      </c>
      <c r="N426" s="24">
        <f t="shared" si="136"/>
        <v>2.929401280559274E-2</v>
      </c>
      <c r="O426" s="24">
        <f t="shared" si="137"/>
        <v>4.4643245021194211E-3</v>
      </c>
      <c r="P426" s="24">
        <f t="shared" si="138"/>
        <v>9.876528740088264E-2</v>
      </c>
      <c r="Q426" s="25">
        <f t="shared" si="139"/>
        <v>2.1982678624198781E-2</v>
      </c>
      <c r="S426" s="26">
        <f t="shared" si="143"/>
        <v>6.0885110439010903E-2</v>
      </c>
      <c r="U426" s="5">
        <f t="shared" si="144"/>
        <v>25283.36382025589</v>
      </c>
      <c r="V426" s="6">
        <f t="shared" si="145"/>
        <v>14034.361757750356</v>
      </c>
      <c r="X426" s="20">
        <f t="shared" si="140"/>
        <v>1.801532856048361</v>
      </c>
      <c r="Z426" s="22">
        <v>45681</v>
      </c>
      <c r="AA426" s="33">
        <v>2434241.7771999999</v>
      </c>
      <c r="AB426" s="33">
        <v>1868809.6518000001</v>
      </c>
      <c r="AC426" s="33">
        <v>1196172.5086000001</v>
      </c>
      <c r="AD426" s="33">
        <v>1698180.2742000001</v>
      </c>
      <c r="AE426" s="33">
        <v>5081137.1414999999</v>
      </c>
      <c r="AF426" s="34">
        <v>2437.424</v>
      </c>
      <c r="AH426" s="28">
        <f t="shared" si="146"/>
        <v>3.8293016327537864E-2</v>
      </c>
      <c r="AJ426" s="5">
        <f t="shared" si="147"/>
        <v>15002.848038746142</v>
      </c>
      <c r="AK426" s="6">
        <f t="shared" si="148"/>
        <v>14034.361757750356</v>
      </c>
      <c r="AM426" s="1">
        <f t="shared" si="141"/>
        <v>45681</v>
      </c>
      <c r="AN426">
        <f t="shared" si="142"/>
        <v>1.0690082169544297</v>
      </c>
      <c r="AO426">
        <f t="shared" ca="1" si="128"/>
        <v>1.1107131936965966</v>
      </c>
      <c r="AP426">
        <f t="shared" ca="1" si="129"/>
        <v>1.1441189223691324</v>
      </c>
      <c r="AQ426">
        <f t="shared" ca="1" si="130"/>
        <v>1.1591806466005004</v>
      </c>
      <c r="AR426">
        <f t="shared" ca="1" si="131"/>
        <v>1.193245961122853</v>
      </c>
      <c r="AS426">
        <f t="shared" ca="1" si="132"/>
        <v>1.2349385317906363</v>
      </c>
    </row>
    <row r="427" spans="2:45" x14ac:dyDescent="0.25">
      <c r="B427" s="22">
        <v>45688</v>
      </c>
      <c r="C427">
        <v>1479.9090000000001</v>
      </c>
      <c r="D427">
        <v>2305</v>
      </c>
      <c r="E427">
        <v>2044.104</v>
      </c>
      <c r="F427">
        <v>3227.91</v>
      </c>
      <c r="G427">
        <v>6474.0940000000001</v>
      </c>
      <c r="H427">
        <v>2277.6680000000001</v>
      </c>
      <c r="I427" s="6">
        <v>2564659</v>
      </c>
      <c r="K427" s="23">
        <f t="shared" si="133"/>
        <v>5.8641622053147158E-2</v>
      </c>
      <c r="L427" s="24">
        <f t="shared" si="134"/>
        <v>7.9625292740046927E-2</v>
      </c>
      <c r="M427" s="24">
        <f t="shared" si="135"/>
        <v>3.5315950297233112E-2</v>
      </c>
      <c r="N427" s="24">
        <f t="shared" si="136"/>
        <v>1.2936641054889231E-2</v>
      </c>
      <c r="O427" s="24">
        <f t="shared" si="137"/>
        <v>0</v>
      </c>
      <c r="P427" s="24">
        <f t="shared" si="138"/>
        <v>-6.5542966673012071E-2</v>
      </c>
      <c r="Q427" s="25">
        <f t="shared" si="139"/>
        <v>-5.5454190474035769E-4</v>
      </c>
      <c r="S427" s="26">
        <f t="shared" si="143"/>
        <v>2.0162756578717394E-2</v>
      </c>
      <c r="U427" s="5">
        <f t="shared" si="144"/>
        <v>25793.146130454861</v>
      </c>
      <c r="V427" s="6">
        <f t="shared" si="145"/>
        <v>14026.579116049397</v>
      </c>
      <c r="X427" s="20">
        <f t="shared" si="140"/>
        <v>1.8388764585473307</v>
      </c>
      <c r="Z427" s="22">
        <v>45688</v>
      </c>
      <c r="AA427" s="33">
        <v>2576990.5233999998</v>
      </c>
      <c r="AB427" s="33">
        <v>2017614.1673999999</v>
      </c>
      <c r="AC427" s="33">
        <v>1238416.5190999999</v>
      </c>
      <c r="AD427" s="33">
        <v>1720148.9712</v>
      </c>
      <c r="AE427" s="33">
        <v>5081137.1414999999</v>
      </c>
      <c r="AF427" s="34">
        <v>2277.6680000000001</v>
      </c>
      <c r="AH427" s="28">
        <f t="shared" si="146"/>
        <v>2.8955783561510028E-2</v>
      </c>
      <c r="AJ427" s="5">
        <f t="shared" si="147"/>
        <v>15437.267259362299</v>
      </c>
      <c r="AK427" s="6">
        <f t="shared" si="148"/>
        <v>14026.579116049397</v>
      </c>
      <c r="AM427" s="1">
        <f t="shared" si="141"/>
        <v>45688</v>
      </c>
      <c r="AN427">
        <f t="shared" si="142"/>
        <v>1.1005725010810921</v>
      </c>
      <c r="AO427">
        <f t="shared" ca="1" si="128"/>
        <v>1.1079969284063036</v>
      </c>
      <c r="AP427">
        <f t="shared" ca="1" si="129"/>
        <v>1.1405016480673205</v>
      </c>
      <c r="AQ427">
        <f t="shared" ca="1" si="130"/>
        <v>1.1577059919495243</v>
      </c>
      <c r="AR427">
        <f t="shared" ca="1" si="131"/>
        <v>1.1912776584246123</v>
      </c>
      <c r="AS427">
        <f t="shared" ca="1" si="132"/>
        <v>1.2186187559987303</v>
      </c>
    </row>
    <row r="428" spans="2:45" x14ac:dyDescent="0.25">
      <c r="B428" s="22">
        <v>45695</v>
      </c>
      <c r="C428">
        <v>1397.932</v>
      </c>
      <c r="D428">
        <v>2285</v>
      </c>
      <c r="E428">
        <v>1904.65</v>
      </c>
      <c r="F428">
        <v>2877.4989999999998</v>
      </c>
      <c r="G428">
        <v>6052.0789999999997</v>
      </c>
      <c r="H428">
        <v>2035.751</v>
      </c>
      <c r="I428" s="6">
        <v>2416382</v>
      </c>
      <c r="K428" s="23">
        <f t="shared" si="133"/>
        <v>-5.5393270802461592E-2</v>
      </c>
      <c r="L428" s="24">
        <f t="shared" si="134"/>
        <v>-8.6767895878524515E-3</v>
      </c>
      <c r="M428" s="24">
        <f t="shared" si="135"/>
        <v>-6.8222556190878691E-2</v>
      </c>
      <c r="N428" s="24">
        <f t="shared" si="136"/>
        <v>-0.10855662022794943</v>
      </c>
      <c r="O428" s="24">
        <f t="shared" si="137"/>
        <v>-6.5185182668030528E-2</v>
      </c>
      <c r="P428" s="24">
        <f t="shared" si="138"/>
        <v>-0.10621258234299302</v>
      </c>
      <c r="Q428" s="25">
        <f t="shared" si="139"/>
        <v>-5.7815483461933881E-2</v>
      </c>
      <c r="S428" s="26">
        <f t="shared" si="143"/>
        <v>-6.870783363669429E-2</v>
      </c>
      <c r="U428" s="5">
        <f t="shared" si="144"/>
        <v>24020.954937156625</v>
      </c>
      <c r="V428" s="6">
        <f t="shared" si="145"/>
        <v>13215.625663137936</v>
      </c>
      <c r="X428" s="20">
        <f t="shared" si="140"/>
        <v>1.8176176860213107</v>
      </c>
      <c r="Z428" s="22">
        <v>45695</v>
      </c>
      <c r="AA428" s="33">
        <v>2434241.7771999999</v>
      </c>
      <c r="AB428" s="33">
        <v>2000107.7538000001</v>
      </c>
      <c r="AC428" s="33">
        <v>1153928.4979999999</v>
      </c>
      <c r="AD428" s="33">
        <v>1533415.0471000001</v>
      </c>
      <c r="AE428" s="33">
        <v>4749922.2759999996</v>
      </c>
      <c r="AF428" s="34">
        <v>2035.751</v>
      </c>
      <c r="AH428" s="28">
        <f t="shared" si="146"/>
        <v>-6.0374904848078649E-2</v>
      </c>
      <c r="AJ428" s="5">
        <f t="shared" si="147"/>
        <v>14505.243717463942</v>
      </c>
      <c r="AK428" s="6">
        <f t="shared" si="148"/>
        <v>13215.625663137936</v>
      </c>
      <c r="AM428" s="1">
        <f t="shared" si="141"/>
        <v>45695</v>
      </c>
      <c r="AN428">
        <f t="shared" si="142"/>
        <v>1.0975828225766948</v>
      </c>
      <c r="AO428">
        <f t="shared" ca="1" si="128"/>
        <v>1.1027981060006511</v>
      </c>
      <c r="AP428">
        <f t="shared" ca="1" si="129"/>
        <v>1.1366813504929778</v>
      </c>
      <c r="AQ428">
        <f t="shared" ca="1" si="130"/>
        <v>1.1572353088366154</v>
      </c>
      <c r="AR428">
        <f t="shared" ca="1" si="131"/>
        <v>1.1892500089816045</v>
      </c>
      <c r="AS428">
        <f t="shared" ca="1" si="132"/>
        <v>1.2122345041924794</v>
      </c>
    </row>
    <row r="429" spans="2:45" x14ac:dyDescent="0.25">
      <c r="B429" s="22">
        <v>45702</v>
      </c>
      <c r="C429">
        <v>1397.932</v>
      </c>
      <c r="D429">
        <v>2385</v>
      </c>
      <c r="E429">
        <v>1908.32</v>
      </c>
      <c r="F429">
        <v>3046.5210000000002</v>
      </c>
      <c r="G429">
        <v>6349.4080000000004</v>
      </c>
      <c r="H429">
        <v>2309.6190000000001</v>
      </c>
      <c r="I429" s="6">
        <v>2387386</v>
      </c>
      <c r="K429" s="23">
        <f t="shared" si="133"/>
        <v>0</v>
      </c>
      <c r="L429" s="24">
        <f t="shared" si="134"/>
        <v>4.3763676148796504E-2</v>
      </c>
      <c r="M429" s="24">
        <f t="shared" si="135"/>
        <v>1.9268632032130029E-3</v>
      </c>
      <c r="N429" s="24">
        <f t="shared" si="136"/>
        <v>5.873920373212993E-2</v>
      </c>
      <c r="O429" s="24">
        <f t="shared" si="137"/>
        <v>4.9128406949083159E-2</v>
      </c>
      <c r="P429" s="24">
        <f t="shared" si="138"/>
        <v>0.13452922287647162</v>
      </c>
      <c r="Q429" s="25">
        <f t="shared" si="139"/>
        <v>-1.1999758316358911E-2</v>
      </c>
      <c r="S429" s="26">
        <f t="shared" si="143"/>
        <v>4.8014562151615703E-2</v>
      </c>
      <c r="U429" s="5">
        <f t="shared" si="144"/>
        <v>25174.31057092789</v>
      </c>
      <c r="V429" s="6">
        <f t="shared" si="145"/>
        <v>13057.04134918081</v>
      </c>
      <c r="X429" s="20">
        <f t="shared" si="140"/>
        <v>1.9280256451441282</v>
      </c>
      <c r="Z429" s="22">
        <v>45702</v>
      </c>
      <c r="AA429" s="33">
        <v>2434241.7771999999</v>
      </c>
      <c r="AB429" s="33">
        <v>2087639.8218</v>
      </c>
      <c r="AC429" s="33">
        <v>1156151.8670000001</v>
      </c>
      <c r="AD429" s="33">
        <v>1623486.7046000001</v>
      </c>
      <c r="AE429" s="33">
        <v>4983278.2039999999</v>
      </c>
      <c r="AF429" s="34">
        <v>2309.6190000000001</v>
      </c>
      <c r="AH429" s="28">
        <f t="shared" si="146"/>
        <v>3.4821394715173377E-2</v>
      </c>
      <c r="AJ429" s="5">
        <f t="shared" si="147"/>
        <v>15010.336534389544</v>
      </c>
      <c r="AK429" s="6">
        <f t="shared" si="148"/>
        <v>13057.04134918081</v>
      </c>
      <c r="AM429" s="1">
        <f t="shared" si="141"/>
        <v>45702</v>
      </c>
      <c r="AN429">
        <f t="shared" si="142"/>
        <v>1.1495970743273538</v>
      </c>
      <c r="AO429">
        <f t="shared" ca="1" si="128"/>
        <v>1.102025897450865</v>
      </c>
      <c r="AP429">
        <f t="shared" ca="1" si="129"/>
        <v>1.1296702351694052</v>
      </c>
      <c r="AQ429">
        <f t="shared" ca="1" si="130"/>
        <v>1.1559160347598967</v>
      </c>
      <c r="AR429">
        <f t="shared" ca="1" si="131"/>
        <v>1.1875814977476453</v>
      </c>
      <c r="AS429">
        <f t="shared" ca="1" si="132"/>
        <v>1.2032811374211729</v>
      </c>
    </row>
    <row r="430" spans="2:45" x14ac:dyDescent="0.25">
      <c r="B430" s="22">
        <v>45709</v>
      </c>
      <c r="C430">
        <v>1354.7860000000001</v>
      </c>
      <c r="D430">
        <v>2255</v>
      </c>
      <c r="E430">
        <v>1820.2429999999999</v>
      </c>
      <c r="F430">
        <v>3108.3580000000002</v>
      </c>
      <c r="G430">
        <v>6358.9989999999998</v>
      </c>
      <c r="H430">
        <v>2200.0720000000001</v>
      </c>
      <c r="I430" s="6">
        <v>2364530</v>
      </c>
      <c r="K430" s="23">
        <f t="shared" si="133"/>
        <v>-3.0864162205314627E-2</v>
      </c>
      <c r="L430" s="24">
        <f t="shared" si="134"/>
        <v>-5.4507337526205402E-2</v>
      </c>
      <c r="M430" s="24">
        <f t="shared" si="135"/>
        <v>-4.6154208937704388E-2</v>
      </c>
      <c r="N430" s="24">
        <f t="shared" si="136"/>
        <v>2.0297578779204128E-2</v>
      </c>
      <c r="O430" s="24">
        <f t="shared" si="137"/>
        <v>1.5105345254233793E-3</v>
      </c>
      <c r="P430" s="24">
        <f t="shared" si="138"/>
        <v>-4.7430766719532502E-2</v>
      </c>
      <c r="Q430" s="25">
        <f t="shared" si="139"/>
        <v>-9.5736508465744663E-3</v>
      </c>
      <c r="S430" s="26">
        <f t="shared" si="143"/>
        <v>-2.6191393680688235E-2</v>
      </c>
      <c r="U430" s="5">
        <f t="shared" si="144"/>
        <v>24514.960292124804</v>
      </c>
      <c r="V430" s="6">
        <f t="shared" si="145"/>
        <v>12932.037794214468</v>
      </c>
      <c r="X430" s="20">
        <f t="shared" si="140"/>
        <v>1.8956765114847018</v>
      </c>
      <c r="Z430" s="22">
        <v>45709</v>
      </c>
      <c r="AA430" s="33">
        <v>2359110.8582000001</v>
      </c>
      <c r="AB430" s="33">
        <v>1973848.1333999999</v>
      </c>
      <c r="AC430" s="33">
        <v>1102791.0116000001</v>
      </c>
      <c r="AD430" s="33">
        <v>1656439.75</v>
      </c>
      <c r="AE430" s="33">
        <v>4990805.8145000003</v>
      </c>
      <c r="AF430" s="34">
        <v>2200.0720000000001</v>
      </c>
      <c r="AH430" s="28">
        <f t="shared" si="146"/>
        <v>-1.6432921427590518E-2</v>
      </c>
      <c r="AJ430" s="5">
        <f t="shared" si="147"/>
        <v>14763.672853518228</v>
      </c>
      <c r="AK430" s="6">
        <f t="shared" si="148"/>
        <v>12932.037794214468</v>
      </c>
      <c r="AM430" s="1">
        <f t="shared" si="141"/>
        <v>45709</v>
      </c>
      <c r="AN430">
        <f t="shared" si="142"/>
        <v>1.1416354551734449</v>
      </c>
      <c r="AO430">
        <f t="shared" ca="1" si="128"/>
        <v>1.102025897450865</v>
      </c>
      <c r="AP430">
        <f t="shared" ca="1" si="129"/>
        <v>1.1296702351694052</v>
      </c>
      <c r="AQ430">
        <f t="shared" ca="1" si="130"/>
        <v>1.154383337928663</v>
      </c>
      <c r="AR430">
        <f t="shared" ca="1" si="131"/>
        <v>1.1829613594045454</v>
      </c>
      <c r="AS430">
        <f t="shared" ca="1" si="132"/>
        <v>1.1976193706760374</v>
      </c>
    </row>
    <row r="431" spans="2:45" x14ac:dyDescent="0.25">
      <c r="B431" s="22">
        <v>45716</v>
      </c>
      <c r="C431">
        <v>1216.7190000000001</v>
      </c>
      <c r="D431">
        <v>2080</v>
      </c>
      <c r="E431">
        <v>1467.9380000000001</v>
      </c>
      <c r="F431">
        <v>2795.049</v>
      </c>
      <c r="G431">
        <v>5812.2979999999998</v>
      </c>
      <c r="H431">
        <v>1930.769</v>
      </c>
      <c r="I431" s="6">
        <v>2205801</v>
      </c>
      <c r="K431" s="23">
        <f t="shared" si="133"/>
        <v>-0.10191056004416932</v>
      </c>
      <c r="L431" s="24">
        <f t="shared" si="134"/>
        <v>-7.7605321507760561E-2</v>
      </c>
      <c r="M431" s="24">
        <f t="shared" si="135"/>
        <v>-0.19354833393123871</v>
      </c>
      <c r="N431" s="24">
        <f t="shared" si="136"/>
        <v>-0.10079566124622719</v>
      </c>
      <c r="O431" s="24">
        <f t="shared" si="137"/>
        <v>-8.5972807984401323E-2</v>
      </c>
      <c r="P431" s="24">
        <f t="shared" si="138"/>
        <v>-0.12240644851623039</v>
      </c>
      <c r="Q431" s="25">
        <f t="shared" si="139"/>
        <v>-6.7129196922855683E-2</v>
      </c>
      <c r="S431" s="26">
        <f t="shared" si="143"/>
        <v>-0.11370652220500459</v>
      </c>
      <c r="U431" s="5">
        <f t="shared" si="144"/>
        <v>21727.449415313509</v>
      </c>
      <c r="V431" s="6">
        <f t="shared" si="145"/>
        <v>12063.920482512833</v>
      </c>
      <c r="X431" s="20">
        <f t="shared" si="140"/>
        <v>1.8010272404239047</v>
      </c>
      <c r="Z431" s="22">
        <v>45716</v>
      </c>
      <c r="AA431" s="33">
        <v>2118691.9172</v>
      </c>
      <c r="AB431" s="33">
        <v>1820667.0144</v>
      </c>
      <c r="AC431" s="33">
        <v>889347.59</v>
      </c>
      <c r="AD431" s="33">
        <v>1489477.6532000001</v>
      </c>
      <c r="AE431" s="33">
        <v>4561732.0115</v>
      </c>
      <c r="AF431" s="34">
        <v>1930.769</v>
      </c>
      <c r="AH431" s="28">
        <f t="shared" si="146"/>
        <v>-9.9572043308524164E-2</v>
      </c>
      <c r="AJ431" s="5">
        <f t="shared" si="147"/>
        <v>13293.623780754828</v>
      </c>
      <c r="AK431" s="6">
        <f t="shared" si="148"/>
        <v>12063.920482512833</v>
      </c>
      <c r="AM431" s="1">
        <f t="shared" si="141"/>
        <v>45716</v>
      </c>
      <c r="AN431">
        <f t="shared" si="142"/>
        <v>1.1019323113099513</v>
      </c>
      <c r="AO431">
        <f t="shared" ca="1" si="128"/>
        <v>1.102025897450865</v>
      </c>
      <c r="AP431">
        <f t="shared" ca="1" si="129"/>
        <v>1.1296702351694052</v>
      </c>
      <c r="AQ431">
        <f t="shared" ca="1" si="130"/>
        <v>1.1532748952577803</v>
      </c>
      <c r="AR431">
        <f t="shared" ca="1" si="131"/>
        <v>1.1811249454050416</v>
      </c>
      <c r="AS431">
        <f t="shared" ca="1" si="132"/>
        <v>1.1958101870703761</v>
      </c>
    </row>
    <row r="432" spans="2:45" x14ac:dyDescent="0.25">
      <c r="B432" s="22">
        <v>45723</v>
      </c>
      <c r="C432">
        <v>1290.067</v>
      </c>
      <c r="D432">
        <v>2180</v>
      </c>
      <c r="E432">
        <v>1750.5160000000001</v>
      </c>
      <c r="F432">
        <v>2906.3560000000002</v>
      </c>
      <c r="G432">
        <v>5889.0280000000002</v>
      </c>
      <c r="H432">
        <v>2058.5740000000001</v>
      </c>
      <c r="I432" s="6">
        <v>2262289</v>
      </c>
      <c r="K432" s="23">
        <f t="shared" si="133"/>
        <v>6.0283434383781254E-2</v>
      </c>
      <c r="L432" s="24">
        <f t="shared" si="134"/>
        <v>4.8076923076923128E-2</v>
      </c>
      <c r="M432" s="24">
        <f t="shared" si="135"/>
        <v>0.19249995572020073</v>
      </c>
      <c r="N432" s="24">
        <f t="shared" si="136"/>
        <v>3.9822915447994101E-2</v>
      </c>
      <c r="O432" s="24">
        <f t="shared" si="137"/>
        <v>1.3201318996376443E-2</v>
      </c>
      <c r="P432" s="24">
        <f t="shared" si="138"/>
        <v>6.6193832612808645E-2</v>
      </c>
      <c r="Q432" s="25">
        <f t="shared" si="139"/>
        <v>2.5608837787270966E-2</v>
      </c>
      <c r="S432" s="26">
        <f t="shared" si="143"/>
        <v>7.0013063373014051E-2</v>
      </c>
      <c r="U432" s="5">
        <f t="shared" si="144"/>
        <v>23248.654708161812</v>
      </c>
      <c r="V432" s="6">
        <f t="shared" si="145"/>
        <v>12372.86346522804</v>
      </c>
      <c r="X432" s="20">
        <f t="shared" si="140"/>
        <v>1.8790035769406532</v>
      </c>
      <c r="Z432" s="22">
        <v>45723</v>
      </c>
      <c r="AA432" s="33">
        <v>2246414.4796000002</v>
      </c>
      <c r="AB432" s="33">
        <v>1908199.0824</v>
      </c>
      <c r="AC432" s="33">
        <v>1060547.0011</v>
      </c>
      <c r="AD432" s="33">
        <v>1548793.135</v>
      </c>
      <c r="AE432" s="33">
        <v>4621952.8960999995</v>
      </c>
      <c r="AF432" s="34">
        <v>2058.5740000000001</v>
      </c>
      <c r="AH432" s="28">
        <f t="shared" si="146"/>
        <v>4.6510256397530994E-2</v>
      </c>
      <c r="AJ432" s="5">
        <f t="shared" si="147"/>
        <v>13911.91363125005</v>
      </c>
      <c r="AK432" s="6">
        <f t="shared" si="148"/>
        <v>12372.86346522804</v>
      </c>
      <c r="AM432" s="1">
        <f t="shared" si="141"/>
        <v>45723</v>
      </c>
      <c r="AN432">
        <f t="shared" si="142"/>
        <v>1.1243891658828424</v>
      </c>
      <c r="AO432">
        <f t="shared" ca="1" si="128"/>
        <v>1.1019392080023731</v>
      </c>
      <c r="AP432">
        <f t="shared" ca="1" si="129"/>
        <v>1.128167317853255</v>
      </c>
      <c r="AQ432">
        <f t="shared" ca="1" si="130"/>
        <v>1.152573538814345</v>
      </c>
      <c r="AR432">
        <f t="shared" ca="1" si="131"/>
        <v>1.1811249454050416</v>
      </c>
      <c r="AS432">
        <f t="shared" ca="1" si="132"/>
        <v>1.1958101870703761</v>
      </c>
    </row>
    <row r="433" spans="2:45" x14ac:dyDescent="0.25">
      <c r="B433" s="22">
        <v>45730</v>
      </c>
      <c r="C433">
        <v>1324.5840000000001</v>
      </c>
      <c r="D433">
        <v>2045</v>
      </c>
      <c r="E433">
        <v>1644.0909999999999</v>
      </c>
      <c r="F433">
        <v>2997.0509999999999</v>
      </c>
      <c r="G433">
        <v>6512.4589999999998</v>
      </c>
      <c r="H433">
        <v>1930.769</v>
      </c>
      <c r="I433" s="6">
        <v>2335575</v>
      </c>
      <c r="K433" s="23">
        <f t="shared" si="133"/>
        <v>2.6755974689686601E-2</v>
      </c>
      <c r="L433" s="24">
        <f t="shared" si="134"/>
        <v>-6.1926605504587173E-2</v>
      </c>
      <c r="M433" s="24">
        <f t="shared" si="135"/>
        <v>-6.0796359473435313E-2</v>
      </c>
      <c r="N433" s="24">
        <f t="shared" si="136"/>
        <v>3.1205743549654441E-2</v>
      </c>
      <c r="O433" s="24">
        <f t="shared" si="137"/>
        <v>0.1058631407424111</v>
      </c>
      <c r="P433" s="24">
        <f t="shared" si="138"/>
        <v>-6.2084238895468435E-2</v>
      </c>
      <c r="Q433" s="25">
        <f t="shared" si="139"/>
        <v>3.2394623321777116E-2</v>
      </c>
      <c r="S433" s="26">
        <f t="shared" si="143"/>
        <v>-3.4970574819564635E-3</v>
      </c>
      <c r="U433" s="5">
        <f t="shared" si="144"/>
        <v>23167.352826269213</v>
      </c>
      <c r="V433" s="6">
        <f t="shared" si="145"/>
        <v>12773.677716595879</v>
      </c>
      <c r="X433" s="20">
        <f t="shared" si="140"/>
        <v>1.8136791408295523</v>
      </c>
      <c r="Z433" s="22">
        <v>45730</v>
      </c>
      <c r="AA433" s="33">
        <v>2306519.2148000002</v>
      </c>
      <c r="AB433" s="33">
        <v>1790030.7905999999</v>
      </c>
      <c r="AC433" s="33">
        <v>996069.30079999997</v>
      </c>
      <c r="AD433" s="33">
        <v>1597124.2683000001</v>
      </c>
      <c r="AE433" s="33">
        <v>5111247.5838000001</v>
      </c>
      <c r="AF433" s="34">
        <v>1930.769</v>
      </c>
      <c r="AH433" s="28">
        <f t="shared" si="146"/>
        <v>3.6438222337298092E-2</v>
      </c>
      <c r="AJ433" s="5">
        <f t="shared" si="147"/>
        <v>14418.839033282828</v>
      </c>
      <c r="AK433" s="6">
        <f t="shared" si="148"/>
        <v>12773.677716595879</v>
      </c>
      <c r="AM433" s="1">
        <f t="shared" si="141"/>
        <v>45730</v>
      </c>
      <c r="AN433">
        <f t="shared" si="142"/>
        <v>1.1287930816157601</v>
      </c>
      <c r="AO433">
        <f t="shared" ca="1" si="128"/>
        <v>1.1019392080023731</v>
      </c>
      <c r="AP433">
        <f t="shared" ca="1" si="129"/>
        <v>1.128167317853255</v>
      </c>
      <c r="AQ433">
        <f t="shared" ca="1" si="130"/>
        <v>1.152573538814345</v>
      </c>
      <c r="AR433">
        <f t="shared" ca="1" si="131"/>
        <v>1.1811249454050416</v>
      </c>
      <c r="AS433">
        <f t="shared" ca="1" si="132"/>
        <v>1.1958101870703761</v>
      </c>
    </row>
    <row r="434" spans="2:45" x14ac:dyDescent="0.25">
      <c r="B434" s="22">
        <v>45737</v>
      </c>
      <c r="C434">
        <v>1402.2470000000001</v>
      </c>
      <c r="D434">
        <v>2145</v>
      </c>
      <c r="E434">
        <v>1607.3920000000001</v>
      </c>
      <c r="F434">
        <v>3042.3980000000001</v>
      </c>
      <c r="G434">
        <v>6819.3789999999999</v>
      </c>
      <c r="H434">
        <v>1971.8489999999999</v>
      </c>
      <c r="I434" s="6">
        <v>2433538</v>
      </c>
      <c r="K434" s="23">
        <f t="shared" si="133"/>
        <v>5.8631993138978045E-2</v>
      </c>
      <c r="L434" s="24">
        <f t="shared" si="134"/>
        <v>4.8899755501222497E-2</v>
      </c>
      <c r="M434" s="24">
        <f t="shared" si="135"/>
        <v>-2.2321757129015296E-2</v>
      </c>
      <c r="N434" s="24">
        <f t="shared" si="136"/>
        <v>1.5130539987474378E-2</v>
      </c>
      <c r="O434" s="24">
        <f t="shared" si="137"/>
        <v>4.7128127793203856E-2</v>
      </c>
      <c r="P434" s="24">
        <f t="shared" si="138"/>
        <v>2.1276496566911884E-2</v>
      </c>
      <c r="Q434" s="25">
        <f t="shared" si="139"/>
        <v>4.1943846804320062E-2</v>
      </c>
      <c r="S434" s="26">
        <f t="shared" si="143"/>
        <v>2.8124192643129226E-2</v>
      </c>
      <c r="U434" s="5">
        <f t="shared" si="144"/>
        <v>23818.915920186551</v>
      </c>
      <c r="V434" s="6">
        <f t="shared" si="145"/>
        <v>13309.454897868534</v>
      </c>
      <c r="X434" s="20">
        <f t="shared" si="140"/>
        <v>1.7896237000661142</v>
      </c>
      <c r="Z434" s="22">
        <v>45737</v>
      </c>
      <c r="AA434" s="33">
        <v>2441754.8690999998</v>
      </c>
      <c r="AB434" s="33">
        <v>1877562.8585999999</v>
      </c>
      <c r="AC434" s="33">
        <v>973835.61109999998</v>
      </c>
      <c r="AD434" s="33">
        <v>1621289.8348999999</v>
      </c>
      <c r="AE434" s="33">
        <v>5352131.1223999998</v>
      </c>
      <c r="AF434" s="34">
        <v>1971.8489999999999</v>
      </c>
      <c r="AH434" s="28">
        <f t="shared" si="146"/>
        <v>3.944987813589422E-2</v>
      </c>
      <c r="AJ434" s="5">
        <f t="shared" si="147"/>
        <v>14987.660476006911</v>
      </c>
      <c r="AK434" s="6">
        <f t="shared" si="148"/>
        <v>13309.454897868534</v>
      </c>
      <c r="AM434" s="1">
        <f t="shared" si="141"/>
        <v>45737</v>
      </c>
      <c r="AN434">
        <f t="shared" si="142"/>
        <v>1.1260912329630521</v>
      </c>
      <c r="AO434">
        <f t="shared" ca="1" si="128"/>
        <v>1.1019392080023731</v>
      </c>
      <c r="AP434">
        <f t="shared" ca="1" si="129"/>
        <v>1.1288245917165263</v>
      </c>
      <c r="AQ434">
        <f t="shared" ca="1" si="130"/>
        <v>1.152573538814345</v>
      </c>
      <c r="AR434">
        <f t="shared" ca="1" si="131"/>
        <v>1.1811249454050416</v>
      </c>
      <c r="AS434">
        <f t="shared" ca="1" si="132"/>
        <v>1.1958101870703761</v>
      </c>
    </row>
    <row r="435" spans="2:45" x14ac:dyDescent="0.25">
      <c r="B435" s="22">
        <v>45744</v>
      </c>
      <c r="C435">
        <v>1303.011</v>
      </c>
      <c r="D435">
        <v>2050</v>
      </c>
      <c r="E435">
        <v>1545.0050000000001</v>
      </c>
      <c r="F435">
        <v>2889.866</v>
      </c>
      <c r="G435">
        <v>6828.97</v>
      </c>
      <c r="H435">
        <v>1935.3330000000001</v>
      </c>
      <c r="I435" s="6">
        <v>2378563</v>
      </c>
      <c r="K435" s="23">
        <f t="shared" si="133"/>
        <v>-7.0769272460557975E-2</v>
      </c>
      <c r="L435" s="24">
        <f t="shared" si="134"/>
        <v>-4.4289044289044344E-2</v>
      </c>
      <c r="M435" s="24">
        <f t="shared" si="135"/>
        <v>-3.8812560968326304E-2</v>
      </c>
      <c r="N435" s="24">
        <f t="shared" si="136"/>
        <v>-5.0135452363563315E-2</v>
      </c>
      <c r="O435" s="24">
        <f t="shared" si="137"/>
        <v>1.4064330491090349E-3</v>
      </c>
      <c r="P435" s="24">
        <f t="shared" si="138"/>
        <v>-1.8518659390247327E-2</v>
      </c>
      <c r="Q435" s="25">
        <f t="shared" si="139"/>
        <v>-2.2590565670229878E-2</v>
      </c>
      <c r="S435" s="26">
        <f t="shared" si="143"/>
        <v>-3.6853092737105041E-2</v>
      </c>
      <c r="U435" s="5">
        <f t="shared" si="144"/>
        <v>22941.115202882611</v>
      </c>
      <c r="V435" s="6">
        <f t="shared" si="145"/>
        <v>13008.786782963272</v>
      </c>
      <c r="X435" s="20">
        <f t="shared" si="140"/>
        <v>1.763509202328309</v>
      </c>
      <c r="Z435" s="22">
        <v>45744</v>
      </c>
      <c r="AA435" s="33">
        <v>2268953.7552999998</v>
      </c>
      <c r="AB435" s="33">
        <v>1794407.3940000001</v>
      </c>
      <c r="AC435" s="33">
        <v>936038.33849999995</v>
      </c>
      <c r="AD435" s="33">
        <v>1540005.6562000001</v>
      </c>
      <c r="AE435" s="33">
        <v>5359658.733</v>
      </c>
      <c r="AF435" s="34">
        <v>1935.3330000000001</v>
      </c>
      <c r="AH435" s="28">
        <f t="shared" si="146"/>
        <v>-2.9958475200455977E-2</v>
      </c>
      <c r="AJ435" s="5">
        <f t="shared" si="147"/>
        <v>14538.653021323604</v>
      </c>
      <c r="AK435" s="6">
        <f t="shared" si="148"/>
        <v>13008.786782963272</v>
      </c>
      <c r="AM435" s="1">
        <f t="shared" si="141"/>
        <v>45744</v>
      </c>
      <c r="AN435">
        <f t="shared" si="142"/>
        <v>1.1176025300348447</v>
      </c>
      <c r="AO435">
        <f t="shared" ca="1" si="128"/>
        <v>1.1019392080023731</v>
      </c>
      <c r="AP435">
        <f t="shared" ca="1" si="129"/>
        <v>1.1281358077524886</v>
      </c>
      <c r="AQ435">
        <f t="shared" ca="1" si="130"/>
        <v>1.152573538814345</v>
      </c>
      <c r="AR435">
        <f t="shared" ca="1" si="131"/>
        <v>1.1811249454050416</v>
      </c>
      <c r="AS435">
        <f t="shared" ca="1" si="132"/>
        <v>1.1958101870703761</v>
      </c>
    </row>
    <row r="436" spans="2:45" x14ac:dyDescent="0.25">
      <c r="B436" s="22">
        <v>45751</v>
      </c>
      <c r="C436">
        <v>1156.3140000000001</v>
      </c>
      <c r="D436">
        <v>1780</v>
      </c>
      <c r="E436">
        <v>1361.5129999999999</v>
      </c>
      <c r="F436">
        <v>2539.4540000000002</v>
      </c>
      <c r="G436">
        <v>5984.94</v>
      </c>
      <c r="H436">
        <v>1670.5940000000001</v>
      </c>
      <c r="I436" s="6">
        <v>2107816</v>
      </c>
      <c r="K436" s="23">
        <f t="shared" si="133"/>
        <v>-0.11258308640525672</v>
      </c>
      <c r="L436" s="24">
        <f t="shared" si="134"/>
        <v>-0.13170731707317074</v>
      </c>
      <c r="M436" s="24">
        <f t="shared" si="135"/>
        <v>-0.11876466419202536</v>
      </c>
      <c r="N436" s="24">
        <f t="shared" si="136"/>
        <v>-0.12125544921460019</v>
      </c>
      <c r="O436" s="24">
        <f t="shared" si="137"/>
        <v>-0.12359550561797761</v>
      </c>
      <c r="P436" s="24">
        <f t="shared" si="138"/>
        <v>-0.1367924796404546</v>
      </c>
      <c r="Q436" s="25">
        <f t="shared" si="139"/>
        <v>-0.11382797092193897</v>
      </c>
      <c r="S436" s="26">
        <f t="shared" si="143"/>
        <v>-0.1241164170239142</v>
      </c>
      <c r="U436" s="5">
        <f t="shared" si="144"/>
        <v>20093.746181367977</v>
      </c>
      <c r="V436" s="6">
        <f t="shared" si="145"/>
        <v>11528.022979302425</v>
      </c>
      <c r="X436" s="20">
        <f t="shared" si="140"/>
        <v>1.7430348826893016</v>
      </c>
      <c r="Z436" s="22">
        <v>45751</v>
      </c>
      <c r="AA436" s="33">
        <v>2013508.6305</v>
      </c>
      <c r="AB436" s="33">
        <v>1558070.8104000001</v>
      </c>
      <c r="AC436" s="33">
        <v>824869.88970000006</v>
      </c>
      <c r="AD436" s="33">
        <v>1353271.7320999999</v>
      </c>
      <c r="AE436" s="33">
        <v>4697229.0018999996</v>
      </c>
      <c r="AF436" s="34">
        <v>1670.5940000000001</v>
      </c>
      <c r="AH436" s="28">
        <f t="shared" si="146"/>
        <v>-0.12203842730158335</v>
      </c>
      <c r="AJ436" s="5">
        <f t="shared" si="147"/>
        <v>12764.378671517858</v>
      </c>
      <c r="AK436" s="6">
        <f t="shared" si="148"/>
        <v>11528.022979302425</v>
      </c>
      <c r="AM436" s="1">
        <f t="shared" si="141"/>
        <v>45751</v>
      </c>
      <c r="AN436">
        <f t="shared" si="142"/>
        <v>1.1072478511220183</v>
      </c>
      <c r="AO436">
        <f t="shared" ca="1" si="128"/>
        <v>1.1019392080023731</v>
      </c>
      <c r="AP436">
        <f t="shared" ca="1" si="129"/>
        <v>1.1261457978627687</v>
      </c>
      <c r="AQ436">
        <f t="shared" ca="1" si="130"/>
        <v>1.1518799469735832</v>
      </c>
      <c r="AR436">
        <f t="shared" ca="1" si="131"/>
        <v>1.1811249454050416</v>
      </c>
      <c r="AS436">
        <f t="shared" ca="1" si="132"/>
        <v>1.1958101870703761</v>
      </c>
    </row>
    <row r="437" spans="2:45" x14ac:dyDescent="0.25">
      <c r="B437" s="22">
        <v>45758</v>
      </c>
      <c r="C437">
        <v>1242.606</v>
      </c>
      <c r="D437">
        <v>1930</v>
      </c>
      <c r="E437">
        <v>1196.3699999999999</v>
      </c>
      <c r="F437">
        <v>2382.8000000000002</v>
      </c>
      <c r="G437">
        <v>6406.9549999999999</v>
      </c>
      <c r="H437">
        <v>1592.998</v>
      </c>
      <c r="I437" s="6">
        <v>2248803</v>
      </c>
      <c r="K437" s="23">
        <f t="shared" si="133"/>
        <v>7.4626788225343521E-2</v>
      </c>
      <c r="L437" s="24">
        <f t="shared" si="134"/>
        <v>8.4269662921348409E-2</v>
      </c>
      <c r="M437" s="24">
        <f t="shared" si="135"/>
        <v>-0.12129373718796665</v>
      </c>
      <c r="N437" s="24">
        <f t="shared" si="136"/>
        <v>-6.1688063654628089E-2</v>
      </c>
      <c r="O437" s="24">
        <f t="shared" si="137"/>
        <v>7.0512820512820484E-2</v>
      </c>
      <c r="P437" s="24">
        <f t="shared" si="138"/>
        <v>-4.6448149580328946E-2</v>
      </c>
      <c r="Q437" s="25">
        <f t="shared" si="139"/>
        <v>6.6887716954421084E-2</v>
      </c>
      <c r="S437" s="26">
        <f t="shared" si="143"/>
        <v>-3.4464605685458061E-6</v>
      </c>
      <c r="U437" s="5">
        <f t="shared" si="144"/>
        <v>20093.676929064088</v>
      </c>
      <c r="V437" s="6">
        <f t="shared" si="145"/>
        <v>12299.106117386067</v>
      </c>
      <c r="X437" s="20">
        <f t="shared" si="140"/>
        <v>1.6337510008682326</v>
      </c>
      <c r="Z437" s="22">
        <v>45758</v>
      </c>
      <c r="AA437" s="33">
        <v>2163770.4685999998</v>
      </c>
      <c r="AB437" s="33">
        <v>1689368.9124</v>
      </c>
      <c r="AC437" s="33">
        <v>724818.28590000002</v>
      </c>
      <c r="AD437" s="33">
        <v>1269790.6836999999</v>
      </c>
      <c r="AE437" s="33">
        <v>5028443.8673999999</v>
      </c>
      <c r="AF437" s="34">
        <v>1592.998</v>
      </c>
      <c r="AH437" s="28">
        <f t="shared" si="146"/>
        <v>4.1073822405089173E-2</v>
      </c>
      <c r="AJ437" s="5">
        <f t="shared" si="147"/>
        <v>13288.660494183092</v>
      </c>
      <c r="AK437" s="6">
        <f t="shared" si="148"/>
        <v>12299.106117386067</v>
      </c>
      <c r="AM437" s="1">
        <f t="shared" si="141"/>
        <v>45758</v>
      </c>
      <c r="AN437">
        <f t="shared" si="142"/>
        <v>1.0804574224624492</v>
      </c>
      <c r="AO437">
        <f t="shared" ca="1" si="128"/>
        <v>1.1019392080023731</v>
      </c>
      <c r="AP437">
        <f t="shared" ca="1" si="129"/>
        <v>1.1256657161929997</v>
      </c>
      <c r="AQ437">
        <f t="shared" ca="1" si="130"/>
        <v>1.1504491503815482</v>
      </c>
      <c r="AR437">
        <f t="shared" ca="1" si="131"/>
        <v>1.1784250000034211</v>
      </c>
      <c r="AS437">
        <f t="shared" ca="1" si="132"/>
        <v>1.1953546467295544</v>
      </c>
    </row>
    <row r="438" spans="2:45" x14ac:dyDescent="0.25">
      <c r="B438" s="22">
        <v>45765</v>
      </c>
      <c r="C438">
        <v>1139.056</v>
      </c>
      <c r="D438">
        <v>1995</v>
      </c>
      <c r="E438">
        <v>1354.173</v>
      </c>
      <c r="F438">
        <v>2518.8420000000001</v>
      </c>
      <c r="G438">
        <v>6100.0349999999999</v>
      </c>
      <c r="H438">
        <v>1748.19</v>
      </c>
      <c r="I438" s="6">
        <v>2177975</v>
      </c>
      <c r="K438" s="23">
        <f t="shared" si="133"/>
        <v>-8.3332930953174178E-2</v>
      </c>
      <c r="L438" s="24">
        <f t="shared" si="134"/>
        <v>3.3678756476683835E-2</v>
      </c>
      <c r="M438" s="24">
        <f t="shared" si="135"/>
        <v>0.13190150204368223</v>
      </c>
      <c r="N438" s="24">
        <f t="shared" si="136"/>
        <v>5.7093335571596349E-2</v>
      </c>
      <c r="O438" s="24">
        <f t="shared" si="137"/>
        <v>-4.7904191616766512E-2</v>
      </c>
      <c r="P438" s="24">
        <f t="shared" si="138"/>
        <v>9.7421340139786761E-2</v>
      </c>
      <c r="Q438" s="25">
        <f t="shared" si="139"/>
        <v>-3.1495866912308434E-2</v>
      </c>
      <c r="S438" s="26">
        <f t="shared" si="143"/>
        <v>3.1476301943634745E-2</v>
      </c>
      <c r="U438" s="5">
        <f t="shared" si="144"/>
        <v>20726.151571241156</v>
      </c>
      <c r="V438" s="6">
        <f t="shared" si="145"/>
        <v>11911.735107972518</v>
      </c>
      <c r="X438" s="20">
        <f t="shared" si="140"/>
        <v>1.7399775417578882</v>
      </c>
      <c r="Z438" s="22">
        <v>45765</v>
      </c>
      <c r="AA438" s="33">
        <v>1983456.2629</v>
      </c>
      <c r="AB438" s="33">
        <v>1746264.7566</v>
      </c>
      <c r="AC438" s="33">
        <v>820423.15179999999</v>
      </c>
      <c r="AD438" s="33">
        <v>1342287.3836000001</v>
      </c>
      <c r="AE438" s="33">
        <v>4787560.3289000001</v>
      </c>
      <c r="AF438" s="34">
        <v>1748.19</v>
      </c>
      <c r="AH438" s="28">
        <f t="shared" si="146"/>
        <v>-1.8022476753721685E-2</v>
      </c>
      <c r="AJ438" s="5">
        <f t="shared" si="147"/>
        <v>13049.165919338577</v>
      </c>
      <c r="AK438" s="6">
        <f t="shared" si="148"/>
        <v>11911.735107972518</v>
      </c>
      <c r="AM438" s="1">
        <f t="shared" si="141"/>
        <v>45765</v>
      </c>
      <c r="AN438">
        <f t="shared" si="142"/>
        <v>1.0954882559976318</v>
      </c>
      <c r="AO438">
        <f t="shared" ca="1" si="128"/>
        <v>1.1007084821039781</v>
      </c>
      <c r="AP438">
        <f t="shared" ca="1" si="129"/>
        <v>1.1234846788850805</v>
      </c>
      <c r="AQ438">
        <f t="shared" ca="1" si="130"/>
        <v>1.1484870595397574</v>
      </c>
      <c r="AR438">
        <f t="shared" ca="1" si="131"/>
        <v>1.1700010370746652</v>
      </c>
      <c r="AS438">
        <f t="shared" ca="1" si="132"/>
        <v>1.1953546467295544</v>
      </c>
    </row>
    <row r="439" spans="2:45" x14ac:dyDescent="0.25">
      <c r="B439" s="22">
        <v>45772</v>
      </c>
      <c r="C439">
        <v>1139.056</v>
      </c>
      <c r="D439">
        <v>1885</v>
      </c>
      <c r="E439">
        <v>1607.3920000000001</v>
      </c>
      <c r="F439">
        <v>2675.4969999999998</v>
      </c>
      <c r="G439">
        <v>5994.5309999999999</v>
      </c>
      <c r="H439">
        <v>1834.915</v>
      </c>
      <c r="I439" s="6">
        <v>2225243</v>
      </c>
      <c r="K439" s="23">
        <f t="shared" si="133"/>
        <v>0</v>
      </c>
      <c r="L439" s="24">
        <f t="shared" si="134"/>
        <v>-5.5137844611528819E-2</v>
      </c>
      <c r="M439" s="24">
        <f t="shared" si="135"/>
        <v>0.18699161776228013</v>
      </c>
      <c r="N439" s="24">
        <f t="shared" si="136"/>
        <v>6.2193261824282642E-2</v>
      </c>
      <c r="O439" s="24">
        <f t="shared" si="137"/>
        <v>-1.7295638467648144E-2</v>
      </c>
      <c r="P439" s="24">
        <f t="shared" si="138"/>
        <v>4.960845217053067E-2</v>
      </c>
      <c r="Q439" s="25">
        <f t="shared" si="139"/>
        <v>2.1702728451887587E-2</v>
      </c>
      <c r="S439" s="26">
        <f t="shared" si="143"/>
        <v>3.772664144631941E-2</v>
      </c>
      <c r="U439" s="5">
        <f t="shared" si="144"/>
        <v>21508.07966013144</v>
      </c>
      <c r="V439" s="6">
        <f t="shared" si="145"/>
        <v>12170.25226041166</v>
      </c>
      <c r="X439" s="20">
        <f t="shared" si="140"/>
        <v>1.7672665446791589</v>
      </c>
      <c r="Z439" s="22">
        <v>45772</v>
      </c>
      <c r="AA439" s="33">
        <v>1983456.2629</v>
      </c>
      <c r="AB439" s="33">
        <v>1649979.4818</v>
      </c>
      <c r="AC439" s="33">
        <v>973835.61109999998</v>
      </c>
      <c r="AD439" s="33">
        <v>1425768.4321000001</v>
      </c>
      <c r="AE439" s="33">
        <v>4704756.6124999998</v>
      </c>
      <c r="AF439" s="34">
        <v>1834.915</v>
      </c>
      <c r="AH439" s="28">
        <f t="shared" si="146"/>
        <v>5.4196245467217413E-3</v>
      </c>
      <c r="AJ439" s="5">
        <f t="shared" si="147"/>
        <v>13119.887499269269</v>
      </c>
      <c r="AK439" s="6">
        <f t="shared" si="148"/>
        <v>12170.25226041166</v>
      </c>
      <c r="AM439" s="1">
        <f t="shared" si="141"/>
        <v>45772</v>
      </c>
      <c r="AN439">
        <f t="shared" si="142"/>
        <v>1.0780292157087537</v>
      </c>
      <c r="AO439">
        <f t="shared" ca="1" si="128"/>
        <v>1.0978817904271345</v>
      </c>
      <c r="AP439">
        <f t="shared" ca="1" si="129"/>
        <v>1.1199790459275576</v>
      </c>
      <c r="AQ439">
        <f t="shared" ca="1" si="130"/>
        <v>1.1484870595397574</v>
      </c>
      <c r="AR439">
        <f t="shared" ca="1" si="131"/>
        <v>1.1700010370746652</v>
      </c>
      <c r="AS439">
        <f t="shared" ca="1" si="132"/>
        <v>1.1953546467295544</v>
      </c>
    </row>
    <row r="440" spans="2:45" x14ac:dyDescent="0.25">
      <c r="B440" s="22">
        <v>45779</v>
      </c>
      <c r="C440">
        <v>1087.28</v>
      </c>
      <c r="D440">
        <v>1790</v>
      </c>
      <c r="E440">
        <v>1541.335</v>
      </c>
      <c r="F440">
        <v>2535.3319999999999</v>
      </c>
      <c r="G440">
        <v>5793.1149999999998</v>
      </c>
      <c r="H440">
        <v>1729.932</v>
      </c>
      <c r="I440" s="6">
        <v>2100844</v>
      </c>
      <c r="K440" s="23">
        <f t="shared" si="133"/>
        <v>-4.5455183941790489E-2</v>
      </c>
      <c r="L440" s="24">
        <f t="shared" si="134"/>
        <v>-5.0397877984084904E-2</v>
      </c>
      <c r="M440" s="24">
        <f t="shared" si="135"/>
        <v>-4.1095762576894734E-2</v>
      </c>
      <c r="N440" s="24">
        <f t="shared" si="136"/>
        <v>-5.2388397370656703E-2</v>
      </c>
      <c r="O440" s="24">
        <f t="shared" si="137"/>
        <v>-3.3599959696596793E-2</v>
      </c>
      <c r="P440" s="24">
        <f t="shared" si="138"/>
        <v>-5.7214094385843461E-2</v>
      </c>
      <c r="Q440" s="25">
        <f t="shared" si="139"/>
        <v>-5.5903557499113576E-2</v>
      </c>
      <c r="S440" s="26">
        <f t="shared" si="143"/>
        <v>-4.6691879325977848E-2</v>
      </c>
      <c r="U440" s="5">
        <f t="shared" si="144"/>
        <v>20503.827000107063</v>
      </c>
      <c r="V440" s="6">
        <f t="shared" si="145"/>
        <v>11489.891863393021</v>
      </c>
      <c r="X440" s="20">
        <f t="shared" si="140"/>
        <v>1.7845100061761749</v>
      </c>
      <c r="Z440" s="22">
        <v>45779</v>
      </c>
      <c r="AA440" s="33">
        <v>1893299.1601</v>
      </c>
      <c r="AB440" s="33">
        <v>1566824.0171999999</v>
      </c>
      <c r="AC440" s="33">
        <v>933814.96950000001</v>
      </c>
      <c r="AD440" s="33">
        <v>1351074.8624</v>
      </c>
      <c r="AE440" s="33">
        <v>4546676.7903000005</v>
      </c>
      <c r="AF440" s="34">
        <v>1729.932</v>
      </c>
      <c r="AH440" s="28">
        <f t="shared" si="146"/>
        <v>-4.1548231645080237E-2</v>
      </c>
      <c r="AJ440" s="5">
        <f t="shared" si="147"/>
        <v>12574.779374292237</v>
      </c>
      <c r="AK440" s="6">
        <f t="shared" si="148"/>
        <v>11489.891863393021</v>
      </c>
      <c r="AM440" s="1">
        <f t="shared" si="141"/>
        <v>45779</v>
      </c>
      <c r="AN440">
        <f t="shared" si="142"/>
        <v>1.0944210375343639</v>
      </c>
      <c r="AO440">
        <f t="shared" ca="1" si="128"/>
        <v>1.0956977126555381</v>
      </c>
      <c r="AP440">
        <f t="shared" ca="1" si="129"/>
        <v>1.1170689771524984</v>
      </c>
      <c r="AQ440">
        <f t="shared" ca="1" si="130"/>
        <v>1.1463385497440004</v>
      </c>
      <c r="AR440">
        <f t="shared" ca="1" si="131"/>
        <v>1.1700010370746652</v>
      </c>
      <c r="AS440">
        <f t="shared" ca="1" si="132"/>
        <v>1.1953546467295544</v>
      </c>
    </row>
    <row r="441" spans="2:45" x14ac:dyDescent="0.25">
      <c r="B441" s="22">
        <v>45786</v>
      </c>
      <c r="C441">
        <v>1182.202</v>
      </c>
      <c r="D441">
        <v>1860</v>
      </c>
      <c r="E441">
        <v>1541.335</v>
      </c>
      <c r="F441">
        <v>2774.4360000000001</v>
      </c>
      <c r="G441">
        <v>6195.9480000000003</v>
      </c>
      <c r="H441">
        <v>1752.7550000000001</v>
      </c>
      <c r="I441" s="6">
        <v>2114386</v>
      </c>
      <c r="K441" s="23">
        <f t="shared" si="133"/>
        <v>8.7302258847766989E-2</v>
      </c>
      <c r="L441" s="24">
        <f t="shared" si="134"/>
        <v>3.9106145251396551E-2</v>
      </c>
      <c r="M441" s="24">
        <f t="shared" si="135"/>
        <v>0</v>
      </c>
      <c r="N441" s="24">
        <f t="shared" si="136"/>
        <v>9.430875325203969E-2</v>
      </c>
      <c r="O441" s="24">
        <f t="shared" si="137"/>
        <v>6.9536510150411512E-2</v>
      </c>
      <c r="P441" s="24">
        <f t="shared" si="138"/>
        <v>1.3193004118080998E-2</v>
      </c>
      <c r="Q441" s="25">
        <f t="shared" si="139"/>
        <v>6.4459807582095685E-3</v>
      </c>
      <c r="S441" s="26">
        <f t="shared" si="143"/>
        <v>5.0574445269949288E-2</v>
      </c>
      <c r="U441" s="5">
        <f t="shared" si="144"/>
        <v>21540.796676548485</v>
      </c>
      <c r="V441" s="6">
        <f t="shared" si="145"/>
        <v>11563.955485258361</v>
      </c>
      <c r="X441" s="20">
        <f t="shared" si="140"/>
        <v>1.8627533376454557</v>
      </c>
      <c r="Z441" s="22">
        <v>45786</v>
      </c>
      <c r="AA441" s="33">
        <v>2058587.182</v>
      </c>
      <c r="AB441" s="33">
        <v>1628096.4648</v>
      </c>
      <c r="AC441" s="33">
        <v>933814.96950000001</v>
      </c>
      <c r="AD441" s="33">
        <v>1478493.3047</v>
      </c>
      <c r="AE441" s="33">
        <v>4862836.4347000001</v>
      </c>
      <c r="AF441" s="34">
        <v>1752.7550000000001</v>
      </c>
      <c r="AH441" s="28">
        <f t="shared" si="146"/>
        <v>6.5105941857488248E-2</v>
      </c>
      <c r="AJ441" s="5">
        <f t="shared" si="147"/>
        <v>13393.47222910565</v>
      </c>
      <c r="AK441" s="6">
        <f t="shared" si="148"/>
        <v>11563.955485258361</v>
      </c>
      <c r="AM441" s="1">
        <f t="shared" si="141"/>
        <v>45786</v>
      </c>
      <c r="AN441">
        <f t="shared" si="142"/>
        <v>1.1582085598807037</v>
      </c>
      <c r="AO441">
        <f t="shared" ca="1" si="128"/>
        <v>1.0945277593806908</v>
      </c>
      <c r="AP441">
        <f t="shared" ca="1" si="129"/>
        <v>1.114147450502998</v>
      </c>
      <c r="AQ441">
        <f t="shared" ca="1" si="130"/>
        <v>1.1452248091318973</v>
      </c>
      <c r="AR441">
        <f t="shared" ca="1" si="131"/>
        <v>1.1624008446674134</v>
      </c>
      <c r="AS441">
        <f t="shared" ca="1" si="132"/>
        <v>1.1953546467295544</v>
      </c>
    </row>
    <row r="442" spans="2:45" x14ac:dyDescent="0.25">
      <c r="B442" s="22">
        <v>45793</v>
      </c>
      <c r="C442">
        <v>1328.8979999999999</v>
      </c>
      <c r="D442">
        <v>2015</v>
      </c>
      <c r="E442">
        <v>2018.415</v>
      </c>
      <c r="F442">
        <v>3312.2170000000001</v>
      </c>
      <c r="G442">
        <v>6915.2910000000002</v>
      </c>
      <c r="H442">
        <v>2081.3960000000002</v>
      </c>
      <c r="I442" s="6">
        <v>2318360</v>
      </c>
      <c r="K442" s="23">
        <f t="shared" si="133"/>
        <v>0.1240870849482576</v>
      </c>
      <c r="L442" s="24">
        <f t="shared" si="134"/>
        <v>8.3333333333333259E-2</v>
      </c>
      <c r="M442" s="24">
        <f t="shared" si="135"/>
        <v>0.30952388676050302</v>
      </c>
      <c r="N442" s="24">
        <f t="shared" si="136"/>
        <v>0.19383435047699793</v>
      </c>
      <c r="O442" s="24">
        <f t="shared" si="137"/>
        <v>0.11609894079162708</v>
      </c>
      <c r="P442" s="24">
        <f t="shared" si="138"/>
        <v>0.18749967907665366</v>
      </c>
      <c r="Q442" s="25">
        <f t="shared" si="139"/>
        <v>9.6469613400769871E-2</v>
      </c>
      <c r="S442" s="26">
        <f t="shared" si="143"/>
        <v>0.16906287923122876</v>
      </c>
      <c r="U442" s="5">
        <f t="shared" si="144"/>
        <v>25182.545783620255</v>
      </c>
      <c r="V442" s="6">
        <f t="shared" si="145"/>
        <v>12679.525800304948</v>
      </c>
      <c r="X442" s="20">
        <f t="shared" si="140"/>
        <v>1.9860794622946079</v>
      </c>
      <c r="Z442" s="22">
        <v>45793</v>
      </c>
      <c r="AA442" s="33">
        <v>2314032.3067000001</v>
      </c>
      <c r="AB442" s="33">
        <v>1763771.1702000001</v>
      </c>
      <c r="AC442" s="33">
        <v>1222852.9362999999</v>
      </c>
      <c r="AD442" s="33">
        <v>1575155.5713</v>
      </c>
      <c r="AE442" s="33">
        <v>5427407.2281999998</v>
      </c>
      <c r="AF442" s="34">
        <v>2081.3960000000002</v>
      </c>
      <c r="AH442" s="28">
        <f t="shared" si="146"/>
        <v>0.13970238383322672</v>
      </c>
      <c r="AJ442" s="5">
        <f t="shared" si="147"/>
        <v>15264.57222731583</v>
      </c>
      <c r="AK442" s="6">
        <f t="shared" si="148"/>
        <v>12679.525800304948</v>
      </c>
      <c r="AM442" s="1">
        <f t="shared" si="141"/>
        <v>45793</v>
      </c>
      <c r="AN442">
        <f t="shared" si="142"/>
        <v>1.2038756391779819</v>
      </c>
      <c r="AO442">
        <f t="shared" ca="1" si="128"/>
        <v>1.0945277593806908</v>
      </c>
      <c r="AP442">
        <f t="shared" ca="1" si="129"/>
        <v>1.114147450502998</v>
      </c>
      <c r="AQ442">
        <f t="shared" ca="1" si="130"/>
        <v>1.1452248091318973</v>
      </c>
      <c r="AR442">
        <f t="shared" ca="1" si="131"/>
        <v>1.1624008446674134</v>
      </c>
      <c r="AS442">
        <f t="shared" ca="1" si="132"/>
        <v>1.1953546467295544</v>
      </c>
    </row>
    <row r="443" spans="2:45" x14ac:dyDescent="0.25">
      <c r="B443" s="22">
        <v>45800</v>
      </c>
      <c r="C443">
        <v>1367.73</v>
      </c>
      <c r="D443">
        <v>2110</v>
      </c>
      <c r="E443">
        <v>1849.6020000000001</v>
      </c>
      <c r="F443">
        <v>3233.6849999999999</v>
      </c>
      <c r="G443">
        <v>6915.2910000000002</v>
      </c>
      <c r="H443">
        <v>2085.9609999999998</v>
      </c>
      <c r="I443" s="6">
        <v>2345902</v>
      </c>
      <c r="K443" s="23">
        <f t="shared" si="133"/>
        <v>2.9221204336224549E-2</v>
      </c>
      <c r="L443" s="24">
        <f t="shared" si="134"/>
        <v>4.7146401985111552E-2</v>
      </c>
      <c r="M443" s="24">
        <f t="shared" si="135"/>
        <v>-8.3636417684172959E-2</v>
      </c>
      <c r="N443" s="24">
        <f t="shared" si="136"/>
        <v>-2.3709799206996451E-2</v>
      </c>
      <c r="O443" s="24">
        <f t="shared" si="137"/>
        <v>0</v>
      </c>
      <c r="P443" s="24">
        <f t="shared" si="138"/>
        <v>2.1932395373103208E-3</v>
      </c>
      <c r="Q443" s="25">
        <f t="shared" si="139"/>
        <v>1.1879949619558738E-2</v>
      </c>
      <c r="S443" s="26">
        <f t="shared" si="143"/>
        <v>-4.7975618387538317E-3</v>
      </c>
      <c r="U443" s="5">
        <f t="shared" si="144"/>
        <v>25061.730962966089</v>
      </c>
      <c r="V443" s="6">
        <f t="shared" si="145"/>
        <v>12830.157928012466</v>
      </c>
      <c r="X443" s="20">
        <f t="shared" si="140"/>
        <v>1.9533454773965071</v>
      </c>
      <c r="Z443" s="22">
        <v>45800</v>
      </c>
      <c r="AA443" s="33">
        <v>2381650.1338999998</v>
      </c>
      <c r="AB443" s="33">
        <v>1846926.6348000001</v>
      </c>
      <c r="AC443" s="33">
        <v>1120577.9634</v>
      </c>
      <c r="AD443" s="33">
        <v>1537808.7864999999</v>
      </c>
      <c r="AE443" s="33">
        <v>5427407.2281999998</v>
      </c>
      <c r="AF443" s="34">
        <v>2085.9609999999998</v>
      </c>
      <c r="AH443" s="28">
        <f t="shared" si="146"/>
        <v>9.0669700541962963E-4</v>
      </c>
      <c r="AJ443" s="5">
        <f t="shared" si="147"/>
        <v>15278.41256924335</v>
      </c>
      <c r="AK443" s="6">
        <f t="shared" si="148"/>
        <v>12830.157928012466</v>
      </c>
      <c r="AM443" s="1">
        <f t="shared" si="141"/>
        <v>45800</v>
      </c>
      <c r="AN443">
        <f t="shared" si="142"/>
        <v>1.1908203043927883</v>
      </c>
      <c r="AO443">
        <f t="shared" ref="AO443:AO489" ca="1" si="149">+_xlfn.PERCENTILE.INC(OFFSET(AN443,-52,0,52,1),0.1)</f>
        <v>1.0945277593806908</v>
      </c>
      <c r="AP443">
        <f t="shared" ref="AP443:AP489" ca="1" si="150">+_xlfn.PERCENTILE.INC(OFFSET(AN443,-52,0,52,1),0.25)</f>
        <v>1.114147450502998</v>
      </c>
      <c r="AQ443">
        <f t="shared" ref="AQ443:AQ489" ca="1" si="151">+_xlfn.PERCENTILE.INC(OFFSET(AN443,-52,0,52,1),0.5)</f>
        <v>1.1452248091318973</v>
      </c>
      <c r="AR443">
        <f t="shared" ref="AR443:AR489" ca="1" si="152">+_xlfn.PERCENTILE.INC(OFFSET(AN443,-52,0,52,1),0.75)</f>
        <v>1.1700010370746652</v>
      </c>
      <c r="AS443">
        <f t="shared" ref="AS443:AS489" ca="1" si="153">+_xlfn.PERCENTILE.INC(OFFSET(AN443,-52,0,52,1),0.9)</f>
        <v>1.1958101870703761</v>
      </c>
    </row>
    <row r="444" spans="2:45" x14ac:dyDescent="0.25">
      <c r="B444" s="22">
        <v>45807</v>
      </c>
      <c r="C444">
        <v>1350.471</v>
      </c>
      <c r="D444">
        <v>1985</v>
      </c>
      <c r="E444">
        <v>1981.7159999999999</v>
      </c>
      <c r="F444">
        <v>3238.3040000000001</v>
      </c>
      <c r="G444">
        <v>6474.0940000000001</v>
      </c>
      <c r="H444">
        <v>2095.0889999999999</v>
      </c>
      <c r="I444" s="6">
        <v>2278992</v>
      </c>
      <c r="K444" s="23">
        <f t="shared" si="133"/>
        <v>-1.2618718606742574E-2</v>
      </c>
      <c r="L444" s="24">
        <f t="shared" si="134"/>
        <v>-5.9241706161137442E-2</v>
      </c>
      <c r="M444" s="24">
        <f t="shared" si="135"/>
        <v>7.1428339718490719E-2</v>
      </c>
      <c r="N444" s="24">
        <f t="shared" si="136"/>
        <v>1.4284013439775922E-3</v>
      </c>
      <c r="O444" s="24">
        <f t="shared" si="137"/>
        <v>-6.3800207395466102E-2</v>
      </c>
      <c r="P444" s="24">
        <f t="shared" si="138"/>
        <v>4.3759207386908638E-3</v>
      </c>
      <c r="Q444" s="25">
        <f t="shared" si="139"/>
        <v>-2.8522078074872725E-2</v>
      </c>
      <c r="S444" s="26">
        <f t="shared" si="143"/>
        <v>-9.7379950603644905E-3</v>
      </c>
      <c r="U444" s="5">
        <f t="shared" si="144"/>
        <v>24817.679950644542</v>
      </c>
      <c r="V444" s="6">
        <f t="shared" si="145"/>
        <v>12464.215161876748</v>
      </c>
      <c r="X444" s="20">
        <f t="shared" si="140"/>
        <v>1.9911145329512849</v>
      </c>
      <c r="Z444" s="22">
        <v>45807</v>
      </c>
      <c r="AA444" s="33">
        <v>2351597.7662999998</v>
      </c>
      <c r="AB444" s="33">
        <v>1737511.5497999999</v>
      </c>
      <c r="AC444" s="33">
        <v>1200619.2464999999</v>
      </c>
      <c r="AD444" s="33">
        <v>1540005.6562000001</v>
      </c>
      <c r="AE444" s="33">
        <v>5081137.1414999999</v>
      </c>
      <c r="AF444" s="34">
        <v>2095.0889999999999</v>
      </c>
      <c r="AH444" s="28">
        <f t="shared" si="146"/>
        <v>-3.2760347770675727E-2</v>
      </c>
      <c r="AJ444" s="5">
        <f t="shared" si="147"/>
        <v>14777.886460091075</v>
      </c>
      <c r="AK444" s="6">
        <f t="shared" si="148"/>
        <v>12464.215161876748</v>
      </c>
      <c r="AM444" s="1">
        <f t="shared" si="141"/>
        <v>45807</v>
      </c>
      <c r="AN444">
        <f t="shared" si="142"/>
        <v>1.1856251090153642</v>
      </c>
      <c r="AO444">
        <f t="shared" ca="1" si="149"/>
        <v>1.0945277593806908</v>
      </c>
      <c r="AP444">
        <f t="shared" ca="1" si="150"/>
        <v>1.114147450502998</v>
      </c>
      <c r="AQ444">
        <f t="shared" ca="1" si="151"/>
        <v>1.1452248091318973</v>
      </c>
      <c r="AR444">
        <f t="shared" ca="1" si="152"/>
        <v>1.1811249454050416</v>
      </c>
      <c r="AS444">
        <f t="shared" ca="1" si="153"/>
        <v>1.1958101870703761</v>
      </c>
    </row>
    <row r="445" spans="2:45" x14ac:dyDescent="0.25">
      <c r="B445" s="22">
        <v>45814</v>
      </c>
      <c r="C445">
        <v>1285.752</v>
      </c>
      <c r="D445">
        <v>1895</v>
      </c>
      <c r="E445">
        <v>1739.5070000000001</v>
      </c>
      <c r="F445">
        <v>2998.0880000000002</v>
      </c>
      <c r="G445">
        <v>6390</v>
      </c>
      <c r="H445">
        <v>1917.075</v>
      </c>
      <c r="I445" s="6">
        <v>2156779</v>
      </c>
      <c r="K445" s="23">
        <f t="shared" si="133"/>
        <v>-4.7923280100053978E-2</v>
      </c>
      <c r="L445" s="24">
        <f t="shared" si="134"/>
        <v>-4.5340050377833729E-2</v>
      </c>
      <c r="M445" s="24">
        <f t="shared" si="135"/>
        <v>-0.12222185217256143</v>
      </c>
      <c r="N445" s="24">
        <f t="shared" si="136"/>
        <v>-7.4179570540628625E-2</v>
      </c>
      <c r="O445" s="24">
        <f t="shared" si="137"/>
        <v>-1.2989307847553699E-2</v>
      </c>
      <c r="P445" s="24">
        <f t="shared" si="138"/>
        <v>-8.4967273466664106E-2</v>
      </c>
      <c r="Q445" s="25">
        <f t="shared" si="139"/>
        <v>-5.36259012756517E-2</v>
      </c>
      <c r="S445" s="26">
        <f t="shared" si="143"/>
        <v>-6.4603555750882599E-2</v>
      </c>
      <c r="U445" s="5">
        <f t="shared" si="144"/>
        <v>23214.369580345516</v>
      </c>
      <c r="V445" s="6">
        <f t="shared" si="145"/>
        <v>11795.810390127464</v>
      </c>
      <c r="X445" s="20">
        <f t="shared" si="140"/>
        <v>1.9680182041392296</v>
      </c>
      <c r="Z445" s="22">
        <v>45814</v>
      </c>
      <c r="AA445" s="33">
        <v>2238901.3876999998</v>
      </c>
      <c r="AB445" s="33">
        <v>1659417.9983000001</v>
      </c>
      <c r="AC445" s="33">
        <v>1053876.8942</v>
      </c>
      <c r="AD445" s="33">
        <v>1425768.4321000001</v>
      </c>
      <c r="AE445" s="33">
        <v>4810143.1606000001</v>
      </c>
      <c r="AF445" s="34">
        <v>1917.075</v>
      </c>
      <c r="AH445" s="28">
        <f t="shared" si="146"/>
        <v>-4.3535124241235762E-2</v>
      </c>
      <c r="AJ445" s="5">
        <f t="shared" si="147"/>
        <v>14134.529337028134</v>
      </c>
      <c r="AK445" s="6">
        <f t="shared" si="148"/>
        <v>11795.810390127464</v>
      </c>
      <c r="AM445" s="1">
        <f t="shared" si="141"/>
        <v>45814</v>
      </c>
      <c r="AN445">
        <f t="shared" si="142"/>
        <v>1.1982669159261892</v>
      </c>
      <c r="AO445">
        <f t="shared" ca="1" si="149"/>
        <v>1.0945277593806908</v>
      </c>
      <c r="AP445">
        <f t="shared" ca="1" si="150"/>
        <v>1.114147450502998</v>
      </c>
      <c r="AQ445">
        <f t="shared" ca="1" si="151"/>
        <v>1.1452248091318973</v>
      </c>
      <c r="AR445">
        <f t="shared" ca="1" si="152"/>
        <v>1.1825712962941155</v>
      </c>
      <c r="AS445">
        <f t="shared" ca="1" si="153"/>
        <v>1.1958101870703761</v>
      </c>
    </row>
    <row r="446" spans="2:45" x14ac:dyDescent="0.25">
      <c r="B446" s="22">
        <v>45821</v>
      </c>
      <c r="C446">
        <v>1264.1790000000001</v>
      </c>
      <c r="D446">
        <v>1740</v>
      </c>
      <c r="E446">
        <v>1893.64</v>
      </c>
      <c r="F446">
        <v>2859.5010000000002</v>
      </c>
      <c r="G446">
        <v>6400</v>
      </c>
      <c r="H446">
        <v>1853.173</v>
      </c>
      <c r="I446" s="6">
        <v>2127156</v>
      </c>
      <c r="K446" s="23">
        <f t="shared" si="133"/>
        <v>-1.6778507830436884E-2</v>
      </c>
      <c r="L446" s="24">
        <f t="shared" si="134"/>
        <v>-8.1794195250659674E-2</v>
      </c>
      <c r="M446" s="24">
        <f t="shared" si="135"/>
        <v>8.8607289306682935E-2</v>
      </c>
      <c r="N446" s="24">
        <f t="shared" si="136"/>
        <v>-4.6225127481248074E-2</v>
      </c>
      <c r="O446" s="24">
        <f t="shared" si="137"/>
        <v>1.5649452269170805E-3</v>
      </c>
      <c r="P446" s="24">
        <f t="shared" si="138"/>
        <v>-3.3333072519332818E-2</v>
      </c>
      <c r="Q446" s="25">
        <f t="shared" si="139"/>
        <v>-1.3734833286117909E-2</v>
      </c>
      <c r="S446" s="26">
        <f t="shared" si="143"/>
        <v>-1.465977809134624E-2</v>
      </c>
      <c r="U446" s="5">
        <f t="shared" si="144"/>
        <v>22874.052073767154</v>
      </c>
      <c r="V446" s="6">
        <f t="shared" si="145"/>
        <v>11633.796900944406</v>
      </c>
      <c r="X446" s="20">
        <f t="shared" si="140"/>
        <v>1.9661725461195123</v>
      </c>
      <c r="Z446" s="22">
        <v>45821</v>
      </c>
      <c r="AA446" s="33">
        <v>2201335.9282</v>
      </c>
      <c r="AB446" s="33">
        <v>1523687.2385</v>
      </c>
      <c r="AC446" s="33">
        <v>1147258.3910999999</v>
      </c>
      <c r="AD446" s="33">
        <v>1359862.3411999999</v>
      </c>
      <c r="AE446" s="33">
        <v>4817670.7712000003</v>
      </c>
      <c r="AF446" s="34">
        <v>1853.173</v>
      </c>
      <c r="AH446" s="28">
        <f t="shared" si="146"/>
        <v>-1.2364371747094248E-2</v>
      </c>
      <c r="AJ446" s="5">
        <f t="shared" si="147"/>
        <v>13959.764761834909</v>
      </c>
      <c r="AK446" s="6">
        <f t="shared" si="148"/>
        <v>11633.796900944406</v>
      </c>
      <c r="AM446" s="1">
        <f t="shared" si="141"/>
        <v>45821</v>
      </c>
      <c r="AN446">
        <f t="shared" si="142"/>
        <v>1.1999319638029513</v>
      </c>
      <c r="AO446">
        <f t="shared" ca="1" si="149"/>
        <v>1.0945277593806908</v>
      </c>
      <c r="AP446">
        <f t="shared" ca="1" si="150"/>
        <v>1.114147450502998</v>
      </c>
      <c r="AQ446">
        <f t="shared" ca="1" si="151"/>
        <v>1.1452248091318973</v>
      </c>
      <c r="AR446">
        <f t="shared" ca="1" si="152"/>
        <v>1.1860151721257939</v>
      </c>
      <c r="AS446">
        <f t="shared" ca="1" si="153"/>
        <v>1.1976193706760374</v>
      </c>
    </row>
    <row r="447" spans="2:45" x14ac:dyDescent="0.25">
      <c r="B447" s="22">
        <v>45828</v>
      </c>
      <c r="C447">
        <v>1242.606</v>
      </c>
      <c r="D447">
        <v>1695</v>
      </c>
      <c r="E447">
        <v>1772.5350000000001</v>
      </c>
      <c r="F447">
        <v>2780.9690000000001</v>
      </c>
      <c r="G447">
        <v>6620</v>
      </c>
      <c r="H447">
        <v>1780.1410000000001</v>
      </c>
      <c r="I447" s="6">
        <v>2064099</v>
      </c>
      <c r="K447" s="23">
        <f t="shared" si="133"/>
        <v>-1.7064830217872751E-2</v>
      </c>
      <c r="L447" s="24">
        <f t="shared" si="134"/>
        <v>-2.5862068965517238E-2</v>
      </c>
      <c r="M447" s="24">
        <f t="shared" si="135"/>
        <v>-6.3953549777148733E-2</v>
      </c>
      <c r="N447" s="24">
        <f t="shared" si="136"/>
        <v>-2.74635329730607E-2</v>
      </c>
      <c r="O447" s="24">
        <f t="shared" si="137"/>
        <v>3.4375000000000044E-2</v>
      </c>
      <c r="P447" s="24">
        <f t="shared" si="138"/>
        <v>-3.9409164713709921E-2</v>
      </c>
      <c r="Q447" s="25">
        <f t="shared" si="139"/>
        <v>-2.9643806096026792E-2</v>
      </c>
      <c r="S447" s="26">
        <f t="shared" si="143"/>
        <v>-2.3229691107884882E-2</v>
      </c>
      <c r="U447" s="5">
        <f t="shared" si="144"/>
        <v>22342.694909707869</v>
      </c>
      <c r="V447" s="6">
        <f t="shared" si="145"/>
        <v>11288.926881452253</v>
      </c>
      <c r="X447" s="20">
        <f t="shared" si="140"/>
        <v>1.9791690693308499</v>
      </c>
      <c r="Z447" s="22">
        <v>45828</v>
      </c>
      <c r="AA447" s="33">
        <v>2163770.4685999998</v>
      </c>
      <c r="AB447" s="33">
        <v>1484281.5341</v>
      </c>
      <c r="AC447" s="33">
        <v>1073887.2149</v>
      </c>
      <c r="AD447" s="33">
        <v>1322515.5563999999</v>
      </c>
      <c r="AE447" s="33">
        <v>4983278.2039999999</v>
      </c>
      <c r="AF447" s="34">
        <v>1780.1410000000001</v>
      </c>
      <c r="AH447" s="28">
        <f t="shared" si="146"/>
        <v>-2.0046384613041268E-3</v>
      </c>
      <c r="AJ447" s="5">
        <f t="shared" si="147"/>
        <v>13931.780480482576</v>
      </c>
      <c r="AK447" s="6">
        <f t="shared" si="148"/>
        <v>11288.926881452253</v>
      </c>
      <c r="AM447" s="1">
        <f t="shared" si="141"/>
        <v>45828</v>
      </c>
      <c r="AN447">
        <f t="shared" si="142"/>
        <v>1.234110259264106</v>
      </c>
      <c r="AO447">
        <f t="shared" ca="1" si="149"/>
        <v>1.0945277593806908</v>
      </c>
      <c r="AP447">
        <f t="shared" ca="1" si="150"/>
        <v>1.114147450502998</v>
      </c>
      <c r="AQ447">
        <f t="shared" ca="1" si="151"/>
        <v>1.1452248091318973</v>
      </c>
      <c r="AR447">
        <f t="shared" ca="1" si="152"/>
        <v>1.186891410778629</v>
      </c>
      <c r="AS447">
        <f t="shared" ca="1" si="153"/>
        <v>1.1982219054159489</v>
      </c>
    </row>
    <row r="448" spans="2:45" x14ac:dyDescent="0.25">
      <c r="B448" s="22">
        <v>45835</v>
      </c>
      <c r="C448">
        <v>1229.662</v>
      </c>
      <c r="D448">
        <v>1665</v>
      </c>
      <c r="E448">
        <v>1545.0050000000001</v>
      </c>
      <c r="F448">
        <v>2693.1979999999999</v>
      </c>
      <c r="G448">
        <v>6280</v>
      </c>
      <c r="H448">
        <v>1793.835</v>
      </c>
      <c r="I448" s="6">
        <v>2041078</v>
      </c>
      <c r="K448" s="23">
        <f t="shared" si="133"/>
        <v>-1.0416817559226299E-2</v>
      </c>
      <c r="L448" s="24">
        <f t="shared" si="134"/>
        <v>-1.7699115044247815E-2</v>
      </c>
      <c r="M448" s="24">
        <f t="shared" si="135"/>
        <v>-0.12836417898659258</v>
      </c>
      <c r="N448" s="24">
        <f t="shared" si="136"/>
        <v>-3.1561301114827356E-2</v>
      </c>
      <c r="O448" s="24">
        <f t="shared" si="137"/>
        <v>-5.1359516616314216E-2</v>
      </c>
      <c r="P448" s="24">
        <f t="shared" si="138"/>
        <v>7.6926490654392055E-3</v>
      </c>
      <c r="Q448" s="25">
        <f t="shared" si="139"/>
        <v>-1.1153050313962631E-2</v>
      </c>
      <c r="S448" s="26">
        <f t="shared" si="143"/>
        <v>-3.8618046709294841E-2</v>
      </c>
      <c r="U448" s="5">
        <f t="shared" si="144"/>
        <v>21479.863674073247</v>
      </c>
      <c r="V448" s="6">
        <f t="shared" si="145"/>
        <v>11163.02091195277</v>
      </c>
      <c r="X448" s="20">
        <f t="shared" si="140"/>
        <v>1.924198104034164</v>
      </c>
      <c r="Z448" s="22">
        <v>45835</v>
      </c>
      <c r="AA448" s="33">
        <v>2141231.1929000001</v>
      </c>
      <c r="AB448" s="33">
        <v>1458011.0645000001</v>
      </c>
      <c r="AC448" s="33">
        <v>936038.33849999995</v>
      </c>
      <c r="AD448" s="33">
        <v>1280775.0322</v>
      </c>
      <c r="AE448" s="33">
        <v>4727339.4441999998</v>
      </c>
      <c r="AF448" s="34">
        <v>1793.835</v>
      </c>
      <c r="AH448" s="28">
        <f t="shared" si="146"/>
        <v>-4.3911648203100673E-2</v>
      </c>
      <c r="AJ448" s="5">
        <f t="shared" si="147"/>
        <v>13320.013037180799</v>
      </c>
      <c r="AK448" s="6">
        <f t="shared" si="148"/>
        <v>11163.02091195277</v>
      </c>
      <c r="AM448" s="1">
        <f t="shared" si="141"/>
        <v>45835</v>
      </c>
      <c r="AN448">
        <f t="shared" si="142"/>
        <v>1.1932265595703073</v>
      </c>
      <c r="AO448">
        <f t="shared" ca="1" si="149"/>
        <v>1.0945277593806908</v>
      </c>
      <c r="AP448">
        <f t="shared" ca="1" si="150"/>
        <v>1.114147450502998</v>
      </c>
      <c r="AQ448">
        <f t="shared" ca="1" si="151"/>
        <v>1.1452248091318973</v>
      </c>
      <c r="AR448">
        <f t="shared" ca="1" si="152"/>
        <v>1.1869239078597202</v>
      </c>
      <c r="AS448">
        <f t="shared" ca="1" si="153"/>
        <v>1.1997654590152751</v>
      </c>
    </row>
    <row r="449" spans="2:45" x14ac:dyDescent="0.25">
      <c r="B449" s="22">
        <v>45842</v>
      </c>
      <c r="C449">
        <v>1229.662</v>
      </c>
      <c r="D449">
        <v>1630</v>
      </c>
      <c r="E449">
        <v>1633.0809999999999</v>
      </c>
      <c r="F449">
        <v>2744.0129999999999</v>
      </c>
      <c r="G449">
        <v>6760</v>
      </c>
      <c r="H449">
        <v>1807.528</v>
      </c>
      <c r="I449" s="6">
        <v>2078697</v>
      </c>
      <c r="K449" s="23">
        <f t="shared" si="133"/>
        <v>0</v>
      </c>
      <c r="L449" s="24">
        <f t="shared" si="134"/>
        <v>-2.1021021021020991E-2</v>
      </c>
      <c r="M449" s="24">
        <f t="shared" si="135"/>
        <v>5.7006935252636559E-2</v>
      </c>
      <c r="N449" s="24">
        <f t="shared" si="136"/>
        <v>1.8867903510993322E-2</v>
      </c>
      <c r="O449" s="24">
        <f t="shared" si="137"/>
        <v>7.6433121019108263E-2</v>
      </c>
      <c r="P449" s="24">
        <f t="shared" si="138"/>
        <v>7.633366502493244E-3</v>
      </c>
      <c r="Q449" s="25">
        <f t="shared" si="139"/>
        <v>1.8430946784003366E-2</v>
      </c>
      <c r="S449" s="26">
        <f t="shared" si="143"/>
        <v>2.3153384210701733E-2</v>
      </c>
      <c r="U449" s="5">
        <f t="shared" si="144"/>
        <v>21977.19521051256</v>
      </c>
      <c r="V449" s="6">
        <f t="shared" si="145"/>
        <v>11368.765956329687</v>
      </c>
      <c r="X449" s="20">
        <f t="shared" si="140"/>
        <v>1.9331205598683743</v>
      </c>
      <c r="Z449" s="22">
        <v>45842</v>
      </c>
      <c r="AA449" s="33">
        <v>2141231.1929000001</v>
      </c>
      <c r="AB449" s="33">
        <v>1427362.1832000001</v>
      </c>
      <c r="AC449" s="33">
        <v>989399.19389999995</v>
      </c>
      <c r="AD449" s="33">
        <v>1304940.5988</v>
      </c>
      <c r="AE449" s="33">
        <v>5088664.7521000002</v>
      </c>
      <c r="AF449" s="34">
        <v>1807.528</v>
      </c>
      <c r="AH449" s="28">
        <f t="shared" si="146"/>
        <v>3.8711144947086676E-2</v>
      </c>
      <c r="AJ449" s="5">
        <f t="shared" si="147"/>
        <v>13835.64599256019</v>
      </c>
      <c r="AK449" s="6">
        <f t="shared" si="148"/>
        <v>11368.765956329687</v>
      </c>
      <c r="AM449" s="1">
        <f t="shared" si="141"/>
        <v>45842</v>
      </c>
      <c r="AN449">
        <f t="shared" si="142"/>
        <v>1.2169874941314136</v>
      </c>
      <c r="AO449">
        <f t="shared" ca="1" si="149"/>
        <v>1.0945277593806908</v>
      </c>
      <c r="AP449">
        <f t="shared" ca="1" si="150"/>
        <v>1.114147450502998</v>
      </c>
      <c r="AQ449">
        <f t="shared" ca="1" si="151"/>
        <v>1.1452248091318973</v>
      </c>
      <c r="AR449">
        <f t="shared" ca="1" si="152"/>
        <v>1.1869239078597202</v>
      </c>
      <c r="AS449">
        <f t="shared" ca="1" si="153"/>
        <v>1.1982219054159489</v>
      </c>
    </row>
    <row r="450" spans="2:45" x14ac:dyDescent="0.25">
      <c r="B450" s="22">
        <v>45849</v>
      </c>
      <c r="C450">
        <v>1203.7750000000001</v>
      </c>
      <c r="D450">
        <v>1590</v>
      </c>
      <c r="E450">
        <v>1607.3920000000001</v>
      </c>
      <c r="F450">
        <v>2536.1329999999998</v>
      </c>
      <c r="G450">
        <v>6290</v>
      </c>
      <c r="H450">
        <v>1743.626</v>
      </c>
      <c r="I450" s="6">
        <v>2007433</v>
      </c>
      <c r="K450" s="23">
        <f t="shared" si="133"/>
        <v>-2.1052126519319869E-2</v>
      </c>
      <c r="L450" s="24">
        <f t="shared" si="134"/>
        <v>-2.4539877300613466E-2</v>
      </c>
      <c r="M450" s="24">
        <f t="shared" si="135"/>
        <v>-1.5730389368316611E-2</v>
      </c>
      <c r="N450" s="24">
        <f t="shared" si="136"/>
        <v>-7.575765858252137E-2</v>
      </c>
      <c r="O450" s="24">
        <f t="shared" si="137"/>
        <v>-6.9526627218934878E-2</v>
      </c>
      <c r="P450" s="24">
        <f t="shared" si="138"/>
        <v>-3.5353255938497252E-2</v>
      </c>
      <c r="Q450" s="25">
        <f t="shared" si="139"/>
        <v>-3.428301479243967E-2</v>
      </c>
      <c r="S450" s="26">
        <f t="shared" si="143"/>
        <v>-4.0326655821367241E-2</v>
      </c>
      <c r="U450" s="5">
        <f t="shared" si="144"/>
        <v>21090.928423339217</v>
      </c>
      <c r="V450" s="6">
        <f t="shared" si="145"/>
        <v>10979.010384877052</v>
      </c>
      <c r="X450" s="20">
        <f t="shared" si="140"/>
        <v>1.9210227228121346</v>
      </c>
      <c r="Z450" s="22">
        <v>45849</v>
      </c>
      <c r="AA450" s="33">
        <v>2096152.6414999999</v>
      </c>
      <c r="AB450" s="33">
        <v>1392334.8903999999</v>
      </c>
      <c r="AC450" s="33">
        <v>973835.61109999998</v>
      </c>
      <c r="AD450" s="33">
        <v>1206081.4626</v>
      </c>
      <c r="AE450" s="33">
        <v>4734867.0548</v>
      </c>
      <c r="AF450" s="34">
        <v>1743.626</v>
      </c>
      <c r="AH450" s="28">
        <f t="shared" si="146"/>
        <v>-5.0065638814719336E-2</v>
      </c>
      <c r="AJ450" s="5">
        <f t="shared" si="147"/>
        <v>13142.955537528353</v>
      </c>
      <c r="AK450" s="6">
        <f t="shared" si="148"/>
        <v>10979.010384877052</v>
      </c>
      <c r="AM450" s="1">
        <f t="shared" si="141"/>
        <v>45849</v>
      </c>
      <c r="AN450">
        <f t="shared" si="142"/>
        <v>1.1970983792521053</v>
      </c>
      <c r="AO450">
        <f t="shared" ca="1" si="149"/>
        <v>1.0945277593806908</v>
      </c>
      <c r="AP450">
        <f t="shared" ca="1" si="150"/>
        <v>1.114147450502998</v>
      </c>
      <c r="AQ450">
        <f t="shared" ca="1" si="151"/>
        <v>1.1452248091318973</v>
      </c>
      <c r="AR450">
        <f t="shared" ca="1" si="152"/>
        <v>1.1869239078597202</v>
      </c>
      <c r="AS450">
        <f t="shared" ca="1" si="153"/>
        <v>1.1997654590152751</v>
      </c>
    </row>
    <row r="451" spans="2:45" x14ac:dyDescent="0.25">
      <c r="B451" s="22">
        <v>45856</v>
      </c>
      <c r="C451">
        <v>1272.808</v>
      </c>
      <c r="D451">
        <v>1625</v>
      </c>
      <c r="E451">
        <v>1750.5160000000001</v>
      </c>
      <c r="F451">
        <v>2762.491</v>
      </c>
      <c r="G451">
        <v>6730</v>
      </c>
      <c r="H451">
        <v>1771.0119999999999</v>
      </c>
      <c r="I451" s="6">
        <v>2075286</v>
      </c>
      <c r="K451" s="23">
        <f t="shared" si="133"/>
        <v>5.7347095595106978E-2</v>
      </c>
      <c r="L451" s="24">
        <f t="shared" si="134"/>
        <v>2.2012578616352307E-2</v>
      </c>
      <c r="M451" s="24">
        <f t="shared" si="135"/>
        <v>8.9041129979494649E-2</v>
      </c>
      <c r="N451" s="24">
        <f t="shared" si="136"/>
        <v>8.9253205569266303E-2</v>
      </c>
      <c r="O451" s="24">
        <f t="shared" si="137"/>
        <v>6.9952305246422819E-2</v>
      </c>
      <c r="P451" s="24">
        <f t="shared" si="138"/>
        <v>1.5706349870901137E-2</v>
      </c>
      <c r="Q451" s="25">
        <f t="shared" si="139"/>
        <v>3.3800879033073494E-2</v>
      </c>
      <c r="S451" s="26">
        <f t="shared" si="143"/>
        <v>5.7218777479590699E-2</v>
      </c>
      <c r="U451" s="5">
        <f t="shared" si="144"/>
        <v>22297.725563632237</v>
      </c>
      <c r="V451" s="6">
        <f t="shared" si="145"/>
        <v>11350.110586799139</v>
      </c>
      <c r="X451" s="20">
        <f t="shared" si="140"/>
        <v>1.9645381772373067</v>
      </c>
      <c r="Z451" s="22">
        <v>45856</v>
      </c>
      <c r="AA451" s="33">
        <v>2216362.1120000002</v>
      </c>
      <c r="AB451" s="33">
        <v>1422983.7716000001</v>
      </c>
      <c r="AC451" s="33">
        <v>1060547.0011</v>
      </c>
      <c r="AD451" s="33">
        <v>1313728.0776</v>
      </c>
      <c r="AE451" s="33">
        <v>5066081.9203000003</v>
      </c>
      <c r="AF451" s="34">
        <v>1771.0119999999999</v>
      </c>
      <c r="AH451" s="28">
        <f t="shared" si="146"/>
        <v>6.5012634771749359E-2</v>
      </c>
      <c r="AJ451" s="5">
        <f t="shared" si="147"/>
        <v>13997.413705711026</v>
      </c>
      <c r="AK451" s="6">
        <f t="shared" si="148"/>
        <v>11350.110586799139</v>
      </c>
      <c r="AM451" s="1">
        <f t="shared" si="141"/>
        <v>45856</v>
      </c>
      <c r="AN451">
        <f t="shared" si="142"/>
        <v>1.2332402930056787</v>
      </c>
      <c r="AO451">
        <f t="shared" ca="1" si="149"/>
        <v>1.0945277593806908</v>
      </c>
      <c r="AP451">
        <f t="shared" ca="1" si="150"/>
        <v>1.114147450502998</v>
      </c>
      <c r="AQ451">
        <f t="shared" ca="1" si="151"/>
        <v>1.1452248091318973</v>
      </c>
      <c r="AR451">
        <f t="shared" ca="1" si="152"/>
        <v>1.1869239078597202</v>
      </c>
      <c r="AS451">
        <f t="shared" ca="1" si="153"/>
        <v>1.1982219054159489</v>
      </c>
    </row>
    <row r="452" spans="2:45" x14ac:dyDescent="0.25">
      <c r="B452" s="22">
        <v>45863</v>
      </c>
      <c r="C452">
        <v>1350.471</v>
      </c>
      <c r="D452">
        <v>1715</v>
      </c>
      <c r="E452">
        <v>1867.951</v>
      </c>
      <c r="F452">
        <v>3030.4250000000002</v>
      </c>
      <c r="G452">
        <v>7150</v>
      </c>
      <c r="H452">
        <v>1866.866</v>
      </c>
      <c r="I452" s="6">
        <v>2197099</v>
      </c>
      <c r="K452" s="23">
        <f t="shared" si="133"/>
        <v>6.1017058346584774E-2</v>
      </c>
      <c r="L452" s="24">
        <f t="shared" si="134"/>
        <v>5.5384615384615365E-2</v>
      </c>
      <c r="M452" s="24">
        <f t="shared" si="135"/>
        <v>6.7085933519031027E-2</v>
      </c>
      <c r="N452" s="24">
        <f t="shared" si="136"/>
        <v>9.6989999243436431E-2</v>
      </c>
      <c r="O452" s="24">
        <f t="shared" si="137"/>
        <v>6.2407132243684993E-2</v>
      </c>
      <c r="P452" s="24">
        <f t="shared" si="138"/>
        <v>5.4123856868276476E-2</v>
      </c>
      <c r="Q452" s="25">
        <f t="shared" si="139"/>
        <v>5.8696969959803225E-2</v>
      </c>
      <c r="S452" s="26">
        <f t="shared" si="143"/>
        <v>6.6168099267604849E-2</v>
      </c>
      <c r="U452" s="5">
        <f t="shared" si="144"/>
        <v>23773.123682168465</v>
      </c>
      <c r="V452" s="6">
        <f t="shared" si="145"/>
        <v>12016.327686952933</v>
      </c>
      <c r="X452" s="20">
        <f t="shared" si="140"/>
        <v>1.9784017464820642</v>
      </c>
      <c r="Z452" s="22">
        <v>45863</v>
      </c>
      <c r="AA452" s="33">
        <v>2351597.7662999998</v>
      </c>
      <c r="AB452" s="33">
        <v>1501795.1805</v>
      </c>
      <c r="AC452" s="33">
        <v>1131694.8082999999</v>
      </c>
      <c r="AD452" s="33">
        <v>1441146.5199</v>
      </c>
      <c r="AE452" s="33">
        <v>5382241.5647</v>
      </c>
      <c r="AF452" s="34">
        <v>1866.866</v>
      </c>
      <c r="AH452" s="28">
        <f t="shared" si="146"/>
        <v>6.5773658030135157E-2</v>
      </c>
      <c r="AJ452" s="5">
        <f t="shared" si="147"/>
        <v>14918.07480809679</v>
      </c>
      <c r="AK452" s="6">
        <f t="shared" si="148"/>
        <v>12016.327686952933</v>
      </c>
      <c r="AM452" s="1">
        <f t="shared" si="141"/>
        <v>45863</v>
      </c>
      <c r="AN452">
        <f t="shared" si="142"/>
        <v>1.2414836875907198</v>
      </c>
      <c r="AO452">
        <f t="shared" ca="1" si="149"/>
        <v>1.0945277593806908</v>
      </c>
      <c r="AP452">
        <f t="shared" ca="1" si="150"/>
        <v>1.114147450502998</v>
      </c>
      <c r="AQ452">
        <f t="shared" ca="1" si="151"/>
        <v>1.1452248091318973</v>
      </c>
      <c r="AR452">
        <f t="shared" ca="1" si="152"/>
        <v>1.191421868187168</v>
      </c>
      <c r="AS452">
        <f t="shared" ca="1" si="153"/>
        <v>1.1997654590152751</v>
      </c>
    </row>
    <row r="453" spans="2:45" x14ac:dyDescent="0.25">
      <c r="B453" s="22">
        <v>45870</v>
      </c>
      <c r="C453">
        <v>1423.82</v>
      </c>
      <c r="D453">
        <v>1930</v>
      </c>
      <c r="E453">
        <v>1967.037</v>
      </c>
      <c r="F453">
        <v>3025.8049999999998</v>
      </c>
      <c r="G453">
        <v>7710</v>
      </c>
      <c r="H453">
        <v>1903.3820000000001</v>
      </c>
      <c r="I453" s="6">
        <v>2278849</v>
      </c>
      <c r="K453" s="23">
        <f t="shared" si="133"/>
        <v>5.4313643165976755E-2</v>
      </c>
      <c r="L453" s="24">
        <f t="shared" si="134"/>
        <v>0.12536443148688048</v>
      </c>
      <c r="M453" s="24">
        <f t="shared" si="135"/>
        <v>5.3045288661212275E-2</v>
      </c>
      <c r="N453" s="24">
        <f t="shared" si="136"/>
        <v>-1.5245386373199388E-3</v>
      </c>
      <c r="O453" s="24">
        <f t="shared" si="137"/>
        <v>7.8321678321678245E-2</v>
      </c>
      <c r="P453" s="24">
        <f t="shared" si="138"/>
        <v>1.9560054122791826E-2</v>
      </c>
      <c r="Q453" s="25">
        <f t="shared" si="139"/>
        <v>3.7208154935212345E-2</v>
      </c>
      <c r="S453" s="26">
        <f t="shared" si="143"/>
        <v>5.4846759520203271E-2</v>
      </c>
      <c r="U453" s="5">
        <f t="shared" si="144"/>
        <v>25077.002479808409</v>
      </c>
      <c r="V453" s="6">
        <f t="shared" si="145"/>
        <v>12463.43306928136</v>
      </c>
      <c r="X453" s="20">
        <f t="shared" si="140"/>
        <v>2.0120461465481552</v>
      </c>
      <c r="Z453" s="22">
        <v>45870</v>
      </c>
      <c r="AA453" s="33">
        <v>2479320.3287</v>
      </c>
      <c r="AB453" s="33">
        <v>1690066.8795</v>
      </c>
      <c r="AC453" s="33">
        <v>1191725.7705999999</v>
      </c>
      <c r="AD453" s="33">
        <v>1438949.6502</v>
      </c>
      <c r="AE453" s="33">
        <v>5803787.7571999999</v>
      </c>
      <c r="AF453" s="34">
        <v>1903.3820000000001</v>
      </c>
      <c r="AH453" s="28">
        <f t="shared" si="146"/>
        <v>6.7348786016937459E-2</v>
      </c>
      <c r="AJ453" s="5">
        <f t="shared" si="147"/>
        <v>15922.789036131966</v>
      </c>
      <c r="AK453" s="6">
        <f t="shared" si="148"/>
        <v>12463.43306928136</v>
      </c>
      <c r="AM453" s="1">
        <f t="shared" si="141"/>
        <v>45870</v>
      </c>
      <c r="AN453">
        <f t="shared" si="142"/>
        <v>1.2775604400184797</v>
      </c>
      <c r="AO453">
        <f t="shared" ca="1" si="149"/>
        <v>1.0945277593806908</v>
      </c>
      <c r="AP453">
        <f t="shared" ca="1" si="150"/>
        <v>1.114147450502998</v>
      </c>
      <c r="AQ453">
        <f t="shared" ca="1" si="151"/>
        <v>1.1452248091318973</v>
      </c>
      <c r="AR453">
        <f t="shared" ca="1" si="152"/>
        <v>1.1933861166806989</v>
      </c>
      <c r="AS453">
        <f t="shared" ca="1" si="153"/>
        <v>1.2034812716404788</v>
      </c>
    </row>
    <row r="454" spans="2:45" x14ac:dyDescent="0.25">
      <c r="B454" s="22">
        <v>45877</v>
      </c>
      <c r="C454">
        <v>1445.393</v>
      </c>
      <c r="D454">
        <v>1895</v>
      </c>
      <c r="E454">
        <v>1893.64</v>
      </c>
      <c r="F454">
        <v>3196.7280000000001</v>
      </c>
      <c r="G454">
        <v>7550</v>
      </c>
      <c r="H454">
        <v>2003.8</v>
      </c>
      <c r="I454" s="6">
        <v>2300926</v>
      </c>
      <c r="K454" s="23">
        <f t="shared" ref="K454:K489" si="154">+C454/C453-1</f>
        <v>1.5151493868607036E-2</v>
      </c>
      <c r="L454" s="24">
        <f t="shared" ref="L454:L489" si="155">+D454/D453-1</f>
        <v>-1.8134715025906689E-2</v>
      </c>
      <c r="M454" s="24">
        <f t="shared" ref="M454:M489" si="156">+E454/E453-1</f>
        <v>-3.7313482156156708E-2</v>
      </c>
      <c r="N454" s="24">
        <f t="shared" ref="N454:N489" si="157">+F454/F453-1</f>
        <v>5.6488438613856662E-2</v>
      </c>
      <c r="O454" s="24">
        <f t="shared" ref="O454:O489" si="158">+G454/G453-1</f>
        <v>-2.0752269779507171E-2</v>
      </c>
      <c r="P454" s="24">
        <f t="shared" ref="P454:P489" si="159">+H454/H453-1</f>
        <v>5.2757670294244718E-2</v>
      </c>
      <c r="Q454" s="25">
        <f t="shared" ref="Q454:Q489" si="160">+I454/I453-1</f>
        <v>9.6877853688419613E-3</v>
      </c>
      <c r="S454" s="26">
        <f t="shared" si="143"/>
        <v>8.0328559691896419E-3</v>
      </c>
      <c r="U454" s="5">
        <f t="shared" si="144"/>
        <v>25278.442428867718</v>
      </c>
      <c r="V454" s="6">
        <f t="shared" si="145"/>
        <v>12584.176133815485</v>
      </c>
      <c r="X454" s="20">
        <f t="shared" si="140"/>
        <v>2.008748301046178</v>
      </c>
      <c r="Z454" s="22">
        <v>45877</v>
      </c>
      <c r="AA454" s="33">
        <v>2516885.7881999998</v>
      </c>
      <c r="AB454" s="33">
        <v>1659417.9983000001</v>
      </c>
      <c r="AC454" s="33">
        <v>1147258.3910999999</v>
      </c>
      <c r="AD454" s="33">
        <v>1520233.8289000001</v>
      </c>
      <c r="AE454" s="33">
        <v>5683345.9879000001</v>
      </c>
      <c r="AF454" s="34">
        <v>2003.8</v>
      </c>
      <c r="AH454" s="28">
        <f t="shared" si="146"/>
        <v>-6.0772442852309759E-3</v>
      </c>
      <c r="AJ454" s="5">
        <f t="shared" si="147"/>
        <v>15826.022357457196</v>
      </c>
      <c r="AK454" s="6">
        <f t="shared" si="148"/>
        <v>12584.176133815485</v>
      </c>
      <c r="AM454" s="1">
        <f t="shared" si="141"/>
        <v>45877</v>
      </c>
      <c r="AN454">
        <f t="shared" si="142"/>
        <v>1.2576129091939843</v>
      </c>
      <c r="AO454">
        <f t="shared" ca="1" si="149"/>
        <v>1.0945277593806908</v>
      </c>
      <c r="AP454">
        <f t="shared" ca="1" si="150"/>
        <v>1.114147450502998</v>
      </c>
      <c r="AQ454">
        <f t="shared" ca="1" si="151"/>
        <v>1.1452248091318973</v>
      </c>
      <c r="AR454">
        <f t="shared" ca="1" si="152"/>
        <v>1.1942786376556738</v>
      </c>
      <c r="AS454">
        <f t="shared" ca="1" si="153"/>
        <v>1.2038870202565923</v>
      </c>
    </row>
    <row r="455" spans="2:45" x14ac:dyDescent="0.25">
      <c r="B455" s="22">
        <v>45884</v>
      </c>
      <c r="C455">
        <v>1341.8420000000001</v>
      </c>
      <c r="D455">
        <v>1805</v>
      </c>
      <c r="E455">
        <v>1842.2619999999999</v>
      </c>
      <c r="F455">
        <v>3224.4459999999999</v>
      </c>
      <c r="G455">
        <v>7350</v>
      </c>
      <c r="H455">
        <v>1789.27</v>
      </c>
      <c r="I455" s="6">
        <v>2188543</v>
      </c>
      <c r="K455" s="23">
        <f t="shared" si="154"/>
        <v>-7.1642107025563284E-2</v>
      </c>
      <c r="L455" s="24">
        <f t="shared" si="155"/>
        <v>-4.7493403693931402E-2</v>
      </c>
      <c r="M455" s="24">
        <f t="shared" si="156"/>
        <v>-2.7131873006484897E-2</v>
      </c>
      <c r="N455" s="24">
        <f t="shared" si="157"/>
        <v>8.6707408325010782E-3</v>
      </c>
      <c r="O455" s="24">
        <f t="shared" si="158"/>
        <v>-2.6490066225165587E-2</v>
      </c>
      <c r="P455" s="24">
        <f t="shared" si="159"/>
        <v>-0.10706158299231461</v>
      </c>
      <c r="Q455" s="25">
        <f t="shared" si="160"/>
        <v>-4.8842509494003705E-2</v>
      </c>
      <c r="S455" s="26">
        <f t="shared" si="143"/>
        <v>-4.5191382018493119E-2</v>
      </c>
      <c r="U455" s="5">
        <f t="shared" si="144"/>
        <v>24136.074680232272</v>
      </c>
      <c r="V455" s="6">
        <f t="shared" si="145"/>
        <v>11969.533391525387</v>
      </c>
      <c r="X455" s="20">
        <f t="shared" ref="X455:X489" si="161">+(U455/$U$6)/(V455/$V$6)</f>
        <v>2.016459112543266</v>
      </c>
      <c r="Z455" s="22">
        <v>45884</v>
      </c>
      <c r="AA455" s="33">
        <v>2336571.5825</v>
      </c>
      <c r="AB455" s="33">
        <v>1580606.5893999999</v>
      </c>
      <c r="AC455" s="33">
        <v>1116131.2254999999</v>
      </c>
      <c r="AD455" s="33">
        <v>1533415.0471000001</v>
      </c>
      <c r="AE455" s="33">
        <v>5532793.7763</v>
      </c>
      <c r="AF455" s="34">
        <v>1789.27</v>
      </c>
      <c r="AH455" s="28">
        <f t="shared" si="146"/>
        <v>-3.4147488899727213E-2</v>
      </c>
      <c r="AJ455" s="5">
        <f t="shared" si="147"/>
        <v>15285.603434679091</v>
      </c>
      <c r="AK455" s="6">
        <f t="shared" si="148"/>
        <v>11969.533391525387</v>
      </c>
      <c r="AM455" s="1">
        <f t="shared" ref="AM455:AM489" si="162">+B455</f>
        <v>45884</v>
      </c>
      <c r="AN455">
        <f t="shared" ref="AN455:AN489" si="163">+(AJ455/$AJ$6)/(AK455/$AK$6)</f>
        <v>1.2770425491691708</v>
      </c>
      <c r="AO455">
        <f t="shared" ca="1" si="149"/>
        <v>1.0945277593806908</v>
      </c>
      <c r="AP455">
        <f t="shared" ca="1" si="150"/>
        <v>1.114147450502998</v>
      </c>
      <c r="AQ455">
        <f t="shared" ca="1" si="151"/>
        <v>1.1452248091318973</v>
      </c>
      <c r="AR455">
        <f t="shared" ca="1" si="152"/>
        <v>1.1943591933454798</v>
      </c>
      <c r="AS455">
        <f t="shared" ca="1" si="153"/>
        <v>1.2156775732003604</v>
      </c>
    </row>
    <row r="456" spans="2:45" x14ac:dyDescent="0.25">
      <c r="B456" s="22">
        <v>45891</v>
      </c>
      <c r="C456">
        <v>1259.865</v>
      </c>
      <c r="D456">
        <v>1575</v>
      </c>
      <c r="E456">
        <v>1926.6690000000001</v>
      </c>
      <c r="F456">
        <v>3196.7280000000001</v>
      </c>
      <c r="G456">
        <v>7420</v>
      </c>
      <c r="H456">
        <v>1716.239</v>
      </c>
      <c r="I456" s="6">
        <v>2106200</v>
      </c>
      <c r="K456" s="23">
        <f t="shared" si="154"/>
        <v>-6.1092885749589043E-2</v>
      </c>
      <c r="L456" s="24">
        <f t="shared" si="155"/>
        <v>-0.12742382271468145</v>
      </c>
      <c r="M456" s="24">
        <f t="shared" si="156"/>
        <v>4.5817044481186731E-2</v>
      </c>
      <c r="N456" s="24">
        <f t="shared" si="157"/>
        <v>-8.5962053636500224E-3</v>
      </c>
      <c r="O456" s="24">
        <f t="shared" si="158"/>
        <v>9.52380952380949E-3</v>
      </c>
      <c r="P456" s="24">
        <f t="shared" si="159"/>
        <v>-4.0816087007550572E-2</v>
      </c>
      <c r="Q456" s="25">
        <f t="shared" si="160"/>
        <v>-3.7624574888407536E-2</v>
      </c>
      <c r="S456" s="26">
        <f t="shared" ref="S456:S489" si="164">+AVERAGE(K456:P456)</f>
        <v>-3.0431357805079145E-2</v>
      </c>
      <c r="U456" s="5">
        <f t="shared" ref="U456:U489" si="165">+U455*(1+S456)</f>
        <v>23401.581155628013</v>
      </c>
      <c r="V456" s="6">
        <f t="shared" ref="V456:V489" si="166">+V455*(1+Q456)</f>
        <v>11519.184786056645</v>
      </c>
      <c r="X456" s="20">
        <f t="shared" si="161"/>
        <v>2.0315310145865855</v>
      </c>
      <c r="Z456" s="22">
        <v>45891</v>
      </c>
      <c r="AA456" s="33">
        <v>2193822.8363000001</v>
      </c>
      <c r="AB456" s="33">
        <v>1379199.6555999999</v>
      </c>
      <c r="AC456" s="33">
        <v>1167268.7119</v>
      </c>
      <c r="AD456" s="33">
        <v>1520233.8289000001</v>
      </c>
      <c r="AE456" s="33">
        <v>5585487.0504000001</v>
      </c>
      <c r="AF456" s="34">
        <v>1716.239</v>
      </c>
      <c r="AH456" s="28">
        <f t="shared" ref="AH456:AH489" si="167">+SUMPRODUCT(K456:P456,AA455:AF455)/SUM(AA455:AF455)</f>
        <v>-2.0954620675870127E-2</v>
      </c>
      <c r="AJ456" s="5">
        <f t="shared" ref="AJ456:AJ489" si="168">+AJ455*(1+AH456)</f>
        <v>14965.299412903612</v>
      </c>
      <c r="AK456" s="6">
        <f t="shared" ref="AK456:AK489" si="169">+AK455*(1+Q456)</f>
        <v>11519.184786056645</v>
      </c>
      <c r="AM456" s="1">
        <f t="shared" si="162"/>
        <v>45891</v>
      </c>
      <c r="AN456">
        <f t="shared" si="163"/>
        <v>1.2991630649955632</v>
      </c>
      <c r="AO456">
        <f t="shared" ca="1" si="149"/>
        <v>1.0945277593806908</v>
      </c>
      <c r="AP456">
        <f t="shared" ca="1" si="150"/>
        <v>1.114147450502998</v>
      </c>
      <c r="AQ456">
        <f t="shared" ca="1" si="151"/>
        <v>1.1452248091318973</v>
      </c>
      <c r="AR456">
        <f t="shared" ca="1" si="152"/>
        <v>1.1961564018227502</v>
      </c>
      <c r="AS456">
        <f t="shared" ca="1" si="153"/>
        <v>1.2316150131182522</v>
      </c>
    </row>
    <row r="457" spans="2:45" x14ac:dyDescent="0.25">
      <c r="B457" s="22">
        <v>45898</v>
      </c>
      <c r="C457">
        <v>1246.921</v>
      </c>
      <c r="D457">
        <v>1455</v>
      </c>
      <c r="E457">
        <v>1746.846</v>
      </c>
      <c r="F457">
        <v>2947.2730000000001</v>
      </c>
      <c r="G457">
        <v>7360</v>
      </c>
      <c r="H457">
        <v>1460.6289999999999</v>
      </c>
      <c r="I457" s="6">
        <v>1984845</v>
      </c>
      <c r="K457" s="23">
        <f t="shared" si="154"/>
        <v>-1.0274116671230571E-2</v>
      </c>
      <c r="L457" s="24">
        <f t="shared" si="155"/>
        <v>-7.6190476190476142E-2</v>
      </c>
      <c r="M457" s="24">
        <f t="shared" si="156"/>
        <v>-9.3333623990420778E-2</v>
      </c>
      <c r="N457" s="24">
        <f t="shared" si="157"/>
        <v>-7.8034477753502918E-2</v>
      </c>
      <c r="O457" s="24">
        <f t="shared" si="158"/>
        <v>-8.0862533692722671E-3</v>
      </c>
      <c r="P457" s="24">
        <f t="shared" si="159"/>
        <v>-0.14893613302110031</v>
      </c>
      <c r="Q457" s="25">
        <f t="shared" si="160"/>
        <v>-5.7617984996676475E-2</v>
      </c>
      <c r="S457" s="26">
        <f t="shared" si="164"/>
        <v>-6.9142513499333827E-2</v>
      </c>
      <c r="U457" s="5">
        <f t="shared" si="165"/>
        <v>21783.537014669248</v>
      </c>
      <c r="V457" s="6">
        <f t="shared" si="166"/>
        <v>10855.47256987969</v>
      </c>
      <c r="X457" s="20">
        <f t="shared" si="161"/>
        <v>2.0066871225036564</v>
      </c>
      <c r="Z457" s="22">
        <v>45898</v>
      </c>
      <c r="AA457" s="33">
        <v>2171283.5605000001</v>
      </c>
      <c r="AB457" s="33">
        <v>1274117.7771000001</v>
      </c>
      <c r="AC457" s="33">
        <v>1058323.6321</v>
      </c>
      <c r="AD457" s="33">
        <v>1401602.8654</v>
      </c>
      <c r="AE457" s="33">
        <v>5540321.3869000003</v>
      </c>
      <c r="AF457" s="34">
        <v>1460.6289999999999</v>
      </c>
      <c r="AH457" s="28">
        <f t="shared" si="167"/>
        <v>-3.3813977231801691E-2</v>
      </c>
      <c r="AJ457" s="5">
        <f t="shared" si="168"/>
        <v>14459.263119288595</v>
      </c>
      <c r="AK457" s="6">
        <f t="shared" si="169"/>
        <v>10855.47256987969</v>
      </c>
      <c r="AM457" s="1">
        <f t="shared" si="162"/>
        <v>45898</v>
      </c>
      <c r="AN457">
        <f t="shared" si="163"/>
        <v>1.3319791493378392</v>
      </c>
      <c r="AO457">
        <f t="shared" ca="1" si="149"/>
        <v>1.0945277593806908</v>
      </c>
      <c r="AP457">
        <f t="shared" ca="1" si="150"/>
        <v>1.114147450502998</v>
      </c>
      <c r="AQ457">
        <f t="shared" ca="1" si="151"/>
        <v>1.1474485645315968</v>
      </c>
      <c r="AR457">
        <f t="shared" ca="1" si="152"/>
        <v>1.1972779871450254</v>
      </c>
      <c r="AS457">
        <f t="shared" ca="1" si="153"/>
        <v>1.2340232626382632</v>
      </c>
    </row>
    <row r="458" spans="2:45" x14ac:dyDescent="0.25">
      <c r="B458" s="22">
        <v>45905</v>
      </c>
      <c r="C458">
        <v>1203.7750000000001</v>
      </c>
      <c r="D458">
        <v>1515</v>
      </c>
      <c r="E458">
        <v>1623.13</v>
      </c>
      <c r="F458">
        <v>2753.252</v>
      </c>
      <c r="G458">
        <v>7270</v>
      </c>
      <c r="H458">
        <v>1387.597</v>
      </c>
      <c r="I458" s="6">
        <v>1997624</v>
      </c>
      <c r="K458" s="23">
        <f t="shared" si="154"/>
        <v>-3.4602031724543902E-2</v>
      </c>
      <c r="L458" s="24">
        <f t="shared" si="155"/>
        <v>4.1237113402061931E-2</v>
      </c>
      <c r="M458" s="24">
        <f t="shared" si="156"/>
        <v>-7.0822499521995597E-2</v>
      </c>
      <c r="N458" s="24">
        <f t="shared" si="157"/>
        <v>-6.5830684839850329E-2</v>
      </c>
      <c r="O458" s="24">
        <f t="shared" si="158"/>
        <v>-1.2228260869565188E-2</v>
      </c>
      <c r="P458" s="24">
        <f t="shared" si="159"/>
        <v>-5.0000376550102699E-2</v>
      </c>
      <c r="Q458" s="25">
        <f t="shared" si="160"/>
        <v>6.4382861130214408E-3</v>
      </c>
      <c r="S458" s="26">
        <f t="shared" si="164"/>
        <v>-3.2041123350665966E-2</v>
      </c>
      <c r="U458" s="5">
        <f t="shared" si="165"/>
        <v>21085.568018168433</v>
      </c>
      <c r="V458" s="6">
        <f t="shared" si="166"/>
        <v>10925.363208176632</v>
      </c>
      <c r="X458" s="20">
        <f t="shared" si="161"/>
        <v>1.929964946372476</v>
      </c>
      <c r="Z458" s="22">
        <v>45905</v>
      </c>
      <c r="AA458" s="33">
        <v>2096152.6414999999</v>
      </c>
      <c r="AB458" s="33">
        <v>1326658.7163</v>
      </c>
      <c r="AC458" s="33">
        <v>853773.68640000001</v>
      </c>
      <c r="AD458" s="33">
        <v>1309334.3382000001</v>
      </c>
      <c r="AE458" s="33">
        <v>5472572.8916999996</v>
      </c>
      <c r="AF458" s="34">
        <v>1387.597</v>
      </c>
      <c r="AH458" s="28">
        <f t="shared" si="167"/>
        <v>-2.2506380683555798E-2</v>
      </c>
      <c r="AJ458" s="5">
        <f t="shared" si="168"/>
        <v>14133.837439122186</v>
      </c>
      <c r="AK458" s="6">
        <f t="shared" si="169"/>
        <v>10925.363208176632</v>
      </c>
      <c r="AM458" s="1">
        <f t="shared" si="162"/>
        <v>45905</v>
      </c>
      <c r="AN458">
        <f t="shared" si="163"/>
        <v>1.2936720884981019</v>
      </c>
      <c r="AO458">
        <f t="shared" ca="1" si="149"/>
        <v>1.0945277593806908</v>
      </c>
      <c r="AP458">
        <f t="shared" ca="1" si="150"/>
        <v>1.114147450502998</v>
      </c>
      <c r="AQ458">
        <f t="shared" ca="1" si="151"/>
        <v>1.1504491503815482</v>
      </c>
      <c r="AR458">
        <f t="shared" ca="1" si="152"/>
        <v>1.1979293370993869</v>
      </c>
      <c r="AS458">
        <f t="shared" ca="1" si="153"/>
        <v>1.2407463447580585</v>
      </c>
    </row>
    <row r="459" spans="2:45" x14ac:dyDescent="0.25">
      <c r="B459" s="22">
        <v>45912</v>
      </c>
      <c r="C459">
        <v>1087.28</v>
      </c>
      <c r="D459">
        <v>1248</v>
      </c>
      <c r="E459">
        <v>1611.2940000000001</v>
      </c>
      <c r="F459">
        <v>2499.1759999999999</v>
      </c>
      <c r="G459">
        <v>6295</v>
      </c>
      <c r="H459">
        <v>1157.548</v>
      </c>
      <c r="I459" s="6">
        <v>1759874</v>
      </c>
      <c r="K459" s="23">
        <f t="shared" si="154"/>
        <v>-9.6774729496791445E-2</v>
      </c>
      <c r="L459" s="24">
        <f t="shared" si="155"/>
        <v>-0.17623762376237628</v>
      </c>
      <c r="M459" s="24">
        <f t="shared" si="156"/>
        <v>-7.2920838133729848E-3</v>
      </c>
      <c r="N459" s="24">
        <f t="shared" si="157"/>
        <v>-9.2282144896289942E-2</v>
      </c>
      <c r="O459" s="24">
        <f t="shared" si="158"/>
        <v>-0.13411279229711137</v>
      </c>
      <c r="P459" s="24">
        <f t="shared" si="159"/>
        <v>-0.16578949075271854</v>
      </c>
      <c r="Q459" s="25">
        <f t="shared" si="160"/>
        <v>-0.11901639147306997</v>
      </c>
      <c r="S459" s="26">
        <f t="shared" si="164"/>
        <v>-0.11208147750311009</v>
      </c>
      <c r="U459" s="5">
        <f t="shared" si="165"/>
        <v>18722.266400699791</v>
      </c>
      <c r="V459" s="6">
        <f t="shared" si="166"/>
        <v>9625.0659036068064</v>
      </c>
      <c r="X459" s="20">
        <f t="shared" si="161"/>
        <v>1.9451572163972393</v>
      </c>
      <c r="Z459" s="22">
        <v>45912</v>
      </c>
      <c r="AA459" s="33">
        <v>1893299.1601</v>
      </c>
      <c r="AB459" s="33">
        <v>1092851.5366</v>
      </c>
      <c r="AC459" s="33">
        <v>847548.25329999998</v>
      </c>
      <c r="AD459" s="33">
        <v>1188506.5049999999</v>
      </c>
      <c r="AE459" s="33">
        <v>4738630.8601000002</v>
      </c>
      <c r="AF459" s="34">
        <v>1157.548</v>
      </c>
      <c r="AH459" s="28">
        <f t="shared" si="167"/>
        <v>-0.1173509884958745</v>
      </c>
      <c r="AJ459" s="5">
        <f t="shared" si="168"/>
        <v>12475.217644401197</v>
      </c>
      <c r="AK459" s="6">
        <f t="shared" si="169"/>
        <v>9625.0659036068064</v>
      </c>
      <c r="AM459" s="1">
        <f t="shared" si="162"/>
        <v>45912</v>
      </c>
      <c r="AN459">
        <f t="shared" si="163"/>
        <v>1.2961176338258995</v>
      </c>
      <c r="AO459">
        <f t="shared" ca="1" si="149"/>
        <v>1.0945277593806908</v>
      </c>
      <c r="AP459">
        <f t="shared" ca="1" si="150"/>
        <v>1.114147450502998</v>
      </c>
      <c r="AQ459">
        <f t="shared" ca="1" si="151"/>
        <v>1.154754893158223</v>
      </c>
      <c r="AR459">
        <f t="shared" ca="1" si="152"/>
        <v>1.1986831778953797</v>
      </c>
      <c r="AS459">
        <f t="shared" ca="1" si="153"/>
        <v>1.2559999870336578</v>
      </c>
    </row>
    <row r="460" spans="2:45" x14ac:dyDescent="0.25">
      <c r="B460" s="22">
        <v>45919</v>
      </c>
      <c r="C460">
        <v>1038.0940000000001</v>
      </c>
      <c r="D460">
        <v>1176</v>
      </c>
      <c r="E460">
        <v>1246.9359999999999</v>
      </c>
      <c r="F460">
        <v>1906.0260000000001</v>
      </c>
      <c r="G460">
        <v>6390</v>
      </c>
      <c r="H460">
        <v>974.05700000000002</v>
      </c>
      <c r="I460" s="6">
        <v>1683960</v>
      </c>
      <c r="K460" s="23">
        <f t="shared" si="154"/>
        <v>-4.5237657273195397E-2</v>
      </c>
      <c r="L460" s="24">
        <f t="shared" si="155"/>
        <v>-5.7692307692307709E-2</v>
      </c>
      <c r="M460" s="24">
        <f t="shared" si="156"/>
        <v>-0.22612757200113709</v>
      </c>
      <c r="N460" s="24">
        <f t="shared" si="157"/>
        <v>-0.23733822667951354</v>
      </c>
      <c r="O460" s="24">
        <f t="shared" si="158"/>
        <v>1.5091342335186608E-2</v>
      </c>
      <c r="P460" s="24">
        <f t="shared" si="159"/>
        <v>-0.15851696862678699</v>
      </c>
      <c r="Q460" s="25">
        <f t="shared" si="160"/>
        <v>-4.3136042693965537E-2</v>
      </c>
      <c r="S460" s="26">
        <f t="shared" si="164"/>
        <v>-0.11830356498962569</v>
      </c>
      <c r="U460" s="5">
        <f t="shared" si="165"/>
        <v>16507.355540811517</v>
      </c>
      <c r="V460" s="6">
        <f t="shared" si="166"/>
        <v>9209.8786498565914</v>
      </c>
      <c r="X460" s="20">
        <f t="shared" si="161"/>
        <v>1.792353207723161</v>
      </c>
      <c r="Z460" s="22">
        <v>45919</v>
      </c>
      <c r="AA460" s="33">
        <v>1807649.9123</v>
      </c>
      <c r="AB460" s="33">
        <v>1029802.4095</v>
      </c>
      <c r="AC460" s="33">
        <v>655893.84759999998</v>
      </c>
      <c r="AD460" s="33">
        <v>906428.4362</v>
      </c>
      <c r="AE460" s="33">
        <v>4810143.1606000001</v>
      </c>
      <c r="AF460" s="34">
        <v>974.05700000000002</v>
      </c>
      <c r="AH460" s="28">
        <f t="shared" si="167"/>
        <v>-5.6453712101926651E-2</v>
      </c>
      <c r="AJ460" s="5">
        <f t="shared" si="168"/>
        <v>11770.945299095296</v>
      </c>
      <c r="AK460" s="6">
        <f t="shared" si="169"/>
        <v>9209.8786498565914</v>
      </c>
      <c r="AM460" s="1">
        <f t="shared" si="162"/>
        <v>45919</v>
      </c>
      <c r="AN460">
        <f t="shared" si="163"/>
        <v>1.2780782186829989</v>
      </c>
      <c r="AO460">
        <f t="shared" ca="1" si="149"/>
        <v>1.0945277593806908</v>
      </c>
      <c r="AP460">
        <f t="shared" ca="1" si="150"/>
        <v>1.114147450502998</v>
      </c>
      <c r="AQ460">
        <f t="shared" ca="1" si="151"/>
        <v>1.154754893158223</v>
      </c>
      <c r="AR460">
        <f t="shared" ca="1" si="152"/>
        <v>1.2009178826467091</v>
      </c>
      <c r="AS460">
        <f t="shared" ca="1" si="153"/>
        <v>1.2750995851716522</v>
      </c>
    </row>
    <row r="461" spans="2:45" x14ac:dyDescent="0.25">
      <c r="B461" s="22">
        <v>45926</v>
      </c>
      <c r="C461">
        <v>1097.635</v>
      </c>
      <c r="D461">
        <v>1211</v>
      </c>
      <c r="E461">
        <v>1571.5609999999999</v>
      </c>
      <c r="F461">
        <v>2224.7750000000001</v>
      </c>
      <c r="G461">
        <v>6435</v>
      </c>
      <c r="H461">
        <v>1220.538</v>
      </c>
      <c r="I461" s="6">
        <v>1791046</v>
      </c>
      <c r="K461" s="23">
        <f t="shared" si="154"/>
        <v>5.7356077580642983E-2</v>
      </c>
      <c r="L461" s="24">
        <f t="shared" si="155"/>
        <v>2.9761904761904656E-2</v>
      </c>
      <c r="M461" s="24">
        <f t="shared" si="156"/>
        <v>0.26033814085085361</v>
      </c>
      <c r="N461" s="24">
        <f t="shared" si="157"/>
        <v>0.16723224132304604</v>
      </c>
      <c r="O461" s="24">
        <f t="shared" si="158"/>
        <v>7.0422535211267512E-3</v>
      </c>
      <c r="P461" s="24">
        <f t="shared" si="159"/>
        <v>0.25304576631552367</v>
      </c>
      <c r="Q461" s="25">
        <f t="shared" si="160"/>
        <v>6.3591771776051687E-2</v>
      </c>
      <c r="S461" s="26">
        <f t="shared" si="164"/>
        <v>0.12912939739218296</v>
      </c>
      <c r="U461" s="5">
        <f t="shared" si="165"/>
        <v>18638.940414335022</v>
      </c>
      <c r="V461" s="6">
        <f t="shared" si="166"/>
        <v>9795.5511510434026</v>
      </c>
      <c r="X461" s="20">
        <f t="shared" si="161"/>
        <v>1.9027964967902433</v>
      </c>
      <c r="Z461" s="22">
        <v>45926</v>
      </c>
      <c r="AA461" s="33">
        <v>1911330.5806</v>
      </c>
      <c r="AB461" s="33">
        <v>1060451.2907</v>
      </c>
      <c r="AC461" s="33">
        <v>826648.58490000002</v>
      </c>
      <c r="AD461" s="33">
        <v>1058012.4450999999</v>
      </c>
      <c r="AE461" s="33">
        <v>4844017.4082000004</v>
      </c>
      <c r="AF461" s="34">
        <v>1220.538</v>
      </c>
      <c r="AH461" s="28">
        <f t="shared" si="167"/>
        <v>5.3283392285825286E-2</v>
      </c>
      <c r="AJ461" s="5">
        <f t="shared" si="168"/>
        <v>12398.141195041982</v>
      </c>
      <c r="AK461" s="6">
        <f t="shared" si="169"/>
        <v>9795.5511510434026</v>
      </c>
      <c r="AM461" s="1">
        <f t="shared" si="162"/>
        <v>45926</v>
      </c>
      <c r="AN461">
        <f t="shared" si="163"/>
        <v>1.2656910268618584</v>
      </c>
      <c r="AO461">
        <f t="shared" ca="1" si="149"/>
        <v>1.0945277593806908</v>
      </c>
      <c r="AP461">
        <f t="shared" ca="1" si="150"/>
        <v>1.1170689771524984</v>
      </c>
      <c r="AQ461">
        <f t="shared" ca="1" si="151"/>
        <v>1.1596480648668464</v>
      </c>
      <c r="AR461">
        <f t="shared" ca="1" si="152"/>
        <v>1.2038788005887071</v>
      </c>
      <c r="AS461">
        <f t="shared" ca="1" si="153"/>
        <v>1.2775086509335487</v>
      </c>
    </row>
    <row r="462" spans="2:45" x14ac:dyDescent="0.25">
      <c r="B462" s="22">
        <v>45933</v>
      </c>
      <c r="C462">
        <v>1127.21</v>
      </c>
      <c r="D462">
        <v>1191</v>
      </c>
      <c r="E462">
        <v>1630.7380000000001</v>
      </c>
      <c r="F462">
        <v>2276.5140000000001</v>
      </c>
      <c r="G462">
        <v>6425</v>
      </c>
      <c r="H462">
        <v>1242.4469999999999</v>
      </c>
      <c r="I462" s="6">
        <v>1805024</v>
      </c>
      <c r="K462" s="23">
        <f t="shared" si="154"/>
        <v>2.6944293868180313E-2</v>
      </c>
      <c r="L462" s="24">
        <f t="shared" si="155"/>
        <v>-1.6515276630883591E-2</v>
      </c>
      <c r="M462" s="24">
        <f t="shared" si="156"/>
        <v>3.7654917626487316E-2</v>
      </c>
      <c r="N462" s="24">
        <f t="shared" si="157"/>
        <v>2.3255834859704949E-2</v>
      </c>
      <c r="O462" s="24">
        <f t="shared" si="158"/>
        <v>-1.5540015540015384E-3</v>
      </c>
      <c r="P462" s="24">
        <f t="shared" si="159"/>
        <v>1.7950280941682939E-2</v>
      </c>
      <c r="Q462" s="25">
        <f t="shared" si="160"/>
        <v>7.8043780003416163E-3</v>
      </c>
      <c r="S462" s="26">
        <f t="shared" si="164"/>
        <v>1.4622674851861731E-2</v>
      </c>
      <c r="U462" s="5">
        <f t="shared" si="165"/>
        <v>18911.491579597066</v>
      </c>
      <c r="V462" s="6">
        <f t="shared" si="166"/>
        <v>9871.9993349478264</v>
      </c>
      <c r="X462" s="20">
        <f t="shared" si="161"/>
        <v>1.9156698595641684</v>
      </c>
      <c r="Z462" s="22">
        <v>45933</v>
      </c>
      <c r="AA462" s="33">
        <v>1824178.7145</v>
      </c>
      <c r="AB462" s="33">
        <v>1042937.6443</v>
      </c>
      <c r="AC462" s="33">
        <v>857775.75060000003</v>
      </c>
      <c r="AD462" s="33">
        <v>1082617.3857</v>
      </c>
      <c r="AE462" s="33">
        <v>4836489.7977</v>
      </c>
      <c r="AF462" s="34">
        <v>1242.4469999999999</v>
      </c>
      <c r="AH462" s="28">
        <f t="shared" si="167"/>
        <v>8.4740420973433567E-3</v>
      </c>
      <c r="AJ462" s="5">
        <f t="shared" si="168"/>
        <v>12503.203565457574</v>
      </c>
      <c r="AK462" s="6">
        <f t="shared" si="169"/>
        <v>9871.9993349478264</v>
      </c>
      <c r="AM462" s="1">
        <f t="shared" si="162"/>
        <v>45933</v>
      </c>
      <c r="AN462">
        <f t="shared" si="163"/>
        <v>1.2665320510299298</v>
      </c>
      <c r="AO462">
        <f t="shared" ca="1" si="149"/>
        <v>1.0945277593806908</v>
      </c>
      <c r="AP462">
        <f t="shared" ca="1" si="150"/>
        <v>1.1170689771524984</v>
      </c>
      <c r="AQ462">
        <f t="shared" ca="1" si="151"/>
        <v>1.1710348554097947</v>
      </c>
      <c r="AR462">
        <f t="shared" ca="1" si="152"/>
        <v>1.2071630871485153</v>
      </c>
      <c r="AS462">
        <f t="shared" ca="1" si="153"/>
        <v>1.2775086509335487</v>
      </c>
    </row>
    <row r="463" spans="2:45" x14ac:dyDescent="0.25">
      <c r="B463" s="22">
        <v>45940</v>
      </c>
      <c r="C463">
        <v>1220.0609999999999</v>
      </c>
      <c r="D463">
        <v>1328</v>
      </c>
      <c r="E463">
        <v>1757.5450000000001</v>
      </c>
      <c r="F463">
        <v>2388.3069999999998</v>
      </c>
      <c r="G463">
        <v>6700</v>
      </c>
      <c r="H463">
        <v>1459.7159999999999</v>
      </c>
      <c r="I463" s="6">
        <v>1924930</v>
      </c>
      <c r="K463" s="23">
        <f t="shared" si="154"/>
        <v>8.2372406206474347E-2</v>
      </c>
      <c r="L463" s="24">
        <f t="shared" si="155"/>
        <v>0.11502938706968924</v>
      </c>
      <c r="M463" s="24">
        <f t="shared" si="156"/>
        <v>7.7760498620869756E-2</v>
      </c>
      <c r="N463" s="24">
        <f t="shared" si="157"/>
        <v>4.9107099714739144E-2</v>
      </c>
      <c r="O463" s="24">
        <f t="shared" si="158"/>
        <v>4.2801556420233533E-2</v>
      </c>
      <c r="P463" s="24">
        <f t="shared" si="159"/>
        <v>0.17487184564009572</v>
      </c>
      <c r="Q463" s="25">
        <f t="shared" si="160"/>
        <v>6.6429033630577727E-2</v>
      </c>
      <c r="S463" s="26">
        <f t="shared" si="164"/>
        <v>9.0323798945350295E-2</v>
      </c>
      <c r="U463" s="5">
        <f t="shared" si="165"/>
        <v>20619.649342789275</v>
      </c>
      <c r="V463" s="6">
        <f t="shared" si="166"/>
        <v>10527.786710770117</v>
      </c>
      <c r="X463" s="20">
        <f t="shared" si="161"/>
        <v>1.9585929986304718</v>
      </c>
      <c r="Z463" s="22">
        <v>45940</v>
      </c>
      <c r="AA463" s="33">
        <v>1974440.5526000001</v>
      </c>
      <c r="AB463" s="33">
        <v>1162906.1222999999</v>
      </c>
      <c r="AC463" s="33">
        <v>924476.81980000006</v>
      </c>
      <c r="AD463" s="33">
        <v>1135781.6322999999</v>
      </c>
      <c r="AE463" s="33">
        <v>5043499.0886000004</v>
      </c>
      <c r="AF463" s="34">
        <v>1459.7159999999999</v>
      </c>
      <c r="AH463" s="28">
        <f t="shared" si="167"/>
        <v>6.1929220033036289E-2</v>
      </c>
      <c r="AJ463" s="5">
        <f t="shared" si="168"/>
        <v>13277.51721018064</v>
      </c>
      <c r="AK463" s="6">
        <f t="shared" si="169"/>
        <v>10527.786710770117</v>
      </c>
      <c r="AM463" s="1">
        <f t="shared" si="162"/>
        <v>45940</v>
      </c>
      <c r="AN463">
        <f t="shared" si="163"/>
        <v>1.2611878996938168</v>
      </c>
      <c r="AO463">
        <f t="shared" ca="1" si="149"/>
        <v>1.0945277593806908</v>
      </c>
      <c r="AP463">
        <f t="shared" ca="1" si="150"/>
        <v>1.1170689771524984</v>
      </c>
      <c r="AQ463">
        <f t="shared" ca="1" si="151"/>
        <v>1.1812677498434829</v>
      </c>
      <c r="AR463">
        <f t="shared" ca="1" si="152"/>
        <v>1.2210506938499799</v>
      </c>
      <c r="AS463">
        <f t="shared" ca="1" si="153"/>
        <v>1.2775086509335487</v>
      </c>
    </row>
    <row r="464" spans="2:45" x14ac:dyDescent="0.25">
      <c r="B464" s="22">
        <v>45947</v>
      </c>
      <c r="C464">
        <v>1375.1220000000001</v>
      </c>
      <c r="D464">
        <v>1434</v>
      </c>
      <c r="E464">
        <v>1657.79</v>
      </c>
      <c r="F464">
        <v>2299.6120000000001</v>
      </c>
      <c r="G464">
        <v>6835</v>
      </c>
      <c r="H464">
        <v>1375.73</v>
      </c>
      <c r="I464" s="6">
        <v>1989555</v>
      </c>
      <c r="K464" s="23">
        <f t="shared" si="154"/>
        <v>0.12709282568658464</v>
      </c>
      <c r="L464" s="24">
        <f t="shared" si="155"/>
        <v>7.9819277108433839E-2</v>
      </c>
      <c r="M464" s="24">
        <f t="shared" si="156"/>
        <v>-5.6758148440011591E-2</v>
      </c>
      <c r="N464" s="24">
        <f t="shared" si="157"/>
        <v>-3.7137185462337796E-2</v>
      </c>
      <c r="O464" s="24">
        <f t="shared" si="158"/>
        <v>2.0149253731343242E-2</v>
      </c>
      <c r="P464" s="24">
        <f t="shared" si="159"/>
        <v>-5.7535849439205866E-2</v>
      </c>
      <c r="Q464" s="25">
        <f t="shared" si="160"/>
        <v>3.3572649395043008E-2</v>
      </c>
      <c r="S464" s="26">
        <f t="shared" si="164"/>
        <v>1.2605028864134412E-2</v>
      </c>
      <c r="U464" s="5">
        <f t="shared" si="165"/>
        <v>20879.560617923464</v>
      </c>
      <c r="V464" s="6">
        <f t="shared" si="166"/>
        <v>10881.232402916596</v>
      </c>
      <c r="X464" s="20">
        <f t="shared" si="161"/>
        <v>1.9188599089499205</v>
      </c>
      <c r="Z464" s="22">
        <v>45947</v>
      </c>
      <c r="AA464" s="33">
        <v>2225377.8223000001</v>
      </c>
      <c r="AB464" s="33">
        <v>1255728.4483</v>
      </c>
      <c r="AC464" s="33">
        <v>872005.31200000003</v>
      </c>
      <c r="AD464" s="33">
        <v>1093601.7342000001</v>
      </c>
      <c r="AE464" s="33">
        <v>5145121.8313999996</v>
      </c>
      <c r="AF464" s="34">
        <v>1375.73</v>
      </c>
      <c r="AH464" s="28">
        <f t="shared" si="167"/>
        <v>3.4234298022223671E-2</v>
      </c>
      <c r="AJ464" s="5">
        <f t="shared" si="168"/>
        <v>13732.063691349167</v>
      </c>
      <c r="AK464" s="6">
        <f t="shared" si="169"/>
        <v>10881.232402916596</v>
      </c>
      <c r="AM464" s="1">
        <f t="shared" si="162"/>
        <v>45947</v>
      </c>
      <c r="AN464">
        <f t="shared" si="163"/>
        <v>1.2619952577860978</v>
      </c>
      <c r="AO464">
        <f t="shared" ca="1" si="149"/>
        <v>1.0945277593806908</v>
      </c>
      <c r="AP464">
        <f t="shared" ca="1" si="150"/>
        <v>1.1170689771524984</v>
      </c>
      <c r="AQ464">
        <f t="shared" ca="1" si="151"/>
        <v>1.1835892338678651</v>
      </c>
      <c r="AR464">
        <f t="shared" ca="1" si="152"/>
        <v>1.2334577845702857</v>
      </c>
      <c r="AS464">
        <f t="shared" ca="1" si="153"/>
        <v>1.2775086509335487</v>
      </c>
    </row>
    <row r="465" spans="2:45" x14ac:dyDescent="0.25">
      <c r="B465" s="22">
        <v>45954</v>
      </c>
      <c r="C465">
        <v>1391.835</v>
      </c>
      <c r="D465">
        <v>1509</v>
      </c>
      <c r="E465">
        <v>1594.3869999999999</v>
      </c>
      <c r="F465">
        <v>2365.2089999999998</v>
      </c>
      <c r="G465">
        <v>7050</v>
      </c>
      <c r="H465">
        <v>1409.5070000000001</v>
      </c>
      <c r="I465" s="6">
        <v>2076859</v>
      </c>
      <c r="K465" s="23">
        <f t="shared" si="154"/>
        <v>1.2153830714656477E-2</v>
      </c>
      <c r="L465" s="24">
        <f t="shared" si="155"/>
        <v>5.2301255230125632E-2</v>
      </c>
      <c r="M465" s="24">
        <f t="shared" si="156"/>
        <v>-3.8245495509081406E-2</v>
      </c>
      <c r="N465" s="24">
        <f t="shared" si="157"/>
        <v>2.852524686773239E-2</v>
      </c>
      <c r="O465" s="24">
        <f t="shared" si="158"/>
        <v>3.1455742501828921E-2</v>
      </c>
      <c r="P465" s="24">
        <f t="shared" si="159"/>
        <v>2.4552055999360389E-2</v>
      </c>
      <c r="Q465" s="25">
        <f t="shared" si="160"/>
        <v>4.3881169407229192E-2</v>
      </c>
      <c r="S465" s="26">
        <f t="shared" si="164"/>
        <v>1.8457105967437066E-2</v>
      </c>
      <c r="U465" s="5">
        <f t="shared" si="165"/>
        <v>21264.936880802001</v>
      </c>
      <c r="V465" s="6">
        <f t="shared" si="166"/>
        <v>11358.71360534841</v>
      </c>
      <c r="X465" s="20">
        <f t="shared" si="161"/>
        <v>1.872125455367508</v>
      </c>
      <c r="Z465" s="22">
        <v>45954</v>
      </c>
      <c r="AA465" s="33">
        <v>2252424.9531</v>
      </c>
      <c r="AB465" s="33">
        <v>1321404.6224</v>
      </c>
      <c r="AC465" s="33">
        <v>838654.77740000002</v>
      </c>
      <c r="AD465" s="33">
        <v>1124797.2838000001</v>
      </c>
      <c r="AE465" s="33">
        <v>5306965.4589</v>
      </c>
      <c r="AF465" s="34">
        <v>1409.5070000000001</v>
      </c>
      <c r="AH465" s="28">
        <f t="shared" si="167"/>
        <v>2.3830869693179327E-2</v>
      </c>
      <c r="AJ465" s="5">
        <f t="shared" si="168"/>
        <v>14059.310711796148</v>
      </c>
      <c r="AK465" s="6">
        <f t="shared" si="169"/>
        <v>11358.71360534841</v>
      </c>
      <c r="AM465" s="1">
        <f t="shared" si="162"/>
        <v>45954</v>
      </c>
      <c r="AN465">
        <f t="shared" si="163"/>
        <v>1.2377555417169885</v>
      </c>
      <c r="AO465">
        <f t="shared" ca="1" si="149"/>
        <v>1.0945277593806908</v>
      </c>
      <c r="AP465">
        <f t="shared" ca="1" si="150"/>
        <v>1.1226925069208429</v>
      </c>
      <c r="AQ465">
        <f t="shared" ca="1" si="151"/>
        <v>1.1882227067040763</v>
      </c>
      <c r="AR465">
        <f t="shared" ca="1" si="152"/>
        <v>1.2359536163457594</v>
      </c>
      <c r="AS465">
        <f t="shared" ca="1" si="153"/>
        <v>1.2775086509335487</v>
      </c>
    </row>
    <row r="466" spans="2:45" x14ac:dyDescent="0.25">
      <c r="B466" s="22">
        <v>45961</v>
      </c>
      <c r="C466">
        <v>2176.4250000000002</v>
      </c>
      <c r="D466">
        <v>2502.5</v>
      </c>
      <c r="E466">
        <v>2432.5810000000001</v>
      </c>
      <c r="F466">
        <v>4055.9650000000001</v>
      </c>
      <c r="G466">
        <v>9390</v>
      </c>
      <c r="H466">
        <v>2232.0230000000001</v>
      </c>
      <c r="I466" s="6">
        <v>3002607</v>
      </c>
      <c r="K466" s="23">
        <f t="shared" si="154"/>
        <v>0.56370906034120427</v>
      </c>
      <c r="L466" s="24">
        <f t="shared" si="155"/>
        <v>0.65838303512259766</v>
      </c>
      <c r="M466" s="24">
        <f t="shared" si="156"/>
        <v>0.52571552577887304</v>
      </c>
      <c r="N466" s="24">
        <f t="shared" si="157"/>
        <v>0.71484422729661534</v>
      </c>
      <c r="O466" s="24">
        <f t="shared" si="158"/>
        <v>0.33191489361702131</v>
      </c>
      <c r="P466" s="24">
        <f t="shared" si="159"/>
        <v>0.58354871596948432</v>
      </c>
      <c r="Q466" s="25">
        <f t="shared" si="160"/>
        <v>0.44574427055471744</v>
      </c>
      <c r="S466" s="26">
        <f t="shared" si="164"/>
        <v>0.56301924302096606</v>
      </c>
      <c r="U466" s="5">
        <f t="shared" si="165"/>
        <v>33237.505546319771</v>
      </c>
      <c r="V466" s="6">
        <f t="shared" si="166"/>
        <v>16421.795115804383</v>
      </c>
      <c r="X466" s="20">
        <f t="shared" si="161"/>
        <v>2.023987348029443</v>
      </c>
      <c r="Z466" s="22">
        <v>45961</v>
      </c>
      <c r="AA466" s="33">
        <v>3522137.4851000002</v>
      </c>
      <c r="AB466" s="33">
        <v>2191395.0082999999</v>
      </c>
      <c r="AC466" s="33">
        <v>1279548.8451</v>
      </c>
      <c r="AD466" s="33">
        <v>1928851.5922000001</v>
      </c>
      <c r="AE466" s="33">
        <v>7068426.3345999997</v>
      </c>
      <c r="AF466" s="34">
        <v>2232.0230000000001</v>
      </c>
      <c r="AH466" s="28">
        <f t="shared" si="167"/>
        <v>0.47456184558333797</v>
      </c>
      <c r="AJ466" s="5">
        <f t="shared" si="168"/>
        <v>20731.323150815722</v>
      </c>
      <c r="AK466" s="6">
        <f t="shared" si="169"/>
        <v>16421.795115804383</v>
      </c>
      <c r="AM466" s="1">
        <f t="shared" si="162"/>
        <v>45961</v>
      </c>
      <c r="AN466">
        <f t="shared" si="163"/>
        <v>1.2624273415068878</v>
      </c>
      <c r="AO466">
        <f t="shared" ca="1" si="149"/>
        <v>1.0945277593806908</v>
      </c>
      <c r="AP466">
        <f t="shared" ca="1" si="150"/>
        <v>1.1256657161929997</v>
      </c>
      <c r="AQ466">
        <f t="shared" ca="1" si="151"/>
        <v>1.1920234319815477</v>
      </c>
      <c r="AR466">
        <f t="shared" ca="1" si="152"/>
        <v>1.2386875781854214</v>
      </c>
      <c r="AS466">
        <f t="shared" ca="1" si="153"/>
        <v>1.2775086509335487</v>
      </c>
    </row>
    <row r="467" spans="2:45" x14ac:dyDescent="0.25">
      <c r="B467" s="22">
        <v>45968</v>
      </c>
      <c r="C467">
        <v>1982.367</v>
      </c>
      <c r="D467">
        <v>2386</v>
      </c>
      <c r="E467">
        <v>2646.0390000000002</v>
      </c>
      <c r="F467">
        <v>3910.4490000000001</v>
      </c>
      <c r="G467">
        <v>8430</v>
      </c>
      <c r="H467">
        <v>2177.25</v>
      </c>
      <c r="I467" s="6">
        <v>2864647</v>
      </c>
      <c r="K467" s="23">
        <f t="shared" si="154"/>
        <v>-8.916365140080651E-2</v>
      </c>
      <c r="L467" s="24">
        <f t="shared" si="155"/>
        <v>-4.6553446553446509E-2</v>
      </c>
      <c r="M467" s="24">
        <f t="shared" si="156"/>
        <v>8.7749596005230579E-2</v>
      </c>
      <c r="N467" s="24">
        <f t="shared" si="157"/>
        <v>-3.5877035428067083E-2</v>
      </c>
      <c r="O467" s="24">
        <f t="shared" si="158"/>
        <v>-0.10223642172523961</v>
      </c>
      <c r="P467" s="24">
        <f t="shared" si="159"/>
        <v>-2.4539621679525725E-2</v>
      </c>
      <c r="Q467" s="25">
        <f t="shared" si="160"/>
        <v>-4.5946738950518706E-2</v>
      </c>
      <c r="S467" s="26">
        <f t="shared" si="164"/>
        <v>-3.5103430130309143E-2</v>
      </c>
      <c r="U467" s="5">
        <f t="shared" si="165"/>
        <v>32070.755092668773</v>
      </c>
      <c r="V467" s="6">
        <f t="shared" si="166"/>
        <v>15667.267182519616</v>
      </c>
      <c r="X467" s="20">
        <f t="shared" si="161"/>
        <v>2.0469910111988745</v>
      </c>
      <c r="Z467" s="22">
        <v>45968</v>
      </c>
      <c r="AA467" s="33">
        <v>3208090.2434</v>
      </c>
      <c r="AB467" s="33">
        <v>2089378.0179000001</v>
      </c>
      <c r="AC467" s="33">
        <v>1391828.9783999999</v>
      </c>
      <c r="AD467" s="33">
        <v>1859650.1968</v>
      </c>
      <c r="AE467" s="33">
        <v>6345775.7188999997</v>
      </c>
      <c r="AF467" s="34">
        <v>2177.25</v>
      </c>
      <c r="AH467" s="28">
        <f t="shared" si="167"/>
        <v>-6.8512386824107874E-2</v>
      </c>
      <c r="AJ467" s="5">
        <f t="shared" si="168"/>
        <v>19310.970719731453</v>
      </c>
      <c r="AK467" s="6">
        <f t="shared" si="169"/>
        <v>15667.267182519616</v>
      </c>
      <c r="AM467" s="1">
        <f t="shared" si="162"/>
        <v>45968</v>
      </c>
      <c r="AN467">
        <f t="shared" si="163"/>
        <v>1.2325679070104334</v>
      </c>
      <c r="AO467">
        <f t="shared" ca="1" si="149"/>
        <v>1.0945277593806908</v>
      </c>
      <c r="AP467">
        <f t="shared" ca="1" si="150"/>
        <v>1.1256657161929997</v>
      </c>
      <c r="AQ467">
        <f t="shared" ca="1" si="151"/>
        <v>1.1935456737910903</v>
      </c>
      <c r="AR467">
        <f t="shared" ca="1" si="152"/>
        <v>1.2455159929915358</v>
      </c>
      <c r="AS467">
        <f t="shared" ca="1" si="153"/>
        <v>1.2775086509335487</v>
      </c>
    </row>
    <row r="468" spans="2:45" x14ac:dyDescent="0.25">
      <c r="B468" s="22">
        <v>45975</v>
      </c>
      <c r="C468">
        <v>2098.4299999999998</v>
      </c>
      <c r="D468">
        <v>2432</v>
      </c>
      <c r="E468">
        <v>2950.3760000000002</v>
      </c>
      <c r="F468">
        <v>4044.4160000000002</v>
      </c>
      <c r="G468">
        <v>9210</v>
      </c>
      <c r="H468">
        <v>2291.3609999999999</v>
      </c>
      <c r="I468" s="6">
        <v>2992809</v>
      </c>
      <c r="K468" s="23">
        <f t="shared" si="154"/>
        <v>5.8547685670715888E-2</v>
      </c>
      <c r="L468" s="24">
        <f t="shared" si="155"/>
        <v>1.9279128248113953E-2</v>
      </c>
      <c r="M468" s="24">
        <f t="shared" si="156"/>
        <v>0.11501606741246073</v>
      </c>
      <c r="N468" s="24">
        <f t="shared" si="157"/>
        <v>3.4258725788266275E-2</v>
      </c>
      <c r="O468" s="24">
        <f t="shared" si="158"/>
        <v>9.2526690391458999E-2</v>
      </c>
      <c r="P468" s="24">
        <f t="shared" si="159"/>
        <v>5.2410609714088841E-2</v>
      </c>
      <c r="Q468" s="25">
        <f t="shared" si="160"/>
        <v>4.4739194741969968E-2</v>
      </c>
      <c r="S468" s="26">
        <f t="shared" si="164"/>
        <v>6.2006484537517448E-2</v>
      </c>
      <c r="U468" s="5">
        <f t="shared" si="165"/>
        <v>34059.349872428851</v>
      </c>
      <c r="V468" s="6">
        <f t="shared" si="166"/>
        <v>16368.208100072836</v>
      </c>
      <c r="X468" s="20">
        <f t="shared" si="161"/>
        <v>2.0808233658928916</v>
      </c>
      <c r="Z468" s="22">
        <v>45975</v>
      </c>
      <c r="AA468" s="33">
        <v>3395917.5411</v>
      </c>
      <c r="AB468" s="33">
        <v>2129659.4046999998</v>
      </c>
      <c r="AC468" s="33">
        <v>1551911.5445999999</v>
      </c>
      <c r="AD468" s="33">
        <v>1923359.4180000001</v>
      </c>
      <c r="AE468" s="33">
        <v>6932929.3442000002</v>
      </c>
      <c r="AF468" s="34">
        <v>2291.3609999999999</v>
      </c>
      <c r="AH468" s="28">
        <f t="shared" si="167"/>
        <v>6.9757284781195444E-2</v>
      </c>
      <c r="AJ468" s="5">
        <f t="shared" si="168"/>
        <v>20658.051603629086</v>
      </c>
      <c r="AK468" s="6">
        <f t="shared" si="169"/>
        <v>16368.208100072836</v>
      </c>
      <c r="AM468" s="1">
        <f t="shared" si="162"/>
        <v>45975</v>
      </c>
      <c r="AN468">
        <f t="shared" si="163"/>
        <v>1.2620838809800545</v>
      </c>
      <c r="AO468">
        <f t="shared" ca="1" si="149"/>
        <v>1.0945277593806908</v>
      </c>
      <c r="AP468">
        <f t="shared" ca="1" si="150"/>
        <v>1.1256657161929997</v>
      </c>
      <c r="AQ468">
        <f t="shared" ca="1" si="151"/>
        <v>1.194853598679086</v>
      </c>
      <c r="AR468">
        <f t="shared" ca="1" si="152"/>
        <v>1.2455159929915358</v>
      </c>
      <c r="AS468">
        <f t="shared" ca="1" si="153"/>
        <v>1.2775086509335487</v>
      </c>
    </row>
    <row r="469" spans="2:45" x14ac:dyDescent="0.25">
      <c r="B469" s="22">
        <v>45982</v>
      </c>
      <c r="C469">
        <v>1954.511</v>
      </c>
      <c r="D469">
        <v>2255</v>
      </c>
      <c r="E469">
        <v>2859.498</v>
      </c>
      <c r="F469">
        <v>3979.7420000000002</v>
      </c>
      <c r="G469">
        <v>8940</v>
      </c>
      <c r="H469">
        <v>2055.835</v>
      </c>
      <c r="I469" s="6">
        <v>2761615</v>
      </c>
      <c r="K469" s="23">
        <f t="shared" si="154"/>
        <v>-6.8584131946264559E-2</v>
      </c>
      <c r="L469" s="24">
        <f t="shared" si="155"/>
        <v>-7.2779605263157854E-2</v>
      </c>
      <c r="M469" s="24">
        <f t="shared" si="156"/>
        <v>-3.0802175722687619E-2</v>
      </c>
      <c r="N469" s="24">
        <f t="shared" si="157"/>
        <v>-1.5990936639554421E-2</v>
      </c>
      <c r="O469" s="24">
        <f t="shared" si="158"/>
        <v>-2.931596091205213E-2</v>
      </c>
      <c r="P469" s="24">
        <f t="shared" si="159"/>
        <v>-0.10278869196080398</v>
      </c>
      <c r="Q469" s="25">
        <f t="shared" si="160"/>
        <v>-7.7249834520011107E-2</v>
      </c>
      <c r="S469" s="26">
        <f t="shared" si="164"/>
        <v>-5.337691707408676E-2</v>
      </c>
      <c r="U469" s="5">
        <f t="shared" si="165"/>
        <v>32241.36677869091</v>
      </c>
      <c r="V469" s="6">
        <f t="shared" si="166"/>
        <v>15103.766732953103</v>
      </c>
      <c r="X469" s="20">
        <f t="shared" si="161"/>
        <v>2.1346573572503162</v>
      </c>
      <c r="Z469" s="22">
        <v>45982</v>
      </c>
      <c r="AA469" s="33">
        <v>3163011.6919999998</v>
      </c>
      <c r="AB469" s="33">
        <v>1974663.6339</v>
      </c>
      <c r="AC469" s="33">
        <v>1504109.1115999999</v>
      </c>
      <c r="AD469" s="33">
        <v>1892603.2422</v>
      </c>
      <c r="AE469" s="33">
        <v>6729683.8585000001</v>
      </c>
      <c r="AF469" s="34">
        <v>2055.835</v>
      </c>
      <c r="AH469" s="28">
        <f t="shared" si="167"/>
        <v>-4.2039315099113669E-2</v>
      </c>
      <c r="AJ469" s="5">
        <f t="shared" si="168"/>
        <v>19789.601262930373</v>
      </c>
      <c r="AK469" s="6">
        <f t="shared" si="169"/>
        <v>15103.766732953103</v>
      </c>
      <c r="AM469" s="1">
        <f t="shared" si="162"/>
        <v>45982</v>
      </c>
      <c r="AN469">
        <f t="shared" si="163"/>
        <v>1.310242776707734</v>
      </c>
      <c r="AO469">
        <f t="shared" ca="1" si="149"/>
        <v>1.0945277593806908</v>
      </c>
      <c r="AP469">
        <f t="shared" ca="1" si="150"/>
        <v>1.1256657161929997</v>
      </c>
      <c r="AQ469">
        <f t="shared" ca="1" si="151"/>
        <v>1.194853598679086</v>
      </c>
      <c r="AR469">
        <f t="shared" ca="1" si="152"/>
        <v>1.2585066568189425</v>
      </c>
      <c r="AS469">
        <f t="shared" ca="1" si="153"/>
        <v>1.2775086509335487</v>
      </c>
    </row>
    <row r="470" spans="2:45" x14ac:dyDescent="0.25">
      <c r="B470" s="22">
        <v>45989</v>
      </c>
      <c r="C470">
        <v>2259.991</v>
      </c>
      <c r="D470">
        <v>2572.5</v>
      </c>
      <c r="E470">
        <v>2920.788</v>
      </c>
      <c r="F470">
        <v>4169.1440000000002</v>
      </c>
      <c r="G470">
        <v>9175</v>
      </c>
      <c r="H470">
        <v>2271.2779999999998</v>
      </c>
      <c r="I470" s="6">
        <v>3026470</v>
      </c>
      <c r="K470" s="23">
        <f t="shared" si="154"/>
        <v>0.15629484817430028</v>
      </c>
      <c r="L470" s="24">
        <f t="shared" si="155"/>
        <v>0.14079822616407989</v>
      </c>
      <c r="M470" s="24">
        <f t="shared" si="156"/>
        <v>2.1433832092206284E-2</v>
      </c>
      <c r="N470" s="24">
        <f t="shared" si="157"/>
        <v>4.7591527289960078E-2</v>
      </c>
      <c r="O470" s="24">
        <f t="shared" si="158"/>
        <v>2.6286353467561474E-2</v>
      </c>
      <c r="P470" s="24">
        <f t="shared" si="159"/>
        <v>0.1047958615355804</v>
      </c>
      <c r="Q470" s="25">
        <f t="shared" si="160"/>
        <v>9.590583770728367E-2</v>
      </c>
      <c r="S470" s="26">
        <f t="shared" si="164"/>
        <v>8.2866774787281397E-2</v>
      </c>
      <c r="U470" s="5">
        <f t="shared" si="165"/>
        <v>34913.104858374827</v>
      </c>
      <c r="V470" s="6">
        <f t="shared" si="166"/>
        <v>16552.306134012375</v>
      </c>
      <c r="X470" s="20">
        <f t="shared" si="161"/>
        <v>2.1092592521977291</v>
      </c>
      <c r="Z470" s="22">
        <v>45989</v>
      </c>
      <c r="AA470" s="33">
        <v>3657373.1394000002</v>
      </c>
      <c r="AB470" s="33">
        <v>2252692.7708000001</v>
      </c>
      <c r="AC470" s="33">
        <v>1536347.9617000001</v>
      </c>
      <c r="AD470" s="33">
        <v>1982674.8997</v>
      </c>
      <c r="AE470" s="33">
        <v>6906582.7072000001</v>
      </c>
      <c r="AF470" s="34">
        <v>2271.2779999999998</v>
      </c>
      <c r="AH470" s="28">
        <f t="shared" si="167"/>
        <v>7.0208805122784629E-2</v>
      </c>
      <c r="AJ470" s="5">
        <f t="shared" si="168"/>
        <v>21179.005521457068</v>
      </c>
      <c r="AK470" s="6">
        <f t="shared" si="169"/>
        <v>16552.306134012375</v>
      </c>
      <c r="AM470" s="1">
        <f t="shared" si="162"/>
        <v>45989</v>
      </c>
      <c r="AN470">
        <f t="shared" si="163"/>
        <v>1.2795199261048922</v>
      </c>
      <c r="AO470">
        <f t="shared" ca="1" si="149"/>
        <v>1.0945277593806908</v>
      </c>
      <c r="AP470">
        <f t="shared" ca="1" si="150"/>
        <v>1.1256657161929997</v>
      </c>
      <c r="AQ470">
        <f t="shared" ca="1" si="151"/>
        <v>1.1954815836319894</v>
      </c>
      <c r="AR470">
        <f t="shared" ca="1" si="152"/>
        <v>1.2613897392168871</v>
      </c>
      <c r="AS470">
        <f t="shared" ca="1" si="153"/>
        <v>1.2780264408165469</v>
      </c>
    </row>
    <row r="471" spans="2:45" x14ac:dyDescent="0.25">
      <c r="B471" s="22">
        <v>45996</v>
      </c>
      <c r="C471">
        <v>2430.3719999999998</v>
      </c>
      <c r="D471">
        <v>2505</v>
      </c>
      <c r="E471">
        <v>3345.5909999999999</v>
      </c>
      <c r="F471">
        <v>4444.0069999999996</v>
      </c>
      <c r="G471">
        <v>9505</v>
      </c>
      <c r="H471">
        <v>2480.7869999999998</v>
      </c>
      <c r="I471" s="6">
        <v>3046355</v>
      </c>
      <c r="K471" s="23">
        <f t="shared" si="154"/>
        <v>7.5390123235004047E-2</v>
      </c>
      <c r="L471" s="24">
        <f t="shared" si="155"/>
        <v>-2.6239067055393583E-2</v>
      </c>
      <c r="M471" s="24">
        <f t="shared" si="156"/>
        <v>0.14544123024334521</v>
      </c>
      <c r="N471" s="24">
        <f t="shared" si="157"/>
        <v>6.5927921894758157E-2</v>
      </c>
      <c r="O471" s="24">
        <f t="shared" si="158"/>
        <v>3.5967302452316163E-2</v>
      </c>
      <c r="P471" s="24">
        <f t="shared" si="159"/>
        <v>9.2242781376828287E-2</v>
      </c>
      <c r="Q471" s="25">
        <f t="shared" si="160"/>
        <v>6.5703608494385168E-3</v>
      </c>
      <c r="S471" s="26">
        <f t="shared" si="164"/>
        <v>6.4788382024476385E-2</v>
      </c>
      <c r="U471" s="5">
        <f t="shared" si="165"/>
        <v>37175.068433599816</v>
      </c>
      <c r="V471" s="6">
        <f t="shared" si="166"/>
        <v>16661.06075820321</v>
      </c>
      <c r="X471" s="20">
        <f t="shared" si="161"/>
        <v>2.2312545985582801</v>
      </c>
      <c r="Z471" s="22">
        <v>45996</v>
      </c>
      <c r="AA471" s="33">
        <v>3933103.6123000002</v>
      </c>
      <c r="AB471" s="33">
        <v>2193584.2141</v>
      </c>
      <c r="AC471" s="33">
        <v>1759796.5437</v>
      </c>
      <c r="AD471" s="33">
        <v>2113388.6466000001</v>
      </c>
      <c r="AE471" s="33">
        <v>7154993.8563000001</v>
      </c>
      <c r="AF471" s="34">
        <v>2480.7869999999998</v>
      </c>
      <c r="AH471" s="28">
        <f t="shared" si="167"/>
        <v>5.0153431122159885E-2</v>
      </c>
      <c r="AJ471" s="5">
        <f t="shared" si="168"/>
        <v>22241.205316113308</v>
      </c>
      <c r="AK471" s="6">
        <f t="shared" si="169"/>
        <v>16661.06075820321</v>
      </c>
      <c r="AM471" s="1">
        <f t="shared" si="162"/>
        <v>45996</v>
      </c>
      <c r="AN471">
        <f t="shared" si="163"/>
        <v>1.3349213257722903</v>
      </c>
      <c r="AO471">
        <f t="shared" ca="1" si="149"/>
        <v>1.0945277593806908</v>
      </c>
      <c r="AP471">
        <f t="shared" ca="1" si="150"/>
        <v>1.1256657161929997</v>
      </c>
      <c r="AQ471">
        <f t="shared" ca="1" si="151"/>
        <v>1.1976826475891471</v>
      </c>
      <c r="AR471">
        <f t="shared" ca="1" si="152"/>
        <v>1.262017413584587</v>
      </c>
      <c r="AS471">
        <f t="shared" ca="1" si="153"/>
        <v>1.2793757553627028</v>
      </c>
    </row>
    <row r="472" spans="2:45" x14ac:dyDescent="0.25">
      <c r="B472" s="22">
        <v>46003</v>
      </c>
      <c r="C472">
        <v>2293.4169999999999</v>
      </c>
      <c r="D472">
        <v>2319</v>
      </c>
      <c r="E472">
        <v>3421.6759999999999</v>
      </c>
      <c r="F472">
        <v>4515.6099999999997</v>
      </c>
      <c r="G472">
        <v>9610</v>
      </c>
      <c r="H472">
        <v>2309.6190000000001</v>
      </c>
      <c r="I472" s="6">
        <v>2979065</v>
      </c>
      <c r="K472" s="23">
        <f t="shared" si="154"/>
        <v>-5.635145566193156E-2</v>
      </c>
      <c r="L472" s="24">
        <f t="shared" si="155"/>
        <v>-7.4251497005987988E-2</v>
      </c>
      <c r="M472" s="24">
        <f t="shared" si="156"/>
        <v>2.2741871316607432E-2</v>
      </c>
      <c r="N472" s="24">
        <f t="shared" si="157"/>
        <v>1.6112260849274085E-2</v>
      </c>
      <c r="O472" s="24">
        <f t="shared" si="158"/>
        <v>1.1046817464492431E-2</v>
      </c>
      <c r="P472" s="24">
        <f t="shared" si="159"/>
        <v>-6.8997459274012463E-2</v>
      </c>
      <c r="Q472" s="25">
        <f t="shared" si="160"/>
        <v>-2.2088692880507965E-2</v>
      </c>
      <c r="S472" s="26">
        <f t="shared" si="164"/>
        <v>-2.4949910385259677E-2</v>
      </c>
      <c r="U472" s="5">
        <f t="shared" si="165"/>
        <v>36247.553807615601</v>
      </c>
      <c r="V472" s="6">
        <f t="shared" si="166"/>
        <v>16293.039704051776</v>
      </c>
      <c r="X472" s="20">
        <f t="shared" si="161"/>
        <v>2.2247262920866451</v>
      </c>
      <c r="Z472" s="22">
        <v>46003</v>
      </c>
      <c r="AA472" s="33">
        <v>3711467.4010999999</v>
      </c>
      <c r="AB472" s="33">
        <v>2030707.3023999999</v>
      </c>
      <c r="AC472" s="33">
        <v>1799817.1853</v>
      </c>
      <c r="AD472" s="33">
        <v>2147440.1269</v>
      </c>
      <c r="AE472" s="33">
        <v>7234033.7674000002</v>
      </c>
      <c r="AF472" s="34">
        <v>2309.6190000000001</v>
      </c>
      <c r="AH472" s="28">
        <f t="shared" si="167"/>
        <v>-1.3496943195220802E-2</v>
      </c>
      <c r="AJ472" s="5">
        <f t="shared" si="168"/>
        <v>21941.017031368483</v>
      </c>
      <c r="AK472" s="6">
        <f t="shared" si="169"/>
        <v>16293.039704051776</v>
      </c>
      <c r="AM472" s="1">
        <f t="shared" si="162"/>
        <v>46003</v>
      </c>
      <c r="AN472">
        <f t="shared" si="163"/>
        <v>1.3466497001116471</v>
      </c>
      <c r="AO472">
        <f t="shared" ca="1" si="149"/>
        <v>1.0945277593806908</v>
      </c>
      <c r="AP472">
        <f t="shared" ca="1" si="150"/>
        <v>1.1256657161929997</v>
      </c>
      <c r="AQ472">
        <f t="shared" ca="1" si="151"/>
        <v>1.1990994398645702</v>
      </c>
      <c r="AR472">
        <f t="shared" ca="1" si="152"/>
        <v>1.2621697461117629</v>
      </c>
      <c r="AS472">
        <f t="shared" ca="1" si="153"/>
        <v>1.2922568722587808</v>
      </c>
    </row>
    <row r="473" spans="2:45" x14ac:dyDescent="0.25">
      <c r="B473" s="22">
        <v>46010</v>
      </c>
      <c r="C473">
        <v>2486.0830000000001</v>
      </c>
      <c r="D473">
        <v>2440</v>
      </c>
      <c r="E473">
        <v>3647.8150000000001</v>
      </c>
      <c r="F473">
        <v>4776.6139999999996</v>
      </c>
      <c r="G473">
        <v>9695</v>
      </c>
      <c r="H473">
        <v>2382.6509999999998</v>
      </c>
      <c r="I473" s="6">
        <v>3139467</v>
      </c>
      <c r="K473" s="23">
        <f t="shared" si="154"/>
        <v>8.4008272372621429E-2</v>
      </c>
      <c r="L473" s="24">
        <f t="shared" si="155"/>
        <v>5.2177662785683587E-2</v>
      </c>
      <c r="M473" s="24">
        <f t="shared" si="156"/>
        <v>6.6090126592932785E-2</v>
      </c>
      <c r="N473" s="24">
        <f t="shared" si="157"/>
        <v>5.7800385772907692E-2</v>
      </c>
      <c r="O473" s="24">
        <f t="shared" si="158"/>
        <v>8.8449531737773146E-3</v>
      </c>
      <c r="P473" s="24">
        <f t="shared" si="159"/>
        <v>3.1620799794251697E-2</v>
      </c>
      <c r="Q473" s="25">
        <f t="shared" si="160"/>
        <v>5.3843068210999157E-2</v>
      </c>
      <c r="S473" s="26">
        <f t="shared" si="164"/>
        <v>5.0090366748695749E-2</v>
      </c>
      <c r="U473" s="5">
        <f t="shared" si="165"/>
        <v>38063.207071582154</v>
      </c>
      <c r="V473" s="6">
        <f t="shared" si="166"/>
        <v>17170.306952201554</v>
      </c>
      <c r="X473" s="20">
        <f t="shared" si="161"/>
        <v>2.2168041129108493</v>
      </c>
      <c r="Z473" s="22">
        <v>46010</v>
      </c>
      <c r="AA473" s="33">
        <v>4023260.7151000001</v>
      </c>
      <c r="AB473" s="33">
        <v>2136664.8632</v>
      </c>
      <c r="AC473" s="33">
        <v>1918767.4254000001</v>
      </c>
      <c r="AD473" s="33">
        <v>2271563.2645999999</v>
      </c>
      <c r="AE473" s="33">
        <v>7298018.4572999999</v>
      </c>
      <c r="AF473" s="34">
        <v>2382.6509999999998</v>
      </c>
      <c r="AH473" s="28">
        <f t="shared" si="167"/>
        <v>4.2827122732271475E-2</v>
      </c>
      <c r="AJ473" s="5">
        <f t="shared" si="168"/>
        <v>22880.687660641757</v>
      </c>
      <c r="AK473" s="6">
        <f t="shared" si="169"/>
        <v>17170.306952201554</v>
      </c>
      <c r="AM473" s="1">
        <f t="shared" si="162"/>
        <v>46010</v>
      </c>
      <c r="AN473">
        <f t="shared" si="163"/>
        <v>1.3325730124881678</v>
      </c>
      <c r="AO473">
        <f t="shared" ca="1" si="149"/>
        <v>1.0945277593806908</v>
      </c>
      <c r="AP473">
        <f t="shared" ca="1" si="150"/>
        <v>1.1256657161929997</v>
      </c>
      <c r="AQ473">
        <f t="shared" ca="1" si="151"/>
        <v>1.1990994398645702</v>
      </c>
      <c r="AR473">
        <f t="shared" ca="1" si="152"/>
        <v>1.2632432628456305</v>
      </c>
      <c r="AS473">
        <f t="shared" ca="1" si="153"/>
        <v>1.2958730792931197</v>
      </c>
    </row>
    <row r="474" spans="2:45" x14ac:dyDescent="0.25">
      <c r="B474" s="22">
        <v>46017</v>
      </c>
      <c r="C474">
        <v>2518.5810000000001</v>
      </c>
      <c r="D474">
        <v>2420</v>
      </c>
      <c r="E474">
        <v>3533.6880000000001</v>
      </c>
      <c r="F474">
        <v>4642.982</v>
      </c>
      <c r="G474">
        <v>9480</v>
      </c>
      <c r="H474">
        <v>2467.0929999999998</v>
      </c>
      <c r="I474" s="6">
        <v>3112380</v>
      </c>
      <c r="K474" s="23">
        <f t="shared" si="154"/>
        <v>1.3071969037236508E-2</v>
      </c>
      <c r="L474" s="24">
        <f t="shared" si="155"/>
        <v>-8.1967213114754189E-3</v>
      </c>
      <c r="M474" s="24">
        <f t="shared" si="156"/>
        <v>-3.1286400214923127E-2</v>
      </c>
      <c r="N474" s="24">
        <f t="shared" si="157"/>
        <v>-2.7976302878984893E-2</v>
      </c>
      <c r="O474" s="24">
        <f t="shared" si="158"/>
        <v>-2.2176379577101613E-2</v>
      </c>
      <c r="P474" s="24">
        <f t="shared" si="159"/>
        <v>3.5440356141121843E-2</v>
      </c>
      <c r="Q474" s="25">
        <f t="shared" si="160"/>
        <v>-8.6278976654317052E-3</v>
      </c>
      <c r="S474" s="26">
        <f t="shared" si="164"/>
        <v>-6.8539131340211168E-3</v>
      </c>
      <c r="U474" s="5">
        <f t="shared" si="165"/>
        <v>37802.325156711275</v>
      </c>
      <c r="V474" s="6">
        <f t="shared" si="166"/>
        <v>17022.163300933909</v>
      </c>
      <c r="X474" s="20">
        <f t="shared" si="161"/>
        <v>2.2207709142725283</v>
      </c>
      <c r="Z474" s="22">
        <v>46017</v>
      </c>
      <c r="AA474" s="33">
        <v>4075852.3585000001</v>
      </c>
      <c r="AB474" s="33">
        <v>2119151.2168000001</v>
      </c>
      <c r="AC474" s="33">
        <v>1858736.4631000001</v>
      </c>
      <c r="AD474" s="33">
        <v>2138652.6480999999</v>
      </c>
      <c r="AE474" s="33">
        <v>7136174.8298000004</v>
      </c>
      <c r="AF474" s="34">
        <v>2467.0929999999998</v>
      </c>
      <c r="AH474" s="28">
        <f t="shared" si="167"/>
        <v>-1.4178631115142519E-2</v>
      </c>
      <c r="AJ474" s="5">
        <f t="shared" si="168"/>
        <v>22556.270830640726</v>
      </c>
      <c r="AK474" s="6">
        <f t="shared" si="169"/>
        <v>17022.163300933909</v>
      </c>
      <c r="AM474" s="1">
        <f t="shared" si="162"/>
        <v>46017</v>
      </c>
      <c r="AN474">
        <f t="shared" si="163"/>
        <v>1.3251118810147469</v>
      </c>
      <c r="AO474">
        <f t="shared" ca="1" si="149"/>
        <v>1.0945277593806908</v>
      </c>
      <c r="AP474">
        <f t="shared" ca="1" si="150"/>
        <v>1.1256657161929997</v>
      </c>
      <c r="AQ474">
        <f t="shared" ca="1" si="151"/>
        <v>1.2019038014904666</v>
      </c>
      <c r="AR474">
        <f t="shared" ca="1" si="152"/>
        <v>1.2659012829038763</v>
      </c>
      <c r="AS474">
        <f t="shared" ca="1" si="153"/>
        <v>1.2988585218785969</v>
      </c>
    </row>
    <row r="475" spans="2:45" x14ac:dyDescent="0.25">
      <c r="B475" s="22">
        <v>46024</v>
      </c>
      <c r="C475">
        <v>2504.6529999999998</v>
      </c>
      <c r="D475">
        <v>2320</v>
      </c>
      <c r="E475">
        <v>2933.4690000000001</v>
      </c>
      <c r="F475">
        <v>4526.1319999999996</v>
      </c>
      <c r="G475">
        <v>9515</v>
      </c>
      <c r="H475">
        <v>2316.4659999999999</v>
      </c>
      <c r="I475" s="6">
        <v>3126292</v>
      </c>
      <c r="K475" s="23">
        <f t="shared" si="154"/>
        <v>-5.5300980988899351E-3</v>
      </c>
      <c r="L475" s="24">
        <f t="shared" si="155"/>
        <v>-4.132231404958675E-2</v>
      </c>
      <c r="M475" s="24">
        <f t="shared" si="156"/>
        <v>-0.1698562521648771</v>
      </c>
      <c r="N475" s="24">
        <f t="shared" si="157"/>
        <v>-2.5167015508567592E-2</v>
      </c>
      <c r="O475" s="24">
        <f t="shared" si="158"/>
        <v>3.6919831223629629E-3</v>
      </c>
      <c r="P475" s="24">
        <f t="shared" si="159"/>
        <v>-6.105444748130695E-2</v>
      </c>
      <c r="Q475" s="25">
        <f t="shared" si="160"/>
        <v>4.4698912086571507E-3</v>
      </c>
      <c r="S475" s="26">
        <f t="shared" si="164"/>
        <v>-4.9873024030144229E-2</v>
      </c>
      <c r="U475" s="5">
        <f t="shared" si="165"/>
        <v>35917.008885775285</v>
      </c>
      <c r="V475" s="6">
        <f t="shared" si="166"/>
        <v>17098.250519025081</v>
      </c>
      <c r="X475" s="20">
        <f t="shared" si="161"/>
        <v>2.1006247888233203</v>
      </c>
      <c r="Z475" s="22">
        <v>46024</v>
      </c>
      <c r="AA475" s="33">
        <v>4053313.0827000001</v>
      </c>
      <c r="AB475" s="33">
        <v>2031582.9846999999</v>
      </c>
      <c r="AC475" s="33">
        <v>1543018.0686999999</v>
      </c>
      <c r="AD475" s="33">
        <v>2084829.3406</v>
      </c>
      <c r="AE475" s="33">
        <v>7162521.4669000003</v>
      </c>
      <c r="AF475" s="34">
        <v>2316.4659999999999</v>
      </c>
      <c r="AH475" s="28">
        <f t="shared" si="167"/>
        <v>-2.6164254438198808E-2</v>
      </c>
      <c r="AJ475" s="5">
        <f t="shared" si="168"/>
        <v>21966.102821450921</v>
      </c>
      <c r="AK475" s="6">
        <f t="shared" si="169"/>
        <v>17098.250519025081</v>
      </c>
      <c r="AM475" s="1">
        <f t="shared" si="162"/>
        <v>46024</v>
      </c>
      <c r="AN475">
        <f t="shared" si="163"/>
        <v>1.2846988524942609</v>
      </c>
      <c r="AO475">
        <f t="shared" ca="1" si="149"/>
        <v>1.0945277593806908</v>
      </c>
      <c r="AP475">
        <f t="shared" ca="1" si="150"/>
        <v>1.1256657161929997</v>
      </c>
      <c r="AQ475">
        <f t="shared" ca="1" si="151"/>
        <v>1.2104315666546976</v>
      </c>
      <c r="AR475">
        <f t="shared" ca="1" si="152"/>
        <v>1.2691596755647401</v>
      </c>
      <c r="AS475">
        <f t="shared" ca="1" si="153"/>
        <v>1.3091348055365168</v>
      </c>
    </row>
    <row r="476" spans="2:45" x14ac:dyDescent="0.25">
      <c r="B476" s="22">
        <v>46031</v>
      </c>
      <c r="C476">
        <v>2381.6260000000002</v>
      </c>
      <c r="D476">
        <v>2219</v>
      </c>
      <c r="E476">
        <v>3208.2170000000001</v>
      </c>
      <c r="F476">
        <v>4251.893</v>
      </c>
      <c r="G476">
        <v>9170</v>
      </c>
      <c r="H476">
        <v>2144.386</v>
      </c>
      <c r="I476" s="6">
        <v>3089461</v>
      </c>
      <c r="K476" s="23">
        <f t="shared" si="154"/>
        <v>-4.9119379011783093E-2</v>
      </c>
      <c r="L476" s="24">
        <f t="shared" si="155"/>
        <v>-4.3534482758620707E-2</v>
      </c>
      <c r="M476" s="24">
        <f t="shared" si="156"/>
        <v>9.3659759145230392E-2</v>
      </c>
      <c r="N476" s="24">
        <f t="shared" si="157"/>
        <v>-6.0590146288265423E-2</v>
      </c>
      <c r="O476" s="24">
        <f t="shared" si="158"/>
        <v>-3.6258539148712576E-2</v>
      </c>
      <c r="P476" s="24">
        <f t="shared" si="159"/>
        <v>-7.428557121062862E-2</v>
      </c>
      <c r="Q476" s="25">
        <f t="shared" si="160"/>
        <v>-1.1781049243000941E-2</v>
      </c>
      <c r="S476" s="26">
        <f t="shared" si="164"/>
        <v>-2.8354726545463338E-2</v>
      </c>
      <c r="U476" s="5">
        <f t="shared" si="165"/>
        <v>34898.59192048815</v>
      </c>
      <c r="V476" s="6">
        <f t="shared" si="166"/>
        <v>16896.815187691282</v>
      </c>
      <c r="X476" s="20">
        <f t="shared" si="161"/>
        <v>2.0653946635997125</v>
      </c>
      <c r="Z476" s="22">
        <v>46031</v>
      </c>
      <c r="AA476" s="33">
        <v>3854216.1472999998</v>
      </c>
      <c r="AB476" s="33">
        <v>1943139.0703</v>
      </c>
      <c r="AC476" s="33">
        <v>1687537.0519999999</v>
      </c>
      <c r="AD476" s="33">
        <v>1958509.3330999999</v>
      </c>
      <c r="AE476" s="33">
        <v>6902818.9018999999</v>
      </c>
      <c r="AF476" s="34">
        <v>2144.386</v>
      </c>
      <c r="AH476" s="28">
        <f t="shared" si="167"/>
        <v>-3.1356163078828325E-2</v>
      </c>
      <c r="AJ476" s="5">
        <f t="shared" si="168"/>
        <v>21277.330119175193</v>
      </c>
      <c r="AK476" s="6">
        <f t="shared" si="169"/>
        <v>16896.815187691282</v>
      </c>
      <c r="AM476" s="1">
        <f t="shared" si="162"/>
        <v>46031</v>
      </c>
      <c r="AN476">
        <f t="shared" si="163"/>
        <v>1.2592509229002491</v>
      </c>
      <c r="AO476">
        <f t="shared" ca="1" si="149"/>
        <v>1.0945277593806908</v>
      </c>
      <c r="AP476">
        <f t="shared" ca="1" si="150"/>
        <v>1.1256657161929997</v>
      </c>
      <c r="AQ476">
        <f t="shared" ca="1" si="151"/>
        <v>1.2247777005709235</v>
      </c>
      <c r="AR476">
        <f t="shared" ca="1" si="152"/>
        <v>1.2771720218814981</v>
      </c>
      <c r="AS476">
        <f t="shared" ca="1" si="153"/>
        <v>1.3091348055365168</v>
      </c>
    </row>
    <row r="477" spans="2:45" x14ac:dyDescent="0.25">
      <c r="B477" s="22">
        <v>46038</v>
      </c>
      <c r="C477">
        <v>2148.5700000000002</v>
      </c>
      <c r="D477">
        <v>2040</v>
      </c>
      <c r="E477">
        <v>2772.846</v>
      </c>
      <c r="F477">
        <v>4120.7359999999999</v>
      </c>
      <c r="G477">
        <v>8725</v>
      </c>
      <c r="H477">
        <v>2080.4830000000002</v>
      </c>
      <c r="I477" s="6">
        <v>2933230</v>
      </c>
      <c r="K477" s="23">
        <f t="shared" si="154"/>
        <v>-9.7855834627267213E-2</v>
      </c>
      <c r="L477" s="24">
        <f t="shared" si="155"/>
        <v>-8.066696710229837E-2</v>
      </c>
      <c r="M477" s="24">
        <f t="shared" si="156"/>
        <v>-0.13570497257510949</v>
      </c>
      <c r="N477" s="24">
        <f t="shared" si="157"/>
        <v>-3.0846731091304536E-2</v>
      </c>
      <c r="O477" s="24">
        <f t="shared" si="158"/>
        <v>-4.8527808069792844E-2</v>
      </c>
      <c r="P477" s="24">
        <f t="shared" si="159"/>
        <v>-2.9800138594450742E-2</v>
      </c>
      <c r="Q477" s="25">
        <f t="shared" si="160"/>
        <v>-5.0569015112992166E-2</v>
      </c>
      <c r="S477" s="26">
        <f t="shared" si="164"/>
        <v>-7.0567075343370533E-2</v>
      </c>
      <c r="U477" s="5">
        <f t="shared" si="165"/>
        <v>32435.900355057522</v>
      </c>
      <c r="V477" s="6">
        <f t="shared" si="166"/>
        <v>16042.359885103486</v>
      </c>
      <c r="X477" s="20">
        <f t="shared" si="161"/>
        <v>2.0218908307359849</v>
      </c>
      <c r="Z477" s="22">
        <v>46038</v>
      </c>
      <c r="AA477" s="33">
        <v>3477058.9336000001</v>
      </c>
      <c r="AB477" s="33">
        <v>1786391.9347999999</v>
      </c>
      <c r="AC477" s="33">
        <v>1458530.0475999999</v>
      </c>
      <c r="AD477" s="33">
        <v>1898095.4165000001</v>
      </c>
      <c r="AE477" s="33">
        <v>6567840.2309999997</v>
      </c>
      <c r="AF477" s="34">
        <v>2080.4830000000002</v>
      </c>
      <c r="AH477" s="28">
        <f t="shared" si="167"/>
        <v>-7.0855283390700463E-2</v>
      </c>
      <c r="AJ477" s="5">
        <f t="shared" si="168"/>
        <v>19769.718863783546</v>
      </c>
      <c r="AK477" s="6">
        <f t="shared" si="169"/>
        <v>16042.359885103486</v>
      </c>
      <c r="AM477" s="1">
        <f t="shared" si="162"/>
        <v>46038</v>
      </c>
      <c r="AN477">
        <f t="shared" si="163"/>
        <v>1.2323448049648349</v>
      </c>
      <c r="AO477">
        <f t="shared" ca="1" si="149"/>
        <v>1.0956977126555381</v>
      </c>
      <c r="AP477">
        <f t="shared" ca="1" si="150"/>
        <v>1.128117619452583</v>
      </c>
      <c r="AQ477">
        <f t="shared" ca="1" si="151"/>
        <v>1.2329041000080561</v>
      </c>
      <c r="AR477">
        <f t="shared" ca="1" si="152"/>
        <v>1.2771720218814981</v>
      </c>
      <c r="AS477">
        <f t="shared" ca="1" si="153"/>
        <v>1.3091348055365168</v>
      </c>
    </row>
    <row r="478" spans="2:45" x14ac:dyDescent="0.25">
      <c r="B478" s="22">
        <v>46045</v>
      </c>
      <c r="C478">
        <v>2299.9169999999999</v>
      </c>
      <c r="D478">
        <v>2242</v>
      </c>
      <c r="E478">
        <v>2931.355</v>
      </c>
      <c r="F478">
        <v>4142.1980000000003</v>
      </c>
      <c r="G478">
        <v>9340</v>
      </c>
      <c r="H478">
        <v>2174.511</v>
      </c>
      <c r="I478" s="6">
        <v>3093535</v>
      </c>
      <c r="K478" s="23">
        <f t="shared" si="154"/>
        <v>7.0440804814364766E-2</v>
      </c>
      <c r="L478" s="24">
        <f t="shared" si="155"/>
        <v>9.9019607843137347E-2</v>
      </c>
      <c r="M478" s="24">
        <f t="shared" si="156"/>
        <v>5.7164732552763553E-2</v>
      </c>
      <c r="N478" s="24">
        <f t="shared" si="157"/>
        <v>5.208292887484367E-3</v>
      </c>
      <c r="O478" s="24">
        <f t="shared" si="158"/>
        <v>7.0487106017191881E-2</v>
      </c>
      <c r="P478" s="24">
        <f t="shared" si="159"/>
        <v>4.5195274366577332E-2</v>
      </c>
      <c r="Q478" s="25">
        <f t="shared" si="160"/>
        <v>5.4651357036441084E-2</v>
      </c>
      <c r="S478" s="26">
        <f t="shared" si="164"/>
        <v>5.7919303080253205E-2</v>
      </c>
      <c r="U478" s="5">
        <f t="shared" si="165"/>
        <v>34314.565098402993</v>
      </c>
      <c r="V478" s="6">
        <f t="shared" si="166"/>
        <v>16919.096622891357</v>
      </c>
      <c r="X478" s="20">
        <f t="shared" si="161"/>
        <v>2.0281558680843368</v>
      </c>
      <c r="Z478" s="22">
        <v>46045</v>
      </c>
      <c r="AA478" s="33">
        <v>3749608.8399</v>
      </c>
      <c r="AB478" s="33">
        <v>2032272.3341999999</v>
      </c>
      <c r="AC478" s="33">
        <v>1541906.3842</v>
      </c>
      <c r="AD478" s="33">
        <v>1907981.3300999999</v>
      </c>
      <c r="AE478" s="33">
        <v>7420585.9431999996</v>
      </c>
      <c r="AF478" s="34">
        <v>2174.511</v>
      </c>
      <c r="AH478" s="28">
        <f t="shared" si="167"/>
        <v>6.4392313647512897E-2</v>
      </c>
      <c r="AJ478" s="5">
        <f t="shared" si="168"/>
        <v>21042.736801583447</v>
      </c>
      <c r="AK478" s="6">
        <f t="shared" si="169"/>
        <v>16919.096622891357</v>
      </c>
      <c r="AM478" s="1">
        <f t="shared" si="162"/>
        <v>46045</v>
      </c>
      <c r="AN478">
        <f t="shared" si="163"/>
        <v>1.2437269713982748</v>
      </c>
      <c r="AO478">
        <f t="shared" ca="1" si="149"/>
        <v>1.0978817904271345</v>
      </c>
      <c r="AP478">
        <f t="shared" ca="1" si="150"/>
        <v>1.1384248617840238</v>
      </c>
      <c r="AQ478">
        <f t="shared" ca="1" si="151"/>
        <v>1.2329041000080561</v>
      </c>
      <c r="AR478">
        <f t="shared" ca="1" si="152"/>
        <v>1.2771720218814981</v>
      </c>
      <c r="AS478">
        <f t="shared" ca="1" si="153"/>
        <v>1.3091348055365168</v>
      </c>
    </row>
    <row r="479" spans="2:45" x14ac:dyDescent="0.25">
      <c r="B479" s="22">
        <v>46052</v>
      </c>
      <c r="C479">
        <v>2365.377</v>
      </c>
      <c r="D479">
        <v>2352</v>
      </c>
      <c r="E479">
        <v>3250.4859999999999</v>
      </c>
      <c r="F479">
        <v>4294.8180000000002</v>
      </c>
      <c r="G479">
        <v>9655</v>
      </c>
      <c r="H479">
        <v>2187.2919999999999</v>
      </c>
      <c r="I479" s="6">
        <v>3199554</v>
      </c>
      <c r="K479" s="23">
        <f t="shared" si="154"/>
        <v>2.8461896668445119E-2</v>
      </c>
      <c r="L479" s="24">
        <f t="shared" si="155"/>
        <v>4.9063336306868877E-2</v>
      </c>
      <c r="M479" s="24">
        <f t="shared" si="156"/>
        <v>0.10886808319019692</v>
      </c>
      <c r="N479" s="24">
        <f t="shared" si="157"/>
        <v>3.6845172538830795E-2</v>
      </c>
      <c r="O479" s="24">
        <f t="shared" si="158"/>
        <v>3.372591006423975E-2</v>
      </c>
      <c r="P479" s="24">
        <f t="shared" si="159"/>
        <v>5.8776432954350533E-3</v>
      </c>
      <c r="Q479" s="25">
        <f t="shared" si="160"/>
        <v>3.4271149348560792E-2</v>
      </c>
      <c r="S479" s="26">
        <f t="shared" si="164"/>
        <v>4.3807007010669419E-2</v>
      </c>
      <c r="U479" s="5">
        <f t="shared" si="165"/>
        <v>35817.783492236806</v>
      </c>
      <c r="V479" s="6">
        <f t="shared" si="166"/>
        <v>17498.933510097198</v>
      </c>
      <c r="X479" s="20">
        <f t="shared" si="161"/>
        <v>2.0468552252952619</v>
      </c>
      <c r="Z479" s="22">
        <v>46052</v>
      </c>
      <c r="AA479" s="33">
        <v>3856329.6405000002</v>
      </c>
      <c r="AB479" s="33">
        <v>2131982.3952000001</v>
      </c>
      <c r="AC479" s="33">
        <v>1709770.7418</v>
      </c>
      <c r="AD479" s="33">
        <v>1978281.1603000001</v>
      </c>
      <c r="AE479" s="33">
        <v>7670851.9573999997</v>
      </c>
      <c r="AF479" s="34">
        <v>2187.2919999999999</v>
      </c>
      <c r="AH479" s="28">
        <f t="shared" si="167"/>
        <v>4.1722831970414084E-2</v>
      </c>
      <c r="AJ479" s="5">
        <f t="shared" si="168"/>
        <v>21920.699373353564</v>
      </c>
      <c r="AK479" s="6">
        <f t="shared" si="169"/>
        <v>17498.933510097198</v>
      </c>
      <c r="AM479" s="1">
        <f t="shared" si="162"/>
        <v>46052</v>
      </c>
      <c r="AN479">
        <f t="shared" si="163"/>
        <v>1.2526877344099243</v>
      </c>
      <c r="AO479">
        <f t="shared" ca="1" si="149"/>
        <v>1.1007084821039781</v>
      </c>
      <c r="AP479">
        <f t="shared" ca="1" si="150"/>
        <v>1.1476066695388765</v>
      </c>
      <c r="AQ479">
        <f t="shared" ca="1" si="151"/>
        <v>1.2336752761348924</v>
      </c>
      <c r="AR479">
        <f t="shared" ca="1" si="152"/>
        <v>1.2771720218814981</v>
      </c>
      <c r="AS479">
        <f t="shared" ca="1" si="153"/>
        <v>1.3091348055365168</v>
      </c>
    </row>
    <row r="480" spans="2:45" x14ac:dyDescent="0.25">
      <c r="B480" s="22">
        <v>46059</v>
      </c>
      <c r="C480">
        <v>2188.4960000000001</v>
      </c>
      <c r="D480">
        <v>2087</v>
      </c>
      <c r="E480">
        <v>3381.52</v>
      </c>
      <c r="F480">
        <v>3939.5</v>
      </c>
      <c r="G480">
        <v>8865</v>
      </c>
      <c r="H480">
        <v>2116.9989999999998</v>
      </c>
      <c r="I480" s="6">
        <v>2977119</v>
      </c>
      <c r="K480" s="23">
        <f t="shared" si="154"/>
        <v>-7.477920010214012E-2</v>
      </c>
      <c r="L480" s="24">
        <f t="shared" si="155"/>
        <v>-0.11267006802721091</v>
      </c>
      <c r="M480" s="24">
        <f t="shared" si="156"/>
        <v>4.0312125632905316E-2</v>
      </c>
      <c r="N480" s="24">
        <f t="shared" si="157"/>
        <v>-8.27317944555509E-2</v>
      </c>
      <c r="O480" s="24">
        <f t="shared" si="158"/>
        <v>-8.1822889694458834E-2</v>
      </c>
      <c r="P480" s="24">
        <f t="shared" si="159"/>
        <v>-3.2136998626612345E-2</v>
      </c>
      <c r="Q480" s="25">
        <f t="shared" si="160"/>
        <v>-6.9520626937379371E-2</v>
      </c>
      <c r="S480" s="26">
        <f t="shared" si="164"/>
        <v>-5.7304804212177964E-2</v>
      </c>
      <c r="U480" s="5">
        <f t="shared" si="165"/>
        <v>33765.252421899997</v>
      </c>
      <c r="V480" s="6">
        <f t="shared" si="166"/>
        <v>16282.396681739725</v>
      </c>
      <c r="X480" s="20">
        <f t="shared" si="161"/>
        <v>2.0737274175224356</v>
      </c>
      <c r="Z480" s="22">
        <v>46059</v>
      </c>
      <c r="AA480" s="33">
        <v>3567956.4133000001</v>
      </c>
      <c r="AB480" s="33">
        <v>1891771.7937</v>
      </c>
      <c r="AC480" s="33">
        <v>1778695.18</v>
      </c>
      <c r="AD480" s="33">
        <v>1814614.3681000001</v>
      </c>
      <c r="AE480" s="33">
        <v>7043200.6837999998</v>
      </c>
      <c r="AF480" s="34">
        <v>2116.9989999999998</v>
      </c>
      <c r="AH480" s="28">
        <f t="shared" si="167"/>
        <v>-7.210897445884154E-2</v>
      </c>
      <c r="AJ480" s="5">
        <f t="shared" si="168"/>
        <v>20340.020222120467</v>
      </c>
      <c r="AK480" s="6">
        <f t="shared" si="169"/>
        <v>16282.396681739725</v>
      </c>
      <c r="AM480" s="1">
        <f t="shared" si="162"/>
        <v>46059</v>
      </c>
      <c r="AN480">
        <f t="shared" si="163"/>
        <v>1.2492030884452814</v>
      </c>
      <c r="AO480">
        <f t="shared" ca="1" si="149"/>
        <v>1.102463865291158</v>
      </c>
      <c r="AP480">
        <f t="shared" ca="1" si="150"/>
        <v>1.1560556884923663</v>
      </c>
      <c r="AQ480">
        <f t="shared" ca="1" si="151"/>
        <v>1.2359329004905473</v>
      </c>
      <c r="AR480">
        <f t="shared" ca="1" si="152"/>
        <v>1.2771720218814981</v>
      </c>
      <c r="AS480">
        <f t="shared" ca="1" si="153"/>
        <v>1.3091348055365168</v>
      </c>
    </row>
    <row r="481" spans="2:45" x14ac:dyDescent="0.25">
      <c r="B481" s="22">
        <v>46066</v>
      </c>
      <c r="C481">
        <v>2121.643</v>
      </c>
      <c r="D481">
        <v>2082</v>
      </c>
      <c r="E481">
        <v>3364.6120000000001</v>
      </c>
      <c r="F481">
        <v>4166.0450000000001</v>
      </c>
      <c r="G481">
        <v>8615</v>
      </c>
      <c r="H481">
        <v>2002.8869999999999</v>
      </c>
      <c r="I481" s="6">
        <v>2816128</v>
      </c>
      <c r="K481" s="23">
        <f t="shared" si="154"/>
        <v>-3.0547462732397057E-2</v>
      </c>
      <c r="L481" s="24">
        <f t="shared" si="155"/>
        <v>-2.3957834211787432E-3</v>
      </c>
      <c r="M481" s="24">
        <f t="shared" si="156"/>
        <v>-5.0001182899996888E-3</v>
      </c>
      <c r="N481" s="24">
        <f t="shared" si="157"/>
        <v>5.7506028683843136E-2</v>
      </c>
      <c r="O481" s="24">
        <f t="shared" si="158"/>
        <v>-2.8200789622109368E-2</v>
      </c>
      <c r="P481" s="24">
        <f t="shared" si="159"/>
        <v>-5.3902717951212931E-2</v>
      </c>
      <c r="Q481" s="25">
        <f t="shared" si="160"/>
        <v>-5.4076105120420159E-2</v>
      </c>
      <c r="S481" s="26">
        <f t="shared" si="164"/>
        <v>-1.0423473888842441E-2</v>
      </c>
      <c r="U481" s="5">
        <f t="shared" si="165"/>
        <v>33413.301194930151</v>
      </c>
      <c r="V481" s="6">
        <f t="shared" si="166"/>
        <v>15401.908087165588</v>
      </c>
      <c r="X481" s="20">
        <f t="shared" si="161"/>
        <v>2.1694260870686186</v>
      </c>
      <c r="Z481" s="22">
        <v>46066</v>
      </c>
      <c r="AA481" s="33">
        <v>3458964.9572999999</v>
      </c>
      <c r="AB481" s="33">
        <v>1887239.5182</v>
      </c>
      <c r="AC481" s="33">
        <v>1769801.7041</v>
      </c>
      <c r="AD481" s="33">
        <v>1918965.6786</v>
      </c>
      <c r="AE481" s="33">
        <v>6844576.8629999999</v>
      </c>
      <c r="AF481" s="34">
        <v>2002.8869999999999</v>
      </c>
      <c r="AH481" s="28">
        <f t="shared" si="167"/>
        <v>-1.3467502631082484E-2</v>
      </c>
      <c r="AJ481" s="5">
        <f t="shared" si="168"/>
        <v>20066.09094626279</v>
      </c>
      <c r="AK481" s="6">
        <f t="shared" si="169"/>
        <v>15401.908087165588</v>
      </c>
      <c r="AM481" s="1">
        <f t="shared" si="162"/>
        <v>46066</v>
      </c>
      <c r="AN481">
        <f t="shared" si="163"/>
        <v>1.3028314954680105</v>
      </c>
      <c r="AO481">
        <f t="shared" ca="1" si="149"/>
        <v>1.108283319013301</v>
      </c>
      <c r="AP481">
        <f t="shared" ca="1" si="150"/>
        <v>1.1787709717316992</v>
      </c>
      <c r="AQ481">
        <f t="shared" ca="1" si="151"/>
        <v>1.2396196146538543</v>
      </c>
      <c r="AR481">
        <f t="shared" ca="1" si="152"/>
        <v>1.2771720218814981</v>
      </c>
      <c r="AS481">
        <f t="shared" ca="1" si="153"/>
        <v>1.3091348055365168</v>
      </c>
    </row>
    <row r="482" spans="2:45" x14ac:dyDescent="0.25">
      <c r="B482" s="22">
        <v>46073</v>
      </c>
      <c r="C482">
        <v>2195.924</v>
      </c>
      <c r="D482">
        <v>2009</v>
      </c>
      <c r="E482">
        <v>3387.86</v>
      </c>
      <c r="F482">
        <v>4111.1970000000001</v>
      </c>
      <c r="G482">
        <v>8775</v>
      </c>
      <c r="H482">
        <v>1869.605</v>
      </c>
      <c r="I482" s="6">
        <v>2873248</v>
      </c>
      <c r="K482" s="23">
        <f t="shared" si="154"/>
        <v>3.5011073964847039E-2</v>
      </c>
      <c r="L482" s="24">
        <f t="shared" si="155"/>
        <v>-3.5062439961575431E-2</v>
      </c>
      <c r="M482" s="24">
        <f t="shared" si="156"/>
        <v>6.9095634206857159E-3</v>
      </c>
      <c r="N482" s="24">
        <f t="shared" si="157"/>
        <v>-1.3165484290256102E-2</v>
      </c>
      <c r="O482" s="24">
        <f t="shared" si="158"/>
        <v>1.8572257690075533E-2</v>
      </c>
      <c r="P482" s="24">
        <f t="shared" si="159"/>
        <v>-6.6544942375680649E-2</v>
      </c>
      <c r="Q482" s="25">
        <f t="shared" si="160"/>
        <v>2.0283168946866104E-2</v>
      </c>
      <c r="S482" s="26">
        <f t="shared" si="164"/>
        <v>-9.0466619253173151E-3</v>
      </c>
      <c r="U482" s="5">
        <f t="shared" si="165"/>
        <v>33111.022355210815</v>
      </c>
      <c r="V482" s="6">
        <f t="shared" si="166"/>
        <v>15714.307591001671</v>
      </c>
      <c r="X482" s="20">
        <f t="shared" si="161"/>
        <v>2.1070621256116211</v>
      </c>
      <c r="Z482" s="22">
        <v>46073</v>
      </c>
      <c r="AA482" s="33">
        <v>3580066.5750000002</v>
      </c>
      <c r="AB482" s="33">
        <v>1821068.2959</v>
      </c>
      <c r="AC482" s="33">
        <v>1782030.2335000001</v>
      </c>
      <c r="AD482" s="33">
        <v>1893701.6771</v>
      </c>
      <c r="AE482" s="33">
        <v>6971696.1083000004</v>
      </c>
      <c r="AF482" s="34">
        <v>1869.605</v>
      </c>
      <c r="AH482" s="28">
        <f t="shared" si="167"/>
        <v>1.0633801263799663E-2</v>
      </c>
      <c r="AJ482" s="5">
        <f t="shared" si="168"/>
        <v>20279.469769526677</v>
      </c>
      <c r="AK482" s="6">
        <f t="shared" si="169"/>
        <v>15714.307591001671</v>
      </c>
      <c r="AM482" s="1">
        <f t="shared" si="162"/>
        <v>46073</v>
      </c>
      <c r="AN482">
        <f t="shared" si="163"/>
        <v>1.2905099160168603</v>
      </c>
      <c r="AO482">
        <f t="shared" ca="1" si="149"/>
        <v>1.108283319013301</v>
      </c>
      <c r="AP482">
        <f t="shared" ca="1" si="150"/>
        <v>1.1895215055484323</v>
      </c>
      <c r="AQ482">
        <f t="shared" ca="1" si="151"/>
        <v>1.2426053294944972</v>
      </c>
      <c r="AR482">
        <f t="shared" ca="1" si="152"/>
        <v>1.2776898846846094</v>
      </c>
      <c r="AS482">
        <f t="shared" ca="1" si="153"/>
        <v>1.3095016485837616</v>
      </c>
    </row>
    <row r="483" spans="2:45" x14ac:dyDescent="0.25">
      <c r="B483" s="22">
        <v>46080</v>
      </c>
      <c r="C483">
        <v>2154.1410000000001</v>
      </c>
      <c r="D483">
        <v>1832</v>
      </c>
      <c r="E483">
        <v>3121.5659999999998</v>
      </c>
      <c r="F483">
        <v>3646.183</v>
      </c>
      <c r="G483">
        <v>8555</v>
      </c>
      <c r="H483">
        <v>1659.6389999999999</v>
      </c>
      <c r="I483" s="6">
        <v>2642106</v>
      </c>
      <c r="K483" s="23">
        <f t="shared" si="154"/>
        <v>-1.9027525542778312E-2</v>
      </c>
      <c r="L483" s="24">
        <f t="shared" si="155"/>
        <v>-8.8103534096565461E-2</v>
      </c>
      <c r="M483" s="24">
        <f t="shared" si="156"/>
        <v>-7.8602421587669058E-2</v>
      </c>
      <c r="N483" s="24">
        <f t="shared" si="157"/>
        <v>-0.11310915044937042</v>
      </c>
      <c r="O483" s="24">
        <f t="shared" si="158"/>
        <v>-2.5071225071225056E-2</v>
      </c>
      <c r="P483" s="24">
        <f t="shared" si="159"/>
        <v>-0.11230500560278778</v>
      </c>
      <c r="Q483" s="25">
        <f t="shared" si="160"/>
        <v>-8.0446240630812182E-2</v>
      </c>
      <c r="S483" s="26">
        <f t="shared" si="164"/>
        <v>-7.2703143725066019E-2</v>
      </c>
      <c r="U483" s="5">
        <f t="shared" si="165"/>
        <v>30703.746938036049</v>
      </c>
      <c r="V483" s="6">
        <f t="shared" si="166"/>
        <v>14450.150621189352</v>
      </c>
      <c r="X483" s="20">
        <f t="shared" si="161"/>
        <v>2.1248046295803187</v>
      </c>
      <c r="Z483" s="22">
        <v>46080</v>
      </c>
      <c r="AA483" s="33">
        <v>3511946.915</v>
      </c>
      <c r="AB483" s="33">
        <v>1660625.7431999999</v>
      </c>
      <c r="AC483" s="33">
        <v>1641957.9879999999</v>
      </c>
      <c r="AD483" s="33">
        <v>1679506.8818000001</v>
      </c>
      <c r="AE483" s="33">
        <v>6796907.1460999995</v>
      </c>
      <c r="AF483" s="34">
        <v>1659.6389999999999</v>
      </c>
      <c r="AH483" s="28">
        <f t="shared" si="167"/>
        <v>-4.7215436032793573E-2</v>
      </c>
      <c r="AJ483" s="5">
        <f t="shared" si="168"/>
        <v>19321.965761844618</v>
      </c>
      <c r="AK483" s="6">
        <f t="shared" si="169"/>
        <v>14450.150621189352</v>
      </c>
      <c r="AM483" s="1">
        <f t="shared" si="162"/>
        <v>46080</v>
      </c>
      <c r="AN483">
        <f t="shared" si="163"/>
        <v>1.3371463224411899</v>
      </c>
      <c r="AO483">
        <f t="shared" ca="1" si="149"/>
        <v>1.108283319013301</v>
      </c>
      <c r="AP483">
        <f t="shared" ca="1" si="150"/>
        <v>1.1926249957759276</v>
      </c>
      <c r="AQ483">
        <f t="shared" ca="1" si="151"/>
        <v>1.2464650299217781</v>
      </c>
      <c r="AR483">
        <f t="shared" ca="1" si="152"/>
        <v>1.2784386455384722</v>
      </c>
      <c r="AS483">
        <f t="shared" ca="1" si="153"/>
        <v>1.3095016485837616</v>
      </c>
    </row>
    <row r="484" spans="2:45" x14ac:dyDescent="0.25">
      <c r="B484" s="22">
        <v>46087</v>
      </c>
      <c r="C484">
        <v>2004.6510000000001</v>
      </c>
      <c r="D484">
        <v>1889</v>
      </c>
      <c r="E484">
        <v>3392.087</v>
      </c>
      <c r="F484">
        <v>3741.5709999999999</v>
      </c>
      <c r="G484">
        <v>8630</v>
      </c>
      <c r="H484">
        <v>1661.4649999999999</v>
      </c>
      <c r="I484" s="6">
        <v>2626115</v>
      </c>
      <c r="K484" s="23">
        <f t="shared" si="154"/>
        <v>-6.9396571533618223E-2</v>
      </c>
      <c r="L484" s="24">
        <f t="shared" si="155"/>
        <v>3.1113537117903878E-2</v>
      </c>
      <c r="M484" s="24">
        <f t="shared" si="156"/>
        <v>8.666195108480812E-2</v>
      </c>
      <c r="N484" s="24">
        <f t="shared" si="157"/>
        <v>2.6161056644715908E-2</v>
      </c>
      <c r="O484" s="24">
        <f t="shared" si="158"/>
        <v>8.7668030391583329E-3</v>
      </c>
      <c r="P484" s="24">
        <f t="shared" si="159"/>
        <v>1.1002392689012375E-3</v>
      </c>
      <c r="Q484" s="25">
        <f t="shared" si="160"/>
        <v>-6.0523688300166967E-3</v>
      </c>
      <c r="S484" s="26">
        <f t="shared" si="164"/>
        <v>1.4067835936978209E-2</v>
      </c>
      <c r="U484" s="5">
        <f t="shared" si="165"/>
        <v>31135.682212610835</v>
      </c>
      <c r="V484" s="6">
        <f t="shared" si="166"/>
        <v>14362.692979980618</v>
      </c>
      <c r="X484" s="20">
        <f t="shared" si="161"/>
        <v>2.1678164572625187</v>
      </c>
      <c r="Z484" s="22">
        <v>46087</v>
      </c>
      <c r="AA484" s="33">
        <v>3268229.9092999999</v>
      </c>
      <c r="AB484" s="33">
        <v>1712293.6839000001</v>
      </c>
      <c r="AC484" s="33">
        <v>1784253.6024</v>
      </c>
      <c r="AD484" s="33">
        <v>1723444.2757000001</v>
      </c>
      <c r="AE484" s="33">
        <v>6856494.2922999999</v>
      </c>
      <c r="AF484" s="34">
        <v>1661.4649999999999</v>
      </c>
      <c r="AH484" s="28">
        <f t="shared" si="167"/>
        <v>3.5162614571477499E-3</v>
      </c>
      <c r="AJ484" s="5">
        <f t="shared" si="168"/>
        <v>19389.906845329322</v>
      </c>
      <c r="AK484" s="6">
        <f t="shared" si="169"/>
        <v>14362.692979980618</v>
      </c>
      <c r="AM484" s="1">
        <f t="shared" si="162"/>
        <v>46087</v>
      </c>
      <c r="AN484">
        <f t="shared" si="163"/>
        <v>1.3500188907717976</v>
      </c>
      <c r="AO484">
        <f t="shared" ca="1" si="149"/>
        <v>1.1182811936196444</v>
      </c>
      <c r="AP484">
        <f t="shared" ca="1" si="150"/>
        <v>1.1961304243316557</v>
      </c>
      <c r="AQ484">
        <f t="shared" ca="1" si="151"/>
        <v>1.2509454114276028</v>
      </c>
      <c r="AR484">
        <f t="shared" ca="1" si="152"/>
        <v>1.2808146577022343</v>
      </c>
      <c r="AS484">
        <f t="shared" ca="1" si="153"/>
        <v>1.3236249705840455</v>
      </c>
    </row>
    <row r="485" spans="2:45" x14ac:dyDescent="0.25">
      <c r="B485" s="22">
        <v>46094</v>
      </c>
      <c r="C485">
        <v>2072.4319999999998</v>
      </c>
      <c r="D485">
        <v>1929</v>
      </c>
      <c r="E485">
        <v>3567.5039999999999</v>
      </c>
      <c r="F485">
        <v>4290.0479999999998</v>
      </c>
      <c r="G485">
        <v>9075</v>
      </c>
      <c r="H485">
        <v>1799.3119999999999</v>
      </c>
      <c r="I485" s="6">
        <v>2642584</v>
      </c>
      <c r="K485" s="23">
        <f t="shared" si="154"/>
        <v>3.3811870495163321E-2</v>
      </c>
      <c r="L485" s="24">
        <f t="shared" si="155"/>
        <v>2.1175224986765384E-2</v>
      </c>
      <c r="M485" s="24">
        <f t="shared" si="156"/>
        <v>5.1713591072398701E-2</v>
      </c>
      <c r="N485" s="24">
        <f t="shared" si="157"/>
        <v>0.14659002862701254</v>
      </c>
      <c r="O485" s="24">
        <f t="shared" si="158"/>
        <v>5.1564310544611747E-2</v>
      </c>
      <c r="P485" s="24">
        <f t="shared" si="159"/>
        <v>8.2967140445329823E-2</v>
      </c>
      <c r="Q485" s="25">
        <f t="shared" si="160"/>
        <v>6.2712409776419786E-3</v>
      </c>
      <c r="S485" s="26">
        <f t="shared" si="164"/>
        <v>6.4637027695213581E-2</v>
      </c>
      <c r="U485" s="5">
        <f t="shared" si="165"/>
        <v>33148.200166096729</v>
      </c>
      <c r="V485" s="6">
        <f t="shared" si="166"/>
        <v>14452.764888745964</v>
      </c>
      <c r="X485" s="20">
        <f t="shared" si="161"/>
        <v>2.2935542383249086</v>
      </c>
      <c r="Z485" s="22">
        <v>46094</v>
      </c>
      <c r="AA485" s="33">
        <v>3378735.1354999999</v>
      </c>
      <c r="AB485" s="33">
        <v>1748551.8879</v>
      </c>
      <c r="AC485" s="33">
        <v>1876523.4149</v>
      </c>
      <c r="AD485" s="33">
        <v>1976084.2907</v>
      </c>
      <c r="AE485" s="33">
        <v>7210044.6931999996</v>
      </c>
      <c r="AF485" s="34">
        <v>1799.3119999999999</v>
      </c>
      <c r="AH485" s="28">
        <f t="shared" si="167"/>
        <v>5.5085399808733705E-2</v>
      </c>
      <c r="AJ485" s="5">
        <f t="shared" si="168"/>
        <v>20458.007616158389</v>
      </c>
      <c r="AK485" s="6">
        <f t="shared" si="169"/>
        <v>14452.764888745964</v>
      </c>
      <c r="AM485" s="1">
        <f t="shared" si="162"/>
        <v>46094</v>
      </c>
      <c r="AN485">
        <f t="shared" si="163"/>
        <v>1.4155082279162079</v>
      </c>
      <c r="AO485">
        <f t="shared" ca="1" si="149"/>
        <v>1.1184514003276653</v>
      </c>
      <c r="AP485">
        <f t="shared" ca="1" si="150"/>
        <v>1.1979747817576683</v>
      </c>
      <c r="AQ485">
        <f t="shared" ca="1" si="151"/>
        <v>1.2551503218019544</v>
      </c>
      <c r="AR485">
        <f t="shared" ca="1" si="152"/>
        <v>1.2861516183749107</v>
      </c>
      <c r="AS485">
        <f t="shared" ca="1" si="153"/>
        <v>1.33129242250553</v>
      </c>
    </row>
    <row r="486" spans="2:45" x14ac:dyDescent="0.25">
      <c r="B486" s="22">
        <v>46101</v>
      </c>
      <c r="C486">
        <v>2078.0030000000002</v>
      </c>
      <c r="D486">
        <v>2049</v>
      </c>
      <c r="E486">
        <v>3123.6790000000001</v>
      </c>
      <c r="F486">
        <v>4032.502</v>
      </c>
      <c r="G486">
        <v>9570</v>
      </c>
      <c r="H486">
        <v>1807.528</v>
      </c>
      <c r="I486" s="6">
        <v>2725326</v>
      </c>
      <c r="K486" s="23">
        <f t="shared" si="154"/>
        <v>2.688146100813027E-3</v>
      </c>
      <c r="L486" s="24">
        <f t="shared" si="155"/>
        <v>6.2208398133748011E-2</v>
      </c>
      <c r="M486" s="24">
        <f t="shared" si="156"/>
        <v>-0.12440770914342347</v>
      </c>
      <c r="N486" s="24">
        <f t="shared" si="157"/>
        <v>-6.0033360932092106E-2</v>
      </c>
      <c r="O486" s="24">
        <f t="shared" si="158"/>
        <v>5.4545454545454453E-2</v>
      </c>
      <c r="P486" s="24">
        <f t="shared" si="159"/>
        <v>4.5661897436353183E-3</v>
      </c>
      <c r="Q486" s="25">
        <f t="shared" si="160"/>
        <v>3.1311019819994401E-2</v>
      </c>
      <c r="S486" s="26">
        <f t="shared" si="164"/>
        <v>-1.0072146925310796E-2</v>
      </c>
      <c r="U486" s="5">
        <f t="shared" si="165"/>
        <v>32814.326623714194</v>
      </c>
      <c r="V486" s="6">
        <f t="shared" si="166"/>
        <v>14905.295696631209</v>
      </c>
      <c r="X486" s="20">
        <f t="shared" si="161"/>
        <v>2.2015213446004065</v>
      </c>
      <c r="Z486" s="22">
        <v>46101</v>
      </c>
      <c r="AA486" s="33">
        <v>3387817.7568000001</v>
      </c>
      <c r="AB486" s="33">
        <v>1857326.4998999999</v>
      </c>
      <c r="AC486" s="33">
        <v>1643069.6725000001</v>
      </c>
      <c r="AD486" s="33">
        <v>1857453.3271000001</v>
      </c>
      <c r="AE486" s="33">
        <v>7603319.8583000004</v>
      </c>
      <c r="AF486" s="34">
        <v>1807.528</v>
      </c>
      <c r="AH486" s="28">
        <f t="shared" si="167"/>
        <v>9.8232542358357901E-3</v>
      </c>
      <c r="AJ486" s="5">
        <f t="shared" si="168"/>
        <v>20658.971826130579</v>
      </c>
      <c r="AK486" s="6">
        <f t="shared" si="169"/>
        <v>14905.295696631209</v>
      </c>
      <c r="AM486" s="1">
        <f t="shared" si="162"/>
        <v>46101</v>
      </c>
      <c r="AN486">
        <f t="shared" si="163"/>
        <v>1.3860155643071057</v>
      </c>
      <c r="AO486">
        <f t="shared" ca="1" si="149"/>
        <v>1.1184514003276653</v>
      </c>
      <c r="AP486">
        <f t="shared" ca="1" si="150"/>
        <v>1.1995157018337608</v>
      </c>
      <c r="AQ486">
        <f t="shared" ca="1" si="151"/>
        <v>1.2584319160471167</v>
      </c>
      <c r="AR486">
        <f t="shared" ca="1" si="152"/>
        <v>1.2913004591371706</v>
      </c>
      <c r="AS486">
        <f t="shared" ca="1" si="153"/>
        <v>1.332513626173135</v>
      </c>
    </row>
    <row r="487" spans="2:45" x14ac:dyDescent="0.25">
      <c r="B487" s="22">
        <v>46108</v>
      </c>
      <c r="C487">
        <v>2048.2910000000002</v>
      </c>
      <c r="D487">
        <v>2040</v>
      </c>
      <c r="E487">
        <v>3294.8690000000001</v>
      </c>
      <c r="F487">
        <v>4278.125</v>
      </c>
      <c r="G487">
        <v>10130</v>
      </c>
      <c r="H487">
        <v>1757.319</v>
      </c>
      <c r="I487" s="6">
        <v>2793847</v>
      </c>
      <c r="K487" s="23">
        <f t="shared" si="154"/>
        <v>-1.429834316889822E-2</v>
      </c>
      <c r="L487" s="24">
        <f t="shared" si="155"/>
        <v>-4.3923865300146137E-3</v>
      </c>
      <c r="M487" s="24">
        <f t="shared" si="156"/>
        <v>5.4803966732817289E-2</v>
      </c>
      <c r="N487" s="24">
        <f t="shared" si="157"/>
        <v>6.091081913908547E-2</v>
      </c>
      <c r="O487" s="24">
        <f t="shared" si="158"/>
        <v>5.8516196447230939E-2</v>
      </c>
      <c r="P487" s="24">
        <f t="shared" si="159"/>
        <v>-2.7777716306469413E-2</v>
      </c>
      <c r="Q487" s="25">
        <f t="shared" si="160"/>
        <v>2.514231324986449E-2</v>
      </c>
      <c r="S487" s="26">
        <f t="shared" si="164"/>
        <v>2.1293756052291907E-2</v>
      </c>
      <c r="U487" s="5">
        <f t="shared" si="165"/>
        <v>33513.066889859794</v>
      </c>
      <c r="V487" s="6">
        <f t="shared" si="166"/>
        <v>15280.049310117767</v>
      </c>
      <c r="X487" s="20">
        <f t="shared" si="161"/>
        <v>2.1932564620500887</v>
      </c>
      <c r="Z487" s="22">
        <v>46108</v>
      </c>
      <c r="AA487" s="33">
        <v>3339377.1096999999</v>
      </c>
      <c r="AB487" s="33">
        <v>1849168.4040000001</v>
      </c>
      <c r="AC487" s="33">
        <v>1733116.1159999999</v>
      </c>
      <c r="AD487" s="33">
        <v>1970592.1163999999</v>
      </c>
      <c r="AE487" s="33">
        <v>8048237.2167999996</v>
      </c>
      <c r="AF487" s="34">
        <v>1757.319</v>
      </c>
      <c r="AH487" s="28">
        <f t="shared" si="167"/>
        <v>3.6172835936408278E-2</v>
      </c>
      <c r="AJ487" s="5">
        <f t="shared" si="168"/>
        <v>21406.26542461208</v>
      </c>
      <c r="AK487" s="6">
        <f t="shared" si="169"/>
        <v>15280.049310117767</v>
      </c>
      <c r="AM487" s="1">
        <f t="shared" si="162"/>
        <v>46108</v>
      </c>
      <c r="AN487">
        <f t="shared" si="163"/>
        <v>1.4009290801462144</v>
      </c>
      <c r="AO487">
        <f t="shared" ca="1" si="149"/>
        <v>1.1216631330194307</v>
      </c>
      <c r="AP487">
        <f t="shared" ca="1" si="150"/>
        <v>1.2028897203342241</v>
      </c>
      <c r="AQ487">
        <f t="shared" ca="1" si="151"/>
        <v>1.2602194112970331</v>
      </c>
      <c r="AR487">
        <f t="shared" ca="1" si="152"/>
        <v>1.2942834748300514</v>
      </c>
      <c r="AS487">
        <f t="shared" ca="1" si="153"/>
        <v>1.3346864944438781</v>
      </c>
    </row>
    <row r="488" spans="2:45" x14ac:dyDescent="0.25">
      <c r="B488" s="22">
        <v>46115</v>
      </c>
      <c r="C488">
        <v>2298.06</v>
      </c>
      <c r="D488">
        <v>2303</v>
      </c>
      <c r="E488">
        <v>3580.1840000000002</v>
      </c>
      <c r="F488">
        <v>4278.125</v>
      </c>
      <c r="G488">
        <v>10200</v>
      </c>
      <c r="H488">
        <v>1912.511</v>
      </c>
      <c r="I488" s="6">
        <v>2999342</v>
      </c>
      <c r="K488" s="23">
        <f t="shared" si="154"/>
        <v>0.12194019306826998</v>
      </c>
      <c r="L488" s="24">
        <f t="shared" si="155"/>
        <v>0.12892156862745097</v>
      </c>
      <c r="M488" s="24">
        <f t="shared" si="156"/>
        <v>8.6593731040596866E-2</v>
      </c>
      <c r="N488" s="24">
        <f t="shared" si="157"/>
        <v>0</v>
      </c>
      <c r="O488" s="24">
        <f t="shared" si="158"/>
        <v>6.9101678183614013E-3</v>
      </c>
      <c r="P488" s="24">
        <f t="shared" si="159"/>
        <v>8.8311797687272486E-2</v>
      </c>
      <c r="Q488" s="25">
        <f t="shared" si="160"/>
        <v>7.3552703494500493E-2</v>
      </c>
      <c r="S488" s="26">
        <f t="shared" si="164"/>
        <v>7.2112909706991954E-2</v>
      </c>
      <c r="U488" s="5">
        <f t="shared" si="165"/>
        <v>35929.791656492635</v>
      </c>
      <c r="V488" s="6">
        <f t="shared" si="166"/>
        <v>16403.938246406207</v>
      </c>
      <c r="X488" s="20">
        <f t="shared" si="161"/>
        <v>2.1903149790486545</v>
      </c>
      <c r="Z488" s="22">
        <v>46115</v>
      </c>
      <c r="AA488" s="33">
        <v>3746581.2995000002</v>
      </c>
      <c r="AB488" s="33">
        <v>2087566.0952999999</v>
      </c>
      <c r="AC488" s="33">
        <v>1883193.5218</v>
      </c>
      <c r="AD488" s="33">
        <v>1970592.1163999999</v>
      </c>
      <c r="AE488" s="33">
        <v>8103851.8865999999</v>
      </c>
      <c r="AF488" s="34">
        <v>1912.511</v>
      </c>
      <c r="AH488" s="28">
        <f t="shared" si="167"/>
        <v>5.0255953002135499E-2</v>
      </c>
      <c r="AJ488" s="5">
        <f t="shared" si="168"/>
        <v>22482.057693742623</v>
      </c>
      <c r="AK488" s="6">
        <f t="shared" si="169"/>
        <v>16403.938246406207</v>
      </c>
      <c r="AM488" s="1">
        <f t="shared" si="162"/>
        <v>46115</v>
      </c>
      <c r="AN488">
        <f t="shared" si="163"/>
        <v>1.3705280619834093</v>
      </c>
      <c r="AO488">
        <f t="shared" ca="1" si="149"/>
        <v>1.1609502147941697</v>
      </c>
      <c r="AP488">
        <f t="shared" ca="1" si="150"/>
        <v>1.2137095303930556</v>
      </c>
      <c r="AQ488">
        <f t="shared" ca="1" si="151"/>
        <v>1.2615915787399574</v>
      </c>
      <c r="AR488">
        <f t="shared" ca="1" si="152"/>
        <v>1.2968789916183154</v>
      </c>
      <c r="AS488">
        <f t="shared" ca="1" si="153"/>
        <v>1.3369238227742999</v>
      </c>
    </row>
    <row r="489" spans="2:45" x14ac:dyDescent="0.25">
      <c r="B489" s="22">
        <v>46122</v>
      </c>
      <c r="C489">
        <v>2284.1320000000001</v>
      </c>
      <c r="D489">
        <v>2126</v>
      </c>
      <c r="E489">
        <v>3301.2089999999998</v>
      </c>
      <c r="F489">
        <v>4228.0469999999996</v>
      </c>
      <c r="G489">
        <v>9635</v>
      </c>
      <c r="H489">
        <v>1892.4269999999999</v>
      </c>
      <c r="I489" s="6">
        <v>2998770</v>
      </c>
      <c r="K489" s="23">
        <f t="shared" si="154"/>
        <v>-6.0607642968416586E-3</v>
      </c>
      <c r="L489" s="24">
        <f t="shared" si="155"/>
        <v>-7.6856274424663473E-2</v>
      </c>
      <c r="M489" s="24">
        <f t="shared" si="156"/>
        <v>-7.7921972725424227E-2</v>
      </c>
      <c r="N489" s="24">
        <f t="shared" si="157"/>
        <v>-1.1705595325054885E-2</v>
      </c>
      <c r="O489" s="24">
        <f t="shared" si="158"/>
        <v>-5.5392156862745123E-2</v>
      </c>
      <c r="P489" s="24">
        <f t="shared" si="159"/>
        <v>-1.0501377508416954E-2</v>
      </c>
      <c r="Q489" s="25">
        <f t="shared" si="160"/>
        <v>-1.9070849539670753E-4</v>
      </c>
      <c r="S489" s="26">
        <f t="shared" si="164"/>
        <v>-3.9739690190524389E-2</v>
      </c>
      <c r="U489" s="5">
        <f t="shared" si="165"/>
        <v>34501.952867453532</v>
      </c>
      <c r="V489" s="6">
        <f t="shared" si="166"/>
        <v>16400.809876024654</v>
      </c>
      <c r="X489" s="20">
        <f t="shared" si="161"/>
        <v>2.1036737288132241</v>
      </c>
      <c r="Z489" s="22">
        <v>46122</v>
      </c>
      <c r="AA489" s="33">
        <v>3723874.7461000001</v>
      </c>
      <c r="AB489" s="33">
        <v>1927123.5426</v>
      </c>
      <c r="AC489" s="33">
        <v>1736451.1695000001</v>
      </c>
      <c r="AD489" s="33">
        <v>1947524.9846000001</v>
      </c>
      <c r="AE489" s="33">
        <v>7654962.0516999997</v>
      </c>
      <c r="AF489" s="34">
        <v>1892.4269999999999</v>
      </c>
      <c r="AH489" s="28">
        <f t="shared" si="167"/>
        <v>-4.5064761217022832E-2</v>
      </c>
      <c r="AJ489" s="5">
        <f t="shared" si="168"/>
        <v>21468.909132106779</v>
      </c>
      <c r="AK489" s="6">
        <f t="shared" si="169"/>
        <v>16400.809876024654</v>
      </c>
      <c r="AM489" s="1">
        <f t="shared" si="162"/>
        <v>46122</v>
      </c>
      <c r="AN489">
        <f t="shared" si="163"/>
        <v>1.3090151824447933</v>
      </c>
      <c r="AO489">
        <f t="shared" ca="1" si="149"/>
        <v>1.1861446285531065</v>
      </c>
      <c r="AP489">
        <f t="shared" ca="1" si="150"/>
        <v>1.2285054772564796</v>
      </c>
      <c r="AQ489">
        <f t="shared" ca="1" si="151"/>
        <v>1.2620395693830762</v>
      </c>
      <c r="AR489">
        <f t="shared" ca="1" si="152"/>
        <v>1.300080172613675</v>
      </c>
      <c r="AS489">
        <f t="shared" ca="1" si="153"/>
        <v>1.3456993623446014</v>
      </c>
    </row>
    <row r="490" spans="2:45" x14ac:dyDescent="0.25">
      <c r="B490" s="22">
        <v>46129</v>
      </c>
      <c r="C490">
        <v>2077.0749999999998</v>
      </c>
      <c r="D490">
        <v>1978</v>
      </c>
      <c r="E490">
        <v>3320.23</v>
      </c>
      <c r="F490">
        <v>4049.1950000000002</v>
      </c>
      <c r="G490">
        <v>8885</v>
      </c>
      <c r="H490">
        <v>1819.396</v>
      </c>
      <c r="I490" s="6">
        <v>2889185</v>
      </c>
      <c r="K490" s="23">
        <f t="shared" ref="K490:K492" si="170">+C490/C489-1</f>
        <v>-9.0650190094092697E-2</v>
      </c>
      <c r="L490" s="24">
        <f t="shared" ref="L490:L492" si="171">+D490/D489-1</f>
        <v>-6.9614299153339609E-2</v>
      </c>
      <c r="M490" s="24">
        <f t="shared" ref="M490:M492" si="172">+E490/E489-1</f>
        <v>5.7618284695093447E-3</v>
      </c>
      <c r="N490" s="24">
        <f t="shared" ref="N490:N492" si="173">+F490/F489-1</f>
        <v>-4.2301327303125857E-2</v>
      </c>
      <c r="O490" s="24">
        <f t="shared" ref="O490:O492" si="174">+G490/G489-1</f>
        <v>-7.7841203943954329E-2</v>
      </c>
      <c r="P490" s="24">
        <f t="shared" ref="P490:P492" si="175">+H490/H489-1</f>
        <v>-3.8591184759042219E-2</v>
      </c>
      <c r="Q490" s="25">
        <f t="shared" ref="Q490:Q492" si="176">+I490/I489-1</f>
        <v>-3.6543316092931488E-2</v>
      </c>
      <c r="S490" s="26">
        <f t="shared" ref="S490:S492" si="177">+AVERAGE(K490:P490)</f>
        <v>-5.2206062797340892E-2</v>
      </c>
      <c r="U490" s="5">
        <f t="shared" ref="U490:U492" si="178">+U489*(1+S490)</f>
        <v>32700.74174942436</v>
      </c>
      <c r="V490" s="6">
        <f t="shared" ref="V490:V492" si="179">+V489*(1+Q490)</f>
        <v>15801.469896545013</v>
      </c>
      <c r="X490" s="20">
        <f t="shared" ref="X490:X492" si="180">+(U490/$U$6)/(V490/$V$6)</f>
        <v>2.0694746731488802</v>
      </c>
      <c r="Z490" s="22">
        <v>46129</v>
      </c>
      <c r="AA490" s="33">
        <v>3386303.9865999999</v>
      </c>
      <c r="AB490" s="33">
        <v>1792968.1878</v>
      </c>
      <c r="AC490" s="33">
        <v>1746456.3299</v>
      </c>
      <c r="AD490" s="33">
        <v>1865142.3711000001</v>
      </c>
      <c r="AE490" s="33">
        <v>7059090.5894999998</v>
      </c>
      <c r="AF490" s="34">
        <v>1819.396</v>
      </c>
      <c r="AH490" s="28">
        <f t="shared" ref="AH490:AH492" si="181">+SUMPRODUCT(K490:P490,AA489:AF489)/SUM(AA489:AF489)</f>
        <v>-6.7093869939326561E-2</v>
      </c>
      <c r="AJ490" s="5">
        <f t="shared" ref="AJ490:AJ492" si="182">+AJ489*(1+AH490)</f>
        <v>20028.476935057988</v>
      </c>
      <c r="AK490" s="6">
        <f t="shared" ref="AK490:AK492" si="183">+AK489*(1+Q490)</f>
        <v>15801.469896545013</v>
      </c>
      <c r="AM490" s="1">
        <f t="shared" ref="AM490:AM492" si="184">+B490</f>
        <v>46129</v>
      </c>
      <c r="AN490">
        <f t="shared" ref="AN490:AN492" si="185">+(AJ490/$AJ$6)/(AK490/$AK$6)</f>
        <v>1.2675072044681877</v>
      </c>
      <c r="AO490">
        <f t="shared" ref="AO490:AO492" ca="1" si="186">+_xlfn.PERCENTILE.INC(OFFSET(AN490,-52,0,52,1),0.1)</f>
        <v>1.1910609299105401</v>
      </c>
      <c r="AP490">
        <f t="shared" ref="AP490:AP492" ca="1" si="187">+_xlfn.PERCENTILE.INC(OFFSET(AN490,-52,0,52,1),0.25)</f>
        <v>1.2325121314990337</v>
      </c>
      <c r="AQ490">
        <f t="shared" ref="AQ490:AQ492" ca="1" si="188">+_xlfn.PERCENTILE.INC(OFFSET(AN490,-52,0,52,1),0.5)</f>
        <v>1.2622556112434711</v>
      </c>
      <c r="AR490">
        <f t="shared" ref="AR490:AR492" ca="1" si="189">+_xlfn.PERCENTILE.INC(OFFSET(AN490,-52,0,52,1),0.75)</f>
        <v>1.3043774172122062</v>
      </c>
      <c r="AS490">
        <f t="shared" ref="AS490:AS492" ca="1" si="190">+_xlfn.PERCENTILE.INC(OFFSET(AN490,-52,0,52,1),0.9)</f>
        <v>1.3456993623446014</v>
      </c>
    </row>
    <row r="491" spans="2:45" x14ac:dyDescent="0.25">
      <c r="B491" s="22">
        <v>46136</v>
      </c>
      <c r="C491">
        <v>2022.2929999999999</v>
      </c>
      <c r="D491">
        <v>1905</v>
      </c>
      <c r="E491">
        <v>3225.125</v>
      </c>
      <c r="F491">
        <v>4027.7330000000002</v>
      </c>
      <c r="G491">
        <v>9050</v>
      </c>
      <c r="H491">
        <v>1742.713</v>
      </c>
      <c r="I491" s="6">
        <v>2840788</v>
      </c>
      <c r="K491" s="23">
        <f t="shared" si="170"/>
        <v>-2.6374589266155546E-2</v>
      </c>
      <c r="L491" s="24">
        <f t="shared" si="171"/>
        <v>-3.6905965621840231E-2</v>
      </c>
      <c r="M491" s="24">
        <f t="shared" si="172"/>
        <v>-2.8644099956930735E-2</v>
      </c>
      <c r="N491" s="24">
        <f t="shared" si="173"/>
        <v>-5.3003127782188519E-3</v>
      </c>
      <c r="O491" s="24">
        <f t="shared" si="174"/>
        <v>1.8570624648283518E-2</v>
      </c>
      <c r="P491" s="24">
        <f t="shared" si="175"/>
        <v>-4.2147503896897698E-2</v>
      </c>
      <c r="Q491" s="25">
        <f t="shared" si="176"/>
        <v>-1.6751090705510396E-2</v>
      </c>
      <c r="S491" s="26">
        <f t="shared" si="177"/>
        <v>-2.0133641145293257E-2</v>
      </c>
      <c r="U491" s="5">
        <f t="shared" si="178"/>
        <v>32042.356749856539</v>
      </c>
      <c r="V491" s="6">
        <f t="shared" si="179"/>
        <v>15536.778041027595</v>
      </c>
      <c r="X491" s="20">
        <f t="shared" si="180"/>
        <v>2.0623553136463082</v>
      </c>
      <c r="Z491" s="22">
        <v>46136</v>
      </c>
      <c r="AA491" s="33">
        <v>3296991.5435000001</v>
      </c>
      <c r="AB491" s="33">
        <v>1726796.9654999999</v>
      </c>
      <c r="AC491" s="33">
        <v>1696430.5279000001</v>
      </c>
      <c r="AD491" s="33">
        <v>1855256.4574</v>
      </c>
      <c r="AE491" s="33">
        <v>7190182.3112000003</v>
      </c>
      <c r="AF491" s="34">
        <v>1742.713</v>
      </c>
      <c r="AH491" s="28">
        <f t="shared" si="181"/>
        <v>-5.3230655122179834E-3</v>
      </c>
      <c r="AJ491" s="5">
        <f t="shared" si="182"/>
        <v>19921.864040222728</v>
      </c>
      <c r="AK491" s="6">
        <f t="shared" si="183"/>
        <v>15536.778041027595</v>
      </c>
      <c r="AM491" s="1">
        <f t="shared" si="184"/>
        <v>46136</v>
      </c>
      <c r="AN491">
        <f t="shared" si="185"/>
        <v>1.2822390837801469</v>
      </c>
      <c r="AO491">
        <f t="shared" ca="1" si="186"/>
        <v>1.1936137415384871</v>
      </c>
      <c r="AP491">
        <f t="shared" ca="1" si="187"/>
        <v>1.2330721965068674</v>
      </c>
      <c r="AQ491">
        <f t="shared" ca="1" si="188"/>
        <v>1.2640591841843731</v>
      </c>
      <c r="AR491">
        <f t="shared" ca="1" si="189"/>
        <v>1.3043774172122062</v>
      </c>
      <c r="AS491">
        <f t="shared" ca="1" si="190"/>
        <v>1.3456993623446014</v>
      </c>
    </row>
    <row r="492" spans="2:45" x14ac:dyDescent="0.25">
      <c r="B492" s="22">
        <v>46143</v>
      </c>
      <c r="C492">
        <v>1986.0809999999999</v>
      </c>
      <c r="D492">
        <v>1884</v>
      </c>
      <c r="E492">
        <v>3280.0740000000001</v>
      </c>
      <c r="F492">
        <v>3803.5729999999999</v>
      </c>
      <c r="G492">
        <v>9165</v>
      </c>
      <c r="H492">
        <v>1688.8520000000001</v>
      </c>
      <c r="I492" s="6">
        <v>2832851</v>
      </c>
      <c r="K492" s="23">
        <f t="shared" si="170"/>
        <v>-1.7906406242814477E-2</v>
      </c>
      <c r="L492" s="24">
        <f t="shared" si="171"/>
        <v>-1.1023622047244053E-2</v>
      </c>
      <c r="M492" s="24">
        <f t="shared" si="172"/>
        <v>1.7037789232975387E-2</v>
      </c>
      <c r="N492" s="24">
        <f t="shared" si="173"/>
        <v>-5.5654135961842655E-2</v>
      </c>
      <c r="O492" s="24">
        <f t="shared" si="174"/>
        <v>1.2707182320441879E-2</v>
      </c>
      <c r="P492" s="24">
        <f t="shared" si="175"/>
        <v>-3.0906408571003907E-2</v>
      </c>
      <c r="Q492" s="25">
        <f t="shared" si="176"/>
        <v>-2.7939430890302486E-3</v>
      </c>
      <c r="S492" s="26">
        <f t="shared" si="177"/>
        <v>-1.4290933544914638E-2</v>
      </c>
      <c r="U492" s="5">
        <f t="shared" si="178"/>
        <v>31584.441558921892</v>
      </c>
      <c r="V492" s="6">
        <f t="shared" si="179"/>
        <v>15493.36916739407</v>
      </c>
      <c r="X492" s="20">
        <f t="shared" si="180"/>
        <v>2.0385780018326565</v>
      </c>
      <c r="Z492" s="22">
        <v>46143</v>
      </c>
      <c r="AA492" s="33">
        <v>3237954.5049000001</v>
      </c>
      <c r="AB492" s="33">
        <v>1707761.4084000001</v>
      </c>
      <c r="AC492" s="33">
        <v>1725334.3245999999</v>
      </c>
      <c r="AD492" s="33">
        <v>1752003.5818</v>
      </c>
      <c r="AE492" s="33">
        <v>7281549.2686999999</v>
      </c>
      <c r="AF492" s="34">
        <v>1688.8520000000001</v>
      </c>
      <c r="AH492" s="28">
        <f t="shared" si="181"/>
        <v>-3.875654695343182E-3</v>
      </c>
      <c r="AJ492" s="5">
        <f t="shared" si="182"/>
        <v>19844.653774315251</v>
      </c>
      <c r="AK492" s="6">
        <f t="shared" si="183"/>
        <v>15493.36916739407</v>
      </c>
      <c r="AM492" s="1">
        <f t="shared" si="184"/>
        <v>46143</v>
      </c>
      <c r="AN492">
        <f t="shared" si="185"/>
        <v>1.2808481847885285</v>
      </c>
      <c r="AO492">
        <f t="shared" ca="1" si="186"/>
        <v>1.1972152329195136</v>
      </c>
      <c r="AP492">
        <f t="shared" ca="1" si="187"/>
        <v>1.2338927676994991</v>
      </c>
      <c r="AQ492">
        <f t="shared" ca="1" si="188"/>
        <v>1.2661115389458941</v>
      </c>
      <c r="AR492">
        <f t="shared" ca="1" si="189"/>
        <v>1.3043774172122062</v>
      </c>
      <c r="AS492">
        <f t="shared" ca="1" si="190"/>
        <v>1.3456993623446014</v>
      </c>
    </row>
    <row r="493" spans="2:45" x14ac:dyDescent="0.25">
      <c r="B493" s="22">
        <v>46150</v>
      </c>
      <c r="C493">
        <v>1955.44</v>
      </c>
      <c r="D493">
        <v>1754</v>
      </c>
      <c r="E493">
        <v>3428.0160000000001</v>
      </c>
      <c r="F493">
        <v>3887.0369999999998</v>
      </c>
      <c r="G493">
        <v>8795</v>
      </c>
      <c r="H493">
        <v>1656.9010000000001</v>
      </c>
      <c r="I493" s="6">
        <v>2769127</v>
      </c>
      <c r="K493" s="23">
        <f t="shared" ref="K493:K494" si="191">+C493/C492-1</f>
        <v>-1.5427870263095889E-2</v>
      </c>
      <c r="L493" s="24">
        <f t="shared" ref="L493:L494" si="192">+D493/D492-1</f>
        <v>-6.9002123142250515E-2</v>
      </c>
      <c r="M493" s="24">
        <f t="shared" ref="M493:M494" si="193">+E493/E492-1</f>
        <v>4.5103250719343624E-2</v>
      </c>
      <c r="N493" s="24">
        <f t="shared" ref="N493:N494" si="194">+F493/F492-1</f>
        <v>2.1943577788568813E-2</v>
      </c>
      <c r="O493" s="24">
        <f t="shared" ref="O493:O494" si="195">+G493/G492-1</f>
        <v>-4.0370976541189263E-2</v>
      </c>
      <c r="P493" s="24">
        <f t="shared" ref="P493:P494" si="196">+H493/H492-1</f>
        <v>-1.8918768488890736E-2</v>
      </c>
      <c r="Q493" s="25">
        <f t="shared" ref="Q493:Q494" si="197">+I493/I492-1</f>
        <v>-2.2494652913266577E-2</v>
      </c>
      <c r="S493" s="26">
        <f t="shared" ref="S493:S494" si="198">+AVERAGE(K493:P493)</f>
        <v>-1.2778818321252328E-2</v>
      </c>
      <c r="U493" s="5">
        <f t="shared" ref="U493:U494" si="199">+U492*(1+S493)</f>
        <v>31180.829718462221</v>
      </c>
      <c r="V493" s="6">
        <f t="shared" ref="V493:V494" si="200">+V492*(1+Q493)</f>
        <v>15144.851205516434</v>
      </c>
      <c r="X493" s="20">
        <f t="shared" ref="X493:X494" si="201">+(U493/$U$6)/(V493/$V$6)</f>
        <v>2.0588402814485733</v>
      </c>
      <c r="Z493" s="22">
        <v>46150</v>
      </c>
      <c r="AA493" s="33">
        <v>3188000.0874999999</v>
      </c>
      <c r="AB493" s="33">
        <v>1589922.2453999999</v>
      </c>
      <c r="AC493" s="33">
        <v>1803152.2387000001</v>
      </c>
      <c r="AD493" s="33">
        <v>1790448.8014</v>
      </c>
      <c r="AE493" s="33">
        <v>6987586.0140000004</v>
      </c>
      <c r="AF493" s="34">
        <v>1656.9010000000001</v>
      </c>
      <c r="AH493" s="28">
        <f t="shared" ref="AH493:AH494" si="202">+SUMPRODUCT(K493:P493,AA492:AF492)/SUM(AA492:AF492)</f>
        <v>-2.199918978588674E-2</v>
      </c>
      <c r="AJ493" s="5">
        <f t="shared" ref="AJ493:AJ494" si="203">+AJ492*(1+AH493)</f>
        <v>19408.087469698876</v>
      </c>
      <c r="AK493" s="6">
        <f t="shared" ref="AK493:AK494" si="204">+AK492*(1+Q493)</f>
        <v>15144.851205516434</v>
      </c>
      <c r="AM493" s="1">
        <f t="shared" ref="AM493:AM494" si="205">+B493</f>
        <v>46150</v>
      </c>
      <c r="AN493">
        <f t="shared" ref="AN493:AN494" si="206">+(AJ493/$AJ$6)/(AK493/$AK$6)</f>
        <v>1.2814974017459861</v>
      </c>
      <c r="AO493">
        <f t="shared" ref="AO493:AO494" ca="1" si="207">+_xlfn.PERCENTILE.INC(OFFSET(AN493,-52,0,52,1),0.1)</f>
        <v>1.1984334207138654</v>
      </c>
      <c r="AP493">
        <f t="shared" ref="AP493:AP494" ca="1" si="208">+_xlfn.PERCENTILE.INC(OFFSET(AN493,-52,0,52,1),0.25)</f>
        <v>1.2368442211037678</v>
      </c>
      <c r="AQ493">
        <f t="shared" ref="AQ493:AQ494" ca="1" si="209">+_xlfn.PERCENTILE.INC(OFFSET(AN493,-52,0,52,1),0.5)</f>
        <v>1.2670196277490589</v>
      </c>
      <c r="AR493">
        <f t="shared" ref="AR493:AR494" ca="1" si="210">+_xlfn.PERCENTILE.INC(OFFSET(AN493,-52,0,52,1),0.75)</f>
        <v>1.3043774172122062</v>
      </c>
      <c r="AS493">
        <f t="shared" ref="AS493:AS494" ca="1" si="211">+_xlfn.PERCENTILE.INC(OFFSET(AN493,-52,0,52,1),0.9)</f>
        <v>1.3456993623446014</v>
      </c>
    </row>
    <row r="494" spans="2:45" x14ac:dyDescent="0.25">
      <c r="B494" s="22">
        <v>46157</v>
      </c>
      <c r="C494">
        <v>1902.5150000000001</v>
      </c>
      <c r="D494">
        <v>1667</v>
      </c>
      <c r="E494">
        <v>3083.5239999999999</v>
      </c>
      <c r="F494">
        <v>3476.8710000000001</v>
      </c>
      <c r="G494">
        <v>8750</v>
      </c>
      <c r="H494">
        <v>1539.1379999999999</v>
      </c>
      <c r="I494" s="6">
        <v>2707869</v>
      </c>
      <c r="K494" s="23">
        <f t="shared" si="191"/>
        <v>-2.7065519780714253E-2</v>
      </c>
      <c r="L494" s="24">
        <f t="shared" si="192"/>
        <v>-4.9600912200684188E-2</v>
      </c>
      <c r="M494" s="24">
        <f t="shared" si="193"/>
        <v>-0.10049311321767462</v>
      </c>
      <c r="N494" s="24">
        <f t="shared" si="194"/>
        <v>-0.10552150648424485</v>
      </c>
      <c r="O494" s="24">
        <f t="shared" si="195"/>
        <v>-5.1165434906196294E-3</v>
      </c>
      <c r="P494" s="24">
        <f t="shared" si="196"/>
        <v>-7.1074252474951805E-2</v>
      </c>
      <c r="Q494" s="25">
        <f t="shared" si="197"/>
        <v>-2.2121773396453159E-2</v>
      </c>
      <c r="S494" s="26">
        <f t="shared" si="198"/>
        <v>-5.9811974608148223E-2</v>
      </c>
      <c r="U494" s="5">
        <f t="shared" si="199"/>
        <v>29315.842723080565</v>
      </c>
      <c r="V494" s="6">
        <f t="shared" si="200"/>
        <v>14809.820239024999</v>
      </c>
      <c r="X494" s="20">
        <f t="shared" si="201"/>
        <v>1.9794867358235113</v>
      </c>
      <c r="Z494" s="22">
        <v>46157</v>
      </c>
      <c r="AA494" s="33">
        <v>3101715.1849000002</v>
      </c>
      <c r="AB494" s="33">
        <v>1511060.6517</v>
      </c>
      <c r="AC494" s="33">
        <v>1621947.6673000001</v>
      </c>
      <c r="AD494" s="33">
        <v>1601518.0077</v>
      </c>
      <c r="AE494" s="33">
        <v>6951833.7263000002</v>
      </c>
      <c r="AF494" s="34">
        <v>1539.1379999999999</v>
      </c>
      <c r="AH494" s="28">
        <f t="shared" si="202"/>
        <v>-3.7182504442466374E-2</v>
      </c>
      <c r="AJ494" s="5">
        <f t="shared" si="203"/>
        <v>18686.44617113702</v>
      </c>
      <c r="AK494" s="6">
        <f t="shared" si="204"/>
        <v>14809.820239024999</v>
      </c>
      <c r="AM494" s="1">
        <f t="shared" si="205"/>
        <v>46157</v>
      </c>
      <c r="AN494">
        <f t="shared" si="206"/>
        <v>1.261760498746421</v>
      </c>
      <c r="AO494">
        <f t="shared" ca="1" si="207"/>
        <v>1.2003263313404544</v>
      </c>
      <c r="AP494">
        <f t="shared" ca="1" si="208"/>
        <v>1.2405516511222869</v>
      </c>
      <c r="AQ494">
        <f t="shared" ca="1" si="209"/>
        <v>1.2722748768186793</v>
      </c>
      <c r="AR494">
        <f t="shared" ca="1" si="210"/>
        <v>1.3043774172122062</v>
      </c>
      <c r="AS494">
        <f t="shared" ca="1" si="211"/>
        <v>1.3456993623446014</v>
      </c>
    </row>
    <row r="495" spans="2:45" x14ac:dyDescent="0.25">
      <c r="B495" s="22">
        <v>46164</v>
      </c>
      <c r="C495">
        <v>1928.5129999999999</v>
      </c>
      <c r="D495">
        <v>1802</v>
      </c>
      <c r="E495">
        <v>3288.5279999999998</v>
      </c>
      <c r="F495">
        <v>3767.8020000000001</v>
      </c>
      <c r="G495">
        <v>8685</v>
      </c>
      <c r="H495">
        <v>1729.019</v>
      </c>
      <c r="I495" s="6">
        <v>2846220</v>
      </c>
      <c r="K495" s="23">
        <f t="shared" ref="K495:K496" si="212">+C495/C494-1</f>
        <v>1.3665069657794904E-2</v>
      </c>
      <c r="L495" s="24">
        <f t="shared" ref="L495:L496" si="213">+D495/D494-1</f>
        <v>8.098380323935217E-2</v>
      </c>
      <c r="M495" s="24">
        <f t="shared" ref="M495:M496" si="214">+E495/E494-1</f>
        <v>6.6483672577219988E-2</v>
      </c>
      <c r="N495" s="24">
        <f t="shared" ref="N495:N496" si="215">+F495/F494-1</f>
        <v>8.3676098422978518E-2</v>
      </c>
      <c r="O495" s="24">
        <f t="shared" ref="O495:O496" si="216">+G495/G494-1</f>
        <v>-7.428571428571451E-3</v>
      </c>
      <c r="P495" s="24">
        <f t="shared" ref="P495:P496" si="217">+H495/H494-1</f>
        <v>0.12336840491236001</v>
      </c>
      <c r="Q495" s="25">
        <f t="shared" ref="Q495:Q496" si="218">+I495/I494-1</f>
        <v>5.1092205716007699E-2</v>
      </c>
      <c r="S495" s="26">
        <f t="shared" ref="S495:S496" si="219">+AVERAGE(K495:P495)</f>
        <v>6.012474623018902E-2</v>
      </c>
      <c r="U495" s="5">
        <f t="shared" ref="U495:U496" si="220">+U494*(1+S495)</f>
        <v>31078.450327329916</v>
      </c>
      <c r="V495" s="6">
        <f t="shared" ref="V495:V496" si="221">+V494*(1+Q495)</f>
        <v>15566.486621294358</v>
      </c>
      <c r="X495" s="20">
        <f t="shared" ref="X495:X496" si="222">+(U495/$U$6)/(V495/$V$6)</f>
        <v>1.9964974167527167</v>
      </c>
      <c r="Z495" s="22">
        <v>46164</v>
      </c>
      <c r="AA495" s="33">
        <v>3144100.7511</v>
      </c>
      <c r="AB495" s="33">
        <v>1633432.0902</v>
      </c>
      <c r="AC495" s="33">
        <v>1729781.0626000001</v>
      </c>
      <c r="AD495" s="33">
        <v>1735527.0589999999</v>
      </c>
      <c r="AE495" s="33">
        <v>6900191.5329</v>
      </c>
      <c r="AF495" s="34">
        <v>1729.019</v>
      </c>
      <c r="AH495" s="28">
        <f t="shared" ref="AH495:AH496" si="223">+SUMPRODUCT(K495:P495,AA494:AF494)/SUM(AA494:AF494)</f>
        <v>2.4013208676507622E-2</v>
      </c>
      <c r="AJ495" s="5">
        <f t="shared" ref="AJ495:AJ496" si="224">+AJ494*(1+AH495)</f>
        <v>19135.167702466861</v>
      </c>
      <c r="AK495" s="6">
        <f t="shared" ref="AK495:AK496" si="225">+AK494*(1+Q495)</f>
        <v>15566.486621294358</v>
      </c>
      <c r="AM495" s="1">
        <f t="shared" ref="AM495:AM496" si="226">+B495</f>
        <v>46164</v>
      </c>
      <c r="AN495">
        <f t="shared" ref="AN495:AN496" si="227">+(AJ495/$AJ$6)/(AK495/$AK$6)</f>
        <v>1.2292541128895895</v>
      </c>
      <c r="AO495">
        <f t="shared" ref="AO495:AO496" ca="1" si="228">+_xlfn.PERCENTILE.INC(OFFSET(AN495,-52,0,52,1),0.1)</f>
        <v>1.2016375168357976</v>
      </c>
      <c r="AP495">
        <f t="shared" ref="AP495:AP496" ca="1" si="229">+_xlfn.PERCENTILE.INC(OFFSET(AN495,-52,0,52,1),0.25)</f>
        <v>1.243166150446386</v>
      </c>
      <c r="AQ495">
        <f t="shared" ref="AQ495:AQ496" ca="1" si="230">+_xlfn.PERCENTILE.INC(OFFSET(AN495,-52,0,52,1),0.5)</f>
        <v>1.2722748768186793</v>
      </c>
      <c r="AR495">
        <f t="shared" ref="AR495:AR496" ca="1" si="231">+_xlfn.PERCENTILE.INC(OFFSET(AN495,-52,0,52,1),0.75)</f>
        <v>1.3043774172122062</v>
      </c>
      <c r="AS495">
        <f t="shared" ref="AS495:AS496" ca="1" si="232">+_xlfn.PERCENTILE.INC(OFFSET(AN495,-52,0,52,1),0.9)</f>
        <v>1.3456993623446014</v>
      </c>
    </row>
    <row r="496" spans="2:45" x14ac:dyDescent="0.25">
      <c r="B496" s="22">
        <v>46171</v>
      </c>
      <c r="C496">
        <v>2187.567</v>
      </c>
      <c r="D496">
        <v>2062</v>
      </c>
      <c r="E496">
        <v>3381.52</v>
      </c>
      <c r="F496">
        <v>4022.9639999999999</v>
      </c>
      <c r="G496">
        <v>9135</v>
      </c>
      <c r="H496">
        <v>1916.162</v>
      </c>
      <c r="I496" s="6">
        <v>3166407</v>
      </c>
      <c r="K496" s="23">
        <f t="shared" si="212"/>
        <v>0.13432836594827213</v>
      </c>
      <c r="L496" s="24">
        <f t="shared" si="213"/>
        <v>0.14428412874583785</v>
      </c>
      <c r="M496" s="24">
        <f t="shared" si="214"/>
        <v>2.8277697498698462E-2</v>
      </c>
      <c r="N496" s="24">
        <f t="shared" si="215"/>
        <v>6.772171149120898E-2</v>
      </c>
      <c r="O496" s="24">
        <f t="shared" si="216"/>
        <v>5.1813471502590636E-2</v>
      </c>
      <c r="P496" s="24">
        <f t="shared" si="217"/>
        <v>0.10823652024645192</v>
      </c>
      <c r="Q496" s="25">
        <f t="shared" si="218"/>
        <v>0.11249552037439137</v>
      </c>
      <c r="S496" s="26">
        <f t="shared" si="219"/>
        <v>8.9110315905509996E-2</v>
      </c>
      <c r="U496" s="5">
        <f t="shared" si="220"/>
        <v>33847.860853851984</v>
      </c>
      <c r="V496" s="6">
        <f t="shared" si="221"/>
        <v>17317.646634157867</v>
      </c>
      <c r="X496" s="20">
        <f t="shared" si="222"/>
        <v>1.95453005647369</v>
      </c>
      <c r="Z496" s="22">
        <v>46171</v>
      </c>
      <c r="AA496" s="33">
        <v>3566442.6430000002</v>
      </c>
      <c r="AB496" s="33">
        <v>1869110.4162000001</v>
      </c>
      <c r="AC496" s="33">
        <v>1778695.18</v>
      </c>
      <c r="AD496" s="33">
        <v>1853059.5877</v>
      </c>
      <c r="AE496" s="33">
        <v>7257714.4101999998</v>
      </c>
      <c r="AF496" s="34">
        <v>1916.162</v>
      </c>
      <c r="AH496" s="28">
        <f t="shared" si="223"/>
        <v>7.8058498964874948E-2</v>
      </c>
      <c r="AJ496" s="5">
        <f t="shared" si="224"/>
        <v>20628.83017076258</v>
      </c>
      <c r="AK496" s="6">
        <f t="shared" si="225"/>
        <v>17317.646634157867</v>
      </c>
      <c r="AM496" s="1">
        <f t="shared" si="226"/>
        <v>46171</v>
      </c>
      <c r="AN496">
        <f t="shared" si="227"/>
        <v>1.1912028583649255</v>
      </c>
      <c r="AO496">
        <f t="shared" ca="1" si="228"/>
        <v>1.2182141560072313</v>
      </c>
      <c r="AP496">
        <f t="shared" ca="1" si="229"/>
        <v>1.243166150446386</v>
      </c>
      <c r="AQ496">
        <f t="shared" ca="1" si="230"/>
        <v>1.2722748768186793</v>
      </c>
      <c r="AR496">
        <f t="shared" ca="1" si="231"/>
        <v>1.3043774172122062</v>
      </c>
      <c r="AS496">
        <f t="shared" ca="1" si="232"/>
        <v>1.3456993623446014</v>
      </c>
    </row>
    <row r="497" spans="2:45" x14ac:dyDescent="0.25">
      <c r="B497" s="22">
        <v>46178</v>
      </c>
      <c r="C497">
        <v>2066.8609999999999</v>
      </c>
      <c r="D497">
        <v>1976</v>
      </c>
      <c r="E497">
        <v>3311.7759999999998</v>
      </c>
      <c r="F497">
        <v>3710.57</v>
      </c>
      <c r="G497">
        <v>8935</v>
      </c>
      <c r="H497">
        <v>1733.5840000000001</v>
      </c>
      <c r="I497" s="6">
        <v>3084617</v>
      </c>
      <c r="K497" s="23">
        <f t="shared" ref="K497" si="233">+C497/C496-1</f>
        <v>-5.5178195684977949E-2</v>
      </c>
      <c r="L497" s="24">
        <f t="shared" ref="L497" si="234">+D497/D496-1</f>
        <v>-4.1707080504364669E-2</v>
      </c>
      <c r="M497" s="24">
        <f t="shared" ref="M497" si="235">+E497/E496-1</f>
        <v>-2.06250443587499E-2</v>
      </c>
      <c r="N497" s="24">
        <f t="shared" ref="N497" si="236">+F497/F496-1</f>
        <v>-7.7652695872993061E-2</v>
      </c>
      <c r="O497" s="24">
        <f t="shared" ref="O497" si="237">+G497/G496-1</f>
        <v>-2.1893814997263283E-2</v>
      </c>
      <c r="P497" s="24">
        <f t="shared" ref="P497" si="238">+H497/H496-1</f>
        <v>-9.5283175430887379E-2</v>
      </c>
      <c r="Q497" s="25">
        <f t="shared" ref="Q497" si="239">+I497/I496-1</f>
        <v>-2.5830539156842414E-2</v>
      </c>
      <c r="S497" s="26">
        <f t="shared" ref="S497" si="240">+AVERAGE(K497:P497)</f>
        <v>-5.2056667808206038E-2</v>
      </c>
      <c r="U497" s="5">
        <f t="shared" ref="U497" si="241">+U496*(1+S497)</f>
        <v>32085.854005364628</v>
      </c>
      <c r="V497" s="6">
        <f t="shared" ref="V497" si="242">+V496*(1+Q497)</f>
        <v>16870.32248466989</v>
      </c>
      <c r="X497" s="20">
        <f t="shared" ref="X497" si="243">+(U497/$U$6)/(V497/$V$6)</f>
        <v>1.9019111243736528</v>
      </c>
      <c r="Z497" s="22">
        <v>46178</v>
      </c>
      <c r="AA497" s="33">
        <v>3369652.5142000001</v>
      </c>
      <c r="AB497" s="33">
        <v>1791155.2775999999</v>
      </c>
      <c r="AC497" s="33">
        <v>1742009.5919000001</v>
      </c>
      <c r="AD497" s="33">
        <v>1709164.6226999999</v>
      </c>
      <c r="AE497" s="33">
        <v>7098815.3536</v>
      </c>
      <c r="AF497" s="34">
        <v>1733.5840000000001</v>
      </c>
      <c r="AH497" s="28">
        <f t="shared" ref="AH497" si="244">+SUMPRODUCT(K497:P497,AA496:AF496)/SUM(AA496:AF496)</f>
        <v>-3.7631512278802959E-2</v>
      </c>
      <c r="AJ497" s="5">
        <f t="shared" ref="AJ497" si="245">+AJ496*(1+AH497)</f>
        <v>19852.536094894189</v>
      </c>
      <c r="AK497" s="6">
        <f t="shared" ref="AK497" si="246">+AK496*(1+Q497)</f>
        <v>16870.32248466989</v>
      </c>
      <c r="AM497" s="1">
        <f t="shared" ref="AM497" si="247">+B497</f>
        <v>46178</v>
      </c>
      <c r="AN497">
        <f t="shared" ref="AN497" si="248">+(AJ497/$AJ$6)/(AK497/$AK$6)</f>
        <v>1.1767727684479206</v>
      </c>
      <c r="AO497">
        <f t="shared" ref="AO497" ca="1" si="249">+_xlfn.PERCENTILE.INC(OFFSET(AN497,-52,0,52,1),0.1)</f>
        <v>1.2182141560072313</v>
      </c>
      <c r="AP497">
        <f t="shared" ref="AP497" ca="1" si="250">+_xlfn.PERCENTILE.INC(OFFSET(AN497,-52,0,52,1),0.25)</f>
        <v>1.243166150446386</v>
      </c>
      <c r="AQ497">
        <f t="shared" ref="AQ497" ca="1" si="251">+_xlfn.PERCENTILE.INC(OFFSET(AN497,-52,0,52,1),0.5)</f>
        <v>1.2722748768186793</v>
      </c>
      <c r="AR497">
        <f t="shared" ref="AR497" ca="1" si="252">+_xlfn.PERCENTILE.INC(OFFSET(AN497,-52,0,52,1),0.75)</f>
        <v>1.3043774172122062</v>
      </c>
      <c r="AS497">
        <f t="shared" ref="AS497" ca="1" si="253">+_xlfn.PERCENTILE.INC(OFFSET(AN497,-52,0,52,1),0.9)</f>
        <v>1.3456993623446014</v>
      </c>
    </row>
    <row r="498" spans="2:45" x14ac:dyDescent="0.25">
      <c r="B498" s="22">
        <v>46185</v>
      </c>
      <c r="C498">
        <v>2201.4949999999999</v>
      </c>
      <c r="D498">
        <v>2076</v>
      </c>
      <c r="E498">
        <v>3377.2930000000001</v>
      </c>
      <c r="F498">
        <v>4087.35</v>
      </c>
      <c r="G498">
        <v>9890</v>
      </c>
      <c r="H498">
        <v>1795.6610000000001</v>
      </c>
      <c r="I498" s="6">
        <v>3352708</v>
      </c>
      <c r="K498" s="23">
        <f t="shared" ref="K498" si="254">+C498/C497-1</f>
        <v>6.5139358669983105E-2</v>
      </c>
      <c r="L498" s="24">
        <f t="shared" ref="L498" si="255">+D498/D497-1</f>
        <v>5.0607287449392802E-2</v>
      </c>
      <c r="M498" s="24">
        <f t="shared" ref="M498" si="256">+E498/E497-1</f>
        <v>1.978304088199212E-2</v>
      </c>
      <c r="N498" s="24">
        <f t="shared" ref="N498" si="257">+F498/F497-1</f>
        <v>0.10154235063615547</v>
      </c>
      <c r="O498" s="24">
        <f t="shared" ref="O498" si="258">+G498/G497-1</f>
        <v>0.10688304420817007</v>
      </c>
      <c r="P498" s="24">
        <f t="shared" ref="P498" si="259">+H498/H497-1</f>
        <v>3.5808475389712768E-2</v>
      </c>
      <c r="Q498" s="25">
        <f t="shared" ref="Q498" si="260">+I498/I497-1</f>
        <v>8.6912248749196452E-2</v>
      </c>
      <c r="S498" s="26">
        <f t="shared" ref="S498" si="261">+AVERAGE(K498:P498)</f>
        <v>6.329392620590106E-2</v>
      </c>
      <c r="U498" s="5">
        <f t="shared" ref="U498" si="262">+U497*(1+S498)</f>
        <v>34116.693681033496</v>
      </c>
      <c r="V498" s="6">
        <f t="shared" ref="V498" si="263">+V497*(1+Q498)</f>
        <v>18336.560148936682</v>
      </c>
      <c r="X498" s="20">
        <f t="shared" ref="X498" si="264">+(U498/$U$6)/(V498/$V$6)</f>
        <v>1.8605830866817128</v>
      </c>
      <c r="Z498" s="22">
        <v>46185</v>
      </c>
      <c r="AA498" s="33">
        <v>3589149.1963999998</v>
      </c>
      <c r="AB498" s="33">
        <v>1881800.7875999999</v>
      </c>
      <c r="AC498" s="33">
        <v>1776471.811</v>
      </c>
      <c r="AD498" s="33">
        <v>1882717.3285999999</v>
      </c>
      <c r="AE498" s="33">
        <v>7857558.3488999996</v>
      </c>
      <c r="AF498" s="34">
        <v>1795.6610000000001</v>
      </c>
      <c r="AH498" s="28">
        <f t="shared" ref="AH498" si="265">+SUMPRODUCT(K498:P498,AA497:AF497)/SUM(AA497:AF497)</f>
        <v>8.1270320543379251E-2</v>
      </c>
      <c r="AJ498" s="5">
        <f t="shared" ref="AJ498" si="266">+AJ497*(1+AH498)</f>
        <v>21465.958066925246</v>
      </c>
      <c r="AK498" s="6">
        <f t="shared" ref="AK498" si="267">+AK497*(1+Q498)</f>
        <v>18336.560148936682</v>
      </c>
      <c r="AM498" s="1">
        <f t="shared" ref="AM498" si="268">+B498</f>
        <v>46185</v>
      </c>
      <c r="AN498">
        <f t="shared" ref="AN498" si="269">+(AJ498/$AJ$6)/(AK498/$AK$6)</f>
        <v>1.1706643935705705</v>
      </c>
      <c r="AO498">
        <f t="shared" ref="AO498" ca="1" si="270">+_xlfn.PERCENTILE.INC(OFFSET(AN498,-52,0,52,1),0.1)</f>
        <v>1.2182141560072313</v>
      </c>
      <c r="AP498">
        <f t="shared" ref="AP498" ca="1" si="271">+_xlfn.PERCENTILE.INC(OFFSET(AN498,-52,0,52,1),0.25)</f>
        <v>1.243166150446386</v>
      </c>
      <c r="AQ498">
        <f t="shared" ref="AQ498" ca="1" si="272">+_xlfn.PERCENTILE.INC(OFFSET(AN498,-52,0,52,1),0.5)</f>
        <v>1.2722748768186793</v>
      </c>
      <c r="AR498">
        <f t="shared" ref="AR498" ca="1" si="273">+_xlfn.PERCENTILE.INC(OFFSET(AN498,-52,0,52,1),0.75)</f>
        <v>1.3043774172122062</v>
      </c>
      <c r="AS498">
        <f t="shared" ref="AS498" ca="1" si="274">+_xlfn.PERCENTILE.INC(OFFSET(AN498,-52,0,52,1),0.9)</f>
        <v>1.3456993623446014</v>
      </c>
    </row>
    <row r="499" spans="2:45" x14ac:dyDescent="0.25">
      <c r="B499" s="22">
        <v>46192</v>
      </c>
      <c r="C499">
        <v>2221.922</v>
      </c>
      <c r="D499">
        <v>2072</v>
      </c>
      <c r="E499">
        <v>3265.28</v>
      </c>
      <c r="F499">
        <v>3941.884</v>
      </c>
      <c r="G499">
        <v>9730</v>
      </c>
      <c r="H499">
        <v>1782.88</v>
      </c>
      <c r="I499" s="6">
        <v>3291322</v>
      </c>
      <c r="K499" s="23">
        <f t="shared" ref="K499" si="275">+C499/C498-1</f>
        <v>9.27869470518905E-3</v>
      </c>
      <c r="L499" s="24">
        <f t="shared" ref="L499" si="276">+D499/D498-1</f>
        <v>-1.9267822736031004E-3</v>
      </c>
      <c r="M499" s="24">
        <f t="shared" ref="M499" si="277">+E499/E498-1</f>
        <v>-3.3166503468902486E-2</v>
      </c>
      <c r="N499" s="24">
        <f t="shared" ref="N499" si="278">+F499/F498-1</f>
        <v>-3.5589318262443825E-2</v>
      </c>
      <c r="O499" s="24">
        <f t="shared" ref="O499" si="279">+G499/G498-1</f>
        <v>-1.6177957532861442E-2</v>
      </c>
      <c r="P499" s="24">
        <f t="shared" ref="P499" si="280">+H499/H498-1</f>
        <v>-7.1177131986494002E-3</v>
      </c>
      <c r="Q499" s="25">
        <f t="shared" ref="Q499" si="281">+I499/I498-1</f>
        <v>-1.8309378568011292E-2</v>
      </c>
      <c r="S499" s="26">
        <f t="shared" ref="S499" si="282">+AVERAGE(K499:P499)</f>
        <v>-1.4116596671878534E-2</v>
      </c>
      <c r="U499" s="5">
        <f t="shared" ref="U499" si="283">+U498*(1+S499)</f>
        <v>33635.08207656032</v>
      </c>
      <c r="V499" s="6">
        <f t="shared" ref="V499" si="284">+V498*(1+Q499)</f>
        <v>18000.829127534689</v>
      </c>
      <c r="X499" s="20">
        <f t="shared" ref="X499" si="285">+(U499/$U$6)/(V499/$V$6)</f>
        <v>1.8685296015121291</v>
      </c>
      <c r="Z499" s="22">
        <v>46192</v>
      </c>
      <c r="AA499" s="33">
        <v>3622452.1412</v>
      </c>
      <c r="AB499" s="33">
        <v>1878174.9672000001</v>
      </c>
      <c r="AC499" s="33">
        <v>1717552.5331999999</v>
      </c>
      <c r="AD499" s="33">
        <v>1815712.8029</v>
      </c>
      <c r="AE499" s="33">
        <v>7730439.1036</v>
      </c>
      <c r="AF499" s="34">
        <v>1782.88</v>
      </c>
      <c r="AH499" s="28">
        <f t="shared" ref="AH499" si="286">+SUMPRODUCT(K499:P499,AA498:AF498)/SUM(AA498:AF498)</f>
        <v>-1.3148079814279845E-2</v>
      </c>
      <c r="AJ499" s="5">
        <f t="shared" ref="AJ499" si="287">+AJ498*(1+AH499)</f>
        <v>21183.721936971331</v>
      </c>
      <c r="AK499" s="6">
        <f t="shared" ref="AK499" si="288">+AK498*(1+Q499)</f>
        <v>18000.829127534689</v>
      </c>
      <c r="AM499" s="1">
        <f t="shared" ref="AM499" si="289">+B499</f>
        <v>46192</v>
      </c>
      <c r="AN499">
        <f t="shared" ref="AN499" si="290">+(AJ499/$AJ$6)/(AK499/$AK$6)</f>
        <v>1.1768192335411918</v>
      </c>
      <c r="AO499">
        <f t="shared" ref="AO499" ca="1" si="291">+_xlfn.PERCENTILE.INC(OFFSET(AN499,-52,0,52,1),0.1)</f>
        <v>1.2182141560072313</v>
      </c>
      <c r="AP499">
        <f t="shared" ref="AP499" ca="1" si="292">+_xlfn.PERCENTILE.INC(OFFSET(AN499,-52,0,52,1),0.25)</f>
        <v>1.243166150446386</v>
      </c>
      <c r="AQ499">
        <f t="shared" ref="AQ499" ca="1" si="293">+_xlfn.PERCENTILE.INC(OFFSET(AN499,-52,0,52,1),0.5)</f>
        <v>1.2722748768186793</v>
      </c>
      <c r="AR499">
        <f t="shared" ref="AR499" ca="1" si="294">+_xlfn.PERCENTILE.INC(OFFSET(AN499,-52,0,52,1),0.75)</f>
        <v>1.3043774172122062</v>
      </c>
      <c r="AS499">
        <f t="shared" ref="AS499" ca="1" si="295">+_xlfn.PERCENTILE.INC(OFFSET(AN499,-52,0,52,1),0.9)</f>
        <v>1.3456993623446014</v>
      </c>
    </row>
    <row r="500" spans="2:45" x14ac:dyDescent="0.25">
      <c r="B500" s="22">
        <v>46199</v>
      </c>
      <c r="C500">
        <v>2111.4290000000001</v>
      </c>
      <c r="D500">
        <v>1891</v>
      </c>
      <c r="E500">
        <v>3165.9479999999999</v>
      </c>
      <c r="F500">
        <v>3801.1880000000001</v>
      </c>
      <c r="G500">
        <v>9220</v>
      </c>
      <c r="H500">
        <v>1644.12</v>
      </c>
      <c r="I500" s="6">
        <v>3123411</v>
      </c>
      <c r="K500" s="23">
        <f t="shared" ref="K500" si="296">+C500/C499-1</f>
        <v>-4.972856832958128E-2</v>
      </c>
      <c r="L500" s="24">
        <f t="shared" ref="L500" si="297">+D500/D499-1</f>
        <v>-8.7355212355212375E-2</v>
      </c>
      <c r="M500" s="24">
        <f t="shared" ref="M500" si="298">+E500/E499-1</f>
        <v>-3.042066836534707E-2</v>
      </c>
      <c r="N500" s="24">
        <f t="shared" ref="N500" si="299">+F500/F499-1</f>
        <v>-3.5692577457885566E-2</v>
      </c>
      <c r="O500" s="24">
        <f t="shared" ref="O500" si="300">+G500/G499-1</f>
        <v>-5.2415210688592007E-2</v>
      </c>
      <c r="P500" s="24">
        <f t="shared" ref="P500" si="301">+H500/H499-1</f>
        <v>-7.7829130395764223E-2</v>
      </c>
      <c r="Q500" s="25">
        <f t="shared" ref="Q500" si="302">+I500/I499-1</f>
        <v>-5.1016278565269468E-2</v>
      </c>
      <c r="S500" s="26">
        <f t="shared" ref="S500" si="303">+AVERAGE(K500:P500)</f>
        <v>-5.5573561265397087E-2</v>
      </c>
      <c r="U500" s="5">
        <f t="shared" ref="U500" si="304">+U499*(1+S500)</f>
        <v>31765.860782111933</v>
      </c>
      <c r="V500" s="6">
        <f t="shared" ref="V500" si="305">+V499*(1+Q500)</f>
        <v>17082.493814358564</v>
      </c>
      <c r="X500" s="20">
        <f t="shared" ref="X500" si="306">+(U500/$U$6)/(V500/$V$6)</f>
        <v>1.8595564047803941</v>
      </c>
      <c r="Z500" s="22">
        <v>46199</v>
      </c>
      <c r="AA500">
        <v>3442313.4848000002</v>
      </c>
      <c r="AB500">
        <v>1714106.5941000001</v>
      </c>
      <c r="AC500">
        <v>1665303.3622999999</v>
      </c>
      <c r="AD500">
        <v>1750905.1469000001</v>
      </c>
      <c r="AE500">
        <v>7325246.5093</v>
      </c>
      <c r="AF500" s="6">
        <v>1644.12</v>
      </c>
      <c r="AH500" s="28">
        <f t="shared" ref="AH500" si="307">+SUMPRODUCT(K500:P500,AA499:AF499)/SUM(AA499:AF499)</f>
        <v>-5.1687327785007509E-2</v>
      </c>
      <c r="AJ500" s="5">
        <f t="shared" ref="AJ500" si="308">+AJ499*(1+AH500)</f>
        <v>20088.791957508638</v>
      </c>
      <c r="AK500" s="6">
        <f t="shared" ref="AK500" si="309">+AK499*(1+Q500)</f>
        <v>17082.493814358564</v>
      </c>
      <c r="AM500" s="1">
        <f t="shared" ref="AM500" si="310">+B500</f>
        <v>46199</v>
      </c>
      <c r="AN500">
        <f t="shared" ref="AN500" si="311">+(AJ500/$AJ$6)/(AK500/$AK$6)</f>
        <v>1.1759870763496576</v>
      </c>
      <c r="AO500">
        <f t="shared" ref="AO500" ca="1" si="312">+_xlfn.PERCENTILE.INC(OFFSET(AN500,-52,0,52,1),0.1)</f>
        <v>1.1990872907400361</v>
      </c>
      <c r="AP500">
        <f t="shared" ref="AP500" ca="1" si="313">+_xlfn.PERCENTILE.INC(OFFSET(AN500,-52,0,52,1),0.25)</f>
        <v>1.243166150446386</v>
      </c>
      <c r="AQ500">
        <f t="shared" ref="AQ500" ca="1" si="314">+_xlfn.PERCENTILE.INC(OFFSET(AN500,-52,0,52,1),0.5)</f>
        <v>1.2722748768186793</v>
      </c>
      <c r="AR500">
        <f t="shared" ref="AR500" ca="1" si="315">+_xlfn.PERCENTILE.INC(OFFSET(AN500,-52,0,52,1),0.75)</f>
        <v>1.3043774172122062</v>
      </c>
      <c r="AS500">
        <f t="shared" ref="AS500" ca="1" si="316">+_xlfn.PERCENTILE.INC(OFFSET(AN500,-52,0,52,1),0.9)</f>
        <v>1.3456993623446014</v>
      </c>
    </row>
    <row r="501" spans="2:45" x14ac:dyDescent="0.25">
      <c r="B501" s="22">
        <v>46206</v>
      </c>
      <c r="C501">
        <v>2156.9259999999999</v>
      </c>
      <c r="D501">
        <v>1956</v>
      </c>
      <c r="E501">
        <v>3077.183</v>
      </c>
      <c r="F501">
        <v>3791.6489999999999</v>
      </c>
      <c r="G501">
        <v>9195</v>
      </c>
      <c r="H501">
        <v>1794.748</v>
      </c>
      <c r="I501" s="6">
        <v>3196900</v>
      </c>
      <c r="K501" s="23">
        <f t="shared" ref="K501" si="317">+C501/C500-1</f>
        <v>2.1547965856299145E-2</v>
      </c>
      <c r="L501" s="24">
        <f t="shared" ref="L501" si="318">+D501/D500-1</f>
        <v>3.437334743521947E-2</v>
      </c>
      <c r="M501" s="24">
        <f t="shared" ref="M501" si="319">+E501/E500-1</f>
        <v>-2.8037415649277864E-2</v>
      </c>
      <c r="N501" s="24">
        <f t="shared" ref="N501" si="320">+F501/F500-1</f>
        <v>-2.5094786156328874E-3</v>
      </c>
      <c r="O501" s="24">
        <f t="shared" ref="O501" si="321">+G501/G500-1</f>
        <v>-2.7114967462038564E-3</v>
      </c>
      <c r="P501" s="24">
        <f t="shared" ref="P501" si="322">+H501/H500-1</f>
        <v>9.1616183733547629E-2</v>
      </c>
      <c r="Q501" s="25">
        <f t="shared" ref="Q501" si="323">+I501/I500-1</f>
        <v>2.3528443743074501E-2</v>
      </c>
      <c r="S501" s="26">
        <f t="shared" ref="S501" si="324">+AVERAGE(K501:P501)</f>
        <v>1.9046517668991941E-2</v>
      </c>
      <c r="U501" s="5">
        <f t="shared" ref="U501" si="325">+U500*(1+S501)</f>
        <v>32370.889810769168</v>
      </c>
      <c r="V501" s="6">
        <f t="shared" ref="V501" si="326">+V500*(1+Q501)</f>
        <v>17484.418309061119</v>
      </c>
      <c r="X501" s="20">
        <f t="shared" ref="X501" si="327">+(U501/$U$6)/(V501/$V$6)</f>
        <v>1.8514135980144839</v>
      </c>
      <c r="Z501" s="22">
        <v>46206</v>
      </c>
      <c r="AA501">
        <v>3516488.2256999998</v>
      </c>
      <c r="AB501">
        <v>1773026.1756</v>
      </c>
      <c r="AC501">
        <v>1618612.6137999999</v>
      </c>
      <c r="AD501">
        <v>1746511.4075</v>
      </c>
      <c r="AE501">
        <v>7305384.1272</v>
      </c>
      <c r="AF501" s="6">
        <v>1794.748</v>
      </c>
      <c r="AH501" s="28">
        <f t="shared" ref="AH501" si="328">+SUMPRODUCT(K501:P501,AA500:AF500)/SUM(AA500:AF500)</f>
        <v>3.9182328996949182E-3</v>
      </c>
      <c r="AJ501" s="5">
        <f t="shared" ref="AJ501" si="329">+AJ500*(1+AH501)</f>
        <v>20167.504523071675</v>
      </c>
      <c r="AK501" s="6">
        <f t="shared" ref="AK501" si="330">+AK500*(1+Q501)</f>
        <v>17484.418309061119</v>
      </c>
      <c r="AM501" s="1">
        <f t="shared" ref="AM501" si="331">+B501</f>
        <v>46206</v>
      </c>
      <c r="AN501">
        <f t="shared" ref="AN501" si="332">+(AJ501/$AJ$6)/(AK501/$AK$6)</f>
        <v>1.1534558466048639</v>
      </c>
      <c r="AO501">
        <f t="shared" ref="AO501" ca="1" si="333">+_xlfn.PERCENTILE.INC(OFFSET(AN501,-52,0,52,1),0.1)</f>
        <v>1.1990872907400361</v>
      </c>
      <c r="AP501">
        <f t="shared" ref="AP501" ca="1" si="334">+_xlfn.PERCENTILE.INC(OFFSET(AN501,-52,0,52,1),0.25)</f>
        <v>1.243166150446386</v>
      </c>
      <c r="AQ501">
        <f t="shared" ref="AQ501" ca="1" si="335">+_xlfn.PERCENTILE.INC(OFFSET(AN501,-52,0,52,1),0.5)</f>
        <v>1.2722748768186793</v>
      </c>
      <c r="AR501">
        <f t="shared" ref="AR501" ca="1" si="336">+_xlfn.PERCENTILE.INC(OFFSET(AN501,-52,0,52,1),0.75)</f>
        <v>1.3043774172122062</v>
      </c>
      <c r="AS501">
        <f t="shared" ref="AS501" ca="1" si="337">+_xlfn.PERCENTILE.INC(OFFSET(AN501,-52,0,52,1),0.9)</f>
        <v>1.3456993623446014</v>
      </c>
    </row>
    <row r="502" spans="2:45" x14ac:dyDescent="0.25">
      <c r="B502" s="22">
        <v>46213</v>
      </c>
      <c r="C502">
        <v>2224.7080000000001</v>
      </c>
      <c r="D502">
        <v>1986</v>
      </c>
      <c r="E502">
        <v>3123.6790000000001</v>
      </c>
      <c r="F502">
        <v>3839.3429999999998</v>
      </c>
      <c r="G502">
        <v>9595</v>
      </c>
      <c r="H502">
        <v>1772.838</v>
      </c>
      <c r="I502" s="6">
        <v>3280224</v>
      </c>
      <c r="K502" s="23">
        <f t="shared" ref="K502" si="338">+C502/C501-1</f>
        <v>3.1425278382290367E-2</v>
      </c>
      <c r="L502" s="24">
        <f t="shared" ref="L502" si="339">+D502/D501-1</f>
        <v>1.5337423312883347E-2</v>
      </c>
      <c r="M502" s="24">
        <f t="shared" ref="M502" si="340">+E502/E501-1</f>
        <v>1.5109923589204932E-2</v>
      </c>
      <c r="N502" s="24">
        <f t="shared" ref="N502" si="341">+F502/F501-1</f>
        <v>1.2578695971066978E-2</v>
      </c>
      <c r="O502" s="24">
        <f t="shared" ref="O502" si="342">+G502/G501-1</f>
        <v>4.3501903208265302E-2</v>
      </c>
      <c r="P502" s="24">
        <f t="shared" ref="P502" si="343">+H502/H501-1</f>
        <v>-1.2207841992302071E-2</v>
      </c>
      <c r="Q502" s="25">
        <f t="shared" ref="Q502" si="344">+I502/I501-1</f>
        <v>2.60639994995151E-2</v>
      </c>
      <c r="S502" s="26">
        <f t="shared" ref="S502" si="345">+AVERAGE(K502:P502)</f>
        <v>1.7624230411901476E-2</v>
      </c>
      <c r="U502" s="5">
        <f t="shared" ref="U502" si="346">+U501*(1+S502)</f>
        <v>32941.401831432435</v>
      </c>
      <c r="V502" s="6">
        <f t="shared" ref="V502" si="347">+V501*(1+Q502)</f>
        <v>17940.132179117802</v>
      </c>
      <c r="X502" s="20">
        <f t="shared" ref="X502" si="348">+(U502/$U$6)/(V502/$V$6)</f>
        <v>1.8361850126040884</v>
      </c>
      <c r="Z502" s="22">
        <v>46213</v>
      </c>
      <c r="AA502">
        <v>3626993.4519000002</v>
      </c>
      <c r="AB502">
        <v>1800219.8285999999</v>
      </c>
      <c r="AC502">
        <v>1643069.6725000001</v>
      </c>
      <c r="AD502">
        <v>1768480.1044999999</v>
      </c>
      <c r="AE502">
        <v>7623182.2403999995</v>
      </c>
      <c r="AF502" s="6">
        <v>1772.838</v>
      </c>
      <c r="AH502" s="28">
        <f t="shared" ref="AH502" si="349">+SUMPRODUCT(K502:P502,AA501:AF501)/SUM(AA501:AF501)</f>
        <v>3.1443940071315159E-2</v>
      </c>
      <c r="AJ502" s="5">
        <f t="shared" ref="AJ502" si="350">+AJ501*(1+AH502)</f>
        <v>20801.650326683117</v>
      </c>
      <c r="AK502" s="6">
        <f t="shared" ref="AK502" si="351">+AK501*(1+Q502)</f>
        <v>17940.132179117802</v>
      </c>
      <c r="AM502" s="1">
        <f t="shared" ref="AM502" si="352">+B502</f>
        <v>46213</v>
      </c>
      <c r="AN502">
        <f t="shared" ref="AN502" si="353">+(AJ502/$AJ$6)/(AK502/$AK$6)</f>
        <v>1.1595037382665498</v>
      </c>
      <c r="AO502">
        <f t="shared" ref="AO502" ca="1" si="354">+_xlfn.PERCENTILE.INC(OFFSET(AN502,-52,0,52,1),0.1)</f>
        <v>1.1917924104536435</v>
      </c>
      <c r="AP502">
        <f t="shared" ref="AP502" ca="1" si="355">+_xlfn.PERCENTILE.INC(OFFSET(AN502,-52,0,52,1),0.25)</f>
        <v>1.243166150446386</v>
      </c>
      <c r="AQ502">
        <f t="shared" ref="AQ502" ca="1" si="356">+_xlfn.PERCENTILE.INC(OFFSET(AN502,-52,0,52,1),0.5)</f>
        <v>1.2722748768186793</v>
      </c>
      <c r="AR502">
        <f t="shared" ref="AR502" ca="1" si="357">+_xlfn.PERCENTILE.INC(OFFSET(AN502,-52,0,52,1),0.75)</f>
        <v>1.3043774172122062</v>
      </c>
      <c r="AS502">
        <f t="shared" ref="AS502" ca="1" si="358">+_xlfn.PERCENTILE.INC(OFFSET(AN502,-52,0,52,1),0.9)</f>
        <v>1.3456993623446014</v>
      </c>
    </row>
    <row r="503" spans="2:45" x14ac:dyDescent="0.25">
      <c r="B503" s="22">
        <v>46220</v>
      </c>
      <c r="C503">
        <v>2102.1439999999998</v>
      </c>
      <c r="D503">
        <v>1944</v>
      </c>
      <c r="E503">
        <v>3079.297</v>
      </c>
      <c r="F503">
        <v>3751.11</v>
      </c>
      <c r="G503">
        <v>9370</v>
      </c>
      <c r="H503">
        <v>1923</v>
      </c>
      <c r="I503" s="6">
        <v>3199935</v>
      </c>
      <c r="K503" s="23">
        <f t="shared" ref="K503:K504" si="359">+C503/C502-1</f>
        <v>-5.5092173894282004E-2</v>
      </c>
      <c r="L503" s="24">
        <f t="shared" ref="L503:L504" si="360">+D503/D502-1</f>
        <v>-2.1148036253776481E-2</v>
      </c>
      <c r="M503" s="24">
        <f t="shared" ref="M503:M504" si="361">+E503/E502-1</f>
        <v>-1.4208246109795541E-2</v>
      </c>
      <c r="N503" s="24">
        <f t="shared" ref="N503:N504" si="362">+F503/F502-1</f>
        <v>-2.2981275702639636E-2</v>
      </c>
      <c r="O503" s="24">
        <f t="shared" ref="O503:O504" si="363">+G503/G502-1</f>
        <v>-2.344971339239188E-2</v>
      </c>
      <c r="P503" s="24">
        <f t="shared" ref="P503:P504" si="364">+H503/H502-1</f>
        <v>8.4701478646103112E-2</v>
      </c>
      <c r="Q503" s="25">
        <f t="shared" ref="Q503:Q504" si="365">+I503/I502-1</f>
        <v>-2.4476682080248224E-2</v>
      </c>
      <c r="S503" s="26">
        <f t="shared" ref="S503:S504" si="366">+AVERAGE(K503:P503)</f>
        <v>-8.696327784463739E-3</v>
      </c>
      <c r="U503" s="5">
        <f t="shared" ref="U503:U504" si="367">+U502*(1+S503)</f>
        <v>32654.932603426565</v>
      </c>
      <c r="V503" s="6">
        <f t="shared" ref="V503:V504" si="368">+V502*(1+Q503)</f>
        <v>17501.017267291903</v>
      </c>
      <c r="X503" s="20">
        <f t="shared" ref="X503:X504" si="369">+(U503/$U$6)/(V503/$V$6)</f>
        <v>1.8658876855379261</v>
      </c>
      <c r="Z503" s="22">
        <v>46220</v>
      </c>
      <c r="AA503">
        <v>3427175.7826</v>
      </c>
      <c r="AB503">
        <v>1762148.7143999999</v>
      </c>
      <c r="AC503">
        <v>1619724.2982999999</v>
      </c>
      <c r="AD503">
        <v>1727838.0151</v>
      </c>
      <c r="AE503">
        <v>7444420.8016999997</v>
      </c>
      <c r="AF503" s="6">
        <v>1923</v>
      </c>
      <c r="AH503" s="28">
        <f t="shared" ref="AH503:AH504" si="370">+SUMPRODUCT(K503:P503,AA502:AF502)/SUM(AA502:AF502)</f>
        <v>-2.9184684043617539E-2</v>
      </c>
      <c r="AJ503" s="5">
        <f t="shared" ref="AJ503:AJ504" si="371">+AJ502*(1+AH503)</f>
        <v>20194.560734313058</v>
      </c>
      <c r="AK503" s="6">
        <f t="shared" ref="AK503:AK504" si="372">+AK502*(1+Q503)</f>
        <v>17501.017267291903</v>
      </c>
      <c r="AM503" s="1">
        <f t="shared" ref="AM503:AM504" si="373">+B503</f>
        <v>46220</v>
      </c>
      <c r="AN503">
        <f t="shared" ref="AN503:AN504" si="374">+(AJ503/$AJ$6)/(AK503/$AK$6)</f>
        <v>1.1539078229501085</v>
      </c>
      <c r="AO503">
        <f t="shared" ref="AO503:AO504" ca="1" si="375">+_xlfn.PERCENTILE.INC(OFFSET(AN503,-52,0,52,1),0.1)</f>
        <v>1.1782575960235651</v>
      </c>
      <c r="AP503">
        <f t="shared" ref="AP503:AP504" ca="1" si="376">+_xlfn.PERCENTILE.INC(OFFSET(AN503,-52,0,52,1),0.25)</f>
        <v>1.243166150446386</v>
      </c>
      <c r="AQ503">
        <f t="shared" ref="AQ503:AQ504" ca="1" si="377">+_xlfn.PERCENTILE.INC(OFFSET(AN503,-52,0,52,1),0.5)</f>
        <v>1.2722748768186793</v>
      </c>
      <c r="AR503">
        <f t="shared" ref="AR503:AR504" ca="1" si="378">+_xlfn.PERCENTILE.INC(OFFSET(AN503,-52,0,52,1),0.75)</f>
        <v>1.3043774172122062</v>
      </c>
      <c r="AS503">
        <f t="shared" ref="AS503:AS504" ca="1" si="379">+_xlfn.PERCENTILE.INC(OFFSET(AN503,-52,0,52,1),0.9)</f>
        <v>1.3456993623446014</v>
      </c>
    </row>
    <row r="504" spans="2:45" x14ac:dyDescent="0.25">
      <c r="B504" s="22">
        <v>46227</v>
      </c>
      <c r="C504">
        <v>2195.924</v>
      </c>
      <c r="D504">
        <v>2071</v>
      </c>
      <c r="E504">
        <v>3083.5239999999999</v>
      </c>
      <c r="F504">
        <v>3977.6550000000002</v>
      </c>
      <c r="G504">
        <v>9765</v>
      </c>
      <c r="H504">
        <v>2132</v>
      </c>
      <c r="I504" s="6">
        <v>3283854</v>
      </c>
      <c r="K504" s="23">
        <f t="shared" si="359"/>
        <v>4.4611596541435983E-2</v>
      </c>
      <c r="L504" s="24">
        <f t="shared" si="360"/>
        <v>6.532921810699599E-2</v>
      </c>
      <c r="M504" s="24">
        <f t="shared" si="361"/>
        <v>1.372715915353373E-3</v>
      </c>
      <c r="N504" s="24">
        <f t="shared" si="362"/>
        <v>6.0394123339491568E-2</v>
      </c>
      <c r="O504" s="24">
        <f t="shared" si="363"/>
        <v>4.2155816435432314E-2</v>
      </c>
      <c r="P504" s="24">
        <f t="shared" si="364"/>
        <v>0.10868434737389499</v>
      </c>
      <c r="Q504" s="25">
        <f t="shared" si="365"/>
        <v>2.6225220199785237E-2</v>
      </c>
      <c r="S504" s="26">
        <f t="shared" si="366"/>
        <v>5.3757969618767366E-2</v>
      </c>
      <c r="U504" s="5">
        <f t="shared" si="367"/>
        <v>34410.395478224462</v>
      </c>
      <c r="V504" s="6">
        <f t="shared" si="368"/>
        <v>17959.985298846877</v>
      </c>
      <c r="X504" s="20">
        <f t="shared" si="369"/>
        <v>1.9159478644135519</v>
      </c>
      <c r="Z504" s="22">
        <v>46227</v>
      </c>
      <c r="AA504">
        <v>3580066.5750000002</v>
      </c>
      <c r="AB504">
        <v>1877268.5120999999</v>
      </c>
      <c r="AC504">
        <v>1621947.6673000001</v>
      </c>
      <c r="AD504">
        <v>1832189.3256000001</v>
      </c>
      <c r="AE504">
        <v>7758246.4385000002</v>
      </c>
      <c r="AF504" s="6">
        <v>2132</v>
      </c>
      <c r="AH504" s="28">
        <f t="shared" si="370"/>
        <v>4.3083962060246277E-2</v>
      </c>
      <c r="AJ504" s="5">
        <f t="shared" si="371"/>
        <v>21064.622422813543</v>
      </c>
      <c r="AK504" s="6">
        <f t="shared" si="372"/>
        <v>17959.985298846877</v>
      </c>
      <c r="AM504" s="1">
        <f t="shared" si="373"/>
        <v>46227</v>
      </c>
      <c r="AN504">
        <f t="shared" si="374"/>
        <v>1.1728641239013708</v>
      </c>
      <c r="AO504">
        <f t="shared" ca="1" si="375"/>
        <v>1.1767774149572476</v>
      </c>
      <c r="AP504">
        <f t="shared" ca="1" si="376"/>
        <v>1.243166150446386</v>
      </c>
      <c r="AQ504">
        <f t="shared" ca="1" si="377"/>
        <v>1.2722748768186793</v>
      </c>
      <c r="AR504">
        <f t="shared" ca="1" si="378"/>
        <v>1.3043774172122062</v>
      </c>
      <c r="AS504">
        <f t="shared" ca="1" si="379"/>
        <v>1.3456993623446014</v>
      </c>
    </row>
    <row r="505" spans="2:45" x14ac:dyDescent="0.25">
      <c r="B505" s="22">
        <v>46234</v>
      </c>
      <c r="C505">
        <v>2224.7080000000001</v>
      </c>
      <c r="D505">
        <v>2121</v>
      </c>
      <c r="E505">
        <v>2963.0569999999998</v>
      </c>
      <c r="F505">
        <v>3805.9569999999999</v>
      </c>
      <c r="G505">
        <v>10050</v>
      </c>
      <c r="H505">
        <v>2095</v>
      </c>
      <c r="I505" s="6">
        <v>3291323</v>
      </c>
      <c r="K505" s="23">
        <f t="shared" ref="K505:K506" si="380">+C505/C504-1</f>
        <v>1.3107921767784303E-2</v>
      </c>
      <c r="L505" s="24">
        <f t="shared" ref="L505:L506" si="381">+D505/D504-1</f>
        <v>2.4142926122646013E-2</v>
      </c>
      <c r="M505" s="24">
        <f t="shared" ref="M505:M506" si="382">+E505/E504-1</f>
        <v>-3.9067962500048625E-2</v>
      </c>
      <c r="N505" s="24">
        <f t="shared" ref="N505:N506" si="383">+F505/F504-1</f>
        <v>-4.3165634023061394E-2</v>
      </c>
      <c r="O505" s="24">
        <f t="shared" ref="O505:O506" si="384">+G505/G504-1</f>
        <v>2.9185867895545226E-2</v>
      </c>
      <c r="P505" s="24">
        <f t="shared" ref="P505:P506" si="385">+H505/H504-1</f>
        <v>-1.7354596622889296E-2</v>
      </c>
      <c r="Q505" s="25">
        <f t="shared" ref="Q505:Q506" si="386">+I505/I504-1</f>
        <v>2.2744616538981077E-3</v>
      </c>
      <c r="S505" s="26">
        <f t="shared" ref="S505:S506" si="387">+AVERAGE(K505:P505)</f>
        <v>-5.5252462266706286E-3</v>
      </c>
      <c r="U505" s="5">
        <f t="shared" ref="U505:U506" si="388">+U504*(1+S505)</f>
        <v>34220.26957045016</v>
      </c>
      <c r="V505" s="6">
        <f t="shared" ref="V505:V506" si="389">+V504*(1+Q505)</f>
        <v>18000.834596713677</v>
      </c>
      <c r="X505" s="20">
        <f t="shared" ref="X505:X506" si="390">+(U505/$U$6)/(V505/$V$6)</f>
        <v>1.9010379428016957</v>
      </c>
      <c r="Z505" s="22">
        <v>46234</v>
      </c>
      <c r="AA505">
        <v>3626993.4519000002</v>
      </c>
      <c r="AB505">
        <v>1922591.2671000001</v>
      </c>
      <c r="AC505">
        <v>1558581.6514999999</v>
      </c>
      <c r="AD505">
        <v>1753102.0166</v>
      </c>
      <c r="AE505">
        <v>7984677.5942000002</v>
      </c>
      <c r="AF505" s="6">
        <v>2095</v>
      </c>
      <c r="AH505" s="28">
        <f t="shared" ref="AH505:AH506" si="391">+SUMPRODUCT(K505:P505,AA504:AF504)/SUM(AA504:AF504)</f>
        <v>1.0568133304414357E-2</v>
      </c>
      <c r="AJ505" s="5">
        <f t="shared" ref="AJ505:AJ506" si="392">+AJ504*(1+AH505)</f>
        <v>21287.236160584991</v>
      </c>
      <c r="AK505" s="6">
        <f t="shared" ref="AK505:AK506" si="393">+AK504*(1+Q505)</f>
        <v>18000.834596713677</v>
      </c>
      <c r="AM505" s="1">
        <f t="shared" ref="AM505:AM506" si="394">+B505</f>
        <v>46234</v>
      </c>
      <c r="AN505">
        <f t="shared" ref="AN505:AN506" si="395">+(AJ505/$AJ$6)/(AK505/$AK$6)</f>
        <v>1.182569399558357</v>
      </c>
      <c r="AO505">
        <f t="shared" ref="AO505:AO506" ca="1" si="396">+_xlfn.PERCENTILE.INC(OFFSET(AN505,-52,0,52,1),0.1)</f>
        <v>1.176065645559484</v>
      </c>
      <c r="AP505">
        <f t="shared" ref="AP505:AP506" ca="1" si="397">+_xlfn.PERCENTILE.INC(OFFSET(AN505,-52,0,52,1),0.25)</f>
        <v>1.2422341139779531</v>
      </c>
      <c r="AQ505">
        <f t="shared" ref="AQ505:AQ506" ca="1" si="398">+_xlfn.PERCENTILE.INC(OFFSET(AN505,-52,0,52,1),0.5)</f>
        <v>1.2722748768186793</v>
      </c>
      <c r="AR505">
        <f t="shared" ref="AR505:AR506" ca="1" si="399">+_xlfn.PERCENTILE.INC(OFFSET(AN505,-52,0,52,1),0.75)</f>
        <v>1.3043774172122062</v>
      </c>
      <c r="AS505">
        <f t="shared" ref="AS505:AS506" ca="1" si="400">+_xlfn.PERCENTILE.INC(OFFSET(AN505,-52,0,52,1),0.9)</f>
        <v>1.3456993623446014</v>
      </c>
    </row>
    <row r="506" spans="2:45" x14ac:dyDescent="0.25">
      <c r="B506" s="22">
        <v>46241</v>
      </c>
      <c r="C506">
        <v>2050.1480000000001</v>
      </c>
      <c r="D506">
        <v>1923</v>
      </c>
      <c r="E506">
        <v>3089.864</v>
      </c>
      <c r="F506">
        <v>3648.5680000000002</v>
      </c>
      <c r="G506">
        <v>9135</v>
      </c>
      <c r="H506">
        <v>1960</v>
      </c>
      <c r="I506" s="6">
        <v>3086785</v>
      </c>
      <c r="K506" s="23">
        <f t="shared" si="380"/>
        <v>-7.8464229912419969E-2</v>
      </c>
      <c r="L506" s="24">
        <f t="shared" si="381"/>
        <v>-9.3352192362093356E-2</v>
      </c>
      <c r="M506" s="24">
        <f t="shared" si="382"/>
        <v>4.2796004261814735E-2</v>
      </c>
      <c r="N506" s="24">
        <f t="shared" si="383"/>
        <v>-4.1353331106998792E-2</v>
      </c>
      <c r="O506" s="24">
        <f t="shared" si="384"/>
        <v>-9.1044776119402981E-2</v>
      </c>
      <c r="P506" s="24">
        <f t="shared" si="385"/>
        <v>-6.4439140811455853E-2</v>
      </c>
      <c r="Q506" s="25">
        <f t="shared" si="386"/>
        <v>-6.2144614794719333E-2</v>
      </c>
      <c r="S506" s="26">
        <f t="shared" si="387"/>
        <v>-5.4309611008426038E-2</v>
      </c>
      <c r="U506" s="5">
        <f t="shared" si="388"/>
        <v>32361.780041475533</v>
      </c>
      <c r="V506" s="6">
        <f t="shared" si="389"/>
        <v>16882.179664717449</v>
      </c>
      <c r="X506" s="20">
        <f t="shared" si="390"/>
        <v>1.916919537890557</v>
      </c>
      <c r="Z506" s="22">
        <v>46241</v>
      </c>
      <c r="AA506">
        <v>3342404.6502</v>
      </c>
      <c r="AB506">
        <v>1743113.1573000001</v>
      </c>
      <c r="AC506">
        <v>1625282.7206999999</v>
      </c>
      <c r="AD506">
        <v>1680605.3167000001</v>
      </c>
      <c r="AE506">
        <v>7257714.4101999998</v>
      </c>
      <c r="AF506" s="6">
        <v>1960</v>
      </c>
      <c r="AH506" s="28">
        <f t="shared" si="391"/>
        <v>-7.1044525849363438E-2</v>
      </c>
      <c r="AJ506" s="5">
        <f t="shared" si="392"/>
        <v>19774.894560912806</v>
      </c>
      <c r="AK506" s="6">
        <f t="shared" si="393"/>
        <v>16882.179664717449</v>
      </c>
      <c r="AM506" s="1">
        <f t="shared" si="394"/>
        <v>46241</v>
      </c>
      <c r="AN506">
        <f t="shared" si="395"/>
        <v>1.1713472403235303</v>
      </c>
      <c r="AO506">
        <f t="shared" ca="1" si="396"/>
        <v>1.176065645559484</v>
      </c>
      <c r="AP506">
        <f t="shared" ca="1" si="397"/>
        <v>1.2364586330403498</v>
      </c>
      <c r="AQ506">
        <f t="shared" ca="1" si="398"/>
        <v>1.2670196277490589</v>
      </c>
      <c r="AR506">
        <f t="shared" ca="1" si="399"/>
        <v>1.3043774172122062</v>
      </c>
      <c r="AS506">
        <f t="shared" ca="1" si="400"/>
        <v>1.3456993623446014</v>
      </c>
    </row>
    <row r="507" spans="2:45" x14ac:dyDescent="0.25">
      <c r="B507" s="22">
        <v>46248</v>
      </c>
      <c r="C507">
        <v>1923.8710000000001</v>
      </c>
      <c r="D507">
        <v>1829</v>
      </c>
      <c r="E507">
        <v>2886.973</v>
      </c>
      <c r="F507">
        <v>3345</v>
      </c>
      <c r="G507">
        <v>8870</v>
      </c>
      <c r="H507">
        <v>2303</v>
      </c>
      <c r="I507" s="6">
        <v>2947349</v>
      </c>
      <c r="K507" s="23">
        <f t="shared" ref="K507" si="401">+C507/C506-1</f>
        <v>-6.1594089792541773E-2</v>
      </c>
      <c r="L507" s="24">
        <f t="shared" ref="L507" si="402">+D507/D506-1</f>
        <v>-4.8881955278211153E-2</v>
      </c>
      <c r="M507" s="24">
        <f t="shared" ref="M507" si="403">+E507/E506-1</f>
        <v>-6.5663407839309462E-2</v>
      </c>
      <c r="N507" s="24">
        <f t="shared" ref="N507" si="404">+F507/F506-1</f>
        <v>-8.3201957589936759E-2</v>
      </c>
      <c r="O507" s="24">
        <f t="shared" ref="O507" si="405">+G507/G506-1</f>
        <v>-2.9009304871373875E-2</v>
      </c>
      <c r="P507" s="24">
        <f t="shared" ref="P507" si="406">+H507/H506-1</f>
        <v>0.17500000000000004</v>
      </c>
      <c r="Q507" s="25">
        <f t="shared" ref="Q507" si="407">+I507/I506-1</f>
        <v>-4.5171918355181861E-2</v>
      </c>
      <c r="S507" s="26">
        <f t="shared" ref="S507" si="408">+AVERAGE(K507:P507)</f>
        <v>-1.889178589522883E-2</v>
      </c>
      <c r="U507" s="5">
        <f t="shared" ref="U507" si="409">+U506*(1+S507)</f>
        <v>31750.408221743484</v>
      </c>
      <c r="V507" s="6">
        <f t="shared" ref="V507" si="410">+V506*(1+Q507)</f>
        <v>16119.57922324532</v>
      </c>
      <c r="X507" s="20">
        <f t="shared" ref="X507" si="411">+(U507/$U$6)/(V507/$V$6)</f>
        <v>1.9696797157060806</v>
      </c>
      <c r="Z507" s="22">
        <v>46248</v>
      </c>
      <c r="AA507">
        <v>3136531.9</v>
      </c>
      <c r="AB507">
        <v>1657906.3779</v>
      </c>
      <c r="AC507">
        <v>1518561.0098999999</v>
      </c>
      <c r="AD507">
        <v>1469705.8259999999</v>
      </c>
      <c r="AE507">
        <v>7047173.1601999998</v>
      </c>
      <c r="AF507" s="6">
        <v>2303</v>
      </c>
      <c r="AH507" s="28">
        <f t="shared" ref="AH507" si="412">+SUMPRODUCT(K507:P507,AA506:AF506)/SUM(AA506:AF506)</f>
        <v>-4.7781280511139224E-2</v>
      </c>
      <c r="AJ507" s="5">
        <f t="shared" ref="AJ507" si="413">+AJ506*(1+AH507)</f>
        <v>18830.024776819628</v>
      </c>
      <c r="AK507" s="6">
        <f t="shared" ref="AK507" si="414">+AK506*(1+Q507)</f>
        <v>16119.57922324532</v>
      </c>
      <c r="AM507" s="1">
        <f t="shared" ref="AM507" si="415">+B507</f>
        <v>46248</v>
      </c>
      <c r="AN507">
        <f t="shared" ref="AN507" si="416">+(AJ507/$AJ$6)/(AK507/$AK$6)</f>
        <v>1.1681461728024323</v>
      </c>
      <c r="AO507">
        <f t="shared" ref="AO507" ca="1" si="417">+_xlfn.PERCENTILE.INC(OFFSET(AN507,-52,0,52,1),0.1)</f>
        <v>1.1731764191461995</v>
      </c>
      <c r="AP507">
        <f t="shared" ref="AP507" ca="1" si="418">+_xlfn.PERCENTILE.INC(OFFSET(AN507,-52,0,52,1),0.25)</f>
        <v>1.2325121314990337</v>
      </c>
      <c r="AQ507">
        <f t="shared" ref="AQ507" ca="1" si="419">+_xlfn.PERCENTILE.INC(OFFSET(AN507,-52,0,52,1),0.5)</f>
        <v>1.2670196277490589</v>
      </c>
      <c r="AR507">
        <f t="shared" ref="AR507" ca="1" si="420">+_xlfn.PERCENTILE.INC(OFFSET(AN507,-52,0,52,1),0.75)</f>
        <v>1.3043774172122062</v>
      </c>
      <c r="AS507">
        <f t="shared" ref="AS507" ca="1" si="421">+_xlfn.PERCENTILE.INC(OFFSET(AN507,-52,0,52,1),0.9)</f>
        <v>1.3456993623446014</v>
      </c>
    </row>
    <row r="508" spans="2:45" x14ac:dyDescent="0.25">
      <c r="B508" s="22">
        <v>46255</v>
      </c>
      <c r="C508">
        <v>1922.942</v>
      </c>
      <c r="D508">
        <v>1775</v>
      </c>
      <c r="E508">
        <v>2745.3719999999998</v>
      </c>
      <c r="F508">
        <v>3327.5</v>
      </c>
      <c r="G508">
        <v>8935</v>
      </c>
      <c r="H508">
        <v>2275</v>
      </c>
      <c r="I508" s="6">
        <v>2913184</v>
      </c>
      <c r="K508" s="23">
        <f t="shared" ref="K508:K509" si="422">+C508/C507-1</f>
        <v>-4.8288060893897367E-4</v>
      </c>
      <c r="L508" s="24">
        <f t="shared" ref="L508:L509" si="423">+D508/D507-1</f>
        <v>-2.9524330235101148E-2</v>
      </c>
      <c r="M508" s="24">
        <f t="shared" ref="M508:M509" si="424">+E508/E507-1</f>
        <v>-4.9048259197436272E-2</v>
      </c>
      <c r="N508" s="24">
        <f t="shared" ref="N508:N509" si="425">+F508/F507-1</f>
        <v>-5.2316890881913825E-3</v>
      </c>
      <c r="O508" s="24">
        <f t="shared" ref="O508:O509" si="426">+G508/G507-1</f>
        <v>7.3280721533257598E-3</v>
      </c>
      <c r="P508" s="24">
        <f t="shared" ref="P508:P509" si="427">+H508/H507-1</f>
        <v>-1.2158054711246202E-2</v>
      </c>
      <c r="Q508" s="25">
        <f t="shared" ref="Q508:Q509" si="428">+I508/I507-1</f>
        <v>-1.1591772810074397E-2</v>
      </c>
      <c r="S508" s="26">
        <f t="shared" ref="S508:S509" si="429">+AVERAGE(K508:P508)</f>
        <v>-1.485285694793137E-2</v>
      </c>
      <c r="U508" s="5">
        <f t="shared" ref="U508:U509" si="430">+U507*(1+S508)</f>
        <v>31278.823950387505</v>
      </c>
      <c r="V508" s="6">
        <f t="shared" ref="V508:V509" si="431">+V507*(1+Q508)</f>
        <v>15932.724723095465</v>
      </c>
      <c r="X508" s="20">
        <f t="shared" ref="X508:X509" si="432">+(U508/$U$6)/(V508/$V$6)</f>
        <v>1.9631810938807552</v>
      </c>
      <c r="Z508" s="22">
        <v>46255</v>
      </c>
      <c r="AA508">
        <v>3135018.1298000002</v>
      </c>
      <c r="AB508">
        <v>1608957.8025</v>
      </c>
      <c r="AC508">
        <v>1444078.1492999999</v>
      </c>
      <c r="AD508">
        <v>1462016.7819999999</v>
      </c>
      <c r="AE508">
        <v>7098815.3536</v>
      </c>
      <c r="AF508" s="6">
        <v>2275</v>
      </c>
      <c r="AH508" s="28">
        <f t="shared" ref="AH508:AH509" si="433">+SUMPRODUCT(K508:P508,AA507:AF507)/SUM(AA507:AF507)</f>
        <v>-5.4624986639260163E-3</v>
      </c>
      <c r="AJ508" s="5">
        <f t="shared" ref="AJ508:AJ509" si="434">+AJ507*(1+AH508)</f>
        <v>18727.165791634558</v>
      </c>
      <c r="AK508" s="6">
        <f t="shared" ref="AK508:AK509" si="435">+AK507*(1+Q508)</f>
        <v>15932.724723095465</v>
      </c>
      <c r="AM508" s="1">
        <f t="shared" ref="AM508:AM509" si="436">+B508</f>
        <v>46255</v>
      </c>
      <c r="AN508">
        <f t="shared" ref="AN508:AN509" si="437">+(AJ508/$AJ$6)/(AK508/$AK$6)</f>
        <v>1.175390030086215</v>
      </c>
      <c r="AO508">
        <f t="shared" ref="AO508:AO509" ca="1" si="438">+_xlfn.PERCENTILE.INC(OFFSET(AN508,-52,0,52,1),0.1)</f>
        <v>1.1714989286813144</v>
      </c>
      <c r="AP508">
        <f t="shared" ref="AP508:AP509" ca="1" si="439">+_xlfn.PERCENTILE.INC(OFFSET(AN508,-52,0,52,1),0.25)</f>
        <v>1.2315721319460236</v>
      </c>
      <c r="AQ508">
        <f t="shared" ref="AQ508:AQ509" ca="1" si="440">+_xlfn.PERCENTILE.INC(OFFSET(AN508,-52,0,52,1),0.5)</f>
        <v>1.2661115389458941</v>
      </c>
      <c r="AR508">
        <f t="shared" ref="AR508:AR509" ca="1" si="441">+_xlfn.PERCENTILE.INC(OFFSET(AN508,-52,0,52,1),0.75)</f>
        <v>1.3043774172122062</v>
      </c>
      <c r="AS508">
        <f t="shared" ref="AS508:AS509" ca="1" si="442">+_xlfn.PERCENTILE.INC(OFFSET(AN508,-52,0,52,1),0.9)</f>
        <v>1.3456993623446014</v>
      </c>
    </row>
    <row r="509" spans="2:45" x14ac:dyDescent="0.25">
      <c r="B509" s="22">
        <v>46262</v>
      </c>
      <c r="C509">
        <v>1987.9380000000001</v>
      </c>
      <c r="D509">
        <v>1866</v>
      </c>
      <c r="E509">
        <v>3170.1750000000002</v>
      </c>
      <c r="F509">
        <v>3290</v>
      </c>
      <c r="G509">
        <v>9010</v>
      </c>
      <c r="H509">
        <v>2340</v>
      </c>
      <c r="I509" s="6">
        <v>2979472</v>
      </c>
      <c r="K509" s="23">
        <f t="shared" si="422"/>
        <v>3.380029142844676E-2</v>
      </c>
      <c r="L509" s="24">
        <f t="shared" si="423"/>
        <v>5.1267605633802837E-2</v>
      </c>
      <c r="M509" s="24">
        <f t="shared" si="424"/>
        <v>0.15473422181037777</v>
      </c>
      <c r="N509" s="24">
        <f t="shared" si="425"/>
        <v>-1.126972201352372E-2</v>
      </c>
      <c r="O509" s="24">
        <f t="shared" si="426"/>
        <v>8.3939563514270343E-3</v>
      </c>
      <c r="P509" s="24">
        <f t="shared" si="427"/>
        <v>2.857142857142847E-2</v>
      </c>
      <c r="Q509" s="25">
        <f t="shared" si="428"/>
        <v>2.2754484440392408E-2</v>
      </c>
      <c r="S509" s="26">
        <f t="shared" si="429"/>
        <v>4.4249630296993192E-2</v>
      </c>
      <c r="U509" s="5">
        <f t="shared" si="430"/>
        <v>32662.900346316888</v>
      </c>
      <c r="V509" s="6">
        <f t="shared" si="431"/>
        <v>16295.265659900197</v>
      </c>
      <c r="X509" s="20">
        <f t="shared" si="432"/>
        <v>2.0044411074987618</v>
      </c>
      <c r="Z509" s="22">
        <v>46262</v>
      </c>
      <c r="AA509">
        <v>3240982.0452999999</v>
      </c>
      <c r="AB509">
        <v>1691445.2165999999</v>
      </c>
      <c r="AC509">
        <v>1667526.7313000001</v>
      </c>
      <c r="AD509">
        <v>1445540.2593</v>
      </c>
      <c r="AE509">
        <v>7158402.4998000003</v>
      </c>
      <c r="AF509" s="6">
        <v>2340</v>
      </c>
      <c r="AH509" s="28">
        <f t="shared" si="433"/>
        <v>3.0850172809995406E-2</v>
      </c>
      <c r="AJ509" s="5">
        <f t="shared" si="434"/>
        <v>19304.90209254792</v>
      </c>
      <c r="AK509" s="6">
        <f t="shared" si="435"/>
        <v>16295.265659900197</v>
      </c>
      <c r="AM509" s="1">
        <f t="shared" si="436"/>
        <v>46262</v>
      </c>
      <c r="AN509">
        <f t="shared" si="437"/>
        <v>1.1846939163473666</v>
      </c>
      <c r="AO509">
        <f t="shared" ca="1" si="438"/>
        <v>1.1714989286813144</v>
      </c>
      <c r="AP509">
        <f t="shared" ca="1" si="439"/>
        <v>1.2197412992584236</v>
      </c>
      <c r="AQ509">
        <f t="shared" ca="1" si="440"/>
        <v>1.2640591841843731</v>
      </c>
      <c r="AR509">
        <f t="shared" ca="1" si="441"/>
        <v>1.3043774172122062</v>
      </c>
      <c r="AS509">
        <f t="shared" ca="1" si="442"/>
        <v>1.3456993623446014</v>
      </c>
    </row>
    <row r="510" spans="2:45" x14ac:dyDescent="0.25">
      <c r="B510" s="22">
        <v>46269</v>
      </c>
      <c r="C510">
        <v>2061.29</v>
      </c>
      <c r="D510">
        <v>1938</v>
      </c>
      <c r="E510">
        <v>3067.5</v>
      </c>
      <c r="F510">
        <v>3202.5</v>
      </c>
      <c r="G510">
        <v>9160</v>
      </c>
      <c r="H510">
        <v>2387</v>
      </c>
      <c r="I510" s="6">
        <v>3049122</v>
      </c>
      <c r="K510" s="23">
        <f t="shared" ref="K510" si="443">+C510/C509-1</f>
        <v>3.6898535064976867E-2</v>
      </c>
      <c r="L510" s="24">
        <f t="shared" ref="L510" si="444">+D510/D509-1</f>
        <v>3.8585209003215493E-2</v>
      </c>
      <c r="M510" s="24">
        <f t="shared" ref="M510" si="445">+E510/E509-1</f>
        <v>-3.2387801935224503E-2</v>
      </c>
      <c r="N510" s="24">
        <f t="shared" ref="N510" si="446">+F510/F509-1</f>
        <v>-2.6595744680851019E-2</v>
      </c>
      <c r="O510" s="24">
        <f t="shared" ref="O510" si="447">+G510/G509-1</f>
        <v>1.6648168701442811E-2</v>
      </c>
      <c r="P510" s="24">
        <f t="shared" ref="P510" si="448">+H510/H509-1</f>
        <v>2.0085470085470014E-2</v>
      </c>
      <c r="Q510" s="25">
        <f t="shared" ref="Q510" si="449">+I510/I509-1</f>
        <v>2.3376625120155481E-2</v>
      </c>
      <c r="S510" s="26">
        <f t="shared" ref="S510" si="450">+AVERAGE(K510:P510)</f>
        <v>8.8723060398382767E-3</v>
      </c>
      <c r="U510" s="5">
        <f t="shared" ref="U510" si="451">+U509*(1+S510)</f>
        <v>32952.695594338154</v>
      </c>
      <c r="V510" s="6">
        <f t="shared" ref="V510" si="452">+V509*(1+Q510)</f>
        <v>16676.193976465027</v>
      </c>
      <c r="X510" s="20">
        <f t="shared" ref="X510" si="453">+(U510/$U$6)/(V510/$V$6)</f>
        <v>1.9760321594270263</v>
      </c>
      <c r="Z510" s="22">
        <v>46269</v>
      </c>
      <c r="AA510">
        <v>3360569.8928</v>
      </c>
      <c r="AB510">
        <v>1756709.9838</v>
      </c>
      <c r="AC510">
        <v>1364036.8662</v>
      </c>
      <c r="AD510">
        <v>1407095.0396</v>
      </c>
      <c r="AE510">
        <v>7277576.7922999999</v>
      </c>
      <c r="AF510" s="6">
        <v>2387</v>
      </c>
      <c r="AH510" s="28">
        <f t="shared" ref="AH510" si="454">+SUMPRODUCT(K510:P510,AA509:AF509)/SUM(AA509:AF509)</f>
        <v>1.3916711122078497E-2</v>
      </c>
      <c r="AJ510" s="5">
        <f t="shared" ref="AJ510" si="455">+AJ509*(1+AH510)</f>
        <v>19573.56283820992</v>
      </c>
      <c r="AK510" s="6">
        <f t="shared" ref="AK510" si="456">+AK509*(1+Q510)</f>
        <v>16676.193976465027</v>
      </c>
      <c r="AM510" s="1">
        <f t="shared" ref="AM510" si="457">+B510</f>
        <v>46269</v>
      </c>
      <c r="AN510">
        <f t="shared" ref="AN510" si="458">+(AJ510/$AJ$6)/(AK510/$AK$6)</f>
        <v>1.1737428136080648</v>
      </c>
      <c r="AO510">
        <f t="shared" ref="AO510" ca="1" si="459">+_xlfn.PERCENTILE.INC(OFFSET(AN510,-52,0,52,1),0.1)</f>
        <v>1.1714989286813144</v>
      </c>
      <c r="AP510">
        <f t="shared" ref="AP510" ca="1" si="460">+_xlfn.PERCENTILE.INC(OFFSET(AN510,-52,0,52,1),0.25)</f>
        <v>1.1895756228605356</v>
      </c>
      <c r="AQ510">
        <f t="shared" ref="AQ510" ca="1" si="461">+_xlfn.PERCENTILE.INC(OFFSET(AN510,-52,0,52,1),0.5)</f>
        <v>1.2622556112434711</v>
      </c>
      <c r="AR510">
        <f t="shared" ref="AR510" ca="1" si="462">+_xlfn.PERCENTILE.INC(OFFSET(AN510,-52,0,52,1),0.75)</f>
        <v>1.2977960992364272</v>
      </c>
      <c r="AS510">
        <f t="shared" ref="AS510" ca="1" si="463">+_xlfn.PERCENTILE.INC(OFFSET(AN510,-52,0,52,1),0.9)</f>
        <v>1.3456993623446014</v>
      </c>
    </row>
    <row r="511" spans="2:45" x14ac:dyDescent="0.25">
      <c r="B511" s="22">
        <v>46276</v>
      </c>
      <c r="C511">
        <v>2091.931</v>
      </c>
      <c r="D511">
        <v>1954</v>
      </c>
      <c r="E511">
        <v>3215</v>
      </c>
      <c r="F511">
        <v>3262.5</v>
      </c>
      <c r="G511">
        <v>9515</v>
      </c>
      <c r="H511">
        <v>2374</v>
      </c>
      <c r="I511" s="6">
        <v>3098898</v>
      </c>
      <c r="K511" s="23">
        <f t="shared" ref="K511" si="464">+C511/C510-1</f>
        <v>1.4864963202654735E-2</v>
      </c>
      <c r="L511" s="24">
        <f t="shared" ref="L511" si="465">+D511/D510-1</f>
        <v>8.2559339525283271E-3</v>
      </c>
      <c r="M511" s="24">
        <f t="shared" ref="M511" si="466">+E511/E510-1</f>
        <v>4.8084759576202174E-2</v>
      </c>
      <c r="N511" s="24">
        <f t="shared" ref="N511" si="467">+F511/F510-1</f>
        <v>1.87353629976581E-2</v>
      </c>
      <c r="O511" s="24">
        <f t="shared" ref="O511" si="468">+G511/G510-1</f>
        <v>3.8755458515283836E-2</v>
      </c>
      <c r="P511" s="24">
        <f t="shared" ref="P511" si="469">+H511/H510-1</f>
        <v>-5.446166736489344E-3</v>
      </c>
      <c r="Q511" s="25">
        <f t="shared" ref="Q511" si="470">+I511/I510-1</f>
        <v>1.6324699372475049E-2</v>
      </c>
      <c r="S511" s="26">
        <f t="shared" ref="S511" si="471">+AVERAGE(K511:P511)</f>
        <v>2.0541718584639639E-2</v>
      </c>
      <c r="U511" s="5">
        <f t="shared" ref="U511" si="472">+U510*(1+S511)</f>
        <v>33629.600593842348</v>
      </c>
      <c r="V511" s="6">
        <f t="shared" ref="V511" si="473">+V510*(1+Q511)</f>
        <v>16948.427829807897</v>
      </c>
      <c r="X511" s="20">
        <f t="shared" ref="X511" si="474">+(U511/$U$6)/(V511/$V$6)</f>
        <v>1.9842312768796517</v>
      </c>
      <c r="Z511" s="22">
        <v>46276</v>
      </c>
      <c r="AA511">
        <v>3410524.3102000002</v>
      </c>
      <c r="AB511">
        <v>1771213.2653999999</v>
      </c>
      <c r="AC511">
        <v>1429626.2509000001</v>
      </c>
      <c r="AD511">
        <v>1433457.476</v>
      </c>
      <c r="AE511">
        <v>7559622.6177000003</v>
      </c>
      <c r="AF511" s="6">
        <v>2374</v>
      </c>
      <c r="AH511" s="28">
        <f t="shared" ref="AH511" si="475">+SUMPRODUCT(K511:P511,AA510:AF510)/SUM(AA510:AF510)</f>
        <v>2.8905051421386708E-2</v>
      </c>
      <c r="AJ511" s="5">
        <f t="shared" ref="AJ511" si="476">+AJ510*(1+AH511)</f>
        <v>20139.33767854812</v>
      </c>
      <c r="AK511" s="6">
        <f t="shared" ref="AK511" si="477">+AK510*(1+Q511)</f>
        <v>16948.427829807897</v>
      </c>
      <c r="AM511" s="1">
        <f t="shared" ref="AM511" si="478">+B511</f>
        <v>46276</v>
      </c>
      <c r="AN511">
        <f t="shared" ref="AN511" si="479">+(AJ511/$AJ$6)/(AK511/$AK$6)</f>
        <v>1.1882717312061379</v>
      </c>
      <c r="AO511">
        <f t="shared" ref="AO511" ca="1" si="480">+_xlfn.PERCENTILE.INC(OFFSET(AN511,-52,0,52,1),0.1)</f>
        <v>1.1714989286813144</v>
      </c>
      <c r="AP511">
        <f t="shared" ref="AP511" ca="1" si="481">+_xlfn.PERCENTILE.INC(OFFSET(AN511,-52,0,52,1),0.25)</f>
        <v>1.1841627871501141</v>
      </c>
      <c r="AQ511">
        <f t="shared" ref="AQ511" ca="1" si="482">+_xlfn.PERCENTILE.INC(OFFSET(AN511,-52,0,52,1),0.5)</f>
        <v>1.2620395693830762</v>
      </c>
      <c r="AR511">
        <f t="shared" ref="AR511" ca="1" si="483">+_xlfn.PERCENTILE.INC(OFFSET(AN511,-52,0,52,1),0.75)</f>
        <v>1.2977960992364272</v>
      </c>
      <c r="AS511">
        <f t="shared" ref="AS511" ca="1" si="484">+_xlfn.PERCENTILE.INC(OFFSET(AN511,-52,0,52,1),0.9)</f>
        <v>1.3456993623446014</v>
      </c>
    </row>
    <row r="512" spans="2:45" x14ac:dyDescent="0.25">
      <c r="B512" s="22">
        <v>46283</v>
      </c>
      <c r="C512">
        <v>2078</v>
      </c>
      <c r="D512">
        <v>1881</v>
      </c>
      <c r="E512">
        <v>3162.5</v>
      </c>
      <c r="F512">
        <v>3532.5</v>
      </c>
      <c r="G512">
        <v>9055</v>
      </c>
      <c r="H512">
        <v>2394</v>
      </c>
      <c r="I512" s="6">
        <v>3021926</v>
      </c>
      <c r="K512" s="23">
        <f t="shared" ref="K512" si="485">+C512/C511-1</f>
        <v>-6.6593974657863653E-3</v>
      </c>
      <c r="L512" s="24">
        <f t="shared" ref="L512" si="486">+D512/D511-1</f>
        <v>-3.7359263050153579E-2</v>
      </c>
      <c r="M512" s="24">
        <f t="shared" ref="M512" si="487">+E512/E511-1</f>
        <v>-1.6329704510108844E-2</v>
      </c>
      <c r="N512" s="24">
        <f t="shared" ref="N512" si="488">+F512/F511-1</f>
        <v>8.2758620689655116E-2</v>
      </c>
      <c r="O512" s="24">
        <f t="shared" ref="O512" si="489">+G512/G511-1</f>
        <v>-4.8344718864950065E-2</v>
      </c>
      <c r="P512" s="24">
        <f t="shared" ref="P512" si="490">+H512/H511-1</f>
        <v>8.4245998315080062E-3</v>
      </c>
      <c r="Q512" s="25">
        <f t="shared" ref="Q512" si="491">+I512/I511-1</f>
        <v>-2.483850710801061E-2</v>
      </c>
      <c r="S512" s="26">
        <f t="shared" ref="S512" si="492">+AVERAGE(K512:P512)</f>
        <v>-2.9183105616392888E-3</v>
      </c>
      <c r="U512" s="5">
        <f t="shared" ref="U512" si="493">+U511*(1+S512)</f>
        <v>33531.45897524563</v>
      </c>
      <c r="V512" s="6">
        <f t="shared" ref="V512" si="494">+V511*(1+Q512)</f>
        <v>16527.454184687609</v>
      </c>
      <c r="X512" s="20">
        <f t="shared" ref="X512" si="495">+(U512/$U$6)/(V512/$V$6)</f>
        <v>2.028833878499686</v>
      </c>
      <c r="Z512" s="22">
        <v>46283</v>
      </c>
      <c r="AA512">
        <v>3145614.5213000001</v>
      </c>
      <c r="AB512">
        <v>1705042.0430999999</v>
      </c>
      <c r="AC512">
        <v>1406280.8766999999</v>
      </c>
      <c r="AD512">
        <v>1552088.4395000001</v>
      </c>
      <c r="AE512">
        <v>7194154.7876000004</v>
      </c>
      <c r="AF512" s="6">
        <v>2394</v>
      </c>
      <c r="AH512" s="28">
        <f t="shared" ref="AH512" si="496">+SUMPRODUCT(K512:P512,AA511:AF511)/SUM(AA511:AF511)</f>
        <v>-2.3005682642553014E-2</v>
      </c>
      <c r="AJ512" s="5">
        <f t="shared" ref="AJ512" si="497">+AJ511*(1+AH512)</f>
        <v>19676.018467284233</v>
      </c>
      <c r="AK512" s="6">
        <f t="shared" ref="AK512" si="498">+AK511*(1+Q512)</f>
        <v>16527.454184687609</v>
      </c>
      <c r="AM512" s="1">
        <f t="shared" ref="AM512" si="499">+B512</f>
        <v>46283</v>
      </c>
      <c r="AN512">
        <f t="shared" ref="AN512" si="500">+(AJ512/$AJ$6)/(AK512/$AK$6)</f>
        <v>1.1905050982088767</v>
      </c>
      <c r="AO512">
        <f t="shared" ref="AO512" ca="1" si="501">+_xlfn.PERCENTILE.INC(OFFSET(AN512,-52,0,52,1),0.1)</f>
        <v>1.1714989286813144</v>
      </c>
      <c r="AP512">
        <f t="shared" ref="AP512" ca="1" si="502">+_xlfn.PERCENTILE.INC(OFFSET(AN512,-52,0,52,1),0.25)</f>
        <v>1.1841627871501141</v>
      </c>
      <c r="AQ512">
        <f t="shared" ref="AQ512" ca="1" si="503">+_xlfn.PERCENTILE.INC(OFFSET(AN512,-52,0,52,1),0.5)</f>
        <v>1.2618778782662594</v>
      </c>
      <c r="AR512">
        <f t="shared" ref="AR512" ca="1" si="504">+_xlfn.PERCENTILE.INC(OFFSET(AN512,-52,0,52,1),0.75)</f>
        <v>1.2935903108796478</v>
      </c>
      <c r="AS512">
        <f t="shared" ref="AS512" ca="1" si="505">+_xlfn.PERCENTILE.INC(OFFSET(AN512,-52,0,52,1),0.9)</f>
        <v>1.3456993623446014</v>
      </c>
    </row>
    <row r="513" spans="2:45" x14ac:dyDescent="0.25">
      <c r="B513" s="22">
        <v>46290</v>
      </c>
      <c r="C513">
        <v>2021</v>
      </c>
      <c r="D513">
        <v>1736</v>
      </c>
      <c r="E513">
        <v>3032.5</v>
      </c>
      <c r="F513">
        <v>3565</v>
      </c>
      <c r="G513">
        <v>8640</v>
      </c>
      <c r="H513">
        <v>2370</v>
      </c>
      <c r="I513" s="6">
        <v>2893751</v>
      </c>
      <c r="K513" s="23">
        <f t="shared" ref="K513" si="506">+C513/C512-1</f>
        <v>-2.7430221366698704E-2</v>
      </c>
      <c r="L513" s="24">
        <f t="shared" ref="L513" si="507">+D513/D512-1</f>
        <v>-7.7086656034024426E-2</v>
      </c>
      <c r="M513" s="24">
        <f t="shared" ref="M513" si="508">+E513/E512-1</f>
        <v>-4.1106719367588918E-2</v>
      </c>
      <c r="N513" s="24">
        <f t="shared" ref="N513" si="509">+F513/F512-1</f>
        <v>9.2002830856334761E-3</v>
      </c>
      <c r="O513" s="24">
        <f t="shared" ref="O513" si="510">+G513/G512-1</f>
        <v>-4.5831032578685815E-2</v>
      </c>
      <c r="P513" s="24">
        <f t="shared" ref="P513" si="511">+H513/H512-1</f>
        <v>-1.0025062656641603E-2</v>
      </c>
      <c r="Q513" s="25">
        <f t="shared" ref="Q513" si="512">+I513/I512-1</f>
        <v>-4.2415002882267849E-2</v>
      </c>
      <c r="S513" s="26">
        <f t="shared" ref="S513" si="513">+AVERAGE(K513:P513)</f>
        <v>-3.2046568153000998E-2</v>
      </c>
      <c r="U513" s="5">
        <f t="shared" ref="U513" si="514">+U512*(1+S513)</f>
        <v>32456.890789925863</v>
      </c>
      <c r="V513" s="6">
        <f t="shared" ref="V513" si="515">+V512*(1+Q513)</f>
        <v>15826.442167807534</v>
      </c>
      <c r="X513" s="20">
        <f t="shared" ref="X513" si="516">+(U513/$U$6)/(V513/$V$6)</f>
        <v>2.0508014654074445</v>
      </c>
      <c r="Z513" s="22">
        <v>46290</v>
      </c>
      <c r="AA513">
        <v>3059329.6187</v>
      </c>
      <c r="AB513">
        <v>1573606.0536</v>
      </c>
      <c r="AC513">
        <v>1348473.2833</v>
      </c>
      <c r="AD513">
        <v>1566368.0925</v>
      </c>
      <c r="AE513">
        <v>6864439.2450999999</v>
      </c>
      <c r="AF513" s="6">
        <v>2370</v>
      </c>
      <c r="AH513" s="28">
        <f t="shared" ref="AH513" si="517">+SUMPRODUCT(K513:P513,AA512:AF512)/SUM(AA512:AF512)</f>
        <v>-3.9384587928229742E-2</v>
      </c>
      <c r="AJ513" s="5">
        <f t="shared" ref="AJ513" si="518">+AJ512*(1+AH513)</f>
        <v>18901.086587882004</v>
      </c>
      <c r="AK513" s="6">
        <f t="shared" ref="AK513" si="519">+AK512*(1+Q513)</f>
        <v>15826.442167807534</v>
      </c>
      <c r="AM513" s="1">
        <f t="shared" ref="AM513" si="520">+B513</f>
        <v>46290</v>
      </c>
      <c r="AN513">
        <f t="shared" ref="AN513" si="521">+(AJ513/$AJ$6)/(AK513/$AK$6)</f>
        <v>1.1942726222023914</v>
      </c>
      <c r="AO513">
        <f t="shared" ref="AO513" ca="1" si="522">+_xlfn.PERCENTILE.INC(OFFSET(AN513,-52,0,52,1),0.1)</f>
        <v>1.1714989286813144</v>
      </c>
      <c r="AP513">
        <f t="shared" ref="AP513" ca="1" si="523">+_xlfn.PERCENTILE.INC(OFFSET(AN513,-52,0,52,1),0.25)</f>
        <v>1.1841627871501141</v>
      </c>
      <c r="AQ513">
        <f t="shared" ref="AQ513" ca="1" si="524">+_xlfn.PERCENTILE.INC(OFFSET(AN513,-52,0,52,1),0.5)</f>
        <v>1.2614741992201188</v>
      </c>
      <c r="AR513">
        <f t="shared" ref="AR513" ca="1" si="525">+_xlfn.PERCENTILE.INC(OFFSET(AN513,-52,0,52,1),0.75)</f>
        <v>1.2935903108796478</v>
      </c>
      <c r="AS513">
        <f t="shared" ref="AS513" ca="1" si="526">+_xlfn.PERCENTILE.INC(OFFSET(AN513,-52,0,52,1),0.9)</f>
        <v>1.3456993623446014</v>
      </c>
    </row>
    <row r="514" spans="2:45" x14ac:dyDescent="0.25">
      <c r="B514" s="22">
        <v>46297</v>
      </c>
      <c r="C514">
        <v>1893</v>
      </c>
      <c r="D514">
        <v>1616</v>
      </c>
      <c r="E514">
        <v>2967.5</v>
      </c>
      <c r="F514">
        <v>3285</v>
      </c>
      <c r="G514">
        <v>8105</v>
      </c>
      <c r="H514">
        <v>2287</v>
      </c>
      <c r="I514" s="6">
        <v>2767663</v>
      </c>
      <c r="K514" s="23">
        <f t="shared" ref="K514" si="527">+C514/C513-1</f>
        <v>-6.3334982681840679E-2</v>
      </c>
      <c r="L514" s="24">
        <f t="shared" ref="L514" si="528">+D514/D513-1</f>
        <v>-6.9124423963133674E-2</v>
      </c>
      <c r="M514" s="24">
        <f t="shared" ref="M514" si="529">+E514/E513-1</f>
        <v>-2.1434460016488077E-2</v>
      </c>
      <c r="N514" s="24">
        <f t="shared" ref="N514" si="530">+F514/F513-1</f>
        <v>-7.8541374474053294E-2</v>
      </c>
      <c r="O514" s="24">
        <f t="shared" ref="O514" si="531">+G514/G513-1</f>
        <v>-6.192129629629628E-2</v>
      </c>
      <c r="P514" s="24">
        <f t="shared" ref="P514" si="532">+H514/H513-1</f>
        <v>-3.5021097046413541E-2</v>
      </c>
      <c r="Q514" s="25">
        <f t="shared" ref="Q514" si="533">+I514/I513-1</f>
        <v>-4.3572511940384695E-2</v>
      </c>
      <c r="S514" s="26">
        <f t="shared" ref="S514" si="534">+AVERAGE(K514:P514)</f>
        <v>-5.4896272413037593E-2</v>
      </c>
      <c r="U514" s="5">
        <f t="shared" ref="U514" si="535">+U513*(1+S514)</f>
        <v>30675.12847144188</v>
      </c>
      <c r="V514" s="6">
        <f t="shared" ref="V514" si="536">+V513*(1+Q514)</f>
        <v>15136.844327476932</v>
      </c>
      <c r="X514" s="20">
        <f t="shared" ref="X514" si="537">+(U514/$U$6)/(V514/$V$6)</f>
        <v>2.0265207072097122</v>
      </c>
      <c r="Z514" s="22">
        <v>46297</v>
      </c>
      <c r="AA514">
        <v>2865567.0301999999</v>
      </c>
      <c r="AB514">
        <v>1464831.4416</v>
      </c>
      <c r="AC514">
        <v>1319569.4867</v>
      </c>
      <c r="AD514">
        <v>1443343.3896000001</v>
      </c>
      <c r="AE514">
        <v>6439384.2686999999</v>
      </c>
      <c r="AF514" s="6">
        <v>2287</v>
      </c>
      <c r="AH514" s="28">
        <f t="shared" ref="AH514" si="538">+SUMPRODUCT(K514:P514,AA513:AF513)/SUM(AA513:AF513)</f>
        <v>-6.1021777421982872E-2</v>
      </c>
      <c r="AJ514" s="5">
        <f t="shared" ref="AJ514" si="539">+AJ513*(1+AH514)</f>
        <v>17747.708689082643</v>
      </c>
      <c r="AK514" s="6">
        <f t="shared" ref="AK514" si="540">+AK513*(1+Q514)</f>
        <v>15136.844327476932</v>
      </c>
      <c r="AM514" s="1">
        <f t="shared" ref="AM514" si="541">+B514</f>
        <v>46297</v>
      </c>
      <c r="AN514">
        <f t="shared" ref="AN514" si="542">+(AJ514/$AJ$6)/(AK514/$AK$6)</f>
        <v>1.1724840597631287</v>
      </c>
      <c r="AO514">
        <f t="shared" ref="AO514" ca="1" si="543">+_xlfn.PERCENTILE.INC(OFFSET(AN514,-52,0,52,1),0.1)</f>
        <v>1.1714989286813144</v>
      </c>
      <c r="AP514">
        <f t="shared" ref="AP514" ca="1" si="544">+_xlfn.PERCENTILE.INC(OFFSET(AN514,-52,0,52,1),0.25)</f>
        <v>1.1841627871501141</v>
      </c>
      <c r="AQ514">
        <f t="shared" ref="AQ514" ca="1" si="545">+_xlfn.PERCENTILE.INC(OFFSET(AN514,-52,0,52,1),0.5)</f>
        <v>1.2602194112970331</v>
      </c>
      <c r="AR514">
        <f t="shared" ref="AR514" ca="1" si="546">+_xlfn.PERCENTILE.INC(OFFSET(AN514,-52,0,52,1),0.75)</f>
        <v>1.2935903108796478</v>
      </c>
      <c r="AS514">
        <f t="shared" ref="AS514" ca="1" si="547">+_xlfn.PERCENTILE.INC(OFFSET(AN514,-52,0,52,1),0.9)</f>
        <v>1.3456993623446014</v>
      </c>
    </row>
    <row r="515" spans="2:45" x14ac:dyDescent="0.25">
      <c r="B515" s="22">
        <v>46304</v>
      </c>
      <c r="C515">
        <v>2034</v>
      </c>
      <c r="D515">
        <v>1627</v>
      </c>
      <c r="E515">
        <v>2777.5</v>
      </c>
      <c r="F515">
        <v>3297.5</v>
      </c>
      <c r="G515">
        <v>8340</v>
      </c>
      <c r="H515">
        <v>2379</v>
      </c>
      <c r="I515" s="6">
        <v>2828027</v>
      </c>
      <c r="K515" s="23">
        <f t="shared" ref="K515" si="548">+C515/C514-1</f>
        <v>7.4484944532488218E-2</v>
      </c>
      <c r="L515" s="24">
        <f t="shared" ref="L515" si="549">+D515/D514-1</f>
        <v>6.8069306930693685E-3</v>
      </c>
      <c r="M515" s="24">
        <f t="shared" ref="M515" si="550">+E515/E514-1</f>
        <v>-6.4026958719460847E-2</v>
      </c>
      <c r="N515" s="24">
        <f t="shared" ref="N515" si="551">+F515/F514-1</f>
        <v>3.8051750380516669E-3</v>
      </c>
      <c r="O515" s="24">
        <f t="shared" ref="O515" si="552">+G515/G514-1</f>
        <v>2.8994447871684148E-2</v>
      </c>
      <c r="P515" s="24">
        <f t="shared" ref="P515" si="553">+H515/H514-1</f>
        <v>4.0227372103192049E-2</v>
      </c>
      <c r="Q515" s="25">
        <f t="shared" ref="Q515" si="554">+I515/I514-1</f>
        <v>2.1810458860056281E-2</v>
      </c>
      <c r="S515" s="26">
        <f t="shared" ref="S515" si="555">+AVERAGE(K515:P515)</f>
        <v>1.5048651919837433E-2</v>
      </c>
      <c r="U515" s="5">
        <f t="shared" ref="U515" si="556">+U514*(1+S515)</f>
        <v>31136.747802404901</v>
      </c>
      <c r="V515" s="6">
        <f t="shared" ref="V515" si="557">+V514*(1+Q515)</f>
        <v>15466.985847952445</v>
      </c>
      <c r="X515" s="20">
        <f t="shared" ref="X515" si="558">+(U515/$U$6)/(V515/$V$6)</f>
        <v>2.01311025357451</v>
      </c>
      <c r="Z515" s="22">
        <v>46304</v>
      </c>
      <c r="AA515">
        <v>3079008.6315000001</v>
      </c>
      <c r="AB515">
        <v>1474802.4476999999</v>
      </c>
      <c r="AC515">
        <v>1235081.4656</v>
      </c>
      <c r="AD515">
        <v>1448835.5639</v>
      </c>
      <c r="AE515">
        <v>6626090.6601999998</v>
      </c>
      <c r="AF515" s="6">
        <v>2379</v>
      </c>
      <c r="AH515" s="28">
        <f t="shared" ref="AH515" si="559">+SUMPRODUCT(K515:P515,AA514:AF514)/SUM(AA514:AF514)</f>
        <v>2.4471043773419215E-2</v>
      </c>
      <c r="AJ515" s="5">
        <f t="shared" ref="AJ515" si="560">+AJ514*(1+AH515)</f>
        <v>18182.013645291077</v>
      </c>
      <c r="AK515" s="6">
        <f t="shared" ref="AK515" si="561">+AK514*(1+Q515)</f>
        <v>15466.985847952445</v>
      </c>
    </row>
    <row r="516" spans="2:45" x14ac:dyDescent="0.25">
      <c r="B516" s="22"/>
      <c r="K516" s="23"/>
      <c r="L516" s="24"/>
      <c r="M516" s="24"/>
      <c r="N516" s="24"/>
      <c r="O516" s="24"/>
      <c r="P516" s="24"/>
      <c r="Q516" s="25"/>
      <c r="S516" s="26"/>
      <c r="Z516" s="22"/>
    </row>
    <row r="517" spans="2:45" x14ac:dyDescent="0.25">
      <c r="B517" s="22"/>
      <c r="K517" s="23"/>
      <c r="L517" s="24"/>
      <c r="M517" s="24"/>
      <c r="N517" s="24"/>
      <c r="O517" s="24"/>
      <c r="P517" s="24"/>
      <c r="Q517" s="25"/>
      <c r="S517" s="26"/>
      <c r="Z517" s="22"/>
    </row>
    <row r="518" spans="2:45" x14ac:dyDescent="0.25">
      <c r="B518" s="22"/>
      <c r="K518" s="23"/>
      <c r="L518" s="24"/>
      <c r="M518" s="24"/>
      <c r="N518" s="24"/>
      <c r="O518" s="24"/>
      <c r="P518" s="24"/>
      <c r="Q518" s="25"/>
      <c r="S518" s="26"/>
      <c r="Z518" s="22"/>
    </row>
    <row r="519" spans="2:45" x14ac:dyDescent="0.25">
      <c r="B519" s="22"/>
      <c r="K519" s="23"/>
      <c r="L519" s="24"/>
      <c r="M519" s="24"/>
      <c r="N519" s="24"/>
      <c r="O519" s="24"/>
      <c r="P519" s="24"/>
      <c r="Q519" s="25"/>
      <c r="S519" s="26"/>
      <c r="Z519" s="22"/>
    </row>
    <row r="520" spans="2:45" x14ac:dyDescent="0.25">
      <c r="B520" s="22"/>
      <c r="K520" s="23"/>
      <c r="L520" s="24"/>
      <c r="M520" s="24"/>
      <c r="N520" s="24"/>
      <c r="O520" s="24"/>
      <c r="P520" s="24"/>
      <c r="Q520" s="25"/>
      <c r="S520" s="26"/>
      <c r="Z520" s="22"/>
    </row>
    <row r="521" spans="2:45" x14ac:dyDescent="0.25">
      <c r="B521" s="22"/>
      <c r="K521" s="23"/>
      <c r="L521" s="24"/>
      <c r="M521" s="24"/>
      <c r="N521" s="24"/>
      <c r="O521" s="24"/>
      <c r="P521" s="24"/>
      <c r="Q521" s="25"/>
      <c r="S521" s="26"/>
      <c r="Z521" s="22"/>
    </row>
    <row r="522" spans="2:45" x14ac:dyDescent="0.25">
      <c r="B522" s="22"/>
      <c r="K522" s="23"/>
      <c r="L522" s="24"/>
      <c r="M522" s="24"/>
      <c r="N522" s="24"/>
      <c r="O522" s="24"/>
      <c r="P522" s="24"/>
      <c r="Q522" s="25"/>
      <c r="S522" s="26"/>
      <c r="Z522" s="22"/>
    </row>
    <row r="523" spans="2:45" x14ac:dyDescent="0.25">
      <c r="B523" s="22"/>
      <c r="K523" s="23"/>
      <c r="L523" s="24"/>
      <c r="M523" s="24"/>
      <c r="N523" s="24"/>
      <c r="O523" s="24"/>
      <c r="P523" s="24"/>
      <c r="Q523" s="25"/>
      <c r="S523" s="26"/>
      <c r="Z523" s="22"/>
    </row>
    <row r="524" spans="2:45" x14ac:dyDescent="0.25">
      <c r="B524" s="22"/>
      <c r="K524" s="23"/>
      <c r="L524" s="24"/>
      <c r="M524" s="24"/>
      <c r="N524" s="24"/>
      <c r="O524" s="24"/>
      <c r="P524" s="24"/>
      <c r="Q524" s="25"/>
      <c r="S524" s="26"/>
      <c r="Z524" s="22"/>
    </row>
    <row r="525" spans="2:45" x14ac:dyDescent="0.25">
      <c r="B525" s="22"/>
      <c r="K525" s="23"/>
      <c r="L525" s="24"/>
      <c r="M525" s="24"/>
      <c r="N525" s="24"/>
      <c r="O525" s="24"/>
      <c r="P525" s="24"/>
      <c r="Q525" s="25"/>
      <c r="S525" s="26"/>
      <c r="Z525" s="22"/>
    </row>
    <row r="526" spans="2:45" x14ac:dyDescent="0.25">
      <c r="B526" s="22"/>
      <c r="K526" s="23"/>
      <c r="L526" s="24"/>
      <c r="M526" s="24"/>
      <c r="N526" s="24"/>
      <c r="O526" s="24"/>
      <c r="P526" s="24"/>
      <c r="Q526" s="25"/>
      <c r="S526" s="26"/>
      <c r="Z526" s="22"/>
    </row>
    <row r="527" spans="2:45" x14ac:dyDescent="0.25">
      <c r="B527" s="22"/>
      <c r="K527" s="23"/>
      <c r="L527" s="24"/>
      <c r="M527" s="24"/>
      <c r="N527" s="24"/>
      <c r="O527" s="24"/>
      <c r="P527" s="24"/>
      <c r="Q527" s="25"/>
      <c r="S527" s="26"/>
      <c r="Z527" s="22"/>
    </row>
    <row r="528" spans="2:45" x14ac:dyDescent="0.25">
      <c r="B528" s="22"/>
      <c r="K528" s="23"/>
      <c r="L528" s="24"/>
      <c r="M528" s="24"/>
      <c r="N528" s="24"/>
      <c r="O528" s="24"/>
      <c r="P528" s="24"/>
      <c r="Q528" s="25"/>
      <c r="S528" s="26"/>
      <c r="Z528" s="22"/>
    </row>
    <row r="529" spans="2:26" x14ac:dyDescent="0.25">
      <c r="B529" s="22"/>
      <c r="K529" s="23"/>
      <c r="L529" s="24"/>
      <c r="M529" s="24"/>
      <c r="N529" s="24"/>
      <c r="O529" s="24"/>
      <c r="P529" s="24"/>
      <c r="Q529" s="25"/>
      <c r="S529" s="26"/>
      <c r="Z529" s="22"/>
    </row>
    <row r="530" spans="2:26" x14ac:dyDescent="0.25">
      <c r="B530" s="22"/>
      <c r="K530" s="23"/>
      <c r="L530" s="24"/>
      <c r="M530" s="24"/>
      <c r="N530" s="24"/>
      <c r="O530" s="24"/>
      <c r="P530" s="24"/>
      <c r="Q530" s="25"/>
      <c r="S530" s="26"/>
      <c r="Z530" s="22"/>
    </row>
    <row r="531" spans="2:26" x14ac:dyDescent="0.25">
      <c r="B531" s="22"/>
      <c r="K531" s="23"/>
      <c r="L531" s="24"/>
      <c r="M531" s="24"/>
      <c r="N531" s="24"/>
      <c r="O531" s="24"/>
      <c r="P531" s="24"/>
      <c r="Q531" s="25"/>
      <c r="S531" s="26"/>
      <c r="Z531" s="22"/>
    </row>
    <row r="532" spans="2:26" x14ac:dyDescent="0.25">
      <c r="B532" s="22"/>
      <c r="K532" s="23"/>
      <c r="L532" s="24"/>
      <c r="M532" s="24"/>
      <c r="N532" s="24"/>
      <c r="O532" s="24"/>
      <c r="P532" s="24"/>
      <c r="Q532" s="25"/>
      <c r="S532" s="26"/>
      <c r="Z532" s="22"/>
    </row>
    <row r="533" spans="2:26" x14ac:dyDescent="0.25">
      <c r="B533" s="22"/>
      <c r="K533" s="23"/>
      <c r="L533" s="24"/>
      <c r="M533" s="24"/>
      <c r="N533" s="24"/>
      <c r="O533" s="24"/>
      <c r="P533" s="24"/>
      <c r="Q533" s="25"/>
      <c r="S533" s="26"/>
      <c r="Z533" s="22"/>
    </row>
    <row r="534" spans="2:26" x14ac:dyDescent="0.25">
      <c r="B534" s="22"/>
      <c r="K534" s="23"/>
      <c r="L534" s="24"/>
      <c r="M534" s="24"/>
      <c r="N534" s="24"/>
      <c r="O534" s="24"/>
      <c r="P534" s="24"/>
      <c r="Q534" s="25"/>
      <c r="S534" s="26"/>
      <c r="Z534" s="22"/>
    </row>
    <row r="535" spans="2:26" x14ac:dyDescent="0.25">
      <c r="B535" s="22"/>
      <c r="K535" s="23"/>
      <c r="L535" s="24"/>
      <c r="M535" s="24"/>
      <c r="N535" s="24"/>
      <c r="O535" s="24"/>
      <c r="P535" s="24"/>
      <c r="Q535" s="25"/>
      <c r="S535" s="26"/>
      <c r="Z535" s="22"/>
    </row>
    <row r="536" spans="2:26" x14ac:dyDescent="0.25">
      <c r="B536" s="22"/>
      <c r="K536" s="23"/>
      <c r="L536" s="24"/>
      <c r="M536" s="24"/>
      <c r="N536" s="24"/>
      <c r="O536" s="24"/>
      <c r="P536" s="24"/>
      <c r="Q536" s="25"/>
      <c r="S536" s="26"/>
      <c r="Z536" s="22"/>
    </row>
    <row r="537" spans="2:26" x14ac:dyDescent="0.25">
      <c r="B537" s="22"/>
      <c r="K537" s="23"/>
      <c r="L537" s="24"/>
      <c r="M537" s="24"/>
      <c r="N537" s="24"/>
      <c r="O537" s="24"/>
      <c r="P537" s="24"/>
      <c r="Q537" s="25"/>
      <c r="S537" s="26"/>
      <c r="Z537" s="22"/>
    </row>
    <row r="538" spans="2:26" x14ac:dyDescent="0.25">
      <c r="B538" s="22"/>
      <c r="K538" s="23"/>
      <c r="L538" s="24"/>
      <c r="M538" s="24"/>
      <c r="N538" s="24"/>
      <c r="O538" s="24"/>
      <c r="P538" s="24"/>
      <c r="Q538" s="25"/>
      <c r="S538" s="26"/>
      <c r="Z538" s="22"/>
    </row>
    <row r="539" spans="2:26" x14ac:dyDescent="0.25">
      <c r="B539" s="22"/>
      <c r="K539" s="23"/>
      <c r="L539" s="24"/>
      <c r="M539" s="24"/>
      <c r="N539" s="24"/>
      <c r="O539" s="24"/>
      <c r="P539" s="24"/>
      <c r="Q539" s="25"/>
      <c r="S539" s="26"/>
      <c r="Z539" s="22"/>
    </row>
    <row r="540" spans="2:26" x14ac:dyDescent="0.25">
      <c r="B540" s="22"/>
      <c r="K540" s="23"/>
      <c r="L540" s="24"/>
      <c r="M540" s="24"/>
      <c r="N540" s="24"/>
      <c r="O540" s="24"/>
      <c r="P540" s="24"/>
      <c r="Q540" s="25"/>
      <c r="S540" s="26"/>
      <c r="Z540" s="22"/>
    </row>
    <row r="541" spans="2:26" x14ac:dyDescent="0.25">
      <c r="B541" s="22"/>
      <c r="K541" s="23"/>
      <c r="L541" s="24"/>
      <c r="M541" s="24"/>
      <c r="N541" s="24"/>
      <c r="O541" s="24"/>
      <c r="P541" s="24"/>
      <c r="Q541" s="25"/>
      <c r="S541" s="26"/>
      <c r="Z541" s="22"/>
    </row>
    <row r="542" spans="2:26" x14ac:dyDescent="0.25">
      <c r="B542" s="22"/>
      <c r="K542" s="23"/>
      <c r="L542" s="24"/>
      <c r="M542" s="24"/>
      <c r="N542" s="24"/>
      <c r="O542" s="24"/>
      <c r="P542" s="24"/>
      <c r="Q542" s="25"/>
      <c r="S542" s="26"/>
      <c r="Z542" s="22"/>
    </row>
    <row r="543" spans="2:26" x14ac:dyDescent="0.25">
      <c r="B543" s="22"/>
      <c r="K543" s="23"/>
      <c r="L543" s="24"/>
      <c r="M543" s="24"/>
      <c r="N543" s="24"/>
      <c r="O543" s="24"/>
      <c r="P543" s="24"/>
      <c r="Q543" s="25"/>
      <c r="S543" s="26"/>
      <c r="Z543" s="22"/>
    </row>
    <row r="544" spans="2:26" x14ac:dyDescent="0.25">
      <c r="B544" s="22"/>
      <c r="K544" s="23"/>
      <c r="L544" s="24"/>
      <c r="M544" s="24"/>
      <c r="N544" s="24"/>
      <c r="O544" s="24"/>
      <c r="P544" s="24"/>
      <c r="Q544" s="25"/>
      <c r="S544" s="26"/>
      <c r="Z544" s="22"/>
    </row>
    <row r="545" spans="2:26" x14ac:dyDescent="0.25">
      <c r="B545" s="22"/>
      <c r="K545" s="23"/>
      <c r="L545" s="24"/>
      <c r="M545" s="24"/>
      <c r="N545" s="24"/>
      <c r="O545" s="24"/>
      <c r="P545" s="24"/>
      <c r="Q545" s="25"/>
      <c r="S545" s="26"/>
      <c r="Z545" s="22"/>
    </row>
    <row r="546" spans="2:26" x14ac:dyDescent="0.25">
      <c r="B546" s="22"/>
      <c r="K546" s="23"/>
      <c r="L546" s="24"/>
      <c r="M546" s="24"/>
      <c r="N546" s="24"/>
      <c r="O546" s="24"/>
      <c r="P546" s="24"/>
      <c r="Q546" s="25"/>
      <c r="S546" s="26"/>
      <c r="Z546" s="22"/>
    </row>
    <row r="547" spans="2:26" x14ac:dyDescent="0.25">
      <c r="B547" s="22"/>
      <c r="K547" s="23"/>
      <c r="L547" s="24"/>
      <c r="M547" s="24"/>
      <c r="N547" s="24"/>
      <c r="O547" s="24"/>
      <c r="P547" s="24"/>
      <c r="Q547" s="25"/>
      <c r="S547" s="26"/>
      <c r="Z547" s="22"/>
    </row>
    <row r="548" spans="2:26" x14ac:dyDescent="0.25">
      <c r="B548" s="22"/>
      <c r="K548" s="23"/>
      <c r="L548" s="24"/>
      <c r="M548" s="24"/>
      <c r="N548" s="24"/>
      <c r="O548" s="24"/>
      <c r="P548" s="24"/>
      <c r="Q548" s="25"/>
      <c r="S548" s="26"/>
      <c r="Z548" s="22"/>
    </row>
    <row r="549" spans="2:26" x14ac:dyDescent="0.25">
      <c r="B549" s="22"/>
      <c r="K549" s="23"/>
      <c r="L549" s="24"/>
      <c r="M549" s="24"/>
      <c r="N549" s="24"/>
      <c r="O549" s="24"/>
      <c r="P549" s="24"/>
      <c r="Q549" s="25"/>
      <c r="S549" s="26"/>
      <c r="Z549" s="22"/>
    </row>
    <row r="550" spans="2:26" x14ac:dyDescent="0.25">
      <c r="B550" s="22"/>
      <c r="K550" s="23"/>
      <c r="L550" s="24"/>
      <c r="M550" s="24"/>
      <c r="N550" s="24"/>
      <c r="O550" s="24"/>
      <c r="P550" s="24"/>
      <c r="Q550" s="25"/>
      <c r="S550" s="26"/>
      <c r="Z550" s="22"/>
    </row>
    <row r="551" spans="2:26" x14ac:dyDescent="0.25">
      <c r="B551" s="22"/>
      <c r="K551" s="23"/>
      <c r="L551" s="24"/>
      <c r="M551" s="24"/>
      <c r="N551" s="24"/>
      <c r="O551" s="24"/>
      <c r="P551" s="24"/>
      <c r="Q551" s="25"/>
      <c r="S551" s="26"/>
      <c r="Z551" s="22"/>
    </row>
    <row r="552" spans="2:26" x14ac:dyDescent="0.25">
      <c r="B552" s="22"/>
      <c r="K552" s="23"/>
      <c r="L552" s="24"/>
      <c r="M552" s="24"/>
      <c r="N552" s="24"/>
      <c r="O552" s="24"/>
      <c r="P552" s="24"/>
      <c r="Q552" s="25"/>
      <c r="S552" s="26"/>
      <c r="Z552" s="22"/>
    </row>
    <row r="553" spans="2:26" x14ac:dyDescent="0.25">
      <c r="B553" s="22"/>
      <c r="K553" s="23"/>
      <c r="L553" s="24"/>
      <c r="M553" s="24"/>
      <c r="N553" s="24"/>
      <c r="O553" s="24"/>
      <c r="P553" s="24"/>
      <c r="Q553" s="25"/>
      <c r="S553" s="26"/>
      <c r="Z553" s="22"/>
    </row>
    <row r="554" spans="2:26" x14ac:dyDescent="0.25">
      <c r="B554" s="22"/>
      <c r="K554" s="23"/>
      <c r="L554" s="24"/>
      <c r="M554" s="24"/>
      <c r="N554" s="24"/>
      <c r="O554" s="24"/>
      <c r="P554" s="24"/>
      <c r="Q554" s="25"/>
      <c r="S554" s="26"/>
      <c r="Z554" s="22"/>
    </row>
    <row r="555" spans="2:26" x14ac:dyDescent="0.25">
      <c r="B555" s="22"/>
      <c r="K555" s="23"/>
      <c r="L555" s="24"/>
      <c r="M555" s="24"/>
      <c r="N555" s="24"/>
      <c r="O555" s="24"/>
      <c r="P555" s="24"/>
      <c r="Q555" s="25"/>
      <c r="S555" s="26"/>
      <c r="Z555" s="22"/>
    </row>
    <row r="556" spans="2:26" x14ac:dyDescent="0.25">
      <c r="B556" s="22"/>
      <c r="K556" s="23"/>
      <c r="L556" s="24"/>
      <c r="M556" s="24"/>
      <c r="N556" s="24"/>
      <c r="O556" s="24"/>
      <c r="P556" s="24"/>
      <c r="Q556" s="25"/>
      <c r="S556" s="26"/>
      <c r="Z556" s="22"/>
    </row>
    <row r="557" spans="2:26" x14ac:dyDescent="0.25">
      <c r="B557" s="22"/>
      <c r="K557" s="23"/>
      <c r="L557" s="24"/>
      <c r="M557" s="24"/>
      <c r="N557" s="24"/>
      <c r="O557" s="24"/>
      <c r="P557" s="24"/>
      <c r="Q557" s="25"/>
      <c r="S557" s="26"/>
      <c r="Z557" s="22"/>
    </row>
    <row r="558" spans="2:26" x14ac:dyDescent="0.25">
      <c r="B558" s="22"/>
      <c r="K558" s="23"/>
      <c r="L558" s="24"/>
      <c r="M558" s="24"/>
      <c r="N558" s="24"/>
      <c r="O558" s="24"/>
      <c r="P558" s="24"/>
      <c r="Q558" s="25"/>
      <c r="S558" s="26"/>
      <c r="Z558" s="22"/>
    </row>
    <row r="559" spans="2:26" x14ac:dyDescent="0.25">
      <c r="B559" s="22"/>
      <c r="K559" s="23"/>
      <c r="L559" s="24"/>
      <c r="M559" s="24"/>
      <c r="N559" s="24"/>
      <c r="O559" s="24"/>
      <c r="P559" s="24"/>
      <c r="Q559" s="25"/>
      <c r="S559" s="26"/>
      <c r="Z559" s="22"/>
    </row>
    <row r="560" spans="2:26" x14ac:dyDescent="0.25">
      <c r="B560" s="22"/>
      <c r="K560" s="23"/>
      <c r="L560" s="24"/>
      <c r="M560" s="24"/>
      <c r="N560" s="24"/>
      <c r="O560" s="24"/>
      <c r="P560" s="24"/>
      <c r="Q560" s="25"/>
      <c r="S560" s="26"/>
      <c r="Z560" s="22"/>
    </row>
    <row r="561" spans="2:26" x14ac:dyDescent="0.25">
      <c r="B561" s="22"/>
      <c r="K561" s="23"/>
      <c r="L561" s="24"/>
      <c r="M561" s="24"/>
      <c r="N561" s="24"/>
      <c r="O561" s="24"/>
      <c r="P561" s="24"/>
      <c r="Q561" s="25"/>
      <c r="S561" s="26"/>
      <c r="Z561" s="22"/>
    </row>
    <row r="562" spans="2:26" x14ac:dyDescent="0.25">
      <c r="B562" s="22"/>
      <c r="K562" s="23"/>
      <c r="L562" s="24"/>
      <c r="M562" s="24"/>
      <c r="N562" s="24"/>
      <c r="O562" s="24"/>
      <c r="P562" s="24"/>
      <c r="Q562" s="25"/>
      <c r="S562" s="26"/>
      <c r="Z562" s="22"/>
    </row>
    <row r="563" spans="2:26" x14ac:dyDescent="0.25">
      <c r="B563" s="22"/>
      <c r="K563" s="23"/>
      <c r="L563" s="24"/>
      <c r="M563" s="24"/>
      <c r="N563" s="24"/>
      <c r="O563" s="24"/>
      <c r="P563" s="24"/>
      <c r="Q563" s="25"/>
      <c r="S563" s="26"/>
      <c r="Z563" s="22"/>
    </row>
    <row r="564" spans="2:26" x14ac:dyDescent="0.25">
      <c r="B564" s="22"/>
      <c r="K564" s="23"/>
      <c r="L564" s="24"/>
      <c r="M564" s="24"/>
      <c r="N564" s="24"/>
      <c r="O564" s="24"/>
      <c r="P564" s="24"/>
      <c r="Q564" s="25"/>
      <c r="S564" s="26"/>
      <c r="Z564" s="22"/>
    </row>
    <row r="565" spans="2:26" x14ac:dyDescent="0.25">
      <c r="B565" s="22"/>
      <c r="K565" s="23"/>
      <c r="L565" s="24"/>
      <c r="M565" s="24"/>
      <c r="N565" s="24"/>
      <c r="O565" s="24"/>
      <c r="P565" s="24"/>
      <c r="Q565" s="25"/>
      <c r="S565" s="26"/>
      <c r="Z565" s="22"/>
    </row>
    <row r="566" spans="2:26" x14ac:dyDescent="0.25">
      <c r="B566" s="22"/>
      <c r="K566" s="23"/>
      <c r="L566" s="24"/>
      <c r="M566" s="24"/>
      <c r="N566" s="24"/>
      <c r="O566" s="24"/>
      <c r="P566" s="24"/>
      <c r="Q566" s="25"/>
      <c r="S566" s="26"/>
      <c r="Z566" s="22"/>
    </row>
    <row r="567" spans="2:26" x14ac:dyDescent="0.25">
      <c r="B567" s="22"/>
      <c r="K567" s="23"/>
      <c r="L567" s="24"/>
      <c r="M567" s="24"/>
      <c r="N567" s="24"/>
      <c r="O567" s="24"/>
      <c r="P567" s="24"/>
      <c r="Q567" s="25"/>
      <c r="S567" s="26"/>
      <c r="Z567" s="22"/>
    </row>
    <row r="568" spans="2:26" x14ac:dyDescent="0.25">
      <c r="B568" s="22"/>
      <c r="K568" s="23"/>
      <c r="L568" s="24"/>
      <c r="M568" s="24"/>
      <c r="N568" s="24"/>
      <c r="O568" s="24"/>
      <c r="P568" s="24"/>
      <c r="Q568" s="25"/>
      <c r="S568" s="26"/>
      <c r="Z568" s="22"/>
    </row>
    <row r="569" spans="2:26" x14ac:dyDescent="0.25">
      <c r="B569" s="22"/>
      <c r="K569" s="23"/>
      <c r="L569" s="24"/>
      <c r="M569" s="24"/>
      <c r="N569" s="24"/>
      <c r="O569" s="24"/>
      <c r="P569" s="24"/>
      <c r="Q569" s="25"/>
      <c r="S569" s="26"/>
      <c r="Z569" s="22"/>
    </row>
    <row r="570" spans="2:26" x14ac:dyDescent="0.25">
      <c r="B570" s="22"/>
      <c r="K570" s="23"/>
      <c r="L570" s="24"/>
      <c r="M570" s="24"/>
      <c r="N570" s="24"/>
      <c r="O570" s="24"/>
      <c r="P570" s="24"/>
      <c r="Q570" s="25"/>
      <c r="S570" s="26"/>
      <c r="Z570" s="22"/>
    </row>
    <row r="571" spans="2:26" x14ac:dyDescent="0.25">
      <c r="B571" s="22"/>
      <c r="K571" s="23"/>
      <c r="L571" s="24"/>
      <c r="M571" s="24"/>
      <c r="N571" s="24"/>
      <c r="O571" s="24"/>
      <c r="P571" s="24"/>
      <c r="Q571" s="25"/>
      <c r="S571" s="26"/>
      <c r="Z571" s="22"/>
    </row>
    <row r="572" spans="2:26" x14ac:dyDescent="0.25">
      <c r="B572" s="22"/>
      <c r="K572" s="23"/>
      <c r="L572" s="24"/>
      <c r="M572" s="24"/>
      <c r="N572" s="24"/>
      <c r="O572" s="24"/>
      <c r="P572" s="24"/>
      <c r="Q572" s="25"/>
      <c r="S572" s="26"/>
      <c r="Z572" s="22"/>
    </row>
    <row r="573" spans="2:26" x14ac:dyDescent="0.25">
      <c r="B573" s="22"/>
      <c r="K573" s="23"/>
      <c r="L573" s="24"/>
      <c r="M573" s="24"/>
      <c r="N573" s="24"/>
      <c r="O573" s="24"/>
      <c r="P573" s="24"/>
      <c r="Q573" s="25"/>
      <c r="S573" s="26"/>
      <c r="Z573" s="22"/>
    </row>
    <row r="574" spans="2:26" x14ac:dyDescent="0.25">
      <c r="B574" s="22"/>
      <c r="K574" s="23"/>
      <c r="L574" s="24"/>
      <c r="M574" s="24"/>
      <c r="N574" s="24"/>
      <c r="O574" s="24"/>
      <c r="P574" s="24"/>
      <c r="Q574" s="25"/>
      <c r="S574" s="26"/>
      <c r="Z574" s="22"/>
    </row>
    <row r="575" spans="2:26" x14ac:dyDescent="0.25">
      <c r="B575" s="22"/>
      <c r="K575" s="23"/>
      <c r="L575" s="24"/>
      <c r="M575" s="24"/>
      <c r="N575" s="24"/>
      <c r="O575" s="24"/>
      <c r="P575" s="24"/>
      <c r="Q575" s="25"/>
      <c r="S575" s="26"/>
      <c r="Z575" s="22"/>
    </row>
    <row r="576" spans="2:26" x14ac:dyDescent="0.25">
      <c r="B576" s="22"/>
      <c r="K576" s="23"/>
      <c r="L576" s="24"/>
      <c r="M576" s="24"/>
      <c r="N576" s="24"/>
      <c r="O576" s="24"/>
      <c r="P576" s="24"/>
      <c r="Q576" s="25"/>
      <c r="S576" s="26"/>
      <c r="Z576" s="22"/>
    </row>
    <row r="577" spans="2:26" x14ac:dyDescent="0.25">
      <c r="B577" s="22"/>
      <c r="K577" s="23"/>
      <c r="L577" s="24"/>
      <c r="M577" s="24"/>
      <c r="N577" s="24"/>
      <c r="O577" s="24"/>
      <c r="P577" s="24"/>
      <c r="Q577" s="25"/>
      <c r="S577" s="26"/>
      <c r="Z577" s="22"/>
    </row>
    <row r="578" spans="2:26" x14ac:dyDescent="0.25">
      <c r="B578" s="22"/>
      <c r="K578" s="23"/>
      <c r="L578" s="24"/>
      <c r="M578" s="24"/>
      <c r="N578" s="24"/>
      <c r="O578" s="24"/>
      <c r="P578" s="24"/>
      <c r="Q578" s="25"/>
      <c r="S578" s="26"/>
      <c r="Z578" s="22"/>
    </row>
    <row r="579" spans="2:26" x14ac:dyDescent="0.25">
      <c r="B579" s="22"/>
      <c r="K579" s="23"/>
      <c r="L579" s="24"/>
      <c r="M579" s="24"/>
      <c r="N579" s="24"/>
      <c r="O579" s="24"/>
      <c r="P579" s="24"/>
      <c r="Q579" s="25"/>
      <c r="S579" s="26"/>
      <c r="Z579" s="22"/>
    </row>
    <row r="580" spans="2:26" x14ac:dyDescent="0.25">
      <c r="B580" s="22"/>
      <c r="K580" s="23"/>
      <c r="L580" s="24"/>
      <c r="M580" s="24"/>
      <c r="N580" s="24"/>
      <c r="O580" s="24"/>
      <c r="P580" s="24"/>
      <c r="Q580" s="25"/>
      <c r="S580" s="26"/>
      <c r="Z580" s="22"/>
    </row>
    <row r="581" spans="2:26" x14ac:dyDescent="0.25">
      <c r="B581" s="22"/>
      <c r="K581" s="23"/>
      <c r="L581" s="24"/>
      <c r="M581" s="24"/>
      <c r="N581" s="24"/>
      <c r="O581" s="24"/>
      <c r="P581" s="24"/>
      <c r="Q581" s="25"/>
      <c r="S581" s="26"/>
      <c r="Z581" s="22"/>
    </row>
    <row r="582" spans="2:26" x14ac:dyDescent="0.25">
      <c r="B582" s="22"/>
      <c r="K582" s="23"/>
      <c r="L582" s="24"/>
      <c r="M582" s="24"/>
      <c r="N582" s="24"/>
      <c r="O582" s="24"/>
      <c r="P582" s="24"/>
      <c r="Q582" s="25"/>
      <c r="S582" s="26"/>
      <c r="Z582" s="22"/>
    </row>
    <row r="583" spans="2:26" x14ac:dyDescent="0.25">
      <c r="B583" s="22"/>
      <c r="K583" s="23"/>
      <c r="L583" s="24"/>
      <c r="M583" s="24"/>
      <c r="N583" s="24"/>
      <c r="O583" s="24"/>
      <c r="P583" s="24"/>
      <c r="Q583" s="25"/>
      <c r="S583" s="26"/>
      <c r="Z583" s="22"/>
    </row>
    <row r="584" spans="2:26" x14ac:dyDescent="0.25">
      <c r="B584" s="22"/>
      <c r="K584" s="23"/>
      <c r="L584" s="24"/>
      <c r="M584" s="24"/>
      <c r="N584" s="24"/>
      <c r="O584" s="24"/>
      <c r="P584" s="24"/>
      <c r="Q584" s="25"/>
      <c r="S584" s="26"/>
      <c r="Z584" s="22"/>
    </row>
    <row r="585" spans="2:26" x14ac:dyDescent="0.25">
      <c r="B585" s="22"/>
      <c r="K585" s="23"/>
      <c r="L585" s="24"/>
      <c r="M585" s="24"/>
      <c r="N585" s="24"/>
      <c r="O585" s="24"/>
      <c r="P585" s="24"/>
      <c r="Q585" s="25"/>
      <c r="S585" s="26"/>
      <c r="Z585" s="22"/>
    </row>
    <row r="586" spans="2:26" x14ac:dyDescent="0.25">
      <c r="B586" s="22"/>
      <c r="K586" s="23"/>
      <c r="L586" s="24"/>
      <c r="M586" s="24"/>
      <c r="N586" s="24"/>
      <c r="O586" s="24"/>
      <c r="P586" s="24"/>
      <c r="Q586" s="25"/>
      <c r="S586" s="26"/>
      <c r="Z586" s="22"/>
    </row>
    <row r="587" spans="2:26" x14ac:dyDescent="0.25">
      <c r="B587" s="22"/>
      <c r="K587" s="23"/>
      <c r="L587" s="24"/>
      <c r="M587" s="24"/>
      <c r="N587" s="24"/>
      <c r="O587" s="24"/>
      <c r="P587" s="24"/>
      <c r="Q587" s="25"/>
      <c r="S587" s="26"/>
      <c r="Z587" s="22"/>
    </row>
    <row r="588" spans="2:26" x14ac:dyDescent="0.25">
      <c r="B588" s="22"/>
      <c r="K588" s="23"/>
      <c r="L588" s="24"/>
      <c r="M588" s="24"/>
      <c r="N588" s="24"/>
      <c r="O588" s="24"/>
      <c r="P588" s="24"/>
      <c r="Q588" s="25"/>
      <c r="S588" s="26"/>
      <c r="Z588" s="22"/>
    </row>
    <row r="589" spans="2:26" x14ac:dyDescent="0.25">
      <c r="B589" s="22"/>
      <c r="K589" s="23"/>
      <c r="L589" s="24"/>
      <c r="M589" s="24"/>
      <c r="N589" s="24"/>
      <c r="O589" s="24"/>
      <c r="P589" s="24"/>
      <c r="Q589" s="25"/>
      <c r="S589" s="26"/>
      <c r="Z589" s="22"/>
    </row>
    <row r="590" spans="2:26" x14ac:dyDescent="0.25">
      <c r="B590" s="22"/>
      <c r="K590" s="23"/>
      <c r="L590" s="24"/>
      <c r="M590" s="24"/>
      <c r="N590" s="24"/>
      <c r="O590" s="24"/>
      <c r="P590" s="24"/>
      <c r="Q590" s="25"/>
      <c r="S590" s="26"/>
      <c r="Z590" s="22"/>
    </row>
    <row r="591" spans="2:26" x14ac:dyDescent="0.25">
      <c r="B591" s="22"/>
      <c r="K591" s="23"/>
      <c r="L591" s="24"/>
      <c r="M591" s="24"/>
      <c r="N591" s="24"/>
      <c r="O591" s="24"/>
      <c r="P591" s="24"/>
      <c r="Q591" s="25"/>
      <c r="S591" s="26"/>
      <c r="Z591" s="22"/>
    </row>
    <row r="592" spans="2:26" x14ac:dyDescent="0.25">
      <c r="B592" s="22"/>
      <c r="K592" s="23"/>
      <c r="L592" s="24"/>
      <c r="M592" s="24"/>
      <c r="N592" s="24"/>
      <c r="O592" s="24"/>
      <c r="P592" s="24"/>
      <c r="Q592" s="25"/>
      <c r="S592" s="26"/>
      <c r="Z592" s="22"/>
    </row>
    <row r="593" spans="2:26" x14ac:dyDescent="0.25">
      <c r="B593" s="22"/>
      <c r="K593" s="23"/>
      <c r="L593" s="24"/>
      <c r="M593" s="24"/>
      <c r="N593" s="24"/>
      <c r="O593" s="24"/>
      <c r="P593" s="24"/>
      <c r="Q593" s="25"/>
      <c r="S593" s="26"/>
      <c r="Z593" s="22"/>
    </row>
    <row r="594" spans="2:26" x14ac:dyDescent="0.25">
      <c r="B594" s="22"/>
      <c r="K594" s="23"/>
      <c r="L594" s="24"/>
      <c r="M594" s="24"/>
      <c r="N594" s="24"/>
      <c r="O594" s="24"/>
      <c r="P594" s="24"/>
      <c r="Q594" s="25"/>
      <c r="S594" s="26"/>
      <c r="Z594" s="22"/>
    </row>
    <row r="595" spans="2:26" x14ac:dyDescent="0.25">
      <c r="B595" s="22"/>
      <c r="K595" s="23"/>
      <c r="L595" s="24"/>
      <c r="M595" s="24"/>
      <c r="N595" s="24"/>
      <c r="O595" s="24"/>
      <c r="P595" s="24"/>
      <c r="Q595" s="25"/>
      <c r="S595" s="26"/>
      <c r="Z595" s="22"/>
    </row>
    <row r="596" spans="2:26" x14ac:dyDescent="0.25">
      <c r="B596" s="22"/>
      <c r="K596" s="23"/>
      <c r="L596" s="24"/>
      <c r="M596" s="24"/>
      <c r="N596" s="24"/>
      <c r="O596" s="24"/>
      <c r="P596" s="24"/>
      <c r="Q596" s="25"/>
      <c r="S596" s="26"/>
      <c r="Z596" s="22"/>
    </row>
    <row r="597" spans="2:26" x14ac:dyDescent="0.25">
      <c r="B597" s="22"/>
      <c r="K597" s="23"/>
      <c r="L597" s="24"/>
      <c r="M597" s="24"/>
      <c r="N597" s="24"/>
      <c r="O597" s="24"/>
      <c r="P597" s="24"/>
      <c r="Q597" s="25"/>
      <c r="S597" s="26"/>
      <c r="Z597" s="22"/>
    </row>
    <row r="598" spans="2:26" x14ac:dyDescent="0.25">
      <c r="B598" s="22"/>
      <c r="K598" s="23"/>
      <c r="L598" s="24"/>
      <c r="M598" s="24"/>
      <c r="N598" s="24"/>
      <c r="O598" s="24"/>
      <c r="P598" s="24"/>
      <c r="Q598" s="25"/>
      <c r="S598" s="26"/>
      <c r="Z598" s="22"/>
    </row>
    <row r="599" spans="2:26" x14ac:dyDescent="0.25">
      <c r="B599" s="22"/>
      <c r="K599" s="23"/>
      <c r="L599" s="24"/>
      <c r="M599" s="24"/>
      <c r="N599" s="24"/>
      <c r="O599" s="24"/>
      <c r="P599" s="24"/>
      <c r="Q599" s="25"/>
      <c r="S599" s="26"/>
      <c r="Z599" s="22"/>
    </row>
    <row r="600" spans="2:26" x14ac:dyDescent="0.25">
      <c r="B600" s="22"/>
      <c r="K600" s="23"/>
      <c r="L600" s="24"/>
      <c r="M600" s="24"/>
      <c r="N600" s="24"/>
      <c r="O600" s="24"/>
      <c r="P600" s="24"/>
      <c r="Q600" s="25"/>
      <c r="S600" s="26"/>
      <c r="Z600" s="22"/>
    </row>
    <row r="601" spans="2:26" x14ac:dyDescent="0.25">
      <c r="B601" s="22"/>
      <c r="K601" s="23"/>
      <c r="L601" s="24"/>
      <c r="M601" s="24"/>
      <c r="N601" s="24"/>
      <c r="O601" s="24"/>
      <c r="P601" s="24"/>
      <c r="Q601" s="25"/>
      <c r="S601" s="26"/>
      <c r="Z601" s="22"/>
    </row>
    <row r="602" spans="2:26" x14ac:dyDescent="0.25">
      <c r="B602" s="22"/>
      <c r="K602" s="23"/>
      <c r="L602" s="24"/>
      <c r="M602" s="24"/>
      <c r="N602" s="24"/>
      <c r="O602" s="24"/>
      <c r="P602" s="24"/>
      <c r="Q602" s="25"/>
      <c r="S602" s="26"/>
      <c r="Z602" s="22"/>
    </row>
    <row r="603" spans="2:26" x14ac:dyDescent="0.25">
      <c r="B603" s="22"/>
      <c r="K603" s="23"/>
      <c r="L603" s="24"/>
      <c r="M603" s="24"/>
      <c r="N603" s="24"/>
      <c r="O603" s="24"/>
      <c r="P603" s="24"/>
      <c r="Q603" s="25"/>
      <c r="S603" s="26"/>
      <c r="Z603" s="22"/>
    </row>
    <row r="604" spans="2:26" x14ac:dyDescent="0.25">
      <c r="B604" s="22"/>
      <c r="K604" s="23"/>
      <c r="L604" s="24"/>
      <c r="M604" s="24"/>
      <c r="N604" s="24"/>
      <c r="O604" s="24"/>
      <c r="P604" s="24"/>
      <c r="Q604" s="25"/>
      <c r="S604" s="26"/>
      <c r="Z604" s="22"/>
    </row>
    <row r="605" spans="2:26" x14ac:dyDescent="0.25">
      <c r="B605" s="22"/>
      <c r="K605" s="23"/>
      <c r="L605" s="24"/>
      <c r="M605" s="24"/>
      <c r="N605" s="24"/>
      <c r="O605" s="24"/>
      <c r="P605" s="24"/>
      <c r="Q605" s="25"/>
      <c r="S605" s="26"/>
      <c r="Z605" s="22"/>
    </row>
    <row r="606" spans="2:26" x14ac:dyDescent="0.25">
      <c r="B606" s="22"/>
      <c r="K606" s="23"/>
      <c r="L606" s="24"/>
      <c r="M606" s="24"/>
      <c r="N606" s="24"/>
      <c r="O606" s="24"/>
      <c r="P606" s="24"/>
      <c r="Q606" s="25"/>
      <c r="S606" s="26"/>
      <c r="Z606" s="22"/>
    </row>
    <row r="607" spans="2:26" x14ac:dyDescent="0.25">
      <c r="B607" s="22"/>
      <c r="K607" s="23"/>
      <c r="L607" s="24"/>
      <c r="M607" s="24"/>
      <c r="N607" s="24"/>
      <c r="O607" s="24"/>
      <c r="P607" s="24"/>
      <c r="Q607" s="25"/>
      <c r="S607" s="26"/>
      <c r="Z607" s="22"/>
    </row>
    <row r="608" spans="2:26" x14ac:dyDescent="0.25">
      <c r="B608" s="22"/>
      <c r="K608" s="23"/>
      <c r="L608" s="24"/>
      <c r="M608" s="24"/>
      <c r="N608" s="24"/>
      <c r="O608" s="24"/>
      <c r="P608" s="24"/>
      <c r="Q608" s="25"/>
      <c r="S608" s="26"/>
      <c r="Z608" s="22"/>
    </row>
    <row r="609" spans="2:26" x14ac:dyDescent="0.25">
      <c r="B609" s="22"/>
      <c r="K609" s="23"/>
      <c r="L609" s="24"/>
      <c r="M609" s="24"/>
      <c r="N609" s="24"/>
      <c r="O609" s="24"/>
      <c r="P609" s="24"/>
      <c r="Q609" s="25"/>
      <c r="S609" s="26"/>
      <c r="Z609" s="22"/>
    </row>
    <row r="610" spans="2:26" x14ac:dyDescent="0.25">
      <c r="B610" s="22"/>
      <c r="K610" s="23"/>
      <c r="L610" s="24"/>
      <c r="M610" s="24"/>
      <c r="N610" s="24"/>
      <c r="O610" s="24"/>
      <c r="P610" s="24"/>
      <c r="Q610" s="25"/>
      <c r="S610" s="26"/>
      <c r="Z610" s="22"/>
    </row>
    <row r="611" spans="2:26" x14ac:dyDescent="0.25">
      <c r="B611" s="22"/>
      <c r="K611" s="23"/>
      <c r="L611" s="24"/>
      <c r="M611" s="24"/>
      <c r="N611" s="24"/>
      <c r="O611" s="24"/>
      <c r="P611" s="24"/>
      <c r="Q611" s="25"/>
      <c r="S611" s="26"/>
      <c r="Z611" s="22"/>
    </row>
    <row r="612" spans="2:26" x14ac:dyDescent="0.25">
      <c r="B612" s="22"/>
      <c r="K612" s="23"/>
      <c r="L612" s="24"/>
      <c r="M612" s="24"/>
      <c r="N612" s="24"/>
      <c r="O612" s="24"/>
      <c r="P612" s="24"/>
      <c r="Q612" s="25"/>
      <c r="S612" s="26"/>
      <c r="Z612" s="22"/>
    </row>
    <row r="613" spans="2:26" x14ac:dyDescent="0.25">
      <c r="B613" s="22"/>
      <c r="K613" s="23"/>
      <c r="L613" s="24"/>
      <c r="M613" s="24"/>
      <c r="N613" s="24"/>
      <c r="O613" s="24"/>
      <c r="P613" s="24"/>
      <c r="Q613" s="25"/>
      <c r="S613" s="26"/>
      <c r="Z613" s="22"/>
    </row>
    <row r="614" spans="2:26" x14ac:dyDescent="0.25">
      <c r="B614" s="22"/>
      <c r="K614" s="23"/>
      <c r="L614" s="24"/>
      <c r="M614" s="24"/>
      <c r="N614" s="24"/>
      <c r="O614" s="24"/>
      <c r="P614" s="24"/>
      <c r="Q614" s="25"/>
      <c r="S614" s="26"/>
      <c r="Z614" s="22"/>
    </row>
    <row r="615" spans="2:26" x14ac:dyDescent="0.25">
      <c r="B615" s="22"/>
      <c r="K615" s="23"/>
      <c r="L615" s="24"/>
      <c r="M615" s="24"/>
      <c r="N615" s="24"/>
      <c r="O615" s="24"/>
      <c r="P615" s="24"/>
      <c r="Q615" s="25"/>
      <c r="S615" s="26"/>
      <c r="Z615" s="22"/>
    </row>
    <row r="616" spans="2:26" x14ac:dyDescent="0.25">
      <c r="B616" s="22"/>
      <c r="K616" s="23"/>
      <c r="L616" s="24"/>
      <c r="M616" s="24"/>
      <c r="N616" s="24"/>
      <c r="O616" s="24"/>
      <c r="P616" s="24"/>
      <c r="Q616" s="25"/>
      <c r="S616" s="26"/>
      <c r="Z616" s="22"/>
    </row>
    <row r="617" spans="2:26" x14ac:dyDescent="0.25">
      <c r="B617" s="22"/>
      <c r="K617" s="23"/>
      <c r="L617" s="24"/>
      <c r="M617" s="24"/>
      <c r="N617" s="24"/>
      <c r="O617" s="24"/>
      <c r="P617" s="24"/>
      <c r="Q617" s="25"/>
      <c r="S617" s="26"/>
      <c r="Z617" s="22"/>
    </row>
    <row r="618" spans="2:26" x14ac:dyDescent="0.25">
      <c r="B618" s="22"/>
      <c r="K618" s="23"/>
      <c r="L618" s="24"/>
      <c r="M618" s="24"/>
      <c r="N618" s="24"/>
      <c r="O618" s="24"/>
      <c r="P618" s="24"/>
      <c r="Q618" s="25"/>
      <c r="S618" s="26"/>
      <c r="Z618" s="22"/>
    </row>
    <row r="619" spans="2:26" x14ac:dyDescent="0.25">
      <c r="B619" s="22"/>
      <c r="K619" s="23"/>
      <c r="L619" s="24"/>
      <c r="M619" s="24"/>
      <c r="N619" s="24"/>
      <c r="O619" s="24"/>
      <c r="P619" s="24"/>
      <c r="Q619" s="25"/>
      <c r="S619" s="26"/>
      <c r="Z619" s="22"/>
    </row>
    <row r="620" spans="2:26" x14ac:dyDescent="0.25">
      <c r="B620" s="22"/>
      <c r="K620" s="23"/>
      <c r="L620" s="24"/>
      <c r="M620" s="24"/>
      <c r="N620" s="24"/>
      <c r="O620" s="24"/>
      <c r="P620" s="24"/>
      <c r="Q620" s="25"/>
      <c r="S620" s="26"/>
      <c r="Z620" s="22"/>
    </row>
    <row r="621" spans="2:26" x14ac:dyDescent="0.25">
      <c r="B621" s="22"/>
      <c r="K621" s="23"/>
      <c r="L621" s="24"/>
      <c r="M621" s="24"/>
      <c r="N621" s="24"/>
      <c r="O621" s="24"/>
      <c r="P621" s="24"/>
      <c r="Q621" s="25"/>
      <c r="S621" s="26"/>
      <c r="Z621" s="22"/>
    </row>
    <row r="622" spans="2:26" x14ac:dyDescent="0.25">
      <c r="B622" s="22"/>
      <c r="K622" s="23"/>
      <c r="L622" s="24"/>
      <c r="M622" s="24"/>
      <c r="N622" s="24"/>
      <c r="O622" s="24"/>
      <c r="P622" s="24"/>
      <c r="Q622" s="25"/>
      <c r="S622" s="26"/>
      <c r="Z622" s="22"/>
    </row>
    <row r="623" spans="2:26" x14ac:dyDescent="0.25">
      <c r="B623" s="22"/>
      <c r="K623" s="23"/>
      <c r="L623" s="24"/>
      <c r="M623" s="24"/>
      <c r="N623" s="24"/>
      <c r="O623" s="24"/>
      <c r="P623" s="24"/>
      <c r="Q623" s="25"/>
      <c r="S623" s="26"/>
      <c r="Z623" s="22"/>
    </row>
    <row r="624" spans="2:26" x14ac:dyDescent="0.25">
      <c r="B624" s="22"/>
      <c r="K624" s="23"/>
      <c r="L624" s="24"/>
      <c r="M624" s="24"/>
      <c r="N624" s="24"/>
      <c r="O624" s="24"/>
      <c r="P624" s="24"/>
      <c r="Q624" s="25"/>
      <c r="S624" s="26"/>
      <c r="Z624" s="22"/>
    </row>
    <row r="625" spans="2:26" x14ac:dyDescent="0.25">
      <c r="B625" s="22"/>
      <c r="K625" s="23"/>
      <c r="L625" s="24"/>
      <c r="M625" s="24"/>
      <c r="N625" s="24"/>
      <c r="O625" s="24"/>
      <c r="P625" s="24"/>
      <c r="Q625" s="25"/>
      <c r="S625" s="26"/>
      <c r="Z625" s="22"/>
    </row>
    <row r="626" spans="2:26" x14ac:dyDescent="0.25">
      <c r="B626" s="22"/>
      <c r="K626" s="23"/>
      <c r="L626" s="24"/>
      <c r="M626" s="24"/>
      <c r="N626" s="24"/>
      <c r="O626" s="24"/>
      <c r="P626" s="24"/>
      <c r="Q626" s="25"/>
      <c r="S626" s="26"/>
      <c r="Z626" s="22"/>
    </row>
    <row r="627" spans="2:26" x14ac:dyDescent="0.25">
      <c r="B627" s="22"/>
      <c r="K627" s="23"/>
      <c r="L627" s="24"/>
      <c r="M627" s="24"/>
      <c r="N627" s="24"/>
      <c r="O627" s="24"/>
      <c r="P627" s="24"/>
      <c r="Q627" s="25"/>
      <c r="S627" s="26"/>
      <c r="Z627" s="22"/>
    </row>
    <row r="628" spans="2:26" x14ac:dyDescent="0.25">
      <c r="B628" s="22"/>
      <c r="K628" s="23"/>
      <c r="L628" s="24"/>
      <c r="M628" s="24"/>
      <c r="N628" s="24"/>
      <c r="O628" s="24"/>
      <c r="P628" s="24"/>
      <c r="Q628" s="25"/>
      <c r="S628" s="26"/>
      <c r="Z628" s="22"/>
    </row>
    <row r="629" spans="2:26" x14ac:dyDescent="0.25">
      <c r="B629" s="22"/>
      <c r="K629" s="23"/>
      <c r="L629" s="24"/>
      <c r="M629" s="24"/>
      <c r="N629" s="24"/>
      <c r="O629" s="24"/>
      <c r="P629" s="24"/>
      <c r="Q629" s="25"/>
      <c r="S629" s="26"/>
      <c r="Z629" s="22"/>
    </row>
    <row r="630" spans="2:26" x14ac:dyDescent="0.25">
      <c r="B630" s="22"/>
      <c r="K630" s="23"/>
      <c r="L630" s="24"/>
      <c r="M630" s="24"/>
      <c r="N630" s="24"/>
      <c r="O630" s="24"/>
      <c r="P630" s="24"/>
      <c r="Q630" s="25"/>
      <c r="S630" s="26"/>
      <c r="Z630" s="22"/>
    </row>
    <row r="631" spans="2:26" x14ac:dyDescent="0.25">
      <c r="B631" s="22"/>
      <c r="K631" s="23"/>
      <c r="L631" s="24"/>
      <c r="M631" s="24"/>
      <c r="N631" s="24"/>
      <c r="O631" s="24"/>
      <c r="P631" s="24"/>
      <c r="Q631" s="25"/>
      <c r="S631" s="26"/>
      <c r="Z631" s="22"/>
    </row>
    <row r="632" spans="2:26" x14ac:dyDescent="0.25">
      <c r="B632" s="22"/>
      <c r="K632" s="23"/>
      <c r="L632" s="24"/>
      <c r="M632" s="24"/>
      <c r="N632" s="24"/>
      <c r="O632" s="24"/>
      <c r="P632" s="24"/>
      <c r="Q632" s="25"/>
      <c r="S632" s="26"/>
      <c r="Z632" s="22"/>
    </row>
    <row r="633" spans="2:26" x14ac:dyDescent="0.25">
      <c r="B633" s="22"/>
      <c r="K633" s="23"/>
      <c r="L633" s="24"/>
      <c r="M633" s="24"/>
      <c r="N633" s="24"/>
      <c r="O633" s="24"/>
      <c r="P633" s="24"/>
      <c r="Q633" s="25"/>
      <c r="S633" s="26"/>
      <c r="Z633" s="22"/>
    </row>
    <row r="634" spans="2:26" x14ac:dyDescent="0.25">
      <c r="B634" s="22"/>
      <c r="K634" s="23"/>
      <c r="L634" s="24"/>
      <c r="M634" s="24"/>
      <c r="N634" s="24"/>
      <c r="O634" s="24"/>
      <c r="P634" s="24"/>
      <c r="Q634" s="25"/>
      <c r="S634" s="26"/>
      <c r="Z634" s="22"/>
    </row>
    <row r="635" spans="2:26" x14ac:dyDescent="0.25">
      <c r="B635" s="22"/>
      <c r="K635" s="23"/>
      <c r="L635" s="24"/>
      <c r="M635" s="24"/>
      <c r="N635" s="24"/>
      <c r="O635" s="24"/>
      <c r="P635" s="24"/>
      <c r="Q635" s="25"/>
      <c r="S635" s="26"/>
      <c r="Z635" s="22"/>
    </row>
    <row r="636" spans="2:26" x14ac:dyDescent="0.25">
      <c r="B636" s="22"/>
      <c r="K636" s="23"/>
      <c r="L636" s="24"/>
      <c r="M636" s="24"/>
      <c r="N636" s="24"/>
      <c r="O636" s="24"/>
      <c r="P636" s="24"/>
      <c r="Q636" s="25"/>
      <c r="S636" s="26"/>
      <c r="Z636" s="22"/>
    </row>
    <row r="637" spans="2:26" x14ac:dyDescent="0.25">
      <c r="B637" s="22"/>
      <c r="K637" s="23"/>
      <c r="L637" s="24"/>
      <c r="M637" s="24"/>
      <c r="N637" s="24"/>
      <c r="O637" s="24"/>
      <c r="P637" s="24"/>
      <c r="Q637" s="25"/>
      <c r="S637" s="26"/>
      <c r="Z637" s="22"/>
    </row>
    <row r="638" spans="2:26" x14ac:dyDescent="0.25">
      <c r="B638" s="22"/>
      <c r="K638" s="23"/>
      <c r="L638" s="24"/>
      <c r="M638" s="24"/>
      <c r="N638" s="24"/>
      <c r="O638" s="24"/>
      <c r="P638" s="24"/>
      <c r="Q638" s="25"/>
      <c r="S638" s="26"/>
      <c r="Z638" s="22"/>
    </row>
    <row r="639" spans="2:26" x14ac:dyDescent="0.25">
      <c r="B639" s="22"/>
      <c r="K639" s="23"/>
      <c r="L639" s="24"/>
      <c r="M639" s="24"/>
      <c r="N639" s="24"/>
      <c r="O639" s="24"/>
      <c r="P639" s="24"/>
      <c r="Q639" s="25"/>
      <c r="S639" s="26"/>
      <c r="Z639" s="22"/>
    </row>
    <row r="640" spans="2:26" x14ac:dyDescent="0.25">
      <c r="B640" s="22"/>
      <c r="K640" s="23"/>
      <c r="L640" s="24"/>
      <c r="M640" s="24"/>
      <c r="N640" s="24"/>
      <c r="O640" s="24"/>
      <c r="P640" s="24"/>
      <c r="Q640" s="25"/>
      <c r="S640" s="26"/>
      <c r="Z640" s="22"/>
    </row>
    <row r="641" spans="2:26" x14ac:dyDescent="0.25">
      <c r="B641" s="22"/>
      <c r="K641" s="23"/>
      <c r="L641" s="24"/>
      <c r="M641" s="24"/>
      <c r="N641" s="24"/>
      <c r="O641" s="24"/>
      <c r="P641" s="24"/>
      <c r="Q641" s="25"/>
      <c r="S641" s="26"/>
      <c r="Z641" s="22"/>
    </row>
    <row r="642" spans="2:26" x14ac:dyDescent="0.25">
      <c r="B642" s="22"/>
      <c r="K642" s="23"/>
      <c r="L642" s="24"/>
      <c r="M642" s="24"/>
      <c r="N642" s="24"/>
      <c r="O642" s="24"/>
      <c r="P642" s="24"/>
      <c r="Q642" s="25"/>
      <c r="S642" s="26"/>
      <c r="Z642" s="22"/>
    </row>
    <row r="643" spans="2:26" x14ac:dyDescent="0.25">
      <c r="B643" s="22"/>
      <c r="K643" s="23"/>
      <c r="L643" s="24"/>
      <c r="M643" s="24"/>
      <c r="N643" s="24"/>
      <c r="O643" s="24"/>
      <c r="P643" s="24"/>
      <c r="Q643" s="25"/>
      <c r="S643" s="26"/>
      <c r="Z643" s="22"/>
    </row>
    <row r="644" spans="2:26" x14ac:dyDescent="0.25">
      <c r="B644" s="22"/>
      <c r="K644" s="23"/>
      <c r="L644" s="24"/>
      <c r="M644" s="24"/>
      <c r="N644" s="24"/>
      <c r="O644" s="24"/>
      <c r="P644" s="24"/>
      <c r="Q644" s="25"/>
      <c r="S644" s="26"/>
      <c r="Z644" s="22"/>
    </row>
    <row r="645" spans="2:26" x14ac:dyDescent="0.25">
      <c r="B645" s="22"/>
      <c r="K645" s="23"/>
      <c r="L645" s="24"/>
      <c r="M645" s="24"/>
      <c r="N645" s="24"/>
      <c r="O645" s="24"/>
      <c r="P645" s="24"/>
      <c r="Q645" s="25"/>
      <c r="S645" s="26"/>
      <c r="Z645" s="22"/>
    </row>
    <row r="646" spans="2:26" x14ac:dyDescent="0.25">
      <c r="B646" s="22"/>
      <c r="K646" s="23"/>
      <c r="L646" s="24"/>
      <c r="M646" s="24"/>
      <c r="N646" s="24"/>
      <c r="O646" s="24"/>
      <c r="P646" s="24"/>
      <c r="Q646" s="25"/>
      <c r="S646" s="26"/>
      <c r="Z646" s="22"/>
    </row>
    <row r="647" spans="2:26" x14ac:dyDescent="0.25">
      <c r="B647" s="22"/>
      <c r="K647" s="23"/>
      <c r="L647" s="24"/>
      <c r="M647" s="24"/>
      <c r="N647" s="24"/>
      <c r="O647" s="24"/>
      <c r="P647" s="24"/>
      <c r="Q647" s="25"/>
      <c r="S647" s="26"/>
      <c r="Z647" s="22"/>
    </row>
    <row r="648" spans="2:26" x14ac:dyDescent="0.25">
      <c r="B648" s="22"/>
      <c r="K648" s="23"/>
      <c r="L648" s="24"/>
      <c r="M648" s="24"/>
      <c r="N648" s="24"/>
      <c r="O648" s="24"/>
      <c r="P648" s="24"/>
      <c r="Q648" s="25"/>
      <c r="S648" s="26"/>
      <c r="Z648" s="22"/>
    </row>
    <row r="649" spans="2:26" x14ac:dyDescent="0.25">
      <c r="B649" s="22"/>
      <c r="K649" s="23"/>
      <c r="L649" s="24"/>
      <c r="M649" s="24"/>
      <c r="N649" s="24"/>
      <c r="O649" s="24"/>
      <c r="P649" s="24"/>
      <c r="Q649" s="25"/>
      <c r="S649" s="26"/>
      <c r="Z649" s="22"/>
    </row>
    <row r="650" spans="2:26" x14ac:dyDescent="0.25">
      <c r="B650" s="22"/>
      <c r="K650" s="23"/>
      <c r="L650" s="24"/>
      <c r="M650" s="24"/>
      <c r="N650" s="24"/>
      <c r="O650" s="24"/>
      <c r="P650" s="24"/>
      <c r="Q650" s="25"/>
      <c r="S650" s="26"/>
      <c r="Z650" s="22"/>
    </row>
    <row r="651" spans="2:26" x14ac:dyDescent="0.25">
      <c r="B651" s="22"/>
      <c r="K651" s="23"/>
      <c r="L651" s="24"/>
      <c r="M651" s="24"/>
      <c r="N651" s="24"/>
      <c r="O651" s="24"/>
      <c r="P651" s="24"/>
      <c r="Q651" s="25"/>
      <c r="S651" s="26"/>
      <c r="Z651" s="22"/>
    </row>
    <row r="652" spans="2:26" x14ac:dyDescent="0.25">
      <c r="B652" s="22"/>
      <c r="K652" s="23"/>
      <c r="L652" s="24"/>
      <c r="M652" s="24"/>
      <c r="N652" s="24"/>
      <c r="O652" s="24"/>
      <c r="P652" s="24"/>
      <c r="Q652" s="25"/>
      <c r="S652" s="26"/>
      <c r="Z652" s="22"/>
    </row>
    <row r="653" spans="2:26" x14ac:dyDescent="0.25">
      <c r="B653" s="22"/>
      <c r="K653" s="23"/>
      <c r="L653" s="24"/>
      <c r="M653" s="24"/>
      <c r="N653" s="24"/>
      <c r="O653" s="24"/>
      <c r="P653" s="24"/>
      <c r="Q653" s="25"/>
      <c r="S653" s="26"/>
      <c r="Z653" s="22"/>
    </row>
    <row r="654" spans="2:26" x14ac:dyDescent="0.25">
      <c r="B654" s="22"/>
      <c r="K654" s="23"/>
      <c r="L654" s="24"/>
      <c r="M654" s="24"/>
      <c r="N654" s="24"/>
      <c r="O654" s="24"/>
      <c r="P654" s="24"/>
      <c r="Q654" s="25"/>
      <c r="S654" s="26"/>
      <c r="Z654" s="22"/>
    </row>
    <row r="655" spans="2:26" x14ac:dyDescent="0.25">
      <c r="B655" s="22"/>
      <c r="K655" s="23"/>
      <c r="L655" s="24"/>
      <c r="M655" s="24"/>
      <c r="N655" s="24"/>
      <c r="O655" s="24"/>
      <c r="P655" s="24"/>
      <c r="Q655" s="25"/>
      <c r="S655" s="26"/>
      <c r="Z655" s="22"/>
    </row>
    <row r="656" spans="2:26" x14ac:dyDescent="0.25">
      <c r="B656" s="22"/>
      <c r="K656" s="23"/>
      <c r="L656" s="24"/>
      <c r="M656" s="24"/>
      <c r="N656" s="24"/>
      <c r="O656" s="24"/>
      <c r="P656" s="24"/>
      <c r="Q656" s="25"/>
      <c r="S656" s="26"/>
      <c r="Z656" s="22"/>
    </row>
    <row r="657" spans="2:26" x14ac:dyDescent="0.25">
      <c r="B657" s="22"/>
      <c r="K657" s="23"/>
      <c r="L657" s="24"/>
      <c r="M657" s="24"/>
      <c r="N657" s="24"/>
      <c r="O657" s="24"/>
      <c r="P657" s="24"/>
      <c r="Q657" s="25"/>
      <c r="S657" s="26"/>
      <c r="Z657" s="22"/>
    </row>
    <row r="658" spans="2:26" x14ac:dyDescent="0.25">
      <c r="B658" s="22"/>
      <c r="K658" s="23"/>
      <c r="L658" s="24"/>
      <c r="M658" s="24"/>
      <c r="N658" s="24"/>
      <c r="O658" s="24"/>
      <c r="P658" s="24"/>
      <c r="Q658" s="25"/>
      <c r="S658" s="26"/>
      <c r="Z658" s="22"/>
    </row>
    <row r="659" spans="2:26" x14ac:dyDescent="0.25">
      <c r="B659" s="22"/>
      <c r="K659" s="23"/>
      <c r="L659" s="24"/>
      <c r="M659" s="24"/>
      <c r="N659" s="24"/>
      <c r="O659" s="24"/>
      <c r="P659" s="24"/>
      <c r="Q659" s="25"/>
      <c r="S659" s="26"/>
      <c r="Z659" s="22"/>
    </row>
    <row r="660" spans="2:26" x14ac:dyDescent="0.25">
      <c r="B660" s="22"/>
      <c r="K660" s="23"/>
      <c r="L660" s="24"/>
      <c r="M660" s="24"/>
      <c r="N660" s="24"/>
      <c r="O660" s="24"/>
      <c r="P660" s="24"/>
      <c r="Q660" s="25"/>
      <c r="S660" s="26"/>
      <c r="Z660" s="22"/>
    </row>
    <row r="661" spans="2:26" x14ac:dyDescent="0.25">
      <c r="B661" s="22"/>
      <c r="K661" s="23"/>
      <c r="L661" s="24"/>
      <c r="M661" s="24"/>
      <c r="N661" s="24"/>
      <c r="O661" s="24"/>
      <c r="P661" s="24"/>
      <c r="Q661" s="25"/>
      <c r="S661" s="26"/>
      <c r="Z661" s="22"/>
    </row>
    <row r="662" spans="2:26" x14ac:dyDescent="0.25">
      <c r="B662" s="22"/>
      <c r="K662" s="23"/>
      <c r="L662" s="24"/>
      <c r="M662" s="24"/>
      <c r="N662" s="24"/>
      <c r="O662" s="24"/>
      <c r="P662" s="24"/>
      <c r="Q662" s="25"/>
      <c r="S662" s="26"/>
      <c r="Z662" s="22"/>
    </row>
    <row r="663" spans="2:26" x14ac:dyDescent="0.25">
      <c r="B663" s="22"/>
      <c r="K663" s="23"/>
      <c r="L663" s="24"/>
      <c r="M663" s="24"/>
      <c r="N663" s="24"/>
      <c r="O663" s="24"/>
      <c r="P663" s="24"/>
      <c r="Q663" s="25"/>
      <c r="S663" s="26"/>
      <c r="Z663" s="22"/>
    </row>
    <row r="664" spans="2:26" x14ac:dyDescent="0.25">
      <c r="B664" s="22"/>
      <c r="K664" s="23"/>
      <c r="L664" s="24"/>
      <c r="M664" s="24"/>
      <c r="N664" s="24"/>
      <c r="O664" s="24"/>
      <c r="P664" s="24"/>
      <c r="Q664" s="25"/>
      <c r="S664" s="26"/>
      <c r="Z664" s="22"/>
    </row>
    <row r="665" spans="2:26" x14ac:dyDescent="0.25">
      <c r="B665" s="22"/>
      <c r="K665" s="23"/>
      <c r="L665" s="24"/>
      <c r="M665" s="24"/>
      <c r="N665" s="24"/>
      <c r="O665" s="24"/>
      <c r="P665" s="24"/>
      <c r="Q665" s="25"/>
      <c r="S665" s="26"/>
      <c r="Z665" s="22"/>
    </row>
    <row r="666" spans="2:26" x14ac:dyDescent="0.25">
      <c r="B666" s="22"/>
      <c r="K666" s="23"/>
      <c r="L666" s="24"/>
      <c r="M666" s="24"/>
      <c r="N666" s="24"/>
      <c r="O666" s="24"/>
      <c r="P666" s="24"/>
      <c r="Q666" s="25"/>
      <c r="S666" s="26"/>
      <c r="Z666" s="22"/>
    </row>
    <row r="667" spans="2:26" x14ac:dyDescent="0.25">
      <c r="B667" s="22"/>
      <c r="K667" s="23"/>
      <c r="L667" s="24"/>
      <c r="M667" s="24"/>
      <c r="N667" s="24"/>
      <c r="O667" s="24"/>
      <c r="P667" s="24"/>
      <c r="Q667" s="25"/>
      <c r="S667" s="26"/>
      <c r="Z667" s="22"/>
    </row>
    <row r="668" spans="2:26" x14ac:dyDescent="0.25">
      <c r="B668" s="22"/>
      <c r="K668" s="23"/>
      <c r="L668" s="24"/>
      <c r="M668" s="24"/>
      <c r="N668" s="24"/>
      <c r="O668" s="24"/>
      <c r="P668" s="24"/>
      <c r="Q668" s="25"/>
      <c r="S668" s="26"/>
      <c r="Z668" s="22"/>
    </row>
    <row r="669" spans="2:26" x14ac:dyDescent="0.25">
      <c r="B669" s="22"/>
      <c r="K669" s="23"/>
      <c r="L669" s="24"/>
      <c r="M669" s="24"/>
      <c r="N669" s="24"/>
      <c r="O669" s="24"/>
      <c r="P669" s="24"/>
      <c r="Q669" s="25"/>
      <c r="S669" s="26"/>
      <c r="Z669" s="22"/>
    </row>
    <row r="670" spans="2:26" x14ac:dyDescent="0.25">
      <c r="B670" s="22"/>
      <c r="K670" s="23"/>
      <c r="L670" s="24"/>
      <c r="M670" s="24"/>
      <c r="N670" s="24"/>
      <c r="O670" s="24"/>
      <c r="P670" s="24"/>
      <c r="Q670" s="25"/>
      <c r="S670" s="26"/>
      <c r="Z670" s="22"/>
    </row>
    <row r="671" spans="2:26" x14ac:dyDescent="0.25">
      <c r="B671" s="22"/>
      <c r="K671" s="23"/>
      <c r="L671" s="24"/>
      <c r="M671" s="24"/>
      <c r="N671" s="24"/>
      <c r="O671" s="24"/>
      <c r="P671" s="24"/>
      <c r="Q671" s="25"/>
      <c r="S671" s="26"/>
      <c r="Z671" s="22"/>
    </row>
    <row r="672" spans="2:26" x14ac:dyDescent="0.25">
      <c r="B672" s="22"/>
      <c r="K672" s="23"/>
      <c r="L672" s="24"/>
      <c r="M672" s="24"/>
      <c r="N672" s="24"/>
      <c r="O672" s="24"/>
      <c r="P672" s="24"/>
      <c r="Q672" s="25"/>
      <c r="S672" s="26"/>
      <c r="Z672" s="22"/>
    </row>
    <row r="673" spans="2:26" x14ac:dyDescent="0.25">
      <c r="B673" s="22"/>
      <c r="K673" s="23"/>
      <c r="L673" s="24"/>
      <c r="M673" s="24"/>
      <c r="N673" s="24"/>
      <c r="O673" s="24"/>
      <c r="P673" s="24"/>
      <c r="Q673" s="25"/>
      <c r="S673" s="26"/>
      <c r="Z673" s="22"/>
    </row>
    <row r="674" spans="2:26" x14ac:dyDescent="0.25">
      <c r="B674" s="22"/>
      <c r="K674" s="23"/>
      <c r="L674" s="24"/>
      <c r="M674" s="24"/>
      <c r="N674" s="24"/>
      <c r="O674" s="24"/>
      <c r="P674" s="24"/>
      <c r="Q674" s="25"/>
      <c r="S674" s="26"/>
      <c r="Z674" s="22"/>
    </row>
    <row r="675" spans="2:26" x14ac:dyDescent="0.25">
      <c r="B675" s="22"/>
      <c r="K675" s="23"/>
      <c r="L675" s="24"/>
      <c r="M675" s="24"/>
      <c r="N675" s="24"/>
      <c r="O675" s="24"/>
      <c r="P675" s="24"/>
      <c r="Q675" s="25"/>
      <c r="S675" s="26"/>
      <c r="Z675" s="22"/>
    </row>
    <row r="676" spans="2:26" x14ac:dyDescent="0.25">
      <c r="B676" s="22"/>
      <c r="K676" s="23"/>
      <c r="L676" s="24"/>
      <c r="M676" s="24"/>
      <c r="N676" s="24"/>
      <c r="O676" s="24"/>
      <c r="P676" s="24"/>
      <c r="Q676" s="25"/>
      <c r="S676" s="26"/>
      <c r="Z676" s="22"/>
    </row>
    <row r="677" spans="2:26" x14ac:dyDescent="0.25">
      <c r="B677" s="22"/>
      <c r="K677" s="23"/>
      <c r="L677" s="24"/>
      <c r="M677" s="24"/>
      <c r="N677" s="24"/>
      <c r="O677" s="24"/>
      <c r="P677" s="24"/>
      <c r="Q677" s="25"/>
      <c r="S677" s="26"/>
      <c r="Z677" s="22"/>
    </row>
    <row r="678" spans="2:26" x14ac:dyDescent="0.25">
      <c r="B678" s="22"/>
      <c r="K678" s="23"/>
      <c r="L678" s="24"/>
      <c r="M678" s="24"/>
      <c r="N678" s="24"/>
      <c r="O678" s="24"/>
      <c r="P678" s="24"/>
      <c r="Q678" s="25"/>
      <c r="S678" s="26"/>
      <c r="Z678" s="22"/>
    </row>
    <row r="679" spans="2:26" x14ac:dyDescent="0.25">
      <c r="B679" s="22"/>
      <c r="K679" s="23"/>
      <c r="L679" s="24"/>
      <c r="M679" s="24"/>
      <c r="N679" s="24"/>
      <c r="O679" s="24"/>
      <c r="P679" s="24"/>
      <c r="Q679" s="25"/>
      <c r="S679" s="26"/>
      <c r="Z679" s="22"/>
    </row>
    <row r="680" spans="2:26" x14ac:dyDescent="0.25">
      <c r="B680" s="22"/>
      <c r="K680" s="23"/>
      <c r="L680" s="24"/>
      <c r="M680" s="24"/>
      <c r="N680" s="24"/>
      <c r="O680" s="24"/>
      <c r="P680" s="24"/>
      <c r="Q680" s="25"/>
      <c r="S680" s="26"/>
      <c r="Z680" s="22"/>
    </row>
    <row r="681" spans="2:26" x14ac:dyDescent="0.25">
      <c r="B681" s="22"/>
      <c r="K681" s="23"/>
      <c r="L681" s="24"/>
      <c r="M681" s="24"/>
      <c r="N681" s="24"/>
      <c r="O681" s="24"/>
      <c r="P681" s="24"/>
      <c r="Q681" s="25"/>
      <c r="S681" s="26"/>
      <c r="Z681" s="22"/>
    </row>
    <row r="682" spans="2:26" x14ac:dyDescent="0.25">
      <c r="B682" s="22"/>
      <c r="K682" s="23"/>
      <c r="L682" s="24"/>
      <c r="M682" s="24"/>
      <c r="N682" s="24"/>
      <c r="O682" s="24"/>
      <c r="P682" s="24"/>
      <c r="Q682" s="25"/>
      <c r="S682" s="26"/>
      <c r="Z682" s="22"/>
    </row>
    <row r="683" spans="2:26" x14ac:dyDescent="0.25">
      <c r="B683" s="22"/>
      <c r="K683" s="23"/>
      <c r="L683" s="24"/>
      <c r="M683" s="24"/>
      <c r="N683" s="24"/>
      <c r="O683" s="24"/>
      <c r="P683" s="24"/>
      <c r="Q683" s="25"/>
      <c r="S683" s="26"/>
      <c r="Z683" s="22"/>
    </row>
    <row r="684" spans="2:26" x14ac:dyDescent="0.25">
      <c r="B684" s="22"/>
      <c r="K684" s="23"/>
      <c r="L684" s="24"/>
      <c r="M684" s="24"/>
      <c r="N684" s="24"/>
      <c r="O684" s="24"/>
      <c r="P684" s="24"/>
      <c r="Q684" s="25"/>
      <c r="S684" s="26"/>
      <c r="Z684" s="22"/>
    </row>
    <row r="685" spans="2:26" x14ac:dyDescent="0.25">
      <c r="B685" s="22"/>
      <c r="K685" s="23"/>
      <c r="L685" s="24"/>
      <c r="M685" s="24"/>
      <c r="N685" s="24"/>
      <c r="O685" s="24"/>
      <c r="P685" s="24"/>
      <c r="Q685" s="25"/>
      <c r="S685" s="26"/>
      <c r="Z685" s="22"/>
    </row>
    <row r="686" spans="2:26" x14ac:dyDescent="0.25">
      <c r="B686" s="22"/>
      <c r="K686" s="23"/>
      <c r="L686" s="24"/>
      <c r="M686" s="24"/>
      <c r="N686" s="24"/>
      <c r="O686" s="24"/>
      <c r="P686" s="24"/>
      <c r="Q686" s="25"/>
      <c r="S686" s="26"/>
      <c r="Z686" s="22"/>
    </row>
    <row r="687" spans="2:26" x14ac:dyDescent="0.25">
      <c r="B687" s="22"/>
      <c r="K687" s="23"/>
      <c r="L687" s="24"/>
      <c r="M687" s="24"/>
      <c r="N687" s="24"/>
      <c r="O687" s="24"/>
      <c r="P687" s="24"/>
      <c r="Q687" s="25"/>
      <c r="S687" s="26"/>
      <c r="Z687" s="22"/>
    </row>
    <row r="688" spans="2:26" x14ac:dyDescent="0.25">
      <c r="B688" s="22"/>
      <c r="K688" s="23"/>
      <c r="L688" s="24"/>
      <c r="M688" s="24"/>
      <c r="N688" s="24"/>
      <c r="O688" s="24"/>
      <c r="P688" s="24"/>
      <c r="Q688" s="25"/>
      <c r="S688" s="26"/>
      <c r="Z688" s="22"/>
    </row>
    <row r="689" spans="2:26" x14ac:dyDescent="0.25">
      <c r="B689" s="22"/>
      <c r="K689" s="23"/>
      <c r="L689" s="24"/>
      <c r="M689" s="24"/>
      <c r="N689" s="24"/>
      <c r="O689" s="24"/>
      <c r="P689" s="24"/>
      <c r="Q689" s="25"/>
      <c r="S689" s="26"/>
      <c r="Z689" s="22"/>
    </row>
    <row r="690" spans="2:26" x14ac:dyDescent="0.25">
      <c r="B690" s="22"/>
      <c r="K690" s="23"/>
      <c r="L690" s="24"/>
      <c r="M690" s="24"/>
      <c r="N690" s="24"/>
      <c r="O690" s="24"/>
      <c r="P690" s="24"/>
      <c r="Q690" s="25"/>
      <c r="S690" s="26"/>
      <c r="Z690" s="22"/>
    </row>
    <row r="691" spans="2:26" x14ac:dyDescent="0.25">
      <c r="B691" s="22"/>
      <c r="K691" s="23"/>
      <c r="L691" s="24"/>
      <c r="M691" s="24"/>
      <c r="N691" s="24"/>
      <c r="O691" s="24"/>
      <c r="P691" s="24"/>
      <c r="Q691" s="25"/>
      <c r="S691" s="26"/>
      <c r="Z691" s="22"/>
    </row>
    <row r="692" spans="2:26" x14ac:dyDescent="0.25">
      <c r="B692" s="22"/>
      <c r="K692" s="23"/>
      <c r="L692" s="24"/>
      <c r="M692" s="24"/>
      <c r="N692" s="24"/>
      <c r="O692" s="24"/>
      <c r="P692" s="24"/>
      <c r="Q692" s="25"/>
      <c r="S692" s="26"/>
      <c r="Z692" s="22"/>
    </row>
    <row r="693" spans="2:26" x14ac:dyDescent="0.25">
      <c r="B693" s="22"/>
      <c r="K693" s="23"/>
      <c r="L693" s="24"/>
      <c r="M693" s="24"/>
      <c r="N693" s="24"/>
      <c r="O693" s="24"/>
      <c r="P693" s="24"/>
      <c r="Q693" s="25"/>
      <c r="S693" s="26"/>
      <c r="Z693" s="22"/>
    </row>
    <row r="694" spans="2:26" x14ac:dyDescent="0.25">
      <c r="B694" s="22"/>
      <c r="K694" s="23"/>
      <c r="L694" s="24"/>
      <c r="M694" s="24"/>
      <c r="N694" s="24"/>
      <c r="O694" s="24"/>
      <c r="P694" s="24"/>
      <c r="Q694" s="25"/>
      <c r="S694" s="26"/>
      <c r="Z694" s="22"/>
    </row>
    <row r="695" spans="2:26" x14ac:dyDescent="0.25">
      <c r="B695" s="22"/>
      <c r="K695" s="23"/>
      <c r="L695" s="24"/>
      <c r="M695" s="24"/>
      <c r="N695" s="24"/>
      <c r="O695" s="24"/>
      <c r="P695" s="24"/>
      <c r="Q695" s="25"/>
      <c r="S695" s="26"/>
      <c r="Z695" s="22"/>
    </row>
    <row r="696" spans="2:26" x14ac:dyDescent="0.25">
      <c r="B696" s="22"/>
      <c r="K696" s="23"/>
      <c r="L696" s="24"/>
      <c r="M696" s="24"/>
      <c r="N696" s="24"/>
      <c r="O696" s="24"/>
      <c r="P696" s="24"/>
      <c r="Q696" s="25"/>
      <c r="S696" s="26"/>
      <c r="Z696" s="22"/>
    </row>
    <row r="697" spans="2:26" x14ac:dyDescent="0.25">
      <c r="B697" s="22"/>
      <c r="K697" s="23"/>
      <c r="L697" s="24"/>
      <c r="M697" s="24"/>
      <c r="N697" s="24"/>
      <c r="O697" s="24"/>
      <c r="P697" s="24"/>
      <c r="Q697" s="25"/>
      <c r="S697" s="26"/>
      <c r="Z697" s="22"/>
    </row>
    <row r="698" spans="2:26" x14ac:dyDescent="0.25">
      <c r="B698" s="22"/>
      <c r="K698" s="23"/>
      <c r="L698" s="24"/>
      <c r="M698" s="24"/>
      <c r="N698" s="24"/>
      <c r="O698" s="24"/>
      <c r="P698" s="24"/>
      <c r="Q698" s="25"/>
      <c r="S698" s="26"/>
      <c r="Z698" s="22"/>
    </row>
    <row r="699" spans="2:26" x14ac:dyDescent="0.25">
      <c r="B699" s="22"/>
      <c r="K699" s="23"/>
      <c r="L699" s="24"/>
      <c r="M699" s="24"/>
      <c r="N699" s="24"/>
      <c r="O699" s="24"/>
      <c r="P699" s="24"/>
      <c r="Q699" s="25"/>
      <c r="S699" s="26"/>
      <c r="Z699" s="22"/>
    </row>
    <row r="700" spans="2:26" x14ac:dyDescent="0.25">
      <c r="B700" s="22"/>
      <c r="K700" s="23"/>
      <c r="L700" s="24"/>
      <c r="M700" s="24"/>
      <c r="N700" s="24"/>
      <c r="O700" s="24"/>
      <c r="P700" s="24"/>
      <c r="Q700" s="25"/>
      <c r="S700" s="26"/>
      <c r="Z700" s="22"/>
    </row>
    <row r="701" spans="2:26" x14ac:dyDescent="0.25">
      <c r="B701" s="22"/>
      <c r="K701" s="23"/>
      <c r="L701" s="24"/>
      <c r="M701" s="24"/>
      <c r="N701" s="24"/>
      <c r="O701" s="24"/>
      <c r="P701" s="24"/>
      <c r="Q701" s="25"/>
      <c r="S701" s="26"/>
      <c r="Z701" s="22"/>
    </row>
    <row r="702" spans="2:26" x14ac:dyDescent="0.25">
      <c r="B702" s="22"/>
      <c r="K702" s="23"/>
      <c r="L702" s="24"/>
      <c r="M702" s="24"/>
      <c r="N702" s="24"/>
      <c r="O702" s="24"/>
      <c r="P702" s="24"/>
      <c r="Q702" s="25"/>
      <c r="S702" s="26"/>
      <c r="Z702" s="22"/>
    </row>
    <row r="703" spans="2:26" x14ac:dyDescent="0.25">
      <c r="B703" s="22"/>
      <c r="K703" s="23"/>
      <c r="L703" s="24"/>
      <c r="M703" s="24"/>
      <c r="N703" s="24"/>
      <c r="O703" s="24"/>
      <c r="P703" s="24"/>
      <c r="Q703" s="25"/>
      <c r="S703" s="26"/>
      <c r="Z703" s="22"/>
    </row>
    <row r="704" spans="2:26" x14ac:dyDescent="0.25">
      <c r="B704" s="22"/>
      <c r="K704" s="23"/>
      <c r="L704" s="24"/>
      <c r="M704" s="24"/>
      <c r="N704" s="24"/>
      <c r="O704" s="24"/>
      <c r="P704" s="24"/>
      <c r="Q704" s="25"/>
      <c r="S704" s="26"/>
      <c r="Z704" s="22"/>
    </row>
    <row r="705" spans="2:26" x14ac:dyDescent="0.25">
      <c r="B705" s="22"/>
      <c r="K705" s="23"/>
      <c r="L705" s="24"/>
      <c r="M705" s="24"/>
      <c r="N705" s="24"/>
      <c r="O705" s="24"/>
      <c r="P705" s="24"/>
      <c r="Q705" s="25"/>
      <c r="S705" s="26"/>
      <c r="Z705" s="22"/>
    </row>
    <row r="706" spans="2:26" x14ac:dyDescent="0.25">
      <c r="B706" s="22"/>
      <c r="K706" s="23"/>
      <c r="L706" s="24"/>
      <c r="M706" s="24"/>
      <c r="N706" s="24"/>
      <c r="O706" s="24"/>
      <c r="P706" s="24"/>
      <c r="Q706" s="25"/>
      <c r="S706" s="26"/>
      <c r="Z706" s="22"/>
    </row>
    <row r="707" spans="2:26" x14ac:dyDescent="0.25">
      <c r="B707" s="22"/>
      <c r="K707" s="23"/>
      <c r="L707" s="24"/>
      <c r="M707" s="24"/>
      <c r="N707" s="24"/>
      <c r="O707" s="24"/>
      <c r="P707" s="24"/>
      <c r="Q707" s="25"/>
      <c r="S707" s="26"/>
      <c r="Z707" s="22"/>
    </row>
    <row r="708" spans="2:26" x14ac:dyDescent="0.25">
      <c r="B708" s="22"/>
      <c r="K708" s="23"/>
      <c r="L708" s="24"/>
      <c r="M708" s="24"/>
      <c r="N708" s="24"/>
      <c r="O708" s="24"/>
      <c r="P708" s="24"/>
      <c r="Q708" s="25"/>
      <c r="S708" s="26"/>
      <c r="Z708" s="22"/>
    </row>
    <row r="709" spans="2:26" x14ac:dyDescent="0.25">
      <c r="B709" s="22"/>
      <c r="K709" s="23"/>
      <c r="L709" s="24"/>
      <c r="M709" s="24"/>
      <c r="N709" s="24"/>
      <c r="O709" s="24"/>
      <c r="P709" s="24"/>
      <c r="Q709" s="25"/>
      <c r="S709" s="26"/>
      <c r="Z709" s="22"/>
    </row>
    <row r="710" spans="2:26" x14ac:dyDescent="0.25">
      <c r="B710" s="22"/>
      <c r="K710" s="23"/>
      <c r="L710" s="24"/>
      <c r="M710" s="24"/>
      <c r="N710" s="24"/>
      <c r="O710" s="24"/>
      <c r="P710" s="24"/>
      <c r="Q710" s="25"/>
      <c r="S710" s="26"/>
      <c r="Z710" s="22"/>
    </row>
    <row r="711" spans="2:26" x14ac:dyDescent="0.25">
      <c r="B711" s="22"/>
      <c r="K711" s="23"/>
      <c r="L711" s="24"/>
      <c r="M711" s="24"/>
      <c r="N711" s="24"/>
      <c r="O711" s="24"/>
      <c r="P711" s="24"/>
      <c r="Q711" s="25"/>
      <c r="S711" s="26"/>
      <c r="Z711" s="22"/>
    </row>
    <row r="712" spans="2:26" x14ac:dyDescent="0.25">
      <c r="B712" s="22"/>
      <c r="K712" s="23"/>
      <c r="L712" s="24"/>
      <c r="M712" s="24"/>
      <c r="N712" s="24"/>
      <c r="O712" s="24"/>
      <c r="P712" s="24"/>
      <c r="Q712" s="25"/>
      <c r="S712" s="26"/>
      <c r="Z712" s="22"/>
    </row>
    <row r="713" spans="2:26" x14ac:dyDescent="0.25">
      <c r="B713" s="22"/>
      <c r="K713" s="23"/>
      <c r="L713" s="24"/>
      <c r="M713" s="24"/>
      <c r="N713" s="24"/>
      <c r="O713" s="24"/>
      <c r="P713" s="24"/>
      <c r="Q713" s="25"/>
      <c r="S713" s="26"/>
      <c r="Z713" s="22"/>
    </row>
    <row r="714" spans="2:26" x14ac:dyDescent="0.25">
      <c r="B714" s="22"/>
      <c r="K714" s="23"/>
      <c r="L714" s="24"/>
      <c r="M714" s="24"/>
      <c r="N714" s="24"/>
      <c r="O714" s="24"/>
      <c r="P714" s="24"/>
      <c r="Q714" s="25"/>
      <c r="S714" s="26"/>
      <c r="Z714" s="22"/>
    </row>
    <row r="715" spans="2:26" x14ac:dyDescent="0.25">
      <c r="B715" s="22"/>
      <c r="K715" s="23"/>
      <c r="L715" s="24"/>
      <c r="M715" s="24"/>
      <c r="N715" s="24"/>
      <c r="O715" s="24"/>
      <c r="P715" s="24"/>
      <c r="Q715" s="25"/>
      <c r="S715" s="26"/>
      <c r="Z715" s="22"/>
    </row>
    <row r="716" spans="2:26" x14ac:dyDescent="0.25">
      <c r="B716" s="22"/>
      <c r="K716" s="23"/>
      <c r="L716" s="24"/>
      <c r="M716" s="24"/>
      <c r="N716" s="24"/>
      <c r="O716" s="24"/>
      <c r="P716" s="24"/>
      <c r="Q716" s="25"/>
      <c r="S716" s="26"/>
      <c r="Z716" s="22"/>
    </row>
    <row r="717" spans="2:26" x14ac:dyDescent="0.25">
      <c r="B717" s="22"/>
      <c r="K717" s="23"/>
      <c r="L717" s="24"/>
      <c r="M717" s="24"/>
      <c r="N717" s="24"/>
      <c r="O717" s="24"/>
      <c r="P717" s="24"/>
      <c r="Q717" s="25"/>
      <c r="S717" s="26"/>
      <c r="Z717" s="22"/>
    </row>
    <row r="718" spans="2:26" x14ac:dyDescent="0.25">
      <c r="B718" s="22"/>
      <c r="K718" s="23"/>
      <c r="L718" s="24"/>
      <c r="M718" s="24"/>
      <c r="N718" s="24"/>
      <c r="O718" s="24"/>
      <c r="P718" s="24"/>
      <c r="Q718" s="25"/>
      <c r="S718" s="26"/>
      <c r="Z718" s="22"/>
    </row>
    <row r="719" spans="2:26" x14ac:dyDescent="0.25">
      <c r="B719" s="22"/>
      <c r="K719" s="23"/>
      <c r="L719" s="24"/>
      <c r="M719" s="24"/>
      <c r="N719" s="24"/>
      <c r="O719" s="24"/>
      <c r="P719" s="24"/>
      <c r="Q719" s="25"/>
      <c r="S719" s="26"/>
      <c r="Z719" s="22"/>
    </row>
    <row r="720" spans="2:26" x14ac:dyDescent="0.25">
      <c r="B720" s="22"/>
      <c r="K720" s="23"/>
      <c r="L720" s="24"/>
      <c r="M720" s="24"/>
      <c r="N720" s="24"/>
      <c r="O720" s="24"/>
      <c r="P720" s="24"/>
      <c r="Q720" s="25"/>
      <c r="S720" s="26"/>
      <c r="Z720" s="22"/>
    </row>
    <row r="721" spans="2:26" x14ac:dyDescent="0.25">
      <c r="B721" s="22"/>
      <c r="K721" s="23"/>
      <c r="L721" s="24"/>
      <c r="M721" s="24"/>
      <c r="N721" s="24"/>
      <c r="O721" s="24"/>
      <c r="P721" s="24"/>
      <c r="Q721" s="25"/>
      <c r="S721" s="26"/>
      <c r="Z721" s="22"/>
    </row>
    <row r="722" spans="2:26" x14ac:dyDescent="0.25">
      <c r="B722" s="22"/>
      <c r="K722" s="23"/>
      <c r="L722" s="24"/>
      <c r="M722" s="24"/>
      <c r="N722" s="24"/>
      <c r="O722" s="24"/>
      <c r="P722" s="24"/>
      <c r="Q722" s="25"/>
      <c r="S722" s="26"/>
      <c r="Z722" s="22"/>
    </row>
    <row r="723" spans="2:26" x14ac:dyDescent="0.25">
      <c r="B723" s="22"/>
      <c r="K723" s="23"/>
      <c r="L723" s="24"/>
      <c r="M723" s="24"/>
      <c r="N723" s="24"/>
      <c r="O723" s="24"/>
      <c r="P723" s="24"/>
      <c r="Q723" s="25"/>
      <c r="S723" s="26"/>
      <c r="Z723" s="22"/>
    </row>
    <row r="724" spans="2:26" x14ac:dyDescent="0.25">
      <c r="B724" s="22"/>
      <c r="K724" s="23"/>
      <c r="L724" s="24"/>
      <c r="M724" s="24"/>
      <c r="N724" s="24"/>
      <c r="O724" s="24"/>
      <c r="P724" s="24"/>
      <c r="Q724" s="25"/>
      <c r="S724" s="26"/>
      <c r="Z724" s="22"/>
    </row>
    <row r="725" spans="2:26" x14ac:dyDescent="0.25">
      <c r="B725" s="22"/>
      <c r="K725" s="23"/>
      <c r="L725" s="24"/>
      <c r="M725" s="24"/>
      <c r="N725" s="24"/>
      <c r="O725" s="24"/>
      <c r="P725" s="24"/>
      <c r="Q725" s="25"/>
      <c r="S725" s="26"/>
      <c r="Z725" s="22"/>
    </row>
    <row r="726" spans="2:26" x14ac:dyDescent="0.25">
      <c r="B726" s="22"/>
      <c r="K726" s="23"/>
      <c r="L726" s="24"/>
      <c r="M726" s="24"/>
      <c r="N726" s="24"/>
      <c r="O726" s="24"/>
      <c r="P726" s="24"/>
      <c r="Q726" s="25"/>
      <c r="S726" s="26"/>
      <c r="Z726" s="22"/>
    </row>
    <row r="727" spans="2:26" x14ac:dyDescent="0.25">
      <c r="B727" s="22"/>
      <c r="K727" s="23"/>
      <c r="L727" s="24"/>
      <c r="M727" s="24"/>
      <c r="N727" s="24"/>
      <c r="O727" s="24"/>
      <c r="P727" s="24"/>
      <c r="Q727" s="25"/>
      <c r="S727" s="26"/>
      <c r="Z727" s="22"/>
    </row>
    <row r="728" spans="2:26" x14ac:dyDescent="0.25">
      <c r="B728" s="22"/>
      <c r="K728" s="23"/>
      <c r="L728" s="24"/>
      <c r="M728" s="24"/>
      <c r="N728" s="24"/>
      <c r="O728" s="24"/>
      <c r="P728" s="24"/>
      <c r="Q728" s="25"/>
      <c r="S728" s="26"/>
      <c r="Z728" s="22"/>
    </row>
    <row r="729" spans="2:26" x14ac:dyDescent="0.25">
      <c r="B729" s="22"/>
      <c r="K729" s="23"/>
      <c r="L729" s="24"/>
      <c r="M729" s="24"/>
      <c r="N729" s="24"/>
      <c r="O729" s="24"/>
      <c r="P729" s="24"/>
      <c r="Q729" s="25"/>
      <c r="S729" s="26"/>
      <c r="Z729" s="22"/>
    </row>
    <row r="730" spans="2:26" x14ac:dyDescent="0.25">
      <c r="B730" s="22"/>
      <c r="K730" s="23"/>
      <c r="L730" s="24"/>
      <c r="M730" s="24"/>
      <c r="N730" s="24"/>
      <c r="O730" s="24"/>
      <c r="P730" s="24"/>
      <c r="Q730" s="25"/>
      <c r="S730" s="26"/>
      <c r="Z730" s="22"/>
    </row>
    <row r="731" spans="2:26" x14ac:dyDescent="0.25">
      <c r="B731" s="22"/>
      <c r="K731" s="23"/>
      <c r="L731" s="24"/>
      <c r="M731" s="24"/>
      <c r="N731" s="24"/>
      <c r="O731" s="24"/>
      <c r="P731" s="24"/>
      <c r="Q731" s="25"/>
      <c r="S731" s="26"/>
      <c r="Z731" s="22"/>
    </row>
    <row r="732" spans="2:26" x14ac:dyDescent="0.25">
      <c r="B732" s="22"/>
      <c r="K732" s="23"/>
      <c r="L732" s="24"/>
      <c r="M732" s="24"/>
      <c r="N732" s="24"/>
      <c r="O732" s="24"/>
      <c r="P732" s="24"/>
      <c r="Q732" s="25"/>
      <c r="S732" s="26"/>
      <c r="Z732" s="22"/>
    </row>
    <row r="733" spans="2:26" x14ac:dyDescent="0.25">
      <c r="B733" s="22"/>
      <c r="K733" s="23"/>
      <c r="L733" s="24"/>
      <c r="M733" s="24"/>
      <c r="N733" s="24"/>
      <c r="O733" s="24"/>
      <c r="P733" s="24"/>
      <c r="Q733" s="25"/>
      <c r="S733" s="26"/>
      <c r="Z733" s="22"/>
    </row>
    <row r="734" spans="2:26" x14ac:dyDescent="0.25">
      <c r="B734" s="22"/>
      <c r="K734" s="23"/>
      <c r="L734" s="24"/>
      <c r="M734" s="24"/>
      <c r="N734" s="24"/>
      <c r="O734" s="24"/>
      <c r="P734" s="24"/>
      <c r="Q734" s="25"/>
      <c r="S734" s="26"/>
      <c r="Z734" s="22"/>
    </row>
    <row r="735" spans="2:26" x14ac:dyDescent="0.25">
      <c r="B735" s="22"/>
      <c r="K735" s="23"/>
      <c r="L735" s="24"/>
      <c r="M735" s="24"/>
      <c r="N735" s="24"/>
      <c r="O735" s="24"/>
      <c r="P735" s="24"/>
      <c r="Q735" s="25"/>
      <c r="S735" s="26"/>
      <c r="Z735" s="22"/>
    </row>
    <row r="736" spans="2:26" x14ac:dyDescent="0.25">
      <c r="B736" s="22"/>
      <c r="K736" s="23"/>
      <c r="L736" s="24"/>
      <c r="M736" s="24"/>
      <c r="N736" s="24"/>
      <c r="O736" s="24"/>
      <c r="P736" s="24"/>
      <c r="Q736" s="25"/>
      <c r="S736" s="26"/>
      <c r="Z736" s="22"/>
    </row>
    <row r="737" spans="2:26" x14ac:dyDescent="0.25">
      <c r="B737" s="22"/>
      <c r="K737" s="23"/>
      <c r="L737" s="24"/>
      <c r="M737" s="24"/>
      <c r="N737" s="24"/>
      <c r="O737" s="24"/>
      <c r="P737" s="24"/>
      <c r="Q737" s="25"/>
      <c r="S737" s="26"/>
      <c r="Z737" s="22"/>
    </row>
    <row r="738" spans="2:26" x14ac:dyDescent="0.25">
      <c r="B738" s="22"/>
      <c r="K738" s="23"/>
      <c r="L738" s="24"/>
      <c r="M738" s="24"/>
      <c r="N738" s="24"/>
      <c r="O738" s="24"/>
      <c r="P738" s="24"/>
      <c r="Q738" s="25"/>
      <c r="S738" s="26"/>
      <c r="Z738" s="22"/>
    </row>
    <row r="739" spans="2:26" x14ac:dyDescent="0.25">
      <c r="B739" s="22"/>
      <c r="K739" s="23"/>
      <c r="L739" s="24"/>
      <c r="M739" s="24"/>
      <c r="N739" s="24"/>
      <c r="O739" s="24"/>
      <c r="P739" s="24"/>
      <c r="Q739" s="25"/>
      <c r="S739" s="26"/>
      <c r="Z739" s="22"/>
    </row>
    <row r="740" spans="2:26" x14ac:dyDescent="0.25">
      <c r="B740" s="22"/>
      <c r="K740" s="23"/>
      <c r="L740" s="24"/>
      <c r="M740" s="24"/>
      <c r="N740" s="24"/>
      <c r="O740" s="24"/>
      <c r="P740" s="24"/>
      <c r="Q740" s="25"/>
      <c r="S740" s="26"/>
      <c r="Z740" s="22"/>
    </row>
    <row r="741" spans="2:26" x14ac:dyDescent="0.25">
      <c r="B741" s="22"/>
      <c r="K741" s="23"/>
      <c r="L741" s="24"/>
      <c r="M741" s="24"/>
      <c r="N741" s="24"/>
      <c r="O741" s="24"/>
      <c r="P741" s="24"/>
      <c r="Q741" s="25"/>
      <c r="S741" s="26"/>
      <c r="Z741" s="22"/>
    </row>
    <row r="742" spans="2:26" x14ac:dyDescent="0.25">
      <c r="B742" s="22"/>
      <c r="K742" s="23"/>
      <c r="L742" s="24"/>
      <c r="M742" s="24"/>
      <c r="N742" s="24"/>
      <c r="O742" s="24"/>
      <c r="P742" s="24"/>
      <c r="Q742" s="25"/>
      <c r="S742" s="26"/>
      <c r="Z742" s="22"/>
    </row>
    <row r="743" spans="2:26" x14ac:dyDescent="0.25">
      <c r="B743" s="22"/>
      <c r="K743" s="23"/>
      <c r="L743" s="24"/>
      <c r="M743" s="24"/>
      <c r="N743" s="24"/>
      <c r="O743" s="24"/>
      <c r="P743" s="24"/>
      <c r="Q743" s="25"/>
      <c r="S743" s="26"/>
      <c r="Z743" s="22"/>
    </row>
    <row r="744" spans="2:26" x14ac:dyDescent="0.25">
      <c r="B744" s="22"/>
      <c r="K744" s="23"/>
      <c r="L744" s="24"/>
      <c r="M744" s="24"/>
      <c r="N744" s="24"/>
      <c r="O744" s="24"/>
      <c r="P744" s="24"/>
      <c r="Q744" s="25"/>
      <c r="S744" s="26"/>
      <c r="Z744" s="22"/>
    </row>
    <row r="745" spans="2:26" x14ac:dyDescent="0.25">
      <c r="B745" s="22"/>
      <c r="K745" s="23"/>
      <c r="L745" s="24"/>
      <c r="M745" s="24"/>
      <c r="N745" s="24"/>
      <c r="O745" s="24"/>
      <c r="P745" s="24"/>
      <c r="Q745" s="25"/>
      <c r="S745" s="26"/>
      <c r="Z745" s="22"/>
    </row>
    <row r="746" spans="2:26" x14ac:dyDescent="0.25">
      <c r="B746" s="22"/>
      <c r="K746" s="23"/>
      <c r="L746" s="24"/>
      <c r="M746" s="24"/>
      <c r="N746" s="24"/>
      <c r="O746" s="24"/>
      <c r="P746" s="24"/>
      <c r="Q746" s="25"/>
      <c r="S746" s="26"/>
      <c r="Z746" s="22"/>
    </row>
    <row r="747" spans="2:26" x14ac:dyDescent="0.25">
      <c r="B747" s="22"/>
      <c r="K747" s="23"/>
      <c r="L747" s="24"/>
      <c r="M747" s="24"/>
      <c r="N747" s="24"/>
      <c r="O747" s="24"/>
      <c r="P747" s="24"/>
      <c r="Q747" s="25"/>
      <c r="S747" s="26"/>
      <c r="Z747" s="22"/>
    </row>
    <row r="748" spans="2:26" x14ac:dyDescent="0.25">
      <c r="B748" s="22"/>
      <c r="K748" s="23"/>
      <c r="L748" s="24"/>
      <c r="M748" s="24"/>
      <c r="N748" s="24"/>
      <c r="O748" s="24"/>
      <c r="P748" s="24"/>
      <c r="Q748" s="25"/>
      <c r="S748" s="26"/>
      <c r="Z748" s="22"/>
    </row>
    <row r="749" spans="2:26" x14ac:dyDescent="0.25">
      <c r="B749" s="22"/>
      <c r="K749" s="23"/>
      <c r="L749" s="24"/>
      <c r="M749" s="24"/>
      <c r="N749" s="24"/>
      <c r="O749" s="24"/>
      <c r="P749" s="24"/>
      <c r="Q749" s="25"/>
      <c r="S749" s="26"/>
      <c r="Z749" s="22"/>
    </row>
    <row r="750" spans="2:26" x14ac:dyDescent="0.25">
      <c r="B750" s="22"/>
      <c r="K750" s="23"/>
      <c r="L750" s="24"/>
      <c r="M750" s="24"/>
      <c r="N750" s="24"/>
      <c r="O750" s="24"/>
      <c r="P750" s="24"/>
      <c r="Q750" s="25"/>
      <c r="S750" s="26"/>
      <c r="Z750" s="22"/>
    </row>
    <row r="751" spans="2:26" x14ac:dyDescent="0.25">
      <c r="B751" s="22"/>
      <c r="K751" s="23"/>
      <c r="L751" s="24"/>
      <c r="M751" s="24"/>
      <c r="N751" s="24"/>
      <c r="O751" s="24"/>
      <c r="P751" s="24"/>
      <c r="Q751" s="25"/>
      <c r="S751" s="26"/>
      <c r="Z751" s="22"/>
    </row>
    <row r="752" spans="2:26" x14ac:dyDescent="0.25">
      <c r="B752" s="22"/>
      <c r="K752" s="23"/>
      <c r="L752" s="24"/>
      <c r="M752" s="24"/>
      <c r="N752" s="24"/>
      <c r="O752" s="24"/>
      <c r="P752" s="24"/>
      <c r="Q752" s="25"/>
      <c r="S752" s="26"/>
      <c r="Z752" s="22"/>
    </row>
    <row r="753" spans="2:26" x14ac:dyDescent="0.25">
      <c r="B753" s="22"/>
      <c r="K753" s="23"/>
      <c r="L753" s="24"/>
      <c r="M753" s="24"/>
      <c r="N753" s="24"/>
      <c r="O753" s="24"/>
      <c r="P753" s="24"/>
      <c r="Q753" s="25"/>
      <c r="S753" s="26"/>
      <c r="Z753" s="22"/>
    </row>
    <row r="754" spans="2:26" x14ac:dyDescent="0.25">
      <c r="B754" s="22"/>
      <c r="K754" s="23"/>
      <c r="L754" s="24"/>
      <c r="M754" s="24"/>
      <c r="N754" s="24"/>
      <c r="O754" s="24"/>
      <c r="P754" s="24"/>
      <c r="Q754" s="25"/>
      <c r="S754" s="26"/>
      <c r="Z754" s="22"/>
    </row>
    <row r="755" spans="2:26" x14ac:dyDescent="0.25">
      <c r="B755" s="22"/>
      <c r="K755" s="23"/>
      <c r="L755" s="24"/>
      <c r="M755" s="24"/>
      <c r="N755" s="24"/>
      <c r="O755" s="24"/>
      <c r="P755" s="24"/>
      <c r="Q755" s="25"/>
      <c r="S755" s="26"/>
      <c r="Z755" s="22"/>
    </row>
    <row r="756" spans="2:26" x14ac:dyDescent="0.25">
      <c r="B756" s="22"/>
      <c r="K756" s="23"/>
      <c r="L756" s="24"/>
      <c r="M756" s="24"/>
      <c r="N756" s="24"/>
      <c r="O756" s="24"/>
      <c r="P756" s="24"/>
      <c r="Q756" s="25"/>
      <c r="S756" s="26"/>
      <c r="Z756" s="22"/>
    </row>
    <row r="757" spans="2:26" x14ac:dyDescent="0.25">
      <c r="B757" s="22"/>
      <c r="K757" s="23"/>
      <c r="L757" s="24"/>
      <c r="M757" s="24"/>
      <c r="N757" s="24"/>
      <c r="O757" s="24"/>
      <c r="P757" s="24"/>
      <c r="Q757" s="25"/>
      <c r="S757" s="26"/>
      <c r="Z757" s="22"/>
    </row>
    <row r="758" spans="2:26" x14ac:dyDescent="0.25">
      <c r="B758" s="22"/>
      <c r="K758" s="23"/>
      <c r="L758" s="24"/>
      <c r="M758" s="24"/>
      <c r="N758" s="24"/>
      <c r="O758" s="24"/>
      <c r="P758" s="24"/>
      <c r="Q758" s="25"/>
      <c r="S758" s="26"/>
      <c r="Z758" s="22"/>
    </row>
    <row r="759" spans="2:26" x14ac:dyDescent="0.25">
      <c r="B759" s="22"/>
      <c r="K759" s="23"/>
      <c r="L759" s="24"/>
      <c r="M759" s="24"/>
      <c r="N759" s="24"/>
      <c r="O759" s="24"/>
      <c r="P759" s="24"/>
      <c r="Q759" s="25"/>
      <c r="S759" s="26"/>
      <c r="Z759" s="22"/>
    </row>
    <row r="760" spans="2:26" x14ac:dyDescent="0.25">
      <c r="B760" s="22"/>
      <c r="K760" s="23"/>
      <c r="L760" s="24"/>
      <c r="M760" s="24"/>
      <c r="N760" s="24"/>
      <c r="O760" s="24"/>
      <c r="P760" s="24"/>
      <c r="Q760" s="25"/>
      <c r="S760" s="26"/>
      <c r="Z760" s="22"/>
    </row>
    <row r="761" spans="2:26" x14ac:dyDescent="0.25">
      <c r="B761" s="22"/>
      <c r="K761" s="23"/>
      <c r="L761" s="24"/>
      <c r="M761" s="24"/>
      <c r="N761" s="24"/>
      <c r="O761" s="24"/>
      <c r="P761" s="24"/>
      <c r="Q761" s="25"/>
      <c r="S761" s="26"/>
      <c r="Z761" s="22"/>
    </row>
    <row r="762" spans="2:26" x14ac:dyDescent="0.25">
      <c r="B762" s="22"/>
      <c r="K762" s="23"/>
      <c r="L762" s="24"/>
      <c r="M762" s="24"/>
      <c r="N762" s="24"/>
      <c r="O762" s="24"/>
      <c r="P762" s="24"/>
      <c r="Q762" s="25"/>
      <c r="S762" s="26"/>
      <c r="Z762" s="22"/>
    </row>
    <row r="763" spans="2:26" x14ac:dyDescent="0.25">
      <c r="B763" s="22"/>
      <c r="K763" s="23"/>
      <c r="L763" s="24"/>
      <c r="M763" s="24"/>
      <c r="N763" s="24"/>
      <c r="O763" s="24"/>
      <c r="P763" s="24"/>
      <c r="Q763" s="25"/>
      <c r="S763" s="26"/>
      <c r="Z763" s="22"/>
    </row>
    <row r="764" spans="2:26" x14ac:dyDescent="0.25">
      <c r="B764" s="22"/>
      <c r="K764" s="23"/>
      <c r="L764" s="24"/>
      <c r="M764" s="24"/>
      <c r="N764" s="24"/>
      <c r="O764" s="24"/>
      <c r="P764" s="24"/>
      <c r="Q764" s="25"/>
      <c r="S764" s="26"/>
      <c r="Z764" s="22"/>
    </row>
    <row r="765" spans="2:26" x14ac:dyDescent="0.25">
      <c r="B765" s="22"/>
      <c r="K765" s="23"/>
      <c r="L765" s="24"/>
      <c r="M765" s="24"/>
      <c r="N765" s="24"/>
      <c r="O765" s="24"/>
      <c r="P765" s="24"/>
      <c r="Q765" s="25"/>
      <c r="S765" s="26"/>
      <c r="Z765" s="22"/>
    </row>
    <row r="766" spans="2:26" x14ac:dyDescent="0.25">
      <c r="B766" s="22"/>
      <c r="K766" s="23"/>
      <c r="L766" s="24"/>
      <c r="M766" s="24"/>
      <c r="N766" s="24"/>
      <c r="O766" s="24"/>
      <c r="P766" s="24"/>
      <c r="Q766" s="25"/>
      <c r="S766" s="26"/>
      <c r="Z766" s="22"/>
    </row>
    <row r="767" spans="2:26" x14ac:dyDescent="0.25">
      <c r="B767" s="22"/>
      <c r="K767" s="23"/>
      <c r="L767" s="24"/>
      <c r="M767" s="24"/>
      <c r="N767" s="24"/>
      <c r="O767" s="24"/>
      <c r="P767" s="24"/>
      <c r="Q767" s="25"/>
      <c r="S767" s="26"/>
      <c r="Z767" s="22"/>
    </row>
    <row r="768" spans="2:26" x14ac:dyDescent="0.25">
      <c r="B768" s="22"/>
      <c r="K768" s="23"/>
      <c r="L768" s="24"/>
      <c r="M768" s="24"/>
      <c r="N768" s="24"/>
      <c r="O768" s="24"/>
      <c r="P768" s="24"/>
      <c r="Q768" s="25"/>
      <c r="S768" s="26"/>
      <c r="Z768" s="22"/>
    </row>
    <row r="769" spans="2:26" x14ac:dyDescent="0.25">
      <c r="B769" s="22"/>
      <c r="K769" s="23"/>
      <c r="L769" s="24"/>
      <c r="M769" s="24"/>
      <c r="N769" s="24"/>
      <c r="O769" s="24"/>
      <c r="P769" s="24"/>
      <c r="Q769" s="25"/>
      <c r="S769" s="26"/>
      <c r="Z769" s="22"/>
    </row>
    <row r="770" spans="2:26" x14ac:dyDescent="0.25">
      <c r="B770" s="22"/>
      <c r="K770" s="23"/>
      <c r="L770" s="24"/>
      <c r="M770" s="24"/>
      <c r="N770" s="24"/>
      <c r="O770" s="24"/>
      <c r="P770" s="24"/>
      <c r="Q770" s="25"/>
      <c r="S770" s="26"/>
      <c r="Z770" s="22"/>
    </row>
    <row r="771" spans="2:26" x14ac:dyDescent="0.25">
      <c r="B771" s="22"/>
      <c r="K771" s="23"/>
      <c r="L771" s="24"/>
      <c r="M771" s="24"/>
      <c r="N771" s="24"/>
      <c r="O771" s="24"/>
      <c r="P771" s="24"/>
      <c r="Q771" s="25"/>
      <c r="S771" s="26"/>
      <c r="Z771" s="22"/>
    </row>
    <row r="772" spans="2:26" x14ac:dyDescent="0.25">
      <c r="B772" s="22"/>
      <c r="K772" s="23"/>
      <c r="L772" s="24"/>
      <c r="M772" s="24"/>
      <c r="N772" s="24"/>
      <c r="O772" s="24"/>
      <c r="P772" s="24"/>
      <c r="Q772" s="25"/>
      <c r="S772" s="26"/>
      <c r="Z772" s="22"/>
    </row>
    <row r="773" spans="2:26" x14ac:dyDescent="0.25">
      <c r="B773" s="22"/>
      <c r="K773" s="23"/>
      <c r="L773" s="24"/>
      <c r="M773" s="24"/>
      <c r="N773" s="24"/>
      <c r="O773" s="24"/>
      <c r="P773" s="24"/>
      <c r="Q773" s="25"/>
      <c r="S773" s="26"/>
      <c r="Z773" s="22"/>
    </row>
    <row r="774" spans="2:26" x14ac:dyDescent="0.25">
      <c r="B774" s="22"/>
      <c r="K774" s="23"/>
      <c r="L774" s="24"/>
      <c r="M774" s="24"/>
      <c r="N774" s="24"/>
      <c r="O774" s="24"/>
      <c r="P774" s="24"/>
      <c r="Q774" s="25"/>
      <c r="S774" s="26"/>
      <c r="Z774" s="22"/>
    </row>
    <row r="775" spans="2:26" x14ac:dyDescent="0.25">
      <c r="B775" s="22"/>
      <c r="K775" s="23"/>
      <c r="L775" s="24"/>
      <c r="M775" s="24"/>
      <c r="N775" s="24"/>
      <c r="O775" s="24"/>
      <c r="P775" s="24"/>
      <c r="Q775" s="25"/>
      <c r="S775" s="26"/>
      <c r="Z775" s="22"/>
    </row>
    <row r="776" spans="2:26" x14ac:dyDescent="0.25">
      <c r="B776" s="22"/>
      <c r="K776" s="23"/>
      <c r="L776" s="24"/>
      <c r="M776" s="24"/>
      <c r="N776" s="24"/>
      <c r="O776" s="24"/>
      <c r="P776" s="24"/>
      <c r="Q776" s="25"/>
      <c r="S776" s="26"/>
      <c r="Z776" s="22"/>
    </row>
    <row r="777" spans="2:26" x14ac:dyDescent="0.25">
      <c r="B777" s="22"/>
      <c r="K777" s="23"/>
      <c r="L777" s="24"/>
      <c r="M777" s="24"/>
      <c r="N777" s="24"/>
      <c r="O777" s="24"/>
      <c r="P777" s="24"/>
      <c r="Q777" s="25"/>
      <c r="S777" s="26"/>
      <c r="Z777" s="22"/>
    </row>
    <row r="778" spans="2:26" x14ac:dyDescent="0.25">
      <c r="B778" s="22"/>
      <c r="K778" s="23"/>
      <c r="L778" s="24"/>
      <c r="M778" s="24"/>
      <c r="N778" s="24"/>
      <c r="O778" s="24"/>
      <c r="P778" s="24"/>
      <c r="Q778" s="25"/>
      <c r="S778" s="26"/>
      <c r="Z778" s="22"/>
    </row>
    <row r="779" spans="2:26" x14ac:dyDescent="0.25">
      <c r="B779" s="22"/>
      <c r="K779" s="23"/>
      <c r="L779" s="24"/>
      <c r="M779" s="24"/>
      <c r="N779" s="24"/>
      <c r="O779" s="24"/>
      <c r="P779" s="24"/>
      <c r="Q779" s="25"/>
      <c r="S779" s="26"/>
      <c r="Z779" s="22"/>
    </row>
    <row r="780" spans="2:26" x14ac:dyDescent="0.25">
      <c r="B780" s="22"/>
      <c r="K780" s="23"/>
      <c r="L780" s="24"/>
      <c r="M780" s="24"/>
      <c r="N780" s="24"/>
      <c r="O780" s="24"/>
      <c r="P780" s="24"/>
      <c r="Q780" s="25"/>
      <c r="S780" s="26"/>
      <c r="Z780" s="22"/>
    </row>
    <row r="781" spans="2:26" x14ac:dyDescent="0.25">
      <c r="B781" s="22"/>
      <c r="K781" s="23"/>
      <c r="L781" s="24"/>
      <c r="M781" s="24"/>
      <c r="N781" s="24"/>
      <c r="O781" s="24"/>
      <c r="P781" s="24"/>
      <c r="Q781" s="25"/>
      <c r="S781" s="26"/>
      <c r="Z781" s="22"/>
    </row>
    <row r="782" spans="2:26" x14ac:dyDescent="0.25">
      <c r="B782" s="22"/>
      <c r="K782" s="23"/>
      <c r="L782" s="24"/>
      <c r="M782" s="24"/>
      <c r="N782" s="24"/>
      <c r="O782" s="24"/>
      <c r="P782" s="24"/>
      <c r="Q782" s="25"/>
      <c r="S782" s="26"/>
      <c r="Z782" s="22"/>
    </row>
    <row r="783" spans="2:26" x14ac:dyDescent="0.25">
      <c r="B783" s="22"/>
      <c r="K783" s="23"/>
      <c r="L783" s="24"/>
      <c r="M783" s="24"/>
      <c r="N783" s="24"/>
      <c r="O783" s="24"/>
      <c r="P783" s="24"/>
      <c r="Q783" s="25"/>
      <c r="S783" s="26"/>
      <c r="Z783" s="22"/>
    </row>
    <row r="784" spans="2:26" x14ac:dyDescent="0.25">
      <c r="B784" s="22"/>
      <c r="K784" s="23"/>
      <c r="L784" s="24"/>
      <c r="M784" s="24"/>
      <c r="N784" s="24"/>
      <c r="O784" s="24"/>
      <c r="P784" s="24"/>
      <c r="Q784" s="25"/>
      <c r="S784" s="26"/>
      <c r="Z784" s="22"/>
    </row>
    <row r="785" spans="2:26" x14ac:dyDescent="0.25">
      <c r="B785" s="22"/>
      <c r="K785" s="23"/>
      <c r="L785" s="24"/>
      <c r="M785" s="24"/>
      <c r="N785" s="24"/>
      <c r="O785" s="24"/>
      <c r="P785" s="24"/>
      <c r="Q785" s="25"/>
      <c r="S785" s="26"/>
      <c r="Z785" s="22"/>
    </row>
    <row r="786" spans="2:26" x14ac:dyDescent="0.25">
      <c r="B786" s="22"/>
      <c r="K786" s="23"/>
      <c r="L786" s="24"/>
      <c r="M786" s="24"/>
      <c r="N786" s="24"/>
      <c r="O786" s="24"/>
      <c r="P786" s="24"/>
      <c r="Q786" s="25"/>
      <c r="S786" s="26"/>
      <c r="Z786" s="22"/>
    </row>
    <row r="787" spans="2:26" x14ac:dyDescent="0.25">
      <c r="B787" s="22"/>
      <c r="K787" s="23"/>
      <c r="L787" s="24"/>
      <c r="M787" s="24"/>
      <c r="N787" s="24"/>
      <c r="O787" s="24"/>
      <c r="P787" s="24"/>
      <c r="Q787" s="25"/>
      <c r="S787" s="26"/>
      <c r="Z787" s="22"/>
    </row>
    <row r="788" spans="2:26" x14ac:dyDescent="0.25">
      <c r="B788" s="22"/>
      <c r="K788" s="23"/>
      <c r="L788" s="24"/>
      <c r="M788" s="24"/>
      <c r="N788" s="24"/>
      <c r="O788" s="24"/>
      <c r="P788" s="24"/>
      <c r="Q788" s="25"/>
      <c r="S788" s="26"/>
      <c r="Z788" s="22"/>
    </row>
    <row r="789" spans="2:26" x14ac:dyDescent="0.25">
      <c r="B789" s="22"/>
      <c r="K789" s="23"/>
      <c r="L789" s="24"/>
      <c r="M789" s="24"/>
      <c r="N789" s="24"/>
      <c r="O789" s="24"/>
      <c r="P789" s="24"/>
      <c r="Q789" s="25"/>
      <c r="S789" s="26"/>
      <c r="Z789" s="22"/>
    </row>
    <row r="790" spans="2:26" x14ac:dyDescent="0.25">
      <c r="B790" s="22"/>
      <c r="K790" s="23"/>
      <c r="L790" s="24"/>
      <c r="M790" s="24"/>
      <c r="N790" s="24"/>
      <c r="O790" s="24"/>
      <c r="P790" s="24"/>
      <c r="Q790" s="25"/>
      <c r="S790" s="26"/>
      <c r="Z790" s="22"/>
    </row>
    <row r="791" spans="2:26" x14ac:dyDescent="0.25">
      <c r="B791" s="22"/>
      <c r="K791" s="23"/>
      <c r="L791" s="24"/>
      <c r="M791" s="24"/>
      <c r="N791" s="24"/>
      <c r="O791" s="24"/>
      <c r="P791" s="24"/>
      <c r="Q791" s="25"/>
      <c r="S791" s="26"/>
      <c r="Z791" s="22"/>
    </row>
    <row r="792" spans="2:26" x14ac:dyDescent="0.25">
      <c r="B792" s="22"/>
      <c r="K792" s="23"/>
      <c r="L792" s="24"/>
      <c r="M792" s="24"/>
      <c r="N792" s="24"/>
      <c r="O792" s="24"/>
      <c r="P792" s="24"/>
      <c r="Q792" s="25"/>
      <c r="S792" s="26"/>
      <c r="Z792" s="22"/>
    </row>
    <row r="793" spans="2:26" x14ac:dyDescent="0.25">
      <c r="B793" s="22"/>
      <c r="K793" s="23"/>
      <c r="L793" s="24"/>
      <c r="M793" s="24"/>
      <c r="N793" s="24"/>
      <c r="O793" s="24"/>
      <c r="P793" s="24"/>
      <c r="Q793" s="25"/>
      <c r="S793" s="26"/>
      <c r="Z793" s="22"/>
    </row>
    <row r="794" spans="2:26" x14ac:dyDescent="0.25">
      <c r="B794" s="22"/>
      <c r="K794" s="23"/>
      <c r="L794" s="24"/>
      <c r="M794" s="24"/>
      <c r="N794" s="24"/>
      <c r="O794" s="24"/>
      <c r="P794" s="24"/>
      <c r="Q794" s="25"/>
      <c r="S794" s="26"/>
      <c r="Z794" s="22"/>
    </row>
    <row r="795" spans="2:26" x14ac:dyDescent="0.25">
      <c r="B795" s="22"/>
      <c r="K795" s="23"/>
      <c r="L795" s="24"/>
      <c r="M795" s="24"/>
      <c r="N795" s="24"/>
      <c r="O795" s="24"/>
      <c r="P795" s="24"/>
      <c r="Q795" s="25"/>
      <c r="S795" s="26"/>
      <c r="Z795" s="22"/>
    </row>
    <row r="796" spans="2:26" x14ac:dyDescent="0.25">
      <c r="B796" s="22"/>
      <c r="K796" s="23"/>
      <c r="L796" s="24"/>
      <c r="M796" s="24"/>
      <c r="N796" s="24"/>
      <c r="O796" s="24"/>
      <c r="P796" s="24"/>
      <c r="Q796" s="25"/>
      <c r="S796" s="26"/>
      <c r="Z796" s="22"/>
    </row>
    <row r="797" spans="2:26" x14ac:dyDescent="0.25">
      <c r="B797" s="22"/>
      <c r="K797" s="23"/>
      <c r="L797" s="24"/>
      <c r="M797" s="24"/>
      <c r="N797" s="24"/>
      <c r="O797" s="24"/>
      <c r="P797" s="24"/>
      <c r="Q797" s="25"/>
      <c r="S797" s="26"/>
      <c r="Z797" s="22"/>
    </row>
    <row r="798" spans="2:26" x14ac:dyDescent="0.25">
      <c r="B798" s="22"/>
      <c r="K798" s="23"/>
      <c r="L798" s="24"/>
      <c r="M798" s="24"/>
      <c r="N798" s="24"/>
      <c r="O798" s="24"/>
      <c r="P798" s="24"/>
      <c r="Q798" s="25"/>
      <c r="S798" s="26"/>
      <c r="Z798" s="22"/>
    </row>
    <row r="799" spans="2:26" x14ac:dyDescent="0.25">
      <c r="B799" s="22"/>
      <c r="K799" s="23"/>
      <c r="L799" s="24"/>
      <c r="M799" s="24"/>
      <c r="N799" s="24"/>
      <c r="O799" s="24"/>
      <c r="P799" s="24"/>
      <c r="Q799" s="25"/>
      <c r="S799" s="26"/>
      <c r="Z799" s="22"/>
    </row>
    <row r="800" spans="2:26" x14ac:dyDescent="0.25">
      <c r="B800" s="22"/>
      <c r="K800" s="23"/>
      <c r="L800" s="24"/>
      <c r="M800" s="24"/>
      <c r="N800" s="24"/>
      <c r="O800" s="24"/>
      <c r="P800" s="24"/>
      <c r="Q800" s="25"/>
      <c r="S800" s="26"/>
      <c r="Z800" s="22"/>
    </row>
    <row r="801" spans="2:26" x14ac:dyDescent="0.25">
      <c r="B801" s="22"/>
      <c r="K801" s="23"/>
      <c r="L801" s="24"/>
      <c r="M801" s="24"/>
      <c r="N801" s="24"/>
      <c r="O801" s="24"/>
      <c r="P801" s="24"/>
      <c r="Q801" s="25"/>
      <c r="S801" s="26"/>
      <c r="Z801" s="22"/>
    </row>
    <row r="802" spans="2:26" x14ac:dyDescent="0.25">
      <c r="B802" s="22"/>
      <c r="K802" s="23"/>
      <c r="L802" s="24"/>
      <c r="M802" s="24"/>
      <c r="N802" s="24"/>
      <c r="O802" s="24"/>
      <c r="P802" s="24"/>
      <c r="Q802" s="25"/>
      <c r="S802" s="26"/>
      <c r="Z802" s="22"/>
    </row>
    <row r="803" spans="2:26" x14ac:dyDescent="0.25">
      <c r="B803" s="22"/>
      <c r="K803" s="23"/>
      <c r="L803" s="24"/>
      <c r="M803" s="24"/>
      <c r="N803" s="24"/>
      <c r="O803" s="24"/>
      <c r="P803" s="24"/>
      <c r="Q803" s="25"/>
      <c r="S803" s="26"/>
      <c r="Z803" s="22"/>
    </row>
    <row r="804" spans="2:26" x14ac:dyDescent="0.25">
      <c r="B804" s="22"/>
      <c r="K804" s="23"/>
      <c r="L804" s="24"/>
      <c r="M804" s="24"/>
      <c r="N804" s="24"/>
      <c r="O804" s="24"/>
      <c r="P804" s="24"/>
      <c r="Q804" s="25"/>
      <c r="S804" s="26"/>
      <c r="Z804" s="22"/>
    </row>
    <row r="805" spans="2:26" x14ac:dyDescent="0.25">
      <c r="B805" s="22"/>
      <c r="K805" s="23"/>
      <c r="L805" s="24"/>
      <c r="M805" s="24"/>
      <c r="N805" s="24"/>
      <c r="O805" s="24"/>
      <c r="P805" s="24"/>
      <c r="Q805" s="25"/>
      <c r="S805" s="26"/>
      <c r="Z805" s="22"/>
    </row>
    <row r="806" spans="2:26" x14ac:dyDescent="0.25">
      <c r="B806" s="22"/>
      <c r="K806" s="23"/>
      <c r="L806" s="24"/>
      <c r="M806" s="24"/>
      <c r="N806" s="24"/>
      <c r="O806" s="24"/>
      <c r="P806" s="24"/>
      <c r="Q806" s="25"/>
      <c r="S806" s="26"/>
      <c r="Z806" s="22"/>
    </row>
    <row r="807" spans="2:26" x14ac:dyDescent="0.25">
      <c r="B807" s="22"/>
      <c r="K807" s="23"/>
      <c r="L807" s="24"/>
      <c r="M807" s="24"/>
      <c r="N807" s="24"/>
      <c r="O807" s="24"/>
      <c r="P807" s="24"/>
      <c r="Q807" s="25"/>
      <c r="S807" s="26"/>
      <c r="Z807" s="22"/>
    </row>
    <row r="808" spans="2:26" x14ac:dyDescent="0.25">
      <c r="B808" s="22"/>
      <c r="K808" s="23"/>
      <c r="L808" s="24"/>
      <c r="M808" s="24"/>
      <c r="N808" s="24"/>
      <c r="O808" s="24"/>
      <c r="P808" s="24"/>
      <c r="Q808" s="25"/>
      <c r="S808" s="26"/>
      <c r="Z808" s="22"/>
    </row>
    <row r="809" spans="2:26" x14ac:dyDescent="0.25">
      <c r="B809" s="22"/>
      <c r="K809" s="23"/>
      <c r="L809" s="24"/>
      <c r="M809" s="24"/>
      <c r="N809" s="24"/>
      <c r="O809" s="24"/>
      <c r="P809" s="24"/>
      <c r="Q809" s="25"/>
      <c r="S809" s="26"/>
      <c r="Z809" s="22"/>
    </row>
    <row r="810" spans="2:26" x14ac:dyDescent="0.25">
      <c r="B810" s="22"/>
      <c r="K810" s="23"/>
      <c r="L810" s="24"/>
      <c r="M810" s="24"/>
      <c r="N810" s="24"/>
      <c r="O810" s="24"/>
      <c r="P810" s="24"/>
      <c r="Q810" s="25"/>
      <c r="S810" s="26"/>
      <c r="Z810" s="22"/>
    </row>
    <row r="811" spans="2:26" x14ac:dyDescent="0.25">
      <c r="B811" s="22"/>
      <c r="K811" s="23"/>
      <c r="L811" s="24"/>
      <c r="M811" s="24"/>
      <c r="N811" s="24"/>
      <c r="O811" s="24"/>
      <c r="P811" s="24"/>
      <c r="Q811" s="25"/>
      <c r="S811" s="26"/>
      <c r="Z811" s="22"/>
    </row>
    <row r="812" spans="2:26" x14ac:dyDescent="0.25">
      <c r="B812" s="22"/>
      <c r="K812" s="23"/>
      <c r="L812" s="24"/>
      <c r="M812" s="24"/>
      <c r="N812" s="24"/>
      <c r="O812" s="24"/>
      <c r="P812" s="24"/>
      <c r="Q812" s="25"/>
      <c r="S812" s="26"/>
      <c r="Z812" s="22"/>
    </row>
    <row r="813" spans="2:26" x14ac:dyDescent="0.25">
      <c r="B813" s="22"/>
      <c r="K813" s="23"/>
      <c r="L813" s="24"/>
      <c r="M813" s="24"/>
      <c r="N813" s="24"/>
      <c r="O813" s="24"/>
      <c r="P813" s="24"/>
      <c r="Q813" s="25"/>
      <c r="S813" s="26"/>
      <c r="Z813" s="22"/>
    </row>
    <row r="814" spans="2:26" x14ac:dyDescent="0.25">
      <c r="B814" s="22"/>
      <c r="K814" s="23"/>
      <c r="L814" s="24"/>
      <c r="M814" s="24"/>
      <c r="N814" s="24"/>
      <c r="O814" s="24"/>
      <c r="P814" s="24"/>
      <c r="Q814" s="25"/>
      <c r="S814" s="26"/>
      <c r="Z814" s="22"/>
    </row>
    <row r="815" spans="2:26" x14ac:dyDescent="0.25">
      <c r="B815" s="22"/>
      <c r="K815" s="23"/>
      <c r="L815" s="24"/>
      <c r="M815" s="24"/>
      <c r="N815" s="24"/>
      <c r="O815" s="24"/>
      <c r="P815" s="24"/>
      <c r="Q815" s="25"/>
      <c r="S815" s="26"/>
      <c r="Z815" s="22"/>
    </row>
    <row r="816" spans="2:26" x14ac:dyDescent="0.25">
      <c r="B816" s="22"/>
      <c r="K816" s="23"/>
      <c r="L816" s="24"/>
      <c r="M816" s="24"/>
      <c r="N816" s="24"/>
      <c r="O816" s="24"/>
      <c r="P816" s="24"/>
      <c r="Q816" s="25"/>
      <c r="S816" s="26"/>
      <c r="Z816" s="22"/>
    </row>
    <row r="817" spans="2:26" x14ac:dyDescent="0.25">
      <c r="B817" s="22"/>
      <c r="K817" s="23"/>
      <c r="L817" s="24"/>
      <c r="M817" s="24"/>
      <c r="N817" s="24"/>
      <c r="O817" s="24"/>
      <c r="P817" s="24"/>
      <c r="Q817" s="25"/>
      <c r="S817" s="26"/>
      <c r="Z817" s="22"/>
    </row>
    <row r="818" spans="2:26" x14ac:dyDescent="0.25">
      <c r="B818" s="22"/>
      <c r="K818" s="23"/>
      <c r="L818" s="24"/>
      <c r="M818" s="24"/>
      <c r="N818" s="24"/>
      <c r="O818" s="24"/>
      <c r="P818" s="24"/>
      <c r="Q818" s="25"/>
      <c r="S818" s="26"/>
      <c r="Z818" s="22"/>
    </row>
    <row r="819" spans="2:26" x14ac:dyDescent="0.25">
      <c r="B819" s="22"/>
      <c r="K819" s="23"/>
      <c r="L819" s="24"/>
      <c r="M819" s="24"/>
      <c r="N819" s="24"/>
      <c r="O819" s="24"/>
      <c r="P819" s="24"/>
      <c r="Q819" s="25"/>
      <c r="S819" s="26"/>
      <c r="Z819" s="22"/>
    </row>
    <row r="820" spans="2:26" x14ac:dyDescent="0.25">
      <c r="B820" s="22"/>
      <c r="K820" s="23"/>
      <c r="L820" s="24"/>
      <c r="M820" s="24"/>
      <c r="N820" s="24"/>
      <c r="O820" s="24"/>
      <c r="P820" s="24"/>
      <c r="Q820" s="25"/>
      <c r="S820" s="26"/>
      <c r="Z820" s="22"/>
    </row>
    <row r="821" spans="2:26" x14ac:dyDescent="0.25">
      <c r="B821" s="22"/>
      <c r="K821" s="23"/>
      <c r="L821" s="24"/>
      <c r="M821" s="24"/>
      <c r="N821" s="24"/>
      <c r="O821" s="24"/>
      <c r="P821" s="24"/>
      <c r="Q821" s="25"/>
      <c r="S821" s="26"/>
      <c r="Z821" s="22"/>
    </row>
    <row r="822" spans="2:26" x14ac:dyDescent="0.25">
      <c r="B822" s="22"/>
      <c r="K822" s="23"/>
      <c r="L822" s="24"/>
      <c r="M822" s="24"/>
      <c r="N822" s="24"/>
      <c r="O822" s="24"/>
      <c r="P822" s="24"/>
      <c r="Q822" s="25"/>
      <c r="S822" s="26"/>
      <c r="Z822" s="22"/>
    </row>
    <row r="823" spans="2:26" x14ac:dyDescent="0.25">
      <c r="B823" s="22"/>
      <c r="K823" s="23"/>
      <c r="L823" s="24"/>
      <c r="M823" s="24"/>
      <c r="N823" s="24"/>
      <c r="O823" s="24"/>
      <c r="P823" s="24"/>
      <c r="Q823" s="25"/>
      <c r="S823" s="26"/>
      <c r="Z823" s="22"/>
    </row>
    <row r="824" spans="2:26" x14ac:dyDescent="0.25">
      <c r="B824" s="22"/>
      <c r="K824" s="23"/>
      <c r="L824" s="24"/>
      <c r="M824" s="24"/>
      <c r="N824" s="24"/>
      <c r="O824" s="24"/>
      <c r="P824" s="24"/>
      <c r="Q824" s="25"/>
      <c r="S824" s="26"/>
      <c r="Z824" s="22"/>
    </row>
    <row r="825" spans="2:26" x14ac:dyDescent="0.25">
      <c r="B825" s="22"/>
      <c r="K825" s="23"/>
      <c r="L825" s="24"/>
      <c r="M825" s="24"/>
      <c r="N825" s="24"/>
      <c r="O825" s="24"/>
      <c r="P825" s="24"/>
      <c r="Q825" s="25"/>
      <c r="S825" s="26"/>
      <c r="Z825" s="22"/>
    </row>
    <row r="826" spans="2:26" x14ac:dyDescent="0.25">
      <c r="B826" s="22"/>
      <c r="K826" s="23"/>
      <c r="L826" s="24"/>
      <c r="M826" s="24"/>
      <c r="N826" s="24"/>
      <c r="O826" s="24"/>
      <c r="P826" s="24"/>
      <c r="Q826" s="25"/>
      <c r="S826" s="26"/>
      <c r="Z826" s="22"/>
    </row>
    <row r="827" spans="2:26" x14ac:dyDescent="0.25">
      <c r="B827" s="22"/>
      <c r="K827" s="23"/>
      <c r="L827" s="24"/>
      <c r="M827" s="24"/>
      <c r="N827" s="24"/>
      <c r="O827" s="24"/>
      <c r="P827" s="24"/>
      <c r="Q827" s="25"/>
      <c r="S827" s="26"/>
      <c r="Z827" s="22"/>
    </row>
    <row r="828" spans="2:26" x14ac:dyDescent="0.25">
      <c r="B828" s="22"/>
      <c r="K828" s="23"/>
      <c r="L828" s="24"/>
      <c r="M828" s="24"/>
      <c r="N828" s="24"/>
      <c r="O828" s="24"/>
      <c r="P828" s="24"/>
      <c r="Q828" s="25"/>
      <c r="S828" s="26"/>
      <c r="Z828" s="22"/>
    </row>
    <row r="829" spans="2:26" x14ac:dyDescent="0.25">
      <c r="B829" s="22"/>
      <c r="K829" s="23"/>
      <c r="L829" s="24"/>
      <c r="M829" s="24"/>
      <c r="N829" s="24"/>
      <c r="O829" s="24"/>
      <c r="P829" s="24"/>
      <c r="Q829" s="25"/>
      <c r="S829" s="26"/>
      <c r="Z829" s="22"/>
    </row>
    <row r="830" spans="2:26" x14ac:dyDescent="0.25">
      <c r="B830" s="22"/>
      <c r="K830" s="23"/>
      <c r="L830" s="24"/>
      <c r="M830" s="24"/>
      <c r="N830" s="24"/>
      <c r="O830" s="24"/>
      <c r="P830" s="24"/>
      <c r="Q830" s="25"/>
      <c r="S830" s="26"/>
      <c r="Z830" s="22"/>
    </row>
    <row r="831" spans="2:26" x14ac:dyDescent="0.25">
      <c r="B831" s="22"/>
      <c r="K831" s="23"/>
      <c r="L831" s="24"/>
      <c r="M831" s="24"/>
      <c r="N831" s="24"/>
      <c r="O831" s="24"/>
      <c r="P831" s="24"/>
      <c r="Q831" s="25"/>
      <c r="S831" s="26"/>
      <c r="Z831" s="22"/>
    </row>
    <row r="832" spans="2:26" x14ac:dyDescent="0.25">
      <c r="B832" s="22"/>
      <c r="K832" s="23"/>
      <c r="L832" s="24"/>
      <c r="M832" s="24"/>
      <c r="N832" s="24"/>
      <c r="O832" s="24"/>
      <c r="P832" s="24"/>
      <c r="Q832" s="25"/>
      <c r="S832" s="26"/>
      <c r="Z832" s="22"/>
    </row>
    <row r="833" spans="2:26" x14ac:dyDescent="0.25">
      <c r="B833" s="22"/>
      <c r="K833" s="23"/>
      <c r="L833" s="24"/>
      <c r="M833" s="24"/>
      <c r="N833" s="24"/>
      <c r="O833" s="24"/>
      <c r="P833" s="24"/>
      <c r="Q833" s="25"/>
      <c r="S833" s="26"/>
      <c r="Z833" s="22"/>
    </row>
    <row r="834" spans="2:26" x14ac:dyDescent="0.25">
      <c r="B834" s="22"/>
      <c r="K834" s="23"/>
      <c r="L834" s="24"/>
      <c r="M834" s="24"/>
      <c r="N834" s="24"/>
      <c r="O834" s="24"/>
      <c r="P834" s="24"/>
      <c r="Q834" s="25"/>
      <c r="S834" s="26"/>
      <c r="Z834" s="22"/>
    </row>
    <row r="835" spans="2:26" x14ac:dyDescent="0.25">
      <c r="B835" s="22"/>
      <c r="K835" s="23"/>
      <c r="L835" s="24"/>
      <c r="M835" s="24"/>
      <c r="N835" s="24"/>
      <c r="O835" s="24"/>
      <c r="P835" s="24"/>
      <c r="Q835" s="25"/>
      <c r="S835" s="26"/>
      <c r="Z835" s="22"/>
    </row>
    <row r="836" spans="2:26" x14ac:dyDescent="0.25">
      <c r="B836" s="22"/>
      <c r="K836" s="23"/>
      <c r="L836" s="24"/>
      <c r="M836" s="24"/>
      <c r="N836" s="24"/>
      <c r="O836" s="24"/>
      <c r="P836" s="24"/>
      <c r="Q836" s="25"/>
      <c r="S836" s="26"/>
      <c r="Z836" s="22"/>
    </row>
    <row r="837" spans="2:26" x14ac:dyDescent="0.25">
      <c r="B837" s="22"/>
      <c r="K837" s="23"/>
      <c r="L837" s="24"/>
      <c r="M837" s="24"/>
      <c r="N837" s="24"/>
      <c r="O837" s="24"/>
      <c r="P837" s="24"/>
      <c r="Q837" s="25"/>
      <c r="S837" s="26"/>
      <c r="Z837" s="22"/>
    </row>
    <row r="838" spans="2:26" x14ac:dyDescent="0.25">
      <c r="B838" s="22"/>
      <c r="K838" s="23"/>
      <c r="L838" s="24"/>
      <c r="M838" s="24"/>
      <c r="N838" s="24"/>
      <c r="O838" s="24"/>
      <c r="P838" s="24"/>
      <c r="Q838" s="25"/>
      <c r="S838" s="26"/>
      <c r="Z838" s="22"/>
    </row>
    <row r="839" spans="2:26" x14ac:dyDescent="0.25">
      <c r="B839" s="22"/>
      <c r="K839" s="23"/>
      <c r="L839" s="24"/>
      <c r="M839" s="24"/>
      <c r="N839" s="24"/>
      <c r="O839" s="24"/>
      <c r="P839" s="24"/>
      <c r="Q839" s="25"/>
      <c r="S839" s="26"/>
      <c r="Z839" s="22"/>
    </row>
    <row r="840" spans="2:26" x14ac:dyDescent="0.25">
      <c r="B840" s="22"/>
      <c r="K840" s="23"/>
      <c r="L840" s="24"/>
      <c r="M840" s="24"/>
      <c r="N840" s="24"/>
      <c r="O840" s="24"/>
      <c r="P840" s="24"/>
      <c r="Q840" s="25"/>
      <c r="S840" s="26"/>
      <c r="Z840" s="22"/>
    </row>
    <row r="841" spans="2:26" x14ac:dyDescent="0.25">
      <c r="B841" s="22"/>
      <c r="K841" s="23"/>
      <c r="L841" s="24"/>
      <c r="M841" s="24"/>
      <c r="N841" s="24"/>
      <c r="O841" s="24"/>
      <c r="P841" s="24"/>
      <c r="Q841" s="25"/>
      <c r="S841" s="26"/>
      <c r="Z841" s="22"/>
    </row>
    <row r="842" spans="2:26" x14ac:dyDescent="0.25">
      <c r="B842" s="22"/>
      <c r="K842" s="23"/>
      <c r="L842" s="24"/>
      <c r="M842" s="24"/>
      <c r="N842" s="24"/>
      <c r="O842" s="24"/>
      <c r="P842" s="24"/>
      <c r="Q842" s="25"/>
      <c r="S842" s="26"/>
      <c r="Z842" s="22"/>
    </row>
    <row r="843" spans="2:26" x14ac:dyDescent="0.25">
      <c r="B843" s="22"/>
      <c r="K843" s="23"/>
      <c r="L843" s="24"/>
      <c r="M843" s="24"/>
      <c r="N843" s="24"/>
      <c r="O843" s="24"/>
      <c r="P843" s="24"/>
      <c r="Q843" s="25"/>
      <c r="S843" s="26"/>
      <c r="Z843" s="22"/>
    </row>
    <row r="844" spans="2:26" x14ac:dyDescent="0.25">
      <c r="B844" s="22"/>
      <c r="K844" s="23"/>
      <c r="L844" s="24"/>
      <c r="M844" s="24"/>
      <c r="N844" s="24"/>
      <c r="O844" s="24"/>
      <c r="P844" s="24"/>
      <c r="Q844" s="25"/>
      <c r="S844" s="26"/>
      <c r="Z844" s="22"/>
    </row>
    <row r="845" spans="2:26" x14ac:dyDescent="0.25">
      <c r="B845" s="22"/>
      <c r="K845" s="23"/>
      <c r="L845" s="24"/>
      <c r="M845" s="24"/>
      <c r="N845" s="24"/>
      <c r="O845" s="24"/>
      <c r="P845" s="24"/>
      <c r="Q845" s="25"/>
      <c r="S845" s="26"/>
      <c r="Z845" s="22"/>
    </row>
    <row r="846" spans="2:26" x14ac:dyDescent="0.25">
      <c r="B846" s="22"/>
      <c r="K846" s="23"/>
      <c r="L846" s="24"/>
      <c r="M846" s="24"/>
      <c r="N846" s="24"/>
      <c r="O846" s="24"/>
      <c r="P846" s="24"/>
      <c r="Q846" s="25"/>
      <c r="S846" s="26"/>
      <c r="Z846" s="22"/>
    </row>
    <row r="847" spans="2:26" x14ac:dyDescent="0.25">
      <c r="B847" s="22"/>
      <c r="K847" s="23"/>
      <c r="L847" s="24"/>
      <c r="M847" s="24"/>
      <c r="N847" s="24"/>
      <c r="O847" s="24"/>
      <c r="P847" s="24"/>
      <c r="Q847" s="25"/>
      <c r="S847" s="26"/>
      <c r="Z847" s="22"/>
    </row>
    <row r="848" spans="2:26" x14ac:dyDescent="0.25">
      <c r="B848" s="22"/>
      <c r="K848" s="23"/>
      <c r="L848" s="24"/>
      <c r="M848" s="24"/>
      <c r="N848" s="24"/>
      <c r="O848" s="24"/>
      <c r="P848" s="24"/>
      <c r="Q848" s="25"/>
      <c r="S848" s="26"/>
      <c r="Z848" s="22"/>
    </row>
    <row r="849" spans="2:26" x14ac:dyDescent="0.25">
      <c r="B849" s="22"/>
      <c r="K849" s="23"/>
      <c r="L849" s="24"/>
      <c r="M849" s="24"/>
      <c r="N849" s="24"/>
      <c r="O849" s="24"/>
      <c r="P849" s="24"/>
      <c r="Q849" s="25"/>
      <c r="S849" s="26"/>
      <c r="Z849" s="22"/>
    </row>
    <row r="850" spans="2:26" x14ac:dyDescent="0.25">
      <c r="B850" s="22"/>
      <c r="K850" s="23"/>
      <c r="L850" s="24"/>
      <c r="M850" s="24"/>
      <c r="N850" s="24"/>
      <c r="O850" s="24"/>
      <c r="P850" s="24"/>
      <c r="Q850" s="25"/>
      <c r="S850" s="26"/>
      <c r="Z850" s="22"/>
    </row>
    <row r="851" spans="2:26" x14ac:dyDescent="0.25">
      <c r="B851" s="22"/>
      <c r="K851" s="23"/>
      <c r="L851" s="24"/>
      <c r="M851" s="24"/>
      <c r="N851" s="24"/>
      <c r="O851" s="24"/>
      <c r="P851" s="24"/>
      <c r="Q851" s="25"/>
      <c r="S851" s="26"/>
      <c r="Z851" s="22"/>
    </row>
    <row r="852" spans="2:26" x14ac:dyDescent="0.25">
      <c r="B852" s="22"/>
      <c r="K852" s="23"/>
      <c r="L852" s="24"/>
      <c r="M852" s="24"/>
      <c r="N852" s="24"/>
      <c r="O852" s="24"/>
      <c r="P852" s="24"/>
      <c r="Q852" s="25"/>
      <c r="S852" s="26"/>
      <c r="Z852" s="22"/>
    </row>
    <row r="853" spans="2:26" x14ac:dyDescent="0.25">
      <c r="B853" s="22"/>
      <c r="K853" s="23"/>
      <c r="L853" s="24"/>
      <c r="M853" s="24"/>
      <c r="N853" s="24"/>
      <c r="O853" s="24"/>
      <c r="P853" s="24"/>
      <c r="Q853" s="25"/>
      <c r="S853" s="26"/>
      <c r="Z853" s="22"/>
    </row>
    <row r="854" spans="2:26" x14ac:dyDescent="0.25">
      <c r="B854" s="22"/>
      <c r="K854" s="23"/>
      <c r="L854" s="24"/>
      <c r="M854" s="24"/>
      <c r="N854" s="24"/>
      <c r="O854" s="24"/>
      <c r="P854" s="24"/>
      <c r="Q854" s="25"/>
      <c r="S854" s="26"/>
      <c r="Z854" s="22"/>
    </row>
    <row r="855" spans="2:26" x14ac:dyDescent="0.25">
      <c r="B855" s="22"/>
      <c r="K855" s="23"/>
      <c r="L855" s="24"/>
      <c r="M855" s="24"/>
      <c r="N855" s="24"/>
      <c r="O855" s="24"/>
      <c r="P855" s="24"/>
      <c r="Q855" s="25"/>
      <c r="S855" s="26"/>
      <c r="Z855" s="22"/>
    </row>
    <row r="856" spans="2:26" x14ac:dyDescent="0.25">
      <c r="B856" s="22"/>
      <c r="K856" s="23"/>
      <c r="L856" s="24"/>
      <c r="M856" s="24"/>
      <c r="N856" s="24"/>
      <c r="O856" s="24"/>
      <c r="P856" s="24"/>
      <c r="Q856" s="25"/>
      <c r="S856" s="26"/>
      <c r="Z856" s="22"/>
    </row>
    <row r="857" spans="2:26" x14ac:dyDescent="0.25">
      <c r="B857" s="22"/>
      <c r="K857" s="23"/>
      <c r="L857" s="24"/>
      <c r="M857" s="24"/>
      <c r="N857" s="24"/>
      <c r="O857" s="24"/>
      <c r="P857" s="24"/>
      <c r="Q857" s="25"/>
      <c r="S857" s="26"/>
      <c r="Z857" s="22"/>
    </row>
    <row r="858" spans="2:26" x14ac:dyDescent="0.25">
      <c r="B858" s="22"/>
      <c r="K858" s="23"/>
      <c r="L858" s="24"/>
      <c r="M858" s="24"/>
      <c r="N858" s="24"/>
      <c r="O858" s="24"/>
      <c r="P858" s="24"/>
      <c r="Q858" s="25"/>
      <c r="S858" s="26"/>
      <c r="Z858" s="22"/>
    </row>
    <row r="859" spans="2:26" x14ac:dyDescent="0.25">
      <c r="B859" s="22"/>
      <c r="K859" s="23"/>
      <c r="L859" s="24"/>
      <c r="M859" s="24"/>
      <c r="N859" s="24"/>
      <c r="O859" s="24"/>
      <c r="P859" s="24"/>
      <c r="Q859" s="25"/>
      <c r="S859" s="26"/>
      <c r="Z859" s="22"/>
    </row>
    <row r="860" spans="2:26" x14ac:dyDescent="0.25">
      <c r="B860" s="22"/>
      <c r="K860" s="23"/>
      <c r="L860" s="24"/>
      <c r="M860" s="24"/>
      <c r="N860" s="24"/>
      <c r="O860" s="24"/>
      <c r="P860" s="24"/>
      <c r="Q860" s="25"/>
      <c r="S860" s="26"/>
      <c r="Z860" s="22"/>
    </row>
    <row r="861" spans="2:26" x14ac:dyDescent="0.25">
      <c r="B861" s="22"/>
      <c r="K861" s="23"/>
      <c r="L861" s="24"/>
      <c r="M861" s="24"/>
      <c r="N861" s="24"/>
      <c r="O861" s="24"/>
      <c r="P861" s="24"/>
      <c r="Q861" s="25"/>
      <c r="S861" s="26"/>
      <c r="Z861" s="22"/>
    </row>
    <row r="862" spans="2:26" x14ac:dyDescent="0.25">
      <c r="B862" s="22"/>
      <c r="K862" s="23"/>
      <c r="L862" s="24"/>
      <c r="M862" s="24"/>
      <c r="N862" s="24"/>
      <c r="O862" s="24"/>
      <c r="P862" s="24"/>
      <c r="Q862" s="25"/>
      <c r="S862" s="26"/>
      <c r="Z862" s="22"/>
    </row>
    <row r="863" spans="2:26" x14ac:dyDescent="0.25">
      <c r="B863" s="22"/>
      <c r="K863" s="23"/>
      <c r="L863" s="24"/>
      <c r="M863" s="24"/>
      <c r="N863" s="24"/>
      <c r="O863" s="24"/>
      <c r="P863" s="24"/>
      <c r="Q863" s="25"/>
      <c r="S863" s="26"/>
      <c r="Z863" s="22"/>
    </row>
    <row r="864" spans="2:26" x14ac:dyDescent="0.25">
      <c r="B864" s="22"/>
      <c r="K864" s="23"/>
      <c r="L864" s="24"/>
      <c r="M864" s="24"/>
      <c r="N864" s="24"/>
      <c r="O864" s="24"/>
      <c r="P864" s="24"/>
      <c r="Q864" s="25"/>
      <c r="S864" s="26"/>
      <c r="Z864" s="22"/>
    </row>
    <row r="865" spans="2:26" x14ac:dyDescent="0.25">
      <c r="B865" s="22"/>
      <c r="K865" s="23"/>
      <c r="L865" s="24"/>
      <c r="M865" s="24"/>
      <c r="N865" s="24"/>
      <c r="O865" s="24"/>
      <c r="P865" s="24"/>
      <c r="Q865" s="25"/>
      <c r="S865" s="26"/>
      <c r="Z865" s="22"/>
    </row>
    <row r="866" spans="2:26" x14ac:dyDescent="0.25">
      <c r="B866" s="22"/>
      <c r="K866" s="23"/>
      <c r="L866" s="24"/>
      <c r="M866" s="24"/>
      <c r="N866" s="24"/>
      <c r="O866" s="24"/>
      <c r="P866" s="24"/>
      <c r="Q866" s="25"/>
      <c r="S866" s="26"/>
      <c r="Z866" s="22"/>
    </row>
    <row r="867" spans="2:26" x14ac:dyDescent="0.25">
      <c r="B867" s="22"/>
      <c r="K867" s="23"/>
      <c r="L867" s="24"/>
      <c r="M867" s="24"/>
      <c r="N867" s="24"/>
      <c r="O867" s="24"/>
      <c r="P867" s="24"/>
      <c r="Q867" s="25"/>
      <c r="S867" s="26"/>
      <c r="Z867" s="22"/>
    </row>
    <row r="868" spans="2:26" x14ac:dyDescent="0.25">
      <c r="B868" s="22"/>
      <c r="K868" s="23"/>
      <c r="L868" s="24"/>
      <c r="M868" s="24"/>
      <c r="N868" s="24"/>
      <c r="O868" s="24"/>
      <c r="P868" s="24"/>
      <c r="Q868" s="25"/>
      <c r="S868" s="26"/>
      <c r="Z868" s="22"/>
    </row>
    <row r="869" spans="2:26" x14ac:dyDescent="0.25">
      <c r="B869" s="22"/>
      <c r="K869" s="23"/>
      <c r="L869" s="24"/>
      <c r="M869" s="24"/>
      <c r="N869" s="24"/>
      <c r="O869" s="24"/>
      <c r="P869" s="24"/>
      <c r="Q869" s="25"/>
      <c r="S869" s="26"/>
      <c r="Z869" s="22"/>
    </row>
    <row r="870" spans="2:26" x14ac:dyDescent="0.25">
      <c r="B870" s="22"/>
      <c r="K870" s="23"/>
      <c r="L870" s="24"/>
      <c r="M870" s="24"/>
      <c r="N870" s="24"/>
      <c r="O870" s="24"/>
      <c r="P870" s="24"/>
      <c r="Q870" s="25"/>
      <c r="S870" s="26"/>
      <c r="Z870" s="22"/>
    </row>
    <row r="871" spans="2:26" x14ac:dyDescent="0.25">
      <c r="B871" s="22"/>
      <c r="K871" s="23"/>
      <c r="L871" s="24"/>
      <c r="M871" s="24"/>
      <c r="N871" s="24"/>
      <c r="O871" s="24"/>
      <c r="P871" s="24"/>
      <c r="Q871" s="25"/>
      <c r="S871" s="26"/>
      <c r="Z871" s="22"/>
    </row>
    <row r="872" spans="2:26" x14ac:dyDescent="0.25">
      <c r="B872" s="22"/>
      <c r="K872" s="23"/>
      <c r="L872" s="24"/>
      <c r="M872" s="24"/>
      <c r="N872" s="24"/>
      <c r="O872" s="24"/>
      <c r="P872" s="24"/>
      <c r="Q872" s="25"/>
      <c r="S872" s="26"/>
      <c r="Z872" s="22"/>
    </row>
    <row r="873" spans="2:26" x14ac:dyDescent="0.25">
      <c r="B873" s="22"/>
      <c r="K873" s="23"/>
      <c r="L873" s="24"/>
      <c r="M873" s="24"/>
      <c r="N873" s="24"/>
      <c r="O873" s="24"/>
      <c r="P873" s="24"/>
      <c r="Q873" s="25"/>
      <c r="S873" s="26"/>
      <c r="Z873" s="22"/>
    </row>
    <row r="874" spans="2:26" x14ac:dyDescent="0.25">
      <c r="B874" s="22"/>
      <c r="K874" s="23"/>
      <c r="L874" s="24"/>
      <c r="M874" s="24"/>
      <c r="N874" s="24"/>
      <c r="O874" s="24"/>
      <c r="P874" s="24"/>
      <c r="Q874" s="25"/>
      <c r="S874" s="26"/>
      <c r="Z874" s="22"/>
    </row>
    <row r="875" spans="2:26" x14ac:dyDescent="0.25">
      <c r="B875" s="22"/>
      <c r="K875" s="23"/>
      <c r="L875" s="24"/>
      <c r="M875" s="24"/>
      <c r="N875" s="24"/>
      <c r="O875" s="24"/>
      <c r="P875" s="24"/>
      <c r="Q875" s="25"/>
      <c r="S875" s="26"/>
      <c r="Z875" s="22"/>
    </row>
    <row r="876" spans="2:26" x14ac:dyDescent="0.25">
      <c r="B876" s="22"/>
      <c r="K876" s="23"/>
      <c r="L876" s="24"/>
      <c r="M876" s="24"/>
      <c r="N876" s="24"/>
      <c r="O876" s="24"/>
      <c r="P876" s="24"/>
      <c r="Q876" s="25"/>
      <c r="S876" s="26"/>
      <c r="Z876" s="22"/>
    </row>
    <row r="877" spans="2:26" x14ac:dyDescent="0.25">
      <c r="B877" s="22"/>
      <c r="K877" s="23"/>
      <c r="L877" s="24"/>
      <c r="M877" s="24"/>
      <c r="N877" s="24"/>
      <c r="O877" s="24"/>
      <c r="P877" s="24"/>
      <c r="Q877" s="25"/>
      <c r="S877" s="26"/>
      <c r="Z877" s="22"/>
    </row>
    <row r="878" spans="2:26" x14ac:dyDescent="0.25">
      <c r="B878" s="22"/>
      <c r="K878" s="23"/>
      <c r="L878" s="24"/>
      <c r="M878" s="24"/>
      <c r="N878" s="24"/>
      <c r="O878" s="24"/>
      <c r="P878" s="24"/>
      <c r="Q878" s="25"/>
      <c r="S878" s="26"/>
      <c r="Z878" s="22"/>
    </row>
    <row r="879" spans="2:26" x14ac:dyDescent="0.25">
      <c r="B879" s="22"/>
      <c r="K879" s="23"/>
      <c r="L879" s="24"/>
      <c r="M879" s="24"/>
      <c r="N879" s="24"/>
      <c r="O879" s="24"/>
      <c r="P879" s="24"/>
      <c r="Q879" s="25"/>
      <c r="S879" s="26"/>
      <c r="Z879" s="22"/>
    </row>
    <row r="880" spans="2:26" x14ac:dyDescent="0.25">
      <c r="B880" s="22"/>
      <c r="K880" s="23"/>
      <c r="L880" s="24"/>
      <c r="M880" s="24"/>
      <c r="N880" s="24"/>
      <c r="O880" s="24"/>
      <c r="P880" s="24"/>
      <c r="Q880" s="25"/>
      <c r="S880" s="26"/>
      <c r="Z880" s="22"/>
    </row>
    <row r="881" spans="2:26" x14ac:dyDescent="0.25">
      <c r="B881" s="22"/>
      <c r="K881" s="23"/>
      <c r="L881" s="24"/>
      <c r="M881" s="24"/>
      <c r="N881" s="24"/>
      <c r="O881" s="24"/>
      <c r="P881" s="24"/>
      <c r="Q881" s="25"/>
      <c r="S881" s="26"/>
      <c r="Z881" s="22"/>
    </row>
    <row r="882" spans="2:26" x14ac:dyDescent="0.25">
      <c r="B882" s="22"/>
      <c r="K882" s="23"/>
      <c r="L882" s="24"/>
      <c r="M882" s="24"/>
      <c r="N882" s="24"/>
      <c r="O882" s="24"/>
      <c r="P882" s="24"/>
      <c r="Q882" s="25"/>
      <c r="S882" s="26"/>
      <c r="Z882" s="22"/>
    </row>
    <row r="883" spans="2:26" x14ac:dyDescent="0.25">
      <c r="B883" s="22"/>
      <c r="K883" s="23"/>
      <c r="L883" s="24"/>
      <c r="M883" s="24"/>
      <c r="N883" s="24"/>
      <c r="O883" s="24"/>
      <c r="P883" s="24"/>
      <c r="Q883" s="25"/>
      <c r="S883" s="26"/>
      <c r="Z883" s="22"/>
    </row>
    <row r="884" spans="2:26" x14ac:dyDescent="0.25">
      <c r="B884" s="22"/>
      <c r="K884" s="23"/>
      <c r="L884" s="24"/>
      <c r="M884" s="24"/>
      <c r="N884" s="24"/>
      <c r="O884" s="24"/>
      <c r="P884" s="24"/>
      <c r="Q884" s="25"/>
      <c r="S884" s="26"/>
      <c r="Z884" s="22"/>
    </row>
    <row r="885" spans="2:26" x14ac:dyDescent="0.25">
      <c r="B885" s="22"/>
      <c r="K885" s="23"/>
      <c r="L885" s="24"/>
      <c r="M885" s="24"/>
      <c r="N885" s="24"/>
      <c r="O885" s="24"/>
      <c r="P885" s="24"/>
      <c r="Q885" s="25"/>
      <c r="S885" s="26"/>
      <c r="Z885" s="22"/>
    </row>
    <row r="886" spans="2:26" x14ac:dyDescent="0.25">
      <c r="B886" s="22"/>
      <c r="K886" s="23"/>
      <c r="L886" s="24"/>
      <c r="M886" s="24"/>
      <c r="N886" s="24"/>
      <c r="O886" s="24"/>
      <c r="P886" s="24"/>
      <c r="Q886" s="25"/>
      <c r="S886" s="26"/>
      <c r="Z886" s="22"/>
    </row>
    <row r="887" spans="2:26" x14ac:dyDescent="0.25">
      <c r="B887" s="22"/>
      <c r="K887" s="23"/>
      <c r="L887" s="24"/>
      <c r="M887" s="24"/>
      <c r="N887" s="24"/>
      <c r="O887" s="24"/>
      <c r="P887" s="24"/>
      <c r="Q887" s="25"/>
      <c r="S887" s="26"/>
      <c r="Z887" s="22"/>
    </row>
    <row r="888" spans="2:26" x14ac:dyDescent="0.25">
      <c r="B888" s="22"/>
      <c r="K888" s="23"/>
      <c r="L888" s="24"/>
      <c r="M888" s="24"/>
      <c r="N888" s="24"/>
      <c r="O888" s="24"/>
      <c r="P888" s="24"/>
      <c r="Q888" s="25"/>
      <c r="S888" s="26"/>
      <c r="Z888" s="22"/>
    </row>
    <row r="889" spans="2:26" x14ac:dyDescent="0.25">
      <c r="B889" s="22"/>
      <c r="K889" s="23"/>
      <c r="L889" s="24"/>
      <c r="M889" s="24"/>
      <c r="N889" s="24"/>
      <c r="O889" s="24"/>
      <c r="P889" s="24"/>
      <c r="Q889" s="25"/>
      <c r="S889" s="26"/>
      <c r="Z889" s="22"/>
    </row>
    <row r="890" spans="2:26" x14ac:dyDescent="0.25">
      <c r="B890" s="22"/>
      <c r="K890" s="23"/>
      <c r="L890" s="24"/>
      <c r="M890" s="24"/>
      <c r="N890" s="24"/>
      <c r="O890" s="24"/>
      <c r="P890" s="24"/>
      <c r="Q890" s="25"/>
      <c r="S890" s="26"/>
      <c r="Z890" s="22"/>
    </row>
    <row r="891" spans="2:26" x14ac:dyDescent="0.25">
      <c r="B891" s="22"/>
      <c r="K891" s="23"/>
      <c r="L891" s="24"/>
      <c r="M891" s="24"/>
      <c r="N891" s="24"/>
      <c r="O891" s="24"/>
      <c r="P891" s="24"/>
      <c r="Q891" s="25"/>
      <c r="S891" s="26"/>
      <c r="Z891" s="22"/>
    </row>
    <row r="892" spans="2:26" x14ac:dyDescent="0.25">
      <c r="B892" s="22"/>
      <c r="K892" s="23"/>
      <c r="L892" s="24"/>
      <c r="M892" s="24"/>
      <c r="N892" s="24"/>
      <c r="O892" s="24"/>
      <c r="P892" s="24"/>
      <c r="Q892" s="25"/>
      <c r="S892" s="26"/>
      <c r="Z892" s="22"/>
    </row>
    <row r="893" spans="2:26" x14ac:dyDescent="0.25">
      <c r="B893" s="22"/>
      <c r="K893" s="23"/>
      <c r="L893" s="24"/>
      <c r="M893" s="24"/>
      <c r="N893" s="24"/>
      <c r="O893" s="24"/>
      <c r="P893" s="24"/>
      <c r="Q893" s="25"/>
      <c r="S893" s="26"/>
      <c r="Z893" s="22"/>
    </row>
    <row r="894" spans="2:26" x14ac:dyDescent="0.25">
      <c r="B894" s="22"/>
      <c r="K894" s="23"/>
      <c r="L894" s="24"/>
      <c r="M894" s="24"/>
      <c r="N894" s="24"/>
      <c r="O894" s="24"/>
      <c r="P894" s="24"/>
      <c r="Q894" s="25"/>
      <c r="S894" s="26"/>
      <c r="Z894" s="22"/>
    </row>
    <row r="895" spans="2:26" x14ac:dyDescent="0.25">
      <c r="B895" s="22"/>
      <c r="K895" s="23"/>
      <c r="L895" s="24"/>
      <c r="M895" s="24"/>
      <c r="N895" s="24"/>
      <c r="O895" s="24"/>
      <c r="P895" s="24"/>
      <c r="Q895" s="25"/>
      <c r="S895" s="26"/>
      <c r="Z895" s="22"/>
    </row>
    <row r="896" spans="2:26" x14ac:dyDescent="0.25">
      <c r="B896" s="22"/>
      <c r="K896" s="23"/>
      <c r="L896" s="24"/>
      <c r="M896" s="24"/>
      <c r="N896" s="24"/>
      <c r="O896" s="24"/>
      <c r="P896" s="24"/>
      <c r="Q896" s="25"/>
      <c r="S896" s="26"/>
      <c r="Z896" s="22"/>
    </row>
    <row r="897" spans="2:26" x14ac:dyDescent="0.25">
      <c r="B897" s="22"/>
      <c r="K897" s="23"/>
      <c r="L897" s="24"/>
      <c r="M897" s="24"/>
      <c r="N897" s="24"/>
      <c r="O897" s="24"/>
      <c r="P897" s="24"/>
      <c r="Q897" s="25"/>
      <c r="S897" s="26"/>
      <c r="Z897" s="22"/>
    </row>
    <row r="898" spans="2:26" x14ac:dyDescent="0.25">
      <c r="B898" s="22"/>
      <c r="K898" s="23"/>
      <c r="L898" s="24"/>
      <c r="M898" s="24"/>
      <c r="N898" s="24"/>
      <c r="O898" s="24"/>
      <c r="P898" s="24"/>
      <c r="Q898" s="25"/>
      <c r="S898" s="26"/>
      <c r="Z898" s="22"/>
    </row>
    <row r="899" spans="2:26" x14ac:dyDescent="0.25">
      <c r="B899" s="22"/>
      <c r="K899" s="23"/>
      <c r="L899" s="24"/>
      <c r="M899" s="24"/>
      <c r="N899" s="24"/>
      <c r="O899" s="24"/>
      <c r="P899" s="24"/>
      <c r="Q899" s="25"/>
      <c r="S899" s="26"/>
      <c r="Z899" s="22"/>
    </row>
    <row r="900" spans="2:26" x14ac:dyDescent="0.25">
      <c r="B900" s="22"/>
      <c r="K900" s="23"/>
      <c r="L900" s="24"/>
      <c r="M900" s="24"/>
      <c r="N900" s="24"/>
      <c r="O900" s="24"/>
      <c r="P900" s="24"/>
      <c r="Q900" s="25"/>
      <c r="S900" s="26"/>
      <c r="Z900" s="22"/>
    </row>
    <row r="901" spans="2:26" x14ac:dyDescent="0.25">
      <c r="B901" s="22"/>
      <c r="K901" s="23"/>
      <c r="L901" s="24"/>
      <c r="M901" s="24"/>
      <c r="N901" s="24"/>
      <c r="O901" s="24"/>
      <c r="P901" s="24"/>
      <c r="Q901" s="25"/>
      <c r="S901" s="26"/>
      <c r="Z901" s="22"/>
    </row>
    <row r="902" spans="2:26" x14ac:dyDescent="0.25">
      <c r="B902" s="22"/>
      <c r="K902" s="23"/>
      <c r="L902" s="24"/>
      <c r="M902" s="24"/>
      <c r="N902" s="24"/>
      <c r="O902" s="24"/>
      <c r="P902" s="24"/>
      <c r="Q902" s="25"/>
      <c r="S902" s="26"/>
      <c r="Z902" s="22"/>
    </row>
    <row r="903" spans="2:26" x14ac:dyDescent="0.25">
      <c r="B903" s="22"/>
      <c r="K903" s="23"/>
      <c r="L903" s="24"/>
      <c r="M903" s="24"/>
      <c r="N903" s="24"/>
      <c r="O903" s="24"/>
      <c r="P903" s="24"/>
      <c r="Q903" s="25"/>
      <c r="S903" s="26"/>
      <c r="Z903" s="22"/>
    </row>
    <row r="904" spans="2:26" x14ac:dyDescent="0.25">
      <c r="B904" s="22"/>
      <c r="K904" s="23"/>
      <c r="L904" s="24"/>
      <c r="M904" s="24"/>
      <c r="N904" s="24"/>
      <c r="O904" s="24"/>
      <c r="P904" s="24"/>
      <c r="Q904" s="25"/>
      <c r="S904" s="26"/>
      <c r="Z904" s="22"/>
    </row>
    <row r="905" spans="2:26" x14ac:dyDescent="0.25">
      <c r="B905" s="22"/>
      <c r="K905" s="23"/>
      <c r="L905" s="24"/>
      <c r="M905" s="24"/>
      <c r="N905" s="24"/>
      <c r="O905" s="24"/>
      <c r="P905" s="24"/>
      <c r="Q905" s="25"/>
      <c r="S905" s="26"/>
      <c r="Z905" s="22"/>
    </row>
    <row r="906" spans="2:26" x14ac:dyDescent="0.25">
      <c r="B906" s="22"/>
      <c r="K906" s="23"/>
      <c r="L906" s="24"/>
      <c r="M906" s="24"/>
      <c r="N906" s="24"/>
      <c r="O906" s="24"/>
      <c r="P906" s="24"/>
      <c r="Q906" s="25"/>
      <c r="S906" s="26"/>
      <c r="Z906" s="22"/>
    </row>
    <row r="907" spans="2:26" x14ac:dyDescent="0.25">
      <c r="B907" s="22"/>
      <c r="K907" s="23"/>
      <c r="L907" s="24"/>
      <c r="M907" s="24"/>
      <c r="N907" s="24"/>
      <c r="O907" s="24"/>
      <c r="P907" s="24"/>
      <c r="Q907" s="25"/>
      <c r="S907" s="26"/>
      <c r="Z907" s="22"/>
    </row>
    <row r="908" spans="2:26" x14ac:dyDescent="0.25">
      <c r="B908" s="22"/>
      <c r="K908" s="23"/>
      <c r="L908" s="24"/>
      <c r="M908" s="24"/>
      <c r="N908" s="24"/>
      <c r="O908" s="24"/>
      <c r="P908" s="24"/>
      <c r="Q908" s="25"/>
      <c r="S908" s="26"/>
      <c r="Z908" s="22"/>
    </row>
    <row r="909" spans="2:26" x14ac:dyDescent="0.25">
      <c r="B909" s="22"/>
      <c r="K909" s="23"/>
      <c r="L909" s="24"/>
      <c r="M909" s="24"/>
      <c r="N909" s="24"/>
      <c r="O909" s="24"/>
      <c r="P909" s="24"/>
      <c r="Q909" s="25"/>
      <c r="S909" s="26"/>
      <c r="Z909" s="22"/>
    </row>
    <row r="910" spans="2:26" x14ac:dyDescent="0.25">
      <c r="B910" s="22"/>
      <c r="K910" s="23"/>
      <c r="L910" s="24"/>
      <c r="M910" s="24"/>
      <c r="N910" s="24"/>
      <c r="O910" s="24"/>
      <c r="P910" s="24"/>
      <c r="Q910" s="25"/>
      <c r="S910" s="26"/>
      <c r="Z910" s="22"/>
    </row>
    <row r="911" spans="2:26" x14ac:dyDescent="0.25">
      <c r="B911" s="22"/>
      <c r="K911" s="23"/>
      <c r="L911" s="24"/>
      <c r="M911" s="24"/>
      <c r="N911" s="24"/>
      <c r="O911" s="24"/>
      <c r="P911" s="24"/>
      <c r="Q911" s="25"/>
      <c r="S911" s="26"/>
      <c r="Z911" s="22"/>
    </row>
    <row r="912" spans="2:26" x14ac:dyDescent="0.25">
      <c r="B912" s="22"/>
      <c r="K912" s="23"/>
      <c r="L912" s="24"/>
      <c r="M912" s="24"/>
      <c r="N912" s="24"/>
      <c r="O912" s="24"/>
      <c r="P912" s="24"/>
      <c r="Q912" s="25"/>
      <c r="S912" s="26"/>
      <c r="Z912" s="22"/>
    </row>
    <row r="913" spans="2:26" x14ac:dyDescent="0.25">
      <c r="B913" s="22"/>
      <c r="K913" s="23"/>
      <c r="L913" s="24"/>
      <c r="M913" s="24"/>
      <c r="N913" s="24"/>
      <c r="O913" s="24"/>
      <c r="P913" s="24"/>
      <c r="Q913" s="25"/>
      <c r="S913" s="26"/>
      <c r="Z913" s="22"/>
    </row>
    <row r="914" spans="2:26" x14ac:dyDescent="0.25">
      <c r="B914" s="22"/>
      <c r="K914" s="23"/>
      <c r="L914" s="24"/>
      <c r="M914" s="24"/>
      <c r="N914" s="24"/>
      <c r="O914" s="24"/>
      <c r="P914" s="24"/>
      <c r="Q914" s="25"/>
      <c r="S914" s="26"/>
      <c r="Z914" s="22"/>
    </row>
    <row r="915" spans="2:26" x14ac:dyDescent="0.25">
      <c r="B915" s="22"/>
      <c r="K915" s="23"/>
      <c r="L915" s="24"/>
      <c r="M915" s="24"/>
      <c r="N915" s="24"/>
      <c r="O915" s="24"/>
      <c r="P915" s="24"/>
      <c r="Q915" s="25"/>
      <c r="S915" s="26"/>
      <c r="Z915" s="22"/>
    </row>
    <row r="916" spans="2:26" x14ac:dyDescent="0.25">
      <c r="B916" s="22"/>
      <c r="K916" s="23"/>
      <c r="L916" s="24"/>
      <c r="M916" s="24"/>
      <c r="N916" s="24"/>
      <c r="O916" s="24"/>
      <c r="P916" s="24"/>
      <c r="Q916" s="25"/>
      <c r="S916" s="26"/>
      <c r="Z916" s="22"/>
    </row>
    <row r="917" spans="2:26" x14ac:dyDescent="0.25">
      <c r="B917" s="22"/>
      <c r="K917" s="23"/>
      <c r="L917" s="24"/>
      <c r="M917" s="24"/>
      <c r="N917" s="24"/>
      <c r="O917" s="24"/>
      <c r="P917" s="24"/>
      <c r="Q917" s="25"/>
      <c r="S917" s="26"/>
      <c r="Z917" s="22"/>
    </row>
    <row r="918" spans="2:26" x14ac:dyDescent="0.25">
      <c r="B918" s="22"/>
      <c r="K918" s="23"/>
      <c r="L918" s="24"/>
      <c r="M918" s="24"/>
      <c r="N918" s="24"/>
      <c r="O918" s="24"/>
      <c r="P918" s="24"/>
      <c r="Q918" s="25"/>
      <c r="S918" s="26"/>
      <c r="Z918" s="22"/>
    </row>
    <row r="919" spans="2:26" x14ac:dyDescent="0.25">
      <c r="B919" s="22"/>
      <c r="K919" s="23"/>
      <c r="L919" s="24"/>
      <c r="M919" s="24"/>
      <c r="N919" s="24"/>
      <c r="O919" s="24"/>
      <c r="P919" s="24"/>
      <c r="Q919" s="25"/>
      <c r="S919" s="26"/>
      <c r="Z919" s="22"/>
    </row>
    <row r="920" spans="2:26" x14ac:dyDescent="0.25">
      <c r="B920" s="22"/>
      <c r="K920" s="23"/>
      <c r="L920" s="24"/>
      <c r="M920" s="24"/>
      <c r="N920" s="24"/>
      <c r="O920" s="24"/>
      <c r="P920" s="24"/>
      <c r="Q920" s="25"/>
      <c r="S920" s="26"/>
      <c r="Z920" s="22"/>
    </row>
    <row r="921" spans="2:26" x14ac:dyDescent="0.25">
      <c r="B921" s="22"/>
      <c r="K921" s="23"/>
      <c r="L921" s="24"/>
      <c r="M921" s="24"/>
      <c r="N921" s="24"/>
      <c r="O921" s="24"/>
      <c r="P921" s="24"/>
      <c r="Q921" s="25"/>
      <c r="S921" s="26"/>
      <c r="Z921" s="22"/>
    </row>
    <row r="922" spans="2:26" x14ac:dyDescent="0.25">
      <c r="B922" s="22"/>
      <c r="K922" s="23"/>
      <c r="L922" s="24"/>
      <c r="M922" s="24"/>
      <c r="N922" s="24"/>
      <c r="O922" s="24"/>
      <c r="P922" s="24"/>
      <c r="Q922" s="25"/>
      <c r="S922" s="26"/>
      <c r="Z922" s="22"/>
    </row>
    <row r="923" spans="2:26" x14ac:dyDescent="0.25">
      <c r="B923" s="22"/>
      <c r="K923" s="23"/>
      <c r="L923" s="24"/>
      <c r="M923" s="24"/>
      <c r="N923" s="24"/>
      <c r="O923" s="24"/>
      <c r="P923" s="24"/>
      <c r="Q923" s="25"/>
      <c r="S923" s="26"/>
      <c r="Z923" s="22"/>
    </row>
    <row r="924" spans="2:26" x14ac:dyDescent="0.25">
      <c r="B924" s="22"/>
      <c r="K924" s="23"/>
      <c r="L924" s="24"/>
      <c r="M924" s="24"/>
      <c r="N924" s="24"/>
      <c r="O924" s="24"/>
      <c r="P924" s="24"/>
      <c r="Q924" s="25"/>
      <c r="S924" s="26"/>
      <c r="Z924" s="22"/>
    </row>
    <row r="925" spans="2:26" x14ac:dyDescent="0.25">
      <c r="B925" s="22"/>
      <c r="K925" s="23"/>
      <c r="L925" s="24"/>
      <c r="M925" s="24"/>
      <c r="N925" s="24"/>
      <c r="O925" s="24"/>
      <c r="P925" s="24"/>
      <c r="Q925" s="25"/>
      <c r="S925" s="26"/>
      <c r="Z925" s="22"/>
    </row>
    <row r="926" spans="2:26" x14ac:dyDescent="0.25">
      <c r="B926" s="22"/>
      <c r="K926" s="23"/>
      <c r="L926" s="24"/>
      <c r="M926" s="24"/>
      <c r="N926" s="24"/>
      <c r="O926" s="24"/>
      <c r="P926" s="24"/>
      <c r="Q926" s="25"/>
      <c r="S926" s="26"/>
      <c r="Z926" s="22"/>
    </row>
    <row r="927" spans="2:26" x14ac:dyDescent="0.25">
      <c r="B927" s="22"/>
      <c r="K927" s="23"/>
      <c r="L927" s="24"/>
      <c r="M927" s="24"/>
      <c r="N927" s="24"/>
      <c r="O927" s="24"/>
      <c r="P927" s="24"/>
      <c r="Q927" s="25"/>
      <c r="S927" s="26"/>
      <c r="Z927" s="22"/>
    </row>
    <row r="928" spans="2:26" x14ac:dyDescent="0.25">
      <c r="B928" s="22"/>
      <c r="K928" s="23"/>
      <c r="L928" s="24"/>
      <c r="M928" s="24"/>
      <c r="N928" s="24"/>
      <c r="O928" s="24"/>
      <c r="P928" s="24"/>
      <c r="Q928" s="25"/>
      <c r="S928" s="26"/>
      <c r="Z928" s="22"/>
    </row>
    <row r="929" spans="2:26" x14ac:dyDescent="0.25">
      <c r="B929" s="22"/>
      <c r="K929" s="23"/>
      <c r="L929" s="24"/>
      <c r="M929" s="24"/>
      <c r="N929" s="24"/>
      <c r="O929" s="24"/>
      <c r="P929" s="24"/>
      <c r="Q929" s="25"/>
      <c r="S929" s="26"/>
      <c r="Z929" s="22"/>
    </row>
    <row r="930" spans="2:26" x14ac:dyDescent="0.25">
      <c r="B930" s="22"/>
      <c r="K930" s="23"/>
      <c r="L930" s="24"/>
      <c r="M930" s="24"/>
      <c r="N930" s="24"/>
      <c r="O930" s="24"/>
      <c r="P930" s="24"/>
      <c r="Q930" s="25"/>
      <c r="S930" s="26"/>
      <c r="Z930" s="22"/>
    </row>
    <row r="931" spans="2:26" x14ac:dyDescent="0.25">
      <c r="B931" s="22"/>
      <c r="K931" s="23"/>
      <c r="L931" s="24"/>
      <c r="M931" s="24"/>
      <c r="N931" s="24"/>
      <c r="O931" s="24"/>
      <c r="P931" s="24"/>
      <c r="Q931" s="25"/>
      <c r="S931" s="26"/>
      <c r="Z931" s="22"/>
    </row>
    <row r="932" spans="2:26" x14ac:dyDescent="0.25">
      <c r="B932" s="22"/>
      <c r="K932" s="23"/>
      <c r="L932" s="24"/>
      <c r="M932" s="24"/>
      <c r="N932" s="24"/>
      <c r="O932" s="24"/>
      <c r="P932" s="24"/>
      <c r="Q932" s="25"/>
      <c r="S932" s="26"/>
      <c r="Z932" s="22"/>
    </row>
    <row r="933" spans="2:26" x14ac:dyDescent="0.25">
      <c r="B933" s="22"/>
      <c r="K933" s="23"/>
      <c r="L933" s="24"/>
      <c r="M933" s="24"/>
      <c r="N933" s="24"/>
      <c r="O933" s="24"/>
      <c r="P933" s="24"/>
      <c r="Q933" s="25"/>
      <c r="S933" s="26"/>
      <c r="Z933" s="22"/>
    </row>
    <row r="934" spans="2:26" x14ac:dyDescent="0.25">
      <c r="B934" s="22"/>
      <c r="K934" s="23"/>
      <c r="L934" s="24"/>
      <c r="M934" s="24"/>
      <c r="N934" s="24"/>
      <c r="O934" s="24"/>
      <c r="P934" s="24"/>
      <c r="Q934" s="25"/>
      <c r="S934" s="26"/>
      <c r="Z934" s="22"/>
    </row>
    <row r="935" spans="2:26" x14ac:dyDescent="0.25">
      <c r="B935" s="22"/>
      <c r="K935" s="23"/>
      <c r="L935" s="24"/>
      <c r="M935" s="24"/>
      <c r="N935" s="24"/>
      <c r="O935" s="24"/>
      <c r="P935" s="24"/>
      <c r="Q935" s="25"/>
      <c r="S935" s="26"/>
      <c r="Z935" s="22"/>
    </row>
    <row r="936" spans="2:26" x14ac:dyDescent="0.25">
      <c r="B936" s="22"/>
      <c r="K936" s="23"/>
      <c r="L936" s="24"/>
      <c r="M936" s="24"/>
      <c r="N936" s="24"/>
      <c r="O936" s="24"/>
      <c r="P936" s="24"/>
      <c r="Q936" s="25"/>
      <c r="S936" s="26"/>
      <c r="Z936" s="22"/>
    </row>
    <row r="937" spans="2:26" x14ac:dyDescent="0.25">
      <c r="B937" s="22"/>
      <c r="K937" s="23"/>
      <c r="L937" s="24"/>
      <c r="M937" s="24"/>
      <c r="N937" s="24"/>
      <c r="O937" s="24"/>
      <c r="P937" s="24"/>
      <c r="Q937" s="25"/>
      <c r="S937" s="26"/>
      <c r="Z937" s="22"/>
    </row>
    <row r="938" spans="2:26" x14ac:dyDescent="0.25">
      <c r="B938" s="22"/>
      <c r="K938" s="23"/>
      <c r="L938" s="24"/>
      <c r="M938" s="24"/>
      <c r="N938" s="24"/>
      <c r="O938" s="24"/>
      <c r="P938" s="24"/>
      <c r="Q938" s="25"/>
      <c r="S938" s="26"/>
      <c r="Z938" s="22"/>
    </row>
    <row r="939" spans="2:26" x14ac:dyDescent="0.25">
      <c r="B939" s="22"/>
      <c r="K939" s="23"/>
      <c r="L939" s="24"/>
      <c r="M939" s="24"/>
      <c r="N939" s="24"/>
      <c r="O939" s="24"/>
      <c r="P939" s="24"/>
      <c r="Q939" s="25"/>
      <c r="S939" s="26"/>
      <c r="Z939" s="22"/>
    </row>
    <row r="940" spans="2:26" x14ac:dyDescent="0.25">
      <c r="B940" s="22"/>
      <c r="K940" s="23"/>
      <c r="L940" s="24"/>
      <c r="M940" s="24"/>
      <c r="N940" s="24"/>
      <c r="O940" s="24"/>
      <c r="P940" s="24"/>
      <c r="Q940" s="25"/>
      <c r="S940" s="26"/>
      <c r="Z940" s="22"/>
    </row>
    <row r="941" spans="2:26" x14ac:dyDescent="0.25">
      <c r="B941" s="22"/>
      <c r="K941" s="23"/>
      <c r="L941" s="24"/>
      <c r="M941" s="24"/>
      <c r="N941" s="24"/>
      <c r="O941" s="24"/>
      <c r="P941" s="24"/>
      <c r="Q941" s="25"/>
      <c r="S941" s="26"/>
      <c r="Z941" s="22"/>
    </row>
    <row r="942" spans="2:26" x14ac:dyDescent="0.25">
      <c r="B942" s="22"/>
      <c r="K942" s="23"/>
      <c r="L942" s="24"/>
      <c r="M942" s="24"/>
      <c r="N942" s="24"/>
      <c r="O942" s="24"/>
      <c r="P942" s="24"/>
      <c r="Q942" s="25"/>
      <c r="S942" s="26"/>
      <c r="Z942" s="22"/>
    </row>
    <row r="943" spans="2:26" x14ac:dyDescent="0.25">
      <c r="B943" s="22"/>
      <c r="K943" s="23"/>
      <c r="L943" s="24"/>
      <c r="M943" s="24"/>
      <c r="N943" s="24"/>
      <c r="O943" s="24"/>
      <c r="P943" s="24"/>
      <c r="Q943" s="25"/>
      <c r="S943" s="26"/>
      <c r="Z943" s="22"/>
    </row>
    <row r="944" spans="2:26" x14ac:dyDescent="0.25">
      <c r="B944" s="22"/>
      <c r="K944" s="23"/>
      <c r="L944" s="24"/>
      <c r="M944" s="24"/>
      <c r="N944" s="24"/>
      <c r="O944" s="24"/>
      <c r="P944" s="24"/>
      <c r="Q944" s="25"/>
      <c r="S944" s="26"/>
      <c r="Z944" s="22"/>
    </row>
    <row r="945" spans="2:26" x14ac:dyDescent="0.25">
      <c r="B945" s="22"/>
      <c r="K945" s="23"/>
      <c r="L945" s="24"/>
      <c r="M945" s="24"/>
      <c r="N945" s="24"/>
      <c r="O945" s="24"/>
      <c r="P945" s="24"/>
      <c r="Q945" s="25"/>
      <c r="S945" s="26"/>
      <c r="Z945" s="22"/>
    </row>
    <row r="946" spans="2:26" x14ac:dyDescent="0.25">
      <c r="B946" s="22"/>
      <c r="K946" s="23"/>
      <c r="L946" s="24"/>
      <c r="M946" s="24"/>
      <c r="N946" s="24"/>
      <c r="O946" s="24"/>
      <c r="P946" s="24"/>
      <c r="Q946" s="25"/>
      <c r="S946" s="26"/>
      <c r="Z946" s="22"/>
    </row>
    <row r="947" spans="2:26" x14ac:dyDescent="0.25">
      <c r="B947" s="22"/>
      <c r="K947" s="23"/>
      <c r="L947" s="24"/>
      <c r="M947" s="24"/>
      <c r="N947" s="24"/>
      <c r="O947" s="24"/>
      <c r="P947" s="24"/>
      <c r="Q947" s="25"/>
      <c r="S947" s="26"/>
      <c r="Z947" s="22"/>
    </row>
    <row r="948" spans="2:26" x14ac:dyDescent="0.25">
      <c r="B948" s="22"/>
      <c r="K948" s="23"/>
      <c r="L948" s="24"/>
      <c r="M948" s="24"/>
      <c r="N948" s="24"/>
      <c r="O948" s="24"/>
      <c r="P948" s="24"/>
      <c r="Q948" s="25"/>
      <c r="S948" s="26"/>
      <c r="Z948" s="22"/>
    </row>
    <row r="949" spans="2:26" x14ac:dyDescent="0.25">
      <c r="B949" s="22"/>
      <c r="K949" s="23"/>
      <c r="L949" s="24"/>
      <c r="M949" s="24"/>
      <c r="N949" s="24"/>
      <c r="O949" s="24"/>
      <c r="P949" s="24"/>
      <c r="Q949" s="25"/>
      <c r="S949" s="26"/>
      <c r="Z949" s="22"/>
    </row>
    <row r="950" spans="2:26" x14ac:dyDescent="0.25">
      <c r="B950" s="22"/>
      <c r="K950" s="23"/>
      <c r="L950" s="24"/>
      <c r="M950" s="24"/>
      <c r="N950" s="24"/>
      <c r="O950" s="24"/>
      <c r="P950" s="24"/>
      <c r="Q950" s="25"/>
      <c r="S950" s="26"/>
      <c r="Z950" s="22"/>
    </row>
    <row r="951" spans="2:26" x14ac:dyDescent="0.25">
      <c r="B951" s="22"/>
      <c r="K951" s="23"/>
      <c r="L951" s="24"/>
      <c r="M951" s="24"/>
      <c r="N951" s="24"/>
      <c r="O951" s="24"/>
      <c r="P951" s="24"/>
      <c r="Q951" s="25"/>
      <c r="S951" s="26"/>
      <c r="Z951" s="22"/>
    </row>
    <row r="952" spans="2:26" x14ac:dyDescent="0.25">
      <c r="B952" s="22"/>
      <c r="K952" s="23"/>
      <c r="L952" s="24"/>
      <c r="M952" s="24"/>
      <c r="N952" s="24"/>
      <c r="O952" s="24"/>
      <c r="P952" s="24"/>
      <c r="Q952" s="25"/>
      <c r="S952" s="26"/>
      <c r="Z952" s="22"/>
    </row>
    <row r="953" spans="2:26" x14ac:dyDescent="0.25">
      <c r="B953" s="22"/>
      <c r="K953" s="23"/>
      <c r="L953" s="24"/>
      <c r="M953" s="24"/>
      <c r="N953" s="24"/>
      <c r="O953" s="24"/>
      <c r="P953" s="24"/>
      <c r="Q953" s="25"/>
      <c r="S953" s="26"/>
      <c r="Z953" s="22"/>
    </row>
    <row r="954" spans="2:26" x14ac:dyDescent="0.25">
      <c r="B954" s="22"/>
      <c r="K954" s="23"/>
      <c r="L954" s="24"/>
      <c r="M954" s="24"/>
      <c r="N954" s="24"/>
      <c r="O954" s="24"/>
      <c r="P954" s="24"/>
      <c r="Q954" s="25"/>
      <c r="S954" s="26"/>
      <c r="Z954" s="22"/>
    </row>
    <row r="955" spans="2:26" x14ac:dyDescent="0.25">
      <c r="B955" s="22"/>
      <c r="K955" s="23"/>
      <c r="L955" s="24"/>
      <c r="M955" s="24"/>
      <c r="N955" s="24"/>
      <c r="O955" s="24"/>
      <c r="P955" s="24"/>
      <c r="Q955" s="25"/>
      <c r="S955" s="26"/>
      <c r="Z955" s="22"/>
    </row>
    <row r="956" spans="2:26" x14ac:dyDescent="0.25">
      <c r="B956" s="22"/>
      <c r="K956" s="23"/>
      <c r="L956" s="24"/>
      <c r="M956" s="24"/>
      <c r="N956" s="24"/>
      <c r="O956" s="24"/>
      <c r="P956" s="24"/>
      <c r="Q956" s="25"/>
      <c r="S956" s="26"/>
      <c r="Z956" s="22"/>
    </row>
    <row r="957" spans="2:26" x14ac:dyDescent="0.25">
      <c r="B957" s="22"/>
      <c r="K957" s="23"/>
      <c r="L957" s="24"/>
      <c r="M957" s="24"/>
      <c r="N957" s="24"/>
      <c r="O957" s="24"/>
      <c r="P957" s="24"/>
      <c r="Q957" s="25"/>
      <c r="S957" s="26"/>
      <c r="Z957" s="22"/>
    </row>
    <row r="958" spans="2:26" x14ac:dyDescent="0.25">
      <c r="B958" s="22"/>
      <c r="K958" s="23"/>
      <c r="L958" s="24"/>
      <c r="M958" s="24"/>
      <c r="N958" s="24"/>
      <c r="O958" s="24"/>
      <c r="P958" s="24"/>
      <c r="Q958" s="25"/>
      <c r="S958" s="26"/>
      <c r="Z958" s="22"/>
    </row>
    <row r="959" spans="2:26" x14ac:dyDescent="0.25">
      <c r="B959" s="22"/>
      <c r="K959" s="23"/>
      <c r="L959" s="24"/>
      <c r="M959" s="24"/>
      <c r="N959" s="24"/>
      <c r="O959" s="24"/>
      <c r="P959" s="24"/>
      <c r="Q959" s="25"/>
      <c r="S959" s="26"/>
      <c r="Z959" s="22"/>
    </row>
    <row r="960" spans="2:26" x14ac:dyDescent="0.25">
      <c r="B960" s="22"/>
      <c r="K960" s="23"/>
      <c r="L960" s="24"/>
      <c r="M960" s="24"/>
      <c r="N960" s="24"/>
      <c r="O960" s="24"/>
      <c r="P960" s="24"/>
      <c r="Q960" s="25"/>
      <c r="S960" s="26"/>
      <c r="Z960" s="22"/>
    </row>
    <row r="961" spans="2:26" x14ac:dyDescent="0.25">
      <c r="B961" s="22"/>
      <c r="K961" s="23"/>
      <c r="L961" s="24"/>
      <c r="M961" s="24"/>
      <c r="N961" s="24"/>
      <c r="O961" s="24"/>
      <c r="P961" s="24"/>
      <c r="Q961" s="25"/>
      <c r="S961" s="26"/>
      <c r="Z961" s="22"/>
    </row>
    <row r="962" spans="2:26" x14ac:dyDescent="0.25">
      <c r="B962" s="22"/>
      <c r="K962" s="23"/>
      <c r="L962" s="24"/>
      <c r="M962" s="24"/>
      <c r="N962" s="24"/>
      <c r="O962" s="24"/>
      <c r="P962" s="24"/>
      <c r="Q962" s="25"/>
      <c r="S962" s="26"/>
      <c r="Z962" s="22"/>
    </row>
    <row r="963" spans="2:26" x14ac:dyDescent="0.25">
      <c r="B963" s="22"/>
      <c r="K963" s="23"/>
      <c r="L963" s="24"/>
      <c r="M963" s="24"/>
      <c r="N963" s="24"/>
      <c r="O963" s="24"/>
      <c r="P963" s="24"/>
      <c r="Q963" s="25"/>
      <c r="S963" s="26"/>
      <c r="Z963" s="22"/>
    </row>
    <row r="964" spans="2:26" x14ac:dyDescent="0.25">
      <c r="B964" s="22"/>
      <c r="K964" s="23"/>
      <c r="L964" s="24"/>
      <c r="M964" s="24"/>
      <c r="N964" s="24"/>
      <c r="O964" s="24"/>
      <c r="P964" s="24"/>
      <c r="Q964" s="25"/>
      <c r="S964" s="26"/>
      <c r="Z964" s="22"/>
    </row>
    <row r="965" spans="2:26" x14ac:dyDescent="0.25">
      <c r="B965" s="22"/>
      <c r="K965" s="23"/>
      <c r="L965" s="24"/>
      <c r="M965" s="24"/>
      <c r="N965" s="24"/>
      <c r="O965" s="24"/>
      <c r="P965" s="24"/>
      <c r="Q965" s="25"/>
      <c r="S965" s="26"/>
      <c r="Z965" s="22"/>
    </row>
    <row r="966" spans="2:26" x14ac:dyDescent="0.25">
      <c r="B966" s="22"/>
      <c r="K966" s="23"/>
      <c r="L966" s="24"/>
      <c r="M966" s="24"/>
      <c r="N966" s="24"/>
      <c r="O966" s="24"/>
      <c r="P966" s="24"/>
      <c r="Q966" s="25"/>
      <c r="S966" s="26"/>
      <c r="Z966" s="22"/>
    </row>
    <row r="967" spans="2:26" x14ac:dyDescent="0.25">
      <c r="B967" s="22"/>
      <c r="K967" s="23"/>
      <c r="L967" s="24"/>
      <c r="M967" s="24"/>
      <c r="N967" s="24"/>
      <c r="O967" s="24"/>
      <c r="P967" s="24"/>
      <c r="Q967" s="25"/>
      <c r="S967" s="26"/>
      <c r="Z967" s="22"/>
    </row>
    <row r="968" spans="2:26" x14ac:dyDescent="0.25">
      <c r="B968" s="22"/>
      <c r="K968" s="23"/>
      <c r="L968" s="24"/>
      <c r="M968" s="24"/>
      <c r="N968" s="24"/>
      <c r="O968" s="24"/>
      <c r="P968" s="24"/>
      <c r="Q968" s="25"/>
      <c r="S968" s="26"/>
      <c r="Z968" s="22"/>
    </row>
    <row r="969" spans="2:26" x14ac:dyDescent="0.25">
      <c r="B969" s="22"/>
      <c r="K969" s="23"/>
      <c r="L969" s="24"/>
      <c r="M969" s="24"/>
      <c r="N969" s="24"/>
      <c r="O969" s="24"/>
      <c r="P969" s="24"/>
      <c r="Q969" s="25"/>
      <c r="S969" s="26"/>
      <c r="Z969" s="22"/>
    </row>
    <row r="970" spans="2:26" x14ac:dyDescent="0.25">
      <c r="B970" s="22"/>
      <c r="K970" s="23"/>
      <c r="L970" s="24"/>
      <c r="M970" s="24"/>
      <c r="N970" s="24"/>
      <c r="O970" s="24"/>
      <c r="P970" s="24"/>
      <c r="Q970" s="25"/>
      <c r="S970" s="26"/>
      <c r="Z970" s="22"/>
    </row>
    <row r="971" spans="2:26" x14ac:dyDescent="0.25">
      <c r="B971" s="22"/>
      <c r="K971" s="23"/>
      <c r="L971" s="24"/>
      <c r="M971" s="24"/>
      <c r="N971" s="24"/>
      <c r="O971" s="24"/>
      <c r="P971" s="24"/>
      <c r="Q971" s="25"/>
      <c r="S971" s="26"/>
      <c r="Z971" s="22"/>
    </row>
    <row r="972" spans="2:26" x14ac:dyDescent="0.25">
      <c r="B972" s="22"/>
      <c r="K972" s="23"/>
      <c r="L972" s="24"/>
      <c r="M972" s="24"/>
      <c r="N972" s="24"/>
      <c r="O972" s="24"/>
      <c r="P972" s="24"/>
      <c r="Q972" s="25"/>
      <c r="S972" s="26"/>
      <c r="Z972" s="22"/>
    </row>
    <row r="973" spans="2:26" x14ac:dyDescent="0.25">
      <c r="B973" s="22"/>
      <c r="K973" s="23"/>
      <c r="L973" s="24"/>
      <c r="M973" s="24"/>
      <c r="N973" s="24"/>
      <c r="O973" s="24"/>
      <c r="P973" s="24"/>
      <c r="Q973" s="25"/>
      <c r="S973" s="26"/>
      <c r="Z973" s="22"/>
    </row>
    <row r="974" spans="2:26" x14ac:dyDescent="0.25">
      <c r="B974" s="22"/>
      <c r="K974" s="23"/>
      <c r="L974" s="24"/>
      <c r="M974" s="24"/>
      <c r="N974" s="24"/>
      <c r="O974" s="24"/>
      <c r="P974" s="24"/>
      <c r="Q974" s="25"/>
      <c r="S974" s="26"/>
      <c r="Z974" s="22"/>
    </row>
    <row r="975" spans="2:26" x14ac:dyDescent="0.25">
      <c r="B975" s="22"/>
      <c r="K975" s="23"/>
      <c r="L975" s="24"/>
      <c r="M975" s="24"/>
      <c r="N975" s="24"/>
      <c r="O975" s="24"/>
      <c r="P975" s="24"/>
      <c r="Q975" s="25"/>
      <c r="S975" s="26"/>
      <c r="Z975" s="22"/>
    </row>
    <row r="976" spans="2:26" x14ac:dyDescent="0.25">
      <c r="B976" s="22"/>
      <c r="K976" s="23"/>
      <c r="L976" s="24"/>
      <c r="M976" s="24"/>
      <c r="N976" s="24"/>
      <c r="O976" s="24"/>
      <c r="P976" s="24"/>
      <c r="Q976" s="25"/>
      <c r="S976" s="26"/>
      <c r="Z976" s="22"/>
    </row>
    <row r="977" spans="2:26" x14ac:dyDescent="0.25">
      <c r="B977" s="22"/>
      <c r="K977" s="23"/>
      <c r="L977" s="24"/>
      <c r="M977" s="24"/>
      <c r="N977" s="24"/>
      <c r="O977" s="24"/>
      <c r="P977" s="24"/>
      <c r="Q977" s="25"/>
      <c r="S977" s="26"/>
      <c r="Z977" s="22"/>
    </row>
    <row r="978" spans="2:26" x14ac:dyDescent="0.25">
      <c r="B978" s="22"/>
      <c r="K978" s="23"/>
      <c r="L978" s="24"/>
      <c r="M978" s="24"/>
      <c r="N978" s="24"/>
      <c r="O978" s="24"/>
      <c r="P978" s="24"/>
      <c r="Q978" s="25"/>
      <c r="S978" s="26"/>
      <c r="Z978" s="22"/>
    </row>
    <row r="979" spans="2:26" x14ac:dyDescent="0.25">
      <c r="B979" s="22"/>
      <c r="K979" s="23"/>
      <c r="L979" s="24"/>
      <c r="M979" s="24"/>
      <c r="N979" s="24"/>
      <c r="O979" s="24"/>
      <c r="P979" s="24"/>
      <c r="Q979" s="25"/>
      <c r="S979" s="26"/>
      <c r="Z979" s="22"/>
    </row>
    <row r="980" spans="2:26" x14ac:dyDescent="0.25">
      <c r="B980" s="22"/>
      <c r="K980" s="23"/>
      <c r="L980" s="24"/>
      <c r="M980" s="24"/>
      <c r="N980" s="24"/>
      <c r="O980" s="24"/>
      <c r="P980" s="24"/>
      <c r="Q980" s="25"/>
      <c r="S980" s="26"/>
      <c r="Z980" s="22"/>
    </row>
    <row r="981" spans="2:26" x14ac:dyDescent="0.25">
      <c r="B981" s="22"/>
      <c r="K981" s="23"/>
      <c r="L981" s="24"/>
      <c r="M981" s="24"/>
      <c r="N981" s="24"/>
      <c r="O981" s="24"/>
      <c r="P981" s="24"/>
      <c r="Q981" s="25"/>
      <c r="S981" s="26"/>
      <c r="Z981" s="22"/>
    </row>
    <row r="982" spans="2:26" x14ac:dyDescent="0.25">
      <c r="B982" s="22"/>
      <c r="K982" s="23"/>
      <c r="L982" s="24"/>
      <c r="M982" s="24"/>
      <c r="N982" s="24"/>
      <c r="O982" s="24"/>
      <c r="P982" s="24"/>
      <c r="Q982" s="25"/>
      <c r="S982" s="26"/>
      <c r="Z982" s="22"/>
    </row>
    <row r="983" spans="2:26" x14ac:dyDescent="0.25">
      <c r="B983" s="22"/>
      <c r="K983" s="23"/>
      <c r="L983" s="24"/>
      <c r="M983" s="24"/>
      <c r="N983" s="24"/>
      <c r="O983" s="24"/>
      <c r="P983" s="24"/>
      <c r="Q983" s="25"/>
      <c r="S983" s="26"/>
      <c r="Z983" s="22"/>
    </row>
    <row r="984" spans="2:26" x14ac:dyDescent="0.25">
      <c r="B984" s="22"/>
      <c r="K984" s="23"/>
      <c r="L984" s="24"/>
      <c r="M984" s="24"/>
      <c r="N984" s="24"/>
      <c r="O984" s="24"/>
      <c r="P984" s="24"/>
      <c r="Q984" s="25"/>
      <c r="S984" s="26"/>
      <c r="Z984" s="22"/>
    </row>
    <row r="985" spans="2:26" x14ac:dyDescent="0.25">
      <c r="B985" s="22"/>
      <c r="K985" s="23"/>
      <c r="L985" s="24"/>
      <c r="M985" s="24"/>
      <c r="N985" s="24"/>
      <c r="O985" s="24"/>
      <c r="P985" s="24"/>
      <c r="Q985" s="25"/>
      <c r="S985" s="26"/>
      <c r="Z985" s="22"/>
    </row>
    <row r="986" spans="2:26" x14ac:dyDescent="0.25">
      <c r="B986" s="22"/>
      <c r="K986" s="23"/>
      <c r="L986" s="24"/>
      <c r="M986" s="24"/>
      <c r="N986" s="24"/>
      <c r="O986" s="24"/>
      <c r="P986" s="24"/>
      <c r="Q986" s="25"/>
      <c r="S986" s="26"/>
      <c r="Z986" s="22"/>
    </row>
    <row r="987" spans="2:26" x14ac:dyDescent="0.25">
      <c r="B987" s="22"/>
      <c r="K987" s="23"/>
      <c r="L987" s="24"/>
      <c r="M987" s="24"/>
      <c r="N987" s="24"/>
      <c r="O987" s="24"/>
      <c r="P987" s="24"/>
      <c r="Q987" s="25"/>
      <c r="S987" s="26"/>
      <c r="Z987" s="22"/>
    </row>
    <row r="988" spans="2:26" x14ac:dyDescent="0.25">
      <c r="B988" s="22"/>
      <c r="K988" s="23"/>
      <c r="L988" s="24"/>
      <c r="M988" s="24"/>
      <c r="N988" s="24"/>
      <c r="O988" s="24"/>
      <c r="P988" s="24"/>
      <c r="Q988" s="25"/>
      <c r="S988" s="26"/>
      <c r="Z988" s="22"/>
    </row>
    <row r="989" spans="2:26" x14ac:dyDescent="0.25">
      <c r="B989" s="22"/>
      <c r="K989" s="23"/>
      <c r="L989" s="24"/>
      <c r="M989" s="24"/>
      <c r="N989" s="24"/>
      <c r="O989" s="24"/>
      <c r="P989" s="24"/>
      <c r="Q989" s="25"/>
      <c r="S989" s="26"/>
      <c r="Z989" s="22"/>
    </row>
    <row r="990" spans="2:26" x14ac:dyDescent="0.25">
      <c r="B990" s="22"/>
      <c r="K990" s="23"/>
      <c r="L990" s="24"/>
      <c r="M990" s="24"/>
      <c r="N990" s="24"/>
      <c r="O990" s="24"/>
      <c r="P990" s="24"/>
      <c r="Q990" s="25"/>
      <c r="S990" s="26"/>
      <c r="Z990" s="22"/>
    </row>
    <row r="991" spans="2:26" x14ac:dyDescent="0.25">
      <c r="B991" s="22"/>
      <c r="K991" s="23"/>
      <c r="L991" s="24"/>
      <c r="M991" s="24"/>
      <c r="N991" s="24"/>
      <c r="O991" s="24"/>
      <c r="P991" s="24"/>
      <c r="Q991" s="25"/>
      <c r="S991" s="26"/>
      <c r="Z991" s="22"/>
    </row>
    <row r="992" spans="2:26" x14ac:dyDescent="0.25">
      <c r="B992" s="22"/>
      <c r="K992" s="23"/>
      <c r="L992" s="24"/>
      <c r="M992" s="24"/>
      <c r="N992" s="24"/>
      <c r="O992" s="24"/>
      <c r="P992" s="24"/>
      <c r="Q992" s="25"/>
      <c r="S992" s="26"/>
      <c r="Z992" s="22"/>
    </row>
    <row r="993" spans="2:26" x14ac:dyDescent="0.25">
      <c r="B993" s="22"/>
      <c r="K993" s="23"/>
      <c r="L993" s="24"/>
      <c r="M993" s="24"/>
      <c r="N993" s="24"/>
      <c r="O993" s="24"/>
      <c r="P993" s="24"/>
      <c r="Q993" s="25"/>
      <c r="S993" s="26"/>
      <c r="Z993" s="22"/>
    </row>
    <row r="994" spans="2:26" x14ac:dyDescent="0.25">
      <c r="B994" s="22"/>
      <c r="K994" s="23"/>
      <c r="L994" s="24"/>
      <c r="M994" s="24"/>
      <c r="N994" s="24"/>
      <c r="O994" s="24"/>
      <c r="P994" s="24"/>
      <c r="Q994" s="25"/>
      <c r="S994" s="26"/>
      <c r="Z994" s="22"/>
    </row>
    <row r="995" spans="2:26" x14ac:dyDescent="0.25">
      <c r="B995" s="22"/>
      <c r="K995" s="23"/>
      <c r="L995" s="24"/>
      <c r="M995" s="24"/>
      <c r="N995" s="24"/>
      <c r="O995" s="24"/>
      <c r="P995" s="24"/>
      <c r="Q995" s="25"/>
      <c r="S995" s="26"/>
      <c r="Z995" s="22"/>
    </row>
    <row r="996" spans="2:26" x14ac:dyDescent="0.25">
      <c r="B996" s="22"/>
      <c r="K996" s="23"/>
      <c r="L996" s="24"/>
      <c r="M996" s="24"/>
      <c r="N996" s="24"/>
      <c r="O996" s="24"/>
      <c r="P996" s="24"/>
      <c r="Q996" s="25"/>
      <c r="S996" s="26"/>
      <c r="Z996" s="22"/>
    </row>
    <row r="997" spans="2:26" x14ac:dyDescent="0.25">
      <c r="B997" s="22"/>
      <c r="K997" s="23"/>
      <c r="L997" s="24"/>
      <c r="M997" s="24"/>
      <c r="N997" s="24"/>
      <c r="O997" s="24"/>
      <c r="P997" s="24"/>
      <c r="Q997" s="25"/>
      <c r="S997" s="26"/>
      <c r="Z997" s="22"/>
    </row>
    <row r="998" spans="2:26" x14ac:dyDescent="0.25">
      <c r="B998" s="22"/>
      <c r="K998" s="23"/>
      <c r="L998" s="24"/>
      <c r="M998" s="24"/>
      <c r="N998" s="24"/>
      <c r="O998" s="24"/>
      <c r="P998" s="24"/>
      <c r="Q998" s="25"/>
      <c r="S998" s="26"/>
      <c r="Z998" s="22"/>
    </row>
    <row r="999" spans="2:26" x14ac:dyDescent="0.25">
      <c r="B999" s="22"/>
      <c r="K999" s="23"/>
      <c r="L999" s="24"/>
      <c r="M999" s="24"/>
      <c r="N999" s="24"/>
      <c r="O999" s="24"/>
      <c r="P999" s="24"/>
      <c r="Q999" s="25"/>
      <c r="S999" s="26"/>
      <c r="Z999" s="22"/>
    </row>
    <row r="1000" spans="2:26" x14ac:dyDescent="0.25">
      <c r="B1000" s="22"/>
      <c r="K1000" s="23"/>
      <c r="L1000" s="24"/>
      <c r="M1000" s="24"/>
      <c r="N1000" s="24"/>
      <c r="O1000" s="24"/>
      <c r="P1000" s="24"/>
      <c r="Q1000" s="25"/>
      <c r="S1000" s="26"/>
      <c r="Z1000" s="22"/>
    </row>
    <row r="1001" spans="2:26" x14ac:dyDescent="0.25">
      <c r="B1001" s="22"/>
      <c r="K1001" s="23"/>
      <c r="L1001" s="24"/>
      <c r="M1001" s="24"/>
      <c r="N1001" s="24"/>
      <c r="O1001" s="24"/>
      <c r="P1001" s="24"/>
      <c r="Q1001" s="25"/>
      <c r="S1001" s="26"/>
      <c r="Z1001" s="22"/>
    </row>
    <row r="1002" spans="2:26" x14ac:dyDescent="0.25">
      <c r="B1002" s="22"/>
      <c r="K1002" s="23"/>
      <c r="L1002" s="24"/>
      <c r="M1002" s="24"/>
      <c r="N1002" s="24"/>
      <c r="O1002" s="24"/>
      <c r="P1002" s="24"/>
      <c r="Q1002" s="25"/>
      <c r="S1002" s="26"/>
      <c r="Z1002" s="22"/>
    </row>
    <row r="1003" spans="2:26" x14ac:dyDescent="0.25">
      <c r="B1003" s="22"/>
      <c r="K1003" s="23"/>
      <c r="L1003" s="24"/>
      <c r="M1003" s="24"/>
      <c r="N1003" s="24"/>
      <c r="O1003" s="24"/>
      <c r="P1003" s="24"/>
      <c r="Q1003" s="25"/>
      <c r="S1003" s="26"/>
      <c r="Z1003" s="22"/>
    </row>
    <row r="1004" spans="2:26" x14ac:dyDescent="0.25">
      <c r="B1004" s="22"/>
      <c r="K1004" s="23"/>
      <c r="L1004" s="24"/>
      <c r="M1004" s="24"/>
      <c r="N1004" s="24"/>
      <c r="O1004" s="24"/>
      <c r="P1004" s="24"/>
      <c r="Q1004" s="25"/>
      <c r="S1004" s="26"/>
      <c r="Z1004" s="22"/>
    </row>
    <row r="1005" spans="2:26" x14ac:dyDescent="0.25">
      <c r="B1005" s="22"/>
      <c r="K1005" s="23"/>
      <c r="L1005" s="24"/>
      <c r="M1005" s="24"/>
      <c r="N1005" s="24"/>
      <c r="O1005" s="24"/>
      <c r="P1005" s="24"/>
      <c r="Q1005" s="25"/>
      <c r="S1005" s="26"/>
      <c r="Z1005" s="22"/>
    </row>
    <row r="1006" spans="2:26" x14ac:dyDescent="0.25">
      <c r="B1006" s="22"/>
      <c r="K1006" s="23"/>
      <c r="L1006" s="24"/>
      <c r="M1006" s="24"/>
      <c r="N1006" s="24"/>
      <c r="O1006" s="24"/>
      <c r="P1006" s="24"/>
      <c r="Q1006" s="25"/>
      <c r="S1006" s="26"/>
      <c r="Z1006" s="22"/>
    </row>
    <row r="1007" spans="2:26" x14ac:dyDescent="0.25">
      <c r="B1007" s="22"/>
      <c r="K1007" s="23"/>
      <c r="L1007" s="24"/>
      <c r="M1007" s="24"/>
      <c r="N1007" s="24"/>
      <c r="O1007" s="24"/>
      <c r="P1007" s="24"/>
      <c r="Q1007" s="25"/>
      <c r="S1007" s="26"/>
      <c r="Z1007" s="22"/>
    </row>
    <row r="1008" spans="2:26" x14ac:dyDescent="0.25">
      <c r="B1008" s="22"/>
      <c r="K1008" s="23"/>
      <c r="L1008" s="24"/>
      <c r="M1008" s="24"/>
      <c r="N1008" s="24"/>
      <c r="O1008" s="24"/>
      <c r="P1008" s="24"/>
      <c r="Q1008" s="25"/>
      <c r="S1008" s="26"/>
      <c r="Z1008" s="22"/>
    </row>
    <row r="1009" spans="2:26" x14ac:dyDescent="0.25">
      <c r="B1009" s="22"/>
      <c r="K1009" s="23"/>
      <c r="L1009" s="24"/>
      <c r="M1009" s="24"/>
      <c r="N1009" s="24"/>
      <c r="O1009" s="24"/>
      <c r="P1009" s="24"/>
      <c r="Q1009" s="25"/>
      <c r="S1009" s="26"/>
      <c r="Z1009" s="22"/>
    </row>
    <row r="1010" spans="2:26" x14ac:dyDescent="0.25">
      <c r="B1010" s="22"/>
      <c r="K1010" s="23"/>
      <c r="L1010" s="24"/>
      <c r="M1010" s="24"/>
      <c r="N1010" s="24"/>
      <c r="O1010" s="24"/>
      <c r="P1010" s="24"/>
      <c r="Q1010" s="25"/>
      <c r="S1010" s="26"/>
      <c r="Z1010" s="22"/>
    </row>
    <row r="1011" spans="2:26" x14ac:dyDescent="0.25">
      <c r="B1011" s="22"/>
      <c r="K1011" s="23"/>
      <c r="L1011" s="24"/>
      <c r="M1011" s="24"/>
      <c r="N1011" s="24"/>
      <c r="O1011" s="24"/>
      <c r="P1011" s="24"/>
      <c r="Q1011" s="25"/>
      <c r="S1011" s="26"/>
      <c r="Z1011" s="22"/>
    </row>
    <row r="1012" spans="2:26" x14ac:dyDescent="0.25">
      <c r="B1012" s="22"/>
      <c r="K1012" s="23"/>
      <c r="L1012" s="24"/>
      <c r="M1012" s="24"/>
      <c r="N1012" s="24"/>
      <c r="O1012" s="24"/>
      <c r="P1012" s="24"/>
      <c r="Q1012" s="25"/>
      <c r="S1012" s="26"/>
      <c r="Z1012" s="22"/>
    </row>
    <row r="1013" spans="2:26" x14ac:dyDescent="0.25">
      <c r="B1013" s="22"/>
      <c r="K1013" s="23"/>
      <c r="L1013" s="24"/>
      <c r="M1013" s="24"/>
      <c r="N1013" s="24"/>
      <c r="O1013" s="24"/>
      <c r="P1013" s="24"/>
      <c r="Q1013" s="25"/>
      <c r="S1013" s="26"/>
      <c r="Z1013" s="22"/>
    </row>
    <row r="1014" spans="2:26" x14ac:dyDescent="0.25">
      <c r="B1014" s="22"/>
      <c r="K1014" s="23"/>
      <c r="L1014" s="24"/>
      <c r="M1014" s="24"/>
      <c r="N1014" s="24"/>
      <c r="O1014" s="24"/>
      <c r="P1014" s="24"/>
      <c r="Q1014" s="25"/>
      <c r="S1014" s="26"/>
      <c r="Z1014" s="22"/>
    </row>
    <row r="1015" spans="2:26" x14ac:dyDescent="0.25">
      <c r="B1015" s="22"/>
      <c r="K1015" s="23"/>
      <c r="L1015" s="24"/>
      <c r="M1015" s="24"/>
      <c r="N1015" s="24"/>
      <c r="O1015" s="24"/>
      <c r="P1015" s="24"/>
      <c r="Q1015" s="25"/>
      <c r="S1015" s="26"/>
      <c r="Z1015" s="22"/>
    </row>
    <row r="1016" spans="2:26" x14ac:dyDescent="0.25">
      <c r="B1016" s="22"/>
      <c r="K1016" s="23"/>
      <c r="L1016" s="24"/>
      <c r="M1016" s="24"/>
      <c r="N1016" s="24"/>
      <c r="O1016" s="24"/>
      <c r="P1016" s="24"/>
      <c r="Q1016" s="25"/>
      <c r="S1016" s="26"/>
      <c r="Z1016" s="22"/>
    </row>
    <row r="1017" spans="2:26" x14ac:dyDescent="0.25">
      <c r="B1017" s="22"/>
      <c r="K1017" s="23"/>
      <c r="L1017" s="24"/>
      <c r="M1017" s="24"/>
      <c r="N1017" s="24"/>
      <c r="O1017" s="24"/>
      <c r="P1017" s="24"/>
      <c r="Q1017" s="25"/>
      <c r="S1017" s="26"/>
      <c r="Z1017" s="22"/>
    </row>
    <row r="1018" spans="2:26" x14ac:dyDescent="0.25">
      <c r="B1018" s="22"/>
      <c r="K1018" s="23"/>
      <c r="L1018" s="24"/>
      <c r="M1018" s="24"/>
      <c r="N1018" s="24"/>
      <c r="O1018" s="24"/>
      <c r="P1018" s="24"/>
      <c r="Q1018" s="25"/>
      <c r="S1018" s="26"/>
      <c r="Z1018" s="22"/>
    </row>
    <row r="1019" spans="2:26" x14ac:dyDescent="0.25">
      <c r="B1019" s="22"/>
      <c r="K1019" s="23"/>
      <c r="L1019" s="24"/>
      <c r="M1019" s="24"/>
      <c r="N1019" s="24"/>
      <c r="O1019" s="24"/>
      <c r="P1019" s="24"/>
      <c r="Q1019" s="25"/>
      <c r="S1019" s="26"/>
      <c r="Z1019" s="22"/>
    </row>
    <row r="1020" spans="2:26" x14ac:dyDescent="0.25">
      <c r="B1020" s="22"/>
      <c r="K1020" s="23"/>
      <c r="L1020" s="24"/>
      <c r="M1020" s="24"/>
      <c r="N1020" s="24"/>
      <c r="O1020" s="24"/>
      <c r="P1020" s="24"/>
      <c r="Q1020" s="25"/>
      <c r="S1020" s="26"/>
      <c r="Z1020" s="22"/>
    </row>
    <row r="1021" spans="2:26" x14ac:dyDescent="0.25">
      <c r="B1021" s="22"/>
      <c r="K1021" s="23"/>
      <c r="L1021" s="24"/>
      <c r="M1021" s="24"/>
      <c r="N1021" s="24"/>
      <c r="O1021" s="24"/>
      <c r="P1021" s="24"/>
      <c r="Q1021" s="25"/>
      <c r="S1021" s="26"/>
      <c r="Z1021" s="22"/>
    </row>
    <row r="1022" spans="2:26" x14ac:dyDescent="0.25">
      <c r="B1022" s="22"/>
      <c r="K1022" s="23"/>
      <c r="L1022" s="24"/>
      <c r="M1022" s="24"/>
      <c r="N1022" s="24"/>
      <c r="O1022" s="24"/>
      <c r="P1022" s="24"/>
      <c r="Q1022" s="25"/>
      <c r="S1022" s="26"/>
      <c r="Z1022" s="22"/>
    </row>
    <row r="1023" spans="2:26" x14ac:dyDescent="0.25">
      <c r="B1023" s="22"/>
      <c r="K1023" s="23"/>
      <c r="L1023" s="24"/>
      <c r="M1023" s="24"/>
      <c r="N1023" s="24"/>
      <c r="O1023" s="24"/>
      <c r="P1023" s="24"/>
      <c r="Q1023" s="25"/>
      <c r="S1023" s="26"/>
      <c r="Z1023" s="22"/>
    </row>
    <row r="1024" spans="2:26" x14ac:dyDescent="0.25">
      <c r="B1024" s="22"/>
      <c r="K1024" s="23"/>
      <c r="L1024" s="24"/>
      <c r="M1024" s="24"/>
      <c r="N1024" s="24"/>
      <c r="O1024" s="24"/>
      <c r="P1024" s="24"/>
      <c r="Q1024" s="25"/>
      <c r="S1024" s="26"/>
      <c r="Z1024" s="22"/>
    </row>
    <row r="1025" spans="2:26" x14ac:dyDescent="0.25">
      <c r="B1025" s="22"/>
      <c r="K1025" s="23"/>
      <c r="L1025" s="24"/>
      <c r="M1025" s="24"/>
      <c r="N1025" s="24"/>
      <c r="O1025" s="24"/>
      <c r="P1025" s="24"/>
      <c r="Q1025" s="25"/>
      <c r="S1025" s="26"/>
      <c r="Z1025" s="22"/>
    </row>
    <row r="1026" spans="2:26" x14ac:dyDescent="0.25">
      <c r="B1026" s="22"/>
      <c r="K1026" s="23"/>
      <c r="L1026" s="24"/>
      <c r="M1026" s="24"/>
      <c r="N1026" s="24"/>
      <c r="O1026" s="24"/>
      <c r="P1026" s="24"/>
      <c r="Q1026" s="25"/>
      <c r="S1026" s="26"/>
      <c r="Z1026" s="22"/>
    </row>
    <row r="1027" spans="2:26" x14ac:dyDescent="0.25">
      <c r="B1027" s="22"/>
      <c r="K1027" s="23"/>
      <c r="L1027" s="24"/>
      <c r="M1027" s="24"/>
      <c r="N1027" s="24"/>
      <c r="O1027" s="24"/>
      <c r="P1027" s="24"/>
      <c r="Q1027" s="25"/>
      <c r="S1027" s="26"/>
      <c r="Z1027" s="22"/>
    </row>
    <row r="1028" spans="2:26" x14ac:dyDescent="0.25">
      <c r="B1028" s="22"/>
      <c r="K1028" s="23"/>
      <c r="L1028" s="24"/>
      <c r="M1028" s="24"/>
      <c r="N1028" s="24"/>
      <c r="O1028" s="24"/>
      <c r="P1028" s="24"/>
      <c r="Q1028" s="25"/>
      <c r="S1028" s="26"/>
      <c r="Z1028" s="22"/>
    </row>
    <row r="1029" spans="2:26" x14ac:dyDescent="0.25">
      <c r="B1029" s="22"/>
      <c r="K1029" s="23"/>
      <c r="L1029" s="24"/>
      <c r="M1029" s="24"/>
      <c r="N1029" s="24"/>
      <c r="O1029" s="24"/>
      <c r="P1029" s="24"/>
      <c r="Q1029" s="25"/>
      <c r="S1029" s="26"/>
      <c r="Z1029" s="22"/>
    </row>
    <row r="1030" spans="2:26" x14ac:dyDescent="0.25">
      <c r="B1030" s="22"/>
      <c r="K1030" s="23"/>
      <c r="L1030" s="24"/>
      <c r="M1030" s="24"/>
      <c r="N1030" s="24"/>
      <c r="O1030" s="24"/>
      <c r="P1030" s="24"/>
      <c r="Q1030" s="25"/>
      <c r="S1030" s="26"/>
      <c r="Z1030" s="22"/>
    </row>
    <row r="1031" spans="2:26" x14ac:dyDescent="0.25">
      <c r="B1031" s="22"/>
      <c r="K1031" s="23"/>
      <c r="L1031" s="24"/>
      <c r="M1031" s="24"/>
      <c r="N1031" s="24"/>
      <c r="O1031" s="24"/>
      <c r="P1031" s="24"/>
      <c r="Q1031" s="25"/>
      <c r="S1031" s="26"/>
      <c r="Z1031" s="22"/>
    </row>
    <row r="1032" spans="2:26" x14ac:dyDescent="0.25">
      <c r="B1032" s="22"/>
      <c r="K1032" s="23"/>
      <c r="L1032" s="24"/>
      <c r="M1032" s="24"/>
      <c r="N1032" s="24"/>
      <c r="O1032" s="24"/>
      <c r="P1032" s="24"/>
      <c r="Q1032" s="25"/>
      <c r="S1032" s="26"/>
      <c r="Z1032" s="22"/>
    </row>
    <row r="1033" spans="2:26" x14ac:dyDescent="0.25">
      <c r="B1033" s="22"/>
      <c r="K1033" s="23"/>
      <c r="L1033" s="24"/>
      <c r="M1033" s="24"/>
      <c r="N1033" s="24"/>
      <c r="O1033" s="24"/>
      <c r="P1033" s="24"/>
      <c r="Q1033" s="25"/>
      <c r="S1033" s="26"/>
      <c r="Z1033" s="22"/>
    </row>
    <row r="1034" spans="2:26" x14ac:dyDescent="0.25">
      <c r="B1034" s="22"/>
      <c r="K1034" s="23"/>
      <c r="L1034" s="24"/>
      <c r="M1034" s="24"/>
      <c r="N1034" s="24"/>
      <c r="O1034" s="24"/>
      <c r="P1034" s="24"/>
      <c r="Q1034" s="25"/>
      <c r="S1034" s="26"/>
      <c r="Z1034" s="22"/>
    </row>
    <row r="1035" spans="2:26" x14ac:dyDescent="0.25">
      <c r="B1035" s="22"/>
      <c r="K1035" s="23"/>
      <c r="L1035" s="24"/>
      <c r="M1035" s="24"/>
      <c r="N1035" s="24"/>
      <c r="O1035" s="24"/>
      <c r="P1035" s="24"/>
      <c r="Q1035" s="25"/>
      <c r="S1035" s="26"/>
      <c r="Z1035" s="22"/>
    </row>
    <row r="1036" spans="2:26" x14ac:dyDescent="0.25">
      <c r="B1036" s="22"/>
      <c r="K1036" s="23"/>
      <c r="L1036" s="24"/>
      <c r="M1036" s="24"/>
      <c r="N1036" s="24"/>
      <c r="O1036" s="24"/>
      <c r="P1036" s="24"/>
      <c r="Q1036" s="25"/>
      <c r="S1036" s="26"/>
      <c r="Z1036" s="22"/>
    </row>
    <row r="1037" spans="2:26" x14ac:dyDescent="0.25">
      <c r="B1037" s="22"/>
      <c r="K1037" s="23"/>
      <c r="L1037" s="24"/>
      <c r="M1037" s="24"/>
      <c r="N1037" s="24"/>
      <c r="O1037" s="24"/>
      <c r="P1037" s="24"/>
      <c r="Q1037" s="25"/>
      <c r="S1037" s="26"/>
      <c r="Z1037" s="22"/>
    </row>
    <row r="1038" spans="2:26" x14ac:dyDescent="0.25">
      <c r="B1038" s="22"/>
      <c r="K1038" s="23"/>
      <c r="L1038" s="24"/>
      <c r="M1038" s="24"/>
      <c r="N1038" s="24"/>
      <c r="O1038" s="24"/>
      <c r="P1038" s="24"/>
      <c r="Q1038" s="25"/>
      <c r="S1038" s="26"/>
      <c r="Z1038" s="22"/>
    </row>
    <row r="1039" spans="2:26" x14ac:dyDescent="0.25">
      <c r="B1039" s="22"/>
      <c r="K1039" s="23"/>
      <c r="L1039" s="24"/>
      <c r="M1039" s="24"/>
      <c r="N1039" s="24"/>
      <c r="O1039" s="24"/>
      <c r="P1039" s="24"/>
      <c r="Q1039" s="25"/>
      <c r="S1039" s="26"/>
      <c r="Z1039" s="22"/>
    </row>
    <row r="1040" spans="2:26" x14ac:dyDescent="0.25">
      <c r="B1040" s="22"/>
      <c r="K1040" s="23"/>
      <c r="L1040" s="24"/>
      <c r="M1040" s="24"/>
      <c r="N1040" s="24"/>
      <c r="O1040" s="24"/>
      <c r="P1040" s="24"/>
      <c r="Q1040" s="25"/>
      <c r="S1040" s="26"/>
      <c r="Z1040" s="22"/>
    </row>
    <row r="1041" spans="2:26" x14ac:dyDescent="0.25">
      <c r="B1041" s="22"/>
      <c r="K1041" s="23"/>
      <c r="L1041" s="24"/>
      <c r="M1041" s="24"/>
      <c r="N1041" s="24"/>
      <c r="O1041" s="24"/>
      <c r="P1041" s="24"/>
      <c r="Q1041" s="25"/>
      <c r="S1041" s="26"/>
      <c r="Z1041" s="22"/>
    </row>
    <row r="1042" spans="2:26" x14ac:dyDescent="0.25">
      <c r="B1042" s="22"/>
      <c r="K1042" s="23"/>
      <c r="L1042" s="24"/>
      <c r="M1042" s="24"/>
      <c r="N1042" s="24"/>
      <c r="O1042" s="24"/>
      <c r="P1042" s="24"/>
      <c r="Q1042" s="25"/>
      <c r="S1042" s="26"/>
      <c r="Z1042" s="22"/>
    </row>
    <row r="1043" spans="2:26" x14ac:dyDescent="0.25">
      <c r="B1043" s="22"/>
      <c r="K1043" s="23"/>
      <c r="L1043" s="24"/>
      <c r="M1043" s="24"/>
      <c r="N1043" s="24"/>
      <c r="O1043" s="24"/>
      <c r="P1043" s="24"/>
      <c r="Q1043" s="25"/>
      <c r="S1043" s="26"/>
      <c r="Z1043" s="22"/>
    </row>
    <row r="1044" spans="2:26" x14ac:dyDescent="0.25">
      <c r="B1044" s="22"/>
      <c r="K1044" s="23"/>
      <c r="L1044" s="24"/>
      <c r="M1044" s="24"/>
      <c r="N1044" s="24"/>
      <c r="O1044" s="24"/>
      <c r="P1044" s="24"/>
      <c r="Q1044" s="25"/>
      <c r="S1044" s="26"/>
      <c r="Z1044" s="22"/>
    </row>
    <row r="1045" spans="2:26" x14ac:dyDescent="0.25">
      <c r="B1045" s="22"/>
      <c r="K1045" s="23"/>
      <c r="L1045" s="24"/>
      <c r="M1045" s="24"/>
      <c r="N1045" s="24"/>
      <c r="O1045" s="24"/>
      <c r="P1045" s="24"/>
      <c r="Q1045" s="25"/>
      <c r="S1045" s="26"/>
      <c r="Z1045" s="22"/>
    </row>
    <row r="1046" spans="2:26" x14ac:dyDescent="0.25">
      <c r="B1046" s="22"/>
      <c r="K1046" s="23"/>
      <c r="L1046" s="24"/>
      <c r="M1046" s="24"/>
      <c r="N1046" s="24"/>
      <c r="O1046" s="24"/>
      <c r="P1046" s="24"/>
      <c r="Q1046" s="25"/>
      <c r="S1046" s="26"/>
      <c r="Z1046" s="22"/>
    </row>
    <row r="1047" spans="2:26" x14ac:dyDescent="0.25">
      <c r="B1047" s="22"/>
      <c r="K1047" s="23"/>
      <c r="L1047" s="24"/>
      <c r="M1047" s="24"/>
      <c r="N1047" s="24"/>
      <c r="O1047" s="24"/>
      <c r="P1047" s="24"/>
      <c r="Q1047" s="25"/>
      <c r="S1047" s="26"/>
      <c r="Z1047" s="22"/>
    </row>
    <row r="1048" spans="2:26" x14ac:dyDescent="0.25">
      <c r="B1048" s="22"/>
      <c r="K1048" s="23"/>
      <c r="L1048" s="24"/>
      <c r="M1048" s="24"/>
      <c r="N1048" s="24"/>
      <c r="O1048" s="24"/>
      <c r="P1048" s="24"/>
      <c r="Q1048" s="25"/>
      <c r="S1048" s="26"/>
      <c r="Z1048" s="22"/>
    </row>
    <row r="1049" spans="2:26" x14ac:dyDescent="0.25">
      <c r="B1049" s="22"/>
      <c r="K1049" s="23"/>
      <c r="L1049" s="24"/>
      <c r="M1049" s="24"/>
      <c r="N1049" s="24"/>
      <c r="O1049" s="24"/>
      <c r="P1049" s="24"/>
      <c r="Q1049" s="25"/>
      <c r="S1049" s="26"/>
      <c r="Z1049" s="22"/>
    </row>
    <row r="1050" spans="2:26" x14ac:dyDescent="0.25">
      <c r="B1050" s="22"/>
      <c r="K1050" s="23"/>
      <c r="L1050" s="24"/>
      <c r="M1050" s="24"/>
      <c r="N1050" s="24"/>
      <c r="O1050" s="24"/>
      <c r="P1050" s="24"/>
      <c r="Q1050" s="25"/>
      <c r="S1050" s="26"/>
      <c r="Z1050" s="22"/>
    </row>
    <row r="1051" spans="2:26" x14ac:dyDescent="0.25">
      <c r="B1051" s="22"/>
      <c r="K1051" s="23"/>
      <c r="L1051" s="24"/>
      <c r="M1051" s="24"/>
      <c r="N1051" s="24"/>
      <c r="O1051" s="24"/>
      <c r="P1051" s="24"/>
      <c r="Q1051" s="25"/>
      <c r="S1051" s="26"/>
      <c r="Z1051" s="22"/>
    </row>
    <row r="1052" spans="2:26" x14ac:dyDescent="0.25">
      <c r="B1052" s="22"/>
      <c r="K1052" s="23"/>
      <c r="L1052" s="24"/>
      <c r="M1052" s="24"/>
      <c r="N1052" s="24"/>
      <c r="O1052" s="24"/>
      <c r="P1052" s="24"/>
      <c r="Q1052" s="25"/>
      <c r="S1052" s="26"/>
      <c r="Z1052" s="22"/>
    </row>
    <row r="1053" spans="2:26" x14ac:dyDescent="0.25">
      <c r="B1053" s="22"/>
      <c r="K1053" s="23"/>
      <c r="L1053" s="24"/>
      <c r="M1053" s="24"/>
      <c r="N1053" s="24"/>
      <c r="O1053" s="24"/>
      <c r="P1053" s="24"/>
      <c r="Q1053" s="25"/>
      <c r="S1053" s="26"/>
      <c r="Z1053" s="22"/>
    </row>
    <row r="1054" spans="2:26" x14ac:dyDescent="0.25">
      <c r="B1054" s="22"/>
      <c r="K1054" s="23"/>
      <c r="L1054" s="24"/>
      <c r="M1054" s="24"/>
      <c r="N1054" s="24"/>
      <c r="O1054" s="24"/>
      <c r="P1054" s="24"/>
      <c r="Q1054" s="25"/>
      <c r="S1054" s="26"/>
      <c r="Z1054" s="22"/>
    </row>
    <row r="1055" spans="2:26" x14ac:dyDescent="0.25">
      <c r="B1055" s="22"/>
      <c r="K1055" s="23"/>
      <c r="L1055" s="24"/>
      <c r="M1055" s="24"/>
      <c r="N1055" s="24"/>
      <c r="O1055" s="24"/>
      <c r="P1055" s="24"/>
      <c r="Q1055" s="25"/>
      <c r="S1055" s="26"/>
      <c r="Z1055" s="22"/>
    </row>
    <row r="1056" spans="2:26" x14ac:dyDescent="0.25">
      <c r="B1056" s="22"/>
      <c r="K1056" s="23"/>
      <c r="L1056" s="24"/>
      <c r="M1056" s="24"/>
      <c r="N1056" s="24"/>
      <c r="O1056" s="24"/>
      <c r="P1056" s="24"/>
      <c r="Q1056" s="25"/>
      <c r="S1056" s="26"/>
      <c r="Z1056" s="22"/>
    </row>
    <row r="1057" spans="2:26" x14ac:dyDescent="0.25">
      <c r="B1057" s="22"/>
      <c r="K1057" s="23"/>
      <c r="L1057" s="24"/>
      <c r="M1057" s="24"/>
      <c r="N1057" s="24"/>
      <c r="O1057" s="24"/>
      <c r="P1057" s="24"/>
      <c r="Q1057" s="25"/>
      <c r="S1057" s="26"/>
      <c r="Z1057" s="22"/>
    </row>
    <row r="1058" spans="2:26" x14ac:dyDescent="0.25">
      <c r="B1058" s="22"/>
      <c r="K1058" s="23"/>
      <c r="L1058" s="24"/>
      <c r="M1058" s="24"/>
      <c r="N1058" s="24"/>
      <c r="O1058" s="24"/>
      <c r="P1058" s="24"/>
      <c r="Q1058" s="25"/>
      <c r="S1058" s="26"/>
      <c r="Z1058" s="22"/>
    </row>
    <row r="1059" spans="2:26" x14ac:dyDescent="0.25">
      <c r="B1059" s="22"/>
      <c r="K1059" s="23"/>
      <c r="L1059" s="24"/>
      <c r="M1059" s="24"/>
      <c r="N1059" s="24"/>
      <c r="O1059" s="24"/>
      <c r="P1059" s="24"/>
      <c r="Q1059" s="25"/>
      <c r="S1059" s="26"/>
      <c r="Z1059" s="22"/>
    </row>
    <row r="1060" spans="2:26" x14ac:dyDescent="0.25">
      <c r="B1060" s="22"/>
      <c r="K1060" s="23"/>
      <c r="L1060" s="24"/>
      <c r="M1060" s="24"/>
      <c r="N1060" s="24"/>
      <c r="O1060" s="24"/>
      <c r="P1060" s="24"/>
      <c r="Q1060" s="25"/>
      <c r="S1060" s="26"/>
      <c r="Z1060" s="22"/>
    </row>
    <row r="1061" spans="2:26" x14ac:dyDescent="0.25">
      <c r="B1061" s="22"/>
      <c r="K1061" s="23"/>
      <c r="L1061" s="24"/>
      <c r="M1061" s="24"/>
      <c r="N1061" s="24"/>
      <c r="O1061" s="24"/>
      <c r="P1061" s="24"/>
      <c r="Q1061" s="25"/>
      <c r="S1061" s="26"/>
      <c r="Z1061" s="22"/>
    </row>
    <row r="1062" spans="2:26" x14ac:dyDescent="0.25">
      <c r="B1062" s="22"/>
      <c r="K1062" s="23"/>
      <c r="L1062" s="24"/>
      <c r="M1062" s="24"/>
      <c r="N1062" s="24"/>
      <c r="O1062" s="24"/>
      <c r="P1062" s="24"/>
      <c r="Q1062" s="25"/>
      <c r="S1062" s="26"/>
      <c r="Z1062" s="22"/>
    </row>
    <row r="1063" spans="2:26" x14ac:dyDescent="0.25">
      <c r="B1063" s="22"/>
      <c r="K1063" s="23"/>
      <c r="L1063" s="24"/>
      <c r="M1063" s="24"/>
      <c r="N1063" s="24"/>
      <c r="O1063" s="24"/>
      <c r="P1063" s="24"/>
      <c r="Q1063" s="25"/>
      <c r="S1063" s="26"/>
      <c r="Z1063" s="22"/>
    </row>
    <row r="1064" spans="2:26" x14ac:dyDescent="0.25">
      <c r="B1064" s="22"/>
      <c r="K1064" s="23"/>
      <c r="L1064" s="24"/>
      <c r="M1064" s="24"/>
      <c r="N1064" s="24"/>
      <c r="O1064" s="24"/>
      <c r="P1064" s="24"/>
      <c r="Q1064" s="25"/>
      <c r="S1064" s="26"/>
      <c r="Z1064" s="22"/>
    </row>
    <row r="1065" spans="2:26" x14ac:dyDescent="0.25">
      <c r="B1065" s="22"/>
      <c r="K1065" s="23"/>
      <c r="L1065" s="24"/>
      <c r="M1065" s="24"/>
      <c r="N1065" s="24"/>
      <c r="O1065" s="24"/>
      <c r="P1065" s="24"/>
      <c r="Q1065" s="25"/>
      <c r="S1065" s="26"/>
      <c r="Z1065" s="22"/>
    </row>
    <row r="1066" spans="2:26" x14ac:dyDescent="0.25">
      <c r="B1066" s="22"/>
      <c r="K1066" s="23"/>
      <c r="L1066" s="24"/>
      <c r="M1066" s="24"/>
      <c r="N1066" s="24"/>
      <c r="O1066" s="24"/>
      <c r="P1066" s="24"/>
      <c r="Q1066" s="25"/>
      <c r="S1066" s="26"/>
      <c r="Z1066" s="22"/>
    </row>
    <row r="1067" spans="2:26" x14ac:dyDescent="0.25">
      <c r="B1067" s="22"/>
      <c r="K1067" s="23"/>
      <c r="L1067" s="24"/>
      <c r="M1067" s="24"/>
      <c r="N1067" s="24"/>
      <c r="O1067" s="24"/>
      <c r="P1067" s="24"/>
      <c r="Q1067" s="25"/>
      <c r="S1067" s="26"/>
      <c r="Z1067" s="22"/>
    </row>
    <row r="1068" spans="2:26" x14ac:dyDescent="0.25">
      <c r="B1068" s="22"/>
      <c r="K1068" s="23"/>
      <c r="L1068" s="24"/>
      <c r="M1068" s="24"/>
      <c r="N1068" s="24"/>
      <c r="O1068" s="24"/>
      <c r="P1068" s="24"/>
      <c r="Q1068" s="25"/>
      <c r="S1068" s="26"/>
      <c r="Z1068" s="22"/>
    </row>
    <row r="1069" spans="2:26" x14ac:dyDescent="0.25">
      <c r="B1069" s="22"/>
      <c r="K1069" s="23"/>
      <c r="L1069" s="24"/>
      <c r="M1069" s="24"/>
      <c r="N1069" s="24"/>
      <c r="O1069" s="24"/>
      <c r="P1069" s="24"/>
      <c r="Q1069" s="25"/>
      <c r="S1069" s="26"/>
      <c r="Z1069" s="22"/>
    </row>
    <row r="1070" spans="2:26" x14ac:dyDescent="0.25">
      <c r="B1070" s="22"/>
      <c r="K1070" s="23"/>
      <c r="L1070" s="24"/>
      <c r="M1070" s="24"/>
      <c r="N1070" s="24"/>
      <c r="O1070" s="24"/>
      <c r="P1070" s="24"/>
      <c r="Q1070" s="25"/>
      <c r="S1070" s="26"/>
      <c r="Z1070" s="22"/>
    </row>
    <row r="1071" spans="2:26" x14ac:dyDescent="0.25">
      <c r="B1071" s="22"/>
      <c r="K1071" s="23"/>
      <c r="L1071" s="24"/>
      <c r="M1071" s="24"/>
      <c r="N1071" s="24"/>
      <c r="O1071" s="24"/>
      <c r="P1071" s="24"/>
      <c r="Q1071" s="25"/>
      <c r="S1071" s="26"/>
      <c r="Z1071" s="22"/>
    </row>
    <row r="1072" spans="2:26" x14ac:dyDescent="0.25">
      <c r="B1072" s="22"/>
      <c r="K1072" s="23"/>
      <c r="L1072" s="24"/>
      <c r="M1072" s="24"/>
      <c r="N1072" s="24"/>
      <c r="O1072" s="24"/>
      <c r="P1072" s="24"/>
      <c r="Q1072" s="25"/>
      <c r="S1072" s="26"/>
      <c r="Z1072" s="22"/>
    </row>
    <row r="1073" spans="2:26" x14ac:dyDescent="0.25">
      <c r="B1073" s="22"/>
      <c r="K1073" s="23"/>
      <c r="L1073" s="24"/>
      <c r="M1073" s="24"/>
      <c r="N1073" s="24"/>
      <c r="O1073" s="24"/>
      <c r="P1073" s="24"/>
      <c r="Q1073" s="25"/>
      <c r="S1073" s="26"/>
      <c r="Z1073" s="22"/>
    </row>
    <row r="1074" spans="2:26" x14ac:dyDescent="0.25">
      <c r="B1074" s="22"/>
      <c r="K1074" s="23"/>
      <c r="L1074" s="24"/>
      <c r="M1074" s="24"/>
      <c r="N1074" s="24"/>
      <c r="O1074" s="24"/>
      <c r="P1074" s="24"/>
      <c r="Q1074" s="25"/>
      <c r="S1074" s="26"/>
      <c r="Z1074" s="22"/>
    </row>
    <row r="1075" spans="2:26" x14ac:dyDescent="0.25">
      <c r="B1075" s="22"/>
      <c r="K1075" s="23"/>
      <c r="L1075" s="24"/>
      <c r="M1075" s="24"/>
      <c r="N1075" s="24"/>
      <c r="O1075" s="24"/>
      <c r="P1075" s="24"/>
      <c r="Q1075" s="25"/>
      <c r="S1075" s="26"/>
      <c r="Z1075" s="22"/>
    </row>
    <row r="1076" spans="2:26" x14ac:dyDescent="0.25">
      <c r="B1076" s="22"/>
      <c r="K1076" s="23"/>
      <c r="L1076" s="24"/>
      <c r="M1076" s="24"/>
      <c r="N1076" s="24"/>
      <c r="O1076" s="24"/>
      <c r="P1076" s="24"/>
      <c r="Q1076" s="25"/>
      <c r="S1076" s="26"/>
      <c r="Z1076" s="22"/>
    </row>
    <row r="1077" spans="2:26" x14ac:dyDescent="0.25">
      <c r="B1077" s="22"/>
      <c r="K1077" s="23"/>
      <c r="L1077" s="24"/>
      <c r="M1077" s="24"/>
      <c r="N1077" s="24"/>
      <c r="O1077" s="24"/>
      <c r="P1077" s="24"/>
      <c r="Q1077" s="25"/>
      <c r="S1077" s="26"/>
      <c r="Z1077" s="22"/>
    </row>
    <row r="1078" spans="2:26" x14ac:dyDescent="0.25">
      <c r="B1078" s="22"/>
      <c r="K1078" s="23"/>
      <c r="L1078" s="24"/>
      <c r="M1078" s="24"/>
      <c r="N1078" s="24"/>
      <c r="O1078" s="24"/>
      <c r="P1078" s="24"/>
      <c r="Q1078" s="25"/>
      <c r="S1078" s="26"/>
      <c r="Z1078" s="22"/>
    </row>
    <row r="1079" spans="2:26" x14ac:dyDescent="0.25">
      <c r="B1079" s="22"/>
      <c r="K1079" s="23"/>
      <c r="L1079" s="24"/>
      <c r="M1079" s="24"/>
      <c r="N1079" s="24"/>
      <c r="O1079" s="24"/>
      <c r="P1079" s="24"/>
      <c r="Q1079" s="25"/>
      <c r="S1079" s="26"/>
      <c r="Z1079" s="22"/>
    </row>
    <row r="1080" spans="2:26" x14ac:dyDescent="0.25">
      <c r="B1080" s="22"/>
      <c r="K1080" s="23"/>
      <c r="L1080" s="24"/>
      <c r="M1080" s="24"/>
      <c r="N1080" s="24"/>
      <c r="O1080" s="24"/>
      <c r="P1080" s="24"/>
      <c r="Q1080" s="25"/>
      <c r="S1080" s="26"/>
      <c r="Z1080" s="22"/>
    </row>
    <row r="1081" spans="2:26" x14ac:dyDescent="0.25">
      <c r="B1081" s="22"/>
      <c r="K1081" s="23"/>
      <c r="L1081" s="24"/>
      <c r="M1081" s="24"/>
      <c r="N1081" s="24"/>
      <c r="O1081" s="24"/>
      <c r="P1081" s="24"/>
      <c r="Q1081" s="25"/>
      <c r="S1081" s="26"/>
      <c r="Z1081" s="22"/>
    </row>
    <row r="1082" spans="2:26" x14ac:dyDescent="0.25">
      <c r="B1082" s="22"/>
      <c r="K1082" s="23"/>
      <c r="L1082" s="24"/>
      <c r="M1082" s="24"/>
      <c r="N1082" s="24"/>
      <c r="O1082" s="24"/>
      <c r="P1082" s="24"/>
      <c r="Q1082" s="25"/>
      <c r="S1082" s="26"/>
      <c r="Z1082" s="22"/>
    </row>
    <row r="1083" spans="2:26" x14ac:dyDescent="0.25">
      <c r="B1083" s="22"/>
      <c r="K1083" s="23"/>
      <c r="L1083" s="24"/>
      <c r="M1083" s="24"/>
      <c r="N1083" s="24"/>
      <c r="O1083" s="24"/>
      <c r="P1083" s="24"/>
      <c r="Q1083" s="25"/>
      <c r="S1083" s="26"/>
      <c r="Z1083" s="22"/>
    </row>
    <row r="1084" spans="2:26" x14ac:dyDescent="0.25">
      <c r="B1084" s="22"/>
      <c r="K1084" s="23"/>
      <c r="L1084" s="24"/>
      <c r="M1084" s="24"/>
      <c r="N1084" s="24"/>
      <c r="O1084" s="24"/>
      <c r="P1084" s="24"/>
      <c r="Q1084" s="25"/>
      <c r="S1084" s="26"/>
      <c r="Z1084" s="22"/>
    </row>
    <row r="1085" spans="2:26" x14ac:dyDescent="0.25">
      <c r="B1085" s="22"/>
      <c r="K1085" s="23"/>
      <c r="L1085" s="24"/>
      <c r="M1085" s="24"/>
      <c r="N1085" s="24"/>
      <c r="O1085" s="24"/>
      <c r="P1085" s="24"/>
      <c r="Q1085" s="25"/>
      <c r="S1085" s="26"/>
      <c r="Z1085" s="22"/>
    </row>
    <row r="1086" spans="2:26" x14ac:dyDescent="0.25">
      <c r="B1086" s="22"/>
      <c r="K1086" s="23"/>
      <c r="L1086" s="24"/>
      <c r="M1086" s="24"/>
      <c r="N1086" s="24"/>
      <c r="O1086" s="24"/>
      <c r="P1086" s="24"/>
      <c r="Q1086" s="25"/>
      <c r="S1086" s="26"/>
      <c r="Z1086" s="22"/>
    </row>
    <row r="1087" spans="2:26" x14ac:dyDescent="0.25">
      <c r="B1087" s="22"/>
      <c r="K1087" s="23"/>
      <c r="L1087" s="24"/>
      <c r="M1087" s="24"/>
      <c r="N1087" s="24"/>
      <c r="O1087" s="24"/>
      <c r="P1087" s="24"/>
      <c r="Q1087" s="25"/>
      <c r="S1087" s="26"/>
      <c r="Z1087" s="22"/>
    </row>
    <row r="1088" spans="2:26" x14ac:dyDescent="0.25">
      <c r="B1088" s="22"/>
      <c r="K1088" s="23"/>
      <c r="L1088" s="24"/>
      <c r="M1088" s="24"/>
      <c r="N1088" s="24"/>
      <c r="O1088" s="24"/>
      <c r="P1088" s="24"/>
      <c r="Q1088" s="25"/>
      <c r="S1088" s="26"/>
      <c r="Z1088" s="22"/>
    </row>
    <row r="1089" spans="2:26" x14ac:dyDescent="0.25">
      <c r="B1089" s="22"/>
      <c r="K1089" s="23"/>
      <c r="L1089" s="24"/>
      <c r="M1089" s="24"/>
      <c r="N1089" s="24"/>
      <c r="O1089" s="24"/>
      <c r="P1089" s="24"/>
      <c r="Q1089" s="25"/>
      <c r="S1089" s="26"/>
      <c r="Z1089" s="22"/>
    </row>
    <row r="1090" spans="2:26" x14ac:dyDescent="0.25">
      <c r="B1090" s="22"/>
      <c r="K1090" s="23"/>
      <c r="L1090" s="24"/>
      <c r="M1090" s="24"/>
      <c r="N1090" s="24"/>
      <c r="O1090" s="24"/>
      <c r="P1090" s="24"/>
      <c r="Q1090" s="25"/>
      <c r="S1090" s="26"/>
      <c r="Z1090" s="22"/>
    </row>
    <row r="1091" spans="2:26" x14ac:dyDescent="0.25">
      <c r="B1091" s="22"/>
      <c r="K1091" s="23"/>
      <c r="L1091" s="24"/>
      <c r="M1091" s="24"/>
      <c r="N1091" s="24"/>
      <c r="O1091" s="24"/>
      <c r="P1091" s="24"/>
      <c r="Q1091" s="25"/>
      <c r="S1091" s="26"/>
      <c r="Z1091" s="22"/>
    </row>
    <row r="1092" spans="2:26" x14ac:dyDescent="0.25">
      <c r="B1092" s="22"/>
      <c r="K1092" s="23"/>
      <c r="L1092" s="24"/>
      <c r="M1092" s="24"/>
      <c r="N1092" s="24"/>
      <c r="O1092" s="24"/>
      <c r="P1092" s="24"/>
      <c r="Q1092" s="25"/>
      <c r="S1092" s="26"/>
      <c r="Z1092" s="22"/>
    </row>
    <row r="1093" spans="2:26" x14ac:dyDescent="0.25">
      <c r="B1093" s="22"/>
      <c r="K1093" s="23"/>
      <c r="L1093" s="24"/>
      <c r="M1093" s="24"/>
      <c r="N1093" s="24"/>
      <c r="O1093" s="24"/>
      <c r="P1093" s="24"/>
      <c r="Q1093" s="25"/>
      <c r="S1093" s="26"/>
      <c r="Z1093" s="22"/>
    </row>
    <row r="1094" spans="2:26" x14ac:dyDescent="0.25">
      <c r="B1094" s="22"/>
      <c r="K1094" s="23"/>
      <c r="L1094" s="24"/>
      <c r="M1094" s="24"/>
      <c r="N1094" s="24"/>
      <c r="O1094" s="24"/>
      <c r="P1094" s="24"/>
      <c r="Q1094" s="25"/>
      <c r="S1094" s="26"/>
      <c r="Z1094" s="22"/>
    </row>
    <row r="1095" spans="2:26" x14ac:dyDescent="0.25">
      <c r="B1095" s="22"/>
      <c r="K1095" s="23"/>
      <c r="L1095" s="24"/>
      <c r="M1095" s="24"/>
      <c r="N1095" s="24"/>
      <c r="O1095" s="24"/>
      <c r="P1095" s="24"/>
      <c r="Q1095" s="25"/>
      <c r="S1095" s="26"/>
      <c r="Z1095" s="22"/>
    </row>
    <row r="1096" spans="2:26" x14ac:dyDescent="0.25">
      <c r="B1096" s="22"/>
      <c r="K1096" s="23"/>
      <c r="L1096" s="24"/>
      <c r="M1096" s="24"/>
      <c r="N1096" s="24"/>
      <c r="O1096" s="24"/>
      <c r="P1096" s="24"/>
      <c r="Q1096" s="25"/>
      <c r="S1096" s="26"/>
      <c r="Z1096" s="22"/>
    </row>
    <row r="1097" spans="2:26" x14ac:dyDescent="0.25">
      <c r="B1097" s="22"/>
      <c r="K1097" s="23"/>
      <c r="L1097" s="24"/>
      <c r="M1097" s="24"/>
      <c r="N1097" s="24"/>
      <c r="O1097" s="24"/>
      <c r="P1097" s="24"/>
      <c r="Q1097" s="25"/>
      <c r="S1097" s="26"/>
      <c r="Z1097" s="22"/>
    </row>
    <row r="1098" spans="2:26" x14ac:dyDescent="0.25">
      <c r="B1098" s="22"/>
      <c r="K1098" s="23"/>
      <c r="L1098" s="24"/>
      <c r="M1098" s="24"/>
      <c r="N1098" s="24"/>
      <c r="O1098" s="24"/>
      <c r="P1098" s="24"/>
      <c r="Q1098" s="25"/>
      <c r="S1098" s="26"/>
      <c r="Z1098" s="22"/>
    </row>
    <row r="1099" spans="2:26" x14ac:dyDescent="0.25">
      <c r="B1099" s="22"/>
      <c r="K1099" s="23"/>
      <c r="L1099" s="24"/>
      <c r="M1099" s="24"/>
      <c r="N1099" s="24"/>
      <c r="O1099" s="24"/>
      <c r="P1099" s="24"/>
      <c r="Q1099" s="25"/>
      <c r="S1099" s="26"/>
      <c r="Z1099" s="22"/>
    </row>
    <row r="1100" spans="2:26" x14ac:dyDescent="0.25">
      <c r="B1100" s="22"/>
      <c r="K1100" s="23"/>
      <c r="L1100" s="24"/>
      <c r="M1100" s="24"/>
      <c r="N1100" s="24"/>
      <c r="O1100" s="24"/>
      <c r="P1100" s="24"/>
      <c r="Q1100" s="25"/>
      <c r="S1100" s="26"/>
      <c r="Z1100" s="22"/>
    </row>
    <row r="1101" spans="2:26" x14ac:dyDescent="0.25">
      <c r="B1101" s="22"/>
      <c r="K1101" s="23"/>
      <c r="L1101" s="24"/>
      <c r="M1101" s="24"/>
      <c r="N1101" s="24"/>
      <c r="O1101" s="24"/>
      <c r="P1101" s="24"/>
      <c r="Q1101" s="25"/>
      <c r="S1101" s="26"/>
      <c r="Z1101" s="22"/>
    </row>
    <row r="1102" spans="2:26" x14ac:dyDescent="0.25">
      <c r="B1102" s="22"/>
      <c r="K1102" s="23"/>
      <c r="L1102" s="24"/>
      <c r="M1102" s="24"/>
      <c r="N1102" s="24"/>
      <c r="O1102" s="24"/>
      <c r="P1102" s="24"/>
      <c r="Q1102" s="25"/>
      <c r="S1102" s="26"/>
      <c r="Z1102" s="22"/>
    </row>
    <row r="1103" spans="2:26" x14ac:dyDescent="0.25">
      <c r="B1103" s="22"/>
      <c r="K1103" s="23"/>
      <c r="L1103" s="24"/>
      <c r="M1103" s="24"/>
      <c r="N1103" s="24"/>
      <c r="O1103" s="24"/>
      <c r="P1103" s="24"/>
      <c r="Q1103" s="25"/>
      <c r="S1103" s="26"/>
      <c r="Z1103" s="22"/>
    </row>
    <row r="1104" spans="2:26" x14ac:dyDescent="0.25">
      <c r="B1104" s="22"/>
      <c r="K1104" s="23"/>
      <c r="L1104" s="24"/>
      <c r="M1104" s="24"/>
      <c r="N1104" s="24"/>
      <c r="O1104" s="24"/>
      <c r="P1104" s="24"/>
      <c r="Q1104" s="25"/>
      <c r="S1104" s="26"/>
      <c r="Z1104" s="22"/>
    </row>
    <row r="1105" spans="2:26" x14ac:dyDescent="0.25">
      <c r="B1105" s="22"/>
      <c r="K1105" s="23"/>
      <c r="L1105" s="24"/>
      <c r="M1105" s="24"/>
      <c r="N1105" s="24"/>
      <c r="O1105" s="24"/>
      <c r="P1105" s="24"/>
      <c r="Q1105" s="25"/>
      <c r="S1105" s="26"/>
      <c r="Z1105" s="22"/>
    </row>
    <row r="1106" spans="2:26" x14ac:dyDescent="0.25">
      <c r="B1106" s="22"/>
      <c r="K1106" s="23"/>
      <c r="L1106" s="24"/>
      <c r="M1106" s="24"/>
      <c r="N1106" s="24"/>
      <c r="O1106" s="24"/>
      <c r="P1106" s="24"/>
      <c r="Q1106" s="25"/>
      <c r="S1106" s="26"/>
      <c r="Z1106" s="22"/>
    </row>
    <row r="1107" spans="2:26" x14ac:dyDescent="0.25">
      <c r="B1107" s="22"/>
      <c r="K1107" s="23"/>
      <c r="L1107" s="24"/>
      <c r="M1107" s="24"/>
      <c r="N1107" s="24"/>
      <c r="O1107" s="24"/>
      <c r="P1107" s="24"/>
      <c r="Q1107" s="25"/>
      <c r="S1107" s="26"/>
      <c r="Z1107" s="22"/>
    </row>
    <row r="1108" spans="2:26" x14ac:dyDescent="0.25">
      <c r="B1108" s="22"/>
      <c r="K1108" s="23"/>
      <c r="L1108" s="24"/>
      <c r="M1108" s="24"/>
      <c r="N1108" s="24"/>
      <c r="O1108" s="24"/>
      <c r="P1108" s="24"/>
      <c r="Q1108" s="25"/>
      <c r="S1108" s="26"/>
      <c r="Z1108" s="22"/>
    </row>
    <row r="1109" spans="2:26" x14ac:dyDescent="0.25">
      <c r="B1109" s="22"/>
      <c r="K1109" s="23"/>
      <c r="L1109" s="24"/>
      <c r="M1109" s="24"/>
      <c r="N1109" s="24"/>
      <c r="O1109" s="24"/>
      <c r="P1109" s="24"/>
      <c r="Q1109" s="25"/>
      <c r="S1109" s="26"/>
      <c r="Z1109" s="22"/>
    </row>
    <row r="1110" spans="2:26" x14ac:dyDescent="0.25">
      <c r="B1110" s="22"/>
      <c r="K1110" s="23"/>
      <c r="L1110" s="24"/>
      <c r="M1110" s="24"/>
      <c r="N1110" s="24"/>
      <c r="O1110" s="24"/>
      <c r="P1110" s="24"/>
      <c r="Q1110" s="25"/>
      <c r="S1110" s="26"/>
      <c r="Z1110" s="22"/>
    </row>
    <row r="1111" spans="2:26" x14ac:dyDescent="0.25">
      <c r="B1111" s="22"/>
      <c r="K1111" s="23"/>
      <c r="L1111" s="24"/>
      <c r="M1111" s="24"/>
      <c r="N1111" s="24"/>
      <c r="O1111" s="24"/>
      <c r="P1111" s="24"/>
      <c r="Q1111" s="25"/>
      <c r="S1111" s="26"/>
      <c r="Z1111" s="22"/>
    </row>
    <row r="1112" spans="2:26" x14ac:dyDescent="0.25">
      <c r="B1112" s="22"/>
      <c r="K1112" s="23"/>
      <c r="L1112" s="24"/>
      <c r="M1112" s="24"/>
      <c r="N1112" s="24"/>
      <c r="O1112" s="24"/>
      <c r="P1112" s="24"/>
      <c r="Q1112" s="25"/>
      <c r="S1112" s="26"/>
      <c r="Z1112" s="22"/>
    </row>
    <row r="1113" spans="2:26" x14ac:dyDescent="0.25">
      <c r="B1113" s="22"/>
      <c r="K1113" s="23"/>
      <c r="L1113" s="24"/>
      <c r="M1113" s="24"/>
      <c r="N1113" s="24"/>
      <c r="O1113" s="24"/>
      <c r="P1113" s="24"/>
      <c r="Q1113" s="25"/>
      <c r="S1113" s="26"/>
      <c r="Z1113" s="22"/>
    </row>
    <row r="1114" spans="2:26" x14ac:dyDescent="0.25">
      <c r="B1114" s="22"/>
      <c r="K1114" s="23"/>
      <c r="L1114" s="24"/>
      <c r="M1114" s="24"/>
      <c r="N1114" s="24"/>
      <c r="O1114" s="24"/>
      <c r="P1114" s="24"/>
      <c r="Q1114" s="25"/>
      <c r="S1114" s="26"/>
      <c r="Z1114" s="22"/>
    </row>
    <row r="1115" spans="2:26" x14ac:dyDescent="0.25">
      <c r="B1115" s="22"/>
      <c r="K1115" s="23"/>
      <c r="L1115" s="24"/>
      <c r="M1115" s="24"/>
      <c r="N1115" s="24"/>
      <c r="O1115" s="24"/>
      <c r="P1115" s="24"/>
      <c r="Q1115" s="25"/>
      <c r="S1115" s="26"/>
      <c r="Z1115" s="22"/>
    </row>
    <row r="1116" spans="2:26" x14ac:dyDescent="0.25">
      <c r="B1116" s="22"/>
      <c r="K1116" s="23"/>
      <c r="L1116" s="24"/>
      <c r="M1116" s="24"/>
      <c r="N1116" s="24"/>
      <c r="O1116" s="24"/>
      <c r="P1116" s="24"/>
      <c r="Q1116" s="25"/>
      <c r="S1116" s="26"/>
      <c r="Z1116" s="22"/>
    </row>
    <row r="1117" spans="2:26" x14ac:dyDescent="0.25">
      <c r="B1117" s="22"/>
      <c r="K1117" s="23"/>
      <c r="L1117" s="24"/>
      <c r="M1117" s="24"/>
      <c r="N1117" s="24"/>
      <c r="O1117" s="24"/>
      <c r="P1117" s="24"/>
      <c r="Q1117" s="25"/>
      <c r="S1117" s="26"/>
      <c r="Z1117" s="22"/>
    </row>
    <row r="1118" spans="2:26" x14ac:dyDescent="0.25">
      <c r="B1118" s="22"/>
      <c r="K1118" s="23"/>
      <c r="L1118" s="24"/>
      <c r="M1118" s="24"/>
      <c r="N1118" s="24"/>
      <c r="O1118" s="24"/>
      <c r="P1118" s="24"/>
      <c r="Q1118" s="25"/>
      <c r="S1118" s="26"/>
      <c r="Z1118" s="22"/>
    </row>
    <row r="1119" spans="2:26" x14ac:dyDescent="0.25">
      <c r="B1119" s="22"/>
      <c r="K1119" s="23"/>
      <c r="L1119" s="24"/>
      <c r="M1119" s="24"/>
      <c r="N1119" s="24"/>
      <c r="O1119" s="24"/>
      <c r="P1119" s="24"/>
      <c r="Q1119" s="25"/>
      <c r="S1119" s="26"/>
      <c r="Z1119" s="22"/>
    </row>
    <row r="1120" spans="2:26" x14ac:dyDescent="0.25">
      <c r="B1120" s="22"/>
      <c r="K1120" s="23"/>
      <c r="L1120" s="24"/>
      <c r="M1120" s="24"/>
      <c r="N1120" s="24"/>
      <c r="O1120" s="24"/>
      <c r="P1120" s="24"/>
      <c r="Q1120" s="25"/>
      <c r="S1120" s="26"/>
      <c r="Z1120" s="22"/>
    </row>
    <row r="1121" spans="2:26" x14ac:dyDescent="0.25">
      <c r="B1121" s="22"/>
      <c r="K1121" s="23"/>
      <c r="L1121" s="24"/>
      <c r="M1121" s="24"/>
      <c r="N1121" s="24"/>
      <c r="O1121" s="24"/>
      <c r="P1121" s="24"/>
      <c r="Q1121" s="25"/>
      <c r="S1121" s="26"/>
      <c r="Z1121" s="22"/>
    </row>
    <row r="1122" spans="2:26" x14ac:dyDescent="0.25">
      <c r="B1122" s="22"/>
      <c r="K1122" s="23"/>
      <c r="L1122" s="24"/>
      <c r="M1122" s="24"/>
      <c r="N1122" s="24"/>
      <c r="O1122" s="24"/>
      <c r="P1122" s="24"/>
      <c r="Q1122" s="25"/>
      <c r="S1122" s="26"/>
      <c r="Z1122" s="22"/>
    </row>
    <row r="1123" spans="2:26" x14ac:dyDescent="0.25">
      <c r="B1123" s="22"/>
      <c r="K1123" s="23"/>
      <c r="L1123" s="24"/>
      <c r="M1123" s="24"/>
      <c r="N1123" s="24"/>
      <c r="O1123" s="24"/>
      <c r="P1123" s="24"/>
      <c r="Q1123" s="25"/>
      <c r="S1123" s="26"/>
      <c r="Z1123" s="22"/>
    </row>
    <row r="1124" spans="2:26" x14ac:dyDescent="0.25">
      <c r="B1124" s="22"/>
      <c r="K1124" s="23"/>
      <c r="L1124" s="24"/>
      <c r="M1124" s="24"/>
      <c r="N1124" s="24"/>
      <c r="O1124" s="24"/>
      <c r="P1124" s="24"/>
      <c r="Q1124" s="25"/>
      <c r="S1124" s="26"/>
      <c r="Z1124" s="22"/>
    </row>
    <row r="1125" spans="2:26" x14ac:dyDescent="0.25">
      <c r="B1125" s="22"/>
      <c r="K1125" s="23"/>
      <c r="L1125" s="24"/>
      <c r="M1125" s="24"/>
      <c r="N1125" s="24"/>
      <c r="O1125" s="24"/>
      <c r="P1125" s="24"/>
      <c r="Q1125" s="25"/>
      <c r="S1125" s="26"/>
      <c r="Z1125" s="22"/>
    </row>
    <row r="1126" spans="2:26" x14ac:dyDescent="0.25">
      <c r="B1126" s="22"/>
      <c r="K1126" s="23"/>
      <c r="L1126" s="24"/>
      <c r="M1126" s="24"/>
      <c r="N1126" s="24"/>
      <c r="O1126" s="24"/>
      <c r="P1126" s="24"/>
      <c r="Q1126" s="25"/>
      <c r="S1126" s="26"/>
      <c r="Z1126" s="22"/>
    </row>
    <row r="1127" spans="2:26" x14ac:dyDescent="0.25">
      <c r="B1127" s="22"/>
      <c r="K1127" s="23"/>
      <c r="L1127" s="24"/>
      <c r="M1127" s="24"/>
      <c r="N1127" s="24"/>
      <c r="O1127" s="24"/>
      <c r="P1127" s="24"/>
      <c r="Q1127" s="25"/>
      <c r="S1127" s="26"/>
      <c r="Z1127" s="22"/>
    </row>
    <row r="1128" spans="2:26" x14ac:dyDescent="0.25">
      <c r="B1128" s="22"/>
      <c r="K1128" s="23"/>
      <c r="L1128" s="24"/>
      <c r="M1128" s="24"/>
      <c r="N1128" s="24"/>
      <c r="O1128" s="24"/>
      <c r="P1128" s="24"/>
      <c r="Q1128" s="25"/>
      <c r="S1128" s="26"/>
      <c r="Z1128" s="22"/>
    </row>
    <row r="1129" spans="2:26" x14ac:dyDescent="0.25">
      <c r="B1129" s="22"/>
      <c r="K1129" s="23"/>
      <c r="L1129" s="24"/>
      <c r="M1129" s="24"/>
      <c r="N1129" s="24"/>
      <c r="O1129" s="24"/>
      <c r="P1129" s="24"/>
      <c r="Q1129" s="25"/>
      <c r="S1129" s="26"/>
      <c r="Z1129" s="22"/>
    </row>
    <row r="1130" spans="2:26" x14ac:dyDescent="0.25">
      <c r="B1130" s="22"/>
      <c r="K1130" s="23"/>
      <c r="L1130" s="24"/>
      <c r="M1130" s="24"/>
      <c r="N1130" s="24"/>
      <c r="O1130" s="24"/>
      <c r="P1130" s="24"/>
      <c r="Q1130" s="25"/>
      <c r="S1130" s="26"/>
      <c r="Z1130" s="22"/>
    </row>
    <row r="1131" spans="2:26" x14ac:dyDescent="0.25">
      <c r="B1131" s="22"/>
      <c r="K1131" s="23"/>
      <c r="L1131" s="24"/>
      <c r="M1131" s="24"/>
      <c r="N1131" s="24"/>
      <c r="O1131" s="24"/>
      <c r="P1131" s="24"/>
      <c r="Q1131" s="25"/>
      <c r="S1131" s="26"/>
      <c r="Z1131" s="22"/>
    </row>
    <row r="1132" spans="2:26" x14ac:dyDescent="0.25">
      <c r="B1132" s="22"/>
      <c r="K1132" s="23"/>
      <c r="L1132" s="24"/>
      <c r="M1132" s="24"/>
      <c r="N1132" s="24"/>
      <c r="O1132" s="24"/>
      <c r="P1132" s="24"/>
      <c r="Q1132" s="25"/>
      <c r="S1132" s="26"/>
      <c r="Z1132" s="22"/>
    </row>
    <row r="1133" spans="2:26" x14ac:dyDescent="0.25">
      <c r="B1133" s="22"/>
      <c r="K1133" s="23"/>
      <c r="L1133" s="24"/>
      <c r="M1133" s="24"/>
      <c r="N1133" s="24"/>
      <c r="O1133" s="24"/>
      <c r="P1133" s="24"/>
      <c r="Q1133" s="25"/>
      <c r="S1133" s="26"/>
      <c r="Z1133" s="22"/>
    </row>
    <row r="1134" spans="2:26" x14ac:dyDescent="0.25">
      <c r="B1134" s="22"/>
      <c r="K1134" s="23"/>
      <c r="L1134" s="24"/>
      <c r="M1134" s="24"/>
      <c r="N1134" s="24"/>
      <c r="O1134" s="24"/>
      <c r="P1134" s="24"/>
      <c r="Q1134" s="25"/>
      <c r="S1134" s="26"/>
      <c r="Z1134" s="22"/>
    </row>
    <row r="1135" spans="2:26" x14ac:dyDescent="0.25">
      <c r="B1135" s="22"/>
      <c r="K1135" s="23"/>
      <c r="L1135" s="24"/>
      <c r="M1135" s="24"/>
      <c r="N1135" s="24"/>
      <c r="O1135" s="24"/>
      <c r="P1135" s="24"/>
      <c r="Q1135" s="25"/>
      <c r="S1135" s="26"/>
      <c r="Z1135" s="22"/>
    </row>
    <row r="1136" spans="2:26" x14ac:dyDescent="0.25">
      <c r="B1136" s="22"/>
      <c r="K1136" s="23"/>
      <c r="L1136" s="24"/>
      <c r="M1136" s="24"/>
      <c r="N1136" s="24"/>
      <c r="O1136" s="24"/>
      <c r="P1136" s="24"/>
      <c r="Q1136" s="25"/>
      <c r="S1136" s="26"/>
      <c r="Z1136" s="22"/>
    </row>
    <row r="1137" spans="2:26" x14ac:dyDescent="0.25">
      <c r="B1137" s="22"/>
      <c r="K1137" s="23"/>
      <c r="L1137" s="24"/>
      <c r="M1137" s="24"/>
      <c r="N1137" s="24"/>
      <c r="O1137" s="24"/>
      <c r="P1137" s="24"/>
      <c r="Q1137" s="25"/>
      <c r="S1137" s="26"/>
      <c r="Z1137" s="22"/>
    </row>
    <row r="1138" spans="2:26" x14ac:dyDescent="0.25">
      <c r="B1138" s="22"/>
      <c r="K1138" s="23"/>
      <c r="L1138" s="24"/>
      <c r="M1138" s="24"/>
      <c r="N1138" s="24"/>
      <c r="O1138" s="24"/>
      <c r="P1138" s="24"/>
      <c r="Q1138" s="25"/>
      <c r="S1138" s="26"/>
      <c r="Z1138" s="22"/>
    </row>
    <row r="1139" spans="2:26" x14ac:dyDescent="0.25">
      <c r="B1139" s="22"/>
      <c r="K1139" s="23"/>
      <c r="L1139" s="24"/>
      <c r="M1139" s="24"/>
      <c r="N1139" s="24"/>
      <c r="O1139" s="24"/>
      <c r="P1139" s="24"/>
      <c r="Q1139" s="25"/>
      <c r="S1139" s="26"/>
      <c r="Z1139" s="22"/>
    </row>
    <row r="1140" spans="2:26" x14ac:dyDescent="0.25">
      <c r="B1140" s="22"/>
      <c r="K1140" s="23"/>
      <c r="L1140" s="24"/>
      <c r="M1140" s="24"/>
      <c r="N1140" s="24"/>
      <c r="O1140" s="24"/>
      <c r="P1140" s="24"/>
      <c r="Q1140" s="25"/>
      <c r="S1140" s="26"/>
      <c r="Z1140" s="22"/>
    </row>
    <row r="1141" spans="2:26" x14ac:dyDescent="0.25">
      <c r="B1141" s="22"/>
      <c r="K1141" s="23"/>
      <c r="L1141" s="24"/>
      <c r="M1141" s="24"/>
      <c r="N1141" s="24"/>
      <c r="O1141" s="24"/>
      <c r="P1141" s="24"/>
      <c r="Q1141" s="25"/>
      <c r="S1141" s="26"/>
      <c r="Z1141" s="22"/>
    </row>
    <row r="1142" spans="2:26" x14ac:dyDescent="0.25">
      <c r="B1142" s="22"/>
      <c r="K1142" s="23"/>
      <c r="L1142" s="24"/>
      <c r="M1142" s="24"/>
      <c r="N1142" s="24"/>
      <c r="O1142" s="24"/>
      <c r="P1142" s="24"/>
      <c r="Q1142" s="25"/>
      <c r="S1142" s="26"/>
      <c r="Z1142" s="22"/>
    </row>
    <row r="1143" spans="2:26" x14ac:dyDescent="0.25">
      <c r="B1143" s="22"/>
      <c r="K1143" s="23"/>
      <c r="L1143" s="24"/>
      <c r="M1143" s="24"/>
      <c r="N1143" s="24"/>
      <c r="O1143" s="24"/>
      <c r="P1143" s="24"/>
      <c r="Q1143" s="25"/>
      <c r="S1143" s="26"/>
      <c r="Z1143" s="22"/>
    </row>
    <row r="1144" spans="2:26" x14ac:dyDescent="0.25">
      <c r="B1144" s="22"/>
      <c r="K1144" s="23"/>
      <c r="L1144" s="24"/>
      <c r="M1144" s="24"/>
      <c r="N1144" s="24"/>
      <c r="O1144" s="24"/>
      <c r="P1144" s="24"/>
      <c r="Q1144" s="25"/>
      <c r="S1144" s="26"/>
      <c r="Z1144" s="22"/>
    </row>
    <row r="1145" spans="2:26" x14ac:dyDescent="0.25">
      <c r="B1145" s="22"/>
      <c r="K1145" s="23"/>
      <c r="L1145" s="24"/>
      <c r="M1145" s="24"/>
      <c r="N1145" s="24"/>
      <c r="O1145" s="24"/>
      <c r="P1145" s="24"/>
      <c r="Q1145" s="25"/>
      <c r="S1145" s="26"/>
      <c r="Z1145" s="22"/>
    </row>
    <row r="1146" spans="2:26" x14ac:dyDescent="0.25">
      <c r="B1146" s="22"/>
      <c r="K1146" s="23"/>
      <c r="L1146" s="24"/>
      <c r="M1146" s="24"/>
      <c r="N1146" s="24"/>
      <c r="O1146" s="24"/>
      <c r="P1146" s="24"/>
      <c r="Q1146" s="25"/>
      <c r="S1146" s="26"/>
      <c r="Z1146" s="22"/>
    </row>
    <row r="1147" spans="2:26" x14ac:dyDescent="0.25">
      <c r="B1147" s="22"/>
      <c r="K1147" s="23"/>
      <c r="L1147" s="24"/>
      <c r="M1147" s="24"/>
      <c r="N1147" s="24"/>
      <c r="O1147" s="24"/>
      <c r="P1147" s="24"/>
      <c r="Q1147" s="25"/>
      <c r="S1147" s="26"/>
      <c r="Z1147" s="22"/>
    </row>
    <row r="1148" spans="2:26" x14ac:dyDescent="0.25">
      <c r="B1148" s="22"/>
      <c r="K1148" s="23"/>
      <c r="L1148" s="24"/>
      <c r="M1148" s="24"/>
      <c r="N1148" s="24"/>
      <c r="O1148" s="24"/>
      <c r="P1148" s="24"/>
      <c r="Q1148" s="25"/>
      <c r="S1148" s="26"/>
      <c r="Z1148" s="22"/>
    </row>
    <row r="1149" spans="2:26" x14ac:dyDescent="0.25">
      <c r="B1149" s="22"/>
      <c r="K1149" s="23"/>
      <c r="L1149" s="24"/>
      <c r="M1149" s="24"/>
      <c r="N1149" s="24"/>
      <c r="O1149" s="24"/>
      <c r="P1149" s="24"/>
      <c r="Q1149" s="25"/>
      <c r="S1149" s="26"/>
      <c r="Z1149" s="22"/>
    </row>
    <row r="1150" spans="2:26" x14ac:dyDescent="0.25">
      <c r="B1150" s="22"/>
      <c r="K1150" s="23"/>
      <c r="L1150" s="24"/>
      <c r="M1150" s="24"/>
      <c r="N1150" s="24"/>
      <c r="O1150" s="24"/>
      <c r="P1150" s="24"/>
      <c r="Q1150" s="25"/>
      <c r="S1150" s="26"/>
      <c r="Z1150" s="22"/>
    </row>
    <row r="1151" spans="2:26" x14ac:dyDescent="0.25">
      <c r="B1151" s="22"/>
      <c r="K1151" s="23"/>
      <c r="L1151" s="24"/>
      <c r="M1151" s="24"/>
      <c r="N1151" s="24"/>
      <c r="O1151" s="24"/>
      <c r="P1151" s="24"/>
      <c r="Q1151" s="25"/>
      <c r="S1151" s="26"/>
      <c r="Z1151" s="22"/>
    </row>
    <row r="1152" spans="2:26" x14ac:dyDescent="0.25">
      <c r="B1152" s="22"/>
      <c r="K1152" s="23"/>
      <c r="L1152" s="24"/>
      <c r="M1152" s="24"/>
      <c r="N1152" s="24"/>
      <c r="O1152" s="24"/>
      <c r="P1152" s="24"/>
      <c r="Q1152" s="25"/>
      <c r="S1152" s="26"/>
      <c r="Z1152" s="22"/>
    </row>
    <row r="1153" spans="2:26" x14ac:dyDescent="0.25">
      <c r="B1153" s="22"/>
      <c r="K1153" s="23"/>
      <c r="L1153" s="24"/>
      <c r="M1153" s="24"/>
      <c r="N1153" s="24"/>
      <c r="O1153" s="24"/>
      <c r="P1153" s="24"/>
      <c r="Q1153" s="25"/>
      <c r="S1153" s="26"/>
      <c r="Z1153" s="22"/>
    </row>
    <row r="1154" spans="2:26" x14ac:dyDescent="0.25">
      <c r="B1154" s="22"/>
      <c r="K1154" s="23"/>
      <c r="L1154" s="24"/>
      <c r="M1154" s="24"/>
      <c r="N1154" s="24"/>
      <c r="O1154" s="24"/>
      <c r="P1154" s="24"/>
      <c r="Q1154" s="25"/>
      <c r="S1154" s="26"/>
      <c r="Z1154" s="22"/>
    </row>
    <row r="1155" spans="2:26" x14ac:dyDescent="0.25">
      <c r="B1155" s="22"/>
      <c r="K1155" s="23"/>
      <c r="L1155" s="24"/>
      <c r="M1155" s="24"/>
      <c r="N1155" s="24"/>
      <c r="O1155" s="24"/>
      <c r="P1155" s="24"/>
      <c r="Q1155" s="25"/>
      <c r="S1155" s="26"/>
      <c r="Z1155" s="22"/>
    </row>
    <row r="1156" spans="2:26" x14ac:dyDescent="0.25">
      <c r="B1156" s="22"/>
      <c r="K1156" s="23"/>
      <c r="L1156" s="24"/>
      <c r="M1156" s="24"/>
      <c r="N1156" s="24"/>
      <c r="O1156" s="24"/>
      <c r="P1156" s="24"/>
      <c r="Q1156" s="25"/>
      <c r="S1156" s="26"/>
      <c r="Z1156" s="22"/>
    </row>
    <row r="1157" spans="2:26" x14ac:dyDescent="0.25">
      <c r="B1157" s="22"/>
      <c r="K1157" s="23"/>
      <c r="L1157" s="24"/>
      <c r="M1157" s="24"/>
      <c r="N1157" s="24"/>
      <c r="O1157" s="24"/>
      <c r="P1157" s="24"/>
      <c r="Q1157" s="25"/>
      <c r="S1157" s="26"/>
      <c r="Z1157" s="22"/>
    </row>
    <row r="1158" spans="2:26" x14ac:dyDescent="0.25">
      <c r="B1158" s="22"/>
      <c r="K1158" s="23"/>
      <c r="L1158" s="24"/>
      <c r="M1158" s="24"/>
      <c r="N1158" s="24"/>
      <c r="O1158" s="24"/>
      <c r="P1158" s="24"/>
      <c r="Q1158" s="25"/>
      <c r="S1158" s="26"/>
      <c r="Z1158" s="22"/>
    </row>
    <row r="1159" spans="2:26" x14ac:dyDescent="0.25">
      <c r="B1159" s="22"/>
      <c r="K1159" s="23"/>
      <c r="L1159" s="24"/>
      <c r="M1159" s="24"/>
      <c r="N1159" s="24"/>
      <c r="O1159" s="24"/>
      <c r="P1159" s="24"/>
      <c r="Q1159" s="25"/>
      <c r="S1159" s="26"/>
      <c r="Z1159" s="22"/>
    </row>
    <row r="1160" spans="2:26" x14ac:dyDescent="0.25">
      <c r="B1160" s="22"/>
      <c r="K1160" s="23"/>
      <c r="L1160" s="24"/>
      <c r="M1160" s="24"/>
      <c r="N1160" s="24"/>
      <c r="O1160" s="24"/>
      <c r="P1160" s="24"/>
      <c r="Q1160" s="25"/>
      <c r="S1160" s="26"/>
      <c r="Z1160" s="22"/>
    </row>
    <row r="1161" spans="2:26" x14ac:dyDescent="0.25">
      <c r="B1161" s="22"/>
      <c r="K1161" s="23"/>
      <c r="L1161" s="24"/>
      <c r="M1161" s="24"/>
      <c r="N1161" s="24"/>
      <c r="O1161" s="24"/>
      <c r="P1161" s="24"/>
      <c r="Q1161" s="25"/>
      <c r="S1161" s="26"/>
      <c r="Z1161" s="22"/>
    </row>
    <row r="1162" spans="2:26" x14ac:dyDescent="0.25">
      <c r="B1162" s="22"/>
      <c r="K1162" s="23"/>
      <c r="L1162" s="24"/>
      <c r="M1162" s="24"/>
      <c r="N1162" s="24"/>
      <c r="O1162" s="24"/>
      <c r="P1162" s="24"/>
      <c r="Q1162" s="25"/>
      <c r="S1162" s="26"/>
      <c r="Z1162" s="22"/>
    </row>
    <row r="1163" spans="2:26" x14ac:dyDescent="0.25">
      <c r="B1163" s="22"/>
      <c r="K1163" s="23"/>
      <c r="L1163" s="24"/>
      <c r="M1163" s="24"/>
      <c r="N1163" s="24"/>
      <c r="O1163" s="24"/>
      <c r="P1163" s="24"/>
      <c r="Q1163" s="25"/>
      <c r="S1163" s="26"/>
      <c r="Z1163" s="22"/>
    </row>
    <row r="1164" spans="2:26" x14ac:dyDescent="0.25">
      <c r="B1164" s="22"/>
      <c r="K1164" s="23"/>
      <c r="L1164" s="24"/>
      <c r="M1164" s="24"/>
      <c r="N1164" s="24"/>
      <c r="O1164" s="24"/>
      <c r="P1164" s="24"/>
      <c r="Q1164" s="25"/>
      <c r="S1164" s="26"/>
      <c r="Z1164" s="22"/>
    </row>
    <row r="1165" spans="2:26" x14ac:dyDescent="0.25">
      <c r="B1165" s="22"/>
      <c r="K1165" s="23"/>
      <c r="L1165" s="24"/>
      <c r="M1165" s="24"/>
      <c r="N1165" s="24"/>
      <c r="O1165" s="24"/>
      <c r="P1165" s="24"/>
      <c r="Q1165" s="25"/>
      <c r="S1165" s="26"/>
      <c r="Z1165" s="22"/>
    </row>
    <row r="1166" spans="2:26" x14ac:dyDescent="0.25">
      <c r="B1166" s="22"/>
      <c r="K1166" s="23"/>
      <c r="L1166" s="24"/>
      <c r="M1166" s="24"/>
      <c r="N1166" s="24"/>
      <c r="O1166" s="24"/>
      <c r="P1166" s="24"/>
      <c r="Q1166" s="25"/>
      <c r="S1166" s="26"/>
      <c r="Z1166" s="22"/>
    </row>
    <row r="1167" spans="2:26" x14ac:dyDescent="0.25">
      <c r="B1167" s="22"/>
      <c r="K1167" s="23"/>
      <c r="L1167" s="24"/>
      <c r="M1167" s="24"/>
      <c r="N1167" s="24"/>
      <c r="O1167" s="24"/>
      <c r="P1167" s="24"/>
      <c r="Q1167" s="25"/>
      <c r="S1167" s="26"/>
      <c r="Z1167" s="22"/>
    </row>
    <row r="1168" spans="2:26" x14ac:dyDescent="0.25">
      <c r="B1168" s="22"/>
      <c r="K1168" s="23"/>
      <c r="L1168" s="24"/>
      <c r="M1168" s="24"/>
      <c r="N1168" s="24"/>
      <c r="O1168" s="24"/>
      <c r="P1168" s="24"/>
      <c r="Q1168" s="25"/>
      <c r="S1168" s="26"/>
      <c r="Z1168" s="22"/>
    </row>
    <row r="1169" spans="2:26" x14ac:dyDescent="0.25">
      <c r="B1169" s="22"/>
      <c r="K1169" s="23"/>
      <c r="L1169" s="24"/>
      <c r="M1169" s="24"/>
      <c r="N1169" s="24"/>
      <c r="O1169" s="24"/>
      <c r="P1169" s="24"/>
      <c r="Q1169" s="25"/>
      <c r="S1169" s="26"/>
      <c r="Z1169" s="22"/>
    </row>
    <row r="1170" spans="2:26" x14ac:dyDescent="0.25">
      <c r="B1170" s="22"/>
      <c r="K1170" s="23"/>
      <c r="L1170" s="24"/>
      <c r="M1170" s="24"/>
      <c r="N1170" s="24"/>
      <c r="O1170" s="24"/>
      <c r="P1170" s="24"/>
      <c r="Q1170" s="25"/>
      <c r="S1170" s="26"/>
      <c r="Z1170" s="22"/>
    </row>
    <row r="1171" spans="2:26" x14ac:dyDescent="0.25">
      <c r="B1171" s="22"/>
      <c r="K1171" s="23"/>
      <c r="L1171" s="24"/>
      <c r="M1171" s="24"/>
      <c r="N1171" s="24"/>
      <c r="O1171" s="24"/>
      <c r="P1171" s="24"/>
      <c r="Q1171" s="25"/>
      <c r="S1171" s="26"/>
      <c r="Z1171" s="22"/>
    </row>
    <row r="1172" spans="2:26" x14ac:dyDescent="0.25">
      <c r="B1172" s="22"/>
      <c r="K1172" s="23"/>
      <c r="L1172" s="24"/>
      <c r="M1172" s="24"/>
      <c r="N1172" s="24"/>
      <c r="O1172" s="24"/>
      <c r="P1172" s="24"/>
      <c r="Q1172" s="25"/>
      <c r="S1172" s="26"/>
      <c r="Z1172" s="22"/>
    </row>
    <row r="1173" spans="2:26" x14ac:dyDescent="0.25">
      <c r="B1173" s="22"/>
      <c r="K1173" s="23"/>
      <c r="L1173" s="24"/>
      <c r="M1173" s="24"/>
      <c r="N1173" s="24"/>
      <c r="O1173" s="24"/>
      <c r="P1173" s="24"/>
      <c r="Q1173" s="25"/>
      <c r="S1173" s="26"/>
      <c r="Z1173" s="22"/>
    </row>
    <row r="1174" spans="2:26" x14ac:dyDescent="0.25">
      <c r="B1174" s="22"/>
      <c r="K1174" s="23"/>
      <c r="L1174" s="24"/>
      <c r="M1174" s="24"/>
      <c r="N1174" s="24"/>
      <c r="O1174" s="24"/>
      <c r="P1174" s="24"/>
      <c r="Q1174" s="25"/>
      <c r="S1174" s="26"/>
      <c r="Z1174" s="22"/>
    </row>
    <row r="1175" spans="2:26" x14ac:dyDescent="0.25">
      <c r="B1175" s="22"/>
      <c r="K1175" s="23"/>
      <c r="L1175" s="24"/>
      <c r="M1175" s="24"/>
      <c r="N1175" s="24"/>
      <c r="O1175" s="24"/>
      <c r="P1175" s="24"/>
      <c r="Q1175" s="25"/>
      <c r="S1175" s="26"/>
      <c r="Z1175" s="22"/>
    </row>
    <row r="1176" spans="2:26" x14ac:dyDescent="0.25">
      <c r="B1176" s="22"/>
      <c r="K1176" s="23"/>
      <c r="L1176" s="24"/>
      <c r="M1176" s="24"/>
      <c r="N1176" s="24"/>
      <c r="O1176" s="24"/>
      <c r="P1176" s="24"/>
      <c r="Q1176" s="25"/>
      <c r="S1176" s="26"/>
      <c r="Z1176" s="22"/>
    </row>
    <row r="1177" spans="2:26" x14ac:dyDescent="0.25">
      <c r="B1177" s="22"/>
      <c r="K1177" s="23"/>
      <c r="L1177" s="24"/>
      <c r="M1177" s="24"/>
      <c r="N1177" s="24"/>
      <c r="O1177" s="24"/>
      <c r="P1177" s="24"/>
      <c r="Q1177" s="25"/>
      <c r="S1177" s="26"/>
      <c r="Z1177" s="22"/>
    </row>
    <row r="1178" spans="2:26" x14ac:dyDescent="0.25">
      <c r="B1178" s="22"/>
      <c r="K1178" s="23"/>
      <c r="L1178" s="24"/>
      <c r="M1178" s="24"/>
      <c r="N1178" s="24"/>
      <c r="O1178" s="24"/>
      <c r="P1178" s="24"/>
      <c r="Q1178" s="25"/>
      <c r="S1178" s="26"/>
      <c r="Z1178" s="22"/>
    </row>
    <row r="1179" spans="2:26" x14ac:dyDescent="0.25">
      <c r="B1179" s="22"/>
      <c r="K1179" s="23"/>
      <c r="L1179" s="24"/>
      <c r="M1179" s="24"/>
      <c r="N1179" s="24"/>
      <c r="O1179" s="24"/>
      <c r="P1179" s="24"/>
      <c r="Q1179" s="25"/>
      <c r="S1179" s="26"/>
      <c r="Z1179" s="22"/>
    </row>
    <row r="1180" spans="2:26" x14ac:dyDescent="0.25">
      <c r="B1180" s="22"/>
      <c r="K1180" s="23"/>
      <c r="L1180" s="24"/>
      <c r="M1180" s="24"/>
      <c r="N1180" s="24"/>
      <c r="O1180" s="24"/>
      <c r="P1180" s="24"/>
      <c r="Q1180" s="25"/>
      <c r="S1180" s="26"/>
      <c r="Z1180" s="22"/>
    </row>
    <row r="1181" spans="2:26" x14ac:dyDescent="0.25">
      <c r="B1181" s="22"/>
      <c r="K1181" s="23"/>
      <c r="L1181" s="24"/>
      <c r="M1181" s="24"/>
      <c r="N1181" s="24"/>
      <c r="O1181" s="24"/>
      <c r="P1181" s="24"/>
      <c r="Q1181" s="25"/>
      <c r="S1181" s="26"/>
      <c r="Z1181" s="22"/>
    </row>
    <row r="1182" spans="2:26" x14ac:dyDescent="0.25">
      <c r="B1182" s="22"/>
      <c r="K1182" s="23"/>
      <c r="L1182" s="24"/>
      <c r="M1182" s="24"/>
      <c r="N1182" s="24"/>
      <c r="O1182" s="24"/>
      <c r="P1182" s="24"/>
      <c r="Q1182" s="25"/>
      <c r="S1182" s="26"/>
      <c r="Z1182" s="22"/>
    </row>
    <row r="1183" spans="2:26" x14ac:dyDescent="0.25">
      <c r="B1183" s="22"/>
      <c r="K1183" s="23"/>
      <c r="L1183" s="24"/>
      <c r="M1183" s="24"/>
      <c r="N1183" s="24"/>
      <c r="O1183" s="24"/>
      <c r="P1183" s="24"/>
      <c r="Q1183" s="25"/>
      <c r="S1183" s="26"/>
      <c r="Z1183" s="22"/>
    </row>
    <row r="1184" spans="2:26" x14ac:dyDescent="0.25">
      <c r="B1184" s="22"/>
      <c r="K1184" s="23"/>
      <c r="L1184" s="24"/>
      <c r="M1184" s="24"/>
      <c r="N1184" s="24"/>
      <c r="O1184" s="24"/>
      <c r="P1184" s="24"/>
      <c r="Q1184" s="25"/>
      <c r="S1184" s="26"/>
      <c r="Z1184" s="22"/>
    </row>
    <row r="1185" spans="2:26" x14ac:dyDescent="0.25">
      <c r="B1185" s="22"/>
      <c r="K1185" s="23"/>
      <c r="L1185" s="24"/>
      <c r="M1185" s="24"/>
      <c r="N1185" s="24"/>
      <c r="O1185" s="24"/>
      <c r="P1185" s="24"/>
      <c r="Q1185" s="25"/>
      <c r="S1185" s="26"/>
      <c r="Z1185" s="22"/>
    </row>
    <row r="1186" spans="2:26" x14ac:dyDescent="0.25">
      <c r="B1186" s="22"/>
      <c r="K1186" s="23"/>
      <c r="L1186" s="24"/>
      <c r="M1186" s="24"/>
      <c r="N1186" s="24"/>
      <c r="O1186" s="24"/>
      <c r="P1186" s="24"/>
      <c r="Q1186" s="25"/>
      <c r="S1186" s="26"/>
      <c r="Z1186" s="22"/>
    </row>
    <row r="1187" spans="2:26" x14ac:dyDescent="0.25">
      <c r="B1187" s="22"/>
      <c r="K1187" s="23"/>
      <c r="L1187" s="24"/>
      <c r="M1187" s="24"/>
      <c r="N1187" s="24"/>
      <c r="O1187" s="24"/>
      <c r="P1187" s="24"/>
      <c r="Q1187" s="25"/>
      <c r="S1187" s="26"/>
      <c r="Z1187" s="22"/>
    </row>
    <row r="1188" spans="2:26" x14ac:dyDescent="0.25">
      <c r="B1188" s="22"/>
      <c r="K1188" s="23"/>
      <c r="L1188" s="24"/>
      <c r="M1188" s="24"/>
      <c r="N1188" s="24"/>
      <c r="O1188" s="24"/>
      <c r="P1188" s="24"/>
      <c r="Q1188" s="25"/>
      <c r="S1188" s="26"/>
      <c r="Z1188" s="22"/>
    </row>
    <row r="1189" spans="2:26" x14ac:dyDescent="0.25">
      <c r="B1189" s="22"/>
      <c r="K1189" s="23"/>
      <c r="L1189" s="24"/>
      <c r="M1189" s="24"/>
      <c r="N1189" s="24"/>
      <c r="O1189" s="24"/>
      <c r="P1189" s="24"/>
      <c r="Q1189" s="25"/>
      <c r="S1189" s="26"/>
      <c r="Z1189" s="22"/>
    </row>
    <row r="1190" spans="2:26" x14ac:dyDescent="0.25">
      <c r="B1190" s="22"/>
      <c r="K1190" s="23"/>
      <c r="L1190" s="24"/>
      <c r="M1190" s="24"/>
      <c r="N1190" s="24"/>
      <c r="O1190" s="24"/>
      <c r="P1190" s="24"/>
      <c r="Q1190" s="25"/>
      <c r="S1190" s="26"/>
      <c r="Z1190" s="22"/>
    </row>
    <row r="1191" spans="2:26" x14ac:dyDescent="0.25">
      <c r="B1191" s="22"/>
      <c r="K1191" s="23"/>
      <c r="L1191" s="24"/>
      <c r="M1191" s="24"/>
      <c r="N1191" s="24"/>
      <c r="O1191" s="24"/>
      <c r="P1191" s="24"/>
      <c r="Q1191" s="25"/>
      <c r="S1191" s="26"/>
      <c r="Z1191" s="22"/>
    </row>
    <row r="1192" spans="2:26" x14ac:dyDescent="0.25">
      <c r="B1192" s="22"/>
      <c r="K1192" s="23"/>
      <c r="L1192" s="24"/>
      <c r="M1192" s="24"/>
      <c r="N1192" s="24"/>
      <c r="O1192" s="24"/>
      <c r="P1192" s="24"/>
      <c r="Q1192" s="25"/>
      <c r="S1192" s="26"/>
      <c r="Z1192" s="22"/>
    </row>
    <row r="1193" spans="2:26" x14ac:dyDescent="0.25">
      <c r="B1193" s="22"/>
      <c r="K1193" s="23"/>
      <c r="L1193" s="24"/>
      <c r="M1193" s="24"/>
      <c r="N1193" s="24"/>
      <c r="O1193" s="24"/>
      <c r="P1193" s="24"/>
      <c r="Q1193" s="25"/>
      <c r="S1193" s="26"/>
      <c r="Z1193" s="22"/>
    </row>
    <row r="1194" spans="2:26" x14ac:dyDescent="0.25">
      <c r="B1194" s="22"/>
      <c r="K1194" s="23"/>
      <c r="L1194" s="24"/>
      <c r="M1194" s="24"/>
      <c r="N1194" s="24"/>
      <c r="O1194" s="24"/>
      <c r="P1194" s="24"/>
      <c r="Q1194" s="25"/>
      <c r="S1194" s="26"/>
      <c r="Z1194" s="22"/>
    </row>
    <row r="1195" spans="2:26" x14ac:dyDescent="0.25">
      <c r="B1195" s="22"/>
      <c r="K1195" s="23"/>
      <c r="L1195" s="24"/>
      <c r="M1195" s="24"/>
      <c r="N1195" s="24"/>
      <c r="O1195" s="24"/>
      <c r="P1195" s="24"/>
      <c r="Q1195" s="25"/>
      <c r="S1195" s="26"/>
      <c r="Z1195" s="22"/>
    </row>
    <row r="1196" spans="2:26" x14ac:dyDescent="0.25">
      <c r="B1196" s="22"/>
      <c r="K1196" s="23"/>
      <c r="L1196" s="24"/>
      <c r="M1196" s="24"/>
      <c r="N1196" s="24"/>
      <c r="O1196" s="24"/>
      <c r="P1196" s="24"/>
      <c r="Q1196" s="25"/>
      <c r="S1196" s="26"/>
      <c r="Z1196" s="22"/>
    </row>
    <row r="1197" spans="2:26" x14ac:dyDescent="0.25">
      <c r="B1197" s="22"/>
      <c r="K1197" s="23"/>
      <c r="L1197" s="24"/>
      <c r="M1197" s="24"/>
      <c r="N1197" s="24"/>
      <c r="O1197" s="24"/>
      <c r="P1197" s="24"/>
      <c r="Q1197" s="25"/>
      <c r="S1197" s="26"/>
      <c r="Z1197" s="22"/>
    </row>
    <row r="1198" spans="2:26" x14ac:dyDescent="0.25">
      <c r="B1198" s="22"/>
      <c r="K1198" s="23"/>
      <c r="L1198" s="24"/>
      <c r="M1198" s="24"/>
      <c r="N1198" s="24"/>
      <c r="O1198" s="24"/>
      <c r="P1198" s="24"/>
      <c r="Q1198" s="25"/>
      <c r="S1198" s="26"/>
      <c r="Z1198" s="22"/>
    </row>
    <row r="1199" spans="2:26" x14ac:dyDescent="0.25">
      <c r="B1199" s="22"/>
      <c r="K1199" s="23"/>
      <c r="L1199" s="24"/>
      <c r="M1199" s="24"/>
      <c r="N1199" s="24"/>
      <c r="O1199" s="24"/>
      <c r="P1199" s="24"/>
      <c r="Q1199" s="25"/>
      <c r="S1199" s="26"/>
      <c r="Z1199" s="22"/>
    </row>
    <row r="1200" spans="2:26" x14ac:dyDescent="0.25">
      <c r="B1200" s="22"/>
      <c r="K1200" s="23"/>
      <c r="L1200" s="24"/>
      <c r="M1200" s="24"/>
      <c r="N1200" s="24"/>
      <c r="O1200" s="24"/>
      <c r="P1200" s="24"/>
      <c r="Q1200" s="25"/>
      <c r="S1200" s="26"/>
      <c r="Z1200" s="22"/>
    </row>
    <row r="1201" spans="2:26" x14ac:dyDescent="0.25">
      <c r="B1201" s="22"/>
      <c r="K1201" s="23"/>
      <c r="L1201" s="24"/>
      <c r="M1201" s="24"/>
      <c r="N1201" s="24"/>
      <c r="O1201" s="24"/>
      <c r="P1201" s="24"/>
      <c r="Q1201" s="25"/>
      <c r="S1201" s="26"/>
      <c r="Z1201" s="22"/>
    </row>
    <row r="1202" spans="2:26" x14ac:dyDescent="0.25">
      <c r="B1202" s="22"/>
      <c r="K1202" s="23"/>
      <c r="L1202" s="24"/>
      <c r="M1202" s="24"/>
      <c r="N1202" s="24"/>
      <c r="O1202" s="24"/>
      <c r="P1202" s="24"/>
      <c r="Q1202" s="25"/>
      <c r="S1202" s="26"/>
      <c r="Z1202" s="22"/>
    </row>
    <row r="1203" spans="2:26" x14ac:dyDescent="0.25">
      <c r="B1203" s="22"/>
      <c r="K1203" s="23"/>
      <c r="L1203" s="24"/>
      <c r="M1203" s="24"/>
      <c r="N1203" s="24"/>
      <c r="O1203" s="24"/>
      <c r="P1203" s="24"/>
      <c r="Q1203" s="25"/>
      <c r="S1203" s="26"/>
      <c r="Z1203" s="22"/>
    </row>
    <row r="1204" spans="2:26" x14ac:dyDescent="0.25">
      <c r="B1204" s="22"/>
      <c r="K1204" s="23"/>
      <c r="L1204" s="24"/>
      <c r="M1204" s="24"/>
      <c r="N1204" s="24"/>
      <c r="O1204" s="24"/>
      <c r="P1204" s="24"/>
      <c r="Q1204" s="25"/>
      <c r="S1204" s="26"/>
      <c r="Z1204" s="22"/>
    </row>
    <row r="1205" spans="2:26" x14ac:dyDescent="0.25">
      <c r="B1205" s="22"/>
      <c r="K1205" s="23"/>
      <c r="L1205" s="24"/>
      <c r="M1205" s="24"/>
      <c r="N1205" s="24"/>
      <c r="O1205" s="24"/>
      <c r="P1205" s="24"/>
      <c r="Q1205" s="25"/>
      <c r="S1205" s="26"/>
      <c r="Z1205" s="22"/>
    </row>
    <row r="1206" spans="2:26" x14ac:dyDescent="0.25">
      <c r="B1206" s="22"/>
      <c r="K1206" s="23"/>
      <c r="L1206" s="24"/>
      <c r="M1206" s="24"/>
      <c r="N1206" s="24"/>
      <c r="O1206" s="24"/>
      <c r="P1206" s="24"/>
      <c r="Q1206" s="25"/>
      <c r="S1206" s="26"/>
      <c r="Z1206" s="22"/>
    </row>
    <row r="1207" spans="2:26" x14ac:dyDescent="0.25">
      <c r="B1207" s="22"/>
      <c r="K1207" s="23"/>
      <c r="L1207" s="24"/>
      <c r="M1207" s="24"/>
      <c r="N1207" s="24"/>
      <c r="O1207" s="24"/>
      <c r="P1207" s="24"/>
      <c r="Q1207" s="25"/>
      <c r="S1207" s="26"/>
      <c r="Z1207" s="22"/>
    </row>
    <row r="1208" spans="2:26" x14ac:dyDescent="0.25">
      <c r="B1208" s="22"/>
      <c r="K1208" s="23"/>
      <c r="L1208" s="24"/>
      <c r="M1208" s="24"/>
      <c r="N1208" s="24"/>
      <c r="O1208" s="24"/>
      <c r="P1208" s="24"/>
      <c r="Q1208" s="25"/>
      <c r="S1208" s="26"/>
      <c r="Z1208" s="22"/>
    </row>
    <row r="1209" spans="2:26" x14ac:dyDescent="0.25">
      <c r="B1209" s="22"/>
      <c r="K1209" s="23"/>
      <c r="L1209" s="24"/>
      <c r="M1209" s="24"/>
      <c r="N1209" s="24"/>
      <c r="O1209" s="24"/>
      <c r="P1209" s="24"/>
      <c r="Q1209" s="25"/>
      <c r="S1209" s="26"/>
      <c r="Z1209" s="22"/>
    </row>
    <row r="1210" spans="2:26" x14ac:dyDescent="0.25">
      <c r="B1210" s="22"/>
      <c r="K1210" s="23"/>
      <c r="L1210" s="24"/>
      <c r="M1210" s="24"/>
      <c r="N1210" s="24"/>
      <c r="O1210" s="24"/>
      <c r="P1210" s="24"/>
      <c r="Q1210" s="25"/>
      <c r="S1210" s="26"/>
      <c r="Z1210" s="22"/>
    </row>
    <row r="1211" spans="2:26" x14ac:dyDescent="0.25">
      <c r="B1211" s="22"/>
      <c r="K1211" s="23"/>
      <c r="L1211" s="24"/>
      <c r="M1211" s="24"/>
      <c r="N1211" s="24"/>
      <c r="O1211" s="24"/>
      <c r="P1211" s="24"/>
      <c r="Q1211" s="25"/>
      <c r="S1211" s="26"/>
      <c r="Z1211" s="22"/>
    </row>
    <row r="1212" spans="2:26" x14ac:dyDescent="0.25">
      <c r="B1212" s="22"/>
      <c r="K1212" s="23"/>
      <c r="L1212" s="24"/>
      <c r="M1212" s="24"/>
      <c r="N1212" s="24"/>
      <c r="O1212" s="24"/>
      <c r="P1212" s="24"/>
      <c r="Q1212" s="25"/>
      <c r="S1212" s="26"/>
      <c r="Z1212" s="22"/>
    </row>
    <row r="1213" spans="2:26" x14ac:dyDescent="0.25">
      <c r="B1213" s="22"/>
      <c r="K1213" s="23"/>
      <c r="L1213" s="24"/>
      <c r="M1213" s="24"/>
      <c r="N1213" s="24"/>
      <c r="O1213" s="24"/>
      <c r="P1213" s="24"/>
      <c r="Q1213" s="25"/>
      <c r="S1213" s="26"/>
      <c r="Z1213" s="22"/>
    </row>
    <row r="1214" spans="2:26" x14ac:dyDescent="0.25">
      <c r="B1214" s="22"/>
      <c r="K1214" s="23"/>
      <c r="L1214" s="24"/>
      <c r="M1214" s="24"/>
      <c r="N1214" s="24"/>
      <c r="O1214" s="24"/>
      <c r="P1214" s="24"/>
      <c r="Q1214" s="25"/>
      <c r="S1214" s="26"/>
      <c r="Z1214" s="22"/>
    </row>
    <row r="1215" spans="2:26" x14ac:dyDescent="0.25">
      <c r="B1215" s="22"/>
      <c r="K1215" s="23"/>
      <c r="L1215" s="24"/>
      <c r="M1215" s="24"/>
      <c r="N1215" s="24"/>
      <c r="O1215" s="24"/>
      <c r="P1215" s="24"/>
      <c r="Q1215" s="25"/>
      <c r="S1215" s="26"/>
      <c r="Z1215" s="22"/>
    </row>
    <row r="1216" spans="2:26" x14ac:dyDescent="0.25">
      <c r="B1216" s="22"/>
      <c r="K1216" s="23"/>
      <c r="L1216" s="24"/>
      <c r="M1216" s="24"/>
      <c r="N1216" s="24"/>
      <c r="O1216" s="24"/>
      <c r="P1216" s="24"/>
      <c r="Q1216" s="25"/>
      <c r="S1216" s="26"/>
      <c r="Z1216" s="22"/>
    </row>
    <row r="1217" spans="2:26" x14ac:dyDescent="0.25">
      <c r="B1217" s="22"/>
      <c r="K1217" s="23"/>
      <c r="L1217" s="24"/>
      <c r="M1217" s="24"/>
      <c r="N1217" s="24"/>
      <c r="O1217" s="24"/>
      <c r="P1217" s="24"/>
      <c r="Q1217" s="25"/>
      <c r="S1217" s="26"/>
      <c r="Z1217" s="22"/>
    </row>
    <row r="1218" spans="2:26" x14ac:dyDescent="0.25">
      <c r="B1218" s="22"/>
      <c r="K1218" s="23"/>
      <c r="L1218" s="24"/>
      <c r="M1218" s="24"/>
      <c r="N1218" s="24"/>
      <c r="O1218" s="24"/>
      <c r="P1218" s="24"/>
      <c r="Q1218" s="25"/>
      <c r="S1218" s="26"/>
      <c r="Z1218" s="22"/>
    </row>
    <row r="1219" spans="2:26" x14ac:dyDescent="0.25">
      <c r="B1219" s="22"/>
      <c r="K1219" s="23"/>
      <c r="L1219" s="24"/>
      <c r="M1219" s="24"/>
      <c r="N1219" s="24"/>
      <c r="O1219" s="24"/>
      <c r="P1219" s="24"/>
      <c r="Q1219" s="25"/>
      <c r="S1219" s="26"/>
      <c r="Z1219" s="22"/>
    </row>
    <row r="1220" spans="2:26" x14ac:dyDescent="0.25">
      <c r="B1220" s="22"/>
      <c r="K1220" s="23"/>
      <c r="L1220" s="24"/>
      <c r="M1220" s="24"/>
      <c r="N1220" s="24"/>
      <c r="O1220" s="24"/>
      <c r="P1220" s="24"/>
      <c r="Q1220" s="25"/>
      <c r="S1220" s="26"/>
      <c r="Z1220" s="22"/>
    </row>
    <row r="1221" spans="2:26" x14ac:dyDescent="0.25">
      <c r="B1221" s="22"/>
      <c r="K1221" s="23"/>
      <c r="L1221" s="24"/>
      <c r="M1221" s="24"/>
      <c r="N1221" s="24"/>
      <c r="O1221" s="24"/>
      <c r="P1221" s="24"/>
      <c r="Q1221" s="25"/>
      <c r="S1221" s="26"/>
      <c r="Z1221" s="22"/>
    </row>
    <row r="1222" spans="2:26" x14ac:dyDescent="0.25">
      <c r="B1222" s="22"/>
      <c r="K1222" s="23"/>
      <c r="L1222" s="24"/>
      <c r="M1222" s="24"/>
      <c r="N1222" s="24"/>
      <c r="O1222" s="24"/>
      <c r="P1222" s="24"/>
      <c r="Q1222" s="25"/>
      <c r="S1222" s="26"/>
      <c r="Z1222" s="22"/>
    </row>
    <row r="1223" spans="2:26" x14ac:dyDescent="0.25">
      <c r="B1223" s="22"/>
      <c r="K1223" s="23"/>
      <c r="L1223" s="24"/>
      <c r="M1223" s="24"/>
      <c r="N1223" s="24"/>
      <c r="O1223" s="24"/>
      <c r="P1223" s="24"/>
      <c r="Q1223" s="25"/>
      <c r="S1223" s="26"/>
      <c r="Z1223" s="22"/>
    </row>
    <row r="1224" spans="2:26" x14ac:dyDescent="0.25">
      <c r="B1224" s="22"/>
      <c r="K1224" s="23"/>
      <c r="L1224" s="24"/>
      <c r="M1224" s="24"/>
      <c r="N1224" s="24"/>
      <c r="O1224" s="24"/>
      <c r="P1224" s="24"/>
      <c r="Q1224" s="25"/>
      <c r="S1224" s="26"/>
      <c r="Z1224" s="22"/>
    </row>
    <row r="1225" spans="2:26" x14ac:dyDescent="0.25">
      <c r="B1225" s="22"/>
      <c r="K1225" s="23"/>
      <c r="L1225" s="24"/>
      <c r="M1225" s="24"/>
      <c r="N1225" s="24"/>
      <c r="O1225" s="24"/>
      <c r="P1225" s="24"/>
      <c r="Q1225" s="25"/>
      <c r="S1225" s="26"/>
      <c r="Z1225" s="22"/>
    </row>
    <row r="1226" spans="2:26" x14ac:dyDescent="0.25">
      <c r="B1226" s="22"/>
      <c r="K1226" s="23"/>
      <c r="L1226" s="24"/>
      <c r="M1226" s="24"/>
      <c r="N1226" s="24"/>
      <c r="O1226" s="24"/>
      <c r="P1226" s="24"/>
      <c r="Q1226" s="25"/>
      <c r="S1226" s="26"/>
      <c r="Z1226" s="22"/>
    </row>
    <row r="1227" spans="2:26" x14ac:dyDescent="0.25">
      <c r="B1227" s="22"/>
      <c r="K1227" s="23"/>
      <c r="L1227" s="24"/>
      <c r="M1227" s="24"/>
      <c r="N1227" s="24"/>
      <c r="O1227" s="24"/>
      <c r="P1227" s="24"/>
      <c r="Q1227" s="25"/>
      <c r="S1227" s="26"/>
      <c r="Z1227" s="22"/>
    </row>
    <row r="1228" spans="2:26" x14ac:dyDescent="0.25">
      <c r="B1228" s="22"/>
      <c r="K1228" s="23"/>
      <c r="L1228" s="24"/>
      <c r="M1228" s="24"/>
      <c r="N1228" s="24"/>
      <c r="O1228" s="24"/>
      <c r="P1228" s="24"/>
      <c r="Q1228" s="25"/>
      <c r="S1228" s="26"/>
      <c r="Z1228" s="22"/>
    </row>
    <row r="1229" spans="2:26" x14ac:dyDescent="0.25">
      <c r="B1229" s="22"/>
      <c r="K1229" s="23"/>
      <c r="L1229" s="24"/>
      <c r="M1229" s="24"/>
      <c r="N1229" s="24"/>
      <c r="O1229" s="24"/>
      <c r="P1229" s="24"/>
      <c r="Q1229" s="25"/>
      <c r="S1229" s="26"/>
      <c r="Z1229" s="22"/>
    </row>
    <row r="1230" spans="2:26" x14ac:dyDescent="0.25">
      <c r="B1230" s="22"/>
      <c r="K1230" s="23"/>
      <c r="L1230" s="24"/>
      <c r="M1230" s="24"/>
      <c r="N1230" s="24"/>
      <c r="O1230" s="24"/>
      <c r="P1230" s="24"/>
      <c r="Q1230" s="25"/>
      <c r="S1230" s="26"/>
      <c r="Z1230" s="22"/>
    </row>
    <row r="1231" spans="2:26" x14ac:dyDescent="0.25">
      <c r="B1231" s="22"/>
      <c r="K1231" s="23"/>
      <c r="L1231" s="24"/>
      <c r="M1231" s="24"/>
      <c r="N1231" s="24"/>
      <c r="O1231" s="24"/>
      <c r="P1231" s="24"/>
      <c r="Q1231" s="25"/>
      <c r="S1231" s="26"/>
      <c r="Z1231" s="22"/>
    </row>
    <row r="1232" spans="2:26" x14ac:dyDescent="0.25">
      <c r="B1232" s="22"/>
      <c r="K1232" s="23"/>
      <c r="L1232" s="24"/>
      <c r="M1232" s="24"/>
      <c r="N1232" s="24"/>
      <c r="O1232" s="24"/>
      <c r="P1232" s="24"/>
      <c r="Q1232" s="25"/>
      <c r="S1232" s="26"/>
      <c r="Z1232" s="22"/>
    </row>
    <row r="1233" spans="2:26" x14ac:dyDescent="0.25">
      <c r="B1233" s="22"/>
      <c r="K1233" s="23"/>
      <c r="L1233" s="24"/>
      <c r="M1233" s="24"/>
      <c r="N1233" s="24"/>
      <c r="O1233" s="24"/>
      <c r="P1233" s="24"/>
      <c r="Q1233" s="25"/>
      <c r="S1233" s="26"/>
      <c r="Z1233" s="22"/>
    </row>
    <row r="1234" spans="2:26" x14ac:dyDescent="0.25">
      <c r="B1234" s="22"/>
      <c r="K1234" s="23"/>
      <c r="L1234" s="24"/>
      <c r="M1234" s="24"/>
      <c r="N1234" s="24"/>
      <c r="O1234" s="24"/>
      <c r="P1234" s="24"/>
      <c r="Q1234" s="25"/>
      <c r="S1234" s="26"/>
      <c r="Z1234" s="22"/>
    </row>
    <row r="1235" spans="2:26" x14ac:dyDescent="0.25">
      <c r="B1235" s="22"/>
      <c r="K1235" s="23"/>
      <c r="L1235" s="24"/>
      <c r="M1235" s="24"/>
      <c r="N1235" s="24"/>
      <c r="O1235" s="24"/>
      <c r="P1235" s="24"/>
      <c r="Q1235" s="25"/>
      <c r="S1235" s="26"/>
      <c r="Z1235" s="22"/>
    </row>
    <row r="1236" spans="2:26" x14ac:dyDescent="0.25">
      <c r="B1236" s="22"/>
      <c r="K1236" s="23"/>
      <c r="L1236" s="24"/>
      <c r="M1236" s="24"/>
      <c r="N1236" s="24"/>
      <c r="O1236" s="24"/>
      <c r="P1236" s="24"/>
      <c r="Q1236" s="25"/>
      <c r="S1236" s="26"/>
      <c r="Z1236" s="22"/>
    </row>
    <row r="1237" spans="2:26" x14ac:dyDescent="0.25">
      <c r="B1237" s="22"/>
      <c r="K1237" s="23"/>
      <c r="L1237" s="24"/>
      <c r="M1237" s="24"/>
      <c r="N1237" s="24"/>
      <c r="O1237" s="24"/>
      <c r="P1237" s="24"/>
      <c r="Q1237" s="25"/>
      <c r="S1237" s="26"/>
      <c r="Z1237" s="22"/>
    </row>
    <row r="1238" spans="2:26" x14ac:dyDescent="0.25">
      <c r="B1238" s="22"/>
      <c r="K1238" s="23"/>
      <c r="L1238" s="24"/>
      <c r="M1238" s="24"/>
      <c r="N1238" s="24"/>
      <c r="O1238" s="24"/>
      <c r="P1238" s="24"/>
      <c r="Q1238" s="25"/>
      <c r="S1238" s="26"/>
      <c r="Z1238" s="22"/>
    </row>
    <row r="1239" spans="2:26" x14ac:dyDescent="0.25">
      <c r="B1239" s="22"/>
      <c r="K1239" s="23"/>
      <c r="L1239" s="24"/>
      <c r="M1239" s="24"/>
      <c r="N1239" s="24"/>
      <c r="O1239" s="24"/>
      <c r="P1239" s="24"/>
      <c r="Q1239" s="25"/>
      <c r="S1239" s="26"/>
      <c r="Z1239" s="22"/>
    </row>
    <row r="1240" spans="2:26" x14ac:dyDescent="0.25">
      <c r="B1240" s="22"/>
      <c r="K1240" s="23"/>
      <c r="L1240" s="24"/>
      <c r="M1240" s="24"/>
      <c r="N1240" s="24"/>
      <c r="O1240" s="24"/>
      <c r="P1240" s="24"/>
      <c r="Q1240" s="25"/>
      <c r="S1240" s="26"/>
      <c r="Z1240" s="22"/>
    </row>
    <row r="1241" spans="2:26" x14ac:dyDescent="0.25">
      <c r="B1241" s="22"/>
      <c r="K1241" s="23"/>
      <c r="L1241" s="24"/>
      <c r="M1241" s="24"/>
      <c r="N1241" s="24"/>
      <c r="O1241" s="24"/>
      <c r="P1241" s="24"/>
      <c r="Q1241" s="25"/>
      <c r="S1241" s="26"/>
      <c r="Z1241" s="22"/>
    </row>
    <row r="1242" spans="2:26" x14ac:dyDescent="0.25">
      <c r="B1242" s="22"/>
      <c r="K1242" s="23"/>
      <c r="L1242" s="24"/>
      <c r="M1242" s="24"/>
      <c r="N1242" s="24"/>
      <c r="O1242" s="24"/>
      <c r="P1242" s="24"/>
      <c r="Q1242" s="25"/>
      <c r="S1242" s="26"/>
      <c r="Z1242" s="22"/>
    </row>
    <row r="1243" spans="2:26" x14ac:dyDescent="0.25">
      <c r="B1243" s="22"/>
      <c r="K1243" s="23"/>
      <c r="L1243" s="24"/>
      <c r="M1243" s="24"/>
      <c r="N1243" s="24"/>
      <c r="O1243" s="24"/>
      <c r="P1243" s="24"/>
      <c r="Q1243" s="25"/>
      <c r="S1243" s="26"/>
      <c r="Z1243" s="22"/>
    </row>
    <row r="1244" spans="2:26" x14ac:dyDescent="0.25">
      <c r="B1244" s="22"/>
      <c r="K1244" s="23"/>
      <c r="L1244" s="24"/>
      <c r="M1244" s="24"/>
      <c r="N1244" s="24"/>
      <c r="O1244" s="24"/>
      <c r="P1244" s="24"/>
      <c r="Q1244" s="25"/>
      <c r="S1244" s="26"/>
      <c r="Z1244" s="22"/>
    </row>
    <row r="1245" spans="2:26" x14ac:dyDescent="0.25">
      <c r="B1245" s="22"/>
      <c r="K1245" s="23"/>
      <c r="L1245" s="24"/>
      <c r="M1245" s="24"/>
      <c r="N1245" s="24"/>
      <c r="O1245" s="24"/>
      <c r="P1245" s="24"/>
      <c r="Q1245" s="25"/>
      <c r="S1245" s="26"/>
      <c r="Z1245" s="22"/>
    </row>
    <row r="1246" spans="2:26" x14ac:dyDescent="0.25">
      <c r="B1246" s="22"/>
      <c r="K1246" s="23"/>
      <c r="L1246" s="24"/>
      <c r="M1246" s="24"/>
      <c r="N1246" s="24"/>
      <c r="O1246" s="24"/>
      <c r="P1246" s="24"/>
      <c r="Q1246" s="25"/>
      <c r="S1246" s="26"/>
      <c r="Z1246" s="22"/>
    </row>
    <row r="1247" spans="2:26" x14ac:dyDescent="0.25">
      <c r="B1247" s="22"/>
      <c r="K1247" s="23"/>
      <c r="L1247" s="24"/>
      <c r="M1247" s="24"/>
      <c r="N1247" s="24"/>
      <c r="O1247" s="24"/>
      <c r="P1247" s="24"/>
      <c r="Q1247" s="25"/>
      <c r="S1247" s="26"/>
      <c r="Z1247" s="22"/>
    </row>
    <row r="1248" spans="2:26" x14ac:dyDescent="0.25">
      <c r="B1248" s="22"/>
      <c r="K1248" s="23"/>
      <c r="L1248" s="24"/>
      <c r="M1248" s="24"/>
      <c r="N1248" s="24"/>
      <c r="O1248" s="24"/>
      <c r="P1248" s="24"/>
      <c r="Q1248" s="25"/>
      <c r="S1248" s="26"/>
      <c r="Z1248" s="22"/>
    </row>
    <row r="1249" spans="2:26" x14ac:dyDescent="0.25">
      <c r="B1249" s="22"/>
      <c r="K1249" s="23"/>
      <c r="L1249" s="24"/>
      <c r="M1249" s="24"/>
      <c r="N1249" s="24"/>
      <c r="O1249" s="24"/>
      <c r="P1249" s="24"/>
      <c r="Q1249" s="25"/>
      <c r="S1249" s="26"/>
      <c r="Z1249" s="22"/>
    </row>
    <row r="1250" spans="2:26" x14ac:dyDescent="0.25">
      <c r="B1250" s="22"/>
      <c r="K1250" s="23"/>
      <c r="L1250" s="24"/>
      <c r="M1250" s="24"/>
      <c r="N1250" s="24"/>
      <c r="O1250" s="24"/>
      <c r="P1250" s="24"/>
      <c r="Q1250" s="25"/>
      <c r="S1250" s="26"/>
      <c r="Z1250" s="22"/>
    </row>
    <row r="1251" spans="2:26" x14ac:dyDescent="0.25">
      <c r="B1251" s="22"/>
      <c r="K1251" s="23"/>
      <c r="L1251" s="24"/>
      <c r="M1251" s="24"/>
      <c r="N1251" s="24"/>
      <c r="O1251" s="24"/>
      <c r="P1251" s="24"/>
      <c r="Q1251" s="25"/>
      <c r="S1251" s="26"/>
      <c r="Z1251" s="22"/>
    </row>
    <row r="1252" spans="2:26" x14ac:dyDescent="0.25">
      <c r="B1252" s="22"/>
      <c r="K1252" s="23"/>
      <c r="L1252" s="24"/>
      <c r="M1252" s="24"/>
      <c r="N1252" s="24"/>
      <c r="O1252" s="24"/>
      <c r="P1252" s="24"/>
      <c r="Q1252" s="25"/>
      <c r="S1252" s="26"/>
      <c r="Z1252" s="22"/>
    </row>
    <row r="1253" spans="2:26" x14ac:dyDescent="0.25">
      <c r="B1253" s="22"/>
      <c r="K1253" s="23"/>
      <c r="L1253" s="24"/>
      <c r="M1253" s="24"/>
      <c r="N1253" s="24"/>
      <c r="O1253" s="24"/>
      <c r="P1253" s="24"/>
      <c r="Q1253" s="25"/>
      <c r="S1253" s="26"/>
      <c r="Z1253" s="22"/>
    </row>
    <row r="1254" spans="2:26" x14ac:dyDescent="0.25">
      <c r="B1254" s="22"/>
      <c r="K1254" s="23"/>
      <c r="L1254" s="24"/>
      <c r="M1254" s="24"/>
      <c r="N1254" s="24"/>
      <c r="O1254" s="24"/>
      <c r="P1254" s="24"/>
      <c r="Q1254" s="25"/>
      <c r="S1254" s="26"/>
      <c r="Z1254" s="22"/>
    </row>
    <row r="1255" spans="2:26" x14ac:dyDescent="0.25">
      <c r="B1255" s="22"/>
      <c r="K1255" s="23"/>
      <c r="L1255" s="24"/>
      <c r="M1255" s="24"/>
      <c r="N1255" s="24"/>
      <c r="O1255" s="24"/>
      <c r="P1255" s="24"/>
      <c r="Q1255" s="25"/>
      <c r="S1255" s="26"/>
      <c r="Z1255" s="22"/>
    </row>
    <row r="1256" spans="2:26" x14ac:dyDescent="0.25">
      <c r="B1256" s="22"/>
      <c r="K1256" s="23"/>
      <c r="L1256" s="24"/>
      <c r="M1256" s="24"/>
      <c r="N1256" s="24"/>
      <c r="O1256" s="24"/>
      <c r="P1256" s="24"/>
      <c r="Q1256" s="25"/>
      <c r="S1256" s="26"/>
      <c r="Z1256" s="22"/>
    </row>
    <row r="1257" spans="2:26" x14ac:dyDescent="0.25">
      <c r="B1257" s="22"/>
      <c r="K1257" s="23"/>
      <c r="L1257" s="24"/>
      <c r="M1257" s="24"/>
      <c r="N1257" s="24"/>
      <c r="O1257" s="24"/>
      <c r="P1257" s="24"/>
      <c r="Q1257" s="25"/>
      <c r="S1257" s="26"/>
      <c r="Z1257" s="22"/>
    </row>
    <row r="1258" spans="2:26" x14ac:dyDescent="0.25">
      <c r="B1258" s="22"/>
      <c r="K1258" s="23"/>
      <c r="L1258" s="24"/>
      <c r="M1258" s="24"/>
      <c r="N1258" s="24"/>
      <c r="O1258" s="24"/>
      <c r="P1258" s="24"/>
      <c r="Q1258" s="25"/>
      <c r="S1258" s="26"/>
      <c r="Z1258" s="22"/>
    </row>
    <row r="1259" spans="2:26" x14ac:dyDescent="0.25">
      <c r="B1259" s="22"/>
      <c r="K1259" s="23"/>
      <c r="L1259" s="24"/>
      <c r="M1259" s="24"/>
      <c r="N1259" s="24"/>
      <c r="O1259" s="24"/>
      <c r="P1259" s="24"/>
      <c r="Q1259" s="25"/>
      <c r="S1259" s="26"/>
      <c r="Z1259" s="22"/>
    </row>
    <row r="1260" spans="2:26" x14ac:dyDescent="0.25">
      <c r="B1260" s="22"/>
      <c r="K1260" s="23"/>
      <c r="L1260" s="24"/>
      <c r="M1260" s="24"/>
      <c r="N1260" s="24"/>
      <c r="O1260" s="24"/>
      <c r="P1260" s="24"/>
      <c r="Q1260" s="25"/>
      <c r="S1260" s="26"/>
      <c r="Z1260" s="22"/>
    </row>
    <row r="1261" spans="2:26" x14ac:dyDescent="0.25">
      <c r="B1261" s="22"/>
      <c r="K1261" s="23"/>
      <c r="L1261" s="24"/>
      <c r="M1261" s="24"/>
      <c r="N1261" s="24"/>
      <c r="O1261" s="24"/>
      <c r="P1261" s="24"/>
      <c r="Q1261" s="25"/>
      <c r="S1261" s="26"/>
      <c r="Z1261" s="22"/>
    </row>
    <row r="1262" spans="2:26" x14ac:dyDescent="0.25">
      <c r="B1262" s="22"/>
      <c r="K1262" s="23"/>
      <c r="L1262" s="24"/>
      <c r="M1262" s="24"/>
      <c r="N1262" s="24"/>
      <c r="O1262" s="24"/>
      <c r="P1262" s="24"/>
      <c r="Q1262" s="25"/>
      <c r="S1262" s="26"/>
      <c r="Z1262" s="22"/>
    </row>
    <row r="1263" spans="2:26" x14ac:dyDescent="0.25">
      <c r="B1263" s="22"/>
      <c r="K1263" s="23"/>
      <c r="L1263" s="24"/>
      <c r="M1263" s="24"/>
      <c r="N1263" s="24"/>
      <c r="O1263" s="24"/>
      <c r="P1263" s="24"/>
      <c r="Q1263" s="25"/>
      <c r="S1263" s="26"/>
      <c r="Z1263" s="22"/>
    </row>
    <row r="1264" spans="2:26" x14ac:dyDescent="0.25">
      <c r="B1264" s="22"/>
      <c r="K1264" s="23"/>
      <c r="L1264" s="24"/>
      <c r="M1264" s="24"/>
      <c r="N1264" s="24"/>
      <c r="O1264" s="24"/>
      <c r="P1264" s="24"/>
      <c r="Q1264" s="25"/>
      <c r="S1264" s="26"/>
      <c r="Z1264" s="22"/>
    </row>
    <row r="1265" spans="2:26" x14ac:dyDescent="0.25">
      <c r="B1265" s="22"/>
      <c r="K1265" s="23"/>
      <c r="L1265" s="24"/>
      <c r="M1265" s="24"/>
      <c r="N1265" s="24"/>
      <c r="O1265" s="24"/>
      <c r="P1265" s="24"/>
      <c r="Q1265" s="25"/>
      <c r="S1265" s="26"/>
      <c r="Z1265" s="22"/>
    </row>
    <row r="1266" spans="2:26" x14ac:dyDescent="0.25">
      <c r="B1266" s="22"/>
      <c r="K1266" s="23"/>
      <c r="L1266" s="24"/>
      <c r="M1266" s="24"/>
      <c r="N1266" s="24"/>
      <c r="O1266" s="24"/>
      <c r="P1266" s="24"/>
      <c r="Q1266" s="25"/>
      <c r="S1266" s="26"/>
      <c r="Z1266" s="22"/>
    </row>
    <row r="1267" spans="2:26" x14ac:dyDescent="0.25">
      <c r="B1267" s="22"/>
      <c r="K1267" s="23"/>
      <c r="L1267" s="24"/>
      <c r="M1267" s="24"/>
      <c r="N1267" s="24"/>
      <c r="O1267" s="24"/>
      <c r="P1267" s="24"/>
      <c r="Q1267" s="25"/>
      <c r="S1267" s="26"/>
      <c r="Z1267" s="22"/>
    </row>
    <row r="1268" spans="2:26" x14ac:dyDescent="0.25">
      <c r="B1268" s="22"/>
      <c r="K1268" s="23"/>
      <c r="L1268" s="24"/>
      <c r="M1268" s="24"/>
      <c r="N1268" s="24"/>
      <c r="O1268" s="24"/>
      <c r="P1268" s="24"/>
      <c r="Q1268" s="25"/>
      <c r="S1268" s="26"/>
      <c r="Z1268" s="22"/>
    </row>
    <row r="1269" spans="2:26" x14ac:dyDescent="0.25">
      <c r="B1269" s="22"/>
      <c r="K1269" s="23"/>
      <c r="L1269" s="24"/>
      <c r="M1269" s="24"/>
      <c r="N1269" s="24"/>
      <c r="O1269" s="24"/>
      <c r="P1269" s="24"/>
      <c r="Q1269" s="25"/>
      <c r="S1269" s="26"/>
      <c r="Z1269" s="22"/>
    </row>
    <row r="1270" spans="2:26" x14ac:dyDescent="0.25">
      <c r="B1270" s="22"/>
      <c r="K1270" s="23"/>
      <c r="L1270" s="24"/>
      <c r="M1270" s="24"/>
      <c r="N1270" s="24"/>
      <c r="O1270" s="24"/>
      <c r="P1270" s="24"/>
      <c r="Q1270" s="25"/>
      <c r="S1270" s="26"/>
      <c r="Z1270" s="22"/>
    </row>
    <row r="1271" spans="2:26" x14ac:dyDescent="0.25">
      <c r="B1271" s="22"/>
      <c r="K1271" s="23"/>
      <c r="L1271" s="24"/>
      <c r="M1271" s="24"/>
      <c r="N1271" s="24"/>
      <c r="O1271" s="24"/>
      <c r="P1271" s="24"/>
      <c r="Q1271" s="25"/>
      <c r="S1271" s="26"/>
      <c r="Z1271" s="22"/>
    </row>
    <row r="1272" spans="2:26" x14ac:dyDescent="0.25">
      <c r="B1272" s="22"/>
      <c r="K1272" s="23"/>
      <c r="L1272" s="24"/>
      <c r="M1272" s="24"/>
      <c r="N1272" s="24"/>
      <c r="O1272" s="24"/>
      <c r="P1272" s="24"/>
      <c r="Q1272" s="25"/>
      <c r="S1272" s="26"/>
      <c r="Z1272" s="22"/>
    </row>
    <row r="1273" spans="2:26" x14ac:dyDescent="0.25">
      <c r="B1273" s="22"/>
      <c r="K1273" s="23"/>
      <c r="L1273" s="24"/>
      <c r="M1273" s="24"/>
      <c r="N1273" s="24"/>
      <c r="O1273" s="24"/>
      <c r="P1273" s="24"/>
      <c r="Q1273" s="25"/>
      <c r="S1273" s="26"/>
      <c r="Z1273" s="22"/>
    </row>
    <row r="1274" spans="2:26" x14ac:dyDescent="0.25">
      <c r="B1274" s="22"/>
      <c r="K1274" s="23"/>
      <c r="L1274" s="24"/>
      <c r="M1274" s="24"/>
      <c r="N1274" s="24"/>
      <c r="O1274" s="24"/>
      <c r="P1274" s="24"/>
      <c r="Q1274" s="25"/>
      <c r="S1274" s="26"/>
      <c r="Z1274" s="22"/>
    </row>
    <row r="1275" spans="2:26" x14ac:dyDescent="0.25">
      <c r="B1275" s="22"/>
      <c r="K1275" s="23"/>
      <c r="L1275" s="24"/>
      <c r="M1275" s="24"/>
      <c r="N1275" s="24"/>
      <c r="O1275" s="24"/>
      <c r="P1275" s="24"/>
      <c r="Q1275" s="25"/>
      <c r="S1275" s="26"/>
      <c r="Z1275" s="22"/>
    </row>
    <row r="1276" spans="2:26" x14ac:dyDescent="0.25">
      <c r="B1276" s="22"/>
      <c r="K1276" s="23"/>
      <c r="L1276" s="24"/>
      <c r="M1276" s="24"/>
      <c r="N1276" s="24"/>
      <c r="O1276" s="24"/>
      <c r="P1276" s="24"/>
      <c r="Q1276" s="25"/>
      <c r="S1276" s="26"/>
      <c r="Z1276" s="22"/>
    </row>
    <row r="1277" spans="2:26" x14ac:dyDescent="0.25">
      <c r="B1277" s="22"/>
      <c r="K1277" s="23"/>
      <c r="L1277" s="24"/>
      <c r="M1277" s="24"/>
      <c r="N1277" s="24"/>
      <c r="O1277" s="24"/>
      <c r="P1277" s="24"/>
      <c r="Q1277" s="25"/>
      <c r="S1277" s="26"/>
      <c r="Z1277" s="22"/>
    </row>
    <row r="1278" spans="2:26" x14ac:dyDescent="0.25">
      <c r="B1278" s="22"/>
      <c r="K1278" s="23"/>
      <c r="L1278" s="24"/>
      <c r="M1278" s="24"/>
      <c r="N1278" s="24"/>
      <c r="O1278" s="24"/>
      <c r="P1278" s="24"/>
      <c r="Q1278" s="25"/>
      <c r="S1278" s="26"/>
      <c r="Z1278" s="22"/>
    </row>
    <row r="1279" spans="2:26" x14ac:dyDescent="0.25">
      <c r="B1279" s="22"/>
      <c r="K1279" s="23"/>
      <c r="L1279" s="24"/>
      <c r="M1279" s="24"/>
      <c r="N1279" s="24"/>
      <c r="O1279" s="24"/>
      <c r="P1279" s="24"/>
      <c r="Q1279" s="25"/>
      <c r="S1279" s="26"/>
      <c r="Z1279" s="22"/>
    </row>
    <row r="1280" spans="2:26" x14ac:dyDescent="0.25">
      <c r="B1280" s="22"/>
      <c r="K1280" s="23"/>
      <c r="L1280" s="24"/>
      <c r="M1280" s="24"/>
      <c r="N1280" s="24"/>
      <c r="O1280" s="24"/>
      <c r="P1280" s="24"/>
      <c r="Q1280" s="25"/>
      <c r="S1280" s="26"/>
      <c r="Z1280" s="22"/>
    </row>
    <row r="1281" spans="2:26" x14ac:dyDescent="0.25">
      <c r="B1281" s="22"/>
      <c r="K1281" s="23"/>
      <c r="L1281" s="24"/>
      <c r="M1281" s="24"/>
      <c r="N1281" s="24"/>
      <c r="O1281" s="24"/>
      <c r="P1281" s="24"/>
      <c r="Q1281" s="25"/>
      <c r="S1281" s="26"/>
      <c r="Z1281" s="22"/>
    </row>
    <row r="1282" spans="2:26" x14ac:dyDescent="0.25">
      <c r="B1282" s="22"/>
      <c r="K1282" s="23"/>
      <c r="L1282" s="24"/>
      <c r="M1282" s="24"/>
      <c r="N1282" s="24"/>
      <c r="O1282" s="24"/>
      <c r="P1282" s="24"/>
      <c r="Q1282" s="25"/>
      <c r="S1282" s="26"/>
      <c r="Z1282" s="22"/>
    </row>
    <row r="1283" spans="2:26" x14ac:dyDescent="0.25">
      <c r="B1283" s="22"/>
      <c r="K1283" s="23"/>
      <c r="L1283" s="24"/>
      <c r="M1283" s="24"/>
      <c r="N1283" s="24"/>
      <c r="O1283" s="24"/>
      <c r="P1283" s="24"/>
      <c r="Q1283" s="25"/>
      <c r="S1283" s="26"/>
      <c r="Z1283" s="22"/>
    </row>
    <row r="1284" spans="2:26" x14ac:dyDescent="0.25">
      <c r="B1284" s="22"/>
      <c r="K1284" s="23"/>
      <c r="L1284" s="24"/>
      <c r="M1284" s="24"/>
      <c r="N1284" s="24"/>
      <c r="O1284" s="24"/>
      <c r="P1284" s="24"/>
      <c r="Q1284" s="25"/>
      <c r="S1284" s="26"/>
      <c r="Z1284" s="22"/>
    </row>
    <row r="1285" spans="2:26" x14ac:dyDescent="0.25">
      <c r="B1285" s="22"/>
      <c r="K1285" s="23"/>
      <c r="L1285" s="24"/>
      <c r="M1285" s="24"/>
      <c r="N1285" s="24"/>
      <c r="O1285" s="24"/>
      <c r="P1285" s="24"/>
      <c r="Q1285" s="25"/>
      <c r="S1285" s="26"/>
      <c r="Z1285" s="22"/>
    </row>
    <row r="1286" spans="2:26" x14ac:dyDescent="0.25">
      <c r="B1286" s="22"/>
      <c r="K1286" s="23"/>
      <c r="L1286" s="24"/>
      <c r="M1286" s="24"/>
      <c r="N1286" s="24"/>
      <c r="O1286" s="24"/>
      <c r="P1286" s="24"/>
      <c r="Q1286" s="25"/>
      <c r="S1286" s="26"/>
      <c r="Z1286" s="22"/>
    </row>
    <row r="1287" spans="2:26" x14ac:dyDescent="0.25">
      <c r="B1287" s="22"/>
      <c r="K1287" s="23"/>
      <c r="L1287" s="24"/>
      <c r="M1287" s="24"/>
      <c r="N1287" s="24"/>
      <c r="O1287" s="24"/>
      <c r="P1287" s="24"/>
      <c r="Q1287" s="25"/>
      <c r="S1287" s="26"/>
      <c r="Z1287" s="22"/>
    </row>
    <row r="1288" spans="2:26" x14ac:dyDescent="0.25">
      <c r="B1288" s="22"/>
      <c r="K1288" s="23"/>
      <c r="L1288" s="24"/>
      <c r="M1288" s="24"/>
      <c r="N1288" s="24"/>
      <c r="O1288" s="24"/>
      <c r="P1288" s="24"/>
      <c r="Q1288" s="25"/>
      <c r="S1288" s="26"/>
      <c r="Z1288" s="22"/>
    </row>
    <row r="1289" spans="2:26" x14ac:dyDescent="0.25">
      <c r="B1289" s="22"/>
      <c r="K1289" s="23"/>
      <c r="L1289" s="24"/>
      <c r="M1289" s="24"/>
      <c r="N1289" s="24"/>
      <c r="O1289" s="24"/>
      <c r="P1289" s="24"/>
      <c r="Q1289" s="25"/>
      <c r="S1289" s="26"/>
      <c r="Z1289" s="22"/>
    </row>
    <row r="1290" spans="2:26" x14ac:dyDescent="0.25">
      <c r="B1290" s="22"/>
      <c r="K1290" s="23"/>
      <c r="L1290" s="24"/>
      <c r="M1290" s="24"/>
      <c r="N1290" s="24"/>
      <c r="O1290" s="24"/>
      <c r="P1290" s="24"/>
      <c r="Q1290" s="25"/>
      <c r="S1290" s="26"/>
      <c r="Z1290" s="22"/>
    </row>
    <row r="1291" spans="2:26" x14ac:dyDescent="0.25">
      <c r="B1291" s="22"/>
      <c r="K1291" s="23"/>
      <c r="L1291" s="24"/>
      <c r="M1291" s="24"/>
      <c r="N1291" s="24"/>
      <c r="O1291" s="24"/>
      <c r="P1291" s="24"/>
      <c r="Q1291" s="25"/>
      <c r="S1291" s="26"/>
      <c r="Z1291" s="22"/>
    </row>
    <row r="1292" spans="2:26" x14ac:dyDescent="0.25">
      <c r="B1292" s="22"/>
      <c r="K1292" s="23"/>
      <c r="L1292" s="24"/>
      <c r="M1292" s="24"/>
      <c r="N1292" s="24"/>
      <c r="O1292" s="24"/>
      <c r="P1292" s="24"/>
      <c r="Q1292" s="25"/>
      <c r="S1292" s="26"/>
      <c r="Z1292" s="22"/>
    </row>
    <row r="1293" spans="2:26" x14ac:dyDescent="0.25">
      <c r="B1293" s="22"/>
      <c r="K1293" s="23"/>
      <c r="L1293" s="24"/>
      <c r="M1293" s="24"/>
      <c r="N1293" s="24"/>
      <c r="O1293" s="24"/>
      <c r="P1293" s="24"/>
      <c r="Q1293" s="25"/>
      <c r="S1293" s="26"/>
      <c r="Z1293" s="22"/>
    </row>
    <row r="1294" spans="2:26" x14ac:dyDescent="0.25">
      <c r="B1294" s="22"/>
      <c r="K1294" s="23"/>
      <c r="L1294" s="24"/>
      <c r="M1294" s="24"/>
      <c r="N1294" s="24"/>
      <c r="O1294" s="24"/>
      <c r="P1294" s="24"/>
      <c r="Q1294" s="25"/>
      <c r="S1294" s="26"/>
      <c r="Z1294" s="22"/>
    </row>
    <row r="1295" spans="2:26" x14ac:dyDescent="0.25">
      <c r="B1295" s="22"/>
      <c r="K1295" s="23"/>
      <c r="L1295" s="24"/>
      <c r="M1295" s="24"/>
      <c r="N1295" s="24"/>
      <c r="O1295" s="24"/>
      <c r="P1295" s="24"/>
      <c r="Q1295" s="25"/>
      <c r="S1295" s="26"/>
      <c r="Z1295" s="22"/>
    </row>
    <row r="1296" spans="2:26" x14ac:dyDescent="0.25">
      <c r="B1296" s="22"/>
      <c r="K1296" s="23"/>
      <c r="L1296" s="24"/>
      <c r="M1296" s="24"/>
      <c r="N1296" s="24"/>
      <c r="O1296" s="24"/>
      <c r="P1296" s="24"/>
      <c r="Q1296" s="25"/>
      <c r="S1296" s="26"/>
      <c r="Z1296" s="22"/>
    </row>
    <row r="1297" spans="2:26" x14ac:dyDescent="0.25">
      <c r="B1297" s="22"/>
      <c r="K1297" s="23"/>
      <c r="L1297" s="24"/>
      <c r="M1297" s="24"/>
      <c r="N1297" s="24"/>
      <c r="O1297" s="24"/>
      <c r="P1297" s="24"/>
      <c r="Q1297" s="25"/>
      <c r="S1297" s="26"/>
      <c r="Z1297" s="22"/>
    </row>
    <row r="1298" spans="2:26" x14ac:dyDescent="0.25">
      <c r="B1298" s="22"/>
      <c r="K1298" s="23"/>
      <c r="L1298" s="24"/>
      <c r="M1298" s="24"/>
      <c r="N1298" s="24"/>
      <c r="O1298" s="24"/>
      <c r="P1298" s="24"/>
      <c r="Q1298" s="25"/>
      <c r="S1298" s="26"/>
      <c r="Z1298" s="22"/>
    </row>
    <row r="1299" spans="2:26" x14ac:dyDescent="0.25">
      <c r="B1299" s="22"/>
      <c r="K1299" s="23"/>
      <c r="L1299" s="24"/>
      <c r="M1299" s="24"/>
      <c r="N1299" s="24"/>
      <c r="O1299" s="24"/>
      <c r="P1299" s="24"/>
      <c r="Q1299" s="25"/>
      <c r="S1299" s="26"/>
      <c r="Z1299" s="22"/>
    </row>
    <row r="1300" spans="2:26" x14ac:dyDescent="0.25">
      <c r="B1300" s="22"/>
      <c r="K1300" s="23"/>
      <c r="L1300" s="24"/>
      <c r="M1300" s="24"/>
      <c r="N1300" s="24"/>
      <c r="O1300" s="24"/>
      <c r="P1300" s="24"/>
      <c r="Q1300" s="25"/>
      <c r="S1300" s="26"/>
      <c r="Z1300" s="22"/>
    </row>
    <row r="1301" spans="2:26" x14ac:dyDescent="0.25">
      <c r="B1301" s="22"/>
      <c r="K1301" s="23"/>
      <c r="L1301" s="24"/>
      <c r="M1301" s="24"/>
      <c r="N1301" s="24"/>
      <c r="O1301" s="24"/>
      <c r="P1301" s="24"/>
      <c r="Q1301" s="25"/>
      <c r="S1301" s="26"/>
      <c r="Z1301" s="22"/>
    </row>
    <row r="1302" spans="2:26" x14ac:dyDescent="0.25">
      <c r="B1302" s="22"/>
      <c r="K1302" s="23"/>
      <c r="L1302" s="24"/>
      <c r="M1302" s="24"/>
      <c r="N1302" s="24"/>
      <c r="O1302" s="24"/>
      <c r="P1302" s="24"/>
      <c r="Q1302" s="25"/>
      <c r="S1302" s="26"/>
      <c r="Z1302" s="22"/>
    </row>
    <row r="1303" spans="2:26" x14ac:dyDescent="0.25">
      <c r="B1303" s="22"/>
      <c r="K1303" s="23"/>
      <c r="L1303" s="24"/>
      <c r="M1303" s="24"/>
      <c r="N1303" s="24"/>
      <c r="O1303" s="24"/>
      <c r="P1303" s="24"/>
      <c r="Q1303" s="25"/>
      <c r="S1303" s="26"/>
      <c r="Z1303" s="22"/>
    </row>
    <row r="1304" spans="2:26" x14ac:dyDescent="0.25">
      <c r="B1304" s="22"/>
      <c r="K1304" s="23"/>
      <c r="L1304" s="24"/>
      <c r="M1304" s="24"/>
      <c r="N1304" s="24"/>
      <c r="O1304" s="24"/>
      <c r="P1304" s="24"/>
      <c r="Q1304" s="25"/>
      <c r="S1304" s="26"/>
      <c r="Z1304" s="22"/>
    </row>
    <row r="1305" spans="2:26" x14ac:dyDescent="0.25">
      <c r="B1305" s="22"/>
      <c r="K1305" s="23"/>
      <c r="L1305" s="24"/>
      <c r="M1305" s="24"/>
      <c r="N1305" s="24"/>
      <c r="O1305" s="24"/>
      <c r="P1305" s="24"/>
      <c r="Q1305" s="25"/>
      <c r="S1305" s="26"/>
      <c r="Z1305" s="22"/>
    </row>
    <row r="1306" spans="2:26" x14ac:dyDescent="0.25">
      <c r="B1306" s="22"/>
      <c r="K1306" s="23"/>
      <c r="L1306" s="24"/>
      <c r="M1306" s="24"/>
      <c r="N1306" s="24"/>
      <c r="O1306" s="24"/>
      <c r="P1306" s="24"/>
      <c r="Q1306" s="25"/>
      <c r="S1306" s="26"/>
      <c r="Z1306" s="22"/>
    </row>
    <row r="1307" spans="2:26" x14ac:dyDescent="0.25">
      <c r="B1307" s="22"/>
      <c r="K1307" s="23"/>
      <c r="L1307" s="24"/>
      <c r="M1307" s="24"/>
      <c r="N1307" s="24"/>
      <c r="O1307" s="24"/>
      <c r="P1307" s="24"/>
      <c r="Q1307" s="25"/>
      <c r="S1307" s="26"/>
      <c r="Z1307" s="22"/>
    </row>
    <row r="1308" spans="2:26" x14ac:dyDescent="0.25">
      <c r="B1308" s="22"/>
      <c r="K1308" s="23"/>
      <c r="L1308" s="24"/>
      <c r="M1308" s="24"/>
      <c r="N1308" s="24"/>
      <c r="O1308" s="24"/>
      <c r="P1308" s="24"/>
      <c r="Q1308" s="25"/>
      <c r="S1308" s="26"/>
      <c r="Z1308" s="22"/>
    </row>
    <row r="1309" spans="2:26" x14ac:dyDescent="0.25">
      <c r="B1309" s="22"/>
      <c r="K1309" s="23"/>
      <c r="L1309" s="24"/>
      <c r="M1309" s="24"/>
      <c r="N1309" s="24"/>
      <c r="O1309" s="24"/>
      <c r="P1309" s="24"/>
      <c r="Q1309" s="25"/>
      <c r="S1309" s="26"/>
      <c r="Z1309" s="22"/>
    </row>
    <row r="1310" spans="2:26" x14ac:dyDescent="0.25">
      <c r="B1310" s="22"/>
      <c r="K1310" s="23"/>
      <c r="L1310" s="24"/>
      <c r="M1310" s="24"/>
      <c r="N1310" s="24"/>
      <c r="O1310" s="24"/>
      <c r="P1310" s="24"/>
      <c r="Q1310" s="25"/>
      <c r="S1310" s="26"/>
      <c r="Z1310" s="22"/>
    </row>
    <row r="1311" spans="2:26" x14ac:dyDescent="0.25">
      <c r="B1311" s="22"/>
      <c r="K1311" s="23"/>
      <c r="L1311" s="24"/>
      <c r="M1311" s="24"/>
      <c r="N1311" s="24"/>
      <c r="O1311" s="24"/>
      <c r="P1311" s="24"/>
      <c r="Q1311" s="25"/>
      <c r="S1311" s="26"/>
      <c r="Z1311" s="22"/>
    </row>
    <row r="1312" spans="2:26" x14ac:dyDescent="0.25">
      <c r="B1312" s="22"/>
      <c r="K1312" s="23"/>
      <c r="L1312" s="24"/>
      <c r="M1312" s="24"/>
      <c r="N1312" s="24"/>
      <c r="O1312" s="24"/>
      <c r="P1312" s="24"/>
      <c r="Q1312" s="25"/>
      <c r="S1312" s="26"/>
      <c r="Z1312" s="22"/>
    </row>
    <row r="1313" spans="2:26" x14ac:dyDescent="0.25">
      <c r="B1313" s="22"/>
      <c r="K1313" s="23"/>
      <c r="L1313" s="24"/>
      <c r="M1313" s="24"/>
      <c r="N1313" s="24"/>
      <c r="O1313" s="24"/>
      <c r="P1313" s="24"/>
      <c r="Q1313" s="25"/>
      <c r="S1313" s="26"/>
      <c r="Z1313" s="22"/>
    </row>
    <row r="1314" spans="2:26" x14ac:dyDescent="0.25">
      <c r="B1314" s="22"/>
      <c r="K1314" s="23"/>
      <c r="L1314" s="24"/>
      <c r="M1314" s="24"/>
      <c r="N1314" s="24"/>
      <c r="O1314" s="24"/>
      <c r="P1314" s="24"/>
      <c r="Q1314" s="25"/>
      <c r="S1314" s="26"/>
      <c r="Z1314" s="22"/>
    </row>
    <row r="1315" spans="2:26" x14ac:dyDescent="0.25">
      <c r="B1315" s="22"/>
      <c r="K1315" s="23"/>
      <c r="L1315" s="24"/>
      <c r="M1315" s="24"/>
      <c r="N1315" s="24"/>
      <c r="O1315" s="24"/>
      <c r="P1315" s="24"/>
      <c r="Q1315" s="25"/>
      <c r="S1315" s="26"/>
      <c r="Z1315" s="22"/>
    </row>
    <row r="1316" spans="2:26" x14ac:dyDescent="0.25">
      <c r="B1316" s="22"/>
      <c r="K1316" s="23"/>
      <c r="L1316" s="24"/>
      <c r="M1316" s="24"/>
      <c r="N1316" s="24"/>
      <c r="O1316" s="24"/>
      <c r="P1316" s="24"/>
      <c r="Q1316" s="25"/>
      <c r="S1316" s="26"/>
      <c r="Z1316" s="22"/>
    </row>
    <row r="1317" spans="2:26" x14ac:dyDescent="0.25">
      <c r="B1317" s="22"/>
      <c r="K1317" s="23"/>
      <c r="L1317" s="24"/>
      <c r="M1317" s="24"/>
      <c r="N1317" s="24"/>
      <c r="O1317" s="24"/>
      <c r="P1317" s="24"/>
      <c r="Q1317" s="25"/>
      <c r="S1317" s="26"/>
      <c r="Z1317" s="22"/>
    </row>
    <row r="1318" spans="2:26" x14ac:dyDescent="0.25">
      <c r="B1318" s="22"/>
      <c r="K1318" s="23"/>
      <c r="L1318" s="24"/>
      <c r="M1318" s="24"/>
      <c r="N1318" s="24"/>
      <c r="O1318" s="24"/>
      <c r="P1318" s="24"/>
      <c r="Q1318" s="25"/>
      <c r="S1318" s="26"/>
      <c r="Z1318" s="22"/>
    </row>
    <row r="1319" spans="2:26" x14ac:dyDescent="0.25">
      <c r="B1319" s="22"/>
      <c r="K1319" s="23"/>
      <c r="L1319" s="24"/>
      <c r="M1319" s="24"/>
      <c r="N1319" s="24"/>
      <c r="O1319" s="24"/>
      <c r="P1319" s="24"/>
      <c r="Q1319" s="25"/>
      <c r="S1319" s="26"/>
      <c r="Z1319" s="22"/>
    </row>
    <row r="1320" spans="2:26" x14ac:dyDescent="0.25">
      <c r="B1320" s="22"/>
      <c r="K1320" s="23"/>
      <c r="L1320" s="24"/>
      <c r="M1320" s="24"/>
      <c r="N1320" s="24"/>
      <c r="O1320" s="24"/>
      <c r="P1320" s="24"/>
      <c r="Q1320" s="25"/>
      <c r="S1320" s="26"/>
      <c r="Z1320" s="22"/>
    </row>
    <row r="1321" spans="2:26" x14ac:dyDescent="0.25">
      <c r="B1321" s="22"/>
      <c r="K1321" s="23"/>
      <c r="L1321" s="24"/>
      <c r="M1321" s="24"/>
      <c r="N1321" s="24"/>
      <c r="O1321" s="24"/>
      <c r="P1321" s="24"/>
      <c r="Q1321" s="25"/>
      <c r="S1321" s="26"/>
      <c r="Z1321" s="22"/>
    </row>
    <row r="1322" spans="2:26" x14ac:dyDescent="0.25">
      <c r="B1322" s="22"/>
      <c r="K1322" s="23"/>
      <c r="L1322" s="24"/>
      <c r="M1322" s="24"/>
      <c r="N1322" s="24"/>
      <c r="O1322" s="24"/>
      <c r="P1322" s="24"/>
      <c r="Q1322" s="25"/>
      <c r="S1322" s="26"/>
      <c r="Z1322" s="22"/>
    </row>
    <row r="1323" spans="2:26" x14ac:dyDescent="0.25">
      <c r="B1323" s="22"/>
      <c r="K1323" s="23"/>
      <c r="L1323" s="24"/>
      <c r="M1323" s="24"/>
      <c r="N1323" s="24"/>
      <c r="O1323" s="24"/>
      <c r="P1323" s="24"/>
      <c r="Q1323" s="25"/>
      <c r="S1323" s="26"/>
      <c r="Z1323" s="22"/>
    </row>
    <row r="1324" spans="2:26" x14ac:dyDescent="0.25">
      <c r="B1324" s="22"/>
      <c r="K1324" s="23"/>
      <c r="L1324" s="24"/>
      <c r="M1324" s="24"/>
      <c r="N1324" s="24"/>
      <c r="O1324" s="24"/>
      <c r="P1324" s="24"/>
      <c r="Q1324" s="25"/>
      <c r="S1324" s="26"/>
      <c r="Z1324" s="22"/>
    </row>
  </sheetData>
  <mergeCells count="4">
    <mergeCell ref="K4:Q4"/>
    <mergeCell ref="U4:V4"/>
    <mergeCell ref="Z4:AF4"/>
    <mergeCell ref="C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A6AD-7236-44E4-B59B-1837120F99D1}">
  <sheetPr codeName="Sheet3"/>
  <dimension ref="A1:CL385"/>
  <sheetViews>
    <sheetView topLeftCell="BI359" zoomScale="70" zoomScaleNormal="70" workbookViewId="0">
      <selection activeCell="CE391" sqref="CE391"/>
    </sheetView>
  </sheetViews>
  <sheetFormatPr defaultRowHeight="15" x14ac:dyDescent="0.25"/>
  <cols>
    <col min="1" max="1" width="10.5703125" bestFit="1" customWidth="1"/>
    <col min="2" max="2" width="29.42578125" style="5" bestFit="1" customWidth="1"/>
    <col min="3" max="3" width="24.85546875" bestFit="1" customWidth="1"/>
    <col min="4" max="4" width="17.85546875" bestFit="1" customWidth="1"/>
    <col min="5" max="5" width="22.5703125" bestFit="1" customWidth="1"/>
    <col min="6" max="6" width="20.85546875" bestFit="1" customWidth="1"/>
    <col min="7" max="7" width="21.5703125" bestFit="1" customWidth="1"/>
    <col min="8" max="8" width="15.85546875" bestFit="1" customWidth="1"/>
    <col min="9" max="9" width="25.140625" bestFit="1" customWidth="1"/>
    <col min="10" max="10" width="9.5703125" bestFit="1" customWidth="1"/>
    <col min="11" max="11" width="14.140625" bestFit="1" customWidth="1"/>
    <col min="13" max="13" width="10.5703125" bestFit="1" customWidth="1"/>
    <col min="14" max="14" width="29.42578125" style="5" bestFit="1" customWidth="1"/>
    <col min="15" max="15" width="24.85546875" bestFit="1" customWidth="1"/>
    <col min="16" max="16" width="17.85546875" bestFit="1" customWidth="1"/>
    <col min="17" max="17" width="22.5703125" bestFit="1" customWidth="1"/>
    <col min="18" max="18" width="20.85546875" bestFit="1" customWidth="1"/>
    <col min="19" max="19" width="21.5703125" bestFit="1" customWidth="1"/>
    <col min="20" max="20" width="15.85546875" bestFit="1" customWidth="1"/>
    <col min="21" max="21" width="25.140625" bestFit="1" customWidth="1"/>
    <col min="22" max="22" width="9.5703125" bestFit="1" customWidth="1"/>
    <col min="23" max="23" width="24.85546875" bestFit="1" customWidth="1"/>
    <col min="24" max="24" width="17.85546875" bestFit="1" customWidth="1"/>
    <col min="25" max="25" width="29.42578125" style="5" bestFit="1" customWidth="1"/>
    <col min="26" max="26" width="24.85546875" bestFit="1" customWidth="1"/>
    <col min="27" max="27" width="17.85546875" bestFit="1" customWidth="1"/>
    <col min="28" max="28" width="22.5703125" bestFit="1" customWidth="1"/>
    <col min="29" max="29" width="20.85546875" bestFit="1" customWidth="1"/>
    <col min="30" max="30" width="21.5703125" bestFit="1" customWidth="1"/>
    <col min="31" max="31" width="15.85546875" bestFit="1" customWidth="1"/>
    <col min="32" max="32" width="25.140625" bestFit="1" customWidth="1"/>
    <col min="33" max="33" width="9.5703125" bestFit="1" customWidth="1"/>
    <col min="34" max="36" width="9.5703125" customWidth="1"/>
    <col min="37" max="37" width="29.42578125" bestFit="1" customWidth="1"/>
    <col min="38" max="38" width="24.85546875" bestFit="1" customWidth="1"/>
    <col min="39" max="39" width="17.85546875" bestFit="1" customWidth="1"/>
    <col min="40" max="40" width="22.5703125" bestFit="1" customWidth="1"/>
    <col min="41" max="41" width="20.85546875" bestFit="1" customWidth="1"/>
    <col min="42" max="42" width="21.5703125" bestFit="1" customWidth="1"/>
    <col min="43" max="43" width="15.85546875" bestFit="1" customWidth="1"/>
    <col min="44" max="44" width="25.140625" bestFit="1" customWidth="1"/>
    <col min="45" max="45" width="9.5703125" bestFit="1" customWidth="1"/>
    <col min="46" max="47" width="9.5703125" customWidth="1"/>
    <col min="48" max="48" width="29.42578125" bestFit="1" customWidth="1"/>
    <col min="49" max="49" width="24.85546875" bestFit="1" customWidth="1"/>
    <col min="50" max="50" width="17.85546875" bestFit="1" customWidth="1"/>
    <col min="51" max="51" width="22.5703125" bestFit="1" customWidth="1"/>
    <col min="52" max="52" width="20.85546875" bestFit="1" customWidth="1"/>
    <col min="53" max="53" width="21.5703125" bestFit="1" customWidth="1"/>
    <col min="54" max="54" width="15.85546875" bestFit="1" customWidth="1"/>
    <col min="55" max="55" width="25.140625" bestFit="1" customWidth="1"/>
    <col min="56" max="56" width="9.5703125" bestFit="1" customWidth="1"/>
    <col min="57" max="57" width="14.28515625" bestFit="1" customWidth="1"/>
    <col min="58" max="59" width="8.42578125" customWidth="1"/>
    <col min="60" max="60" width="29.42578125" style="5" bestFit="1" customWidth="1"/>
    <col min="61" max="61" width="24.85546875" bestFit="1" customWidth="1"/>
    <col min="62" max="62" width="17.85546875" bestFit="1" customWidth="1"/>
    <col min="63" max="63" width="22.5703125" bestFit="1" customWidth="1"/>
    <col min="64" max="64" width="20.85546875" bestFit="1" customWidth="1"/>
    <col min="65" max="65" width="21.5703125" bestFit="1" customWidth="1"/>
    <col min="66" max="66" width="15.85546875" bestFit="1" customWidth="1"/>
    <col min="67" max="67" width="25.140625" bestFit="1" customWidth="1"/>
    <col min="68" max="68" width="9.5703125" bestFit="1" customWidth="1"/>
    <col min="69" max="70" width="9.5703125" customWidth="1"/>
    <col min="71" max="71" width="29.42578125" hidden="1" customWidth="1"/>
    <col min="72" max="72" width="24.85546875" hidden="1" customWidth="1"/>
    <col min="73" max="73" width="17.85546875" hidden="1" customWidth="1"/>
    <col min="74" max="74" width="22.5703125" hidden="1" customWidth="1"/>
    <col min="75" max="75" width="20.85546875" hidden="1" customWidth="1"/>
    <col min="76" max="76" width="21.5703125" hidden="1" customWidth="1"/>
    <col min="77" max="77" width="15.85546875" hidden="1" customWidth="1"/>
    <col min="78" max="78" width="25.140625" hidden="1" customWidth="1"/>
    <col min="79" max="79" width="9.5703125" hidden="1" customWidth="1"/>
    <col min="80" max="81" width="0" hidden="1" customWidth="1"/>
    <col min="83" max="83" width="10.7109375" bestFit="1" customWidth="1"/>
  </cols>
  <sheetData>
    <row r="1" spans="1:90" x14ac:dyDescent="0.25">
      <c r="A1" t="s">
        <v>6</v>
      </c>
      <c r="B1" s="7">
        <v>43646</v>
      </c>
      <c r="C1" s="4"/>
      <c r="D1" s="4"/>
      <c r="E1" s="4"/>
      <c r="F1" s="4"/>
      <c r="G1" s="4"/>
      <c r="H1" s="4"/>
      <c r="J1" s="4"/>
      <c r="K1" s="4"/>
      <c r="L1" s="4"/>
      <c r="M1" t="s">
        <v>6</v>
      </c>
      <c r="N1" s="7">
        <v>43646</v>
      </c>
      <c r="O1" s="4"/>
      <c r="P1" s="4"/>
      <c r="Q1" s="4"/>
      <c r="R1" s="4"/>
      <c r="S1" s="4"/>
      <c r="T1" s="4"/>
      <c r="V1" s="4"/>
      <c r="Y1" s="3"/>
      <c r="Z1" s="4"/>
      <c r="AA1" s="4"/>
      <c r="AB1" s="4"/>
      <c r="AC1" s="4"/>
      <c r="AD1" s="4"/>
      <c r="AE1" s="4"/>
      <c r="BH1" s="3"/>
      <c r="BI1" s="4"/>
      <c r="BJ1" s="4"/>
      <c r="BK1" s="4"/>
      <c r="BL1" s="4"/>
      <c r="BM1" s="4"/>
      <c r="BN1" s="4"/>
      <c r="BO1" s="4"/>
      <c r="CG1" s="35">
        <f>+AVERAGE(CF7:CF2000)</f>
        <v>4.8259277407929106</v>
      </c>
      <c r="CH1">
        <f>+_xlfn.STDEV.S(CF7:CF2000)</f>
        <v>2.1235448604231855</v>
      </c>
    </row>
    <row r="2" spans="1:90" x14ac:dyDescent="0.25">
      <c r="A2" t="s">
        <v>5</v>
      </c>
      <c r="M2" t="s">
        <v>5</v>
      </c>
    </row>
    <row r="4" spans="1:90" x14ac:dyDescent="0.25">
      <c r="B4" s="5" t="s">
        <v>7</v>
      </c>
      <c r="N4" s="5" t="s">
        <v>24</v>
      </c>
      <c r="Y4" s="5" t="s">
        <v>13</v>
      </c>
      <c r="AK4" t="s">
        <v>8</v>
      </c>
      <c r="AV4" t="s">
        <v>10</v>
      </c>
      <c r="BH4" s="5" t="s">
        <v>9</v>
      </c>
    </row>
    <row r="5" spans="1:90" x14ac:dyDescent="0.25">
      <c r="A5" t="s">
        <v>4</v>
      </c>
      <c r="B5" s="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21</v>
      </c>
      <c r="I5" t="s">
        <v>20</v>
      </c>
      <c r="J5" t="s">
        <v>22</v>
      </c>
      <c r="K5" t="s">
        <v>61</v>
      </c>
      <c r="M5" t="s">
        <v>4</v>
      </c>
      <c r="N5" s="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21</v>
      </c>
      <c r="U5" t="s">
        <v>20</v>
      </c>
      <c r="V5" t="s">
        <v>22</v>
      </c>
      <c r="W5" t="s">
        <v>61</v>
      </c>
      <c r="Y5" s="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21</v>
      </c>
      <c r="AF5" t="s">
        <v>20</v>
      </c>
      <c r="AG5" t="s">
        <v>22</v>
      </c>
      <c r="AH5" t="s">
        <v>61</v>
      </c>
      <c r="AK5" t="s">
        <v>14</v>
      </c>
      <c r="AL5" t="s">
        <v>15</v>
      </c>
      <c r="AM5" t="s">
        <v>16</v>
      </c>
      <c r="AN5" t="s">
        <v>17</v>
      </c>
      <c r="AO5" t="s">
        <v>18</v>
      </c>
      <c r="AP5" t="s">
        <v>19</v>
      </c>
      <c r="AQ5" t="s">
        <v>21</v>
      </c>
      <c r="AR5" t="s">
        <v>20</v>
      </c>
      <c r="AS5" t="s">
        <v>22</v>
      </c>
      <c r="AT5" t="s">
        <v>61</v>
      </c>
      <c r="AV5" t="s">
        <v>14</v>
      </c>
      <c r="AW5" t="s">
        <v>15</v>
      </c>
      <c r="AX5" t="s">
        <v>16</v>
      </c>
      <c r="AY5" t="s">
        <v>17</v>
      </c>
      <c r="AZ5" t="s">
        <v>18</v>
      </c>
      <c r="BA5" t="s">
        <v>19</v>
      </c>
      <c r="BB5" t="s">
        <v>21</v>
      </c>
      <c r="BC5" t="s">
        <v>20</v>
      </c>
      <c r="BD5" s="6" t="s">
        <v>22</v>
      </c>
      <c r="BE5" t="s">
        <v>61</v>
      </c>
      <c r="BH5" s="5" t="s">
        <v>14</v>
      </c>
      <c r="BI5" t="s">
        <v>15</v>
      </c>
      <c r="BJ5" t="s">
        <v>16</v>
      </c>
      <c r="BK5" t="s">
        <v>17</v>
      </c>
      <c r="BL5" t="s">
        <v>18</v>
      </c>
      <c r="BM5" t="s">
        <v>19</v>
      </c>
      <c r="BN5" t="s">
        <v>21</v>
      </c>
      <c r="BO5" t="s">
        <v>20</v>
      </c>
      <c r="BP5" t="s">
        <v>22</v>
      </c>
      <c r="BQ5" t="s">
        <v>61</v>
      </c>
      <c r="BS5" s="5"/>
      <c r="CA5" s="6"/>
    </row>
    <row r="6" spans="1:90" x14ac:dyDescent="0.25">
      <c r="A6" s="43">
        <f>_xll.BDH(B$4,B$5:K$5,$B1,$B2,"Dir=V","Per=CW","Days=A","Dts=S","cols=11;rows=380")</f>
        <v>43651</v>
      </c>
      <c r="B6" s="5">
        <v>3.0710999999999999</v>
      </c>
      <c r="C6">
        <v>29.6249</v>
      </c>
      <c r="D6">
        <v>1.8492999999999999</v>
      </c>
      <c r="E6">
        <v>37.318899999999999</v>
      </c>
      <c r="F6">
        <v>0.84550000000000003</v>
      </c>
      <c r="G6">
        <v>0</v>
      </c>
      <c r="H6">
        <v>84.015500000000003</v>
      </c>
      <c r="I6">
        <v>75.389300000000006</v>
      </c>
      <c r="J6" s="6">
        <v>31.297999999999998</v>
      </c>
      <c r="K6">
        <v>59349.672400000003</v>
      </c>
      <c r="M6" s="43">
        <f>_xll.BDH(N$4,N$5:W$5,$B1,$B2,"Dir=V","Per=CW","Days=A","Dts=S","cols=11;rows=380")</f>
        <v>43651</v>
      </c>
      <c r="N6" s="5">
        <v>3.8986999999999998</v>
      </c>
      <c r="O6">
        <v>48.606099999999998</v>
      </c>
      <c r="P6">
        <v>2.1113</v>
      </c>
      <c r="Q6">
        <v>38.934800000000003</v>
      </c>
      <c r="R6">
        <v>0.48270000000000002</v>
      </c>
      <c r="S6">
        <v>195.11080000000001</v>
      </c>
      <c r="T6">
        <v>49.3598</v>
      </c>
      <c r="U6">
        <v>42.273499999999999</v>
      </c>
      <c r="V6" s="6">
        <v>114.514</v>
      </c>
      <c r="W6">
        <v>98795.487899999993</v>
      </c>
      <c r="Y6" s="5">
        <f>_xll.BDH(Y$4,Y$5:AH$5,$B1,$B2,"Dir=V","Per=CW","Days=A","Dts=H","cols=10;rows=380")</f>
        <v>2.2663000000000002</v>
      </c>
      <c r="Z6">
        <v>18.324000000000002</v>
      </c>
      <c r="AA6">
        <v>1.1037999999999999</v>
      </c>
      <c r="AB6">
        <v>17.2166</v>
      </c>
      <c r="AC6">
        <v>0.24959999999999999</v>
      </c>
      <c r="AD6">
        <v>0</v>
      </c>
      <c r="AE6">
        <v>75.199799999999996</v>
      </c>
      <c r="AF6">
        <v>30.6739</v>
      </c>
      <c r="AG6">
        <v>53.006</v>
      </c>
      <c r="AH6">
        <v>30931.930199999999</v>
      </c>
      <c r="AK6">
        <f>_xll.BDH(AK$4,AK$5:AT$5,$B1,$B2,"Dir=V","Per=CW","Days=A","Dts=H","cols=10;rows=380")</f>
        <v>2.1145</v>
      </c>
      <c r="AL6">
        <v>35.8977</v>
      </c>
      <c r="AM6">
        <v>1.6458999999999999</v>
      </c>
      <c r="AN6">
        <v>25.205500000000001</v>
      </c>
      <c r="AO6">
        <v>0.16489999999999999</v>
      </c>
      <c r="AP6" t="s">
        <v>23</v>
      </c>
      <c r="AQ6">
        <v>62.063000000000002</v>
      </c>
      <c r="AR6">
        <v>54.322499999999998</v>
      </c>
      <c r="AS6">
        <v>32.185000000000002</v>
      </c>
      <c r="AT6">
        <v>19498.946</v>
      </c>
      <c r="AV6">
        <f>_xll.BDH(AV$4,AV$5:BE$5,$B1,$B2,"Dir=V","Per=CW","Days=A","Dts=H","cols=10;rows=380")</f>
        <v>5.6113</v>
      </c>
      <c r="AW6">
        <v>6.0622999999999996</v>
      </c>
      <c r="AX6">
        <v>0.88480000000000003</v>
      </c>
      <c r="AY6">
        <v>15.2403</v>
      </c>
      <c r="AZ6">
        <v>0.68959999999999999</v>
      </c>
      <c r="BA6" t="s">
        <v>23</v>
      </c>
      <c r="BB6">
        <v>8.0390999999999995</v>
      </c>
      <c r="BC6">
        <v>2.6814</v>
      </c>
      <c r="BD6">
        <v>42.4</v>
      </c>
      <c r="BE6">
        <v>38433.696199999998</v>
      </c>
      <c r="BH6">
        <f>_xll.BDH(BH$4,BH$5:BQ$5,$B1,$B2,"Dir=V","Per=CW","Days=A","Dts=H","cols=10;rows=380")</f>
        <v>2.3203999999999998</v>
      </c>
      <c r="BI6">
        <v>28.9373</v>
      </c>
      <c r="BJ6">
        <v>1.6791</v>
      </c>
      <c r="BK6">
        <v>36.722900000000003</v>
      </c>
      <c r="BL6">
        <v>0.94879999999999998</v>
      </c>
      <c r="BM6" t="s">
        <v>23</v>
      </c>
      <c r="BN6">
        <v>15.744899999999999</v>
      </c>
      <c r="BO6">
        <v>12.4473</v>
      </c>
      <c r="BP6">
        <v>18.713999999999999</v>
      </c>
      <c r="BQ6">
        <v>12834.802</v>
      </c>
      <c r="CF6" t="s">
        <v>60</v>
      </c>
      <c r="CG6" t="s">
        <v>62</v>
      </c>
      <c r="CH6" t="s">
        <v>43</v>
      </c>
      <c r="CI6" t="s">
        <v>42</v>
      </c>
      <c r="CJ6" t="s">
        <v>41</v>
      </c>
      <c r="CK6" t="s">
        <v>40</v>
      </c>
      <c r="CL6" t="s">
        <v>39</v>
      </c>
    </row>
    <row r="7" spans="1:90" x14ac:dyDescent="0.25">
      <c r="A7" s="43">
        <v>43658</v>
      </c>
      <c r="B7" s="5">
        <v>3.1606999999999998</v>
      </c>
      <c r="C7">
        <v>29.6249</v>
      </c>
      <c r="D7">
        <v>1.8492999999999999</v>
      </c>
      <c r="E7">
        <v>37.318899999999999</v>
      </c>
      <c r="F7">
        <v>0.84550000000000003</v>
      </c>
      <c r="G7">
        <v>0</v>
      </c>
      <c r="H7">
        <v>84.015500000000003</v>
      </c>
      <c r="I7">
        <v>75.389300000000006</v>
      </c>
      <c r="J7">
        <v>32.575000000000003</v>
      </c>
      <c r="K7">
        <v>61772.108</v>
      </c>
      <c r="M7" s="43">
        <v>43658</v>
      </c>
      <c r="N7" s="5">
        <v>4.2133000000000003</v>
      </c>
      <c r="O7">
        <v>48.606099999999998</v>
      </c>
      <c r="P7">
        <v>2.1113</v>
      </c>
      <c r="Q7">
        <v>38.934800000000003</v>
      </c>
      <c r="R7">
        <v>0.48270000000000002</v>
      </c>
      <c r="S7">
        <v>195.11080000000001</v>
      </c>
      <c r="T7">
        <v>49.3598</v>
      </c>
      <c r="U7">
        <v>42.273499999999999</v>
      </c>
      <c r="V7">
        <v>125.059</v>
      </c>
      <c r="W7">
        <v>107892.4589</v>
      </c>
      <c r="Y7" s="5">
        <v>2.2863000000000002</v>
      </c>
      <c r="Z7">
        <v>18.324000000000002</v>
      </c>
      <c r="AA7">
        <v>1.1037999999999999</v>
      </c>
      <c r="AB7">
        <v>17.2166</v>
      </c>
      <c r="AC7">
        <v>0.24959999999999999</v>
      </c>
      <c r="AD7">
        <v>0</v>
      </c>
      <c r="AE7">
        <v>75.199799999999996</v>
      </c>
      <c r="AF7">
        <v>30.6739</v>
      </c>
      <c r="AG7">
        <v>53.533000000000001</v>
      </c>
      <c r="AH7">
        <v>31239.491999999998</v>
      </c>
      <c r="AK7">
        <v>2.2212000000000001</v>
      </c>
      <c r="AL7">
        <v>35.8977</v>
      </c>
      <c r="AM7">
        <v>1.6458999999999999</v>
      </c>
      <c r="AN7">
        <v>25.205500000000001</v>
      </c>
      <c r="AO7">
        <v>0.16489999999999999</v>
      </c>
      <c r="AP7" t="s">
        <v>23</v>
      </c>
      <c r="AQ7">
        <v>62.063000000000002</v>
      </c>
      <c r="AR7">
        <v>54.322499999999998</v>
      </c>
      <c r="AS7">
        <v>33.945999999999998</v>
      </c>
      <c r="AT7">
        <v>20566.163199999999</v>
      </c>
      <c r="AV7">
        <v>5.8318000000000003</v>
      </c>
      <c r="AW7">
        <v>6.0622999999999996</v>
      </c>
      <c r="AX7">
        <v>0.88480000000000003</v>
      </c>
      <c r="AY7">
        <v>15.2403</v>
      </c>
      <c r="AZ7">
        <v>0.68959999999999999</v>
      </c>
      <c r="BA7" t="s">
        <v>23</v>
      </c>
      <c r="BB7">
        <v>8.0390999999999995</v>
      </c>
      <c r="BC7">
        <v>2.6814</v>
      </c>
      <c r="BD7">
        <v>44.3</v>
      </c>
      <c r="BE7" s="33">
        <v>40155.960899999998</v>
      </c>
      <c r="BH7" s="5">
        <v>2.5106999999999999</v>
      </c>
      <c r="BI7">
        <v>28.9373</v>
      </c>
      <c r="BJ7">
        <v>1.6791</v>
      </c>
      <c r="BK7">
        <v>36.722900000000003</v>
      </c>
      <c r="BL7">
        <v>0.94879999999999998</v>
      </c>
      <c r="BM7" t="s">
        <v>23</v>
      </c>
      <c r="BN7">
        <v>15.744899999999999</v>
      </c>
      <c r="BO7">
        <v>12.4473</v>
      </c>
      <c r="BP7">
        <v>21.315999999999999</v>
      </c>
      <c r="BQ7">
        <v>14619.1525</v>
      </c>
      <c r="CE7" s="1">
        <f>+A7</f>
        <v>43658</v>
      </c>
      <c r="CF7" s="35">
        <f>+(BH7*BQ7+AV7*BE7+AK7*AT7+Y7*AH7+N7*W7+B7*K7)/(K7+W7+AH7+AT7+BE7+BQ7)</f>
        <v>3.7568657880805372</v>
      </c>
      <c r="CG7" s="36">
        <f t="shared" ref="CG7:CG70" si="0">+(CF7-$CG$1)/$CH$1</f>
        <v>-0.50343271415482505</v>
      </c>
    </row>
    <row r="8" spans="1:90" x14ac:dyDescent="0.25">
      <c r="A8" s="43">
        <v>43665</v>
      </c>
      <c r="B8" s="5">
        <v>3.0488</v>
      </c>
      <c r="C8">
        <v>29.6249</v>
      </c>
      <c r="D8">
        <v>1.8492999999999999</v>
      </c>
      <c r="E8">
        <v>37.318899999999999</v>
      </c>
      <c r="F8">
        <v>0.84550000000000003</v>
      </c>
      <c r="G8">
        <v>0</v>
      </c>
      <c r="H8">
        <v>84.015500000000003</v>
      </c>
      <c r="I8">
        <v>75.389300000000006</v>
      </c>
      <c r="J8">
        <v>30.978999999999999</v>
      </c>
      <c r="K8">
        <v>58744.063499999997</v>
      </c>
      <c r="M8" s="43">
        <v>43665</v>
      </c>
      <c r="N8" s="5">
        <v>4.0388000000000002</v>
      </c>
      <c r="O8">
        <v>48.606099999999998</v>
      </c>
      <c r="P8">
        <v>2.1113</v>
      </c>
      <c r="Q8">
        <v>38.934800000000003</v>
      </c>
      <c r="R8">
        <v>0.48270000000000002</v>
      </c>
      <c r="S8">
        <v>195.11080000000001</v>
      </c>
      <c r="T8">
        <v>49.3598</v>
      </c>
      <c r="U8">
        <v>42.273499999999999</v>
      </c>
      <c r="V8">
        <v>119.211</v>
      </c>
      <c r="W8">
        <v>102847.4139</v>
      </c>
      <c r="Y8" s="5">
        <v>2.2404999999999999</v>
      </c>
      <c r="Z8">
        <v>18.324000000000002</v>
      </c>
      <c r="AA8">
        <v>1.1037999999999999</v>
      </c>
      <c r="AB8">
        <v>17.2166</v>
      </c>
      <c r="AC8">
        <v>0.24959999999999999</v>
      </c>
      <c r="AD8">
        <v>0</v>
      </c>
      <c r="AE8">
        <v>75.199799999999996</v>
      </c>
      <c r="AF8">
        <v>30.6739</v>
      </c>
      <c r="AG8">
        <v>52.328000000000003</v>
      </c>
      <c r="AH8">
        <v>30536.493600000002</v>
      </c>
      <c r="AK8">
        <v>2.1101000000000001</v>
      </c>
      <c r="AL8">
        <v>35.8977</v>
      </c>
      <c r="AM8">
        <v>1.6458999999999999</v>
      </c>
      <c r="AN8">
        <v>25.205500000000001</v>
      </c>
      <c r="AO8">
        <v>0.16489999999999999</v>
      </c>
      <c r="AP8" t="s">
        <v>23</v>
      </c>
      <c r="AQ8">
        <v>62.063000000000002</v>
      </c>
      <c r="AR8">
        <v>54.322499999999998</v>
      </c>
      <c r="AS8">
        <v>32.110999999999997</v>
      </c>
      <c r="AT8">
        <v>19454.4787</v>
      </c>
      <c r="AV8">
        <v>5.4429999999999996</v>
      </c>
      <c r="AW8">
        <v>6.0622999999999996</v>
      </c>
      <c r="AX8">
        <v>0.88480000000000003</v>
      </c>
      <c r="AY8">
        <v>15.2403</v>
      </c>
      <c r="AZ8">
        <v>0.68959999999999999</v>
      </c>
      <c r="BA8" t="s">
        <v>23</v>
      </c>
      <c r="BB8">
        <v>8.0390999999999995</v>
      </c>
      <c r="BC8">
        <v>2.6814</v>
      </c>
      <c r="BD8">
        <v>40.950000000000003</v>
      </c>
      <c r="BE8" s="33">
        <v>37119.336300000003</v>
      </c>
      <c r="BH8" s="5">
        <v>2.2869999999999999</v>
      </c>
      <c r="BI8">
        <v>28.9373</v>
      </c>
      <c r="BJ8">
        <v>1.6791</v>
      </c>
      <c r="BK8">
        <v>36.722900000000003</v>
      </c>
      <c r="BL8">
        <v>0.94879999999999998</v>
      </c>
      <c r="BM8" t="s">
        <v>23</v>
      </c>
      <c r="BN8">
        <v>15.744899999999999</v>
      </c>
      <c r="BO8">
        <v>12.4473</v>
      </c>
      <c r="BP8">
        <v>18.257999999999999</v>
      </c>
      <c r="BQ8">
        <v>12521.758</v>
      </c>
      <c r="CE8" s="1">
        <f t="shared" ref="CE8:CE40" si="1">+A8</f>
        <v>43665</v>
      </c>
      <c r="CF8" s="35">
        <f t="shared" ref="CF8:CF71" si="2">+(BH8*BQ8+AV8*BE8+AK8*AT8+Y8*AH8+N8*W8+B8*K8)/(K8+W8+AH8+AT8+BE8+BQ8)</f>
        <v>3.577873338632485</v>
      </c>
      <c r="CG8" s="36">
        <f t="shared" si="0"/>
        <v>-0.58772217409700034</v>
      </c>
    </row>
    <row r="9" spans="1:90" x14ac:dyDescent="0.25">
      <c r="A9" s="43">
        <v>43672</v>
      </c>
      <c r="B9" s="5">
        <v>3.0878999999999999</v>
      </c>
      <c r="C9">
        <v>29.6249</v>
      </c>
      <c r="D9">
        <v>1.8492999999999999</v>
      </c>
      <c r="E9">
        <v>37.318899999999999</v>
      </c>
      <c r="F9">
        <v>0.84550000000000003</v>
      </c>
      <c r="G9">
        <v>0</v>
      </c>
      <c r="H9">
        <v>84.015500000000003</v>
      </c>
      <c r="I9">
        <v>75.389300000000006</v>
      </c>
      <c r="J9">
        <v>31.538</v>
      </c>
      <c r="K9">
        <v>59803.879099999998</v>
      </c>
      <c r="M9" s="43">
        <v>43672</v>
      </c>
      <c r="N9" s="5">
        <v>4.1459999999999999</v>
      </c>
      <c r="O9">
        <v>48.606099999999998</v>
      </c>
      <c r="P9">
        <v>2.1113</v>
      </c>
      <c r="Q9">
        <v>38.934800000000003</v>
      </c>
      <c r="R9">
        <v>0.48270000000000002</v>
      </c>
      <c r="S9">
        <v>195.11080000000001</v>
      </c>
      <c r="T9">
        <v>49.3598</v>
      </c>
      <c r="U9">
        <v>42.273499999999999</v>
      </c>
      <c r="V9">
        <v>122.80200000000001</v>
      </c>
      <c r="W9">
        <v>105945.9455</v>
      </c>
      <c r="Y9" s="5">
        <v>2.3578999999999999</v>
      </c>
      <c r="Z9">
        <v>18.324000000000002</v>
      </c>
      <c r="AA9">
        <v>1.1037999999999999</v>
      </c>
      <c r="AB9">
        <v>17.2166</v>
      </c>
      <c r="AC9">
        <v>0.24959999999999999</v>
      </c>
      <c r="AD9">
        <v>0</v>
      </c>
      <c r="AE9">
        <v>75.199799999999996</v>
      </c>
      <c r="AF9">
        <v>30.6739</v>
      </c>
      <c r="AG9">
        <v>55.414999999999999</v>
      </c>
      <c r="AH9">
        <v>32337.927100000001</v>
      </c>
      <c r="AK9">
        <v>2.2033999999999998</v>
      </c>
      <c r="AL9">
        <v>35.8977</v>
      </c>
      <c r="AM9">
        <v>1.6458999999999999</v>
      </c>
      <c r="AN9">
        <v>25.205500000000001</v>
      </c>
      <c r="AO9">
        <v>0.16489999999999999</v>
      </c>
      <c r="AP9" t="s">
        <v>23</v>
      </c>
      <c r="AQ9">
        <v>62.063000000000002</v>
      </c>
      <c r="AR9">
        <v>54.322499999999998</v>
      </c>
      <c r="AS9">
        <v>33.652000000000001</v>
      </c>
      <c r="AT9">
        <v>20388.293600000001</v>
      </c>
      <c r="AV9">
        <v>5.5705999999999998</v>
      </c>
      <c r="AW9">
        <v>6.0622999999999996</v>
      </c>
      <c r="AX9">
        <v>0.88480000000000003</v>
      </c>
      <c r="AY9">
        <v>15.2403</v>
      </c>
      <c r="AZ9">
        <v>0.68959999999999999</v>
      </c>
      <c r="BA9" t="s">
        <v>23</v>
      </c>
      <c r="BB9">
        <v>8.0390999999999995</v>
      </c>
      <c r="BC9">
        <v>2.6814</v>
      </c>
      <c r="BD9">
        <v>42.05</v>
      </c>
      <c r="BE9" s="33">
        <v>38116.436999999998</v>
      </c>
      <c r="BF9" s="8"/>
      <c r="BG9" s="8"/>
      <c r="BH9" s="5">
        <v>2.3071000000000002</v>
      </c>
      <c r="BI9">
        <v>28.9373</v>
      </c>
      <c r="BJ9">
        <v>1.6791</v>
      </c>
      <c r="BK9">
        <v>36.722900000000003</v>
      </c>
      <c r="BL9">
        <v>0.94879999999999998</v>
      </c>
      <c r="BM9" t="s">
        <v>23</v>
      </c>
      <c r="BN9">
        <v>15.744899999999999</v>
      </c>
      <c r="BO9">
        <v>12.4473</v>
      </c>
      <c r="BP9">
        <v>18.532</v>
      </c>
      <c r="BQ9">
        <v>12709.5844</v>
      </c>
      <c r="CE9" s="1">
        <f t="shared" si="1"/>
        <v>43672</v>
      </c>
      <c r="CF9" s="35">
        <f t="shared" si="2"/>
        <v>3.6640905543583782</v>
      </c>
      <c r="CG9" s="36">
        <f t="shared" si="0"/>
        <v>-0.54712156455362027</v>
      </c>
    </row>
    <row r="10" spans="1:90" x14ac:dyDescent="0.25">
      <c r="A10" s="43">
        <v>43679</v>
      </c>
      <c r="B10" s="5">
        <v>3.0991</v>
      </c>
      <c r="C10">
        <v>29.6249</v>
      </c>
      <c r="D10">
        <v>1.8492999999999999</v>
      </c>
      <c r="E10">
        <v>37.318899999999999</v>
      </c>
      <c r="F10">
        <v>0.84550000000000003</v>
      </c>
      <c r="G10">
        <v>0</v>
      </c>
      <c r="H10">
        <v>84.015500000000003</v>
      </c>
      <c r="I10">
        <v>75.389300000000006</v>
      </c>
      <c r="J10">
        <v>31.696999999999999</v>
      </c>
      <c r="K10">
        <v>60106.683599999997</v>
      </c>
      <c r="M10" s="43">
        <v>43679</v>
      </c>
      <c r="N10" s="5">
        <v>4.1405000000000003</v>
      </c>
      <c r="O10">
        <v>48.606099999999998</v>
      </c>
      <c r="P10">
        <v>2.1113</v>
      </c>
      <c r="Q10">
        <v>38.934800000000003</v>
      </c>
      <c r="R10">
        <v>0.48270000000000002</v>
      </c>
      <c r="S10">
        <v>195.11080000000001</v>
      </c>
      <c r="T10">
        <v>49.3598</v>
      </c>
      <c r="U10">
        <v>42.273499999999999</v>
      </c>
      <c r="V10">
        <v>122.61799999999999</v>
      </c>
      <c r="W10">
        <v>105787.04640000001</v>
      </c>
      <c r="Y10" s="5">
        <v>2.4466999999999999</v>
      </c>
      <c r="Z10">
        <v>18.324000000000002</v>
      </c>
      <c r="AA10">
        <v>1.1037999999999999</v>
      </c>
      <c r="AB10">
        <v>17.2166</v>
      </c>
      <c r="AC10">
        <v>0.24959999999999999</v>
      </c>
      <c r="AD10">
        <v>0</v>
      </c>
      <c r="AE10">
        <v>75.199799999999996</v>
      </c>
      <c r="AF10">
        <v>30.6739</v>
      </c>
      <c r="AG10">
        <v>57.749000000000002</v>
      </c>
      <c r="AH10">
        <v>33699.986499999999</v>
      </c>
      <c r="AK10">
        <v>2.2389999999999999</v>
      </c>
      <c r="AL10">
        <v>35.8977</v>
      </c>
      <c r="AM10">
        <v>1.6458999999999999</v>
      </c>
      <c r="AN10">
        <v>25.205500000000001</v>
      </c>
      <c r="AO10">
        <v>0.16489999999999999</v>
      </c>
      <c r="AP10" t="s">
        <v>23</v>
      </c>
      <c r="AQ10">
        <v>62.063000000000002</v>
      </c>
      <c r="AR10">
        <v>54.322499999999998</v>
      </c>
      <c r="AS10">
        <v>34.24</v>
      </c>
      <c r="AT10">
        <v>20744.0327</v>
      </c>
      <c r="AV10">
        <v>5.4488000000000003</v>
      </c>
      <c r="AW10">
        <v>6.0622999999999996</v>
      </c>
      <c r="AX10">
        <v>0.88480000000000003</v>
      </c>
      <c r="AY10">
        <v>15.2403</v>
      </c>
      <c r="AZ10">
        <v>0.68959999999999999</v>
      </c>
      <c r="BA10" t="s">
        <v>23</v>
      </c>
      <c r="BB10">
        <v>8.0390999999999995</v>
      </c>
      <c r="BC10">
        <v>2.6814</v>
      </c>
      <c r="BD10">
        <v>41</v>
      </c>
      <c r="BE10" s="33">
        <v>37164.659099999997</v>
      </c>
      <c r="BF10" s="8"/>
      <c r="BG10" s="8"/>
      <c r="BH10" s="5">
        <v>2.3437999999999999</v>
      </c>
      <c r="BI10">
        <v>28.9373</v>
      </c>
      <c r="BJ10">
        <v>1.6791</v>
      </c>
      <c r="BK10">
        <v>36.722900000000003</v>
      </c>
      <c r="BL10">
        <v>0.94879999999999998</v>
      </c>
      <c r="BM10" t="s">
        <v>23</v>
      </c>
      <c r="BN10">
        <v>15.744899999999999</v>
      </c>
      <c r="BO10">
        <v>12.4473</v>
      </c>
      <c r="BP10">
        <v>19.033999999999999</v>
      </c>
      <c r="BQ10">
        <v>13053.932699999999</v>
      </c>
      <c r="CE10" s="1">
        <f t="shared" si="1"/>
        <v>43679</v>
      </c>
      <c r="CF10" s="35">
        <f t="shared" si="2"/>
        <v>3.6454001901036577</v>
      </c>
      <c r="CG10" s="36">
        <f t="shared" si="0"/>
        <v>-0.55592305709708167</v>
      </c>
    </row>
    <row r="11" spans="1:90" x14ac:dyDescent="0.25">
      <c r="A11" s="43">
        <v>43686</v>
      </c>
      <c r="B11" s="5">
        <v>3.1410999999999998</v>
      </c>
      <c r="C11">
        <v>29.6249</v>
      </c>
      <c r="D11">
        <v>1.8492999999999999</v>
      </c>
      <c r="E11">
        <v>37.318899999999999</v>
      </c>
      <c r="F11">
        <v>0.84550000000000003</v>
      </c>
      <c r="G11">
        <v>0</v>
      </c>
      <c r="H11">
        <v>84.015500000000003</v>
      </c>
      <c r="I11">
        <v>75.389300000000006</v>
      </c>
      <c r="J11">
        <v>32.295999999999999</v>
      </c>
      <c r="K11">
        <v>61242.200299999997</v>
      </c>
      <c r="M11" s="43">
        <v>43686</v>
      </c>
      <c r="N11" s="5">
        <v>4.4151999999999996</v>
      </c>
      <c r="O11">
        <v>48.606099999999998</v>
      </c>
      <c r="P11">
        <v>2.1113</v>
      </c>
      <c r="Q11">
        <v>38.934800000000003</v>
      </c>
      <c r="R11">
        <v>0.48270000000000002</v>
      </c>
      <c r="S11">
        <v>195.11080000000001</v>
      </c>
      <c r="T11">
        <v>49.3598</v>
      </c>
      <c r="U11">
        <v>42.273499999999999</v>
      </c>
      <c r="V11">
        <v>131.827</v>
      </c>
      <c r="W11">
        <v>113731.99920000001</v>
      </c>
      <c r="Y11" s="5">
        <v>2.4611000000000001</v>
      </c>
      <c r="Z11">
        <v>18.324000000000002</v>
      </c>
      <c r="AA11">
        <v>1.1037999999999999</v>
      </c>
      <c r="AB11">
        <v>17.2166</v>
      </c>
      <c r="AC11">
        <v>0.24959999999999999</v>
      </c>
      <c r="AD11">
        <v>0</v>
      </c>
      <c r="AE11">
        <v>75.199799999999996</v>
      </c>
      <c r="AF11">
        <v>30.6739</v>
      </c>
      <c r="AG11">
        <v>58.125999999999998</v>
      </c>
      <c r="AH11">
        <v>33919.673499999997</v>
      </c>
      <c r="AK11">
        <v>2.2812000000000001</v>
      </c>
      <c r="AL11">
        <v>35.8977</v>
      </c>
      <c r="AM11">
        <v>1.6458999999999999</v>
      </c>
      <c r="AN11">
        <v>25.205500000000001</v>
      </c>
      <c r="AO11">
        <v>0.16489999999999999</v>
      </c>
      <c r="AP11" t="s">
        <v>23</v>
      </c>
      <c r="AQ11">
        <v>62.063000000000002</v>
      </c>
      <c r="AR11">
        <v>54.322499999999998</v>
      </c>
      <c r="AS11">
        <v>34.936999999999998</v>
      </c>
      <c r="AT11">
        <v>21166.4728</v>
      </c>
      <c r="AV11">
        <v>5.5997000000000003</v>
      </c>
      <c r="AW11">
        <v>6.0622999999999996</v>
      </c>
      <c r="AX11">
        <v>0.88480000000000003</v>
      </c>
      <c r="AY11">
        <v>15.2403</v>
      </c>
      <c r="AZ11">
        <v>0.68959999999999999</v>
      </c>
      <c r="BA11" t="s">
        <v>23</v>
      </c>
      <c r="BB11">
        <v>8.0390999999999995</v>
      </c>
      <c r="BC11">
        <v>2.6814</v>
      </c>
      <c r="BD11">
        <v>42.3</v>
      </c>
      <c r="BE11" s="33">
        <v>38343.0507</v>
      </c>
      <c r="BF11" s="8"/>
      <c r="BG11" s="8"/>
      <c r="BH11" s="5">
        <v>2.2770000000000001</v>
      </c>
      <c r="BI11">
        <v>28.9373</v>
      </c>
      <c r="BJ11">
        <v>1.6791</v>
      </c>
      <c r="BK11">
        <v>36.722900000000003</v>
      </c>
      <c r="BL11">
        <v>0.94879999999999998</v>
      </c>
      <c r="BM11" t="s">
        <v>23</v>
      </c>
      <c r="BN11">
        <v>15.744899999999999</v>
      </c>
      <c r="BO11">
        <v>12.4473</v>
      </c>
      <c r="BP11">
        <v>18.120999999999999</v>
      </c>
      <c r="BQ11">
        <v>12427.844800000001</v>
      </c>
      <c r="CE11" s="1">
        <f t="shared" si="1"/>
        <v>43686</v>
      </c>
      <c r="CF11" s="35">
        <f t="shared" si="2"/>
        <v>3.8075886539435735</v>
      </c>
      <c r="CG11" s="36">
        <f t="shared" si="0"/>
        <v>-0.47954677380651139</v>
      </c>
    </row>
    <row r="12" spans="1:90" x14ac:dyDescent="0.25">
      <c r="A12" s="43">
        <v>43693</v>
      </c>
      <c r="B12" s="5">
        <v>2.1255999999999999</v>
      </c>
      <c r="C12">
        <v>29.6249</v>
      </c>
      <c r="D12">
        <v>1.8492999999999999</v>
      </c>
      <c r="E12">
        <v>37.318899999999999</v>
      </c>
      <c r="F12">
        <v>0.84550000000000003</v>
      </c>
      <c r="G12">
        <v>0</v>
      </c>
      <c r="H12">
        <v>84.015500000000003</v>
      </c>
      <c r="I12">
        <v>75.389300000000006</v>
      </c>
      <c r="J12">
        <v>17.805</v>
      </c>
      <c r="K12">
        <v>33762.696300000003</v>
      </c>
      <c r="M12" s="43">
        <v>43693</v>
      </c>
      <c r="N12" s="5">
        <v>3.4771000000000001</v>
      </c>
      <c r="O12">
        <v>48.606099999999998</v>
      </c>
      <c r="P12">
        <v>2.1113</v>
      </c>
      <c r="Q12">
        <v>38.934800000000003</v>
      </c>
      <c r="R12">
        <v>0.48270000000000002</v>
      </c>
      <c r="S12">
        <v>195.11080000000001</v>
      </c>
      <c r="T12">
        <v>49.3598</v>
      </c>
      <c r="U12">
        <v>42.273499999999999</v>
      </c>
      <c r="V12">
        <v>100.378</v>
      </c>
      <c r="W12">
        <v>86599.985400000005</v>
      </c>
      <c r="Y12" s="5">
        <v>1.5902000000000001</v>
      </c>
      <c r="Z12">
        <v>18.324000000000002</v>
      </c>
      <c r="AA12">
        <v>1.1037999999999999</v>
      </c>
      <c r="AB12">
        <v>17.2166</v>
      </c>
      <c r="AC12">
        <v>0.24959999999999999</v>
      </c>
      <c r="AD12">
        <v>0</v>
      </c>
      <c r="AE12">
        <v>75.199799999999996</v>
      </c>
      <c r="AF12">
        <v>30.6739</v>
      </c>
      <c r="AG12">
        <v>35.237000000000002</v>
      </c>
      <c r="AH12">
        <v>20562.703600000001</v>
      </c>
      <c r="AK12">
        <v>1.2053</v>
      </c>
      <c r="AL12">
        <v>35.8977</v>
      </c>
      <c r="AM12">
        <v>1.6458999999999999</v>
      </c>
      <c r="AN12">
        <v>25.205500000000001</v>
      </c>
      <c r="AO12">
        <v>0.16489999999999999</v>
      </c>
      <c r="AP12" t="s">
        <v>23</v>
      </c>
      <c r="AQ12">
        <v>62.063000000000002</v>
      </c>
      <c r="AR12">
        <v>54.322499999999998</v>
      </c>
      <c r="AS12">
        <v>17.175000000000001</v>
      </c>
      <c r="AT12">
        <v>10405.366900000001</v>
      </c>
      <c r="AV12">
        <v>3.1795</v>
      </c>
      <c r="AW12">
        <v>6.0622999999999996</v>
      </c>
      <c r="AX12">
        <v>0.88480000000000003</v>
      </c>
      <c r="AY12">
        <v>15.2403</v>
      </c>
      <c r="AZ12">
        <v>0.68959999999999999</v>
      </c>
      <c r="BA12" t="s">
        <v>23</v>
      </c>
      <c r="BB12">
        <v>8.0390999999999995</v>
      </c>
      <c r="BC12">
        <v>2.6814</v>
      </c>
      <c r="BD12">
        <v>21.45</v>
      </c>
      <c r="BE12" s="33">
        <v>19443.461899999998</v>
      </c>
      <c r="BF12" s="8"/>
      <c r="BG12" s="8"/>
      <c r="BH12" s="5">
        <v>1.8797999999999999</v>
      </c>
      <c r="BI12">
        <v>28.9373</v>
      </c>
      <c r="BJ12">
        <v>1.6791</v>
      </c>
      <c r="BK12">
        <v>36.722900000000003</v>
      </c>
      <c r="BL12">
        <v>0.94879999999999998</v>
      </c>
      <c r="BM12" t="s">
        <v>23</v>
      </c>
      <c r="BN12">
        <v>15.744899999999999</v>
      </c>
      <c r="BO12">
        <v>12.4473</v>
      </c>
      <c r="BP12">
        <v>12.689</v>
      </c>
      <c r="BQ12">
        <v>8702.6218000000008</v>
      </c>
      <c r="CE12" s="1">
        <f t="shared" si="1"/>
        <v>43693</v>
      </c>
      <c r="CF12" s="35">
        <f t="shared" si="2"/>
        <v>2.7652753602483142</v>
      </c>
      <c r="CG12" s="36">
        <f t="shared" si="0"/>
        <v>-0.97038325817799975</v>
      </c>
    </row>
    <row r="13" spans="1:90" x14ac:dyDescent="0.25">
      <c r="A13" s="43">
        <v>43700</v>
      </c>
      <c r="B13" s="5">
        <v>2.0165000000000002</v>
      </c>
      <c r="C13">
        <v>29.6249</v>
      </c>
      <c r="D13">
        <v>1.8492999999999999</v>
      </c>
      <c r="E13">
        <v>37.318899999999999</v>
      </c>
      <c r="F13">
        <v>0.84550000000000003</v>
      </c>
      <c r="G13">
        <v>0</v>
      </c>
      <c r="H13">
        <v>84.015500000000003</v>
      </c>
      <c r="I13">
        <v>75.389300000000006</v>
      </c>
      <c r="J13">
        <v>16.248000000000001</v>
      </c>
      <c r="K13">
        <v>30810.352900000002</v>
      </c>
      <c r="M13" s="43">
        <v>43700</v>
      </c>
      <c r="N13" s="5">
        <v>3.1762999999999999</v>
      </c>
      <c r="O13">
        <v>48.606099999999998</v>
      </c>
      <c r="P13">
        <v>2.1113</v>
      </c>
      <c r="Q13">
        <v>38.934800000000003</v>
      </c>
      <c r="R13">
        <v>0.48270000000000002</v>
      </c>
      <c r="S13">
        <v>195.11080000000001</v>
      </c>
      <c r="T13">
        <v>49.3598</v>
      </c>
      <c r="U13">
        <v>42.273499999999999</v>
      </c>
      <c r="V13">
        <v>90.295000000000002</v>
      </c>
      <c r="W13">
        <v>77900.262100000007</v>
      </c>
      <c r="Y13" s="5">
        <v>1.3695999999999999</v>
      </c>
      <c r="Z13">
        <v>18.324000000000002</v>
      </c>
      <c r="AA13">
        <v>1.1037999999999999</v>
      </c>
      <c r="AB13">
        <v>17.2166</v>
      </c>
      <c r="AC13">
        <v>0.24959999999999999</v>
      </c>
      <c r="AD13">
        <v>0</v>
      </c>
      <c r="AE13">
        <v>75.199799999999996</v>
      </c>
      <c r="AF13">
        <v>30.6739</v>
      </c>
      <c r="AG13">
        <v>29.439</v>
      </c>
      <c r="AH13">
        <v>17179.523799999999</v>
      </c>
      <c r="AK13">
        <v>1.0808</v>
      </c>
      <c r="AL13">
        <v>35.8977</v>
      </c>
      <c r="AM13">
        <v>1.6458999999999999</v>
      </c>
      <c r="AN13">
        <v>25.205500000000001</v>
      </c>
      <c r="AO13">
        <v>0.16489999999999999</v>
      </c>
      <c r="AP13" t="s">
        <v>23</v>
      </c>
      <c r="AQ13">
        <v>62.063000000000002</v>
      </c>
      <c r="AR13">
        <v>54.322499999999998</v>
      </c>
      <c r="AS13">
        <v>15.12</v>
      </c>
      <c r="AT13">
        <v>9160.2801999999992</v>
      </c>
      <c r="AV13">
        <v>2.7557999999999998</v>
      </c>
      <c r="AW13">
        <v>6.0622999999999996</v>
      </c>
      <c r="AX13">
        <v>0.88480000000000003</v>
      </c>
      <c r="AY13">
        <v>15.2403</v>
      </c>
      <c r="AZ13">
        <v>0.68959999999999999</v>
      </c>
      <c r="BA13" t="s">
        <v>23</v>
      </c>
      <c r="BB13">
        <v>8.0390999999999995</v>
      </c>
      <c r="BC13">
        <v>2.6814</v>
      </c>
      <c r="BD13">
        <v>17.8</v>
      </c>
      <c r="BE13" s="33">
        <v>16134.900799999999</v>
      </c>
      <c r="BF13" s="8"/>
      <c r="BG13" s="8"/>
      <c r="BH13" s="5">
        <v>1.823</v>
      </c>
      <c r="BI13">
        <v>28.9373</v>
      </c>
      <c r="BJ13">
        <v>1.6791</v>
      </c>
      <c r="BK13">
        <v>36.722900000000003</v>
      </c>
      <c r="BL13">
        <v>0.94879999999999998</v>
      </c>
      <c r="BM13" t="s">
        <v>23</v>
      </c>
      <c r="BN13">
        <v>15.744899999999999</v>
      </c>
      <c r="BO13">
        <v>12.4473</v>
      </c>
      <c r="BP13">
        <v>11.913</v>
      </c>
      <c r="BQ13">
        <v>8170.4471000000003</v>
      </c>
      <c r="CE13" s="1">
        <f t="shared" si="1"/>
        <v>43700</v>
      </c>
      <c r="CF13" s="35">
        <f t="shared" si="2"/>
        <v>2.524869217366617</v>
      </c>
      <c r="CG13" s="36">
        <f t="shared" si="0"/>
        <v>-1.0835930835799403</v>
      </c>
    </row>
    <row r="14" spans="1:90" x14ac:dyDescent="0.25">
      <c r="A14" s="43">
        <v>43707</v>
      </c>
      <c r="B14" s="5">
        <v>1.8290999999999999</v>
      </c>
      <c r="C14">
        <v>29.6249</v>
      </c>
      <c r="D14">
        <v>1.8492999999999999</v>
      </c>
      <c r="E14">
        <v>37.318899999999999</v>
      </c>
      <c r="F14">
        <v>0.84550000000000003</v>
      </c>
      <c r="G14">
        <v>0</v>
      </c>
      <c r="H14">
        <v>84.015500000000003</v>
      </c>
      <c r="I14">
        <v>75.389300000000006</v>
      </c>
      <c r="J14">
        <v>13.573</v>
      </c>
      <c r="K14">
        <v>25738.378400000001</v>
      </c>
      <c r="M14" s="43">
        <v>43707</v>
      </c>
      <c r="N14" s="5">
        <v>3.0773999999999999</v>
      </c>
      <c r="O14">
        <v>48.606099999999998</v>
      </c>
      <c r="P14">
        <v>2.1113</v>
      </c>
      <c r="Q14">
        <v>38.934800000000003</v>
      </c>
      <c r="R14">
        <v>0.48270000000000002</v>
      </c>
      <c r="S14">
        <v>195.11080000000001</v>
      </c>
      <c r="T14">
        <v>49.3598</v>
      </c>
      <c r="U14">
        <v>42.273499999999999</v>
      </c>
      <c r="V14">
        <v>86.978999999999999</v>
      </c>
      <c r="W14">
        <v>75040.079100000003</v>
      </c>
      <c r="Y14" s="5">
        <v>0.94569999999999999</v>
      </c>
      <c r="Z14">
        <v>18.324000000000002</v>
      </c>
      <c r="AA14">
        <v>1.1037999999999999</v>
      </c>
      <c r="AB14">
        <v>17.2166</v>
      </c>
      <c r="AC14">
        <v>0.24959999999999999</v>
      </c>
      <c r="AD14">
        <v>0</v>
      </c>
      <c r="AE14">
        <v>75.199799999999996</v>
      </c>
      <c r="AF14">
        <v>30.6739</v>
      </c>
      <c r="AG14">
        <v>18.295999999999999</v>
      </c>
      <c r="AH14">
        <v>10676.788399999999</v>
      </c>
      <c r="AK14">
        <v>0.9274</v>
      </c>
      <c r="AL14">
        <v>35.8977</v>
      </c>
      <c r="AM14">
        <v>1.6458999999999999</v>
      </c>
      <c r="AN14">
        <v>25.205500000000001</v>
      </c>
      <c r="AO14">
        <v>0.16489999999999999</v>
      </c>
      <c r="AP14" t="s">
        <v>23</v>
      </c>
      <c r="AQ14">
        <v>62.063000000000002</v>
      </c>
      <c r="AR14">
        <v>54.322499999999998</v>
      </c>
      <c r="AS14">
        <v>12.587999999999999</v>
      </c>
      <c r="AT14">
        <v>7626.1556</v>
      </c>
      <c r="AV14">
        <v>2.6629</v>
      </c>
      <c r="AW14">
        <v>6.0622999999999996</v>
      </c>
      <c r="AX14">
        <v>0.88480000000000003</v>
      </c>
      <c r="AY14">
        <v>15.2403</v>
      </c>
      <c r="AZ14">
        <v>0.68959999999999999</v>
      </c>
      <c r="BA14" t="s">
        <v>23</v>
      </c>
      <c r="BB14">
        <v>8.0390999999999995</v>
      </c>
      <c r="BC14">
        <v>2.6814</v>
      </c>
      <c r="BD14">
        <v>17</v>
      </c>
      <c r="BE14" s="33">
        <v>15409.736699999999</v>
      </c>
      <c r="BF14" s="8"/>
      <c r="BG14" s="8"/>
      <c r="BH14" s="5">
        <v>1.7128000000000001</v>
      </c>
      <c r="BI14">
        <v>28.9373</v>
      </c>
      <c r="BJ14">
        <v>1.6791</v>
      </c>
      <c r="BK14">
        <v>36.722900000000003</v>
      </c>
      <c r="BL14">
        <v>0.94879999999999998</v>
      </c>
      <c r="BM14" t="s">
        <v>23</v>
      </c>
      <c r="BN14">
        <v>15.744899999999999</v>
      </c>
      <c r="BO14">
        <v>12.4473</v>
      </c>
      <c r="BP14">
        <v>10.407</v>
      </c>
      <c r="BQ14">
        <v>7137.4021000000002</v>
      </c>
      <c r="CE14" s="1">
        <f t="shared" si="1"/>
        <v>43707</v>
      </c>
      <c r="CF14" s="35">
        <f t="shared" si="2"/>
        <v>2.4602066242040479</v>
      </c>
      <c r="CG14" s="36">
        <f t="shared" si="0"/>
        <v>-1.1140433906903271</v>
      </c>
    </row>
    <row r="15" spans="1:90" x14ac:dyDescent="0.25">
      <c r="A15" s="43">
        <v>43714</v>
      </c>
      <c r="B15" s="5">
        <v>1.9550000000000001</v>
      </c>
      <c r="C15">
        <v>29.6249</v>
      </c>
      <c r="D15">
        <v>1.8492999999999999</v>
      </c>
      <c r="E15">
        <v>37.318899999999999</v>
      </c>
      <c r="F15">
        <v>0.84550000000000003</v>
      </c>
      <c r="G15">
        <v>0</v>
      </c>
      <c r="H15">
        <v>84.015500000000003</v>
      </c>
      <c r="I15">
        <v>75.389300000000006</v>
      </c>
      <c r="J15">
        <v>15.37</v>
      </c>
      <c r="K15">
        <v>29144.928400000001</v>
      </c>
      <c r="M15" s="43">
        <v>43714</v>
      </c>
      <c r="N15" s="5">
        <v>3.3273999999999999</v>
      </c>
      <c r="O15">
        <v>48.606099999999998</v>
      </c>
      <c r="P15">
        <v>2.1113</v>
      </c>
      <c r="Q15">
        <v>38.934800000000003</v>
      </c>
      <c r="R15">
        <v>0.48270000000000002</v>
      </c>
      <c r="S15">
        <v>195.11080000000001</v>
      </c>
      <c r="T15">
        <v>49.3598</v>
      </c>
      <c r="U15">
        <v>42.273499999999999</v>
      </c>
      <c r="V15">
        <v>95.36</v>
      </c>
      <c r="W15">
        <v>82269.986099999995</v>
      </c>
      <c r="Y15" s="5">
        <v>1.1448</v>
      </c>
      <c r="Z15">
        <v>18.324000000000002</v>
      </c>
      <c r="AA15">
        <v>1.1037999999999999</v>
      </c>
      <c r="AB15">
        <v>17.2166</v>
      </c>
      <c r="AC15">
        <v>0.24959999999999999</v>
      </c>
      <c r="AD15">
        <v>0</v>
      </c>
      <c r="AE15">
        <v>75.199799999999996</v>
      </c>
      <c r="AF15">
        <v>30.6739</v>
      </c>
      <c r="AG15">
        <v>23.529</v>
      </c>
      <c r="AH15">
        <v>13730.4378</v>
      </c>
      <c r="AK15">
        <v>0.97629999999999995</v>
      </c>
      <c r="AL15">
        <v>35.8977</v>
      </c>
      <c r="AM15">
        <v>1.6458999999999999</v>
      </c>
      <c r="AN15">
        <v>25.205500000000001</v>
      </c>
      <c r="AO15">
        <v>0.16489999999999999</v>
      </c>
      <c r="AP15" t="s">
        <v>23</v>
      </c>
      <c r="AQ15">
        <v>62.063000000000002</v>
      </c>
      <c r="AR15">
        <v>54.322499999999998</v>
      </c>
      <c r="AS15">
        <v>13.395</v>
      </c>
      <c r="AT15">
        <v>8115.2968000000001</v>
      </c>
      <c r="AV15">
        <v>3.0112000000000001</v>
      </c>
      <c r="AW15">
        <v>6.0622999999999996</v>
      </c>
      <c r="AX15">
        <v>0.88480000000000003</v>
      </c>
      <c r="AY15">
        <v>15.2403</v>
      </c>
      <c r="AZ15">
        <v>0.68959999999999999</v>
      </c>
      <c r="BA15" t="s">
        <v>23</v>
      </c>
      <c r="BB15">
        <v>8.0390999999999995</v>
      </c>
      <c r="BC15">
        <v>2.6814</v>
      </c>
      <c r="BD15">
        <v>20</v>
      </c>
      <c r="BE15" s="33">
        <v>18129.101999999999</v>
      </c>
      <c r="BF15" s="8"/>
      <c r="BG15" s="8"/>
      <c r="BH15" s="5">
        <v>1.9899</v>
      </c>
      <c r="BI15">
        <v>28.9373</v>
      </c>
      <c r="BJ15">
        <v>1.6791</v>
      </c>
      <c r="BK15">
        <v>36.722900000000003</v>
      </c>
      <c r="BL15">
        <v>0.94879999999999998</v>
      </c>
      <c r="BM15" t="s">
        <v>23</v>
      </c>
      <c r="BN15">
        <v>15.744899999999999</v>
      </c>
      <c r="BO15">
        <v>12.4473</v>
      </c>
      <c r="BP15">
        <v>14.195</v>
      </c>
      <c r="BQ15">
        <v>9735.6668000000009</v>
      </c>
      <c r="CE15" s="1">
        <f t="shared" si="1"/>
        <v>43714</v>
      </c>
      <c r="CF15" s="35">
        <f t="shared" si="2"/>
        <v>2.6583540767228633</v>
      </c>
      <c r="CG15" s="36">
        <f t="shared" si="0"/>
        <v>-1.0207336348138591</v>
      </c>
    </row>
    <row r="16" spans="1:90" x14ac:dyDescent="0.25">
      <c r="A16" s="43">
        <v>43721</v>
      </c>
      <c r="B16" s="5">
        <v>2.1032999999999999</v>
      </c>
      <c r="C16">
        <v>29.6249</v>
      </c>
      <c r="D16">
        <v>1.8492999999999999</v>
      </c>
      <c r="E16">
        <v>37.318899999999999</v>
      </c>
      <c r="F16">
        <v>0.84550000000000003</v>
      </c>
      <c r="G16">
        <v>0</v>
      </c>
      <c r="H16">
        <v>84.015500000000003</v>
      </c>
      <c r="I16">
        <v>75.389300000000006</v>
      </c>
      <c r="J16">
        <v>17.484999999999999</v>
      </c>
      <c r="K16">
        <v>33157.087399999997</v>
      </c>
      <c r="M16" s="43">
        <v>43721</v>
      </c>
      <c r="N16" s="5">
        <v>3.5636000000000001</v>
      </c>
      <c r="O16">
        <v>48.606099999999998</v>
      </c>
      <c r="P16">
        <v>2.1113</v>
      </c>
      <c r="Q16">
        <v>38.934800000000003</v>
      </c>
      <c r="R16">
        <v>0.48270000000000002</v>
      </c>
      <c r="S16">
        <v>195.11080000000001</v>
      </c>
      <c r="T16">
        <v>49.3598</v>
      </c>
      <c r="U16">
        <v>42.273499999999999</v>
      </c>
      <c r="V16">
        <v>103.279</v>
      </c>
      <c r="W16">
        <v>89102.645499999999</v>
      </c>
      <c r="Y16" s="5">
        <v>1.5702</v>
      </c>
      <c r="Z16">
        <v>18.324000000000002</v>
      </c>
      <c r="AA16">
        <v>1.1037999999999999</v>
      </c>
      <c r="AB16">
        <v>17.2166</v>
      </c>
      <c r="AC16">
        <v>0.24959999999999999</v>
      </c>
      <c r="AD16">
        <v>0</v>
      </c>
      <c r="AE16">
        <v>75.199799999999996</v>
      </c>
      <c r="AF16">
        <v>30.6739</v>
      </c>
      <c r="AG16">
        <v>34.71</v>
      </c>
      <c r="AH16">
        <v>20255.141800000001</v>
      </c>
      <c r="AK16">
        <v>1.2253000000000001</v>
      </c>
      <c r="AL16">
        <v>35.8977</v>
      </c>
      <c r="AM16">
        <v>1.6458999999999999</v>
      </c>
      <c r="AN16">
        <v>25.205500000000001</v>
      </c>
      <c r="AO16">
        <v>0.16489999999999999</v>
      </c>
      <c r="AP16" t="s">
        <v>23</v>
      </c>
      <c r="AQ16">
        <v>62.063000000000002</v>
      </c>
      <c r="AR16">
        <v>54.322499999999998</v>
      </c>
      <c r="AS16">
        <v>17.504999999999999</v>
      </c>
      <c r="AT16">
        <v>10605.4701</v>
      </c>
      <c r="AV16">
        <v>3.5219</v>
      </c>
      <c r="AW16">
        <v>6.0622999999999996</v>
      </c>
      <c r="AX16">
        <v>0.88480000000000003</v>
      </c>
      <c r="AY16">
        <v>15.2403</v>
      </c>
      <c r="AZ16">
        <v>0.68959999999999999</v>
      </c>
      <c r="BA16" t="s">
        <v>23</v>
      </c>
      <c r="BB16">
        <v>8.0390999999999995</v>
      </c>
      <c r="BC16">
        <v>2.6814</v>
      </c>
      <c r="BD16">
        <v>24.4</v>
      </c>
      <c r="BE16" s="33">
        <v>22117.504400000002</v>
      </c>
      <c r="BF16" s="8"/>
      <c r="BG16" s="8"/>
      <c r="BH16" s="5">
        <v>2.1267999999999998</v>
      </c>
      <c r="BI16">
        <v>28.9373</v>
      </c>
      <c r="BJ16">
        <v>1.6791</v>
      </c>
      <c r="BK16">
        <v>36.722900000000003</v>
      </c>
      <c r="BL16">
        <v>0.94879999999999998</v>
      </c>
      <c r="BM16" t="s">
        <v>23</v>
      </c>
      <c r="BN16">
        <v>15.744899999999999</v>
      </c>
      <c r="BO16">
        <v>12.4473</v>
      </c>
      <c r="BP16">
        <v>16.067</v>
      </c>
      <c r="BQ16">
        <v>11019.147000000001</v>
      </c>
      <c r="CE16" s="1">
        <f t="shared" si="1"/>
        <v>43721</v>
      </c>
      <c r="CF16" s="35">
        <f t="shared" si="2"/>
        <v>2.8637644065370682</v>
      </c>
      <c r="CG16" s="36">
        <f t="shared" si="0"/>
        <v>-0.92400371229493006</v>
      </c>
    </row>
    <row r="17" spans="1:85" x14ac:dyDescent="0.25">
      <c r="A17" s="43">
        <v>43728</v>
      </c>
      <c r="B17" s="5">
        <v>2.1116000000000001</v>
      </c>
      <c r="C17">
        <v>29.6249</v>
      </c>
      <c r="D17">
        <v>1.8492999999999999</v>
      </c>
      <c r="E17">
        <v>37.318899999999999</v>
      </c>
      <c r="F17">
        <v>0.84550000000000003</v>
      </c>
      <c r="G17">
        <v>0</v>
      </c>
      <c r="H17">
        <v>84.015500000000003</v>
      </c>
      <c r="I17">
        <v>75.389300000000006</v>
      </c>
      <c r="J17">
        <v>17.605</v>
      </c>
      <c r="K17">
        <v>33384.190699999999</v>
      </c>
      <c r="M17" s="43">
        <v>43728</v>
      </c>
      <c r="N17" s="5">
        <v>3.6968000000000001</v>
      </c>
      <c r="O17">
        <v>48.606099999999998</v>
      </c>
      <c r="P17">
        <v>2.1113</v>
      </c>
      <c r="Q17">
        <v>38.934800000000003</v>
      </c>
      <c r="R17">
        <v>0.48270000000000002</v>
      </c>
      <c r="S17">
        <v>195.11080000000001</v>
      </c>
      <c r="T17">
        <v>49.3598</v>
      </c>
      <c r="U17">
        <v>42.273499999999999</v>
      </c>
      <c r="V17">
        <v>107.746</v>
      </c>
      <c r="W17">
        <v>92955.9476</v>
      </c>
      <c r="Y17" s="5">
        <v>1.6289</v>
      </c>
      <c r="Z17">
        <v>18.324000000000002</v>
      </c>
      <c r="AA17">
        <v>1.1037999999999999</v>
      </c>
      <c r="AB17">
        <v>17.2166</v>
      </c>
      <c r="AC17">
        <v>0.24959999999999999</v>
      </c>
      <c r="AD17">
        <v>0</v>
      </c>
      <c r="AE17">
        <v>75.199799999999996</v>
      </c>
      <c r="AF17">
        <v>30.6739</v>
      </c>
      <c r="AG17">
        <v>36.253</v>
      </c>
      <c r="AH17">
        <v>21155.858499999998</v>
      </c>
      <c r="AK17">
        <v>1.2208000000000001</v>
      </c>
      <c r="AL17">
        <v>35.8977</v>
      </c>
      <c r="AM17">
        <v>1.6458999999999999</v>
      </c>
      <c r="AN17">
        <v>25.205500000000001</v>
      </c>
      <c r="AO17">
        <v>0.16489999999999999</v>
      </c>
      <c r="AP17" t="s">
        <v>23</v>
      </c>
      <c r="AQ17">
        <v>62.063000000000002</v>
      </c>
      <c r="AR17">
        <v>54.322499999999998</v>
      </c>
      <c r="AS17">
        <v>17.431999999999999</v>
      </c>
      <c r="AT17">
        <v>10561.002699999999</v>
      </c>
      <c r="AV17">
        <v>3.7307999999999999</v>
      </c>
      <c r="AW17">
        <v>6.0622999999999996</v>
      </c>
      <c r="AX17">
        <v>0.88480000000000003</v>
      </c>
      <c r="AY17">
        <v>15.2403</v>
      </c>
      <c r="AZ17">
        <v>0.68959999999999999</v>
      </c>
      <c r="BA17" t="s">
        <v>23</v>
      </c>
      <c r="BB17">
        <v>8.0390999999999995</v>
      </c>
      <c r="BC17">
        <v>2.6814</v>
      </c>
      <c r="BD17">
        <v>26.2</v>
      </c>
      <c r="BE17" s="33">
        <v>23749.123599999999</v>
      </c>
      <c r="BF17" s="8"/>
      <c r="BG17" s="8"/>
      <c r="BH17" s="5">
        <v>2.0800999999999998</v>
      </c>
      <c r="BI17">
        <v>28.9373</v>
      </c>
      <c r="BJ17">
        <v>1.6791</v>
      </c>
      <c r="BK17">
        <v>36.722900000000003</v>
      </c>
      <c r="BL17">
        <v>0.94879999999999998</v>
      </c>
      <c r="BM17" t="s">
        <v>23</v>
      </c>
      <c r="BN17">
        <v>15.744899999999999</v>
      </c>
      <c r="BO17">
        <v>12.4473</v>
      </c>
      <c r="BP17">
        <v>15.428000000000001</v>
      </c>
      <c r="BQ17">
        <v>10580.8855</v>
      </c>
      <c r="CE17" s="1">
        <f t="shared" si="1"/>
        <v>43728</v>
      </c>
      <c r="CF17" s="35">
        <f t="shared" si="2"/>
        <v>2.9736923953192549</v>
      </c>
      <c r="CG17" s="36">
        <f t="shared" si="0"/>
        <v>-0.87223744597725972</v>
      </c>
    </row>
    <row r="18" spans="1:85" x14ac:dyDescent="0.25">
      <c r="A18" s="43">
        <v>43735</v>
      </c>
      <c r="B18" s="5">
        <v>1.9157999999999999</v>
      </c>
      <c r="C18">
        <v>29.6249</v>
      </c>
      <c r="D18">
        <v>1.8492999999999999</v>
      </c>
      <c r="E18">
        <v>37.318899999999999</v>
      </c>
      <c r="F18">
        <v>0.84550000000000003</v>
      </c>
      <c r="G18">
        <v>0</v>
      </c>
      <c r="H18">
        <v>84.015500000000003</v>
      </c>
      <c r="I18">
        <v>75.389300000000006</v>
      </c>
      <c r="J18">
        <v>14.811</v>
      </c>
      <c r="K18">
        <v>28085.112799999999</v>
      </c>
      <c r="M18" s="43">
        <v>43735</v>
      </c>
      <c r="N18" s="5">
        <v>3.4729000000000001</v>
      </c>
      <c r="O18">
        <v>48.606099999999998</v>
      </c>
      <c r="P18">
        <v>2.1113</v>
      </c>
      <c r="Q18">
        <v>38.934800000000003</v>
      </c>
      <c r="R18">
        <v>0.48270000000000002</v>
      </c>
      <c r="S18">
        <v>195.11080000000001</v>
      </c>
      <c r="T18">
        <v>49.3598</v>
      </c>
      <c r="U18">
        <v>42.273499999999999</v>
      </c>
      <c r="V18">
        <v>100.24</v>
      </c>
      <c r="W18">
        <v>86480.811100000006</v>
      </c>
      <c r="Y18" s="5">
        <v>1.4756</v>
      </c>
      <c r="Z18">
        <v>18.324000000000002</v>
      </c>
      <c r="AA18">
        <v>1.1037999999999999</v>
      </c>
      <c r="AB18">
        <v>17.2166</v>
      </c>
      <c r="AC18">
        <v>0.24959999999999999</v>
      </c>
      <c r="AD18">
        <v>0</v>
      </c>
      <c r="AE18">
        <v>75.199799999999996</v>
      </c>
      <c r="AF18">
        <v>30.6739</v>
      </c>
      <c r="AG18">
        <v>32.225000000000001</v>
      </c>
      <c r="AH18">
        <v>18805.207600000002</v>
      </c>
      <c r="AK18">
        <v>1.1253</v>
      </c>
      <c r="AL18">
        <v>35.8977</v>
      </c>
      <c r="AM18">
        <v>1.6458999999999999</v>
      </c>
      <c r="AN18">
        <v>25.205500000000001</v>
      </c>
      <c r="AO18">
        <v>0.16489999999999999</v>
      </c>
      <c r="AP18" t="s">
        <v>23</v>
      </c>
      <c r="AQ18">
        <v>62.063000000000002</v>
      </c>
      <c r="AR18">
        <v>54.322499999999998</v>
      </c>
      <c r="AS18">
        <v>15.853999999999999</v>
      </c>
      <c r="AT18">
        <v>9604.9539999999997</v>
      </c>
      <c r="AV18">
        <v>3.3014000000000001</v>
      </c>
      <c r="AW18">
        <v>6.0622999999999996</v>
      </c>
      <c r="AX18">
        <v>0.88480000000000003</v>
      </c>
      <c r="AY18">
        <v>15.2403</v>
      </c>
      <c r="AZ18">
        <v>0.68959999999999999</v>
      </c>
      <c r="BA18" t="s">
        <v>23</v>
      </c>
      <c r="BB18">
        <v>8.0390999999999995</v>
      </c>
      <c r="BC18">
        <v>2.6814</v>
      </c>
      <c r="BD18">
        <v>22.5</v>
      </c>
      <c r="BE18" s="33">
        <v>20395.239799999999</v>
      </c>
      <c r="BF18" s="8"/>
      <c r="BG18" s="8"/>
      <c r="BH18" s="5">
        <v>1.9031</v>
      </c>
      <c r="BI18">
        <v>28.9373</v>
      </c>
      <c r="BJ18">
        <v>1.6791</v>
      </c>
      <c r="BK18">
        <v>36.722900000000003</v>
      </c>
      <c r="BL18">
        <v>0.94879999999999998</v>
      </c>
      <c r="BM18" t="s">
        <v>23</v>
      </c>
      <c r="BN18">
        <v>15.744899999999999</v>
      </c>
      <c r="BO18">
        <v>12.4473</v>
      </c>
      <c r="BP18">
        <v>13.009</v>
      </c>
      <c r="BQ18">
        <v>8921.7525999999998</v>
      </c>
      <c r="CE18" s="1">
        <f t="shared" si="1"/>
        <v>43735</v>
      </c>
      <c r="CF18" s="35">
        <f t="shared" si="2"/>
        <v>2.7686191744036974</v>
      </c>
      <c r="CG18" s="36">
        <f t="shared" si="0"/>
        <v>-0.96880862030822723</v>
      </c>
    </row>
    <row r="19" spans="1:85" x14ac:dyDescent="0.25">
      <c r="A19" s="43">
        <v>43742</v>
      </c>
      <c r="B19" s="5">
        <v>1.2665</v>
      </c>
      <c r="C19">
        <v>40.921399999999998</v>
      </c>
      <c r="D19">
        <v>2.0714999999999999</v>
      </c>
      <c r="E19">
        <v>38.406799999999997</v>
      </c>
      <c r="F19">
        <v>0.56340000000000001</v>
      </c>
      <c r="G19">
        <v>0</v>
      </c>
      <c r="H19">
        <v>123.0329</v>
      </c>
      <c r="I19">
        <v>114.79989999999999</v>
      </c>
      <c r="J19">
        <v>16.766999999999999</v>
      </c>
      <c r="K19">
        <v>31794.467400000001</v>
      </c>
      <c r="M19" s="43">
        <v>43742</v>
      </c>
      <c r="N19" s="5">
        <v>4.1688000000000001</v>
      </c>
      <c r="O19">
        <v>46.458199999999998</v>
      </c>
      <c r="P19">
        <v>1.3169999999999999</v>
      </c>
      <c r="Q19">
        <v>44.381900000000002</v>
      </c>
      <c r="R19">
        <v>0.76629999999999998</v>
      </c>
      <c r="S19">
        <v>195.11080000000001</v>
      </c>
      <c r="T19">
        <v>47.790799999999997</v>
      </c>
      <c r="U19">
        <v>40.009500000000003</v>
      </c>
      <c r="V19">
        <v>110.64700000000001</v>
      </c>
      <c r="W19">
        <v>95458.607799999998</v>
      </c>
      <c r="Y19" s="5">
        <v>1.8604000000000001</v>
      </c>
      <c r="Z19">
        <v>15.280099999999999</v>
      </c>
      <c r="AA19">
        <v>0.55359999999999998</v>
      </c>
      <c r="AB19">
        <v>20.0245</v>
      </c>
      <c r="AC19">
        <v>0.25850000000000001</v>
      </c>
      <c r="AD19">
        <v>0</v>
      </c>
      <c r="AE19">
        <v>74.901600000000002</v>
      </c>
      <c r="AF19">
        <v>30.487500000000001</v>
      </c>
      <c r="AG19">
        <v>40.959000000000003</v>
      </c>
      <c r="AH19">
        <v>23901.946100000001</v>
      </c>
      <c r="AK19">
        <v>1.0521</v>
      </c>
      <c r="AL19">
        <v>29.063500000000001</v>
      </c>
      <c r="AM19">
        <v>1.0392999999999999</v>
      </c>
      <c r="AN19">
        <v>27.335899999999999</v>
      </c>
      <c r="AO19">
        <v>0.1198</v>
      </c>
      <c r="AP19" t="s">
        <v>23</v>
      </c>
      <c r="AQ19">
        <v>62.266300000000001</v>
      </c>
      <c r="AR19">
        <v>54.183300000000003</v>
      </c>
      <c r="AS19">
        <v>16.808</v>
      </c>
      <c r="AT19">
        <v>10183.030000000001</v>
      </c>
      <c r="AV19">
        <v>3.1543000000000001</v>
      </c>
      <c r="AW19">
        <v>3.4964</v>
      </c>
      <c r="AX19">
        <v>0.74270000000000003</v>
      </c>
      <c r="AY19">
        <v>17.755600000000001</v>
      </c>
      <c r="AZ19">
        <v>0.89429999999999998</v>
      </c>
      <c r="BA19" t="s">
        <v>23</v>
      </c>
      <c r="BB19">
        <v>9.2675999999999998</v>
      </c>
      <c r="BC19">
        <v>3.7265999999999999</v>
      </c>
      <c r="BD19">
        <v>24</v>
      </c>
      <c r="BE19" s="33">
        <v>21754.922399999999</v>
      </c>
      <c r="BF19" s="8"/>
      <c r="BG19" s="8"/>
      <c r="BH19" s="5">
        <v>2.0253000000000001</v>
      </c>
      <c r="BI19">
        <v>-6.0312000000000001</v>
      </c>
      <c r="BJ19">
        <v>1.0215000000000001</v>
      </c>
      <c r="BK19">
        <v>37.999600000000001</v>
      </c>
      <c r="BL19">
        <v>0.98380000000000001</v>
      </c>
      <c r="BM19" t="s">
        <v>23</v>
      </c>
      <c r="BN19">
        <v>13.8802</v>
      </c>
      <c r="BO19">
        <v>10.837</v>
      </c>
      <c r="BP19">
        <v>14.423999999999999</v>
      </c>
      <c r="BQ19">
        <v>9892.1887999999999</v>
      </c>
      <c r="CE19" s="1">
        <f t="shared" si="1"/>
        <v>43742</v>
      </c>
      <c r="CF19" s="35">
        <f t="shared" si="2"/>
        <v>3.016047854192625</v>
      </c>
      <c r="CG19" s="36">
        <f t="shared" si="0"/>
        <v>-0.85229180712462471</v>
      </c>
    </row>
    <row r="20" spans="1:85" x14ac:dyDescent="0.25">
      <c r="A20" s="43">
        <v>43749</v>
      </c>
      <c r="B20" s="5">
        <v>1.2730999999999999</v>
      </c>
      <c r="C20">
        <v>40.921399999999998</v>
      </c>
      <c r="D20">
        <v>2.0714999999999999</v>
      </c>
      <c r="E20">
        <v>38.406799999999997</v>
      </c>
      <c r="F20">
        <v>0.56340000000000001</v>
      </c>
      <c r="G20">
        <v>0</v>
      </c>
      <c r="H20">
        <v>123.0329</v>
      </c>
      <c r="I20">
        <v>114.79989999999999</v>
      </c>
      <c r="J20">
        <v>16.925999999999998</v>
      </c>
      <c r="K20">
        <v>32097.271799999999</v>
      </c>
      <c r="M20" s="43">
        <v>43749</v>
      </c>
      <c r="N20" s="5">
        <v>3.9946000000000002</v>
      </c>
      <c r="O20">
        <v>46.458199999999998</v>
      </c>
      <c r="P20">
        <v>1.3169999999999999</v>
      </c>
      <c r="Q20">
        <v>44.381900000000002</v>
      </c>
      <c r="R20">
        <v>0.76629999999999998</v>
      </c>
      <c r="S20">
        <v>195.11080000000001</v>
      </c>
      <c r="T20">
        <v>47.790799999999997</v>
      </c>
      <c r="U20">
        <v>40.009500000000003</v>
      </c>
      <c r="V20">
        <v>104.983</v>
      </c>
      <c r="W20">
        <v>90572.461800000005</v>
      </c>
      <c r="Y20" s="5">
        <v>1.7574000000000001</v>
      </c>
      <c r="Z20">
        <v>15.280099999999999</v>
      </c>
      <c r="AA20">
        <v>0.55359999999999998</v>
      </c>
      <c r="AB20">
        <v>20.0245</v>
      </c>
      <c r="AC20">
        <v>0.25850000000000001</v>
      </c>
      <c r="AD20">
        <v>0</v>
      </c>
      <c r="AE20">
        <v>74.901600000000002</v>
      </c>
      <c r="AF20">
        <v>30.487500000000001</v>
      </c>
      <c r="AG20">
        <v>39.487000000000002</v>
      </c>
      <c r="AH20">
        <v>22364.1371</v>
      </c>
      <c r="AK20">
        <v>1.0338000000000001</v>
      </c>
      <c r="AL20">
        <v>29.063500000000001</v>
      </c>
      <c r="AM20">
        <v>1.0392999999999999</v>
      </c>
      <c r="AN20">
        <v>27.335899999999999</v>
      </c>
      <c r="AO20">
        <v>0.1198</v>
      </c>
      <c r="AP20" t="s">
        <v>23</v>
      </c>
      <c r="AQ20">
        <v>62.266300000000001</v>
      </c>
      <c r="AR20">
        <v>54.183300000000003</v>
      </c>
      <c r="AS20">
        <v>16.478000000000002</v>
      </c>
      <c r="AT20">
        <v>9982.9267999999993</v>
      </c>
      <c r="AV20">
        <v>3.1589999999999998</v>
      </c>
      <c r="AW20">
        <v>3.4964</v>
      </c>
      <c r="AX20">
        <v>0.74270000000000003</v>
      </c>
      <c r="AY20">
        <v>17.755600000000001</v>
      </c>
      <c r="AZ20">
        <v>0.89429999999999998</v>
      </c>
      <c r="BA20" t="s">
        <v>23</v>
      </c>
      <c r="BB20">
        <v>9.2675999999999998</v>
      </c>
      <c r="BC20">
        <v>3.7265999999999999</v>
      </c>
      <c r="BD20">
        <v>24.05</v>
      </c>
      <c r="BE20" s="33">
        <v>21800.245200000001</v>
      </c>
      <c r="BF20" s="8"/>
      <c r="BG20" s="8"/>
      <c r="BH20" s="5">
        <v>1.9729000000000001</v>
      </c>
      <c r="BI20">
        <v>-6.0312000000000001</v>
      </c>
      <c r="BJ20">
        <v>1.0215000000000001</v>
      </c>
      <c r="BK20">
        <v>37.999600000000001</v>
      </c>
      <c r="BL20">
        <v>0.98380000000000001</v>
      </c>
      <c r="BM20" t="s">
        <v>23</v>
      </c>
      <c r="BN20">
        <v>13.8802</v>
      </c>
      <c r="BO20">
        <v>10.837</v>
      </c>
      <c r="BP20">
        <v>13.693</v>
      </c>
      <c r="BQ20">
        <v>9391.3184999999994</v>
      </c>
      <c r="CE20" s="1">
        <f t="shared" si="1"/>
        <v>43749</v>
      </c>
      <c r="CF20" s="35">
        <f t="shared" si="2"/>
        <v>2.8982693380563949</v>
      </c>
      <c r="CG20" s="36">
        <f t="shared" si="0"/>
        <v>-0.90775497078614442</v>
      </c>
    </row>
    <row r="21" spans="1:85" x14ac:dyDescent="0.25">
      <c r="A21" s="43">
        <v>43756</v>
      </c>
      <c r="B21" s="5">
        <v>1.2599</v>
      </c>
      <c r="C21">
        <v>40.921399999999998</v>
      </c>
      <c r="D21">
        <v>2.0714999999999999</v>
      </c>
      <c r="E21">
        <v>38.406799999999997</v>
      </c>
      <c r="F21">
        <v>0.56340000000000001</v>
      </c>
      <c r="G21">
        <v>0</v>
      </c>
      <c r="H21">
        <v>123.0329</v>
      </c>
      <c r="I21">
        <v>114.79989999999999</v>
      </c>
      <c r="J21">
        <v>16.606999999999999</v>
      </c>
      <c r="K21">
        <v>31491.662899999999</v>
      </c>
      <c r="M21" s="43">
        <v>43756</v>
      </c>
      <c r="N21" s="5">
        <v>4.0852000000000004</v>
      </c>
      <c r="O21">
        <v>46.458199999999998</v>
      </c>
      <c r="P21">
        <v>1.3169999999999999</v>
      </c>
      <c r="Q21">
        <v>44.381900000000002</v>
      </c>
      <c r="R21">
        <v>0.76629999999999998</v>
      </c>
      <c r="S21">
        <v>195.11080000000001</v>
      </c>
      <c r="T21">
        <v>47.790799999999997</v>
      </c>
      <c r="U21">
        <v>40.009500000000003</v>
      </c>
      <c r="V21">
        <v>107.93</v>
      </c>
      <c r="W21">
        <v>93114.846699999995</v>
      </c>
      <c r="Y21" s="5">
        <v>1.5969</v>
      </c>
      <c r="Z21">
        <v>15.280099999999999</v>
      </c>
      <c r="AA21">
        <v>0.55359999999999998</v>
      </c>
      <c r="AB21">
        <v>20.0245</v>
      </c>
      <c r="AC21">
        <v>0.25850000000000001</v>
      </c>
      <c r="AD21">
        <v>0</v>
      </c>
      <c r="AE21">
        <v>74.901600000000002</v>
      </c>
      <c r="AF21">
        <v>30.487500000000001</v>
      </c>
      <c r="AG21">
        <v>35.259</v>
      </c>
      <c r="AH21">
        <v>19969.548699999999</v>
      </c>
      <c r="AK21">
        <v>0.96450000000000002</v>
      </c>
      <c r="AL21">
        <v>29.063500000000001</v>
      </c>
      <c r="AM21">
        <v>1.0392999999999999</v>
      </c>
      <c r="AN21">
        <v>27.335899999999999</v>
      </c>
      <c r="AO21">
        <v>0.1198</v>
      </c>
      <c r="AP21" t="s">
        <v>23</v>
      </c>
      <c r="AQ21">
        <v>62.266300000000001</v>
      </c>
      <c r="AR21">
        <v>54.183300000000003</v>
      </c>
      <c r="AS21">
        <v>15.23</v>
      </c>
      <c r="AT21">
        <v>9226.9812999999995</v>
      </c>
      <c r="AV21">
        <v>3.0790000000000002</v>
      </c>
      <c r="AW21">
        <v>3.4964</v>
      </c>
      <c r="AX21">
        <v>0.74270000000000003</v>
      </c>
      <c r="AY21">
        <v>17.755600000000001</v>
      </c>
      <c r="AZ21">
        <v>0.89429999999999998</v>
      </c>
      <c r="BA21" t="s">
        <v>23</v>
      </c>
      <c r="BB21">
        <v>9.2675999999999998</v>
      </c>
      <c r="BC21">
        <v>3.7265999999999999</v>
      </c>
      <c r="BD21">
        <v>23.2</v>
      </c>
      <c r="BE21" s="33">
        <v>21029.758300000001</v>
      </c>
      <c r="BF21" s="8"/>
      <c r="BG21" s="8"/>
      <c r="BH21" s="5">
        <v>1.8974</v>
      </c>
      <c r="BI21">
        <v>-6.0312000000000001</v>
      </c>
      <c r="BJ21">
        <v>1.0215000000000001</v>
      </c>
      <c r="BK21">
        <v>37.999600000000001</v>
      </c>
      <c r="BL21">
        <v>0.98380000000000001</v>
      </c>
      <c r="BM21" t="s">
        <v>23</v>
      </c>
      <c r="BN21">
        <v>13.8802</v>
      </c>
      <c r="BO21">
        <v>10.837</v>
      </c>
      <c r="BP21">
        <v>12.644</v>
      </c>
      <c r="BQ21">
        <v>8671.3173999999999</v>
      </c>
      <c r="CE21" s="1">
        <f t="shared" si="1"/>
        <v>43756</v>
      </c>
      <c r="CF21" s="35">
        <f t="shared" si="2"/>
        <v>2.953947360601183</v>
      </c>
      <c r="CG21" s="36">
        <f t="shared" si="0"/>
        <v>-0.88153559412852456</v>
      </c>
    </row>
    <row r="22" spans="1:85" x14ac:dyDescent="0.25">
      <c r="A22" s="43">
        <v>43763</v>
      </c>
      <c r="B22" s="5">
        <v>1.3145</v>
      </c>
      <c r="C22">
        <v>40.921399999999998</v>
      </c>
      <c r="D22">
        <v>2.0714999999999999</v>
      </c>
      <c r="E22">
        <v>38.406799999999997</v>
      </c>
      <c r="F22">
        <v>0.56340000000000001</v>
      </c>
      <c r="G22">
        <v>0</v>
      </c>
      <c r="H22">
        <v>123.0329</v>
      </c>
      <c r="I22">
        <v>114.79989999999999</v>
      </c>
      <c r="J22">
        <v>17.923999999999999</v>
      </c>
      <c r="K22">
        <v>33989.799599999998</v>
      </c>
      <c r="M22" s="43">
        <v>43763</v>
      </c>
      <c r="N22" s="5">
        <v>4.1858000000000004</v>
      </c>
      <c r="O22">
        <v>46.458199999999998</v>
      </c>
      <c r="P22">
        <v>1.3169999999999999</v>
      </c>
      <c r="Q22">
        <v>44.381900000000002</v>
      </c>
      <c r="R22">
        <v>0.76629999999999998</v>
      </c>
      <c r="S22">
        <v>195.11080000000001</v>
      </c>
      <c r="T22">
        <v>47.790799999999997</v>
      </c>
      <c r="U22">
        <v>40.009500000000003</v>
      </c>
      <c r="V22">
        <v>111.199</v>
      </c>
      <c r="W22">
        <v>95935.304900000003</v>
      </c>
      <c r="Y22" s="5">
        <v>1.3731</v>
      </c>
      <c r="Z22">
        <v>15.280099999999999</v>
      </c>
      <c r="AA22">
        <v>0.55359999999999998</v>
      </c>
      <c r="AB22">
        <v>20.0245</v>
      </c>
      <c r="AC22">
        <v>0.25850000000000001</v>
      </c>
      <c r="AD22">
        <v>0</v>
      </c>
      <c r="AE22">
        <v>74.901600000000002</v>
      </c>
      <c r="AF22">
        <v>30.487500000000001</v>
      </c>
      <c r="AG22">
        <v>29.363</v>
      </c>
      <c r="AH22">
        <v>16630.306199999999</v>
      </c>
      <c r="AK22">
        <v>0.93600000000000005</v>
      </c>
      <c r="AL22">
        <v>29.063500000000001</v>
      </c>
      <c r="AM22">
        <v>1.0392999999999999</v>
      </c>
      <c r="AN22">
        <v>27.335899999999999</v>
      </c>
      <c r="AO22">
        <v>0.1198</v>
      </c>
      <c r="AP22" t="s">
        <v>23</v>
      </c>
      <c r="AQ22">
        <v>62.266300000000001</v>
      </c>
      <c r="AR22">
        <v>54.183300000000003</v>
      </c>
      <c r="AS22">
        <v>14.715999999999999</v>
      </c>
      <c r="AT22">
        <v>8915.7096000000001</v>
      </c>
      <c r="AV22">
        <v>3.0507</v>
      </c>
      <c r="AW22">
        <v>3.4964</v>
      </c>
      <c r="AX22">
        <v>0.74270000000000003</v>
      </c>
      <c r="AY22">
        <v>17.755600000000001</v>
      </c>
      <c r="AZ22">
        <v>0.89429999999999998</v>
      </c>
      <c r="BA22" t="s">
        <v>23</v>
      </c>
      <c r="BB22">
        <v>9.2675999999999998</v>
      </c>
      <c r="BC22">
        <v>3.7265999999999999</v>
      </c>
      <c r="BD22">
        <v>22.9</v>
      </c>
      <c r="BE22" s="33">
        <v>20757.821800000002</v>
      </c>
      <c r="BF22" s="8"/>
      <c r="BG22" s="8"/>
      <c r="BH22" s="5">
        <v>1.8318000000000001</v>
      </c>
      <c r="BI22">
        <v>-6.0312000000000001</v>
      </c>
      <c r="BJ22">
        <v>1.0215000000000001</v>
      </c>
      <c r="BK22">
        <v>37.999600000000001</v>
      </c>
      <c r="BL22">
        <v>0.98380000000000001</v>
      </c>
      <c r="BM22" t="s">
        <v>23</v>
      </c>
      <c r="BN22">
        <v>13.8802</v>
      </c>
      <c r="BO22">
        <v>10.837</v>
      </c>
      <c r="BP22">
        <v>11.731</v>
      </c>
      <c r="BQ22">
        <v>8045.2295000000004</v>
      </c>
      <c r="CE22" s="1">
        <f t="shared" si="1"/>
        <v>43763</v>
      </c>
      <c r="CF22" s="35">
        <f t="shared" si="2"/>
        <v>3.0144697001953582</v>
      </c>
      <c r="CG22" s="36">
        <f t="shared" si="0"/>
        <v>-0.85303497673063544</v>
      </c>
    </row>
    <row r="23" spans="1:85" x14ac:dyDescent="0.25">
      <c r="A23" s="43">
        <v>43770</v>
      </c>
      <c r="B23" s="5">
        <v>1.4619</v>
      </c>
      <c r="C23">
        <v>40.921399999999998</v>
      </c>
      <c r="D23">
        <v>2.0714999999999999</v>
      </c>
      <c r="E23">
        <v>38.406799999999997</v>
      </c>
      <c r="F23">
        <v>0.56340000000000001</v>
      </c>
      <c r="G23">
        <v>0</v>
      </c>
      <c r="H23">
        <v>123.0329</v>
      </c>
      <c r="I23">
        <v>114.79989999999999</v>
      </c>
      <c r="J23">
        <v>21.477</v>
      </c>
      <c r="K23">
        <v>40727.198700000001</v>
      </c>
      <c r="M23" s="43">
        <v>43770</v>
      </c>
      <c r="N23" s="5">
        <v>4.1475</v>
      </c>
      <c r="O23">
        <v>46.458199999999998</v>
      </c>
      <c r="P23">
        <v>1.3169999999999999</v>
      </c>
      <c r="Q23">
        <v>44.381900000000002</v>
      </c>
      <c r="R23">
        <v>0.76629999999999998</v>
      </c>
      <c r="S23">
        <v>195.11080000000001</v>
      </c>
      <c r="T23">
        <v>47.790799999999997</v>
      </c>
      <c r="U23">
        <v>40.009500000000003</v>
      </c>
      <c r="V23">
        <v>109.956</v>
      </c>
      <c r="W23">
        <v>94862.736300000004</v>
      </c>
      <c r="Y23" s="5">
        <v>1.5511999999999999</v>
      </c>
      <c r="Z23">
        <v>15.280099999999999</v>
      </c>
      <c r="AA23">
        <v>0.55359999999999998</v>
      </c>
      <c r="AB23">
        <v>20.0245</v>
      </c>
      <c r="AC23">
        <v>0.25850000000000001</v>
      </c>
      <c r="AD23">
        <v>0</v>
      </c>
      <c r="AE23">
        <v>74.901600000000002</v>
      </c>
      <c r="AF23">
        <v>30.487500000000001</v>
      </c>
      <c r="AG23">
        <v>34.057000000000002</v>
      </c>
      <c r="AH23">
        <v>19288.519</v>
      </c>
      <c r="AK23">
        <v>1.0134000000000001</v>
      </c>
      <c r="AL23">
        <v>29.063500000000001</v>
      </c>
      <c r="AM23">
        <v>1.0392999999999999</v>
      </c>
      <c r="AN23">
        <v>27.335899999999999</v>
      </c>
      <c r="AO23">
        <v>0.1198</v>
      </c>
      <c r="AP23" t="s">
        <v>23</v>
      </c>
      <c r="AQ23">
        <v>62.266300000000001</v>
      </c>
      <c r="AR23">
        <v>54.183300000000003</v>
      </c>
      <c r="AS23">
        <v>16.111000000000001</v>
      </c>
      <c r="AT23">
        <v>9760.5899000000009</v>
      </c>
      <c r="AV23">
        <v>2.9565999999999999</v>
      </c>
      <c r="AW23">
        <v>3.4964</v>
      </c>
      <c r="AX23">
        <v>0.74270000000000003</v>
      </c>
      <c r="AY23">
        <v>17.755600000000001</v>
      </c>
      <c r="AZ23">
        <v>0.89429999999999998</v>
      </c>
      <c r="BA23" t="s">
        <v>23</v>
      </c>
      <c r="BB23">
        <v>9.2675999999999998</v>
      </c>
      <c r="BC23">
        <v>3.7265999999999999</v>
      </c>
      <c r="BD23">
        <v>21.9</v>
      </c>
      <c r="BE23" s="33">
        <v>19851.366699999999</v>
      </c>
      <c r="BF23" s="8"/>
      <c r="BG23" s="8"/>
      <c r="BH23" s="5">
        <v>1.9466000000000001</v>
      </c>
      <c r="BI23">
        <v>-6.0312000000000001</v>
      </c>
      <c r="BJ23">
        <v>1.0215000000000001</v>
      </c>
      <c r="BK23">
        <v>37.999600000000001</v>
      </c>
      <c r="BL23">
        <v>0.98380000000000001</v>
      </c>
      <c r="BM23" t="s">
        <v>23</v>
      </c>
      <c r="BN23">
        <v>13.8802</v>
      </c>
      <c r="BO23">
        <v>10.837</v>
      </c>
      <c r="BP23">
        <v>13.327999999999999</v>
      </c>
      <c r="BQ23">
        <v>9140.8832999999995</v>
      </c>
      <c r="CE23" s="1">
        <f t="shared" si="1"/>
        <v>43770</v>
      </c>
      <c r="CF23" s="35">
        <f t="shared" si="2"/>
        <v>2.9400217589427577</v>
      </c>
      <c r="CG23" s="36">
        <f t="shared" si="0"/>
        <v>-0.88809330897503369</v>
      </c>
    </row>
    <row r="24" spans="1:85" x14ac:dyDescent="0.25">
      <c r="A24" s="43">
        <v>43777</v>
      </c>
      <c r="B24" s="5">
        <v>1.4205000000000001</v>
      </c>
      <c r="C24">
        <v>40.921399999999998</v>
      </c>
      <c r="D24">
        <v>2.0714999999999999</v>
      </c>
      <c r="E24">
        <v>38.406799999999997</v>
      </c>
      <c r="F24">
        <v>0.56340000000000001</v>
      </c>
      <c r="G24">
        <v>0</v>
      </c>
      <c r="H24">
        <v>123.0329</v>
      </c>
      <c r="I24">
        <v>114.79989999999999</v>
      </c>
      <c r="J24">
        <v>20.478999999999999</v>
      </c>
      <c r="K24">
        <v>38834.670899999997</v>
      </c>
      <c r="M24" s="43">
        <v>43777</v>
      </c>
      <c r="N24" s="5">
        <v>3.8176000000000001</v>
      </c>
      <c r="O24">
        <v>46.458199999999998</v>
      </c>
      <c r="P24">
        <v>1.3169999999999999</v>
      </c>
      <c r="Q24">
        <v>44.381900000000002</v>
      </c>
      <c r="R24">
        <v>0.76629999999999998</v>
      </c>
      <c r="S24">
        <v>195.11080000000001</v>
      </c>
      <c r="T24">
        <v>47.790799999999997</v>
      </c>
      <c r="U24">
        <v>40.009500000000003</v>
      </c>
      <c r="V24">
        <v>99.227000000000004</v>
      </c>
      <c r="W24">
        <v>85606.866299999994</v>
      </c>
      <c r="Y24" s="5">
        <v>1.5262</v>
      </c>
      <c r="Z24">
        <v>15.280099999999999</v>
      </c>
      <c r="AA24">
        <v>0.55359999999999998</v>
      </c>
      <c r="AB24">
        <v>20.0245</v>
      </c>
      <c r="AC24">
        <v>0.25850000000000001</v>
      </c>
      <c r="AD24">
        <v>0</v>
      </c>
      <c r="AE24">
        <v>74.901600000000002</v>
      </c>
      <c r="AF24">
        <v>30.487500000000001</v>
      </c>
      <c r="AG24">
        <v>33.398000000000003</v>
      </c>
      <c r="AH24">
        <v>18915.051100000001</v>
      </c>
      <c r="AK24">
        <v>1.0215000000000001</v>
      </c>
      <c r="AL24">
        <v>29.063500000000001</v>
      </c>
      <c r="AM24">
        <v>1.0392999999999999</v>
      </c>
      <c r="AN24">
        <v>27.335899999999999</v>
      </c>
      <c r="AO24">
        <v>0.1198</v>
      </c>
      <c r="AP24" t="s">
        <v>23</v>
      </c>
      <c r="AQ24">
        <v>62.266300000000001</v>
      </c>
      <c r="AR24">
        <v>54.183300000000003</v>
      </c>
      <c r="AS24">
        <v>16.257000000000001</v>
      </c>
      <c r="AT24">
        <v>9849.5246000000006</v>
      </c>
      <c r="AV24">
        <v>2.7259000000000002</v>
      </c>
      <c r="AW24">
        <v>3.4964</v>
      </c>
      <c r="AX24">
        <v>0.74270000000000003</v>
      </c>
      <c r="AY24">
        <v>17.755600000000001</v>
      </c>
      <c r="AZ24">
        <v>0.89429999999999998</v>
      </c>
      <c r="BA24" t="s">
        <v>23</v>
      </c>
      <c r="BB24">
        <v>9.2675999999999998</v>
      </c>
      <c r="BC24">
        <v>3.7265999999999999</v>
      </c>
      <c r="BD24">
        <v>19.45</v>
      </c>
      <c r="BE24" s="33">
        <v>17630.5517</v>
      </c>
      <c r="BF24" s="8"/>
      <c r="BG24" s="8"/>
      <c r="BH24" s="5">
        <v>1.9072</v>
      </c>
      <c r="BI24">
        <v>-6.0312000000000001</v>
      </c>
      <c r="BJ24">
        <v>1.0215000000000001</v>
      </c>
      <c r="BK24">
        <v>37.999600000000001</v>
      </c>
      <c r="BL24">
        <v>0.98380000000000001</v>
      </c>
      <c r="BM24" t="s">
        <v>23</v>
      </c>
      <c r="BN24">
        <v>13.8802</v>
      </c>
      <c r="BO24">
        <v>10.837</v>
      </c>
      <c r="BP24">
        <v>12.781000000000001</v>
      </c>
      <c r="BQ24">
        <v>8765.2306000000008</v>
      </c>
      <c r="CE24" s="1">
        <f t="shared" si="1"/>
        <v>43777</v>
      </c>
      <c r="CF24" s="35">
        <f t="shared" si="2"/>
        <v>2.7042199711008386</v>
      </c>
      <c r="CG24" s="36">
        <f t="shared" si="0"/>
        <v>-0.99913489431499591</v>
      </c>
    </row>
    <row r="25" spans="1:85" x14ac:dyDescent="0.25">
      <c r="A25" s="43">
        <v>43784</v>
      </c>
      <c r="B25" s="5">
        <v>1.3939999999999999</v>
      </c>
      <c r="C25">
        <v>40.921399999999998</v>
      </c>
      <c r="D25">
        <v>2.0714999999999999</v>
      </c>
      <c r="E25">
        <v>38.406799999999997</v>
      </c>
      <c r="F25">
        <v>0.56340000000000001</v>
      </c>
      <c r="G25">
        <v>0</v>
      </c>
      <c r="H25">
        <v>123.0329</v>
      </c>
      <c r="I25">
        <v>114.79989999999999</v>
      </c>
      <c r="J25">
        <v>19.841000000000001</v>
      </c>
      <c r="K25">
        <v>37623.453099999999</v>
      </c>
      <c r="M25" s="43">
        <v>43784</v>
      </c>
      <c r="N25" s="5">
        <v>3.4113000000000002</v>
      </c>
      <c r="O25">
        <v>46.458199999999998</v>
      </c>
      <c r="P25">
        <v>1.3169999999999999</v>
      </c>
      <c r="Q25">
        <v>44.381900000000002</v>
      </c>
      <c r="R25">
        <v>0.76629999999999998</v>
      </c>
      <c r="S25">
        <v>195.11080000000001</v>
      </c>
      <c r="T25">
        <v>47.790799999999997</v>
      </c>
      <c r="U25">
        <v>40.009500000000003</v>
      </c>
      <c r="V25">
        <v>89.581999999999994</v>
      </c>
      <c r="W25">
        <v>74205.859400000001</v>
      </c>
      <c r="Y25" s="5">
        <v>1.3480000000000001</v>
      </c>
      <c r="Z25">
        <v>15.280099999999999</v>
      </c>
      <c r="AA25">
        <v>0.55359999999999998</v>
      </c>
      <c r="AB25">
        <v>20.0245</v>
      </c>
      <c r="AC25">
        <v>0.25850000000000001</v>
      </c>
      <c r="AD25">
        <v>0</v>
      </c>
      <c r="AE25">
        <v>74.901600000000002</v>
      </c>
      <c r="AF25">
        <v>30.487500000000001</v>
      </c>
      <c r="AG25">
        <v>28.704000000000001</v>
      </c>
      <c r="AH25">
        <v>16256.838299999999</v>
      </c>
      <c r="AK25">
        <v>0.91769999999999996</v>
      </c>
      <c r="AL25">
        <v>29.063500000000001</v>
      </c>
      <c r="AM25">
        <v>1.0392999999999999</v>
      </c>
      <c r="AN25">
        <v>27.335899999999999</v>
      </c>
      <c r="AO25">
        <v>0.1198</v>
      </c>
      <c r="AP25" t="s">
        <v>23</v>
      </c>
      <c r="AQ25">
        <v>62.266300000000001</v>
      </c>
      <c r="AR25">
        <v>54.183300000000003</v>
      </c>
      <c r="AS25">
        <v>14.385999999999999</v>
      </c>
      <c r="AT25">
        <v>8715.6064000000006</v>
      </c>
      <c r="AV25">
        <v>2.4716</v>
      </c>
      <c r="AW25">
        <v>3.4964</v>
      </c>
      <c r="AX25">
        <v>0.74270000000000003</v>
      </c>
      <c r="AY25">
        <v>17.755600000000001</v>
      </c>
      <c r="AZ25">
        <v>0.89429999999999998</v>
      </c>
      <c r="BA25" t="s">
        <v>23</v>
      </c>
      <c r="BB25">
        <v>9.2675999999999998</v>
      </c>
      <c r="BC25">
        <v>3.7265999999999999</v>
      </c>
      <c r="BD25">
        <v>16.75</v>
      </c>
      <c r="BE25" s="33">
        <v>15183.1229</v>
      </c>
      <c r="BF25" s="8"/>
      <c r="BG25" s="8"/>
      <c r="BH25" s="5">
        <v>1.8088</v>
      </c>
      <c r="BI25">
        <v>-6.0312000000000001</v>
      </c>
      <c r="BJ25">
        <v>1.0215000000000001</v>
      </c>
      <c r="BK25">
        <v>37.999600000000001</v>
      </c>
      <c r="BL25">
        <v>0.98380000000000001</v>
      </c>
      <c r="BM25" t="s">
        <v>23</v>
      </c>
      <c r="BN25">
        <v>13.8802</v>
      </c>
      <c r="BO25">
        <v>10.837</v>
      </c>
      <c r="BP25">
        <v>11.411</v>
      </c>
      <c r="BQ25">
        <v>7826.0986999999996</v>
      </c>
      <c r="CE25" s="1">
        <f t="shared" si="1"/>
        <v>43784</v>
      </c>
      <c r="CF25" s="35">
        <f t="shared" si="2"/>
        <v>2.4227404688325458</v>
      </c>
      <c r="CG25" s="36">
        <f t="shared" si="0"/>
        <v>-1.1316866042007945</v>
      </c>
    </row>
    <row r="26" spans="1:85" x14ac:dyDescent="0.25">
      <c r="A26" s="43">
        <v>43791</v>
      </c>
      <c r="B26" s="5">
        <v>1.4933000000000001</v>
      </c>
      <c r="C26">
        <v>40.921399999999998</v>
      </c>
      <c r="D26">
        <v>2.0714999999999999</v>
      </c>
      <c r="E26">
        <v>38.406799999999997</v>
      </c>
      <c r="F26">
        <v>0.56340000000000001</v>
      </c>
      <c r="G26">
        <v>0</v>
      </c>
      <c r="H26">
        <v>123.0329</v>
      </c>
      <c r="I26">
        <v>114.79989999999999</v>
      </c>
      <c r="J26">
        <v>22.236000000000001</v>
      </c>
      <c r="K26">
        <v>42165.519800000002</v>
      </c>
      <c r="M26" s="43">
        <v>43791</v>
      </c>
      <c r="N26" s="5">
        <v>3.3858000000000001</v>
      </c>
      <c r="O26">
        <v>46.458199999999998</v>
      </c>
      <c r="P26">
        <v>1.3169999999999999</v>
      </c>
      <c r="Q26">
        <v>44.381900000000002</v>
      </c>
      <c r="R26">
        <v>0.76629999999999998</v>
      </c>
      <c r="S26">
        <v>195.11080000000001</v>
      </c>
      <c r="T26">
        <v>47.790799999999997</v>
      </c>
      <c r="U26">
        <v>40.009500000000003</v>
      </c>
      <c r="V26">
        <v>88.718999999999994</v>
      </c>
      <c r="W26">
        <v>73490.813699999999</v>
      </c>
      <c r="Y26" s="5">
        <v>1.3980999999999999</v>
      </c>
      <c r="Z26">
        <v>15.280099999999999</v>
      </c>
      <c r="AA26">
        <v>0.55359999999999998</v>
      </c>
      <c r="AB26">
        <v>20.0245</v>
      </c>
      <c r="AC26">
        <v>0.25850000000000001</v>
      </c>
      <c r="AD26">
        <v>0</v>
      </c>
      <c r="AE26">
        <v>74.901600000000002</v>
      </c>
      <c r="AF26">
        <v>30.487500000000001</v>
      </c>
      <c r="AG26">
        <v>30.023</v>
      </c>
      <c r="AH26">
        <v>17003.774099999999</v>
      </c>
      <c r="AK26">
        <v>0.9829</v>
      </c>
      <c r="AL26">
        <v>29.063500000000001</v>
      </c>
      <c r="AM26">
        <v>1.0392999999999999</v>
      </c>
      <c r="AN26">
        <v>27.335899999999999</v>
      </c>
      <c r="AO26">
        <v>0.1198</v>
      </c>
      <c r="AP26" t="s">
        <v>23</v>
      </c>
      <c r="AQ26">
        <v>62.266300000000001</v>
      </c>
      <c r="AR26">
        <v>54.183300000000003</v>
      </c>
      <c r="AS26">
        <v>15.56</v>
      </c>
      <c r="AT26">
        <v>9427.0845000000008</v>
      </c>
      <c r="AV26">
        <v>2.7259000000000002</v>
      </c>
      <c r="AW26">
        <v>3.4964</v>
      </c>
      <c r="AX26">
        <v>0.74270000000000003</v>
      </c>
      <c r="AY26">
        <v>17.755600000000001</v>
      </c>
      <c r="AZ26">
        <v>0.89429999999999998</v>
      </c>
      <c r="BA26" t="s">
        <v>23</v>
      </c>
      <c r="BB26">
        <v>9.2675999999999998</v>
      </c>
      <c r="BC26">
        <v>3.7265999999999999</v>
      </c>
      <c r="BD26">
        <v>19.45</v>
      </c>
      <c r="BE26" s="33">
        <v>17630.5517</v>
      </c>
      <c r="BF26" s="8"/>
      <c r="BG26" s="8"/>
      <c r="BH26" s="5">
        <v>1.8940999999999999</v>
      </c>
      <c r="BI26">
        <v>-6.0312000000000001</v>
      </c>
      <c r="BJ26">
        <v>1.0215000000000001</v>
      </c>
      <c r="BK26">
        <v>37.999600000000001</v>
      </c>
      <c r="BL26">
        <v>0.98380000000000001</v>
      </c>
      <c r="BM26" t="s">
        <v>23</v>
      </c>
      <c r="BN26">
        <v>13.8802</v>
      </c>
      <c r="BO26">
        <v>10.837</v>
      </c>
      <c r="BP26">
        <v>12.598000000000001</v>
      </c>
      <c r="BQ26">
        <v>8640.0130000000008</v>
      </c>
      <c r="CE26" s="1">
        <f t="shared" si="1"/>
        <v>43791</v>
      </c>
      <c r="CF26" s="35">
        <f t="shared" si="2"/>
        <v>2.4308591593766709</v>
      </c>
      <c r="CG26" s="36">
        <f t="shared" si="0"/>
        <v>-1.1278634259409732</v>
      </c>
    </row>
    <row r="27" spans="1:85" x14ac:dyDescent="0.25">
      <c r="A27" s="43">
        <v>43798</v>
      </c>
      <c r="B27" s="5">
        <v>1.5397000000000001</v>
      </c>
      <c r="C27">
        <v>40.921399999999998</v>
      </c>
      <c r="D27">
        <v>2.0714999999999999</v>
      </c>
      <c r="E27">
        <v>38.406799999999997</v>
      </c>
      <c r="F27">
        <v>0.56340000000000001</v>
      </c>
      <c r="G27">
        <v>0</v>
      </c>
      <c r="H27">
        <v>123.0329</v>
      </c>
      <c r="I27">
        <v>114.79989999999999</v>
      </c>
      <c r="J27">
        <v>23.937000000000001</v>
      </c>
      <c r="K27">
        <v>44285.150999999998</v>
      </c>
      <c r="M27" s="43">
        <v>43798</v>
      </c>
      <c r="N27" s="5">
        <v>3.3631000000000002</v>
      </c>
      <c r="O27">
        <v>46.458199999999998</v>
      </c>
      <c r="P27">
        <v>1.3169999999999999</v>
      </c>
      <c r="Q27">
        <v>44.381900000000002</v>
      </c>
      <c r="R27">
        <v>0.76629999999999998</v>
      </c>
      <c r="S27">
        <v>195.11080000000001</v>
      </c>
      <c r="T27">
        <v>47.790799999999997</v>
      </c>
      <c r="U27">
        <v>40.009500000000003</v>
      </c>
      <c r="V27">
        <v>87.951999999999998</v>
      </c>
      <c r="W27">
        <v>72855.217499999999</v>
      </c>
      <c r="Y27" s="5">
        <v>1.3170999999999999</v>
      </c>
      <c r="Z27">
        <v>15.280099999999999</v>
      </c>
      <c r="AA27">
        <v>0.55359999999999998</v>
      </c>
      <c r="AB27">
        <v>20.0245</v>
      </c>
      <c r="AC27">
        <v>0.25850000000000001</v>
      </c>
      <c r="AD27">
        <v>0</v>
      </c>
      <c r="AE27">
        <v>74.901600000000002</v>
      </c>
      <c r="AF27">
        <v>30.487500000000001</v>
      </c>
      <c r="AG27">
        <v>27.888999999999999</v>
      </c>
      <c r="AH27">
        <v>15795.4956</v>
      </c>
      <c r="AK27">
        <v>1.0582</v>
      </c>
      <c r="AL27">
        <v>29.063500000000001</v>
      </c>
      <c r="AM27">
        <v>1.0392999999999999</v>
      </c>
      <c r="AN27">
        <v>27.335899999999999</v>
      </c>
      <c r="AO27">
        <v>0.1198</v>
      </c>
      <c r="AP27" t="s">
        <v>23</v>
      </c>
      <c r="AQ27">
        <v>62.266300000000001</v>
      </c>
      <c r="AR27">
        <v>54.183300000000003</v>
      </c>
      <c r="AS27">
        <v>16.917999999999999</v>
      </c>
      <c r="AT27">
        <v>10249.731</v>
      </c>
      <c r="AV27">
        <v>2.7446999999999999</v>
      </c>
      <c r="AW27">
        <v>3.4964</v>
      </c>
      <c r="AX27">
        <v>0.74270000000000003</v>
      </c>
      <c r="AY27">
        <v>17.755600000000001</v>
      </c>
      <c r="AZ27">
        <v>0.89429999999999998</v>
      </c>
      <c r="BA27" t="s">
        <v>23</v>
      </c>
      <c r="BB27">
        <v>9.2675999999999998</v>
      </c>
      <c r="BC27">
        <v>3.7265999999999999</v>
      </c>
      <c r="BD27">
        <v>19.649999999999999</v>
      </c>
      <c r="BE27" s="33">
        <v>17811.842700000001</v>
      </c>
      <c r="BF27" s="8"/>
      <c r="BG27" s="8"/>
      <c r="BH27" s="5">
        <v>1.9072</v>
      </c>
      <c r="BI27">
        <v>-6.0312000000000001</v>
      </c>
      <c r="BJ27">
        <v>1.0215000000000001</v>
      </c>
      <c r="BK27">
        <v>37.999600000000001</v>
      </c>
      <c r="BL27">
        <v>0.98380000000000001</v>
      </c>
      <c r="BM27" t="s">
        <v>23</v>
      </c>
      <c r="BN27">
        <v>13.8802</v>
      </c>
      <c r="BO27">
        <v>10.837</v>
      </c>
      <c r="BP27">
        <v>12.781000000000001</v>
      </c>
      <c r="BQ27">
        <v>8765.2306000000008</v>
      </c>
      <c r="CE27" s="1">
        <f t="shared" si="1"/>
        <v>43798</v>
      </c>
      <c r="CF27" s="35">
        <f t="shared" si="2"/>
        <v>2.4178516860949624</v>
      </c>
      <c r="CG27" s="36">
        <f t="shared" si="0"/>
        <v>-1.1339887843094874</v>
      </c>
    </row>
    <row r="28" spans="1:85" x14ac:dyDescent="0.25">
      <c r="A28" s="43">
        <v>43805</v>
      </c>
      <c r="B28" s="5">
        <v>1.6009</v>
      </c>
      <c r="C28">
        <v>40.921399999999998</v>
      </c>
      <c r="D28">
        <v>2.0714999999999999</v>
      </c>
      <c r="E28">
        <v>38.406799999999997</v>
      </c>
      <c r="F28">
        <v>0.56340000000000001</v>
      </c>
      <c r="G28">
        <v>0</v>
      </c>
      <c r="H28">
        <v>123.0329</v>
      </c>
      <c r="I28">
        <v>114.79989999999999</v>
      </c>
      <c r="J28">
        <v>25.451000000000001</v>
      </c>
      <c r="K28">
        <v>47086.092199999999</v>
      </c>
      <c r="M28" s="43">
        <v>43805</v>
      </c>
      <c r="N28" s="5">
        <v>3.4622000000000002</v>
      </c>
      <c r="O28">
        <v>46.458199999999998</v>
      </c>
      <c r="P28">
        <v>1.3169999999999999</v>
      </c>
      <c r="Q28">
        <v>44.381900000000002</v>
      </c>
      <c r="R28">
        <v>0.76629999999999998</v>
      </c>
      <c r="S28">
        <v>195.11080000000001</v>
      </c>
      <c r="T28">
        <v>47.790799999999997</v>
      </c>
      <c r="U28">
        <v>40.009500000000003</v>
      </c>
      <c r="V28">
        <v>91.308999999999997</v>
      </c>
      <c r="W28">
        <v>75635.950899999996</v>
      </c>
      <c r="Y28" s="5">
        <v>1.2994000000000001</v>
      </c>
      <c r="Z28">
        <v>15.280099999999999</v>
      </c>
      <c r="AA28">
        <v>0.55359999999999998</v>
      </c>
      <c r="AB28">
        <v>20.0245</v>
      </c>
      <c r="AC28">
        <v>0.25850000000000001</v>
      </c>
      <c r="AD28">
        <v>0</v>
      </c>
      <c r="AE28">
        <v>74.901600000000002</v>
      </c>
      <c r="AF28">
        <v>30.487500000000001</v>
      </c>
      <c r="AG28">
        <v>27.423999999999999</v>
      </c>
      <c r="AH28">
        <v>15531.8712</v>
      </c>
      <c r="AK28">
        <v>1.0765</v>
      </c>
      <c r="AL28">
        <v>29.063500000000001</v>
      </c>
      <c r="AM28">
        <v>1.0392999999999999</v>
      </c>
      <c r="AN28">
        <v>27.335899999999999</v>
      </c>
      <c r="AO28">
        <v>0.1198</v>
      </c>
      <c r="AP28" t="s">
        <v>23</v>
      </c>
      <c r="AQ28">
        <v>62.266300000000001</v>
      </c>
      <c r="AR28">
        <v>54.183300000000003</v>
      </c>
      <c r="AS28">
        <v>17.248000000000001</v>
      </c>
      <c r="AT28">
        <v>10449.8343</v>
      </c>
      <c r="AV28">
        <v>2.8624000000000001</v>
      </c>
      <c r="AW28">
        <v>3.4964</v>
      </c>
      <c r="AX28">
        <v>0.74270000000000003</v>
      </c>
      <c r="AY28">
        <v>17.755600000000001</v>
      </c>
      <c r="AZ28">
        <v>0.89429999999999998</v>
      </c>
      <c r="BA28" t="s">
        <v>23</v>
      </c>
      <c r="BB28">
        <v>9.2675999999999998</v>
      </c>
      <c r="BC28">
        <v>3.7265999999999999</v>
      </c>
      <c r="BD28">
        <v>20.9</v>
      </c>
      <c r="BE28" s="33">
        <v>18944.911599999999</v>
      </c>
      <c r="BF28" s="8"/>
      <c r="BG28" s="8"/>
      <c r="BH28" s="5">
        <v>1.9368000000000001</v>
      </c>
      <c r="BI28">
        <v>-6.0312000000000001</v>
      </c>
      <c r="BJ28">
        <v>1.0215000000000001</v>
      </c>
      <c r="BK28">
        <v>37.999600000000001</v>
      </c>
      <c r="BL28">
        <v>0.98380000000000001</v>
      </c>
      <c r="BM28" t="s">
        <v>23</v>
      </c>
      <c r="BN28">
        <v>13.8802</v>
      </c>
      <c r="BO28">
        <v>10.837</v>
      </c>
      <c r="BP28">
        <v>13.191000000000001</v>
      </c>
      <c r="BQ28">
        <v>9046.9701999999997</v>
      </c>
      <c r="CE28" s="1">
        <f t="shared" si="1"/>
        <v>43805</v>
      </c>
      <c r="CF28" s="35">
        <f t="shared" si="2"/>
        <v>2.4925820752916028</v>
      </c>
      <c r="CG28" s="36">
        <f t="shared" si="0"/>
        <v>-1.0987974443056092</v>
      </c>
    </row>
    <row r="29" spans="1:85" x14ac:dyDescent="0.25">
      <c r="A29" s="43">
        <v>43812</v>
      </c>
      <c r="B29" s="5">
        <v>1.6538999999999999</v>
      </c>
      <c r="C29">
        <v>40.921399999999998</v>
      </c>
      <c r="D29">
        <v>2.0714999999999999</v>
      </c>
      <c r="E29">
        <v>38.406799999999997</v>
      </c>
      <c r="F29">
        <v>0.56340000000000001</v>
      </c>
      <c r="G29">
        <v>0</v>
      </c>
      <c r="H29">
        <v>123.0329</v>
      </c>
      <c r="I29">
        <v>114.79989999999999</v>
      </c>
      <c r="J29">
        <v>26.76</v>
      </c>
      <c r="K29">
        <v>49508.527800000003</v>
      </c>
      <c r="M29" s="43">
        <v>43812</v>
      </c>
      <c r="N29" s="5">
        <v>3.5358999999999998</v>
      </c>
      <c r="O29">
        <v>46.458199999999998</v>
      </c>
      <c r="P29">
        <v>1.3169999999999999</v>
      </c>
      <c r="Q29">
        <v>44.381900000000002</v>
      </c>
      <c r="R29">
        <v>0.76629999999999998</v>
      </c>
      <c r="S29">
        <v>195.11080000000001</v>
      </c>
      <c r="T29">
        <v>47.790799999999997</v>
      </c>
      <c r="U29">
        <v>40.009500000000003</v>
      </c>
      <c r="V29">
        <v>93.802000000000007</v>
      </c>
      <c r="W29">
        <v>77701.638699999996</v>
      </c>
      <c r="Y29" s="5">
        <v>1.3407</v>
      </c>
      <c r="Z29">
        <v>15.280099999999999</v>
      </c>
      <c r="AA29">
        <v>0.55359999999999998</v>
      </c>
      <c r="AB29">
        <v>20.0245</v>
      </c>
      <c r="AC29">
        <v>0.25850000000000001</v>
      </c>
      <c r="AD29">
        <v>0</v>
      </c>
      <c r="AE29">
        <v>74.901600000000002</v>
      </c>
      <c r="AF29">
        <v>30.487500000000001</v>
      </c>
      <c r="AG29">
        <v>28.51</v>
      </c>
      <c r="AH29">
        <v>16146.9948</v>
      </c>
      <c r="AK29">
        <v>1.0256000000000001</v>
      </c>
      <c r="AL29">
        <v>29.063500000000001</v>
      </c>
      <c r="AM29">
        <v>1.0392999999999999</v>
      </c>
      <c r="AN29">
        <v>27.335899999999999</v>
      </c>
      <c r="AO29">
        <v>0.1198</v>
      </c>
      <c r="AP29" t="s">
        <v>23</v>
      </c>
      <c r="AQ29">
        <v>62.266300000000001</v>
      </c>
      <c r="AR29">
        <v>54.183300000000003</v>
      </c>
      <c r="AS29">
        <v>16.331</v>
      </c>
      <c r="AT29">
        <v>9893.9920000000002</v>
      </c>
      <c r="AV29">
        <v>2.7682000000000002</v>
      </c>
      <c r="AW29">
        <v>3.4964</v>
      </c>
      <c r="AX29">
        <v>0.74270000000000003</v>
      </c>
      <c r="AY29">
        <v>17.755600000000001</v>
      </c>
      <c r="AZ29">
        <v>0.89429999999999998</v>
      </c>
      <c r="BA29" t="s">
        <v>23</v>
      </c>
      <c r="BB29">
        <v>9.2675999999999998</v>
      </c>
      <c r="BC29">
        <v>3.7265999999999999</v>
      </c>
      <c r="BD29">
        <v>19.899999999999999</v>
      </c>
      <c r="BE29" s="33">
        <v>18038.4565</v>
      </c>
      <c r="BF29" s="8"/>
      <c r="BG29" s="8"/>
      <c r="BH29" s="5">
        <v>1.9301999999999999</v>
      </c>
      <c r="BI29">
        <v>-6.0312000000000001</v>
      </c>
      <c r="BJ29">
        <v>1.0215000000000001</v>
      </c>
      <c r="BK29">
        <v>37.999600000000001</v>
      </c>
      <c r="BL29">
        <v>0.98380000000000001</v>
      </c>
      <c r="BM29" t="s">
        <v>23</v>
      </c>
      <c r="BN29">
        <v>13.8802</v>
      </c>
      <c r="BO29">
        <v>10.837</v>
      </c>
      <c r="BP29">
        <v>13.1</v>
      </c>
      <c r="BQ29">
        <v>8984.3613999999998</v>
      </c>
      <c r="CE29" s="1">
        <f t="shared" si="1"/>
        <v>43812</v>
      </c>
      <c r="CF29" s="35">
        <f t="shared" si="2"/>
        <v>2.527811414790035</v>
      </c>
      <c r="CG29" s="36">
        <f t="shared" si="0"/>
        <v>-1.0822075713271728</v>
      </c>
    </row>
    <row r="30" spans="1:85" x14ac:dyDescent="0.25">
      <c r="A30" s="43">
        <v>43819</v>
      </c>
      <c r="B30" s="5">
        <v>1.7417</v>
      </c>
      <c r="C30">
        <v>40.921399999999998</v>
      </c>
      <c r="D30">
        <v>2.0714999999999999</v>
      </c>
      <c r="E30">
        <v>38.406799999999997</v>
      </c>
      <c r="F30">
        <v>0.56340000000000001</v>
      </c>
      <c r="G30">
        <v>0</v>
      </c>
      <c r="H30">
        <v>123.0329</v>
      </c>
      <c r="I30">
        <v>114.79989999999999</v>
      </c>
      <c r="J30">
        <v>28.928999999999998</v>
      </c>
      <c r="K30">
        <v>53520.686699999998</v>
      </c>
      <c r="M30" s="43">
        <v>43819</v>
      </c>
      <c r="N30" s="5">
        <v>3.5911</v>
      </c>
      <c r="O30">
        <v>46.458199999999998</v>
      </c>
      <c r="P30">
        <v>1.3169999999999999</v>
      </c>
      <c r="Q30">
        <v>44.381900000000002</v>
      </c>
      <c r="R30">
        <v>0.76629999999999998</v>
      </c>
      <c r="S30">
        <v>195.11080000000001</v>
      </c>
      <c r="T30">
        <v>47.790799999999997</v>
      </c>
      <c r="U30">
        <v>40.009500000000003</v>
      </c>
      <c r="V30">
        <v>95.673000000000002</v>
      </c>
      <c r="W30">
        <v>79250.904500000004</v>
      </c>
      <c r="Y30" s="5">
        <v>1.3421000000000001</v>
      </c>
      <c r="Z30">
        <v>15.280099999999999</v>
      </c>
      <c r="AA30">
        <v>0.55359999999999998</v>
      </c>
      <c r="AB30">
        <v>20.0245</v>
      </c>
      <c r="AC30">
        <v>0.25850000000000001</v>
      </c>
      <c r="AD30">
        <v>0</v>
      </c>
      <c r="AE30">
        <v>74.901600000000002</v>
      </c>
      <c r="AF30">
        <v>30.487500000000001</v>
      </c>
      <c r="AG30">
        <v>28.548999999999999</v>
      </c>
      <c r="AH30">
        <v>16168.9635</v>
      </c>
      <c r="AK30">
        <v>1.0561</v>
      </c>
      <c r="AL30">
        <v>29.063500000000001</v>
      </c>
      <c r="AM30">
        <v>1.0392999999999999</v>
      </c>
      <c r="AN30">
        <v>27.335899999999999</v>
      </c>
      <c r="AO30">
        <v>0.1198</v>
      </c>
      <c r="AP30" t="s">
        <v>23</v>
      </c>
      <c r="AQ30">
        <v>62.266300000000001</v>
      </c>
      <c r="AR30">
        <v>54.183300000000003</v>
      </c>
      <c r="AS30">
        <v>16.881</v>
      </c>
      <c r="AT30">
        <v>10227.4974</v>
      </c>
      <c r="AV30">
        <v>2.8530000000000002</v>
      </c>
      <c r="AW30">
        <v>3.4964</v>
      </c>
      <c r="AX30">
        <v>0.74270000000000003</v>
      </c>
      <c r="AY30">
        <v>17.755600000000001</v>
      </c>
      <c r="AZ30">
        <v>0.89429999999999998</v>
      </c>
      <c r="BA30" t="s">
        <v>23</v>
      </c>
      <c r="BB30">
        <v>9.2675999999999998</v>
      </c>
      <c r="BC30">
        <v>3.7265999999999999</v>
      </c>
      <c r="BD30">
        <v>20.8</v>
      </c>
      <c r="BE30" s="33">
        <v>18854.266100000001</v>
      </c>
      <c r="BF30" s="8"/>
      <c r="BG30" s="8"/>
      <c r="BH30" s="5">
        <v>1.9301999999999999</v>
      </c>
      <c r="BI30">
        <v>-6.0312000000000001</v>
      </c>
      <c r="BJ30">
        <v>1.0215000000000001</v>
      </c>
      <c r="BK30">
        <v>37.999600000000001</v>
      </c>
      <c r="BL30">
        <v>0.98380000000000001</v>
      </c>
      <c r="BM30" t="s">
        <v>23</v>
      </c>
      <c r="BN30">
        <v>13.8802</v>
      </c>
      <c r="BO30">
        <v>10.837</v>
      </c>
      <c r="BP30">
        <v>13.1</v>
      </c>
      <c r="BQ30">
        <v>8984.3613999999998</v>
      </c>
      <c r="CE30" s="1">
        <f t="shared" si="1"/>
        <v>43819</v>
      </c>
      <c r="CF30" s="35">
        <f t="shared" si="2"/>
        <v>2.5745035721729908</v>
      </c>
      <c r="CG30" s="36">
        <f t="shared" si="0"/>
        <v>-1.0602197347369673</v>
      </c>
    </row>
    <row r="31" spans="1:85" x14ac:dyDescent="0.25">
      <c r="A31" s="43">
        <v>43826</v>
      </c>
      <c r="B31" s="5">
        <v>1.788</v>
      </c>
      <c r="C31">
        <v>40.921399999999998</v>
      </c>
      <c r="D31">
        <v>2.0714999999999999</v>
      </c>
      <c r="E31">
        <v>38.406799999999997</v>
      </c>
      <c r="F31">
        <v>0.56340000000000001</v>
      </c>
      <c r="G31">
        <v>0</v>
      </c>
      <c r="H31">
        <v>123.0329</v>
      </c>
      <c r="I31">
        <v>114.79989999999999</v>
      </c>
      <c r="J31">
        <v>30.074000000000002</v>
      </c>
      <c r="K31">
        <v>55640.317900000002</v>
      </c>
      <c r="M31" s="43">
        <v>43826</v>
      </c>
      <c r="N31" s="5">
        <v>3.7566999999999999</v>
      </c>
      <c r="O31">
        <v>46.458199999999998</v>
      </c>
      <c r="P31">
        <v>1.3169999999999999</v>
      </c>
      <c r="Q31">
        <v>44.381900000000002</v>
      </c>
      <c r="R31">
        <v>0.76629999999999998</v>
      </c>
      <c r="S31">
        <v>195.11080000000001</v>
      </c>
      <c r="T31">
        <v>47.790799999999997</v>
      </c>
      <c r="U31">
        <v>40.009500000000003</v>
      </c>
      <c r="V31">
        <v>101.28400000000001</v>
      </c>
      <c r="W31">
        <v>83898.7019</v>
      </c>
      <c r="Y31" s="5">
        <v>1.4422999999999999</v>
      </c>
      <c r="Z31">
        <v>15.280099999999999</v>
      </c>
      <c r="AA31">
        <v>0.55359999999999998</v>
      </c>
      <c r="AB31">
        <v>20.0245</v>
      </c>
      <c r="AC31">
        <v>0.25850000000000001</v>
      </c>
      <c r="AD31">
        <v>0</v>
      </c>
      <c r="AE31">
        <v>74.901600000000002</v>
      </c>
      <c r="AF31">
        <v>30.487500000000001</v>
      </c>
      <c r="AG31">
        <v>31.187000000000001</v>
      </c>
      <c r="AH31">
        <v>17662.835200000001</v>
      </c>
      <c r="AK31">
        <v>1.2068000000000001</v>
      </c>
      <c r="AL31">
        <v>29.063500000000001</v>
      </c>
      <c r="AM31">
        <v>1.0392999999999999</v>
      </c>
      <c r="AN31">
        <v>27.335899999999999</v>
      </c>
      <c r="AO31">
        <v>0.1198</v>
      </c>
      <c r="AP31" t="s">
        <v>23</v>
      </c>
      <c r="AQ31">
        <v>62.266300000000001</v>
      </c>
      <c r="AR31">
        <v>54.183300000000003</v>
      </c>
      <c r="AS31">
        <v>19.597000000000001</v>
      </c>
      <c r="AT31">
        <v>11872.7904</v>
      </c>
      <c r="AV31">
        <v>3.2296999999999998</v>
      </c>
      <c r="AW31">
        <v>3.4964</v>
      </c>
      <c r="AX31">
        <v>0.74270000000000003</v>
      </c>
      <c r="AY31">
        <v>17.755600000000001</v>
      </c>
      <c r="AZ31">
        <v>0.89429999999999998</v>
      </c>
      <c r="BA31" t="s">
        <v>23</v>
      </c>
      <c r="BB31">
        <v>9.2675999999999998</v>
      </c>
      <c r="BC31">
        <v>3.7265999999999999</v>
      </c>
      <c r="BD31">
        <v>24.8</v>
      </c>
      <c r="BE31" s="33">
        <v>22480.086500000001</v>
      </c>
      <c r="BF31" s="8"/>
      <c r="BG31" s="8"/>
      <c r="BH31" s="5">
        <v>2.0482999999999998</v>
      </c>
      <c r="BI31">
        <v>-6.0312000000000001</v>
      </c>
      <c r="BJ31">
        <v>1.0215000000000001</v>
      </c>
      <c r="BK31">
        <v>37.999600000000001</v>
      </c>
      <c r="BL31">
        <v>0.98380000000000001</v>
      </c>
      <c r="BM31" t="s">
        <v>23</v>
      </c>
      <c r="BN31">
        <v>13.8802</v>
      </c>
      <c r="BO31">
        <v>10.837</v>
      </c>
      <c r="BP31">
        <v>14.743</v>
      </c>
      <c r="BQ31">
        <v>10111.319600000001</v>
      </c>
      <c r="CE31" s="1">
        <f t="shared" si="1"/>
        <v>43826</v>
      </c>
      <c r="CF31" s="35">
        <f t="shared" si="2"/>
        <v>2.716298949316911</v>
      </c>
      <c r="CG31" s="36">
        <f t="shared" si="0"/>
        <v>-0.99344677420922833</v>
      </c>
    </row>
    <row r="32" spans="1:85" x14ac:dyDescent="0.25">
      <c r="A32" s="43">
        <v>43833</v>
      </c>
      <c r="B32" s="5">
        <v>1.6217999999999999</v>
      </c>
      <c r="C32">
        <v>28.3736</v>
      </c>
      <c r="D32">
        <v>1.2349000000000001</v>
      </c>
      <c r="E32">
        <v>39.373399999999997</v>
      </c>
      <c r="F32">
        <v>0.59940000000000004</v>
      </c>
      <c r="G32">
        <v>44.554000000000002</v>
      </c>
      <c r="H32">
        <v>103.5607</v>
      </c>
      <c r="I32">
        <v>93.956400000000002</v>
      </c>
      <c r="J32">
        <v>26.515000000000001</v>
      </c>
      <c r="K32">
        <v>49054.321100000001</v>
      </c>
      <c r="M32" s="43">
        <v>43833</v>
      </c>
      <c r="N32" s="5">
        <v>3.7665999999999999</v>
      </c>
      <c r="O32">
        <v>20.184699999999999</v>
      </c>
      <c r="P32">
        <v>1.0202</v>
      </c>
      <c r="Q32">
        <v>41.122</v>
      </c>
      <c r="R32">
        <v>1.0148999999999999</v>
      </c>
      <c r="S32">
        <v>195.11080000000001</v>
      </c>
      <c r="T32">
        <v>48.515099999999997</v>
      </c>
      <c r="U32">
        <v>40.524700000000003</v>
      </c>
      <c r="V32">
        <v>101.47499999999999</v>
      </c>
      <c r="W32">
        <v>84057.600900000005</v>
      </c>
      <c r="Y32" s="5">
        <v>1.1543000000000001</v>
      </c>
      <c r="Z32">
        <v>8.952</v>
      </c>
      <c r="AA32">
        <v>0.44850000000000001</v>
      </c>
      <c r="AB32">
        <v>14.457100000000001</v>
      </c>
      <c r="AC32">
        <v>0.23730000000000001</v>
      </c>
      <c r="AD32">
        <v>0</v>
      </c>
      <c r="AE32">
        <v>73.017799999999994</v>
      </c>
      <c r="AF32">
        <v>33.1556</v>
      </c>
      <c r="AG32">
        <v>30.914999999999999</v>
      </c>
      <c r="AH32">
        <v>17509.0543</v>
      </c>
      <c r="AK32">
        <v>1.1049</v>
      </c>
      <c r="AL32">
        <v>18.254100000000001</v>
      </c>
      <c r="AM32">
        <v>1.0737000000000001</v>
      </c>
      <c r="AN32">
        <v>24.898800000000001</v>
      </c>
      <c r="AO32">
        <v>0.16289999999999999</v>
      </c>
      <c r="AP32" t="s">
        <v>23</v>
      </c>
      <c r="AQ32">
        <v>62.607700000000001</v>
      </c>
      <c r="AR32">
        <v>54.445999999999998</v>
      </c>
      <c r="AS32">
        <v>18.312999999999999</v>
      </c>
      <c r="AT32">
        <v>11094.6113</v>
      </c>
      <c r="AV32">
        <v>2.3384</v>
      </c>
      <c r="AW32">
        <v>2.6932999999999998</v>
      </c>
      <c r="AX32">
        <v>0.29859999999999998</v>
      </c>
      <c r="AY32">
        <v>14.4498</v>
      </c>
      <c r="AZ32">
        <v>0.59909999999999997</v>
      </c>
      <c r="BA32" t="s">
        <v>23</v>
      </c>
      <c r="BB32">
        <v>10.716699999999999</v>
      </c>
      <c r="BC32">
        <v>5.0511999999999997</v>
      </c>
      <c r="BD32">
        <v>21.75</v>
      </c>
      <c r="BE32" s="33">
        <v>19715.398399999998</v>
      </c>
      <c r="BF32" s="8"/>
      <c r="BG32" s="8"/>
      <c r="BH32" s="5">
        <v>1.9762</v>
      </c>
      <c r="BI32">
        <v>-5.2721999999999998</v>
      </c>
      <c r="BJ32">
        <v>0.84370000000000001</v>
      </c>
      <c r="BK32">
        <v>34.438400000000001</v>
      </c>
      <c r="BL32">
        <v>1.0452999999999999</v>
      </c>
      <c r="BM32" t="s">
        <v>23</v>
      </c>
      <c r="BN32">
        <v>13.776300000000001</v>
      </c>
      <c r="BO32">
        <v>10.938599999999999</v>
      </c>
      <c r="BP32">
        <v>14.698</v>
      </c>
      <c r="BQ32">
        <v>10080.0152</v>
      </c>
      <c r="CE32" s="1">
        <f t="shared" si="1"/>
        <v>43833</v>
      </c>
      <c r="CF32" s="35">
        <f t="shared" si="2"/>
        <v>2.582929468652269</v>
      </c>
      <c r="CG32" s="36">
        <f t="shared" si="0"/>
        <v>-1.056251889914702</v>
      </c>
    </row>
    <row r="33" spans="1:85" x14ac:dyDescent="0.25">
      <c r="A33" s="43">
        <v>43840</v>
      </c>
      <c r="B33" s="5">
        <v>1.718</v>
      </c>
      <c r="C33">
        <v>28.3736</v>
      </c>
      <c r="D33">
        <v>1.2349000000000001</v>
      </c>
      <c r="E33">
        <v>39.373399999999997</v>
      </c>
      <c r="F33">
        <v>0.59940000000000004</v>
      </c>
      <c r="G33">
        <v>44.554000000000002</v>
      </c>
      <c r="H33">
        <v>103.5607</v>
      </c>
      <c r="I33">
        <v>93.956400000000002</v>
      </c>
      <c r="J33">
        <v>29.050999999999998</v>
      </c>
      <c r="K33">
        <v>53747.790099999998</v>
      </c>
      <c r="M33" s="43">
        <v>43840</v>
      </c>
      <c r="N33" s="5">
        <v>3.9304999999999999</v>
      </c>
      <c r="O33">
        <v>20.184699999999999</v>
      </c>
      <c r="P33">
        <v>1.0202</v>
      </c>
      <c r="Q33">
        <v>41.122</v>
      </c>
      <c r="R33">
        <v>1.0148999999999999</v>
      </c>
      <c r="S33">
        <v>195.11080000000001</v>
      </c>
      <c r="T33">
        <v>48.515099999999997</v>
      </c>
      <c r="U33">
        <v>40.524700000000003</v>
      </c>
      <c r="V33">
        <v>107.518</v>
      </c>
      <c r="W33">
        <v>89062.921199999997</v>
      </c>
      <c r="Y33" s="5">
        <v>1.2302</v>
      </c>
      <c r="Z33">
        <v>8.952</v>
      </c>
      <c r="AA33">
        <v>0.44850000000000001</v>
      </c>
      <c r="AB33">
        <v>14.457100000000001</v>
      </c>
      <c r="AC33">
        <v>0.23730000000000001</v>
      </c>
      <c r="AD33">
        <v>0</v>
      </c>
      <c r="AE33">
        <v>73.017799999999994</v>
      </c>
      <c r="AF33">
        <v>33.1556</v>
      </c>
      <c r="AG33">
        <v>33.475000000000001</v>
      </c>
      <c r="AH33">
        <v>18958.988499999999</v>
      </c>
      <c r="AK33">
        <v>1.1483000000000001</v>
      </c>
      <c r="AL33">
        <v>18.254100000000001</v>
      </c>
      <c r="AM33">
        <v>1.0737000000000001</v>
      </c>
      <c r="AN33">
        <v>24.898800000000001</v>
      </c>
      <c r="AO33">
        <v>0.16289999999999999</v>
      </c>
      <c r="AP33" t="s">
        <v>23</v>
      </c>
      <c r="AQ33">
        <v>62.607700000000001</v>
      </c>
      <c r="AR33">
        <v>54.445999999999998</v>
      </c>
      <c r="AS33">
        <v>19.157</v>
      </c>
      <c r="AT33">
        <v>11605.9861</v>
      </c>
      <c r="AV33">
        <v>2.4742999999999999</v>
      </c>
      <c r="AW33">
        <v>2.6932999999999998</v>
      </c>
      <c r="AX33">
        <v>0.29859999999999998</v>
      </c>
      <c r="AY33">
        <v>14.4498</v>
      </c>
      <c r="AZ33">
        <v>0.59909999999999997</v>
      </c>
      <c r="BA33" t="s">
        <v>23</v>
      </c>
      <c r="BB33">
        <v>10.716699999999999</v>
      </c>
      <c r="BC33">
        <v>5.0511999999999997</v>
      </c>
      <c r="BD33">
        <v>23.45</v>
      </c>
      <c r="BE33" s="33">
        <v>21256.372100000001</v>
      </c>
      <c r="BF33" s="8"/>
      <c r="BG33" s="8"/>
      <c r="BH33" s="5">
        <v>2.0135000000000001</v>
      </c>
      <c r="BI33">
        <v>-5.2721999999999998</v>
      </c>
      <c r="BJ33">
        <v>0.84370000000000001</v>
      </c>
      <c r="BK33">
        <v>34.438400000000001</v>
      </c>
      <c r="BL33">
        <v>1.0452999999999999</v>
      </c>
      <c r="BM33" t="s">
        <v>23</v>
      </c>
      <c r="BN33">
        <v>13.776300000000001</v>
      </c>
      <c r="BO33">
        <v>10.938599999999999</v>
      </c>
      <c r="BP33">
        <v>15.291</v>
      </c>
      <c r="BQ33">
        <v>10486.972299999999</v>
      </c>
      <c r="CE33" s="1">
        <f t="shared" si="1"/>
        <v>43840</v>
      </c>
      <c r="CF33" s="35">
        <f t="shared" si="2"/>
        <v>2.694831269747914</v>
      </c>
      <c r="CG33" s="36">
        <f t="shared" si="0"/>
        <v>-1.0035561342557682</v>
      </c>
    </row>
    <row r="34" spans="1:85" x14ac:dyDescent="0.25">
      <c r="A34" s="43">
        <v>43847</v>
      </c>
      <c r="B34" s="5">
        <v>1.6466000000000001</v>
      </c>
      <c r="C34">
        <v>28.3736</v>
      </c>
      <c r="D34">
        <v>1.2349000000000001</v>
      </c>
      <c r="E34">
        <v>39.373399999999997</v>
      </c>
      <c r="F34">
        <v>0.59940000000000004</v>
      </c>
      <c r="G34">
        <v>44.554000000000002</v>
      </c>
      <c r="H34">
        <v>103.5607</v>
      </c>
      <c r="I34">
        <v>93.956400000000002</v>
      </c>
      <c r="J34">
        <v>27.169</v>
      </c>
      <c r="K34">
        <v>50265.5389</v>
      </c>
      <c r="M34" s="43">
        <v>43847</v>
      </c>
      <c r="N34" s="5">
        <v>3.8914</v>
      </c>
      <c r="O34">
        <v>20.184699999999999</v>
      </c>
      <c r="P34">
        <v>1.0202</v>
      </c>
      <c r="Q34">
        <v>41.122</v>
      </c>
      <c r="R34">
        <v>1.0148999999999999</v>
      </c>
      <c r="S34">
        <v>195.11080000000001</v>
      </c>
      <c r="T34">
        <v>48.515099999999997</v>
      </c>
      <c r="U34">
        <v>40.524700000000003</v>
      </c>
      <c r="V34">
        <v>106.07899999999999</v>
      </c>
      <c r="W34">
        <v>87871.1783</v>
      </c>
      <c r="Y34" s="5">
        <v>1.2646999999999999</v>
      </c>
      <c r="Z34">
        <v>8.952</v>
      </c>
      <c r="AA34">
        <v>0.44850000000000001</v>
      </c>
      <c r="AB34">
        <v>14.457100000000001</v>
      </c>
      <c r="AC34">
        <v>0.23730000000000001</v>
      </c>
      <c r="AD34">
        <v>0</v>
      </c>
      <c r="AE34">
        <v>73.017799999999994</v>
      </c>
      <c r="AF34">
        <v>33.1556</v>
      </c>
      <c r="AG34">
        <v>34.639000000000003</v>
      </c>
      <c r="AH34">
        <v>19618.049500000001</v>
      </c>
      <c r="AK34">
        <v>1.2824</v>
      </c>
      <c r="AL34">
        <v>18.254100000000001</v>
      </c>
      <c r="AM34">
        <v>1.0737000000000001</v>
      </c>
      <c r="AN34">
        <v>24.898800000000001</v>
      </c>
      <c r="AO34">
        <v>0.16289999999999999</v>
      </c>
      <c r="AP34" t="s">
        <v>23</v>
      </c>
      <c r="AQ34">
        <v>62.607700000000001</v>
      </c>
      <c r="AR34">
        <v>54.445999999999998</v>
      </c>
      <c r="AS34">
        <v>21.762</v>
      </c>
      <c r="AT34">
        <v>13184.578100000001</v>
      </c>
      <c r="AV34">
        <v>2.4943</v>
      </c>
      <c r="AW34">
        <v>2.6932999999999998</v>
      </c>
      <c r="AX34">
        <v>0.29859999999999998</v>
      </c>
      <c r="AY34">
        <v>14.4498</v>
      </c>
      <c r="AZ34">
        <v>0.59909999999999997</v>
      </c>
      <c r="BA34" t="s">
        <v>23</v>
      </c>
      <c r="BB34">
        <v>10.716699999999999</v>
      </c>
      <c r="BC34">
        <v>5.0511999999999997</v>
      </c>
      <c r="BD34">
        <v>23.7</v>
      </c>
      <c r="BE34" s="33">
        <v>21482.9859</v>
      </c>
      <c r="BF34" s="8"/>
      <c r="BG34" s="8"/>
      <c r="BH34" s="5">
        <v>2.1456</v>
      </c>
      <c r="BI34">
        <v>-5.2721999999999998</v>
      </c>
      <c r="BJ34">
        <v>0.84370000000000001</v>
      </c>
      <c r="BK34">
        <v>34.438400000000001</v>
      </c>
      <c r="BL34">
        <v>1.0452999999999999</v>
      </c>
      <c r="BM34" t="s">
        <v>23</v>
      </c>
      <c r="BN34">
        <v>13.776300000000001</v>
      </c>
      <c r="BO34">
        <v>10.938599999999999</v>
      </c>
      <c r="BP34">
        <v>17.390999999999998</v>
      </c>
      <c r="BQ34">
        <v>11926.9745</v>
      </c>
      <c r="CE34" s="1">
        <f t="shared" si="1"/>
        <v>43847</v>
      </c>
      <c r="CF34" s="35">
        <f t="shared" si="2"/>
        <v>2.66995533667721</v>
      </c>
      <c r="CG34" s="36">
        <f t="shared" si="0"/>
        <v>-1.0152704773498653</v>
      </c>
    </row>
    <row r="35" spans="1:85" x14ac:dyDescent="0.25">
      <c r="A35" s="43">
        <v>43854</v>
      </c>
      <c r="B35" s="5">
        <v>1.5673999999999999</v>
      </c>
      <c r="C35">
        <v>28.3736</v>
      </c>
      <c r="D35">
        <v>1.2349000000000001</v>
      </c>
      <c r="E35">
        <v>39.373399999999997</v>
      </c>
      <c r="F35">
        <v>0.59940000000000004</v>
      </c>
      <c r="G35">
        <v>44.554000000000002</v>
      </c>
      <c r="H35">
        <v>103.5607</v>
      </c>
      <c r="I35">
        <v>93.956400000000002</v>
      </c>
      <c r="J35">
        <v>25.082000000000001</v>
      </c>
      <c r="K35">
        <v>46404.782099999997</v>
      </c>
      <c r="M35" s="43">
        <v>43854</v>
      </c>
      <c r="N35" s="5">
        <v>3.7067999999999999</v>
      </c>
      <c r="O35">
        <v>20.184699999999999</v>
      </c>
      <c r="P35">
        <v>1.0202</v>
      </c>
      <c r="Q35">
        <v>41.122</v>
      </c>
      <c r="R35">
        <v>1.0148999999999999</v>
      </c>
      <c r="S35">
        <v>195.11080000000001</v>
      </c>
      <c r="T35">
        <v>48.515099999999997</v>
      </c>
      <c r="U35">
        <v>40.524700000000003</v>
      </c>
      <c r="V35">
        <v>99.269000000000005</v>
      </c>
      <c r="W35">
        <v>82230.261799999993</v>
      </c>
      <c r="Y35" s="5">
        <v>1.1727000000000001</v>
      </c>
      <c r="Z35">
        <v>8.952</v>
      </c>
      <c r="AA35">
        <v>0.44850000000000001</v>
      </c>
      <c r="AB35">
        <v>14.457100000000001</v>
      </c>
      <c r="AC35">
        <v>0.23730000000000001</v>
      </c>
      <c r="AD35">
        <v>0</v>
      </c>
      <c r="AE35">
        <v>73.017799999999994</v>
      </c>
      <c r="AF35">
        <v>33.1556</v>
      </c>
      <c r="AG35">
        <v>31.536000000000001</v>
      </c>
      <c r="AH35">
        <v>17860.553500000002</v>
      </c>
      <c r="AK35">
        <v>1.2445999999999999</v>
      </c>
      <c r="AL35">
        <v>18.254100000000001</v>
      </c>
      <c r="AM35">
        <v>1.0737000000000001</v>
      </c>
      <c r="AN35">
        <v>24.898800000000001</v>
      </c>
      <c r="AO35">
        <v>0.16289999999999999</v>
      </c>
      <c r="AP35" t="s">
        <v>23</v>
      </c>
      <c r="AQ35">
        <v>62.607700000000001</v>
      </c>
      <c r="AR35">
        <v>54.445999999999998</v>
      </c>
      <c r="AS35">
        <v>21.027999999999999</v>
      </c>
      <c r="AT35">
        <v>12739.9043</v>
      </c>
      <c r="AV35">
        <v>2.3702999999999999</v>
      </c>
      <c r="AW35">
        <v>2.6932999999999998</v>
      </c>
      <c r="AX35">
        <v>0.29859999999999998</v>
      </c>
      <c r="AY35">
        <v>14.4498</v>
      </c>
      <c r="AZ35">
        <v>0.59909999999999997</v>
      </c>
      <c r="BA35" t="s">
        <v>23</v>
      </c>
      <c r="BB35">
        <v>10.716699999999999</v>
      </c>
      <c r="BC35">
        <v>5.0511999999999997</v>
      </c>
      <c r="BD35">
        <v>22.15</v>
      </c>
      <c r="BE35" s="33">
        <v>20077.980500000001</v>
      </c>
      <c r="BF35" s="8"/>
      <c r="BG35" s="8"/>
      <c r="BH35" s="5">
        <v>2.0680999999999998</v>
      </c>
      <c r="BI35">
        <v>-5.2721999999999998</v>
      </c>
      <c r="BJ35">
        <v>0.84370000000000001</v>
      </c>
      <c r="BK35">
        <v>34.438400000000001</v>
      </c>
      <c r="BL35">
        <v>1.0452999999999999</v>
      </c>
      <c r="BM35" t="s">
        <v>23</v>
      </c>
      <c r="BN35">
        <v>13.776300000000001</v>
      </c>
      <c r="BO35">
        <v>10.938599999999999</v>
      </c>
      <c r="BP35">
        <v>16.158000000000001</v>
      </c>
      <c r="BQ35">
        <v>11081.755800000001</v>
      </c>
      <c r="CE35" s="1">
        <f t="shared" si="1"/>
        <v>43854</v>
      </c>
      <c r="CF35" s="35">
        <f t="shared" si="2"/>
        <v>2.546577148290547</v>
      </c>
      <c r="CG35" s="36">
        <f t="shared" si="0"/>
        <v>-1.0733705865993002</v>
      </c>
    </row>
    <row r="36" spans="1:85" x14ac:dyDescent="0.25">
      <c r="A36" s="43">
        <v>43861</v>
      </c>
      <c r="B36" s="5">
        <v>1.5923</v>
      </c>
      <c r="C36">
        <v>28.3736</v>
      </c>
      <c r="D36">
        <v>1.2349000000000001</v>
      </c>
      <c r="E36">
        <v>39.373399999999997</v>
      </c>
      <c r="F36">
        <v>0.59940000000000004</v>
      </c>
      <c r="G36">
        <v>44.554000000000002</v>
      </c>
      <c r="H36">
        <v>103.5607</v>
      </c>
      <c r="I36">
        <v>93.956400000000002</v>
      </c>
      <c r="J36">
        <v>25.736999999999998</v>
      </c>
      <c r="K36">
        <v>47616</v>
      </c>
      <c r="M36" s="43">
        <v>43861</v>
      </c>
      <c r="N36" s="5">
        <v>3.7275999999999998</v>
      </c>
      <c r="O36">
        <v>20.184699999999999</v>
      </c>
      <c r="P36">
        <v>1.0202</v>
      </c>
      <c r="Q36">
        <v>41.122</v>
      </c>
      <c r="R36">
        <v>1.0148999999999999</v>
      </c>
      <c r="S36">
        <v>195.11080000000001</v>
      </c>
      <c r="T36">
        <v>48.515099999999997</v>
      </c>
      <c r="U36">
        <v>40.524700000000003</v>
      </c>
      <c r="V36">
        <v>100.03700000000001</v>
      </c>
      <c r="W36">
        <v>82865.857999999993</v>
      </c>
      <c r="Y36" s="5">
        <v>1.1462000000000001</v>
      </c>
      <c r="Z36">
        <v>8.952</v>
      </c>
      <c r="AA36">
        <v>0.44850000000000001</v>
      </c>
      <c r="AB36">
        <v>14.457100000000001</v>
      </c>
      <c r="AC36">
        <v>0.23730000000000001</v>
      </c>
      <c r="AD36">
        <v>0</v>
      </c>
      <c r="AE36">
        <v>73.017799999999994</v>
      </c>
      <c r="AF36">
        <v>33.1556</v>
      </c>
      <c r="AG36">
        <v>30.643999999999998</v>
      </c>
      <c r="AH36">
        <v>17355.273399999998</v>
      </c>
      <c r="AK36">
        <v>1.2692000000000001</v>
      </c>
      <c r="AL36">
        <v>18.254100000000001</v>
      </c>
      <c r="AM36">
        <v>1.0737000000000001</v>
      </c>
      <c r="AN36">
        <v>24.898800000000001</v>
      </c>
      <c r="AO36">
        <v>0.16289999999999999</v>
      </c>
      <c r="AP36" t="s">
        <v>23</v>
      </c>
      <c r="AQ36">
        <v>62.607700000000001</v>
      </c>
      <c r="AR36">
        <v>54.445999999999998</v>
      </c>
      <c r="AS36">
        <v>21.504999999999999</v>
      </c>
      <c r="AT36">
        <v>13028.942300000001</v>
      </c>
      <c r="AV36">
        <v>2.3582999999999998</v>
      </c>
      <c r="AW36">
        <v>2.6932999999999998</v>
      </c>
      <c r="AX36">
        <v>0.29859999999999998</v>
      </c>
      <c r="AY36">
        <v>14.4498</v>
      </c>
      <c r="AZ36">
        <v>0.59909999999999997</v>
      </c>
      <c r="BA36" t="s">
        <v>23</v>
      </c>
      <c r="BB36">
        <v>10.716699999999999</v>
      </c>
      <c r="BC36">
        <v>5.0511999999999997</v>
      </c>
      <c r="BD36">
        <v>22</v>
      </c>
      <c r="BE36" s="33">
        <v>19942.012200000001</v>
      </c>
      <c r="BF36" s="8"/>
      <c r="BG36" s="8"/>
      <c r="BH36" s="5">
        <v>2.0882000000000001</v>
      </c>
      <c r="BI36">
        <v>-5.2721999999999998</v>
      </c>
      <c r="BJ36">
        <v>0.84370000000000001</v>
      </c>
      <c r="BK36">
        <v>34.438400000000001</v>
      </c>
      <c r="BL36">
        <v>1.0452999999999999</v>
      </c>
      <c r="BM36" t="s">
        <v>23</v>
      </c>
      <c r="BN36">
        <v>13.776300000000001</v>
      </c>
      <c r="BO36">
        <v>10.938599999999999</v>
      </c>
      <c r="BP36">
        <v>16.478000000000002</v>
      </c>
      <c r="BQ36">
        <v>11300.8866</v>
      </c>
      <c r="CE36" s="1">
        <f t="shared" si="1"/>
        <v>43861</v>
      </c>
      <c r="CF36" s="35">
        <f t="shared" si="2"/>
        <v>2.559830649182302</v>
      </c>
      <c r="CG36" s="36">
        <f t="shared" si="0"/>
        <v>-1.0671293711963377</v>
      </c>
    </row>
    <row r="37" spans="1:85" x14ac:dyDescent="0.25">
      <c r="A37" s="43">
        <v>43868</v>
      </c>
      <c r="B37" s="5">
        <v>1.5705</v>
      </c>
      <c r="C37">
        <v>28.3736</v>
      </c>
      <c r="D37">
        <v>1.2349000000000001</v>
      </c>
      <c r="E37">
        <v>39.373399999999997</v>
      </c>
      <c r="F37">
        <v>0.59940000000000004</v>
      </c>
      <c r="G37">
        <v>44.554000000000002</v>
      </c>
      <c r="H37">
        <v>103.5607</v>
      </c>
      <c r="I37">
        <v>93.956400000000002</v>
      </c>
      <c r="J37">
        <v>25.164000000000001</v>
      </c>
      <c r="K37">
        <v>46556.184399999998</v>
      </c>
      <c r="M37" s="43">
        <v>43868</v>
      </c>
      <c r="N37" s="5">
        <v>3.7341000000000002</v>
      </c>
      <c r="O37">
        <v>20.184699999999999</v>
      </c>
      <c r="P37">
        <v>1.0202</v>
      </c>
      <c r="Q37">
        <v>41.122</v>
      </c>
      <c r="R37">
        <v>1.0148999999999999</v>
      </c>
      <c r="S37">
        <v>195.11080000000001</v>
      </c>
      <c r="T37">
        <v>48.515099999999997</v>
      </c>
      <c r="U37">
        <v>40.524700000000003</v>
      </c>
      <c r="V37">
        <v>100.277</v>
      </c>
      <c r="W37">
        <v>83064.481799999994</v>
      </c>
      <c r="Y37" s="5">
        <v>1.1071</v>
      </c>
      <c r="Z37">
        <v>8.952</v>
      </c>
      <c r="AA37">
        <v>0.44850000000000001</v>
      </c>
      <c r="AB37">
        <v>14.457100000000001</v>
      </c>
      <c r="AC37">
        <v>0.23730000000000001</v>
      </c>
      <c r="AD37">
        <v>0</v>
      </c>
      <c r="AE37">
        <v>73.017799999999994</v>
      </c>
      <c r="AF37">
        <v>33.1556</v>
      </c>
      <c r="AG37">
        <v>29.324999999999999</v>
      </c>
      <c r="AH37">
        <v>16608.337500000001</v>
      </c>
      <c r="AK37">
        <v>1.2143999999999999</v>
      </c>
      <c r="AL37">
        <v>18.254100000000001</v>
      </c>
      <c r="AM37">
        <v>1.0737000000000001</v>
      </c>
      <c r="AN37">
        <v>24.898800000000001</v>
      </c>
      <c r="AO37">
        <v>0.16289999999999999</v>
      </c>
      <c r="AP37" t="s">
        <v>23</v>
      </c>
      <c r="AQ37">
        <v>62.607700000000001</v>
      </c>
      <c r="AR37">
        <v>54.445999999999998</v>
      </c>
      <c r="AS37">
        <v>20.440999999999999</v>
      </c>
      <c r="AT37">
        <v>12384.165300000001</v>
      </c>
      <c r="AV37">
        <v>2.3942999999999999</v>
      </c>
      <c r="AW37">
        <v>2.6932999999999998</v>
      </c>
      <c r="AX37">
        <v>0.29859999999999998</v>
      </c>
      <c r="AY37">
        <v>14.4498</v>
      </c>
      <c r="AZ37">
        <v>0.59909999999999997</v>
      </c>
      <c r="BA37" t="s">
        <v>23</v>
      </c>
      <c r="BB37">
        <v>10.716699999999999</v>
      </c>
      <c r="BC37">
        <v>5.0511999999999997</v>
      </c>
      <c r="BD37">
        <v>22.45</v>
      </c>
      <c r="BE37" s="33">
        <v>20349.917000000001</v>
      </c>
      <c r="BF37" s="8"/>
      <c r="BG37" s="8"/>
      <c r="BH37" s="5">
        <v>2.0623999999999998</v>
      </c>
      <c r="BI37">
        <v>-5.2721999999999998</v>
      </c>
      <c r="BJ37">
        <v>0.84370000000000001</v>
      </c>
      <c r="BK37">
        <v>34.438400000000001</v>
      </c>
      <c r="BL37">
        <v>1.0452999999999999</v>
      </c>
      <c r="BM37" t="s">
        <v>23</v>
      </c>
      <c r="BN37">
        <v>13.776300000000001</v>
      </c>
      <c r="BO37">
        <v>10.938599999999999</v>
      </c>
      <c r="BP37">
        <v>16.067</v>
      </c>
      <c r="BQ37">
        <v>11019.147000000001</v>
      </c>
      <c r="CE37" s="1">
        <f t="shared" si="1"/>
        <v>43868</v>
      </c>
      <c r="CF37" s="35">
        <f t="shared" si="2"/>
        <v>2.5695228296534971</v>
      </c>
      <c r="CG37" s="36">
        <f t="shared" si="0"/>
        <v>-1.0625652196910742</v>
      </c>
    </row>
    <row r="38" spans="1:85" x14ac:dyDescent="0.25">
      <c r="A38" s="43">
        <v>43875</v>
      </c>
      <c r="B38" s="5">
        <v>1.5347999999999999</v>
      </c>
      <c r="C38">
        <v>28.3736</v>
      </c>
      <c r="D38">
        <v>1.2349000000000001</v>
      </c>
      <c r="E38">
        <v>39.373399999999997</v>
      </c>
      <c r="F38">
        <v>0.59940000000000004</v>
      </c>
      <c r="G38">
        <v>44.554000000000002</v>
      </c>
      <c r="H38">
        <v>103.5607</v>
      </c>
      <c r="I38">
        <v>93.956400000000002</v>
      </c>
      <c r="J38">
        <v>24.222999999999999</v>
      </c>
      <c r="K38">
        <v>44815.058799999999</v>
      </c>
      <c r="M38" s="43">
        <v>43875</v>
      </c>
      <c r="N38" s="5">
        <v>3.6938</v>
      </c>
      <c r="O38">
        <v>20.184699999999999</v>
      </c>
      <c r="P38">
        <v>1.0202</v>
      </c>
      <c r="Q38">
        <v>41.122</v>
      </c>
      <c r="R38">
        <v>1.0148999999999999</v>
      </c>
      <c r="S38">
        <v>195.11080000000001</v>
      </c>
      <c r="T38">
        <v>48.515099999999997</v>
      </c>
      <c r="U38">
        <v>40.524700000000003</v>
      </c>
      <c r="V38">
        <v>98.79</v>
      </c>
      <c r="W38">
        <v>81833.0141</v>
      </c>
      <c r="Y38" s="5">
        <v>1.0046999999999999</v>
      </c>
      <c r="Z38">
        <v>8.952</v>
      </c>
      <c r="AA38">
        <v>0.44850000000000001</v>
      </c>
      <c r="AB38">
        <v>14.457100000000001</v>
      </c>
      <c r="AC38">
        <v>0.23730000000000001</v>
      </c>
      <c r="AD38">
        <v>0</v>
      </c>
      <c r="AE38">
        <v>73.017799999999994</v>
      </c>
      <c r="AF38">
        <v>33.1556</v>
      </c>
      <c r="AG38">
        <v>25.872</v>
      </c>
      <c r="AH38">
        <v>14653.1232</v>
      </c>
      <c r="AK38">
        <v>1.0954999999999999</v>
      </c>
      <c r="AL38">
        <v>18.254100000000001</v>
      </c>
      <c r="AM38">
        <v>1.0737000000000001</v>
      </c>
      <c r="AN38">
        <v>24.898800000000001</v>
      </c>
      <c r="AO38">
        <v>0.16289999999999999</v>
      </c>
      <c r="AP38" t="s">
        <v>23</v>
      </c>
      <c r="AQ38">
        <v>62.607700000000001</v>
      </c>
      <c r="AR38">
        <v>54.445999999999998</v>
      </c>
      <c r="AS38">
        <v>18.129000000000001</v>
      </c>
      <c r="AT38">
        <v>10983.442800000001</v>
      </c>
      <c r="AV38">
        <v>2.3104</v>
      </c>
      <c r="AW38">
        <v>2.6932999999999998</v>
      </c>
      <c r="AX38">
        <v>0.29859999999999998</v>
      </c>
      <c r="AY38">
        <v>14.4498</v>
      </c>
      <c r="AZ38">
        <v>0.59909999999999997</v>
      </c>
      <c r="BA38" t="s">
        <v>23</v>
      </c>
      <c r="BB38">
        <v>10.716699999999999</v>
      </c>
      <c r="BC38">
        <v>5.0511999999999997</v>
      </c>
      <c r="BD38">
        <v>21.4</v>
      </c>
      <c r="BE38" s="33">
        <v>19398.1391</v>
      </c>
      <c r="BF38" s="8"/>
      <c r="BG38" s="8"/>
      <c r="BH38" s="5">
        <v>2.0164</v>
      </c>
      <c r="BI38">
        <v>-5.2721999999999998</v>
      </c>
      <c r="BJ38">
        <v>0.84370000000000001</v>
      </c>
      <c r="BK38">
        <v>34.438400000000001</v>
      </c>
      <c r="BL38">
        <v>1.0452999999999999</v>
      </c>
      <c r="BM38" t="s">
        <v>23</v>
      </c>
      <c r="BN38">
        <v>13.776300000000001</v>
      </c>
      <c r="BO38">
        <v>10.938599999999999</v>
      </c>
      <c r="BP38">
        <v>15.337</v>
      </c>
      <c r="BQ38">
        <v>10518.2767</v>
      </c>
      <c r="CE38" s="1">
        <f t="shared" si="1"/>
        <v>43875</v>
      </c>
      <c r="CF38" s="35">
        <f t="shared" si="2"/>
        <v>2.5457471070818123</v>
      </c>
      <c r="CG38" s="36">
        <f t="shared" si="0"/>
        <v>-1.0737614618872229</v>
      </c>
    </row>
    <row r="39" spans="1:85" x14ac:dyDescent="0.25">
      <c r="A39" s="43">
        <v>43882</v>
      </c>
      <c r="B39" s="5">
        <v>1.5038</v>
      </c>
      <c r="C39">
        <v>28.3736</v>
      </c>
      <c r="D39">
        <v>1.2349000000000001</v>
      </c>
      <c r="E39">
        <v>39.373399999999997</v>
      </c>
      <c r="F39">
        <v>0.59940000000000004</v>
      </c>
      <c r="G39">
        <v>44.554000000000002</v>
      </c>
      <c r="H39">
        <v>103.5607</v>
      </c>
      <c r="I39">
        <v>93.956400000000002</v>
      </c>
      <c r="J39">
        <v>23.405000000000001</v>
      </c>
      <c r="K39">
        <v>43301.036500000002</v>
      </c>
      <c r="M39" s="43">
        <v>43882</v>
      </c>
      <c r="N39" s="5">
        <v>3.7172000000000001</v>
      </c>
      <c r="O39">
        <v>20.184699999999999</v>
      </c>
      <c r="P39">
        <v>1.0202</v>
      </c>
      <c r="Q39">
        <v>41.122</v>
      </c>
      <c r="R39">
        <v>1.0148999999999999</v>
      </c>
      <c r="S39">
        <v>195.11080000000001</v>
      </c>
      <c r="T39">
        <v>48.515099999999997</v>
      </c>
      <c r="U39">
        <v>40.524700000000003</v>
      </c>
      <c r="V39">
        <v>99.653000000000006</v>
      </c>
      <c r="W39">
        <v>82548.059899999993</v>
      </c>
      <c r="Y39" s="5">
        <v>1.0645</v>
      </c>
      <c r="Z39">
        <v>8.952</v>
      </c>
      <c r="AA39">
        <v>0.44850000000000001</v>
      </c>
      <c r="AB39">
        <v>14.457100000000001</v>
      </c>
      <c r="AC39">
        <v>0.23730000000000001</v>
      </c>
      <c r="AD39">
        <v>0</v>
      </c>
      <c r="AE39">
        <v>73.017799999999994</v>
      </c>
      <c r="AF39">
        <v>33.1556</v>
      </c>
      <c r="AG39">
        <v>27.888999999999999</v>
      </c>
      <c r="AH39">
        <v>15795.4956</v>
      </c>
      <c r="AK39">
        <v>1.1144000000000001</v>
      </c>
      <c r="AL39">
        <v>18.254100000000001</v>
      </c>
      <c r="AM39">
        <v>1.0737000000000001</v>
      </c>
      <c r="AN39">
        <v>24.898800000000001</v>
      </c>
      <c r="AO39">
        <v>0.16289999999999999</v>
      </c>
      <c r="AP39" t="s">
        <v>23</v>
      </c>
      <c r="AQ39">
        <v>62.607700000000001</v>
      </c>
      <c r="AR39">
        <v>54.445999999999998</v>
      </c>
      <c r="AS39">
        <v>18.495999999999999</v>
      </c>
      <c r="AT39">
        <v>11205.779699999999</v>
      </c>
      <c r="AV39">
        <v>2.3024</v>
      </c>
      <c r="AW39">
        <v>2.6932999999999998</v>
      </c>
      <c r="AX39">
        <v>0.29859999999999998</v>
      </c>
      <c r="AY39">
        <v>14.4498</v>
      </c>
      <c r="AZ39">
        <v>0.59909999999999997</v>
      </c>
      <c r="BA39" t="s">
        <v>23</v>
      </c>
      <c r="BB39">
        <v>10.716699999999999</v>
      </c>
      <c r="BC39">
        <v>5.0511999999999997</v>
      </c>
      <c r="BD39">
        <v>21.3</v>
      </c>
      <c r="BE39" s="33">
        <v>19307.493600000002</v>
      </c>
      <c r="BF39" s="8"/>
      <c r="BG39" s="8"/>
      <c r="BH39" s="5">
        <v>2.0335999999999999</v>
      </c>
      <c r="BI39">
        <v>-5.2721999999999998</v>
      </c>
      <c r="BJ39">
        <v>0.84370000000000001</v>
      </c>
      <c r="BK39">
        <v>34.438400000000001</v>
      </c>
      <c r="BL39">
        <v>1.0452999999999999</v>
      </c>
      <c r="BM39" t="s">
        <v>23</v>
      </c>
      <c r="BN39">
        <v>13.776300000000001</v>
      </c>
      <c r="BO39">
        <v>10.938599999999999</v>
      </c>
      <c r="BP39">
        <v>15.61</v>
      </c>
      <c r="BQ39">
        <v>10706.1031</v>
      </c>
      <c r="CE39" s="1">
        <f t="shared" si="1"/>
        <v>43882</v>
      </c>
      <c r="CF39" s="35">
        <f t="shared" si="2"/>
        <v>2.556497496647677</v>
      </c>
      <c r="CG39" s="36">
        <f t="shared" si="0"/>
        <v>-1.0686989883947993</v>
      </c>
    </row>
    <row r="40" spans="1:85" x14ac:dyDescent="0.25">
      <c r="A40" s="43">
        <v>43889</v>
      </c>
      <c r="B40" s="5">
        <v>1.4292</v>
      </c>
      <c r="C40">
        <v>28.3736</v>
      </c>
      <c r="D40">
        <v>1.2349000000000001</v>
      </c>
      <c r="E40">
        <v>39.373399999999997</v>
      </c>
      <c r="F40">
        <v>0.59940000000000004</v>
      </c>
      <c r="G40">
        <v>44.554000000000002</v>
      </c>
      <c r="H40">
        <v>103.5607</v>
      </c>
      <c r="I40">
        <v>93.956400000000002</v>
      </c>
      <c r="J40">
        <v>21.440999999999999</v>
      </c>
      <c r="K40">
        <v>39667.383099999999</v>
      </c>
      <c r="M40" s="43">
        <v>43889</v>
      </c>
      <c r="N40" s="5">
        <v>3.4376000000000002</v>
      </c>
      <c r="O40">
        <v>20.184699999999999</v>
      </c>
      <c r="P40">
        <v>1.0202</v>
      </c>
      <c r="Q40">
        <v>41.122</v>
      </c>
      <c r="R40">
        <v>1.0148999999999999</v>
      </c>
      <c r="S40">
        <v>195.11080000000001</v>
      </c>
      <c r="T40">
        <v>48.515099999999997</v>
      </c>
      <c r="U40">
        <v>40.524700000000003</v>
      </c>
      <c r="V40">
        <v>89.341999999999999</v>
      </c>
      <c r="W40">
        <v>74007.2356</v>
      </c>
      <c r="Y40" s="5">
        <v>0.98509999999999998</v>
      </c>
      <c r="Z40">
        <v>8.952</v>
      </c>
      <c r="AA40">
        <v>0.44850000000000001</v>
      </c>
      <c r="AB40">
        <v>14.457100000000001</v>
      </c>
      <c r="AC40">
        <v>0.23730000000000001</v>
      </c>
      <c r="AD40">
        <v>0</v>
      </c>
      <c r="AE40">
        <v>73.017799999999994</v>
      </c>
      <c r="AF40">
        <v>33.1556</v>
      </c>
      <c r="AG40">
        <v>25.213000000000001</v>
      </c>
      <c r="AH40">
        <v>14279.6553</v>
      </c>
      <c r="AK40">
        <v>1.0218</v>
      </c>
      <c r="AL40">
        <v>18.254100000000001</v>
      </c>
      <c r="AM40">
        <v>1.0737000000000001</v>
      </c>
      <c r="AN40">
        <v>24.898800000000001</v>
      </c>
      <c r="AO40">
        <v>0.16289999999999999</v>
      </c>
      <c r="AP40" t="s">
        <v>23</v>
      </c>
      <c r="AQ40">
        <v>62.607700000000001</v>
      </c>
      <c r="AR40">
        <v>54.445999999999998</v>
      </c>
      <c r="AS40">
        <v>16.698</v>
      </c>
      <c r="AT40">
        <v>10116.3289</v>
      </c>
      <c r="AV40">
        <v>2.1105</v>
      </c>
      <c r="AW40">
        <v>2.6932999999999998</v>
      </c>
      <c r="AX40">
        <v>0.29859999999999998</v>
      </c>
      <c r="AY40">
        <v>14.4498</v>
      </c>
      <c r="AZ40">
        <v>0.59909999999999997</v>
      </c>
      <c r="BA40" t="s">
        <v>23</v>
      </c>
      <c r="BB40">
        <v>10.716699999999999</v>
      </c>
      <c r="BC40">
        <v>5.0511999999999997</v>
      </c>
      <c r="BD40">
        <v>18.899999999999999</v>
      </c>
      <c r="BE40" s="33">
        <v>17132.001400000001</v>
      </c>
      <c r="BH40" s="5">
        <v>1.9359999999999999</v>
      </c>
      <c r="BI40">
        <v>-5.2721999999999998</v>
      </c>
      <c r="BJ40">
        <v>0.84370000000000001</v>
      </c>
      <c r="BK40">
        <v>34.438400000000001</v>
      </c>
      <c r="BL40">
        <v>1.0452999999999999</v>
      </c>
      <c r="BM40" t="s">
        <v>23</v>
      </c>
      <c r="BN40">
        <v>13.776300000000001</v>
      </c>
      <c r="BO40">
        <v>10.938599999999999</v>
      </c>
      <c r="BP40">
        <v>14.058999999999999</v>
      </c>
      <c r="BQ40">
        <v>9641.7536999999993</v>
      </c>
      <c r="CE40" s="1">
        <f t="shared" si="1"/>
        <v>43889</v>
      </c>
      <c r="CF40" s="35">
        <f t="shared" si="2"/>
        <v>2.3678527987535372</v>
      </c>
      <c r="CG40" s="36">
        <f t="shared" si="0"/>
        <v>-1.1575337954242804</v>
      </c>
    </row>
    <row r="41" spans="1:85" x14ac:dyDescent="0.25">
      <c r="A41" s="43">
        <v>43896</v>
      </c>
      <c r="B41" s="5">
        <v>1.4540999999999999</v>
      </c>
      <c r="C41">
        <v>28.3736</v>
      </c>
      <c r="D41">
        <v>1.2349000000000001</v>
      </c>
      <c r="E41">
        <v>39.373399999999997</v>
      </c>
      <c r="F41">
        <v>0.59940000000000004</v>
      </c>
      <c r="G41">
        <v>44.554000000000002</v>
      </c>
      <c r="H41">
        <v>103.5607</v>
      </c>
      <c r="I41">
        <v>93.956400000000002</v>
      </c>
      <c r="J41">
        <v>22.094999999999999</v>
      </c>
      <c r="K41">
        <v>40878.600899999998</v>
      </c>
      <c r="M41" s="43">
        <v>43896</v>
      </c>
      <c r="N41" s="5">
        <v>3.4830999999999999</v>
      </c>
      <c r="O41">
        <v>20.184699999999999</v>
      </c>
      <c r="P41">
        <v>1.0202</v>
      </c>
      <c r="Q41">
        <v>41.122</v>
      </c>
      <c r="R41">
        <v>1.0148999999999999</v>
      </c>
      <c r="S41">
        <v>195.11080000000001</v>
      </c>
      <c r="T41">
        <v>48.515099999999997</v>
      </c>
      <c r="U41">
        <v>40.524700000000003</v>
      </c>
      <c r="V41">
        <v>91.021000000000001</v>
      </c>
      <c r="W41">
        <v>75397.602400000003</v>
      </c>
      <c r="Y41" s="5">
        <v>1.0599000000000001</v>
      </c>
      <c r="Z41">
        <v>8.952</v>
      </c>
      <c r="AA41">
        <v>0.44850000000000001</v>
      </c>
      <c r="AB41">
        <v>14.457100000000001</v>
      </c>
      <c r="AC41">
        <v>0.23730000000000001</v>
      </c>
      <c r="AD41">
        <v>0</v>
      </c>
      <c r="AE41">
        <v>73.017799999999994</v>
      </c>
      <c r="AF41">
        <v>33.1556</v>
      </c>
      <c r="AG41">
        <v>27.734000000000002</v>
      </c>
      <c r="AH41">
        <v>15707.620800000001</v>
      </c>
      <c r="AK41">
        <v>1.069</v>
      </c>
      <c r="AL41">
        <v>18.254100000000001</v>
      </c>
      <c r="AM41">
        <v>1.0737000000000001</v>
      </c>
      <c r="AN41">
        <v>24.898800000000001</v>
      </c>
      <c r="AO41">
        <v>0.16289999999999999</v>
      </c>
      <c r="AP41" t="s">
        <v>23</v>
      </c>
      <c r="AQ41">
        <v>62.607700000000001</v>
      </c>
      <c r="AR41">
        <v>54.445999999999998</v>
      </c>
      <c r="AS41">
        <v>17.614999999999998</v>
      </c>
      <c r="AT41">
        <v>10672.171200000001</v>
      </c>
      <c r="AV41">
        <v>2.1383999999999999</v>
      </c>
      <c r="AW41">
        <v>2.6932999999999998</v>
      </c>
      <c r="AX41">
        <v>0.29859999999999998</v>
      </c>
      <c r="AY41">
        <v>14.4498</v>
      </c>
      <c r="AZ41">
        <v>0.59909999999999997</v>
      </c>
      <c r="BA41" t="s">
        <v>23</v>
      </c>
      <c r="BB41">
        <v>10.716699999999999</v>
      </c>
      <c r="BC41">
        <v>5.0511999999999997</v>
      </c>
      <c r="BD41">
        <v>19.25</v>
      </c>
      <c r="BE41">
        <v>17449.260699999999</v>
      </c>
      <c r="BH41" s="5">
        <v>1.9819</v>
      </c>
      <c r="BI41">
        <v>-5.2721999999999998</v>
      </c>
      <c r="BJ41">
        <v>0.84370000000000001</v>
      </c>
      <c r="BK41">
        <v>34.438400000000001</v>
      </c>
      <c r="BL41">
        <v>1.0452999999999999</v>
      </c>
      <c r="BM41" t="s">
        <v>23</v>
      </c>
      <c r="BN41">
        <v>13.776300000000001</v>
      </c>
      <c r="BO41">
        <v>10.938599999999999</v>
      </c>
      <c r="BP41">
        <v>14.789</v>
      </c>
      <c r="BQ41">
        <v>10142.624</v>
      </c>
      <c r="CE41" s="1">
        <f t="shared" ref="CE41:CE104" si="3">+A41</f>
        <v>43896</v>
      </c>
      <c r="CF41" s="35">
        <f t="shared" si="2"/>
        <v>2.3937519008949182</v>
      </c>
      <c r="CG41" s="36">
        <f t="shared" si="0"/>
        <v>-1.1453376310653038</v>
      </c>
    </row>
    <row r="42" spans="1:85" x14ac:dyDescent="0.25">
      <c r="A42" s="43">
        <v>43903</v>
      </c>
      <c r="B42" s="5">
        <v>1.2770999999999999</v>
      </c>
      <c r="C42">
        <v>28.3736</v>
      </c>
      <c r="D42">
        <v>1.2349000000000001</v>
      </c>
      <c r="E42">
        <v>39.373399999999997</v>
      </c>
      <c r="F42">
        <v>0.59940000000000004</v>
      </c>
      <c r="G42">
        <v>44.554000000000002</v>
      </c>
      <c r="H42">
        <v>103.5607</v>
      </c>
      <c r="I42">
        <v>93.956400000000002</v>
      </c>
      <c r="J42">
        <v>17.431000000000001</v>
      </c>
      <c r="K42">
        <v>32248.6741</v>
      </c>
      <c r="M42" s="43">
        <v>43903</v>
      </c>
      <c r="N42" s="5">
        <v>3.1762000000000001</v>
      </c>
      <c r="O42">
        <v>20.184699999999999</v>
      </c>
      <c r="P42">
        <v>1.0202</v>
      </c>
      <c r="Q42">
        <v>41.122</v>
      </c>
      <c r="R42">
        <v>1.0148999999999999</v>
      </c>
      <c r="S42">
        <v>195.11080000000001</v>
      </c>
      <c r="T42">
        <v>48.515099999999997</v>
      </c>
      <c r="U42">
        <v>40.524700000000003</v>
      </c>
      <c r="V42">
        <v>79.703000000000003</v>
      </c>
      <c r="W42">
        <v>66022.558000000005</v>
      </c>
      <c r="Y42" s="5">
        <v>0.83899999999999997</v>
      </c>
      <c r="Z42">
        <v>8.952</v>
      </c>
      <c r="AA42">
        <v>0.44850000000000001</v>
      </c>
      <c r="AB42">
        <v>14.457100000000001</v>
      </c>
      <c r="AC42">
        <v>0.23730000000000001</v>
      </c>
      <c r="AD42">
        <v>0</v>
      </c>
      <c r="AE42">
        <v>73.017799999999994</v>
      </c>
      <c r="AF42">
        <v>33.1556</v>
      </c>
      <c r="AG42">
        <v>20.286999999999999</v>
      </c>
      <c r="AH42">
        <v>11489.630300000001</v>
      </c>
      <c r="AK42">
        <v>0.90859999999999996</v>
      </c>
      <c r="AL42">
        <v>18.254100000000001</v>
      </c>
      <c r="AM42">
        <v>1.0737000000000001</v>
      </c>
      <c r="AN42">
        <v>24.898800000000001</v>
      </c>
      <c r="AO42">
        <v>0.16289999999999999</v>
      </c>
      <c r="AP42" t="s">
        <v>23</v>
      </c>
      <c r="AQ42">
        <v>62.607700000000001</v>
      </c>
      <c r="AR42">
        <v>54.445999999999998</v>
      </c>
      <c r="AS42">
        <v>14.496</v>
      </c>
      <c r="AT42">
        <v>8782.3075000000008</v>
      </c>
      <c r="AV42">
        <v>2.0225</v>
      </c>
      <c r="AW42">
        <v>2.6932999999999998</v>
      </c>
      <c r="AX42">
        <v>0.29859999999999998</v>
      </c>
      <c r="AY42">
        <v>14.4498</v>
      </c>
      <c r="AZ42">
        <v>0.59909999999999997</v>
      </c>
      <c r="BA42" t="s">
        <v>23</v>
      </c>
      <c r="BB42">
        <v>10.716699999999999</v>
      </c>
      <c r="BC42">
        <v>5.0511999999999997</v>
      </c>
      <c r="BD42">
        <v>17.8</v>
      </c>
      <c r="BE42">
        <v>16134.900799999999</v>
      </c>
      <c r="BH42" s="5">
        <v>1.9073</v>
      </c>
      <c r="BI42">
        <v>-5.2721999999999998</v>
      </c>
      <c r="BJ42">
        <v>0.84370000000000001</v>
      </c>
      <c r="BK42">
        <v>34.438400000000001</v>
      </c>
      <c r="BL42">
        <v>1.0452999999999999</v>
      </c>
      <c r="BM42" t="s">
        <v>23</v>
      </c>
      <c r="BN42">
        <v>13.776300000000001</v>
      </c>
      <c r="BO42">
        <v>10.938599999999999</v>
      </c>
      <c r="BP42">
        <v>13.602</v>
      </c>
      <c r="BQ42">
        <v>9328.7096999999994</v>
      </c>
      <c r="CE42" s="1">
        <f t="shared" si="3"/>
        <v>43903</v>
      </c>
      <c r="CF42" s="35">
        <f t="shared" si="2"/>
        <v>2.214690994561809</v>
      </c>
      <c r="CG42" s="36">
        <f t="shared" si="0"/>
        <v>-1.2296593280872474</v>
      </c>
    </row>
    <row r="43" spans="1:85" x14ac:dyDescent="0.25">
      <c r="A43" s="43">
        <v>43910</v>
      </c>
      <c r="B43" s="5">
        <v>1.2336</v>
      </c>
      <c r="C43">
        <v>28.3736</v>
      </c>
      <c r="D43">
        <v>1.2349000000000001</v>
      </c>
      <c r="E43">
        <v>39.373399999999997</v>
      </c>
      <c r="F43">
        <v>0.59940000000000004</v>
      </c>
      <c r="G43">
        <v>44.554000000000002</v>
      </c>
      <c r="H43">
        <v>103.5607</v>
      </c>
      <c r="I43">
        <v>93.956400000000002</v>
      </c>
      <c r="J43">
        <v>16.285</v>
      </c>
      <c r="K43">
        <v>30129.0429</v>
      </c>
      <c r="M43" s="43">
        <v>43910</v>
      </c>
      <c r="N43" s="5">
        <v>2.9018000000000002</v>
      </c>
      <c r="O43">
        <v>20.184699999999999</v>
      </c>
      <c r="P43">
        <v>1.0202</v>
      </c>
      <c r="Q43">
        <v>41.122</v>
      </c>
      <c r="R43">
        <v>1.0148999999999999</v>
      </c>
      <c r="S43">
        <v>195.11080000000001</v>
      </c>
      <c r="T43">
        <v>48.515099999999997</v>
      </c>
      <c r="U43">
        <v>40.524700000000003</v>
      </c>
      <c r="V43">
        <v>69.584999999999994</v>
      </c>
      <c r="W43">
        <v>57640.632799999999</v>
      </c>
      <c r="Y43" s="5">
        <v>0.72629999999999995</v>
      </c>
      <c r="Z43">
        <v>8.952</v>
      </c>
      <c r="AA43">
        <v>0.44850000000000001</v>
      </c>
      <c r="AB43">
        <v>14.457100000000001</v>
      </c>
      <c r="AC43">
        <v>0.23730000000000001</v>
      </c>
      <c r="AD43">
        <v>0</v>
      </c>
      <c r="AE43">
        <v>73.017799999999994</v>
      </c>
      <c r="AF43">
        <v>33.1556</v>
      </c>
      <c r="AG43">
        <v>16.484999999999999</v>
      </c>
      <c r="AH43">
        <v>9336.6977000000006</v>
      </c>
      <c r="AK43">
        <v>0.77829999999999999</v>
      </c>
      <c r="AL43">
        <v>18.254100000000001</v>
      </c>
      <c r="AM43">
        <v>1.0737000000000001</v>
      </c>
      <c r="AN43">
        <v>24.898800000000001</v>
      </c>
      <c r="AO43">
        <v>0.16289999999999999</v>
      </c>
      <c r="AP43" t="s">
        <v>23</v>
      </c>
      <c r="AQ43">
        <v>62.607700000000001</v>
      </c>
      <c r="AR43">
        <v>54.445999999999998</v>
      </c>
      <c r="AS43">
        <v>11.964</v>
      </c>
      <c r="AT43">
        <v>7248.1828999999998</v>
      </c>
      <c r="AV43">
        <v>1.7465999999999999</v>
      </c>
      <c r="AW43">
        <v>2.6932999999999998</v>
      </c>
      <c r="AX43">
        <v>0.29859999999999998</v>
      </c>
      <c r="AY43">
        <v>14.4498</v>
      </c>
      <c r="AZ43">
        <v>0.59909999999999997</v>
      </c>
      <c r="BA43" t="s">
        <v>23</v>
      </c>
      <c r="BB43">
        <v>10.716699999999999</v>
      </c>
      <c r="BC43">
        <v>5.0511999999999997</v>
      </c>
      <c r="BD43">
        <v>14.35</v>
      </c>
      <c r="BE43">
        <v>13007.6307</v>
      </c>
      <c r="BH43" s="5">
        <v>1.7808999999999999</v>
      </c>
      <c r="BI43">
        <v>-5.2721999999999998</v>
      </c>
      <c r="BJ43">
        <v>0.84370000000000001</v>
      </c>
      <c r="BK43">
        <v>34.438400000000001</v>
      </c>
      <c r="BL43">
        <v>1.0452999999999999</v>
      </c>
      <c r="BM43" t="s">
        <v>23</v>
      </c>
      <c r="BN43">
        <v>13.776300000000001</v>
      </c>
      <c r="BO43">
        <v>10.938599999999999</v>
      </c>
      <c r="BP43">
        <v>11.593999999999999</v>
      </c>
      <c r="BQ43">
        <v>7951.3163000000004</v>
      </c>
      <c r="CE43" s="1">
        <f t="shared" si="3"/>
        <v>43910</v>
      </c>
      <c r="CF43" s="35">
        <f t="shared" si="2"/>
        <v>2.0247690804950147</v>
      </c>
      <c r="CG43" s="36">
        <f t="shared" si="0"/>
        <v>-1.3190955898806271</v>
      </c>
    </row>
    <row r="44" spans="1:85" x14ac:dyDescent="0.25">
      <c r="A44" s="43">
        <v>43917</v>
      </c>
      <c r="B44" s="5">
        <v>1.2289000000000001</v>
      </c>
      <c r="C44">
        <v>28.3736</v>
      </c>
      <c r="D44">
        <v>1.2349000000000001</v>
      </c>
      <c r="E44">
        <v>39.373399999999997</v>
      </c>
      <c r="F44">
        <v>0.59940000000000004</v>
      </c>
      <c r="G44">
        <v>44.554000000000002</v>
      </c>
      <c r="H44">
        <v>103.5607</v>
      </c>
      <c r="I44">
        <v>93.956400000000002</v>
      </c>
      <c r="J44">
        <v>16.161999999999999</v>
      </c>
      <c r="K44">
        <v>29901.939600000002</v>
      </c>
      <c r="M44" s="43">
        <v>43917</v>
      </c>
      <c r="N44" s="5">
        <v>2.8965999999999998</v>
      </c>
      <c r="O44">
        <v>20.184699999999999</v>
      </c>
      <c r="P44">
        <v>1.0202</v>
      </c>
      <c r="Q44">
        <v>41.122</v>
      </c>
      <c r="R44">
        <v>1.0148999999999999</v>
      </c>
      <c r="S44">
        <v>195.11080000000001</v>
      </c>
      <c r="T44">
        <v>48.515099999999997</v>
      </c>
      <c r="U44">
        <v>40.524700000000003</v>
      </c>
      <c r="V44">
        <v>69.393000000000001</v>
      </c>
      <c r="W44">
        <v>57481.733699999997</v>
      </c>
      <c r="Y44" s="5">
        <v>0.73089999999999999</v>
      </c>
      <c r="Z44">
        <v>8.952</v>
      </c>
      <c r="AA44">
        <v>0.44850000000000001</v>
      </c>
      <c r="AB44">
        <v>14.457100000000001</v>
      </c>
      <c r="AC44">
        <v>0.23730000000000001</v>
      </c>
      <c r="AD44">
        <v>0</v>
      </c>
      <c r="AE44">
        <v>73.017799999999994</v>
      </c>
      <c r="AF44">
        <v>33.1556</v>
      </c>
      <c r="AG44">
        <v>16.640999999999998</v>
      </c>
      <c r="AH44">
        <v>9424.5725000000002</v>
      </c>
      <c r="AK44">
        <v>0.79339999999999999</v>
      </c>
      <c r="AL44">
        <v>18.254100000000001</v>
      </c>
      <c r="AM44">
        <v>1.0737000000000001</v>
      </c>
      <c r="AN44">
        <v>24.898800000000001</v>
      </c>
      <c r="AO44">
        <v>0.16289999999999999</v>
      </c>
      <c r="AP44" t="s">
        <v>23</v>
      </c>
      <c r="AQ44">
        <v>62.607700000000001</v>
      </c>
      <c r="AR44">
        <v>54.445999999999998</v>
      </c>
      <c r="AS44">
        <v>12.257</v>
      </c>
      <c r="AT44">
        <v>7426.0523999999996</v>
      </c>
      <c r="AV44">
        <v>1.6706000000000001</v>
      </c>
      <c r="AW44">
        <v>2.6932999999999998</v>
      </c>
      <c r="AX44">
        <v>0.29859999999999998</v>
      </c>
      <c r="AY44">
        <v>14.4498</v>
      </c>
      <c r="AZ44">
        <v>0.59909999999999997</v>
      </c>
      <c r="BA44" t="s">
        <v>23</v>
      </c>
      <c r="BB44">
        <v>10.716699999999999</v>
      </c>
      <c r="BC44">
        <v>5.0511999999999997</v>
      </c>
      <c r="BD44">
        <v>13.4</v>
      </c>
      <c r="BE44">
        <v>12146.498299999999</v>
      </c>
      <c r="BH44" s="5">
        <v>1.7838000000000001</v>
      </c>
      <c r="BI44">
        <v>-5.2721999999999998</v>
      </c>
      <c r="BJ44">
        <v>0.84370000000000001</v>
      </c>
      <c r="BK44">
        <v>34.438400000000001</v>
      </c>
      <c r="BL44">
        <v>1.0452999999999999</v>
      </c>
      <c r="BM44" t="s">
        <v>23</v>
      </c>
      <c r="BN44">
        <v>13.776300000000001</v>
      </c>
      <c r="BO44">
        <v>10.938599999999999</v>
      </c>
      <c r="BP44">
        <v>11.638999999999999</v>
      </c>
      <c r="BQ44">
        <v>7982.6207000000004</v>
      </c>
      <c r="CE44" s="1">
        <f t="shared" si="3"/>
        <v>43917</v>
      </c>
      <c r="CF44" s="35">
        <f t="shared" si="2"/>
        <v>2.0147377575349386</v>
      </c>
      <c r="CG44" s="36">
        <f t="shared" si="0"/>
        <v>-1.3238194472132558</v>
      </c>
    </row>
    <row r="45" spans="1:85" x14ac:dyDescent="0.25">
      <c r="A45" s="43">
        <v>43924</v>
      </c>
      <c r="B45" s="5">
        <v>1.3431</v>
      </c>
      <c r="C45">
        <v>29.3322</v>
      </c>
      <c r="D45">
        <v>1.7603</v>
      </c>
      <c r="E45">
        <v>38.868099999999998</v>
      </c>
      <c r="F45">
        <v>0.67700000000000005</v>
      </c>
      <c r="G45">
        <v>44.554000000000002</v>
      </c>
      <c r="H45">
        <v>102.361</v>
      </c>
      <c r="I45">
        <v>91.264399999999995</v>
      </c>
      <c r="J45">
        <v>17.675999999999998</v>
      </c>
      <c r="K45">
        <v>32702.880700000002</v>
      </c>
      <c r="M45" s="43">
        <v>43924</v>
      </c>
      <c r="N45" s="5">
        <v>2.7648000000000001</v>
      </c>
      <c r="O45">
        <v>27.012599999999999</v>
      </c>
      <c r="P45">
        <v>1.5952</v>
      </c>
      <c r="Q45">
        <v>39.0886</v>
      </c>
      <c r="R45">
        <v>0.73170000000000002</v>
      </c>
      <c r="S45">
        <v>195.11080000000001</v>
      </c>
      <c r="T45">
        <v>49.129199999999997</v>
      </c>
      <c r="U45">
        <v>40.478099999999998</v>
      </c>
      <c r="V45">
        <v>80.375</v>
      </c>
      <c r="W45">
        <v>66578.704700000002</v>
      </c>
      <c r="Y45" s="5">
        <v>0.64039999999999997</v>
      </c>
      <c r="Z45">
        <v>12.3269</v>
      </c>
      <c r="AA45">
        <v>0.70640000000000003</v>
      </c>
      <c r="AB45">
        <v>13.395899999999999</v>
      </c>
      <c r="AC45">
        <v>0.1229</v>
      </c>
      <c r="AD45">
        <v>0</v>
      </c>
      <c r="AE45">
        <v>71.821899999999999</v>
      </c>
      <c r="AF45">
        <v>33.859200000000001</v>
      </c>
      <c r="AG45">
        <v>18.231000000000002</v>
      </c>
      <c r="AH45">
        <v>10325.289199999999</v>
      </c>
      <c r="AK45">
        <v>0.81410000000000005</v>
      </c>
      <c r="AL45">
        <v>25.295000000000002</v>
      </c>
      <c r="AM45">
        <v>1.6037999999999999</v>
      </c>
      <c r="AN45">
        <v>23.493500000000001</v>
      </c>
      <c r="AO45">
        <v>0.122</v>
      </c>
      <c r="AP45" t="s">
        <v>23</v>
      </c>
      <c r="AQ45">
        <v>60.128799999999998</v>
      </c>
      <c r="AR45">
        <v>51.541800000000002</v>
      </c>
      <c r="AS45">
        <v>13.651999999999999</v>
      </c>
      <c r="AT45">
        <v>8270.9326000000001</v>
      </c>
      <c r="AV45">
        <v>1.3072999999999999</v>
      </c>
      <c r="AW45">
        <v>4.8837000000000002</v>
      </c>
      <c r="AX45">
        <v>0.38829999999999998</v>
      </c>
      <c r="AY45">
        <v>14.4367</v>
      </c>
      <c r="AZ45">
        <v>0.43419999999999997</v>
      </c>
      <c r="BA45" t="s">
        <v>23</v>
      </c>
      <c r="BB45">
        <v>13.171799999999999</v>
      </c>
      <c r="BC45">
        <v>7.1723999999999997</v>
      </c>
      <c r="BD45">
        <v>14.15</v>
      </c>
      <c r="BE45">
        <v>12826.3397</v>
      </c>
      <c r="BH45" s="5">
        <v>1.3813</v>
      </c>
      <c r="BI45">
        <v>-7.9034000000000004</v>
      </c>
      <c r="BJ45">
        <v>1.266</v>
      </c>
      <c r="BK45">
        <v>34.169400000000003</v>
      </c>
      <c r="BL45">
        <v>0.6583</v>
      </c>
      <c r="BM45" t="s">
        <v>23</v>
      </c>
      <c r="BN45">
        <v>14.5443</v>
      </c>
      <c r="BO45">
        <v>11.503500000000001</v>
      </c>
      <c r="BP45">
        <v>12.324</v>
      </c>
      <c r="BQ45">
        <v>8452.1867000000002</v>
      </c>
      <c r="CE45" s="1">
        <f t="shared" si="3"/>
        <v>43924</v>
      </c>
      <c r="CF45" s="35">
        <f t="shared" si="2"/>
        <v>1.9387446884745314</v>
      </c>
      <c r="CG45" s="36">
        <f t="shared" si="0"/>
        <v>-1.3596053966776167</v>
      </c>
    </row>
    <row r="46" spans="1:85" x14ac:dyDescent="0.25">
      <c r="A46" s="43">
        <v>43931</v>
      </c>
      <c r="B46" s="5">
        <v>1.3791</v>
      </c>
      <c r="C46">
        <v>29.3322</v>
      </c>
      <c r="D46">
        <v>1.7603</v>
      </c>
      <c r="E46">
        <v>38.868099999999998</v>
      </c>
      <c r="F46">
        <v>0.67700000000000005</v>
      </c>
      <c r="G46">
        <v>44.554000000000002</v>
      </c>
      <c r="H46">
        <v>102.361</v>
      </c>
      <c r="I46">
        <v>91.264399999999995</v>
      </c>
      <c r="J46">
        <v>18.658000000000001</v>
      </c>
      <c r="K46">
        <v>34519.707399999999</v>
      </c>
      <c r="M46" s="43">
        <v>43931</v>
      </c>
      <c r="N46" s="5">
        <v>2.9321999999999999</v>
      </c>
      <c r="O46">
        <v>27.012599999999999</v>
      </c>
      <c r="P46">
        <v>1.5952</v>
      </c>
      <c r="Q46">
        <v>39.0886</v>
      </c>
      <c r="R46">
        <v>0.73170000000000002</v>
      </c>
      <c r="S46">
        <v>195.11080000000001</v>
      </c>
      <c r="T46">
        <v>49.129199999999997</v>
      </c>
      <c r="U46">
        <v>40.478099999999998</v>
      </c>
      <c r="V46">
        <v>86.992999999999995</v>
      </c>
      <c r="W46">
        <v>72060.722200000004</v>
      </c>
      <c r="Y46" s="5">
        <v>0.69550000000000001</v>
      </c>
      <c r="Z46">
        <v>12.3269</v>
      </c>
      <c r="AA46">
        <v>0.70640000000000003</v>
      </c>
      <c r="AB46">
        <v>13.395899999999999</v>
      </c>
      <c r="AC46">
        <v>0.1229</v>
      </c>
      <c r="AD46">
        <v>0</v>
      </c>
      <c r="AE46">
        <v>71.821899999999999</v>
      </c>
      <c r="AF46">
        <v>33.859200000000001</v>
      </c>
      <c r="AG46">
        <v>20.170000000000002</v>
      </c>
      <c r="AH46">
        <v>11423.724200000001</v>
      </c>
      <c r="AK46">
        <v>0.87919999999999998</v>
      </c>
      <c r="AL46">
        <v>25.295000000000002</v>
      </c>
      <c r="AM46">
        <v>1.6037999999999999</v>
      </c>
      <c r="AN46">
        <v>23.493500000000001</v>
      </c>
      <c r="AO46">
        <v>0.122</v>
      </c>
      <c r="AP46" t="s">
        <v>23</v>
      </c>
      <c r="AQ46">
        <v>60.128799999999998</v>
      </c>
      <c r="AR46">
        <v>51.541800000000002</v>
      </c>
      <c r="AS46">
        <v>14.936</v>
      </c>
      <c r="AT46">
        <v>9049.1118000000006</v>
      </c>
      <c r="AV46">
        <v>1.4153</v>
      </c>
      <c r="AW46">
        <v>4.8837000000000002</v>
      </c>
      <c r="AX46">
        <v>0.38829999999999998</v>
      </c>
      <c r="AY46">
        <v>14.4367</v>
      </c>
      <c r="AZ46">
        <v>0.43419999999999997</v>
      </c>
      <c r="BA46" t="s">
        <v>23</v>
      </c>
      <c r="BB46">
        <v>13.171799999999999</v>
      </c>
      <c r="BC46">
        <v>7.1723999999999997</v>
      </c>
      <c r="BD46">
        <v>15.9</v>
      </c>
      <c r="BE46">
        <v>14412.6361</v>
      </c>
      <c r="BH46" s="5">
        <v>1.4238</v>
      </c>
      <c r="BI46">
        <v>-7.9034000000000004</v>
      </c>
      <c r="BJ46">
        <v>1.266</v>
      </c>
      <c r="BK46">
        <v>34.169400000000003</v>
      </c>
      <c r="BL46">
        <v>0.6583</v>
      </c>
      <c r="BM46" t="s">
        <v>23</v>
      </c>
      <c r="BN46">
        <v>14.5443</v>
      </c>
      <c r="BO46">
        <v>11.503500000000001</v>
      </c>
      <c r="BP46">
        <v>13.054</v>
      </c>
      <c r="BQ46">
        <v>8953.0570000000007</v>
      </c>
      <c r="CE46" s="1">
        <f t="shared" si="3"/>
        <v>43931</v>
      </c>
      <c r="CF46" s="35">
        <f t="shared" si="2"/>
        <v>2.0472773277798924</v>
      </c>
      <c r="CG46" s="36">
        <f t="shared" si="0"/>
        <v>-1.3084962153609891</v>
      </c>
    </row>
    <row r="47" spans="1:85" x14ac:dyDescent="0.25">
      <c r="A47" s="43">
        <v>43938</v>
      </c>
      <c r="B47" s="5">
        <v>1.4241999999999999</v>
      </c>
      <c r="C47">
        <v>29.3322</v>
      </c>
      <c r="D47">
        <v>1.7603</v>
      </c>
      <c r="E47">
        <v>38.868099999999998</v>
      </c>
      <c r="F47">
        <v>0.67700000000000005</v>
      </c>
      <c r="G47">
        <v>44.554000000000002</v>
      </c>
      <c r="H47">
        <v>102.361</v>
      </c>
      <c r="I47">
        <v>91.264399999999995</v>
      </c>
      <c r="J47">
        <v>19.885999999999999</v>
      </c>
      <c r="K47">
        <v>36790.7408</v>
      </c>
      <c r="M47" s="43">
        <v>43938</v>
      </c>
      <c r="N47" s="5">
        <v>2.9213</v>
      </c>
      <c r="O47">
        <v>27.012599999999999</v>
      </c>
      <c r="P47">
        <v>1.5952</v>
      </c>
      <c r="Q47">
        <v>39.0886</v>
      </c>
      <c r="R47">
        <v>0.73170000000000002</v>
      </c>
      <c r="S47">
        <v>195.11080000000001</v>
      </c>
      <c r="T47">
        <v>49.129199999999997</v>
      </c>
      <c r="U47">
        <v>40.478099999999998</v>
      </c>
      <c r="V47">
        <v>86.561000000000007</v>
      </c>
      <c r="W47">
        <v>71703.199299999993</v>
      </c>
      <c r="Y47" s="5">
        <v>0.66569999999999996</v>
      </c>
      <c r="Z47">
        <v>12.3269</v>
      </c>
      <c r="AA47">
        <v>0.70640000000000003</v>
      </c>
      <c r="AB47">
        <v>13.395899999999999</v>
      </c>
      <c r="AC47">
        <v>0.1229</v>
      </c>
      <c r="AD47">
        <v>0</v>
      </c>
      <c r="AE47">
        <v>71.821899999999999</v>
      </c>
      <c r="AF47">
        <v>33.859200000000001</v>
      </c>
      <c r="AG47">
        <v>19.123000000000001</v>
      </c>
      <c r="AH47">
        <v>10830.569299999999</v>
      </c>
      <c r="AK47">
        <v>0.86990000000000001</v>
      </c>
      <c r="AL47">
        <v>25.295000000000002</v>
      </c>
      <c r="AM47">
        <v>1.6037999999999999</v>
      </c>
      <c r="AN47">
        <v>23.493500000000001</v>
      </c>
      <c r="AO47">
        <v>0.122</v>
      </c>
      <c r="AP47" t="s">
        <v>23</v>
      </c>
      <c r="AQ47">
        <v>60.128799999999998</v>
      </c>
      <c r="AR47">
        <v>51.541800000000002</v>
      </c>
      <c r="AS47">
        <v>14.753</v>
      </c>
      <c r="AT47">
        <v>8937.9433000000008</v>
      </c>
      <c r="AV47">
        <v>1.4431</v>
      </c>
      <c r="AW47">
        <v>4.8837000000000002</v>
      </c>
      <c r="AX47">
        <v>0.38829999999999998</v>
      </c>
      <c r="AY47">
        <v>14.4367</v>
      </c>
      <c r="AZ47">
        <v>0.43419999999999997</v>
      </c>
      <c r="BA47" t="s">
        <v>23</v>
      </c>
      <c r="BB47">
        <v>13.171799999999999</v>
      </c>
      <c r="BC47">
        <v>7.1723999999999997</v>
      </c>
      <c r="BD47">
        <v>16.350000000000001</v>
      </c>
      <c r="BE47">
        <v>14820.5409</v>
      </c>
      <c r="BH47" s="5">
        <v>1.4502999999999999</v>
      </c>
      <c r="BI47">
        <v>-7.9034000000000004</v>
      </c>
      <c r="BJ47">
        <v>1.266</v>
      </c>
      <c r="BK47">
        <v>34.169400000000003</v>
      </c>
      <c r="BL47">
        <v>0.6583</v>
      </c>
      <c r="BM47" t="s">
        <v>23</v>
      </c>
      <c r="BN47">
        <v>14.5443</v>
      </c>
      <c r="BO47">
        <v>11.503500000000001</v>
      </c>
      <c r="BP47">
        <v>13.510999999999999</v>
      </c>
      <c r="BQ47">
        <v>9266.1008999999995</v>
      </c>
      <c r="CE47" s="1">
        <f t="shared" si="3"/>
        <v>43938</v>
      </c>
      <c r="CF47" s="35">
        <f t="shared" si="2"/>
        <v>2.0457955838404409</v>
      </c>
      <c r="CG47" s="36">
        <f t="shared" si="0"/>
        <v>-1.3091939844390375</v>
      </c>
    </row>
    <row r="48" spans="1:85" x14ac:dyDescent="0.25">
      <c r="A48" s="43">
        <v>43945</v>
      </c>
      <c r="B48" s="5">
        <v>1.4092</v>
      </c>
      <c r="C48">
        <v>29.3322</v>
      </c>
      <c r="D48">
        <v>1.7603</v>
      </c>
      <c r="E48">
        <v>38.868099999999998</v>
      </c>
      <c r="F48">
        <v>0.67700000000000005</v>
      </c>
      <c r="G48">
        <v>44.554000000000002</v>
      </c>
      <c r="H48">
        <v>102.361</v>
      </c>
      <c r="I48">
        <v>91.264399999999995</v>
      </c>
      <c r="J48">
        <v>19.477</v>
      </c>
      <c r="K48">
        <v>36033.729700000004</v>
      </c>
      <c r="M48" s="43">
        <v>43945</v>
      </c>
      <c r="N48" s="5">
        <v>3.0049999999999999</v>
      </c>
      <c r="O48">
        <v>27.012599999999999</v>
      </c>
      <c r="P48">
        <v>1.5952</v>
      </c>
      <c r="Q48">
        <v>39.0886</v>
      </c>
      <c r="R48">
        <v>0.73170000000000002</v>
      </c>
      <c r="S48">
        <v>195.11080000000001</v>
      </c>
      <c r="T48">
        <v>49.129199999999997</v>
      </c>
      <c r="U48">
        <v>40.478099999999998</v>
      </c>
      <c r="V48">
        <v>89.87</v>
      </c>
      <c r="W48">
        <v>74444.207999999999</v>
      </c>
      <c r="Y48" s="5">
        <v>0.61399999999999999</v>
      </c>
      <c r="Z48">
        <v>12.3269</v>
      </c>
      <c r="AA48">
        <v>0.70640000000000003</v>
      </c>
      <c r="AB48">
        <v>13.395899999999999</v>
      </c>
      <c r="AC48">
        <v>0.1229</v>
      </c>
      <c r="AD48">
        <v>0</v>
      </c>
      <c r="AE48">
        <v>71.821899999999999</v>
      </c>
      <c r="AF48">
        <v>33.859200000000001</v>
      </c>
      <c r="AG48">
        <v>17.3</v>
      </c>
      <c r="AH48">
        <v>9798.0403999999999</v>
      </c>
      <c r="AK48">
        <v>0.84570000000000001</v>
      </c>
      <c r="AL48">
        <v>25.295000000000002</v>
      </c>
      <c r="AM48">
        <v>1.6037999999999999</v>
      </c>
      <c r="AN48">
        <v>23.493500000000001</v>
      </c>
      <c r="AO48">
        <v>0.122</v>
      </c>
      <c r="AP48" t="s">
        <v>23</v>
      </c>
      <c r="AQ48">
        <v>60.128799999999998</v>
      </c>
      <c r="AR48">
        <v>51.541800000000002</v>
      </c>
      <c r="AS48">
        <v>14.276</v>
      </c>
      <c r="AT48">
        <v>8648.9053999999996</v>
      </c>
      <c r="AV48">
        <v>1.403</v>
      </c>
      <c r="AW48">
        <v>4.8837000000000002</v>
      </c>
      <c r="AX48">
        <v>0.38829999999999998</v>
      </c>
      <c r="AY48">
        <v>14.4367</v>
      </c>
      <c r="AZ48">
        <v>0.43419999999999997</v>
      </c>
      <c r="BA48" t="s">
        <v>23</v>
      </c>
      <c r="BB48">
        <v>13.171799999999999</v>
      </c>
      <c r="BC48">
        <v>7.1723999999999997</v>
      </c>
      <c r="BD48">
        <v>15.7</v>
      </c>
      <c r="BE48">
        <v>14231.3451</v>
      </c>
      <c r="BH48" s="5">
        <v>1.4211</v>
      </c>
      <c r="BI48">
        <v>-7.9034000000000004</v>
      </c>
      <c r="BJ48">
        <v>1.266</v>
      </c>
      <c r="BK48">
        <v>34.169400000000003</v>
      </c>
      <c r="BL48">
        <v>0.6583</v>
      </c>
      <c r="BM48" t="s">
        <v>23</v>
      </c>
      <c r="BN48">
        <v>14.5443</v>
      </c>
      <c r="BO48">
        <v>11.503500000000001</v>
      </c>
      <c r="BP48">
        <v>13.009</v>
      </c>
      <c r="BQ48">
        <v>8921.7525999999998</v>
      </c>
      <c r="CE48" s="1">
        <f t="shared" si="3"/>
        <v>43945</v>
      </c>
      <c r="CF48" s="35">
        <f t="shared" si="2"/>
        <v>2.1072033591065318</v>
      </c>
      <c r="CG48" s="36">
        <f t="shared" si="0"/>
        <v>-1.2802764059077067</v>
      </c>
    </row>
    <row r="49" spans="1:90" x14ac:dyDescent="0.25">
      <c r="A49" s="43">
        <v>43952</v>
      </c>
      <c r="B49" s="5">
        <v>1.4947999999999999</v>
      </c>
      <c r="C49">
        <v>29.3322</v>
      </c>
      <c r="D49">
        <v>1.7603</v>
      </c>
      <c r="E49">
        <v>38.868099999999998</v>
      </c>
      <c r="F49">
        <v>0.67700000000000005</v>
      </c>
      <c r="G49">
        <v>44.554000000000002</v>
      </c>
      <c r="H49">
        <v>102.361</v>
      </c>
      <c r="I49">
        <v>91.264399999999995</v>
      </c>
      <c r="J49">
        <v>21.809000000000001</v>
      </c>
      <c r="K49">
        <v>40348.693099999997</v>
      </c>
      <c r="M49" s="43">
        <v>43952</v>
      </c>
      <c r="N49" s="5">
        <v>3.2014999999999998</v>
      </c>
      <c r="O49">
        <v>27.012599999999999</v>
      </c>
      <c r="P49">
        <v>1.5952</v>
      </c>
      <c r="Q49">
        <v>39.0886</v>
      </c>
      <c r="R49">
        <v>0.73170000000000002</v>
      </c>
      <c r="S49">
        <v>195.11080000000001</v>
      </c>
      <c r="T49">
        <v>49.129199999999997</v>
      </c>
      <c r="U49">
        <v>40.478099999999998</v>
      </c>
      <c r="V49">
        <v>97.638999999999996</v>
      </c>
      <c r="W49">
        <v>80879.6198</v>
      </c>
      <c r="Y49" s="5">
        <v>0.6734</v>
      </c>
      <c r="Z49">
        <v>12.3269</v>
      </c>
      <c r="AA49">
        <v>0.70640000000000003</v>
      </c>
      <c r="AB49">
        <v>13.395899999999999</v>
      </c>
      <c r="AC49">
        <v>0.1229</v>
      </c>
      <c r="AD49">
        <v>0</v>
      </c>
      <c r="AE49">
        <v>71.821899999999999</v>
      </c>
      <c r="AF49">
        <v>33.859200000000001</v>
      </c>
      <c r="AG49">
        <v>19.395</v>
      </c>
      <c r="AH49">
        <v>10984.350200000001</v>
      </c>
      <c r="AK49">
        <v>0.97970000000000002</v>
      </c>
      <c r="AL49">
        <v>25.295000000000002</v>
      </c>
      <c r="AM49">
        <v>1.6037999999999999</v>
      </c>
      <c r="AN49">
        <v>23.493500000000001</v>
      </c>
      <c r="AO49">
        <v>0.122</v>
      </c>
      <c r="AP49" t="s">
        <v>23</v>
      </c>
      <c r="AQ49">
        <v>60.128799999999998</v>
      </c>
      <c r="AR49">
        <v>51.541800000000002</v>
      </c>
      <c r="AS49">
        <v>16.917999999999999</v>
      </c>
      <c r="AT49">
        <v>10249.731</v>
      </c>
      <c r="AV49">
        <v>1.4678</v>
      </c>
      <c r="AW49">
        <v>4.8837000000000002</v>
      </c>
      <c r="AX49">
        <v>0.38829999999999998</v>
      </c>
      <c r="AY49">
        <v>14.4367</v>
      </c>
      <c r="AZ49">
        <v>0.43419999999999997</v>
      </c>
      <c r="BA49" t="s">
        <v>23</v>
      </c>
      <c r="BB49">
        <v>13.171799999999999</v>
      </c>
      <c r="BC49">
        <v>7.1723999999999997</v>
      </c>
      <c r="BD49">
        <v>16.75</v>
      </c>
      <c r="BE49">
        <v>15183.1229</v>
      </c>
      <c r="BH49" s="5">
        <v>1.4822</v>
      </c>
      <c r="BI49">
        <v>-7.9034000000000004</v>
      </c>
      <c r="BJ49">
        <v>1.266</v>
      </c>
      <c r="BK49">
        <v>34.169400000000003</v>
      </c>
      <c r="BL49">
        <v>0.6583</v>
      </c>
      <c r="BM49" t="s">
        <v>23</v>
      </c>
      <c r="BN49">
        <v>14.5443</v>
      </c>
      <c r="BO49">
        <v>11.503500000000001</v>
      </c>
      <c r="BP49">
        <v>14.058999999999999</v>
      </c>
      <c r="BQ49">
        <v>9641.7536999999993</v>
      </c>
      <c r="CE49" s="1">
        <f t="shared" si="3"/>
        <v>43952</v>
      </c>
      <c r="CF49" s="35">
        <f t="shared" si="2"/>
        <v>2.2312794373763429</v>
      </c>
      <c r="CG49" s="36">
        <f t="shared" si="0"/>
        <v>-1.2218476528437923</v>
      </c>
    </row>
    <row r="50" spans="1:90" x14ac:dyDescent="0.25">
      <c r="A50" s="43">
        <v>43959</v>
      </c>
      <c r="B50" s="5">
        <v>1.5472999999999999</v>
      </c>
      <c r="C50">
        <v>29.3322</v>
      </c>
      <c r="D50">
        <v>1.7603</v>
      </c>
      <c r="E50">
        <v>38.868099999999998</v>
      </c>
      <c r="F50">
        <v>0.67700000000000005</v>
      </c>
      <c r="G50">
        <v>44.554000000000002</v>
      </c>
      <c r="H50">
        <v>102.361</v>
      </c>
      <c r="I50">
        <v>91.264399999999995</v>
      </c>
      <c r="J50">
        <v>23.241</v>
      </c>
      <c r="K50">
        <v>42998.232100000001</v>
      </c>
      <c r="M50" s="43">
        <v>43959</v>
      </c>
      <c r="N50" s="5">
        <v>3.4114</v>
      </c>
      <c r="O50">
        <v>27.012599999999999</v>
      </c>
      <c r="P50">
        <v>1.5952</v>
      </c>
      <c r="Q50">
        <v>39.0886</v>
      </c>
      <c r="R50">
        <v>0.73170000000000002</v>
      </c>
      <c r="S50">
        <v>195.11080000000001</v>
      </c>
      <c r="T50">
        <v>49.129199999999997</v>
      </c>
      <c r="U50">
        <v>40.478099999999998</v>
      </c>
      <c r="V50">
        <v>105.935</v>
      </c>
      <c r="W50">
        <v>87752.004000000001</v>
      </c>
      <c r="Y50" s="5">
        <v>0.78349999999999997</v>
      </c>
      <c r="Z50">
        <v>12.3269</v>
      </c>
      <c r="AA50">
        <v>0.70640000000000003</v>
      </c>
      <c r="AB50">
        <v>13.395899999999999</v>
      </c>
      <c r="AC50">
        <v>0.1229</v>
      </c>
      <c r="AD50">
        <v>0</v>
      </c>
      <c r="AE50">
        <v>71.821899999999999</v>
      </c>
      <c r="AF50">
        <v>33.859200000000001</v>
      </c>
      <c r="AG50">
        <v>23.274000000000001</v>
      </c>
      <c r="AH50">
        <v>13181.220300000001</v>
      </c>
      <c r="AK50">
        <v>1.1359999999999999</v>
      </c>
      <c r="AL50">
        <v>25.295000000000002</v>
      </c>
      <c r="AM50">
        <v>1.6037999999999999</v>
      </c>
      <c r="AN50">
        <v>23.493500000000001</v>
      </c>
      <c r="AO50">
        <v>0.122</v>
      </c>
      <c r="AP50" t="s">
        <v>23</v>
      </c>
      <c r="AQ50">
        <v>60.128799999999998</v>
      </c>
      <c r="AR50">
        <v>51.541800000000002</v>
      </c>
      <c r="AS50">
        <v>20.001000000000001</v>
      </c>
      <c r="AT50">
        <v>12117.361000000001</v>
      </c>
      <c r="AV50">
        <v>1.5819000000000001</v>
      </c>
      <c r="AW50">
        <v>4.8837000000000002</v>
      </c>
      <c r="AX50">
        <v>0.38829999999999998</v>
      </c>
      <c r="AY50">
        <v>14.4367</v>
      </c>
      <c r="AZ50">
        <v>0.43419999999999997</v>
      </c>
      <c r="BA50" t="s">
        <v>23</v>
      </c>
      <c r="BB50">
        <v>13.171799999999999</v>
      </c>
      <c r="BC50">
        <v>7.1723999999999997</v>
      </c>
      <c r="BD50">
        <v>18.600000000000001</v>
      </c>
      <c r="BE50">
        <v>16860.064900000001</v>
      </c>
      <c r="BH50" s="5">
        <v>1.6016999999999999</v>
      </c>
      <c r="BI50">
        <v>-7.9034000000000004</v>
      </c>
      <c r="BJ50">
        <v>1.266</v>
      </c>
      <c r="BK50">
        <v>34.169400000000003</v>
      </c>
      <c r="BL50">
        <v>0.6583</v>
      </c>
      <c r="BM50" t="s">
        <v>23</v>
      </c>
      <c r="BN50">
        <v>14.5443</v>
      </c>
      <c r="BO50">
        <v>11.503500000000001</v>
      </c>
      <c r="BP50">
        <v>16.113</v>
      </c>
      <c r="BQ50">
        <v>11050.4514</v>
      </c>
      <c r="CE50" s="1">
        <f t="shared" si="3"/>
        <v>43959</v>
      </c>
      <c r="CF50" s="35">
        <f t="shared" si="2"/>
        <v>2.3611283815368047</v>
      </c>
      <c r="CG50" s="36">
        <f t="shared" si="0"/>
        <v>-1.1607003954533432</v>
      </c>
    </row>
    <row r="51" spans="1:90" x14ac:dyDescent="0.25">
      <c r="A51" s="43">
        <v>43966</v>
      </c>
      <c r="B51" s="5">
        <v>1.7605999999999999</v>
      </c>
      <c r="C51">
        <v>29.3322</v>
      </c>
      <c r="D51">
        <v>1.7603</v>
      </c>
      <c r="E51">
        <v>38.868099999999998</v>
      </c>
      <c r="F51">
        <v>0.67700000000000005</v>
      </c>
      <c r="G51">
        <v>44.554000000000002</v>
      </c>
      <c r="H51">
        <v>102.361</v>
      </c>
      <c r="I51">
        <v>91.264399999999995</v>
      </c>
      <c r="J51">
        <v>29.050999999999998</v>
      </c>
      <c r="K51">
        <v>53747.790099999998</v>
      </c>
      <c r="M51" s="43">
        <v>43966</v>
      </c>
      <c r="N51" s="5">
        <v>3.8081</v>
      </c>
      <c r="O51">
        <v>27.012599999999999</v>
      </c>
      <c r="P51">
        <v>1.5952</v>
      </c>
      <c r="Q51">
        <v>39.0886</v>
      </c>
      <c r="R51">
        <v>0.73170000000000002</v>
      </c>
      <c r="S51">
        <v>195.11080000000001</v>
      </c>
      <c r="T51">
        <v>49.129199999999997</v>
      </c>
      <c r="U51">
        <v>40.478099999999998</v>
      </c>
      <c r="V51">
        <v>121.617</v>
      </c>
      <c r="W51">
        <v>100742.0019</v>
      </c>
      <c r="Y51" s="5">
        <v>0.8</v>
      </c>
      <c r="Z51">
        <v>12.3269</v>
      </c>
      <c r="AA51">
        <v>0.70640000000000003</v>
      </c>
      <c r="AB51">
        <v>13.395899999999999</v>
      </c>
      <c r="AC51">
        <v>0.1229</v>
      </c>
      <c r="AD51">
        <v>0</v>
      </c>
      <c r="AE51">
        <v>71.821899999999999</v>
      </c>
      <c r="AF51">
        <v>33.859200000000001</v>
      </c>
      <c r="AG51">
        <v>23.855</v>
      </c>
      <c r="AH51">
        <v>13510.7508</v>
      </c>
      <c r="AK51">
        <v>1.2178</v>
      </c>
      <c r="AL51">
        <v>25.295000000000002</v>
      </c>
      <c r="AM51">
        <v>1.6037999999999999</v>
      </c>
      <c r="AN51">
        <v>23.493500000000001</v>
      </c>
      <c r="AO51">
        <v>0.122</v>
      </c>
      <c r="AP51" t="s">
        <v>23</v>
      </c>
      <c r="AQ51">
        <v>60.128799999999998</v>
      </c>
      <c r="AR51">
        <v>51.541800000000002</v>
      </c>
      <c r="AS51">
        <v>21.614999999999998</v>
      </c>
      <c r="AT51">
        <v>13095.643400000001</v>
      </c>
      <c r="AV51">
        <v>1.6838</v>
      </c>
      <c r="AW51">
        <v>4.8837000000000002</v>
      </c>
      <c r="AX51">
        <v>0.38829999999999998</v>
      </c>
      <c r="AY51">
        <v>14.4367</v>
      </c>
      <c r="AZ51">
        <v>0.43419999999999997</v>
      </c>
      <c r="BA51" t="s">
        <v>23</v>
      </c>
      <c r="BB51">
        <v>13.171799999999999</v>
      </c>
      <c r="BC51">
        <v>7.1723999999999997</v>
      </c>
      <c r="BD51">
        <v>20.25</v>
      </c>
      <c r="BE51">
        <v>18355.715800000002</v>
      </c>
      <c r="BH51" s="5">
        <v>1.6123000000000001</v>
      </c>
      <c r="BI51">
        <v>-7.9034000000000004</v>
      </c>
      <c r="BJ51">
        <v>1.266</v>
      </c>
      <c r="BK51">
        <v>34.169400000000003</v>
      </c>
      <c r="BL51">
        <v>0.6583</v>
      </c>
      <c r="BM51" t="s">
        <v>23</v>
      </c>
      <c r="BN51">
        <v>14.5443</v>
      </c>
      <c r="BO51">
        <v>11.503500000000001</v>
      </c>
      <c r="BP51">
        <v>16.295000000000002</v>
      </c>
      <c r="BQ51">
        <v>11175.669</v>
      </c>
      <c r="CE51" s="1">
        <f t="shared" si="3"/>
        <v>43966</v>
      </c>
      <c r="CF51" s="35">
        <f t="shared" si="2"/>
        <v>2.6299801807556804</v>
      </c>
      <c r="CG51" s="36">
        <f t="shared" si="0"/>
        <v>-1.0340952060695416</v>
      </c>
    </row>
    <row r="52" spans="1:90" x14ac:dyDescent="0.25">
      <c r="A52" s="43">
        <v>43973</v>
      </c>
      <c r="B52" s="5">
        <v>1.7906</v>
      </c>
      <c r="C52">
        <v>29.3322</v>
      </c>
      <c r="D52">
        <v>1.7603</v>
      </c>
      <c r="E52">
        <v>38.868099999999998</v>
      </c>
      <c r="F52">
        <v>0.67700000000000005</v>
      </c>
      <c r="G52">
        <v>44.554000000000002</v>
      </c>
      <c r="H52">
        <v>102.361</v>
      </c>
      <c r="I52">
        <v>91.264399999999995</v>
      </c>
      <c r="J52">
        <v>29.87</v>
      </c>
      <c r="K52">
        <v>55261.812299999998</v>
      </c>
      <c r="M52" s="43">
        <v>43973</v>
      </c>
      <c r="N52" s="5">
        <v>3.8917999999999999</v>
      </c>
      <c r="O52">
        <v>27.012599999999999</v>
      </c>
      <c r="P52">
        <v>1.5952</v>
      </c>
      <c r="Q52">
        <v>39.0886</v>
      </c>
      <c r="R52">
        <v>0.73170000000000002</v>
      </c>
      <c r="S52">
        <v>195.11080000000001</v>
      </c>
      <c r="T52">
        <v>49.129199999999997</v>
      </c>
      <c r="U52">
        <v>40.478099999999998</v>
      </c>
      <c r="V52">
        <v>124.926</v>
      </c>
      <c r="W52">
        <v>103483.01059999999</v>
      </c>
      <c r="Y52" s="5">
        <v>0.79339999999999999</v>
      </c>
      <c r="Z52">
        <v>12.3269</v>
      </c>
      <c r="AA52">
        <v>0.70640000000000003</v>
      </c>
      <c r="AB52">
        <v>13.395899999999999</v>
      </c>
      <c r="AC52">
        <v>0.1229</v>
      </c>
      <c r="AD52">
        <v>0</v>
      </c>
      <c r="AE52">
        <v>71.821899999999999</v>
      </c>
      <c r="AF52">
        <v>33.859200000000001</v>
      </c>
      <c r="AG52">
        <v>23.623000000000001</v>
      </c>
      <c r="AH52">
        <v>13378.938599999999</v>
      </c>
      <c r="AK52">
        <v>1.1546000000000001</v>
      </c>
      <c r="AL52">
        <v>25.295000000000002</v>
      </c>
      <c r="AM52">
        <v>1.6037999999999999</v>
      </c>
      <c r="AN52">
        <v>23.493500000000001</v>
      </c>
      <c r="AO52">
        <v>0.122</v>
      </c>
      <c r="AP52" t="s">
        <v>23</v>
      </c>
      <c r="AQ52">
        <v>60.128799999999998</v>
      </c>
      <c r="AR52">
        <v>51.541800000000002</v>
      </c>
      <c r="AS52">
        <v>20.367999999999999</v>
      </c>
      <c r="AT52">
        <v>12339.697899999999</v>
      </c>
      <c r="AV52">
        <v>1.6652</v>
      </c>
      <c r="AW52">
        <v>4.8837000000000002</v>
      </c>
      <c r="AX52">
        <v>0.38829999999999998</v>
      </c>
      <c r="AY52">
        <v>14.4367</v>
      </c>
      <c r="AZ52">
        <v>0.43419999999999997</v>
      </c>
      <c r="BA52" t="s">
        <v>23</v>
      </c>
      <c r="BB52">
        <v>13.171799999999999</v>
      </c>
      <c r="BC52">
        <v>7.1723999999999997</v>
      </c>
      <c r="BD52">
        <v>19.95</v>
      </c>
      <c r="BE52">
        <v>18083.779200000001</v>
      </c>
      <c r="BH52" s="5">
        <v>1.5936999999999999</v>
      </c>
      <c r="BI52">
        <v>-7.9034000000000004</v>
      </c>
      <c r="BJ52">
        <v>1.266</v>
      </c>
      <c r="BK52">
        <v>34.169400000000003</v>
      </c>
      <c r="BL52">
        <v>0.6583</v>
      </c>
      <c r="BM52" t="s">
        <v>23</v>
      </c>
      <c r="BN52">
        <v>14.5443</v>
      </c>
      <c r="BO52">
        <v>11.503500000000001</v>
      </c>
      <c r="BP52">
        <v>15.976000000000001</v>
      </c>
      <c r="BQ52">
        <v>10956.5383</v>
      </c>
      <c r="CE52" s="1">
        <f t="shared" si="3"/>
        <v>43973</v>
      </c>
      <c r="CF52" s="35">
        <f t="shared" si="2"/>
        <v>2.6890568372450652</v>
      </c>
      <c r="CG52" s="36">
        <f t="shared" si="0"/>
        <v>-1.006275376316752</v>
      </c>
    </row>
    <row r="53" spans="1:90" x14ac:dyDescent="0.25">
      <c r="A53" s="43">
        <v>43980</v>
      </c>
      <c r="B53" s="5">
        <v>1.5953999999999999</v>
      </c>
      <c r="C53">
        <v>29.3322</v>
      </c>
      <c r="D53">
        <v>1.7603</v>
      </c>
      <c r="E53">
        <v>38.868099999999998</v>
      </c>
      <c r="F53">
        <v>0.67700000000000005</v>
      </c>
      <c r="G53">
        <v>44.554000000000002</v>
      </c>
      <c r="H53">
        <v>102.361</v>
      </c>
      <c r="I53">
        <v>91.264399999999995</v>
      </c>
      <c r="J53">
        <v>24.550999999999998</v>
      </c>
      <c r="K53">
        <v>45420.667699999998</v>
      </c>
      <c r="M53" s="43">
        <v>43980</v>
      </c>
      <c r="N53" s="5">
        <v>3.6795</v>
      </c>
      <c r="O53">
        <v>27.012599999999999</v>
      </c>
      <c r="P53">
        <v>1.5952</v>
      </c>
      <c r="Q53">
        <v>39.0886</v>
      </c>
      <c r="R53">
        <v>0.73170000000000002</v>
      </c>
      <c r="S53">
        <v>195.11080000000001</v>
      </c>
      <c r="T53">
        <v>49.129199999999997</v>
      </c>
      <c r="U53">
        <v>40.478099999999998</v>
      </c>
      <c r="V53">
        <v>116.53400000000001</v>
      </c>
      <c r="W53">
        <v>96531.176900000006</v>
      </c>
      <c r="Y53" s="5">
        <v>0.79120000000000001</v>
      </c>
      <c r="Z53">
        <v>12.3269</v>
      </c>
      <c r="AA53">
        <v>0.70640000000000003</v>
      </c>
      <c r="AB53">
        <v>13.395899999999999</v>
      </c>
      <c r="AC53">
        <v>0.1229</v>
      </c>
      <c r="AD53">
        <v>0</v>
      </c>
      <c r="AE53">
        <v>71.821899999999999</v>
      </c>
      <c r="AF53">
        <v>33.859200000000001</v>
      </c>
      <c r="AG53">
        <v>23.545000000000002</v>
      </c>
      <c r="AH53">
        <v>13335.001200000001</v>
      </c>
      <c r="AK53">
        <v>1.0857000000000001</v>
      </c>
      <c r="AL53">
        <v>25.295000000000002</v>
      </c>
      <c r="AM53">
        <v>1.6037999999999999</v>
      </c>
      <c r="AN53">
        <v>23.493500000000001</v>
      </c>
      <c r="AO53">
        <v>0.122</v>
      </c>
      <c r="AP53" t="s">
        <v>23</v>
      </c>
      <c r="AQ53">
        <v>60.128799999999998</v>
      </c>
      <c r="AR53">
        <v>51.541800000000002</v>
      </c>
      <c r="AS53">
        <v>19.010000000000002</v>
      </c>
      <c r="AT53">
        <v>11517.0514</v>
      </c>
      <c r="AV53">
        <v>1.5911999999999999</v>
      </c>
      <c r="AW53">
        <v>4.8837000000000002</v>
      </c>
      <c r="AX53">
        <v>0.38829999999999998</v>
      </c>
      <c r="AY53">
        <v>14.4367</v>
      </c>
      <c r="AZ53">
        <v>0.43419999999999997</v>
      </c>
      <c r="BA53" t="s">
        <v>23</v>
      </c>
      <c r="BB53">
        <v>13.171799999999999</v>
      </c>
      <c r="BC53">
        <v>7.1723999999999997</v>
      </c>
      <c r="BD53">
        <v>18.75</v>
      </c>
      <c r="BE53">
        <v>16996.033100000001</v>
      </c>
      <c r="BH53" s="5">
        <v>1.5432999999999999</v>
      </c>
      <c r="BI53">
        <v>-7.9034000000000004</v>
      </c>
      <c r="BJ53">
        <v>1.266</v>
      </c>
      <c r="BK53">
        <v>34.169400000000003</v>
      </c>
      <c r="BL53">
        <v>0.6583</v>
      </c>
      <c r="BM53" t="s">
        <v>23</v>
      </c>
      <c r="BN53">
        <v>14.5443</v>
      </c>
      <c r="BO53">
        <v>11.503500000000001</v>
      </c>
      <c r="BP53">
        <v>15.108000000000001</v>
      </c>
      <c r="BQ53">
        <v>10361.7547</v>
      </c>
      <c r="CE53" s="1">
        <f t="shared" si="3"/>
        <v>43980</v>
      </c>
      <c r="CF53" s="35">
        <f t="shared" si="2"/>
        <v>2.542935791908584</v>
      </c>
      <c r="CG53" s="36">
        <f t="shared" si="0"/>
        <v>-1.0750853402877329</v>
      </c>
    </row>
    <row r="54" spans="1:90" x14ac:dyDescent="0.25">
      <c r="A54" s="43">
        <v>43987</v>
      </c>
      <c r="B54" s="5">
        <v>1.6645000000000001</v>
      </c>
      <c r="C54">
        <v>29.3322</v>
      </c>
      <c r="D54">
        <v>1.7603</v>
      </c>
      <c r="E54">
        <v>38.868099999999998</v>
      </c>
      <c r="F54">
        <v>0.67700000000000005</v>
      </c>
      <c r="G54">
        <v>44.554000000000002</v>
      </c>
      <c r="H54">
        <v>102.361</v>
      </c>
      <c r="I54">
        <v>91.264399999999995</v>
      </c>
      <c r="J54">
        <v>26.433</v>
      </c>
      <c r="K54">
        <v>48902.918899999997</v>
      </c>
      <c r="M54" s="43">
        <v>43987</v>
      </c>
      <c r="N54" s="5">
        <v>4.1199000000000003</v>
      </c>
      <c r="O54">
        <v>27.012599999999999</v>
      </c>
      <c r="P54">
        <v>1.5952</v>
      </c>
      <c r="Q54">
        <v>39.0886</v>
      </c>
      <c r="R54">
        <v>0.73170000000000002</v>
      </c>
      <c r="S54">
        <v>195.11080000000001</v>
      </c>
      <c r="T54">
        <v>49.129199999999997</v>
      </c>
      <c r="U54">
        <v>40.478099999999998</v>
      </c>
      <c r="V54">
        <v>133.94200000000001</v>
      </c>
      <c r="W54">
        <v>110951.2663</v>
      </c>
      <c r="Y54" s="5">
        <v>0.91459999999999997</v>
      </c>
      <c r="Z54">
        <v>12.3269</v>
      </c>
      <c r="AA54">
        <v>0.70640000000000003</v>
      </c>
      <c r="AB54">
        <v>13.395899999999999</v>
      </c>
      <c r="AC54">
        <v>0.1229</v>
      </c>
      <c r="AD54">
        <v>0</v>
      </c>
      <c r="AE54">
        <v>71.821899999999999</v>
      </c>
      <c r="AF54">
        <v>33.859200000000001</v>
      </c>
      <c r="AG54">
        <v>27.888999999999999</v>
      </c>
      <c r="AH54">
        <v>15795.4956</v>
      </c>
      <c r="AK54">
        <v>1.1527000000000001</v>
      </c>
      <c r="AL54">
        <v>25.295000000000002</v>
      </c>
      <c r="AM54">
        <v>1.6037999999999999</v>
      </c>
      <c r="AN54">
        <v>23.493500000000001</v>
      </c>
      <c r="AO54">
        <v>0.122</v>
      </c>
      <c r="AP54" t="s">
        <v>23</v>
      </c>
      <c r="AQ54">
        <v>60.128799999999998</v>
      </c>
      <c r="AR54">
        <v>51.541800000000002</v>
      </c>
      <c r="AS54">
        <v>20.331</v>
      </c>
      <c r="AT54">
        <v>12317.4642</v>
      </c>
      <c r="AV54">
        <v>1.9181999999999999</v>
      </c>
      <c r="AW54">
        <v>4.8837000000000002</v>
      </c>
      <c r="AX54">
        <v>0.38829999999999998</v>
      </c>
      <c r="AY54">
        <v>14.4367</v>
      </c>
      <c r="AZ54">
        <v>0.43419999999999997</v>
      </c>
      <c r="BA54" t="s">
        <v>23</v>
      </c>
      <c r="BB54">
        <v>13.171799999999999</v>
      </c>
      <c r="BC54">
        <v>7.1723999999999997</v>
      </c>
      <c r="BD54">
        <v>24.05</v>
      </c>
      <c r="BE54">
        <v>21800.245200000001</v>
      </c>
      <c r="BH54" s="5">
        <v>1.7263999999999999</v>
      </c>
      <c r="BI54">
        <v>-7.9034000000000004</v>
      </c>
      <c r="BJ54">
        <v>1.266</v>
      </c>
      <c r="BK54">
        <v>34.169400000000003</v>
      </c>
      <c r="BL54">
        <v>0.6583</v>
      </c>
      <c r="BM54" t="s">
        <v>23</v>
      </c>
      <c r="BN54">
        <v>14.5443</v>
      </c>
      <c r="BO54">
        <v>11.503500000000001</v>
      </c>
      <c r="BP54">
        <v>18.257999999999999</v>
      </c>
      <c r="BQ54">
        <v>12521.758</v>
      </c>
      <c r="CE54" s="1">
        <f t="shared" si="3"/>
        <v>43987</v>
      </c>
      <c r="CF54" s="35">
        <f t="shared" si="2"/>
        <v>2.8367859171604852</v>
      </c>
      <c r="CG54" s="36">
        <f t="shared" si="0"/>
        <v>-0.93670817165408227</v>
      </c>
    </row>
    <row r="55" spans="1:90" x14ac:dyDescent="0.25">
      <c r="A55" s="43">
        <v>43994</v>
      </c>
      <c r="B55" s="5">
        <v>1.5909</v>
      </c>
      <c r="C55">
        <v>29.3322</v>
      </c>
      <c r="D55">
        <v>1.7603</v>
      </c>
      <c r="E55">
        <v>38.868099999999998</v>
      </c>
      <c r="F55">
        <v>0.67700000000000005</v>
      </c>
      <c r="G55">
        <v>44.554000000000002</v>
      </c>
      <c r="H55">
        <v>102.361</v>
      </c>
      <c r="I55">
        <v>91.264399999999995</v>
      </c>
      <c r="J55">
        <v>24.428000000000001</v>
      </c>
      <c r="K55">
        <v>45193.564299999998</v>
      </c>
      <c r="M55" s="43">
        <v>43994</v>
      </c>
      <c r="N55" s="5">
        <v>3.8323999999999998</v>
      </c>
      <c r="O55">
        <v>27.012599999999999</v>
      </c>
      <c r="P55">
        <v>1.5952</v>
      </c>
      <c r="Q55">
        <v>39.0886</v>
      </c>
      <c r="R55">
        <v>0.73170000000000002</v>
      </c>
      <c r="S55">
        <v>195.11080000000001</v>
      </c>
      <c r="T55">
        <v>49.129199999999997</v>
      </c>
      <c r="U55">
        <v>40.478099999999998</v>
      </c>
      <c r="V55">
        <v>122.57599999999999</v>
      </c>
      <c r="W55">
        <v>101536.4972</v>
      </c>
      <c r="Y55" s="5">
        <v>0.9355</v>
      </c>
      <c r="Z55">
        <v>12.3269</v>
      </c>
      <c r="AA55">
        <v>0.70640000000000003</v>
      </c>
      <c r="AB55">
        <v>13.395899999999999</v>
      </c>
      <c r="AC55">
        <v>0.1229</v>
      </c>
      <c r="AD55">
        <v>0</v>
      </c>
      <c r="AE55">
        <v>71.821899999999999</v>
      </c>
      <c r="AF55">
        <v>33.859200000000001</v>
      </c>
      <c r="AG55">
        <v>28.626000000000001</v>
      </c>
      <c r="AH55">
        <v>16212.900900000001</v>
      </c>
      <c r="AK55">
        <v>1.0893999999999999</v>
      </c>
      <c r="AL55">
        <v>25.295000000000002</v>
      </c>
      <c r="AM55">
        <v>1.6037999999999999</v>
      </c>
      <c r="AN55">
        <v>23.493500000000001</v>
      </c>
      <c r="AO55">
        <v>0.122</v>
      </c>
      <c r="AP55" t="s">
        <v>23</v>
      </c>
      <c r="AQ55">
        <v>60.128799999999998</v>
      </c>
      <c r="AR55">
        <v>51.541800000000002</v>
      </c>
      <c r="AS55">
        <v>19.082999999999998</v>
      </c>
      <c r="AT55">
        <v>11561.518700000001</v>
      </c>
      <c r="AV55">
        <v>2.0076999999999998</v>
      </c>
      <c r="AW55">
        <v>4.8837000000000002</v>
      </c>
      <c r="AX55">
        <v>0.38829999999999998</v>
      </c>
      <c r="AY55">
        <v>14.4367</v>
      </c>
      <c r="AZ55">
        <v>0.43419999999999997</v>
      </c>
      <c r="BA55" t="s">
        <v>23</v>
      </c>
      <c r="BB55">
        <v>13.171799999999999</v>
      </c>
      <c r="BC55">
        <v>7.1723999999999997</v>
      </c>
      <c r="BD55">
        <v>25.5</v>
      </c>
      <c r="BE55">
        <v>23114.605</v>
      </c>
      <c r="BH55" s="5">
        <v>1.6574</v>
      </c>
      <c r="BI55">
        <v>-7.9034000000000004</v>
      </c>
      <c r="BJ55">
        <v>1.266</v>
      </c>
      <c r="BK55">
        <v>34.169400000000003</v>
      </c>
      <c r="BL55">
        <v>0.6583</v>
      </c>
      <c r="BM55" t="s">
        <v>23</v>
      </c>
      <c r="BN55">
        <v>14.5443</v>
      </c>
      <c r="BO55">
        <v>11.503500000000001</v>
      </c>
      <c r="BP55">
        <v>17.071000000000002</v>
      </c>
      <c r="BQ55">
        <v>11707.843699999999</v>
      </c>
      <c r="CE55" s="1">
        <f t="shared" si="3"/>
        <v>43994</v>
      </c>
      <c r="CF55" s="35">
        <f t="shared" si="2"/>
        <v>2.6494487532714954</v>
      </c>
      <c r="CG55" s="36">
        <f t="shared" si="0"/>
        <v>-1.0249272469278943</v>
      </c>
    </row>
    <row r="56" spans="1:90" x14ac:dyDescent="0.25">
      <c r="A56" s="43">
        <v>44001</v>
      </c>
      <c r="B56" s="5">
        <v>1.5367999999999999</v>
      </c>
      <c r="C56">
        <v>29.3322</v>
      </c>
      <c r="D56">
        <v>1.7603</v>
      </c>
      <c r="E56">
        <v>38.868099999999998</v>
      </c>
      <c r="F56">
        <v>0.67700000000000005</v>
      </c>
      <c r="G56">
        <v>44.554000000000002</v>
      </c>
      <c r="H56">
        <v>102.361</v>
      </c>
      <c r="I56">
        <v>91.264399999999995</v>
      </c>
      <c r="J56">
        <v>22.954999999999998</v>
      </c>
      <c r="K56">
        <v>42468.3243</v>
      </c>
      <c r="M56" s="43">
        <v>44001</v>
      </c>
      <c r="N56" s="5">
        <v>3.6345999999999998</v>
      </c>
      <c r="O56">
        <v>27.012599999999999</v>
      </c>
      <c r="P56">
        <v>1.5952</v>
      </c>
      <c r="Q56">
        <v>39.0886</v>
      </c>
      <c r="R56">
        <v>0.73170000000000002</v>
      </c>
      <c r="S56">
        <v>195.11080000000001</v>
      </c>
      <c r="T56">
        <v>49.129199999999997</v>
      </c>
      <c r="U56">
        <v>40.478099999999998</v>
      </c>
      <c r="V56">
        <v>114.759</v>
      </c>
      <c r="W56">
        <v>95061.3606</v>
      </c>
      <c r="Y56" s="5">
        <v>0.88919999999999999</v>
      </c>
      <c r="Z56">
        <v>12.3269</v>
      </c>
      <c r="AA56">
        <v>0.70640000000000003</v>
      </c>
      <c r="AB56">
        <v>13.395899999999999</v>
      </c>
      <c r="AC56">
        <v>0.1229</v>
      </c>
      <c r="AD56">
        <v>0</v>
      </c>
      <c r="AE56">
        <v>71.821899999999999</v>
      </c>
      <c r="AF56">
        <v>33.859200000000001</v>
      </c>
      <c r="AG56">
        <v>26.997</v>
      </c>
      <c r="AH56">
        <v>15290.2155</v>
      </c>
      <c r="AK56">
        <v>1.0448</v>
      </c>
      <c r="AL56">
        <v>25.295000000000002</v>
      </c>
      <c r="AM56">
        <v>1.6037999999999999</v>
      </c>
      <c r="AN56">
        <v>23.493500000000001</v>
      </c>
      <c r="AO56">
        <v>0.122</v>
      </c>
      <c r="AP56" t="s">
        <v>23</v>
      </c>
      <c r="AQ56">
        <v>60.128799999999998</v>
      </c>
      <c r="AR56">
        <v>51.541800000000002</v>
      </c>
      <c r="AS56">
        <v>18.202000000000002</v>
      </c>
      <c r="AT56">
        <v>11027.9102</v>
      </c>
      <c r="AV56">
        <v>1.8132999999999999</v>
      </c>
      <c r="AW56">
        <v>4.8837000000000002</v>
      </c>
      <c r="AX56">
        <v>0.38829999999999998</v>
      </c>
      <c r="AY56">
        <v>14.4367</v>
      </c>
      <c r="AZ56">
        <v>0.43419999999999997</v>
      </c>
      <c r="BA56" t="s">
        <v>23</v>
      </c>
      <c r="BB56">
        <v>13.171799999999999</v>
      </c>
      <c r="BC56">
        <v>7.1723999999999997</v>
      </c>
      <c r="BD56">
        <v>22.35</v>
      </c>
      <c r="BE56">
        <v>20259.271499999999</v>
      </c>
      <c r="BH56" s="5">
        <v>1.6574</v>
      </c>
      <c r="BI56">
        <v>-7.9034000000000004</v>
      </c>
      <c r="BJ56">
        <v>1.266</v>
      </c>
      <c r="BK56">
        <v>34.169400000000003</v>
      </c>
      <c r="BL56">
        <v>0.6583</v>
      </c>
      <c r="BM56" t="s">
        <v>23</v>
      </c>
      <c r="BN56">
        <v>14.5443</v>
      </c>
      <c r="BO56">
        <v>11.503500000000001</v>
      </c>
      <c r="BP56">
        <v>17.071000000000002</v>
      </c>
      <c r="BQ56">
        <v>11707.843699999999</v>
      </c>
      <c r="CE56" s="1">
        <f t="shared" si="3"/>
        <v>44001</v>
      </c>
      <c r="CF56" s="35">
        <f t="shared" si="2"/>
        <v>2.5127506361922589</v>
      </c>
      <c r="CG56" s="36">
        <f t="shared" si="0"/>
        <v>-1.0892998531425777</v>
      </c>
    </row>
    <row r="57" spans="1:90" x14ac:dyDescent="0.25">
      <c r="A57" s="43">
        <v>44008</v>
      </c>
      <c r="B57" s="5">
        <v>1.5458000000000001</v>
      </c>
      <c r="C57">
        <v>29.3322</v>
      </c>
      <c r="D57">
        <v>1.7603</v>
      </c>
      <c r="E57">
        <v>38.868099999999998</v>
      </c>
      <c r="F57">
        <v>0.67700000000000005</v>
      </c>
      <c r="G57">
        <v>44.554000000000002</v>
      </c>
      <c r="H57">
        <v>102.361</v>
      </c>
      <c r="I57">
        <v>91.264399999999995</v>
      </c>
      <c r="J57">
        <v>23.2</v>
      </c>
      <c r="K57">
        <v>42922.531000000003</v>
      </c>
      <c r="M57" s="43">
        <v>44008</v>
      </c>
      <c r="N57" s="5">
        <v>3.597</v>
      </c>
      <c r="O57">
        <v>27.012599999999999</v>
      </c>
      <c r="P57">
        <v>1.5952</v>
      </c>
      <c r="Q57">
        <v>39.0886</v>
      </c>
      <c r="R57">
        <v>0.73170000000000002</v>
      </c>
      <c r="S57">
        <v>195.11080000000001</v>
      </c>
      <c r="T57">
        <v>49.129199999999997</v>
      </c>
      <c r="U57">
        <v>40.478099999999998</v>
      </c>
      <c r="V57">
        <v>113.273</v>
      </c>
      <c r="W57">
        <v>93829.892900000006</v>
      </c>
      <c r="Y57" s="5">
        <v>0.84079999999999999</v>
      </c>
      <c r="Z57">
        <v>12.3269</v>
      </c>
      <c r="AA57">
        <v>0.70640000000000003</v>
      </c>
      <c r="AB57">
        <v>13.395899999999999</v>
      </c>
      <c r="AC57">
        <v>0.1229</v>
      </c>
      <c r="AD57">
        <v>0</v>
      </c>
      <c r="AE57">
        <v>71.821899999999999</v>
      </c>
      <c r="AF57">
        <v>33.859200000000001</v>
      </c>
      <c r="AG57">
        <v>25.291</v>
      </c>
      <c r="AH57">
        <v>14323.592699999999</v>
      </c>
      <c r="AK57">
        <v>0.98150000000000004</v>
      </c>
      <c r="AL57">
        <v>25.295000000000002</v>
      </c>
      <c r="AM57">
        <v>1.6037999999999999</v>
      </c>
      <c r="AN57">
        <v>23.493500000000001</v>
      </c>
      <c r="AO57">
        <v>0.122</v>
      </c>
      <c r="AP57" t="s">
        <v>23</v>
      </c>
      <c r="AQ57">
        <v>60.128799999999998</v>
      </c>
      <c r="AR57">
        <v>51.541800000000002</v>
      </c>
      <c r="AS57">
        <v>16.954999999999998</v>
      </c>
      <c r="AT57">
        <v>10271.9647</v>
      </c>
      <c r="AV57">
        <v>1.7794000000000001</v>
      </c>
      <c r="AW57">
        <v>4.8837000000000002</v>
      </c>
      <c r="AX57">
        <v>0.38829999999999998</v>
      </c>
      <c r="AY57">
        <v>14.4367</v>
      </c>
      <c r="AZ57">
        <v>0.43419999999999997</v>
      </c>
      <c r="BA57" t="s">
        <v>23</v>
      </c>
      <c r="BB57">
        <v>13.171799999999999</v>
      </c>
      <c r="BC57">
        <v>7.1723999999999997</v>
      </c>
      <c r="BD57">
        <v>21.8</v>
      </c>
      <c r="BE57">
        <v>19760.7212</v>
      </c>
      <c r="BH57" s="5">
        <v>1.6734</v>
      </c>
      <c r="BI57">
        <v>-7.9034000000000004</v>
      </c>
      <c r="BJ57">
        <v>1.266</v>
      </c>
      <c r="BK57">
        <v>34.169400000000003</v>
      </c>
      <c r="BL57">
        <v>0.6583</v>
      </c>
      <c r="BM57" t="s">
        <v>23</v>
      </c>
      <c r="BN57">
        <v>14.5443</v>
      </c>
      <c r="BO57">
        <v>11.503500000000001</v>
      </c>
      <c r="BP57">
        <v>17.344999999999999</v>
      </c>
      <c r="BQ57">
        <v>11895.670099999999</v>
      </c>
      <c r="CE57" s="1">
        <f t="shared" si="3"/>
        <v>44008</v>
      </c>
      <c r="CF57" s="35">
        <f t="shared" si="2"/>
        <v>2.492427598632188</v>
      </c>
      <c r="CG57" s="36">
        <f t="shared" si="0"/>
        <v>-1.0988701890176678</v>
      </c>
    </row>
    <row r="58" spans="1:90" x14ac:dyDescent="0.25">
      <c r="A58" s="43">
        <v>44015</v>
      </c>
      <c r="B58" s="5">
        <v>1.2357</v>
      </c>
      <c r="C58">
        <v>34.6372</v>
      </c>
      <c r="D58">
        <v>1.6411</v>
      </c>
      <c r="E58">
        <v>38.379199999999997</v>
      </c>
      <c r="F58">
        <v>0.57509999999999994</v>
      </c>
      <c r="G58">
        <v>44.554000000000002</v>
      </c>
      <c r="H58">
        <v>120.07210000000001</v>
      </c>
      <c r="I58">
        <v>106.98260000000001</v>
      </c>
      <c r="J58">
        <v>22.135999999999999</v>
      </c>
      <c r="K58">
        <v>40954.302000000003</v>
      </c>
      <c r="M58" s="43">
        <v>44015</v>
      </c>
      <c r="N58" s="5">
        <v>3.4066000000000001</v>
      </c>
      <c r="O58">
        <v>26.104600000000001</v>
      </c>
      <c r="P58">
        <v>1.1527000000000001</v>
      </c>
      <c r="Q58">
        <v>38.769799999999996</v>
      </c>
      <c r="R58">
        <v>0.62819999999999998</v>
      </c>
      <c r="S58">
        <v>195.11080000000001</v>
      </c>
      <c r="T58">
        <v>49.403300000000002</v>
      </c>
      <c r="U58">
        <v>39.525100000000002</v>
      </c>
      <c r="V58">
        <v>113.129</v>
      </c>
      <c r="W58">
        <v>93710.718599999993</v>
      </c>
      <c r="Y58" s="5">
        <v>0.84799999999999998</v>
      </c>
      <c r="Z58">
        <v>13.4411</v>
      </c>
      <c r="AA58">
        <v>0.55200000000000005</v>
      </c>
      <c r="AB58">
        <v>12.5435</v>
      </c>
      <c r="AC58">
        <v>4.0399999999999998E-2</v>
      </c>
      <c r="AD58">
        <v>0</v>
      </c>
      <c r="AE58">
        <v>66.428600000000003</v>
      </c>
      <c r="AF58">
        <v>34.860100000000003</v>
      </c>
      <c r="AG58">
        <v>27.114000000000001</v>
      </c>
      <c r="AH58">
        <v>15356.1216</v>
      </c>
      <c r="AK58">
        <v>0.90249999999999997</v>
      </c>
      <c r="AL58">
        <v>29.098800000000001</v>
      </c>
      <c r="AM58">
        <v>1.4119999999999999</v>
      </c>
      <c r="AN58">
        <v>23.510200000000001</v>
      </c>
      <c r="AO58">
        <v>8.9200000000000002E-2</v>
      </c>
      <c r="AP58" t="s">
        <v>23</v>
      </c>
      <c r="AQ58">
        <v>59.082700000000003</v>
      </c>
      <c r="AR58">
        <v>49.631900000000002</v>
      </c>
      <c r="AS58">
        <v>16.734000000000002</v>
      </c>
      <c r="AT58">
        <v>10138.562599999999</v>
      </c>
      <c r="AV58">
        <v>2.4841000000000002</v>
      </c>
      <c r="AW58">
        <v>-0.5645</v>
      </c>
      <c r="AX58">
        <v>8.0100000000000005E-2</v>
      </c>
      <c r="AY58">
        <v>14.200900000000001</v>
      </c>
      <c r="AZ58">
        <v>0.52070000000000005</v>
      </c>
      <c r="BA58" t="s">
        <v>23</v>
      </c>
      <c r="BB58">
        <v>9.5728000000000009</v>
      </c>
      <c r="BC58">
        <v>3.1606000000000001</v>
      </c>
      <c r="BD58">
        <v>21.45</v>
      </c>
      <c r="BE58">
        <v>19443.461899999998</v>
      </c>
      <c r="BH58" s="5">
        <v>2.5611000000000002</v>
      </c>
      <c r="BI58">
        <v>-309.57159999999999</v>
      </c>
      <c r="BJ58">
        <v>0.65039999999999998</v>
      </c>
      <c r="BK58">
        <v>45.183</v>
      </c>
      <c r="BL58">
        <v>1.2363999999999999</v>
      </c>
      <c r="BM58" t="s">
        <v>23</v>
      </c>
      <c r="BN58">
        <v>10.9125</v>
      </c>
      <c r="BO58">
        <v>7.3455000000000004</v>
      </c>
      <c r="BP58">
        <v>16.341000000000001</v>
      </c>
      <c r="BQ58">
        <v>11206.973400000001</v>
      </c>
      <c r="CE58" s="1">
        <f t="shared" si="3"/>
        <v>44015</v>
      </c>
      <c r="CF58" s="35">
        <f t="shared" si="2"/>
        <v>2.4580239386763596</v>
      </c>
      <c r="CG58" s="36">
        <f t="shared" si="0"/>
        <v>-1.1150712406634391</v>
      </c>
    </row>
    <row r="59" spans="1:90" x14ac:dyDescent="0.25">
      <c r="A59" s="43">
        <v>44022</v>
      </c>
      <c r="B59" s="5">
        <v>1.31</v>
      </c>
      <c r="C59">
        <v>34.6372</v>
      </c>
      <c r="D59">
        <v>1.6411</v>
      </c>
      <c r="E59">
        <v>38.379199999999997</v>
      </c>
      <c r="F59">
        <v>0.57509999999999994</v>
      </c>
      <c r="G59">
        <v>44.554000000000002</v>
      </c>
      <c r="H59">
        <v>120.07210000000001</v>
      </c>
      <c r="I59">
        <v>106.98260000000001</v>
      </c>
      <c r="J59">
        <v>24.632000000000001</v>
      </c>
      <c r="K59">
        <v>45572.069900000002</v>
      </c>
      <c r="M59" s="43">
        <v>44022</v>
      </c>
      <c r="N59" s="5">
        <v>3.714</v>
      </c>
      <c r="O59">
        <v>26.104600000000001</v>
      </c>
      <c r="P59">
        <v>1.1527000000000001</v>
      </c>
      <c r="Q59">
        <v>38.769799999999996</v>
      </c>
      <c r="R59">
        <v>0.62819999999999998</v>
      </c>
      <c r="S59">
        <v>195.11080000000001</v>
      </c>
      <c r="T59">
        <v>49.403300000000002</v>
      </c>
      <c r="U59">
        <v>39.525100000000002</v>
      </c>
      <c r="V59">
        <v>125.645</v>
      </c>
      <c r="W59">
        <v>104078.8821</v>
      </c>
      <c r="Y59" s="5">
        <v>0.97850000000000004</v>
      </c>
      <c r="Z59">
        <v>13.4411</v>
      </c>
      <c r="AA59">
        <v>0.55200000000000005</v>
      </c>
      <c r="AB59">
        <v>12.5435</v>
      </c>
      <c r="AC59">
        <v>4.0399999999999998E-2</v>
      </c>
      <c r="AD59">
        <v>0</v>
      </c>
      <c r="AE59">
        <v>66.428600000000003</v>
      </c>
      <c r="AF59">
        <v>34.860100000000003</v>
      </c>
      <c r="AG59">
        <v>31.497</v>
      </c>
      <c r="AH59">
        <v>17838.584800000001</v>
      </c>
      <c r="AK59">
        <v>1.0434000000000001</v>
      </c>
      <c r="AL59">
        <v>29.098800000000001</v>
      </c>
      <c r="AM59">
        <v>1.4119999999999999</v>
      </c>
      <c r="AN59">
        <v>23.510200000000001</v>
      </c>
      <c r="AO59">
        <v>8.9200000000000002E-2</v>
      </c>
      <c r="AP59" t="s">
        <v>23</v>
      </c>
      <c r="AQ59">
        <v>59.082700000000003</v>
      </c>
      <c r="AR59">
        <v>49.631900000000002</v>
      </c>
      <c r="AS59">
        <v>19.634</v>
      </c>
      <c r="AT59">
        <v>11895.024100000001</v>
      </c>
      <c r="AV59">
        <v>2.6717</v>
      </c>
      <c r="AW59">
        <v>-0.5645</v>
      </c>
      <c r="AX59">
        <v>8.0100000000000005E-2</v>
      </c>
      <c r="AY59">
        <v>14.200900000000001</v>
      </c>
      <c r="AZ59">
        <v>0.52070000000000005</v>
      </c>
      <c r="BA59" t="s">
        <v>23</v>
      </c>
      <c r="BB59">
        <v>9.5728000000000009</v>
      </c>
      <c r="BC59">
        <v>3.1606000000000001</v>
      </c>
      <c r="BD59">
        <v>23.5</v>
      </c>
      <c r="BE59">
        <v>21301.694899999999</v>
      </c>
      <c r="BH59" s="5">
        <v>2.6421999999999999</v>
      </c>
      <c r="BI59">
        <v>-309.57159999999999</v>
      </c>
      <c r="BJ59">
        <v>0.65039999999999998</v>
      </c>
      <c r="BK59">
        <v>45.183</v>
      </c>
      <c r="BL59">
        <v>1.2363999999999999</v>
      </c>
      <c r="BM59" t="s">
        <v>23</v>
      </c>
      <c r="BN59">
        <v>10.9125</v>
      </c>
      <c r="BO59">
        <v>7.3455000000000004</v>
      </c>
      <c r="BP59">
        <v>17.344999999999999</v>
      </c>
      <c r="BQ59">
        <v>11895.670099999999</v>
      </c>
      <c r="CE59" s="1">
        <f t="shared" si="3"/>
        <v>44022</v>
      </c>
      <c r="CF59" s="35">
        <f t="shared" si="2"/>
        <v>2.6552453999744761</v>
      </c>
      <c r="CG59" s="36">
        <f t="shared" si="0"/>
        <v>-1.0221975439623421</v>
      </c>
      <c r="CH59">
        <f t="shared" ref="CH59:CH122" ca="1" si="4">+_xlfn.PERCENTILE.INC(OFFSET(CG59,-52,0,52,1),0.9)</f>
        <v>-0.85236612408522583</v>
      </c>
      <c r="CI59">
        <f t="shared" ref="CI59:CI122" ca="1" si="5">+_xlfn.PERCENTILE.INC(OFFSET(CG59,-52,0,52,1),0.75)</f>
        <v>-0.96078350814469093</v>
      </c>
      <c r="CJ59">
        <f t="shared" ref="CJ59:CJ122" ca="1" si="6">+_xlfn.PERCENTILE.INC(OFFSET(CG59,-52,0,52,1),0.5)</f>
        <v>-1.0648472954437058</v>
      </c>
      <c r="CK59">
        <f t="shared" ref="CK59:CK122" ca="1" si="7">+_xlfn.PERCENTILE.INC(OFFSET(CG59,-52,0,52,1),0.25)</f>
        <v>-1.1288192205059286</v>
      </c>
      <c r="CL59">
        <f t="shared" ref="CL59:CL122" ca="1" si="8">+_xlfn.PERCENTILE.INC(OFFSET(CG59,-52,0,52,1),0.1)</f>
        <v>-1.2752146981256607</v>
      </c>
    </row>
    <row r="60" spans="1:90" x14ac:dyDescent="0.25">
      <c r="A60" s="43">
        <v>44029</v>
      </c>
      <c r="B60" s="5">
        <v>1.3405</v>
      </c>
      <c r="C60">
        <v>34.6372</v>
      </c>
      <c r="D60">
        <v>1.6411</v>
      </c>
      <c r="E60">
        <v>38.379199999999997</v>
      </c>
      <c r="F60">
        <v>0.57509999999999994</v>
      </c>
      <c r="G60">
        <v>44.554000000000002</v>
      </c>
      <c r="H60">
        <v>120.07210000000001</v>
      </c>
      <c r="I60">
        <v>106.98260000000001</v>
      </c>
      <c r="J60">
        <v>25.655000000000001</v>
      </c>
      <c r="K60">
        <v>47464.597699999998</v>
      </c>
      <c r="M60" s="43">
        <v>44029</v>
      </c>
      <c r="N60" s="5">
        <v>3.661</v>
      </c>
      <c r="O60">
        <v>26.104600000000001</v>
      </c>
      <c r="P60">
        <v>1.1527000000000001</v>
      </c>
      <c r="Q60">
        <v>38.769799999999996</v>
      </c>
      <c r="R60">
        <v>0.62819999999999998</v>
      </c>
      <c r="S60">
        <v>195.11080000000001</v>
      </c>
      <c r="T60">
        <v>49.403300000000002</v>
      </c>
      <c r="U60">
        <v>39.525100000000002</v>
      </c>
      <c r="V60">
        <v>123.48699999999999</v>
      </c>
      <c r="W60">
        <v>102291.2677</v>
      </c>
      <c r="Y60" s="5">
        <v>0.95309999999999995</v>
      </c>
      <c r="Z60">
        <v>13.4411</v>
      </c>
      <c r="AA60">
        <v>0.55200000000000005</v>
      </c>
      <c r="AB60">
        <v>12.5435</v>
      </c>
      <c r="AC60">
        <v>4.0399999999999998E-2</v>
      </c>
      <c r="AD60">
        <v>0</v>
      </c>
      <c r="AE60">
        <v>66.428600000000003</v>
      </c>
      <c r="AF60">
        <v>34.860100000000003</v>
      </c>
      <c r="AG60">
        <v>30.643999999999998</v>
      </c>
      <c r="AH60">
        <v>17355.273399999998</v>
      </c>
      <c r="AK60">
        <v>1.0611999999999999</v>
      </c>
      <c r="AL60">
        <v>29.098800000000001</v>
      </c>
      <c r="AM60">
        <v>1.4119999999999999</v>
      </c>
      <c r="AN60">
        <v>23.510200000000001</v>
      </c>
      <c r="AO60">
        <v>8.9200000000000002E-2</v>
      </c>
      <c r="AP60" t="s">
        <v>23</v>
      </c>
      <c r="AQ60">
        <v>59.082700000000003</v>
      </c>
      <c r="AR60">
        <v>49.631900000000002</v>
      </c>
      <c r="AS60">
        <v>20.001000000000001</v>
      </c>
      <c r="AT60">
        <v>12117.361000000001</v>
      </c>
      <c r="AV60">
        <v>2.7174999999999998</v>
      </c>
      <c r="AW60">
        <v>-0.5645</v>
      </c>
      <c r="AX60">
        <v>8.0100000000000005E-2</v>
      </c>
      <c r="AY60">
        <v>14.200900000000001</v>
      </c>
      <c r="AZ60">
        <v>0.52070000000000005</v>
      </c>
      <c r="BA60" t="s">
        <v>23</v>
      </c>
      <c r="BB60">
        <v>9.5728000000000009</v>
      </c>
      <c r="BC60">
        <v>3.1606000000000001</v>
      </c>
      <c r="BD60">
        <v>24</v>
      </c>
      <c r="BE60">
        <v>21754.922399999999</v>
      </c>
      <c r="BH60" s="5">
        <v>2.6421999999999999</v>
      </c>
      <c r="BI60">
        <v>-309.57159999999999</v>
      </c>
      <c r="BJ60">
        <v>0.65039999999999998</v>
      </c>
      <c r="BK60">
        <v>45.183</v>
      </c>
      <c r="BL60">
        <v>1.2363999999999999</v>
      </c>
      <c r="BM60" t="s">
        <v>23</v>
      </c>
      <c r="BN60">
        <v>10.9125</v>
      </c>
      <c r="BO60">
        <v>7.3455000000000004</v>
      </c>
      <c r="BP60">
        <v>17.344999999999999</v>
      </c>
      <c r="BQ60">
        <v>11895.670099999999</v>
      </c>
      <c r="CE60" s="1">
        <f t="shared" si="3"/>
        <v>44029</v>
      </c>
      <c r="CF60" s="35">
        <f t="shared" si="2"/>
        <v>2.6215097686110811</v>
      </c>
      <c r="CG60" s="36">
        <f t="shared" si="0"/>
        <v>-1.0380840137949934</v>
      </c>
      <c r="CH60">
        <f t="shared" ca="1" si="4"/>
        <v>-0.85495522365529786</v>
      </c>
      <c r="CI60">
        <f t="shared" ca="1" si="5"/>
        <v>-0.96998959871055668</v>
      </c>
      <c r="CJ60">
        <f t="shared" ca="1" si="6"/>
        <v>-1.0648472954437058</v>
      </c>
      <c r="CK60">
        <f t="shared" ca="1" si="7"/>
        <v>-1.1288192205059286</v>
      </c>
      <c r="CL60">
        <f t="shared" ca="1" si="8"/>
        <v>-1.2752146981256607</v>
      </c>
    </row>
    <row r="61" spans="1:90" x14ac:dyDescent="0.25">
      <c r="A61" s="43">
        <v>44036</v>
      </c>
      <c r="B61" s="5">
        <v>1.4075</v>
      </c>
      <c r="C61">
        <v>34.6372</v>
      </c>
      <c r="D61">
        <v>1.6411</v>
      </c>
      <c r="E61">
        <v>38.379199999999997</v>
      </c>
      <c r="F61">
        <v>0.57509999999999994</v>
      </c>
      <c r="G61">
        <v>44.554000000000002</v>
      </c>
      <c r="H61">
        <v>120.07210000000001</v>
      </c>
      <c r="I61">
        <v>106.98260000000001</v>
      </c>
      <c r="J61">
        <v>27.905999999999999</v>
      </c>
      <c r="K61">
        <v>51628.158900000002</v>
      </c>
      <c r="M61" s="43">
        <v>44036</v>
      </c>
      <c r="N61" s="5">
        <v>4.0190999999999999</v>
      </c>
      <c r="O61">
        <v>26.104600000000001</v>
      </c>
      <c r="P61">
        <v>1.1527000000000001</v>
      </c>
      <c r="Q61">
        <v>38.769799999999996</v>
      </c>
      <c r="R61">
        <v>0.62819999999999998</v>
      </c>
      <c r="S61">
        <v>195.11080000000001</v>
      </c>
      <c r="T61">
        <v>49.403300000000002</v>
      </c>
      <c r="U61">
        <v>39.525100000000002</v>
      </c>
      <c r="V61">
        <v>138.066</v>
      </c>
      <c r="W61">
        <v>114367.59600000001</v>
      </c>
      <c r="Y61" s="5">
        <v>0.94620000000000004</v>
      </c>
      <c r="Z61">
        <v>13.4411</v>
      </c>
      <c r="AA61">
        <v>0.55200000000000005</v>
      </c>
      <c r="AB61">
        <v>12.5435</v>
      </c>
      <c r="AC61">
        <v>4.0399999999999998E-2</v>
      </c>
      <c r="AD61">
        <v>0</v>
      </c>
      <c r="AE61">
        <v>66.428600000000003</v>
      </c>
      <c r="AF61">
        <v>34.860100000000003</v>
      </c>
      <c r="AG61">
        <v>30.411000000000001</v>
      </c>
      <c r="AH61">
        <v>17223.461200000002</v>
      </c>
      <c r="AK61">
        <v>1.0701000000000001</v>
      </c>
      <c r="AL61">
        <v>29.098800000000001</v>
      </c>
      <c r="AM61">
        <v>1.4119999999999999</v>
      </c>
      <c r="AN61">
        <v>23.510200000000001</v>
      </c>
      <c r="AO61">
        <v>8.9200000000000002E-2</v>
      </c>
      <c r="AP61" t="s">
        <v>23</v>
      </c>
      <c r="AQ61">
        <v>59.082700000000003</v>
      </c>
      <c r="AR61">
        <v>49.631900000000002</v>
      </c>
      <c r="AS61">
        <v>20.184000000000001</v>
      </c>
      <c r="AT61">
        <v>12228.529399999999</v>
      </c>
      <c r="AV61">
        <v>2.7037</v>
      </c>
      <c r="AW61">
        <v>-0.5645</v>
      </c>
      <c r="AX61">
        <v>8.0100000000000005E-2</v>
      </c>
      <c r="AY61">
        <v>14.200900000000001</v>
      </c>
      <c r="AZ61">
        <v>0.52070000000000005</v>
      </c>
      <c r="BA61" t="s">
        <v>23</v>
      </c>
      <c r="BB61">
        <v>9.5728000000000009</v>
      </c>
      <c r="BC61">
        <v>3.1606000000000001</v>
      </c>
      <c r="BD61">
        <v>23.85</v>
      </c>
      <c r="BE61">
        <v>21618.954099999999</v>
      </c>
      <c r="BH61" s="5">
        <v>2.6459000000000001</v>
      </c>
      <c r="BI61">
        <v>-309.57159999999999</v>
      </c>
      <c r="BJ61">
        <v>0.65039999999999998</v>
      </c>
      <c r="BK61">
        <v>45.183</v>
      </c>
      <c r="BL61">
        <v>1.2363999999999999</v>
      </c>
      <c r="BM61" t="s">
        <v>23</v>
      </c>
      <c r="BN61">
        <v>10.9125</v>
      </c>
      <c r="BO61">
        <v>7.3455000000000004</v>
      </c>
      <c r="BP61">
        <v>17.390999999999998</v>
      </c>
      <c r="BQ61">
        <v>11926.9745</v>
      </c>
      <c r="CE61" s="1">
        <f t="shared" si="3"/>
        <v>44036</v>
      </c>
      <c r="CF61" s="35">
        <f t="shared" si="2"/>
        <v>2.8459859322526584</v>
      </c>
      <c r="CG61" s="36">
        <f t="shared" si="0"/>
        <v>-0.93237578609273386</v>
      </c>
      <c r="CH61">
        <f t="shared" ca="1" si="4"/>
        <v>-0.87316726079238627</v>
      </c>
      <c r="CI61">
        <f t="shared" ca="1" si="5"/>
        <v>-0.98768089520142122</v>
      </c>
      <c r="CJ61">
        <f t="shared" ca="1" si="6"/>
        <v>-1.0648472954437058</v>
      </c>
      <c r="CK61">
        <f t="shared" ca="1" si="7"/>
        <v>-1.1288192205059286</v>
      </c>
      <c r="CL61">
        <f t="shared" ca="1" si="8"/>
        <v>-1.2752146981256607</v>
      </c>
    </row>
    <row r="62" spans="1:90" x14ac:dyDescent="0.25">
      <c r="A62" s="43">
        <v>44043</v>
      </c>
      <c r="B62" s="5">
        <v>1.3685</v>
      </c>
      <c r="C62">
        <v>34.6372</v>
      </c>
      <c r="D62">
        <v>1.6411</v>
      </c>
      <c r="E62">
        <v>38.379199999999997</v>
      </c>
      <c r="F62">
        <v>0.57509999999999994</v>
      </c>
      <c r="G62">
        <v>44.554000000000002</v>
      </c>
      <c r="H62">
        <v>120.07210000000001</v>
      </c>
      <c r="I62">
        <v>106.98260000000001</v>
      </c>
      <c r="J62">
        <v>26.596</v>
      </c>
      <c r="K62">
        <v>49205.723299999998</v>
      </c>
      <c r="M62" s="43">
        <v>44043</v>
      </c>
      <c r="N62" s="5">
        <v>3.9578000000000002</v>
      </c>
      <c r="O62">
        <v>26.104600000000001</v>
      </c>
      <c r="P62">
        <v>1.1527000000000001</v>
      </c>
      <c r="Q62">
        <v>38.769799999999996</v>
      </c>
      <c r="R62">
        <v>0.62819999999999998</v>
      </c>
      <c r="S62">
        <v>195.11080000000001</v>
      </c>
      <c r="T62">
        <v>49.403300000000002</v>
      </c>
      <c r="U62">
        <v>39.525100000000002</v>
      </c>
      <c r="V62">
        <v>135.572</v>
      </c>
      <c r="W62">
        <v>112301.9083</v>
      </c>
      <c r="Y62" s="5">
        <v>0.92190000000000005</v>
      </c>
      <c r="Z62">
        <v>13.4411</v>
      </c>
      <c r="AA62">
        <v>0.55200000000000005</v>
      </c>
      <c r="AB62">
        <v>12.5435</v>
      </c>
      <c r="AC62">
        <v>4.0399999999999998E-2</v>
      </c>
      <c r="AD62">
        <v>0</v>
      </c>
      <c r="AE62">
        <v>66.428600000000003</v>
      </c>
      <c r="AF62">
        <v>34.860100000000003</v>
      </c>
      <c r="AG62">
        <v>29.596</v>
      </c>
      <c r="AH62">
        <v>16762.118399999999</v>
      </c>
      <c r="AK62">
        <v>1.038</v>
      </c>
      <c r="AL62">
        <v>29.098800000000001</v>
      </c>
      <c r="AM62">
        <v>1.4119999999999999</v>
      </c>
      <c r="AN62">
        <v>23.510200000000001</v>
      </c>
      <c r="AO62">
        <v>8.9200000000000002E-2</v>
      </c>
      <c r="AP62" t="s">
        <v>23</v>
      </c>
      <c r="AQ62">
        <v>59.082700000000003</v>
      </c>
      <c r="AR62">
        <v>49.631900000000002</v>
      </c>
      <c r="AS62">
        <v>19.524000000000001</v>
      </c>
      <c r="AT62">
        <v>11828.323</v>
      </c>
      <c r="AV62">
        <v>2.69</v>
      </c>
      <c r="AW62">
        <v>-0.5645</v>
      </c>
      <c r="AX62">
        <v>8.0100000000000005E-2</v>
      </c>
      <c r="AY62">
        <v>14.200900000000001</v>
      </c>
      <c r="AZ62">
        <v>0.52070000000000005</v>
      </c>
      <c r="BA62" t="s">
        <v>23</v>
      </c>
      <c r="BB62">
        <v>9.5728000000000009</v>
      </c>
      <c r="BC62">
        <v>3.1606000000000001</v>
      </c>
      <c r="BD62">
        <v>23.7</v>
      </c>
      <c r="BE62">
        <v>21482.9859</v>
      </c>
      <c r="BH62" s="5">
        <v>2.7012</v>
      </c>
      <c r="BI62">
        <v>-309.57159999999999</v>
      </c>
      <c r="BJ62">
        <v>0.65039999999999998</v>
      </c>
      <c r="BK62">
        <v>45.183</v>
      </c>
      <c r="BL62">
        <v>1.2363999999999999</v>
      </c>
      <c r="BM62" t="s">
        <v>23</v>
      </c>
      <c r="BN62">
        <v>10.9125</v>
      </c>
      <c r="BO62">
        <v>7.3455000000000004</v>
      </c>
      <c r="BP62">
        <v>18.074999999999999</v>
      </c>
      <c r="BQ62">
        <v>12396.5404</v>
      </c>
      <c r="CE62" s="1">
        <f t="shared" si="3"/>
        <v>44043</v>
      </c>
      <c r="CF62" s="35">
        <f t="shared" si="2"/>
        <v>2.8164070433994954</v>
      </c>
      <c r="CG62" s="36">
        <f t="shared" si="0"/>
        <v>-0.94630480139371898</v>
      </c>
      <c r="CH62">
        <f t="shared" ca="1" si="4"/>
        <v>-0.88219136561317546</v>
      </c>
      <c r="CI62">
        <f t="shared" ca="1" si="5"/>
        <v>-0.98768089520142122</v>
      </c>
      <c r="CJ62">
        <f t="shared" ca="1" si="6"/>
        <v>-1.0648472954437058</v>
      </c>
      <c r="CK62">
        <f t="shared" ca="1" si="7"/>
        <v>-1.1288192205059286</v>
      </c>
      <c r="CL62">
        <f t="shared" ca="1" si="8"/>
        <v>-1.2752146981256607</v>
      </c>
    </row>
    <row r="63" spans="1:90" x14ac:dyDescent="0.25">
      <c r="A63" s="43">
        <v>44050</v>
      </c>
      <c r="B63" s="5">
        <v>1.4234</v>
      </c>
      <c r="C63">
        <v>34.6372</v>
      </c>
      <c r="D63">
        <v>1.6411</v>
      </c>
      <c r="E63">
        <v>38.379199999999997</v>
      </c>
      <c r="F63">
        <v>0.57509999999999994</v>
      </c>
      <c r="G63">
        <v>44.554000000000002</v>
      </c>
      <c r="H63">
        <v>120.07210000000001</v>
      </c>
      <c r="I63">
        <v>106.98260000000001</v>
      </c>
      <c r="J63">
        <v>28.437999999999999</v>
      </c>
      <c r="K63">
        <v>52612.273399999998</v>
      </c>
      <c r="M63" s="43">
        <v>44050</v>
      </c>
      <c r="N63" s="5">
        <v>4.2074999999999996</v>
      </c>
      <c r="O63">
        <v>26.104600000000001</v>
      </c>
      <c r="P63">
        <v>1.1527000000000001</v>
      </c>
      <c r="Q63">
        <v>38.769799999999996</v>
      </c>
      <c r="R63">
        <v>0.62819999999999998</v>
      </c>
      <c r="S63">
        <v>195.11080000000001</v>
      </c>
      <c r="T63">
        <v>49.403300000000002</v>
      </c>
      <c r="U63">
        <v>39.525100000000002</v>
      </c>
      <c r="V63">
        <v>145.739</v>
      </c>
      <c r="W63">
        <v>120723.5583</v>
      </c>
      <c r="Y63" s="5">
        <v>1.0074000000000001</v>
      </c>
      <c r="Z63">
        <v>13.4411</v>
      </c>
      <c r="AA63">
        <v>0.55200000000000005</v>
      </c>
      <c r="AB63">
        <v>12.5435</v>
      </c>
      <c r="AC63">
        <v>4.0399999999999998E-2</v>
      </c>
      <c r="AD63">
        <v>0</v>
      </c>
      <c r="AE63">
        <v>66.428600000000003</v>
      </c>
      <c r="AF63">
        <v>34.860100000000003</v>
      </c>
      <c r="AG63">
        <v>32.466999999999999</v>
      </c>
      <c r="AH63">
        <v>18387.802299999999</v>
      </c>
      <c r="AK63">
        <v>1.0754999999999999</v>
      </c>
      <c r="AL63">
        <v>29.098800000000001</v>
      </c>
      <c r="AM63">
        <v>1.4119999999999999</v>
      </c>
      <c r="AN63">
        <v>23.510200000000001</v>
      </c>
      <c r="AO63">
        <v>8.9200000000000002E-2</v>
      </c>
      <c r="AP63" t="s">
        <v>23</v>
      </c>
      <c r="AQ63">
        <v>59.082700000000003</v>
      </c>
      <c r="AR63">
        <v>49.631900000000002</v>
      </c>
      <c r="AS63">
        <v>20.294</v>
      </c>
      <c r="AT63">
        <v>12295.2305</v>
      </c>
      <c r="AV63">
        <v>3.0836000000000001</v>
      </c>
      <c r="AW63">
        <v>-0.5645</v>
      </c>
      <c r="AX63">
        <v>8.0100000000000005E-2</v>
      </c>
      <c r="AY63">
        <v>14.200900000000001</v>
      </c>
      <c r="AZ63">
        <v>0.52070000000000005</v>
      </c>
      <c r="BA63" t="s">
        <v>23</v>
      </c>
      <c r="BB63">
        <v>9.5728000000000009</v>
      </c>
      <c r="BC63">
        <v>3.1606000000000001</v>
      </c>
      <c r="BD63">
        <v>28</v>
      </c>
      <c r="BE63">
        <v>25380.7428</v>
      </c>
      <c r="BH63" s="5">
        <v>2.6974999999999998</v>
      </c>
      <c r="BI63">
        <v>-309.57159999999999</v>
      </c>
      <c r="BJ63">
        <v>0.65039999999999998</v>
      </c>
      <c r="BK63">
        <v>45.183</v>
      </c>
      <c r="BL63">
        <v>1.2363999999999999</v>
      </c>
      <c r="BM63" t="s">
        <v>23</v>
      </c>
      <c r="BN63">
        <v>10.9125</v>
      </c>
      <c r="BO63">
        <v>7.3455000000000004</v>
      </c>
      <c r="BP63">
        <v>18.03</v>
      </c>
      <c r="BQ63">
        <v>12365.236000000001</v>
      </c>
      <c r="CE63" s="1">
        <f t="shared" si="3"/>
        <v>44050</v>
      </c>
      <c r="CF63" s="35">
        <f t="shared" si="2"/>
        <v>3.0037425898667043</v>
      </c>
      <c r="CG63" s="36">
        <f t="shared" si="0"/>
        <v>-0.8580864877811325</v>
      </c>
      <c r="CH63">
        <f t="shared" ca="1" si="4"/>
        <v>-0.89005947515614481</v>
      </c>
      <c r="CI63">
        <f t="shared" ca="1" si="5"/>
        <v>-0.98768089520142122</v>
      </c>
      <c r="CJ63">
        <f t="shared" ca="1" si="6"/>
        <v>-1.0648472954437058</v>
      </c>
      <c r="CK63">
        <f t="shared" ca="1" si="7"/>
        <v>-1.1288192205059286</v>
      </c>
      <c r="CL63">
        <f t="shared" ca="1" si="8"/>
        <v>-1.2752146981256607</v>
      </c>
    </row>
    <row r="64" spans="1:90" x14ac:dyDescent="0.25">
      <c r="A64" s="43">
        <v>44057</v>
      </c>
      <c r="B64" s="5">
        <v>1.4220999999999999</v>
      </c>
      <c r="C64">
        <v>34.6372</v>
      </c>
      <c r="D64">
        <v>1.6411</v>
      </c>
      <c r="E64">
        <v>38.379199999999997</v>
      </c>
      <c r="F64">
        <v>0.57509999999999994</v>
      </c>
      <c r="G64">
        <v>44.554000000000002</v>
      </c>
      <c r="H64">
        <v>120.07210000000001</v>
      </c>
      <c r="I64">
        <v>106.98260000000001</v>
      </c>
      <c r="J64">
        <v>28.396999999999998</v>
      </c>
      <c r="K64">
        <v>52536.5723</v>
      </c>
      <c r="M64" s="43">
        <v>44057</v>
      </c>
      <c r="N64" s="5">
        <v>3.8</v>
      </c>
      <c r="O64">
        <v>26.104600000000001</v>
      </c>
      <c r="P64">
        <v>1.1527000000000001</v>
      </c>
      <c r="Q64">
        <v>38.769799999999996</v>
      </c>
      <c r="R64">
        <v>0.62819999999999998</v>
      </c>
      <c r="S64">
        <v>195.11080000000001</v>
      </c>
      <c r="T64">
        <v>49.403300000000002</v>
      </c>
      <c r="U64">
        <v>39.525100000000002</v>
      </c>
      <c r="V64">
        <v>129.14599999999999</v>
      </c>
      <c r="W64">
        <v>106978.7899</v>
      </c>
      <c r="Y64" s="5">
        <v>1.0998000000000001</v>
      </c>
      <c r="Z64">
        <v>13.4411</v>
      </c>
      <c r="AA64">
        <v>0.55200000000000005</v>
      </c>
      <c r="AB64">
        <v>12.5435</v>
      </c>
      <c r="AC64">
        <v>4.0399999999999998E-2</v>
      </c>
      <c r="AD64">
        <v>0</v>
      </c>
      <c r="AE64">
        <v>66.428600000000003</v>
      </c>
      <c r="AF64">
        <v>34.860100000000003</v>
      </c>
      <c r="AG64">
        <v>35.57</v>
      </c>
      <c r="AH64">
        <v>20145.298299999999</v>
      </c>
      <c r="AK64">
        <v>1.0451999999999999</v>
      </c>
      <c r="AL64">
        <v>29.098800000000001</v>
      </c>
      <c r="AM64">
        <v>1.4119999999999999</v>
      </c>
      <c r="AN64">
        <v>23.510200000000001</v>
      </c>
      <c r="AO64">
        <v>8.9200000000000002E-2</v>
      </c>
      <c r="AP64" t="s">
        <v>23</v>
      </c>
      <c r="AQ64">
        <v>59.082700000000003</v>
      </c>
      <c r="AR64">
        <v>49.631900000000002</v>
      </c>
      <c r="AS64">
        <v>19.670000000000002</v>
      </c>
      <c r="AT64">
        <v>11917.257799999999</v>
      </c>
      <c r="AV64">
        <v>2.8090000000000002</v>
      </c>
      <c r="AW64">
        <v>-0.5645</v>
      </c>
      <c r="AX64">
        <v>8.0100000000000005E-2</v>
      </c>
      <c r="AY64">
        <v>14.200900000000001</v>
      </c>
      <c r="AZ64">
        <v>0.52070000000000005</v>
      </c>
      <c r="BA64" t="s">
        <v>23</v>
      </c>
      <c r="BB64">
        <v>9.5728000000000009</v>
      </c>
      <c r="BC64">
        <v>3.1606000000000001</v>
      </c>
      <c r="BD64">
        <v>25</v>
      </c>
      <c r="BE64">
        <v>22661.377499999999</v>
      </c>
      <c r="BH64" s="5">
        <v>2.7012</v>
      </c>
      <c r="BI64">
        <v>-309.57159999999999</v>
      </c>
      <c r="BJ64">
        <v>0.65039999999999998</v>
      </c>
      <c r="BK64">
        <v>45.183</v>
      </c>
      <c r="BL64">
        <v>1.2363999999999999</v>
      </c>
      <c r="BM64" t="s">
        <v>23</v>
      </c>
      <c r="BN64">
        <v>10.9125</v>
      </c>
      <c r="BO64">
        <v>7.3455000000000004</v>
      </c>
      <c r="BP64">
        <v>18.074999999999999</v>
      </c>
      <c r="BQ64">
        <v>12396.5404</v>
      </c>
      <c r="CE64" s="1">
        <f t="shared" si="3"/>
        <v>44057</v>
      </c>
      <c r="CF64" s="35">
        <f t="shared" si="2"/>
        <v>2.7047122494598232</v>
      </c>
      <c r="CG64" s="36">
        <f t="shared" si="0"/>
        <v>-0.99890307516760735</v>
      </c>
      <c r="CH64">
        <f t="shared" ca="1" si="4"/>
        <v>-0.89005947515614481</v>
      </c>
      <c r="CI64">
        <f t="shared" ca="1" si="5"/>
        <v>-0.98768089520142122</v>
      </c>
      <c r="CJ64">
        <f t="shared" ca="1" si="6"/>
        <v>-1.0648472954437058</v>
      </c>
      <c r="CK64">
        <f t="shared" ca="1" si="7"/>
        <v>-1.1288192205059286</v>
      </c>
      <c r="CL64">
        <f t="shared" ca="1" si="8"/>
        <v>-1.2752146981256607</v>
      </c>
    </row>
    <row r="65" spans="1:90" x14ac:dyDescent="0.25">
      <c r="A65" s="43">
        <v>44064</v>
      </c>
      <c r="B65" s="5">
        <v>1.3551</v>
      </c>
      <c r="C65">
        <v>34.6372</v>
      </c>
      <c r="D65">
        <v>1.6411</v>
      </c>
      <c r="E65">
        <v>38.379199999999997</v>
      </c>
      <c r="F65">
        <v>0.57509999999999994</v>
      </c>
      <c r="G65">
        <v>44.554000000000002</v>
      </c>
      <c r="H65">
        <v>120.07210000000001</v>
      </c>
      <c r="I65">
        <v>106.98260000000001</v>
      </c>
      <c r="J65">
        <v>26.146000000000001</v>
      </c>
      <c r="K65">
        <v>48373.011100000003</v>
      </c>
      <c r="M65" s="43">
        <v>44064</v>
      </c>
      <c r="N65" s="5">
        <v>3.7058</v>
      </c>
      <c r="O65">
        <v>26.104600000000001</v>
      </c>
      <c r="P65">
        <v>1.1527000000000001</v>
      </c>
      <c r="Q65">
        <v>38.769799999999996</v>
      </c>
      <c r="R65">
        <v>0.62819999999999998</v>
      </c>
      <c r="S65">
        <v>195.11080000000001</v>
      </c>
      <c r="T65">
        <v>49.403300000000002</v>
      </c>
      <c r="U65">
        <v>39.525100000000002</v>
      </c>
      <c r="V65">
        <v>125.31</v>
      </c>
      <c r="W65">
        <v>103800.80869999999</v>
      </c>
      <c r="Y65" s="5">
        <v>1.0837000000000001</v>
      </c>
      <c r="Z65">
        <v>13.4411</v>
      </c>
      <c r="AA65">
        <v>0.55200000000000005</v>
      </c>
      <c r="AB65">
        <v>12.5435</v>
      </c>
      <c r="AC65">
        <v>4.0399999999999998E-2</v>
      </c>
      <c r="AD65">
        <v>0</v>
      </c>
      <c r="AE65">
        <v>66.428600000000003</v>
      </c>
      <c r="AF65">
        <v>34.860100000000003</v>
      </c>
      <c r="AG65">
        <v>35.027000000000001</v>
      </c>
      <c r="AH65">
        <v>19837.736499999999</v>
      </c>
      <c r="AK65">
        <v>1.0434000000000001</v>
      </c>
      <c r="AL65">
        <v>29.098800000000001</v>
      </c>
      <c r="AM65">
        <v>1.4119999999999999</v>
      </c>
      <c r="AN65">
        <v>23.510200000000001</v>
      </c>
      <c r="AO65">
        <v>8.9200000000000002E-2</v>
      </c>
      <c r="AP65" t="s">
        <v>23</v>
      </c>
      <c r="AQ65">
        <v>59.082700000000003</v>
      </c>
      <c r="AR65">
        <v>49.631900000000002</v>
      </c>
      <c r="AS65">
        <v>19.634</v>
      </c>
      <c r="AT65">
        <v>11895.024100000001</v>
      </c>
      <c r="AV65">
        <v>2.722</v>
      </c>
      <c r="AW65">
        <v>-0.5645</v>
      </c>
      <c r="AX65">
        <v>8.0100000000000005E-2</v>
      </c>
      <c r="AY65">
        <v>14.200900000000001</v>
      </c>
      <c r="AZ65">
        <v>0.52070000000000005</v>
      </c>
      <c r="BA65" t="s">
        <v>23</v>
      </c>
      <c r="BB65">
        <v>9.5728000000000009</v>
      </c>
      <c r="BC65">
        <v>3.1606000000000001</v>
      </c>
      <c r="BD65">
        <v>24.05</v>
      </c>
      <c r="BE65">
        <v>21800.245200000001</v>
      </c>
      <c r="BH65" s="5">
        <v>2.6349</v>
      </c>
      <c r="BI65">
        <v>-309.57159999999999</v>
      </c>
      <c r="BJ65">
        <v>0.65039999999999998</v>
      </c>
      <c r="BK65">
        <v>45.183</v>
      </c>
      <c r="BL65">
        <v>1.2363999999999999</v>
      </c>
      <c r="BM65" t="s">
        <v>23</v>
      </c>
      <c r="BN65">
        <v>10.9125</v>
      </c>
      <c r="BO65">
        <v>7.3455000000000004</v>
      </c>
      <c r="BP65">
        <v>17.254000000000001</v>
      </c>
      <c r="BQ65">
        <v>11833.061299999999</v>
      </c>
      <c r="CE65" s="1">
        <f t="shared" si="3"/>
        <v>44064</v>
      </c>
      <c r="CF65" s="35">
        <f t="shared" si="2"/>
        <v>2.6415566186764896</v>
      </c>
      <c r="CG65" s="36">
        <f t="shared" si="0"/>
        <v>-1.028643737566775</v>
      </c>
      <c r="CH65">
        <f t="shared" ca="1" si="4"/>
        <v>-0.89005947515614481</v>
      </c>
      <c r="CI65">
        <f t="shared" ca="1" si="5"/>
        <v>-0.99753899992801265</v>
      </c>
      <c r="CJ65">
        <f t="shared" ca="1" si="6"/>
        <v>-1.0648472954437058</v>
      </c>
      <c r="CK65">
        <f t="shared" ca="1" si="7"/>
        <v>-1.1288192205059286</v>
      </c>
      <c r="CL65">
        <f t="shared" ca="1" si="8"/>
        <v>-1.2752146981256607</v>
      </c>
    </row>
    <row r="66" spans="1:90" x14ac:dyDescent="0.25">
      <c r="A66" s="43">
        <v>44071</v>
      </c>
      <c r="B66" s="5">
        <v>1.3794999999999999</v>
      </c>
      <c r="C66">
        <v>34.6372</v>
      </c>
      <c r="D66">
        <v>1.6411</v>
      </c>
      <c r="E66">
        <v>38.379199999999997</v>
      </c>
      <c r="F66">
        <v>0.57509999999999994</v>
      </c>
      <c r="G66">
        <v>44.554000000000002</v>
      </c>
      <c r="H66">
        <v>120.07210000000001</v>
      </c>
      <c r="I66">
        <v>106.98260000000001</v>
      </c>
      <c r="J66">
        <v>26.965</v>
      </c>
      <c r="K66">
        <v>49887.033300000003</v>
      </c>
      <c r="M66" s="43">
        <v>44071</v>
      </c>
      <c r="N66" s="5">
        <v>3.4761000000000002</v>
      </c>
      <c r="O66">
        <v>26.104600000000001</v>
      </c>
      <c r="P66">
        <v>1.1527000000000001</v>
      </c>
      <c r="Q66">
        <v>38.769799999999996</v>
      </c>
      <c r="R66">
        <v>0.62819999999999998</v>
      </c>
      <c r="S66">
        <v>195.11080000000001</v>
      </c>
      <c r="T66">
        <v>49.403300000000002</v>
      </c>
      <c r="U66">
        <v>39.525100000000002</v>
      </c>
      <c r="V66">
        <v>115.958</v>
      </c>
      <c r="W66">
        <v>96054.479699999996</v>
      </c>
      <c r="Y66" s="5">
        <v>1.0294000000000001</v>
      </c>
      <c r="Z66">
        <v>13.4411</v>
      </c>
      <c r="AA66">
        <v>0.55200000000000005</v>
      </c>
      <c r="AB66">
        <v>12.5435</v>
      </c>
      <c r="AC66">
        <v>4.0399999999999998E-2</v>
      </c>
      <c r="AD66">
        <v>0</v>
      </c>
      <c r="AE66">
        <v>66.428600000000003</v>
      </c>
      <c r="AF66">
        <v>34.860100000000003</v>
      </c>
      <c r="AG66">
        <v>33.204000000000001</v>
      </c>
      <c r="AH66">
        <v>18805.207600000002</v>
      </c>
      <c r="AK66">
        <v>0.95779999999999998</v>
      </c>
      <c r="AL66">
        <v>29.098800000000001</v>
      </c>
      <c r="AM66">
        <v>1.4119999999999999</v>
      </c>
      <c r="AN66">
        <v>23.510200000000001</v>
      </c>
      <c r="AO66">
        <v>8.9200000000000002E-2</v>
      </c>
      <c r="AP66" t="s">
        <v>23</v>
      </c>
      <c r="AQ66">
        <v>59.082700000000003</v>
      </c>
      <c r="AR66">
        <v>49.631900000000002</v>
      </c>
      <c r="AS66">
        <v>17.872</v>
      </c>
      <c r="AT66">
        <v>10827.807000000001</v>
      </c>
      <c r="AV66">
        <v>2.6168</v>
      </c>
      <c r="AW66">
        <v>-0.5645</v>
      </c>
      <c r="AX66">
        <v>8.0100000000000005E-2</v>
      </c>
      <c r="AY66">
        <v>14.200900000000001</v>
      </c>
      <c r="AZ66">
        <v>0.52070000000000005</v>
      </c>
      <c r="BA66" t="s">
        <v>23</v>
      </c>
      <c r="BB66">
        <v>9.5728000000000009</v>
      </c>
      <c r="BC66">
        <v>3.1606000000000001</v>
      </c>
      <c r="BD66">
        <v>22.9</v>
      </c>
      <c r="BE66">
        <v>20757.821800000002</v>
      </c>
      <c r="BH66" s="5">
        <v>2.5979999999999999</v>
      </c>
      <c r="BI66">
        <v>-309.57159999999999</v>
      </c>
      <c r="BJ66">
        <v>0.65039999999999998</v>
      </c>
      <c r="BK66">
        <v>45.183</v>
      </c>
      <c r="BL66">
        <v>1.2363999999999999</v>
      </c>
      <c r="BM66" t="s">
        <v>23</v>
      </c>
      <c r="BN66">
        <v>10.9125</v>
      </c>
      <c r="BO66">
        <v>7.3455000000000004</v>
      </c>
      <c r="BP66">
        <v>16.797000000000001</v>
      </c>
      <c r="BQ66">
        <v>11520.017400000001</v>
      </c>
      <c r="CE66" s="1">
        <f t="shared" si="3"/>
        <v>44071</v>
      </c>
      <c r="CF66" s="35">
        <f t="shared" si="2"/>
        <v>2.4858565472057927</v>
      </c>
      <c r="CG66" s="36">
        <f t="shared" si="0"/>
        <v>-1.1019645674548089</v>
      </c>
      <c r="CH66">
        <f t="shared" ca="1" si="4"/>
        <v>-0.89005947515614481</v>
      </c>
      <c r="CI66">
        <f t="shared" ca="1" si="5"/>
        <v>-0.99753899992801265</v>
      </c>
      <c r="CJ66">
        <f t="shared" ca="1" si="6"/>
        <v>-1.0613924772140209</v>
      </c>
      <c r="CK66">
        <f t="shared" ca="1" si="7"/>
        <v>-1.1288192205059286</v>
      </c>
      <c r="CL66">
        <f t="shared" ca="1" si="8"/>
        <v>-1.2752146981256607</v>
      </c>
    </row>
    <row r="67" spans="1:90" x14ac:dyDescent="0.25">
      <c r="A67" s="43">
        <v>44078</v>
      </c>
      <c r="B67" s="5">
        <v>1.3088</v>
      </c>
      <c r="C67">
        <v>34.6372</v>
      </c>
      <c r="D67">
        <v>1.6411</v>
      </c>
      <c r="E67">
        <v>38.379199999999997</v>
      </c>
      <c r="F67">
        <v>0.57509999999999994</v>
      </c>
      <c r="G67">
        <v>44.554000000000002</v>
      </c>
      <c r="H67">
        <v>120.07210000000001</v>
      </c>
      <c r="I67">
        <v>106.98260000000001</v>
      </c>
      <c r="J67">
        <v>24.591000000000001</v>
      </c>
      <c r="K67">
        <v>45496.368799999997</v>
      </c>
      <c r="M67" s="43">
        <v>44078</v>
      </c>
      <c r="N67" s="5">
        <v>3.4878999999999998</v>
      </c>
      <c r="O67">
        <v>26.104600000000001</v>
      </c>
      <c r="P67">
        <v>1.1527000000000001</v>
      </c>
      <c r="Q67">
        <v>38.769799999999996</v>
      </c>
      <c r="R67">
        <v>0.62819999999999998</v>
      </c>
      <c r="S67">
        <v>195.11080000000001</v>
      </c>
      <c r="T67">
        <v>49.403300000000002</v>
      </c>
      <c r="U67">
        <v>39.525100000000002</v>
      </c>
      <c r="V67">
        <v>116.438</v>
      </c>
      <c r="W67">
        <v>96451.727400000003</v>
      </c>
      <c r="Y67" s="5">
        <v>1.0132000000000001</v>
      </c>
      <c r="Z67">
        <v>13.4411</v>
      </c>
      <c r="AA67">
        <v>0.55200000000000005</v>
      </c>
      <c r="AB67">
        <v>12.5435</v>
      </c>
      <c r="AC67">
        <v>4.0399999999999998E-2</v>
      </c>
      <c r="AD67">
        <v>0</v>
      </c>
      <c r="AE67">
        <v>66.428600000000003</v>
      </c>
      <c r="AF67">
        <v>34.860100000000003</v>
      </c>
      <c r="AG67">
        <v>32.661000000000001</v>
      </c>
      <c r="AH67">
        <v>18497.645799999998</v>
      </c>
      <c r="AK67">
        <v>0.92390000000000005</v>
      </c>
      <c r="AL67">
        <v>29.098800000000001</v>
      </c>
      <c r="AM67">
        <v>1.4119999999999999</v>
      </c>
      <c r="AN67">
        <v>23.510200000000001</v>
      </c>
      <c r="AO67">
        <v>8.9200000000000002E-2</v>
      </c>
      <c r="AP67" t="s">
        <v>23</v>
      </c>
      <c r="AQ67">
        <v>59.082700000000003</v>
      </c>
      <c r="AR67">
        <v>49.631900000000002</v>
      </c>
      <c r="AS67">
        <v>17.175000000000001</v>
      </c>
      <c r="AT67">
        <v>10405.366900000001</v>
      </c>
      <c r="AV67">
        <v>2.4931999999999999</v>
      </c>
      <c r="AW67">
        <v>-0.5645</v>
      </c>
      <c r="AX67">
        <v>8.0100000000000005E-2</v>
      </c>
      <c r="AY67">
        <v>14.200900000000001</v>
      </c>
      <c r="AZ67">
        <v>0.52070000000000005</v>
      </c>
      <c r="BA67" t="s">
        <v>23</v>
      </c>
      <c r="BB67">
        <v>9.5728000000000009</v>
      </c>
      <c r="BC67">
        <v>3.1606000000000001</v>
      </c>
      <c r="BD67">
        <v>21.55</v>
      </c>
      <c r="BE67">
        <v>19534.107400000001</v>
      </c>
      <c r="BH67" s="5">
        <v>2.5722</v>
      </c>
      <c r="BI67">
        <v>-309.57159999999999</v>
      </c>
      <c r="BJ67">
        <v>0.65039999999999998</v>
      </c>
      <c r="BK67">
        <v>45.183</v>
      </c>
      <c r="BL67">
        <v>1.2363999999999999</v>
      </c>
      <c r="BM67" t="s">
        <v>23</v>
      </c>
      <c r="BN67">
        <v>10.9125</v>
      </c>
      <c r="BO67">
        <v>7.3455000000000004</v>
      </c>
      <c r="BP67">
        <v>16.478000000000002</v>
      </c>
      <c r="BQ67">
        <v>11300.8866</v>
      </c>
      <c r="CE67" s="1">
        <f t="shared" si="3"/>
        <v>44078</v>
      </c>
      <c r="CF67" s="35">
        <f t="shared" si="2"/>
        <v>2.4894404252459283</v>
      </c>
      <c r="CG67" s="36">
        <f t="shared" si="0"/>
        <v>-1.1002768809326502</v>
      </c>
      <c r="CH67">
        <f t="shared" ca="1" si="4"/>
        <v>-0.89005947515614481</v>
      </c>
      <c r="CI67">
        <f t="shared" ca="1" si="5"/>
        <v>-0.99753899992801265</v>
      </c>
      <c r="CJ67">
        <f t="shared" ca="1" si="6"/>
        <v>-1.0613924772140209</v>
      </c>
      <c r="CK67">
        <f t="shared" ca="1" si="7"/>
        <v>-1.1288192205059286</v>
      </c>
      <c r="CL67">
        <f t="shared" ca="1" si="8"/>
        <v>-1.2752146981256607</v>
      </c>
    </row>
    <row r="68" spans="1:90" x14ac:dyDescent="0.25">
      <c r="A68" s="43">
        <v>44085</v>
      </c>
      <c r="B68" s="5">
        <v>1.3149</v>
      </c>
      <c r="C68">
        <v>34.6372</v>
      </c>
      <c r="D68">
        <v>1.6411</v>
      </c>
      <c r="E68">
        <v>38.379199999999997</v>
      </c>
      <c r="F68">
        <v>0.57509999999999994</v>
      </c>
      <c r="G68">
        <v>44.554000000000002</v>
      </c>
      <c r="H68">
        <v>120.07210000000001</v>
      </c>
      <c r="I68">
        <v>106.98260000000001</v>
      </c>
      <c r="J68">
        <v>24.795999999999999</v>
      </c>
      <c r="K68">
        <v>45874.874400000001</v>
      </c>
      <c r="M68" s="43">
        <v>44085</v>
      </c>
      <c r="N68" s="5">
        <v>3.4714</v>
      </c>
      <c r="O68">
        <v>26.104600000000001</v>
      </c>
      <c r="P68">
        <v>1.1527000000000001</v>
      </c>
      <c r="Q68">
        <v>38.769799999999996</v>
      </c>
      <c r="R68">
        <v>0.62819999999999998</v>
      </c>
      <c r="S68">
        <v>195.11080000000001</v>
      </c>
      <c r="T68">
        <v>49.403300000000002</v>
      </c>
      <c r="U68">
        <v>39.525100000000002</v>
      </c>
      <c r="V68">
        <v>115.76600000000001</v>
      </c>
      <c r="W68">
        <v>95895.580700000006</v>
      </c>
      <c r="Y68" s="5">
        <v>1.0074000000000001</v>
      </c>
      <c r="Z68">
        <v>13.4411</v>
      </c>
      <c r="AA68">
        <v>0.55200000000000005</v>
      </c>
      <c r="AB68">
        <v>12.5435</v>
      </c>
      <c r="AC68">
        <v>4.0399999999999998E-2</v>
      </c>
      <c r="AD68">
        <v>0</v>
      </c>
      <c r="AE68">
        <v>66.428600000000003</v>
      </c>
      <c r="AF68">
        <v>34.860100000000003</v>
      </c>
      <c r="AG68">
        <v>32.466999999999999</v>
      </c>
      <c r="AH68">
        <v>18387.802299999999</v>
      </c>
      <c r="AK68">
        <v>0.98809999999999998</v>
      </c>
      <c r="AL68">
        <v>29.098800000000001</v>
      </c>
      <c r="AM68">
        <v>1.4119999999999999</v>
      </c>
      <c r="AN68">
        <v>23.510200000000001</v>
      </c>
      <c r="AO68">
        <v>8.9200000000000002E-2</v>
      </c>
      <c r="AP68" t="s">
        <v>23</v>
      </c>
      <c r="AQ68">
        <v>59.082700000000003</v>
      </c>
      <c r="AR68">
        <v>49.631900000000002</v>
      </c>
      <c r="AS68">
        <v>18.495999999999999</v>
      </c>
      <c r="AT68">
        <v>11205.779699999999</v>
      </c>
      <c r="AV68">
        <v>2.5251999999999999</v>
      </c>
      <c r="AW68">
        <v>-0.5645</v>
      </c>
      <c r="AX68">
        <v>8.0100000000000005E-2</v>
      </c>
      <c r="AY68">
        <v>14.200900000000001</v>
      </c>
      <c r="AZ68">
        <v>0.52070000000000005</v>
      </c>
      <c r="BA68" t="s">
        <v>23</v>
      </c>
      <c r="BB68">
        <v>9.5728000000000009</v>
      </c>
      <c r="BC68">
        <v>3.1606000000000001</v>
      </c>
      <c r="BD68">
        <v>21.9</v>
      </c>
      <c r="BE68">
        <v>19851.366699999999</v>
      </c>
      <c r="BH68" s="5">
        <v>2.5427</v>
      </c>
      <c r="BI68">
        <v>-309.57159999999999</v>
      </c>
      <c r="BJ68">
        <v>0.65039999999999998</v>
      </c>
      <c r="BK68">
        <v>45.183</v>
      </c>
      <c r="BL68">
        <v>1.2363999999999999</v>
      </c>
      <c r="BM68" t="s">
        <v>23</v>
      </c>
      <c r="BN68">
        <v>10.9125</v>
      </c>
      <c r="BO68">
        <v>7.3455000000000004</v>
      </c>
      <c r="BP68">
        <v>16.113</v>
      </c>
      <c r="BQ68">
        <v>11050.4514</v>
      </c>
      <c r="CE68" s="1">
        <f t="shared" si="3"/>
        <v>44085</v>
      </c>
      <c r="CF68" s="35">
        <f t="shared" si="2"/>
        <v>2.4771148230596167</v>
      </c>
      <c r="CG68" s="36">
        <f t="shared" si="0"/>
        <v>-1.1060811389052627</v>
      </c>
      <c r="CH68">
        <f t="shared" ca="1" si="4"/>
        <v>-0.89005947515614481</v>
      </c>
      <c r="CI68">
        <f t="shared" ca="1" si="5"/>
        <v>-0.99753899992801265</v>
      </c>
      <c r="CJ68">
        <f t="shared" ca="1" si="6"/>
        <v>-1.0648472954437058</v>
      </c>
      <c r="CK68">
        <f t="shared" ca="1" si="7"/>
        <v>-1.1288192205059286</v>
      </c>
      <c r="CL68">
        <f t="shared" ca="1" si="8"/>
        <v>-1.2752146981256607</v>
      </c>
    </row>
    <row r="69" spans="1:90" x14ac:dyDescent="0.25">
      <c r="A69" s="43">
        <v>44092</v>
      </c>
      <c r="B69" s="5">
        <v>1.26</v>
      </c>
      <c r="C69">
        <v>34.6372</v>
      </c>
      <c r="D69">
        <v>1.6411</v>
      </c>
      <c r="E69">
        <v>38.379199999999997</v>
      </c>
      <c r="F69">
        <v>0.57509999999999994</v>
      </c>
      <c r="G69">
        <v>44.554000000000002</v>
      </c>
      <c r="H69">
        <v>120.07210000000001</v>
      </c>
      <c r="I69">
        <v>106.98260000000001</v>
      </c>
      <c r="J69">
        <v>22.954999999999998</v>
      </c>
      <c r="K69">
        <v>42468.3243</v>
      </c>
      <c r="M69" s="43">
        <v>44092</v>
      </c>
      <c r="N69" s="5">
        <v>3.2877000000000001</v>
      </c>
      <c r="O69">
        <v>26.104600000000001</v>
      </c>
      <c r="P69">
        <v>1.1527000000000001</v>
      </c>
      <c r="Q69">
        <v>38.769799999999996</v>
      </c>
      <c r="R69">
        <v>0.62819999999999998</v>
      </c>
      <c r="S69">
        <v>195.11080000000001</v>
      </c>
      <c r="T69">
        <v>49.403300000000002</v>
      </c>
      <c r="U69">
        <v>39.525100000000002</v>
      </c>
      <c r="V69">
        <v>108.285</v>
      </c>
      <c r="W69">
        <v>89698.517500000002</v>
      </c>
      <c r="Y69" s="5">
        <v>0.85029999999999994</v>
      </c>
      <c r="Z69">
        <v>13.4411</v>
      </c>
      <c r="AA69">
        <v>0.55200000000000005</v>
      </c>
      <c r="AB69">
        <v>12.5435</v>
      </c>
      <c r="AC69">
        <v>4.0399999999999998E-2</v>
      </c>
      <c r="AD69">
        <v>0</v>
      </c>
      <c r="AE69">
        <v>66.428600000000003</v>
      </c>
      <c r="AF69">
        <v>34.860100000000003</v>
      </c>
      <c r="AG69">
        <v>27.190999999999999</v>
      </c>
      <c r="AH69">
        <v>15400.058999999999</v>
      </c>
      <c r="AK69">
        <v>0.90600000000000003</v>
      </c>
      <c r="AL69">
        <v>29.098800000000001</v>
      </c>
      <c r="AM69">
        <v>1.4119999999999999</v>
      </c>
      <c r="AN69">
        <v>23.510200000000001</v>
      </c>
      <c r="AO69">
        <v>8.9200000000000002E-2</v>
      </c>
      <c r="AP69" t="s">
        <v>23</v>
      </c>
      <c r="AQ69">
        <v>59.082700000000003</v>
      </c>
      <c r="AR69">
        <v>49.631900000000002</v>
      </c>
      <c r="AS69">
        <v>16.808</v>
      </c>
      <c r="AT69">
        <v>10183.030000000001</v>
      </c>
      <c r="AV69">
        <v>2.4428999999999998</v>
      </c>
      <c r="AW69">
        <v>-0.5645</v>
      </c>
      <c r="AX69">
        <v>8.0100000000000005E-2</v>
      </c>
      <c r="AY69">
        <v>14.200900000000001</v>
      </c>
      <c r="AZ69">
        <v>0.52070000000000005</v>
      </c>
      <c r="BA69" t="s">
        <v>23</v>
      </c>
      <c r="BB69">
        <v>9.5728000000000009</v>
      </c>
      <c r="BC69">
        <v>3.1606000000000001</v>
      </c>
      <c r="BD69">
        <v>21</v>
      </c>
      <c r="BE69">
        <v>19035.557100000002</v>
      </c>
      <c r="BH69" s="5">
        <v>2.4763000000000002</v>
      </c>
      <c r="BI69">
        <v>-309.57159999999999</v>
      </c>
      <c r="BJ69">
        <v>0.65039999999999998</v>
      </c>
      <c r="BK69">
        <v>45.183</v>
      </c>
      <c r="BL69">
        <v>1.2363999999999999</v>
      </c>
      <c r="BM69" t="s">
        <v>23</v>
      </c>
      <c r="BN69">
        <v>10.9125</v>
      </c>
      <c r="BO69">
        <v>7.3455000000000004</v>
      </c>
      <c r="BP69">
        <v>15.291</v>
      </c>
      <c r="BQ69">
        <v>10486.972299999999</v>
      </c>
      <c r="CE69" s="1">
        <f t="shared" si="3"/>
        <v>44092</v>
      </c>
      <c r="CF69" s="35">
        <f t="shared" si="2"/>
        <v>2.3666226813232734</v>
      </c>
      <c r="CG69" s="36">
        <f t="shared" si="0"/>
        <v>-1.1581130708863578</v>
      </c>
      <c r="CH69">
        <f t="shared" ca="1" si="4"/>
        <v>-0.89005947515614481</v>
      </c>
      <c r="CI69">
        <f t="shared" ca="1" si="5"/>
        <v>-0.9990769395281488</v>
      </c>
      <c r="CJ69">
        <f t="shared" ca="1" si="6"/>
        <v>-1.0679141797955685</v>
      </c>
      <c r="CK69">
        <f t="shared" ca="1" si="7"/>
        <v>-1.1288192205059286</v>
      </c>
      <c r="CL69">
        <f t="shared" ca="1" si="8"/>
        <v>-1.2752146981256607</v>
      </c>
    </row>
    <row r="70" spans="1:90" x14ac:dyDescent="0.25">
      <c r="A70" s="43">
        <v>44099</v>
      </c>
      <c r="B70" s="5">
        <v>1.3283</v>
      </c>
      <c r="C70">
        <v>34.6372</v>
      </c>
      <c r="D70">
        <v>1.6411</v>
      </c>
      <c r="E70">
        <v>38.379199999999997</v>
      </c>
      <c r="F70">
        <v>0.57509999999999994</v>
      </c>
      <c r="G70">
        <v>44.554000000000002</v>
      </c>
      <c r="H70">
        <v>120.07210000000001</v>
      </c>
      <c r="I70">
        <v>106.98260000000001</v>
      </c>
      <c r="J70">
        <v>25.245999999999999</v>
      </c>
      <c r="K70">
        <v>46707.586600000002</v>
      </c>
      <c r="M70" s="43">
        <v>44099</v>
      </c>
      <c r="N70" s="5">
        <v>3.4243000000000001</v>
      </c>
      <c r="O70">
        <v>26.104600000000001</v>
      </c>
      <c r="P70">
        <v>1.1527000000000001</v>
      </c>
      <c r="Q70">
        <v>38.769799999999996</v>
      </c>
      <c r="R70">
        <v>0.62819999999999998</v>
      </c>
      <c r="S70">
        <v>195.11080000000001</v>
      </c>
      <c r="T70">
        <v>49.403300000000002</v>
      </c>
      <c r="U70">
        <v>39.525100000000002</v>
      </c>
      <c r="V70">
        <v>113.848</v>
      </c>
      <c r="W70">
        <v>94306.590100000001</v>
      </c>
      <c r="Y70" s="5">
        <v>0.92310000000000003</v>
      </c>
      <c r="Z70">
        <v>13.4411</v>
      </c>
      <c r="AA70">
        <v>0.55200000000000005</v>
      </c>
      <c r="AB70">
        <v>12.5435</v>
      </c>
      <c r="AC70">
        <v>4.0399999999999998E-2</v>
      </c>
      <c r="AD70">
        <v>0</v>
      </c>
      <c r="AE70">
        <v>66.428600000000003</v>
      </c>
      <c r="AF70">
        <v>34.860100000000003</v>
      </c>
      <c r="AG70">
        <v>29.635000000000002</v>
      </c>
      <c r="AH70">
        <v>16784.087100000001</v>
      </c>
      <c r="AK70">
        <v>0.97560000000000002</v>
      </c>
      <c r="AL70">
        <v>29.098800000000001</v>
      </c>
      <c r="AM70">
        <v>1.4119999999999999</v>
      </c>
      <c r="AN70">
        <v>23.510200000000001</v>
      </c>
      <c r="AO70">
        <v>8.9200000000000002E-2</v>
      </c>
      <c r="AP70" t="s">
        <v>23</v>
      </c>
      <c r="AQ70">
        <v>59.082700000000003</v>
      </c>
      <c r="AR70">
        <v>49.631900000000002</v>
      </c>
      <c r="AS70">
        <v>18.239000000000001</v>
      </c>
      <c r="AT70">
        <v>11050.143899999999</v>
      </c>
      <c r="AV70">
        <v>2.5802</v>
      </c>
      <c r="AW70">
        <v>-0.5645</v>
      </c>
      <c r="AX70">
        <v>8.0100000000000005E-2</v>
      </c>
      <c r="AY70">
        <v>14.200900000000001</v>
      </c>
      <c r="AZ70">
        <v>0.52070000000000005</v>
      </c>
      <c r="BA70" t="s">
        <v>23</v>
      </c>
      <c r="BB70">
        <v>9.5728000000000009</v>
      </c>
      <c r="BC70">
        <v>3.1606000000000001</v>
      </c>
      <c r="BD70">
        <v>22.5</v>
      </c>
      <c r="BE70">
        <v>20395.239799999999</v>
      </c>
      <c r="BH70" s="5">
        <v>2.5463</v>
      </c>
      <c r="BI70">
        <v>-309.57159999999999</v>
      </c>
      <c r="BJ70">
        <v>0.65039999999999998</v>
      </c>
      <c r="BK70">
        <v>45.183</v>
      </c>
      <c r="BL70">
        <v>1.2363999999999999</v>
      </c>
      <c r="BM70" t="s">
        <v>23</v>
      </c>
      <c r="BN70">
        <v>10.9125</v>
      </c>
      <c r="BO70">
        <v>7.3455000000000004</v>
      </c>
      <c r="BP70">
        <v>16.158000000000001</v>
      </c>
      <c r="BQ70">
        <v>11081.755800000001</v>
      </c>
      <c r="CE70" s="1">
        <f t="shared" si="3"/>
        <v>44099</v>
      </c>
      <c r="CF70" s="35">
        <f t="shared" si="2"/>
        <v>2.4564579397832165</v>
      </c>
      <c r="CG70" s="36">
        <f t="shared" si="0"/>
        <v>-1.1158086863008394</v>
      </c>
      <c r="CH70">
        <f t="shared" ca="1" si="4"/>
        <v>-0.91021705231680339</v>
      </c>
      <c r="CI70">
        <f t="shared" ca="1" si="5"/>
        <v>-1.0024508242705752</v>
      </c>
      <c r="CJ70">
        <f t="shared" ca="1" si="6"/>
        <v>-1.0710347874970498</v>
      </c>
      <c r="CK70">
        <f t="shared" ca="1" si="7"/>
        <v>-1.1322621492279676</v>
      </c>
      <c r="CL70">
        <f t="shared" ca="1" si="8"/>
        <v>-1.2752146981256607</v>
      </c>
    </row>
    <row r="71" spans="1:90" x14ac:dyDescent="0.25">
      <c r="A71" s="43">
        <v>44106</v>
      </c>
      <c r="B71" s="5">
        <v>1.7126999999999999</v>
      </c>
      <c r="C71">
        <v>22.691199999999998</v>
      </c>
      <c r="D71">
        <v>1.2387999999999999</v>
      </c>
      <c r="E71">
        <v>38.938800000000001</v>
      </c>
      <c r="F71">
        <v>0.73450000000000004</v>
      </c>
      <c r="G71">
        <v>44.554000000000002</v>
      </c>
      <c r="H71">
        <v>89.589500000000001</v>
      </c>
      <c r="I71">
        <v>75.692899999999995</v>
      </c>
      <c r="J71">
        <v>25.983000000000001</v>
      </c>
      <c r="K71">
        <v>48070.206599999998</v>
      </c>
      <c r="M71" s="43">
        <v>44106</v>
      </c>
      <c r="N71" s="5">
        <v>3.2616000000000001</v>
      </c>
      <c r="O71">
        <v>20.652100000000001</v>
      </c>
      <c r="P71">
        <v>1.2417</v>
      </c>
      <c r="Q71">
        <v>39.084099999999999</v>
      </c>
      <c r="R71">
        <v>0.66010000000000002</v>
      </c>
      <c r="S71">
        <v>195.11080000000001</v>
      </c>
      <c r="T71">
        <v>51.430999999999997</v>
      </c>
      <c r="U71">
        <v>40.930300000000003</v>
      </c>
      <c r="V71">
        <v>121.617</v>
      </c>
      <c r="W71">
        <v>100742.0019</v>
      </c>
      <c r="Y71" s="5">
        <v>0.76749999999999996</v>
      </c>
      <c r="Z71">
        <v>12.106400000000001</v>
      </c>
      <c r="AA71">
        <v>0.621</v>
      </c>
      <c r="AB71">
        <v>11.1836</v>
      </c>
      <c r="AC71">
        <v>-7.0300000000000001E-2</v>
      </c>
      <c r="AD71">
        <v>0</v>
      </c>
      <c r="AE71">
        <v>66.471500000000006</v>
      </c>
      <c r="AF71">
        <v>30.319900000000001</v>
      </c>
      <c r="AG71">
        <v>29.945</v>
      </c>
      <c r="AH71">
        <v>16959.8367</v>
      </c>
      <c r="AK71">
        <v>0.92569999999999997</v>
      </c>
      <c r="AL71">
        <v>28.8246</v>
      </c>
      <c r="AM71">
        <v>1.4662999999999999</v>
      </c>
      <c r="AN71">
        <v>22.478200000000001</v>
      </c>
      <c r="AO71">
        <v>1.3299999999999999E-2</v>
      </c>
      <c r="AP71" t="s">
        <v>23</v>
      </c>
      <c r="AQ71">
        <v>57.112200000000001</v>
      </c>
      <c r="AR71">
        <v>46.751300000000001</v>
      </c>
      <c r="AS71">
        <v>19.010000000000002</v>
      </c>
      <c r="AT71">
        <v>11517.0514</v>
      </c>
      <c r="AV71">
        <v>1.6922999999999999</v>
      </c>
      <c r="AW71">
        <v>4.2946999999999997</v>
      </c>
      <c r="AX71">
        <v>-5.4899999999999997E-2</v>
      </c>
      <c r="AY71">
        <v>11.3504</v>
      </c>
      <c r="AZ71">
        <v>5.1999999999999998E-3</v>
      </c>
      <c r="BA71" t="s">
        <v>23</v>
      </c>
      <c r="BB71">
        <v>11.623100000000001</v>
      </c>
      <c r="BC71">
        <v>0.69389999999999996</v>
      </c>
      <c r="BD71">
        <v>23.35</v>
      </c>
      <c r="BE71">
        <v>21165.726600000002</v>
      </c>
      <c r="BH71" s="5">
        <v>2.4700000000000002</v>
      </c>
      <c r="BI71">
        <v>-257.55579999999998</v>
      </c>
      <c r="BJ71">
        <v>0.84379999999999999</v>
      </c>
      <c r="BK71">
        <v>41.732199999999999</v>
      </c>
      <c r="BL71">
        <v>1.1578999999999999</v>
      </c>
      <c r="BM71" t="s">
        <v>23</v>
      </c>
      <c r="BN71">
        <v>10.8072</v>
      </c>
      <c r="BO71">
        <v>7.0823999999999998</v>
      </c>
      <c r="BP71">
        <v>16.295000000000002</v>
      </c>
      <c r="BQ71">
        <v>11175.669</v>
      </c>
      <c r="CE71" s="1">
        <f t="shared" si="3"/>
        <v>44106</v>
      </c>
      <c r="CF71" s="35">
        <f t="shared" si="2"/>
        <v>2.3756592932536655</v>
      </c>
      <c r="CG71" s="36">
        <f t="shared" ref="CG71:CG134" si="9">+(CF71-$CG$1)/$CH$1</f>
        <v>-1.1538576336225594</v>
      </c>
      <c r="CH71">
        <f t="shared" ca="1" si="4"/>
        <v>-0.91021705231680339</v>
      </c>
      <c r="CI71">
        <f t="shared" ca="1" si="5"/>
        <v>-1.0055955658015061</v>
      </c>
      <c r="CJ71">
        <f t="shared" ca="1" si="6"/>
        <v>-1.0735660242432616</v>
      </c>
      <c r="CK71">
        <f t="shared" ca="1" si="7"/>
        <v>-1.1322621492279676</v>
      </c>
      <c r="CL71">
        <f t="shared" ca="1" si="8"/>
        <v>-1.2752146981256607</v>
      </c>
    </row>
    <row r="72" spans="1:90" x14ac:dyDescent="0.25">
      <c r="A72" s="43">
        <v>44113</v>
      </c>
      <c r="B72" s="5">
        <v>1.7710999999999999</v>
      </c>
      <c r="C72">
        <v>22.691199999999998</v>
      </c>
      <c r="D72">
        <v>1.2387999999999999</v>
      </c>
      <c r="E72">
        <v>38.938800000000001</v>
      </c>
      <c r="F72">
        <v>0.73450000000000004</v>
      </c>
      <c r="G72">
        <v>44.554000000000002</v>
      </c>
      <c r="H72">
        <v>89.589500000000001</v>
      </c>
      <c r="I72">
        <v>75.692899999999995</v>
      </c>
      <c r="J72">
        <v>27.536999999999999</v>
      </c>
      <c r="K72">
        <v>50946.848899999997</v>
      </c>
      <c r="M72" s="43">
        <v>44113</v>
      </c>
      <c r="N72" s="5">
        <v>3.4093</v>
      </c>
      <c r="O72">
        <v>20.652100000000001</v>
      </c>
      <c r="P72">
        <v>1.2417</v>
      </c>
      <c r="Q72">
        <v>39.084099999999999</v>
      </c>
      <c r="R72">
        <v>0.66010000000000002</v>
      </c>
      <c r="S72">
        <v>195.11080000000001</v>
      </c>
      <c r="T72">
        <v>51.430999999999997</v>
      </c>
      <c r="U72">
        <v>40.930300000000003</v>
      </c>
      <c r="V72">
        <v>128.523</v>
      </c>
      <c r="W72">
        <v>106462.3679</v>
      </c>
      <c r="Y72" s="5">
        <v>0.78600000000000003</v>
      </c>
      <c r="Z72">
        <v>12.106400000000001</v>
      </c>
      <c r="AA72">
        <v>0.621</v>
      </c>
      <c r="AB72">
        <v>11.1836</v>
      </c>
      <c r="AC72">
        <v>-7.0300000000000001E-2</v>
      </c>
      <c r="AD72">
        <v>0</v>
      </c>
      <c r="AE72">
        <v>66.471500000000006</v>
      </c>
      <c r="AF72">
        <v>30.319900000000001</v>
      </c>
      <c r="AG72">
        <v>30.605</v>
      </c>
      <c r="AH72">
        <v>17333.304700000001</v>
      </c>
      <c r="AK72">
        <v>0.87990000000000002</v>
      </c>
      <c r="AL72">
        <v>28.8246</v>
      </c>
      <c r="AM72">
        <v>1.4662999999999999</v>
      </c>
      <c r="AN72">
        <v>22.478200000000001</v>
      </c>
      <c r="AO72">
        <v>1.3299999999999999E-2</v>
      </c>
      <c r="AP72" t="s">
        <v>23</v>
      </c>
      <c r="AQ72">
        <v>57.112200000000001</v>
      </c>
      <c r="AR72">
        <v>46.751300000000001</v>
      </c>
      <c r="AS72">
        <v>18.056000000000001</v>
      </c>
      <c r="AT72">
        <v>10938.975399999999</v>
      </c>
      <c r="AV72">
        <v>1.6164000000000001</v>
      </c>
      <c r="AW72">
        <v>4.2946999999999997</v>
      </c>
      <c r="AX72">
        <v>-5.4899999999999997E-2</v>
      </c>
      <c r="AY72">
        <v>11.3504</v>
      </c>
      <c r="AZ72">
        <v>5.1999999999999998E-3</v>
      </c>
      <c r="BA72" t="s">
        <v>23</v>
      </c>
      <c r="BB72">
        <v>11.623100000000001</v>
      </c>
      <c r="BC72">
        <v>0.69389999999999996</v>
      </c>
      <c r="BD72">
        <v>22.3</v>
      </c>
      <c r="BE72">
        <v>20213.948700000001</v>
      </c>
      <c r="BH72" s="5">
        <v>2.4518</v>
      </c>
      <c r="BI72">
        <v>-257.55579999999998</v>
      </c>
      <c r="BJ72">
        <v>0.84379999999999999</v>
      </c>
      <c r="BK72">
        <v>41.732199999999999</v>
      </c>
      <c r="BL72">
        <v>1.1578999999999999</v>
      </c>
      <c r="BM72" t="s">
        <v>23</v>
      </c>
      <c r="BN72">
        <v>10.8072</v>
      </c>
      <c r="BO72">
        <v>7.0823999999999998</v>
      </c>
      <c r="BP72">
        <v>16.067</v>
      </c>
      <c r="BQ72">
        <v>11019.147000000001</v>
      </c>
      <c r="CE72" s="1">
        <f t="shared" si="3"/>
        <v>44113</v>
      </c>
      <c r="CF72" s="35">
        <f t="shared" ref="CF72:CF135" si="10">+(BH72*BQ72+AV72*BE72+AK72*AT72+Y72*AH72+N72*W72+B72*K72)/(K72+W72+AH72+AT72+BE72+BQ72)</f>
        <v>2.4716357797045694</v>
      </c>
      <c r="CG72" s="36">
        <f t="shared" si="9"/>
        <v>-1.1086612790554242</v>
      </c>
      <c r="CH72">
        <f t="shared" ca="1" si="4"/>
        <v>-0.93280902464886872</v>
      </c>
      <c r="CI72">
        <f t="shared" ca="1" si="5"/>
        <v>-1.013021702091587</v>
      </c>
      <c r="CJ72">
        <f t="shared" ca="1" si="6"/>
        <v>-1.0744234010874778</v>
      </c>
      <c r="CK72">
        <f t="shared" ca="1" si="7"/>
        <v>-1.1368259959984415</v>
      </c>
      <c r="CL72">
        <f t="shared" ca="1" si="8"/>
        <v>-1.2752146981256607</v>
      </c>
    </row>
    <row r="73" spans="1:90" x14ac:dyDescent="0.25">
      <c r="A73" s="43">
        <v>44120</v>
      </c>
      <c r="B73" s="5">
        <v>1.8418000000000001</v>
      </c>
      <c r="C73">
        <v>22.691199999999998</v>
      </c>
      <c r="D73">
        <v>1.2387999999999999</v>
      </c>
      <c r="E73">
        <v>38.938800000000001</v>
      </c>
      <c r="F73">
        <v>0.73450000000000004</v>
      </c>
      <c r="G73">
        <v>44.554000000000002</v>
      </c>
      <c r="H73">
        <v>89.589500000000001</v>
      </c>
      <c r="I73">
        <v>75.692899999999995</v>
      </c>
      <c r="J73">
        <v>29.42</v>
      </c>
      <c r="K73">
        <v>54429.100100000003</v>
      </c>
      <c r="M73" s="43">
        <v>44120</v>
      </c>
      <c r="N73" s="5">
        <v>3.9089</v>
      </c>
      <c r="O73">
        <v>20.652100000000001</v>
      </c>
      <c r="P73">
        <v>1.2417</v>
      </c>
      <c r="Q73">
        <v>39.084099999999999</v>
      </c>
      <c r="R73">
        <v>0.66010000000000002</v>
      </c>
      <c r="S73">
        <v>195.11080000000001</v>
      </c>
      <c r="T73">
        <v>51.430999999999997</v>
      </c>
      <c r="U73">
        <v>40.930300000000003</v>
      </c>
      <c r="V73">
        <v>151.87700000000001</v>
      </c>
      <c r="W73">
        <v>125808.3281</v>
      </c>
      <c r="Y73" s="5">
        <v>0.86629999999999996</v>
      </c>
      <c r="Z73">
        <v>12.106400000000001</v>
      </c>
      <c r="AA73">
        <v>0.621</v>
      </c>
      <c r="AB73">
        <v>11.1836</v>
      </c>
      <c r="AC73">
        <v>-7.0300000000000001E-2</v>
      </c>
      <c r="AD73">
        <v>0</v>
      </c>
      <c r="AE73">
        <v>66.471500000000006</v>
      </c>
      <c r="AF73">
        <v>30.319900000000001</v>
      </c>
      <c r="AG73">
        <v>33.475000000000001</v>
      </c>
      <c r="AH73">
        <v>18958.988499999999</v>
      </c>
      <c r="AK73">
        <v>0.94330000000000003</v>
      </c>
      <c r="AL73">
        <v>28.8246</v>
      </c>
      <c r="AM73">
        <v>1.4662999999999999</v>
      </c>
      <c r="AN73">
        <v>22.478200000000001</v>
      </c>
      <c r="AO73">
        <v>1.3299999999999999E-2</v>
      </c>
      <c r="AP73" t="s">
        <v>23</v>
      </c>
      <c r="AQ73">
        <v>57.112200000000001</v>
      </c>
      <c r="AR73">
        <v>46.751300000000001</v>
      </c>
      <c r="AS73">
        <v>19.376999999999999</v>
      </c>
      <c r="AT73">
        <v>11739.388300000001</v>
      </c>
      <c r="AV73">
        <v>1.9126000000000001</v>
      </c>
      <c r="AW73">
        <v>4.2946999999999997</v>
      </c>
      <c r="AX73">
        <v>-5.4899999999999997E-2</v>
      </c>
      <c r="AY73">
        <v>11.3504</v>
      </c>
      <c r="AZ73">
        <v>5.1999999999999998E-3</v>
      </c>
      <c r="BA73" t="s">
        <v>23</v>
      </c>
      <c r="BB73">
        <v>11.623100000000001</v>
      </c>
      <c r="BC73">
        <v>0.69389999999999996</v>
      </c>
      <c r="BD73">
        <v>26.4</v>
      </c>
      <c r="BE73">
        <v>23930.4146</v>
      </c>
      <c r="BH73" s="5">
        <v>2.4481000000000002</v>
      </c>
      <c r="BI73">
        <v>-257.55579999999998</v>
      </c>
      <c r="BJ73">
        <v>0.84379999999999999</v>
      </c>
      <c r="BK73">
        <v>41.732199999999999</v>
      </c>
      <c r="BL73">
        <v>1.1578999999999999</v>
      </c>
      <c r="BM73" t="s">
        <v>23</v>
      </c>
      <c r="BN73">
        <v>10.8072</v>
      </c>
      <c r="BO73">
        <v>7.0823999999999998</v>
      </c>
      <c r="BP73">
        <v>16.021000000000001</v>
      </c>
      <c r="BQ73">
        <v>10987.8426</v>
      </c>
      <c r="CE73" s="1">
        <f t="shared" si="3"/>
        <v>44120</v>
      </c>
      <c r="CF73" s="35">
        <f t="shared" si="10"/>
        <v>2.8154355849737516</v>
      </c>
      <c r="CG73" s="36">
        <f t="shared" si="9"/>
        <v>-0.94676227156251502</v>
      </c>
      <c r="CH73">
        <f t="shared" ca="1" si="4"/>
        <v>-0.93766783462804593</v>
      </c>
      <c r="CI73">
        <f t="shared" ca="1" si="5"/>
        <v>-1.0204657773092229</v>
      </c>
      <c r="CJ73">
        <f t="shared" ca="1" si="6"/>
        <v>-1.0786464558074529</v>
      </c>
      <c r="CK73">
        <f t="shared" ca="1" si="7"/>
        <v>-1.1368259959984415</v>
      </c>
      <c r="CL73">
        <f t="shared" ca="1" si="8"/>
        <v>-1.2752146981256607</v>
      </c>
    </row>
    <row r="74" spans="1:90" x14ac:dyDescent="0.25">
      <c r="A74" s="43">
        <v>44127</v>
      </c>
      <c r="B74" s="5">
        <v>1.9971000000000001</v>
      </c>
      <c r="C74">
        <v>22.691199999999998</v>
      </c>
      <c r="D74">
        <v>1.2387999999999999</v>
      </c>
      <c r="E74">
        <v>38.938800000000001</v>
      </c>
      <c r="F74">
        <v>0.73450000000000004</v>
      </c>
      <c r="G74">
        <v>44.554000000000002</v>
      </c>
      <c r="H74">
        <v>89.589500000000001</v>
      </c>
      <c r="I74">
        <v>75.692899999999995</v>
      </c>
      <c r="J74">
        <v>33.552</v>
      </c>
      <c r="K74">
        <v>62074.912499999999</v>
      </c>
      <c r="M74" s="43">
        <v>44127</v>
      </c>
      <c r="N74" s="5">
        <v>4.2218</v>
      </c>
      <c r="O74">
        <v>20.652100000000001</v>
      </c>
      <c r="P74">
        <v>1.2417</v>
      </c>
      <c r="Q74">
        <v>39.084099999999999</v>
      </c>
      <c r="R74">
        <v>0.66010000000000002</v>
      </c>
      <c r="S74">
        <v>195.11080000000001</v>
      </c>
      <c r="T74">
        <v>51.430999999999997</v>
      </c>
      <c r="U74">
        <v>40.930300000000003</v>
      </c>
      <c r="V74">
        <v>166.50399999999999</v>
      </c>
      <c r="W74">
        <v>137924.3811</v>
      </c>
      <c r="Y74" s="5">
        <v>0.98240000000000005</v>
      </c>
      <c r="Z74">
        <v>12.106400000000001</v>
      </c>
      <c r="AA74">
        <v>0.621</v>
      </c>
      <c r="AB74">
        <v>11.1836</v>
      </c>
      <c r="AC74">
        <v>-7.0300000000000001E-2</v>
      </c>
      <c r="AD74">
        <v>0</v>
      </c>
      <c r="AE74">
        <v>66.471500000000006</v>
      </c>
      <c r="AF74">
        <v>30.319900000000001</v>
      </c>
      <c r="AG74">
        <v>37.625999999999998</v>
      </c>
      <c r="AH74">
        <v>21309.6394</v>
      </c>
      <c r="AK74">
        <v>1.1035999999999999</v>
      </c>
      <c r="AL74">
        <v>28.8246</v>
      </c>
      <c r="AM74">
        <v>1.4662999999999999</v>
      </c>
      <c r="AN74">
        <v>22.478200000000001</v>
      </c>
      <c r="AO74">
        <v>1.3299999999999999E-2</v>
      </c>
      <c r="AP74" t="s">
        <v>23</v>
      </c>
      <c r="AQ74">
        <v>57.112200000000001</v>
      </c>
      <c r="AR74">
        <v>46.751300000000001</v>
      </c>
      <c r="AS74">
        <v>22.716000000000001</v>
      </c>
      <c r="AT74">
        <v>13762.654</v>
      </c>
      <c r="AV74">
        <v>2.2124999999999999</v>
      </c>
      <c r="AW74">
        <v>4.2946999999999997</v>
      </c>
      <c r="AX74">
        <v>-5.4899999999999997E-2</v>
      </c>
      <c r="AY74">
        <v>11.3504</v>
      </c>
      <c r="AZ74">
        <v>5.1999999999999998E-3</v>
      </c>
      <c r="BA74" t="s">
        <v>23</v>
      </c>
      <c r="BB74">
        <v>11.623100000000001</v>
      </c>
      <c r="BC74">
        <v>0.69389999999999996</v>
      </c>
      <c r="BD74">
        <v>30.55</v>
      </c>
      <c r="BE74">
        <v>27692.203300000001</v>
      </c>
      <c r="BH74" s="5">
        <v>2.7113</v>
      </c>
      <c r="BI74">
        <v>-257.55579999999998</v>
      </c>
      <c r="BJ74">
        <v>0.84379999999999999</v>
      </c>
      <c r="BK74">
        <v>41.732199999999999</v>
      </c>
      <c r="BL74">
        <v>1.1578999999999999</v>
      </c>
      <c r="BM74" t="s">
        <v>23</v>
      </c>
      <c r="BN74">
        <v>10.8072</v>
      </c>
      <c r="BO74">
        <v>7.0823999999999998</v>
      </c>
      <c r="BP74">
        <v>19.308</v>
      </c>
      <c r="BQ74">
        <v>13241.759099999999</v>
      </c>
      <c r="CE74" s="1">
        <f t="shared" si="3"/>
        <v>44127</v>
      </c>
      <c r="CF74" s="35">
        <f t="shared" si="10"/>
        <v>3.04179896982814</v>
      </c>
      <c r="CG74" s="36">
        <f t="shared" si="9"/>
        <v>-0.84016533119494585</v>
      </c>
      <c r="CH74">
        <f t="shared" ca="1" si="4"/>
        <v>-0.94635054841059862</v>
      </c>
      <c r="CI74">
        <f t="shared" ca="1" si="5"/>
        <v>-1.0204657773092229</v>
      </c>
      <c r="CJ74">
        <f t="shared" ca="1" si="6"/>
        <v>-1.0786464558074529</v>
      </c>
      <c r="CK74">
        <f t="shared" ca="1" si="7"/>
        <v>-1.1368259959984415</v>
      </c>
      <c r="CL74">
        <f t="shared" ca="1" si="8"/>
        <v>-1.2752146981256607</v>
      </c>
    </row>
    <row r="75" spans="1:90" x14ac:dyDescent="0.25">
      <c r="A75" s="43">
        <v>44134</v>
      </c>
      <c r="B75" s="5">
        <v>1.7848999999999999</v>
      </c>
      <c r="C75">
        <v>22.691199999999998</v>
      </c>
      <c r="D75">
        <v>1.2387999999999999</v>
      </c>
      <c r="E75">
        <v>38.938800000000001</v>
      </c>
      <c r="F75">
        <v>0.73450000000000004</v>
      </c>
      <c r="G75">
        <v>44.554000000000002</v>
      </c>
      <c r="H75">
        <v>89.589500000000001</v>
      </c>
      <c r="I75">
        <v>75.692899999999995</v>
      </c>
      <c r="J75">
        <v>27.905999999999999</v>
      </c>
      <c r="K75">
        <v>51628.158900000002</v>
      </c>
      <c r="M75" s="43">
        <v>44134</v>
      </c>
      <c r="N75" s="5">
        <v>3.7980999999999998</v>
      </c>
      <c r="O75">
        <v>20.652100000000001</v>
      </c>
      <c r="P75">
        <v>1.2417</v>
      </c>
      <c r="Q75">
        <v>39.084099999999999</v>
      </c>
      <c r="R75">
        <v>0.66010000000000002</v>
      </c>
      <c r="S75">
        <v>195.11080000000001</v>
      </c>
      <c r="T75">
        <v>51.430999999999997</v>
      </c>
      <c r="U75">
        <v>40.930300000000003</v>
      </c>
      <c r="V75">
        <v>146.69800000000001</v>
      </c>
      <c r="W75">
        <v>121518.05349999999</v>
      </c>
      <c r="Y75" s="5">
        <v>0.82830000000000004</v>
      </c>
      <c r="Z75">
        <v>12.106400000000001</v>
      </c>
      <c r="AA75">
        <v>0.621</v>
      </c>
      <c r="AB75">
        <v>11.1836</v>
      </c>
      <c r="AC75">
        <v>-7.0300000000000001E-2</v>
      </c>
      <c r="AD75">
        <v>0</v>
      </c>
      <c r="AE75">
        <v>66.471500000000006</v>
      </c>
      <c r="AF75">
        <v>30.319900000000001</v>
      </c>
      <c r="AG75">
        <v>32.118000000000002</v>
      </c>
      <c r="AH75">
        <v>18190.083999999999</v>
      </c>
      <c r="AK75">
        <v>0.9345</v>
      </c>
      <c r="AL75">
        <v>28.8246</v>
      </c>
      <c r="AM75">
        <v>1.4662999999999999</v>
      </c>
      <c r="AN75">
        <v>22.478200000000001</v>
      </c>
      <c r="AO75">
        <v>1.3299999999999999E-2</v>
      </c>
      <c r="AP75" t="s">
        <v>23</v>
      </c>
      <c r="AQ75">
        <v>57.112200000000001</v>
      </c>
      <c r="AR75">
        <v>46.751300000000001</v>
      </c>
      <c r="AS75">
        <v>19.193000000000001</v>
      </c>
      <c r="AT75">
        <v>11628.219800000001</v>
      </c>
      <c r="AV75">
        <v>1.9161999999999999</v>
      </c>
      <c r="AW75">
        <v>4.2946999999999997</v>
      </c>
      <c r="AX75">
        <v>-5.4899999999999997E-2</v>
      </c>
      <c r="AY75">
        <v>11.3504</v>
      </c>
      <c r="AZ75">
        <v>5.1999999999999998E-3</v>
      </c>
      <c r="BA75" t="s">
        <v>23</v>
      </c>
      <c r="BB75">
        <v>11.623100000000001</v>
      </c>
      <c r="BC75">
        <v>0.69389999999999996</v>
      </c>
      <c r="BD75">
        <v>26.45</v>
      </c>
      <c r="BE75">
        <v>23975.737400000002</v>
      </c>
      <c r="BH75" s="5">
        <v>2.5613999999999999</v>
      </c>
      <c r="BI75">
        <v>-257.55579999999998</v>
      </c>
      <c r="BJ75">
        <v>0.84379999999999999</v>
      </c>
      <c r="BK75">
        <v>41.732199999999999</v>
      </c>
      <c r="BL75">
        <v>1.1578999999999999</v>
      </c>
      <c r="BM75" t="s">
        <v>23</v>
      </c>
      <c r="BN75">
        <v>10.8072</v>
      </c>
      <c r="BO75">
        <v>7.0823999999999998</v>
      </c>
      <c r="BP75">
        <v>17.436</v>
      </c>
      <c r="BQ75">
        <v>11958.278899999999</v>
      </c>
      <c r="CE75" s="1">
        <f t="shared" si="3"/>
        <v>44134</v>
      </c>
      <c r="CF75" s="35">
        <f t="shared" si="10"/>
        <v>2.7467497372743379</v>
      </c>
      <c r="CG75" s="36">
        <f t="shared" si="9"/>
        <v>-0.97910717228937127</v>
      </c>
      <c r="CH75">
        <f t="shared" ca="1" si="4"/>
        <v>-0.94635054841059862</v>
      </c>
      <c r="CI75">
        <f t="shared" ca="1" si="5"/>
        <v>-1.0204657773092229</v>
      </c>
      <c r="CJ75">
        <f t="shared" ca="1" si="6"/>
        <v>-1.0786464558074529</v>
      </c>
      <c r="CK75">
        <f t="shared" ca="1" si="7"/>
        <v>-1.1368259959984415</v>
      </c>
      <c r="CL75">
        <f t="shared" ca="1" si="8"/>
        <v>-1.2752146981256607</v>
      </c>
    </row>
    <row r="76" spans="1:90" x14ac:dyDescent="0.25">
      <c r="A76" s="43">
        <v>44141</v>
      </c>
      <c r="B76" s="5">
        <v>1.9187000000000001</v>
      </c>
      <c r="C76">
        <v>22.691199999999998</v>
      </c>
      <c r="D76">
        <v>1.2387999999999999</v>
      </c>
      <c r="E76">
        <v>38.938800000000001</v>
      </c>
      <c r="F76">
        <v>0.73450000000000004</v>
      </c>
      <c r="G76">
        <v>44.554000000000002</v>
      </c>
      <c r="H76">
        <v>89.589500000000001</v>
      </c>
      <c r="I76">
        <v>75.692899999999995</v>
      </c>
      <c r="J76">
        <v>31.466000000000001</v>
      </c>
      <c r="K76">
        <v>58214.155700000003</v>
      </c>
      <c r="M76" s="43">
        <v>44141</v>
      </c>
      <c r="N76" s="5">
        <v>3.9426999999999999</v>
      </c>
      <c r="O76">
        <v>20.652100000000001</v>
      </c>
      <c r="P76">
        <v>1.2417</v>
      </c>
      <c r="Q76">
        <v>39.084099999999999</v>
      </c>
      <c r="R76">
        <v>0.66010000000000002</v>
      </c>
      <c r="S76">
        <v>195.11080000000001</v>
      </c>
      <c r="T76">
        <v>51.430999999999997</v>
      </c>
      <c r="U76">
        <v>40.930300000000003</v>
      </c>
      <c r="V76">
        <v>153.46</v>
      </c>
      <c r="W76">
        <v>127119.2453</v>
      </c>
      <c r="Y76" s="5">
        <v>0.8891</v>
      </c>
      <c r="Z76">
        <v>12.106400000000001</v>
      </c>
      <c r="AA76">
        <v>0.621</v>
      </c>
      <c r="AB76">
        <v>11.1836</v>
      </c>
      <c r="AC76">
        <v>-7.0300000000000001E-2</v>
      </c>
      <c r="AD76">
        <v>0</v>
      </c>
      <c r="AE76">
        <v>66.471500000000006</v>
      </c>
      <c r="AF76">
        <v>30.319900000000001</v>
      </c>
      <c r="AG76">
        <v>34.29</v>
      </c>
      <c r="AH76">
        <v>19420.331200000001</v>
      </c>
      <c r="AK76">
        <v>1.0331999999999999</v>
      </c>
      <c r="AL76">
        <v>28.8246</v>
      </c>
      <c r="AM76">
        <v>1.4662999999999999</v>
      </c>
      <c r="AN76">
        <v>22.478200000000001</v>
      </c>
      <c r="AO76">
        <v>1.3299999999999999E-2</v>
      </c>
      <c r="AP76" t="s">
        <v>23</v>
      </c>
      <c r="AQ76">
        <v>57.112200000000001</v>
      </c>
      <c r="AR76">
        <v>46.751300000000001</v>
      </c>
      <c r="AS76">
        <v>21.248000000000001</v>
      </c>
      <c r="AT76">
        <v>12873.306500000001</v>
      </c>
      <c r="AV76">
        <v>1.9547000000000001</v>
      </c>
      <c r="AW76">
        <v>4.2946999999999997</v>
      </c>
      <c r="AX76">
        <v>-5.4899999999999997E-2</v>
      </c>
      <c r="AY76">
        <v>11.3504</v>
      </c>
      <c r="AZ76">
        <v>5.1999999999999998E-3</v>
      </c>
      <c r="BA76" t="s">
        <v>23</v>
      </c>
      <c r="BB76">
        <v>11.623100000000001</v>
      </c>
      <c r="BC76">
        <v>0.69389999999999996</v>
      </c>
      <c r="BD76">
        <v>27.95</v>
      </c>
      <c r="BE76">
        <v>24458.324700000001</v>
      </c>
      <c r="BH76" s="5">
        <v>2.4112</v>
      </c>
      <c r="BI76">
        <v>-257.55579999999998</v>
      </c>
      <c r="BJ76">
        <v>0.84379999999999999</v>
      </c>
      <c r="BK76">
        <v>41.732199999999999</v>
      </c>
      <c r="BL76">
        <v>1.1578999999999999</v>
      </c>
      <c r="BM76" t="s">
        <v>23</v>
      </c>
      <c r="BN76">
        <v>10.8072</v>
      </c>
      <c r="BO76">
        <v>7.0823999999999998</v>
      </c>
      <c r="BP76">
        <v>17.117000000000001</v>
      </c>
      <c r="BQ76">
        <v>10671.9565</v>
      </c>
      <c r="CE76" s="1">
        <f t="shared" si="3"/>
        <v>44141</v>
      </c>
      <c r="CF76" s="35">
        <f t="shared" si="10"/>
        <v>2.8367003369840287</v>
      </c>
      <c r="CG76" s="36">
        <f t="shared" si="9"/>
        <v>-0.93674847227501645</v>
      </c>
      <c r="CH76">
        <f t="shared" ca="1" si="4"/>
        <v>-0.94999676163520075</v>
      </c>
      <c r="CI76">
        <f t="shared" ca="1" si="5"/>
        <v>-1.0204657773092229</v>
      </c>
      <c r="CJ76">
        <f t="shared" ca="1" si="6"/>
        <v>-1.0786464558074529</v>
      </c>
      <c r="CK76">
        <f t="shared" ca="1" si="7"/>
        <v>-1.1368259959984415</v>
      </c>
      <c r="CL76">
        <f t="shared" ca="1" si="8"/>
        <v>-1.2752146981256607</v>
      </c>
    </row>
    <row r="77" spans="1:90" x14ac:dyDescent="0.25">
      <c r="A77" s="43">
        <v>44148</v>
      </c>
      <c r="B77" s="5">
        <v>1.8480000000000001</v>
      </c>
      <c r="C77">
        <v>22.691199999999998</v>
      </c>
      <c r="D77">
        <v>1.2387999999999999</v>
      </c>
      <c r="E77">
        <v>38.938800000000001</v>
      </c>
      <c r="F77">
        <v>0.73450000000000004</v>
      </c>
      <c r="G77">
        <v>44.554000000000002</v>
      </c>
      <c r="H77">
        <v>89.589500000000001</v>
      </c>
      <c r="I77">
        <v>75.692899999999995</v>
      </c>
      <c r="J77">
        <v>29.582999999999998</v>
      </c>
      <c r="K77">
        <v>54731.904600000002</v>
      </c>
      <c r="M77" s="43">
        <v>44148</v>
      </c>
      <c r="N77" s="5">
        <v>3.9026999999999998</v>
      </c>
      <c r="O77">
        <v>20.652100000000001</v>
      </c>
      <c r="P77">
        <v>1.2417</v>
      </c>
      <c r="Q77">
        <v>39.084099999999999</v>
      </c>
      <c r="R77">
        <v>0.66010000000000002</v>
      </c>
      <c r="S77">
        <v>195.11080000000001</v>
      </c>
      <c r="T77">
        <v>51.430999999999997</v>
      </c>
      <c r="U77">
        <v>40.930300000000003</v>
      </c>
      <c r="V77">
        <v>151.59</v>
      </c>
      <c r="W77">
        <v>125569.9795</v>
      </c>
      <c r="Y77" s="5">
        <v>0.85650000000000004</v>
      </c>
      <c r="Z77">
        <v>12.106400000000001</v>
      </c>
      <c r="AA77">
        <v>0.621</v>
      </c>
      <c r="AB77">
        <v>11.1836</v>
      </c>
      <c r="AC77">
        <v>-7.0300000000000001E-2</v>
      </c>
      <c r="AD77">
        <v>0</v>
      </c>
      <c r="AE77">
        <v>66.471500000000006</v>
      </c>
      <c r="AF77">
        <v>30.319900000000001</v>
      </c>
      <c r="AG77">
        <v>33.125999999999998</v>
      </c>
      <c r="AH77">
        <v>18761.270199999999</v>
      </c>
      <c r="AK77">
        <v>0.99439999999999995</v>
      </c>
      <c r="AL77">
        <v>28.8246</v>
      </c>
      <c r="AM77">
        <v>1.4662999999999999</v>
      </c>
      <c r="AN77">
        <v>22.478200000000001</v>
      </c>
      <c r="AO77">
        <v>1.3299999999999999E-2</v>
      </c>
      <c r="AP77" t="s">
        <v>23</v>
      </c>
      <c r="AQ77">
        <v>57.112200000000001</v>
      </c>
      <c r="AR77">
        <v>46.751300000000001</v>
      </c>
      <c r="AS77">
        <v>20.440999999999999</v>
      </c>
      <c r="AT77">
        <v>12384.165300000001</v>
      </c>
      <c r="AV77">
        <v>1.9849000000000001</v>
      </c>
      <c r="AW77">
        <v>4.2946999999999997</v>
      </c>
      <c r="AX77">
        <v>-5.4899999999999997E-2</v>
      </c>
      <c r="AY77">
        <v>11.3504</v>
      </c>
      <c r="AZ77">
        <v>5.1999999999999998E-3</v>
      </c>
      <c r="BA77" t="s">
        <v>23</v>
      </c>
      <c r="BB77">
        <v>11.623100000000001</v>
      </c>
      <c r="BC77">
        <v>0.69389999999999996</v>
      </c>
      <c r="BD77">
        <v>27.4</v>
      </c>
      <c r="BE77">
        <v>24836.869699999999</v>
      </c>
      <c r="BH77" s="5">
        <v>2.5613999999999999</v>
      </c>
      <c r="BI77">
        <v>-257.55579999999998</v>
      </c>
      <c r="BJ77">
        <v>0.84379999999999999</v>
      </c>
      <c r="BK77">
        <v>41.732199999999999</v>
      </c>
      <c r="BL77">
        <v>1.1578999999999999</v>
      </c>
      <c r="BM77" t="s">
        <v>23</v>
      </c>
      <c r="BN77">
        <v>10.8072</v>
      </c>
      <c r="BO77">
        <v>7.0823999999999998</v>
      </c>
      <c r="BP77">
        <v>17.436</v>
      </c>
      <c r="BQ77">
        <v>11958.278899999999</v>
      </c>
      <c r="CE77" s="1">
        <f t="shared" si="3"/>
        <v>44148</v>
      </c>
      <c r="CF77" s="35">
        <f t="shared" si="10"/>
        <v>2.8178860930212903</v>
      </c>
      <c r="CG77" s="36">
        <f t="shared" si="9"/>
        <v>-0.94560830109868865</v>
      </c>
      <c r="CH77">
        <f t="shared" ca="1" si="4"/>
        <v>-0.94635054841059862</v>
      </c>
      <c r="CI77">
        <f t="shared" ca="1" si="5"/>
        <v>-1.0204657773092229</v>
      </c>
      <c r="CJ77">
        <f t="shared" ca="1" si="6"/>
        <v>-1.0786464558074529</v>
      </c>
      <c r="CK77">
        <f t="shared" ca="1" si="7"/>
        <v>-1.1368259959984415</v>
      </c>
      <c r="CL77">
        <f t="shared" ca="1" si="8"/>
        <v>-1.2752146981256607</v>
      </c>
    </row>
    <row r="78" spans="1:90" x14ac:dyDescent="0.25">
      <c r="A78" s="43">
        <v>44155</v>
      </c>
      <c r="B78" s="5">
        <v>1.8787</v>
      </c>
      <c r="C78">
        <v>22.691199999999998</v>
      </c>
      <c r="D78">
        <v>1.2387999999999999</v>
      </c>
      <c r="E78">
        <v>38.938800000000001</v>
      </c>
      <c r="F78">
        <v>0.73450000000000004</v>
      </c>
      <c r="G78">
        <v>44.554000000000002</v>
      </c>
      <c r="H78">
        <v>89.589500000000001</v>
      </c>
      <c r="I78">
        <v>75.692899999999995</v>
      </c>
      <c r="J78">
        <v>30.402000000000001</v>
      </c>
      <c r="K78">
        <v>56245.926800000001</v>
      </c>
      <c r="M78" s="43">
        <v>44155</v>
      </c>
      <c r="N78" s="5">
        <v>3.9735</v>
      </c>
      <c r="O78">
        <v>20.652100000000001</v>
      </c>
      <c r="P78">
        <v>1.2417</v>
      </c>
      <c r="Q78">
        <v>39.084099999999999</v>
      </c>
      <c r="R78">
        <v>0.66010000000000002</v>
      </c>
      <c r="S78">
        <v>195.11080000000001</v>
      </c>
      <c r="T78">
        <v>51.430999999999997</v>
      </c>
      <c r="U78">
        <v>40.930300000000003</v>
      </c>
      <c r="V78">
        <v>154.899</v>
      </c>
      <c r="W78">
        <v>128310.98820000001</v>
      </c>
      <c r="Y78" s="5">
        <v>0.84889999999999999</v>
      </c>
      <c r="Z78">
        <v>12.106400000000001</v>
      </c>
      <c r="AA78">
        <v>0.621</v>
      </c>
      <c r="AB78">
        <v>11.1836</v>
      </c>
      <c r="AC78">
        <v>-7.0300000000000001E-2</v>
      </c>
      <c r="AD78">
        <v>0</v>
      </c>
      <c r="AE78">
        <v>66.471500000000006</v>
      </c>
      <c r="AF78">
        <v>30.319900000000001</v>
      </c>
      <c r="AG78">
        <v>32.854999999999997</v>
      </c>
      <c r="AH78">
        <v>18607.489300000001</v>
      </c>
      <c r="AK78">
        <v>0.94330000000000003</v>
      </c>
      <c r="AL78">
        <v>28.8246</v>
      </c>
      <c r="AM78">
        <v>1.4662999999999999</v>
      </c>
      <c r="AN78">
        <v>22.478200000000001</v>
      </c>
      <c r="AO78">
        <v>1.3299999999999999E-2</v>
      </c>
      <c r="AP78" t="s">
        <v>23</v>
      </c>
      <c r="AQ78">
        <v>57.112200000000001</v>
      </c>
      <c r="AR78">
        <v>46.751300000000001</v>
      </c>
      <c r="AS78">
        <v>19.376999999999999</v>
      </c>
      <c r="AT78">
        <v>11739.388300000001</v>
      </c>
      <c r="AV78">
        <v>1.8801000000000001</v>
      </c>
      <c r="AW78">
        <v>4.2946999999999997</v>
      </c>
      <c r="AX78">
        <v>-5.4899999999999997E-2</v>
      </c>
      <c r="AY78">
        <v>11.3504</v>
      </c>
      <c r="AZ78">
        <v>5.1999999999999998E-3</v>
      </c>
      <c r="BA78" t="s">
        <v>23</v>
      </c>
      <c r="BB78">
        <v>11.623100000000001</v>
      </c>
      <c r="BC78">
        <v>0.69389999999999996</v>
      </c>
      <c r="BD78">
        <v>25.95</v>
      </c>
      <c r="BE78">
        <v>23522.5098</v>
      </c>
      <c r="BH78" s="5">
        <v>2.5249000000000001</v>
      </c>
      <c r="BI78">
        <v>-257.55579999999998</v>
      </c>
      <c r="BJ78">
        <v>0.84379999999999999</v>
      </c>
      <c r="BK78">
        <v>41.732199999999999</v>
      </c>
      <c r="BL78">
        <v>1.1578999999999999</v>
      </c>
      <c r="BM78" t="s">
        <v>23</v>
      </c>
      <c r="BN78">
        <v>10.8072</v>
      </c>
      <c r="BO78">
        <v>7.0823999999999998</v>
      </c>
      <c r="BP78">
        <v>16.98</v>
      </c>
      <c r="BQ78">
        <v>11645.234899999999</v>
      </c>
      <c r="CE78" s="1">
        <f t="shared" si="3"/>
        <v>44155</v>
      </c>
      <c r="CF78" s="35">
        <f t="shared" si="10"/>
        <v>2.8632219761861322</v>
      </c>
      <c r="CG78" s="36">
        <f t="shared" si="9"/>
        <v>-0.92425914855203273</v>
      </c>
      <c r="CH78">
        <f t="shared" ca="1" si="4"/>
        <v>-0.94567795112819164</v>
      </c>
      <c r="CI78">
        <f t="shared" ca="1" si="5"/>
        <v>-1.013021702091587</v>
      </c>
      <c r="CJ78">
        <f t="shared" ca="1" si="6"/>
        <v>-1.0744234010874778</v>
      </c>
      <c r="CK78">
        <f t="shared" ca="1" si="7"/>
        <v>-1.1368259959984415</v>
      </c>
      <c r="CL78">
        <f t="shared" ca="1" si="8"/>
        <v>-1.2752146981256607</v>
      </c>
    </row>
    <row r="79" spans="1:90" x14ac:dyDescent="0.25">
      <c r="A79" s="43">
        <v>44162</v>
      </c>
      <c r="B79" s="5">
        <v>1.9356</v>
      </c>
      <c r="C79">
        <v>22.691199999999998</v>
      </c>
      <c r="D79">
        <v>1.2387999999999999</v>
      </c>
      <c r="E79">
        <v>38.938800000000001</v>
      </c>
      <c r="F79">
        <v>0.73450000000000004</v>
      </c>
      <c r="G79">
        <v>44.554000000000002</v>
      </c>
      <c r="H79">
        <v>89.589500000000001</v>
      </c>
      <c r="I79">
        <v>75.692899999999995</v>
      </c>
      <c r="J79">
        <v>31.916</v>
      </c>
      <c r="K79">
        <v>59046.868000000002</v>
      </c>
      <c r="M79" s="43">
        <v>44162</v>
      </c>
      <c r="N79" s="5">
        <v>4.0525000000000002</v>
      </c>
      <c r="O79">
        <v>20.652100000000001</v>
      </c>
      <c r="P79">
        <v>1.2417</v>
      </c>
      <c r="Q79">
        <v>39.084099999999999</v>
      </c>
      <c r="R79">
        <v>0.66010000000000002</v>
      </c>
      <c r="S79">
        <v>195.11080000000001</v>
      </c>
      <c r="T79">
        <v>51.430999999999997</v>
      </c>
      <c r="U79">
        <v>40.930300000000003</v>
      </c>
      <c r="V79">
        <v>158.59100000000001</v>
      </c>
      <c r="W79">
        <v>131369.79500000001</v>
      </c>
      <c r="Y79" s="5">
        <v>0.93789999999999996</v>
      </c>
      <c r="Z79">
        <v>12.106400000000001</v>
      </c>
      <c r="AA79">
        <v>0.621</v>
      </c>
      <c r="AB79">
        <v>11.1836</v>
      </c>
      <c r="AC79">
        <v>-7.0300000000000001E-2</v>
      </c>
      <c r="AD79">
        <v>0</v>
      </c>
      <c r="AE79">
        <v>66.471500000000006</v>
      </c>
      <c r="AF79">
        <v>30.319900000000001</v>
      </c>
      <c r="AG79">
        <v>36.034999999999997</v>
      </c>
      <c r="AH79">
        <v>20408.922699999999</v>
      </c>
      <c r="AK79">
        <v>1.042</v>
      </c>
      <c r="AL79">
        <v>28.8246</v>
      </c>
      <c r="AM79">
        <v>1.4662999999999999</v>
      </c>
      <c r="AN79">
        <v>22.478200000000001</v>
      </c>
      <c r="AO79">
        <v>1.3299999999999999E-2</v>
      </c>
      <c r="AP79" t="s">
        <v>23</v>
      </c>
      <c r="AQ79">
        <v>57.112200000000001</v>
      </c>
      <c r="AR79">
        <v>46.751300000000001</v>
      </c>
      <c r="AS79">
        <v>21.431999999999999</v>
      </c>
      <c r="AT79">
        <v>12984.474899999999</v>
      </c>
      <c r="AV79">
        <v>1.9849000000000001</v>
      </c>
      <c r="AW79">
        <v>4.2946999999999997</v>
      </c>
      <c r="AX79">
        <v>-5.4899999999999997E-2</v>
      </c>
      <c r="AY79">
        <v>11.3504</v>
      </c>
      <c r="AZ79">
        <v>5.1999999999999998E-3</v>
      </c>
      <c r="BA79" t="s">
        <v>23</v>
      </c>
      <c r="BB79">
        <v>11.623100000000001</v>
      </c>
      <c r="BC79">
        <v>0.69389999999999996</v>
      </c>
      <c r="BD79">
        <v>27.4</v>
      </c>
      <c r="BE79">
        <v>24836.869699999999</v>
      </c>
      <c r="BH79" s="5">
        <v>2.5907</v>
      </c>
      <c r="BI79">
        <v>-257.55579999999998</v>
      </c>
      <c r="BJ79">
        <v>0.84379999999999999</v>
      </c>
      <c r="BK79">
        <v>41.732199999999999</v>
      </c>
      <c r="BL79">
        <v>1.1578999999999999</v>
      </c>
      <c r="BM79" t="s">
        <v>23</v>
      </c>
      <c r="BN79">
        <v>10.8072</v>
      </c>
      <c r="BO79">
        <v>7.0823999999999998</v>
      </c>
      <c r="BP79">
        <v>17.800999999999998</v>
      </c>
      <c r="BQ79">
        <v>12208.714</v>
      </c>
      <c r="CE79" s="1">
        <f t="shared" si="3"/>
        <v>44162</v>
      </c>
      <c r="CF79" s="35">
        <f t="shared" si="10"/>
        <v>2.9145099905808713</v>
      </c>
      <c r="CG79" s="36">
        <f t="shared" si="9"/>
        <v>-0.90010707371217347</v>
      </c>
      <c r="CH79">
        <f t="shared" ca="1" si="4"/>
        <v>-0.93763445515738364</v>
      </c>
      <c r="CI79">
        <f t="shared" ca="1" si="5"/>
        <v>-1.0055955658015061</v>
      </c>
      <c r="CJ79">
        <f t="shared" ca="1" si="6"/>
        <v>-1.0735660242432616</v>
      </c>
      <c r="CK79">
        <f t="shared" ca="1" si="7"/>
        <v>-1.1368259959984415</v>
      </c>
      <c r="CL79">
        <f t="shared" ca="1" si="8"/>
        <v>-1.2752146981256607</v>
      </c>
    </row>
    <row r="80" spans="1:90" x14ac:dyDescent="0.25">
      <c r="A80" s="43">
        <v>44169</v>
      </c>
      <c r="B80" s="5">
        <v>1.9571000000000001</v>
      </c>
      <c r="C80">
        <v>22.691199999999998</v>
      </c>
      <c r="D80">
        <v>1.2387999999999999</v>
      </c>
      <c r="E80">
        <v>38.938800000000001</v>
      </c>
      <c r="F80">
        <v>0.73450000000000004</v>
      </c>
      <c r="G80">
        <v>44.554000000000002</v>
      </c>
      <c r="H80">
        <v>89.589500000000001</v>
      </c>
      <c r="I80">
        <v>75.692899999999995</v>
      </c>
      <c r="J80">
        <v>32.488999999999997</v>
      </c>
      <c r="K80">
        <v>60106.683599999997</v>
      </c>
      <c r="M80" s="43">
        <v>44169</v>
      </c>
      <c r="N80" s="5">
        <v>4.1170999999999998</v>
      </c>
      <c r="O80">
        <v>20.652100000000001</v>
      </c>
      <c r="P80">
        <v>1.2417</v>
      </c>
      <c r="Q80">
        <v>39.084099999999999</v>
      </c>
      <c r="R80">
        <v>0.66010000000000002</v>
      </c>
      <c r="S80">
        <v>195.11080000000001</v>
      </c>
      <c r="T80">
        <v>51.430999999999997</v>
      </c>
      <c r="U80">
        <v>40.930300000000003</v>
      </c>
      <c r="V80">
        <v>161.613</v>
      </c>
      <c r="W80">
        <v>133872.4552</v>
      </c>
      <c r="Y80" s="5">
        <v>0.89119999999999999</v>
      </c>
      <c r="Z80">
        <v>12.106400000000001</v>
      </c>
      <c r="AA80">
        <v>0.621</v>
      </c>
      <c r="AB80">
        <v>11.1836</v>
      </c>
      <c r="AC80">
        <v>-7.0300000000000001E-2</v>
      </c>
      <c r="AD80">
        <v>0</v>
      </c>
      <c r="AE80">
        <v>66.471500000000006</v>
      </c>
      <c r="AF80">
        <v>30.319900000000001</v>
      </c>
      <c r="AG80">
        <v>34.366999999999997</v>
      </c>
      <c r="AH80">
        <v>19464.268599999999</v>
      </c>
      <c r="AK80">
        <v>1.079</v>
      </c>
      <c r="AL80">
        <v>28.8246</v>
      </c>
      <c r="AM80">
        <v>1.4662999999999999</v>
      </c>
      <c r="AN80">
        <v>22.478200000000001</v>
      </c>
      <c r="AO80">
        <v>1.3299999999999999E-2</v>
      </c>
      <c r="AP80" t="s">
        <v>23</v>
      </c>
      <c r="AQ80">
        <v>57.112200000000001</v>
      </c>
      <c r="AR80">
        <v>46.751300000000001</v>
      </c>
      <c r="AS80">
        <v>22.202999999999999</v>
      </c>
      <c r="AT80">
        <v>13451.3824</v>
      </c>
      <c r="AV80">
        <v>1.956</v>
      </c>
      <c r="AW80">
        <v>4.2946999999999997</v>
      </c>
      <c r="AX80">
        <v>-5.4899999999999997E-2</v>
      </c>
      <c r="AY80">
        <v>11.3504</v>
      </c>
      <c r="AZ80">
        <v>5.1999999999999998E-3</v>
      </c>
      <c r="BA80" t="s">
        <v>23</v>
      </c>
      <c r="BB80">
        <v>11.623100000000001</v>
      </c>
      <c r="BC80">
        <v>0.69389999999999996</v>
      </c>
      <c r="BD80">
        <v>27</v>
      </c>
      <c r="BE80">
        <v>24474.287700000001</v>
      </c>
      <c r="BH80" s="5">
        <v>2.5613999999999999</v>
      </c>
      <c r="BI80">
        <v>-257.55579999999998</v>
      </c>
      <c r="BJ80">
        <v>0.84379999999999999</v>
      </c>
      <c r="BK80">
        <v>41.732199999999999</v>
      </c>
      <c r="BL80">
        <v>1.1578999999999999</v>
      </c>
      <c r="BM80" t="s">
        <v>23</v>
      </c>
      <c r="BN80">
        <v>10.8072</v>
      </c>
      <c r="BO80">
        <v>7.0823999999999998</v>
      </c>
      <c r="BP80">
        <v>17.436</v>
      </c>
      <c r="BQ80">
        <v>11958.278899999999</v>
      </c>
      <c r="CE80" s="1">
        <f t="shared" si="3"/>
        <v>44169</v>
      </c>
      <c r="CF80" s="35">
        <f t="shared" si="10"/>
        <v>2.9589151941186613</v>
      </c>
      <c r="CG80" s="36">
        <f t="shared" si="9"/>
        <v>-0.87919618816161305</v>
      </c>
      <c r="CH80">
        <f t="shared" ca="1" si="4"/>
        <v>-0.93671220171617564</v>
      </c>
      <c r="CI80">
        <f t="shared" ca="1" si="5"/>
        <v>-1.0023928694837281</v>
      </c>
      <c r="CJ80">
        <f t="shared" ca="1" si="6"/>
        <v>-1.0710347874970498</v>
      </c>
      <c r="CK80">
        <f t="shared" ca="1" si="7"/>
        <v>-1.1231909224919554</v>
      </c>
      <c r="CL80">
        <f t="shared" ca="1" si="8"/>
        <v>-1.2752146981256607</v>
      </c>
    </row>
    <row r="81" spans="1:90" x14ac:dyDescent="0.25">
      <c r="A81" s="43">
        <v>44176</v>
      </c>
      <c r="B81" s="5">
        <v>1.9263999999999999</v>
      </c>
      <c r="C81">
        <v>22.691199999999998</v>
      </c>
      <c r="D81">
        <v>1.2387999999999999</v>
      </c>
      <c r="E81">
        <v>38.938800000000001</v>
      </c>
      <c r="F81">
        <v>0.73450000000000004</v>
      </c>
      <c r="G81">
        <v>44.554000000000002</v>
      </c>
      <c r="H81">
        <v>89.589500000000001</v>
      </c>
      <c r="I81">
        <v>75.692899999999995</v>
      </c>
      <c r="J81">
        <v>31.67</v>
      </c>
      <c r="K81">
        <v>58592.6613</v>
      </c>
      <c r="M81" s="43">
        <v>44176</v>
      </c>
      <c r="N81" s="5">
        <v>3.9929999999999999</v>
      </c>
      <c r="O81">
        <v>20.652100000000001</v>
      </c>
      <c r="P81">
        <v>1.2417</v>
      </c>
      <c r="Q81">
        <v>39.084099999999999</v>
      </c>
      <c r="R81">
        <v>0.66010000000000002</v>
      </c>
      <c r="S81">
        <v>195.11080000000001</v>
      </c>
      <c r="T81">
        <v>51.430999999999997</v>
      </c>
      <c r="U81">
        <v>40.930300000000003</v>
      </c>
      <c r="V81">
        <v>155.81</v>
      </c>
      <c r="W81">
        <v>129065.75870000001</v>
      </c>
      <c r="Y81" s="5">
        <v>0.89880000000000004</v>
      </c>
      <c r="Z81">
        <v>12.106400000000001</v>
      </c>
      <c r="AA81">
        <v>0.621</v>
      </c>
      <c r="AB81">
        <v>11.1836</v>
      </c>
      <c r="AC81">
        <v>-7.0300000000000001E-2</v>
      </c>
      <c r="AD81">
        <v>0</v>
      </c>
      <c r="AE81">
        <v>66.471500000000006</v>
      </c>
      <c r="AF81">
        <v>30.319900000000001</v>
      </c>
      <c r="AG81">
        <v>34.639000000000003</v>
      </c>
      <c r="AH81">
        <v>19618.049500000001</v>
      </c>
      <c r="AK81">
        <v>1.0684</v>
      </c>
      <c r="AL81">
        <v>28.8246</v>
      </c>
      <c r="AM81">
        <v>1.4662999999999999</v>
      </c>
      <c r="AN81">
        <v>22.478200000000001</v>
      </c>
      <c r="AO81">
        <v>1.3299999999999999E-2</v>
      </c>
      <c r="AP81" t="s">
        <v>23</v>
      </c>
      <c r="AQ81">
        <v>57.112200000000001</v>
      </c>
      <c r="AR81">
        <v>46.751300000000001</v>
      </c>
      <c r="AS81">
        <v>21.981999999999999</v>
      </c>
      <c r="AT81">
        <v>13317.980299999999</v>
      </c>
      <c r="AV81">
        <v>1.8946000000000001</v>
      </c>
      <c r="AW81">
        <v>4.2946999999999997</v>
      </c>
      <c r="AX81">
        <v>-5.4899999999999997E-2</v>
      </c>
      <c r="AY81">
        <v>11.3504</v>
      </c>
      <c r="AZ81">
        <v>5.1999999999999998E-3</v>
      </c>
      <c r="BA81" t="s">
        <v>23</v>
      </c>
      <c r="BB81">
        <v>11.623100000000001</v>
      </c>
      <c r="BC81">
        <v>0.69389999999999996</v>
      </c>
      <c r="BD81">
        <v>26.15</v>
      </c>
      <c r="BE81">
        <v>23703.800899999998</v>
      </c>
      <c r="BH81" s="5">
        <v>2.5613999999999999</v>
      </c>
      <c r="BI81">
        <v>-257.55579999999998</v>
      </c>
      <c r="BJ81">
        <v>0.84379999999999999</v>
      </c>
      <c r="BK81">
        <v>41.732199999999999</v>
      </c>
      <c r="BL81">
        <v>1.1578999999999999</v>
      </c>
      <c r="BM81" t="s">
        <v>23</v>
      </c>
      <c r="BN81">
        <v>10.8072</v>
      </c>
      <c r="BO81">
        <v>7.0823999999999998</v>
      </c>
      <c r="BP81">
        <v>17.436</v>
      </c>
      <c r="BQ81">
        <v>11958.278899999999</v>
      </c>
      <c r="CE81" s="1">
        <f t="shared" si="3"/>
        <v>44176</v>
      </c>
      <c r="CF81" s="35">
        <f t="shared" si="10"/>
        <v>2.8706908197360521</v>
      </c>
      <c r="CG81" s="36">
        <f t="shared" si="9"/>
        <v>-0.92074199019615433</v>
      </c>
      <c r="CH81">
        <f t="shared" ca="1" si="4"/>
        <v>-0.93280902464886872</v>
      </c>
      <c r="CI81">
        <f t="shared" ca="1" si="5"/>
        <v>-0.99753899992801265</v>
      </c>
      <c r="CJ81">
        <f t="shared" ca="1" si="6"/>
        <v>-1.0679141797955685</v>
      </c>
      <c r="CK81">
        <f t="shared" ca="1" si="7"/>
        <v>-1.1231909224919554</v>
      </c>
      <c r="CL81">
        <f t="shared" ca="1" si="8"/>
        <v>-1.2752146981256607</v>
      </c>
    </row>
    <row r="82" spans="1:90" x14ac:dyDescent="0.25">
      <c r="A82" s="43">
        <v>44183</v>
      </c>
      <c r="B82" s="5">
        <v>1.8925000000000001</v>
      </c>
      <c r="C82">
        <v>22.691199999999998</v>
      </c>
      <c r="D82">
        <v>1.2387999999999999</v>
      </c>
      <c r="E82">
        <v>38.938800000000001</v>
      </c>
      <c r="F82">
        <v>0.73450000000000004</v>
      </c>
      <c r="G82">
        <v>44.554000000000002</v>
      </c>
      <c r="H82">
        <v>89.589500000000001</v>
      </c>
      <c r="I82">
        <v>75.692899999999995</v>
      </c>
      <c r="J82">
        <v>30.77</v>
      </c>
      <c r="K82">
        <v>56927.236799999999</v>
      </c>
      <c r="M82" s="43">
        <v>44183</v>
      </c>
      <c r="N82" s="5">
        <v>3.9079000000000002</v>
      </c>
      <c r="O82">
        <v>20.652100000000001</v>
      </c>
      <c r="P82">
        <v>1.2417</v>
      </c>
      <c r="Q82">
        <v>39.084099999999999</v>
      </c>
      <c r="R82">
        <v>0.66010000000000002</v>
      </c>
      <c r="S82">
        <v>195.11080000000001</v>
      </c>
      <c r="T82">
        <v>51.430999999999997</v>
      </c>
      <c r="U82">
        <v>40.930300000000003</v>
      </c>
      <c r="V82">
        <v>151.82900000000001</v>
      </c>
      <c r="W82">
        <v>125768.6033</v>
      </c>
      <c r="Y82" s="5">
        <v>0.86299999999999999</v>
      </c>
      <c r="Z82">
        <v>12.106400000000001</v>
      </c>
      <c r="AA82">
        <v>0.621</v>
      </c>
      <c r="AB82">
        <v>11.1836</v>
      </c>
      <c r="AC82">
        <v>-7.0300000000000001E-2</v>
      </c>
      <c r="AD82">
        <v>0</v>
      </c>
      <c r="AE82">
        <v>66.471500000000006</v>
      </c>
      <c r="AF82">
        <v>30.319900000000001</v>
      </c>
      <c r="AG82">
        <v>33.359000000000002</v>
      </c>
      <c r="AH82">
        <v>18893.082399999999</v>
      </c>
      <c r="AK82">
        <v>1.0085</v>
      </c>
      <c r="AL82">
        <v>28.8246</v>
      </c>
      <c r="AM82">
        <v>1.4662999999999999</v>
      </c>
      <c r="AN82">
        <v>22.478200000000001</v>
      </c>
      <c r="AO82">
        <v>1.3299999999999999E-2</v>
      </c>
      <c r="AP82" t="s">
        <v>23</v>
      </c>
      <c r="AQ82">
        <v>57.112200000000001</v>
      </c>
      <c r="AR82">
        <v>46.751300000000001</v>
      </c>
      <c r="AS82">
        <v>20.734999999999999</v>
      </c>
      <c r="AT82">
        <v>12562.034799999999</v>
      </c>
      <c r="AV82">
        <v>1.8584000000000001</v>
      </c>
      <c r="AW82">
        <v>4.2946999999999997</v>
      </c>
      <c r="AX82">
        <v>-5.4899999999999997E-2</v>
      </c>
      <c r="AY82">
        <v>11.3504</v>
      </c>
      <c r="AZ82">
        <v>5.1999999999999998E-3</v>
      </c>
      <c r="BA82" t="s">
        <v>23</v>
      </c>
      <c r="BB82">
        <v>11.623100000000001</v>
      </c>
      <c r="BC82">
        <v>0.69389999999999996</v>
      </c>
      <c r="BD82">
        <v>25.65</v>
      </c>
      <c r="BE82">
        <v>23250.5733</v>
      </c>
      <c r="BH82" s="5">
        <v>2.4544000000000001</v>
      </c>
      <c r="BI82">
        <v>-257.55579999999998</v>
      </c>
      <c r="BJ82">
        <v>0.84379999999999999</v>
      </c>
      <c r="BK82">
        <v>41.732199999999999</v>
      </c>
      <c r="BL82">
        <v>1.1578999999999999</v>
      </c>
      <c r="BM82" t="s">
        <v>23</v>
      </c>
      <c r="BN82">
        <v>10.8072</v>
      </c>
      <c r="BO82">
        <v>7.0823999999999998</v>
      </c>
      <c r="BP82">
        <v>17.71</v>
      </c>
      <c r="BQ82">
        <v>11041.915499999999</v>
      </c>
      <c r="CE82" s="1">
        <f t="shared" si="3"/>
        <v>44183</v>
      </c>
      <c r="CF82" s="35">
        <f t="shared" si="10"/>
        <v>2.811543699284528</v>
      </c>
      <c r="CG82" s="36">
        <f t="shared" si="9"/>
        <v>-0.94859500218278936</v>
      </c>
      <c r="CH82">
        <f t="shared" ca="1" si="4"/>
        <v>-0.92507081230610289</v>
      </c>
      <c r="CI82">
        <f t="shared" ca="1" si="5"/>
        <v>-0.98986187372926404</v>
      </c>
      <c r="CJ82">
        <f t="shared" ca="1" si="6"/>
        <v>-1.0648472954437058</v>
      </c>
      <c r="CK82">
        <f t="shared" ca="1" si="7"/>
        <v>-1.1231909224919554</v>
      </c>
      <c r="CL82">
        <f t="shared" ca="1" si="8"/>
        <v>-1.2752146981256607</v>
      </c>
    </row>
    <row r="83" spans="1:90" x14ac:dyDescent="0.25">
      <c r="A83" s="43">
        <v>44190</v>
      </c>
      <c r="B83" s="5">
        <v>1.8895</v>
      </c>
      <c r="C83">
        <v>22.691199999999998</v>
      </c>
      <c r="D83">
        <v>1.2387999999999999</v>
      </c>
      <c r="E83">
        <v>38.938800000000001</v>
      </c>
      <c r="F83">
        <v>0.73450000000000004</v>
      </c>
      <c r="G83">
        <v>44.554000000000002</v>
      </c>
      <c r="H83">
        <v>89.589500000000001</v>
      </c>
      <c r="I83">
        <v>75.692899999999995</v>
      </c>
      <c r="J83">
        <v>30.687999999999999</v>
      </c>
      <c r="K83">
        <v>56775.834600000002</v>
      </c>
      <c r="M83" s="43">
        <v>44190</v>
      </c>
      <c r="N83" s="5">
        <v>3.8052999999999999</v>
      </c>
      <c r="O83">
        <v>20.652100000000001</v>
      </c>
      <c r="P83">
        <v>1.2417</v>
      </c>
      <c r="Q83">
        <v>39.084099999999999</v>
      </c>
      <c r="R83">
        <v>0.66010000000000002</v>
      </c>
      <c r="S83">
        <v>195.11080000000001</v>
      </c>
      <c r="T83">
        <v>51.430999999999997</v>
      </c>
      <c r="U83">
        <v>40.930300000000003</v>
      </c>
      <c r="V83">
        <v>147.03399999999999</v>
      </c>
      <c r="W83">
        <v>121796.1269</v>
      </c>
      <c r="Y83" s="5">
        <v>0.86080000000000001</v>
      </c>
      <c r="Z83">
        <v>12.106400000000001</v>
      </c>
      <c r="AA83">
        <v>0.621</v>
      </c>
      <c r="AB83">
        <v>11.1836</v>
      </c>
      <c r="AC83">
        <v>-7.0300000000000001E-2</v>
      </c>
      <c r="AD83">
        <v>0</v>
      </c>
      <c r="AE83">
        <v>66.471500000000006</v>
      </c>
      <c r="AF83">
        <v>30.319900000000001</v>
      </c>
      <c r="AG83">
        <v>33.280999999999999</v>
      </c>
      <c r="AH83">
        <v>18849.145</v>
      </c>
      <c r="AK83">
        <v>0.95209999999999995</v>
      </c>
      <c r="AL83">
        <v>28.8246</v>
      </c>
      <c r="AM83">
        <v>1.4662999999999999</v>
      </c>
      <c r="AN83">
        <v>22.478200000000001</v>
      </c>
      <c r="AO83">
        <v>1.3299999999999999E-2</v>
      </c>
      <c r="AP83" t="s">
        <v>23</v>
      </c>
      <c r="AQ83">
        <v>57.112200000000001</v>
      </c>
      <c r="AR83">
        <v>46.751300000000001</v>
      </c>
      <c r="AS83">
        <v>19.559999999999999</v>
      </c>
      <c r="AT83">
        <v>11850.556699999999</v>
      </c>
      <c r="AV83">
        <v>1.8656999999999999</v>
      </c>
      <c r="AW83">
        <v>4.2946999999999997</v>
      </c>
      <c r="AX83">
        <v>-5.4899999999999997E-2</v>
      </c>
      <c r="AY83">
        <v>11.3504</v>
      </c>
      <c r="AZ83">
        <v>5.1999999999999998E-3</v>
      </c>
      <c r="BA83" t="s">
        <v>23</v>
      </c>
      <c r="BB83">
        <v>11.623100000000001</v>
      </c>
      <c r="BC83">
        <v>0.69389999999999996</v>
      </c>
      <c r="BD83">
        <v>25.75</v>
      </c>
      <c r="BE83">
        <v>23341.218799999999</v>
      </c>
      <c r="BH83" s="5">
        <v>2.4278</v>
      </c>
      <c r="BI83">
        <v>-257.55579999999998</v>
      </c>
      <c r="BJ83">
        <v>0.84379999999999999</v>
      </c>
      <c r="BK83">
        <v>41.732199999999999</v>
      </c>
      <c r="BL83">
        <v>1.1578999999999999</v>
      </c>
      <c r="BM83" t="s">
        <v>23</v>
      </c>
      <c r="BN83">
        <v>10.8072</v>
      </c>
      <c r="BO83">
        <v>7.0823999999999998</v>
      </c>
      <c r="BP83">
        <v>17.344999999999999</v>
      </c>
      <c r="BQ83">
        <v>10814.247100000001</v>
      </c>
      <c r="CE83" s="1">
        <f t="shared" si="3"/>
        <v>44190</v>
      </c>
      <c r="CF83" s="35">
        <f t="shared" si="10"/>
        <v>2.74439231039627</v>
      </c>
      <c r="CG83" s="36">
        <f t="shared" si="9"/>
        <v>-0.98021730983438082</v>
      </c>
      <c r="CH83">
        <f t="shared" ca="1" si="4"/>
        <v>-0.92507081230610289</v>
      </c>
      <c r="CI83">
        <f t="shared" ca="1" si="5"/>
        <v>-0.97147912976272577</v>
      </c>
      <c r="CJ83">
        <f t="shared" ca="1" si="6"/>
        <v>-1.0648472954437058</v>
      </c>
      <c r="CK83">
        <f t="shared" ca="1" si="7"/>
        <v>-1.1231909224919554</v>
      </c>
      <c r="CL83">
        <f t="shared" ca="1" si="8"/>
        <v>-1.2752146981256607</v>
      </c>
    </row>
    <row r="84" spans="1:90" x14ac:dyDescent="0.25">
      <c r="A84" s="43">
        <v>44197</v>
      </c>
      <c r="B84" s="5">
        <v>2.468</v>
      </c>
      <c r="C84">
        <v>13.0237</v>
      </c>
      <c r="D84">
        <v>0.46400000000000002</v>
      </c>
      <c r="E84">
        <v>37.621099999999998</v>
      </c>
      <c r="F84">
        <v>1.2421</v>
      </c>
      <c r="G84">
        <v>44.554000000000002</v>
      </c>
      <c r="H84">
        <v>82.255799999999994</v>
      </c>
      <c r="I84">
        <v>66.604200000000006</v>
      </c>
      <c r="J84">
        <v>29.379000000000001</v>
      </c>
      <c r="K84">
        <v>54353.398999999998</v>
      </c>
      <c r="M84" s="43">
        <v>44197</v>
      </c>
      <c r="N84" s="5">
        <v>4.4545000000000003</v>
      </c>
      <c r="O84">
        <v>10.677300000000001</v>
      </c>
      <c r="P84">
        <v>0.2878</v>
      </c>
      <c r="Q84">
        <v>39.918999999999997</v>
      </c>
      <c r="R84">
        <v>1.0853999999999999</v>
      </c>
      <c r="S84">
        <v>195.11080000000001</v>
      </c>
      <c r="T84">
        <v>51.192</v>
      </c>
      <c r="U84">
        <v>38.009799999999998</v>
      </c>
      <c r="V84">
        <v>146.88999999999999</v>
      </c>
      <c r="W84">
        <v>121676.9526</v>
      </c>
      <c r="Y84" s="5">
        <v>1.2117</v>
      </c>
      <c r="Z84">
        <v>5.2942</v>
      </c>
      <c r="AA84">
        <v>0.14910000000000001</v>
      </c>
      <c r="AB84">
        <v>9.6834000000000007</v>
      </c>
      <c r="AC84">
        <v>0.1368</v>
      </c>
      <c r="AD84">
        <v>0</v>
      </c>
      <c r="AE84">
        <v>64.1982</v>
      </c>
      <c r="AF84">
        <v>21.448499999999999</v>
      </c>
      <c r="AG84">
        <v>32.466999999999999</v>
      </c>
      <c r="AH84">
        <v>18387.802299999999</v>
      </c>
      <c r="AK84">
        <v>1.1036999999999999</v>
      </c>
      <c r="AL84">
        <v>19.1401</v>
      </c>
      <c r="AM84">
        <v>0.60640000000000005</v>
      </c>
      <c r="AN84">
        <v>22.585899999999999</v>
      </c>
      <c r="AO84">
        <v>-6.2899999999999998E-2</v>
      </c>
      <c r="AP84" t="s">
        <v>23</v>
      </c>
      <c r="AQ84">
        <v>53.942999999999998</v>
      </c>
      <c r="AR84">
        <v>42.523200000000003</v>
      </c>
      <c r="AS84">
        <v>21.469000000000001</v>
      </c>
      <c r="AT84">
        <v>13006.7086</v>
      </c>
      <c r="AV84">
        <v>2.1511</v>
      </c>
      <c r="AW84">
        <v>-10.4247</v>
      </c>
      <c r="AX84">
        <v>-0.6048</v>
      </c>
      <c r="AY84">
        <v>12.15</v>
      </c>
      <c r="AZ84">
        <v>5.1999999999999998E-3</v>
      </c>
      <c r="BA84" t="s">
        <v>23</v>
      </c>
      <c r="BB84">
        <v>-6.2350000000000003</v>
      </c>
      <c r="BC84">
        <v>-17.766100000000002</v>
      </c>
      <c r="BD84">
        <v>28.6</v>
      </c>
      <c r="BE84">
        <v>25924.615900000001</v>
      </c>
      <c r="BH84" s="5">
        <v>9.0330999999999992</v>
      </c>
      <c r="BI84">
        <v>-187.3066</v>
      </c>
      <c r="BJ84">
        <v>0.21299999999999999</v>
      </c>
      <c r="BK84">
        <v>48.721299999999999</v>
      </c>
      <c r="BL84">
        <v>5.0805999999999996</v>
      </c>
      <c r="BM84" t="s">
        <v>23</v>
      </c>
      <c r="BN84">
        <v>4.0471000000000004</v>
      </c>
      <c r="BO84">
        <v>-0.18740000000000001</v>
      </c>
      <c r="BP84">
        <v>18.120999999999999</v>
      </c>
      <c r="BQ84">
        <v>11298.0424</v>
      </c>
      <c r="CE84" s="1">
        <f t="shared" si="3"/>
        <v>44197</v>
      </c>
      <c r="CF84" s="35">
        <f t="shared" si="10"/>
        <v>3.558642097154495</v>
      </c>
      <c r="CG84" s="36">
        <f t="shared" si="9"/>
        <v>-0.59677837151312529</v>
      </c>
      <c r="CH84">
        <f t="shared" ca="1" si="4"/>
        <v>-0.92507081230610289</v>
      </c>
      <c r="CI84">
        <f t="shared" ca="1" si="5"/>
        <v>-0.97147912976272577</v>
      </c>
      <c r="CJ84">
        <f t="shared" ca="1" si="6"/>
        <v>-1.0648472954437058</v>
      </c>
      <c r="CK84">
        <f t="shared" ca="1" si="7"/>
        <v>-1.1231909224919554</v>
      </c>
      <c r="CL84">
        <f t="shared" ca="1" si="8"/>
        <v>-1.2752146981256607</v>
      </c>
    </row>
    <row r="85" spans="1:90" x14ac:dyDescent="0.25">
      <c r="A85" s="43">
        <v>44204</v>
      </c>
      <c r="B85" s="5">
        <v>2.4952999999999999</v>
      </c>
      <c r="C85">
        <v>13.0237</v>
      </c>
      <c r="D85">
        <v>0.46400000000000002</v>
      </c>
      <c r="E85">
        <v>37.621099999999998</v>
      </c>
      <c r="F85">
        <v>1.2421</v>
      </c>
      <c r="G85">
        <v>44.554000000000002</v>
      </c>
      <c r="H85">
        <v>82.255799999999994</v>
      </c>
      <c r="I85">
        <v>66.604200000000006</v>
      </c>
      <c r="J85">
        <v>30.033000000000001</v>
      </c>
      <c r="K85">
        <v>55564.616800000003</v>
      </c>
      <c r="M85" s="43">
        <v>44204</v>
      </c>
      <c r="N85" s="5">
        <v>4.5106000000000002</v>
      </c>
      <c r="O85">
        <v>10.677300000000001</v>
      </c>
      <c r="P85">
        <v>0.2878</v>
      </c>
      <c r="Q85">
        <v>39.918999999999997</v>
      </c>
      <c r="R85">
        <v>1.0853999999999999</v>
      </c>
      <c r="S85">
        <v>195.11080000000001</v>
      </c>
      <c r="T85">
        <v>51.192</v>
      </c>
      <c r="U85">
        <v>38.009799999999998</v>
      </c>
      <c r="V85">
        <v>149.33600000000001</v>
      </c>
      <c r="W85">
        <v>123702.91559999999</v>
      </c>
      <c r="Y85" s="5">
        <v>1.2001999999999999</v>
      </c>
      <c r="Z85">
        <v>5.2942</v>
      </c>
      <c r="AA85">
        <v>0.14910000000000001</v>
      </c>
      <c r="AB85">
        <v>9.6834000000000007</v>
      </c>
      <c r="AC85">
        <v>0.1368</v>
      </c>
      <c r="AD85">
        <v>0</v>
      </c>
      <c r="AE85">
        <v>64.1982</v>
      </c>
      <c r="AF85">
        <v>21.448499999999999</v>
      </c>
      <c r="AG85">
        <v>32.118000000000002</v>
      </c>
      <c r="AH85">
        <v>18190.083999999999</v>
      </c>
      <c r="AK85">
        <v>1.0478000000000001</v>
      </c>
      <c r="AL85">
        <v>19.1401</v>
      </c>
      <c r="AM85">
        <v>0.60640000000000005</v>
      </c>
      <c r="AN85">
        <v>22.585899999999999</v>
      </c>
      <c r="AO85">
        <v>-6.2899999999999998E-2</v>
      </c>
      <c r="AP85" t="s">
        <v>23</v>
      </c>
      <c r="AQ85">
        <v>53.942999999999998</v>
      </c>
      <c r="AR85">
        <v>42.523200000000003</v>
      </c>
      <c r="AS85">
        <v>20.440999999999999</v>
      </c>
      <c r="AT85">
        <v>12384.165300000001</v>
      </c>
      <c r="AV85">
        <v>2.1511</v>
      </c>
      <c r="AW85">
        <v>-10.4247</v>
      </c>
      <c r="AX85">
        <v>-0.6048</v>
      </c>
      <c r="AY85">
        <v>12.15</v>
      </c>
      <c r="AZ85">
        <v>5.1999999999999998E-3</v>
      </c>
      <c r="BA85" t="s">
        <v>23</v>
      </c>
      <c r="BB85">
        <v>-6.2350000000000003</v>
      </c>
      <c r="BC85">
        <v>-17.766100000000002</v>
      </c>
      <c r="BD85">
        <v>26.9</v>
      </c>
      <c r="BE85">
        <v>24383.642199999998</v>
      </c>
      <c r="BH85" s="5">
        <v>8.8642000000000003</v>
      </c>
      <c r="BI85">
        <v>-187.3066</v>
      </c>
      <c r="BJ85">
        <v>0.21299999999999999</v>
      </c>
      <c r="BK85">
        <v>48.721299999999999</v>
      </c>
      <c r="BL85">
        <v>5.0805999999999996</v>
      </c>
      <c r="BM85" t="s">
        <v>23</v>
      </c>
      <c r="BN85">
        <v>4.0471000000000004</v>
      </c>
      <c r="BO85">
        <v>-0.18740000000000001</v>
      </c>
      <c r="BP85">
        <v>17.344999999999999</v>
      </c>
      <c r="BQ85">
        <v>10814.247100000001</v>
      </c>
      <c r="CE85" s="1">
        <f t="shared" si="3"/>
        <v>44204</v>
      </c>
      <c r="CF85" s="35">
        <f t="shared" si="10"/>
        <v>3.5902102092880295</v>
      </c>
      <c r="CG85" s="36">
        <f t="shared" si="9"/>
        <v>-0.58191260968163594</v>
      </c>
      <c r="CH85">
        <f t="shared" ca="1" si="4"/>
        <v>-0.92109370603174212</v>
      </c>
      <c r="CI85">
        <f t="shared" ca="1" si="5"/>
        <v>-0.94813681952772078</v>
      </c>
      <c r="CJ85">
        <f t="shared" ca="1" si="6"/>
        <v>-1.0648472954437058</v>
      </c>
      <c r="CK85">
        <f t="shared" ca="1" si="7"/>
        <v>-1.1231909224919554</v>
      </c>
      <c r="CL85">
        <f t="shared" ca="1" si="8"/>
        <v>-1.2752146981256607</v>
      </c>
    </row>
    <row r="86" spans="1:90" x14ac:dyDescent="0.25">
      <c r="A86" s="43">
        <v>44211</v>
      </c>
      <c r="B86" s="5">
        <v>2.4748000000000001</v>
      </c>
      <c r="C86">
        <v>13.0237</v>
      </c>
      <c r="D86">
        <v>0.46400000000000002</v>
      </c>
      <c r="E86">
        <v>37.621099999999998</v>
      </c>
      <c r="F86">
        <v>1.2421</v>
      </c>
      <c r="G86">
        <v>44.554000000000002</v>
      </c>
      <c r="H86">
        <v>82.255799999999994</v>
      </c>
      <c r="I86">
        <v>66.604200000000006</v>
      </c>
      <c r="J86">
        <v>29.542000000000002</v>
      </c>
      <c r="K86">
        <v>54656.203399999999</v>
      </c>
      <c r="M86" s="43">
        <v>44211</v>
      </c>
      <c r="N86" s="5">
        <v>4.5513000000000003</v>
      </c>
      <c r="O86">
        <v>10.677300000000001</v>
      </c>
      <c r="P86">
        <v>0.2878</v>
      </c>
      <c r="Q86">
        <v>39.918999999999997</v>
      </c>
      <c r="R86">
        <v>1.0853999999999999</v>
      </c>
      <c r="S86">
        <v>195.11080000000001</v>
      </c>
      <c r="T86">
        <v>51.192</v>
      </c>
      <c r="U86">
        <v>38.009799999999998</v>
      </c>
      <c r="V86">
        <v>151.11000000000001</v>
      </c>
      <c r="W86">
        <v>125172.73179999999</v>
      </c>
      <c r="Y86" s="5">
        <v>1.1591</v>
      </c>
      <c r="Z86">
        <v>5.2942</v>
      </c>
      <c r="AA86">
        <v>0.14910000000000001</v>
      </c>
      <c r="AB86">
        <v>9.6834000000000007</v>
      </c>
      <c r="AC86">
        <v>0.1368</v>
      </c>
      <c r="AD86">
        <v>0</v>
      </c>
      <c r="AE86">
        <v>64.1982</v>
      </c>
      <c r="AF86">
        <v>21.448499999999999</v>
      </c>
      <c r="AG86">
        <v>30.876000000000001</v>
      </c>
      <c r="AH86">
        <v>17487.085599999999</v>
      </c>
      <c r="AK86">
        <v>1.0279</v>
      </c>
      <c r="AL86">
        <v>19.1401</v>
      </c>
      <c r="AM86">
        <v>0.60640000000000005</v>
      </c>
      <c r="AN86">
        <v>22.585899999999999</v>
      </c>
      <c r="AO86">
        <v>-6.2899999999999998E-2</v>
      </c>
      <c r="AP86" t="s">
        <v>23</v>
      </c>
      <c r="AQ86">
        <v>53.942999999999998</v>
      </c>
      <c r="AR86">
        <v>42.523200000000003</v>
      </c>
      <c r="AS86">
        <v>20.074000000000002</v>
      </c>
      <c r="AT86">
        <v>12161.8284</v>
      </c>
      <c r="AV86">
        <v>2.1511</v>
      </c>
      <c r="AW86">
        <v>-10.4247</v>
      </c>
      <c r="AX86">
        <v>-0.6048</v>
      </c>
      <c r="AY86">
        <v>12.15</v>
      </c>
      <c r="AZ86">
        <v>5.1999999999999998E-3</v>
      </c>
      <c r="BA86" t="s">
        <v>23</v>
      </c>
      <c r="BB86">
        <v>-6.2350000000000003</v>
      </c>
      <c r="BC86">
        <v>-17.766100000000002</v>
      </c>
      <c r="BD86">
        <v>27.05</v>
      </c>
      <c r="BE86">
        <v>24519.610499999999</v>
      </c>
      <c r="BH86" s="5">
        <v>8.9337999999999997</v>
      </c>
      <c r="BI86">
        <v>-187.3066</v>
      </c>
      <c r="BJ86">
        <v>0.21299999999999999</v>
      </c>
      <c r="BK86">
        <v>48.721299999999999</v>
      </c>
      <c r="BL86">
        <v>5.0805999999999996</v>
      </c>
      <c r="BM86" t="s">
        <v>23</v>
      </c>
      <c r="BN86">
        <v>4.0471000000000004</v>
      </c>
      <c r="BO86">
        <v>-0.18740000000000001</v>
      </c>
      <c r="BP86">
        <v>17.664000000000001</v>
      </c>
      <c r="BQ86">
        <v>11013.456899999999</v>
      </c>
      <c r="CE86" s="1">
        <f t="shared" si="3"/>
        <v>44211</v>
      </c>
      <c r="CF86" s="35">
        <f t="shared" si="10"/>
        <v>3.6278726616818426</v>
      </c>
      <c r="CG86" s="36">
        <f t="shared" si="9"/>
        <v>-0.56417695780267929</v>
      </c>
      <c r="CH86">
        <f t="shared" ca="1" si="4"/>
        <v>-0.90217056536057161</v>
      </c>
      <c r="CI86">
        <f t="shared" ca="1" si="5"/>
        <v>-0.94664790402031596</v>
      </c>
      <c r="CJ86">
        <f t="shared" ca="1" si="6"/>
        <v>-1.0648472954437058</v>
      </c>
      <c r="CK86">
        <f t="shared" ca="1" si="7"/>
        <v>-1.1231909224919554</v>
      </c>
      <c r="CL86">
        <f t="shared" ca="1" si="8"/>
        <v>-1.2752146981256607</v>
      </c>
    </row>
    <row r="87" spans="1:90" x14ac:dyDescent="0.25">
      <c r="A87" s="43">
        <v>44218</v>
      </c>
      <c r="B87" s="5">
        <v>2.4323000000000001</v>
      </c>
      <c r="C87">
        <v>13.0237</v>
      </c>
      <c r="D87">
        <v>0.46400000000000002</v>
      </c>
      <c r="E87">
        <v>37.621099999999998</v>
      </c>
      <c r="F87">
        <v>1.2421</v>
      </c>
      <c r="G87">
        <v>44.554000000000002</v>
      </c>
      <c r="H87">
        <v>82.255799999999994</v>
      </c>
      <c r="I87">
        <v>66.604200000000006</v>
      </c>
      <c r="J87">
        <v>28.52</v>
      </c>
      <c r="K87">
        <v>52763.675600000002</v>
      </c>
      <c r="M87" s="43">
        <v>44218</v>
      </c>
      <c r="N87" s="5">
        <v>4.4676999999999998</v>
      </c>
      <c r="O87">
        <v>10.677300000000001</v>
      </c>
      <c r="P87">
        <v>0.2878</v>
      </c>
      <c r="Q87">
        <v>39.918999999999997</v>
      </c>
      <c r="R87">
        <v>1.0853999999999999</v>
      </c>
      <c r="S87">
        <v>195.11080000000001</v>
      </c>
      <c r="T87">
        <v>51.192</v>
      </c>
      <c r="U87">
        <v>38.009799999999998</v>
      </c>
      <c r="V87">
        <v>147.465</v>
      </c>
      <c r="W87">
        <v>122153.6498</v>
      </c>
      <c r="Y87" s="5">
        <v>1.1026</v>
      </c>
      <c r="Z87">
        <v>5.2942</v>
      </c>
      <c r="AA87">
        <v>0.14910000000000001</v>
      </c>
      <c r="AB87">
        <v>9.6834000000000007</v>
      </c>
      <c r="AC87">
        <v>0.1368</v>
      </c>
      <c r="AD87">
        <v>0</v>
      </c>
      <c r="AE87">
        <v>64.1982</v>
      </c>
      <c r="AF87">
        <v>21.448499999999999</v>
      </c>
      <c r="AG87">
        <v>29.17</v>
      </c>
      <c r="AH87">
        <v>16520.4627</v>
      </c>
      <c r="AK87">
        <v>1.0199</v>
      </c>
      <c r="AL87">
        <v>19.1401</v>
      </c>
      <c r="AM87">
        <v>0.60640000000000005</v>
      </c>
      <c r="AN87">
        <v>22.585899999999999</v>
      </c>
      <c r="AO87">
        <v>-6.2899999999999998E-2</v>
      </c>
      <c r="AP87" t="s">
        <v>23</v>
      </c>
      <c r="AQ87">
        <v>53.942999999999998</v>
      </c>
      <c r="AR87">
        <v>42.523200000000003</v>
      </c>
      <c r="AS87">
        <v>19.927</v>
      </c>
      <c r="AT87">
        <v>12072.893599999999</v>
      </c>
      <c r="AV87">
        <v>2.1511</v>
      </c>
      <c r="AW87">
        <v>-10.4247</v>
      </c>
      <c r="AX87">
        <v>-0.6048</v>
      </c>
      <c r="AY87">
        <v>12.15</v>
      </c>
      <c r="AZ87">
        <v>5.1999999999999998E-3</v>
      </c>
      <c r="BA87" t="s">
        <v>23</v>
      </c>
      <c r="BB87">
        <v>-6.2350000000000003</v>
      </c>
      <c r="BC87">
        <v>-17.766100000000002</v>
      </c>
      <c r="BD87">
        <v>26.1</v>
      </c>
      <c r="BE87">
        <v>23658.4781</v>
      </c>
      <c r="BH87" s="5">
        <v>8.7548999999999992</v>
      </c>
      <c r="BI87">
        <v>-187.3066</v>
      </c>
      <c r="BJ87">
        <v>0.21299999999999999</v>
      </c>
      <c r="BK87">
        <v>48.721299999999999</v>
      </c>
      <c r="BL87">
        <v>5.0805999999999996</v>
      </c>
      <c r="BM87" t="s">
        <v>23</v>
      </c>
      <c r="BN87">
        <v>4.0471000000000004</v>
      </c>
      <c r="BO87">
        <v>-0.18740000000000001</v>
      </c>
      <c r="BP87">
        <v>16.843</v>
      </c>
      <c r="BQ87">
        <v>10501.203100000001</v>
      </c>
      <c r="CE87" s="1">
        <f t="shared" si="3"/>
        <v>44218</v>
      </c>
      <c r="CF87" s="35">
        <f t="shared" si="10"/>
        <v>3.5656119705032854</v>
      </c>
      <c r="CG87" s="36">
        <f t="shared" si="9"/>
        <v>-0.59349618356471467</v>
      </c>
      <c r="CH87">
        <f t="shared" ca="1" si="4"/>
        <v>-0.88128727671666907</v>
      </c>
      <c r="CI87">
        <f t="shared" ca="1" si="5"/>
        <v>-0.94613067631996139</v>
      </c>
      <c r="CJ87">
        <f t="shared" ca="1" si="6"/>
        <v>-1.0648472954437058</v>
      </c>
      <c r="CK87">
        <f t="shared" ca="1" si="7"/>
        <v>-1.1231909224919554</v>
      </c>
      <c r="CL87">
        <f t="shared" ca="1" si="8"/>
        <v>-1.2752146981256607</v>
      </c>
    </row>
    <row r="88" spans="1:90" x14ac:dyDescent="0.25">
      <c r="A88" s="43">
        <v>44225</v>
      </c>
      <c r="B88" s="5">
        <v>2.4016999999999999</v>
      </c>
      <c r="C88">
        <v>13.0237</v>
      </c>
      <c r="D88">
        <v>0.46400000000000002</v>
      </c>
      <c r="E88">
        <v>37.621099999999998</v>
      </c>
      <c r="F88">
        <v>1.2421</v>
      </c>
      <c r="G88">
        <v>44.554000000000002</v>
      </c>
      <c r="H88">
        <v>82.255799999999994</v>
      </c>
      <c r="I88">
        <v>66.604200000000006</v>
      </c>
      <c r="J88">
        <v>27.783000000000001</v>
      </c>
      <c r="K88">
        <v>51401.0556</v>
      </c>
      <c r="M88" s="43">
        <v>44225</v>
      </c>
      <c r="N88" s="5">
        <v>4.4215</v>
      </c>
      <c r="O88">
        <v>10.677300000000001</v>
      </c>
      <c r="P88">
        <v>0.2878</v>
      </c>
      <c r="Q88">
        <v>39.918999999999997</v>
      </c>
      <c r="R88">
        <v>1.0853999999999999</v>
      </c>
      <c r="S88">
        <v>195.11080000000001</v>
      </c>
      <c r="T88">
        <v>51.192</v>
      </c>
      <c r="U88">
        <v>38.009799999999998</v>
      </c>
      <c r="V88">
        <v>145.45099999999999</v>
      </c>
      <c r="W88">
        <v>120485.20970000001</v>
      </c>
      <c r="Y88" s="5">
        <v>1.2028000000000001</v>
      </c>
      <c r="Z88">
        <v>5.2942</v>
      </c>
      <c r="AA88">
        <v>0.14910000000000001</v>
      </c>
      <c r="AB88">
        <v>9.6834000000000007</v>
      </c>
      <c r="AC88">
        <v>0.1368</v>
      </c>
      <c r="AD88">
        <v>0</v>
      </c>
      <c r="AE88">
        <v>64.1982</v>
      </c>
      <c r="AF88">
        <v>21.448499999999999</v>
      </c>
      <c r="AG88">
        <v>32.195</v>
      </c>
      <c r="AH88">
        <v>18234.021400000001</v>
      </c>
      <c r="AK88">
        <v>0.99</v>
      </c>
      <c r="AL88">
        <v>19.1401</v>
      </c>
      <c r="AM88">
        <v>0.60640000000000005</v>
      </c>
      <c r="AN88">
        <v>22.585899999999999</v>
      </c>
      <c r="AO88">
        <v>-6.2899999999999998E-2</v>
      </c>
      <c r="AP88" t="s">
        <v>23</v>
      </c>
      <c r="AQ88">
        <v>53.942999999999998</v>
      </c>
      <c r="AR88">
        <v>42.523200000000003</v>
      </c>
      <c r="AS88">
        <v>19.376999999999999</v>
      </c>
      <c r="AT88">
        <v>11739.388300000001</v>
      </c>
      <c r="AV88">
        <v>2.1511</v>
      </c>
      <c r="AW88">
        <v>-10.4247</v>
      </c>
      <c r="AX88">
        <v>-0.6048</v>
      </c>
      <c r="AY88">
        <v>12.15</v>
      </c>
      <c r="AZ88">
        <v>5.1999999999999998E-3</v>
      </c>
      <c r="BA88" t="s">
        <v>23</v>
      </c>
      <c r="BB88">
        <v>-6.2350000000000003</v>
      </c>
      <c r="BC88">
        <v>-17.766100000000002</v>
      </c>
      <c r="BD88">
        <v>26.1</v>
      </c>
      <c r="BE88">
        <v>23658.4781</v>
      </c>
      <c r="BH88" s="5">
        <v>8.6555999999999997</v>
      </c>
      <c r="BI88">
        <v>-187.3066</v>
      </c>
      <c r="BJ88">
        <v>0.21299999999999999</v>
      </c>
      <c r="BK88">
        <v>48.721299999999999</v>
      </c>
      <c r="BL88">
        <v>5.0805999999999996</v>
      </c>
      <c r="BM88" t="s">
        <v>23</v>
      </c>
      <c r="BN88">
        <v>4.0471000000000004</v>
      </c>
      <c r="BO88">
        <v>-0.18740000000000001</v>
      </c>
      <c r="BP88">
        <v>16.385999999999999</v>
      </c>
      <c r="BQ88">
        <v>10216.617700000001</v>
      </c>
      <c r="CE88" s="1">
        <f t="shared" si="3"/>
        <v>44225</v>
      </c>
      <c r="CF88" s="35">
        <f t="shared" si="10"/>
        <v>3.5168840424834773</v>
      </c>
      <c r="CG88" s="36">
        <f t="shared" si="9"/>
        <v>-0.61644268633372024</v>
      </c>
      <c r="CH88">
        <f t="shared" ca="1" si="4"/>
        <v>-0.86019745781918056</v>
      </c>
      <c r="CI88">
        <f t="shared" ca="1" si="5"/>
        <v>-0.94339334389277063</v>
      </c>
      <c r="CJ88">
        <f t="shared" ca="1" si="6"/>
        <v>-1.0503246167430338</v>
      </c>
      <c r="CK88">
        <f t="shared" ca="1" si="7"/>
        <v>-1.1231909224919554</v>
      </c>
      <c r="CL88">
        <f t="shared" ca="1" si="8"/>
        <v>-1.2752146981256607</v>
      </c>
    </row>
    <row r="89" spans="1:90" x14ac:dyDescent="0.25">
      <c r="A89" s="43">
        <v>44232</v>
      </c>
      <c r="B89" s="5">
        <v>2.4849999999999999</v>
      </c>
      <c r="C89">
        <v>13.0237</v>
      </c>
      <c r="D89">
        <v>0.46400000000000002</v>
      </c>
      <c r="E89">
        <v>37.621099999999998</v>
      </c>
      <c r="F89">
        <v>1.2421</v>
      </c>
      <c r="G89">
        <v>44.554000000000002</v>
      </c>
      <c r="H89">
        <v>82.255799999999994</v>
      </c>
      <c r="I89">
        <v>66.604200000000006</v>
      </c>
      <c r="J89">
        <v>29.788</v>
      </c>
      <c r="K89">
        <v>55110.410100000001</v>
      </c>
      <c r="M89" s="43">
        <v>44232</v>
      </c>
      <c r="N89" s="5">
        <v>4.5392000000000001</v>
      </c>
      <c r="O89">
        <v>10.677300000000001</v>
      </c>
      <c r="P89">
        <v>0.2878</v>
      </c>
      <c r="Q89">
        <v>39.918999999999997</v>
      </c>
      <c r="R89">
        <v>1.0853999999999999</v>
      </c>
      <c r="S89">
        <v>195.11080000000001</v>
      </c>
      <c r="T89">
        <v>51.192</v>
      </c>
      <c r="U89">
        <v>38.009799999999998</v>
      </c>
      <c r="V89">
        <v>150.583</v>
      </c>
      <c r="W89">
        <v>124735.7594</v>
      </c>
      <c r="Y89" s="5">
        <v>1.2028000000000001</v>
      </c>
      <c r="Z89">
        <v>5.2942</v>
      </c>
      <c r="AA89">
        <v>0.14910000000000001</v>
      </c>
      <c r="AB89">
        <v>9.6834000000000007</v>
      </c>
      <c r="AC89">
        <v>0.1368</v>
      </c>
      <c r="AD89">
        <v>0</v>
      </c>
      <c r="AE89">
        <v>64.1982</v>
      </c>
      <c r="AF89">
        <v>21.448499999999999</v>
      </c>
      <c r="AG89">
        <v>32.195</v>
      </c>
      <c r="AH89">
        <v>18234.021400000001</v>
      </c>
      <c r="AK89">
        <v>1.0299</v>
      </c>
      <c r="AL89">
        <v>19.1401</v>
      </c>
      <c r="AM89">
        <v>0.60640000000000005</v>
      </c>
      <c r="AN89">
        <v>22.585899999999999</v>
      </c>
      <c r="AO89">
        <v>-6.2899999999999998E-2</v>
      </c>
      <c r="AP89" t="s">
        <v>23</v>
      </c>
      <c r="AQ89">
        <v>53.942999999999998</v>
      </c>
      <c r="AR89">
        <v>42.523200000000003</v>
      </c>
      <c r="AS89">
        <v>20.111000000000001</v>
      </c>
      <c r="AT89">
        <v>12184.062099999999</v>
      </c>
      <c r="AV89">
        <v>2.1511</v>
      </c>
      <c r="AW89">
        <v>-10.4247</v>
      </c>
      <c r="AX89">
        <v>-0.6048</v>
      </c>
      <c r="AY89">
        <v>12.15</v>
      </c>
      <c r="AZ89">
        <v>5.1999999999999998E-3</v>
      </c>
      <c r="BA89" t="s">
        <v>23</v>
      </c>
      <c r="BB89">
        <v>-6.2350000000000003</v>
      </c>
      <c r="BC89">
        <v>-17.766100000000002</v>
      </c>
      <c r="BD89">
        <v>27.45</v>
      </c>
      <c r="BE89">
        <v>24882.192500000001</v>
      </c>
      <c r="BH89" s="5">
        <v>8.7848000000000006</v>
      </c>
      <c r="BI89">
        <v>-187.3066</v>
      </c>
      <c r="BJ89">
        <v>0.21299999999999999</v>
      </c>
      <c r="BK89">
        <v>48.721299999999999</v>
      </c>
      <c r="BL89">
        <v>5.0805999999999996</v>
      </c>
      <c r="BM89" t="s">
        <v>23</v>
      </c>
      <c r="BN89">
        <v>4.0471000000000004</v>
      </c>
      <c r="BO89">
        <v>-0.18740000000000001</v>
      </c>
      <c r="BP89">
        <v>16.98</v>
      </c>
      <c r="BQ89">
        <v>10586.5787</v>
      </c>
      <c r="CE89" s="1">
        <f t="shared" si="3"/>
        <v>44232</v>
      </c>
      <c r="CF89" s="35">
        <f t="shared" si="10"/>
        <v>3.5980318005389202</v>
      </c>
      <c r="CG89" s="36">
        <f t="shared" si="9"/>
        <v>-0.57822933865842241</v>
      </c>
      <c r="CH89">
        <f t="shared" ca="1" si="4"/>
        <v>-0.84195744685356455</v>
      </c>
      <c r="CI89">
        <f t="shared" ca="1" si="5"/>
        <v>-0.93673839711978291</v>
      </c>
      <c r="CJ89">
        <f t="shared" ca="1" si="6"/>
        <v>-1.0360896099322674</v>
      </c>
      <c r="CK89">
        <f t="shared" ca="1" si="7"/>
        <v>-1.1231909224919554</v>
      </c>
      <c r="CL89">
        <f t="shared" ca="1" si="8"/>
        <v>-1.2752146981256607</v>
      </c>
    </row>
    <row r="90" spans="1:90" x14ac:dyDescent="0.25">
      <c r="A90" s="43">
        <v>44239</v>
      </c>
      <c r="B90" s="5">
        <v>2.4390999999999998</v>
      </c>
      <c r="C90">
        <v>13.0237</v>
      </c>
      <c r="D90">
        <v>0.46400000000000002</v>
      </c>
      <c r="E90">
        <v>37.621099999999998</v>
      </c>
      <c r="F90">
        <v>1.2421</v>
      </c>
      <c r="G90">
        <v>44.554000000000002</v>
      </c>
      <c r="H90">
        <v>82.255799999999994</v>
      </c>
      <c r="I90">
        <v>66.604200000000006</v>
      </c>
      <c r="J90">
        <v>28.683</v>
      </c>
      <c r="K90">
        <v>53066.480100000001</v>
      </c>
      <c r="M90" s="43">
        <v>44239</v>
      </c>
      <c r="N90" s="5">
        <v>4.4028</v>
      </c>
      <c r="O90">
        <v>10.677300000000001</v>
      </c>
      <c r="P90">
        <v>0.2878</v>
      </c>
      <c r="Q90">
        <v>39.918999999999997</v>
      </c>
      <c r="R90">
        <v>1.0853999999999999</v>
      </c>
      <c r="S90">
        <v>195.11080000000001</v>
      </c>
      <c r="T90">
        <v>51.192</v>
      </c>
      <c r="U90">
        <v>38.009799999999998</v>
      </c>
      <c r="V90">
        <v>144.636</v>
      </c>
      <c r="W90">
        <v>119809.8887</v>
      </c>
      <c r="Y90" s="5">
        <v>1.2233000000000001</v>
      </c>
      <c r="Z90">
        <v>5.2942</v>
      </c>
      <c r="AA90">
        <v>0.14910000000000001</v>
      </c>
      <c r="AB90">
        <v>9.6834000000000007</v>
      </c>
      <c r="AC90">
        <v>0.1368</v>
      </c>
      <c r="AD90">
        <v>0</v>
      </c>
      <c r="AE90">
        <v>64.1982</v>
      </c>
      <c r="AF90">
        <v>21.448499999999999</v>
      </c>
      <c r="AG90">
        <v>32.816000000000003</v>
      </c>
      <c r="AH90">
        <v>18585.5206</v>
      </c>
      <c r="AK90">
        <v>1.0638000000000001</v>
      </c>
      <c r="AL90">
        <v>19.1401</v>
      </c>
      <c r="AM90">
        <v>0.60640000000000005</v>
      </c>
      <c r="AN90">
        <v>22.585899999999999</v>
      </c>
      <c r="AO90">
        <v>-6.2899999999999998E-2</v>
      </c>
      <c r="AP90" t="s">
        <v>23</v>
      </c>
      <c r="AQ90">
        <v>53.942999999999998</v>
      </c>
      <c r="AR90">
        <v>42.523200000000003</v>
      </c>
      <c r="AS90">
        <v>20.734999999999999</v>
      </c>
      <c r="AT90">
        <v>12562.034799999999</v>
      </c>
      <c r="AV90">
        <v>2.1511</v>
      </c>
      <c r="AW90">
        <v>-10.4247</v>
      </c>
      <c r="AX90">
        <v>-0.6048</v>
      </c>
      <c r="AY90">
        <v>12.15</v>
      </c>
      <c r="AZ90">
        <v>5.1999999999999998E-3</v>
      </c>
      <c r="BA90" t="s">
        <v>23</v>
      </c>
      <c r="BB90">
        <v>-6.2350000000000003</v>
      </c>
      <c r="BC90">
        <v>-17.766100000000002</v>
      </c>
      <c r="BD90">
        <v>27.75</v>
      </c>
      <c r="BE90">
        <v>25154.129000000001</v>
      </c>
      <c r="BH90" s="5">
        <v>8.7947000000000006</v>
      </c>
      <c r="BI90">
        <v>-187.3066</v>
      </c>
      <c r="BJ90">
        <v>0.21299999999999999</v>
      </c>
      <c r="BK90">
        <v>48.721299999999999</v>
      </c>
      <c r="BL90">
        <v>5.0805999999999996</v>
      </c>
      <c r="BM90" t="s">
        <v>23</v>
      </c>
      <c r="BN90">
        <v>4.0471000000000004</v>
      </c>
      <c r="BO90">
        <v>-0.18740000000000001</v>
      </c>
      <c r="BP90">
        <v>17.024999999999999</v>
      </c>
      <c r="BQ90">
        <v>10615.0373</v>
      </c>
      <c r="CE90" s="1">
        <f t="shared" si="3"/>
        <v>44239</v>
      </c>
      <c r="CF90" s="35">
        <f t="shared" si="10"/>
        <v>3.505095594006284</v>
      </c>
      <c r="CG90" s="36">
        <f t="shared" si="9"/>
        <v>-0.62199399287633028</v>
      </c>
      <c r="CH90">
        <f t="shared" ca="1" si="4"/>
        <v>-0.63881495081984307</v>
      </c>
      <c r="CI90">
        <f t="shared" ca="1" si="5"/>
        <v>-0.93562507526374517</v>
      </c>
      <c r="CJ90">
        <f t="shared" ca="1" si="6"/>
        <v>-1.0313694718181583</v>
      </c>
      <c r="CK90">
        <f t="shared" ca="1" si="7"/>
        <v>-1.1231909224919554</v>
      </c>
      <c r="CL90">
        <f t="shared" ca="1" si="8"/>
        <v>-1.2752146981256607</v>
      </c>
    </row>
    <row r="91" spans="1:90" x14ac:dyDescent="0.25">
      <c r="A91" s="43">
        <v>44246</v>
      </c>
      <c r="B91" s="5">
        <v>2.4136000000000002</v>
      </c>
      <c r="C91">
        <v>13.0237</v>
      </c>
      <c r="D91">
        <v>0.46400000000000002</v>
      </c>
      <c r="E91">
        <v>37.621099999999998</v>
      </c>
      <c r="F91">
        <v>1.2421</v>
      </c>
      <c r="G91">
        <v>44.554000000000002</v>
      </c>
      <c r="H91">
        <v>82.255799999999994</v>
      </c>
      <c r="I91">
        <v>66.604200000000006</v>
      </c>
      <c r="J91">
        <v>28.068999999999999</v>
      </c>
      <c r="K91">
        <v>51930.963400000001</v>
      </c>
      <c r="M91" s="43">
        <v>44246</v>
      </c>
      <c r="N91" s="5">
        <v>4.3841000000000001</v>
      </c>
      <c r="O91">
        <v>10.677300000000001</v>
      </c>
      <c r="P91">
        <v>0.2878</v>
      </c>
      <c r="Q91">
        <v>39.918999999999997</v>
      </c>
      <c r="R91">
        <v>1.0853999999999999</v>
      </c>
      <c r="S91">
        <v>195.11080000000001</v>
      </c>
      <c r="T91">
        <v>51.192</v>
      </c>
      <c r="U91">
        <v>38.009799999999998</v>
      </c>
      <c r="V91">
        <v>143.821</v>
      </c>
      <c r="W91">
        <v>119134.5677</v>
      </c>
      <c r="Y91" s="5">
        <v>1.2824</v>
      </c>
      <c r="Z91">
        <v>5.2942</v>
      </c>
      <c r="AA91">
        <v>0.14910000000000001</v>
      </c>
      <c r="AB91">
        <v>9.6834000000000007</v>
      </c>
      <c r="AC91">
        <v>0.1368</v>
      </c>
      <c r="AD91">
        <v>0</v>
      </c>
      <c r="AE91">
        <v>64.1982</v>
      </c>
      <c r="AF91">
        <v>21.448499999999999</v>
      </c>
      <c r="AG91">
        <v>34.6</v>
      </c>
      <c r="AH91">
        <v>19596.0808</v>
      </c>
      <c r="AK91">
        <v>1.0638000000000001</v>
      </c>
      <c r="AL91">
        <v>19.1401</v>
      </c>
      <c r="AM91">
        <v>0.60640000000000005</v>
      </c>
      <c r="AN91">
        <v>22.585899999999999</v>
      </c>
      <c r="AO91">
        <v>-6.2899999999999998E-2</v>
      </c>
      <c r="AP91" t="s">
        <v>23</v>
      </c>
      <c r="AQ91">
        <v>53.942999999999998</v>
      </c>
      <c r="AR91">
        <v>42.523200000000003</v>
      </c>
      <c r="AS91">
        <v>20.734999999999999</v>
      </c>
      <c r="AT91">
        <v>12562.034799999999</v>
      </c>
      <c r="AV91">
        <v>2.1511</v>
      </c>
      <c r="AW91">
        <v>-10.4247</v>
      </c>
      <c r="AX91">
        <v>-0.6048</v>
      </c>
      <c r="AY91">
        <v>12.15</v>
      </c>
      <c r="AZ91">
        <v>5.1999999999999998E-3</v>
      </c>
      <c r="BA91" t="s">
        <v>23</v>
      </c>
      <c r="BB91">
        <v>-6.2350000000000003</v>
      </c>
      <c r="BC91">
        <v>-17.766100000000002</v>
      </c>
      <c r="BD91">
        <v>27.85</v>
      </c>
      <c r="BE91">
        <v>25244.7745</v>
      </c>
      <c r="BH91" s="5">
        <v>8.8642000000000003</v>
      </c>
      <c r="BI91">
        <v>-187.3066</v>
      </c>
      <c r="BJ91">
        <v>0.21299999999999999</v>
      </c>
      <c r="BK91">
        <v>48.721299999999999</v>
      </c>
      <c r="BL91">
        <v>5.0805999999999996</v>
      </c>
      <c r="BM91" t="s">
        <v>23</v>
      </c>
      <c r="BN91">
        <v>4.0471000000000004</v>
      </c>
      <c r="BO91">
        <v>-0.18740000000000001</v>
      </c>
      <c r="BP91">
        <v>17.344999999999999</v>
      </c>
      <c r="BQ91">
        <v>10814.247100000001</v>
      </c>
      <c r="CE91" s="1">
        <f t="shared" si="3"/>
        <v>44246</v>
      </c>
      <c r="CF91" s="35">
        <f t="shared" si="10"/>
        <v>3.4950112670769649</v>
      </c>
      <c r="CG91" s="36">
        <f t="shared" si="9"/>
        <v>-0.62674281034530033</v>
      </c>
      <c r="CH91">
        <f t="shared" ca="1" si="4"/>
        <v>-0.61699781698798128</v>
      </c>
      <c r="CI91">
        <f t="shared" ca="1" si="5"/>
        <v>-0.93034662670755863</v>
      </c>
      <c r="CJ91">
        <f t="shared" ca="1" si="6"/>
        <v>-1.0267854922473347</v>
      </c>
      <c r="CK91">
        <f t="shared" ca="1" si="7"/>
        <v>-1.1231909224919554</v>
      </c>
      <c r="CL91">
        <f t="shared" ca="1" si="8"/>
        <v>-1.2752146981256607</v>
      </c>
    </row>
    <row r="92" spans="1:90" x14ac:dyDescent="0.25">
      <c r="A92" s="43">
        <v>44253</v>
      </c>
      <c r="B92" s="5">
        <v>2.3370000000000002</v>
      </c>
      <c r="C92">
        <v>13.0237</v>
      </c>
      <c r="D92">
        <v>0.46400000000000002</v>
      </c>
      <c r="E92">
        <v>37.621099999999998</v>
      </c>
      <c r="F92">
        <v>1.2421</v>
      </c>
      <c r="G92">
        <v>44.554000000000002</v>
      </c>
      <c r="H92">
        <v>82.255799999999994</v>
      </c>
      <c r="I92">
        <v>66.604200000000006</v>
      </c>
      <c r="J92">
        <v>26.228000000000002</v>
      </c>
      <c r="K92">
        <v>48524.4133</v>
      </c>
      <c r="M92" s="43">
        <v>44253</v>
      </c>
      <c r="N92" s="5">
        <v>4.1398999999999999</v>
      </c>
      <c r="O92">
        <v>10.677300000000001</v>
      </c>
      <c r="P92">
        <v>0.2878</v>
      </c>
      <c r="Q92">
        <v>39.918999999999997</v>
      </c>
      <c r="R92">
        <v>1.0853999999999999</v>
      </c>
      <c r="S92">
        <v>195.11080000000001</v>
      </c>
      <c r="T92">
        <v>51.192</v>
      </c>
      <c r="U92">
        <v>38.009799999999998</v>
      </c>
      <c r="V92">
        <v>133.17500000000001</v>
      </c>
      <c r="W92">
        <v>110315.67</v>
      </c>
      <c r="Y92" s="5">
        <v>1.2001999999999999</v>
      </c>
      <c r="Z92">
        <v>5.2942</v>
      </c>
      <c r="AA92">
        <v>0.14910000000000001</v>
      </c>
      <c r="AB92">
        <v>9.6834000000000007</v>
      </c>
      <c r="AC92">
        <v>0.1368</v>
      </c>
      <c r="AD92">
        <v>0</v>
      </c>
      <c r="AE92">
        <v>64.1982</v>
      </c>
      <c r="AF92">
        <v>21.448499999999999</v>
      </c>
      <c r="AG92">
        <v>32.118000000000002</v>
      </c>
      <c r="AH92">
        <v>18190.083999999999</v>
      </c>
      <c r="AK92">
        <v>0.98799999999999999</v>
      </c>
      <c r="AL92">
        <v>19.1401</v>
      </c>
      <c r="AM92">
        <v>0.60640000000000005</v>
      </c>
      <c r="AN92">
        <v>22.585899999999999</v>
      </c>
      <c r="AO92">
        <v>-6.2899999999999998E-2</v>
      </c>
      <c r="AP92" t="s">
        <v>23</v>
      </c>
      <c r="AQ92">
        <v>53.942999999999998</v>
      </c>
      <c r="AR92">
        <v>42.523200000000003</v>
      </c>
      <c r="AS92">
        <v>19.34</v>
      </c>
      <c r="AT92">
        <v>11717.1546</v>
      </c>
      <c r="AV92">
        <v>2.1511</v>
      </c>
      <c r="AW92">
        <v>-10.4247</v>
      </c>
      <c r="AX92">
        <v>-0.6048</v>
      </c>
      <c r="AY92">
        <v>12.15</v>
      </c>
      <c r="AZ92">
        <v>5.1999999999999998E-3</v>
      </c>
      <c r="BA92" t="s">
        <v>23</v>
      </c>
      <c r="BB92">
        <v>-6.2350000000000003</v>
      </c>
      <c r="BC92">
        <v>-17.766100000000002</v>
      </c>
      <c r="BD92">
        <v>27</v>
      </c>
      <c r="BE92">
        <v>24474.287700000001</v>
      </c>
      <c r="BH92" s="5">
        <v>8.9138999999999999</v>
      </c>
      <c r="BI92">
        <v>-187.3066</v>
      </c>
      <c r="BJ92">
        <v>0.21299999999999999</v>
      </c>
      <c r="BK92">
        <v>48.721299999999999</v>
      </c>
      <c r="BL92">
        <v>5.0805999999999996</v>
      </c>
      <c r="BM92" t="s">
        <v>23</v>
      </c>
      <c r="BN92">
        <v>4.0471000000000004</v>
      </c>
      <c r="BO92">
        <v>-0.18740000000000001</v>
      </c>
      <c r="BP92">
        <v>17.573</v>
      </c>
      <c r="BQ92">
        <v>10956.5398</v>
      </c>
      <c r="CE92" s="1">
        <f t="shared" si="3"/>
        <v>44253</v>
      </c>
      <c r="CF92" s="35">
        <f t="shared" si="10"/>
        <v>3.3625838472167793</v>
      </c>
      <c r="CG92" s="36">
        <f t="shared" si="9"/>
        <v>-0.68910429953644226</v>
      </c>
      <c r="CH92">
        <f t="shared" ca="1" si="4"/>
        <v>-0.61699781698798128</v>
      </c>
      <c r="CI92">
        <f t="shared" ca="1" si="5"/>
        <v>-0.92337985896306307</v>
      </c>
      <c r="CJ92">
        <f t="shared" ca="1" si="6"/>
        <v>-1.0235623954451181</v>
      </c>
      <c r="CK92">
        <f t="shared" ca="1" si="7"/>
        <v>-1.1231909224919554</v>
      </c>
      <c r="CL92">
        <f t="shared" ca="1" si="8"/>
        <v>-1.2752146981256607</v>
      </c>
    </row>
    <row r="93" spans="1:90" x14ac:dyDescent="0.25">
      <c r="A93" s="43">
        <v>44260</v>
      </c>
      <c r="B93" s="5">
        <v>2.3166000000000002</v>
      </c>
      <c r="C93">
        <v>13.0237</v>
      </c>
      <c r="D93">
        <v>0.46400000000000002</v>
      </c>
      <c r="E93">
        <v>37.621099999999998</v>
      </c>
      <c r="F93">
        <v>1.2421</v>
      </c>
      <c r="G93">
        <v>44.554000000000002</v>
      </c>
      <c r="H93">
        <v>82.255799999999994</v>
      </c>
      <c r="I93">
        <v>66.604200000000006</v>
      </c>
      <c r="J93">
        <v>25.736999999999998</v>
      </c>
      <c r="K93">
        <v>47616</v>
      </c>
      <c r="M93" s="43">
        <v>44260</v>
      </c>
      <c r="N93" s="5">
        <v>4.1002999999999998</v>
      </c>
      <c r="O93">
        <v>10.677300000000001</v>
      </c>
      <c r="P93">
        <v>0.2878</v>
      </c>
      <c r="Q93">
        <v>39.918999999999997</v>
      </c>
      <c r="R93">
        <v>1.0853999999999999</v>
      </c>
      <c r="S93">
        <v>195.11080000000001</v>
      </c>
      <c r="T93">
        <v>51.192</v>
      </c>
      <c r="U93">
        <v>38.009799999999998</v>
      </c>
      <c r="V93">
        <v>131.44800000000001</v>
      </c>
      <c r="W93">
        <v>108885.5785</v>
      </c>
      <c r="Y93" s="5">
        <v>1.1385000000000001</v>
      </c>
      <c r="Z93">
        <v>5.2942</v>
      </c>
      <c r="AA93">
        <v>0.14910000000000001</v>
      </c>
      <c r="AB93">
        <v>9.6834000000000007</v>
      </c>
      <c r="AC93">
        <v>0.1368</v>
      </c>
      <c r="AD93">
        <v>0</v>
      </c>
      <c r="AE93">
        <v>64.1982</v>
      </c>
      <c r="AF93">
        <v>21.448499999999999</v>
      </c>
      <c r="AG93">
        <v>30.256</v>
      </c>
      <c r="AH93">
        <v>17135.5864</v>
      </c>
      <c r="AK93">
        <v>0.87639999999999996</v>
      </c>
      <c r="AL93">
        <v>19.1401</v>
      </c>
      <c r="AM93">
        <v>0.60640000000000005</v>
      </c>
      <c r="AN93">
        <v>22.585899999999999</v>
      </c>
      <c r="AO93">
        <v>-6.2899999999999998E-2</v>
      </c>
      <c r="AP93" t="s">
        <v>23</v>
      </c>
      <c r="AQ93">
        <v>53.942999999999998</v>
      </c>
      <c r="AR93">
        <v>42.523200000000003</v>
      </c>
      <c r="AS93">
        <v>17.285</v>
      </c>
      <c r="AT93">
        <v>10472.0679</v>
      </c>
      <c r="AV93">
        <v>2.1511</v>
      </c>
      <c r="AW93">
        <v>-10.4247</v>
      </c>
      <c r="AX93">
        <v>-0.6048</v>
      </c>
      <c r="AY93">
        <v>12.15</v>
      </c>
      <c r="AZ93">
        <v>5.1999999999999998E-3</v>
      </c>
      <c r="BA93" t="s">
        <v>23</v>
      </c>
      <c r="BB93">
        <v>-6.2350000000000003</v>
      </c>
      <c r="BC93">
        <v>-17.766100000000002</v>
      </c>
      <c r="BD93">
        <v>26</v>
      </c>
      <c r="BE93">
        <v>23567.832600000002</v>
      </c>
      <c r="BH93" s="5">
        <v>8.8046000000000006</v>
      </c>
      <c r="BI93">
        <v>-187.3066</v>
      </c>
      <c r="BJ93">
        <v>0.21299999999999999</v>
      </c>
      <c r="BK93">
        <v>48.721299999999999</v>
      </c>
      <c r="BL93">
        <v>5.0805999999999996</v>
      </c>
      <c r="BM93" t="s">
        <v>23</v>
      </c>
      <c r="BN93">
        <v>4.0471000000000004</v>
      </c>
      <c r="BO93">
        <v>-0.18740000000000001</v>
      </c>
      <c r="BP93">
        <v>17.071000000000002</v>
      </c>
      <c r="BQ93">
        <v>10643.495800000001</v>
      </c>
      <c r="CE93" s="1">
        <f t="shared" si="3"/>
        <v>44260</v>
      </c>
      <c r="CF93" s="35">
        <f t="shared" si="10"/>
        <v>3.3430925257902371</v>
      </c>
      <c r="CG93" s="36">
        <f t="shared" si="9"/>
        <v>-0.69828297138359974</v>
      </c>
      <c r="CH93">
        <f t="shared" ca="1" si="4"/>
        <v>-0.61699781698798128</v>
      </c>
      <c r="CI93">
        <f t="shared" ca="1" si="5"/>
        <v>-0.91558326107515908</v>
      </c>
      <c r="CJ93">
        <f t="shared" ca="1" si="6"/>
        <v>-1.014236460139547</v>
      </c>
      <c r="CK93">
        <f t="shared" ca="1" si="7"/>
        <v>-1.1152556020727893</v>
      </c>
      <c r="CL93">
        <f t="shared" ca="1" si="8"/>
        <v>-1.2752146981256607</v>
      </c>
    </row>
    <row r="94" spans="1:90" x14ac:dyDescent="0.25">
      <c r="A94" s="43">
        <v>44267</v>
      </c>
      <c r="B94" s="5">
        <v>2.3591000000000002</v>
      </c>
      <c r="C94">
        <v>13.0237</v>
      </c>
      <c r="D94">
        <v>0.46400000000000002</v>
      </c>
      <c r="E94">
        <v>37.621099999999998</v>
      </c>
      <c r="F94">
        <v>1.2421</v>
      </c>
      <c r="G94">
        <v>44.554000000000002</v>
      </c>
      <c r="H94">
        <v>82.255799999999994</v>
      </c>
      <c r="I94">
        <v>66.604200000000006</v>
      </c>
      <c r="J94">
        <v>26.76</v>
      </c>
      <c r="K94">
        <v>49508.527800000003</v>
      </c>
      <c r="M94" s="43">
        <v>44267</v>
      </c>
      <c r="N94" s="5">
        <v>4.1608000000000001</v>
      </c>
      <c r="O94">
        <v>10.677300000000001</v>
      </c>
      <c r="P94">
        <v>0.2878</v>
      </c>
      <c r="Q94">
        <v>39.918999999999997</v>
      </c>
      <c r="R94">
        <v>1.0853999999999999</v>
      </c>
      <c r="S94">
        <v>195.11080000000001</v>
      </c>
      <c r="T94">
        <v>51.192</v>
      </c>
      <c r="U94">
        <v>38.009799999999998</v>
      </c>
      <c r="V94">
        <v>134.08600000000001</v>
      </c>
      <c r="W94">
        <v>111070.4406</v>
      </c>
      <c r="Y94" s="5">
        <v>1.0973999999999999</v>
      </c>
      <c r="Z94">
        <v>5.2942</v>
      </c>
      <c r="AA94">
        <v>0.14910000000000001</v>
      </c>
      <c r="AB94">
        <v>9.6834000000000007</v>
      </c>
      <c r="AC94">
        <v>0.1368</v>
      </c>
      <c r="AD94">
        <v>0</v>
      </c>
      <c r="AE94">
        <v>64.1982</v>
      </c>
      <c r="AF94">
        <v>21.448499999999999</v>
      </c>
      <c r="AG94">
        <v>29.013999999999999</v>
      </c>
      <c r="AH94">
        <v>16432.587899999999</v>
      </c>
      <c r="AK94">
        <v>0.93220000000000003</v>
      </c>
      <c r="AL94">
        <v>19.1401</v>
      </c>
      <c r="AM94">
        <v>0.60640000000000005</v>
      </c>
      <c r="AN94">
        <v>22.585899999999999</v>
      </c>
      <c r="AO94">
        <v>-6.2899999999999998E-2</v>
      </c>
      <c r="AP94" t="s">
        <v>23</v>
      </c>
      <c r="AQ94">
        <v>53.942999999999998</v>
      </c>
      <c r="AR94">
        <v>42.523200000000003</v>
      </c>
      <c r="AS94">
        <v>18.312999999999999</v>
      </c>
      <c r="AT94">
        <v>11094.6113</v>
      </c>
      <c r="AV94">
        <v>2.1511</v>
      </c>
      <c r="AW94">
        <v>-10.4247</v>
      </c>
      <c r="AX94">
        <v>-0.6048</v>
      </c>
      <c r="AY94">
        <v>12.15</v>
      </c>
      <c r="AZ94">
        <v>5.1999999999999998E-3</v>
      </c>
      <c r="BA94" t="s">
        <v>23</v>
      </c>
      <c r="BB94">
        <v>-6.2350000000000003</v>
      </c>
      <c r="BC94">
        <v>-17.766100000000002</v>
      </c>
      <c r="BD94">
        <v>26.25</v>
      </c>
      <c r="BE94">
        <v>23794.446400000001</v>
      </c>
      <c r="BH94" s="5">
        <v>8.6853999999999996</v>
      </c>
      <c r="BI94">
        <v>-187.3066</v>
      </c>
      <c r="BJ94">
        <v>0.21299999999999999</v>
      </c>
      <c r="BK94">
        <v>48.721299999999999</v>
      </c>
      <c r="BL94">
        <v>5.0805999999999996</v>
      </c>
      <c r="BM94" t="s">
        <v>23</v>
      </c>
      <c r="BN94">
        <v>4.0471000000000004</v>
      </c>
      <c r="BO94">
        <v>-0.18740000000000001</v>
      </c>
      <c r="BP94">
        <v>16.523</v>
      </c>
      <c r="BQ94">
        <v>10301.9933</v>
      </c>
      <c r="CE94" s="1">
        <f t="shared" si="3"/>
        <v>44267</v>
      </c>
      <c r="CF94" s="35">
        <f t="shared" si="10"/>
        <v>3.3661807624326654</v>
      </c>
      <c r="CG94" s="36">
        <f t="shared" si="9"/>
        <v>-0.68741047366870467</v>
      </c>
      <c r="CH94">
        <f t="shared" ca="1" si="4"/>
        <v>-0.61699781698798128</v>
      </c>
      <c r="CI94">
        <f t="shared" ca="1" si="5"/>
        <v>-0.89487935232453331</v>
      </c>
      <c r="CJ94">
        <f t="shared" ca="1" si="6"/>
        <v>-1.0025892257421796</v>
      </c>
      <c r="CK94">
        <f t="shared" ca="1" si="7"/>
        <v>-1.110263769457428</v>
      </c>
      <c r="CL94">
        <f t="shared" ca="1" si="8"/>
        <v>-1.2752146981256607</v>
      </c>
    </row>
    <row r="95" spans="1:90" x14ac:dyDescent="0.25">
      <c r="A95" s="43">
        <v>44274</v>
      </c>
      <c r="B95" s="5">
        <v>2.3353000000000002</v>
      </c>
      <c r="C95">
        <v>13.0237</v>
      </c>
      <c r="D95">
        <v>0.46400000000000002</v>
      </c>
      <c r="E95">
        <v>37.621099999999998</v>
      </c>
      <c r="F95">
        <v>1.2421</v>
      </c>
      <c r="G95">
        <v>44.554000000000002</v>
      </c>
      <c r="H95">
        <v>82.255799999999994</v>
      </c>
      <c r="I95">
        <v>66.604200000000006</v>
      </c>
      <c r="J95">
        <v>26.187000000000001</v>
      </c>
      <c r="K95">
        <v>48448.712200000002</v>
      </c>
      <c r="M95" s="43">
        <v>44274</v>
      </c>
      <c r="N95" s="5">
        <v>4.0804999999999998</v>
      </c>
      <c r="O95">
        <v>10.677300000000001</v>
      </c>
      <c r="P95">
        <v>0.2878</v>
      </c>
      <c r="Q95">
        <v>39.918999999999997</v>
      </c>
      <c r="R95">
        <v>1.0853999999999999</v>
      </c>
      <c r="S95">
        <v>195.11080000000001</v>
      </c>
      <c r="T95">
        <v>51.192</v>
      </c>
      <c r="U95">
        <v>38.009799999999998</v>
      </c>
      <c r="V95">
        <v>130.58500000000001</v>
      </c>
      <c r="W95">
        <v>108170.5328</v>
      </c>
      <c r="Y95" s="5">
        <v>1.0782</v>
      </c>
      <c r="Z95">
        <v>5.2942</v>
      </c>
      <c r="AA95">
        <v>0.14910000000000001</v>
      </c>
      <c r="AB95">
        <v>9.6834000000000007</v>
      </c>
      <c r="AC95">
        <v>0.1368</v>
      </c>
      <c r="AD95">
        <v>0</v>
      </c>
      <c r="AE95">
        <v>64.1982</v>
      </c>
      <c r="AF95">
        <v>21.448499999999999</v>
      </c>
      <c r="AG95">
        <v>28.433</v>
      </c>
      <c r="AH95">
        <v>16103.0574</v>
      </c>
      <c r="AK95">
        <v>0.84250000000000003</v>
      </c>
      <c r="AL95">
        <v>19.1401</v>
      </c>
      <c r="AM95">
        <v>0.60640000000000005</v>
      </c>
      <c r="AN95">
        <v>22.585899999999999</v>
      </c>
      <c r="AO95">
        <v>-6.2899999999999998E-2</v>
      </c>
      <c r="AP95" t="s">
        <v>23</v>
      </c>
      <c r="AQ95">
        <v>53.942999999999998</v>
      </c>
      <c r="AR95">
        <v>42.523200000000003</v>
      </c>
      <c r="AS95">
        <v>16.661000000000001</v>
      </c>
      <c r="AT95">
        <v>10094.0952</v>
      </c>
      <c r="AV95">
        <v>2.1511</v>
      </c>
      <c r="AW95">
        <v>-10.4247</v>
      </c>
      <c r="AX95">
        <v>-0.6048</v>
      </c>
      <c r="AY95">
        <v>12.15</v>
      </c>
      <c r="AZ95">
        <v>5.1999999999999998E-3</v>
      </c>
      <c r="BA95" t="s">
        <v>23</v>
      </c>
      <c r="BB95">
        <v>-6.2350000000000003</v>
      </c>
      <c r="BC95">
        <v>-17.766100000000002</v>
      </c>
      <c r="BD95">
        <v>25.9</v>
      </c>
      <c r="BE95">
        <v>23477.187099999999</v>
      </c>
      <c r="BH95" s="5">
        <v>8.6654999999999998</v>
      </c>
      <c r="BI95">
        <v>-187.3066</v>
      </c>
      <c r="BJ95">
        <v>0.21299999999999999</v>
      </c>
      <c r="BK95">
        <v>48.721299999999999</v>
      </c>
      <c r="BL95">
        <v>5.0805999999999996</v>
      </c>
      <c r="BM95" t="s">
        <v>23</v>
      </c>
      <c r="BN95">
        <v>4.0471000000000004</v>
      </c>
      <c r="BO95">
        <v>-0.18740000000000001</v>
      </c>
      <c r="BP95">
        <v>16.431999999999999</v>
      </c>
      <c r="BQ95">
        <v>10245.0762</v>
      </c>
      <c r="CE95" s="1">
        <f t="shared" si="3"/>
        <v>44274</v>
      </c>
      <c r="CF95" s="35">
        <f t="shared" si="10"/>
        <v>3.3235599147812493</v>
      </c>
      <c r="CG95" s="36">
        <f t="shared" si="9"/>
        <v>-0.70748108693699341</v>
      </c>
      <c r="CH95">
        <f t="shared" ca="1" si="4"/>
        <v>-0.61699781698798128</v>
      </c>
      <c r="CI95">
        <f t="shared" ca="1" si="5"/>
        <v>-0.87391876306649285</v>
      </c>
      <c r="CJ95">
        <f t="shared" ca="1" si="6"/>
        <v>-0.98956019250099403</v>
      </c>
      <c r="CK95">
        <f t="shared" ca="1" si="7"/>
        <v>-1.1067261739428031</v>
      </c>
      <c r="CL95">
        <f t="shared" ca="1" si="8"/>
        <v>-1.2744335306013153</v>
      </c>
    </row>
    <row r="96" spans="1:90" x14ac:dyDescent="0.25">
      <c r="A96" s="43">
        <v>44281</v>
      </c>
      <c r="B96" s="5">
        <v>2.2673000000000001</v>
      </c>
      <c r="C96">
        <v>13.0237</v>
      </c>
      <c r="D96">
        <v>0.46400000000000002</v>
      </c>
      <c r="E96">
        <v>37.621099999999998</v>
      </c>
      <c r="F96">
        <v>1.2421</v>
      </c>
      <c r="G96">
        <v>44.554000000000002</v>
      </c>
      <c r="H96">
        <v>82.255799999999994</v>
      </c>
      <c r="I96">
        <v>66.604200000000006</v>
      </c>
      <c r="J96">
        <v>24.550999999999998</v>
      </c>
      <c r="K96">
        <v>45420.667699999998</v>
      </c>
      <c r="M96" s="43">
        <v>44281</v>
      </c>
      <c r="N96" s="5">
        <v>3.9639000000000002</v>
      </c>
      <c r="O96">
        <v>10.677300000000001</v>
      </c>
      <c r="P96">
        <v>0.2878</v>
      </c>
      <c r="Q96">
        <v>39.918999999999997</v>
      </c>
      <c r="R96">
        <v>1.0853999999999999</v>
      </c>
      <c r="S96">
        <v>195.11080000000001</v>
      </c>
      <c r="T96">
        <v>51.192</v>
      </c>
      <c r="U96">
        <v>38.009799999999998</v>
      </c>
      <c r="V96">
        <v>125.502</v>
      </c>
      <c r="W96">
        <v>103959.7078</v>
      </c>
      <c r="Y96" s="5">
        <v>0.98440000000000005</v>
      </c>
      <c r="Z96">
        <v>5.2942</v>
      </c>
      <c r="AA96">
        <v>0.14910000000000001</v>
      </c>
      <c r="AB96">
        <v>9.6834000000000007</v>
      </c>
      <c r="AC96">
        <v>0.1368</v>
      </c>
      <c r="AD96">
        <v>0</v>
      </c>
      <c r="AE96">
        <v>64.1982</v>
      </c>
      <c r="AF96">
        <v>21.448499999999999</v>
      </c>
      <c r="AG96">
        <v>25.600999999999999</v>
      </c>
      <c r="AH96">
        <v>14499.3423</v>
      </c>
      <c r="AK96">
        <v>0.8165</v>
      </c>
      <c r="AL96">
        <v>19.1401</v>
      </c>
      <c r="AM96">
        <v>0.60640000000000005</v>
      </c>
      <c r="AN96">
        <v>22.585899999999999</v>
      </c>
      <c r="AO96">
        <v>-6.2899999999999998E-2</v>
      </c>
      <c r="AP96" t="s">
        <v>23</v>
      </c>
      <c r="AQ96">
        <v>53.942999999999998</v>
      </c>
      <c r="AR96">
        <v>42.523200000000003</v>
      </c>
      <c r="AS96">
        <v>16.184000000000001</v>
      </c>
      <c r="AT96">
        <v>9805.0571999999993</v>
      </c>
      <c r="AV96">
        <v>2.1511</v>
      </c>
      <c r="AW96">
        <v>-10.4247</v>
      </c>
      <c r="AX96">
        <v>-0.6048</v>
      </c>
      <c r="AY96">
        <v>12.15</v>
      </c>
      <c r="AZ96">
        <v>5.1999999999999998E-3</v>
      </c>
      <c r="BA96" t="s">
        <v>23</v>
      </c>
      <c r="BB96">
        <v>-6.2350000000000003</v>
      </c>
      <c r="BC96">
        <v>-17.766100000000002</v>
      </c>
      <c r="BD96">
        <v>25.15</v>
      </c>
      <c r="BE96">
        <v>22797.345799999999</v>
      </c>
      <c r="BH96" s="5">
        <v>8.7649000000000008</v>
      </c>
      <c r="BI96">
        <v>-187.3066</v>
      </c>
      <c r="BJ96">
        <v>0.21299999999999999</v>
      </c>
      <c r="BK96">
        <v>48.721299999999999</v>
      </c>
      <c r="BL96">
        <v>5.0805999999999996</v>
      </c>
      <c r="BM96" t="s">
        <v>23</v>
      </c>
      <c r="BN96">
        <v>4.0471000000000004</v>
      </c>
      <c r="BO96">
        <v>-0.18740000000000001</v>
      </c>
      <c r="BP96">
        <v>16.888999999999999</v>
      </c>
      <c r="BQ96">
        <v>10529.661700000001</v>
      </c>
      <c r="CE96" s="1">
        <f t="shared" si="3"/>
        <v>44281</v>
      </c>
      <c r="CF96" s="35">
        <f t="shared" si="10"/>
        <v>3.2784508281467506</v>
      </c>
      <c r="CG96" s="36">
        <f t="shared" si="9"/>
        <v>-0.72872343857043587</v>
      </c>
      <c r="CH96">
        <f t="shared" ca="1" si="4"/>
        <v>-0.61699781698798128</v>
      </c>
      <c r="CI96">
        <f t="shared" ca="1" si="5"/>
        <v>-0.85360619863458587</v>
      </c>
      <c r="CJ96">
        <f t="shared" ca="1" si="6"/>
        <v>-0.97966224106187605</v>
      </c>
      <c r="CK96">
        <f t="shared" ca="1" si="7"/>
        <v>-1.1029937103174223</v>
      </c>
      <c r="CL96">
        <f t="shared" ca="1" si="8"/>
        <v>-1.2157329271047472</v>
      </c>
    </row>
    <row r="97" spans="1:90" x14ac:dyDescent="0.25">
      <c r="A97" s="43">
        <v>44288</v>
      </c>
      <c r="B97" s="5">
        <v>2.1392000000000002</v>
      </c>
      <c r="C97">
        <v>15.3012</v>
      </c>
      <c r="D97">
        <v>1.1554</v>
      </c>
      <c r="E97">
        <v>34.4876</v>
      </c>
      <c r="F97">
        <v>0.93989999999999996</v>
      </c>
      <c r="G97">
        <v>44.554000000000002</v>
      </c>
      <c r="H97">
        <v>69.993099999999998</v>
      </c>
      <c r="I97">
        <v>53.261899999999997</v>
      </c>
      <c r="J97">
        <v>26.433</v>
      </c>
      <c r="K97">
        <v>48902.918899999997</v>
      </c>
      <c r="M97" s="43">
        <v>44288</v>
      </c>
      <c r="N97" s="5">
        <v>3.1665999999999999</v>
      </c>
      <c r="O97">
        <v>12.8385</v>
      </c>
      <c r="P97">
        <v>0.6351</v>
      </c>
      <c r="Q97">
        <v>38.247500000000002</v>
      </c>
      <c r="R97">
        <v>0.61229999999999996</v>
      </c>
      <c r="S97">
        <v>195.11080000000001</v>
      </c>
      <c r="T97">
        <v>54.738300000000002</v>
      </c>
      <c r="U97">
        <v>41.622799999999998</v>
      </c>
      <c r="V97">
        <v>133.41399999999999</v>
      </c>
      <c r="W97">
        <v>110514.2939</v>
      </c>
      <c r="Y97" s="5">
        <v>0.94540000000000002</v>
      </c>
      <c r="Z97">
        <v>3.9611000000000001</v>
      </c>
      <c r="AA97">
        <v>0.30790000000000001</v>
      </c>
      <c r="AB97">
        <v>8.7568000000000001</v>
      </c>
      <c r="AC97">
        <v>4.3299999999999998E-2</v>
      </c>
      <c r="AD97">
        <v>0</v>
      </c>
      <c r="AE97">
        <v>61.236400000000003</v>
      </c>
      <c r="AF97">
        <v>11.5281</v>
      </c>
      <c r="AG97">
        <v>25.911000000000001</v>
      </c>
      <c r="AH97">
        <v>14675.091899999999</v>
      </c>
      <c r="AK97">
        <v>0.92330000000000001</v>
      </c>
      <c r="AL97">
        <v>18.166799999999999</v>
      </c>
      <c r="AM97">
        <v>0.8589</v>
      </c>
      <c r="AN97">
        <v>20.384</v>
      </c>
      <c r="AO97">
        <v>1.32E-2</v>
      </c>
      <c r="AP97" t="s">
        <v>23</v>
      </c>
      <c r="AQ97">
        <v>50.906599999999997</v>
      </c>
      <c r="AR97">
        <v>38.278599999999997</v>
      </c>
      <c r="AS97">
        <v>16.367999999999999</v>
      </c>
      <c r="AT97">
        <v>9916.2257000000009</v>
      </c>
      <c r="AV97">
        <v>2.1511</v>
      </c>
      <c r="AW97">
        <v>-5.6567999999999996</v>
      </c>
      <c r="AX97">
        <v>-1.0658000000000001</v>
      </c>
      <c r="AY97">
        <v>12.0823</v>
      </c>
      <c r="AZ97">
        <v>5.1999999999999998E-3</v>
      </c>
      <c r="BA97" t="s">
        <v>23</v>
      </c>
      <c r="BB97">
        <v>-8.8741000000000003</v>
      </c>
      <c r="BC97">
        <v>-20.8749</v>
      </c>
      <c r="BD97">
        <v>25.55</v>
      </c>
      <c r="BE97">
        <v>23159.927800000001</v>
      </c>
      <c r="BH97" s="5">
        <v>8.6555999999999997</v>
      </c>
      <c r="BI97">
        <v>-248.60149999999999</v>
      </c>
      <c r="BJ97">
        <v>4.3700000000000003E-2</v>
      </c>
      <c r="BK97">
        <v>49.997</v>
      </c>
      <c r="BL97">
        <v>5.0805999999999996</v>
      </c>
      <c r="BM97" t="s">
        <v>23</v>
      </c>
      <c r="BN97">
        <v>-1.9199999999999998E-2</v>
      </c>
      <c r="BO97">
        <v>-4.7196999999999996</v>
      </c>
      <c r="BP97">
        <v>16.248999999999999</v>
      </c>
      <c r="BQ97">
        <v>10131.242</v>
      </c>
      <c r="CE97" s="1">
        <f t="shared" si="3"/>
        <v>44288</v>
      </c>
      <c r="CF97" s="35">
        <f t="shared" si="10"/>
        <v>2.8306917525672217</v>
      </c>
      <c r="CG97" s="36">
        <f t="shared" si="9"/>
        <v>-0.93957797897807216</v>
      </c>
      <c r="CH97">
        <f t="shared" ca="1" si="4"/>
        <v>-0.61699781698798128</v>
      </c>
      <c r="CI97">
        <f t="shared" ca="1" si="5"/>
        <v>-0.81230485803881836</v>
      </c>
      <c r="CJ97">
        <f t="shared" ca="1" si="6"/>
        <v>-0.96385108723608037</v>
      </c>
      <c r="CK97">
        <f t="shared" ca="1" si="7"/>
        <v>-1.1006988025631899</v>
      </c>
      <c r="CL97">
        <f t="shared" ca="1" si="8"/>
        <v>-1.1604416629966448</v>
      </c>
    </row>
    <row r="98" spans="1:90" x14ac:dyDescent="0.25">
      <c r="A98" s="43">
        <v>44295</v>
      </c>
      <c r="B98" s="5">
        <v>2.1448</v>
      </c>
      <c r="C98">
        <v>15.3012</v>
      </c>
      <c r="D98">
        <v>1.1554</v>
      </c>
      <c r="E98">
        <v>34.4876</v>
      </c>
      <c r="F98">
        <v>0.93989999999999996</v>
      </c>
      <c r="G98">
        <v>44.554000000000002</v>
      </c>
      <c r="H98">
        <v>69.993099999999998</v>
      </c>
      <c r="I98">
        <v>53.261899999999997</v>
      </c>
      <c r="J98">
        <v>26.555</v>
      </c>
      <c r="K98">
        <v>49130.022199999999</v>
      </c>
      <c r="M98" s="43">
        <v>44295</v>
      </c>
      <c r="N98" s="5">
        <v>3.1575000000000002</v>
      </c>
      <c r="O98">
        <v>12.8385</v>
      </c>
      <c r="P98">
        <v>0.6351</v>
      </c>
      <c r="Q98">
        <v>38.247500000000002</v>
      </c>
      <c r="R98">
        <v>0.61229999999999996</v>
      </c>
      <c r="S98">
        <v>195.11080000000001</v>
      </c>
      <c r="T98">
        <v>54.738300000000002</v>
      </c>
      <c r="U98">
        <v>41.622799999999998</v>
      </c>
      <c r="V98">
        <v>132.935</v>
      </c>
      <c r="W98">
        <v>110117.0462</v>
      </c>
      <c r="Y98" s="5">
        <v>0.9657</v>
      </c>
      <c r="Z98">
        <v>3.9611000000000001</v>
      </c>
      <c r="AA98">
        <v>0.30790000000000001</v>
      </c>
      <c r="AB98">
        <v>8.7568000000000001</v>
      </c>
      <c r="AC98">
        <v>4.3299999999999998E-2</v>
      </c>
      <c r="AD98">
        <v>0</v>
      </c>
      <c r="AE98">
        <v>61.236400000000003</v>
      </c>
      <c r="AF98">
        <v>11.5281</v>
      </c>
      <c r="AG98">
        <v>26.492999999999999</v>
      </c>
      <c r="AH98">
        <v>15004.6224</v>
      </c>
      <c r="AK98">
        <v>0.94369999999999998</v>
      </c>
      <c r="AL98">
        <v>18.166799999999999</v>
      </c>
      <c r="AM98">
        <v>0.8589</v>
      </c>
      <c r="AN98">
        <v>20.384</v>
      </c>
      <c r="AO98">
        <v>1.32E-2</v>
      </c>
      <c r="AP98" t="s">
        <v>23</v>
      </c>
      <c r="AQ98">
        <v>50.906599999999997</v>
      </c>
      <c r="AR98">
        <v>38.278599999999997</v>
      </c>
      <c r="AS98">
        <v>16.734000000000002</v>
      </c>
      <c r="AT98">
        <v>10138.562599999999</v>
      </c>
      <c r="AV98">
        <v>2.1511</v>
      </c>
      <c r="AW98">
        <v>-5.6567999999999996</v>
      </c>
      <c r="AX98">
        <v>-1.0658000000000001</v>
      </c>
      <c r="AY98">
        <v>12.0823</v>
      </c>
      <c r="AZ98">
        <v>5.1999999999999998E-3</v>
      </c>
      <c r="BA98" t="s">
        <v>23</v>
      </c>
      <c r="BB98">
        <v>-8.8741000000000003</v>
      </c>
      <c r="BC98">
        <v>-20.8749</v>
      </c>
      <c r="BD98">
        <v>27.1</v>
      </c>
      <c r="BE98">
        <v>24564.933199999999</v>
      </c>
      <c r="BH98" s="5">
        <v>8.6555999999999997</v>
      </c>
      <c r="BI98">
        <v>-248.60149999999999</v>
      </c>
      <c r="BJ98">
        <v>4.3700000000000003E-2</v>
      </c>
      <c r="BK98">
        <v>49.997</v>
      </c>
      <c r="BL98">
        <v>5.0805999999999996</v>
      </c>
      <c r="BM98" t="s">
        <v>23</v>
      </c>
      <c r="BN98">
        <v>-1.9199999999999998E-2</v>
      </c>
      <c r="BO98">
        <v>-4.7196999999999996</v>
      </c>
      <c r="BP98">
        <v>16.478000000000002</v>
      </c>
      <c r="BQ98">
        <v>10273.5347</v>
      </c>
      <c r="CE98" s="1">
        <f t="shared" si="3"/>
        <v>44295</v>
      </c>
      <c r="CF98" s="35">
        <f t="shared" si="10"/>
        <v>2.8230407104244697</v>
      </c>
      <c r="CG98" s="36">
        <f t="shared" si="9"/>
        <v>-0.9431809366011229</v>
      </c>
      <c r="CH98">
        <f t="shared" ca="1" si="4"/>
        <v>-0.61699781698798128</v>
      </c>
      <c r="CI98">
        <f t="shared" ca="1" si="5"/>
        <v>-0.81230485803881836</v>
      </c>
      <c r="CJ98">
        <f t="shared" ca="1" si="6"/>
        <v>-0.94767863687265219</v>
      </c>
      <c r="CK98">
        <f t="shared" ca="1" si="7"/>
        <v>-1.0992218619964134</v>
      </c>
      <c r="CL98">
        <f t="shared" ca="1" si="8"/>
        <v>-1.157687527159978</v>
      </c>
    </row>
    <row r="99" spans="1:90" x14ac:dyDescent="0.25">
      <c r="A99" s="43">
        <v>44302</v>
      </c>
      <c r="B99" s="5">
        <v>2.1152000000000002</v>
      </c>
      <c r="C99">
        <v>15.3012</v>
      </c>
      <c r="D99">
        <v>1.1554</v>
      </c>
      <c r="E99">
        <v>34.4876</v>
      </c>
      <c r="F99">
        <v>0.93989999999999996</v>
      </c>
      <c r="G99">
        <v>44.554000000000002</v>
      </c>
      <c r="H99">
        <v>69.993099999999998</v>
      </c>
      <c r="I99">
        <v>53.261899999999997</v>
      </c>
      <c r="J99">
        <v>25.901</v>
      </c>
      <c r="K99">
        <v>47918.804400000001</v>
      </c>
      <c r="M99" s="43">
        <v>44302</v>
      </c>
      <c r="N99" s="5">
        <v>3.0196999999999998</v>
      </c>
      <c r="O99">
        <v>12.8385</v>
      </c>
      <c r="P99">
        <v>0.6351</v>
      </c>
      <c r="Q99">
        <v>38.247500000000002</v>
      </c>
      <c r="R99">
        <v>0.61229999999999996</v>
      </c>
      <c r="S99">
        <v>195.11080000000001</v>
      </c>
      <c r="T99">
        <v>54.738300000000002</v>
      </c>
      <c r="U99">
        <v>41.622799999999998</v>
      </c>
      <c r="V99">
        <v>125.741</v>
      </c>
      <c r="W99">
        <v>104158.3316</v>
      </c>
      <c r="Y99" s="5">
        <v>0.91979999999999995</v>
      </c>
      <c r="Z99">
        <v>3.9611000000000001</v>
      </c>
      <c r="AA99">
        <v>0.30790000000000001</v>
      </c>
      <c r="AB99">
        <v>8.7568000000000001</v>
      </c>
      <c r="AC99">
        <v>4.3299999999999998E-2</v>
      </c>
      <c r="AD99">
        <v>0</v>
      </c>
      <c r="AE99">
        <v>61.236400000000003</v>
      </c>
      <c r="AF99">
        <v>11.5281</v>
      </c>
      <c r="AG99">
        <v>25.173999999999999</v>
      </c>
      <c r="AH99">
        <v>14257.686600000001</v>
      </c>
      <c r="AK99">
        <v>0.91520000000000001</v>
      </c>
      <c r="AL99">
        <v>18.166799999999999</v>
      </c>
      <c r="AM99">
        <v>0.8589</v>
      </c>
      <c r="AN99">
        <v>20.384</v>
      </c>
      <c r="AO99">
        <v>1.32E-2</v>
      </c>
      <c r="AP99" t="s">
        <v>23</v>
      </c>
      <c r="AQ99">
        <v>50.906599999999997</v>
      </c>
      <c r="AR99">
        <v>38.278599999999997</v>
      </c>
      <c r="AS99">
        <v>16.221</v>
      </c>
      <c r="AT99">
        <v>9827.2909</v>
      </c>
      <c r="AV99">
        <v>2.1511</v>
      </c>
      <c r="AW99">
        <v>-5.6567999999999996</v>
      </c>
      <c r="AX99">
        <v>-1.0658000000000001</v>
      </c>
      <c r="AY99">
        <v>12.0823</v>
      </c>
      <c r="AZ99">
        <v>5.1999999999999998E-3</v>
      </c>
      <c r="BA99" t="s">
        <v>23</v>
      </c>
      <c r="BB99">
        <v>-8.8741000000000003</v>
      </c>
      <c r="BC99">
        <v>-20.8749</v>
      </c>
      <c r="BD99">
        <v>27</v>
      </c>
      <c r="BE99">
        <v>24474.287700000001</v>
      </c>
      <c r="BH99" s="5">
        <v>8.6555999999999997</v>
      </c>
      <c r="BI99">
        <v>-248.60149999999999</v>
      </c>
      <c r="BJ99">
        <v>4.3700000000000003E-2</v>
      </c>
      <c r="BK99">
        <v>49.997</v>
      </c>
      <c r="BL99">
        <v>5.0805999999999996</v>
      </c>
      <c r="BM99" t="s">
        <v>23</v>
      </c>
      <c r="BN99">
        <v>-1.9199999999999998E-2</v>
      </c>
      <c r="BO99">
        <v>-4.7196999999999996</v>
      </c>
      <c r="BP99">
        <v>15.565</v>
      </c>
      <c r="BQ99">
        <v>9704.3637999999992</v>
      </c>
      <c r="CE99" s="1">
        <f t="shared" si="3"/>
        <v>44302</v>
      </c>
      <c r="CF99" s="35">
        <f t="shared" si="10"/>
        <v>2.7319319550088639</v>
      </c>
      <c r="CG99" s="36">
        <f t="shared" si="9"/>
        <v>-0.98608502453145719</v>
      </c>
      <c r="CH99">
        <f t="shared" ca="1" si="4"/>
        <v>-0.61699781698798128</v>
      </c>
      <c r="CI99">
        <f t="shared" ca="1" si="5"/>
        <v>-0.81230485803881836</v>
      </c>
      <c r="CJ99">
        <f t="shared" ca="1" si="6"/>
        <v>-0.946533536478117</v>
      </c>
      <c r="CK99">
        <f t="shared" ca="1" si="7"/>
        <v>-1.0916924371113503</v>
      </c>
      <c r="CL99">
        <f t="shared" ca="1" si="8"/>
        <v>-1.1500527388903874</v>
      </c>
    </row>
    <row r="100" spans="1:90" x14ac:dyDescent="0.25">
      <c r="A100" s="43">
        <v>44309</v>
      </c>
      <c r="B100" s="5">
        <v>2.0966999999999998</v>
      </c>
      <c r="C100">
        <v>15.3012</v>
      </c>
      <c r="D100">
        <v>1.1554</v>
      </c>
      <c r="E100">
        <v>34.4876</v>
      </c>
      <c r="F100">
        <v>0.93989999999999996</v>
      </c>
      <c r="G100">
        <v>44.554000000000002</v>
      </c>
      <c r="H100">
        <v>69.993099999999998</v>
      </c>
      <c r="I100">
        <v>53.261899999999997</v>
      </c>
      <c r="J100">
        <v>25.492000000000001</v>
      </c>
      <c r="K100">
        <v>47161.793299999998</v>
      </c>
      <c r="M100" s="43">
        <v>44309</v>
      </c>
      <c r="N100" s="5">
        <v>3.0802999999999998</v>
      </c>
      <c r="O100">
        <v>12.8385</v>
      </c>
      <c r="P100">
        <v>0.6351</v>
      </c>
      <c r="Q100">
        <v>38.247500000000002</v>
      </c>
      <c r="R100">
        <v>0.61229999999999996</v>
      </c>
      <c r="S100">
        <v>195.11080000000001</v>
      </c>
      <c r="T100">
        <v>54.738300000000002</v>
      </c>
      <c r="U100">
        <v>41.622799999999998</v>
      </c>
      <c r="V100">
        <v>128.90600000000001</v>
      </c>
      <c r="W100">
        <v>106780.166</v>
      </c>
      <c r="Y100" s="5">
        <v>1.0331999999999999</v>
      </c>
      <c r="Z100">
        <v>3.9611000000000001</v>
      </c>
      <c r="AA100">
        <v>0.30790000000000001</v>
      </c>
      <c r="AB100">
        <v>8.7568000000000001</v>
      </c>
      <c r="AC100">
        <v>4.3299999999999998E-2</v>
      </c>
      <c r="AD100">
        <v>0</v>
      </c>
      <c r="AE100">
        <v>61.236400000000003</v>
      </c>
      <c r="AF100">
        <v>11.5281</v>
      </c>
      <c r="AG100">
        <v>28.433</v>
      </c>
      <c r="AH100">
        <v>16103.0574</v>
      </c>
      <c r="AK100">
        <v>0.94579999999999997</v>
      </c>
      <c r="AL100">
        <v>18.166799999999999</v>
      </c>
      <c r="AM100">
        <v>0.8589</v>
      </c>
      <c r="AN100">
        <v>20.384</v>
      </c>
      <c r="AO100">
        <v>1.32E-2</v>
      </c>
      <c r="AP100" t="s">
        <v>23</v>
      </c>
      <c r="AQ100">
        <v>50.906599999999997</v>
      </c>
      <c r="AR100">
        <v>38.278599999999997</v>
      </c>
      <c r="AS100">
        <v>16.771000000000001</v>
      </c>
      <c r="AT100">
        <v>10160.7963</v>
      </c>
      <c r="AV100">
        <v>2.1511</v>
      </c>
      <c r="AW100">
        <v>-5.6567999999999996</v>
      </c>
      <c r="AX100">
        <v>-1.0658000000000001</v>
      </c>
      <c r="AY100">
        <v>12.0823</v>
      </c>
      <c r="AZ100">
        <v>5.1999999999999998E-3</v>
      </c>
      <c r="BA100" t="s">
        <v>23</v>
      </c>
      <c r="BB100">
        <v>-8.8741000000000003</v>
      </c>
      <c r="BC100">
        <v>-20.8749</v>
      </c>
      <c r="BD100">
        <v>26.5</v>
      </c>
      <c r="BE100">
        <v>24021.0602</v>
      </c>
      <c r="BH100" s="5">
        <v>8.6555999999999997</v>
      </c>
      <c r="BI100">
        <v>-248.60149999999999</v>
      </c>
      <c r="BJ100">
        <v>4.3700000000000003E-2</v>
      </c>
      <c r="BK100">
        <v>49.997</v>
      </c>
      <c r="BL100">
        <v>5.0805999999999996</v>
      </c>
      <c r="BM100" t="s">
        <v>23</v>
      </c>
      <c r="BN100">
        <v>-1.9199999999999998E-2</v>
      </c>
      <c r="BO100">
        <v>-4.7196999999999996</v>
      </c>
      <c r="BP100">
        <v>15.244999999999999</v>
      </c>
      <c r="BQ100">
        <v>9505.1540000000005</v>
      </c>
      <c r="CE100" s="1">
        <f t="shared" si="3"/>
        <v>44309</v>
      </c>
      <c r="CF100" s="35">
        <f t="shared" si="10"/>
        <v>2.7510680483862924</v>
      </c>
      <c r="CG100" s="36">
        <f t="shared" si="9"/>
        <v>-0.97707363337411901</v>
      </c>
      <c r="CH100">
        <f t="shared" ca="1" si="4"/>
        <v>-0.61699781698798128</v>
      </c>
      <c r="CI100">
        <f t="shared" ca="1" si="5"/>
        <v>-0.81230485803881836</v>
      </c>
      <c r="CJ100">
        <f t="shared" ca="1" si="6"/>
        <v>-0.946533536478117</v>
      </c>
      <c r="CK100">
        <f t="shared" ca="1" si="7"/>
        <v>-1.0786389685014441</v>
      </c>
      <c r="CL100">
        <f t="shared" ca="1" si="8"/>
        <v>-1.1157349417370994</v>
      </c>
    </row>
    <row r="101" spans="1:90" x14ac:dyDescent="0.25">
      <c r="A101" s="43">
        <v>44316</v>
      </c>
      <c r="B101" s="5">
        <v>2.1410999999999998</v>
      </c>
      <c r="C101">
        <v>15.3012</v>
      </c>
      <c r="D101">
        <v>1.1554</v>
      </c>
      <c r="E101">
        <v>34.4876</v>
      </c>
      <c r="F101">
        <v>0.93989999999999996</v>
      </c>
      <c r="G101">
        <v>44.554000000000002</v>
      </c>
      <c r="H101">
        <v>69.993099999999998</v>
      </c>
      <c r="I101">
        <v>53.261899999999997</v>
      </c>
      <c r="J101">
        <v>26.474</v>
      </c>
      <c r="K101">
        <v>48978.62</v>
      </c>
      <c r="M101" s="43">
        <v>44316</v>
      </c>
      <c r="N101" s="5">
        <v>3.1711999999999998</v>
      </c>
      <c r="O101">
        <v>12.8385</v>
      </c>
      <c r="P101">
        <v>0.6351</v>
      </c>
      <c r="Q101">
        <v>38.247500000000002</v>
      </c>
      <c r="R101">
        <v>0.61229999999999996</v>
      </c>
      <c r="S101">
        <v>195.11080000000001</v>
      </c>
      <c r="T101">
        <v>54.738300000000002</v>
      </c>
      <c r="U101">
        <v>41.622799999999998</v>
      </c>
      <c r="V101">
        <v>133.654</v>
      </c>
      <c r="W101">
        <v>110712.91770000001</v>
      </c>
      <c r="Y101" s="5">
        <v>1.0250999999999999</v>
      </c>
      <c r="Z101">
        <v>3.9611000000000001</v>
      </c>
      <c r="AA101">
        <v>0.30790000000000001</v>
      </c>
      <c r="AB101">
        <v>8.7568000000000001</v>
      </c>
      <c r="AC101">
        <v>4.3299999999999998E-2</v>
      </c>
      <c r="AD101">
        <v>0</v>
      </c>
      <c r="AE101">
        <v>61.236400000000003</v>
      </c>
      <c r="AF101">
        <v>11.5281</v>
      </c>
      <c r="AG101">
        <v>28.2</v>
      </c>
      <c r="AH101">
        <v>15971.245199999999</v>
      </c>
      <c r="AK101">
        <v>0.98460000000000003</v>
      </c>
      <c r="AL101">
        <v>18.166799999999999</v>
      </c>
      <c r="AM101">
        <v>0.8589</v>
      </c>
      <c r="AN101">
        <v>20.384</v>
      </c>
      <c r="AO101">
        <v>1.32E-2</v>
      </c>
      <c r="AP101" t="s">
        <v>23</v>
      </c>
      <c r="AQ101">
        <v>50.906599999999997</v>
      </c>
      <c r="AR101">
        <v>38.278599999999997</v>
      </c>
      <c r="AS101">
        <v>17.468</v>
      </c>
      <c r="AT101">
        <v>10583.2364</v>
      </c>
      <c r="AV101">
        <v>2.1511</v>
      </c>
      <c r="AW101">
        <v>-5.6567999999999996</v>
      </c>
      <c r="AX101">
        <v>-1.0658000000000001</v>
      </c>
      <c r="AY101">
        <v>12.0823</v>
      </c>
      <c r="AZ101">
        <v>5.1999999999999998E-3</v>
      </c>
      <c r="BA101" t="s">
        <v>23</v>
      </c>
      <c r="BB101">
        <v>-8.8741000000000003</v>
      </c>
      <c r="BC101">
        <v>-20.8749</v>
      </c>
      <c r="BD101">
        <v>27.75</v>
      </c>
      <c r="BE101">
        <v>25154.129000000001</v>
      </c>
      <c r="BH101" s="5">
        <v>8.6555999999999997</v>
      </c>
      <c r="BI101">
        <v>-248.60149999999999</v>
      </c>
      <c r="BJ101">
        <v>4.3700000000000003E-2</v>
      </c>
      <c r="BK101">
        <v>49.997</v>
      </c>
      <c r="BL101">
        <v>5.0805999999999996</v>
      </c>
      <c r="BM101" t="s">
        <v>23</v>
      </c>
      <c r="BN101">
        <v>-1.9199999999999998E-2</v>
      </c>
      <c r="BO101">
        <v>-4.7196999999999996</v>
      </c>
      <c r="BP101">
        <v>15.93</v>
      </c>
      <c r="BQ101">
        <v>9932.0321999999996</v>
      </c>
      <c r="CE101" s="1">
        <f t="shared" si="3"/>
        <v>44316</v>
      </c>
      <c r="CF101" s="35">
        <f t="shared" si="10"/>
        <v>2.8140058499465241</v>
      </c>
      <c r="CG101" s="36">
        <f t="shared" si="9"/>
        <v>-0.94743554908722083</v>
      </c>
      <c r="CH101">
        <f t="shared" ca="1" si="4"/>
        <v>-0.61699781698798128</v>
      </c>
      <c r="CI101">
        <f t="shared" ca="1" si="5"/>
        <v>-0.81230485803881836</v>
      </c>
      <c r="CJ101">
        <f t="shared" ca="1" si="6"/>
        <v>-0.946533536478117</v>
      </c>
      <c r="CK101">
        <f t="shared" ca="1" si="7"/>
        <v>-1.0473343454181783</v>
      </c>
      <c r="CL101">
        <f t="shared" ca="1" si="8"/>
        <v>-1.1144302445026375</v>
      </c>
    </row>
    <row r="102" spans="1:90" x14ac:dyDescent="0.25">
      <c r="A102" s="43">
        <v>44323</v>
      </c>
      <c r="B102" s="5">
        <v>2.1429</v>
      </c>
      <c r="C102">
        <v>15.3012</v>
      </c>
      <c r="D102">
        <v>1.1554</v>
      </c>
      <c r="E102">
        <v>34.4876</v>
      </c>
      <c r="F102">
        <v>0.93989999999999996</v>
      </c>
      <c r="G102">
        <v>44.554000000000002</v>
      </c>
      <c r="H102">
        <v>69.993099999999998</v>
      </c>
      <c r="I102">
        <v>53.261899999999997</v>
      </c>
      <c r="J102">
        <v>26.515000000000001</v>
      </c>
      <c r="K102">
        <v>49054.321100000001</v>
      </c>
      <c r="M102" s="43">
        <v>44323</v>
      </c>
      <c r="N102" s="5">
        <v>3.1812999999999998</v>
      </c>
      <c r="O102">
        <v>12.8385</v>
      </c>
      <c r="P102">
        <v>0.6351</v>
      </c>
      <c r="Q102">
        <v>38.247500000000002</v>
      </c>
      <c r="R102">
        <v>0.61229999999999996</v>
      </c>
      <c r="S102">
        <v>195.11080000000001</v>
      </c>
      <c r="T102">
        <v>54.738300000000002</v>
      </c>
      <c r="U102">
        <v>41.622799999999998</v>
      </c>
      <c r="V102">
        <v>134.18199999999999</v>
      </c>
      <c r="W102">
        <v>111149.8901</v>
      </c>
      <c r="Y102" s="5">
        <v>1.0346</v>
      </c>
      <c r="Z102">
        <v>3.9611000000000001</v>
      </c>
      <c r="AA102">
        <v>0.30790000000000001</v>
      </c>
      <c r="AB102">
        <v>8.7568000000000001</v>
      </c>
      <c r="AC102">
        <v>4.3299999999999998E-2</v>
      </c>
      <c r="AD102">
        <v>0</v>
      </c>
      <c r="AE102">
        <v>61.236400000000003</v>
      </c>
      <c r="AF102">
        <v>11.5281</v>
      </c>
      <c r="AG102">
        <v>28.471</v>
      </c>
      <c r="AH102">
        <v>16125.026099999999</v>
      </c>
      <c r="AK102">
        <v>0.99270000000000003</v>
      </c>
      <c r="AL102">
        <v>18.166799999999999</v>
      </c>
      <c r="AM102">
        <v>0.8589</v>
      </c>
      <c r="AN102">
        <v>20.384</v>
      </c>
      <c r="AO102">
        <v>1.32E-2</v>
      </c>
      <c r="AP102" t="s">
        <v>23</v>
      </c>
      <c r="AQ102">
        <v>50.906599999999997</v>
      </c>
      <c r="AR102">
        <v>38.278599999999997</v>
      </c>
      <c r="AS102">
        <v>17.614999999999998</v>
      </c>
      <c r="AT102">
        <v>10672.171200000001</v>
      </c>
      <c r="AV102">
        <v>2.1511</v>
      </c>
      <c r="AW102">
        <v>-5.6567999999999996</v>
      </c>
      <c r="AX102">
        <v>-1.0658000000000001</v>
      </c>
      <c r="AY102">
        <v>12.0823</v>
      </c>
      <c r="AZ102">
        <v>5.1999999999999998E-3</v>
      </c>
      <c r="BA102" t="s">
        <v>23</v>
      </c>
      <c r="BB102">
        <v>-8.8741000000000003</v>
      </c>
      <c r="BC102">
        <v>-20.8749</v>
      </c>
      <c r="BD102">
        <v>27.45</v>
      </c>
      <c r="BE102">
        <v>24882.192500000001</v>
      </c>
      <c r="BH102" s="5">
        <v>8.6555999999999997</v>
      </c>
      <c r="BI102">
        <v>-248.60149999999999</v>
      </c>
      <c r="BJ102">
        <v>4.3700000000000003E-2</v>
      </c>
      <c r="BK102">
        <v>49.997</v>
      </c>
      <c r="BL102">
        <v>5.0805999999999996</v>
      </c>
      <c r="BM102" t="s">
        <v>23</v>
      </c>
      <c r="BN102">
        <v>-1.9199999999999998E-2</v>
      </c>
      <c r="BO102">
        <v>-4.7196999999999996</v>
      </c>
      <c r="BP102">
        <v>15.382</v>
      </c>
      <c r="BQ102">
        <v>9590.5296999999991</v>
      </c>
      <c r="CE102" s="1">
        <f t="shared" si="3"/>
        <v>44323</v>
      </c>
      <c r="CF102" s="35">
        <f t="shared" si="10"/>
        <v>2.8108598399464895</v>
      </c>
      <c r="CG102" s="36">
        <f t="shared" si="9"/>
        <v>-0.94891703886342826</v>
      </c>
      <c r="CH102">
        <f t="shared" ca="1" si="4"/>
        <v>-0.61699781698798128</v>
      </c>
      <c r="CI102">
        <f t="shared" ca="1" si="5"/>
        <v>-0.81230485803881836</v>
      </c>
      <c r="CJ102">
        <f t="shared" ca="1" si="6"/>
        <v>-0.946533536478117</v>
      </c>
      <c r="CK102">
        <f t="shared" ca="1" si="7"/>
        <v>-1.0350924080009045</v>
      </c>
      <c r="CL102">
        <f t="shared" ca="1" si="8"/>
        <v>-1.1084032650404081</v>
      </c>
    </row>
    <row r="103" spans="1:90" x14ac:dyDescent="0.25">
      <c r="A103" s="43">
        <v>44330</v>
      </c>
      <c r="B103" s="5">
        <v>2.1448</v>
      </c>
      <c r="C103">
        <v>15.3012</v>
      </c>
      <c r="D103">
        <v>1.1554</v>
      </c>
      <c r="E103">
        <v>34.4876</v>
      </c>
      <c r="F103">
        <v>0.93989999999999996</v>
      </c>
      <c r="G103">
        <v>44.554000000000002</v>
      </c>
      <c r="H103">
        <v>69.993099999999998</v>
      </c>
      <c r="I103">
        <v>53.261899999999997</v>
      </c>
      <c r="J103">
        <v>26.555</v>
      </c>
      <c r="K103">
        <v>49130.022199999999</v>
      </c>
      <c r="M103" s="43">
        <v>44330</v>
      </c>
      <c r="N103" s="5">
        <v>3.3264</v>
      </c>
      <c r="O103">
        <v>12.8385</v>
      </c>
      <c r="P103">
        <v>0.6351</v>
      </c>
      <c r="Q103">
        <v>38.247500000000002</v>
      </c>
      <c r="R103">
        <v>0.61229999999999996</v>
      </c>
      <c r="S103">
        <v>195.11080000000001</v>
      </c>
      <c r="T103">
        <v>54.738300000000002</v>
      </c>
      <c r="U103">
        <v>41.622799999999998</v>
      </c>
      <c r="V103">
        <v>141.75899999999999</v>
      </c>
      <c r="W103">
        <v>117426.4028</v>
      </c>
      <c r="Y103" s="5">
        <v>1.0737000000000001</v>
      </c>
      <c r="Z103">
        <v>3.9611000000000001</v>
      </c>
      <c r="AA103">
        <v>0.30790000000000001</v>
      </c>
      <c r="AB103">
        <v>8.7568000000000001</v>
      </c>
      <c r="AC103">
        <v>4.3299999999999998E-2</v>
      </c>
      <c r="AD103">
        <v>0</v>
      </c>
      <c r="AE103">
        <v>61.236400000000003</v>
      </c>
      <c r="AF103">
        <v>11.5281</v>
      </c>
      <c r="AG103">
        <v>29.596</v>
      </c>
      <c r="AH103">
        <v>16762.118399999999</v>
      </c>
      <c r="AK103">
        <v>1.0008999999999999</v>
      </c>
      <c r="AL103">
        <v>18.166799999999999</v>
      </c>
      <c r="AM103">
        <v>0.8589</v>
      </c>
      <c r="AN103">
        <v>20.384</v>
      </c>
      <c r="AO103">
        <v>1.32E-2</v>
      </c>
      <c r="AP103" t="s">
        <v>23</v>
      </c>
      <c r="AQ103">
        <v>50.906599999999997</v>
      </c>
      <c r="AR103">
        <v>38.278599999999997</v>
      </c>
      <c r="AS103">
        <v>17.762</v>
      </c>
      <c r="AT103">
        <v>10761.1059</v>
      </c>
      <c r="AV103">
        <v>2.1511</v>
      </c>
      <c r="AW103">
        <v>-5.6567999999999996</v>
      </c>
      <c r="AX103">
        <v>-1.0658000000000001</v>
      </c>
      <c r="AY103">
        <v>12.0823</v>
      </c>
      <c r="AZ103">
        <v>5.1999999999999998E-3</v>
      </c>
      <c r="BA103" t="s">
        <v>23</v>
      </c>
      <c r="BB103">
        <v>-8.8741000000000003</v>
      </c>
      <c r="BC103">
        <v>-20.8749</v>
      </c>
      <c r="BD103">
        <v>27.85</v>
      </c>
      <c r="BE103">
        <v>25244.7745</v>
      </c>
      <c r="BH103" s="5">
        <v>8.6555999999999997</v>
      </c>
      <c r="BI103">
        <v>-248.60149999999999</v>
      </c>
      <c r="BJ103">
        <v>4.3700000000000003E-2</v>
      </c>
      <c r="BK103">
        <v>49.997</v>
      </c>
      <c r="BL103">
        <v>5.0805999999999996</v>
      </c>
      <c r="BM103" t="s">
        <v>23</v>
      </c>
      <c r="BN103">
        <v>-1.9199999999999998E-2</v>
      </c>
      <c r="BO103">
        <v>-4.7196999999999996</v>
      </c>
      <c r="BP103">
        <v>15.747</v>
      </c>
      <c r="BQ103">
        <v>9818.1980000000003</v>
      </c>
      <c r="CE103" s="1">
        <f t="shared" si="3"/>
        <v>44330</v>
      </c>
      <c r="CF103" s="35">
        <f t="shared" si="10"/>
        <v>2.8979155389310467</v>
      </c>
      <c r="CG103" s="36">
        <f t="shared" si="9"/>
        <v>-0.90792157858047073</v>
      </c>
      <c r="CH103">
        <f t="shared" ca="1" si="4"/>
        <v>-0.61699781698798128</v>
      </c>
      <c r="CI103">
        <f t="shared" ca="1" si="5"/>
        <v>-0.81230485803881836</v>
      </c>
      <c r="CJ103">
        <f t="shared" ca="1" si="6"/>
        <v>-0.946533536478117</v>
      </c>
      <c r="CK103">
        <f t="shared" ca="1" si="7"/>
        <v>-1.0300066046924665</v>
      </c>
      <c r="CL103">
        <f t="shared" ca="1" si="8"/>
        <v>-1.1056694817602173</v>
      </c>
    </row>
    <row r="104" spans="1:90" x14ac:dyDescent="0.25">
      <c r="A104" s="43">
        <v>44337</v>
      </c>
      <c r="B104" s="5">
        <v>2.1410999999999998</v>
      </c>
      <c r="C104">
        <v>15.3012</v>
      </c>
      <c r="D104">
        <v>1.1554</v>
      </c>
      <c r="E104">
        <v>34.4876</v>
      </c>
      <c r="F104">
        <v>0.93989999999999996</v>
      </c>
      <c r="G104">
        <v>44.554000000000002</v>
      </c>
      <c r="H104">
        <v>69.993099999999998</v>
      </c>
      <c r="I104">
        <v>53.261899999999997</v>
      </c>
      <c r="J104">
        <v>26.474</v>
      </c>
      <c r="K104">
        <v>48978.62</v>
      </c>
      <c r="M104" s="43">
        <v>44337</v>
      </c>
      <c r="N104" s="5">
        <v>3.3668</v>
      </c>
      <c r="O104">
        <v>12.8385</v>
      </c>
      <c r="P104">
        <v>0.6351</v>
      </c>
      <c r="Q104">
        <v>38.247500000000002</v>
      </c>
      <c r="R104">
        <v>0.61229999999999996</v>
      </c>
      <c r="S104">
        <v>195.11080000000001</v>
      </c>
      <c r="T104">
        <v>54.738300000000002</v>
      </c>
      <c r="U104">
        <v>41.622799999999998</v>
      </c>
      <c r="V104">
        <v>143.869</v>
      </c>
      <c r="W104">
        <v>119174.2925</v>
      </c>
      <c r="Y104" s="5">
        <v>1.0238</v>
      </c>
      <c r="Z104">
        <v>3.9611000000000001</v>
      </c>
      <c r="AA104">
        <v>0.30790000000000001</v>
      </c>
      <c r="AB104">
        <v>8.7568000000000001</v>
      </c>
      <c r="AC104">
        <v>4.3299999999999998E-2</v>
      </c>
      <c r="AD104">
        <v>0</v>
      </c>
      <c r="AE104">
        <v>61.236400000000003</v>
      </c>
      <c r="AF104">
        <v>11.5281</v>
      </c>
      <c r="AG104">
        <v>28.161000000000001</v>
      </c>
      <c r="AH104">
        <v>15949.2765</v>
      </c>
      <c r="AK104">
        <v>0.99270000000000003</v>
      </c>
      <c r="AL104">
        <v>18.166799999999999</v>
      </c>
      <c r="AM104">
        <v>0.8589</v>
      </c>
      <c r="AN104">
        <v>20.384</v>
      </c>
      <c r="AO104">
        <v>1.32E-2</v>
      </c>
      <c r="AP104" t="s">
        <v>23</v>
      </c>
      <c r="AQ104">
        <v>50.906599999999997</v>
      </c>
      <c r="AR104">
        <v>38.278599999999997</v>
      </c>
      <c r="AS104">
        <v>17.614999999999998</v>
      </c>
      <c r="AT104">
        <v>10672.171200000001</v>
      </c>
      <c r="AV104">
        <v>2.1511</v>
      </c>
      <c r="AW104">
        <v>-5.6567999999999996</v>
      </c>
      <c r="AX104">
        <v>-1.0658000000000001</v>
      </c>
      <c r="AY104">
        <v>12.0823</v>
      </c>
      <c r="AZ104">
        <v>5.1999999999999998E-3</v>
      </c>
      <c r="BA104" t="s">
        <v>23</v>
      </c>
      <c r="BB104">
        <v>-8.8741000000000003</v>
      </c>
      <c r="BC104">
        <v>-20.8749</v>
      </c>
      <c r="BD104">
        <v>28.45</v>
      </c>
      <c r="BE104">
        <v>25788.6476</v>
      </c>
      <c r="BH104" s="5">
        <v>8.6555999999999997</v>
      </c>
      <c r="BI104">
        <v>-248.60149999999999</v>
      </c>
      <c r="BJ104">
        <v>4.3700000000000003E-2</v>
      </c>
      <c r="BK104">
        <v>49.997</v>
      </c>
      <c r="BL104">
        <v>5.0805999999999996</v>
      </c>
      <c r="BM104" t="s">
        <v>23</v>
      </c>
      <c r="BN104">
        <v>-1.9199999999999998E-2</v>
      </c>
      <c r="BO104">
        <v>-4.7196999999999996</v>
      </c>
      <c r="BP104">
        <v>15.976000000000001</v>
      </c>
      <c r="BQ104">
        <v>9960.4907999999996</v>
      </c>
      <c r="CE104" s="1">
        <f t="shared" si="3"/>
        <v>44337</v>
      </c>
      <c r="CF104" s="35">
        <f t="shared" si="10"/>
        <v>2.9268827387247534</v>
      </c>
      <c r="CG104" s="36">
        <f t="shared" si="9"/>
        <v>-0.89428061420360605</v>
      </c>
      <c r="CH104">
        <f t="shared" ca="1" si="4"/>
        <v>-0.61699781698798128</v>
      </c>
      <c r="CI104">
        <f t="shared" ca="1" si="5"/>
        <v>-0.81230485803881836</v>
      </c>
      <c r="CJ104">
        <f t="shared" ca="1" si="6"/>
        <v>-0.94595655124620381</v>
      </c>
      <c r="CK104">
        <f t="shared" ca="1" si="7"/>
        <v>-1.0258563695876144</v>
      </c>
      <c r="CL104">
        <f t="shared" ca="1" si="8"/>
        <v>-1.1056694817602173</v>
      </c>
    </row>
    <row r="105" spans="1:90" x14ac:dyDescent="0.25">
      <c r="A105" s="43">
        <v>44344</v>
      </c>
      <c r="B105" s="5">
        <v>2.2706</v>
      </c>
      <c r="C105">
        <v>15.3012</v>
      </c>
      <c r="D105">
        <v>1.1554</v>
      </c>
      <c r="E105">
        <v>34.4876</v>
      </c>
      <c r="F105">
        <v>0.93989999999999996</v>
      </c>
      <c r="G105">
        <v>44.554000000000002</v>
      </c>
      <c r="H105">
        <v>69.993099999999998</v>
      </c>
      <c r="I105">
        <v>53.261899999999997</v>
      </c>
      <c r="J105">
        <v>29.338000000000001</v>
      </c>
      <c r="K105">
        <v>54277.697899999999</v>
      </c>
      <c r="M105" s="43">
        <v>44344</v>
      </c>
      <c r="N105" s="5">
        <v>3.4218999999999999</v>
      </c>
      <c r="O105">
        <v>12.8385</v>
      </c>
      <c r="P105">
        <v>0.6351</v>
      </c>
      <c r="Q105">
        <v>38.247500000000002</v>
      </c>
      <c r="R105">
        <v>0.61229999999999996</v>
      </c>
      <c r="S105">
        <v>195.11080000000001</v>
      </c>
      <c r="T105">
        <v>54.738300000000002</v>
      </c>
      <c r="U105">
        <v>41.622799999999998</v>
      </c>
      <c r="V105">
        <v>146.74600000000001</v>
      </c>
      <c r="W105">
        <v>121557.77830000001</v>
      </c>
      <c r="Y105" s="5">
        <v>1.0886</v>
      </c>
      <c r="Z105">
        <v>3.9611000000000001</v>
      </c>
      <c r="AA105">
        <v>0.30790000000000001</v>
      </c>
      <c r="AB105">
        <v>8.7568000000000001</v>
      </c>
      <c r="AC105">
        <v>4.3299999999999998E-2</v>
      </c>
      <c r="AD105">
        <v>0</v>
      </c>
      <c r="AE105">
        <v>61.236400000000003</v>
      </c>
      <c r="AF105">
        <v>11.5281</v>
      </c>
      <c r="AG105">
        <v>30.023</v>
      </c>
      <c r="AH105">
        <v>17003.774099999999</v>
      </c>
      <c r="AK105">
        <v>1.0927</v>
      </c>
      <c r="AL105">
        <v>18.166799999999999</v>
      </c>
      <c r="AM105">
        <v>0.8589</v>
      </c>
      <c r="AN105">
        <v>20.384</v>
      </c>
      <c r="AO105">
        <v>1.32E-2</v>
      </c>
      <c r="AP105" t="s">
        <v>23</v>
      </c>
      <c r="AQ105">
        <v>50.906599999999997</v>
      </c>
      <c r="AR105">
        <v>38.278599999999997</v>
      </c>
      <c r="AS105">
        <v>19.413</v>
      </c>
      <c r="AT105">
        <v>11761.621999999999</v>
      </c>
      <c r="AV105">
        <v>2.1511</v>
      </c>
      <c r="AW105">
        <v>-5.6567999999999996</v>
      </c>
      <c r="AX105">
        <v>-1.0658000000000001</v>
      </c>
      <c r="AY105">
        <v>12.0823</v>
      </c>
      <c r="AZ105">
        <v>5.1999999999999998E-3</v>
      </c>
      <c r="BA105" t="s">
        <v>23</v>
      </c>
      <c r="BB105">
        <v>-8.8741000000000003</v>
      </c>
      <c r="BC105">
        <v>-20.8749</v>
      </c>
      <c r="BD105">
        <v>31.25</v>
      </c>
      <c r="BE105">
        <v>28326.7219</v>
      </c>
      <c r="BH105" s="5">
        <v>8.6555999999999997</v>
      </c>
      <c r="BI105">
        <v>-248.60149999999999</v>
      </c>
      <c r="BJ105">
        <v>4.3700000000000003E-2</v>
      </c>
      <c r="BK105">
        <v>49.997</v>
      </c>
      <c r="BL105">
        <v>5.0805999999999996</v>
      </c>
      <c r="BM105" t="s">
        <v>23</v>
      </c>
      <c r="BN105">
        <v>-1.9199999999999998E-2</v>
      </c>
      <c r="BO105">
        <v>-4.7196999999999996</v>
      </c>
      <c r="BP105">
        <v>16.706</v>
      </c>
      <c r="BQ105">
        <v>10415.827499999999</v>
      </c>
      <c r="CE105" s="1">
        <f t="shared" ref="CE105:CE168" si="11">+A105</f>
        <v>44344</v>
      </c>
      <c r="CF105" s="35">
        <f t="shared" si="10"/>
        <v>2.9655725978034932</v>
      </c>
      <c r="CG105" s="36">
        <f t="shared" si="9"/>
        <v>-0.87606114552187098</v>
      </c>
      <c r="CH105">
        <f t="shared" ca="1" si="4"/>
        <v>-0.61699781698798128</v>
      </c>
      <c r="CI105">
        <f t="shared" ca="1" si="5"/>
        <v>-0.81230485803881836</v>
      </c>
      <c r="CJ105">
        <f t="shared" ca="1" si="6"/>
        <v>-0.94439461884990572</v>
      </c>
      <c r="CK105">
        <f t="shared" ca="1" si="7"/>
        <v>-1.0258563695876144</v>
      </c>
      <c r="CL105">
        <f t="shared" ca="1" si="8"/>
        <v>-1.1056694817602173</v>
      </c>
    </row>
    <row r="106" spans="1:90" x14ac:dyDescent="0.25">
      <c r="A106" s="43">
        <v>44351</v>
      </c>
      <c r="B106" s="5">
        <v>2.5464000000000002</v>
      </c>
      <c r="C106">
        <v>15.3012</v>
      </c>
      <c r="D106">
        <v>1.1554</v>
      </c>
      <c r="E106">
        <v>34.4876</v>
      </c>
      <c r="F106">
        <v>0.93989999999999996</v>
      </c>
      <c r="G106">
        <v>44.554000000000002</v>
      </c>
      <c r="H106">
        <v>69.993099999999998</v>
      </c>
      <c r="I106">
        <v>53.261899999999997</v>
      </c>
      <c r="J106">
        <v>35.435000000000002</v>
      </c>
      <c r="K106">
        <v>65557.163700000005</v>
      </c>
      <c r="M106" s="43">
        <v>44351</v>
      </c>
      <c r="N106" s="5">
        <v>3.8892000000000002</v>
      </c>
      <c r="O106">
        <v>12.8385</v>
      </c>
      <c r="P106">
        <v>0.6351</v>
      </c>
      <c r="Q106">
        <v>38.247500000000002</v>
      </c>
      <c r="R106">
        <v>0.61229999999999996</v>
      </c>
      <c r="S106">
        <v>195.11080000000001</v>
      </c>
      <c r="T106">
        <v>54.738300000000002</v>
      </c>
      <c r="U106">
        <v>41.622799999999998</v>
      </c>
      <c r="V106">
        <v>171.15600000000001</v>
      </c>
      <c r="W106">
        <v>141777.6833</v>
      </c>
      <c r="Y106" s="5">
        <v>1.3803000000000001</v>
      </c>
      <c r="Z106">
        <v>3.9611000000000001</v>
      </c>
      <c r="AA106">
        <v>0.30790000000000001</v>
      </c>
      <c r="AB106">
        <v>8.7568000000000001</v>
      </c>
      <c r="AC106">
        <v>4.3299999999999998E-2</v>
      </c>
      <c r="AD106">
        <v>0</v>
      </c>
      <c r="AE106">
        <v>61.236400000000003</v>
      </c>
      <c r="AF106">
        <v>11.5281</v>
      </c>
      <c r="AG106">
        <v>38.401000000000003</v>
      </c>
      <c r="AH106">
        <v>21749.0134</v>
      </c>
      <c r="AK106">
        <v>1.2152000000000001</v>
      </c>
      <c r="AL106">
        <v>18.166799999999999</v>
      </c>
      <c r="AM106">
        <v>0.8589</v>
      </c>
      <c r="AN106">
        <v>20.384</v>
      </c>
      <c r="AO106">
        <v>1.32E-2</v>
      </c>
      <c r="AP106" t="s">
        <v>23</v>
      </c>
      <c r="AQ106">
        <v>50.906599999999997</v>
      </c>
      <c r="AR106">
        <v>38.278599999999997</v>
      </c>
      <c r="AS106">
        <v>21.614999999999998</v>
      </c>
      <c r="AT106">
        <v>13095.643400000001</v>
      </c>
      <c r="AV106">
        <v>2.1511</v>
      </c>
      <c r="AW106">
        <v>-5.6567999999999996</v>
      </c>
      <c r="AX106">
        <v>-1.0658000000000001</v>
      </c>
      <c r="AY106">
        <v>12.0823</v>
      </c>
      <c r="AZ106">
        <v>5.1999999999999998E-3</v>
      </c>
      <c r="BA106" t="s">
        <v>23</v>
      </c>
      <c r="BB106">
        <v>-8.8741000000000003</v>
      </c>
      <c r="BC106">
        <v>-20.8749</v>
      </c>
      <c r="BD106">
        <v>36.1</v>
      </c>
      <c r="BE106">
        <v>32723.0291</v>
      </c>
      <c r="BH106" s="5">
        <v>8.6555999999999997</v>
      </c>
      <c r="BI106">
        <v>-248.60149999999999</v>
      </c>
      <c r="BJ106">
        <v>4.3700000000000003E-2</v>
      </c>
      <c r="BK106">
        <v>49.997</v>
      </c>
      <c r="BL106">
        <v>5.0805999999999996</v>
      </c>
      <c r="BM106" t="s">
        <v>23</v>
      </c>
      <c r="BN106">
        <v>-1.9199999999999998E-2</v>
      </c>
      <c r="BO106">
        <v>-4.7196999999999996</v>
      </c>
      <c r="BP106">
        <v>19.033999999999999</v>
      </c>
      <c r="BQ106">
        <v>11867.213299999999</v>
      </c>
      <c r="CE106" s="1">
        <f t="shared" si="11"/>
        <v>44351</v>
      </c>
      <c r="CF106" s="35">
        <f t="shared" si="10"/>
        <v>3.2687509346766306</v>
      </c>
      <c r="CG106" s="36">
        <f t="shared" si="9"/>
        <v>-0.73329122220943421</v>
      </c>
      <c r="CH106">
        <f t="shared" ca="1" si="4"/>
        <v>-0.61699781698798128</v>
      </c>
      <c r="CI106">
        <f t="shared" ca="1" si="5"/>
        <v>-0.81230485803881836</v>
      </c>
      <c r="CJ106">
        <f t="shared" ca="1" si="6"/>
        <v>-0.94137945778959753</v>
      </c>
      <c r="CK106">
        <f t="shared" ca="1" si="7"/>
        <v>-1.0228799697037301</v>
      </c>
      <c r="CL106">
        <f t="shared" ca="1" si="8"/>
        <v>-1.1056694817602173</v>
      </c>
    </row>
    <row r="107" spans="1:90" x14ac:dyDescent="0.25">
      <c r="A107" s="43">
        <v>44358</v>
      </c>
      <c r="B107" s="5">
        <v>2.5981999999999998</v>
      </c>
      <c r="C107">
        <v>15.3012</v>
      </c>
      <c r="D107">
        <v>1.1554</v>
      </c>
      <c r="E107">
        <v>34.4876</v>
      </c>
      <c r="F107">
        <v>0.93989999999999996</v>
      </c>
      <c r="G107">
        <v>44.554000000000002</v>
      </c>
      <c r="H107">
        <v>69.993099999999998</v>
      </c>
      <c r="I107">
        <v>53.261899999999997</v>
      </c>
      <c r="J107">
        <v>36.58</v>
      </c>
      <c r="K107">
        <v>67676.794800000003</v>
      </c>
      <c r="M107" s="43">
        <v>44358</v>
      </c>
      <c r="N107" s="5">
        <v>3.8561999999999999</v>
      </c>
      <c r="O107">
        <v>12.8385</v>
      </c>
      <c r="P107">
        <v>0.6351</v>
      </c>
      <c r="Q107">
        <v>38.247500000000002</v>
      </c>
      <c r="R107">
        <v>0.61229999999999996</v>
      </c>
      <c r="S107">
        <v>195.11080000000001</v>
      </c>
      <c r="T107">
        <v>54.738300000000002</v>
      </c>
      <c r="U107">
        <v>41.622799999999998</v>
      </c>
      <c r="V107">
        <v>169.429</v>
      </c>
      <c r="W107">
        <v>140347.59169999999</v>
      </c>
      <c r="Y107" s="5">
        <v>1.4073</v>
      </c>
      <c r="Z107">
        <v>3.9611000000000001</v>
      </c>
      <c r="AA107">
        <v>0.30790000000000001</v>
      </c>
      <c r="AB107">
        <v>8.7568000000000001</v>
      </c>
      <c r="AC107">
        <v>4.3299999999999998E-2</v>
      </c>
      <c r="AD107">
        <v>0</v>
      </c>
      <c r="AE107">
        <v>61.236400000000003</v>
      </c>
      <c r="AF107">
        <v>11.5281</v>
      </c>
      <c r="AG107">
        <v>39.177</v>
      </c>
      <c r="AH107">
        <v>22188.387500000001</v>
      </c>
      <c r="AK107">
        <v>1.2947</v>
      </c>
      <c r="AL107">
        <v>18.166799999999999</v>
      </c>
      <c r="AM107">
        <v>0.8589</v>
      </c>
      <c r="AN107">
        <v>20.384</v>
      </c>
      <c r="AO107">
        <v>1.32E-2</v>
      </c>
      <c r="AP107" t="s">
        <v>23</v>
      </c>
      <c r="AQ107">
        <v>50.906599999999997</v>
      </c>
      <c r="AR107">
        <v>38.278599999999997</v>
      </c>
      <c r="AS107">
        <v>23.047000000000001</v>
      </c>
      <c r="AT107">
        <v>13962.757299999999</v>
      </c>
      <c r="AV107">
        <v>2.1511</v>
      </c>
      <c r="AW107">
        <v>-5.6567999999999996</v>
      </c>
      <c r="AX107">
        <v>-1.0658000000000001</v>
      </c>
      <c r="AY107">
        <v>12.0823</v>
      </c>
      <c r="AZ107">
        <v>5.1999999999999998E-3</v>
      </c>
      <c r="BA107" t="s">
        <v>23</v>
      </c>
      <c r="BB107">
        <v>-8.8741000000000003</v>
      </c>
      <c r="BC107">
        <v>-20.8749</v>
      </c>
      <c r="BD107">
        <v>42.25</v>
      </c>
      <c r="BE107">
        <v>38297.728000000003</v>
      </c>
      <c r="BH107" s="5">
        <v>8.6555999999999997</v>
      </c>
      <c r="BI107">
        <v>-248.60149999999999</v>
      </c>
      <c r="BJ107">
        <v>4.3700000000000003E-2</v>
      </c>
      <c r="BK107">
        <v>49.997</v>
      </c>
      <c r="BL107">
        <v>5.0805999999999996</v>
      </c>
      <c r="BM107" t="s">
        <v>23</v>
      </c>
      <c r="BN107">
        <v>-1.9199999999999998E-2</v>
      </c>
      <c r="BO107">
        <v>-4.7196999999999996</v>
      </c>
      <c r="BP107">
        <v>26.474</v>
      </c>
      <c r="BQ107">
        <v>16505.956099999999</v>
      </c>
      <c r="CE107" s="1">
        <f t="shared" si="11"/>
        <v>44358</v>
      </c>
      <c r="CF107" s="35">
        <f t="shared" si="10"/>
        <v>3.3166209429015705</v>
      </c>
      <c r="CG107" s="36">
        <f t="shared" si="9"/>
        <v>-0.71074872305290582</v>
      </c>
      <c r="CH107">
        <f t="shared" ca="1" si="4"/>
        <v>-0.61699781698798128</v>
      </c>
      <c r="CI107">
        <f t="shared" ca="1" si="5"/>
        <v>-0.73214927629968463</v>
      </c>
      <c r="CJ107">
        <f t="shared" ca="1" si="6"/>
        <v>-0.94137945778959753</v>
      </c>
      <c r="CK107">
        <f t="shared" ca="1" si="7"/>
        <v>-1.0228799697037301</v>
      </c>
      <c r="CL107">
        <f t="shared" ca="1" si="8"/>
        <v>-1.1056694817602173</v>
      </c>
    </row>
    <row r="108" spans="1:90" x14ac:dyDescent="0.25">
      <c r="A108" s="43">
        <v>44365</v>
      </c>
      <c r="B108" s="5">
        <v>2.5352999999999999</v>
      </c>
      <c r="C108">
        <v>15.3012</v>
      </c>
      <c r="D108">
        <v>1.1554</v>
      </c>
      <c r="E108">
        <v>34.4876</v>
      </c>
      <c r="F108">
        <v>0.93989999999999996</v>
      </c>
      <c r="G108">
        <v>44.554000000000002</v>
      </c>
      <c r="H108">
        <v>69.993099999999998</v>
      </c>
      <c r="I108">
        <v>53.261899999999997</v>
      </c>
      <c r="J108">
        <v>35.189</v>
      </c>
      <c r="K108">
        <v>65102.957000000002</v>
      </c>
      <c r="M108" s="43">
        <v>44365</v>
      </c>
      <c r="N108" s="5">
        <v>3.746</v>
      </c>
      <c r="O108">
        <v>12.8385</v>
      </c>
      <c r="P108">
        <v>0.6351</v>
      </c>
      <c r="Q108">
        <v>38.247500000000002</v>
      </c>
      <c r="R108">
        <v>0.61229999999999996</v>
      </c>
      <c r="S108">
        <v>195.11080000000001</v>
      </c>
      <c r="T108">
        <v>54.738300000000002</v>
      </c>
      <c r="U108">
        <v>41.622799999999998</v>
      </c>
      <c r="V108">
        <v>163.67500000000001</v>
      </c>
      <c r="W108">
        <v>135580.62</v>
      </c>
      <c r="Y108" s="5">
        <v>1.6126</v>
      </c>
      <c r="Z108">
        <v>3.9611000000000001</v>
      </c>
      <c r="AA108">
        <v>0.30790000000000001</v>
      </c>
      <c r="AB108">
        <v>8.7568000000000001</v>
      </c>
      <c r="AC108">
        <v>4.3299999999999998E-2</v>
      </c>
      <c r="AD108">
        <v>0</v>
      </c>
      <c r="AE108">
        <v>61.236400000000003</v>
      </c>
      <c r="AF108">
        <v>11.5281</v>
      </c>
      <c r="AG108">
        <v>45.073</v>
      </c>
      <c r="AH108">
        <v>25527.6299</v>
      </c>
      <c r="AK108">
        <v>1.3416999999999999</v>
      </c>
      <c r="AL108">
        <v>18.166799999999999</v>
      </c>
      <c r="AM108">
        <v>0.8589</v>
      </c>
      <c r="AN108">
        <v>20.384</v>
      </c>
      <c r="AO108">
        <v>1.32E-2</v>
      </c>
      <c r="AP108" t="s">
        <v>23</v>
      </c>
      <c r="AQ108">
        <v>50.906599999999997</v>
      </c>
      <c r="AR108">
        <v>38.278599999999997</v>
      </c>
      <c r="AS108">
        <v>23.890999999999998</v>
      </c>
      <c r="AT108">
        <v>14474.132100000001</v>
      </c>
      <c r="AV108">
        <v>2.1511</v>
      </c>
      <c r="AW108">
        <v>-5.6567999999999996</v>
      </c>
      <c r="AX108">
        <v>-1.0658000000000001</v>
      </c>
      <c r="AY108">
        <v>12.0823</v>
      </c>
      <c r="AZ108">
        <v>5.1999999999999998E-3</v>
      </c>
      <c r="BA108" t="s">
        <v>23</v>
      </c>
      <c r="BB108">
        <v>-8.8741000000000003</v>
      </c>
      <c r="BC108">
        <v>-20.8749</v>
      </c>
      <c r="BD108">
        <v>40.75</v>
      </c>
      <c r="BE108">
        <v>36938.045299999998</v>
      </c>
      <c r="BH108" s="5">
        <v>8.6555999999999997</v>
      </c>
      <c r="BI108">
        <v>-248.60149999999999</v>
      </c>
      <c r="BJ108">
        <v>4.3700000000000003E-2</v>
      </c>
      <c r="BK108">
        <v>49.997</v>
      </c>
      <c r="BL108">
        <v>5.0805999999999996</v>
      </c>
      <c r="BM108" t="s">
        <v>23</v>
      </c>
      <c r="BN108">
        <v>-1.9199999999999998E-2</v>
      </c>
      <c r="BO108">
        <v>-4.7196999999999996</v>
      </c>
      <c r="BP108">
        <v>24.648</v>
      </c>
      <c r="BQ108">
        <v>15367.614299999999</v>
      </c>
      <c r="CE108" s="1">
        <f t="shared" si="11"/>
        <v>44365</v>
      </c>
      <c r="CF108" s="35">
        <f t="shared" si="10"/>
        <v>3.2287670423924073</v>
      </c>
      <c r="CG108" s="36">
        <f t="shared" si="9"/>
        <v>-0.75212006497579575</v>
      </c>
      <c r="CH108">
        <f t="shared" ca="1" si="4"/>
        <v>-0.61699781698798128</v>
      </c>
      <c r="CI108">
        <f t="shared" ca="1" si="5"/>
        <v>-0.72422975969105341</v>
      </c>
      <c r="CJ108">
        <f t="shared" ca="1" si="6"/>
        <v>-0.93816322562654431</v>
      </c>
      <c r="CK108">
        <f t="shared" ca="1" si="7"/>
        <v>-1.004726692366291</v>
      </c>
      <c r="CL108">
        <f t="shared" ca="1" si="8"/>
        <v>-1.1056694817602173</v>
      </c>
    </row>
    <row r="109" spans="1:90" x14ac:dyDescent="0.25">
      <c r="A109" s="43">
        <v>44372</v>
      </c>
      <c r="B109" s="5">
        <v>2.5019999999999998</v>
      </c>
      <c r="C109">
        <v>15.3012</v>
      </c>
      <c r="D109">
        <v>1.1554</v>
      </c>
      <c r="E109">
        <v>34.4876</v>
      </c>
      <c r="F109">
        <v>0.93989999999999996</v>
      </c>
      <c r="G109">
        <v>44.554000000000002</v>
      </c>
      <c r="H109">
        <v>69.993099999999998</v>
      </c>
      <c r="I109">
        <v>53.261899999999997</v>
      </c>
      <c r="J109">
        <v>34.453000000000003</v>
      </c>
      <c r="K109">
        <v>63740.337</v>
      </c>
      <c r="M109" s="43">
        <v>44372</v>
      </c>
      <c r="N109" s="5">
        <v>3.7166000000000001</v>
      </c>
      <c r="O109">
        <v>12.8385</v>
      </c>
      <c r="P109">
        <v>0.6351</v>
      </c>
      <c r="Q109">
        <v>38.247500000000002</v>
      </c>
      <c r="R109">
        <v>0.61229999999999996</v>
      </c>
      <c r="S109">
        <v>195.11080000000001</v>
      </c>
      <c r="T109">
        <v>54.738300000000002</v>
      </c>
      <c r="U109">
        <v>41.622799999999998</v>
      </c>
      <c r="V109">
        <v>162.13999999999999</v>
      </c>
      <c r="W109">
        <v>134309.4276</v>
      </c>
      <c r="Y109" s="5">
        <v>1.6828000000000001</v>
      </c>
      <c r="Z109">
        <v>3.9611000000000001</v>
      </c>
      <c r="AA109">
        <v>0.30790000000000001</v>
      </c>
      <c r="AB109">
        <v>8.7568000000000001</v>
      </c>
      <c r="AC109">
        <v>4.3299999999999998E-2</v>
      </c>
      <c r="AD109">
        <v>0</v>
      </c>
      <c r="AE109">
        <v>61.236400000000003</v>
      </c>
      <c r="AF109">
        <v>11.5281</v>
      </c>
      <c r="AG109">
        <v>47.09</v>
      </c>
      <c r="AH109">
        <v>26670.0023</v>
      </c>
      <c r="AK109">
        <v>1.3028999999999999</v>
      </c>
      <c r="AL109">
        <v>18.166799999999999</v>
      </c>
      <c r="AM109">
        <v>0.8589</v>
      </c>
      <c r="AN109">
        <v>20.384</v>
      </c>
      <c r="AO109">
        <v>1.32E-2</v>
      </c>
      <c r="AP109" t="s">
        <v>23</v>
      </c>
      <c r="AQ109">
        <v>50.906599999999997</v>
      </c>
      <c r="AR109">
        <v>38.278599999999997</v>
      </c>
      <c r="AS109">
        <v>23.193000000000001</v>
      </c>
      <c r="AT109">
        <v>14051.691999999999</v>
      </c>
      <c r="AV109">
        <v>2.1511</v>
      </c>
      <c r="AW109">
        <v>-5.6567999999999996</v>
      </c>
      <c r="AX109">
        <v>-1.0658000000000001</v>
      </c>
      <c r="AY109">
        <v>12.0823</v>
      </c>
      <c r="AZ109">
        <v>5.1999999999999998E-3</v>
      </c>
      <c r="BA109" t="s">
        <v>23</v>
      </c>
      <c r="BB109">
        <v>-8.8741000000000003</v>
      </c>
      <c r="BC109">
        <v>-20.8749</v>
      </c>
      <c r="BD109">
        <v>42.2</v>
      </c>
      <c r="BE109">
        <v>38252.405200000001</v>
      </c>
      <c r="BH109" s="5">
        <v>8.6555999999999997</v>
      </c>
      <c r="BI109">
        <v>-248.60149999999999</v>
      </c>
      <c r="BJ109">
        <v>4.3700000000000003E-2</v>
      </c>
      <c r="BK109">
        <v>49.997</v>
      </c>
      <c r="BL109">
        <v>5.0805999999999996</v>
      </c>
      <c r="BM109" t="s">
        <v>23</v>
      </c>
      <c r="BN109">
        <v>-1.9199999999999998E-2</v>
      </c>
      <c r="BO109">
        <v>-4.7196999999999996</v>
      </c>
      <c r="BP109">
        <v>22.867999999999999</v>
      </c>
      <c r="BQ109">
        <v>14257.731</v>
      </c>
      <c r="CE109" s="1">
        <f t="shared" si="11"/>
        <v>44372</v>
      </c>
      <c r="CF109" s="35">
        <f t="shared" si="10"/>
        <v>3.1843238709273325</v>
      </c>
      <c r="CG109" s="36">
        <f t="shared" si="9"/>
        <v>-0.77304883002963032</v>
      </c>
      <c r="CH109">
        <f t="shared" ca="1" si="4"/>
        <v>-0.61699781698798128</v>
      </c>
      <c r="CI109">
        <f t="shared" ca="1" si="5"/>
        <v>-0.72422975969105341</v>
      </c>
      <c r="CJ109">
        <f t="shared" ca="1" si="6"/>
        <v>-0.93456212918387516</v>
      </c>
      <c r="CK109">
        <f t="shared" ca="1" si="7"/>
        <v>-0.98928953719049473</v>
      </c>
      <c r="CL109">
        <f t="shared" ca="1" si="8"/>
        <v>-1.1056694817602173</v>
      </c>
    </row>
    <row r="110" spans="1:90" x14ac:dyDescent="0.25">
      <c r="A110" s="43">
        <v>44379</v>
      </c>
      <c r="B110" s="5">
        <v>3.4832000000000001</v>
      </c>
      <c r="C110">
        <v>2.1617999999999999</v>
      </c>
      <c r="D110">
        <v>0.3473</v>
      </c>
      <c r="E110">
        <v>33.622999999999998</v>
      </c>
      <c r="F110">
        <v>1.3402000000000001</v>
      </c>
      <c r="G110">
        <v>44.554000000000002</v>
      </c>
      <c r="H110">
        <v>44.492400000000004</v>
      </c>
      <c r="I110">
        <v>27.209099999999999</v>
      </c>
      <c r="J110">
        <v>34.862000000000002</v>
      </c>
      <c r="K110">
        <v>64497.348100000003</v>
      </c>
      <c r="M110" s="43">
        <v>44379</v>
      </c>
      <c r="N110" s="5">
        <v>3.7069000000000001</v>
      </c>
      <c r="O110">
        <v>15.114699999999999</v>
      </c>
      <c r="P110">
        <v>0.87160000000000004</v>
      </c>
      <c r="Q110">
        <v>52.176900000000003</v>
      </c>
      <c r="R110">
        <v>1.0089999999999999</v>
      </c>
      <c r="S110">
        <v>195.11080000000001</v>
      </c>
      <c r="T110">
        <v>50.696899999999999</v>
      </c>
      <c r="U110">
        <v>39.349699999999999</v>
      </c>
      <c r="V110">
        <v>152.405</v>
      </c>
      <c r="W110">
        <v>126245.3005</v>
      </c>
      <c r="Y110" s="5">
        <v>1.6920999999999999</v>
      </c>
      <c r="Z110">
        <v>-7.2458</v>
      </c>
      <c r="AA110">
        <v>-0.13170000000000001</v>
      </c>
      <c r="AB110">
        <v>10.691000000000001</v>
      </c>
      <c r="AC110">
        <v>8.9899999999999994E-2</v>
      </c>
      <c r="AD110">
        <v>0</v>
      </c>
      <c r="AE110">
        <v>55.482199999999999</v>
      </c>
      <c r="AF110">
        <v>0.24099999999999999</v>
      </c>
      <c r="AG110">
        <v>43.055999999999997</v>
      </c>
      <c r="AH110">
        <v>24385.2575</v>
      </c>
      <c r="AK110">
        <v>1.4695</v>
      </c>
      <c r="AL110">
        <v>0.92610000000000003</v>
      </c>
      <c r="AM110">
        <v>6.4999999999999997E-3</v>
      </c>
      <c r="AN110">
        <v>20.668399999999998</v>
      </c>
      <c r="AO110">
        <v>3.5200000000000002E-2</v>
      </c>
      <c r="AP110" t="s">
        <v>23</v>
      </c>
      <c r="AQ110">
        <v>45.085500000000003</v>
      </c>
      <c r="AR110">
        <v>30.678599999999999</v>
      </c>
      <c r="AS110">
        <v>23.634</v>
      </c>
      <c r="AT110">
        <v>14318.496300000001</v>
      </c>
      <c r="AV110">
        <v>2.1511</v>
      </c>
      <c r="AW110">
        <v>82.922300000000007</v>
      </c>
      <c r="AX110">
        <v>-1.3697999999999999</v>
      </c>
      <c r="AY110">
        <v>12.8254</v>
      </c>
      <c r="AZ110">
        <v>5.1999999999999998E-3</v>
      </c>
      <c r="BA110" t="s">
        <v>23</v>
      </c>
      <c r="BB110">
        <v>-4.6817000000000002</v>
      </c>
      <c r="BC110">
        <v>-16.551600000000001</v>
      </c>
      <c r="BD110">
        <v>38.700000000000003</v>
      </c>
      <c r="BE110">
        <v>35079.812400000003</v>
      </c>
      <c r="BH110" s="5">
        <v>40.285800000000002</v>
      </c>
      <c r="BI110">
        <v>15.212300000000001</v>
      </c>
      <c r="BJ110">
        <v>-1.1073</v>
      </c>
      <c r="BK110">
        <v>54.808900000000001</v>
      </c>
      <c r="BL110">
        <v>19.987100000000002</v>
      </c>
      <c r="BM110" t="s">
        <v>23</v>
      </c>
      <c r="BN110">
        <v>0.96319999999999995</v>
      </c>
      <c r="BO110">
        <v>-3.8435999999999999</v>
      </c>
      <c r="BP110">
        <v>23.460999999999999</v>
      </c>
      <c r="BQ110">
        <v>14627.6921</v>
      </c>
      <c r="CE110" s="1">
        <f t="shared" si="11"/>
        <v>44379</v>
      </c>
      <c r="CF110" s="35">
        <f t="shared" si="10"/>
        <v>5.0856807646914222</v>
      </c>
      <c r="CG110" s="36">
        <f t="shared" si="9"/>
        <v>0.1223204787144206</v>
      </c>
      <c r="CH110">
        <f t="shared" ca="1" si="4"/>
        <v>-0.61699781698798128</v>
      </c>
      <c r="CI110">
        <f t="shared" ca="1" si="5"/>
        <v>-0.72422975969105341</v>
      </c>
      <c r="CJ110">
        <f t="shared" ca="1" si="6"/>
        <v>-0.92831746732238329</v>
      </c>
      <c r="CK110">
        <f t="shared" ca="1" si="7"/>
        <v>-0.98168423850864994</v>
      </c>
      <c r="CL110">
        <f t="shared" ca="1" si="8"/>
        <v>-1.1056694817602173</v>
      </c>
    </row>
    <row r="111" spans="1:90" x14ac:dyDescent="0.25">
      <c r="A111" s="43">
        <v>44386</v>
      </c>
      <c r="B111" s="5">
        <v>3.3752</v>
      </c>
      <c r="C111">
        <v>2.1617999999999999</v>
      </c>
      <c r="D111">
        <v>0.3473</v>
      </c>
      <c r="E111">
        <v>33.622999999999998</v>
      </c>
      <c r="F111">
        <v>1.3402000000000001</v>
      </c>
      <c r="G111">
        <v>44.554000000000002</v>
      </c>
      <c r="H111">
        <v>44.492400000000004</v>
      </c>
      <c r="I111">
        <v>27.209099999999999</v>
      </c>
      <c r="J111">
        <v>33.101999999999997</v>
      </c>
      <c r="K111">
        <v>61242.200299999997</v>
      </c>
      <c r="M111" s="43">
        <v>44386</v>
      </c>
      <c r="N111" s="5">
        <v>3.6398000000000001</v>
      </c>
      <c r="O111">
        <v>15.114699999999999</v>
      </c>
      <c r="P111">
        <v>0.87160000000000004</v>
      </c>
      <c r="Q111">
        <v>52.176900000000003</v>
      </c>
      <c r="R111">
        <v>1.0089999999999999</v>
      </c>
      <c r="S111">
        <v>195.11080000000001</v>
      </c>
      <c r="T111">
        <v>50.696899999999999</v>
      </c>
      <c r="U111">
        <v>39.349699999999999</v>
      </c>
      <c r="V111">
        <v>148.61600000000001</v>
      </c>
      <c r="W111">
        <v>123107.0441</v>
      </c>
      <c r="Y111" s="5">
        <v>1.6516999999999999</v>
      </c>
      <c r="Z111">
        <v>-7.2458</v>
      </c>
      <c r="AA111">
        <v>-0.13170000000000001</v>
      </c>
      <c r="AB111">
        <v>10.691000000000001</v>
      </c>
      <c r="AC111">
        <v>8.9899999999999994E-2</v>
      </c>
      <c r="AD111">
        <v>0</v>
      </c>
      <c r="AE111">
        <v>55.482199999999999</v>
      </c>
      <c r="AF111">
        <v>0.24099999999999999</v>
      </c>
      <c r="AG111">
        <v>41.97</v>
      </c>
      <c r="AH111">
        <v>23770.133900000001</v>
      </c>
      <c r="AK111">
        <v>1.4071</v>
      </c>
      <c r="AL111">
        <v>0.92610000000000003</v>
      </c>
      <c r="AM111">
        <v>6.4999999999999997E-3</v>
      </c>
      <c r="AN111">
        <v>20.668399999999998</v>
      </c>
      <c r="AO111">
        <v>3.5200000000000002E-2</v>
      </c>
      <c r="AP111" t="s">
        <v>23</v>
      </c>
      <c r="AQ111">
        <v>45.085500000000003</v>
      </c>
      <c r="AR111">
        <v>30.678599999999999</v>
      </c>
      <c r="AS111">
        <v>22.606000000000002</v>
      </c>
      <c r="AT111">
        <v>13695.953</v>
      </c>
      <c r="AV111">
        <v>2.1511</v>
      </c>
      <c r="AW111">
        <v>82.922300000000007</v>
      </c>
      <c r="AX111">
        <v>-1.3697999999999999</v>
      </c>
      <c r="AY111">
        <v>12.8254</v>
      </c>
      <c r="AZ111">
        <v>5.1999999999999998E-3</v>
      </c>
      <c r="BA111" t="s">
        <v>23</v>
      </c>
      <c r="BB111">
        <v>-4.6817000000000002</v>
      </c>
      <c r="BC111">
        <v>-16.551600000000001</v>
      </c>
      <c r="BD111">
        <v>36.6</v>
      </c>
      <c r="BE111">
        <v>33176.256699999998</v>
      </c>
      <c r="BH111" s="5">
        <v>40.364600000000003</v>
      </c>
      <c r="BI111">
        <v>15.212300000000001</v>
      </c>
      <c r="BJ111">
        <v>-1.1073</v>
      </c>
      <c r="BK111">
        <v>54.808900000000001</v>
      </c>
      <c r="BL111">
        <v>19.987100000000002</v>
      </c>
      <c r="BM111" t="s">
        <v>23</v>
      </c>
      <c r="BN111">
        <v>0.96319999999999995</v>
      </c>
      <c r="BO111">
        <v>-3.8435999999999999</v>
      </c>
      <c r="BP111">
        <v>23.553000000000001</v>
      </c>
      <c r="BQ111">
        <v>14684.609200000001</v>
      </c>
      <c r="CE111" s="1">
        <f t="shared" si="11"/>
        <v>44386</v>
      </c>
      <c r="CF111" s="35">
        <f t="shared" si="10"/>
        <v>5.1077041125614029</v>
      </c>
      <c r="CG111" s="36">
        <f t="shared" si="9"/>
        <v>0.13269150891040707</v>
      </c>
      <c r="CH111">
        <f t="shared" ca="1" si="4"/>
        <v>-0.59874480299518484</v>
      </c>
      <c r="CI111">
        <f t="shared" ca="1" si="5"/>
        <v>-0.70993181402392769</v>
      </c>
      <c r="CJ111">
        <f t="shared" ca="1" si="6"/>
        <v>-0.92250056937409353</v>
      </c>
      <c r="CK111">
        <f t="shared" ca="1" si="7"/>
        <v>-0.97938470667562361</v>
      </c>
      <c r="CL111">
        <f t="shared" ca="1" si="8"/>
        <v>-1.101795798802593</v>
      </c>
    </row>
    <row r="112" spans="1:90" x14ac:dyDescent="0.25">
      <c r="A112" s="43">
        <v>44393</v>
      </c>
      <c r="B112" s="5">
        <v>3.3877000000000002</v>
      </c>
      <c r="C112">
        <v>2.1617999999999999</v>
      </c>
      <c r="D112">
        <v>0.3473</v>
      </c>
      <c r="E112">
        <v>33.622999999999998</v>
      </c>
      <c r="F112">
        <v>1.3402000000000001</v>
      </c>
      <c r="G112">
        <v>44.554000000000002</v>
      </c>
      <c r="H112">
        <v>44.492400000000004</v>
      </c>
      <c r="I112">
        <v>27.209099999999999</v>
      </c>
      <c r="J112">
        <v>33.307000000000002</v>
      </c>
      <c r="K112">
        <v>61620.705800000003</v>
      </c>
      <c r="M112" s="43">
        <v>44393</v>
      </c>
      <c r="N112" s="5">
        <v>3.6661999999999999</v>
      </c>
      <c r="O112">
        <v>15.114699999999999</v>
      </c>
      <c r="P112">
        <v>0.87160000000000004</v>
      </c>
      <c r="Q112">
        <v>52.176900000000003</v>
      </c>
      <c r="R112">
        <v>1.0089999999999999</v>
      </c>
      <c r="S112">
        <v>195.11080000000001</v>
      </c>
      <c r="T112">
        <v>50.696899999999999</v>
      </c>
      <c r="U112">
        <v>39.349699999999999</v>
      </c>
      <c r="V112">
        <v>150.10300000000001</v>
      </c>
      <c r="W112">
        <v>124338.51179999999</v>
      </c>
      <c r="Y112" s="5">
        <v>1.6747000000000001</v>
      </c>
      <c r="Z112">
        <v>-7.2458</v>
      </c>
      <c r="AA112">
        <v>-0.13170000000000001</v>
      </c>
      <c r="AB112">
        <v>10.691000000000001</v>
      </c>
      <c r="AC112">
        <v>8.9899999999999994E-2</v>
      </c>
      <c r="AD112">
        <v>0</v>
      </c>
      <c r="AE112">
        <v>55.482199999999999</v>
      </c>
      <c r="AF112">
        <v>0.24099999999999999</v>
      </c>
      <c r="AG112">
        <v>42.591000000000001</v>
      </c>
      <c r="AH112">
        <v>24121.633099999999</v>
      </c>
      <c r="AK112">
        <v>1.5051000000000001</v>
      </c>
      <c r="AL112">
        <v>0.92610000000000003</v>
      </c>
      <c r="AM112">
        <v>6.4999999999999997E-3</v>
      </c>
      <c r="AN112">
        <v>20.668399999999998</v>
      </c>
      <c r="AO112">
        <v>3.5200000000000002E-2</v>
      </c>
      <c r="AP112" t="s">
        <v>23</v>
      </c>
      <c r="AQ112">
        <v>45.085500000000003</v>
      </c>
      <c r="AR112">
        <v>30.678599999999999</v>
      </c>
      <c r="AS112">
        <v>24.221</v>
      </c>
      <c r="AT112">
        <v>14674.2353</v>
      </c>
      <c r="AV112">
        <v>2.1511</v>
      </c>
      <c r="AW112">
        <v>82.922300000000007</v>
      </c>
      <c r="AX112">
        <v>-1.3697999999999999</v>
      </c>
      <c r="AY112">
        <v>12.8254</v>
      </c>
      <c r="AZ112">
        <v>5.1999999999999998E-3</v>
      </c>
      <c r="BA112" t="s">
        <v>23</v>
      </c>
      <c r="BB112">
        <v>-4.6817000000000002</v>
      </c>
      <c r="BC112">
        <v>-16.551600000000001</v>
      </c>
      <c r="BD112">
        <v>37.5</v>
      </c>
      <c r="BE112">
        <v>33992.066200000001</v>
      </c>
      <c r="BH112" s="5">
        <v>41.390099999999997</v>
      </c>
      <c r="BI112">
        <v>15.212300000000001</v>
      </c>
      <c r="BJ112">
        <v>-1.1073</v>
      </c>
      <c r="BK112">
        <v>54.808900000000001</v>
      </c>
      <c r="BL112">
        <v>19.987100000000002</v>
      </c>
      <c r="BM112" t="s">
        <v>23</v>
      </c>
      <c r="BN112">
        <v>0.96319999999999995</v>
      </c>
      <c r="BO112">
        <v>-3.8435999999999999</v>
      </c>
      <c r="BP112">
        <v>24.739000000000001</v>
      </c>
      <c r="BQ112">
        <v>15424.5314</v>
      </c>
      <c r="CE112" s="1">
        <f t="shared" si="11"/>
        <v>44393</v>
      </c>
      <c r="CF112" s="35">
        <f t="shared" si="10"/>
        <v>5.2471802314321128</v>
      </c>
      <c r="CG112" s="36">
        <f t="shared" si="9"/>
        <v>0.19837230589762717</v>
      </c>
      <c r="CH112">
        <f t="shared" ca="1" si="4"/>
        <v>-0.59382440235955569</v>
      </c>
      <c r="CI112">
        <f t="shared" ca="1" si="5"/>
        <v>-0.70518155804864502</v>
      </c>
      <c r="CJ112">
        <f t="shared" ca="1" si="6"/>
        <v>-0.91433178438831253</v>
      </c>
      <c r="CK112">
        <f t="shared" ca="1" si="7"/>
        <v>-0.9775820181029321</v>
      </c>
      <c r="CL112">
        <f t="shared" ca="1" si="8"/>
        <v>-1.101795798802593</v>
      </c>
    </row>
    <row r="113" spans="1:90" x14ac:dyDescent="0.25">
      <c r="A113" s="43">
        <v>44400</v>
      </c>
      <c r="B113" s="5">
        <v>3.3902999999999999</v>
      </c>
      <c r="C113">
        <v>2.1617999999999999</v>
      </c>
      <c r="D113">
        <v>0.3473</v>
      </c>
      <c r="E113">
        <v>33.622999999999998</v>
      </c>
      <c r="F113">
        <v>1.3402000000000001</v>
      </c>
      <c r="G113">
        <v>44.554000000000002</v>
      </c>
      <c r="H113">
        <v>44.492400000000004</v>
      </c>
      <c r="I113">
        <v>27.209099999999999</v>
      </c>
      <c r="J113">
        <v>33.347999999999999</v>
      </c>
      <c r="K113">
        <v>61696.406900000002</v>
      </c>
      <c r="M113" s="43">
        <v>44400</v>
      </c>
      <c r="N113" s="5">
        <v>3.7078000000000002</v>
      </c>
      <c r="O113">
        <v>15.114699999999999</v>
      </c>
      <c r="P113">
        <v>0.87160000000000004</v>
      </c>
      <c r="Q113">
        <v>52.176900000000003</v>
      </c>
      <c r="R113">
        <v>1.0089999999999999</v>
      </c>
      <c r="S113">
        <v>195.11080000000001</v>
      </c>
      <c r="T113">
        <v>50.696899999999999</v>
      </c>
      <c r="U113">
        <v>39.349699999999999</v>
      </c>
      <c r="V113">
        <v>152.453</v>
      </c>
      <c r="W113">
        <v>126285.0252</v>
      </c>
      <c r="Y113" s="5">
        <v>1.6920999999999999</v>
      </c>
      <c r="Z113">
        <v>-7.2458</v>
      </c>
      <c r="AA113">
        <v>-0.13170000000000001</v>
      </c>
      <c r="AB113">
        <v>10.691000000000001</v>
      </c>
      <c r="AC113">
        <v>8.9899999999999994E-2</v>
      </c>
      <c r="AD113">
        <v>0</v>
      </c>
      <c r="AE113">
        <v>55.482199999999999</v>
      </c>
      <c r="AF113">
        <v>0.24099999999999999</v>
      </c>
      <c r="AG113">
        <v>43.055999999999997</v>
      </c>
      <c r="AH113">
        <v>24385.2575</v>
      </c>
      <c r="AK113">
        <v>1.5674999999999999</v>
      </c>
      <c r="AL113">
        <v>0.92610000000000003</v>
      </c>
      <c r="AM113">
        <v>6.4999999999999997E-3</v>
      </c>
      <c r="AN113">
        <v>20.668399999999998</v>
      </c>
      <c r="AO113">
        <v>3.5200000000000002E-2</v>
      </c>
      <c r="AP113" t="s">
        <v>23</v>
      </c>
      <c r="AQ113">
        <v>45.085500000000003</v>
      </c>
      <c r="AR113">
        <v>30.678599999999999</v>
      </c>
      <c r="AS113">
        <v>25.248999999999999</v>
      </c>
      <c r="AT113">
        <v>15296.778700000001</v>
      </c>
      <c r="AV113">
        <v>2.1511</v>
      </c>
      <c r="AW113">
        <v>82.922300000000007</v>
      </c>
      <c r="AX113">
        <v>-1.3697999999999999</v>
      </c>
      <c r="AY113">
        <v>12.8254</v>
      </c>
      <c r="AZ113">
        <v>5.1999999999999998E-3</v>
      </c>
      <c r="BA113" t="s">
        <v>23</v>
      </c>
      <c r="BB113">
        <v>-4.6817000000000002</v>
      </c>
      <c r="BC113">
        <v>-16.551600000000001</v>
      </c>
      <c r="BD113">
        <v>38.85</v>
      </c>
      <c r="BE113">
        <v>35215.780599999998</v>
      </c>
      <c r="BH113" s="5">
        <v>40.916800000000002</v>
      </c>
      <c r="BI113">
        <v>15.212300000000001</v>
      </c>
      <c r="BJ113">
        <v>-1.1073</v>
      </c>
      <c r="BK113">
        <v>54.808900000000001</v>
      </c>
      <c r="BL113">
        <v>19.987100000000002</v>
      </c>
      <c r="BM113" t="s">
        <v>23</v>
      </c>
      <c r="BN113">
        <v>0.96319999999999995</v>
      </c>
      <c r="BO113">
        <v>-3.8435999999999999</v>
      </c>
      <c r="BP113">
        <v>24.192</v>
      </c>
      <c r="BQ113">
        <v>15083.028899999999</v>
      </c>
      <c r="CE113" s="1">
        <f t="shared" si="11"/>
        <v>44400</v>
      </c>
      <c r="CF113" s="35">
        <f t="shared" si="10"/>
        <v>5.1645528792029864</v>
      </c>
      <c r="CG113" s="36">
        <f t="shared" si="9"/>
        <v>0.15946220149198717</v>
      </c>
      <c r="CH113">
        <f t="shared" ca="1" si="4"/>
        <v>-0.58307096706994388</v>
      </c>
      <c r="CI113">
        <f t="shared" ca="1" si="5"/>
        <v>-0.69598830342181039</v>
      </c>
      <c r="CJ113">
        <f t="shared" ca="1" si="6"/>
        <v>-0.90401432614632204</v>
      </c>
      <c r="CK113">
        <f t="shared" ca="1" si="7"/>
        <v>-0.95595618749110089</v>
      </c>
      <c r="CL113">
        <f t="shared" ca="1" si="8"/>
        <v>-1.101795798802593</v>
      </c>
    </row>
    <row r="114" spans="1:90" x14ac:dyDescent="0.25">
      <c r="A114" s="43">
        <v>44407</v>
      </c>
      <c r="B114" s="5">
        <v>3.5861999999999998</v>
      </c>
      <c r="C114">
        <v>2.1617999999999999</v>
      </c>
      <c r="D114">
        <v>0.3473</v>
      </c>
      <c r="E114">
        <v>33.622999999999998</v>
      </c>
      <c r="F114">
        <v>1.3402000000000001</v>
      </c>
      <c r="G114">
        <v>44.554000000000002</v>
      </c>
      <c r="H114">
        <v>44.492400000000004</v>
      </c>
      <c r="I114">
        <v>27.209099999999999</v>
      </c>
      <c r="J114">
        <v>36.539000000000001</v>
      </c>
      <c r="K114">
        <v>67601.093699999998</v>
      </c>
      <c r="M114" s="43">
        <v>44407</v>
      </c>
      <c r="N114" s="5">
        <v>3.7094999999999998</v>
      </c>
      <c r="O114">
        <v>15.114699999999999</v>
      </c>
      <c r="P114">
        <v>0.87160000000000004</v>
      </c>
      <c r="Q114">
        <v>52.176900000000003</v>
      </c>
      <c r="R114">
        <v>1.0089999999999999</v>
      </c>
      <c r="S114">
        <v>195.11080000000001</v>
      </c>
      <c r="T114">
        <v>50.696899999999999</v>
      </c>
      <c r="U114">
        <v>39.349699999999999</v>
      </c>
      <c r="V114">
        <v>152.54900000000001</v>
      </c>
      <c r="W114">
        <v>126364.4748</v>
      </c>
      <c r="Y114" s="5">
        <v>1.5824</v>
      </c>
      <c r="Z114">
        <v>-7.2458</v>
      </c>
      <c r="AA114">
        <v>-0.13170000000000001</v>
      </c>
      <c r="AB114">
        <v>10.691000000000001</v>
      </c>
      <c r="AC114">
        <v>8.9899999999999994E-2</v>
      </c>
      <c r="AD114">
        <v>0</v>
      </c>
      <c r="AE114">
        <v>55.482199999999999</v>
      </c>
      <c r="AF114">
        <v>0.24099999999999999</v>
      </c>
      <c r="AG114">
        <v>40.107999999999997</v>
      </c>
      <c r="AH114">
        <v>22715.636299999998</v>
      </c>
      <c r="AK114">
        <v>1.4805999999999999</v>
      </c>
      <c r="AL114">
        <v>0.92610000000000003</v>
      </c>
      <c r="AM114">
        <v>6.4999999999999997E-3</v>
      </c>
      <c r="AN114">
        <v>20.668399999999998</v>
      </c>
      <c r="AO114">
        <v>3.5200000000000002E-2</v>
      </c>
      <c r="AP114" t="s">
        <v>23</v>
      </c>
      <c r="AQ114">
        <v>45.085500000000003</v>
      </c>
      <c r="AR114">
        <v>30.678599999999999</v>
      </c>
      <c r="AS114">
        <v>23.817</v>
      </c>
      <c r="AT114">
        <v>14429.664699999999</v>
      </c>
      <c r="AV114">
        <v>2.1511</v>
      </c>
      <c r="AW114">
        <v>82.922300000000007</v>
      </c>
      <c r="AX114">
        <v>-1.3697999999999999</v>
      </c>
      <c r="AY114">
        <v>12.8254</v>
      </c>
      <c r="AZ114">
        <v>5.1999999999999998E-3</v>
      </c>
      <c r="BA114" t="s">
        <v>23</v>
      </c>
      <c r="BB114">
        <v>-4.6817000000000002</v>
      </c>
      <c r="BC114">
        <v>-16.551600000000001</v>
      </c>
      <c r="BD114">
        <v>39</v>
      </c>
      <c r="BE114">
        <v>35351.748899999999</v>
      </c>
      <c r="BH114" s="5">
        <v>41.271799999999999</v>
      </c>
      <c r="BI114">
        <v>15.212300000000001</v>
      </c>
      <c r="BJ114">
        <v>-1.1073</v>
      </c>
      <c r="BK114">
        <v>54.808900000000001</v>
      </c>
      <c r="BL114">
        <v>19.987100000000002</v>
      </c>
      <c r="BM114" t="s">
        <v>23</v>
      </c>
      <c r="BN114">
        <v>0.96319999999999995</v>
      </c>
      <c r="BO114">
        <v>-3.8435999999999999</v>
      </c>
      <c r="BP114">
        <v>24.602</v>
      </c>
      <c r="BQ114">
        <v>15339.1558</v>
      </c>
      <c r="CE114" s="1">
        <f t="shared" si="11"/>
        <v>44407</v>
      </c>
      <c r="CF114" s="35">
        <f t="shared" si="10"/>
        <v>5.2434359845088228</v>
      </c>
      <c r="CG114" s="36">
        <f t="shared" si="9"/>
        <v>0.19660909995219503</v>
      </c>
      <c r="CH114">
        <f t="shared" ca="1" si="4"/>
        <v>-0.57859766576074378</v>
      </c>
      <c r="CI114">
        <f t="shared" ca="1" si="5"/>
        <v>-0.68868084306950783</v>
      </c>
      <c r="CJ114">
        <f t="shared" ca="1" si="6"/>
        <v>-0.8971938439578897</v>
      </c>
      <c r="CK114">
        <f t="shared" ca="1" si="7"/>
        <v>-0.95595618749110089</v>
      </c>
      <c r="CL114">
        <f t="shared" ca="1" si="8"/>
        <v>-1.101795798802593</v>
      </c>
    </row>
    <row r="115" spans="1:90" x14ac:dyDescent="0.25">
      <c r="A115" s="43">
        <v>44414</v>
      </c>
      <c r="B115" s="5">
        <v>3.5007999999999999</v>
      </c>
      <c r="C115">
        <v>2.1617999999999999</v>
      </c>
      <c r="D115">
        <v>0.3473</v>
      </c>
      <c r="E115">
        <v>33.622999999999998</v>
      </c>
      <c r="F115">
        <v>1.3402000000000001</v>
      </c>
      <c r="G115">
        <v>44.554000000000002</v>
      </c>
      <c r="H115">
        <v>44.492400000000004</v>
      </c>
      <c r="I115">
        <v>27.209099999999999</v>
      </c>
      <c r="J115">
        <v>35.148000000000003</v>
      </c>
      <c r="K115">
        <v>65027.255899999996</v>
      </c>
      <c r="M115" s="43">
        <v>44414</v>
      </c>
      <c r="N115" s="5">
        <v>3.9268000000000001</v>
      </c>
      <c r="O115">
        <v>15.114699999999999</v>
      </c>
      <c r="P115">
        <v>0.87160000000000004</v>
      </c>
      <c r="Q115">
        <v>52.176900000000003</v>
      </c>
      <c r="R115">
        <v>1.0089999999999999</v>
      </c>
      <c r="S115">
        <v>195.11080000000001</v>
      </c>
      <c r="T115">
        <v>50.696899999999999</v>
      </c>
      <c r="U115">
        <v>39.349699999999999</v>
      </c>
      <c r="V115">
        <v>164.82599999999999</v>
      </c>
      <c r="W115">
        <v>136534.01439999999</v>
      </c>
      <c r="Y115" s="5">
        <v>1.6228</v>
      </c>
      <c r="Z115">
        <v>-7.2458</v>
      </c>
      <c r="AA115">
        <v>-0.13170000000000001</v>
      </c>
      <c r="AB115">
        <v>10.691000000000001</v>
      </c>
      <c r="AC115">
        <v>8.9899999999999994E-2</v>
      </c>
      <c r="AD115">
        <v>0</v>
      </c>
      <c r="AE115">
        <v>55.482199999999999</v>
      </c>
      <c r="AF115">
        <v>0.24099999999999999</v>
      </c>
      <c r="AG115">
        <v>41.194000000000003</v>
      </c>
      <c r="AH115">
        <v>23330.759900000001</v>
      </c>
      <c r="AK115">
        <v>1.4917</v>
      </c>
      <c r="AL115">
        <v>0.92610000000000003</v>
      </c>
      <c r="AM115">
        <v>6.4999999999999997E-3</v>
      </c>
      <c r="AN115">
        <v>20.668399999999998</v>
      </c>
      <c r="AO115">
        <v>3.5200000000000002E-2</v>
      </c>
      <c r="AP115" t="s">
        <v>23</v>
      </c>
      <c r="AQ115">
        <v>45.085500000000003</v>
      </c>
      <c r="AR115">
        <v>30.678599999999999</v>
      </c>
      <c r="AS115">
        <v>24.001000000000001</v>
      </c>
      <c r="AT115">
        <v>14540.833199999999</v>
      </c>
      <c r="AV115">
        <v>2.1511</v>
      </c>
      <c r="AW115">
        <v>82.922300000000007</v>
      </c>
      <c r="AX115">
        <v>-1.3697999999999999</v>
      </c>
      <c r="AY115">
        <v>12.8254</v>
      </c>
      <c r="AZ115">
        <v>5.1999999999999998E-3</v>
      </c>
      <c r="BA115" t="s">
        <v>23</v>
      </c>
      <c r="BB115">
        <v>-4.6817000000000002</v>
      </c>
      <c r="BC115">
        <v>-16.551600000000001</v>
      </c>
      <c r="BD115">
        <v>40.299999999999997</v>
      </c>
      <c r="BE115">
        <v>36530.140500000001</v>
      </c>
      <c r="BH115" s="5">
        <v>40.680199999999999</v>
      </c>
      <c r="BI115">
        <v>15.212300000000001</v>
      </c>
      <c r="BJ115">
        <v>-1.1073</v>
      </c>
      <c r="BK115">
        <v>54.808900000000001</v>
      </c>
      <c r="BL115">
        <v>19.987100000000002</v>
      </c>
      <c r="BM115" t="s">
        <v>23</v>
      </c>
      <c r="BN115">
        <v>0.96319999999999995</v>
      </c>
      <c r="BO115">
        <v>-3.8435999999999999</v>
      </c>
      <c r="BP115">
        <v>23.917999999999999</v>
      </c>
      <c r="BQ115">
        <v>14912.277599999999</v>
      </c>
      <c r="CE115" s="1">
        <f t="shared" si="11"/>
        <v>44414</v>
      </c>
      <c r="CF115" s="35">
        <f t="shared" si="10"/>
        <v>5.1862616717531917</v>
      </c>
      <c r="CG115" s="36">
        <f t="shared" si="9"/>
        <v>0.16968510422166114</v>
      </c>
      <c r="CH115">
        <f t="shared" ca="1" si="4"/>
        <v>-0.56558219588825365</v>
      </c>
      <c r="CI115">
        <f t="shared" ca="1" si="5"/>
        <v>-0.67224355783785361</v>
      </c>
      <c r="CJ115">
        <f t="shared" ca="1" si="6"/>
        <v>-0.8867384011826096</v>
      </c>
      <c r="CK115">
        <f t="shared" ca="1" si="7"/>
        <v>-0.95595618749110089</v>
      </c>
      <c r="CL115">
        <f t="shared" ca="1" si="8"/>
        <v>-1.101795798802593</v>
      </c>
    </row>
    <row r="116" spans="1:90" x14ac:dyDescent="0.25">
      <c r="A116" s="43">
        <v>44421</v>
      </c>
      <c r="B116" s="5">
        <v>3.6389</v>
      </c>
      <c r="C116">
        <v>2.1617999999999999</v>
      </c>
      <c r="D116">
        <v>0.3473</v>
      </c>
      <c r="E116">
        <v>33.622999999999998</v>
      </c>
      <c r="F116">
        <v>1.3402000000000001</v>
      </c>
      <c r="G116">
        <v>44.554000000000002</v>
      </c>
      <c r="H116">
        <v>44.492400000000004</v>
      </c>
      <c r="I116">
        <v>27.209099999999999</v>
      </c>
      <c r="J116">
        <v>37.399000000000001</v>
      </c>
      <c r="K116">
        <v>69190.8171</v>
      </c>
      <c r="M116" s="43">
        <v>44421</v>
      </c>
      <c r="N116" s="5">
        <v>3.9209000000000001</v>
      </c>
      <c r="O116">
        <v>15.114699999999999</v>
      </c>
      <c r="P116">
        <v>0.87160000000000004</v>
      </c>
      <c r="Q116">
        <v>52.176900000000003</v>
      </c>
      <c r="R116">
        <v>1.0089999999999999</v>
      </c>
      <c r="S116">
        <v>195.11080000000001</v>
      </c>
      <c r="T116">
        <v>50.696899999999999</v>
      </c>
      <c r="U116">
        <v>39.349699999999999</v>
      </c>
      <c r="V116">
        <v>164.49</v>
      </c>
      <c r="W116">
        <v>136255.94099999999</v>
      </c>
      <c r="Y116" s="5">
        <v>1.8018000000000001</v>
      </c>
      <c r="Z116">
        <v>-7.2458</v>
      </c>
      <c r="AA116">
        <v>-0.13170000000000001</v>
      </c>
      <c r="AB116">
        <v>10.691000000000001</v>
      </c>
      <c r="AC116">
        <v>8.9899999999999994E-2</v>
      </c>
      <c r="AD116">
        <v>0</v>
      </c>
      <c r="AE116">
        <v>55.482199999999999</v>
      </c>
      <c r="AF116">
        <v>0.24099999999999999</v>
      </c>
      <c r="AG116">
        <v>46.003999999999998</v>
      </c>
      <c r="AH116">
        <v>26054.874599999999</v>
      </c>
      <c r="AK116">
        <v>1.5385</v>
      </c>
      <c r="AL116">
        <v>0.92610000000000003</v>
      </c>
      <c r="AM116">
        <v>6.4999999999999997E-3</v>
      </c>
      <c r="AN116">
        <v>20.668399999999998</v>
      </c>
      <c r="AO116">
        <v>3.5200000000000002E-2</v>
      </c>
      <c r="AP116" t="s">
        <v>23</v>
      </c>
      <c r="AQ116">
        <v>45.085500000000003</v>
      </c>
      <c r="AR116">
        <v>30.678599999999999</v>
      </c>
      <c r="AS116">
        <v>24.771000000000001</v>
      </c>
      <c r="AT116">
        <v>15007.740599999999</v>
      </c>
      <c r="AV116">
        <v>2.1511</v>
      </c>
      <c r="AW116">
        <v>82.922300000000007</v>
      </c>
      <c r="AX116">
        <v>-1.3697999999999999</v>
      </c>
      <c r="AY116">
        <v>12.8254</v>
      </c>
      <c r="AZ116">
        <v>5.1999999999999998E-3</v>
      </c>
      <c r="BA116" t="s">
        <v>23</v>
      </c>
      <c r="BB116">
        <v>-4.6817000000000002</v>
      </c>
      <c r="BC116">
        <v>-16.551600000000001</v>
      </c>
      <c r="BD116">
        <v>41.45</v>
      </c>
      <c r="BE116">
        <v>37572.563900000001</v>
      </c>
      <c r="BH116" s="5">
        <v>40.759099999999997</v>
      </c>
      <c r="BI116">
        <v>15.212300000000001</v>
      </c>
      <c r="BJ116">
        <v>-1.1073</v>
      </c>
      <c r="BK116">
        <v>54.808900000000001</v>
      </c>
      <c r="BL116">
        <v>19.987100000000002</v>
      </c>
      <c r="BM116" t="s">
        <v>23</v>
      </c>
      <c r="BN116">
        <v>0.96319999999999995</v>
      </c>
      <c r="BO116">
        <v>-3.8435999999999999</v>
      </c>
      <c r="BP116">
        <v>24.009</v>
      </c>
      <c r="BQ116">
        <v>14969.202799999999</v>
      </c>
      <c r="CE116" s="1">
        <f t="shared" si="11"/>
        <v>44421</v>
      </c>
      <c r="CF116" s="35">
        <f t="shared" si="10"/>
        <v>5.173071874697551</v>
      </c>
      <c r="CG116" s="36">
        <f t="shared" si="9"/>
        <v>0.16347388763685483</v>
      </c>
      <c r="CH116">
        <f t="shared" ca="1" si="4"/>
        <v>5.3670735062709696E-2</v>
      </c>
      <c r="CI116">
        <f t="shared" ca="1" si="5"/>
        <v>-0.62555560597805782</v>
      </c>
      <c r="CJ116">
        <f t="shared" ca="1" si="6"/>
        <v>-0.8867384011826096</v>
      </c>
      <c r="CK116">
        <f t="shared" ca="1" si="7"/>
        <v>-0.95595618749110089</v>
      </c>
      <c r="CL116">
        <f t="shared" ca="1" si="8"/>
        <v>-1.101795798802593</v>
      </c>
    </row>
    <row r="117" spans="1:90" x14ac:dyDescent="0.25">
      <c r="A117" s="43">
        <v>44428</v>
      </c>
      <c r="B117" s="5">
        <v>3.5760999999999998</v>
      </c>
      <c r="C117">
        <v>2.1617999999999999</v>
      </c>
      <c r="D117">
        <v>0.3473</v>
      </c>
      <c r="E117">
        <v>33.622999999999998</v>
      </c>
      <c r="F117">
        <v>1.3402000000000001</v>
      </c>
      <c r="G117">
        <v>44.554000000000002</v>
      </c>
      <c r="H117">
        <v>44.492400000000004</v>
      </c>
      <c r="I117">
        <v>27.209099999999999</v>
      </c>
      <c r="J117">
        <v>36.375999999999998</v>
      </c>
      <c r="K117">
        <v>67298.289300000004</v>
      </c>
      <c r="M117" s="43">
        <v>44428</v>
      </c>
      <c r="N117" s="5">
        <v>3.8647999999999998</v>
      </c>
      <c r="O117">
        <v>15.114699999999999</v>
      </c>
      <c r="P117">
        <v>0.87160000000000004</v>
      </c>
      <c r="Q117">
        <v>52.176900000000003</v>
      </c>
      <c r="R117">
        <v>1.0089999999999999</v>
      </c>
      <c r="S117">
        <v>195.11080000000001</v>
      </c>
      <c r="T117">
        <v>50.696899999999999</v>
      </c>
      <c r="U117">
        <v>39.349699999999999</v>
      </c>
      <c r="V117">
        <v>161.32499999999999</v>
      </c>
      <c r="W117">
        <v>133634.1066</v>
      </c>
      <c r="Y117" s="5">
        <v>1.8306</v>
      </c>
      <c r="Z117">
        <v>-7.2458</v>
      </c>
      <c r="AA117">
        <v>-0.13170000000000001</v>
      </c>
      <c r="AB117">
        <v>10.691000000000001</v>
      </c>
      <c r="AC117">
        <v>8.9899999999999994E-2</v>
      </c>
      <c r="AD117">
        <v>0</v>
      </c>
      <c r="AE117">
        <v>55.482199999999999</v>
      </c>
      <c r="AF117">
        <v>0.24099999999999999</v>
      </c>
      <c r="AG117">
        <v>46.78</v>
      </c>
      <c r="AH117">
        <v>26494.248500000002</v>
      </c>
      <c r="AK117">
        <v>1.4672000000000001</v>
      </c>
      <c r="AL117">
        <v>0.92610000000000003</v>
      </c>
      <c r="AM117">
        <v>6.4999999999999997E-3</v>
      </c>
      <c r="AN117">
        <v>20.668399999999998</v>
      </c>
      <c r="AO117">
        <v>3.5200000000000002E-2</v>
      </c>
      <c r="AP117" t="s">
        <v>23</v>
      </c>
      <c r="AQ117">
        <v>45.085500000000003</v>
      </c>
      <c r="AR117">
        <v>30.678599999999999</v>
      </c>
      <c r="AS117">
        <v>23.597000000000001</v>
      </c>
      <c r="AT117">
        <v>14296.262500000001</v>
      </c>
      <c r="AV117">
        <v>2.1511</v>
      </c>
      <c r="AW117">
        <v>82.922300000000007</v>
      </c>
      <c r="AX117">
        <v>-1.3697999999999999</v>
      </c>
      <c r="AY117">
        <v>12.8254</v>
      </c>
      <c r="AZ117">
        <v>5.1999999999999998E-3</v>
      </c>
      <c r="BA117" t="s">
        <v>23</v>
      </c>
      <c r="BB117">
        <v>-4.6817000000000002</v>
      </c>
      <c r="BC117">
        <v>-16.551600000000001</v>
      </c>
      <c r="BD117">
        <v>40.549999999999997</v>
      </c>
      <c r="BE117">
        <v>36756.754300000001</v>
      </c>
      <c r="BH117" s="5">
        <v>40.916800000000002</v>
      </c>
      <c r="BI117">
        <v>15.212300000000001</v>
      </c>
      <c r="BJ117">
        <v>-1.1073</v>
      </c>
      <c r="BK117">
        <v>54.808900000000001</v>
      </c>
      <c r="BL117">
        <v>19.987100000000002</v>
      </c>
      <c r="BM117" t="s">
        <v>23</v>
      </c>
      <c r="BN117">
        <v>0.96319999999999995</v>
      </c>
      <c r="BO117">
        <v>-3.8435999999999999</v>
      </c>
      <c r="BP117">
        <v>24.192</v>
      </c>
      <c r="BQ117">
        <v>15083.037</v>
      </c>
      <c r="CE117" s="1">
        <f t="shared" si="11"/>
        <v>44428</v>
      </c>
      <c r="CF117" s="35">
        <f t="shared" si="10"/>
        <v>5.1874009437546444</v>
      </c>
      <c r="CG117" s="36">
        <f t="shared" si="9"/>
        <v>0.17022159959912431</v>
      </c>
      <c r="CH117">
        <f t="shared" ca="1" si="4"/>
        <v>0.1316544058908084</v>
      </c>
      <c r="CI117">
        <f t="shared" ca="1" si="5"/>
        <v>-0.62060616624067777</v>
      </c>
      <c r="CJ117">
        <f t="shared" ca="1" si="6"/>
        <v>-0.87762866684174201</v>
      </c>
      <c r="CK117">
        <f t="shared" ca="1" si="7"/>
        <v>-0.94867551135294903</v>
      </c>
      <c r="CL117">
        <f t="shared" ca="1" si="8"/>
        <v>-1.101795798802593</v>
      </c>
    </row>
    <row r="118" spans="1:90" x14ac:dyDescent="0.25">
      <c r="A118" s="43">
        <v>44435</v>
      </c>
      <c r="B118" s="5">
        <v>3.7494000000000001</v>
      </c>
      <c r="C118">
        <v>2.1617999999999999</v>
      </c>
      <c r="D118">
        <v>0.3473</v>
      </c>
      <c r="E118">
        <v>33.622999999999998</v>
      </c>
      <c r="F118">
        <v>1.3402000000000001</v>
      </c>
      <c r="G118">
        <v>44.554000000000002</v>
      </c>
      <c r="H118">
        <v>44.492400000000004</v>
      </c>
      <c r="I118">
        <v>27.209099999999999</v>
      </c>
      <c r="J118">
        <v>39.198999999999998</v>
      </c>
      <c r="K118">
        <v>72521.666100000002</v>
      </c>
      <c r="M118" s="43">
        <v>44435</v>
      </c>
      <c r="N118" s="5">
        <v>4.1322000000000001</v>
      </c>
      <c r="O118">
        <v>15.114699999999999</v>
      </c>
      <c r="P118">
        <v>0.87160000000000004</v>
      </c>
      <c r="Q118">
        <v>52.176900000000003</v>
      </c>
      <c r="R118">
        <v>1.0089999999999999</v>
      </c>
      <c r="S118">
        <v>195.11080000000001</v>
      </c>
      <c r="T118">
        <v>50.696899999999999</v>
      </c>
      <c r="U118">
        <v>39.349699999999999</v>
      </c>
      <c r="V118">
        <v>176.43100000000001</v>
      </c>
      <c r="W118">
        <v>146147.40729999999</v>
      </c>
      <c r="Y118" s="5">
        <v>2.1423999999999999</v>
      </c>
      <c r="Z118">
        <v>-7.2458</v>
      </c>
      <c r="AA118">
        <v>-0.13170000000000001</v>
      </c>
      <c r="AB118">
        <v>10.691000000000001</v>
      </c>
      <c r="AC118">
        <v>8.9899999999999994E-2</v>
      </c>
      <c r="AD118">
        <v>0</v>
      </c>
      <c r="AE118">
        <v>55.482199999999999</v>
      </c>
      <c r="AF118">
        <v>0.24099999999999999</v>
      </c>
      <c r="AG118">
        <v>55.158000000000001</v>
      </c>
      <c r="AH118">
        <v>31239.487099999998</v>
      </c>
      <c r="AK118">
        <v>1.7924</v>
      </c>
      <c r="AL118">
        <v>0.92610000000000003</v>
      </c>
      <c r="AM118">
        <v>6.4999999999999997E-3</v>
      </c>
      <c r="AN118">
        <v>20.668399999999998</v>
      </c>
      <c r="AO118">
        <v>3.5200000000000002E-2</v>
      </c>
      <c r="AP118" t="s">
        <v>23</v>
      </c>
      <c r="AQ118">
        <v>45.085500000000003</v>
      </c>
      <c r="AR118">
        <v>30.678599999999999</v>
      </c>
      <c r="AS118">
        <v>28.954999999999998</v>
      </c>
      <c r="AT118">
        <v>17542.3812</v>
      </c>
      <c r="AV118">
        <v>2.1511</v>
      </c>
      <c r="AW118">
        <v>82.922300000000007</v>
      </c>
      <c r="AX118">
        <v>-1.3697999999999999</v>
      </c>
      <c r="AY118">
        <v>12.8254</v>
      </c>
      <c r="AZ118">
        <v>5.1999999999999998E-3</v>
      </c>
      <c r="BA118" t="s">
        <v>23</v>
      </c>
      <c r="BB118">
        <v>-4.6817000000000002</v>
      </c>
      <c r="BC118">
        <v>-16.551600000000001</v>
      </c>
      <c r="BD118">
        <v>54.45</v>
      </c>
      <c r="BE118">
        <v>49356.480199999998</v>
      </c>
      <c r="BH118" s="5">
        <v>43.441000000000003</v>
      </c>
      <c r="BI118">
        <v>15.212300000000001</v>
      </c>
      <c r="BJ118">
        <v>-1.1073</v>
      </c>
      <c r="BK118">
        <v>54.808900000000001</v>
      </c>
      <c r="BL118">
        <v>19.987100000000002</v>
      </c>
      <c r="BM118" t="s">
        <v>23</v>
      </c>
      <c r="BN118">
        <v>0.96319999999999995</v>
      </c>
      <c r="BO118">
        <v>-3.8435999999999999</v>
      </c>
      <c r="BP118">
        <v>27.113</v>
      </c>
      <c r="BQ118">
        <v>16904.384900000001</v>
      </c>
      <c r="CE118" s="1">
        <f t="shared" si="11"/>
        <v>44435</v>
      </c>
      <c r="CF118" s="35">
        <f t="shared" si="10"/>
        <v>5.4379484470354083</v>
      </c>
      <c r="CG118" s="36">
        <f t="shared" si="9"/>
        <v>0.2882071001412857</v>
      </c>
      <c r="CH118">
        <f t="shared" ca="1" si="4"/>
        <v>0.15678513223382912</v>
      </c>
      <c r="CI118">
        <f t="shared" ca="1" si="5"/>
        <v>-0.61152660762857147</v>
      </c>
      <c r="CJ118">
        <f t="shared" ca="1" si="6"/>
        <v>-0.85811323835840847</v>
      </c>
      <c r="CK118">
        <f t="shared" ca="1" si="7"/>
        <v>-0.94772541236111296</v>
      </c>
      <c r="CL118">
        <f t="shared" ca="1" si="8"/>
        <v>-1.101795798802593</v>
      </c>
    </row>
    <row r="119" spans="1:90" x14ac:dyDescent="0.25">
      <c r="A119" s="43">
        <v>44442</v>
      </c>
      <c r="B119" s="5">
        <v>3.7193000000000001</v>
      </c>
      <c r="C119">
        <v>2.1617999999999999</v>
      </c>
      <c r="D119">
        <v>0.3473</v>
      </c>
      <c r="E119">
        <v>33.622999999999998</v>
      </c>
      <c r="F119">
        <v>1.3402000000000001</v>
      </c>
      <c r="G119">
        <v>44.554000000000002</v>
      </c>
      <c r="H119">
        <v>44.492400000000004</v>
      </c>
      <c r="I119">
        <v>27.209099999999999</v>
      </c>
      <c r="J119">
        <v>38.707999999999998</v>
      </c>
      <c r="K119">
        <v>71613.252699999997</v>
      </c>
      <c r="M119" s="43">
        <v>44442</v>
      </c>
      <c r="N119" s="5">
        <v>4.0898000000000003</v>
      </c>
      <c r="O119">
        <v>15.114699999999999</v>
      </c>
      <c r="P119">
        <v>0.87160000000000004</v>
      </c>
      <c r="Q119">
        <v>52.176900000000003</v>
      </c>
      <c r="R119">
        <v>1.0089999999999999</v>
      </c>
      <c r="S119">
        <v>195.11080000000001</v>
      </c>
      <c r="T119">
        <v>50.696899999999999</v>
      </c>
      <c r="U119">
        <v>39.349699999999999</v>
      </c>
      <c r="V119">
        <v>174.03299999999999</v>
      </c>
      <c r="W119">
        <v>144161.1691</v>
      </c>
      <c r="Y119" s="5">
        <v>2.1193</v>
      </c>
      <c r="Z119">
        <v>-7.2458</v>
      </c>
      <c r="AA119">
        <v>-0.13170000000000001</v>
      </c>
      <c r="AB119">
        <v>10.691000000000001</v>
      </c>
      <c r="AC119">
        <v>8.9899999999999994E-2</v>
      </c>
      <c r="AD119">
        <v>0</v>
      </c>
      <c r="AE119">
        <v>55.482199999999999</v>
      </c>
      <c r="AF119">
        <v>0.24099999999999999</v>
      </c>
      <c r="AG119">
        <v>54.537999999999997</v>
      </c>
      <c r="AH119">
        <v>30887.9879</v>
      </c>
      <c r="AK119">
        <v>1.857</v>
      </c>
      <c r="AL119">
        <v>0.92610000000000003</v>
      </c>
      <c r="AM119">
        <v>6.4999999999999997E-3</v>
      </c>
      <c r="AN119">
        <v>20.668399999999998</v>
      </c>
      <c r="AO119">
        <v>3.5200000000000002E-2</v>
      </c>
      <c r="AP119" t="s">
        <v>23</v>
      </c>
      <c r="AQ119">
        <v>45.085500000000003</v>
      </c>
      <c r="AR119">
        <v>30.678599999999999</v>
      </c>
      <c r="AS119">
        <v>30.018999999999998</v>
      </c>
      <c r="AT119">
        <v>18187.158200000002</v>
      </c>
      <c r="AV119">
        <v>2.1511</v>
      </c>
      <c r="AW119">
        <v>82.922300000000007</v>
      </c>
      <c r="AX119">
        <v>-1.3697999999999999</v>
      </c>
      <c r="AY119">
        <v>12.8254</v>
      </c>
      <c r="AZ119">
        <v>5.1999999999999998E-3</v>
      </c>
      <c r="BA119" t="s">
        <v>23</v>
      </c>
      <c r="BB119">
        <v>-4.6817000000000002</v>
      </c>
      <c r="BC119">
        <v>-16.551600000000001</v>
      </c>
      <c r="BD119">
        <v>64.2</v>
      </c>
      <c r="BE119">
        <v>58194.417399999998</v>
      </c>
      <c r="BH119" s="5">
        <v>46.043999999999997</v>
      </c>
      <c r="BI119">
        <v>15.212300000000001</v>
      </c>
      <c r="BJ119">
        <v>-1.1073</v>
      </c>
      <c r="BK119">
        <v>54.808900000000001</v>
      </c>
      <c r="BL119">
        <v>19.987100000000002</v>
      </c>
      <c r="BM119" t="s">
        <v>23</v>
      </c>
      <c r="BN119">
        <v>0.96319999999999995</v>
      </c>
      <c r="BO119">
        <v>-3.8435999999999999</v>
      </c>
      <c r="BP119">
        <v>30.125</v>
      </c>
      <c r="BQ119">
        <v>18782.6499</v>
      </c>
      <c r="CE119" s="1">
        <f t="shared" si="11"/>
        <v>44442</v>
      </c>
      <c r="CF119" s="35">
        <f t="shared" si="10"/>
        <v>5.6905639544817426</v>
      </c>
      <c r="CG119" s="36">
        <f t="shared" si="9"/>
        <v>0.40716644597586932</v>
      </c>
      <c r="CH119">
        <f t="shared" ca="1" si="4"/>
        <v>0.16307271902236806</v>
      </c>
      <c r="CI119">
        <f t="shared" ca="1" si="5"/>
        <v>-0.59595782452602264</v>
      </c>
      <c r="CJ119">
        <f t="shared" ca="1" si="6"/>
        <v>-0.80660708061228803</v>
      </c>
      <c r="CK119">
        <f t="shared" ca="1" si="7"/>
        <v>-0.94693059094369147</v>
      </c>
      <c r="CL119">
        <f t="shared" ca="1" si="8"/>
        <v>-1.0888576952925308</v>
      </c>
    </row>
    <row r="120" spans="1:90" x14ac:dyDescent="0.25">
      <c r="A120" s="43">
        <v>44449</v>
      </c>
      <c r="B120" s="5">
        <v>3.7995999999999999</v>
      </c>
      <c r="C120">
        <v>2.1617999999999999</v>
      </c>
      <c r="D120">
        <v>0.3473</v>
      </c>
      <c r="E120">
        <v>33.622999999999998</v>
      </c>
      <c r="F120">
        <v>1.3402000000000001</v>
      </c>
      <c r="G120">
        <v>44.554000000000002</v>
      </c>
      <c r="H120">
        <v>44.492400000000004</v>
      </c>
      <c r="I120">
        <v>27.209099999999999</v>
      </c>
      <c r="J120">
        <v>40.017000000000003</v>
      </c>
      <c r="K120">
        <v>74035.688299999994</v>
      </c>
      <c r="M120" s="43">
        <v>44449</v>
      </c>
      <c r="N120" s="5">
        <v>4.1119000000000003</v>
      </c>
      <c r="O120">
        <v>15.114699999999999</v>
      </c>
      <c r="P120">
        <v>0.87160000000000004</v>
      </c>
      <c r="Q120">
        <v>52.176900000000003</v>
      </c>
      <c r="R120">
        <v>1.0089999999999999</v>
      </c>
      <c r="S120">
        <v>195.11080000000001</v>
      </c>
      <c r="T120">
        <v>50.696899999999999</v>
      </c>
      <c r="U120">
        <v>39.349699999999999</v>
      </c>
      <c r="V120">
        <v>175.28</v>
      </c>
      <c r="W120">
        <v>145194.01300000001</v>
      </c>
      <c r="Y120" s="5">
        <v>2.2117</v>
      </c>
      <c r="Z120">
        <v>-7.2458</v>
      </c>
      <c r="AA120">
        <v>-0.13170000000000001</v>
      </c>
      <c r="AB120">
        <v>10.691000000000001</v>
      </c>
      <c r="AC120">
        <v>8.9899999999999994E-2</v>
      </c>
      <c r="AD120">
        <v>0</v>
      </c>
      <c r="AE120">
        <v>55.482199999999999</v>
      </c>
      <c r="AF120">
        <v>0.24099999999999999</v>
      </c>
      <c r="AG120">
        <v>57.02</v>
      </c>
      <c r="AH120">
        <v>32293.984499999999</v>
      </c>
      <c r="AK120">
        <v>1.8413999999999999</v>
      </c>
      <c r="AL120">
        <v>0.92610000000000003</v>
      </c>
      <c r="AM120">
        <v>6.4999999999999997E-3</v>
      </c>
      <c r="AN120">
        <v>20.668399999999998</v>
      </c>
      <c r="AO120">
        <v>3.5200000000000002E-2</v>
      </c>
      <c r="AP120" t="s">
        <v>23</v>
      </c>
      <c r="AQ120">
        <v>45.085500000000003</v>
      </c>
      <c r="AR120">
        <v>30.678599999999999</v>
      </c>
      <c r="AS120">
        <v>29.762</v>
      </c>
      <c r="AT120">
        <v>18031.522400000002</v>
      </c>
      <c r="AV120">
        <v>2.1511</v>
      </c>
      <c r="AW120">
        <v>82.922300000000007</v>
      </c>
      <c r="AX120">
        <v>-1.3697999999999999</v>
      </c>
      <c r="AY120">
        <v>12.8254</v>
      </c>
      <c r="AZ120">
        <v>5.1999999999999998E-3</v>
      </c>
      <c r="BA120" t="s">
        <v>23</v>
      </c>
      <c r="BB120">
        <v>-4.6817000000000002</v>
      </c>
      <c r="BC120">
        <v>-16.551600000000001</v>
      </c>
      <c r="BD120">
        <v>59.1</v>
      </c>
      <c r="BE120">
        <v>53571.496400000004</v>
      </c>
      <c r="BH120" s="5">
        <v>45.846800000000002</v>
      </c>
      <c r="BI120">
        <v>15.212300000000001</v>
      </c>
      <c r="BJ120">
        <v>-1.1073</v>
      </c>
      <c r="BK120">
        <v>54.808900000000001</v>
      </c>
      <c r="BL120">
        <v>19.987100000000002</v>
      </c>
      <c r="BM120" t="s">
        <v>23</v>
      </c>
      <c r="BN120">
        <v>0.96319999999999995</v>
      </c>
      <c r="BO120">
        <v>-3.8435999999999999</v>
      </c>
      <c r="BP120">
        <v>29.896999999999998</v>
      </c>
      <c r="BQ120">
        <v>18640.357100000001</v>
      </c>
      <c r="CE120" s="1">
        <f t="shared" si="11"/>
        <v>44449</v>
      </c>
      <c r="CF120" s="35">
        <f t="shared" si="10"/>
        <v>5.7138200336516221</v>
      </c>
      <c r="CG120" s="36">
        <f t="shared" si="9"/>
        <v>0.41811798253311677</v>
      </c>
      <c r="CH120">
        <f t="shared" ca="1" si="4"/>
        <v>0.1690639825631805</v>
      </c>
      <c r="CI120">
        <f t="shared" ca="1" si="5"/>
        <v>-0.59060029009394499</v>
      </c>
      <c r="CJ120">
        <f t="shared" ca="1" si="6"/>
        <v>-0.76258444750271304</v>
      </c>
      <c r="CK120">
        <f t="shared" ca="1" si="7"/>
        <v>-0.94589679371464519</v>
      </c>
      <c r="CL120">
        <f t="shared" ca="1" si="8"/>
        <v>-0.98549825306174954</v>
      </c>
    </row>
    <row r="121" spans="1:90" x14ac:dyDescent="0.25">
      <c r="A121" s="43">
        <v>44456</v>
      </c>
      <c r="B121" s="5">
        <v>4.4245000000000001</v>
      </c>
      <c r="C121">
        <v>2.1617999999999999</v>
      </c>
      <c r="D121">
        <v>0.3473</v>
      </c>
      <c r="E121">
        <v>33.622999999999998</v>
      </c>
      <c r="F121">
        <v>1.3402000000000001</v>
      </c>
      <c r="G121">
        <v>44.554000000000002</v>
      </c>
      <c r="H121">
        <v>44.492400000000004</v>
      </c>
      <c r="I121">
        <v>27.209099999999999</v>
      </c>
      <c r="J121">
        <v>50.491999999999997</v>
      </c>
      <c r="K121">
        <v>92869.014200000005</v>
      </c>
      <c r="M121" s="43">
        <v>44456</v>
      </c>
      <c r="N121" s="5">
        <v>4.0993000000000004</v>
      </c>
      <c r="O121">
        <v>15.114699999999999</v>
      </c>
      <c r="P121">
        <v>0.87160000000000004</v>
      </c>
      <c r="Q121">
        <v>52.176900000000003</v>
      </c>
      <c r="R121">
        <v>1.0089999999999999</v>
      </c>
      <c r="S121">
        <v>195.11080000000001</v>
      </c>
      <c r="T121">
        <v>50.696899999999999</v>
      </c>
      <c r="U121">
        <v>39.349699999999999</v>
      </c>
      <c r="V121">
        <v>184.24799999999999</v>
      </c>
      <c r="W121">
        <v>144605.39920000001</v>
      </c>
      <c r="Y121" s="5">
        <v>2.6534</v>
      </c>
      <c r="Z121">
        <v>-7.2458</v>
      </c>
      <c r="AA121">
        <v>-0.13170000000000001</v>
      </c>
      <c r="AB121">
        <v>10.691000000000001</v>
      </c>
      <c r="AC121">
        <v>8.9899999999999994E-2</v>
      </c>
      <c r="AD121">
        <v>0</v>
      </c>
      <c r="AE121">
        <v>55.482199999999999</v>
      </c>
      <c r="AF121">
        <v>0.24099999999999999</v>
      </c>
      <c r="AG121">
        <v>68.89</v>
      </c>
      <c r="AH121">
        <v>39016.4058</v>
      </c>
      <c r="AK121">
        <v>2.3557999999999999</v>
      </c>
      <c r="AL121">
        <v>0.92610000000000003</v>
      </c>
      <c r="AM121">
        <v>6.4999999999999997E-3</v>
      </c>
      <c r="AN121">
        <v>20.668399999999998</v>
      </c>
      <c r="AO121">
        <v>3.5200000000000002E-2</v>
      </c>
      <c r="AP121" t="s">
        <v>23</v>
      </c>
      <c r="AQ121">
        <v>45.085500000000003</v>
      </c>
      <c r="AR121">
        <v>30.678599999999999</v>
      </c>
      <c r="AS121">
        <v>38.24</v>
      </c>
      <c r="AT121">
        <v>23167.504700000001</v>
      </c>
      <c r="AV121">
        <v>2.1511</v>
      </c>
      <c r="AW121">
        <v>82.922300000000007</v>
      </c>
      <c r="AX121">
        <v>-1.3697999999999999</v>
      </c>
      <c r="AY121">
        <v>12.8254</v>
      </c>
      <c r="AZ121">
        <v>5.1999999999999998E-3</v>
      </c>
      <c r="BA121" t="s">
        <v>23</v>
      </c>
      <c r="BB121">
        <v>-4.6817000000000002</v>
      </c>
      <c r="BC121">
        <v>-16.551600000000001</v>
      </c>
      <c r="BD121">
        <v>62.75</v>
      </c>
      <c r="BE121">
        <v>54910.907899999998</v>
      </c>
      <c r="BH121" s="5">
        <v>48.252699999999997</v>
      </c>
      <c r="BI121">
        <v>15.212300000000001</v>
      </c>
      <c r="BJ121">
        <v>-1.1073</v>
      </c>
      <c r="BK121">
        <v>54.808900000000001</v>
      </c>
      <c r="BL121">
        <v>19.987100000000002</v>
      </c>
      <c r="BM121" t="s">
        <v>23</v>
      </c>
      <c r="BN121">
        <v>0.96319999999999995</v>
      </c>
      <c r="BO121">
        <v>-3.8435999999999999</v>
      </c>
      <c r="BP121">
        <v>32.682000000000002</v>
      </c>
      <c r="BQ121">
        <v>20376.3292</v>
      </c>
      <c r="CE121" s="1">
        <f t="shared" si="11"/>
        <v>44456</v>
      </c>
      <c r="CF121" s="35">
        <f t="shared" si="10"/>
        <v>6.0358515858332042</v>
      </c>
      <c r="CG121" s="36">
        <f t="shared" si="9"/>
        <v>0.5697660866929728</v>
      </c>
      <c r="CH121">
        <f t="shared" ca="1" si="4"/>
        <v>0.170167950061378</v>
      </c>
      <c r="CI121">
        <f t="shared" ca="1" si="5"/>
        <v>-0.5809917919258325</v>
      </c>
      <c r="CJ121">
        <f t="shared" ca="1" si="6"/>
        <v>-0.74270564359261493</v>
      </c>
      <c r="CK121">
        <f t="shared" ca="1" si="7"/>
        <v>-0.94378777772551437</v>
      </c>
      <c r="CL121">
        <f t="shared" ca="1" si="8"/>
        <v>-0.98010629607987987</v>
      </c>
    </row>
    <row r="122" spans="1:90" x14ac:dyDescent="0.25">
      <c r="A122" s="43">
        <v>44463</v>
      </c>
      <c r="B122" s="5">
        <v>4.3021000000000003</v>
      </c>
      <c r="C122">
        <v>2.1617999999999999</v>
      </c>
      <c r="D122">
        <v>0.3473</v>
      </c>
      <c r="E122">
        <v>33.622999999999998</v>
      </c>
      <c r="F122">
        <v>1.3402000000000001</v>
      </c>
      <c r="G122">
        <v>44.554000000000002</v>
      </c>
      <c r="H122">
        <v>44.492400000000004</v>
      </c>
      <c r="I122">
        <v>27.209099999999999</v>
      </c>
      <c r="J122">
        <v>48.487000000000002</v>
      </c>
      <c r="K122">
        <v>89181.346699999995</v>
      </c>
      <c r="M122" s="43">
        <v>44463</v>
      </c>
      <c r="N122" s="5">
        <v>3.9376000000000002</v>
      </c>
      <c r="O122">
        <v>15.114699999999999</v>
      </c>
      <c r="P122">
        <v>0.87160000000000004</v>
      </c>
      <c r="Q122">
        <v>52.176900000000003</v>
      </c>
      <c r="R122">
        <v>1.0089999999999999</v>
      </c>
      <c r="S122">
        <v>195.11080000000001</v>
      </c>
      <c r="T122">
        <v>50.696899999999999</v>
      </c>
      <c r="U122">
        <v>39.349699999999999</v>
      </c>
      <c r="V122">
        <v>174.60900000000001</v>
      </c>
      <c r="W122">
        <v>137040.15059999999</v>
      </c>
      <c r="Y122" s="5">
        <v>2.4512999999999998</v>
      </c>
      <c r="Z122">
        <v>-7.2458</v>
      </c>
      <c r="AA122">
        <v>-0.13170000000000001</v>
      </c>
      <c r="AB122">
        <v>10.691000000000001</v>
      </c>
      <c r="AC122">
        <v>8.9899999999999994E-2</v>
      </c>
      <c r="AD122">
        <v>0</v>
      </c>
      <c r="AE122">
        <v>55.482199999999999</v>
      </c>
      <c r="AF122">
        <v>0.24099999999999999</v>
      </c>
      <c r="AG122">
        <v>63.459000000000003</v>
      </c>
      <c r="AH122">
        <v>35940.788200000003</v>
      </c>
      <c r="AK122">
        <v>2.1909999999999998</v>
      </c>
      <c r="AL122">
        <v>0.92610000000000003</v>
      </c>
      <c r="AM122">
        <v>6.4999999999999997E-3</v>
      </c>
      <c r="AN122">
        <v>20.668399999999998</v>
      </c>
      <c r="AO122">
        <v>3.5200000000000002E-2</v>
      </c>
      <c r="AP122" t="s">
        <v>23</v>
      </c>
      <c r="AQ122">
        <v>45.085500000000003</v>
      </c>
      <c r="AR122">
        <v>30.678599999999999</v>
      </c>
      <c r="AS122">
        <v>35.524000000000001</v>
      </c>
      <c r="AT122">
        <v>21522.2117</v>
      </c>
      <c r="AV122">
        <v>2.1511</v>
      </c>
      <c r="AW122">
        <v>82.922300000000007</v>
      </c>
      <c r="AX122">
        <v>-1.3697999999999999</v>
      </c>
      <c r="AY122">
        <v>12.8254</v>
      </c>
      <c r="AZ122">
        <v>5.1999999999999998E-3</v>
      </c>
      <c r="BA122" t="s">
        <v>23</v>
      </c>
      <c r="BB122">
        <v>-4.6817000000000002</v>
      </c>
      <c r="BC122">
        <v>-16.551600000000001</v>
      </c>
      <c r="BD122">
        <v>60.05</v>
      </c>
      <c r="BE122">
        <v>52548.207499999997</v>
      </c>
      <c r="BH122" s="5">
        <v>48.015999999999998</v>
      </c>
      <c r="BI122">
        <v>15.212300000000001</v>
      </c>
      <c r="BJ122">
        <v>-1.1073</v>
      </c>
      <c r="BK122">
        <v>54.808900000000001</v>
      </c>
      <c r="BL122">
        <v>19.987100000000002</v>
      </c>
      <c r="BM122" t="s">
        <v>23</v>
      </c>
      <c r="BN122">
        <v>0.96319999999999995</v>
      </c>
      <c r="BO122">
        <v>-3.8435999999999999</v>
      </c>
      <c r="BP122">
        <v>32.408000000000001</v>
      </c>
      <c r="BQ122">
        <v>20205.5779</v>
      </c>
      <c r="CE122" s="1">
        <f t="shared" si="11"/>
        <v>44463</v>
      </c>
      <c r="CF122" s="35">
        <f t="shared" si="10"/>
        <v>6.008784046895304</v>
      </c>
      <c r="CG122" s="36">
        <f t="shared" si="9"/>
        <v>0.5570196929424277</v>
      </c>
      <c r="CH122">
        <f t="shared" ca="1" si="4"/>
        <v>0.19397034991688791</v>
      </c>
      <c r="CI122">
        <f t="shared" ca="1" si="5"/>
        <v>-0.57471624344448657</v>
      </c>
      <c r="CJ122">
        <f t="shared" ca="1" si="6"/>
        <v>-0.73100733038993504</v>
      </c>
      <c r="CK122">
        <f t="shared" ca="1" si="7"/>
        <v>-0.94047871838383479</v>
      </c>
      <c r="CL122">
        <f t="shared" ca="1" si="8"/>
        <v>-0.97890381839784602</v>
      </c>
    </row>
    <row r="123" spans="1:90" x14ac:dyDescent="0.25">
      <c r="A123" s="43">
        <v>44470</v>
      </c>
      <c r="B123" s="5">
        <v>3.6162999999999998</v>
      </c>
      <c r="C123">
        <v>0.56799999999999995</v>
      </c>
      <c r="D123">
        <v>0.31230000000000002</v>
      </c>
      <c r="E123">
        <v>29.160599999999999</v>
      </c>
      <c r="F123">
        <v>0.8931</v>
      </c>
      <c r="G123">
        <v>44.554000000000002</v>
      </c>
      <c r="H123">
        <v>43.084200000000003</v>
      </c>
      <c r="I123">
        <v>22.970300000000002</v>
      </c>
      <c r="J123">
        <v>49.838000000000001</v>
      </c>
      <c r="K123">
        <v>91664.877800000002</v>
      </c>
      <c r="M123" s="43">
        <v>44470</v>
      </c>
      <c r="N123" s="5">
        <v>3.8860999999999999</v>
      </c>
      <c r="O123">
        <v>17.0611</v>
      </c>
      <c r="P123">
        <v>0.89500000000000002</v>
      </c>
      <c r="Q123">
        <v>48.839599999999997</v>
      </c>
      <c r="R123">
        <v>0.97509999999999997</v>
      </c>
      <c r="S123">
        <v>195.11080000000001</v>
      </c>
      <c r="T123">
        <v>48.149500000000003</v>
      </c>
      <c r="U123">
        <v>35.4816</v>
      </c>
      <c r="V123">
        <v>188.56399999999999</v>
      </c>
      <c r="W123">
        <v>147992.82399999999</v>
      </c>
      <c r="Y123" s="5">
        <v>2.5857000000000001</v>
      </c>
      <c r="Z123">
        <v>-9.2973999999999997</v>
      </c>
      <c r="AA123">
        <v>-0.20250000000000001</v>
      </c>
      <c r="AB123">
        <v>8.0088000000000008</v>
      </c>
      <c r="AC123">
        <v>-9.1300000000000006E-2</v>
      </c>
      <c r="AD123">
        <v>0</v>
      </c>
      <c r="AE123">
        <v>49.559800000000003</v>
      </c>
      <c r="AF123">
        <v>-9.1937999999999995</v>
      </c>
      <c r="AG123">
        <v>68.811999999999998</v>
      </c>
      <c r="AH123">
        <v>38972.468399999998</v>
      </c>
      <c r="AK123">
        <v>2.1215999999999999</v>
      </c>
      <c r="AL123">
        <v>-1.6413</v>
      </c>
      <c r="AM123">
        <v>-3.09E-2</v>
      </c>
      <c r="AN123">
        <v>2.6173000000000002</v>
      </c>
      <c r="AO123">
        <v>-0.22639999999999999</v>
      </c>
      <c r="AP123" t="s">
        <v>23</v>
      </c>
      <c r="AQ123">
        <v>40.807499999999997</v>
      </c>
      <c r="AR123">
        <v>23.3721</v>
      </c>
      <c r="AS123">
        <v>37.139000000000003</v>
      </c>
      <c r="AT123">
        <v>22500.493999999999</v>
      </c>
      <c r="AV123">
        <v>2.1511</v>
      </c>
      <c r="AW123">
        <v>72.102000000000004</v>
      </c>
      <c r="AX123">
        <v>-1.2999000000000001</v>
      </c>
      <c r="AY123">
        <v>12.493499999999999</v>
      </c>
      <c r="AZ123">
        <v>5.1999999999999998E-3</v>
      </c>
      <c r="BA123" t="s">
        <v>23</v>
      </c>
      <c r="BB123">
        <v>-4.1181000000000001</v>
      </c>
      <c r="BC123">
        <v>-13.6417</v>
      </c>
      <c r="BD123">
        <v>63.6</v>
      </c>
      <c r="BE123">
        <v>55654.720999999998</v>
      </c>
      <c r="BH123" s="5">
        <v>78.446299999999994</v>
      </c>
      <c r="BI123">
        <v>18.992899999999999</v>
      </c>
      <c r="BJ123">
        <v>-0.66459999999999997</v>
      </c>
      <c r="BK123">
        <v>48.485399999999998</v>
      </c>
      <c r="BL123">
        <v>27.727499999999999</v>
      </c>
      <c r="BM123" t="s">
        <v>23</v>
      </c>
      <c r="BN123">
        <v>0.50629999999999997</v>
      </c>
      <c r="BO123">
        <v>-4.4798999999999998</v>
      </c>
      <c r="BP123">
        <v>34.188000000000002</v>
      </c>
      <c r="BQ123">
        <v>21315.4617</v>
      </c>
      <c r="CE123" s="1">
        <f t="shared" si="11"/>
        <v>44470</v>
      </c>
      <c r="CF123" s="35">
        <f t="shared" si="10"/>
        <v>7.5296016059958468</v>
      </c>
      <c r="CG123" s="36">
        <f t="shared" si="9"/>
        <v>1.273188956631762</v>
      </c>
      <c r="CH123">
        <f t="shared" ref="CH123:CH186" ca="1" si="12">+_xlfn.PERCENTILE.INC(OFFSET(CG123,-52,0,52,1),0.9)</f>
        <v>0.19819598530308394</v>
      </c>
      <c r="CI123">
        <f t="shared" ref="CI123:CI186" ca="1" si="13">+_xlfn.PERCENTILE.INC(OFFSET(CG123,-52,0,52,1),0.75)</f>
        <v>-0.39255259867340431</v>
      </c>
      <c r="CJ123">
        <f t="shared" ref="CJ123:CJ186" ca="1" si="14">+_xlfn.PERCENTILE.INC(OFFSET(CG123,-52,0,52,1),0.5)</f>
        <v>-0.71973608081167084</v>
      </c>
      <c r="CK123">
        <f t="shared" ref="CK123:CK186" ca="1" si="15">+_xlfn.PERCENTILE.INC(OFFSET(CG123,-52,0,52,1),0.25)</f>
        <v>-0.93745584895078038</v>
      </c>
      <c r="CL123">
        <f t="shared" ref="CL123:CL186" ca="1" si="16">+_xlfn.PERCENTILE.INC(OFFSET(CG123,-52,0,52,1),0.1)</f>
        <v>-0.97425797392304991</v>
      </c>
    </row>
    <row r="124" spans="1:90" x14ac:dyDescent="0.25">
      <c r="A124" s="43">
        <v>44477</v>
      </c>
      <c r="B124" s="5">
        <v>3.7101000000000002</v>
      </c>
      <c r="C124">
        <v>0.56799999999999995</v>
      </c>
      <c r="D124">
        <v>0.31230000000000002</v>
      </c>
      <c r="E124">
        <v>29.160599999999999</v>
      </c>
      <c r="F124">
        <v>0.8931</v>
      </c>
      <c r="G124">
        <v>44.554000000000002</v>
      </c>
      <c r="H124">
        <v>43.084200000000003</v>
      </c>
      <c r="I124">
        <v>22.970300000000002</v>
      </c>
      <c r="J124">
        <v>51.555999999999997</v>
      </c>
      <c r="K124">
        <v>94825.735700000005</v>
      </c>
      <c r="M124" s="43">
        <v>44477</v>
      </c>
      <c r="N124" s="5">
        <v>3.9801000000000002</v>
      </c>
      <c r="O124">
        <v>17.0611</v>
      </c>
      <c r="P124">
        <v>0.89500000000000002</v>
      </c>
      <c r="Q124">
        <v>48.839599999999997</v>
      </c>
      <c r="R124">
        <v>0.97509999999999997</v>
      </c>
      <c r="S124">
        <v>195.11080000000001</v>
      </c>
      <c r="T124">
        <v>48.149500000000003</v>
      </c>
      <c r="U124">
        <v>35.4816</v>
      </c>
      <c r="V124">
        <v>194.654</v>
      </c>
      <c r="W124">
        <v>152772.8567</v>
      </c>
      <c r="Y124" s="5">
        <v>2.6309</v>
      </c>
      <c r="Z124">
        <v>-9.2973999999999997</v>
      </c>
      <c r="AA124">
        <v>-0.20250000000000001</v>
      </c>
      <c r="AB124">
        <v>8.0088000000000008</v>
      </c>
      <c r="AC124">
        <v>-9.1300000000000006E-2</v>
      </c>
      <c r="AD124">
        <v>0</v>
      </c>
      <c r="AE124">
        <v>49.559800000000003</v>
      </c>
      <c r="AF124">
        <v>-9.1937999999999995</v>
      </c>
      <c r="AG124">
        <v>69.975999999999999</v>
      </c>
      <c r="AH124">
        <v>39631.529300000002</v>
      </c>
      <c r="AK124">
        <v>2.2050999999999998</v>
      </c>
      <c r="AL124">
        <v>-1.6413</v>
      </c>
      <c r="AM124">
        <v>-3.09E-2</v>
      </c>
      <c r="AN124">
        <v>2.6173000000000002</v>
      </c>
      <c r="AO124">
        <v>-0.22639999999999999</v>
      </c>
      <c r="AP124" t="s">
        <v>23</v>
      </c>
      <c r="AQ124">
        <v>40.807499999999997</v>
      </c>
      <c r="AR124">
        <v>23.3721</v>
      </c>
      <c r="AS124">
        <v>38.46</v>
      </c>
      <c r="AT124">
        <v>23300.906900000002</v>
      </c>
      <c r="AV124">
        <v>2.1511</v>
      </c>
      <c r="AW124">
        <v>72.102000000000004</v>
      </c>
      <c r="AX124">
        <v>-1.2999000000000001</v>
      </c>
      <c r="AY124">
        <v>12.493499999999999</v>
      </c>
      <c r="AZ124">
        <v>5.1999999999999998E-3</v>
      </c>
      <c r="BA124" t="s">
        <v>23</v>
      </c>
      <c r="BB124">
        <v>-4.1181000000000001</v>
      </c>
      <c r="BC124">
        <v>-13.6417</v>
      </c>
      <c r="BD124">
        <v>64</v>
      </c>
      <c r="BE124">
        <v>56004.750699999997</v>
      </c>
      <c r="BH124" s="5">
        <v>76.282399999999996</v>
      </c>
      <c r="BI124">
        <v>18.992899999999999</v>
      </c>
      <c r="BJ124">
        <v>-0.66459999999999997</v>
      </c>
      <c r="BK124">
        <v>48.485399999999998</v>
      </c>
      <c r="BL124">
        <v>27.727499999999999</v>
      </c>
      <c r="BM124" t="s">
        <v>23</v>
      </c>
      <c r="BN124">
        <v>0.50629999999999997</v>
      </c>
      <c r="BO124">
        <v>-4.4798999999999998</v>
      </c>
      <c r="BP124">
        <v>32.726999999999997</v>
      </c>
      <c r="BQ124">
        <v>20404.787799999998</v>
      </c>
      <c r="CE124" s="1">
        <f t="shared" si="11"/>
        <v>44477</v>
      </c>
      <c r="CF124" s="35">
        <f t="shared" si="10"/>
        <v>7.2168954892667019</v>
      </c>
      <c r="CG124" s="36">
        <f t="shared" si="9"/>
        <v>1.1259322998230954</v>
      </c>
      <c r="CH124">
        <f t="shared" ca="1" si="12"/>
        <v>0.27922362071691975</v>
      </c>
      <c r="CI124">
        <f t="shared" ca="1" si="13"/>
        <v>0.12491323626341722</v>
      </c>
      <c r="CJ124">
        <f t="shared" ca="1" si="14"/>
        <v>-0.70911490499494967</v>
      </c>
      <c r="CK124">
        <f t="shared" ca="1" si="15"/>
        <v>-0.9273814794827786</v>
      </c>
      <c r="CL124">
        <f t="shared" ca="1" si="16"/>
        <v>-0.94888483519536437</v>
      </c>
    </row>
    <row r="125" spans="1:90" x14ac:dyDescent="0.25">
      <c r="A125" s="43">
        <v>44484</v>
      </c>
      <c r="B125" s="5">
        <v>4.1588000000000003</v>
      </c>
      <c r="C125">
        <v>0.56799999999999995</v>
      </c>
      <c r="D125">
        <v>0.31230000000000002</v>
      </c>
      <c r="E125">
        <v>29.160599999999999</v>
      </c>
      <c r="F125">
        <v>0.8931</v>
      </c>
      <c r="G125">
        <v>44.554000000000002</v>
      </c>
      <c r="H125">
        <v>43.084200000000003</v>
      </c>
      <c r="I125">
        <v>22.970300000000002</v>
      </c>
      <c r="J125">
        <v>59.78</v>
      </c>
      <c r="K125">
        <v>109952.6983</v>
      </c>
      <c r="M125" s="43">
        <v>44484</v>
      </c>
      <c r="N125" s="5">
        <v>4.1673999999999998</v>
      </c>
      <c r="O125">
        <v>17.0611</v>
      </c>
      <c r="P125">
        <v>0.89500000000000002</v>
      </c>
      <c r="Q125">
        <v>48.839599999999997</v>
      </c>
      <c r="R125">
        <v>0.97509999999999997</v>
      </c>
      <c r="S125">
        <v>195.11080000000001</v>
      </c>
      <c r="T125">
        <v>48.149500000000003</v>
      </c>
      <c r="U125">
        <v>35.4816</v>
      </c>
      <c r="V125">
        <v>206.78700000000001</v>
      </c>
      <c r="W125">
        <v>162295.28409999999</v>
      </c>
      <c r="Y125" s="5">
        <v>2.7698</v>
      </c>
      <c r="Z125">
        <v>-9.2973999999999997</v>
      </c>
      <c r="AA125">
        <v>-0.20250000000000001</v>
      </c>
      <c r="AB125">
        <v>8.0088000000000008</v>
      </c>
      <c r="AC125">
        <v>-9.1300000000000006E-2</v>
      </c>
      <c r="AD125">
        <v>0</v>
      </c>
      <c r="AE125">
        <v>49.559800000000003</v>
      </c>
      <c r="AF125">
        <v>-9.1937999999999995</v>
      </c>
      <c r="AG125">
        <v>73.543999999999997</v>
      </c>
      <c r="AH125">
        <v>41652.649400000002</v>
      </c>
      <c r="AK125">
        <v>2.3675999999999999</v>
      </c>
      <c r="AL125">
        <v>-1.6413</v>
      </c>
      <c r="AM125">
        <v>-3.09E-2</v>
      </c>
      <c r="AN125">
        <v>2.6173000000000002</v>
      </c>
      <c r="AO125">
        <v>-0.22639999999999999</v>
      </c>
      <c r="AP125" t="s">
        <v>23</v>
      </c>
      <c r="AQ125">
        <v>40.807499999999997</v>
      </c>
      <c r="AR125">
        <v>23.3721</v>
      </c>
      <c r="AS125">
        <v>41.029000000000003</v>
      </c>
      <c r="AT125">
        <v>24857.265100000001</v>
      </c>
      <c r="AV125">
        <v>2.1511</v>
      </c>
      <c r="AW125">
        <v>72.102000000000004</v>
      </c>
      <c r="AX125">
        <v>-1.2999000000000001</v>
      </c>
      <c r="AY125">
        <v>12.493499999999999</v>
      </c>
      <c r="AZ125">
        <v>5.1999999999999998E-3</v>
      </c>
      <c r="BA125" t="s">
        <v>23</v>
      </c>
      <c r="BB125">
        <v>-4.1181000000000001</v>
      </c>
      <c r="BC125">
        <v>-13.6417</v>
      </c>
      <c r="BD125">
        <v>65.45</v>
      </c>
      <c r="BE125">
        <v>57273.6083</v>
      </c>
      <c r="BH125" s="5">
        <v>76.485200000000006</v>
      </c>
      <c r="BI125">
        <v>18.992899999999999</v>
      </c>
      <c r="BJ125">
        <v>-0.66459999999999997</v>
      </c>
      <c r="BK125">
        <v>48.485399999999998</v>
      </c>
      <c r="BL125">
        <v>27.727499999999999</v>
      </c>
      <c r="BM125" t="s">
        <v>23</v>
      </c>
      <c r="BN125">
        <v>0.50629999999999997</v>
      </c>
      <c r="BO125">
        <v>-4.4798999999999998</v>
      </c>
      <c r="BP125">
        <v>32.863999999999997</v>
      </c>
      <c r="BQ125">
        <v>20490.163499999999</v>
      </c>
      <c r="CE125" s="1">
        <f t="shared" si="11"/>
        <v>44484</v>
      </c>
      <c r="CF125" s="35">
        <f t="shared" si="10"/>
        <v>7.1982755166360199</v>
      </c>
      <c r="CG125" s="36">
        <f t="shared" si="9"/>
        <v>1.1171639554486934</v>
      </c>
      <c r="CH125">
        <f t="shared" ca="1" si="12"/>
        <v>0.39527051139241076</v>
      </c>
      <c r="CI125">
        <f t="shared" ca="1" si="13"/>
        <v>0.13938418205580211</v>
      </c>
      <c r="CJ125">
        <f t="shared" ca="1" si="14"/>
        <v>-0.70288202916029663</v>
      </c>
      <c r="CK125">
        <f t="shared" ca="1" si="15"/>
        <v>-0.92162127978512398</v>
      </c>
      <c r="CL125">
        <f t="shared" ca="1" si="16"/>
        <v>-0.94847905687323253</v>
      </c>
    </row>
    <row r="126" spans="1:90" x14ac:dyDescent="0.25">
      <c r="A126" s="43">
        <v>44491</v>
      </c>
      <c r="B126" s="5">
        <v>4.6410999999999998</v>
      </c>
      <c r="C126">
        <v>0.56799999999999995</v>
      </c>
      <c r="D126">
        <v>0.31230000000000002</v>
      </c>
      <c r="E126">
        <v>29.160599999999999</v>
      </c>
      <c r="F126">
        <v>0.8931</v>
      </c>
      <c r="G126">
        <v>44.554000000000002</v>
      </c>
      <c r="H126">
        <v>43.084200000000003</v>
      </c>
      <c r="I126">
        <v>22.970300000000002</v>
      </c>
      <c r="J126">
        <v>68.619</v>
      </c>
      <c r="K126">
        <v>126208.5387</v>
      </c>
      <c r="M126" s="43">
        <v>44491</v>
      </c>
      <c r="N126" s="5">
        <v>4.4221000000000004</v>
      </c>
      <c r="O126">
        <v>17.0611</v>
      </c>
      <c r="P126">
        <v>0.89500000000000002</v>
      </c>
      <c r="Q126">
        <v>48.839599999999997</v>
      </c>
      <c r="R126">
        <v>0.97509999999999997</v>
      </c>
      <c r="S126">
        <v>195.11080000000001</v>
      </c>
      <c r="T126">
        <v>48.149500000000003</v>
      </c>
      <c r="U126">
        <v>35.4816</v>
      </c>
      <c r="V126">
        <v>223.28399999999999</v>
      </c>
      <c r="W126">
        <v>175242.77429999999</v>
      </c>
      <c r="Y126" s="5">
        <v>3.0247999999999999</v>
      </c>
      <c r="Z126">
        <v>-9.2973999999999997</v>
      </c>
      <c r="AA126">
        <v>-0.20250000000000001</v>
      </c>
      <c r="AB126">
        <v>8.0088000000000008</v>
      </c>
      <c r="AC126">
        <v>-9.1300000000000006E-2</v>
      </c>
      <c r="AD126">
        <v>0</v>
      </c>
      <c r="AE126">
        <v>49.559800000000003</v>
      </c>
      <c r="AF126">
        <v>-9.1937999999999995</v>
      </c>
      <c r="AG126">
        <v>80.099999999999994</v>
      </c>
      <c r="AH126">
        <v>45365.359199999999</v>
      </c>
      <c r="AK126">
        <v>2.9289999999999998</v>
      </c>
      <c r="AL126">
        <v>-1.6413</v>
      </c>
      <c r="AM126">
        <v>-3.09E-2</v>
      </c>
      <c r="AN126">
        <v>2.6173000000000002</v>
      </c>
      <c r="AO126">
        <v>-0.22639999999999999</v>
      </c>
      <c r="AP126" t="s">
        <v>23</v>
      </c>
      <c r="AQ126">
        <v>40.807499999999997</v>
      </c>
      <c r="AR126">
        <v>23.3721</v>
      </c>
      <c r="AS126">
        <v>49.91</v>
      </c>
      <c r="AT126">
        <v>30237.8181</v>
      </c>
      <c r="AV126">
        <v>2.1511</v>
      </c>
      <c r="AW126">
        <v>72.102000000000004</v>
      </c>
      <c r="AX126">
        <v>-1.2999000000000001</v>
      </c>
      <c r="AY126">
        <v>12.493499999999999</v>
      </c>
      <c r="AZ126">
        <v>5.1999999999999998E-3</v>
      </c>
      <c r="BA126" t="s">
        <v>23</v>
      </c>
      <c r="BB126">
        <v>-4.1181000000000001</v>
      </c>
      <c r="BC126">
        <v>-13.6417</v>
      </c>
      <c r="BD126">
        <v>73.05</v>
      </c>
      <c r="BE126">
        <v>63924.172400000003</v>
      </c>
      <c r="BH126" s="5">
        <v>85.682100000000005</v>
      </c>
      <c r="BI126">
        <v>18.992899999999999</v>
      </c>
      <c r="BJ126">
        <v>-0.66459999999999997</v>
      </c>
      <c r="BK126">
        <v>48.485399999999998</v>
      </c>
      <c r="BL126">
        <v>27.727499999999999</v>
      </c>
      <c r="BM126" t="s">
        <v>23</v>
      </c>
      <c r="BN126">
        <v>0.50629999999999997</v>
      </c>
      <c r="BO126">
        <v>-4.4798999999999998</v>
      </c>
      <c r="BP126">
        <v>39.072000000000003</v>
      </c>
      <c r="BQ126">
        <v>24360.527699999999</v>
      </c>
      <c r="CE126" s="1">
        <f t="shared" si="11"/>
        <v>44491</v>
      </c>
      <c r="CF126" s="35">
        <f t="shared" si="10"/>
        <v>8.1902486728731603</v>
      </c>
      <c r="CG126" s="36">
        <f t="shared" si="9"/>
        <v>1.5842947303735317</v>
      </c>
      <c r="CH126">
        <f t="shared" ca="1" si="12"/>
        <v>0.417022828877392</v>
      </c>
      <c r="CI126">
        <f t="shared" ca="1" si="13"/>
        <v>0.16046512302820409</v>
      </c>
      <c r="CJ126">
        <f t="shared" ca="1" si="14"/>
        <v>-0.69369363546002094</v>
      </c>
      <c r="CK126">
        <f t="shared" ca="1" si="15"/>
        <v>-0.91112668148439169</v>
      </c>
      <c r="CL126">
        <f t="shared" ca="1" si="16"/>
        <v>-0.94847905687323253</v>
      </c>
    </row>
    <row r="127" spans="1:90" x14ac:dyDescent="0.25">
      <c r="A127" s="43">
        <v>44498</v>
      </c>
      <c r="B127" s="5">
        <v>4.1543999999999999</v>
      </c>
      <c r="C127">
        <v>0.56799999999999995</v>
      </c>
      <c r="D127">
        <v>0.31230000000000002</v>
      </c>
      <c r="E127">
        <v>29.160599999999999</v>
      </c>
      <c r="F127">
        <v>0.8931</v>
      </c>
      <c r="G127">
        <v>44.554000000000002</v>
      </c>
      <c r="H127">
        <v>43.084200000000003</v>
      </c>
      <c r="I127">
        <v>22.970300000000002</v>
      </c>
      <c r="J127">
        <v>59.698999999999998</v>
      </c>
      <c r="K127">
        <v>109802.1813</v>
      </c>
      <c r="M127" s="43">
        <v>44498</v>
      </c>
      <c r="N127" s="5">
        <v>4.1925999999999997</v>
      </c>
      <c r="O127">
        <v>17.0611</v>
      </c>
      <c r="P127">
        <v>0.89500000000000002</v>
      </c>
      <c r="Q127">
        <v>48.839599999999997</v>
      </c>
      <c r="R127">
        <v>0.97509999999999997</v>
      </c>
      <c r="S127">
        <v>195.11080000000001</v>
      </c>
      <c r="T127">
        <v>48.149500000000003</v>
      </c>
      <c r="U127">
        <v>35.4816</v>
      </c>
      <c r="V127">
        <v>208.41800000000001</v>
      </c>
      <c r="W127">
        <v>163574.9779</v>
      </c>
      <c r="Y127" s="5">
        <v>2.8481999999999998</v>
      </c>
      <c r="Z127">
        <v>-9.2973999999999997</v>
      </c>
      <c r="AA127">
        <v>-0.20250000000000001</v>
      </c>
      <c r="AB127">
        <v>8.0088000000000008</v>
      </c>
      <c r="AC127">
        <v>-9.1300000000000006E-2</v>
      </c>
      <c r="AD127">
        <v>0</v>
      </c>
      <c r="AE127">
        <v>49.559800000000003</v>
      </c>
      <c r="AF127">
        <v>-9.1937999999999995</v>
      </c>
      <c r="AG127">
        <v>75.561000000000007</v>
      </c>
      <c r="AH127">
        <v>42795.021699999998</v>
      </c>
      <c r="AK127">
        <v>2.6274000000000002</v>
      </c>
      <c r="AL127">
        <v>-1.6413</v>
      </c>
      <c r="AM127">
        <v>-3.09E-2</v>
      </c>
      <c r="AN127">
        <v>2.6173000000000002</v>
      </c>
      <c r="AO127">
        <v>-0.22639999999999999</v>
      </c>
      <c r="AP127" t="s">
        <v>23</v>
      </c>
      <c r="AQ127">
        <v>40.807499999999997</v>
      </c>
      <c r="AR127">
        <v>23.3721</v>
      </c>
      <c r="AS127">
        <v>45.139000000000003</v>
      </c>
      <c r="AT127">
        <v>27347.438399999999</v>
      </c>
      <c r="AV127">
        <v>2.1511</v>
      </c>
      <c r="AW127">
        <v>72.102000000000004</v>
      </c>
      <c r="AX127">
        <v>-1.2999000000000001</v>
      </c>
      <c r="AY127">
        <v>12.493499999999999</v>
      </c>
      <c r="AZ127">
        <v>5.1999999999999998E-3</v>
      </c>
      <c r="BA127" t="s">
        <v>23</v>
      </c>
      <c r="BB127">
        <v>-4.1181000000000001</v>
      </c>
      <c r="BC127">
        <v>-13.6417</v>
      </c>
      <c r="BD127">
        <v>68.7</v>
      </c>
      <c r="BE127">
        <v>60117.599499999997</v>
      </c>
      <c r="BH127" s="5">
        <v>84.870699999999999</v>
      </c>
      <c r="BI127">
        <v>18.992899999999999</v>
      </c>
      <c r="BJ127">
        <v>-0.66459999999999997</v>
      </c>
      <c r="BK127">
        <v>48.485399999999998</v>
      </c>
      <c r="BL127">
        <v>27.727499999999999</v>
      </c>
      <c r="BM127" t="s">
        <v>23</v>
      </c>
      <c r="BN127">
        <v>0.50629999999999997</v>
      </c>
      <c r="BO127">
        <v>-4.4798999999999998</v>
      </c>
      <c r="BP127">
        <v>38.524000000000001</v>
      </c>
      <c r="BQ127">
        <v>24019.025000000001</v>
      </c>
      <c r="CE127" s="1">
        <f t="shared" si="11"/>
        <v>44498</v>
      </c>
      <c r="CF127" s="35">
        <f t="shared" si="10"/>
        <v>8.1924175291236789</v>
      </c>
      <c r="CG127" s="36">
        <f t="shared" si="9"/>
        <v>1.58531606799203</v>
      </c>
      <c r="CH127">
        <f t="shared" ca="1" si="12"/>
        <v>0.54312952190149644</v>
      </c>
      <c r="CI127">
        <f t="shared" ca="1" si="13"/>
        <v>0.1650266917830564</v>
      </c>
      <c r="CJ127">
        <f t="shared" ca="1" si="14"/>
        <v>-0.68825738660257341</v>
      </c>
      <c r="CK127">
        <f t="shared" ca="1" si="15"/>
        <v>-0.91112668148439169</v>
      </c>
      <c r="CL127">
        <f t="shared" ca="1" si="16"/>
        <v>-0.94847905687323253</v>
      </c>
    </row>
    <row r="128" spans="1:90" x14ac:dyDescent="0.25">
      <c r="A128" s="43">
        <v>44505</v>
      </c>
      <c r="B128" s="5">
        <v>4.6210000000000004</v>
      </c>
      <c r="C128">
        <v>0.56799999999999995</v>
      </c>
      <c r="D128">
        <v>0.31230000000000002</v>
      </c>
      <c r="E128">
        <v>29.160599999999999</v>
      </c>
      <c r="F128">
        <v>0.8931</v>
      </c>
      <c r="G128">
        <v>44.554000000000002</v>
      </c>
      <c r="H128">
        <v>43.084200000000003</v>
      </c>
      <c r="I128">
        <v>22.970300000000002</v>
      </c>
      <c r="J128">
        <v>68.25</v>
      </c>
      <c r="K128">
        <v>125531.212</v>
      </c>
      <c r="M128" s="43">
        <v>44505</v>
      </c>
      <c r="N128" s="5">
        <v>4.3680000000000003</v>
      </c>
      <c r="O128">
        <v>17.0611</v>
      </c>
      <c r="P128">
        <v>0.89500000000000002</v>
      </c>
      <c r="Q128">
        <v>48.839599999999997</v>
      </c>
      <c r="R128">
        <v>0.97509999999999997</v>
      </c>
      <c r="S128">
        <v>195.11080000000001</v>
      </c>
      <c r="T128">
        <v>48.149500000000003</v>
      </c>
      <c r="U128">
        <v>35.4816</v>
      </c>
      <c r="V128">
        <v>219.78299999999999</v>
      </c>
      <c r="W128">
        <v>172495.19639999999</v>
      </c>
      <c r="Y128" s="5">
        <v>2.9024999999999999</v>
      </c>
      <c r="Z128">
        <v>-9.2973999999999997</v>
      </c>
      <c r="AA128">
        <v>-0.20250000000000001</v>
      </c>
      <c r="AB128">
        <v>8.0088000000000008</v>
      </c>
      <c r="AC128">
        <v>-9.1300000000000006E-2</v>
      </c>
      <c r="AD128">
        <v>0</v>
      </c>
      <c r="AE128">
        <v>49.559800000000003</v>
      </c>
      <c r="AF128">
        <v>-9.1937999999999995</v>
      </c>
      <c r="AG128">
        <v>76.957999999999998</v>
      </c>
      <c r="AH128">
        <v>43585.894699999997</v>
      </c>
      <c r="AK128">
        <v>2.8037999999999998</v>
      </c>
      <c r="AL128">
        <v>-1.6413</v>
      </c>
      <c r="AM128">
        <v>-3.09E-2</v>
      </c>
      <c r="AN128">
        <v>2.6173000000000002</v>
      </c>
      <c r="AO128">
        <v>-0.22639999999999999</v>
      </c>
      <c r="AP128" t="s">
        <v>23</v>
      </c>
      <c r="AQ128">
        <v>40.807499999999997</v>
      </c>
      <c r="AR128">
        <v>23.3721</v>
      </c>
      <c r="AS128">
        <v>47.927999999999997</v>
      </c>
      <c r="AT128">
        <v>29037.198799999998</v>
      </c>
      <c r="AV128">
        <v>2.1511</v>
      </c>
      <c r="AW128">
        <v>72.102000000000004</v>
      </c>
      <c r="AX128">
        <v>-1.2999000000000001</v>
      </c>
      <c r="AY128">
        <v>12.493499999999999</v>
      </c>
      <c r="AZ128">
        <v>5.1999999999999998E-3</v>
      </c>
      <c r="BA128" t="s">
        <v>23</v>
      </c>
      <c r="BB128">
        <v>-4.1181000000000001</v>
      </c>
      <c r="BC128">
        <v>-13.6417</v>
      </c>
      <c r="BD128">
        <v>70.5</v>
      </c>
      <c r="BE128">
        <v>61692.733099999998</v>
      </c>
      <c r="BH128" s="5">
        <v>84.126800000000003</v>
      </c>
      <c r="BI128">
        <v>18.992899999999999</v>
      </c>
      <c r="BJ128">
        <v>-0.66459999999999997</v>
      </c>
      <c r="BK128">
        <v>48.485399999999998</v>
      </c>
      <c r="BL128">
        <v>27.727499999999999</v>
      </c>
      <c r="BM128" t="s">
        <v>23</v>
      </c>
      <c r="BN128">
        <v>0.50629999999999997</v>
      </c>
      <c r="BO128">
        <v>-4.4798999999999998</v>
      </c>
      <c r="BP128">
        <v>38.021999999999998</v>
      </c>
      <c r="BQ128">
        <v>23705.980800000001</v>
      </c>
      <c r="CE128" s="1">
        <f t="shared" si="11"/>
        <v>44505</v>
      </c>
      <c r="CF128" s="35">
        <f t="shared" si="10"/>
        <v>8.0440548225608044</v>
      </c>
      <c r="CG128" s="36">
        <f t="shared" si="9"/>
        <v>1.5154504817602852</v>
      </c>
      <c r="CH128">
        <f t="shared" ca="1" si="12"/>
        <v>0.56849144731791823</v>
      </c>
      <c r="CI128">
        <f t="shared" ca="1" si="13"/>
        <v>0.16981922806602692</v>
      </c>
      <c r="CJ128">
        <f t="shared" ca="1" si="14"/>
        <v>-0.65707664200700244</v>
      </c>
      <c r="CK128">
        <f t="shared" ca="1" si="15"/>
        <v>-0.90206069992924776</v>
      </c>
      <c r="CL128">
        <f t="shared" ca="1" si="16"/>
        <v>-0.94725282428836766</v>
      </c>
    </row>
    <row r="129" spans="1:90" x14ac:dyDescent="0.25">
      <c r="A129" s="43">
        <v>44512</v>
      </c>
      <c r="B129" s="5">
        <v>4.5785999999999998</v>
      </c>
      <c r="C129">
        <v>0.56799999999999995</v>
      </c>
      <c r="D129">
        <v>0.31230000000000002</v>
      </c>
      <c r="E129">
        <v>29.160599999999999</v>
      </c>
      <c r="F129">
        <v>0.8931</v>
      </c>
      <c r="G129">
        <v>44.554000000000002</v>
      </c>
      <c r="H129">
        <v>43.084200000000003</v>
      </c>
      <c r="I129">
        <v>22.970300000000002</v>
      </c>
      <c r="J129">
        <v>67.472999999999999</v>
      </c>
      <c r="K129">
        <v>124101.30009999999</v>
      </c>
      <c r="M129" s="43">
        <v>44512</v>
      </c>
      <c r="N129" s="5">
        <v>4.4546000000000001</v>
      </c>
      <c r="O129">
        <v>17.0611</v>
      </c>
      <c r="P129">
        <v>0.89500000000000002</v>
      </c>
      <c r="Q129">
        <v>48.839599999999997</v>
      </c>
      <c r="R129">
        <v>0.97509999999999997</v>
      </c>
      <c r="S129">
        <v>195.11080000000001</v>
      </c>
      <c r="T129">
        <v>48.149500000000003</v>
      </c>
      <c r="U129">
        <v>35.4816</v>
      </c>
      <c r="V129">
        <v>225.39400000000001</v>
      </c>
      <c r="W129">
        <v>176898.8486</v>
      </c>
      <c r="Y129" s="5">
        <v>2.7275</v>
      </c>
      <c r="Z129">
        <v>-9.2973999999999997</v>
      </c>
      <c r="AA129">
        <v>-0.20250000000000001</v>
      </c>
      <c r="AB129">
        <v>8.0088000000000008</v>
      </c>
      <c r="AC129">
        <v>-9.1300000000000006E-2</v>
      </c>
      <c r="AD129">
        <v>0</v>
      </c>
      <c r="AE129">
        <v>49.559800000000003</v>
      </c>
      <c r="AF129">
        <v>-9.1937999999999995</v>
      </c>
      <c r="AG129">
        <v>72.457999999999998</v>
      </c>
      <c r="AH129">
        <v>41037.525900000001</v>
      </c>
      <c r="AK129">
        <v>2.6181000000000001</v>
      </c>
      <c r="AL129">
        <v>-1.6413</v>
      </c>
      <c r="AM129">
        <v>-3.09E-2</v>
      </c>
      <c r="AN129">
        <v>2.6173000000000002</v>
      </c>
      <c r="AO129">
        <v>-0.22639999999999999</v>
      </c>
      <c r="AP129" t="s">
        <v>23</v>
      </c>
      <c r="AQ129">
        <v>40.807499999999997</v>
      </c>
      <c r="AR129">
        <v>23.3721</v>
      </c>
      <c r="AS129">
        <v>44.991999999999997</v>
      </c>
      <c r="AT129">
        <v>27258.5036</v>
      </c>
      <c r="AV129">
        <v>2.1511</v>
      </c>
      <c r="AW129">
        <v>72.102000000000004</v>
      </c>
      <c r="AX129">
        <v>-1.2999000000000001</v>
      </c>
      <c r="AY129">
        <v>12.493499999999999</v>
      </c>
      <c r="AZ129">
        <v>5.1999999999999998E-3</v>
      </c>
      <c r="BA129" t="s">
        <v>23</v>
      </c>
      <c r="BB129">
        <v>-4.1181000000000001</v>
      </c>
      <c r="BC129">
        <v>-13.6417</v>
      </c>
      <c r="BD129">
        <v>67.5</v>
      </c>
      <c r="BE129">
        <v>59067.510499999997</v>
      </c>
      <c r="BH129" s="5">
        <v>81.286600000000007</v>
      </c>
      <c r="BI129">
        <v>18.992899999999999</v>
      </c>
      <c r="BJ129">
        <v>-0.66459999999999997</v>
      </c>
      <c r="BK129">
        <v>48.485399999999998</v>
      </c>
      <c r="BL129">
        <v>27.727499999999999</v>
      </c>
      <c r="BM129" t="s">
        <v>23</v>
      </c>
      <c r="BN129">
        <v>0.50629999999999997</v>
      </c>
      <c r="BO129">
        <v>-4.4798999999999998</v>
      </c>
      <c r="BP129">
        <v>36.104999999999997</v>
      </c>
      <c r="BQ129">
        <v>22510.721300000001</v>
      </c>
      <c r="CE129" s="1">
        <f t="shared" si="11"/>
        <v>44512</v>
      </c>
      <c r="CF129" s="35">
        <f t="shared" si="10"/>
        <v>7.7547077547380896</v>
      </c>
      <c r="CG129" s="36">
        <f t="shared" si="9"/>
        <v>1.3791938510597437</v>
      </c>
      <c r="CH129">
        <f t="shared" ca="1" si="12"/>
        <v>1.0624241685731206</v>
      </c>
      <c r="CI129">
        <f t="shared" ca="1" si="13"/>
        <v>0.17681847468739198</v>
      </c>
      <c r="CJ129">
        <f t="shared" ca="1" si="14"/>
        <v>-0.6243684016108153</v>
      </c>
      <c r="CK129">
        <f t="shared" ca="1" si="15"/>
        <v>-0.89573722908074793</v>
      </c>
      <c r="CL129">
        <f t="shared" ca="1" si="16"/>
        <v>-0.94725282428836766</v>
      </c>
    </row>
    <row r="130" spans="1:90" x14ac:dyDescent="0.25">
      <c r="A130" s="43">
        <v>44519</v>
      </c>
      <c r="B130" s="5">
        <v>3.9758</v>
      </c>
      <c r="C130">
        <v>0.56799999999999995</v>
      </c>
      <c r="D130">
        <v>0.31230000000000002</v>
      </c>
      <c r="E130">
        <v>29.160599999999999</v>
      </c>
      <c r="F130">
        <v>0.8931</v>
      </c>
      <c r="G130">
        <v>44.554000000000002</v>
      </c>
      <c r="H130">
        <v>43.084200000000003</v>
      </c>
      <c r="I130">
        <v>22.970300000000002</v>
      </c>
      <c r="J130">
        <v>56.424999999999997</v>
      </c>
      <c r="K130">
        <v>103781.4996</v>
      </c>
      <c r="M130" s="43">
        <v>44519</v>
      </c>
      <c r="N130" s="5">
        <v>4.0349000000000004</v>
      </c>
      <c r="O130">
        <v>17.0611</v>
      </c>
      <c r="P130">
        <v>0.89500000000000002</v>
      </c>
      <c r="Q130">
        <v>48.839599999999997</v>
      </c>
      <c r="R130">
        <v>0.97509999999999997</v>
      </c>
      <c r="S130">
        <v>195.11080000000001</v>
      </c>
      <c r="T130">
        <v>48.149500000000003</v>
      </c>
      <c r="U130">
        <v>35.4816</v>
      </c>
      <c r="V130">
        <v>198.203</v>
      </c>
      <c r="W130">
        <v>155558.07260000001</v>
      </c>
      <c r="Y130" s="5">
        <v>2.5312999999999999</v>
      </c>
      <c r="Z130">
        <v>-9.2973999999999997</v>
      </c>
      <c r="AA130">
        <v>-0.20250000000000001</v>
      </c>
      <c r="AB130">
        <v>8.0088000000000008</v>
      </c>
      <c r="AC130">
        <v>-9.1300000000000006E-2</v>
      </c>
      <c r="AD130">
        <v>0</v>
      </c>
      <c r="AE130">
        <v>49.559800000000003</v>
      </c>
      <c r="AF130">
        <v>-9.1937999999999995</v>
      </c>
      <c r="AG130">
        <v>67.415999999999997</v>
      </c>
      <c r="AH130">
        <v>38181.595300000001</v>
      </c>
      <c r="AK130">
        <v>2.3815</v>
      </c>
      <c r="AL130">
        <v>-1.6413</v>
      </c>
      <c r="AM130">
        <v>-3.09E-2</v>
      </c>
      <c r="AN130">
        <v>2.6173000000000002</v>
      </c>
      <c r="AO130">
        <v>-0.22639999999999999</v>
      </c>
      <c r="AP130" t="s">
        <v>23</v>
      </c>
      <c r="AQ130">
        <v>40.807499999999997</v>
      </c>
      <c r="AR130">
        <v>23.3721</v>
      </c>
      <c r="AS130">
        <v>41.249000000000002</v>
      </c>
      <c r="AT130">
        <v>24990.667300000001</v>
      </c>
      <c r="AV130">
        <v>2.1511</v>
      </c>
      <c r="AW130">
        <v>72.102000000000004</v>
      </c>
      <c r="AX130">
        <v>-1.2999000000000001</v>
      </c>
      <c r="AY130">
        <v>12.493499999999999</v>
      </c>
      <c r="AZ130">
        <v>5.1999999999999998E-3</v>
      </c>
      <c r="BA130" t="s">
        <v>23</v>
      </c>
      <c r="BB130">
        <v>-4.1181000000000001</v>
      </c>
      <c r="BC130">
        <v>-13.6417</v>
      </c>
      <c r="BD130">
        <v>58.6</v>
      </c>
      <c r="BE130">
        <v>51293.791799999999</v>
      </c>
      <c r="BH130" s="5">
        <v>76.079499999999996</v>
      </c>
      <c r="BI130">
        <v>18.992899999999999</v>
      </c>
      <c r="BJ130">
        <v>-0.66459999999999997</v>
      </c>
      <c r="BK130">
        <v>48.485399999999998</v>
      </c>
      <c r="BL130">
        <v>27.727499999999999</v>
      </c>
      <c r="BM130" t="s">
        <v>23</v>
      </c>
      <c r="BN130">
        <v>0.50629999999999997</v>
      </c>
      <c r="BO130">
        <v>-4.4798999999999998</v>
      </c>
      <c r="BP130">
        <v>32.590000000000003</v>
      </c>
      <c r="BQ130">
        <v>20319.412100000001</v>
      </c>
      <c r="CE130" s="1">
        <f t="shared" si="11"/>
        <v>44519</v>
      </c>
      <c r="CF130" s="35">
        <f t="shared" si="10"/>
        <v>7.2379793413114877</v>
      </c>
      <c r="CG130" s="36">
        <f t="shared" si="9"/>
        <v>1.1358609113809337</v>
      </c>
      <c r="CH130">
        <f t="shared" ca="1" si="12"/>
        <v>1.1250554653856553</v>
      </c>
      <c r="CI130">
        <f t="shared" ca="1" si="13"/>
        <v>0.19704990143855305</v>
      </c>
      <c r="CJ130">
        <f t="shared" ca="1" si="14"/>
        <v>-0.61921833960502526</v>
      </c>
      <c r="CK130">
        <f t="shared" ca="1" si="15"/>
        <v>-0.88296729467211132</v>
      </c>
      <c r="CL130">
        <f t="shared" ca="1" si="16"/>
        <v>-0.94701008783861107</v>
      </c>
    </row>
    <row r="131" spans="1:90" x14ac:dyDescent="0.25">
      <c r="A131" s="43">
        <v>44526</v>
      </c>
      <c r="B131" s="5">
        <v>3.8216999999999999</v>
      </c>
      <c r="C131">
        <v>0.56799999999999995</v>
      </c>
      <c r="D131">
        <v>0.31230000000000002</v>
      </c>
      <c r="E131">
        <v>29.160599999999999</v>
      </c>
      <c r="F131">
        <v>0.8931</v>
      </c>
      <c r="G131">
        <v>44.554000000000002</v>
      </c>
      <c r="H131">
        <v>43.084200000000003</v>
      </c>
      <c r="I131">
        <v>22.970300000000002</v>
      </c>
      <c r="J131">
        <v>53.601999999999997</v>
      </c>
      <c r="K131">
        <v>98588.661699999997</v>
      </c>
      <c r="M131" s="43">
        <v>44526</v>
      </c>
      <c r="N131" s="5">
        <v>3.7713000000000001</v>
      </c>
      <c r="O131">
        <v>17.0611</v>
      </c>
      <c r="P131">
        <v>0.89500000000000002</v>
      </c>
      <c r="Q131">
        <v>48.839599999999997</v>
      </c>
      <c r="R131">
        <v>0.97509999999999997</v>
      </c>
      <c r="S131">
        <v>195.11080000000001</v>
      </c>
      <c r="T131">
        <v>48.149500000000003</v>
      </c>
      <c r="U131">
        <v>35.4816</v>
      </c>
      <c r="V131">
        <v>181.131</v>
      </c>
      <c r="W131">
        <v>142158.9258</v>
      </c>
      <c r="Y131" s="5">
        <v>2.4165999999999999</v>
      </c>
      <c r="Z131">
        <v>-9.2973999999999997</v>
      </c>
      <c r="AA131">
        <v>-0.20250000000000001</v>
      </c>
      <c r="AB131">
        <v>8.0088000000000008</v>
      </c>
      <c r="AC131">
        <v>-9.1300000000000006E-2</v>
      </c>
      <c r="AD131">
        <v>0</v>
      </c>
      <c r="AE131">
        <v>49.559800000000003</v>
      </c>
      <c r="AF131">
        <v>-9.1937999999999995</v>
      </c>
      <c r="AG131">
        <v>64.468000000000004</v>
      </c>
      <c r="AH131">
        <v>36511.974300000002</v>
      </c>
      <c r="AK131">
        <v>2.3165</v>
      </c>
      <c r="AL131">
        <v>-1.6413</v>
      </c>
      <c r="AM131">
        <v>-3.09E-2</v>
      </c>
      <c r="AN131">
        <v>2.6173000000000002</v>
      </c>
      <c r="AO131">
        <v>-0.22639999999999999</v>
      </c>
      <c r="AP131" t="s">
        <v>23</v>
      </c>
      <c r="AQ131">
        <v>40.807499999999997</v>
      </c>
      <c r="AR131">
        <v>23.3721</v>
      </c>
      <c r="AS131">
        <v>40.222000000000001</v>
      </c>
      <c r="AT131">
        <v>24368.124</v>
      </c>
      <c r="AV131">
        <v>2.1511</v>
      </c>
      <c r="AW131">
        <v>72.102000000000004</v>
      </c>
      <c r="AX131">
        <v>-1.2999000000000001</v>
      </c>
      <c r="AY131">
        <v>12.493499999999999</v>
      </c>
      <c r="AZ131">
        <v>5.1999999999999998E-3</v>
      </c>
      <c r="BA131" t="s">
        <v>23</v>
      </c>
      <c r="BB131">
        <v>-4.1181000000000001</v>
      </c>
      <c r="BC131">
        <v>-13.6417</v>
      </c>
      <c r="BD131">
        <v>59.5</v>
      </c>
      <c r="BE131">
        <v>52081.580499999996</v>
      </c>
      <c r="BH131" s="5">
        <v>73.103999999999999</v>
      </c>
      <c r="BI131">
        <v>18.992899999999999</v>
      </c>
      <c r="BJ131">
        <v>-0.66459999999999997</v>
      </c>
      <c r="BK131">
        <v>48.485399999999998</v>
      </c>
      <c r="BL131">
        <v>27.727499999999999</v>
      </c>
      <c r="BM131" t="s">
        <v>23</v>
      </c>
      <c r="BN131">
        <v>0.50629999999999997</v>
      </c>
      <c r="BO131">
        <v>-4.4798999999999998</v>
      </c>
      <c r="BP131">
        <v>30.582000000000001</v>
      </c>
      <c r="BQ131">
        <v>19067.235499999999</v>
      </c>
      <c r="CE131" s="1">
        <f t="shared" si="11"/>
        <v>44526</v>
      </c>
      <c r="CF131" s="35">
        <f t="shared" si="10"/>
        <v>6.8767953480305977</v>
      </c>
      <c r="CG131" s="36">
        <f t="shared" si="9"/>
        <v>0.96577550371551124</v>
      </c>
      <c r="CH131">
        <f t="shared" ca="1" si="12"/>
        <v>1.1348680502251498</v>
      </c>
      <c r="CI131">
        <f t="shared" ca="1" si="13"/>
        <v>0.22083100445854181</v>
      </c>
      <c r="CJ131">
        <f t="shared" ca="1" si="14"/>
        <v>-0.60661052892342271</v>
      </c>
      <c r="CK131">
        <f t="shared" ca="1" si="15"/>
        <v>-0.87684490618180644</v>
      </c>
      <c r="CL131">
        <f t="shared" ca="1" si="16"/>
        <v>-0.94701008783861107</v>
      </c>
    </row>
    <row r="132" spans="1:90" x14ac:dyDescent="0.25">
      <c r="A132" s="43">
        <v>44533</v>
      </c>
      <c r="B132" s="5">
        <v>4.0785</v>
      </c>
      <c r="C132">
        <v>0.56799999999999995</v>
      </c>
      <c r="D132">
        <v>0.31230000000000002</v>
      </c>
      <c r="E132">
        <v>29.160599999999999</v>
      </c>
      <c r="F132">
        <v>0.8931</v>
      </c>
      <c r="G132">
        <v>44.554000000000002</v>
      </c>
      <c r="H132">
        <v>43.084200000000003</v>
      </c>
      <c r="I132">
        <v>22.970300000000002</v>
      </c>
      <c r="J132">
        <v>58.307000000000002</v>
      </c>
      <c r="K132">
        <v>107243.3916</v>
      </c>
      <c r="M132" s="43">
        <v>44533</v>
      </c>
      <c r="N132" s="5">
        <v>3.9542000000000002</v>
      </c>
      <c r="O132">
        <v>17.0611</v>
      </c>
      <c r="P132">
        <v>0.89500000000000002</v>
      </c>
      <c r="Q132">
        <v>48.839599999999997</v>
      </c>
      <c r="R132">
        <v>0.97509999999999997</v>
      </c>
      <c r="S132">
        <v>195.11080000000001</v>
      </c>
      <c r="T132">
        <v>48.149500000000003</v>
      </c>
      <c r="U132">
        <v>35.4816</v>
      </c>
      <c r="V132">
        <v>192.976</v>
      </c>
      <c r="W132">
        <v>151455.52489999999</v>
      </c>
      <c r="Y132" s="5">
        <v>2.8391999999999999</v>
      </c>
      <c r="Z132">
        <v>-9.2973999999999997</v>
      </c>
      <c r="AA132">
        <v>-0.20250000000000001</v>
      </c>
      <c r="AB132">
        <v>8.0088000000000008</v>
      </c>
      <c r="AC132">
        <v>-9.1300000000000006E-2</v>
      </c>
      <c r="AD132">
        <v>0</v>
      </c>
      <c r="AE132">
        <v>49.559800000000003</v>
      </c>
      <c r="AF132">
        <v>-9.1937999999999995</v>
      </c>
      <c r="AG132">
        <v>75.328999999999994</v>
      </c>
      <c r="AH132">
        <v>42663.209499999997</v>
      </c>
      <c r="AK132">
        <v>2.5392000000000001</v>
      </c>
      <c r="AL132">
        <v>-1.6413</v>
      </c>
      <c r="AM132">
        <v>-3.09E-2</v>
      </c>
      <c r="AN132">
        <v>2.6173000000000002</v>
      </c>
      <c r="AO132">
        <v>-0.22639999999999999</v>
      </c>
      <c r="AP132" t="s">
        <v>23</v>
      </c>
      <c r="AQ132">
        <v>40.807499999999997</v>
      </c>
      <c r="AR132">
        <v>23.3721</v>
      </c>
      <c r="AS132">
        <v>43.744999999999997</v>
      </c>
      <c r="AT132">
        <v>26502.558199999999</v>
      </c>
      <c r="AV132">
        <v>2.1511</v>
      </c>
      <c r="AW132">
        <v>72.102000000000004</v>
      </c>
      <c r="AX132">
        <v>-1.2999000000000001</v>
      </c>
      <c r="AY132">
        <v>12.493499999999999</v>
      </c>
      <c r="AZ132">
        <v>5.1999999999999998E-3</v>
      </c>
      <c r="BA132" t="s">
        <v>23</v>
      </c>
      <c r="BB132">
        <v>-4.1181000000000001</v>
      </c>
      <c r="BC132">
        <v>-13.6417</v>
      </c>
      <c r="BD132">
        <v>61.4</v>
      </c>
      <c r="BE132">
        <v>53744.6898</v>
      </c>
      <c r="BH132" s="5">
        <v>81.421800000000005</v>
      </c>
      <c r="BI132">
        <v>18.992899999999999</v>
      </c>
      <c r="BJ132">
        <v>-0.66459999999999997</v>
      </c>
      <c r="BK132">
        <v>48.485399999999998</v>
      </c>
      <c r="BL132">
        <v>27.727499999999999</v>
      </c>
      <c r="BM132" t="s">
        <v>23</v>
      </c>
      <c r="BN132">
        <v>0.50629999999999997</v>
      </c>
      <c r="BO132">
        <v>-4.4798999999999998</v>
      </c>
      <c r="BP132">
        <v>36.195999999999998</v>
      </c>
      <c r="BQ132">
        <v>22567.6384</v>
      </c>
      <c r="CE132" s="1">
        <f t="shared" si="11"/>
        <v>44533</v>
      </c>
      <c r="CF132" s="35">
        <f t="shared" si="10"/>
        <v>7.8624219943388365</v>
      </c>
      <c r="CG132" s="36">
        <f t="shared" si="9"/>
        <v>1.429917639197321</v>
      </c>
      <c r="CH132">
        <f t="shared" ca="1" si="12"/>
        <v>1.1348680502251498</v>
      </c>
      <c r="CI132">
        <f t="shared" ca="1" si="13"/>
        <v>0.31794693659993162</v>
      </c>
      <c r="CJ132">
        <f t="shared" ca="1" si="14"/>
        <v>-0.59513727753891998</v>
      </c>
      <c r="CK132">
        <f t="shared" ca="1" si="15"/>
        <v>-0.79880190890269054</v>
      </c>
      <c r="CL132">
        <f t="shared" ca="1" si="16"/>
        <v>-0.94701008783861107</v>
      </c>
    </row>
    <row r="133" spans="1:90" x14ac:dyDescent="0.25">
      <c r="A133" s="43">
        <v>44540</v>
      </c>
      <c r="B133" s="5">
        <v>4.0873999999999997</v>
      </c>
      <c r="C133">
        <v>0.56799999999999995</v>
      </c>
      <c r="D133">
        <v>0.31230000000000002</v>
      </c>
      <c r="E133">
        <v>29.160599999999999</v>
      </c>
      <c r="F133">
        <v>0.8931</v>
      </c>
      <c r="G133">
        <v>44.554000000000002</v>
      </c>
      <c r="H133">
        <v>43.084200000000003</v>
      </c>
      <c r="I133">
        <v>22.970300000000002</v>
      </c>
      <c r="J133">
        <v>58.470999999999997</v>
      </c>
      <c r="K133">
        <v>107544.42570000001</v>
      </c>
      <c r="M133" s="43">
        <v>44540</v>
      </c>
      <c r="N133" s="5">
        <v>3.9098000000000002</v>
      </c>
      <c r="O133">
        <v>17.0611</v>
      </c>
      <c r="P133">
        <v>0.89500000000000002</v>
      </c>
      <c r="Q133">
        <v>48.839599999999997</v>
      </c>
      <c r="R133">
        <v>0.97509999999999997</v>
      </c>
      <c r="S133">
        <v>195.11080000000001</v>
      </c>
      <c r="T133">
        <v>48.149500000000003</v>
      </c>
      <c r="U133">
        <v>35.4816</v>
      </c>
      <c r="V133">
        <v>190.09899999999999</v>
      </c>
      <c r="W133">
        <v>149197.24170000001</v>
      </c>
      <c r="Y133" s="5">
        <v>2.8149999999999999</v>
      </c>
      <c r="Z133">
        <v>-9.2973999999999997</v>
      </c>
      <c r="AA133">
        <v>-0.20250000000000001</v>
      </c>
      <c r="AB133">
        <v>8.0088000000000008</v>
      </c>
      <c r="AC133">
        <v>-9.1300000000000006E-2</v>
      </c>
      <c r="AD133">
        <v>0</v>
      </c>
      <c r="AE133">
        <v>49.559800000000003</v>
      </c>
      <c r="AF133">
        <v>-9.1937999999999995</v>
      </c>
      <c r="AG133">
        <v>74.707999999999998</v>
      </c>
      <c r="AH133">
        <v>42311.710299999999</v>
      </c>
      <c r="AK133">
        <v>2.5996000000000001</v>
      </c>
      <c r="AL133">
        <v>-1.6413</v>
      </c>
      <c r="AM133">
        <v>-3.09E-2</v>
      </c>
      <c r="AN133">
        <v>2.6173000000000002</v>
      </c>
      <c r="AO133">
        <v>-0.22639999999999999</v>
      </c>
      <c r="AP133" t="s">
        <v>23</v>
      </c>
      <c r="AQ133">
        <v>40.807499999999997</v>
      </c>
      <c r="AR133">
        <v>23.3721</v>
      </c>
      <c r="AS133">
        <v>44.698999999999998</v>
      </c>
      <c r="AT133">
        <v>27080.634099999999</v>
      </c>
      <c r="AV133">
        <v>2.1511</v>
      </c>
      <c r="AW133">
        <v>72.102000000000004</v>
      </c>
      <c r="AX133">
        <v>-1.2999000000000001</v>
      </c>
      <c r="AY133">
        <v>12.493499999999999</v>
      </c>
      <c r="AZ133">
        <v>5.1999999999999998E-3</v>
      </c>
      <c r="BA133" t="s">
        <v>23</v>
      </c>
      <c r="BB133">
        <v>-4.1181000000000001</v>
      </c>
      <c r="BC133">
        <v>-13.6417</v>
      </c>
      <c r="BD133">
        <v>58</v>
      </c>
      <c r="BE133">
        <v>50768.599399999999</v>
      </c>
      <c r="BH133" s="5">
        <v>79.663600000000002</v>
      </c>
      <c r="BI133">
        <v>18.992899999999999</v>
      </c>
      <c r="BJ133">
        <v>-0.66459999999999997</v>
      </c>
      <c r="BK133">
        <v>48.485399999999998</v>
      </c>
      <c r="BL133">
        <v>27.727499999999999</v>
      </c>
      <c r="BM133" t="s">
        <v>23</v>
      </c>
      <c r="BN133">
        <v>0.50629999999999997</v>
      </c>
      <c r="BO133">
        <v>-4.4798999999999998</v>
      </c>
      <c r="BP133">
        <v>35.009</v>
      </c>
      <c r="BQ133">
        <v>21827.715800000002</v>
      </c>
      <c r="CE133" s="1">
        <f t="shared" si="11"/>
        <v>44540</v>
      </c>
      <c r="CF133" s="35">
        <f t="shared" si="10"/>
        <v>7.6756075207690948</v>
      </c>
      <c r="CG133" s="36">
        <f t="shared" si="9"/>
        <v>1.3419447043884407</v>
      </c>
      <c r="CH133">
        <f t="shared" ca="1" si="12"/>
        <v>1.2594561521066789</v>
      </c>
      <c r="CI133">
        <f t="shared" ca="1" si="13"/>
        <v>0.40990433011518118</v>
      </c>
      <c r="CJ133">
        <f t="shared" ca="1" si="14"/>
        <v>-0.58770439662317531</v>
      </c>
      <c r="CK133">
        <f t="shared" ca="1" si="15"/>
        <v>-0.7573522562392544</v>
      </c>
      <c r="CL133">
        <f t="shared" ca="1" si="16"/>
        <v>-0.94701008783861107</v>
      </c>
    </row>
    <row r="134" spans="1:90" x14ac:dyDescent="0.25">
      <c r="A134" s="43">
        <v>44547</v>
      </c>
      <c r="B134" s="5">
        <v>3.7681</v>
      </c>
      <c r="C134">
        <v>0.56799999999999995</v>
      </c>
      <c r="D134">
        <v>0.31230000000000002</v>
      </c>
      <c r="E134">
        <v>29.160599999999999</v>
      </c>
      <c r="F134">
        <v>0.8931</v>
      </c>
      <c r="G134">
        <v>44.554000000000002</v>
      </c>
      <c r="H134">
        <v>43.084200000000003</v>
      </c>
      <c r="I134">
        <v>22.970300000000002</v>
      </c>
      <c r="J134">
        <v>52.62</v>
      </c>
      <c r="K134">
        <v>96782.457200000004</v>
      </c>
      <c r="M134" s="43">
        <v>44547</v>
      </c>
      <c r="N134" s="5">
        <v>3.7439</v>
      </c>
      <c r="O134">
        <v>17.0611</v>
      </c>
      <c r="P134">
        <v>0.89500000000000002</v>
      </c>
      <c r="Q134">
        <v>48.839599999999997</v>
      </c>
      <c r="R134">
        <v>0.97509999999999997</v>
      </c>
      <c r="S134">
        <v>195.11080000000001</v>
      </c>
      <c r="T134">
        <v>48.149500000000003</v>
      </c>
      <c r="U134">
        <v>35.4816</v>
      </c>
      <c r="V134">
        <v>179.35599999999999</v>
      </c>
      <c r="W134">
        <v>140766.31779999999</v>
      </c>
      <c r="Y134" s="5">
        <v>2.8875000000000002</v>
      </c>
      <c r="Z134">
        <v>-9.2973999999999997</v>
      </c>
      <c r="AA134">
        <v>-0.20250000000000001</v>
      </c>
      <c r="AB134">
        <v>8.0088000000000008</v>
      </c>
      <c r="AC134">
        <v>-9.1300000000000006E-2</v>
      </c>
      <c r="AD134">
        <v>0</v>
      </c>
      <c r="AE134">
        <v>49.559800000000003</v>
      </c>
      <c r="AF134">
        <v>-9.1937999999999995</v>
      </c>
      <c r="AG134">
        <v>76.569999999999993</v>
      </c>
      <c r="AH134">
        <v>43366.207799999996</v>
      </c>
      <c r="AK134">
        <v>2.4047000000000001</v>
      </c>
      <c r="AL134">
        <v>-1.6413</v>
      </c>
      <c r="AM134">
        <v>-3.09E-2</v>
      </c>
      <c r="AN134">
        <v>2.6173000000000002</v>
      </c>
      <c r="AO134">
        <v>-0.22639999999999999</v>
      </c>
      <c r="AP134" t="s">
        <v>23</v>
      </c>
      <c r="AQ134">
        <v>40.807499999999997</v>
      </c>
      <c r="AR134">
        <v>23.3721</v>
      </c>
      <c r="AS134">
        <v>41.616</v>
      </c>
      <c r="AT134">
        <v>25213.004199999999</v>
      </c>
      <c r="AV134">
        <v>2.1511</v>
      </c>
      <c r="AW134">
        <v>72.102000000000004</v>
      </c>
      <c r="AX134">
        <v>-1.2999000000000001</v>
      </c>
      <c r="AY134">
        <v>12.493499999999999</v>
      </c>
      <c r="AZ134">
        <v>5.1999999999999998E-3</v>
      </c>
      <c r="BA134" t="s">
        <v>23</v>
      </c>
      <c r="BB134">
        <v>-4.1181000000000001</v>
      </c>
      <c r="BC134">
        <v>-13.6417</v>
      </c>
      <c r="BD134">
        <v>54.25</v>
      </c>
      <c r="BE134">
        <v>47486.1469</v>
      </c>
      <c r="BH134" s="5">
        <v>77.229100000000003</v>
      </c>
      <c r="BI134">
        <v>18.992899999999999</v>
      </c>
      <c r="BJ134">
        <v>-0.66459999999999997</v>
      </c>
      <c r="BK134">
        <v>48.485399999999998</v>
      </c>
      <c r="BL134">
        <v>27.727499999999999</v>
      </c>
      <c r="BM134" t="s">
        <v>23</v>
      </c>
      <c r="BN134">
        <v>0.50629999999999997</v>
      </c>
      <c r="BO134">
        <v>-4.4798999999999998</v>
      </c>
      <c r="BP134">
        <v>33.366</v>
      </c>
      <c r="BQ134">
        <v>20803.207699999999</v>
      </c>
      <c r="CE134" s="1">
        <f t="shared" si="11"/>
        <v>44547</v>
      </c>
      <c r="CF134" s="35">
        <f t="shared" si="10"/>
        <v>7.4417255271427303</v>
      </c>
      <c r="CG134" s="36">
        <f t="shared" si="9"/>
        <v>1.2318071706893616</v>
      </c>
      <c r="CH134">
        <f t="shared" ca="1" si="12"/>
        <v>1.3350691296127728</v>
      </c>
      <c r="CI134">
        <f t="shared" ca="1" si="13"/>
        <v>0.45284341013544449</v>
      </c>
      <c r="CJ134">
        <f t="shared" ca="1" si="14"/>
        <v>-0.58007097417002917</v>
      </c>
      <c r="CK134">
        <f t="shared" ca="1" si="15"/>
        <v>-0.73799843290102463</v>
      </c>
      <c r="CL134">
        <f t="shared" ca="1" si="16"/>
        <v>-0.94701008783861107</v>
      </c>
    </row>
    <row r="135" spans="1:90" x14ac:dyDescent="0.25">
      <c r="A135" s="43">
        <v>44554</v>
      </c>
      <c r="B135" s="5">
        <v>3.8708</v>
      </c>
      <c r="C135">
        <v>0.56799999999999995</v>
      </c>
      <c r="D135">
        <v>0.31230000000000002</v>
      </c>
      <c r="E135">
        <v>29.160599999999999</v>
      </c>
      <c r="F135">
        <v>0.8931</v>
      </c>
      <c r="G135">
        <v>44.554000000000002</v>
      </c>
      <c r="H135">
        <v>43.084200000000003</v>
      </c>
      <c r="I135">
        <v>22.970300000000002</v>
      </c>
      <c r="J135">
        <v>54.502000000000002</v>
      </c>
      <c r="K135">
        <v>100244.3492</v>
      </c>
      <c r="M135" s="43">
        <v>44554</v>
      </c>
      <c r="N135" s="5">
        <v>3.7587000000000002</v>
      </c>
      <c r="O135">
        <v>17.0611</v>
      </c>
      <c r="P135">
        <v>0.89500000000000002</v>
      </c>
      <c r="Q135">
        <v>48.839599999999997</v>
      </c>
      <c r="R135">
        <v>0.97509999999999997</v>
      </c>
      <c r="S135">
        <v>195.11080000000001</v>
      </c>
      <c r="T135">
        <v>48.149500000000003</v>
      </c>
      <c r="U135">
        <v>35.4816</v>
      </c>
      <c r="V135">
        <v>180.316</v>
      </c>
      <c r="W135">
        <v>141519.07889999999</v>
      </c>
      <c r="Y135" s="5">
        <v>2.7153999999999998</v>
      </c>
      <c r="Z135">
        <v>-9.2973999999999997</v>
      </c>
      <c r="AA135">
        <v>-0.20250000000000001</v>
      </c>
      <c r="AB135">
        <v>8.0088000000000008</v>
      </c>
      <c r="AC135">
        <v>-9.1300000000000006E-2</v>
      </c>
      <c r="AD135">
        <v>0</v>
      </c>
      <c r="AE135">
        <v>49.559800000000003</v>
      </c>
      <c r="AF135">
        <v>-9.1937999999999995</v>
      </c>
      <c r="AG135">
        <v>72.147999999999996</v>
      </c>
      <c r="AH135">
        <v>40861.776299999998</v>
      </c>
      <c r="AK135">
        <v>2.3304</v>
      </c>
      <c r="AL135">
        <v>-1.6413</v>
      </c>
      <c r="AM135">
        <v>-3.09E-2</v>
      </c>
      <c r="AN135">
        <v>2.6173000000000002</v>
      </c>
      <c r="AO135">
        <v>-0.22639999999999999</v>
      </c>
      <c r="AP135" t="s">
        <v>23</v>
      </c>
      <c r="AQ135">
        <v>40.807499999999997</v>
      </c>
      <c r="AR135">
        <v>23.3721</v>
      </c>
      <c r="AS135">
        <v>40.442</v>
      </c>
      <c r="AT135">
        <v>24501.526099999999</v>
      </c>
      <c r="AV135">
        <v>2.1511</v>
      </c>
      <c r="AW135">
        <v>72.102000000000004</v>
      </c>
      <c r="AX135">
        <v>-1.2999000000000001</v>
      </c>
      <c r="AY135">
        <v>12.493499999999999</v>
      </c>
      <c r="AZ135">
        <v>5.1999999999999998E-3</v>
      </c>
      <c r="BA135" t="s">
        <v>23</v>
      </c>
      <c r="BB135">
        <v>-4.1181000000000001</v>
      </c>
      <c r="BC135">
        <v>-13.6417</v>
      </c>
      <c r="BD135">
        <v>52.25</v>
      </c>
      <c r="BE135">
        <v>45735.505499999999</v>
      </c>
      <c r="BH135" s="5">
        <v>76.552899999999994</v>
      </c>
      <c r="BI135">
        <v>18.992899999999999</v>
      </c>
      <c r="BJ135">
        <v>-0.66459999999999997</v>
      </c>
      <c r="BK135">
        <v>48.485399999999998</v>
      </c>
      <c r="BL135">
        <v>27.727499999999999</v>
      </c>
      <c r="BM135" t="s">
        <v>23</v>
      </c>
      <c r="BN135">
        <v>0.50629999999999997</v>
      </c>
      <c r="BO135">
        <v>-4.4798999999999998</v>
      </c>
      <c r="BP135">
        <v>32.909999999999997</v>
      </c>
      <c r="BQ135">
        <v>20518.621999999999</v>
      </c>
      <c r="CE135" s="1">
        <f t="shared" si="11"/>
        <v>44554</v>
      </c>
      <c r="CF135" s="35">
        <f t="shared" si="10"/>
        <v>7.3842823418604375</v>
      </c>
      <c r="CG135" s="36">
        <f t="shared" ref="CG135:CG198" si="17">+(CF135-$CG$1)/$CH$1</f>
        <v>1.2047565600086694</v>
      </c>
      <c r="CH135">
        <f t="shared" ca="1" si="12"/>
        <v>1.3350691296127728</v>
      </c>
      <c r="CI135">
        <f t="shared" ca="1" si="13"/>
        <v>0.56020629138006395</v>
      </c>
      <c r="CJ135">
        <f t="shared" ca="1" si="14"/>
        <v>-0.57120314823055085</v>
      </c>
      <c r="CK135">
        <f t="shared" ca="1" si="15"/>
        <v>-0.72986538448018545</v>
      </c>
      <c r="CL135">
        <f t="shared" ca="1" si="16"/>
        <v>-0.94282064083881778</v>
      </c>
    </row>
    <row r="136" spans="1:90" x14ac:dyDescent="0.25">
      <c r="A136" s="43">
        <v>44561</v>
      </c>
      <c r="B136" s="5">
        <v>3.3254000000000001</v>
      </c>
      <c r="C136">
        <v>0.1545</v>
      </c>
      <c r="D136">
        <v>8.6199999999999999E-2</v>
      </c>
      <c r="E136">
        <v>25.322800000000001</v>
      </c>
      <c r="F136">
        <v>0.63239999999999996</v>
      </c>
      <c r="G136">
        <v>44.554000000000002</v>
      </c>
      <c r="H136">
        <v>46.214700000000001</v>
      </c>
      <c r="I136">
        <v>25.591799999999999</v>
      </c>
      <c r="J136">
        <v>52.865000000000002</v>
      </c>
      <c r="K136">
        <v>97234.008400000006</v>
      </c>
      <c r="M136" s="43">
        <v>44561</v>
      </c>
      <c r="N136" s="5">
        <v>2.7027000000000001</v>
      </c>
      <c r="O136">
        <v>15.4411</v>
      </c>
      <c r="P136">
        <v>0.37090000000000001</v>
      </c>
      <c r="Q136">
        <v>30.362500000000001</v>
      </c>
      <c r="R136">
        <v>0.89900000000000002</v>
      </c>
      <c r="S136">
        <v>195.11080000000001</v>
      </c>
      <c r="T136">
        <v>48.524099999999997</v>
      </c>
      <c r="U136">
        <v>37.505400000000002</v>
      </c>
      <c r="V136">
        <v>173.69800000000001</v>
      </c>
      <c r="W136">
        <v>136325.0276</v>
      </c>
      <c r="Y136" s="5">
        <v>1.8759999999999999</v>
      </c>
      <c r="Z136">
        <v>-9.1103000000000005</v>
      </c>
      <c r="AA136">
        <v>1.5800000000000002E-2</v>
      </c>
      <c r="AB136">
        <v>7.8756000000000004</v>
      </c>
      <c r="AC136">
        <v>-0.95630000000000004</v>
      </c>
      <c r="AD136">
        <v>0</v>
      </c>
      <c r="AE136">
        <v>41.8476</v>
      </c>
      <c r="AF136">
        <v>-21.863600000000002</v>
      </c>
      <c r="AG136">
        <v>72.924000000000007</v>
      </c>
      <c r="AH136">
        <v>41301.150300000001</v>
      </c>
      <c r="AK136">
        <v>1.8354999999999999</v>
      </c>
      <c r="AL136">
        <v>-4.6600999999999999</v>
      </c>
      <c r="AM136">
        <v>0.26619999999999999</v>
      </c>
      <c r="AN136">
        <v>2.1838000000000002</v>
      </c>
      <c r="AO136">
        <v>-0.62060000000000004</v>
      </c>
      <c r="AP136" t="s">
        <v>23</v>
      </c>
      <c r="AQ136">
        <v>32.682600000000001</v>
      </c>
      <c r="AR136">
        <v>14.387499999999999</v>
      </c>
      <c r="AS136">
        <v>39.707999999999998</v>
      </c>
      <c r="AT136">
        <v>24056.852299999999</v>
      </c>
      <c r="AV136">
        <v>3.0752999999999999</v>
      </c>
      <c r="AW136">
        <v>48.420099999999998</v>
      </c>
      <c r="AX136">
        <v>-0.11609999999999999</v>
      </c>
      <c r="AY136">
        <v>12.381399999999999</v>
      </c>
      <c r="AZ136">
        <v>-1.5127999999999999</v>
      </c>
      <c r="BA136" t="s">
        <v>23</v>
      </c>
      <c r="BB136">
        <v>5.4861000000000004</v>
      </c>
      <c r="BC136">
        <v>-3.8994</v>
      </c>
      <c r="BD136">
        <v>57.05</v>
      </c>
      <c r="BE136">
        <v>49937.044800000003</v>
      </c>
      <c r="BH136" s="5">
        <v>77.837699999999998</v>
      </c>
      <c r="BI136">
        <v>18.992899999999999</v>
      </c>
      <c r="BJ136">
        <v>-0.66459999999999997</v>
      </c>
      <c r="BK136">
        <v>48.485399999999998</v>
      </c>
      <c r="BL136">
        <v>27.727499999999999</v>
      </c>
      <c r="BM136">
        <v>0</v>
      </c>
      <c r="BN136">
        <v>7.5393999999999997</v>
      </c>
      <c r="BO136">
        <v>1.9821</v>
      </c>
      <c r="BP136">
        <v>35.238</v>
      </c>
      <c r="BQ136">
        <v>21970.008600000001</v>
      </c>
      <c r="CE136" s="1">
        <f t="shared" si="11"/>
        <v>44561</v>
      </c>
      <c r="CF136" s="35">
        <f t="shared" ref="CF136:CF199" si="18">+(BH136*BQ136+AV136*BE136+AK136*AT136+Y136*AH136+N136*W136+B136*K136)/(K136+W136+AH136+AT136+BE136+BQ136)</f>
        <v>7.2193024240317962</v>
      </c>
      <c r="CG136" s="36">
        <f t="shared" si="17"/>
        <v>1.1270657511619169</v>
      </c>
      <c r="CH136">
        <f t="shared" ca="1" si="12"/>
        <v>1.3350691296127728</v>
      </c>
      <c r="CI136">
        <f t="shared" ca="1" si="13"/>
        <v>0.66876844094860743</v>
      </c>
      <c r="CJ136">
        <f t="shared" ca="1" si="14"/>
        <v>-0.22092823954412932</v>
      </c>
      <c r="CK136">
        <f t="shared" ca="1" si="15"/>
        <v>-0.71524240193228827</v>
      </c>
      <c r="CL136">
        <f t="shared" ca="1" si="16"/>
        <v>-0.93641233893831199</v>
      </c>
    </row>
    <row r="137" spans="1:90" x14ac:dyDescent="0.25">
      <c r="A137" s="43">
        <v>44568</v>
      </c>
      <c r="B137" s="5">
        <v>3.3628999999999998</v>
      </c>
      <c r="C137">
        <v>0.1545</v>
      </c>
      <c r="D137">
        <v>8.6199999999999999E-2</v>
      </c>
      <c r="E137">
        <v>25.322800000000001</v>
      </c>
      <c r="F137">
        <v>0.63239999999999996</v>
      </c>
      <c r="G137">
        <v>44.554000000000002</v>
      </c>
      <c r="H137">
        <v>46.214700000000001</v>
      </c>
      <c r="I137">
        <v>25.591799999999999</v>
      </c>
      <c r="J137">
        <v>53.601999999999997</v>
      </c>
      <c r="K137">
        <v>98588.661699999997</v>
      </c>
      <c r="M137" s="43">
        <v>44568</v>
      </c>
      <c r="N137" s="5">
        <v>2.7450000000000001</v>
      </c>
      <c r="O137">
        <v>15.4411</v>
      </c>
      <c r="P137">
        <v>0.37090000000000001</v>
      </c>
      <c r="Q137">
        <v>30.362500000000001</v>
      </c>
      <c r="R137">
        <v>0.89900000000000002</v>
      </c>
      <c r="S137">
        <v>195.11080000000001</v>
      </c>
      <c r="T137">
        <v>48.524099999999997</v>
      </c>
      <c r="U137">
        <v>37.505400000000002</v>
      </c>
      <c r="V137">
        <v>177.774</v>
      </c>
      <c r="W137">
        <v>139524.26209999999</v>
      </c>
      <c r="Y137" s="5">
        <v>1.8037000000000001</v>
      </c>
      <c r="Z137">
        <v>-9.1103000000000005</v>
      </c>
      <c r="AA137">
        <v>1.5800000000000002E-2</v>
      </c>
      <c r="AB137">
        <v>7.8756000000000004</v>
      </c>
      <c r="AC137">
        <v>-0.95630000000000004</v>
      </c>
      <c r="AD137">
        <v>0</v>
      </c>
      <c r="AE137">
        <v>41.8476</v>
      </c>
      <c r="AF137">
        <v>-21.863600000000002</v>
      </c>
      <c r="AG137">
        <v>71.061999999999998</v>
      </c>
      <c r="AH137">
        <v>40246.652800000003</v>
      </c>
      <c r="AK137">
        <v>1.7809999999999999</v>
      </c>
      <c r="AL137">
        <v>-4.6600999999999999</v>
      </c>
      <c r="AM137">
        <v>0.26619999999999999</v>
      </c>
      <c r="AN137">
        <v>2.1838000000000002</v>
      </c>
      <c r="AO137">
        <v>-0.62060000000000004</v>
      </c>
      <c r="AP137" t="s">
        <v>23</v>
      </c>
      <c r="AQ137">
        <v>32.682600000000001</v>
      </c>
      <c r="AR137">
        <v>14.387499999999999</v>
      </c>
      <c r="AS137">
        <v>38.826999999999998</v>
      </c>
      <c r="AT137">
        <v>23523.2438</v>
      </c>
      <c r="AV137">
        <v>2.8944000000000001</v>
      </c>
      <c r="AW137">
        <v>48.420099999999998</v>
      </c>
      <c r="AX137">
        <v>-0.11609999999999999</v>
      </c>
      <c r="AY137">
        <v>12.381399999999999</v>
      </c>
      <c r="AZ137">
        <v>-1.5127999999999999</v>
      </c>
      <c r="BA137" t="s">
        <v>23</v>
      </c>
      <c r="BB137">
        <v>5.4861000000000004</v>
      </c>
      <c r="BC137">
        <v>-3.8994</v>
      </c>
      <c r="BD137">
        <v>54.8</v>
      </c>
      <c r="BE137">
        <v>47967.573299999996</v>
      </c>
      <c r="BH137" s="5">
        <v>77.837699999999998</v>
      </c>
      <c r="BI137">
        <v>18.992899999999999</v>
      </c>
      <c r="BJ137">
        <v>-0.66459999999999997</v>
      </c>
      <c r="BK137">
        <v>48.485399999999998</v>
      </c>
      <c r="BL137">
        <v>27.727499999999999</v>
      </c>
      <c r="BM137">
        <v>0</v>
      </c>
      <c r="BN137">
        <v>7.5393999999999997</v>
      </c>
      <c r="BO137">
        <v>1.9821</v>
      </c>
      <c r="BP137">
        <v>34.142000000000003</v>
      </c>
      <c r="BQ137">
        <v>21287.003199999999</v>
      </c>
      <c r="CE137" s="1">
        <f t="shared" si="11"/>
        <v>44568</v>
      </c>
      <c r="CF137" s="35">
        <f t="shared" si="18"/>
        <v>7.0722983720392367</v>
      </c>
      <c r="CG137" s="36">
        <f t="shared" si="17"/>
        <v>1.0578399699070467</v>
      </c>
      <c r="CH137">
        <f t="shared" ca="1" si="12"/>
        <v>1.3350691296127728</v>
      </c>
      <c r="CI137">
        <f t="shared" ca="1" si="13"/>
        <v>1.0036226166488067</v>
      </c>
      <c r="CJ137">
        <f t="shared" ca="1" si="14"/>
        <v>0.12750599381241384</v>
      </c>
      <c r="CK137">
        <f t="shared" ca="1" si="15"/>
        <v>-0.71524240193228827</v>
      </c>
      <c r="CL137">
        <f t="shared" ca="1" si="16"/>
        <v>-0.93641233893831199</v>
      </c>
    </row>
    <row r="138" spans="1:90" x14ac:dyDescent="0.25">
      <c r="A138" s="43">
        <v>44575</v>
      </c>
      <c r="B138" s="5">
        <v>3.5834000000000001</v>
      </c>
      <c r="C138">
        <v>0.1545</v>
      </c>
      <c r="D138">
        <v>8.6199999999999999E-2</v>
      </c>
      <c r="E138">
        <v>25.322800000000001</v>
      </c>
      <c r="F138">
        <v>0.63239999999999996</v>
      </c>
      <c r="G138">
        <v>44.554000000000002</v>
      </c>
      <c r="H138">
        <v>46.214700000000001</v>
      </c>
      <c r="I138">
        <v>25.591799999999999</v>
      </c>
      <c r="J138">
        <v>57.939</v>
      </c>
      <c r="K138">
        <v>106566.0649</v>
      </c>
      <c r="M138" s="43">
        <v>44575</v>
      </c>
      <c r="N138" s="5">
        <v>2.871</v>
      </c>
      <c r="O138">
        <v>15.4411</v>
      </c>
      <c r="P138">
        <v>0.37090000000000001</v>
      </c>
      <c r="Q138">
        <v>30.362500000000001</v>
      </c>
      <c r="R138">
        <v>0.89900000000000002</v>
      </c>
      <c r="S138">
        <v>195.11080000000001</v>
      </c>
      <c r="T138">
        <v>48.524099999999997</v>
      </c>
      <c r="U138">
        <v>37.505400000000002</v>
      </c>
      <c r="V138">
        <v>189.90700000000001</v>
      </c>
      <c r="W138">
        <v>149046.68950000001</v>
      </c>
      <c r="Y138" s="5">
        <v>1.7193000000000001</v>
      </c>
      <c r="Z138">
        <v>-9.1103000000000005</v>
      </c>
      <c r="AA138">
        <v>1.5800000000000002E-2</v>
      </c>
      <c r="AB138">
        <v>7.8756000000000004</v>
      </c>
      <c r="AC138">
        <v>-0.95630000000000004</v>
      </c>
      <c r="AD138">
        <v>0</v>
      </c>
      <c r="AE138">
        <v>41.8476</v>
      </c>
      <c r="AF138">
        <v>-21.863600000000002</v>
      </c>
      <c r="AG138">
        <v>68.89</v>
      </c>
      <c r="AH138">
        <v>39016.4058</v>
      </c>
      <c r="AK138">
        <v>1.7765</v>
      </c>
      <c r="AL138">
        <v>-4.6600999999999999</v>
      </c>
      <c r="AM138">
        <v>0.26619999999999999</v>
      </c>
      <c r="AN138">
        <v>2.1838000000000002</v>
      </c>
      <c r="AO138">
        <v>-0.62060000000000004</v>
      </c>
      <c r="AP138" t="s">
        <v>23</v>
      </c>
      <c r="AQ138">
        <v>32.682600000000001</v>
      </c>
      <c r="AR138">
        <v>14.387499999999999</v>
      </c>
      <c r="AS138">
        <v>38.753999999999998</v>
      </c>
      <c r="AT138">
        <v>23478.776399999999</v>
      </c>
      <c r="AV138">
        <v>2.7174999999999998</v>
      </c>
      <c r="AW138">
        <v>48.420099999999998</v>
      </c>
      <c r="AX138">
        <v>-0.11609999999999999</v>
      </c>
      <c r="AY138">
        <v>12.381399999999999</v>
      </c>
      <c r="AZ138">
        <v>-1.5127999999999999</v>
      </c>
      <c r="BA138" t="s">
        <v>23</v>
      </c>
      <c r="BB138">
        <v>5.4861000000000004</v>
      </c>
      <c r="BC138">
        <v>-3.8994</v>
      </c>
      <c r="BD138">
        <v>52.6</v>
      </c>
      <c r="BE138">
        <v>46041.8678</v>
      </c>
      <c r="BH138" s="5">
        <v>77.837699999999998</v>
      </c>
      <c r="BI138">
        <v>18.992899999999999</v>
      </c>
      <c r="BJ138">
        <v>-0.66459999999999997</v>
      </c>
      <c r="BK138">
        <v>48.485399999999998</v>
      </c>
      <c r="BL138">
        <v>27.727499999999999</v>
      </c>
      <c r="BM138">
        <v>0</v>
      </c>
      <c r="BN138">
        <v>7.5393999999999997</v>
      </c>
      <c r="BO138">
        <v>1.9821</v>
      </c>
      <c r="BP138">
        <v>32.773000000000003</v>
      </c>
      <c r="BQ138">
        <v>20433.2464</v>
      </c>
      <c r="CE138" s="1">
        <f t="shared" si="11"/>
        <v>44575</v>
      </c>
      <c r="CF138" s="35">
        <f t="shared" si="18"/>
        <v>6.849413953266918</v>
      </c>
      <c r="CG138" s="36">
        <f t="shared" si="17"/>
        <v>0.95288131189786207</v>
      </c>
      <c r="CH138">
        <f t="shared" ca="1" si="12"/>
        <v>1.3350691296127728</v>
      </c>
      <c r="CI138">
        <f t="shared" ca="1" si="13"/>
        <v>1.0726709662924583</v>
      </c>
      <c r="CJ138">
        <f t="shared" ca="1" si="14"/>
        <v>0.14607685520119712</v>
      </c>
      <c r="CK138">
        <f t="shared" ca="1" si="15"/>
        <v>-0.71524240193228827</v>
      </c>
      <c r="CL138">
        <f t="shared" ca="1" si="16"/>
        <v>-0.93641233893831199</v>
      </c>
    </row>
    <row r="139" spans="1:90" x14ac:dyDescent="0.25">
      <c r="A139" s="43">
        <v>44582</v>
      </c>
      <c r="B139" s="5">
        <v>3.3712</v>
      </c>
      <c r="C139">
        <v>0.1545</v>
      </c>
      <c r="D139">
        <v>8.6199999999999999E-2</v>
      </c>
      <c r="E139">
        <v>25.322800000000001</v>
      </c>
      <c r="F139">
        <v>0.63239999999999996</v>
      </c>
      <c r="G139">
        <v>44.554000000000002</v>
      </c>
      <c r="H139">
        <v>46.214700000000001</v>
      </c>
      <c r="I139">
        <v>25.591799999999999</v>
      </c>
      <c r="J139">
        <v>53.765999999999998</v>
      </c>
      <c r="K139">
        <v>98889.695800000001</v>
      </c>
      <c r="M139" s="43">
        <v>44582</v>
      </c>
      <c r="N139" s="5">
        <v>2.8504999999999998</v>
      </c>
      <c r="O139">
        <v>15.4411</v>
      </c>
      <c r="P139">
        <v>0.37090000000000001</v>
      </c>
      <c r="Q139">
        <v>30.362500000000001</v>
      </c>
      <c r="R139">
        <v>0.89900000000000002</v>
      </c>
      <c r="S139">
        <v>195.11080000000001</v>
      </c>
      <c r="T139">
        <v>48.524099999999997</v>
      </c>
      <c r="U139">
        <v>37.505400000000002</v>
      </c>
      <c r="V139">
        <v>187.941</v>
      </c>
      <c r="W139">
        <v>147503.52929999999</v>
      </c>
      <c r="Y139" s="5">
        <v>1.5355000000000001</v>
      </c>
      <c r="Z139">
        <v>-9.1103000000000005</v>
      </c>
      <c r="AA139">
        <v>1.5800000000000002E-2</v>
      </c>
      <c r="AB139">
        <v>7.8756000000000004</v>
      </c>
      <c r="AC139">
        <v>-0.95630000000000004</v>
      </c>
      <c r="AD139">
        <v>0</v>
      </c>
      <c r="AE139">
        <v>41.8476</v>
      </c>
      <c r="AF139">
        <v>-21.863600000000002</v>
      </c>
      <c r="AG139">
        <v>64.156999999999996</v>
      </c>
      <c r="AH139">
        <v>36336.224800000004</v>
      </c>
      <c r="AK139">
        <v>1.6108</v>
      </c>
      <c r="AL139">
        <v>-4.6600999999999999</v>
      </c>
      <c r="AM139">
        <v>0.26619999999999999</v>
      </c>
      <c r="AN139">
        <v>2.1838000000000002</v>
      </c>
      <c r="AO139">
        <v>-0.62060000000000004</v>
      </c>
      <c r="AP139" t="s">
        <v>23</v>
      </c>
      <c r="AQ139">
        <v>32.682600000000001</v>
      </c>
      <c r="AR139">
        <v>14.387499999999999</v>
      </c>
      <c r="AS139">
        <v>36.075000000000003</v>
      </c>
      <c r="AT139">
        <v>21855.717000000001</v>
      </c>
      <c r="AV139">
        <v>2.7738</v>
      </c>
      <c r="AW139">
        <v>48.420099999999998</v>
      </c>
      <c r="AX139">
        <v>-0.11609999999999999</v>
      </c>
      <c r="AY139">
        <v>12.381399999999999</v>
      </c>
      <c r="AZ139">
        <v>-1.5127999999999999</v>
      </c>
      <c r="BA139" t="s">
        <v>23</v>
      </c>
      <c r="BB139">
        <v>5.4861000000000004</v>
      </c>
      <c r="BC139">
        <v>-3.8994</v>
      </c>
      <c r="BD139">
        <v>53.3</v>
      </c>
      <c r="BE139">
        <v>46654.592199999999</v>
      </c>
      <c r="BH139" s="5">
        <v>77.837699999999998</v>
      </c>
      <c r="BI139">
        <v>18.992899999999999</v>
      </c>
      <c r="BJ139">
        <v>-0.66459999999999997</v>
      </c>
      <c r="BK139">
        <v>48.485399999999998</v>
      </c>
      <c r="BL139">
        <v>27.727499999999999</v>
      </c>
      <c r="BM139">
        <v>0</v>
      </c>
      <c r="BN139">
        <v>7.5393999999999997</v>
      </c>
      <c r="BO139">
        <v>1.9821</v>
      </c>
      <c r="BP139">
        <v>31.951000000000001</v>
      </c>
      <c r="BQ139">
        <v>19920.992300000002</v>
      </c>
      <c r="CE139" s="1">
        <f t="shared" si="11"/>
        <v>44582</v>
      </c>
      <c r="CF139" s="35">
        <f t="shared" si="18"/>
        <v>6.8025779545522287</v>
      </c>
      <c r="CG139" s="36">
        <f t="shared" si="17"/>
        <v>0.93082573888521769</v>
      </c>
      <c r="CH139">
        <f t="shared" ca="1" si="12"/>
        <v>1.3350691296127728</v>
      </c>
      <c r="CI139">
        <f t="shared" ca="1" si="13"/>
        <v>1.0726709662924583</v>
      </c>
      <c r="CJ139">
        <f t="shared" ca="1" si="14"/>
        <v>0.16146804456442099</v>
      </c>
      <c r="CK139">
        <f t="shared" ca="1" si="15"/>
        <v>-0.71524240193228827</v>
      </c>
      <c r="CL139">
        <f t="shared" ca="1" si="16"/>
        <v>-0.93641233893831199</v>
      </c>
    </row>
    <row r="140" spans="1:90" x14ac:dyDescent="0.25">
      <c r="A140" s="43">
        <v>44589</v>
      </c>
      <c r="B140" s="5">
        <v>3.4689999999999999</v>
      </c>
      <c r="C140">
        <v>0.1545</v>
      </c>
      <c r="D140">
        <v>8.6199999999999999E-2</v>
      </c>
      <c r="E140">
        <v>25.322800000000001</v>
      </c>
      <c r="F140">
        <v>0.63239999999999996</v>
      </c>
      <c r="G140">
        <v>44.554000000000002</v>
      </c>
      <c r="H140">
        <v>46.214700000000001</v>
      </c>
      <c r="I140">
        <v>25.591799999999999</v>
      </c>
      <c r="J140">
        <v>55.689</v>
      </c>
      <c r="K140">
        <v>102426.8463</v>
      </c>
      <c r="M140" s="43">
        <v>44589</v>
      </c>
      <c r="N140" s="5">
        <v>3.0019</v>
      </c>
      <c r="O140">
        <v>15.4411</v>
      </c>
      <c r="P140">
        <v>0.37090000000000001</v>
      </c>
      <c r="Q140">
        <v>30.362500000000001</v>
      </c>
      <c r="R140">
        <v>0.89900000000000002</v>
      </c>
      <c r="S140">
        <v>195.11080000000001</v>
      </c>
      <c r="T140">
        <v>48.524099999999997</v>
      </c>
      <c r="U140">
        <v>37.505400000000002</v>
      </c>
      <c r="V140">
        <v>202.51900000000001</v>
      </c>
      <c r="W140">
        <v>158945.49739999999</v>
      </c>
      <c r="Y140" s="5">
        <v>1.6169</v>
      </c>
      <c r="Z140">
        <v>-9.1103000000000005</v>
      </c>
      <c r="AA140">
        <v>1.5800000000000002E-2</v>
      </c>
      <c r="AB140">
        <v>7.8756000000000004</v>
      </c>
      <c r="AC140">
        <v>-0.95630000000000004</v>
      </c>
      <c r="AD140">
        <v>0</v>
      </c>
      <c r="AE140">
        <v>41.8476</v>
      </c>
      <c r="AF140">
        <v>-21.863600000000002</v>
      </c>
      <c r="AG140">
        <v>66.251999999999995</v>
      </c>
      <c r="AH140">
        <v>37522.534399999997</v>
      </c>
      <c r="AK140">
        <v>1.6948000000000001</v>
      </c>
      <c r="AL140">
        <v>-4.6600999999999999</v>
      </c>
      <c r="AM140">
        <v>0.26619999999999999</v>
      </c>
      <c r="AN140">
        <v>2.1838000000000002</v>
      </c>
      <c r="AO140">
        <v>-0.62060000000000004</v>
      </c>
      <c r="AP140" t="s">
        <v>23</v>
      </c>
      <c r="AQ140">
        <v>32.682600000000001</v>
      </c>
      <c r="AR140">
        <v>14.387499999999999</v>
      </c>
      <c r="AS140">
        <v>37.432000000000002</v>
      </c>
      <c r="AT140">
        <v>22678.363499999999</v>
      </c>
      <c r="AV140">
        <v>2.8944000000000001</v>
      </c>
      <c r="AW140">
        <v>48.420099999999998</v>
      </c>
      <c r="AX140">
        <v>-0.11609999999999999</v>
      </c>
      <c r="AY140">
        <v>12.381399999999999</v>
      </c>
      <c r="AZ140">
        <v>-1.5127999999999999</v>
      </c>
      <c r="BA140" t="s">
        <v>23</v>
      </c>
      <c r="BB140">
        <v>5.4861000000000004</v>
      </c>
      <c r="BC140">
        <v>-3.8994</v>
      </c>
      <c r="BD140">
        <v>54.8</v>
      </c>
      <c r="BE140">
        <v>47967.573299999996</v>
      </c>
      <c r="BH140" s="5">
        <v>77.837699999999998</v>
      </c>
      <c r="BI140">
        <v>18.992899999999999</v>
      </c>
      <c r="BJ140">
        <v>-0.66459999999999997</v>
      </c>
      <c r="BK140">
        <v>48.485399999999998</v>
      </c>
      <c r="BL140">
        <v>27.727499999999999</v>
      </c>
      <c r="BM140">
        <v>0</v>
      </c>
      <c r="BN140">
        <v>7.5393999999999997</v>
      </c>
      <c r="BO140">
        <v>1.9821</v>
      </c>
      <c r="BP140">
        <v>34.69</v>
      </c>
      <c r="BQ140">
        <v>21628.5059</v>
      </c>
      <c r="CE140" s="1">
        <f t="shared" si="11"/>
        <v>44589</v>
      </c>
      <c r="CF140" s="35">
        <f t="shared" si="18"/>
        <v>7.0402075168131892</v>
      </c>
      <c r="CG140" s="36">
        <f t="shared" si="17"/>
        <v>1.0427280427591303</v>
      </c>
      <c r="CH140">
        <f t="shared" ca="1" si="12"/>
        <v>1.3350691296127728</v>
      </c>
      <c r="CI140">
        <f t="shared" ca="1" si="13"/>
        <v>1.0726709662924583</v>
      </c>
      <c r="CJ140">
        <f t="shared" ca="1" si="14"/>
        <v>0.16657949592925797</v>
      </c>
      <c r="CK140">
        <f t="shared" ca="1" si="15"/>
        <v>-0.71524240193228827</v>
      </c>
      <c r="CL140">
        <f t="shared" ca="1" si="16"/>
        <v>-0.93641233893831199</v>
      </c>
    </row>
    <row r="141" spans="1:90" x14ac:dyDescent="0.25">
      <c r="A141" s="43">
        <v>44596</v>
      </c>
      <c r="B141" s="5">
        <v>3.6833</v>
      </c>
      <c r="C141">
        <v>0.1545</v>
      </c>
      <c r="D141">
        <v>8.6199999999999999E-2</v>
      </c>
      <c r="E141">
        <v>25.322800000000001</v>
      </c>
      <c r="F141">
        <v>0.63239999999999996</v>
      </c>
      <c r="G141">
        <v>44.554000000000002</v>
      </c>
      <c r="H141">
        <v>46.214700000000001</v>
      </c>
      <c r="I141">
        <v>25.591799999999999</v>
      </c>
      <c r="J141">
        <v>59.902999999999999</v>
      </c>
      <c r="K141">
        <v>110178.4739</v>
      </c>
      <c r="M141" s="43">
        <v>44596</v>
      </c>
      <c r="N141" s="5">
        <v>2.9984000000000002</v>
      </c>
      <c r="O141">
        <v>15.4411</v>
      </c>
      <c r="P141">
        <v>0.37090000000000001</v>
      </c>
      <c r="Q141">
        <v>30.362500000000001</v>
      </c>
      <c r="R141">
        <v>0.89900000000000002</v>
      </c>
      <c r="S141">
        <v>195.11080000000001</v>
      </c>
      <c r="T141">
        <v>48.524099999999997</v>
      </c>
      <c r="U141">
        <v>37.505400000000002</v>
      </c>
      <c r="V141">
        <v>202.184</v>
      </c>
      <c r="W141">
        <v>158682.03099999999</v>
      </c>
      <c r="Y141" s="5">
        <v>1.9152</v>
      </c>
      <c r="Z141">
        <v>-9.1103000000000005</v>
      </c>
      <c r="AA141">
        <v>1.5800000000000002E-2</v>
      </c>
      <c r="AB141">
        <v>7.8756000000000004</v>
      </c>
      <c r="AC141">
        <v>-0.95630000000000004</v>
      </c>
      <c r="AD141">
        <v>0</v>
      </c>
      <c r="AE141">
        <v>41.8476</v>
      </c>
      <c r="AF141">
        <v>-21.863600000000002</v>
      </c>
      <c r="AG141">
        <v>73.932000000000002</v>
      </c>
      <c r="AH141">
        <v>41872.3364</v>
      </c>
      <c r="AK141">
        <v>2.0125999999999999</v>
      </c>
      <c r="AL141">
        <v>-4.6600999999999999</v>
      </c>
      <c r="AM141">
        <v>0.26619999999999999</v>
      </c>
      <c r="AN141">
        <v>2.1838000000000002</v>
      </c>
      <c r="AO141">
        <v>-0.62060000000000004</v>
      </c>
      <c r="AP141" t="s">
        <v>23</v>
      </c>
      <c r="AQ141">
        <v>32.682600000000001</v>
      </c>
      <c r="AR141">
        <v>14.387499999999999</v>
      </c>
      <c r="AS141">
        <v>42.57</v>
      </c>
      <c r="AT141">
        <v>25791.080099999999</v>
      </c>
      <c r="AV141">
        <v>3.8393999999999999</v>
      </c>
      <c r="AW141">
        <v>48.420099999999998</v>
      </c>
      <c r="AX141">
        <v>-0.11609999999999999</v>
      </c>
      <c r="AY141">
        <v>12.381399999999999</v>
      </c>
      <c r="AZ141">
        <v>-1.5127999999999999</v>
      </c>
      <c r="BA141" t="s">
        <v>23</v>
      </c>
      <c r="BB141">
        <v>5.4861000000000004</v>
      </c>
      <c r="BC141">
        <v>-3.8994</v>
      </c>
      <c r="BD141">
        <v>66.55</v>
      </c>
      <c r="BE141">
        <v>58252.5913</v>
      </c>
      <c r="BH141" s="5">
        <v>77.837699999999998</v>
      </c>
      <c r="BI141">
        <v>18.992899999999999</v>
      </c>
      <c r="BJ141">
        <v>-0.66459999999999997</v>
      </c>
      <c r="BK141">
        <v>48.485399999999998</v>
      </c>
      <c r="BL141">
        <v>27.727499999999999</v>
      </c>
      <c r="BM141">
        <v>0</v>
      </c>
      <c r="BN141">
        <v>7.5393999999999997</v>
      </c>
      <c r="BO141">
        <v>1.9821</v>
      </c>
      <c r="BP141">
        <v>37.884999999999998</v>
      </c>
      <c r="BQ141">
        <v>23620.605100000001</v>
      </c>
      <c r="CE141" s="1">
        <f t="shared" si="11"/>
        <v>44596</v>
      </c>
      <c r="CF141" s="35">
        <f t="shared" si="18"/>
        <v>7.3517288788988413</v>
      </c>
      <c r="CG141" s="36">
        <f t="shared" si="17"/>
        <v>1.1894267859274621</v>
      </c>
      <c r="CH141">
        <f t="shared" ca="1" si="12"/>
        <v>1.3350691296127728</v>
      </c>
      <c r="CI141">
        <f t="shared" ca="1" si="13"/>
        <v>1.0726709662924583</v>
      </c>
      <c r="CJ141">
        <f t="shared" ca="1" si="14"/>
        <v>0.16995335191039274</v>
      </c>
      <c r="CK141">
        <f t="shared" ca="1" si="15"/>
        <v>-0.71524240193228827</v>
      </c>
      <c r="CL141">
        <f t="shared" ca="1" si="16"/>
        <v>-0.93641233893831199</v>
      </c>
    </row>
    <row r="142" spans="1:90" x14ac:dyDescent="0.25">
      <c r="A142" s="43">
        <v>44603</v>
      </c>
      <c r="B142" s="5">
        <v>3.6728999999999998</v>
      </c>
      <c r="C142">
        <v>0.1545</v>
      </c>
      <c r="D142">
        <v>8.6199999999999999E-2</v>
      </c>
      <c r="E142">
        <v>25.322800000000001</v>
      </c>
      <c r="F142">
        <v>0.63239999999999996</v>
      </c>
      <c r="G142">
        <v>44.554000000000002</v>
      </c>
      <c r="H142">
        <v>46.214700000000001</v>
      </c>
      <c r="I142">
        <v>25.591799999999999</v>
      </c>
      <c r="J142">
        <v>59.698999999999998</v>
      </c>
      <c r="K142">
        <v>109802.1813</v>
      </c>
      <c r="M142" s="43">
        <v>44603</v>
      </c>
      <c r="N142" s="5">
        <v>2.9940000000000002</v>
      </c>
      <c r="O142">
        <v>15.4411</v>
      </c>
      <c r="P142">
        <v>0.37090000000000001</v>
      </c>
      <c r="Q142">
        <v>30.362500000000001</v>
      </c>
      <c r="R142">
        <v>0.89900000000000002</v>
      </c>
      <c r="S142">
        <v>195.11080000000001</v>
      </c>
      <c r="T142">
        <v>48.524099999999997</v>
      </c>
      <c r="U142">
        <v>37.505400000000002</v>
      </c>
      <c r="V142">
        <v>201.75200000000001</v>
      </c>
      <c r="W142">
        <v>158343.2886</v>
      </c>
      <c r="Y142" s="5">
        <v>2.0236999999999998</v>
      </c>
      <c r="Z142">
        <v>-9.1103000000000005</v>
      </c>
      <c r="AA142">
        <v>1.5800000000000002E-2</v>
      </c>
      <c r="AB142">
        <v>7.8756000000000004</v>
      </c>
      <c r="AC142">
        <v>-0.95630000000000004</v>
      </c>
      <c r="AD142">
        <v>0</v>
      </c>
      <c r="AE142">
        <v>41.8476</v>
      </c>
      <c r="AF142">
        <v>-21.863600000000002</v>
      </c>
      <c r="AG142">
        <v>76.724999999999994</v>
      </c>
      <c r="AH142">
        <v>43454.082600000002</v>
      </c>
      <c r="AK142">
        <v>2.0625</v>
      </c>
      <c r="AL142">
        <v>-4.6600999999999999</v>
      </c>
      <c r="AM142">
        <v>0.26619999999999999</v>
      </c>
      <c r="AN142">
        <v>2.1838000000000002</v>
      </c>
      <c r="AO142">
        <v>-0.62060000000000004</v>
      </c>
      <c r="AP142" t="s">
        <v>23</v>
      </c>
      <c r="AQ142">
        <v>32.682600000000001</v>
      </c>
      <c r="AR142">
        <v>14.387499999999999</v>
      </c>
      <c r="AS142">
        <v>43.378</v>
      </c>
      <c r="AT142">
        <v>26280.221300000001</v>
      </c>
      <c r="AV142">
        <v>3.6463000000000001</v>
      </c>
      <c r="AW142">
        <v>48.420099999999998</v>
      </c>
      <c r="AX142">
        <v>-0.11609999999999999</v>
      </c>
      <c r="AY142">
        <v>12.381399999999999</v>
      </c>
      <c r="AZ142">
        <v>-1.5127999999999999</v>
      </c>
      <c r="BA142" t="s">
        <v>23</v>
      </c>
      <c r="BB142">
        <v>5.4861000000000004</v>
      </c>
      <c r="BC142">
        <v>-3.8994</v>
      </c>
      <c r="BD142">
        <v>64.150000000000006</v>
      </c>
      <c r="BE142">
        <v>56151.821600000003</v>
      </c>
      <c r="BH142" s="5">
        <v>77.837699999999998</v>
      </c>
      <c r="BI142">
        <v>18.992899999999999</v>
      </c>
      <c r="BJ142">
        <v>-0.66459999999999997</v>
      </c>
      <c r="BK142">
        <v>48.485399999999998</v>
      </c>
      <c r="BL142">
        <v>27.727499999999999</v>
      </c>
      <c r="BM142">
        <v>0</v>
      </c>
      <c r="BN142">
        <v>7.5393999999999997</v>
      </c>
      <c r="BO142">
        <v>1.9821</v>
      </c>
      <c r="BP142">
        <v>38.615000000000002</v>
      </c>
      <c r="BQ142">
        <v>24075.9421</v>
      </c>
      <c r="CE142" s="1">
        <f t="shared" si="11"/>
        <v>44603</v>
      </c>
      <c r="CF142" s="35">
        <f t="shared" si="18"/>
        <v>7.4102360966197356</v>
      </c>
      <c r="CG142" s="36">
        <f t="shared" si="17"/>
        <v>1.2169784608702909</v>
      </c>
      <c r="CH142">
        <f t="shared" ca="1" si="12"/>
        <v>1.3350691296127728</v>
      </c>
      <c r="CI142">
        <f t="shared" ca="1" si="13"/>
        <v>1.1193560415422938</v>
      </c>
      <c r="CJ142">
        <f t="shared" ca="1" si="14"/>
        <v>0.18341534977565965</v>
      </c>
      <c r="CK142">
        <f t="shared" ca="1" si="15"/>
        <v>-0.71524240193228827</v>
      </c>
      <c r="CL142">
        <f t="shared" ca="1" si="16"/>
        <v>-0.93641233893831199</v>
      </c>
    </row>
    <row r="143" spans="1:90" x14ac:dyDescent="0.25">
      <c r="A143" s="43">
        <v>44610</v>
      </c>
      <c r="B143" s="5">
        <v>3.8248000000000002</v>
      </c>
      <c r="C143">
        <v>0.1545</v>
      </c>
      <c r="D143">
        <v>8.6199999999999999E-2</v>
      </c>
      <c r="E143">
        <v>25.322800000000001</v>
      </c>
      <c r="F143">
        <v>0.63239999999999996</v>
      </c>
      <c r="G143">
        <v>44.554000000000002</v>
      </c>
      <c r="H143">
        <v>46.214700000000001</v>
      </c>
      <c r="I143">
        <v>25.591799999999999</v>
      </c>
      <c r="J143">
        <v>62.686</v>
      </c>
      <c r="K143">
        <v>115296.0533</v>
      </c>
      <c r="M143" s="43">
        <v>44610</v>
      </c>
      <c r="N143" s="5">
        <v>3.0979999999999999</v>
      </c>
      <c r="O143">
        <v>15.4411</v>
      </c>
      <c r="P143">
        <v>0.37090000000000001</v>
      </c>
      <c r="Q143">
        <v>30.362500000000001</v>
      </c>
      <c r="R143">
        <v>0.89900000000000002</v>
      </c>
      <c r="S143">
        <v>195.11080000000001</v>
      </c>
      <c r="T143">
        <v>48.524099999999997</v>
      </c>
      <c r="U143">
        <v>37.505400000000002</v>
      </c>
      <c r="V143">
        <v>211.77500000000001</v>
      </c>
      <c r="W143">
        <v>166209.6416</v>
      </c>
      <c r="Y143" s="5">
        <v>2.5087999999999999</v>
      </c>
      <c r="Z143">
        <v>-9.1103000000000005</v>
      </c>
      <c r="AA143">
        <v>1.5800000000000002E-2</v>
      </c>
      <c r="AB143">
        <v>7.8756000000000004</v>
      </c>
      <c r="AC143">
        <v>-0.95630000000000004</v>
      </c>
      <c r="AD143">
        <v>0</v>
      </c>
      <c r="AE143">
        <v>41.8476</v>
      </c>
      <c r="AF143">
        <v>-21.863600000000002</v>
      </c>
      <c r="AG143">
        <v>89.215000000000003</v>
      </c>
      <c r="AH143">
        <v>50528.002999999997</v>
      </c>
      <c r="AK143">
        <v>2.2576999999999998</v>
      </c>
      <c r="AL143">
        <v>-4.6600999999999999</v>
      </c>
      <c r="AM143">
        <v>0.26619999999999999</v>
      </c>
      <c r="AN143">
        <v>2.1838000000000002</v>
      </c>
      <c r="AO143">
        <v>-0.62060000000000004</v>
      </c>
      <c r="AP143" t="s">
        <v>23</v>
      </c>
      <c r="AQ143">
        <v>32.682600000000001</v>
      </c>
      <c r="AR143">
        <v>14.387499999999999</v>
      </c>
      <c r="AS143">
        <v>46.533999999999999</v>
      </c>
      <c r="AT143">
        <v>28192.318599999999</v>
      </c>
      <c r="AV143">
        <v>3.6945999999999999</v>
      </c>
      <c r="AW143">
        <v>48.420099999999998</v>
      </c>
      <c r="AX143">
        <v>-0.11609999999999999</v>
      </c>
      <c r="AY143">
        <v>12.381399999999999</v>
      </c>
      <c r="AZ143">
        <v>-1.5127999999999999</v>
      </c>
      <c r="BA143" t="s">
        <v>23</v>
      </c>
      <c r="BB143">
        <v>5.4861000000000004</v>
      </c>
      <c r="BC143">
        <v>-3.8994</v>
      </c>
      <c r="BD143">
        <v>64.75</v>
      </c>
      <c r="BE143">
        <v>56677.014000000003</v>
      </c>
      <c r="BH143" s="5">
        <v>77.837699999999998</v>
      </c>
      <c r="BI143">
        <v>18.992899999999999</v>
      </c>
      <c r="BJ143">
        <v>-0.66459999999999997</v>
      </c>
      <c r="BK143">
        <v>48.485399999999998</v>
      </c>
      <c r="BL143">
        <v>27.727499999999999</v>
      </c>
      <c r="BM143">
        <v>0</v>
      </c>
      <c r="BN143">
        <v>7.5393999999999997</v>
      </c>
      <c r="BO143">
        <v>1.9821</v>
      </c>
      <c r="BP143">
        <v>40.988999999999997</v>
      </c>
      <c r="BQ143">
        <v>25555.787199999999</v>
      </c>
      <c r="CE143" s="1">
        <f t="shared" si="11"/>
        <v>44610</v>
      </c>
      <c r="CF143" s="35">
        <f t="shared" si="18"/>
        <v>7.5598422393698392</v>
      </c>
      <c r="CG143" s="36">
        <f t="shared" si="17"/>
        <v>1.2874295945092995</v>
      </c>
      <c r="CH143">
        <f t="shared" ca="1" si="12"/>
        <v>1.3350691296127728</v>
      </c>
      <c r="CI143">
        <f t="shared" ca="1" si="13"/>
        <v>1.1262156626578008</v>
      </c>
      <c r="CJ143">
        <f t="shared" ca="1" si="14"/>
        <v>0.19749070292491111</v>
      </c>
      <c r="CK143">
        <f t="shared" ca="1" si="15"/>
        <v>-0.71524240193228827</v>
      </c>
      <c r="CL143">
        <f t="shared" ca="1" si="16"/>
        <v>-0.93641233893831199</v>
      </c>
    </row>
    <row r="144" spans="1:90" x14ac:dyDescent="0.25">
      <c r="A144" s="43">
        <v>44617</v>
      </c>
      <c r="B144" s="5">
        <v>3.6854</v>
      </c>
      <c r="C144">
        <v>0.1545</v>
      </c>
      <c r="D144">
        <v>8.6199999999999999E-2</v>
      </c>
      <c r="E144">
        <v>25.322800000000001</v>
      </c>
      <c r="F144">
        <v>0.63239999999999996</v>
      </c>
      <c r="G144">
        <v>44.554000000000002</v>
      </c>
      <c r="H144">
        <v>46.214700000000001</v>
      </c>
      <c r="I144">
        <v>25.591799999999999</v>
      </c>
      <c r="J144">
        <v>59.944000000000003</v>
      </c>
      <c r="K144">
        <v>110253.73239999999</v>
      </c>
      <c r="M144" s="43">
        <v>44617</v>
      </c>
      <c r="N144" s="5">
        <v>3.2155999999999998</v>
      </c>
      <c r="O144">
        <v>15.4411</v>
      </c>
      <c r="P144">
        <v>0.37090000000000001</v>
      </c>
      <c r="Q144">
        <v>30.362500000000001</v>
      </c>
      <c r="R144">
        <v>0.89900000000000002</v>
      </c>
      <c r="S144">
        <v>195.11080000000001</v>
      </c>
      <c r="T144">
        <v>48.524099999999997</v>
      </c>
      <c r="U144">
        <v>37.505400000000002</v>
      </c>
      <c r="V144">
        <v>223.09200000000001</v>
      </c>
      <c r="W144">
        <v>175092.22210000001</v>
      </c>
      <c r="Y144" s="5">
        <v>2.3355000000000001</v>
      </c>
      <c r="Z144">
        <v>-9.1103000000000005</v>
      </c>
      <c r="AA144">
        <v>1.5800000000000002E-2</v>
      </c>
      <c r="AB144">
        <v>7.8756000000000004</v>
      </c>
      <c r="AC144">
        <v>-0.95630000000000004</v>
      </c>
      <c r="AD144">
        <v>0</v>
      </c>
      <c r="AE144">
        <v>41.8476</v>
      </c>
      <c r="AF144">
        <v>-21.863600000000002</v>
      </c>
      <c r="AG144">
        <v>84.754999999999995</v>
      </c>
      <c r="AH144">
        <v>48001.602800000001</v>
      </c>
      <c r="AK144">
        <v>2.2532000000000001</v>
      </c>
      <c r="AL144">
        <v>-4.6600999999999999</v>
      </c>
      <c r="AM144">
        <v>0.26619999999999999</v>
      </c>
      <c r="AN144">
        <v>2.1838000000000002</v>
      </c>
      <c r="AO144">
        <v>-0.62060000000000004</v>
      </c>
      <c r="AP144" t="s">
        <v>23</v>
      </c>
      <c r="AQ144">
        <v>32.682600000000001</v>
      </c>
      <c r="AR144">
        <v>14.387499999999999</v>
      </c>
      <c r="AS144">
        <v>46.46</v>
      </c>
      <c r="AT144">
        <v>28147.851200000001</v>
      </c>
      <c r="AV144">
        <v>3.9721000000000002</v>
      </c>
      <c r="AW144">
        <v>48.420099999999998</v>
      </c>
      <c r="AX144">
        <v>-0.11609999999999999</v>
      </c>
      <c r="AY144">
        <v>12.381399999999999</v>
      </c>
      <c r="AZ144">
        <v>-1.5127999999999999</v>
      </c>
      <c r="BA144" t="s">
        <v>23</v>
      </c>
      <c r="BB144">
        <v>5.4861000000000004</v>
      </c>
      <c r="BC144">
        <v>-3.8994</v>
      </c>
      <c r="BD144">
        <v>68.2</v>
      </c>
      <c r="BE144">
        <v>59696.8704</v>
      </c>
      <c r="BH144" s="5">
        <v>77.837699999999998</v>
      </c>
      <c r="BI144">
        <v>18.992899999999999</v>
      </c>
      <c r="BJ144">
        <v>-0.66459999999999997</v>
      </c>
      <c r="BK144">
        <v>48.485399999999998</v>
      </c>
      <c r="BL144">
        <v>27.727499999999999</v>
      </c>
      <c r="BM144">
        <v>0</v>
      </c>
      <c r="BN144">
        <v>7.5393999999999997</v>
      </c>
      <c r="BO144">
        <v>1.9821</v>
      </c>
      <c r="BP144">
        <v>42.631999999999998</v>
      </c>
      <c r="BQ144">
        <v>26580.295399999999</v>
      </c>
      <c r="CE144" s="1">
        <f t="shared" si="11"/>
        <v>44617</v>
      </c>
      <c r="CF144" s="35">
        <f t="shared" si="18"/>
        <v>7.7069417214804616</v>
      </c>
      <c r="CG144" s="36">
        <f t="shared" si="17"/>
        <v>1.3567003148280159</v>
      </c>
      <c r="CH144">
        <f t="shared" ca="1" si="12"/>
        <v>1.3364931934005264</v>
      </c>
      <c r="CI144">
        <f t="shared" ca="1" si="13"/>
        <v>1.1292645412166711</v>
      </c>
      <c r="CJ144">
        <f t="shared" ca="1" si="14"/>
        <v>0.24328970301945643</v>
      </c>
      <c r="CK144">
        <f t="shared" ca="1" si="15"/>
        <v>-0.71524240193228827</v>
      </c>
      <c r="CL144">
        <f t="shared" ca="1" si="16"/>
        <v>-0.93641233893831199</v>
      </c>
    </row>
    <row r="145" spans="1:90" x14ac:dyDescent="0.25">
      <c r="A145" s="43">
        <v>44624</v>
      </c>
      <c r="B145" s="5">
        <v>3.8206000000000002</v>
      </c>
      <c r="C145">
        <v>0.1545</v>
      </c>
      <c r="D145">
        <v>8.6199999999999999E-2</v>
      </c>
      <c r="E145">
        <v>25.322800000000001</v>
      </c>
      <c r="F145">
        <v>0.63239999999999996</v>
      </c>
      <c r="G145">
        <v>44.554000000000002</v>
      </c>
      <c r="H145">
        <v>46.214700000000001</v>
      </c>
      <c r="I145">
        <v>25.591799999999999</v>
      </c>
      <c r="J145">
        <v>62.603999999999999</v>
      </c>
      <c r="K145">
        <v>115145.5362</v>
      </c>
      <c r="M145" s="43">
        <v>44624</v>
      </c>
      <c r="N145" s="5">
        <v>3.4571000000000001</v>
      </c>
      <c r="O145">
        <v>15.4411</v>
      </c>
      <c r="P145">
        <v>0.37090000000000001</v>
      </c>
      <c r="Q145">
        <v>30.362500000000001</v>
      </c>
      <c r="R145">
        <v>0.89900000000000002</v>
      </c>
      <c r="S145">
        <v>195.11080000000001</v>
      </c>
      <c r="T145">
        <v>48.524099999999997</v>
      </c>
      <c r="U145">
        <v>37.505400000000002</v>
      </c>
      <c r="V145">
        <v>246.351</v>
      </c>
      <c r="W145">
        <v>193346.6777</v>
      </c>
      <c r="Y145" s="5">
        <v>2.4710999999999999</v>
      </c>
      <c r="Z145">
        <v>-9.1103000000000005</v>
      </c>
      <c r="AA145">
        <v>1.5800000000000002E-2</v>
      </c>
      <c r="AB145">
        <v>7.8756000000000004</v>
      </c>
      <c r="AC145">
        <v>-0.95630000000000004</v>
      </c>
      <c r="AD145">
        <v>0</v>
      </c>
      <c r="AE145">
        <v>41.8476</v>
      </c>
      <c r="AF145">
        <v>-21.863600000000002</v>
      </c>
      <c r="AG145">
        <v>88.245999999999995</v>
      </c>
      <c r="AH145">
        <v>49978.785600000003</v>
      </c>
      <c r="AK145">
        <v>2.2759</v>
      </c>
      <c r="AL145">
        <v>-4.6600999999999999</v>
      </c>
      <c r="AM145">
        <v>0.26619999999999999</v>
      </c>
      <c r="AN145">
        <v>2.1838000000000002</v>
      </c>
      <c r="AO145">
        <v>-0.62060000000000004</v>
      </c>
      <c r="AP145" t="s">
        <v>23</v>
      </c>
      <c r="AQ145">
        <v>32.682600000000001</v>
      </c>
      <c r="AR145">
        <v>14.387499999999999</v>
      </c>
      <c r="AS145">
        <v>46.826999999999998</v>
      </c>
      <c r="AT145">
        <v>28370.188099999999</v>
      </c>
      <c r="AV145">
        <v>4.0766</v>
      </c>
      <c r="AW145">
        <v>48.420099999999998</v>
      </c>
      <c r="AX145">
        <v>-0.11609999999999999</v>
      </c>
      <c r="AY145">
        <v>12.381399999999999</v>
      </c>
      <c r="AZ145">
        <v>-1.5127999999999999</v>
      </c>
      <c r="BA145" t="s">
        <v>23</v>
      </c>
      <c r="BB145">
        <v>5.4861000000000004</v>
      </c>
      <c r="BC145">
        <v>-3.8994</v>
      </c>
      <c r="BD145">
        <v>69.5</v>
      </c>
      <c r="BE145">
        <v>60834.787300000004</v>
      </c>
      <c r="BH145" s="5">
        <v>77.837699999999998</v>
      </c>
      <c r="BI145">
        <v>18.992899999999999</v>
      </c>
      <c r="BJ145">
        <v>-0.66459999999999997</v>
      </c>
      <c r="BK145">
        <v>48.485399999999998</v>
      </c>
      <c r="BL145">
        <v>27.727499999999999</v>
      </c>
      <c r="BM145">
        <v>0</v>
      </c>
      <c r="BN145">
        <v>7.5393999999999997</v>
      </c>
      <c r="BO145">
        <v>1.9821</v>
      </c>
      <c r="BP145">
        <v>42.814999999999998</v>
      </c>
      <c r="BQ145">
        <v>26694.129700000001</v>
      </c>
      <c r="CE145" s="1">
        <f t="shared" si="11"/>
        <v>44624</v>
      </c>
      <c r="CF145" s="35">
        <f t="shared" si="18"/>
        <v>7.6358582495129061</v>
      </c>
      <c r="CG145" s="36">
        <f t="shared" si="17"/>
        <v>1.3232263471749899</v>
      </c>
      <c r="CH145">
        <f t="shared" ca="1" si="12"/>
        <v>1.3552247537840583</v>
      </c>
      <c r="CI145">
        <f t="shared" ca="1" si="13"/>
        <v>1.1492523800175658</v>
      </c>
      <c r="CJ145">
        <f t="shared" ca="1" si="14"/>
        <v>0.34768677305857754</v>
      </c>
      <c r="CK145">
        <f t="shared" ca="1" si="15"/>
        <v>-0.71524240193228827</v>
      </c>
      <c r="CL145">
        <f t="shared" ca="1" si="16"/>
        <v>-0.93641233893831199</v>
      </c>
    </row>
    <row r="146" spans="1:90" x14ac:dyDescent="0.25">
      <c r="A146" s="43">
        <v>44631</v>
      </c>
      <c r="B146" s="5">
        <v>3.8559999999999999</v>
      </c>
      <c r="C146">
        <v>0.1545</v>
      </c>
      <c r="D146">
        <v>8.6199999999999999E-2</v>
      </c>
      <c r="E146">
        <v>25.322800000000001</v>
      </c>
      <c r="F146">
        <v>0.63239999999999996</v>
      </c>
      <c r="G146">
        <v>44.554000000000002</v>
      </c>
      <c r="H146">
        <v>46.214700000000001</v>
      </c>
      <c r="I146">
        <v>25.591799999999999</v>
      </c>
      <c r="J146">
        <v>63.298999999999999</v>
      </c>
      <c r="K146">
        <v>116424.9311</v>
      </c>
      <c r="M146" s="43">
        <v>44631</v>
      </c>
      <c r="N146" s="5">
        <v>3.3525</v>
      </c>
      <c r="O146">
        <v>15.4411</v>
      </c>
      <c r="P146">
        <v>0.37090000000000001</v>
      </c>
      <c r="Q146">
        <v>30.362500000000001</v>
      </c>
      <c r="R146">
        <v>0.89900000000000002</v>
      </c>
      <c r="S146">
        <v>195.11080000000001</v>
      </c>
      <c r="T146">
        <v>48.524099999999997</v>
      </c>
      <c r="U146">
        <v>37.505400000000002</v>
      </c>
      <c r="V146">
        <v>236.28</v>
      </c>
      <c r="W146">
        <v>185442.68659999999</v>
      </c>
      <c r="Y146" s="5">
        <v>2.2902999999999998</v>
      </c>
      <c r="Z146">
        <v>-9.1103000000000005</v>
      </c>
      <c r="AA146">
        <v>1.5800000000000002E-2</v>
      </c>
      <c r="AB146">
        <v>7.8756000000000004</v>
      </c>
      <c r="AC146">
        <v>-0.95630000000000004</v>
      </c>
      <c r="AD146">
        <v>0</v>
      </c>
      <c r="AE146">
        <v>41.8476</v>
      </c>
      <c r="AF146">
        <v>-21.863600000000002</v>
      </c>
      <c r="AG146">
        <v>83.590999999999994</v>
      </c>
      <c r="AH146">
        <v>47342.541899999997</v>
      </c>
      <c r="AK146">
        <v>2.2031999999999998</v>
      </c>
      <c r="AL146">
        <v>-4.6600999999999999</v>
      </c>
      <c r="AM146">
        <v>0.26619999999999999</v>
      </c>
      <c r="AN146">
        <v>2.1838000000000002</v>
      </c>
      <c r="AO146">
        <v>-0.62060000000000004</v>
      </c>
      <c r="AP146" t="s">
        <v>23</v>
      </c>
      <c r="AQ146">
        <v>32.682600000000001</v>
      </c>
      <c r="AR146">
        <v>14.387499999999999</v>
      </c>
      <c r="AS146">
        <v>45.652999999999999</v>
      </c>
      <c r="AT146">
        <v>27658.71</v>
      </c>
      <c r="AV146">
        <v>3.8715000000000002</v>
      </c>
      <c r="AW146">
        <v>48.420099999999998</v>
      </c>
      <c r="AX146">
        <v>-0.11609999999999999</v>
      </c>
      <c r="AY146">
        <v>12.381399999999999</v>
      </c>
      <c r="AZ146">
        <v>-1.5127999999999999</v>
      </c>
      <c r="BA146" t="s">
        <v>23</v>
      </c>
      <c r="BB146">
        <v>5.4861000000000004</v>
      </c>
      <c r="BC146">
        <v>-3.8994</v>
      </c>
      <c r="BD146">
        <v>66.95</v>
      </c>
      <c r="BE146">
        <v>58602.719499999999</v>
      </c>
      <c r="BH146" s="5">
        <v>77.837699999999998</v>
      </c>
      <c r="BI146">
        <v>18.992899999999999</v>
      </c>
      <c r="BJ146">
        <v>-0.66459999999999997</v>
      </c>
      <c r="BK146">
        <v>48.485399999999998</v>
      </c>
      <c r="BL146">
        <v>27.727499999999999</v>
      </c>
      <c r="BM146">
        <v>0</v>
      </c>
      <c r="BN146">
        <v>7.5393999999999997</v>
      </c>
      <c r="BO146">
        <v>1.9821</v>
      </c>
      <c r="BP146">
        <v>42.084000000000003</v>
      </c>
      <c r="BQ146">
        <v>26238.792700000002</v>
      </c>
      <c r="CE146" s="1">
        <f t="shared" si="11"/>
        <v>44631</v>
      </c>
      <c r="CF146" s="35">
        <f t="shared" si="18"/>
        <v>7.6005333129867045</v>
      </c>
      <c r="CG146" s="36">
        <f t="shared" si="17"/>
        <v>1.3065914565331402</v>
      </c>
      <c r="CH146">
        <f t="shared" ca="1" si="12"/>
        <v>1.3552247537840583</v>
      </c>
      <c r="CI146">
        <f t="shared" ca="1" si="13"/>
        <v>1.193259229447764</v>
      </c>
      <c r="CJ146">
        <f t="shared" ca="1" si="14"/>
        <v>0.41264221425449304</v>
      </c>
      <c r="CK146">
        <f t="shared" ca="1" si="15"/>
        <v>-0.71524240193228827</v>
      </c>
      <c r="CL146">
        <f t="shared" ca="1" si="16"/>
        <v>-0.93641233893831199</v>
      </c>
    </row>
    <row r="147" spans="1:90" x14ac:dyDescent="0.25">
      <c r="A147" s="43">
        <v>44638</v>
      </c>
      <c r="B147" s="5">
        <v>3.7624</v>
      </c>
      <c r="C147">
        <v>0.1545</v>
      </c>
      <c r="D147">
        <v>8.6199999999999999E-2</v>
      </c>
      <c r="E147">
        <v>25.322800000000001</v>
      </c>
      <c r="F147">
        <v>0.63239999999999996</v>
      </c>
      <c r="G147">
        <v>44.554000000000002</v>
      </c>
      <c r="H147">
        <v>46.214700000000001</v>
      </c>
      <c r="I147">
        <v>25.591799999999999</v>
      </c>
      <c r="J147">
        <v>61.457999999999998</v>
      </c>
      <c r="K147">
        <v>113038.29760000001</v>
      </c>
      <c r="M147" s="43">
        <v>44638</v>
      </c>
      <c r="N147" s="5">
        <v>3.1726999999999999</v>
      </c>
      <c r="O147">
        <v>15.4411</v>
      </c>
      <c r="P147">
        <v>0.37090000000000001</v>
      </c>
      <c r="Q147">
        <v>30.362500000000001</v>
      </c>
      <c r="R147">
        <v>0.89900000000000002</v>
      </c>
      <c r="S147">
        <v>195.11080000000001</v>
      </c>
      <c r="T147">
        <v>48.524099999999997</v>
      </c>
      <c r="U147">
        <v>37.505400000000002</v>
      </c>
      <c r="V147">
        <v>218.96799999999999</v>
      </c>
      <c r="W147">
        <v>171855.34950000001</v>
      </c>
      <c r="Y147" s="5">
        <v>2.1019999999999999</v>
      </c>
      <c r="Z147">
        <v>-9.1103000000000005</v>
      </c>
      <c r="AA147">
        <v>1.5800000000000002E-2</v>
      </c>
      <c r="AB147">
        <v>7.8756000000000004</v>
      </c>
      <c r="AC147">
        <v>-0.95630000000000004</v>
      </c>
      <c r="AD147">
        <v>0</v>
      </c>
      <c r="AE147">
        <v>41.8476</v>
      </c>
      <c r="AF147">
        <v>-21.863600000000002</v>
      </c>
      <c r="AG147">
        <v>78.742000000000004</v>
      </c>
      <c r="AH147">
        <v>44596.4548</v>
      </c>
      <c r="AK147">
        <v>1.9672000000000001</v>
      </c>
      <c r="AL147">
        <v>-4.6600999999999999</v>
      </c>
      <c r="AM147">
        <v>0.26619999999999999</v>
      </c>
      <c r="AN147">
        <v>2.1838000000000002</v>
      </c>
      <c r="AO147">
        <v>-0.62060000000000004</v>
      </c>
      <c r="AP147" t="s">
        <v>23</v>
      </c>
      <c r="AQ147">
        <v>32.682600000000001</v>
      </c>
      <c r="AR147">
        <v>14.387499999999999</v>
      </c>
      <c r="AS147">
        <v>41.835999999999999</v>
      </c>
      <c r="AT147">
        <v>25346.406299999999</v>
      </c>
      <c r="AV147">
        <v>3.4975999999999998</v>
      </c>
      <c r="AW147">
        <v>48.420099999999998</v>
      </c>
      <c r="AX147">
        <v>-0.11609999999999999</v>
      </c>
      <c r="AY147">
        <v>12.381399999999999</v>
      </c>
      <c r="AZ147">
        <v>-1.5127999999999999</v>
      </c>
      <c r="BA147" t="s">
        <v>23</v>
      </c>
      <c r="BB147">
        <v>5.4861000000000004</v>
      </c>
      <c r="BC147">
        <v>-3.8994</v>
      </c>
      <c r="BD147">
        <v>62.3</v>
      </c>
      <c r="BE147">
        <v>54532.4784</v>
      </c>
      <c r="BH147" s="5">
        <v>77.837699999999998</v>
      </c>
      <c r="BI147">
        <v>18.992899999999999</v>
      </c>
      <c r="BJ147">
        <v>-0.66459999999999997</v>
      </c>
      <c r="BK147">
        <v>48.485399999999998</v>
      </c>
      <c r="BL147">
        <v>27.727499999999999</v>
      </c>
      <c r="BM147">
        <v>0</v>
      </c>
      <c r="BN147">
        <v>7.5393999999999997</v>
      </c>
      <c r="BO147">
        <v>1.9821</v>
      </c>
      <c r="BP147">
        <v>38.387</v>
      </c>
      <c r="BQ147">
        <v>23933.649300000001</v>
      </c>
      <c r="CE147" s="1">
        <f t="shared" si="11"/>
        <v>44638</v>
      </c>
      <c r="CF147" s="35">
        <f t="shared" si="18"/>
        <v>7.3108647509206168</v>
      </c>
      <c r="CG147" s="36">
        <f t="shared" si="17"/>
        <v>1.1701834307529071</v>
      </c>
      <c r="CH147">
        <f t="shared" ca="1" si="12"/>
        <v>1.3552247537840583</v>
      </c>
      <c r="CI147">
        <f t="shared" ca="1" si="13"/>
        <v>1.2078120352240749</v>
      </c>
      <c r="CJ147">
        <f t="shared" ca="1" si="14"/>
        <v>0.48756883773777226</v>
      </c>
      <c r="CK147">
        <f t="shared" ca="1" si="15"/>
        <v>-0.71524240193228827</v>
      </c>
      <c r="CL147">
        <f t="shared" ca="1" si="16"/>
        <v>-0.93641233893831199</v>
      </c>
    </row>
    <row r="148" spans="1:90" x14ac:dyDescent="0.25">
      <c r="A148" s="43">
        <v>44645</v>
      </c>
      <c r="B148" s="5">
        <v>3.7541000000000002</v>
      </c>
      <c r="C148">
        <v>0.1545</v>
      </c>
      <c r="D148">
        <v>8.6199999999999999E-2</v>
      </c>
      <c r="E148">
        <v>25.322800000000001</v>
      </c>
      <c r="F148">
        <v>0.63239999999999996</v>
      </c>
      <c r="G148">
        <v>44.554000000000002</v>
      </c>
      <c r="H148">
        <v>46.214700000000001</v>
      </c>
      <c r="I148">
        <v>25.591799999999999</v>
      </c>
      <c r="J148">
        <v>61.293999999999997</v>
      </c>
      <c r="K148">
        <v>112737.26360000001</v>
      </c>
      <c r="M148" s="43">
        <v>44645</v>
      </c>
      <c r="N148" s="5">
        <v>3.5133000000000001</v>
      </c>
      <c r="O148">
        <v>15.4411</v>
      </c>
      <c r="P148">
        <v>0.37090000000000001</v>
      </c>
      <c r="Q148">
        <v>30.362500000000001</v>
      </c>
      <c r="R148">
        <v>0.89900000000000002</v>
      </c>
      <c r="S148">
        <v>195.11080000000001</v>
      </c>
      <c r="T148">
        <v>48.524099999999997</v>
      </c>
      <c r="U148">
        <v>37.505400000000002</v>
      </c>
      <c r="V148">
        <v>251.77</v>
      </c>
      <c r="W148">
        <v>197599.77770000001</v>
      </c>
      <c r="Y148" s="5">
        <v>2.3957999999999999</v>
      </c>
      <c r="Z148">
        <v>-9.1103000000000005</v>
      </c>
      <c r="AA148">
        <v>1.5800000000000002E-2</v>
      </c>
      <c r="AB148">
        <v>7.8756000000000004</v>
      </c>
      <c r="AC148">
        <v>-0.95630000000000004</v>
      </c>
      <c r="AD148">
        <v>0</v>
      </c>
      <c r="AE148">
        <v>41.8476</v>
      </c>
      <c r="AF148">
        <v>-21.863600000000002</v>
      </c>
      <c r="AG148">
        <v>86.305999999999997</v>
      </c>
      <c r="AH148">
        <v>48880.350700000003</v>
      </c>
      <c r="AK148">
        <v>2.0489000000000002</v>
      </c>
      <c r="AL148">
        <v>-4.6600999999999999</v>
      </c>
      <c r="AM148">
        <v>0.26619999999999999</v>
      </c>
      <c r="AN148">
        <v>2.1838000000000002</v>
      </c>
      <c r="AO148">
        <v>-0.62060000000000004</v>
      </c>
      <c r="AP148" t="s">
        <v>23</v>
      </c>
      <c r="AQ148">
        <v>32.682600000000001</v>
      </c>
      <c r="AR148">
        <v>14.387499999999999</v>
      </c>
      <c r="AS148">
        <v>43.156999999999996</v>
      </c>
      <c r="AT148">
        <v>26146.819100000001</v>
      </c>
      <c r="AV148">
        <v>3.7227000000000001</v>
      </c>
      <c r="AW148">
        <v>48.420099999999998</v>
      </c>
      <c r="AX148">
        <v>-0.11609999999999999</v>
      </c>
      <c r="AY148">
        <v>12.381399999999999</v>
      </c>
      <c r="AZ148">
        <v>-1.5127999999999999</v>
      </c>
      <c r="BA148" t="s">
        <v>23</v>
      </c>
      <c r="BB148">
        <v>5.4861000000000004</v>
      </c>
      <c r="BC148">
        <v>-3.8994</v>
      </c>
      <c r="BD148">
        <v>65.099999999999994</v>
      </c>
      <c r="BE148">
        <v>56983.376300000004</v>
      </c>
      <c r="BH148" s="5">
        <v>77.837699999999998</v>
      </c>
      <c r="BI148">
        <v>18.992899999999999</v>
      </c>
      <c r="BJ148">
        <v>-0.66459999999999997</v>
      </c>
      <c r="BK148">
        <v>48.485399999999998</v>
      </c>
      <c r="BL148">
        <v>27.727499999999999</v>
      </c>
      <c r="BM148">
        <v>0</v>
      </c>
      <c r="BN148">
        <v>7.5393999999999997</v>
      </c>
      <c r="BO148">
        <v>1.9821</v>
      </c>
      <c r="BP148">
        <v>39.026000000000003</v>
      </c>
      <c r="BQ148">
        <v>24332.069100000001</v>
      </c>
      <c r="CE148" s="1">
        <f t="shared" si="11"/>
        <v>44645</v>
      </c>
      <c r="CF148" s="35">
        <f t="shared" si="18"/>
        <v>7.2731225473341343</v>
      </c>
      <c r="CG148" s="36">
        <f t="shared" si="17"/>
        <v>1.1524102231838609</v>
      </c>
      <c r="CH148">
        <f t="shared" ca="1" si="12"/>
        <v>1.3552247537840583</v>
      </c>
      <c r="CI148">
        <f t="shared" ca="1" si="13"/>
        <v>1.2078120352240749</v>
      </c>
      <c r="CJ148">
        <f t="shared" ca="1" si="14"/>
        <v>0.5633928898177003</v>
      </c>
      <c r="CK148">
        <f t="shared" ca="1" si="15"/>
        <v>-0.71524240193228827</v>
      </c>
      <c r="CL148">
        <f t="shared" ca="1" si="16"/>
        <v>-0.93641233893831199</v>
      </c>
    </row>
    <row r="149" spans="1:90" x14ac:dyDescent="0.25">
      <c r="A149" s="43">
        <v>44652</v>
      </c>
      <c r="B149" s="5">
        <v>3.2431000000000001</v>
      </c>
      <c r="C149">
        <v>1.7211000000000001</v>
      </c>
      <c r="D149">
        <v>0.1169</v>
      </c>
      <c r="E149">
        <v>22.323799999999999</v>
      </c>
      <c r="F149">
        <v>0.41749999999999998</v>
      </c>
      <c r="G149">
        <v>44.554000000000002</v>
      </c>
      <c r="H149">
        <v>52.348100000000002</v>
      </c>
      <c r="I149">
        <v>28.5837</v>
      </c>
      <c r="J149">
        <v>63.954000000000001</v>
      </c>
      <c r="K149">
        <v>117629.0674</v>
      </c>
      <c r="M149" s="43">
        <v>44652</v>
      </c>
      <c r="N149" s="5">
        <v>2.8012000000000001</v>
      </c>
      <c r="O149">
        <v>25.2087</v>
      </c>
      <c r="P149">
        <v>0.57599999999999996</v>
      </c>
      <c r="Q149">
        <v>28.648900000000001</v>
      </c>
      <c r="R149">
        <v>0.56820000000000004</v>
      </c>
      <c r="S149">
        <v>195.11080000000001</v>
      </c>
      <c r="T149">
        <v>48.1526</v>
      </c>
      <c r="U149">
        <v>37.254300000000001</v>
      </c>
      <c r="V149">
        <v>257.71699999999998</v>
      </c>
      <c r="W149">
        <v>202266.89629999999</v>
      </c>
      <c r="Y149" s="5">
        <v>2.3578000000000001</v>
      </c>
      <c r="Z149">
        <v>-13.418799999999999</v>
      </c>
      <c r="AA149">
        <v>8.1900000000000001E-2</v>
      </c>
      <c r="AB149">
        <v>7.2720000000000002</v>
      </c>
      <c r="AC149">
        <v>-0.44750000000000001</v>
      </c>
      <c r="AD149">
        <v>0</v>
      </c>
      <c r="AE149">
        <v>42.6068</v>
      </c>
      <c r="AF149">
        <v>-19.2271</v>
      </c>
      <c r="AG149">
        <v>86.5</v>
      </c>
      <c r="AH149">
        <v>48990.194199999998</v>
      </c>
      <c r="AK149">
        <v>2.5211000000000001</v>
      </c>
      <c r="AL149">
        <v>-6.9469000000000003</v>
      </c>
      <c r="AM149">
        <v>0.40379999999999999</v>
      </c>
      <c r="AN149">
        <v>1.7359</v>
      </c>
      <c r="AO149">
        <v>-0.16289999999999999</v>
      </c>
      <c r="AP149" t="s">
        <v>23</v>
      </c>
      <c r="AQ149">
        <v>28.233000000000001</v>
      </c>
      <c r="AR149">
        <v>9.2439</v>
      </c>
      <c r="AS149">
        <v>41.469000000000001</v>
      </c>
      <c r="AT149">
        <v>25124.0694</v>
      </c>
      <c r="AV149">
        <v>3.8050000000000002</v>
      </c>
      <c r="AW149">
        <v>78.922600000000003</v>
      </c>
      <c r="AX149">
        <v>0.1565</v>
      </c>
      <c r="AY149">
        <v>12.4095</v>
      </c>
      <c r="AZ149">
        <v>-0.85670000000000002</v>
      </c>
      <c r="BA149" t="s">
        <v>23</v>
      </c>
      <c r="BB149">
        <v>5.3353000000000002</v>
      </c>
      <c r="BC149">
        <v>-4.1680000000000001</v>
      </c>
      <c r="BD149">
        <v>64.75</v>
      </c>
      <c r="BE149">
        <v>56677.014000000003</v>
      </c>
      <c r="BH149" s="5">
        <v>3.9209000000000001</v>
      </c>
      <c r="BI149">
        <v>36.029899999999998</v>
      </c>
      <c r="BJ149">
        <v>1.6352</v>
      </c>
      <c r="BK149">
        <v>48.976999999999997</v>
      </c>
      <c r="BL149">
        <v>1.3237000000000001</v>
      </c>
      <c r="BM149">
        <v>0</v>
      </c>
      <c r="BN149">
        <v>8.3637999999999995</v>
      </c>
      <c r="BO149">
        <v>2.1612</v>
      </c>
      <c r="BP149">
        <v>38.25</v>
      </c>
      <c r="BQ149">
        <v>23848.2736</v>
      </c>
      <c r="CE149" s="1">
        <f t="shared" si="11"/>
        <v>44652</v>
      </c>
      <c r="CF149" s="35">
        <f t="shared" si="18"/>
        <v>3.0262960701275849</v>
      </c>
      <c r="CG149" s="36">
        <f t="shared" si="17"/>
        <v>-0.84746581256903164</v>
      </c>
      <c r="CH149">
        <f t="shared" ca="1" si="12"/>
        <v>1.3552247537840583</v>
      </c>
      <c r="CI149">
        <f t="shared" ca="1" si="13"/>
        <v>1.2078120352240749</v>
      </c>
      <c r="CJ149">
        <f t="shared" ca="1" si="14"/>
        <v>0.75029591278909524</v>
      </c>
      <c r="CK149">
        <f t="shared" ca="1" si="15"/>
        <v>-8.5946821727410971E-2</v>
      </c>
      <c r="CL149">
        <f t="shared" ca="1" si="16"/>
        <v>-0.93641233893831199</v>
      </c>
    </row>
    <row r="150" spans="1:90" x14ac:dyDescent="0.25">
      <c r="A150" s="43">
        <v>44659</v>
      </c>
      <c r="B150" s="5">
        <v>3.3748</v>
      </c>
      <c r="C150">
        <v>1.7211000000000001</v>
      </c>
      <c r="D150">
        <v>0.1169</v>
      </c>
      <c r="E150">
        <v>22.323799999999999</v>
      </c>
      <c r="F150">
        <v>0.41749999999999998</v>
      </c>
      <c r="G150">
        <v>44.554000000000002</v>
      </c>
      <c r="H150">
        <v>52.348100000000002</v>
      </c>
      <c r="I150">
        <v>28.5837</v>
      </c>
      <c r="J150">
        <v>66.941000000000003</v>
      </c>
      <c r="K150">
        <v>123122.9394</v>
      </c>
      <c r="M150" s="43">
        <v>44659</v>
      </c>
      <c r="N150" s="5">
        <v>2.8256999999999999</v>
      </c>
      <c r="O150">
        <v>25.2087</v>
      </c>
      <c r="P150">
        <v>0.57599999999999996</v>
      </c>
      <c r="Q150">
        <v>28.648900000000001</v>
      </c>
      <c r="R150">
        <v>0.56820000000000004</v>
      </c>
      <c r="S150">
        <v>195.11080000000001</v>
      </c>
      <c r="T150">
        <v>48.1526</v>
      </c>
      <c r="U150">
        <v>37.254300000000001</v>
      </c>
      <c r="V150">
        <v>260.54599999999999</v>
      </c>
      <c r="W150">
        <v>204487.54139999999</v>
      </c>
      <c r="Y150" s="5">
        <v>2.4081000000000001</v>
      </c>
      <c r="Z150">
        <v>-13.418799999999999</v>
      </c>
      <c r="AA150">
        <v>8.1900000000000001E-2</v>
      </c>
      <c r="AB150">
        <v>7.2720000000000002</v>
      </c>
      <c r="AC150">
        <v>-0.44750000000000001</v>
      </c>
      <c r="AD150">
        <v>0</v>
      </c>
      <c r="AE150">
        <v>42.6068</v>
      </c>
      <c r="AF150">
        <v>-19.2271</v>
      </c>
      <c r="AG150">
        <v>88.052000000000007</v>
      </c>
      <c r="AH150">
        <v>49868.9421</v>
      </c>
      <c r="AK150">
        <v>2.6303000000000001</v>
      </c>
      <c r="AL150">
        <v>-6.9469000000000003</v>
      </c>
      <c r="AM150">
        <v>0.40379999999999999</v>
      </c>
      <c r="AN150">
        <v>1.7359</v>
      </c>
      <c r="AO150">
        <v>-0.16289999999999999</v>
      </c>
      <c r="AP150" t="s">
        <v>23</v>
      </c>
      <c r="AQ150">
        <v>28.233000000000001</v>
      </c>
      <c r="AR150">
        <v>9.2439</v>
      </c>
      <c r="AS150">
        <v>43.156999999999996</v>
      </c>
      <c r="AT150">
        <v>26146.819100000001</v>
      </c>
      <c r="AV150">
        <v>3.7509999999999999</v>
      </c>
      <c r="AW150">
        <v>78.922600000000003</v>
      </c>
      <c r="AX150">
        <v>0.1565</v>
      </c>
      <c r="AY150">
        <v>12.4095</v>
      </c>
      <c r="AZ150">
        <v>-0.85670000000000002</v>
      </c>
      <c r="BA150" t="s">
        <v>23</v>
      </c>
      <c r="BB150">
        <v>5.3353000000000002</v>
      </c>
      <c r="BC150">
        <v>-4.1680000000000001</v>
      </c>
      <c r="BD150">
        <v>64</v>
      </c>
      <c r="BE150">
        <v>56020.523500000003</v>
      </c>
      <c r="BH150" s="5">
        <v>3.9239999999999999</v>
      </c>
      <c r="BI150">
        <v>36.029899999999998</v>
      </c>
      <c r="BJ150">
        <v>1.6352</v>
      </c>
      <c r="BK150">
        <v>48.976999999999997</v>
      </c>
      <c r="BL150">
        <v>1.3237000000000001</v>
      </c>
      <c r="BM150">
        <v>0</v>
      </c>
      <c r="BN150">
        <v>8.3637999999999995</v>
      </c>
      <c r="BO150">
        <v>2.1612</v>
      </c>
      <c r="BP150">
        <v>38.295999999999999</v>
      </c>
      <c r="BQ150">
        <v>23876.732199999999</v>
      </c>
      <c r="CE150" s="1">
        <f t="shared" si="11"/>
        <v>44659</v>
      </c>
      <c r="CF150" s="35">
        <f t="shared" si="18"/>
        <v>3.073324062306765</v>
      </c>
      <c r="CG150" s="36">
        <f t="shared" si="17"/>
        <v>-0.82531982777933044</v>
      </c>
      <c r="CH150">
        <f t="shared" ca="1" si="12"/>
        <v>1.3552247537840583</v>
      </c>
      <c r="CI150">
        <f t="shared" ca="1" si="13"/>
        <v>1.2078120352240749</v>
      </c>
      <c r="CJ150">
        <f t="shared" ca="1" si="14"/>
        <v>0.75029591278909524</v>
      </c>
      <c r="CK150">
        <f t="shared" ca="1" si="15"/>
        <v>-8.5946821727410971E-2</v>
      </c>
      <c r="CL150">
        <f t="shared" ca="1" si="16"/>
        <v>-0.90655748214278431</v>
      </c>
    </row>
    <row r="151" spans="1:90" x14ac:dyDescent="0.25">
      <c r="A151" s="43">
        <v>44666</v>
      </c>
      <c r="B151" s="5">
        <v>3.2610999999999999</v>
      </c>
      <c r="C151">
        <v>1.7211000000000001</v>
      </c>
      <c r="D151">
        <v>0.1169</v>
      </c>
      <c r="E151">
        <v>22.323799999999999</v>
      </c>
      <c r="F151">
        <v>0.41749999999999998</v>
      </c>
      <c r="G151">
        <v>44.554000000000002</v>
      </c>
      <c r="H151">
        <v>52.348100000000002</v>
      </c>
      <c r="I151">
        <v>28.5837</v>
      </c>
      <c r="J151">
        <v>64.363</v>
      </c>
      <c r="K151">
        <v>118381.6526</v>
      </c>
      <c r="M151" s="43">
        <v>44666</v>
      </c>
      <c r="N151" s="5">
        <v>2.8378000000000001</v>
      </c>
      <c r="O151">
        <v>25.2087</v>
      </c>
      <c r="P151">
        <v>0.57599999999999996</v>
      </c>
      <c r="Q151">
        <v>28.648900000000001</v>
      </c>
      <c r="R151">
        <v>0.56820000000000004</v>
      </c>
      <c r="S151">
        <v>195.11080000000001</v>
      </c>
      <c r="T151">
        <v>48.1526</v>
      </c>
      <c r="U151">
        <v>37.254300000000001</v>
      </c>
      <c r="V151">
        <v>261.93700000000001</v>
      </c>
      <c r="W151">
        <v>205579.04490000001</v>
      </c>
      <c r="Y151" s="5">
        <v>2.3704000000000001</v>
      </c>
      <c r="Z151">
        <v>-13.418799999999999</v>
      </c>
      <c r="AA151">
        <v>8.1900000000000001E-2</v>
      </c>
      <c r="AB151">
        <v>7.2720000000000002</v>
      </c>
      <c r="AC151">
        <v>-0.44750000000000001</v>
      </c>
      <c r="AD151">
        <v>0</v>
      </c>
      <c r="AE151">
        <v>42.6068</v>
      </c>
      <c r="AF151">
        <v>-19.2271</v>
      </c>
      <c r="AG151">
        <v>86.888000000000005</v>
      </c>
      <c r="AH151">
        <v>49209.881200000003</v>
      </c>
      <c r="AK151">
        <v>2.4973000000000001</v>
      </c>
      <c r="AL151">
        <v>-6.9469000000000003</v>
      </c>
      <c r="AM151">
        <v>0.40379999999999999</v>
      </c>
      <c r="AN151">
        <v>1.7359</v>
      </c>
      <c r="AO151">
        <v>-0.16289999999999999</v>
      </c>
      <c r="AP151" t="s">
        <v>23</v>
      </c>
      <c r="AQ151">
        <v>28.233000000000001</v>
      </c>
      <c r="AR151">
        <v>9.2439</v>
      </c>
      <c r="AS151">
        <v>41.101999999999997</v>
      </c>
      <c r="AT151">
        <v>24901.732499999998</v>
      </c>
      <c r="AV151">
        <v>3.6358000000000001</v>
      </c>
      <c r="AW151">
        <v>78.922600000000003</v>
      </c>
      <c r="AX151">
        <v>0.1565</v>
      </c>
      <c r="AY151">
        <v>12.4095</v>
      </c>
      <c r="AZ151">
        <v>-0.85670000000000002</v>
      </c>
      <c r="BA151" t="s">
        <v>23</v>
      </c>
      <c r="BB151">
        <v>5.3353000000000002</v>
      </c>
      <c r="BC151">
        <v>-4.1680000000000001</v>
      </c>
      <c r="BD151">
        <v>62.4</v>
      </c>
      <c r="BE151">
        <v>54620.010399999999</v>
      </c>
      <c r="BH151" s="5">
        <v>3.8837999999999999</v>
      </c>
      <c r="BI151">
        <v>36.029899999999998</v>
      </c>
      <c r="BJ151">
        <v>1.6352</v>
      </c>
      <c r="BK151">
        <v>48.976999999999997</v>
      </c>
      <c r="BL151">
        <v>1.3237000000000001</v>
      </c>
      <c r="BM151">
        <v>0</v>
      </c>
      <c r="BN151">
        <v>8.3637999999999995</v>
      </c>
      <c r="BO151">
        <v>2.1612</v>
      </c>
      <c r="BP151">
        <v>37.701999999999998</v>
      </c>
      <c r="BQ151">
        <v>23506.7709</v>
      </c>
      <c r="CE151" s="1">
        <f t="shared" si="11"/>
        <v>44666</v>
      </c>
      <c r="CF151" s="35">
        <f t="shared" si="18"/>
        <v>3.0200894398251084</v>
      </c>
      <c r="CG151" s="36">
        <f t="shared" si="17"/>
        <v>-0.85038858119904759</v>
      </c>
      <c r="CH151">
        <f t="shared" ca="1" si="12"/>
        <v>1.3552247537840583</v>
      </c>
      <c r="CI151">
        <f t="shared" ca="1" si="13"/>
        <v>1.2078120352240749</v>
      </c>
      <c r="CJ151">
        <f t="shared" ca="1" si="14"/>
        <v>0.75029591278909524</v>
      </c>
      <c r="CK151">
        <f t="shared" ca="1" si="15"/>
        <v>-8.5946821727410971E-2</v>
      </c>
      <c r="CL151">
        <f t="shared" ca="1" si="16"/>
        <v>-0.89245866733543255</v>
      </c>
    </row>
    <row r="152" spans="1:90" x14ac:dyDescent="0.25">
      <c r="A152" s="43">
        <v>44673</v>
      </c>
      <c r="B152" s="5">
        <v>3.2016</v>
      </c>
      <c r="C152">
        <v>1.7211000000000001</v>
      </c>
      <c r="D152">
        <v>0.1169</v>
      </c>
      <c r="E152">
        <v>22.323799999999999</v>
      </c>
      <c r="F152">
        <v>0.41749999999999998</v>
      </c>
      <c r="G152">
        <v>44.554000000000002</v>
      </c>
      <c r="H152">
        <v>52.348100000000002</v>
      </c>
      <c r="I152">
        <v>28.5837</v>
      </c>
      <c r="J152">
        <v>63.012999999999998</v>
      </c>
      <c r="K152">
        <v>115898.1214</v>
      </c>
      <c r="M152" s="43">
        <v>44673</v>
      </c>
      <c r="N152" s="5">
        <v>2.8372999999999999</v>
      </c>
      <c r="O152">
        <v>25.2087</v>
      </c>
      <c r="P152">
        <v>0.57599999999999996</v>
      </c>
      <c r="Q152">
        <v>28.648900000000001</v>
      </c>
      <c r="R152">
        <v>0.56820000000000004</v>
      </c>
      <c r="S152">
        <v>195.11080000000001</v>
      </c>
      <c r="T152">
        <v>48.1526</v>
      </c>
      <c r="U152">
        <v>37.254300000000001</v>
      </c>
      <c r="V152">
        <v>261.88900000000001</v>
      </c>
      <c r="W152">
        <v>205541.4069</v>
      </c>
      <c r="Y152" s="5">
        <v>2.1503000000000001</v>
      </c>
      <c r="Z152">
        <v>-13.418799999999999</v>
      </c>
      <c r="AA152">
        <v>8.1900000000000001E-2</v>
      </c>
      <c r="AB152">
        <v>7.2720000000000002</v>
      </c>
      <c r="AC152">
        <v>-0.44750000000000001</v>
      </c>
      <c r="AD152">
        <v>0</v>
      </c>
      <c r="AE152">
        <v>42.6068</v>
      </c>
      <c r="AF152">
        <v>-19.2271</v>
      </c>
      <c r="AG152">
        <v>80.099999999999994</v>
      </c>
      <c r="AH152">
        <v>45365.359199999999</v>
      </c>
      <c r="AK152">
        <v>2.3214999999999999</v>
      </c>
      <c r="AL152">
        <v>-6.9469000000000003</v>
      </c>
      <c r="AM152">
        <v>0.40379999999999999</v>
      </c>
      <c r="AN152">
        <v>1.7359</v>
      </c>
      <c r="AO152">
        <v>-0.16289999999999999</v>
      </c>
      <c r="AP152" t="s">
        <v>23</v>
      </c>
      <c r="AQ152">
        <v>28.233000000000001</v>
      </c>
      <c r="AR152">
        <v>9.2439</v>
      </c>
      <c r="AS152">
        <v>38.387</v>
      </c>
      <c r="AT152">
        <v>23256.4395</v>
      </c>
      <c r="AV152">
        <v>3.6753999999999998</v>
      </c>
      <c r="AW152">
        <v>78.922600000000003</v>
      </c>
      <c r="AX152">
        <v>0.1565</v>
      </c>
      <c r="AY152">
        <v>12.4095</v>
      </c>
      <c r="AZ152">
        <v>-0.85670000000000002</v>
      </c>
      <c r="BA152" t="s">
        <v>23</v>
      </c>
      <c r="BB152">
        <v>5.3353000000000002</v>
      </c>
      <c r="BC152">
        <v>-4.1680000000000001</v>
      </c>
      <c r="BD152">
        <v>62.95</v>
      </c>
      <c r="BE152">
        <v>55101.436800000003</v>
      </c>
      <c r="BH152" s="5">
        <v>3.6888999999999998</v>
      </c>
      <c r="BI152">
        <v>36.029899999999998</v>
      </c>
      <c r="BJ152">
        <v>1.6352</v>
      </c>
      <c r="BK152">
        <v>48.976999999999997</v>
      </c>
      <c r="BL152">
        <v>1.3237000000000001</v>
      </c>
      <c r="BM152">
        <v>0</v>
      </c>
      <c r="BN152">
        <v>8.3637999999999995</v>
      </c>
      <c r="BO152">
        <v>2.1612</v>
      </c>
      <c r="BP152">
        <v>34.826999999999998</v>
      </c>
      <c r="BQ152">
        <v>21713.881600000001</v>
      </c>
      <c r="CE152" s="1">
        <f t="shared" si="11"/>
        <v>44673</v>
      </c>
      <c r="CF152" s="35">
        <f t="shared" si="18"/>
        <v>2.9738072953254213</v>
      </c>
      <c r="CG152" s="36">
        <f t="shared" si="17"/>
        <v>-0.87218333833474748</v>
      </c>
      <c r="CH152">
        <f t="shared" ca="1" si="12"/>
        <v>1.3552247537840583</v>
      </c>
      <c r="CI152">
        <f t="shared" ca="1" si="13"/>
        <v>1.2078120352240749</v>
      </c>
      <c r="CJ152">
        <f t="shared" ca="1" si="14"/>
        <v>0.75029591278909524</v>
      </c>
      <c r="CK152">
        <f t="shared" ca="1" si="15"/>
        <v>-8.5946821727410971E-2</v>
      </c>
      <c r="CL152">
        <f t="shared" ca="1" si="16"/>
        <v>-0.87349388908958858</v>
      </c>
    </row>
    <row r="153" spans="1:90" x14ac:dyDescent="0.25">
      <c r="A153" s="43">
        <v>44680</v>
      </c>
      <c r="B153" s="5">
        <v>3.16</v>
      </c>
      <c r="C153">
        <v>1.7211000000000001</v>
      </c>
      <c r="D153">
        <v>0.1169</v>
      </c>
      <c r="E153">
        <v>22.323799999999999</v>
      </c>
      <c r="F153">
        <v>0.41749999999999998</v>
      </c>
      <c r="G153">
        <v>44.554000000000002</v>
      </c>
      <c r="H153">
        <v>52.348100000000002</v>
      </c>
      <c r="I153">
        <v>28.5837</v>
      </c>
      <c r="J153">
        <v>62.072000000000003</v>
      </c>
      <c r="K153">
        <v>114167.17539999999</v>
      </c>
      <c r="M153" s="43">
        <v>44680</v>
      </c>
      <c r="N153" s="5">
        <v>2.7484000000000002</v>
      </c>
      <c r="O153">
        <v>25.2087</v>
      </c>
      <c r="P153">
        <v>0.57599999999999996</v>
      </c>
      <c r="Q153">
        <v>28.648900000000001</v>
      </c>
      <c r="R153">
        <v>0.56820000000000004</v>
      </c>
      <c r="S153">
        <v>195.11080000000001</v>
      </c>
      <c r="T153">
        <v>48.1526</v>
      </c>
      <c r="U153">
        <v>37.254300000000001</v>
      </c>
      <c r="V153">
        <v>251.626</v>
      </c>
      <c r="W153">
        <v>197486.86360000001</v>
      </c>
      <c r="Y153" s="5">
        <v>2.0333000000000001</v>
      </c>
      <c r="Z153">
        <v>-13.418799999999999</v>
      </c>
      <c r="AA153">
        <v>8.1900000000000001E-2</v>
      </c>
      <c r="AB153">
        <v>7.2720000000000002</v>
      </c>
      <c r="AC153">
        <v>-0.44750000000000001</v>
      </c>
      <c r="AD153">
        <v>0</v>
      </c>
      <c r="AE153">
        <v>42.6068</v>
      </c>
      <c r="AF153">
        <v>-19.2271</v>
      </c>
      <c r="AG153">
        <v>76.492000000000004</v>
      </c>
      <c r="AH153">
        <v>43322.270400000001</v>
      </c>
      <c r="AK153">
        <v>2.2313000000000001</v>
      </c>
      <c r="AL153">
        <v>-6.9469000000000003</v>
      </c>
      <c r="AM153">
        <v>0.40379999999999999</v>
      </c>
      <c r="AN153">
        <v>1.7359</v>
      </c>
      <c r="AO153">
        <v>-0.16289999999999999</v>
      </c>
      <c r="AP153" t="s">
        <v>23</v>
      </c>
      <c r="AQ153">
        <v>28.233000000000001</v>
      </c>
      <c r="AR153">
        <v>9.2439</v>
      </c>
      <c r="AS153">
        <v>36.991999999999997</v>
      </c>
      <c r="AT153">
        <v>22411.559300000001</v>
      </c>
      <c r="AV153">
        <v>3.3801999999999999</v>
      </c>
      <c r="AW153">
        <v>78.922600000000003</v>
      </c>
      <c r="AX153">
        <v>0.1565</v>
      </c>
      <c r="AY153">
        <v>12.4095</v>
      </c>
      <c r="AZ153">
        <v>-0.85670000000000002</v>
      </c>
      <c r="BA153" t="s">
        <v>23</v>
      </c>
      <c r="BB153">
        <v>5.3353000000000002</v>
      </c>
      <c r="BC153">
        <v>-4.1680000000000001</v>
      </c>
      <c r="BD153">
        <v>58.85</v>
      </c>
      <c r="BE153">
        <v>51512.622000000003</v>
      </c>
      <c r="BH153" s="5">
        <v>3.7105000000000001</v>
      </c>
      <c r="BI153">
        <v>36.029899999999998</v>
      </c>
      <c r="BJ153">
        <v>1.6352</v>
      </c>
      <c r="BK153">
        <v>48.976999999999997</v>
      </c>
      <c r="BL153">
        <v>1.3237000000000001</v>
      </c>
      <c r="BM153">
        <v>0</v>
      </c>
      <c r="BN153">
        <v>8.3637999999999995</v>
      </c>
      <c r="BO153">
        <v>2.1612</v>
      </c>
      <c r="BP153">
        <v>35.146000000000001</v>
      </c>
      <c r="BQ153">
        <v>21913.091499999999</v>
      </c>
      <c r="CE153" s="1">
        <f t="shared" si="11"/>
        <v>44680</v>
      </c>
      <c r="CF153" s="35">
        <f t="shared" si="18"/>
        <v>2.8771687388344178</v>
      </c>
      <c r="CG153" s="36">
        <f t="shared" si="17"/>
        <v>-0.91769146876894281</v>
      </c>
      <c r="CH153">
        <f t="shared" ca="1" si="12"/>
        <v>1.3552247537840583</v>
      </c>
      <c r="CI153">
        <f t="shared" ca="1" si="13"/>
        <v>1.2078120352240749</v>
      </c>
      <c r="CJ153">
        <f t="shared" ca="1" si="14"/>
        <v>0.75029591278909524</v>
      </c>
      <c r="CK153">
        <f t="shared" ca="1" si="15"/>
        <v>-8.5946821727410971E-2</v>
      </c>
      <c r="CL153">
        <f t="shared" ca="1" si="16"/>
        <v>-0.87000386262117746</v>
      </c>
    </row>
    <row r="154" spans="1:90" x14ac:dyDescent="0.25">
      <c r="A154" s="43">
        <v>44687</v>
      </c>
      <c r="B154" s="5">
        <v>3.0590000000000002</v>
      </c>
      <c r="C154">
        <v>1.7211000000000001</v>
      </c>
      <c r="D154">
        <v>0.1169</v>
      </c>
      <c r="E154">
        <v>22.323799999999999</v>
      </c>
      <c r="F154">
        <v>0.41749999999999998</v>
      </c>
      <c r="G154">
        <v>44.554000000000002</v>
      </c>
      <c r="H154">
        <v>52.348100000000002</v>
      </c>
      <c r="I154">
        <v>28.5837</v>
      </c>
      <c r="J154">
        <v>59.78</v>
      </c>
      <c r="K154">
        <v>109952.6983</v>
      </c>
      <c r="M154" s="43">
        <v>44687</v>
      </c>
      <c r="N154" s="5">
        <v>2.6533000000000002</v>
      </c>
      <c r="O154">
        <v>25.2087</v>
      </c>
      <c r="P154">
        <v>0.57599999999999996</v>
      </c>
      <c r="Q154">
        <v>28.648900000000001</v>
      </c>
      <c r="R154">
        <v>0.56820000000000004</v>
      </c>
      <c r="S154">
        <v>195.11080000000001</v>
      </c>
      <c r="T154">
        <v>48.1526</v>
      </c>
      <c r="U154">
        <v>37.254300000000001</v>
      </c>
      <c r="V154">
        <v>240.64400000000001</v>
      </c>
      <c r="W154">
        <v>188867.74950000001</v>
      </c>
      <c r="Y154" s="5">
        <v>1.9754</v>
      </c>
      <c r="Z154">
        <v>-13.418799999999999</v>
      </c>
      <c r="AA154">
        <v>8.1900000000000001E-2</v>
      </c>
      <c r="AB154">
        <v>7.2720000000000002</v>
      </c>
      <c r="AC154">
        <v>-0.44750000000000001</v>
      </c>
      <c r="AD154">
        <v>0</v>
      </c>
      <c r="AE154">
        <v>42.6068</v>
      </c>
      <c r="AF154">
        <v>-19.2271</v>
      </c>
      <c r="AG154">
        <v>74.707999999999998</v>
      </c>
      <c r="AH154">
        <v>42311.710299999999</v>
      </c>
      <c r="AK154">
        <v>2.1743000000000001</v>
      </c>
      <c r="AL154">
        <v>-6.9469000000000003</v>
      </c>
      <c r="AM154">
        <v>0.40379999999999999</v>
      </c>
      <c r="AN154">
        <v>1.7359</v>
      </c>
      <c r="AO154">
        <v>-0.16289999999999999</v>
      </c>
      <c r="AP154" t="s">
        <v>23</v>
      </c>
      <c r="AQ154">
        <v>28.233000000000001</v>
      </c>
      <c r="AR154">
        <v>9.2439</v>
      </c>
      <c r="AS154">
        <v>36.110999999999997</v>
      </c>
      <c r="AT154">
        <v>21877.950700000001</v>
      </c>
      <c r="AV154">
        <v>3.3801999999999999</v>
      </c>
      <c r="AW154">
        <v>78.922600000000003</v>
      </c>
      <c r="AX154">
        <v>0.1565</v>
      </c>
      <c r="AY154">
        <v>12.4095</v>
      </c>
      <c r="AZ154">
        <v>-0.85670000000000002</v>
      </c>
      <c r="BA154" t="s">
        <v>23</v>
      </c>
      <c r="BB154">
        <v>5.3353000000000002</v>
      </c>
      <c r="BC154">
        <v>-4.1680000000000001</v>
      </c>
      <c r="BD154">
        <v>58.85</v>
      </c>
      <c r="BE154">
        <v>51512.622000000003</v>
      </c>
      <c r="BH154" s="5">
        <v>3.6888999999999998</v>
      </c>
      <c r="BI154">
        <v>36.029899999999998</v>
      </c>
      <c r="BJ154">
        <v>1.6352</v>
      </c>
      <c r="BK154">
        <v>48.976999999999997</v>
      </c>
      <c r="BL154">
        <v>1.3237000000000001</v>
      </c>
      <c r="BM154">
        <v>0</v>
      </c>
      <c r="BN154">
        <v>8.3637999999999995</v>
      </c>
      <c r="BO154">
        <v>2.1612</v>
      </c>
      <c r="BP154">
        <v>34.826999999999998</v>
      </c>
      <c r="BQ154">
        <v>21713.881600000001</v>
      </c>
      <c r="CE154" s="1">
        <f t="shared" si="11"/>
        <v>44687</v>
      </c>
      <c r="CF154" s="35">
        <f t="shared" si="18"/>
        <v>2.8031649626397104</v>
      </c>
      <c r="CG154" s="36">
        <f t="shared" si="17"/>
        <v>-0.95254063893432372</v>
      </c>
      <c r="CH154">
        <f t="shared" ca="1" si="12"/>
        <v>1.3552247537840583</v>
      </c>
      <c r="CI154">
        <f t="shared" ca="1" si="13"/>
        <v>1.2078120352240749</v>
      </c>
      <c r="CJ154">
        <f t="shared" ca="1" si="14"/>
        <v>0.75029591278909524</v>
      </c>
      <c r="CK154">
        <f t="shared" ca="1" si="15"/>
        <v>-8.5946821727410971E-2</v>
      </c>
      <c r="CL154">
        <f t="shared" ca="1" si="16"/>
        <v>-0.87000386262117746</v>
      </c>
    </row>
    <row r="155" spans="1:90" x14ac:dyDescent="0.25">
      <c r="A155" s="43">
        <v>44694</v>
      </c>
      <c r="B155" s="5">
        <v>3.133</v>
      </c>
      <c r="C155">
        <v>1.7211000000000001</v>
      </c>
      <c r="D155">
        <v>0.1169</v>
      </c>
      <c r="E155">
        <v>22.323799999999999</v>
      </c>
      <c r="F155">
        <v>0.41749999999999998</v>
      </c>
      <c r="G155">
        <v>44.554000000000002</v>
      </c>
      <c r="H155">
        <v>52.348100000000002</v>
      </c>
      <c r="I155">
        <v>28.5837</v>
      </c>
      <c r="J155">
        <v>61.457999999999998</v>
      </c>
      <c r="K155">
        <v>113038.29760000001</v>
      </c>
      <c r="M155" s="43">
        <v>44694</v>
      </c>
      <c r="N155" s="5">
        <v>2.7256</v>
      </c>
      <c r="O155">
        <v>25.2087</v>
      </c>
      <c r="P155">
        <v>0.57599999999999996</v>
      </c>
      <c r="Q155">
        <v>28.648900000000001</v>
      </c>
      <c r="R155">
        <v>0.56820000000000004</v>
      </c>
      <c r="S155">
        <v>195.11080000000001</v>
      </c>
      <c r="T155">
        <v>48.1526</v>
      </c>
      <c r="U155">
        <v>37.254300000000001</v>
      </c>
      <c r="V155">
        <v>248.989</v>
      </c>
      <c r="W155">
        <v>195416.77069999999</v>
      </c>
      <c r="Y155" s="5">
        <v>1.8722000000000001</v>
      </c>
      <c r="Z155">
        <v>-13.418799999999999</v>
      </c>
      <c r="AA155">
        <v>8.1900000000000001E-2</v>
      </c>
      <c r="AB155">
        <v>7.2720000000000002</v>
      </c>
      <c r="AC155">
        <v>-0.44750000000000001</v>
      </c>
      <c r="AD155">
        <v>0</v>
      </c>
      <c r="AE155">
        <v>42.6068</v>
      </c>
      <c r="AF155">
        <v>-19.2271</v>
      </c>
      <c r="AG155">
        <v>71.527000000000001</v>
      </c>
      <c r="AH155">
        <v>40510.277199999997</v>
      </c>
      <c r="AK155">
        <v>2.2692999999999999</v>
      </c>
      <c r="AL155">
        <v>-6.9469000000000003</v>
      </c>
      <c r="AM155">
        <v>0.40379999999999999</v>
      </c>
      <c r="AN155">
        <v>1.7359</v>
      </c>
      <c r="AO155">
        <v>-0.16289999999999999</v>
      </c>
      <c r="AP155" t="s">
        <v>23</v>
      </c>
      <c r="AQ155">
        <v>28.233000000000001</v>
      </c>
      <c r="AR155">
        <v>9.2439</v>
      </c>
      <c r="AS155">
        <v>37.579000000000001</v>
      </c>
      <c r="AT155">
        <v>22767.298299999999</v>
      </c>
      <c r="AV155">
        <v>3.4594</v>
      </c>
      <c r="AW155">
        <v>78.922600000000003</v>
      </c>
      <c r="AX155">
        <v>0.1565</v>
      </c>
      <c r="AY155">
        <v>12.4095</v>
      </c>
      <c r="AZ155">
        <v>-0.85670000000000002</v>
      </c>
      <c r="BA155" t="s">
        <v>23</v>
      </c>
      <c r="BB155">
        <v>5.3353000000000002</v>
      </c>
      <c r="BC155">
        <v>-4.1680000000000001</v>
      </c>
      <c r="BD155">
        <v>59.95</v>
      </c>
      <c r="BE155">
        <v>52475.474800000004</v>
      </c>
      <c r="BH155" s="5">
        <v>3.7073999999999998</v>
      </c>
      <c r="BI155">
        <v>36.029899999999998</v>
      </c>
      <c r="BJ155">
        <v>1.6352</v>
      </c>
      <c r="BK155">
        <v>48.976999999999997</v>
      </c>
      <c r="BL155">
        <v>1.3237000000000001</v>
      </c>
      <c r="BM155">
        <v>0</v>
      </c>
      <c r="BN155">
        <v>8.3637999999999995</v>
      </c>
      <c r="BO155">
        <v>2.1612</v>
      </c>
      <c r="BP155">
        <v>35.100999999999999</v>
      </c>
      <c r="BQ155">
        <v>21884.632900000001</v>
      </c>
      <c r="CE155" s="1">
        <f t="shared" si="11"/>
        <v>44694</v>
      </c>
      <c r="CF155" s="35">
        <f t="shared" si="18"/>
        <v>2.8625321726244861</v>
      </c>
      <c r="CG155" s="36">
        <f t="shared" si="17"/>
        <v>-0.92458398443118084</v>
      </c>
      <c r="CH155">
        <f t="shared" ca="1" si="12"/>
        <v>1.3552247537840583</v>
      </c>
      <c r="CI155">
        <f t="shared" ca="1" si="13"/>
        <v>1.2078120352240749</v>
      </c>
      <c r="CJ155">
        <f t="shared" ca="1" si="14"/>
        <v>0.75029591278909524</v>
      </c>
      <c r="CK155">
        <f t="shared" ca="1" si="15"/>
        <v>-8.5946821727410971E-2</v>
      </c>
      <c r="CL155">
        <f t="shared" ca="1" si="16"/>
        <v>-0.87000386262117746</v>
      </c>
    </row>
    <row r="156" spans="1:90" x14ac:dyDescent="0.25">
      <c r="A156" s="43">
        <v>44701</v>
      </c>
      <c r="B156" s="5">
        <v>3.1655000000000002</v>
      </c>
      <c r="C156">
        <v>1.7211000000000001</v>
      </c>
      <c r="D156">
        <v>0.1169</v>
      </c>
      <c r="E156">
        <v>22.323799999999999</v>
      </c>
      <c r="F156">
        <v>0.41749999999999998</v>
      </c>
      <c r="G156">
        <v>44.554000000000002</v>
      </c>
      <c r="H156">
        <v>52.348100000000002</v>
      </c>
      <c r="I156">
        <v>28.5837</v>
      </c>
      <c r="J156">
        <v>62.195</v>
      </c>
      <c r="K156">
        <v>114392.951</v>
      </c>
      <c r="M156" s="43">
        <v>44701</v>
      </c>
      <c r="N156" s="5">
        <v>2.7454999999999998</v>
      </c>
      <c r="O156">
        <v>25.2087</v>
      </c>
      <c r="P156">
        <v>0.57599999999999996</v>
      </c>
      <c r="Q156">
        <v>28.648900000000001</v>
      </c>
      <c r="R156">
        <v>0.56820000000000004</v>
      </c>
      <c r="S156">
        <v>195.11080000000001</v>
      </c>
      <c r="T156">
        <v>48.1526</v>
      </c>
      <c r="U156">
        <v>37.254300000000001</v>
      </c>
      <c r="V156">
        <v>251.291</v>
      </c>
      <c r="W156">
        <v>197223.39720000001</v>
      </c>
      <c r="Y156" s="5">
        <v>1.7665999999999999</v>
      </c>
      <c r="Z156">
        <v>-13.418799999999999</v>
      </c>
      <c r="AA156">
        <v>8.1900000000000001E-2</v>
      </c>
      <c r="AB156">
        <v>7.2720000000000002</v>
      </c>
      <c r="AC156">
        <v>-0.44750000000000001</v>
      </c>
      <c r="AD156">
        <v>0</v>
      </c>
      <c r="AE156">
        <v>42.6068</v>
      </c>
      <c r="AF156">
        <v>-19.2271</v>
      </c>
      <c r="AG156">
        <v>68.269000000000005</v>
      </c>
      <c r="AH156">
        <v>38664.906600000002</v>
      </c>
      <c r="AK156">
        <v>2.2099000000000002</v>
      </c>
      <c r="AL156">
        <v>-6.9469000000000003</v>
      </c>
      <c r="AM156">
        <v>0.40379999999999999</v>
      </c>
      <c r="AN156">
        <v>1.7359</v>
      </c>
      <c r="AO156">
        <v>-0.16289999999999999</v>
      </c>
      <c r="AP156" t="s">
        <v>23</v>
      </c>
      <c r="AQ156">
        <v>28.233000000000001</v>
      </c>
      <c r="AR156">
        <v>9.2439</v>
      </c>
      <c r="AS156">
        <v>36.661999999999999</v>
      </c>
      <c r="AT156">
        <v>22211.456099999999</v>
      </c>
      <c r="AV156">
        <v>3.3730000000000002</v>
      </c>
      <c r="AW156">
        <v>78.922600000000003</v>
      </c>
      <c r="AX156">
        <v>0.1565</v>
      </c>
      <c r="AY156">
        <v>12.4095</v>
      </c>
      <c r="AZ156">
        <v>-0.85670000000000002</v>
      </c>
      <c r="BA156" t="s">
        <v>23</v>
      </c>
      <c r="BB156">
        <v>5.3353000000000002</v>
      </c>
      <c r="BC156">
        <v>-4.1680000000000001</v>
      </c>
      <c r="BD156">
        <v>58.75</v>
      </c>
      <c r="BE156">
        <v>51425.09</v>
      </c>
      <c r="BH156" s="5">
        <v>3.726</v>
      </c>
      <c r="BI156">
        <v>36.029899999999998</v>
      </c>
      <c r="BJ156">
        <v>1.6352</v>
      </c>
      <c r="BK156">
        <v>48.976999999999997</v>
      </c>
      <c r="BL156">
        <v>1.3237000000000001</v>
      </c>
      <c r="BM156">
        <v>0</v>
      </c>
      <c r="BN156">
        <v>8.3637999999999995</v>
      </c>
      <c r="BO156">
        <v>2.1612</v>
      </c>
      <c r="BP156">
        <v>35.375</v>
      </c>
      <c r="BQ156">
        <v>22055.384300000002</v>
      </c>
      <c r="CE156" s="1">
        <f t="shared" si="11"/>
        <v>44701</v>
      </c>
      <c r="CF156" s="35">
        <f t="shared" si="18"/>
        <v>2.8625340649961792</v>
      </c>
      <c r="CG156" s="36">
        <f t="shared" si="17"/>
        <v>-0.92458309329309918</v>
      </c>
      <c r="CH156">
        <f t="shared" ca="1" si="12"/>
        <v>1.3552247537840583</v>
      </c>
      <c r="CI156">
        <f t="shared" ca="1" si="13"/>
        <v>1.2078120352240749</v>
      </c>
      <c r="CJ156">
        <f t="shared" ca="1" si="14"/>
        <v>0.75029591278909524</v>
      </c>
      <c r="CK156">
        <f t="shared" ca="1" si="15"/>
        <v>-8.5946821727410971E-2</v>
      </c>
      <c r="CL156">
        <f t="shared" ca="1" si="16"/>
        <v>-0.87000386262117746</v>
      </c>
    </row>
    <row r="157" spans="1:90" x14ac:dyDescent="0.25">
      <c r="A157" s="43">
        <v>44708</v>
      </c>
      <c r="B157" s="5">
        <v>3.3748</v>
      </c>
      <c r="C157">
        <v>1.7211000000000001</v>
      </c>
      <c r="D157">
        <v>0.1169</v>
      </c>
      <c r="E157">
        <v>22.323799999999999</v>
      </c>
      <c r="F157">
        <v>0.41749999999999998</v>
      </c>
      <c r="G157">
        <v>44.554000000000002</v>
      </c>
      <c r="H157">
        <v>52.348100000000002</v>
      </c>
      <c r="I157">
        <v>28.5837</v>
      </c>
      <c r="J157">
        <v>66.941000000000003</v>
      </c>
      <c r="K157">
        <v>123122.9394</v>
      </c>
      <c r="M157" s="43">
        <v>44708</v>
      </c>
      <c r="N157" s="5">
        <v>2.9083999999999999</v>
      </c>
      <c r="O157">
        <v>25.2087</v>
      </c>
      <c r="P157">
        <v>0.57599999999999996</v>
      </c>
      <c r="Q157">
        <v>28.648900000000001</v>
      </c>
      <c r="R157">
        <v>0.56820000000000004</v>
      </c>
      <c r="S157">
        <v>195.11080000000001</v>
      </c>
      <c r="T157">
        <v>48.1526</v>
      </c>
      <c r="U157">
        <v>37.254300000000001</v>
      </c>
      <c r="V157">
        <v>270.08999999999997</v>
      </c>
      <c r="W157">
        <v>211977.51389999999</v>
      </c>
      <c r="Y157" s="5">
        <v>2.0748000000000002</v>
      </c>
      <c r="Z157">
        <v>-13.418799999999999</v>
      </c>
      <c r="AA157">
        <v>8.1900000000000001E-2</v>
      </c>
      <c r="AB157">
        <v>7.2720000000000002</v>
      </c>
      <c r="AC157">
        <v>-0.44750000000000001</v>
      </c>
      <c r="AD157">
        <v>0</v>
      </c>
      <c r="AE157">
        <v>42.6068</v>
      </c>
      <c r="AF157">
        <v>-19.2271</v>
      </c>
      <c r="AG157">
        <v>77.772000000000006</v>
      </c>
      <c r="AH157">
        <v>44047.237399999998</v>
      </c>
      <c r="AK157">
        <v>2.5068000000000001</v>
      </c>
      <c r="AL157">
        <v>-6.9469000000000003</v>
      </c>
      <c r="AM157">
        <v>0.40379999999999999</v>
      </c>
      <c r="AN157">
        <v>1.7359</v>
      </c>
      <c r="AO157">
        <v>-0.16289999999999999</v>
      </c>
      <c r="AP157" t="s">
        <v>23</v>
      </c>
      <c r="AQ157">
        <v>28.233000000000001</v>
      </c>
      <c r="AR157">
        <v>9.2439</v>
      </c>
      <c r="AS157">
        <v>41.249000000000002</v>
      </c>
      <c r="AT157">
        <v>24990.667300000001</v>
      </c>
      <c r="AV157">
        <v>3.5350000000000001</v>
      </c>
      <c r="AW157">
        <v>78.922600000000003</v>
      </c>
      <c r="AX157">
        <v>0.1565</v>
      </c>
      <c r="AY157">
        <v>12.4095</v>
      </c>
      <c r="AZ157">
        <v>-0.85670000000000002</v>
      </c>
      <c r="BA157" t="s">
        <v>23</v>
      </c>
      <c r="BB157">
        <v>5.3353000000000002</v>
      </c>
      <c r="BC157">
        <v>-4.1680000000000001</v>
      </c>
      <c r="BD157">
        <v>61</v>
      </c>
      <c r="BE157">
        <v>53394.561500000003</v>
      </c>
      <c r="BH157" s="5">
        <v>3.7414999999999998</v>
      </c>
      <c r="BI157">
        <v>36.029899999999998</v>
      </c>
      <c r="BJ157">
        <v>1.6352</v>
      </c>
      <c r="BK157">
        <v>48.976999999999997</v>
      </c>
      <c r="BL157">
        <v>1.3237000000000001</v>
      </c>
      <c r="BM157">
        <v>0</v>
      </c>
      <c r="BN157">
        <v>8.3637999999999995</v>
      </c>
      <c r="BO157">
        <v>2.1612</v>
      </c>
      <c r="BP157">
        <v>35.603000000000002</v>
      </c>
      <c r="BQ157">
        <v>22197.677100000001</v>
      </c>
      <c r="CE157" s="1">
        <f t="shared" si="11"/>
        <v>44708</v>
      </c>
      <c r="CF157" s="35">
        <f t="shared" si="18"/>
        <v>3.0389324849479276</v>
      </c>
      <c r="CG157" s="36">
        <f t="shared" si="17"/>
        <v>-0.84151518960087623</v>
      </c>
      <c r="CH157">
        <f t="shared" ca="1" si="12"/>
        <v>1.3552247537840583</v>
      </c>
      <c r="CI157">
        <f t="shared" ca="1" si="13"/>
        <v>1.2078120352240749</v>
      </c>
      <c r="CJ157">
        <f t="shared" ca="1" si="14"/>
        <v>0.75029591278909524</v>
      </c>
      <c r="CK157">
        <f t="shared" ca="1" si="15"/>
        <v>-8.5946821727410971E-2</v>
      </c>
      <c r="CL157">
        <f t="shared" ca="1" si="16"/>
        <v>-0.87000386262117746</v>
      </c>
    </row>
    <row r="158" spans="1:90" x14ac:dyDescent="0.25">
      <c r="A158" s="43">
        <v>44715</v>
      </c>
      <c r="B158" s="5">
        <v>3.3675999999999999</v>
      </c>
      <c r="C158">
        <v>1.7211000000000001</v>
      </c>
      <c r="D158">
        <v>0.1169</v>
      </c>
      <c r="E158">
        <v>22.323799999999999</v>
      </c>
      <c r="F158">
        <v>0.41749999999999998</v>
      </c>
      <c r="G158">
        <v>44.554000000000002</v>
      </c>
      <c r="H158">
        <v>52.348100000000002</v>
      </c>
      <c r="I158">
        <v>28.5837</v>
      </c>
      <c r="J158">
        <v>66.777000000000001</v>
      </c>
      <c r="K158">
        <v>122821.9053</v>
      </c>
      <c r="M158" s="43">
        <v>44715</v>
      </c>
      <c r="N158" s="5">
        <v>2.8469000000000002</v>
      </c>
      <c r="O158">
        <v>25.2087</v>
      </c>
      <c r="P158">
        <v>0.57599999999999996</v>
      </c>
      <c r="Q158">
        <v>28.648900000000001</v>
      </c>
      <c r="R158">
        <v>0.56820000000000004</v>
      </c>
      <c r="S158">
        <v>195.11080000000001</v>
      </c>
      <c r="T158">
        <v>48.1526</v>
      </c>
      <c r="U158">
        <v>37.254300000000001</v>
      </c>
      <c r="V158">
        <v>262.99200000000002</v>
      </c>
      <c r="W158">
        <v>206407.0821</v>
      </c>
      <c r="Y158" s="5">
        <v>2.0935999999999999</v>
      </c>
      <c r="Z158">
        <v>-13.418799999999999</v>
      </c>
      <c r="AA158">
        <v>8.1900000000000001E-2</v>
      </c>
      <c r="AB158">
        <v>7.2720000000000002</v>
      </c>
      <c r="AC158">
        <v>-0.44750000000000001</v>
      </c>
      <c r="AD158">
        <v>0</v>
      </c>
      <c r="AE158">
        <v>42.6068</v>
      </c>
      <c r="AF158">
        <v>-19.2271</v>
      </c>
      <c r="AG158">
        <v>78.353999999999999</v>
      </c>
      <c r="AH158">
        <v>44376.767800000001</v>
      </c>
      <c r="AK158">
        <v>2.6825999999999999</v>
      </c>
      <c r="AL158">
        <v>-6.9469000000000003</v>
      </c>
      <c r="AM158">
        <v>0.40379999999999999</v>
      </c>
      <c r="AN158">
        <v>1.7359</v>
      </c>
      <c r="AO158">
        <v>-0.16289999999999999</v>
      </c>
      <c r="AP158" t="s">
        <v>23</v>
      </c>
      <c r="AQ158">
        <v>28.233000000000001</v>
      </c>
      <c r="AR158">
        <v>9.2439</v>
      </c>
      <c r="AS158">
        <v>43.965000000000003</v>
      </c>
      <c r="AT158">
        <v>26635.960299999999</v>
      </c>
      <c r="AV158">
        <v>3.6753999999999998</v>
      </c>
      <c r="AW158">
        <v>78.922600000000003</v>
      </c>
      <c r="AX158">
        <v>0.1565</v>
      </c>
      <c r="AY158">
        <v>12.4095</v>
      </c>
      <c r="AZ158">
        <v>-0.85670000000000002</v>
      </c>
      <c r="BA158" t="s">
        <v>23</v>
      </c>
      <c r="BB158">
        <v>5.3353000000000002</v>
      </c>
      <c r="BC158">
        <v>-4.1680000000000001</v>
      </c>
      <c r="BD158">
        <v>62.95</v>
      </c>
      <c r="BE158">
        <v>55101.436800000003</v>
      </c>
      <c r="BH158" s="5">
        <v>3.7724000000000002</v>
      </c>
      <c r="BI158">
        <v>36.029899999999998</v>
      </c>
      <c r="BJ158">
        <v>1.6352</v>
      </c>
      <c r="BK158">
        <v>48.976999999999997</v>
      </c>
      <c r="BL158">
        <v>1.3237000000000001</v>
      </c>
      <c r="BM158">
        <v>0</v>
      </c>
      <c r="BN158">
        <v>8.3637999999999995</v>
      </c>
      <c r="BO158">
        <v>2.1612</v>
      </c>
      <c r="BP158">
        <v>36.058999999999997</v>
      </c>
      <c r="BQ158">
        <v>22482.262699999999</v>
      </c>
      <c r="CE158" s="1">
        <f t="shared" si="11"/>
        <v>44715</v>
      </c>
      <c r="CF158" s="35">
        <f t="shared" si="18"/>
        <v>3.0407091408267388</v>
      </c>
      <c r="CG158" s="36">
        <f t="shared" si="17"/>
        <v>-0.84067854333456793</v>
      </c>
      <c r="CH158">
        <f t="shared" ca="1" si="12"/>
        <v>1.3552247537840583</v>
      </c>
      <c r="CI158">
        <f t="shared" ca="1" si="13"/>
        <v>1.2078120352240749</v>
      </c>
      <c r="CJ158">
        <f t="shared" ca="1" si="14"/>
        <v>0.75029591278909524</v>
      </c>
      <c r="CK158">
        <f t="shared" ca="1" si="15"/>
        <v>-8.5946821727410971E-2</v>
      </c>
      <c r="CL158">
        <f t="shared" ca="1" si="16"/>
        <v>-0.85009630433604599</v>
      </c>
    </row>
    <row r="159" spans="1:90" x14ac:dyDescent="0.25">
      <c r="A159" s="43">
        <v>44722</v>
      </c>
      <c r="B159" s="5">
        <v>3.1619000000000002</v>
      </c>
      <c r="C159">
        <v>1.7211000000000001</v>
      </c>
      <c r="D159">
        <v>0.1169</v>
      </c>
      <c r="E159">
        <v>22.323799999999999</v>
      </c>
      <c r="F159">
        <v>0.41749999999999998</v>
      </c>
      <c r="G159">
        <v>44.554000000000002</v>
      </c>
      <c r="H159">
        <v>52.348100000000002</v>
      </c>
      <c r="I159">
        <v>28.5837</v>
      </c>
      <c r="J159">
        <v>62.113</v>
      </c>
      <c r="K159">
        <v>114242.43399999999</v>
      </c>
      <c r="M159" s="43">
        <v>44722</v>
      </c>
      <c r="N159" s="5">
        <v>2.8889</v>
      </c>
      <c r="O159">
        <v>25.2087</v>
      </c>
      <c r="P159">
        <v>0.57599999999999996</v>
      </c>
      <c r="Q159">
        <v>28.648900000000001</v>
      </c>
      <c r="R159">
        <v>0.56820000000000004</v>
      </c>
      <c r="S159">
        <v>195.11080000000001</v>
      </c>
      <c r="T159">
        <v>48.1526</v>
      </c>
      <c r="U159">
        <v>37.254300000000001</v>
      </c>
      <c r="V159">
        <v>267.83600000000001</v>
      </c>
      <c r="W159">
        <v>210208.52540000001</v>
      </c>
      <c r="Y159" s="5">
        <v>1.8471</v>
      </c>
      <c r="Z159">
        <v>-13.418799999999999</v>
      </c>
      <c r="AA159">
        <v>8.1900000000000001E-2</v>
      </c>
      <c r="AB159">
        <v>7.2720000000000002</v>
      </c>
      <c r="AC159">
        <v>-0.44750000000000001</v>
      </c>
      <c r="AD159">
        <v>0</v>
      </c>
      <c r="AE159">
        <v>42.6068</v>
      </c>
      <c r="AF159">
        <v>-19.2271</v>
      </c>
      <c r="AG159">
        <v>70.751999999999995</v>
      </c>
      <c r="AH159">
        <v>40070.903200000001</v>
      </c>
      <c r="AK159">
        <v>2.4687999999999999</v>
      </c>
      <c r="AL159">
        <v>-6.9469000000000003</v>
      </c>
      <c r="AM159">
        <v>0.40379999999999999</v>
      </c>
      <c r="AN159">
        <v>1.7359</v>
      </c>
      <c r="AO159">
        <v>-0.16289999999999999</v>
      </c>
      <c r="AP159" t="s">
        <v>23</v>
      </c>
      <c r="AQ159">
        <v>28.233000000000001</v>
      </c>
      <c r="AR159">
        <v>9.2439</v>
      </c>
      <c r="AS159">
        <v>40.661999999999999</v>
      </c>
      <c r="AT159">
        <v>24634.928199999998</v>
      </c>
      <c r="AV159">
        <v>3.3117999999999999</v>
      </c>
      <c r="AW159">
        <v>78.922600000000003</v>
      </c>
      <c r="AX159">
        <v>0.1565</v>
      </c>
      <c r="AY159">
        <v>12.4095</v>
      </c>
      <c r="AZ159">
        <v>-0.85670000000000002</v>
      </c>
      <c r="BA159" t="s">
        <v>23</v>
      </c>
      <c r="BB159">
        <v>5.3353000000000002</v>
      </c>
      <c r="BC159">
        <v>-4.1680000000000001</v>
      </c>
      <c r="BD159">
        <v>57.9</v>
      </c>
      <c r="BE159">
        <v>50681.0674</v>
      </c>
      <c r="BH159" s="5">
        <v>3.6734</v>
      </c>
      <c r="BI159">
        <v>36.029899999999998</v>
      </c>
      <c r="BJ159">
        <v>1.6352</v>
      </c>
      <c r="BK159">
        <v>48.976999999999997</v>
      </c>
      <c r="BL159">
        <v>1.3237000000000001</v>
      </c>
      <c r="BM159">
        <v>0</v>
      </c>
      <c r="BN159">
        <v>8.3637999999999995</v>
      </c>
      <c r="BO159">
        <v>2.1612</v>
      </c>
      <c r="BP159">
        <v>34.598999999999997</v>
      </c>
      <c r="BQ159">
        <v>21571.588800000001</v>
      </c>
      <c r="CE159" s="1">
        <f t="shared" si="11"/>
        <v>44722</v>
      </c>
      <c r="CF159" s="35">
        <f t="shared" si="18"/>
        <v>2.9267169955598673</v>
      </c>
      <c r="CG159" s="36">
        <f t="shared" si="17"/>
        <v>-0.89435866443366008</v>
      </c>
      <c r="CH159">
        <f t="shared" ca="1" si="12"/>
        <v>1.3552247537840583</v>
      </c>
      <c r="CI159">
        <f t="shared" ca="1" si="13"/>
        <v>1.2078120352240749</v>
      </c>
      <c r="CJ159">
        <f t="shared" ca="1" si="14"/>
        <v>0.75029591278909524</v>
      </c>
      <c r="CK159">
        <f t="shared" ca="1" si="15"/>
        <v>-8.5946821727410971E-2</v>
      </c>
      <c r="CL159">
        <f t="shared" ca="1" si="16"/>
        <v>-0.85009630433604599</v>
      </c>
    </row>
    <row r="160" spans="1:90" x14ac:dyDescent="0.25">
      <c r="A160" s="43">
        <v>44729</v>
      </c>
      <c r="B160" s="5">
        <v>3.2016</v>
      </c>
      <c r="C160">
        <v>1.7211000000000001</v>
      </c>
      <c r="D160">
        <v>0.1169</v>
      </c>
      <c r="E160">
        <v>22.323799999999999</v>
      </c>
      <c r="F160">
        <v>0.41749999999999998</v>
      </c>
      <c r="G160">
        <v>44.554000000000002</v>
      </c>
      <c r="H160">
        <v>52.348100000000002</v>
      </c>
      <c r="I160">
        <v>28.5837</v>
      </c>
      <c r="J160">
        <v>63.012999999999998</v>
      </c>
      <c r="K160">
        <v>115898.1214</v>
      </c>
      <c r="M160" s="43">
        <v>44729</v>
      </c>
      <c r="N160" s="5">
        <v>2.6823999999999999</v>
      </c>
      <c r="O160">
        <v>25.2087</v>
      </c>
      <c r="P160">
        <v>0.57599999999999996</v>
      </c>
      <c r="Q160">
        <v>28.648900000000001</v>
      </c>
      <c r="R160">
        <v>0.56820000000000004</v>
      </c>
      <c r="S160">
        <v>195.11080000000001</v>
      </c>
      <c r="T160">
        <v>48.1526</v>
      </c>
      <c r="U160">
        <v>37.254300000000001</v>
      </c>
      <c r="V160">
        <v>244.001</v>
      </c>
      <c r="W160">
        <v>191502.41320000001</v>
      </c>
      <c r="Y160" s="5">
        <v>1.593</v>
      </c>
      <c r="Z160">
        <v>-13.418799999999999</v>
      </c>
      <c r="AA160">
        <v>8.1900000000000001E-2</v>
      </c>
      <c r="AB160">
        <v>7.2720000000000002</v>
      </c>
      <c r="AC160">
        <v>-0.44750000000000001</v>
      </c>
      <c r="AD160">
        <v>0</v>
      </c>
      <c r="AE160">
        <v>42.6068</v>
      </c>
      <c r="AF160">
        <v>-19.2271</v>
      </c>
      <c r="AG160">
        <v>62.915999999999997</v>
      </c>
      <c r="AH160">
        <v>35633.226499999997</v>
      </c>
      <c r="AK160">
        <v>2.331</v>
      </c>
      <c r="AL160">
        <v>-6.9469000000000003</v>
      </c>
      <c r="AM160">
        <v>0.40379999999999999</v>
      </c>
      <c r="AN160">
        <v>1.7359</v>
      </c>
      <c r="AO160">
        <v>-0.16289999999999999</v>
      </c>
      <c r="AP160" t="s">
        <v>23</v>
      </c>
      <c r="AQ160">
        <v>28.233000000000001</v>
      </c>
      <c r="AR160">
        <v>9.2439</v>
      </c>
      <c r="AS160">
        <v>38.533000000000001</v>
      </c>
      <c r="AT160">
        <v>23345.374199999998</v>
      </c>
      <c r="AV160">
        <v>3.2290000000000001</v>
      </c>
      <c r="AW160">
        <v>78.922600000000003</v>
      </c>
      <c r="AX160">
        <v>0.1565</v>
      </c>
      <c r="AY160">
        <v>12.4095</v>
      </c>
      <c r="AZ160">
        <v>-0.85670000000000002</v>
      </c>
      <c r="BA160" t="s">
        <v>23</v>
      </c>
      <c r="BB160">
        <v>5.3353000000000002</v>
      </c>
      <c r="BC160">
        <v>-4.1680000000000001</v>
      </c>
      <c r="BD160">
        <v>56.75</v>
      </c>
      <c r="BE160">
        <v>49674.448600000003</v>
      </c>
      <c r="BH160" s="5">
        <v>3.6208</v>
      </c>
      <c r="BI160">
        <v>36.029899999999998</v>
      </c>
      <c r="BJ160">
        <v>1.6352</v>
      </c>
      <c r="BK160">
        <v>48.976999999999997</v>
      </c>
      <c r="BL160">
        <v>1.3237000000000001</v>
      </c>
      <c r="BM160">
        <v>0</v>
      </c>
      <c r="BN160">
        <v>8.3637999999999995</v>
      </c>
      <c r="BO160">
        <v>2.1612</v>
      </c>
      <c r="BP160">
        <v>33.823</v>
      </c>
      <c r="BQ160">
        <v>21087.793300000001</v>
      </c>
      <c r="CE160" s="1">
        <f t="shared" si="11"/>
        <v>44729</v>
      </c>
      <c r="CF160" s="35">
        <f t="shared" si="18"/>
        <v>2.8198675223157528</v>
      </c>
      <c r="CG160" s="36">
        <f t="shared" si="17"/>
        <v>-0.94467522483955679</v>
      </c>
      <c r="CH160">
        <f t="shared" ca="1" si="12"/>
        <v>1.3552247537840583</v>
      </c>
      <c r="CI160">
        <f t="shared" ca="1" si="13"/>
        <v>1.2078120352240749</v>
      </c>
      <c r="CJ160">
        <f t="shared" ca="1" si="14"/>
        <v>0.75029591278909524</v>
      </c>
      <c r="CK160">
        <f t="shared" ca="1" si="15"/>
        <v>-9.6289657208133428E-2</v>
      </c>
      <c r="CL160">
        <f t="shared" ca="1" si="16"/>
        <v>-0.87000386262117746</v>
      </c>
    </row>
    <row r="161" spans="1:90" x14ac:dyDescent="0.25">
      <c r="A161" s="43">
        <v>44736</v>
      </c>
      <c r="B161" s="5">
        <v>3.1076999999999999</v>
      </c>
      <c r="C161">
        <v>1.7211000000000001</v>
      </c>
      <c r="D161">
        <v>0.1169</v>
      </c>
      <c r="E161">
        <v>22.323799999999999</v>
      </c>
      <c r="F161">
        <v>0.41749999999999998</v>
      </c>
      <c r="G161">
        <v>44.554000000000002</v>
      </c>
      <c r="H161">
        <v>52.348100000000002</v>
      </c>
      <c r="I161">
        <v>28.5837</v>
      </c>
      <c r="J161">
        <v>60.884999999999998</v>
      </c>
      <c r="K161">
        <v>111984.6784</v>
      </c>
      <c r="M161" s="43">
        <v>44736</v>
      </c>
      <c r="N161" s="5">
        <v>2.5842999999999998</v>
      </c>
      <c r="O161">
        <v>25.2087</v>
      </c>
      <c r="P161">
        <v>0.57599999999999996</v>
      </c>
      <c r="Q161">
        <v>28.648900000000001</v>
      </c>
      <c r="R161">
        <v>0.56820000000000004</v>
      </c>
      <c r="S161">
        <v>195.11080000000001</v>
      </c>
      <c r="T161">
        <v>48.1526</v>
      </c>
      <c r="U161">
        <v>37.254300000000001</v>
      </c>
      <c r="V161">
        <v>232.684</v>
      </c>
      <c r="W161">
        <v>182619.8327</v>
      </c>
      <c r="Y161" s="5">
        <v>1.4169</v>
      </c>
      <c r="Z161">
        <v>-13.418799999999999</v>
      </c>
      <c r="AA161">
        <v>8.1900000000000001E-2</v>
      </c>
      <c r="AB161">
        <v>7.2720000000000002</v>
      </c>
      <c r="AC161">
        <v>-0.44750000000000001</v>
      </c>
      <c r="AD161">
        <v>0</v>
      </c>
      <c r="AE161">
        <v>42.6068</v>
      </c>
      <c r="AF161">
        <v>-19.2271</v>
      </c>
      <c r="AG161">
        <v>57.485999999999997</v>
      </c>
      <c r="AH161">
        <v>32557.608899999999</v>
      </c>
      <c r="AK161">
        <v>2.1838000000000002</v>
      </c>
      <c r="AL161">
        <v>-6.9469000000000003</v>
      </c>
      <c r="AM161">
        <v>0.40379999999999999</v>
      </c>
      <c r="AN161">
        <v>1.7359</v>
      </c>
      <c r="AO161">
        <v>-0.16289999999999999</v>
      </c>
      <c r="AP161" t="s">
        <v>23</v>
      </c>
      <c r="AQ161">
        <v>28.233000000000001</v>
      </c>
      <c r="AR161">
        <v>9.2439</v>
      </c>
      <c r="AS161">
        <v>36.258000000000003</v>
      </c>
      <c r="AT161">
        <v>21966.8855</v>
      </c>
      <c r="AV161">
        <v>3.0958000000000001</v>
      </c>
      <c r="AW161">
        <v>78.922600000000003</v>
      </c>
      <c r="AX161">
        <v>0.1565</v>
      </c>
      <c r="AY161">
        <v>12.4095</v>
      </c>
      <c r="AZ161">
        <v>-0.85670000000000002</v>
      </c>
      <c r="BA161" t="s">
        <v>23</v>
      </c>
      <c r="BB161">
        <v>5.3353000000000002</v>
      </c>
      <c r="BC161">
        <v>-4.1680000000000001</v>
      </c>
      <c r="BD161">
        <v>54.9</v>
      </c>
      <c r="BE161">
        <v>48055.105300000003</v>
      </c>
      <c r="BH161" s="5">
        <v>3.4476</v>
      </c>
      <c r="BI161">
        <v>36.029899999999998</v>
      </c>
      <c r="BJ161">
        <v>1.6352</v>
      </c>
      <c r="BK161">
        <v>48.976999999999997</v>
      </c>
      <c r="BL161">
        <v>1.3237000000000001</v>
      </c>
      <c r="BM161">
        <v>0</v>
      </c>
      <c r="BN161">
        <v>8.3637999999999995</v>
      </c>
      <c r="BO161">
        <v>2.1612</v>
      </c>
      <c r="BP161">
        <v>31.266999999999999</v>
      </c>
      <c r="BQ161">
        <v>19494.1139</v>
      </c>
      <c r="CE161" s="1">
        <f t="shared" si="11"/>
        <v>44736</v>
      </c>
      <c r="CF161" s="35">
        <f t="shared" si="18"/>
        <v>2.7120166459348458</v>
      </c>
      <c r="CG161" s="36">
        <f t="shared" si="17"/>
        <v>-0.9954633566991371</v>
      </c>
      <c r="CH161">
        <f t="shared" ca="1" si="12"/>
        <v>1.3552247537840583</v>
      </c>
      <c r="CI161">
        <f t="shared" ca="1" si="13"/>
        <v>1.2078120352240749</v>
      </c>
      <c r="CJ161">
        <f t="shared" ca="1" si="14"/>
        <v>0.75029591278909524</v>
      </c>
      <c r="CK161">
        <f t="shared" ca="1" si="15"/>
        <v>-0.10152184847159207</v>
      </c>
      <c r="CL161">
        <f t="shared" ca="1" si="16"/>
        <v>-0.89214113182376875</v>
      </c>
    </row>
    <row r="162" spans="1:90" x14ac:dyDescent="0.25">
      <c r="A162" s="43">
        <v>44743</v>
      </c>
      <c r="B162" s="5">
        <v>2.1194000000000002</v>
      </c>
      <c r="C162">
        <v>10.1752</v>
      </c>
      <c r="D162">
        <v>0.37940000000000002</v>
      </c>
      <c r="E162">
        <v>22.308700000000002</v>
      </c>
      <c r="F162">
        <v>0.2482</v>
      </c>
      <c r="G162">
        <v>44.554000000000002</v>
      </c>
      <c r="H162">
        <v>61.026800000000001</v>
      </c>
      <c r="I162">
        <v>37.508299999999998</v>
      </c>
      <c r="J162">
        <v>62.521999999999998</v>
      </c>
      <c r="K162">
        <v>114995.0192</v>
      </c>
      <c r="M162" s="43">
        <v>44743</v>
      </c>
      <c r="N162" s="5">
        <v>2.2509000000000001</v>
      </c>
      <c r="O162">
        <v>29.664100000000001</v>
      </c>
      <c r="P162">
        <v>0.6784</v>
      </c>
      <c r="Q162">
        <v>26.875499999999999</v>
      </c>
      <c r="R162">
        <v>0.37819999999999998</v>
      </c>
      <c r="S162">
        <v>195.11080000000001</v>
      </c>
      <c r="T162">
        <v>48.812800000000003</v>
      </c>
      <c r="U162">
        <v>36.483899999999998</v>
      </c>
      <c r="V162">
        <v>255.31899999999999</v>
      </c>
      <c r="W162">
        <v>200384.99359999999</v>
      </c>
      <c r="Y162" s="5">
        <v>1.1212</v>
      </c>
      <c r="Z162">
        <v>-5.3754999999999997</v>
      </c>
      <c r="AA162">
        <v>0.2898</v>
      </c>
      <c r="AB162">
        <v>7.0754999999999999</v>
      </c>
      <c r="AC162">
        <v>-0.47889999999999999</v>
      </c>
      <c r="AD162">
        <v>0</v>
      </c>
      <c r="AE162">
        <v>45.79</v>
      </c>
      <c r="AF162">
        <v>-17.1511</v>
      </c>
      <c r="AG162">
        <v>65.244</v>
      </c>
      <c r="AH162">
        <v>36951.348299999998</v>
      </c>
      <c r="AK162">
        <v>1.5507</v>
      </c>
      <c r="AL162">
        <v>5.6391</v>
      </c>
      <c r="AM162">
        <v>0.65780000000000005</v>
      </c>
      <c r="AN162">
        <v>1.3262</v>
      </c>
      <c r="AO162">
        <v>-9.11E-2</v>
      </c>
      <c r="AP162" t="s">
        <v>23</v>
      </c>
      <c r="AQ162">
        <v>34.482799999999997</v>
      </c>
      <c r="AR162">
        <v>16.582899999999999</v>
      </c>
      <c r="AS162">
        <v>39.780999999999999</v>
      </c>
      <c r="AT162">
        <v>24101.3197</v>
      </c>
      <c r="AV162">
        <v>3.0777999999999999</v>
      </c>
      <c r="AW162">
        <v>-5.7695999999999996</v>
      </c>
      <c r="AX162">
        <v>-0.54849999999999999</v>
      </c>
      <c r="AY162">
        <v>10.349500000000001</v>
      </c>
      <c r="AZ162">
        <v>-0.85670000000000002</v>
      </c>
      <c r="BA162" t="s">
        <v>23</v>
      </c>
      <c r="BB162">
        <v>-0.41489999999999999</v>
      </c>
      <c r="BC162">
        <v>-10.2829</v>
      </c>
      <c r="BD162">
        <v>55.2</v>
      </c>
      <c r="BE162">
        <v>48317.701500000003</v>
      </c>
      <c r="BH162" s="5">
        <v>2.1821000000000002</v>
      </c>
      <c r="BI162">
        <v>20.127600000000001</v>
      </c>
      <c r="BJ162">
        <v>2.4624000000000001</v>
      </c>
      <c r="BK162">
        <v>38.939100000000003</v>
      </c>
      <c r="BL162">
        <v>0.79420000000000002</v>
      </c>
      <c r="BM162">
        <v>0</v>
      </c>
      <c r="BN162">
        <v>10.8729</v>
      </c>
      <c r="BO162">
        <v>4.6764000000000001</v>
      </c>
      <c r="BP162">
        <v>33.64</v>
      </c>
      <c r="BQ162">
        <v>20973.958999999999</v>
      </c>
      <c r="CE162" s="1">
        <f t="shared" si="11"/>
        <v>44743</v>
      </c>
      <c r="CF162" s="35">
        <f t="shared" si="18"/>
        <v>2.1718587069906339</v>
      </c>
      <c r="CG162" s="36">
        <f t="shared" si="17"/>
        <v>-1.2498295106764861</v>
      </c>
      <c r="CH162">
        <f t="shared" ca="1" si="12"/>
        <v>1.3552247537840583</v>
      </c>
      <c r="CI162">
        <f t="shared" ca="1" si="13"/>
        <v>1.2078120352240749</v>
      </c>
      <c r="CJ162">
        <f t="shared" ca="1" si="14"/>
        <v>0.75029591278909524</v>
      </c>
      <c r="CK162">
        <f t="shared" ca="1" si="15"/>
        <v>-0.11458959790901713</v>
      </c>
      <c r="CL162">
        <f t="shared" ca="1" si="16"/>
        <v>-0.91535818833541449</v>
      </c>
    </row>
    <row r="163" spans="1:90" x14ac:dyDescent="0.25">
      <c r="A163" s="43">
        <v>44750</v>
      </c>
      <c r="B163" s="5">
        <v>2.5853000000000002</v>
      </c>
      <c r="C163">
        <v>10.1752</v>
      </c>
      <c r="D163">
        <v>0.37940000000000002</v>
      </c>
      <c r="E163">
        <v>22.308700000000002</v>
      </c>
      <c r="F163">
        <v>0.2482</v>
      </c>
      <c r="G163">
        <v>44.554000000000002</v>
      </c>
      <c r="H163">
        <v>61.026800000000001</v>
      </c>
      <c r="I163">
        <v>37.508299999999998</v>
      </c>
      <c r="J163">
        <v>78.111999999999995</v>
      </c>
      <c r="K163">
        <v>143668.5154</v>
      </c>
      <c r="M163" s="43">
        <v>44750</v>
      </c>
      <c r="N163" s="5">
        <v>2.5712999999999999</v>
      </c>
      <c r="O163">
        <v>29.664100000000001</v>
      </c>
      <c r="P163">
        <v>0.6784</v>
      </c>
      <c r="Q163">
        <v>26.875499999999999</v>
      </c>
      <c r="R163">
        <v>0.37819999999999998</v>
      </c>
      <c r="S163">
        <v>195.11080000000001</v>
      </c>
      <c r="T163">
        <v>48.812800000000003</v>
      </c>
      <c r="U163">
        <v>36.483899999999998</v>
      </c>
      <c r="V163">
        <v>299.00700000000001</v>
      </c>
      <c r="W163">
        <v>234673.2598</v>
      </c>
      <c r="Y163" s="5">
        <v>1.2524999999999999</v>
      </c>
      <c r="Z163">
        <v>-5.3754999999999997</v>
      </c>
      <c r="AA163">
        <v>0.2898</v>
      </c>
      <c r="AB163">
        <v>7.0754999999999999</v>
      </c>
      <c r="AC163">
        <v>-0.47889999999999999</v>
      </c>
      <c r="AD163">
        <v>0</v>
      </c>
      <c r="AE163">
        <v>45.79</v>
      </c>
      <c r="AF163">
        <v>-17.1511</v>
      </c>
      <c r="AG163">
        <v>70.596000000000004</v>
      </c>
      <c r="AH163">
        <v>39983.028400000003</v>
      </c>
      <c r="AK163">
        <v>1.8142</v>
      </c>
      <c r="AL163">
        <v>5.6391</v>
      </c>
      <c r="AM163">
        <v>0.65780000000000005</v>
      </c>
      <c r="AN163">
        <v>1.3262</v>
      </c>
      <c r="AO163">
        <v>-9.11E-2</v>
      </c>
      <c r="AP163" t="s">
        <v>23</v>
      </c>
      <c r="AQ163">
        <v>34.482799999999997</v>
      </c>
      <c r="AR163">
        <v>16.582899999999999</v>
      </c>
      <c r="AS163">
        <v>46.167000000000002</v>
      </c>
      <c r="AT163">
        <v>27969.9817</v>
      </c>
      <c r="AV163">
        <v>3.0777999999999999</v>
      </c>
      <c r="AW163">
        <v>-5.7695999999999996</v>
      </c>
      <c r="AX163">
        <v>-0.54849999999999999</v>
      </c>
      <c r="AY163">
        <v>10.349500000000001</v>
      </c>
      <c r="AZ163">
        <v>-0.85670000000000002</v>
      </c>
      <c r="BA163" t="s">
        <v>23</v>
      </c>
      <c r="BB163">
        <v>-0.41489999999999999</v>
      </c>
      <c r="BC163">
        <v>-10.2829</v>
      </c>
      <c r="BD163">
        <v>63.6</v>
      </c>
      <c r="BE163">
        <v>55670.395199999999</v>
      </c>
      <c r="BH163" s="5">
        <v>2.3851</v>
      </c>
      <c r="BI163">
        <v>20.127600000000001</v>
      </c>
      <c r="BJ163">
        <v>2.4624000000000001</v>
      </c>
      <c r="BK163">
        <v>38.939100000000003</v>
      </c>
      <c r="BL163">
        <v>0.79420000000000002</v>
      </c>
      <c r="BM163">
        <v>0</v>
      </c>
      <c r="BN163">
        <v>10.8729</v>
      </c>
      <c r="BO163">
        <v>4.6764000000000001</v>
      </c>
      <c r="BP163">
        <v>38.57</v>
      </c>
      <c r="BQ163">
        <v>24047.483499999998</v>
      </c>
      <c r="CE163" s="1">
        <f t="shared" si="11"/>
        <v>44750</v>
      </c>
      <c r="CF163" s="35">
        <f t="shared" si="18"/>
        <v>2.4797149083484991</v>
      </c>
      <c r="CG163" s="36">
        <f t="shared" si="17"/>
        <v>-1.1048567309177788</v>
      </c>
      <c r="CH163">
        <f t="shared" ca="1" si="12"/>
        <v>1.3552247537840583</v>
      </c>
      <c r="CI163">
        <f t="shared" ca="1" si="13"/>
        <v>1.2078120352240749</v>
      </c>
      <c r="CJ163">
        <f t="shared" ca="1" si="14"/>
        <v>0.75029591278909524</v>
      </c>
      <c r="CK163">
        <f t="shared" ca="1" si="15"/>
        <v>-0.82915950666813987</v>
      </c>
      <c r="CL163">
        <f t="shared" ca="1" si="16"/>
        <v>-0.9238939308406835</v>
      </c>
    </row>
    <row r="164" spans="1:90" x14ac:dyDescent="0.25">
      <c r="A164" s="43">
        <v>44757</v>
      </c>
      <c r="B164" s="5">
        <v>2.5461999999999998</v>
      </c>
      <c r="C164">
        <v>10.1752</v>
      </c>
      <c r="D164">
        <v>0.37940000000000002</v>
      </c>
      <c r="E164">
        <v>22.308700000000002</v>
      </c>
      <c r="F164">
        <v>0.2482</v>
      </c>
      <c r="G164">
        <v>44.554000000000002</v>
      </c>
      <c r="H164">
        <v>61.026800000000001</v>
      </c>
      <c r="I164">
        <v>37.508299999999998</v>
      </c>
      <c r="J164">
        <v>76.802000000000007</v>
      </c>
      <c r="K164">
        <v>141260.24280000001</v>
      </c>
      <c r="M164" s="43">
        <v>44757</v>
      </c>
      <c r="N164" s="5">
        <v>2.4419</v>
      </c>
      <c r="O164">
        <v>29.664100000000001</v>
      </c>
      <c r="P164">
        <v>0.6784</v>
      </c>
      <c r="Q164">
        <v>26.875499999999999</v>
      </c>
      <c r="R164">
        <v>0.37819999999999998</v>
      </c>
      <c r="S164">
        <v>195.11080000000001</v>
      </c>
      <c r="T164">
        <v>48.812800000000003</v>
      </c>
      <c r="U164">
        <v>36.483899999999998</v>
      </c>
      <c r="V164">
        <v>281.35899999999998</v>
      </c>
      <c r="W164">
        <v>220822.4564</v>
      </c>
      <c r="Y164" s="5">
        <v>1.2239</v>
      </c>
      <c r="Z164">
        <v>-5.3754999999999997</v>
      </c>
      <c r="AA164">
        <v>0.2898</v>
      </c>
      <c r="AB164">
        <v>7.0754999999999999</v>
      </c>
      <c r="AC164">
        <v>-0.47889999999999999</v>
      </c>
      <c r="AD164">
        <v>0</v>
      </c>
      <c r="AE164">
        <v>45.79</v>
      </c>
      <c r="AF164">
        <v>-17.1511</v>
      </c>
      <c r="AG164">
        <v>69.433000000000007</v>
      </c>
      <c r="AH164">
        <v>39323.967499999999</v>
      </c>
      <c r="AK164">
        <v>1.7747999999999999</v>
      </c>
      <c r="AL164">
        <v>5.6391</v>
      </c>
      <c r="AM164">
        <v>0.65780000000000005</v>
      </c>
      <c r="AN164">
        <v>1.3262</v>
      </c>
      <c r="AO164">
        <v>-9.11E-2</v>
      </c>
      <c r="AP164" t="s">
        <v>23</v>
      </c>
      <c r="AQ164">
        <v>34.482799999999997</v>
      </c>
      <c r="AR164">
        <v>16.582899999999999</v>
      </c>
      <c r="AS164">
        <v>45.212000000000003</v>
      </c>
      <c r="AT164">
        <v>27391.9058</v>
      </c>
      <c r="AV164">
        <v>3.0777999999999999</v>
      </c>
      <c r="AW164">
        <v>-5.7695999999999996</v>
      </c>
      <c r="AX164">
        <v>-0.54849999999999999</v>
      </c>
      <c r="AY164">
        <v>10.349500000000001</v>
      </c>
      <c r="AZ164">
        <v>-0.85670000000000002</v>
      </c>
      <c r="BA164" t="s">
        <v>23</v>
      </c>
      <c r="BB164">
        <v>-0.41489999999999999</v>
      </c>
      <c r="BC164">
        <v>-10.2829</v>
      </c>
      <c r="BD164">
        <v>65.7</v>
      </c>
      <c r="BE164">
        <v>57508.568700000003</v>
      </c>
      <c r="BH164" s="5">
        <v>2.3569</v>
      </c>
      <c r="BI164">
        <v>20.127600000000001</v>
      </c>
      <c r="BJ164">
        <v>2.4624000000000001</v>
      </c>
      <c r="BK164">
        <v>38.939100000000003</v>
      </c>
      <c r="BL164">
        <v>0.79420000000000002</v>
      </c>
      <c r="BM164">
        <v>0</v>
      </c>
      <c r="BN164">
        <v>10.8729</v>
      </c>
      <c r="BO164">
        <v>4.6764000000000001</v>
      </c>
      <c r="BP164">
        <v>37.884999999999998</v>
      </c>
      <c r="BQ164">
        <v>23620.605100000001</v>
      </c>
      <c r="CE164" s="1">
        <f t="shared" si="11"/>
        <v>44757</v>
      </c>
      <c r="CF164" s="35">
        <f t="shared" si="18"/>
        <v>2.4088083665877194</v>
      </c>
      <c r="CG164" s="36">
        <f t="shared" si="17"/>
        <v>-1.1382473802430062</v>
      </c>
      <c r="CH164">
        <f t="shared" ca="1" si="12"/>
        <v>1.3552247537840583</v>
      </c>
      <c r="CI164">
        <f t="shared" ca="1" si="13"/>
        <v>1.2078120352240749</v>
      </c>
      <c r="CJ164">
        <f t="shared" ca="1" si="14"/>
        <v>0.75029591278909524</v>
      </c>
      <c r="CK164">
        <f t="shared" ca="1" si="15"/>
        <v>-0.84088770490114495</v>
      </c>
      <c r="CL164">
        <f t="shared" ca="1" si="16"/>
        <v>-0.92458389531737262</v>
      </c>
    </row>
    <row r="165" spans="1:90" x14ac:dyDescent="0.25">
      <c r="A165" s="43">
        <v>44764</v>
      </c>
      <c r="B165" s="5">
        <v>2.6232000000000002</v>
      </c>
      <c r="C165">
        <v>10.1752</v>
      </c>
      <c r="D165">
        <v>0.37940000000000002</v>
      </c>
      <c r="E165">
        <v>22.308700000000002</v>
      </c>
      <c r="F165">
        <v>0.2482</v>
      </c>
      <c r="G165">
        <v>44.554000000000002</v>
      </c>
      <c r="H165">
        <v>61.026800000000001</v>
      </c>
      <c r="I165">
        <v>37.508299999999998</v>
      </c>
      <c r="J165">
        <v>79.38</v>
      </c>
      <c r="K165">
        <v>146001.52960000001</v>
      </c>
      <c r="M165" s="43">
        <v>44764</v>
      </c>
      <c r="N165" s="5">
        <v>2.5832999999999999</v>
      </c>
      <c r="O165">
        <v>29.664100000000001</v>
      </c>
      <c r="P165">
        <v>0.6784</v>
      </c>
      <c r="Q165">
        <v>26.875499999999999</v>
      </c>
      <c r="R165">
        <v>0.37819999999999998</v>
      </c>
      <c r="S165">
        <v>195.11080000000001</v>
      </c>
      <c r="T165">
        <v>48.812800000000003</v>
      </c>
      <c r="U165">
        <v>36.483899999999998</v>
      </c>
      <c r="V165">
        <v>300.63799999999998</v>
      </c>
      <c r="W165">
        <v>235952.95360000001</v>
      </c>
      <c r="Y165" s="5">
        <v>1.4998</v>
      </c>
      <c r="Z165">
        <v>-5.3754999999999997</v>
      </c>
      <c r="AA165">
        <v>0.2898</v>
      </c>
      <c r="AB165">
        <v>7.0754999999999999</v>
      </c>
      <c r="AC165">
        <v>-0.47889999999999999</v>
      </c>
      <c r="AD165">
        <v>0</v>
      </c>
      <c r="AE165">
        <v>45.79</v>
      </c>
      <c r="AF165">
        <v>-17.1511</v>
      </c>
      <c r="AG165">
        <v>80.682000000000002</v>
      </c>
      <c r="AH165">
        <v>45694.8897</v>
      </c>
      <c r="AK165">
        <v>2.0352999999999999</v>
      </c>
      <c r="AL165">
        <v>5.6391</v>
      </c>
      <c r="AM165">
        <v>0.65780000000000005</v>
      </c>
      <c r="AN165">
        <v>1.3262</v>
      </c>
      <c r="AO165">
        <v>-9.11E-2</v>
      </c>
      <c r="AP165" t="s">
        <v>23</v>
      </c>
      <c r="AQ165">
        <v>34.482799999999997</v>
      </c>
      <c r="AR165">
        <v>16.582899999999999</v>
      </c>
      <c r="AS165">
        <v>51.524999999999999</v>
      </c>
      <c r="AT165">
        <v>31216.100399999999</v>
      </c>
      <c r="AV165">
        <v>3.0777999999999999</v>
      </c>
      <c r="AW165">
        <v>-5.7695999999999996</v>
      </c>
      <c r="AX165">
        <v>-0.54849999999999999</v>
      </c>
      <c r="AY165">
        <v>10.349500000000001</v>
      </c>
      <c r="AZ165">
        <v>-0.85670000000000002</v>
      </c>
      <c r="BA165" t="s">
        <v>23</v>
      </c>
      <c r="BB165">
        <v>-0.41489999999999999</v>
      </c>
      <c r="BC165">
        <v>-10.2829</v>
      </c>
      <c r="BD165">
        <v>74.7</v>
      </c>
      <c r="BE165">
        <v>65386.4548</v>
      </c>
      <c r="BH165" s="5">
        <v>2.5598999999999998</v>
      </c>
      <c r="BI165">
        <v>20.127600000000001</v>
      </c>
      <c r="BJ165">
        <v>2.4624000000000001</v>
      </c>
      <c r="BK165">
        <v>38.939100000000003</v>
      </c>
      <c r="BL165">
        <v>0.79420000000000002</v>
      </c>
      <c r="BM165">
        <v>0</v>
      </c>
      <c r="BN165">
        <v>10.8729</v>
      </c>
      <c r="BO165">
        <v>4.6764000000000001</v>
      </c>
      <c r="BP165">
        <v>42.814999999999998</v>
      </c>
      <c r="BQ165">
        <v>26694.129700000001</v>
      </c>
      <c r="CE165" s="1">
        <f t="shared" si="11"/>
        <v>44764</v>
      </c>
      <c r="CF165" s="35">
        <f t="shared" si="18"/>
        <v>2.5305136785393834</v>
      </c>
      <c r="CG165" s="36">
        <f t="shared" si="17"/>
        <v>-1.0809350464091874</v>
      </c>
      <c r="CH165">
        <f t="shared" ca="1" si="12"/>
        <v>1.3552247537840583</v>
      </c>
      <c r="CI165">
        <f t="shared" ca="1" si="13"/>
        <v>1.2078120352240749</v>
      </c>
      <c r="CJ165">
        <f t="shared" ca="1" si="14"/>
        <v>0.75029591278909524</v>
      </c>
      <c r="CK165">
        <f t="shared" ca="1" si="15"/>
        <v>-0.84300284534291503</v>
      </c>
      <c r="CL165">
        <f t="shared" ca="1" si="16"/>
        <v>-0.94266610079871915</v>
      </c>
    </row>
    <row r="166" spans="1:90" x14ac:dyDescent="0.25">
      <c r="A166" s="43">
        <v>44771</v>
      </c>
      <c r="B166" s="5">
        <v>3.0413999999999999</v>
      </c>
      <c r="C166">
        <v>10.1752</v>
      </c>
      <c r="D166">
        <v>0.37940000000000002</v>
      </c>
      <c r="E166">
        <v>22.308700000000002</v>
      </c>
      <c r="F166">
        <v>0.2482</v>
      </c>
      <c r="G166">
        <v>44.554000000000002</v>
      </c>
      <c r="H166">
        <v>61.026800000000001</v>
      </c>
      <c r="I166">
        <v>37.508299999999998</v>
      </c>
      <c r="J166">
        <v>93.373999999999995</v>
      </c>
      <c r="K166">
        <v>171739.9436</v>
      </c>
      <c r="M166" s="43">
        <v>44771</v>
      </c>
      <c r="N166" s="5">
        <v>2.8380000000000001</v>
      </c>
      <c r="O166">
        <v>29.664100000000001</v>
      </c>
      <c r="P166">
        <v>0.6784</v>
      </c>
      <c r="Q166">
        <v>26.875499999999999</v>
      </c>
      <c r="R166">
        <v>0.37819999999999998</v>
      </c>
      <c r="S166">
        <v>195.11080000000001</v>
      </c>
      <c r="T166">
        <v>48.812800000000003</v>
      </c>
      <c r="U166">
        <v>36.483899999999998</v>
      </c>
      <c r="V166">
        <v>335.358</v>
      </c>
      <c r="W166">
        <v>263202.90389999998</v>
      </c>
      <c r="Y166" s="5">
        <v>1.6758</v>
      </c>
      <c r="Z166">
        <v>-5.3754999999999997</v>
      </c>
      <c r="AA166">
        <v>0.2898</v>
      </c>
      <c r="AB166">
        <v>7.0754999999999999</v>
      </c>
      <c r="AC166">
        <v>-0.47889999999999999</v>
      </c>
      <c r="AD166">
        <v>0</v>
      </c>
      <c r="AE166">
        <v>45.79</v>
      </c>
      <c r="AF166">
        <v>-17.1511</v>
      </c>
      <c r="AG166">
        <v>87.858000000000004</v>
      </c>
      <c r="AH166">
        <v>49759.098599999998</v>
      </c>
      <c r="AK166">
        <v>2.2050000000000001</v>
      </c>
      <c r="AL166">
        <v>5.6391</v>
      </c>
      <c r="AM166">
        <v>0.65780000000000005</v>
      </c>
      <c r="AN166">
        <v>1.3262</v>
      </c>
      <c r="AO166">
        <v>-9.11E-2</v>
      </c>
      <c r="AP166" t="s">
        <v>23</v>
      </c>
      <c r="AQ166">
        <v>34.482799999999997</v>
      </c>
      <c r="AR166">
        <v>16.582899999999999</v>
      </c>
      <c r="AS166">
        <v>55.634999999999998</v>
      </c>
      <c r="AT166">
        <v>33706.273699999998</v>
      </c>
      <c r="AV166">
        <v>3.0777999999999999</v>
      </c>
      <c r="AW166">
        <v>-5.7695999999999996</v>
      </c>
      <c r="AX166">
        <v>-0.54849999999999999</v>
      </c>
      <c r="AY166">
        <v>10.349500000000001</v>
      </c>
      <c r="AZ166">
        <v>-0.85670000000000002</v>
      </c>
      <c r="BA166" t="s">
        <v>23</v>
      </c>
      <c r="BB166">
        <v>-0.41489999999999999</v>
      </c>
      <c r="BC166">
        <v>-10.2829</v>
      </c>
      <c r="BD166">
        <v>89</v>
      </c>
      <c r="BE166">
        <v>77903.540500000003</v>
      </c>
      <c r="BH166" s="5">
        <v>2.714</v>
      </c>
      <c r="BI166">
        <v>20.127600000000001</v>
      </c>
      <c r="BJ166">
        <v>2.4624000000000001</v>
      </c>
      <c r="BK166">
        <v>38.939100000000003</v>
      </c>
      <c r="BL166">
        <v>0.79420000000000002</v>
      </c>
      <c r="BM166">
        <v>0</v>
      </c>
      <c r="BN166">
        <v>10.8729</v>
      </c>
      <c r="BO166">
        <v>4.6764000000000001</v>
      </c>
      <c r="BP166">
        <v>46.558</v>
      </c>
      <c r="BQ166">
        <v>29027.731599999999</v>
      </c>
      <c r="CE166" s="1">
        <f t="shared" si="11"/>
        <v>44771</v>
      </c>
      <c r="CF166" s="35">
        <f t="shared" si="18"/>
        <v>2.7913815452232114</v>
      </c>
      <c r="CG166" s="36">
        <f t="shared" si="17"/>
        <v>-0.95808957629661273</v>
      </c>
      <c r="CH166">
        <f t="shared" ca="1" si="12"/>
        <v>1.3552247537840583</v>
      </c>
      <c r="CI166">
        <f t="shared" ca="1" si="13"/>
        <v>1.2078120352240749</v>
      </c>
      <c r="CJ166">
        <f t="shared" ca="1" si="14"/>
        <v>0.75029591278909524</v>
      </c>
      <c r="CK166">
        <f t="shared" ca="1" si="15"/>
        <v>-0.84819650472653563</v>
      </c>
      <c r="CL166">
        <f t="shared" ca="1" si="16"/>
        <v>-0.95175409752484708</v>
      </c>
    </row>
    <row r="167" spans="1:90" x14ac:dyDescent="0.25">
      <c r="A167" s="43">
        <v>44778</v>
      </c>
      <c r="B167" s="5">
        <v>3.0341</v>
      </c>
      <c r="C167">
        <v>10.1752</v>
      </c>
      <c r="D167">
        <v>0.37940000000000002</v>
      </c>
      <c r="E167">
        <v>22.308700000000002</v>
      </c>
      <c r="F167">
        <v>0.2482</v>
      </c>
      <c r="G167">
        <v>44.554000000000002</v>
      </c>
      <c r="H167">
        <v>61.026800000000001</v>
      </c>
      <c r="I167">
        <v>37.508299999999998</v>
      </c>
      <c r="J167">
        <v>93.128</v>
      </c>
      <c r="K167">
        <v>171288.39240000001</v>
      </c>
      <c r="M167" s="43">
        <v>44778</v>
      </c>
      <c r="N167" s="5">
        <v>2.7650999999999999</v>
      </c>
      <c r="O167">
        <v>29.664100000000001</v>
      </c>
      <c r="P167">
        <v>0.6784</v>
      </c>
      <c r="Q167">
        <v>26.875499999999999</v>
      </c>
      <c r="R167">
        <v>0.37819999999999998</v>
      </c>
      <c r="S167">
        <v>195.11080000000001</v>
      </c>
      <c r="T167">
        <v>48.812800000000003</v>
      </c>
      <c r="U167">
        <v>36.483899999999998</v>
      </c>
      <c r="V167">
        <v>325.43099999999998</v>
      </c>
      <c r="W167">
        <v>255411.82699999999</v>
      </c>
      <c r="Y167" s="5">
        <v>1.9850000000000001</v>
      </c>
      <c r="Z167">
        <v>-5.3754999999999997</v>
      </c>
      <c r="AA167">
        <v>0.2898</v>
      </c>
      <c r="AB167">
        <v>7.0754999999999999</v>
      </c>
      <c r="AC167">
        <v>-0.47889999999999999</v>
      </c>
      <c r="AD167">
        <v>0</v>
      </c>
      <c r="AE167">
        <v>45.79</v>
      </c>
      <c r="AF167">
        <v>-17.1511</v>
      </c>
      <c r="AG167">
        <v>100.464</v>
      </c>
      <c r="AH167">
        <v>56898.9251</v>
      </c>
      <c r="AK167">
        <v>2.4352</v>
      </c>
      <c r="AL167">
        <v>5.6391</v>
      </c>
      <c r="AM167">
        <v>0.65780000000000005</v>
      </c>
      <c r="AN167">
        <v>1.3262</v>
      </c>
      <c r="AO167">
        <v>-9.11E-2</v>
      </c>
      <c r="AP167" t="s">
        <v>23</v>
      </c>
      <c r="AQ167">
        <v>34.482799999999997</v>
      </c>
      <c r="AR167">
        <v>16.582899999999999</v>
      </c>
      <c r="AS167">
        <v>61.213000000000001</v>
      </c>
      <c r="AT167">
        <v>37085.794500000004</v>
      </c>
      <c r="AV167">
        <v>3.0777999999999999</v>
      </c>
      <c r="AW167">
        <v>-5.7695999999999996</v>
      </c>
      <c r="AX167">
        <v>-0.54849999999999999</v>
      </c>
      <c r="AY167">
        <v>10.349500000000001</v>
      </c>
      <c r="AZ167">
        <v>-0.85670000000000002</v>
      </c>
      <c r="BA167" t="s">
        <v>23</v>
      </c>
      <c r="BB167">
        <v>-0.41489999999999999</v>
      </c>
      <c r="BC167">
        <v>-10.2829</v>
      </c>
      <c r="BD167">
        <v>100.05</v>
      </c>
      <c r="BE167">
        <v>87575.834000000003</v>
      </c>
      <c r="BH167" s="5">
        <v>3.2139000000000002</v>
      </c>
      <c r="BI167">
        <v>20.127600000000001</v>
      </c>
      <c r="BJ167">
        <v>2.4624000000000001</v>
      </c>
      <c r="BK167">
        <v>38.939100000000003</v>
      </c>
      <c r="BL167">
        <v>0.79420000000000002</v>
      </c>
      <c r="BM167">
        <v>0</v>
      </c>
      <c r="BN167">
        <v>10.8729</v>
      </c>
      <c r="BO167">
        <v>4.6764000000000001</v>
      </c>
      <c r="BP167">
        <v>58.698999999999998</v>
      </c>
      <c r="BQ167">
        <v>36597.708700000003</v>
      </c>
      <c r="CE167" s="1">
        <f t="shared" si="11"/>
        <v>44778</v>
      </c>
      <c r="CF167" s="35">
        <f t="shared" si="18"/>
        <v>2.8166851747009747</v>
      </c>
      <c r="CG167" s="36">
        <f t="shared" si="17"/>
        <v>-0.94617382638741565</v>
      </c>
      <c r="CH167">
        <f t="shared" ca="1" si="12"/>
        <v>1.3552247537840583</v>
      </c>
      <c r="CI167">
        <f t="shared" ca="1" si="13"/>
        <v>1.2078120352240749</v>
      </c>
      <c r="CJ167">
        <f t="shared" ca="1" si="14"/>
        <v>0.75029591278909524</v>
      </c>
      <c r="CK167">
        <f t="shared" ca="1" si="15"/>
        <v>-0.85583727048297253</v>
      </c>
      <c r="CL167">
        <f t="shared" ca="1" si="16"/>
        <v>-0.95753468256038388</v>
      </c>
    </row>
    <row r="168" spans="1:90" x14ac:dyDescent="0.25">
      <c r="A168" s="43">
        <v>44785</v>
      </c>
      <c r="B168" s="5">
        <v>3.0255000000000001</v>
      </c>
      <c r="C168">
        <v>10.1752</v>
      </c>
      <c r="D168">
        <v>0.37940000000000002</v>
      </c>
      <c r="E168">
        <v>22.308700000000002</v>
      </c>
      <c r="F168">
        <v>0.2482</v>
      </c>
      <c r="G168">
        <v>44.554000000000002</v>
      </c>
      <c r="H168">
        <v>61.026800000000001</v>
      </c>
      <c r="I168">
        <v>37.508299999999998</v>
      </c>
      <c r="J168">
        <v>92.841999999999999</v>
      </c>
      <c r="K168">
        <v>170761.5828</v>
      </c>
      <c r="M168" s="43">
        <v>44785</v>
      </c>
      <c r="N168" s="5">
        <v>3.0348999999999999</v>
      </c>
      <c r="O168">
        <v>29.664100000000001</v>
      </c>
      <c r="P168">
        <v>0.6784</v>
      </c>
      <c r="Q168">
        <v>26.875499999999999</v>
      </c>
      <c r="R168">
        <v>0.37819999999999998</v>
      </c>
      <c r="S168">
        <v>195.11080000000001</v>
      </c>
      <c r="T168">
        <v>48.812800000000003</v>
      </c>
      <c r="U168">
        <v>36.483899999999998</v>
      </c>
      <c r="V168">
        <v>362.214</v>
      </c>
      <c r="W168">
        <v>284280.21360000002</v>
      </c>
      <c r="Y168" s="5">
        <v>2.0087999999999999</v>
      </c>
      <c r="Z168">
        <v>-5.3754999999999997</v>
      </c>
      <c r="AA168">
        <v>0.2898</v>
      </c>
      <c r="AB168">
        <v>7.0754999999999999</v>
      </c>
      <c r="AC168">
        <v>-0.47889999999999999</v>
      </c>
      <c r="AD168">
        <v>0</v>
      </c>
      <c r="AE168">
        <v>45.79</v>
      </c>
      <c r="AF168">
        <v>-17.1511</v>
      </c>
      <c r="AG168">
        <v>101.434</v>
      </c>
      <c r="AH168">
        <v>57448.142500000002</v>
      </c>
      <c r="AK168">
        <v>2.4624000000000001</v>
      </c>
      <c r="AL168">
        <v>5.6391</v>
      </c>
      <c r="AM168">
        <v>0.65780000000000005</v>
      </c>
      <c r="AN168">
        <v>1.3262</v>
      </c>
      <c r="AO168">
        <v>-9.11E-2</v>
      </c>
      <c r="AP168" t="s">
        <v>23</v>
      </c>
      <c r="AQ168">
        <v>34.482799999999997</v>
      </c>
      <c r="AR168">
        <v>16.582899999999999</v>
      </c>
      <c r="AS168">
        <v>61.874000000000002</v>
      </c>
      <c r="AT168">
        <v>37486.000899999999</v>
      </c>
      <c r="AV168">
        <v>3.0777999999999999</v>
      </c>
      <c r="AW168">
        <v>-5.7695999999999996</v>
      </c>
      <c r="AX168">
        <v>-0.54849999999999999</v>
      </c>
      <c r="AY168">
        <v>10.349500000000001</v>
      </c>
      <c r="AZ168">
        <v>-0.85670000000000002</v>
      </c>
      <c r="BA168" t="s">
        <v>23</v>
      </c>
      <c r="BB168">
        <v>-0.41489999999999999</v>
      </c>
      <c r="BC168">
        <v>-10.2829</v>
      </c>
      <c r="BD168">
        <v>100</v>
      </c>
      <c r="BE168">
        <v>87532.067999999999</v>
      </c>
      <c r="BH168" s="5">
        <v>3.3641999999999999</v>
      </c>
      <c r="BI168">
        <v>20.127600000000001</v>
      </c>
      <c r="BJ168">
        <v>2.4624000000000001</v>
      </c>
      <c r="BK168">
        <v>38.939100000000003</v>
      </c>
      <c r="BL168">
        <v>0.79420000000000002</v>
      </c>
      <c r="BM168">
        <v>0</v>
      </c>
      <c r="BN168">
        <v>10.8729</v>
      </c>
      <c r="BO168">
        <v>4.6764000000000001</v>
      </c>
      <c r="BP168">
        <v>62.350999999999999</v>
      </c>
      <c r="BQ168">
        <v>38874.393499999998</v>
      </c>
      <c r="CE168" s="1">
        <f t="shared" si="11"/>
        <v>44785</v>
      </c>
      <c r="CF168" s="35">
        <f t="shared" si="18"/>
        <v>2.9381249068126807</v>
      </c>
      <c r="CG168" s="36">
        <f t="shared" si="17"/>
        <v>-0.88898655694234963</v>
      </c>
      <c r="CH168">
        <f t="shared" ca="1" si="12"/>
        <v>1.3552247537840583</v>
      </c>
      <c r="CI168">
        <f t="shared" ca="1" si="13"/>
        <v>1.2078120352240749</v>
      </c>
      <c r="CJ168">
        <f t="shared" ca="1" si="14"/>
        <v>0.75029591278909524</v>
      </c>
      <c r="CK168">
        <f t="shared" ca="1" si="15"/>
        <v>-0.87772716985947563</v>
      </c>
      <c r="CL168">
        <f t="shared" ca="1" si="16"/>
        <v>-0.95753468256038388</v>
      </c>
    </row>
    <row r="169" spans="1:90" x14ac:dyDescent="0.25">
      <c r="A169" s="43">
        <v>44792</v>
      </c>
      <c r="B169" s="5">
        <v>3.0830000000000002</v>
      </c>
      <c r="C169">
        <v>10.1752</v>
      </c>
      <c r="D169">
        <v>0.37940000000000002</v>
      </c>
      <c r="E169">
        <v>22.308700000000002</v>
      </c>
      <c r="F169">
        <v>0.2482</v>
      </c>
      <c r="G169">
        <v>44.554000000000002</v>
      </c>
      <c r="H169">
        <v>61.026800000000001</v>
      </c>
      <c r="I169">
        <v>37.508299999999998</v>
      </c>
      <c r="J169">
        <v>94.765000000000001</v>
      </c>
      <c r="K169">
        <v>174298.73319999999</v>
      </c>
      <c r="M169" s="43">
        <v>44792</v>
      </c>
      <c r="N169" s="5">
        <v>3.1217999999999999</v>
      </c>
      <c r="O169">
        <v>29.664100000000001</v>
      </c>
      <c r="P169">
        <v>0.6784</v>
      </c>
      <c r="Q169">
        <v>26.875499999999999</v>
      </c>
      <c r="R169">
        <v>0.37819999999999998</v>
      </c>
      <c r="S169">
        <v>195.11080000000001</v>
      </c>
      <c r="T169">
        <v>48.812800000000003</v>
      </c>
      <c r="U169">
        <v>36.483899999999998</v>
      </c>
      <c r="V169">
        <v>374.05900000000003</v>
      </c>
      <c r="W169">
        <v>293576.8126</v>
      </c>
      <c r="Y169" s="5">
        <v>2.2132999999999998</v>
      </c>
      <c r="Z169">
        <v>-5.3754999999999997</v>
      </c>
      <c r="AA169">
        <v>0.2898</v>
      </c>
      <c r="AB169">
        <v>7.0754999999999999</v>
      </c>
      <c r="AC169">
        <v>-0.47889999999999999</v>
      </c>
      <c r="AD169">
        <v>0</v>
      </c>
      <c r="AE169">
        <v>45.79</v>
      </c>
      <c r="AF169">
        <v>-17.1511</v>
      </c>
      <c r="AG169">
        <v>109.774</v>
      </c>
      <c r="AH169">
        <v>62171.412400000001</v>
      </c>
      <c r="AK169">
        <v>2.5411999999999999</v>
      </c>
      <c r="AL169">
        <v>5.6391</v>
      </c>
      <c r="AM169">
        <v>0.65780000000000005</v>
      </c>
      <c r="AN169">
        <v>1.3262</v>
      </c>
      <c r="AO169">
        <v>-9.11E-2</v>
      </c>
      <c r="AP169" t="s">
        <v>23</v>
      </c>
      <c r="AQ169">
        <v>34.482799999999997</v>
      </c>
      <c r="AR169">
        <v>16.582899999999999</v>
      </c>
      <c r="AS169">
        <v>63.781999999999996</v>
      </c>
      <c r="AT169">
        <v>38642.152800000003</v>
      </c>
      <c r="AV169">
        <v>3.0777999999999999</v>
      </c>
      <c r="AW169">
        <v>-5.7695999999999996</v>
      </c>
      <c r="AX169">
        <v>-0.54849999999999999</v>
      </c>
      <c r="AY169">
        <v>10.349500000000001</v>
      </c>
      <c r="AZ169">
        <v>-0.85670000000000002</v>
      </c>
      <c r="BA169" t="s">
        <v>23</v>
      </c>
      <c r="BB169">
        <v>-0.41489999999999999</v>
      </c>
      <c r="BC169">
        <v>-10.2829</v>
      </c>
      <c r="BD169">
        <v>102.55</v>
      </c>
      <c r="BE169">
        <v>89764.135699999999</v>
      </c>
      <c r="BH169" s="5">
        <v>3.4319000000000002</v>
      </c>
      <c r="BI169">
        <v>20.127600000000001</v>
      </c>
      <c r="BJ169">
        <v>2.4624000000000001</v>
      </c>
      <c r="BK169">
        <v>38.939100000000003</v>
      </c>
      <c r="BL169">
        <v>0.79420000000000002</v>
      </c>
      <c r="BM169">
        <v>0</v>
      </c>
      <c r="BN169">
        <v>10.8729</v>
      </c>
      <c r="BO169">
        <v>4.6764000000000001</v>
      </c>
      <c r="BP169">
        <v>63.994</v>
      </c>
      <c r="BQ169">
        <v>39898.901700000002</v>
      </c>
      <c r="CE169" s="1">
        <f t="shared" ref="CE169:CE232" si="19">+A169</f>
        <v>44792</v>
      </c>
      <c r="CF169" s="35">
        <f t="shared" si="18"/>
        <v>3.0111708200656695</v>
      </c>
      <c r="CG169" s="36">
        <f t="shared" si="17"/>
        <v>-0.85458845468684463</v>
      </c>
      <c r="CH169">
        <f t="shared" ca="1" si="12"/>
        <v>1.3552247537840583</v>
      </c>
      <c r="CI169">
        <f t="shared" ca="1" si="13"/>
        <v>1.2078120352240749</v>
      </c>
      <c r="CJ169">
        <f t="shared" ca="1" si="14"/>
        <v>0.75029591278909524</v>
      </c>
      <c r="CK169">
        <f t="shared" ca="1" si="15"/>
        <v>-0.89032958381517724</v>
      </c>
      <c r="CL169">
        <f t="shared" ca="1" si="16"/>
        <v>-0.95753468256038388</v>
      </c>
    </row>
    <row r="170" spans="1:90" x14ac:dyDescent="0.25">
      <c r="A170" s="43">
        <v>44799</v>
      </c>
      <c r="B170" s="5">
        <v>3.4645000000000001</v>
      </c>
      <c r="C170">
        <v>10.1752</v>
      </c>
      <c r="D170">
        <v>0.37940000000000002</v>
      </c>
      <c r="E170">
        <v>22.308700000000002</v>
      </c>
      <c r="F170">
        <v>0.2482</v>
      </c>
      <c r="G170">
        <v>44.554000000000002</v>
      </c>
      <c r="H170">
        <v>61.026800000000001</v>
      </c>
      <c r="I170">
        <v>37.508299999999998</v>
      </c>
      <c r="J170">
        <v>107.53100000000001</v>
      </c>
      <c r="K170">
        <v>197779.3916</v>
      </c>
      <c r="M170" s="43">
        <v>44799</v>
      </c>
      <c r="N170" s="5">
        <v>3.3540000000000001</v>
      </c>
      <c r="O170">
        <v>29.664100000000001</v>
      </c>
      <c r="P170">
        <v>0.6784</v>
      </c>
      <c r="Q170">
        <v>26.875499999999999</v>
      </c>
      <c r="R170">
        <v>0.37819999999999998</v>
      </c>
      <c r="S170">
        <v>195.11080000000001</v>
      </c>
      <c r="T170">
        <v>48.812800000000003</v>
      </c>
      <c r="U170">
        <v>36.483899999999998</v>
      </c>
      <c r="V170">
        <v>405.71</v>
      </c>
      <c r="W170">
        <v>318417.92749999999</v>
      </c>
      <c r="Y170" s="5">
        <v>2.5653000000000001</v>
      </c>
      <c r="Z170">
        <v>-5.3754999999999997</v>
      </c>
      <c r="AA170">
        <v>0.2898</v>
      </c>
      <c r="AB170">
        <v>7.0754999999999999</v>
      </c>
      <c r="AC170">
        <v>-0.47889999999999999</v>
      </c>
      <c r="AD170">
        <v>0</v>
      </c>
      <c r="AE170">
        <v>45.79</v>
      </c>
      <c r="AF170">
        <v>-17.1511</v>
      </c>
      <c r="AG170">
        <v>124.126</v>
      </c>
      <c r="AH170">
        <v>70299.830199999997</v>
      </c>
      <c r="AK170">
        <v>2.8016999999999999</v>
      </c>
      <c r="AL170">
        <v>5.6391</v>
      </c>
      <c r="AM170">
        <v>0.65780000000000005</v>
      </c>
      <c r="AN170">
        <v>1.3262</v>
      </c>
      <c r="AO170">
        <v>-9.11E-2</v>
      </c>
      <c r="AP170" t="s">
        <v>23</v>
      </c>
      <c r="AQ170">
        <v>34.482799999999997</v>
      </c>
      <c r="AR170">
        <v>16.582899999999999</v>
      </c>
      <c r="AS170">
        <v>70.093999999999994</v>
      </c>
      <c r="AT170">
        <v>42466.347399999999</v>
      </c>
      <c r="AV170">
        <v>3.0777999999999999</v>
      </c>
      <c r="AW170">
        <v>-5.7695999999999996</v>
      </c>
      <c r="AX170">
        <v>-0.54849999999999999</v>
      </c>
      <c r="AY170">
        <v>10.349500000000001</v>
      </c>
      <c r="AZ170">
        <v>-0.85670000000000002</v>
      </c>
      <c r="BA170" t="s">
        <v>23</v>
      </c>
      <c r="BB170">
        <v>-0.41489999999999999</v>
      </c>
      <c r="BC170">
        <v>-10.2829</v>
      </c>
      <c r="BD170">
        <v>96.7</v>
      </c>
      <c r="BE170">
        <v>84643.5098</v>
      </c>
      <c r="BH170" s="5">
        <v>3.7776999999999998</v>
      </c>
      <c r="BI170">
        <v>20.127600000000001</v>
      </c>
      <c r="BJ170">
        <v>2.4624000000000001</v>
      </c>
      <c r="BK170">
        <v>38.939100000000003</v>
      </c>
      <c r="BL170">
        <v>0.79420000000000002</v>
      </c>
      <c r="BM170">
        <v>0</v>
      </c>
      <c r="BN170">
        <v>10.8729</v>
      </c>
      <c r="BO170">
        <v>4.6764000000000001</v>
      </c>
      <c r="BP170">
        <v>72.391999999999996</v>
      </c>
      <c r="BQ170">
        <v>45135.2768</v>
      </c>
      <c r="CE170" s="1">
        <f t="shared" si="19"/>
        <v>44799</v>
      </c>
      <c r="CF170" s="35">
        <f t="shared" si="18"/>
        <v>3.2732087498591107</v>
      </c>
      <c r="CG170" s="36">
        <f t="shared" si="17"/>
        <v>-0.73119198933446128</v>
      </c>
      <c r="CH170">
        <f t="shared" ca="1" si="12"/>
        <v>1.3552247537840583</v>
      </c>
      <c r="CI170">
        <f t="shared" ca="1" si="13"/>
        <v>1.2078120352240749</v>
      </c>
      <c r="CJ170">
        <f t="shared" ca="1" si="14"/>
        <v>0.75029591278909524</v>
      </c>
      <c r="CK170">
        <f t="shared" ca="1" si="15"/>
        <v>-0.89032958381517724</v>
      </c>
      <c r="CL170">
        <f t="shared" ca="1" si="16"/>
        <v>-0.95753468256038388</v>
      </c>
    </row>
    <row r="171" spans="1:90" x14ac:dyDescent="0.25">
      <c r="A171" s="43">
        <v>44806</v>
      </c>
      <c r="B171" s="5">
        <v>3.2566999999999999</v>
      </c>
      <c r="C171">
        <v>10.1752</v>
      </c>
      <c r="D171">
        <v>0.37940000000000002</v>
      </c>
      <c r="E171">
        <v>22.308700000000002</v>
      </c>
      <c r="F171">
        <v>0.2482</v>
      </c>
      <c r="G171">
        <v>44.554000000000002</v>
      </c>
      <c r="H171">
        <v>61.026800000000001</v>
      </c>
      <c r="I171">
        <v>37.508299999999998</v>
      </c>
      <c r="J171">
        <v>100.575</v>
      </c>
      <c r="K171">
        <v>184985.4431</v>
      </c>
      <c r="M171" s="43">
        <v>44806</v>
      </c>
      <c r="N171" s="5">
        <v>3.0796000000000001</v>
      </c>
      <c r="O171">
        <v>29.664100000000001</v>
      </c>
      <c r="P171">
        <v>0.6784</v>
      </c>
      <c r="Q171">
        <v>26.875499999999999</v>
      </c>
      <c r="R171">
        <v>0.37819999999999998</v>
      </c>
      <c r="S171">
        <v>195.11080000000001</v>
      </c>
      <c r="T171">
        <v>48.812800000000003</v>
      </c>
      <c r="U171">
        <v>36.483899999999998</v>
      </c>
      <c r="V171">
        <v>368.30399999999997</v>
      </c>
      <c r="W171">
        <v>289060.2463</v>
      </c>
      <c r="Y171" s="5">
        <v>2.3559999999999999</v>
      </c>
      <c r="Z171">
        <v>-5.3754999999999997</v>
      </c>
      <c r="AA171">
        <v>0.2898</v>
      </c>
      <c r="AB171">
        <v>7.0754999999999999</v>
      </c>
      <c r="AC171">
        <v>-0.47889999999999999</v>
      </c>
      <c r="AD171">
        <v>0</v>
      </c>
      <c r="AE171">
        <v>45.79</v>
      </c>
      <c r="AF171">
        <v>-17.1511</v>
      </c>
      <c r="AG171">
        <v>115.592</v>
      </c>
      <c r="AH171">
        <v>65466.716899999999</v>
      </c>
      <c r="AK171">
        <v>2.5897000000000001</v>
      </c>
      <c r="AL171">
        <v>5.6391</v>
      </c>
      <c r="AM171">
        <v>0.65780000000000005</v>
      </c>
      <c r="AN171">
        <v>1.3262</v>
      </c>
      <c r="AO171">
        <v>-9.11E-2</v>
      </c>
      <c r="AP171" t="s">
        <v>23</v>
      </c>
      <c r="AQ171">
        <v>34.482799999999997</v>
      </c>
      <c r="AR171">
        <v>16.582899999999999</v>
      </c>
      <c r="AS171">
        <v>64.956000000000003</v>
      </c>
      <c r="AT171">
        <v>39353.630899999996</v>
      </c>
      <c r="AV171">
        <v>3.0777999999999999</v>
      </c>
      <c r="AW171">
        <v>-5.7695999999999996</v>
      </c>
      <c r="AX171">
        <v>-0.54849999999999999</v>
      </c>
      <c r="AY171">
        <v>10.349500000000001</v>
      </c>
      <c r="AZ171">
        <v>-0.85670000000000002</v>
      </c>
      <c r="BA171" t="s">
        <v>23</v>
      </c>
      <c r="BB171">
        <v>-0.41489999999999999</v>
      </c>
      <c r="BC171">
        <v>-10.2829</v>
      </c>
      <c r="BD171">
        <v>97.05</v>
      </c>
      <c r="BE171">
        <v>84949.872000000003</v>
      </c>
      <c r="BH171" s="5">
        <v>3.4468999999999999</v>
      </c>
      <c r="BI171">
        <v>20.127600000000001</v>
      </c>
      <c r="BJ171">
        <v>2.4624000000000001</v>
      </c>
      <c r="BK171">
        <v>38.939100000000003</v>
      </c>
      <c r="BL171">
        <v>0.79420000000000002</v>
      </c>
      <c r="BM171">
        <v>0</v>
      </c>
      <c r="BN171">
        <v>10.8729</v>
      </c>
      <c r="BO171">
        <v>4.6764000000000001</v>
      </c>
      <c r="BP171">
        <v>64.358999999999995</v>
      </c>
      <c r="BQ171">
        <v>40126.570200000002</v>
      </c>
      <c r="CE171" s="1">
        <f t="shared" si="19"/>
        <v>44806</v>
      </c>
      <c r="CF171" s="35">
        <f t="shared" si="18"/>
        <v>3.0521765112153285</v>
      </c>
      <c r="CG171" s="36">
        <f t="shared" si="17"/>
        <v>-0.83527843589991524</v>
      </c>
      <c r="CH171">
        <f t="shared" ca="1" si="12"/>
        <v>1.3552247537840583</v>
      </c>
      <c r="CI171">
        <f t="shared" ca="1" si="13"/>
        <v>1.2078120352240749</v>
      </c>
      <c r="CJ171">
        <f t="shared" ca="1" si="14"/>
        <v>0.75029591278909524</v>
      </c>
      <c r="CK171">
        <f t="shared" ca="1" si="15"/>
        <v>-0.89032958381517724</v>
      </c>
      <c r="CL171">
        <f t="shared" ca="1" si="16"/>
        <v>-0.95753468256038388</v>
      </c>
    </row>
    <row r="172" spans="1:90" x14ac:dyDescent="0.25">
      <c r="A172" s="43">
        <v>44813</v>
      </c>
      <c r="B172" s="5">
        <v>3.5526</v>
      </c>
      <c r="C172">
        <v>10.1752</v>
      </c>
      <c r="D172">
        <v>0.37940000000000002</v>
      </c>
      <c r="E172">
        <v>22.308700000000002</v>
      </c>
      <c r="F172">
        <v>0.2482</v>
      </c>
      <c r="G172">
        <v>44.554000000000002</v>
      </c>
      <c r="H172">
        <v>61.026800000000001</v>
      </c>
      <c r="I172">
        <v>37.508299999999998</v>
      </c>
      <c r="J172">
        <v>110.477</v>
      </c>
      <c r="K172">
        <v>203198.00510000001</v>
      </c>
      <c r="M172" s="43">
        <v>44813</v>
      </c>
      <c r="N172" s="5">
        <v>3.3845999999999998</v>
      </c>
      <c r="O172">
        <v>29.664100000000001</v>
      </c>
      <c r="P172">
        <v>0.6784</v>
      </c>
      <c r="Q172">
        <v>26.875499999999999</v>
      </c>
      <c r="R172">
        <v>0.37819999999999998</v>
      </c>
      <c r="S172">
        <v>195.11080000000001</v>
      </c>
      <c r="T172">
        <v>48.812800000000003</v>
      </c>
      <c r="U172">
        <v>36.483899999999998</v>
      </c>
      <c r="V172">
        <v>409.88200000000001</v>
      </c>
      <c r="W172">
        <v>321692.43810000003</v>
      </c>
      <c r="Y172" s="5">
        <v>2.7412999999999998</v>
      </c>
      <c r="Z172">
        <v>-5.3754999999999997</v>
      </c>
      <c r="AA172">
        <v>0.2898</v>
      </c>
      <c r="AB172">
        <v>7.0754999999999999</v>
      </c>
      <c r="AC172">
        <v>-0.47889999999999999</v>
      </c>
      <c r="AD172">
        <v>0</v>
      </c>
      <c r="AE172">
        <v>45.79</v>
      </c>
      <c r="AF172">
        <v>-17.1511</v>
      </c>
      <c r="AG172">
        <v>131.30199999999999</v>
      </c>
      <c r="AH172">
        <v>74364.039199999999</v>
      </c>
      <c r="AK172">
        <v>2.7654000000000001</v>
      </c>
      <c r="AL172">
        <v>5.6391</v>
      </c>
      <c r="AM172">
        <v>0.65780000000000005</v>
      </c>
      <c r="AN172">
        <v>1.3262</v>
      </c>
      <c r="AO172">
        <v>-9.11E-2</v>
      </c>
      <c r="AP172" t="s">
        <v>23</v>
      </c>
      <c r="AQ172">
        <v>34.482799999999997</v>
      </c>
      <c r="AR172">
        <v>16.582899999999999</v>
      </c>
      <c r="AS172">
        <v>69.212999999999994</v>
      </c>
      <c r="AT172">
        <v>41932.738899999997</v>
      </c>
      <c r="AV172">
        <v>3.0777999999999999</v>
      </c>
      <c r="AW172">
        <v>-5.7695999999999996</v>
      </c>
      <c r="AX172">
        <v>-0.54849999999999999</v>
      </c>
      <c r="AY172">
        <v>10.349500000000001</v>
      </c>
      <c r="AZ172">
        <v>-0.85670000000000002</v>
      </c>
      <c r="BA172" t="s">
        <v>23</v>
      </c>
      <c r="BB172">
        <v>-0.41489999999999999</v>
      </c>
      <c r="BC172">
        <v>-10.2829</v>
      </c>
      <c r="BD172">
        <v>95.35</v>
      </c>
      <c r="BE172">
        <v>83461.826799999995</v>
      </c>
      <c r="BH172" s="5">
        <v>3.4845000000000002</v>
      </c>
      <c r="BI172">
        <v>20.127600000000001</v>
      </c>
      <c r="BJ172">
        <v>2.4624000000000001</v>
      </c>
      <c r="BK172">
        <v>38.939100000000003</v>
      </c>
      <c r="BL172">
        <v>0.79420000000000002</v>
      </c>
      <c r="BM172">
        <v>0</v>
      </c>
      <c r="BN172">
        <v>10.8729</v>
      </c>
      <c r="BO172">
        <v>4.6764000000000001</v>
      </c>
      <c r="BP172">
        <v>65.272000000000006</v>
      </c>
      <c r="BQ172">
        <v>40695.741399999999</v>
      </c>
      <c r="CE172" s="1">
        <f t="shared" si="19"/>
        <v>44813</v>
      </c>
      <c r="CF172" s="35">
        <f t="shared" si="18"/>
        <v>3.3046276029529036</v>
      </c>
      <c r="CG172" s="36">
        <f t="shared" si="17"/>
        <v>-0.71639651518208969</v>
      </c>
      <c r="CH172">
        <f t="shared" ca="1" si="12"/>
        <v>1.3552247537840583</v>
      </c>
      <c r="CI172">
        <f t="shared" ca="1" si="13"/>
        <v>1.2078120352240749</v>
      </c>
      <c r="CJ172">
        <f t="shared" ca="1" si="14"/>
        <v>0.75029591278909524</v>
      </c>
      <c r="CK172">
        <f t="shared" ca="1" si="15"/>
        <v>-0.89032958381517724</v>
      </c>
      <c r="CL172">
        <f t="shared" ca="1" si="16"/>
        <v>-0.95753468256038388</v>
      </c>
    </row>
    <row r="173" spans="1:90" x14ac:dyDescent="0.25">
      <c r="A173" s="43">
        <v>44820</v>
      </c>
      <c r="B173" s="5">
        <v>3.6553</v>
      </c>
      <c r="C173">
        <v>10.1752</v>
      </c>
      <c r="D173">
        <v>0.37940000000000002</v>
      </c>
      <c r="E173">
        <v>22.308700000000002</v>
      </c>
      <c r="F173">
        <v>0.2482</v>
      </c>
      <c r="G173">
        <v>44.554000000000002</v>
      </c>
      <c r="H173">
        <v>61.026800000000001</v>
      </c>
      <c r="I173">
        <v>37.508299999999998</v>
      </c>
      <c r="J173">
        <v>113.914</v>
      </c>
      <c r="K173">
        <v>209519.72080000001</v>
      </c>
      <c r="M173" s="43">
        <v>44820</v>
      </c>
      <c r="N173" s="5">
        <v>3.6528999999999998</v>
      </c>
      <c r="O173">
        <v>29.664100000000001</v>
      </c>
      <c r="P173">
        <v>0.6784</v>
      </c>
      <c r="Q173">
        <v>26.875499999999999</v>
      </c>
      <c r="R173">
        <v>0.37819999999999998</v>
      </c>
      <c r="S173">
        <v>195.11080000000001</v>
      </c>
      <c r="T173">
        <v>48.812800000000003</v>
      </c>
      <c r="U173">
        <v>36.483899999999998</v>
      </c>
      <c r="V173">
        <v>446.47300000000001</v>
      </c>
      <c r="W173">
        <v>350410.27250000002</v>
      </c>
      <c r="Y173" s="5">
        <v>2.8269000000000002</v>
      </c>
      <c r="Z173">
        <v>-5.3754999999999997</v>
      </c>
      <c r="AA173">
        <v>0.2898</v>
      </c>
      <c r="AB173">
        <v>7.0754999999999999</v>
      </c>
      <c r="AC173">
        <v>-0.47889999999999999</v>
      </c>
      <c r="AD173">
        <v>0</v>
      </c>
      <c r="AE173">
        <v>45.79</v>
      </c>
      <c r="AF173">
        <v>-17.1511</v>
      </c>
      <c r="AG173">
        <v>134.79300000000001</v>
      </c>
      <c r="AH173">
        <v>76341.221900000004</v>
      </c>
      <c r="AK173">
        <v>3.0137</v>
      </c>
      <c r="AL173">
        <v>5.6391</v>
      </c>
      <c r="AM173">
        <v>0.65780000000000005</v>
      </c>
      <c r="AN173">
        <v>1.3262</v>
      </c>
      <c r="AO173">
        <v>-9.11E-2</v>
      </c>
      <c r="AP173" t="s">
        <v>23</v>
      </c>
      <c r="AQ173">
        <v>34.482799999999997</v>
      </c>
      <c r="AR173">
        <v>16.582899999999999</v>
      </c>
      <c r="AS173">
        <v>75.231999999999999</v>
      </c>
      <c r="AT173">
        <v>45579.063999999998</v>
      </c>
      <c r="AV173">
        <v>3.0777999999999999</v>
      </c>
      <c r="AW173">
        <v>-5.7695999999999996</v>
      </c>
      <c r="AX173">
        <v>-0.54849999999999999</v>
      </c>
      <c r="AY173">
        <v>10.349500000000001</v>
      </c>
      <c r="AZ173">
        <v>-0.85670000000000002</v>
      </c>
      <c r="BA173" t="s">
        <v>23</v>
      </c>
      <c r="BB173">
        <v>-0.41489999999999999</v>
      </c>
      <c r="BC173">
        <v>-10.2829</v>
      </c>
      <c r="BD173">
        <v>97.2</v>
      </c>
      <c r="BE173">
        <v>85081.170100000003</v>
      </c>
      <c r="BH173" s="5">
        <v>3.3904999999999998</v>
      </c>
      <c r="BI173">
        <v>20.127600000000001</v>
      </c>
      <c r="BJ173">
        <v>2.4624000000000001</v>
      </c>
      <c r="BK173">
        <v>38.939100000000003</v>
      </c>
      <c r="BL173">
        <v>0.79420000000000002</v>
      </c>
      <c r="BM173">
        <v>0</v>
      </c>
      <c r="BN173">
        <v>10.8729</v>
      </c>
      <c r="BO173">
        <v>4.6764000000000001</v>
      </c>
      <c r="BP173">
        <v>62.99</v>
      </c>
      <c r="BQ173">
        <v>39272.813399999999</v>
      </c>
      <c r="CE173" s="1">
        <f t="shared" si="19"/>
        <v>44820</v>
      </c>
      <c r="CF173" s="35">
        <f t="shared" si="18"/>
        <v>3.4656961934566071</v>
      </c>
      <c r="CG173" s="36">
        <f t="shared" si="17"/>
        <v>-0.64054759222992497</v>
      </c>
      <c r="CH173">
        <f t="shared" ca="1" si="12"/>
        <v>1.3552247537840583</v>
      </c>
      <c r="CI173">
        <f t="shared" ca="1" si="13"/>
        <v>1.2078120352240749</v>
      </c>
      <c r="CJ173">
        <f t="shared" ca="1" si="14"/>
        <v>0.75029591278909524</v>
      </c>
      <c r="CK173">
        <f t="shared" ca="1" si="15"/>
        <v>-0.89032958381517724</v>
      </c>
      <c r="CL173">
        <f t="shared" ca="1" si="16"/>
        <v>-0.95753468256038388</v>
      </c>
    </row>
    <row r="174" spans="1:90" x14ac:dyDescent="0.25">
      <c r="A174" s="43">
        <v>44827</v>
      </c>
      <c r="B174" s="5">
        <v>3.5257000000000001</v>
      </c>
      <c r="C174">
        <v>10.1752</v>
      </c>
      <c r="D174">
        <v>0.37940000000000002</v>
      </c>
      <c r="E174">
        <v>22.308700000000002</v>
      </c>
      <c r="F174">
        <v>0.2482</v>
      </c>
      <c r="G174">
        <v>44.554000000000002</v>
      </c>
      <c r="H174">
        <v>61.026800000000001</v>
      </c>
      <c r="I174">
        <v>37.508299999999998</v>
      </c>
      <c r="J174">
        <v>109.577</v>
      </c>
      <c r="K174">
        <v>201542.31760000001</v>
      </c>
      <c r="M174" s="43">
        <v>44827</v>
      </c>
      <c r="N174" s="5">
        <v>3.5478000000000001</v>
      </c>
      <c r="O174">
        <v>29.664100000000001</v>
      </c>
      <c r="P174">
        <v>0.6784</v>
      </c>
      <c r="Q174">
        <v>26.875499999999999</v>
      </c>
      <c r="R174">
        <v>0.37819999999999998</v>
      </c>
      <c r="S174">
        <v>195.11080000000001</v>
      </c>
      <c r="T174">
        <v>48.812800000000003</v>
      </c>
      <c r="U174">
        <v>36.483899999999998</v>
      </c>
      <c r="V174">
        <v>432.13400000000001</v>
      </c>
      <c r="W174">
        <v>339156.49469999998</v>
      </c>
      <c r="Y174" s="5">
        <v>2.5558000000000001</v>
      </c>
      <c r="Z174">
        <v>-5.3754999999999997</v>
      </c>
      <c r="AA174">
        <v>0.2898</v>
      </c>
      <c r="AB174">
        <v>7.0754999999999999</v>
      </c>
      <c r="AC174">
        <v>-0.47889999999999999</v>
      </c>
      <c r="AD174">
        <v>0</v>
      </c>
      <c r="AE174">
        <v>45.79</v>
      </c>
      <c r="AF174">
        <v>-17.1511</v>
      </c>
      <c r="AG174">
        <v>123.738</v>
      </c>
      <c r="AH174">
        <v>70080.143299999996</v>
      </c>
      <c r="AK174">
        <v>2.7593000000000001</v>
      </c>
      <c r="AL174">
        <v>5.6391</v>
      </c>
      <c r="AM174">
        <v>0.65780000000000005</v>
      </c>
      <c r="AN174">
        <v>1.3262</v>
      </c>
      <c r="AO174">
        <v>-9.11E-2</v>
      </c>
      <c r="AP174" t="s">
        <v>23</v>
      </c>
      <c r="AQ174">
        <v>34.482799999999997</v>
      </c>
      <c r="AR174">
        <v>16.582899999999999</v>
      </c>
      <c r="AS174">
        <v>69.066000000000003</v>
      </c>
      <c r="AT174">
        <v>41843.804100000001</v>
      </c>
      <c r="AV174">
        <v>3.0777999999999999</v>
      </c>
      <c r="AW174">
        <v>-5.7695999999999996</v>
      </c>
      <c r="AX174">
        <v>-0.54849999999999999</v>
      </c>
      <c r="AY174">
        <v>10.349500000000001</v>
      </c>
      <c r="AZ174">
        <v>-0.85670000000000002</v>
      </c>
      <c r="BA174" t="s">
        <v>23</v>
      </c>
      <c r="BB174">
        <v>-0.41489999999999999</v>
      </c>
      <c r="BC174">
        <v>-10.2829</v>
      </c>
      <c r="BD174">
        <v>94.1</v>
      </c>
      <c r="BE174">
        <v>82367.676000000007</v>
      </c>
      <c r="BH174" s="5">
        <v>3.3378999999999999</v>
      </c>
      <c r="BI174">
        <v>20.127600000000001</v>
      </c>
      <c r="BJ174">
        <v>2.4624000000000001</v>
      </c>
      <c r="BK174">
        <v>38.939100000000003</v>
      </c>
      <c r="BL174">
        <v>0.79420000000000002</v>
      </c>
      <c r="BM174">
        <v>0</v>
      </c>
      <c r="BN174">
        <v>10.8729</v>
      </c>
      <c r="BO174">
        <v>4.6764000000000001</v>
      </c>
      <c r="BP174">
        <v>61.712000000000003</v>
      </c>
      <c r="BQ174">
        <v>38475.973700000002</v>
      </c>
      <c r="CE174" s="1">
        <f t="shared" si="19"/>
        <v>44827</v>
      </c>
      <c r="CF174" s="35">
        <f t="shared" si="18"/>
        <v>3.3490113523788154</v>
      </c>
      <c r="CG174" s="36">
        <f t="shared" si="17"/>
        <v>-0.69549573260240494</v>
      </c>
      <c r="CH174">
        <f t="shared" ca="1" si="12"/>
        <v>1.3552247537840583</v>
      </c>
      <c r="CI174">
        <f t="shared" ca="1" si="13"/>
        <v>1.2078120352240749</v>
      </c>
      <c r="CJ174">
        <f t="shared" ca="1" si="14"/>
        <v>0.74392271591382264</v>
      </c>
      <c r="CK174">
        <f t="shared" ca="1" si="15"/>
        <v>-0.89032958381517724</v>
      </c>
      <c r="CL174">
        <f t="shared" ca="1" si="16"/>
        <v>-0.95753468256038388</v>
      </c>
    </row>
    <row r="175" spans="1:90" x14ac:dyDescent="0.25">
      <c r="A175" s="43">
        <v>44834</v>
      </c>
      <c r="B175" s="5">
        <v>2.7677</v>
      </c>
      <c r="C175">
        <v>12.4682</v>
      </c>
      <c r="D175">
        <v>0.75149999999999995</v>
      </c>
      <c r="E175">
        <v>19.215399999999999</v>
      </c>
      <c r="F175">
        <v>5.8599999999999999E-2</v>
      </c>
      <c r="G175">
        <v>0.22750000000000001</v>
      </c>
      <c r="H175">
        <v>61.720799999999997</v>
      </c>
      <c r="I175">
        <v>39.834299999999999</v>
      </c>
      <c r="J175">
        <v>113.38200000000001</v>
      </c>
      <c r="K175">
        <v>208541.36</v>
      </c>
      <c r="M175" s="43">
        <v>44834</v>
      </c>
      <c r="N175" s="5">
        <v>3.0943000000000001</v>
      </c>
      <c r="O175">
        <v>25.887899999999998</v>
      </c>
      <c r="P175">
        <v>1.1877</v>
      </c>
      <c r="Q175">
        <v>26.342400000000001</v>
      </c>
      <c r="R175">
        <v>0.33310000000000001</v>
      </c>
      <c r="S175">
        <v>195.11080000000001</v>
      </c>
      <c r="T175">
        <v>47.88</v>
      </c>
      <c r="U175">
        <v>33.8005</v>
      </c>
      <c r="V175">
        <v>439.80700000000002</v>
      </c>
      <c r="W175">
        <v>345178.58309999999</v>
      </c>
      <c r="Y175" s="5">
        <v>1.7784</v>
      </c>
      <c r="Z175">
        <v>-4.9626000000000001</v>
      </c>
      <c r="AA175">
        <v>0.53800000000000003</v>
      </c>
      <c r="AB175">
        <v>7.7309000000000001</v>
      </c>
      <c r="AC175">
        <v>-0.1646</v>
      </c>
      <c r="AD175">
        <v>0</v>
      </c>
      <c r="AE175">
        <v>54.215299999999999</v>
      </c>
      <c r="AF175">
        <v>-16.1952</v>
      </c>
      <c r="AG175">
        <v>118.113</v>
      </c>
      <c r="AH175">
        <v>66894.682199999996</v>
      </c>
      <c r="AK175">
        <v>2.1526999999999998</v>
      </c>
      <c r="AL175">
        <v>3.1331000000000002</v>
      </c>
      <c r="AM175">
        <v>1.0483</v>
      </c>
      <c r="AN175">
        <v>1.032</v>
      </c>
      <c r="AO175">
        <v>-0.25169999999999998</v>
      </c>
      <c r="AP175" t="s">
        <v>23</v>
      </c>
      <c r="AQ175">
        <v>33.267600000000002</v>
      </c>
      <c r="AR175">
        <v>13.452</v>
      </c>
      <c r="AS175">
        <v>67.525000000000006</v>
      </c>
      <c r="AT175">
        <v>40909.989099999999</v>
      </c>
      <c r="AV175">
        <v>3.0777999999999999</v>
      </c>
      <c r="AW175">
        <v>-8.7416999999999998</v>
      </c>
      <c r="AX175">
        <v>-0.81320000000000003</v>
      </c>
      <c r="AY175">
        <v>13.553699999999999</v>
      </c>
      <c r="AZ175">
        <v>-0.85670000000000002</v>
      </c>
      <c r="BA175" t="s">
        <v>23</v>
      </c>
      <c r="BB175">
        <v>-3.4744000000000002</v>
      </c>
      <c r="BC175">
        <v>-13.734299999999999</v>
      </c>
      <c r="BD175">
        <v>105</v>
      </c>
      <c r="BE175">
        <v>91908.671400000007</v>
      </c>
      <c r="BH175" s="5">
        <v>2.9855999999999998</v>
      </c>
      <c r="BI175">
        <v>14.6401</v>
      </c>
      <c r="BJ175">
        <v>3.0931999999999999</v>
      </c>
      <c r="BK175">
        <v>34.533799999999999</v>
      </c>
      <c r="BL175">
        <v>0.3024</v>
      </c>
      <c r="BM175">
        <v>0</v>
      </c>
      <c r="BN175">
        <v>8.4267000000000003</v>
      </c>
      <c r="BO175">
        <v>3.5283000000000002</v>
      </c>
      <c r="BP175">
        <v>62.99</v>
      </c>
      <c r="BQ175">
        <v>39272.813399999999</v>
      </c>
      <c r="CE175" s="1">
        <f t="shared" si="19"/>
        <v>44834</v>
      </c>
      <c r="CF175" s="35">
        <f t="shared" si="18"/>
        <v>2.8414413247400176</v>
      </c>
      <c r="CG175" s="36">
        <f t="shared" si="17"/>
        <v>-0.93451589040479199</v>
      </c>
      <c r="CH175">
        <f t="shared" ca="1" si="12"/>
        <v>1.3552247537840583</v>
      </c>
      <c r="CI175">
        <f t="shared" ca="1" si="13"/>
        <v>1.2078120352240749</v>
      </c>
      <c r="CJ175">
        <f t="shared" ca="1" si="14"/>
        <v>0.14513907332764642</v>
      </c>
      <c r="CK175">
        <f t="shared" ca="1" si="15"/>
        <v>-0.89032958381517724</v>
      </c>
      <c r="CL175">
        <f t="shared" ca="1" si="16"/>
        <v>-0.95753468256038388</v>
      </c>
    </row>
    <row r="176" spans="1:90" x14ac:dyDescent="0.25">
      <c r="A176" s="43">
        <v>44841</v>
      </c>
      <c r="B176" s="5">
        <v>2.7881999999999998</v>
      </c>
      <c r="C176">
        <v>12.4682</v>
      </c>
      <c r="D176">
        <v>0.75149999999999995</v>
      </c>
      <c r="E176">
        <v>19.215399999999999</v>
      </c>
      <c r="F176">
        <v>5.8599999999999999E-2</v>
      </c>
      <c r="G176">
        <v>0.22750000000000001</v>
      </c>
      <c r="H176">
        <v>61.720799999999997</v>
      </c>
      <c r="I176">
        <v>39.834299999999999</v>
      </c>
      <c r="J176">
        <v>114.242</v>
      </c>
      <c r="K176">
        <v>210121.78899999999</v>
      </c>
      <c r="M176" s="43">
        <v>44841</v>
      </c>
      <c r="N176" s="5">
        <v>3.4131</v>
      </c>
      <c r="O176">
        <v>25.887899999999998</v>
      </c>
      <c r="P176">
        <v>1.1877</v>
      </c>
      <c r="Q176">
        <v>26.342400000000001</v>
      </c>
      <c r="R176">
        <v>0.33310000000000001</v>
      </c>
      <c r="S176">
        <v>195.11080000000001</v>
      </c>
      <c r="T176">
        <v>47.88</v>
      </c>
      <c r="U176">
        <v>33.8005</v>
      </c>
      <c r="V176">
        <v>490.59199999999998</v>
      </c>
      <c r="W176">
        <v>385037.28120000003</v>
      </c>
      <c r="Y176" s="5">
        <v>1.8741000000000001</v>
      </c>
      <c r="Z176">
        <v>-4.9626000000000001</v>
      </c>
      <c r="AA176">
        <v>0.53800000000000003</v>
      </c>
      <c r="AB176">
        <v>7.7309000000000001</v>
      </c>
      <c r="AC176">
        <v>-0.1646</v>
      </c>
      <c r="AD176">
        <v>0</v>
      </c>
      <c r="AE176">
        <v>54.215299999999999</v>
      </c>
      <c r="AF176">
        <v>-16.1952</v>
      </c>
      <c r="AG176">
        <v>123.932</v>
      </c>
      <c r="AH176">
        <v>70189.986799999999</v>
      </c>
      <c r="AK176">
        <v>2.1343999999999999</v>
      </c>
      <c r="AL176">
        <v>3.1331000000000002</v>
      </c>
      <c r="AM176">
        <v>1.0483</v>
      </c>
      <c r="AN176">
        <v>1.032</v>
      </c>
      <c r="AO176">
        <v>-0.25169999999999998</v>
      </c>
      <c r="AP176" t="s">
        <v>23</v>
      </c>
      <c r="AQ176">
        <v>33.267600000000002</v>
      </c>
      <c r="AR176">
        <v>13.452</v>
      </c>
      <c r="AS176">
        <v>67.010999999999996</v>
      </c>
      <c r="AT176">
        <v>40598.717499999999</v>
      </c>
      <c r="AV176">
        <v>3.0777999999999999</v>
      </c>
      <c r="AW176">
        <v>-8.7416999999999998</v>
      </c>
      <c r="AX176">
        <v>-0.81320000000000003</v>
      </c>
      <c r="AY176">
        <v>13.553699999999999</v>
      </c>
      <c r="AZ176">
        <v>-0.85670000000000002</v>
      </c>
      <c r="BA176" t="s">
        <v>23</v>
      </c>
      <c r="BB176">
        <v>-3.4744000000000002</v>
      </c>
      <c r="BC176">
        <v>-13.734299999999999</v>
      </c>
      <c r="BD176">
        <v>105.2</v>
      </c>
      <c r="BE176">
        <v>92083.735499999995</v>
      </c>
      <c r="BH176" s="5">
        <v>3.0941999999999998</v>
      </c>
      <c r="BI176">
        <v>14.6401</v>
      </c>
      <c r="BJ176">
        <v>3.0931999999999999</v>
      </c>
      <c r="BK176">
        <v>34.533799999999999</v>
      </c>
      <c r="BL176">
        <v>0.3024</v>
      </c>
      <c r="BM176">
        <v>0</v>
      </c>
      <c r="BN176">
        <v>8.4267000000000003</v>
      </c>
      <c r="BO176">
        <v>3.5283000000000002</v>
      </c>
      <c r="BP176">
        <v>65.546000000000006</v>
      </c>
      <c r="BQ176">
        <v>40866.492700000003</v>
      </c>
      <c r="CE176" s="1">
        <f t="shared" si="19"/>
        <v>44841</v>
      </c>
      <c r="CF176" s="35">
        <f t="shared" si="18"/>
        <v>3.0135888846378824</v>
      </c>
      <c r="CG176" s="36">
        <f t="shared" si="17"/>
        <v>-0.8534497622027446</v>
      </c>
      <c r="CH176">
        <f t="shared" ca="1" si="12"/>
        <v>1.3552247537840583</v>
      </c>
      <c r="CI176">
        <f t="shared" ca="1" si="13"/>
        <v>1.193259229447764</v>
      </c>
      <c r="CJ176">
        <f t="shared" ca="1" si="14"/>
        <v>-0.66802166241616501</v>
      </c>
      <c r="CK176">
        <f t="shared" ca="1" si="15"/>
        <v>-0.90019186551748076</v>
      </c>
      <c r="CL176">
        <f t="shared" ca="1" si="16"/>
        <v>-0.95753468256038388</v>
      </c>
    </row>
    <row r="177" spans="1:90" x14ac:dyDescent="0.25">
      <c r="A177" s="43">
        <v>44848</v>
      </c>
      <c r="B177" s="5">
        <v>2.6181999999999999</v>
      </c>
      <c r="C177">
        <v>12.4682</v>
      </c>
      <c r="D177">
        <v>0.75149999999999995</v>
      </c>
      <c r="E177">
        <v>19.215399999999999</v>
      </c>
      <c r="F177">
        <v>5.8599999999999999E-2</v>
      </c>
      <c r="G177">
        <v>0.22750000000000001</v>
      </c>
      <c r="H177">
        <v>61.720799999999997</v>
      </c>
      <c r="I177">
        <v>39.834299999999999</v>
      </c>
      <c r="J177">
        <v>107.122</v>
      </c>
      <c r="K177">
        <v>197026.8064</v>
      </c>
      <c r="M177" s="43">
        <v>44848</v>
      </c>
      <c r="N177" s="5">
        <v>3.1991000000000001</v>
      </c>
      <c r="O177">
        <v>25.887899999999998</v>
      </c>
      <c r="P177">
        <v>1.1877</v>
      </c>
      <c r="Q177">
        <v>26.342400000000001</v>
      </c>
      <c r="R177">
        <v>0.33310000000000001</v>
      </c>
      <c r="S177">
        <v>195.11080000000001</v>
      </c>
      <c r="T177">
        <v>47.88</v>
      </c>
      <c r="U177">
        <v>33.8005</v>
      </c>
      <c r="V177">
        <v>456.49599999999998</v>
      </c>
      <c r="W177">
        <v>358276.62560000003</v>
      </c>
      <c r="Y177" s="5">
        <v>1.6603000000000001</v>
      </c>
      <c r="Z177">
        <v>-4.9626000000000001</v>
      </c>
      <c r="AA177">
        <v>0.53800000000000003</v>
      </c>
      <c r="AB177">
        <v>7.7309000000000001</v>
      </c>
      <c r="AC177">
        <v>-0.1646</v>
      </c>
      <c r="AD177">
        <v>0</v>
      </c>
      <c r="AE177">
        <v>54.215299999999999</v>
      </c>
      <c r="AF177">
        <v>-16.1952</v>
      </c>
      <c r="AG177">
        <v>110.937</v>
      </c>
      <c r="AH177">
        <v>62830.473299999998</v>
      </c>
      <c r="AK177">
        <v>2.0586000000000002</v>
      </c>
      <c r="AL177">
        <v>3.1331000000000002</v>
      </c>
      <c r="AM177">
        <v>1.0483</v>
      </c>
      <c r="AN177">
        <v>1.032</v>
      </c>
      <c r="AO177">
        <v>-0.25169999999999998</v>
      </c>
      <c r="AP177" t="s">
        <v>23</v>
      </c>
      <c r="AQ177">
        <v>33.267600000000002</v>
      </c>
      <c r="AR177">
        <v>13.452</v>
      </c>
      <c r="AS177">
        <v>64.882999999999996</v>
      </c>
      <c r="AT177">
        <v>39309.163500000002</v>
      </c>
      <c r="AV177">
        <v>3.0777999999999999</v>
      </c>
      <c r="AW177">
        <v>-8.7416999999999998</v>
      </c>
      <c r="AX177">
        <v>-0.81320000000000003</v>
      </c>
      <c r="AY177">
        <v>13.553699999999999</v>
      </c>
      <c r="AZ177">
        <v>-0.85670000000000002</v>
      </c>
      <c r="BA177" t="s">
        <v>23</v>
      </c>
      <c r="BB177">
        <v>-3.4744000000000002</v>
      </c>
      <c r="BC177">
        <v>-13.734299999999999</v>
      </c>
      <c r="BD177">
        <v>100.2</v>
      </c>
      <c r="BE177">
        <v>87707.132100000003</v>
      </c>
      <c r="BH177" s="5">
        <v>2.8925000000000001</v>
      </c>
      <c r="BI177">
        <v>14.6401</v>
      </c>
      <c r="BJ177">
        <v>3.0931999999999999</v>
      </c>
      <c r="BK177">
        <v>34.533799999999999</v>
      </c>
      <c r="BL177">
        <v>0.3024</v>
      </c>
      <c r="BM177">
        <v>0</v>
      </c>
      <c r="BN177">
        <v>8.4267000000000003</v>
      </c>
      <c r="BO177">
        <v>3.5283000000000002</v>
      </c>
      <c r="BP177">
        <v>60.798999999999999</v>
      </c>
      <c r="BQ177">
        <v>37906.802499999998</v>
      </c>
      <c r="CE177" s="1">
        <f t="shared" si="19"/>
        <v>44848</v>
      </c>
      <c r="CF177" s="35">
        <f t="shared" si="18"/>
        <v>2.84378792861092</v>
      </c>
      <c r="CG177" s="36">
        <f t="shared" si="17"/>
        <v>-0.93341084952967968</v>
      </c>
      <c r="CH177">
        <f t="shared" ca="1" si="12"/>
        <v>1.3552247537840583</v>
      </c>
      <c r="CI177">
        <f t="shared" ca="1" si="13"/>
        <v>1.193259229447764</v>
      </c>
      <c r="CJ177">
        <f t="shared" ca="1" si="14"/>
        <v>-0.70594612389224731</v>
      </c>
      <c r="CK177">
        <f t="shared" ca="1" si="15"/>
        <v>-0.90019186551748076</v>
      </c>
      <c r="CL177">
        <f t="shared" ca="1" si="16"/>
        <v>-0.95753468256038388</v>
      </c>
    </row>
    <row r="178" spans="1:90" x14ac:dyDescent="0.25">
      <c r="A178" s="43">
        <v>44855</v>
      </c>
      <c r="B178" s="5">
        <v>2.5948000000000002</v>
      </c>
      <c r="C178">
        <v>12.4682</v>
      </c>
      <c r="D178">
        <v>0.75149999999999995</v>
      </c>
      <c r="E178">
        <v>19.215399999999999</v>
      </c>
      <c r="F178">
        <v>5.8599999999999999E-2</v>
      </c>
      <c r="G178">
        <v>0.22750000000000001</v>
      </c>
      <c r="H178">
        <v>61.720799999999997</v>
      </c>
      <c r="I178">
        <v>39.834299999999999</v>
      </c>
      <c r="J178">
        <v>106.14</v>
      </c>
      <c r="K178">
        <v>195220.60190000001</v>
      </c>
      <c r="M178" s="43">
        <v>44855</v>
      </c>
      <c r="N178" s="5">
        <v>3.2902999999999998</v>
      </c>
      <c r="O178">
        <v>25.887899999999998</v>
      </c>
      <c r="P178">
        <v>1.1877</v>
      </c>
      <c r="Q178">
        <v>26.342400000000001</v>
      </c>
      <c r="R178">
        <v>0.33310000000000001</v>
      </c>
      <c r="S178">
        <v>195.11080000000001</v>
      </c>
      <c r="T178">
        <v>47.88</v>
      </c>
      <c r="U178">
        <v>33.8005</v>
      </c>
      <c r="V178">
        <v>471.02600000000001</v>
      </c>
      <c r="W178">
        <v>369680.95559999999</v>
      </c>
      <c r="Y178" s="5">
        <v>1.5263</v>
      </c>
      <c r="Z178">
        <v>-4.9626000000000001</v>
      </c>
      <c r="AA178">
        <v>0.53800000000000003</v>
      </c>
      <c r="AB178">
        <v>7.7309000000000001</v>
      </c>
      <c r="AC178">
        <v>-0.1646</v>
      </c>
      <c r="AD178">
        <v>0</v>
      </c>
      <c r="AE178">
        <v>54.215299999999999</v>
      </c>
      <c r="AF178">
        <v>-16.1952</v>
      </c>
      <c r="AG178">
        <v>102.792</v>
      </c>
      <c r="AH178">
        <v>58217.046900000001</v>
      </c>
      <c r="AK178">
        <v>1.9933000000000001</v>
      </c>
      <c r="AL178">
        <v>3.1331000000000002</v>
      </c>
      <c r="AM178">
        <v>1.0483</v>
      </c>
      <c r="AN178">
        <v>1.032</v>
      </c>
      <c r="AO178">
        <v>-0.25169999999999998</v>
      </c>
      <c r="AP178" t="s">
        <v>23</v>
      </c>
      <c r="AQ178">
        <v>33.267600000000002</v>
      </c>
      <c r="AR178">
        <v>13.452</v>
      </c>
      <c r="AS178">
        <v>63.048000000000002</v>
      </c>
      <c r="AT178">
        <v>38197.478999999999</v>
      </c>
      <c r="AV178">
        <v>3.0777999999999999</v>
      </c>
      <c r="AW178">
        <v>-8.7416999999999998</v>
      </c>
      <c r="AX178">
        <v>-0.81320000000000003</v>
      </c>
      <c r="AY178">
        <v>13.553699999999999</v>
      </c>
      <c r="AZ178">
        <v>-0.85670000000000002</v>
      </c>
      <c r="BA178" t="s">
        <v>23</v>
      </c>
      <c r="BB178">
        <v>-3.4744000000000002</v>
      </c>
      <c r="BC178">
        <v>-13.734299999999999</v>
      </c>
      <c r="BD178">
        <v>101.1</v>
      </c>
      <c r="BE178">
        <v>88494.920700000002</v>
      </c>
      <c r="BH178" s="5">
        <v>2.8033000000000001</v>
      </c>
      <c r="BI178">
        <v>14.6401</v>
      </c>
      <c r="BJ178">
        <v>3.0931999999999999</v>
      </c>
      <c r="BK178">
        <v>34.533799999999999</v>
      </c>
      <c r="BL178">
        <v>0.3024</v>
      </c>
      <c r="BM178">
        <v>0</v>
      </c>
      <c r="BN178">
        <v>8.4267000000000003</v>
      </c>
      <c r="BO178">
        <v>3.5283000000000002</v>
      </c>
      <c r="BP178">
        <v>58.698999999999998</v>
      </c>
      <c r="BQ178">
        <v>36597.708700000003</v>
      </c>
      <c r="CE178" s="1">
        <f t="shared" si="19"/>
        <v>44855</v>
      </c>
      <c r="CF178" s="35">
        <f t="shared" si="18"/>
        <v>2.877485163239331</v>
      </c>
      <c r="CG178" s="36">
        <f t="shared" si="17"/>
        <v>-0.91754246113043691</v>
      </c>
      <c r="CH178">
        <f t="shared" ca="1" si="12"/>
        <v>1.3552247537840583</v>
      </c>
      <c r="CI178">
        <f t="shared" ca="1" si="13"/>
        <v>1.193259229447764</v>
      </c>
      <c r="CJ178">
        <f t="shared" ca="1" si="14"/>
        <v>-0.72379425225827543</v>
      </c>
      <c r="CK178">
        <f t="shared" ca="1" si="15"/>
        <v>-0.9194143748999819</v>
      </c>
      <c r="CL178">
        <f t="shared" ca="1" si="16"/>
        <v>-0.95753468256038388</v>
      </c>
    </row>
    <row r="179" spans="1:90" x14ac:dyDescent="0.25">
      <c r="A179" s="43">
        <v>44862</v>
      </c>
      <c r="B179" s="5">
        <v>2.9268999999999998</v>
      </c>
      <c r="C179">
        <v>12.4682</v>
      </c>
      <c r="D179">
        <v>0.75149999999999995</v>
      </c>
      <c r="E179">
        <v>19.215399999999999</v>
      </c>
      <c r="F179">
        <v>5.8599999999999999E-2</v>
      </c>
      <c r="G179">
        <v>0.22750000000000001</v>
      </c>
      <c r="H179">
        <v>61.720799999999997</v>
      </c>
      <c r="I179">
        <v>39.834299999999999</v>
      </c>
      <c r="J179">
        <v>120.05200000000001</v>
      </c>
      <c r="K179">
        <v>220808.49890000001</v>
      </c>
      <c r="M179" s="43">
        <v>44862</v>
      </c>
      <c r="N179" s="5">
        <v>3.4821</v>
      </c>
      <c r="O179">
        <v>25.887899999999998</v>
      </c>
      <c r="P179">
        <v>1.1877</v>
      </c>
      <c r="Q179">
        <v>26.342400000000001</v>
      </c>
      <c r="R179">
        <v>0.33310000000000001</v>
      </c>
      <c r="S179">
        <v>195.11080000000001</v>
      </c>
      <c r="T179">
        <v>47.88</v>
      </c>
      <c r="U179">
        <v>33.8005</v>
      </c>
      <c r="V179">
        <v>501.57400000000001</v>
      </c>
      <c r="W179">
        <v>393656.39529999997</v>
      </c>
      <c r="Y179" s="5">
        <v>1.9601999999999999</v>
      </c>
      <c r="Z179">
        <v>-4.9626000000000001</v>
      </c>
      <c r="AA179">
        <v>0.53800000000000003</v>
      </c>
      <c r="AB179">
        <v>7.7309000000000001</v>
      </c>
      <c r="AC179">
        <v>-0.1646</v>
      </c>
      <c r="AD179">
        <v>0</v>
      </c>
      <c r="AE179">
        <v>54.215299999999999</v>
      </c>
      <c r="AF179">
        <v>-16.1952</v>
      </c>
      <c r="AG179">
        <v>129.16800000000001</v>
      </c>
      <c r="AH179">
        <v>73155.760800000004</v>
      </c>
      <c r="AK179">
        <v>2.3226</v>
      </c>
      <c r="AL179">
        <v>3.1331000000000002</v>
      </c>
      <c r="AM179">
        <v>1.0483</v>
      </c>
      <c r="AN179">
        <v>1.032</v>
      </c>
      <c r="AO179">
        <v>-0.25169999999999998</v>
      </c>
      <c r="AP179" t="s">
        <v>23</v>
      </c>
      <c r="AQ179">
        <v>33.267600000000002</v>
      </c>
      <c r="AR179">
        <v>13.452</v>
      </c>
      <c r="AS179">
        <v>72.296000000000006</v>
      </c>
      <c r="AT179">
        <v>43800.368799999997</v>
      </c>
      <c r="AV179">
        <v>3.0777999999999999</v>
      </c>
      <c r="AW179">
        <v>-8.7416999999999998</v>
      </c>
      <c r="AX179">
        <v>-0.81320000000000003</v>
      </c>
      <c r="AY179">
        <v>13.553699999999999</v>
      </c>
      <c r="AZ179">
        <v>-0.85670000000000002</v>
      </c>
      <c r="BA179" t="s">
        <v>23</v>
      </c>
      <c r="BB179">
        <v>-3.4744000000000002</v>
      </c>
      <c r="BC179">
        <v>-13.734299999999999</v>
      </c>
      <c r="BD179">
        <v>113</v>
      </c>
      <c r="BE179">
        <v>98911.236799999999</v>
      </c>
      <c r="BH179" s="5">
        <v>3.1408</v>
      </c>
      <c r="BI179">
        <v>14.6401</v>
      </c>
      <c r="BJ179">
        <v>3.0931999999999999</v>
      </c>
      <c r="BK179">
        <v>34.533799999999999</v>
      </c>
      <c r="BL179">
        <v>0.3024</v>
      </c>
      <c r="BM179">
        <v>0</v>
      </c>
      <c r="BN179">
        <v>8.4267000000000003</v>
      </c>
      <c r="BO179">
        <v>3.5283000000000002</v>
      </c>
      <c r="BP179">
        <v>66.641000000000005</v>
      </c>
      <c r="BQ179">
        <v>41549.498200000002</v>
      </c>
      <c r="CE179" s="1">
        <f t="shared" si="19"/>
        <v>44862</v>
      </c>
      <c r="CF179" s="35">
        <f t="shared" si="18"/>
        <v>3.0934167732575113</v>
      </c>
      <c r="CG179" s="36">
        <f t="shared" si="17"/>
        <v>-0.81585795516942372</v>
      </c>
      <c r="CH179">
        <f t="shared" ca="1" si="12"/>
        <v>1.3400728686670955</v>
      </c>
      <c r="CI179">
        <f t="shared" ca="1" si="13"/>
        <v>1.1749942695465458</v>
      </c>
      <c r="CJ179">
        <f t="shared" ca="1" si="14"/>
        <v>-0.77825590855689586</v>
      </c>
      <c r="CK179">
        <f t="shared" ca="1" si="15"/>
        <v>-0.9194143748999819</v>
      </c>
      <c r="CL179">
        <f t="shared" ca="1" si="16"/>
        <v>-0.95753468256038388</v>
      </c>
    </row>
    <row r="180" spans="1:90" x14ac:dyDescent="0.25">
      <c r="A180" s="43">
        <v>44869</v>
      </c>
      <c r="B180" s="5">
        <v>3.1240000000000001</v>
      </c>
      <c r="C180">
        <v>12.4682</v>
      </c>
      <c r="D180">
        <v>0.75149999999999995</v>
      </c>
      <c r="E180">
        <v>19.215399999999999</v>
      </c>
      <c r="F180">
        <v>5.8599999999999999E-2</v>
      </c>
      <c r="G180">
        <v>0.22750000000000001</v>
      </c>
      <c r="H180">
        <v>61.720799999999997</v>
      </c>
      <c r="I180">
        <v>39.834299999999999</v>
      </c>
      <c r="J180">
        <v>128.31700000000001</v>
      </c>
      <c r="K180">
        <v>235999.42490000001</v>
      </c>
      <c r="M180" s="43">
        <v>44869</v>
      </c>
      <c r="N180" s="5">
        <v>3.7972999999999999</v>
      </c>
      <c r="O180">
        <v>25.887899999999998</v>
      </c>
      <c r="P180">
        <v>1.1877</v>
      </c>
      <c r="Q180">
        <v>26.342400000000001</v>
      </c>
      <c r="R180">
        <v>0.33310000000000001</v>
      </c>
      <c r="S180">
        <v>195.11080000000001</v>
      </c>
      <c r="T180">
        <v>47.88</v>
      </c>
      <c r="U180">
        <v>33.8005</v>
      </c>
      <c r="V180">
        <v>551.78499999999997</v>
      </c>
      <c r="W180">
        <v>433063.43670000002</v>
      </c>
      <c r="Y180" s="5">
        <v>2.0878000000000001</v>
      </c>
      <c r="Z180">
        <v>-4.9626000000000001</v>
      </c>
      <c r="AA180">
        <v>0.53800000000000003</v>
      </c>
      <c r="AB180">
        <v>7.7309000000000001</v>
      </c>
      <c r="AC180">
        <v>-0.1646</v>
      </c>
      <c r="AD180">
        <v>0</v>
      </c>
      <c r="AE180">
        <v>54.215299999999999</v>
      </c>
      <c r="AF180">
        <v>-16.1952</v>
      </c>
      <c r="AG180">
        <v>136.92599999999999</v>
      </c>
      <c r="AH180">
        <v>77549.500199999995</v>
      </c>
      <c r="AK180">
        <v>2.4009999999999998</v>
      </c>
      <c r="AL180">
        <v>3.1331000000000002</v>
      </c>
      <c r="AM180">
        <v>1.0483</v>
      </c>
      <c r="AN180">
        <v>1.032</v>
      </c>
      <c r="AO180">
        <v>-0.25169999999999998</v>
      </c>
      <c r="AP180" t="s">
        <v>23</v>
      </c>
      <c r="AQ180">
        <v>33.267600000000002</v>
      </c>
      <c r="AR180">
        <v>13.452</v>
      </c>
      <c r="AS180">
        <v>74.498000000000005</v>
      </c>
      <c r="AT180">
        <v>45134.390200000002</v>
      </c>
      <c r="AV180">
        <v>3.0777999999999999</v>
      </c>
      <c r="AW180">
        <v>-8.7416999999999998</v>
      </c>
      <c r="AX180">
        <v>-0.81320000000000003</v>
      </c>
      <c r="AY180">
        <v>13.553699999999999</v>
      </c>
      <c r="AZ180">
        <v>-0.85670000000000002</v>
      </c>
      <c r="BA180" t="s">
        <v>23</v>
      </c>
      <c r="BB180">
        <v>-3.4744000000000002</v>
      </c>
      <c r="BC180">
        <v>-13.734299999999999</v>
      </c>
      <c r="BD180">
        <v>109.55</v>
      </c>
      <c r="BE180">
        <v>95891.380499999999</v>
      </c>
      <c r="BH180" s="5">
        <v>3.0165999999999999</v>
      </c>
      <c r="BI180">
        <v>14.6401</v>
      </c>
      <c r="BJ180">
        <v>3.0931999999999999</v>
      </c>
      <c r="BK180">
        <v>34.533799999999999</v>
      </c>
      <c r="BL180">
        <v>0.3024</v>
      </c>
      <c r="BM180">
        <v>0</v>
      </c>
      <c r="BN180">
        <v>8.4267000000000003</v>
      </c>
      <c r="BO180">
        <v>3.5283000000000002</v>
      </c>
      <c r="BP180">
        <v>63.72</v>
      </c>
      <c r="BQ180">
        <v>39728.150300000001</v>
      </c>
      <c r="CE180" s="1">
        <f t="shared" si="19"/>
        <v>44869</v>
      </c>
      <c r="CF180" s="35">
        <f t="shared" si="18"/>
        <v>3.3072023373482842</v>
      </c>
      <c r="CG180" s="36">
        <f t="shared" si="17"/>
        <v>-0.7151840452016498</v>
      </c>
      <c r="CH180">
        <f t="shared" ca="1" si="12"/>
        <v>1.321562858110805</v>
      </c>
      <c r="CI180">
        <f t="shared" ca="1" si="13"/>
        <v>1.1568535250761225</v>
      </c>
      <c r="CJ180">
        <f t="shared" ca="1" si="14"/>
        <v>-0.82058889147437708</v>
      </c>
      <c r="CK180">
        <f t="shared" ca="1" si="15"/>
        <v>-0.9194143748999819</v>
      </c>
      <c r="CL180">
        <f t="shared" ca="1" si="16"/>
        <v>-0.95753468256038388</v>
      </c>
    </row>
    <row r="181" spans="1:90" x14ac:dyDescent="0.25">
      <c r="A181" s="43">
        <v>44876</v>
      </c>
      <c r="B181" s="5">
        <v>2.9316</v>
      </c>
      <c r="C181">
        <v>12.4682</v>
      </c>
      <c r="D181">
        <v>0.75149999999999995</v>
      </c>
      <c r="E181">
        <v>19.215399999999999</v>
      </c>
      <c r="F181">
        <v>5.8599999999999999E-2</v>
      </c>
      <c r="G181">
        <v>0.22750000000000001</v>
      </c>
      <c r="H181">
        <v>61.720799999999997</v>
      </c>
      <c r="I181">
        <v>39.834299999999999</v>
      </c>
      <c r="J181">
        <v>120.25700000000001</v>
      </c>
      <c r="K181">
        <v>221174.2059</v>
      </c>
      <c r="M181" s="43">
        <v>44876</v>
      </c>
      <c r="N181" s="5">
        <v>3.5253999999999999</v>
      </c>
      <c r="O181">
        <v>25.887899999999998</v>
      </c>
      <c r="P181">
        <v>1.1877</v>
      </c>
      <c r="Q181">
        <v>26.342400000000001</v>
      </c>
      <c r="R181">
        <v>0.33310000000000001</v>
      </c>
      <c r="S181">
        <v>195.11080000000001</v>
      </c>
      <c r="T181">
        <v>47.88</v>
      </c>
      <c r="U181">
        <v>33.8005</v>
      </c>
      <c r="V181">
        <v>508.48</v>
      </c>
      <c r="W181">
        <v>399076.27490000002</v>
      </c>
      <c r="Y181" s="5">
        <v>2.0367999999999999</v>
      </c>
      <c r="Z181">
        <v>-4.9626000000000001</v>
      </c>
      <c r="AA181">
        <v>0.53800000000000003</v>
      </c>
      <c r="AB181">
        <v>7.7309000000000001</v>
      </c>
      <c r="AC181">
        <v>-0.1646</v>
      </c>
      <c r="AD181">
        <v>0</v>
      </c>
      <c r="AE181">
        <v>54.215299999999999</v>
      </c>
      <c r="AF181">
        <v>-16.1952</v>
      </c>
      <c r="AG181">
        <v>133.82300000000001</v>
      </c>
      <c r="AH181">
        <v>75792.004499999995</v>
      </c>
      <c r="AK181">
        <v>2.4140000000000001</v>
      </c>
      <c r="AL181">
        <v>3.1331000000000002</v>
      </c>
      <c r="AM181">
        <v>1.0483</v>
      </c>
      <c r="AN181">
        <v>1.032</v>
      </c>
      <c r="AO181">
        <v>-0.25169999999999998</v>
      </c>
      <c r="AP181" t="s">
        <v>23</v>
      </c>
      <c r="AQ181">
        <v>33.267600000000002</v>
      </c>
      <c r="AR181">
        <v>13.452</v>
      </c>
      <c r="AS181">
        <v>74.864999999999995</v>
      </c>
      <c r="AT181">
        <v>45356.727099999996</v>
      </c>
      <c r="AV181">
        <v>3.0777999999999999</v>
      </c>
      <c r="AW181">
        <v>-8.7416999999999998</v>
      </c>
      <c r="AX181">
        <v>-0.81320000000000003</v>
      </c>
      <c r="AY181">
        <v>13.553699999999999</v>
      </c>
      <c r="AZ181">
        <v>-0.85670000000000002</v>
      </c>
      <c r="BA181" t="s">
        <v>23</v>
      </c>
      <c r="BB181">
        <v>-3.4744000000000002</v>
      </c>
      <c r="BC181">
        <v>-13.734299999999999</v>
      </c>
      <c r="BD181">
        <v>105.15</v>
      </c>
      <c r="BE181">
        <v>92039.969500000007</v>
      </c>
      <c r="BH181" s="5">
        <v>3.0476999999999999</v>
      </c>
      <c r="BI181">
        <v>14.6401</v>
      </c>
      <c r="BJ181">
        <v>3.0931999999999999</v>
      </c>
      <c r="BK181">
        <v>34.533799999999999</v>
      </c>
      <c r="BL181">
        <v>0.3024</v>
      </c>
      <c r="BM181">
        <v>0</v>
      </c>
      <c r="BN181">
        <v>8.4267000000000003</v>
      </c>
      <c r="BO181">
        <v>3.5283000000000002</v>
      </c>
      <c r="BP181">
        <v>64.45</v>
      </c>
      <c r="BQ181">
        <v>40183.487300000001</v>
      </c>
      <c r="CE181" s="1">
        <f t="shared" si="19"/>
        <v>44876</v>
      </c>
      <c r="CF181" s="35">
        <f t="shared" si="18"/>
        <v>3.1190925143923787</v>
      </c>
      <c r="CG181" s="36">
        <f t="shared" si="17"/>
        <v>-0.80376697389872398</v>
      </c>
      <c r="CH181">
        <f t="shared" ca="1" si="12"/>
        <v>1.304675270330756</v>
      </c>
      <c r="CI181">
        <f t="shared" ca="1" si="13"/>
        <v>1.1399982393316654</v>
      </c>
      <c r="CJ181">
        <f t="shared" ca="1" si="14"/>
        <v>-0.82058889147437708</v>
      </c>
      <c r="CK181">
        <f t="shared" ca="1" si="15"/>
        <v>-0.9194143748999819</v>
      </c>
      <c r="CL181">
        <f t="shared" ca="1" si="16"/>
        <v>-0.95753468256038388</v>
      </c>
    </row>
    <row r="182" spans="1:90" x14ac:dyDescent="0.25">
      <c r="A182" s="43">
        <v>44883</v>
      </c>
      <c r="B182" s="5">
        <v>3.1669999999999998</v>
      </c>
      <c r="C182">
        <v>12.4682</v>
      </c>
      <c r="D182">
        <v>0.75149999999999995</v>
      </c>
      <c r="E182">
        <v>19.215399999999999</v>
      </c>
      <c r="F182">
        <v>5.8599999999999999E-2</v>
      </c>
      <c r="G182">
        <v>0.22750000000000001</v>
      </c>
      <c r="H182">
        <v>61.720799999999997</v>
      </c>
      <c r="I182">
        <v>39.834299999999999</v>
      </c>
      <c r="J182">
        <v>130.11799999999999</v>
      </c>
      <c r="K182">
        <v>239310.64129999999</v>
      </c>
      <c r="M182" s="43">
        <v>44883</v>
      </c>
      <c r="N182" s="5">
        <v>3.8014999999999999</v>
      </c>
      <c r="O182">
        <v>25.887899999999998</v>
      </c>
      <c r="P182">
        <v>1.1877</v>
      </c>
      <c r="Q182">
        <v>26.342400000000001</v>
      </c>
      <c r="R182">
        <v>0.33310000000000001</v>
      </c>
      <c r="S182">
        <v>195.11080000000001</v>
      </c>
      <c r="T182">
        <v>47.88</v>
      </c>
      <c r="U182">
        <v>33.8005</v>
      </c>
      <c r="V182">
        <v>552.45600000000002</v>
      </c>
      <c r="W182">
        <v>433590.36940000003</v>
      </c>
      <c r="Y182" s="5">
        <v>2.4834000000000001</v>
      </c>
      <c r="Z182">
        <v>-4.9626000000000001</v>
      </c>
      <c r="AA182">
        <v>0.53800000000000003</v>
      </c>
      <c r="AB182">
        <v>7.7309000000000001</v>
      </c>
      <c r="AC182">
        <v>-0.1646</v>
      </c>
      <c r="AD182">
        <v>0</v>
      </c>
      <c r="AE182">
        <v>54.215299999999999</v>
      </c>
      <c r="AF182">
        <v>-16.1952</v>
      </c>
      <c r="AG182">
        <v>160.97499999999999</v>
      </c>
      <c r="AH182">
        <v>91170.092300000004</v>
      </c>
      <c r="AK182">
        <v>2.8778999999999999</v>
      </c>
      <c r="AL182">
        <v>3.1331000000000002</v>
      </c>
      <c r="AM182">
        <v>1.0483</v>
      </c>
      <c r="AN182">
        <v>1.032</v>
      </c>
      <c r="AO182">
        <v>-0.25169999999999998</v>
      </c>
      <c r="AP182" t="s">
        <v>23</v>
      </c>
      <c r="AQ182">
        <v>33.267600000000002</v>
      </c>
      <c r="AR182">
        <v>13.452</v>
      </c>
      <c r="AS182">
        <v>87.893000000000001</v>
      </c>
      <c r="AT182">
        <v>53249.686999999998</v>
      </c>
      <c r="AV182">
        <v>3.0777999999999999</v>
      </c>
      <c r="AW182">
        <v>-8.7416999999999998</v>
      </c>
      <c r="AX182">
        <v>-0.81320000000000003</v>
      </c>
      <c r="AY182">
        <v>13.553699999999999</v>
      </c>
      <c r="AZ182">
        <v>-0.85670000000000002</v>
      </c>
      <c r="BA182" t="s">
        <v>23</v>
      </c>
      <c r="BB182">
        <v>-3.4744000000000002</v>
      </c>
      <c r="BC182">
        <v>-13.734299999999999</v>
      </c>
      <c r="BD182">
        <v>119.35</v>
      </c>
      <c r="BE182">
        <v>104469.5232</v>
      </c>
      <c r="BH182" s="5">
        <v>3.2376999999999998</v>
      </c>
      <c r="BI182">
        <v>14.6401</v>
      </c>
      <c r="BJ182">
        <v>3.0931999999999999</v>
      </c>
      <c r="BK182">
        <v>34.533799999999999</v>
      </c>
      <c r="BL182">
        <v>0.3024</v>
      </c>
      <c r="BM182">
        <v>0</v>
      </c>
      <c r="BN182">
        <v>8.4267000000000003</v>
      </c>
      <c r="BO182">
        <v>3.5283000000000002</v>
      </c>
      <c r="BP182">
        <v>68.923000000000002</v>
      </c>
      <c r="BQ182">
        <v>42972.426200000002</v>
      </c>
      <c r="CE182" s="1">
        <f t="shared" si="19"/>
        <v>44883</v>
      </c>
      <c r="CF182" s="35">
        <f t="shared" si="18"/>
        <v>3.3650945065914097</v>
      </c>
      <c r="CG182" s="36">
        <f t="shared" si="17"/>
        <v>-0.68792200316897578</v>
      </c>
      <c r="CH182">
        <f t="shared" ca="1" si="12"/>
        <v>1.2818673521273056</v>
      </c>
      <c r="CI182">
        <f t="shared" ca="1" si="13"/>
        <v>1.1292645412166711</v>
      </c>
      <c r="CJ182">
        <f t="shared" ca="1" si="14"/>
        <v>-0.82058889147437708</v>
      </c>
      <c r="CK182">
        <f t="shared" ca="1" si="15"/>
        <v>-0.9194143748999819</v>
      </c>
      <c r="CL182">
        <f t="shared" ca="1" si="16"/>
        <v>-0.95753468256038388</v>
      </c>
    </row>
    <row r="183" spans="1:90" x14ac:dyDescent="0.25">
      <c r="A183" s="43">
        <v>44890</v>
      </c>
      <c r="B183" s="5">
        <v>3.4796</v>
      </c>
      <c r="C183">
        <v>12.4682</v>
      </c>
      <c r="D183">
        <v>0.75149999999999995</v>
      </c>
      <c r="E183">
        <v>19.215399999999999</v>
      </c>
      <c r="F183">
        <v>5.8599999999999999E-2</v>
      </c>
      <c r="G183">
        <v>0.22750000000000001</v>
      </c>
      <c r="H183">
        <v>61.720799999999997</v>
      </c>
      <c r="I183">
        <v>39.834299999999999</v>
      </c>
      <c r="J183">
        <v>143.21100000000001</v>
      </c>
      <c r="K183">
        <v>263392.21529999998</v>
      </c>
      <c r="M183" s="43">
        <v>44890</v>
      </c>
      <c r="N183" s="5">
        <v>3.9578000000000002</v>
      </c>
      <c r="O183">
        <v>25.887899999999998</v>
      </c>
      <c r="P183">
        <v>1.1877</v>
      </c>
      <c r="Q183">
        <v>26.342400000000001</v>
      </c>
      <c r="R183">
        <v>0.33310000000000001</v>
      </c>
      <c r="S183">
        <v>195.11080000000001</v>
      </c>
      <c r="T183">
        <v>47.88</v>
      </c>
      <c r="U183">
        <v>33.8005</v>
      </c>
      <c r="V183">
        <v>577.34500000000003</v>
      </c>
      <c r="W183">
        <v>453124.51890000002</v>
      </c>
      <c r="Y183" s="5">
        <v>2.6781000000000001</v>
      </c>
      <c r="Z183">
        <v>-4.9626000000000001</v>
      </c>
      <c r="AA183">
        <v>0.53800000000000003</v>
      </c>
      <c r="AB183">
        <v>7.7309000000000001</v>
      </c>
      <c r="AC183">
        <v>-0.1646</v>
      </c>
      <c r="AD183">
        <v>0</v>
      </c>
      <c r="AE183">
        <v>54.215299999999999</v>
      </c>
      <c r="AF183">
        <v>-16.1952</v>
      </c>
      <c r="AG183">
        <v>172.80600000000001</v>
      </c>
      <c r="AH183">
        <v>97870.544899999994</v>
      </c>
      <c r="AK183">
        <v>2.9106000000000001</v>
      </c>
      <c r="AL183">
        <v>3.1331000000000002</v>
      </c>
      <c r="AM183">
        <v>1.0483</v>
      </c>
      <c r="AN183">
        <v>1.032</v>
      </c>
      <c r="AO183">
        <v>-0.25169999999999998</v>
      </c>
      <c r="AP183" t="s">
        <v>23</v>
      </c>
      <c r="AQ183">
        <v>33.267600000000002</v>
      </c>
      <c r="AR183">
        <v>13.452</v>
      </c>
      <c r="AS183">
        <v>88.81</v>
      </c>
      <c r="AT183">
        <v>53805.529199999997</v>
      </c>
      <c r="AV183">
        <v>3.0777999999999999</v>
      </c>
      <c r="AW183">
        <v>-8.7416999999999998</v>
      </c>
      <c r="AX183">
        <v>-0.81320000000000003</v>
      </c>
      <c r="AY183">
        <v>13.553699999999999</v>
      </c>
      <c r="AZ183">
        <v>-0.85670000000000002</v>
      </c>
      <c r="BA183" t="s">
        <v>23</v>
      </c>
      <c r="BB183">
        <v>-3.4744000000000002</v>
      </c>
      <c r="BC183">
        <v>-13.734299999999999</v>
      </c>
      <c r="BD183">
        <v>116.3</v>
      </c>
      <c r="BE183">
        <v>101799.7951</v>
      </c>
      <c r="BH183" s="5">
        <v>3.645</v>
      </c>
      <c r="BI183">
        <v>14.6401</v>
      </c>
      <c r="BJ183">
        <v>3.0931999999999999</v>
      </c>
      <c r="BK183">
        <v>34.533799999999999</v>
      </c>
      <c r="BL183">
        <v>0.3024</v>
      </c>
      <c r="BM183">
        <v>0</v>
      </c>
      <c r="BN183">
        <v>8.4267000000000003</v>
      </c>
      <c r="BO183">
        <v>3.5283000000000002</v>
      </c>
      <c r="BP183">
        <v>78.509</v>
      </c>
      <c r="BQ183">
        <v>48948.723899999997</v>
      </c>
      <c r="CE183" s="1">
        <f t="shared" si="19"/>
        <v>44890</v>
      </c>
      <c r="CF183" s="35">
        <f t="shared" si="18"/>
        <v>3.5530277002444928</v>
      </c>
      <c r="CG183" s="36">
        <f t="shared" si="17"/>
        <v>-0.59942225110080849</v>
      </c>
      <c r="CH183">
        <f t="shared" ca="1" si="12"/>
        <v>1.2818673521273056</v>
      </c>
      <c r="CI183">
        <f t="shared" ca="1" si="13"/>
        <v>1.0751464152207642</v>
      </c>
      <c r="CJ183">
        <f t="shared" ca="1" si="14"/>
        <v>-0.82058889147437708</v>
      </c>
      <c r="CK183">
        <f t="shared" ca="1" si="15"/>
        <v>-0.9194143748999819</v>
      </c>
      <c r="CL183">
        <f t="shared" ca="1" si="16"/>
        <v>-0.95753468256038388</v>
      </c>
    </row>
    <row r="184" spans="1:90" x14ac:dyDescent="0.25">
      <c r="A184" s="43">
        <v>44897</v>
      </c>
      <c r="B184" s="5">
        <v>3.5485000000000002</v>
      </c>
      <c r="C184">
        <v>12.4682</v>
      </c>
      <c r="D184">
        <v>0.75149999999999995</v>
      </c>
      <c r="E184">
        <v>19.215399999999999</v>
      </c>
      <c r="F184">
        <v>5.8599999999999999E-2</v>
      </c>
      <c r="G184">
        <v>0.22750000000000001</v>
      </c>
      <c r="H184">
        <v>61.720799999999997</v>
      </c>
      <c r="I184">
        <v>39.834299999999999</v>
      </c>
      <c r="J184">
        <v>146.11600000000001</v>
      </c>
      <c r="K184">
        <v>268703.17570000002</v>
      </c>
      <c r="M184" s="43">
        <v>44897</v>
      </c>
      <c r="N184" s="5">
        <v>4.2107000000000001</v>
      </c>
      <c r="O184">
        <v>25.887899999999998</v>
      </c>
      <c r="P184">
        <v>1.1877</v>
      </c>
      <c r="Q184">
        <v>26.342400000000001</v>
      </c>
      <c r="R184">
        <v>0.33310000000000001</v>
      </c>
      <c r="S184">
        <v>195.11080000000001</v>
      </c>
      <c r="T184">
        <v>47.88</v>
      </c>
      <c r="U184">
        <v>33.8005</v>
      </c>
      <c r="V184">
        <v>617.62900000000002</v>
      </c>
      <c r="W184">
        <v>484740.48330000002</v>
      </c>
      <c r="Y184" s="5">
        <v>3.1852999999999998</v>
      </c>
      <c r="Z184">
        <v>-4.9626000000000001</v>
      </c>
      <c r="AA184">
        <v>0.53800000000000003</v>
      </c>
      <c r="AB184">
        <v>7.7309000000000001</v>
      </c>
      <c r="AC184">
        <v>-0.1646</v>
      </c>
      <c r="AD184">
        <v>0</v>
      </c>
      <c r="AE184">
        <v>54.215299999999999</v>
      </c>
      <c r="AF184">
        <v>-16.1952</v>
      </c>
      <c r="AG184">
        <v>203.64400000000001</v>
      </c>
      <c r="AH184">
        <v>115335.659</v>
      </c>
      <c r="AK184">
        <v>3.6162000000000001</v>
      </c>
      <c r="AL184">
        <v>3.1331000000000002</v>
      </c>
      <c r="AM184">
        <v>1.0483</v>
      </c>
      <c r="AN184">
        <v>1.032</v>
      </c>
      <c r="AO184">
        <v>-0.25169999999999998</v>
      </c>
      <c r="AP184" t="s">
        <v>23</v>
      </c>
      <c r="AQ184">
        <v>33.267600000000002</v>
      </c>
      <c r="AR184">
        <v>13.452</v>
      </c>
      <c r="AS184">
        <v>108.627</v>
      </c>
      <c r="AT184">
        <v>65811.721699999995</v>
      </c>
      <c r="AV184">
        <v>3.0777999999999999</v>
      </c>
      <c r="AW184">
        <v>-8.7416999999999998</v>
      </c>
      <c r="AX184">
        <v>-0.81320000000000003</v>
      </c>
      <c r="AY184">
        <v>13.553699999999999</v>
      </c>
      <c r="AZ184">
        <v>-0.85670000000000002</v>
      </c>
      <c r="BA184" t="s">
        <v>23</v>
      </c>
      <c r="BB184">
        <v>-3.4744000000000002</v>
      </c>
      <c r="BC184">
        <v>-13.734299999999999</v>
      </c>
      <c r="BD184">
        <v>118.75</v>
      </c>
      <c r="BE184">
        <v>103944.33070000001</v>
      </c>
      <c r="BH184" s="5">
        <v>3.9514</v>
      </c>
      <c r="BI184">
        <v>14.6401</v>
      </c>
      <c r="BJ184">
        <v>3.0931999999999999</v>
      </c>
      <c r="BK184">
        <v>34.533799999999999</v>
      </c>
      <c r="BL184">
        <v>0.3024</v>
      </c>
      <c r="BM184">
        <v>0</v>
      </c>
      <c r="BN184">
        <v>8.4267000000000003</v>
      </c>
      <c r="BO184">
        <v>3.5283000000000002</v>
      </c>
      <c r="BP184">
        <v>85.721000000000004</v>
      </c>
      <c r="BQ184">
        <v>53445.176399999997</v>
      </c>
      <c r="CE184" s="1">
        <f t="shared" si="19"/>
        <v>44897</v>
      </c>
      <c r="CF184" s="35">
        <f t="shared" si="18"/>
        <v>3.783089486152758</v>
      </c>
      <c r="CG184" s="36">
        <f t="shared" si="17"/>
        <v>-0.49108369409833574</v>
      </c>
      <c r="CH184">
        <f t="shared" ca="1" si="12"/>
        <v>1.2818673521273056</v>
      </c>
      <c r="CI184">
        <f t="shared" ca="1" si="13"/>
        <v>1.0751464152207642</v>
      </c>
      <c r="CJ184">
        <f t="shared" ca="1" si="14"/>
        <v>-0.82058889147437708</v>
      </c>
      <c r="CK184">
        <f t="shared" ca="1" si="15"/>
        <v>-0.9194143748999819</v>
      </c>
      <c r="CL184">
        <f t="shared" ca="1" si="16"/>
        <v>-0.95753468256038388</v>
      </c>
    </row>
    <row r="185" spans="1:90" x14ac:dyDescent="0.25">
      <c r="A185" s="43">
        <v>44904</v>
      </c>
      <c r="B185" s="5">
        <v>3.6032000000000002</v>
      </c>
      <c r="C185">
        <v>12.4682</v>
      </c>
      <c r="D185">
        <v>0.75149999999999995</v>
      </c>
      <c r="E185">
        <v>19.215399999999999</v>
      </c>
      <c r="F185">
        <v>5.8599999999999999E-2</v>
      </c>
      <c r="G185">
        <v>0.22750000000000001</v>
      </c>
      <c r="H185">
        <v>61.720799999999997</v>
      </c>
      <c r="I185">
        <v>39.834299999999999</v>
      </c>
      <c r="J185">
        <v>148.40799999999999</v>
      </c>
      <c r="K185">
        <v>272916.94709999999</v>
      </c>
      <c r="M185" s="43">
        <v>44904</v>
      </c>
      <c r="N185" s="5">
        <v>4.2241999999999997</v>
      </c>
      <c r="O185">
        <v>25.887899999999998</v>
      </c>
      <c r="P185">
        <v>1.1877</v>
      </c>
      <c r="Q185">
        <v>26.342400000000001</v>
      </c>
      <c r="R185">
        <v>0.33310000000000001</v>
      </c>
      <c r="S185">
        <v>195.11080000000001</v>
      </c>
      <c r="T185">
        <v>47.88</v>
      </c>
      <c r="U185">
        <v>33.8005</v>
      </c>
      <c r="V185">
        <v>619.78700000000003</v>
      </c>
      <c r="W185">
        <v>486434.19569999998</v>
      </c>
      <c r="Y185" s="5">
        <v>3.2810000000000001</v>
      </c>
      <c r="Z185">
        <v>-4.9626000000000001</v>
      </c>
      <c r="AA185">
        <v>0.53800000000000003</v>
      </c>
      <c r="AB185">
        <v>7.7309000000000001</v>
      </c>
      <c r="AC185">
        <v>-0.1646</v>
      </c>
      <c r="AD185">
        <v>0</v>
      </c>
      <c r="AE185">
        <v>54.215299999999999</v>
      </c>
      <c r="AF185">
        <v>-16.1952</v>
      </c>
      <c r="AG185">
        <v>209.46199999999999</v>
      </c>
      <c r="AH185">
        <v>118630.9635</v>
      </c>
      <c r="AK185">
        <v>3.7338</v>
      </c>
      <c r="AL185">
        <v>3.1331000000000002</v>
      </c>
      <c r="AM185">
        <v>1.0483</v>
      </c>
      <c r="AN185">
        <v>1.032</v>
      </c>
      <c r="AO185">
        <v>-0.25169999999999998</v>
      </c>
      <c r="AP185" t="s">
        <v>23</v>
      </c>
      <c r="AQ185">
        <v>33.267600000000002</v>
      </c>
      <c r="AR185">
        <v>13.452</v>
      </c>
      <c r="AS185">
        <v>111.93</v>
      </c>
      <c r="AT185">
        <v>67812.753700000001</v>
      </c>
      <c r="AV185">
        <v>3.0777999999999999</v>
      </c>
      <c r="AW185">
        <v>-8.7416999999999998</v>
      </c>
      <c r="AX185">
        <v>-0.81320000000000003</v>
      </c>
      <c r="AY185">
        <v>13.553699999999999</v>
      </c>
      <c r="AZ185">
        <v>-0.85670000000000002</v>
      </c>
      <c r="BA185" t="s">
        <v>23</v>
      </c>
      <c r="BB185">
        <v>-3.4744000000000002</v>
      </c>
      <c r="BC185">
        <v>-13.734299999999999</v>
      </c>
      <c r="BD185">
        <v>117.7</v>
      </c>
      <c r="BE185">
        <v>103025.24400000001</v>
      </c>
      <c r="BH185" s="5">
        <v>3.9203999999999999</v>
      </c>
      <c r="BI185">
        <v>14.6401</v>
      </c>
      <c r="BJ185">
        <v>3.0931999999999999</v>
      </c>
      <c r="BK185">
        <v>34.533799999999999</v>
      </c>
      <c r="BL185">
        <v>0.3024</v>
      </c>
      <c r="BM185">
        <v>0</v>
      </c>
      <c r="BN185">
        <v>8.4267000000000003</v>
      </c>
      <c r="BO185">
        <v>3.5283000000000002</v>
      </c>
      <c r="BP185">
        <v>84.99</v>
      </c>
      <c r="BQ185">
        <v>52989.839500000002</v>
      </c>
      <c r="CE185" s="1">
        <f t="shared" si="19"/>
        <v>44904</v>
      </c>
      <c r="CF185" s="35">
        <f t="shared" si="18"/>
        <v>3.8168375697130563</v>
      </c>
      <c r="CG185" s="36">
        <f t="shared" si="17"/>
        <v>-0.47519136039290466</v>
      </c>
      <c r="CH185">
        <f t="shared" ca="1" si="12"/>
        <v>1.2303242997074546</v>
      </c>
      <c r="CI185">
        <f t="shared" ca="1" si="13"/>
        <v>1.0465060245461095</v>
      </c>
      <c r="CJ185">
        <f t="shared" ca="1" si="14"/>
        <v>-0.82058889147437708</v>
      </c>
      <c r="CK185">
        <f t="shared" ca="1" si="15"/>
        <v>-0.9194143748999819</v>
      </c>
      <c r="CL185">
        <f t="shared" ca="1" si="16"/>
        <v>-0.95753468256038388</v>
      </c>
    </row>
    <row r="186" spans="1:90" x14ac:dyDescent="0.25">
      <c r="A186" s="43">
        <v>44911</v>
      </c>
      <c r="B186" s="5">
        <v>3.5485000000000002</v>
      </c>
      <c r="C186">
        <v>12.4682</v>
      </c>
      <c r="D186">
        <v>0.75149999999999995</v>
      </c>
      <c r="E186">
        <v>19.215399999999999</v>
      </c>
      <c r="F186">
        <v>5.8599999999999999E-2</v>
      </c>
      <c r="G186">
        <v>0.22750000000000001</v>
      </c>
      <c r="H186">
        <v>61.720799999999997</v>
      </c>
      <c r="I186">
        <v>39.834299999999999</v>
      </c>
      <c r="J186">
        <v>146.11600000000001</v>
      </c>
      <c r="K186">
        <v>268703.17570000002</v>
      </c>
      <c r="M186" s="43">
        <v>44911</v>
      </c>
      <c r="N186" s="5">
        <v>3.9822000000000002</v>
      </c>
      <c r="O186">
        <v>25.887899999999998</v>
      </c>
      <c r="P186">
        <v>1.1877</v>
      </c>
      <c r="Q186">
        <v>26.342400000000001</v>
      </c>
      <c r="R186">
        <v>0.33310000000000001</v>
      </c>
      <c r="S186">
        <v>195.11080000000001</v>
      </c>
      <c r="T186">
        <v>47.88</v>
      </c>
      <c r="U186">
        <v>33.8005</v>
      </c>
      <c r="V186">
        <v>581.23</v>
      </c>
      <c r="W186">
        <v>456173.20110000001</v>
      </c>
      <c r="Y186" s="5">
        <v>3.3321000000000001</v>
      </c>
      <c r="Z186">
        <v>-4.9626000000000001</v>
      </c>
      <c r="AA186">
        <v>0.53800000000000003</v>
      </c>
      <c r="AB186">
        <v>7.7309000000000001</v>
      </c>
      <c r="AC186">
        <v>-0.1646</v>
      </c>
      <c r="AD186">
        <v>0</v>
      </c>
      <c r="AE186">
        <v>54.215299999999999</v>
      </c>
      <c r="AF186">
        <v>-16.1952</v>
      </c>
      <c r="AG186">
        <v>212.565</v>
      </c>
      <c r="AH186">
        <v>120388.4593</v>
      </c>
      <c r="AK186">
        <v>3.8252999999999999</v>
      </c>
      <c r="AL186">
        <v>3.1331000000000002</v>
      </c>
      <c r="AM186">
        <v>1.0483</v>
      </c>
      <c r="AN186">
        <v>1.032</v>
      </c>
      <c r="AO186">
        <v>-0.25169999999999998</v>
      </c>
      <c r="AP186" t="s">
        <v>23</v>
      </c>
      <c r="AQ186">
        <v>33.267600000000002</v>
      </c>
      <c r="AR186">
        <v>13.452</v>
      </c>
      <c r="AS186">
        <v>114.499</v>
      </c>
      <c r="AT186">
        <v>69369.111999999994</v>
      </c>
      <c r="AV186">
        <v>3.0777999999999999</v>
      </c>
      <c r="AW186">
        <v>-8.7416999999999998</v>
      </c>
      <c r="AX186">
        <v>-0.81320000000000003</v>
      </c>
      <c r="AY186">
        <v>13.553699999999999</v>
      </c>
      <c r="AZ186">
        <v>-0.85670000000000002</v>
      </c>
      <c r="BA186" t="s">
        <v>23</v>
      </c>
      <c r="BB186">
        <v>-3.4744000000000002</v>
      </c>
      <c r="BC186">
        <v>-13.734299999999999</v>
      </c>
      <c r="BD186">
        <v>124.1</v>
      </c>
      <c r="BE186">
        <v>108627.29640000001</v>
      </c>
      <c r="BH186" s="5">
        <v>3.8506</v>
      </c>
      <c r="BI186">
        <v>14.6401</v>
      </c>
      <c r="BJ186">
        <v>3.0931999999999999</v>
      </c>
      <c r="BK186">
        <v>34.533799999999999</v>
      </c>
      <c r="BL186">
        <v>0.3024</v>
      </c>
      <c r="BM186">
        <v>0</v>
      </c>
      <c r="BN186">
        <v>8.4267000000000003</v>
      </c>
      <c r="BO186">
        <v>3.5283000000000002</v>
      </c>
      <c r="BP186">
        <v>83.346999999999994</v>
      </c>
      <c r="BQ186">
        <v>51965.331299999998</v>
      </c>
      <c r="CE186" s="1">
        <f t="shared" si="19"/>
        <v>44911</v>
      </c>
      <c r="CF186" s="35">
        <f t="shared" si="18"/>
        <v>3.6931760028049525</v>
      </c>
      <c r="CG186" s="36">
        <f t="shared" si="17"/>
        <v>-0.53342491562067607</v>
      </c>
      <c r="CH186">
        <f t="shared" ca="1" si="12"/>
        <v>1.2157562707841287</v>
      </c>
      <c r="CI186">
        <f t="shared" ca="1" si="13"/>
        <v>0.97534299461317908</v>
      </c>
      <c r="CJ186">
        <f t="shared" ca="1" si="14"/>
        <v>-0.82058889147437708</v>
      </c>
      <c r="CK186">
        <f t="shared" ca="1" si="15"/>
        <v>-0.9194143748999819</v>
      </c>
      <c r="CL186">
        <f t="shared" ca="1" si="16"/>
        <v>-0.95753468256038388</v>
      </c>
    </row>
    <row r="187" spans="1:90" x14ac:dyDescent="0.25">
      <c r="A187" s="43">
        <v>44918</v>
      </c>
      <c r="B187" s="5">
        <v>3.9089</v>
      </c>
      <c r="C187">
        <v>12.4682</v>
      </c>
      <c r="D187">
        <v>0.75149999999999995</v>
      </c>
      <c r="E187">
        <v>19.215399999999999</v>
      </c>
      <c r="F187">
        <v>5.8599999999999999E-2</v>
      </c>
      <c r="G187">
        <v>0.22750000000000001</v>
      </c>
      <c r="H187">
        <v>61.720799999999997</v>
      </c>
      <c r="I187">
        <v>39.834299999999999</v>
      </c>
      <c r="J187">
        <v>161.215</v>
      </c>
      <c r="K187">
        <v>296468.91970000003</v>
      </c>
      <c r="M187" s="43">
        <v>44918</v>
      </c>
      <c r="N187" s="5">
        <v>4.7096</v>
      </c>
      <c r="O187">
        <v>25.887899999999998</v>
      </c>
      <c r="P187">
        <v>1.1877</v>
      </c>
      <c r="Q187">
        <v>26.342400000000001</v>
      </c>
      <c r="R187">
        <v>0.33310000000000001</v>
      </c>
      <c r="S187">
        <v>195.11080000000001</v>
      </c>
      <c r="T187">
        <v>47.88</v>
      </c>
      <c r="U187">
        <v>33.8005</v>
      </c>
      <c r="V187">
        <v>697.09199999999998</v>
      </c>
      <c r="W187">
        <v>547106.73699999996</v>
      </c>
      <c r="Y187" s="5">
        <v>3.9190999999999998</v>
      </c>
      <c r="Z187">
        <v>-4.9626000000000001</v>
      </c>
      <c r="AA187">
        <v>0.53800000000000003</v>
      </c>
      <c r="AB187">
        <v>7.7309000000000001</v>
      </c>
      <c r="AC187">
        <v>-0.1646</v>
      </c>
      <c r="AD187">
        <v>0</v>
      </c>
      <c r="AE187">
        <v>54.215299999999999</v>
      </c>
      <c r="AF187">
        <v>-16.1952</v>
      </c>
      <c r="AG187">
        <v>248.251</v>
      </c>
      <c r="AH187">
        <v>140599.6605</v>
      </c>
      <c r="AK187">
        <v>4.1585000000000001</v>
      </c>
      <c r="AL187">
        <v>3.1331000000000002</v>
      </c>
      <c r="AM187">
        <v>1.0483</v>
      </c>
      <c r="AN187">
        <v>1.032</v>
      </c>
      <c r="AO187">
        <v>-0.25169999999999998</v>
      </c>
      <c r="AP187" t="s">
        <v>23</v>
      </c>
      <c r="AQ187">
        <v>33.267600000000002</v>
      </c>
      <c r="AR187">
        <v>13.452</v>
      </c>
      <c r="AS187">
        <v>123.857</v>
      </c>
      <c r="AT187">
        <v>75038.702900000004</v>
      </c>
      <c r="AV187">
        <v>3.0777999999999999</v>
      </c>
      <c r="AW187">
        <v>-8.7416999999999998</v>
      </c>
      <c r="AX187">
        <v>-0.81320000000000003</v>
      </c>
      <c r="AY187">
        <v>13.553699999999999</v>
      </c>
      <c r="AZ187">
        <v>-0.85670000000000002</v>
      </c>
      <c r="BA187" t="s">
        <v>23</v>
      </c>
      <c r="BB187">
        <v>-3.4744000000000002</v>
      </c>
      <c r="BC187">
        <v>-13.734299999999999</v>
      </c>
      <c r="BD187">
        <v>134.25</v>
      </c>
      <c r="BE187">
        <v>117511.80130000001</v>
      </c>
      <c r="BH187" s="5">
        <v>4.2656000000000001</v>
      </c>
      <c r="BI187">
        <v>14.6401</v>
      </c>
      <c r="BJ187">
        <v>3.0931999999999999</v>
      </c>
      <c r="BK187">
        <v>34.533799999999999</v>
      </c>
      <c r="BL187">
        <v>0.3024</v>
      </c>
      <c r="BM187">
        <v>0</v>
      </c>
      <c r="BN187">
        <v>8.4267000000000003</v>
      </c>
      <c r="BO187">
        <v>3.5283000000000002</v>
      </c>
      <c r="BP187">
        <v>93.114999999999995</v>
      </c>
      <c r="BQ187">
        <v>58055.463199999998</v>
      </c>
      <c r="CE187" s="1">
        <f t="shared" si="19"/>
        <v>44918</v>
      </c>
      <c r="CF187" s="35">
        <f t="shared" si="18"/>
        <v>4.217680568279639</v>
      </c>
      <c r="CG187" s="36">
        <f t="shared" si="17"/>
        <v>-0.28643010272552405</v>
      </c>
      <c r="CH187">
        <f t="shared" ref="CH187:CH250" ca="1" si="20">+_xlfn.PERCENTILE.INC(OFFSET(CG187,-52,0,52,1),0.9)</f>
        <v>1.2032235826005486</v>
      </c>
      <c r="CI187">
        <f t="shared" ref="CI187:CI250" ca="1" si="21">+_xlfn.PERCENTILE.INC(OFFSET(CG187,-52,0,52,1),0.75)</f>
        <v>0.93633963213837879</v>
      </c>
      <c r="CJ187">
        <f t="shared" ref="CJ187:CJ250" ca="1" si="22">+_xlfn.PERCENTILE.INC(OFFSET(CG187,-52,0,52,1),0.5)</f>
        <v>-0.82058889147437708</v>
      </c>
      <c r="CK187">
        <f t="shared" ref="CK187:CK250" ca="1" si="23">+_xlfn.PERCENTILE.INC(OFFSET(CG187,-52,0,52,1),0.25)</f>
        <v>-0.9194143748999819</v>
      </c>
      <c r="CL187">
        <f t="shared" ref="CL187:CL250" ca="1" si="24">+_xlfn.PERCENTILE.INC(OFFSET(CG187,-52,0,52,1),0.1)</f>
        <v>-0.95753468256038388</v>
      </c>
    </row>
    <row r="188" spans="1:90" x14ac:dyDescent="0.25">
      <c r="A188" s="43">
        <v>44925</v>
      </c>
      <c r="B188" s="5">
        <v>4.3304999999999998</v>
      </c>
      <c r="C188">
        <v>6.4637000000000002</v>
      </c>
      <c r="D188">
        <v>0.47639999999999999</v>
      </c>
      <c r="E188">
        <v>19.5291</v>
      </c>
      <c r="F188">
        <v>1.4984</v>
      </c>
      <c r="G188">
        <v>0.22750000000000001</v>
      </c>
      <c r="H188">
        <v>43.305100000000003</v>
      </c>
      <c r="I188">
        <v>22.636299999999999</v>
      </c>
      <c r="J188">
        <v>173.095</v>
      </c>
      <c r="K188">
        <v>318290.23609999998</v>
      </c>
      <c r="M188" s="43">
        <v>44925</v>
      </c>
      <c r="N188" s="5">
        <v>3.8582999999999998</v>
      </c>
      <c r="O188">
        <v>12.2234</v>
      </c>
      <c r="P188">
        <v>0.39410000000000001</v>
      </c>
      <c r="Q188">
        <v>26.148199999999999</v>
      </c>
      <c r="R188">
        <v>0.81289999999999996</v>
      </c>
      <c r="S188">
        <v>195.11080000000001</v>
      </c>
      <c r="T188">
        <v>44.353099999999998</v>
      </c>
      <c r="U188">
        <v>30.868600000000001</v>
      </c>
      <c r="V188">
        <v>777.89800000000002</v>
      </c>
      <c r="W188">
        <v>610526.85609999998</v>
      </c>
      <c r="Y188" s="5">
        <v>2.5160999999999998</v>
      </c>
      <c r="Z188">
        <v>-2.4828999999999999</v>
      </c>
      <c r="AA188">
        <v>0.26090000000000002</v>
      </c>
      <c r="AB188">
        <v>7.6670999999999996</v>
      </c>
      <c r="AC188">
        <v>-0.45800000000000002</v>
      </c>
      <c r="AD188">
        <v>0</v>
      </c>
      <c r="AE188">
        <v>46.775199999999998</v>
      </c>
      <c r="AF188">
        <v>-16.506599999999999</v>
      </c>
      <c r="AG188">
        <v>278.89499999999998</v>
      </c>
      <c r="AH188">
        <v>157954.93109999999</v>
      </c>
      <c r="AK188">
        <v>3.1271</v>
      </c>
      <c r="AL188">
        <v>2.3220000000000001</v>
      </c>
      <c r="AM188">
        <v>0.41089999999999999</v>
      </c>
      <c r="AN188">
        <v>0.79120000000000001</v>
      </c>
      <c r="AO188">
        <v>-0.86529999999999996</v>
      </c>
      <c r="AP188" t="s">
        <v>23</v>
      </c>
      <c r="AQ188">
        <v>23.653600000000001</v>
      </c>
      <c r="AR188">
        <v>4.3239000000000001</v>
      </c>
      <c r="AS188">
        <v>135.417</v>
      </c>
      <c r="AT188">
        <v>82042.315199999997</v>
      </c>
      <c r="AV188">
        <v>3.0777999999999999</v>
      </c>
      <c r="AW188">
        <v>416.96039999999999</v>
      </c>
      <c r="AX188">
        <v>0.39929999999999999</v>
      </c>
      <c r="AY188">
        <v>10.6854</v>
      </c>
      <c r="AZ188">
        <v>-0.85670000000000002</v>
      </c>
      <c r="BA188" t="s">
        <v>23</v>
      </c>
      <c r="BB188">
        <v>-5.5571999999999999</v>
      </c>
      <c r="BC188">
        <v>-15.352600000000001</v>
      </c>
      <c r="BD188">
        <v>136.44999999999999</v>
      </c>
      <c r="BE188">
        <v>119437.5068</v>
      </c>
      <c r="BH188" s="5">
        <v>3.4963000000000002</v>
      </c>
      <c r="BI188">
        <v>14.6401</v>
      </c>
      <c r="BJ188">
        <v>2.0171999999999999</v>
      </c>
      <c r="BK188">
        <v>32.315300000000001</v>
      </c>
      <c r="BL188">
        <v>0.74419999999999997</v>
      </c>
      <c r="BM188">
        <v>0</v>
      </c>
      <c r="BN188">
        <v>6.9909999999999997</v>
      </c>
      <c r="BO188">
        <v>1.8119000000000001</v>
      </c>
      <c r="BP188">
        <v>92.201999999999998</v>
      </c>
      <c r="BQ188">
        <v>57486.292000000001</v>
      </c>
      <c r="CE188" s="1">
        <f t="shared" si="19"/>
        <v>44925</v>
      </c>
      <c r="CF188" s="35">
        <f t="shared" si="18"/>
        <v>3.6831315885996996</v>
      </c>
      <c r="CG188" s="36">
        <f t="shared" si="17"/>
        <v>-0.53815493776075529</v>
      </c>
      <c r="CH188">
        <f t="shared" ca="1" si="20"/>
        <v>1.1875024504100065</v>
      </c>
      <c r="CI188">
        <f t="shared" ca="1" si="21"/>
        <v>1.7883857677161386E-2</v>
      </c>
      <c r="CJ188">
        <f t="shared" ca="1" si="22"/>
        <v>-0.82058889147437708</v>
      </c>
      <c r="CK188">
        <f t="shared" ca="1" si="23"/>
        <v>-0.9194143748999819</v>
      </c>
      <c r="CL188">
        <f t="shared" ca="1" si="24"/>
        <v>-0.95753468256038388</v>
      </c>
    </row>
    <row r="189" spans="1:90" x14ac:dyDescent="0.25">
      <c r="A189" s="43">
        <v>44932</v>
      </c>
      <c r="B189" s="5">
        <v>4.3666</v>
      </c>
      <c r="C189">
        <v>6.4637000000000002</v>
      </c>
      <c r="D189">
        <v>0.47639999999999999</v>
      </c>
      <c r="E189">
        <v>19.5291</v>
      </c>
      <c r="F189">
        <v>1.4984</v>
      </c>
      <c r="G189">
        <v>0.22750000000000001</v>
      </c>
      <c r="H189">
        <v>43.305100000000003</v>
      </c>
      <c r="I189">
        <v>22.636299999999999</v>
      </c>
      <c r="J189">
        <v>175.304</v>
      </c>
      <c r="K189">
        <v>322353.51569999999</v>
      </c>
      <c r="M189" s="43">
        <v>44932</v>
      </c>
      <c r="N189" s="5">
        <v>3.9245999999999999</v>
      </c>
      <c r="O189">
        <v>12.2234</v>
      </c>
      <c r="P189">
        <v>0.39410000000000001</v>
      </c>
      <c r="Q189">
        <v>26.148199999999999</v>
      </c>
      <c r="R189">
        <v>0.81289999999999996</v>
      </c>
      <c r="S189">
        <v>195.11080000000001</v>
      </c>
      <c r="T189">
        <v>44.353099999999998</v>
      </c>
      <c r="U189">
        <v>30.868600000000001</v>
      </c>
      <c r="V189">
        <v>794.827</v>
      </c>
      <c r="W189">
        <v>623813.08880000003</v>
      </c>
      <c r="Y189" s="5">
        <v>2.8512</v>
      </c>
      <c r="Z189">
        <v>-2.4828999999999999</v>
      </c>
      <c r="AA189">
        <v>0.26090000000000002</v>
      </c>
      <c r="AB189">
        <v>7.6670999999999996</v>
      </c>
      <c r="AC189">
        <v>-0.45800000000000002</v>
      </c>
      <c r="AD189">
        <v>0</v>
      </c>
      <c r="AE189">
        <v>46.775199999999998</v>
      </c>
      <c r="AF189">
        <v>-16.506599999999999</v>
      </c>
      <c r="AG189">
        <v>310.31400000000002</v>
      </c>
      <c r="AH189">
        <v>175749.57560000001</v>
      </c>
      <c r="AK189">
        <v>3.4786999999999999</v>
      </c>
      <c r="AL189">
        <v>2.3220000000000001</v>
      </c>
      <c r="AM189">
        <v>0.41089999999999999</v>
      </c>
      <c r="AN189">
        <v>0.79120000000000001</v>
      </c>
      <c r="AO189">
        <v>-0.86529999999999996</v>
      </c>
      <c r="AP189" t="s">
        <v>23</v>
      </c>
      <c r="AQ189">
        <v>23.653600000000001</v>
      </c>
      <c r="AR189">
        <v>4.3239000000000001</v>
      </c>
      <c r="AS189">
        <v>147.34399999999999</v>
      </c>
      <c r="AT189">
        <v>89268.264299999995</v>
      </c>
      <c r="AV189">
        <v>3.0777999999999999</v>
      </c>
      <c r="AW189">
        <v>416.96039999999999</v>
      </c>
      <c r="AX189">
        <v>0.39929999999999999</v>
      </c>
      <c r="AY189">
        <v>10.6854</v>
      </c>
      <c r="AZ189">
        <v>-0.85670000000000002</v>
      </c>
      <c r="BA189" t="s">
        <v>23</v>
      </c>
      <c r="BB189">
        <v>-5.5571999999999999</v>
      </c>
      <c r="BC189">
        <v>-15.352600000000001</v>
      </c>
      <c r="BD189">
        <v>157.55000000000001</v>
      </c>
      <c r="BE189">
        <v>137906.77309999999</v>
      </c>
      <c r="BH189" s="5">
        <v>4.0368000000000004</v>
      </c>
      <c r="BI189">
        <v>14.6401</v>
      </c>
      <c r="BJ189">
        <v>2.0171999999999999</v>
      </c>
      <c r="BK189">
        <v>32.315300000000001</v>
      </c>
      <c r="BL189">
        <v>0.74419999999999997</v>
      </c>
      <c r="BM189">
        <v>0</v>
      </c>
      <c r="BN189">
        <v>6.9909999999999997</v>
      </c>
      <c r="BO189">
        <v>1.8119000000000001</v>
      </c>
      <c r="BP189">
        <v>110.46</v>
      </c>
      <c r="BQ189">
        <v>68869.716199999995</v>
      </c>
      <c r="CE189" s="1">
        <f t="shared" si="19"/>
        <v>44932</v>
      </c>
      <c r="CF189" s="35">
        <f t="shared" si="18"/>
        <v>3.7870600098427598</v>
      </c>
      <c r="CG189" s="36">
        <f t="shared" si="17"/>
        <v>-0.48921393200194629</v>
      </c>
      <c r="CH189">
        <f t="shared" ca="1" si="20"/>
        <v>1.1875024504100065</v>
      </c>
      <c r="CI189">
        <f t="shared" ca="1" si="21"/>
        <v>-0.42800104597605948</v>
      </c>
      <c r="CJ189">
        <f t="shared" ca="1" si="22"/>
        <v>-0.82058889147437708</v>
      </c>
      <c r="CK189">
        <f t="shared" ca="1" si="23"/>
        <v>-0.9194143748999819</v>
      </c>
      <c r="CL189">
        <f t="shared" ca="1" si="24"/>
        <v>-0.95753468256038388</v>
      </c>
    </row>
    <row r="190" spans="1:90" x14ac:dyDescent="0.25">
      <c r="A190" s="43">
        <v>44939</v>
      </c>
      <c r="B190" s="5">
        <v>4.5156000000000001</v>
      </c>
      <c r="C190">
        <v>6.4637000000000002</v>
      </c>
      <c r="D190">
        <v>0.47639999999999999</v>
      </c>
      <c r="E190">
        <v>19.5291</v>
      </c>
      <c r="F190">
        <v>1.4984</v>
      </c>
      <c r="G190">
        <v>0.22750000000000001</v>
      </c>
      <c r="H190">
        <v>43.305100000000003</v>
      </c>
      <c r="I190">
        <v>22.636299999999999</v>
      </c>
      <c r="J190">
        <v>184.43</v>
      </c>
      <c r="K190">
        <v>339133.35560000001</v>
      </c>
      <c r="M190" s="43">
        <v>44939</v>
      </c>
      <c r="N190" s="5">
        <v>3.9477000000000002</v>
      </c>
      <c r="O190">
        <v>12.2234</v>
      </c>
      <c r="P190">
        <v>0.39410000000000001</v>
      </c>
      <c r="Q190">
        <v>26.148199999999999</v>
      </c>
      <c r="R190">
        <v>0.81289999999999996</v>
      </c>
      <c r="S190">
        <v>195.11080000000001</v>
      </c>
      <c r="T190">
        <v>44.353099999999998</v>
      </c>
      <c r="U190">
        <v>30.868600000000001</v>
      </c>
      <c r="V190">
        <v>800.726</v>
      </c>
      <c r="W190">
        <v>628442.56929999997</v>
      </c>
      <c r="Y190" s="5">
        <v>2.8304999999999998</v>
      </c>
      <c r="Z190">
        <v>-2.4828999999999999</v>
      </c>
      <c r="AA190">
        <v>0.26090000000000002</v>
      </c>
      <c r="AB190">
        <v>7.6670999999999996</v>
      </c>
      <c r="AC190">
        <v>-0.45800000000000002</v>
      </c>
      <c r="AD190">
        <v>0</v>
      </c>
      <c r="AE190">
        <v>46.775199999999998</v>
      </c>
      <c r="AF190">
        <v>-16.506599999999999</v>
      </c>
      <c r="AG190">
        <v>308.375</v>
      </c>
      <c r="AH190">
        <v>174651.14079999999</v>
      </c>
      <c r="AK190">
        <v>3.6463999999999999</v>
      </c>
      <c r="AL190">
        <v>2.3220000000000001</v>
      </c>
      <c r="AM190">
        <v>0.41089999999999999</v>
      </c>
      <c r="AN190">
        <v>0.79120000000000001</v>
      </c>
      <c r="AO190">
        <v>-0.86529999999999996</v>
      </c>
      <c r="AP190" t="s">
        <v>23</v>
      </c>
      <c r="AQ190">
        <v>23.653600000000001</v>
      </c>
      <c r="AR190">
        <v>4.3239000000000001</v>
      </c>
      <c r="AS190">
        <v>153.03299999999999</v>
      </c>
      <c r="AT190">
        <v>92714.486300000004</v>
      </c>
      <c r="AV190">
        <v>3.0777999999999999</v>
      </c>
      <c r="AW190">
        <v>416.96039999999999</v>
      </c>
      <c r="AX190">
        <v>0.39929999999999999</v>
      </c>
      <c r="AY190">
        <v>10.6854</v>
      </c>
      <c r="AZ190">
        <v>-0.85670000000000002</v>
      </c>
      <c r="BA190" t="s">
        <v>23</v>
      </c>
      <c r="BB190">
        <v>-5.5571999999999999</v>
      </c>
      <c r="BC190">
        <v>-15.352600000000001</v>
      </c>
      <c r="BD190">
        <v>172.6</v>
      </c>
      <c r="BE190">
        <v>151080.34940000001</v>
      </c>
      <c r="BH190" s="5">
        <v>4.0098000000000003</v>
      </c>
      <c r="BI190">
        <v>14.6401</v>
      </c>
      <c r="BJ190">
        <v>2.0171999999999999</v>
      </c>
      <c r="BK190">
        <v>32.315300000000001</v>
      </c>
      <c r="BL190">
        <v>0.74419999999999997</v>
      </c>
      <c r="BM190">
        <v>0</v>
      </c>
      <c r="BN190">
        <v>6.9909999999999997</v>
      </c>
      <c r="BO190">
        <v>1.8119000000000001</v>
      </c>
      <c r="BP190">
        <v>109.547</v>
      </c>
      <c r="BQ190">
        <v>68300.544999999998</v>
      </c>
      <c r="CE190" s="1">
        <f t="shared" si="19"/>
        <v>44939</v>
      </c>
      <c r="CF190" s="35">
        <f t="shared" si="18"/>
        <v>3.8393026985160685</v>
      </c>
      <c r="CG190" s="36">
        <f t="shared" si="17"/>
        <v>-0.4646122908278118</v>
      </c>
      <c r="CH190">
        <f t="shared" ca="1" si="20"/>
        <v>1.1875024504100065</v>
      </c>
      <c r="CI190">
        <f t="shared" ca="1" si="21"/>
        <v>-0.48570828909968589</v>
      </c>
      <c r="CJ190">
        <f t="shared" ca="1" si="22"/>
        <v>-0.82058889147437708</v>
      </c>
      <c r="CK190">
        <f t="shared" ca="1" si="23"/>
        <v>-0.9194143748999819</v>
      </c>
      <c r="CL190">
        <f t="shared" ca="1" si="24"/>
        <v>-0.95753468256038388</v>
      </c>
    </row>
    <row r="191" spans="1:90" x14ac:dyDescent="0.25">
      <c r="A191" s="43">
        <v>44946</v>
      </c>
      <c r="B191" s="5">
        <v>4.4821999999999997</v>
      </c>
      <c r="C191">
        <v>6.4637000000000002</v>
      </c>
      <c r="D191">
        <v>0.47639999999999999</v>
      </c>
      <c r="E191">
        <v>19.5291</v>
      </c>
      <c r="F191">
        <v>1.4984</v>
      </c>
      <c r="G191">
        <v>0.22750000000000001</v>
      </c>
      <c r="H191">
        <v>43.305100000000003</v>
      </c>
      <c r="I191">
        <v>22.636299999999999</v>
      </c>
      <c r="J191">
        <v>182.38399999999999</v>
      </c>
      <c r="K191">
        <v>335371.05959999998</v>
      </c>
      <c r="M191" s="43">
        <v>44946</v>
      </c>
      <c r="N191" s="5">
        <v>3.6715</v>
      </c>
      <c r="O191">
        <v>12.2234</v>
      </c>
      <c r="P191">
        <v>0.39410000000000001</v>
      </c>
      <c r="Q191">
        <v>26.148199999999999</v>
      </c>
      <c r="R191">
        <v>0.81289999999999996</v>
      </c>
      <c r="S191">
        <v>195.11080000000001</v>
      </c>
      <c r="T191">
        <v>44.353099999999998</v>
      </c>
      <c r="U191">
        <v>30.868600000000001</v>
      </c>
      <c r="V191">
        <v>730.18200000000002</v>
      </c>
      <c r="W191">
        <v>573076.99349999998</v>
      </c>
      <c r="Y191" s="5">
        <v>2.7890999999999999</v>
      </c>
      <c r="Z191">
        <v>-2.4828999999999999</v>
      </c>
      <c r="AA191">
        <v>0.26090000000000002</v>
      </c>
      <c r="AB191">
        <v>7.6670999999999996</v>
      </c>
      <c r="AC191">
        <v>-0.45800000000000002</v>
      </c>
      <c r="AD191">
        <v>0</v>
      </c>
      <c r="AE191">
        <v>46.775199999999998</v>
      </c>
      <c r="AF191">
        <v>-16.506599999999999</v>
      </c>
      <c r="AG191">
        <v>304.49599999999998</v>
      </c>
      <c r="AH191">
        <v>172454.27110000001</v>
      </c>
      <c r="AK191">
        <v>3.6573000000000002</v>
      </c>
      <c r="AL191">
        <v>2.3220000000000001</v>
      </c>
      <c r="AM191">
        <v>0.41089999999999999</v>
      </c>
      <c r="AN191">
        <v>0.79120000000000001</v>
      </c>
      <c r="AO191">
        <v>-0.86529999999999996</v>
      </c>
      <c r="AP191" t="s">
        <v>23</v>
      </c>
      <c r="AQ191">
        <v>23.653600000000001</v>
      </c>
      <c r="AR191">
        <v>4.3239000000000001</v>
      </c>
      <c r="AS191">
        <v>153.4</v>
      </c>
      <c r="AT191">
        <v>92936.823199999999</v>
      </c>
      <c r="AV191">
        <v>3.0777999999999999</v>
      </c>
      <c r="AW191">
        <v>416.96039999999999</v>
      </c>
      <c r="AX191">
        <v>0.39929999999999999</v>
      </c>
      <c r="AY191">
        <v>10.6854</v>
      </c>
      <c r="AZ191">
        <v>-0.85670000000000002</v>
      </c>
      <c r="BA191" t="s">
        <v>23</v>
      </c>
      <c r="BB191">
        <v>-5.5571999999999999</v>
      </c>
      <c r="BC191">
        <v>-15.352600000000001</v>
      </c>
      <c r="BD191">
        <v>160.80000000000001</v>
      </c>
      <c r="BE191">
        <v>140751.56529999999</v>
      </c>
      <c r="BH191" s="5">
        <v>3.8475999999999999</v>
      </c>
      <c r="BI191">
        <v>14.6401</v>
      </c>
      <c r="BJ191">
        <v>2.0171999999999999</v>
      </c>
      <c r="BK191">
        <v>32.315300000000001</v>
      </c>
      <c r="BL191">
        <v>0.74419999999999997</v>
      </c>
      <c r="BM191">
        <v>0</v>
      </c>
      <c r="BN191">
        <v>6.9909999999999997</v>
      </c>
      <c r="BO191">
        <v>1.8119000000000001</v>
      </c>
      <c r="BP191">
        <v>104.07</v>
      </c>
      <c r="BQ191">
        <v>64885.517699999997</v>
      </c>
      <c r="CE191" s="1">
        <f t="shared" si="19"/>
        <v>44946</v>
      </c>
      <c r="CF191" s="35">
        <f t="shared" si="18"/>
        <v>3.7050301911252128</v>
      </c>
      <c r="CG191" s="36">
        <f t="shared" si="17"/>
        <v>-0.52784265148244736</v>
      </c>
      <c r="CH191">
        <f t="shared" ca="1" si="20"/>
        <v>1.1875024504100065</v>
      </c>
      <c r="CI191">
        <f t="shared" ca="1" si="21"/>
        <v>-0.48570828909968589</v>
      </c>
      <c r="CJ191">
        <f t="shared" ca="1" si="22"/>
        <v>-0.82058889147437708</v>
      </c>
      <c r="CK191">
        <f t="shared" ca="1" si="23"/>
        <v>-0.9194143748999819</v>
      </c>
      <c r="CL191">
        <f t="shared" ca="1" si="24"/>
        <v>-0.95753468256038388</v>
      </c>
    </row>
    <row r="192" spans="1:90" x14ac:dyDescent="0.25">
      <c r="A192" s="43">
        <v>44953</v>
      </c>
      <c r="B192" s="5">
        <v>4.6866000000000003</v>
      </c>
      <c r="C192">
        <v>6.4637000000000002</v>
      </c>
      <c r="D192">
        <v>0.47639999999999999</v>
      </c>
      <c r="E192">
        <v>19.5291</v>
      </c>
      <c r="F192">
        <v>1.4984</v>
      </c>
      <c r="G192">
        <v>0.22750000000000001</v>
      </c>
      <c r="H192">
        <v>43.305100000000003</v>
      </c>
      <c r="I192">
        <v>22.636299999999999</v>
      </c>
      <c r="J192">
        <v>194.905</v>
      </c>
      <c r="K192">
        <v>358396.31079999998</v>
      </c>
      <c r="M192" s="43">
        <v>44953</v>
      </c>
      <c r="N192" s="5">
        <v>3.9190999999999998</v>
      </c>
      <c r="O192">
        <v>12.2234</v>
      </c>
      <c r="P192">
        <v>0.39410000000000001</v>
      </c>
      <c r="Q192">
        <v>26.148199999999999</v>
      </c>
      <c r="R192">
        <v>0.81289999999999996</v>
      </c>
      <c r="S192">
        <v>195.11080000000001</v>
      </c>
      <c r="T192">
        <v>44.353099999999998</v>
      </c>
      <c r="U192">
        <v>30.868600000000001</v>
      </c>
      <c r="V192">
        <v>793.43600000000004</v>
      </c>
      <c r="W192">
        <v>622721.58519999997</v>
      </c>
      <c r="Y192" s="5">
        <v>3.149</v>
      </c>
      <c r="Z192">
        <v>-2.4828999999999999</v>
      </c>
      <c r="AA192">
        <v>0.26090000000000002</v>
      </c>
      <c r="AB192">
        <v>7.6670999999999996</v>
      </c>
      <c r="AC192">
        <v>-0.45800000000000002</v>
      </c>
      <c r="AD192">
        <v>0</v>
      </c>
      <c r="AE192">
        <v>46.775199999999998</v>
      </c>
      <c r="AF192">
        <v>-16.506599999999999</v>
      </c>
      <c r="AG192">
        <v>338.24200000000002</v>
      </c>
      <c r="AH192">
        <v>191567.0374</v>
      </c>
      <c r="AK192">
        <v>4.4795999999999996</v>
      </c>
      <c r="AL192">
        <v>2.3220000000000001</v>
      </c>
      <c r="AM192">
        <v>0.41089999999999999</v>
      </c>
      <c r="AN192">
        <v>0.79120000000000001</v>
      </c>
      <c r="AO192">
        <v>-0.86529999999999996</v>
      </c>
      <c r="AP192" t="s">
        <v>23</v>
      </c>
      <c r="AQ192">
        <v>23.653600000000001</v>
      </c>
      <c r="AR192">
        <v>4.3239000000000001</v>
      </c>
      <c r="AS192">
        <v>181.29</v>
      </c>
      <c r="AT192">
        <v>109834.4274</v>
      </c>
      <c r="AV192">
        <v>3.0777999999999999</v>
      </c>
      <c r="AW192">
        <v>416.96039999999999</v>
      </c>
      <c r="AX192">
        <v>0.39929999999999999</v>
      </c>
      <c r="AY192">
        <v>10.6854</v>
      </c>
      <c r="AZ192">
        <v>-0.85670000000000002</v>
      </c>
      <c r="BA192" t="s">
        <v>23</v>
      </c>
      <c r="BB192">
        <v>-5.5571999999999999</v>
      </c>
      <c r="BC192">
        <v>-15.352600000000001</v>
      </c>
      <c r="BD192">
        <v>180.9</v>
      </c>
      <c r="BE192">
        <v>158345.511</v>
      </c>
      <c r="BH192" s="5">
        <v>4.2125000000000004</v>
      </c>
      <c r="BI192">
        <v>14.6401</v>
      </c>
      <c r="BJ192">
        <v>2.0171999999999999</v>
      </c>
      <c r="BK192">
        <v>32.315300000000001</v>
      </c>
      <c r="BL192">
        <v>0.74419999999999997</v>
      </c>
      <c r="BM192">
        <v>0</v>
      </c>
      <c r="BN192">
        <v>6.9909999999999997</v>
      </c>
      <c r="BO192">
        <v>1.8119000000000001</v>
      </c>
      <c r="BP192">
        <v>116.39400000000001</v>
      </c>
      <c r="BQ192">
        <v>72569.328999999998</v>
      </c>
      <c r="CE192" s="1">
        <f t="shared" si="19"/>
        <v>44953</v>
      </c>
      <c r="CF192" s="35">
        <f t="shared" si="18"/>
        <v>3.9700974944919727</v>
      </c>
      <c r="CG192" s="36">
        <f t="shared" si="17"/>
        <v>-0.40301962169538813</v>
      </c>
      <c r="CH192">
        <f t="shared" ca="1" si="20"/>
        <v>1.1875024504100065</v>
      </c>
      <c r="CI192">
        <f t="shared" ca="1" si="21"/>
        <v>-0.49061625357423838</v>
      </c>
      <c r="CJ192">
        <f t="shared" ca="1" si="22"/>
        <v>-0.82058889147437708</v>
      </c>
      <c r="CK192">
        <f t="shared" ca="1" si="23"/>
        <v>-0.9194143748999819</v>
      </c>
      <c r="CL192">
        <f t="shared" ca="1" si="24"/>
        <v>-0.95753468256038388</v>
      </c>
    </row>
    <row r="193" spans="1:90" x14ac:dyDescent="0.25">
      <c r="A193" s="43">
        <v>44960</v>
      </c>
      <c r="B193" s="5">
        <v>4.4207000000000001</v>
      </c>
      <c r="C193">
        <v>6.4637000000000002</v>
      </c>
      <c r="D193">
        <v>0.47639999999999999</v>
      </c>
      <c r="E193">
        <v>19.5291</v>
      </c>
      <c r="F193">
        <v>1.4984</v>
      </c>
      <c r="G193">
        <v>0.22750000000000001</v>
      </c>
      <c r="H193">
        <v>43.305100000000003</v>
      </c>
      <c r="I193">
        <v>22.636299999999999</v>
      </c>
      <c r="J193">
        <v>178.619</v>
      </c>
      <c r="K193">
        <v>328448.4351</v>
      </c>
      <c r="M193" s="43">
        <v>44960</v>
      </c>
      <c r="N193" s="5">
        <v>3.7046999999999999</v>
      </c>
      <c r="O193">
        <v>12.2234</v>
      </c>
      <c r="P193">
        <v>0.39410000000000001</v>
      </c>
      <c r="Q193">
        <v>26.148199999999999</v>
      </c>
      <c r="R193">
        <v>0.81289999999999996</v>
      </c>
      <c r="S193">
        <v>195.11080000000001</v>
      </c>
      <c r="T193">
        <v>44.353099999999998</v>
      </c>
      <c r="U193">
        <v>30.868600000000001</v>
      </c>
      <c r="V193">
        <v>738.67</v>
      </c>
      <c r="W193">
        <v>579738.92879999999</v>
      </c>
      <c r="Y193" s="5">
        <v>2.9049999999999998</v>
      </c>
      <c r="Z193">
        <v>-2.4828999999999999</v>
      </c>
      <c r="AA193">
        <v>0.26090000000000002</v>
      </c>
      <c r="AB193">
        <v>7.6670999999999996</v>
      </c>
      <c r="AC193">
        <v>-0.45800000000000002</v>
      </c>
      <c r="AD193">
        <v>0</v>
      </c>
      <c r="AE193">
        <v>46.775199999999998</v>
      </c>
      <c r="AF193">
        <v>-16.506599999999999</v>
      </c>
      <c r="AG193">
        <v>315.35700000000003</v>
      </c>
      <c r="AH193">
        <v>178605.5062</v>
      </c>
      <c r="AK193">
        <v>4.2956000000000003</v>
      </c>
      <c r="AL193">
        <v>2.3220000000000001</v>
      </c>
      <c r="AM193">
        <v>0.41089999999999999</v>
      </c>
      <c r="AN193">
        <v>0.79120000000000001</v>
      </c>
      <c r="AO193">
        <v>-0.86529999999999996</v>
      </c>
      <c r="AP193" t="s">
        <v>23</v>
      </c>
      <c r="AQ193">
        <v>23.653600000000001</v>
      </c>
      <c r="AR193">
        <v>4.3239000000000001</v>
      </c>
      <c r="AS193">
        <v>175.05199999999999</v>
      </c>
      <c r="AT193">
        <v>106054.7001</v>
      </c>
      <c r="AV193">
        <v>3.0777999999999999</v>
      </c>
      <c r="AW193">
        <v>416.96039999999999</v>
      </c>
      <c r="AX193">
        <v>0.39929999999999999</v>
      </c>
      <c r="AY193">
        <v>10.6854</v>
      </c>
      <c r="AZ193">
        <v>-0.85670000000000002</v>
      </c>
      <c r="BA193" t="s">
        <v>23</v>
      </c>
      <c r="BB193">
        <v>-5.5571999999999999</v>
      </c>
      <c r="BC193">
        <v>-15.352600000000001</v>
      </c>
      <c r="BD193">
        <v>158.55000000000001</v>
      </c>
      <c r="BE193">
        <v>138782.0938</v>
      </c>
      <c r="BH193" s="5">
        <v>4.0098000000000003</v>
      </c>
      <c r="BI193">
        <v>14.6401</v>
      </c>
      <c r="BJ193">
        <v>2.0171999999999999</v>
      </c>
      <c r="BK193">
        <v>32.315300000000001</v>
      </c>
      <c r="BL193">
        <v>0.74419999999999997</v>
      </c>
      <c r="BM193">
        <v>0</v>
      </c>
      <c r="BN193">
        <v>6.9909999999999997</v>
      </c>
      <c r="BO193">
        <v>1.8119000000000001</v>
      </c>
      <c r="BP193">
        <v>109.547</v>
      </c>
      <c r="BQ193">
        <v>68300.544999999998</v>
      </c>
      <c r="CE193" s="1">
        <f t="shared" si="19"/>
        <v>44960</v>
      </c>
      <c r="CF193" s="35">
        <f t="shared" si="18"/>
        <v>3.7681617208898524</v>
      </c>
      <c r="CG193" s="36">
        <f t="shared" si="17"/>
        <v>-0.49811333851090106</v>
      </c>
      <c r="CH193">
        <f t="shared" ca="1" si="20"/>
        <v>1.1875024504100065</v>
      </c>
      <c r="CI193">
        <f t="shared" ca="1" si="21"/>
        <v>-0.49061625357423838</v>
      </c>
      <c r="CJ193">
        <f t="shared" ca="1" si="22"/>
        <v>-0.82058889147437708</v>
      </c>
      <c r="CK193">
        <f t="shared" ca="1" si="23"/>
        <v>-0.9194143748999819</v>
      </c>
      <c r="CL193">
        <f t="shared" ca="1" si="24"/>
        <v>-0.95753468256038388</v>
      </c>
    </row>
    <row r="194" spans="1:90" x14ac:dyDescent="0.25">
      <c r="A194" s="43">
        <v>44967</v>
      </c>
      <c r="B194" s="5">
        <v>4.5823999999999998</v>
      </c>
      <c r="C194">
        <v>6.4637000000000002</v>
      </c>
      <c r="D194">
        <v>0.47639999999999999</v>
      </c>
      <c r="E194">
        <v>19.5291</v>
      </c>
      <c r="F194">
        <v>1.4984</v>
      </c>
      <c r="G194">
        <v>0.22750000000000001</v>
      </c>
      <c r="H194">
        <v>43.305100000000003</v>
      </c>
      <c r="I194">
        <v>22.636299999999999</v>
      </c>
      <c r="J194">
        <v>188.52199999999999</v>
      </c>
      <c r="K194">
        <v>346657.94750000001</v>
      </c>
      <c r="M194" s="43">
        <v>44967</v>
      </c>
      <c r="N194" s="5">
        <v>3.9735999999999998</v>
      </c>
      <c r="O194">
        <v>12.2234</v>
      </c>
      <c r="P194">
        <v>0.39410000000000001</v>
      </c>
      <c r="Q194">
        <v>26.148199999999999</v>
      </c>
      <c r="R194">
        <v>0.81289999999999996</v>
      </c>
      <c r="S194">
        <v>195.11080000000001</v>
      </c>
      <c r="T194">
        <v>44.353099999999998</v>
      </c>
      <c r="U194">
        <v>30.868600000000001</v>
      </c>
      <c r="V194">
        <v>807.34299999999996</v>
      </c>
      <c r="W194">
        <v>633636.62060000002</v>
      </c>
      <c r="Y194" s="5">
        <v>3.8397999999999999</v>
      </c>
      <c r="Z194">
        <v>-2.4828999999999999</v>
      </c>
      <c r="AA194">
        <v>0.26090000000000002</v>
      </c>
      <c r="AB194">
        <v>7.6670999999999996</v>
      </c>
      <c r="AC194">
        <v>-0.45800000000000002</v>
      </c>
      <c r="AD194">
        <v>0</v>
      </c>
      <c r="AE194">
        <v>46.775199999999998</v>
      </c>
      <c r="AF194">
        <v>-16.506599999999999</v>
      </c>
      <c r="AG194">
        <v>403.02</v>
      </c>
      <c r="AH194">
        <v>228254.76130000001</v>
      </c>
      <c r="AK194">
        <v>4.4795999999999996</v>
      </c>
      <c r="AL194">
        <v>2.3220000000000001</v>
      </c>
      <c r="AM194">
        <v>0.41089999999999999</v>
      </c>
      <c r="AN194">
        <v>0.79120000000000001</v>
      </c>
      <c r="AO194">
        <v>-0.86529999999999996</v>
      </c>
      <c r="AP194" t="s">
        <v>23</v>
      </c>
      <c r="AQ194">
        <v>23.653600000000001</v>
      </c>
      <c r="AR194">
        <v>4.3239000000000001</v>
      </c>
      <c r="AS194">
        <v>181.29</v>
      </c>
      <c r="AT194">
        <v>109834.4274</v>
      </c>
      <c r="AV194">
        <v>3.0777999999999999</v>
      </c>
      <c r="AW194">
        <v>416.96039999999999</v>
      </c>
      <c r="AX194">
        <v>0.39929999999999999</v>
      </c>
      <c r="AY194">
        <v>10.6854</v>
      </c>
      <c r="AZ194">
        <v>-0.85670000000000002</v>
      </c>
      <c r="BA194" t="s">
        <v>23</v>
      </c>
      <c r="BB194">
        <v>-5.5571999999999999</v>
      </c>
      <c r="BC194">
        <v>-15.352600000000001</v>
      </c>
      <c r="BD194">
        <v>165.95</v>
      </c>
      <c r="BE194">
        <v>145259.46679999999</v>
      </c>
      <c r="BH194" s="5">
        <v>4.2801</v>
      </c>
      <c r="BI194">
        <v>14.6401</v>
      </c>
      <c r="BJ194">
        <v>2.0171999999999999</v>
      </c>
      <c r="BK194">
        <v>32.315300000000001</v>
      </c>
      <c r="BL194">
        <v>0.74419999999999997</v>
      </c>
      <c r="BM194">
        <v>0</v>
      </c>
      <c r="BN194">
        <v>6.9909999999999997</v>
      </c>
      <c r="BO194">
        <v>1.8119000000000001</v>
      </c>
      <c r="BP194">
        <v>118.676</v>
      </c>
      <c r="BQ194">
        <v>73992.256999999998</v>
      </c>
      <c r="CE194" s="1">
        <f t="shared" si="19"/>
        <v>44967</v>
      </c>
      <c r="CF194" s="35">
        <f t="shared" si="18"/>
        <v>4.0572585066320945</v>
      </c>
      <c r="CG194" s="36">
        <f t="shared" si="17"/>
        <v>-0.36197456832046099</v>
      </c>
      <c r="CH194">
        <f t="shared" ca="1" si="20"/>
        <v>1.1684061099960024</v>
      </c>
      <c r="CI194">
        <f t="shared" ca="1" si="21"/>
        <v>-0.49635592740775974</v>
      </c>
      <c r="CJ194">
        <f t="shared" ca="1" si="22"/>
        <v>-0.82058889147437708</v>
      </c>
      <c r="CK194">
        <f t="shared" ca="1" si="23"/>
        <v>-0.9194143748999819</v>
      </c>
      <c r="CL194">
        <f t="shared" ca="1" si="24"/>
        <v>-0.95753468256038388</v>
      </c>
    </row>
    <row r="195" spans="1:90" x14ac:dyDescent="0.25">
      <c r="A195" s="43">
        <v>44974</v>
      </c>
      <c r="B195" s="5">
        <v>4.6345000000000001</v>
      </c>
      <c r="C195">
        <v>6.4637000000000002</v>
      </c>
      <c r="D195">
        <v>0.47639999999999999</v>
      </c>
      <c r="E195">
        <v>19.5291</v>
      </c>
      <c r="F195">
        <v>1.4984</v>
      </c>
      <c r="G195">
        <v>0.22750000000000001</v>
      </c>
      <c r="H195">
        <v>43.305100000000003</v>
      </c>
      <c r="I195">
        <v>22.636299999999999</v>
      </c>
      <c r="J195">
        <v>191.714</v>
      </c>
      <c r="K195">
        <v>352527.12910000002</v>
      </c>
      <c r="M195" s="43">
        <v>44974</v>
      </c>
      <c r="N195" s="5">
        <v>3.9630000000000001</v>
      </c>
      <c r="O195">
        <v>12.2234</v>
      </c>
      <c r="P195">
        <v>0.39410000000000001</v>
      </c>
      <c r="Q195">
        <v>26.148199999999999</v>
      </c>
      <c r="R195">
        <v>0.81289999999999996</v>
      </c>
      <c r="S195">
        <v>195.11080000000001</v>
      </c>
      <c r="T195">
        <v>44.353099999999998</v>
      </c>
      <c r="U195">
        <v>30.868600000000001</v>
      </c>
      <c r="V195">
        <v>804.65800000000002</v>
      </c>
      <c r="W195">
        <v>631528.88959999999</v>
      </c>
      <c r="Y195" s="5">
        <v>3.6122999999999998</v>
      </c>
      <c r="Z195">
        <v>-2.4828999999999999</v>
      </c>
      <c r="AA195">
        <v>0.26090000000000002</v>
      </c>
      <c r="AB195">
        <v>7.6670999999999996</v>
      </c>
      <c r="AC195">
        <v>-0.45800000000000002</v>
      </c>
      <c r="AD195">
        <v>0</v>
      </c>
      <c r="AE195">
        <v>46.775199999999998</v>
      </c>
      <c r="AF195">
        <v>-16.506599999999999</v>
      </c>
      <c r="AG195">
        <v>381.68599999999998</v>
      </c>
      <c r="AH195">
        <v>216171.978</v>
      </c>
      <c r="AK195">
        <v>4.4038000000000004</v>
      </c>
      <c r="AL195">
        <v>2.3220000000000001</v>
      </c>
      <c r="AM195">
        <v>0.41089999999999999</v>
      </c>
      <c r="AN195">
        <v>0.79120000000000001</v>
      </c>
      <c r="AO195">
        <v>-0.86529999999999996</v>
      </c>
      <c r="AP195" t="s">
        <v>23</v>
      </c>
      <c r="AQ195">
        <v>23.653600000000001</v>
      </c>
      <c r="AR195">
        <v>4.3239000000000001</v>
      </c>
      <c r="AS195">
        <v>178.721</v>
      </c>
      <c r="AT195">
        <v>108278.06909999999</v>
      </c>
      <c r="AV195">
        <v>3.0777999999999999</v>
      </c>
      <c r="AW195">
        <v>416.96039999999999</v>
      </c>
      <c r="AX195">
        <v>0.39929999999999999</v>
      </c>
      <c r="AY195">
        <v>10.6854</v>
      </c>
      <c r="AZ195">
        <v>-0.85670000000000002</v>
      </c>
      <c r="BA195" t="s">
        <v>23</v>
      </c>
      <c r="BB195">
        <v>-5.5571999999999999</v>
      </c>
      <c r="BC195">
        <v>-15.352600000000001</v>
      </c>
      <c r="BD195">
        <v>175</v>
      </c>
      <c r="BE195">
        <v>153181.11900000001</v>
      </c>
      <c r="BH195" s="5">
        <v>4.0030999999999999</v>
      </c>
      <c r="BI195">
        <v>14.6401</v>
      </c>
      <c r="BJ195">
        <v>2.0171999999999999</v>
      </c>
      <c r="BK195">
        <v>32.315300000000001</v>
      </c>
      <c r="BL195">
        <v>0.74419999999999997</v>
      </c>
      <c r="BM195">
        <v>0</v>
      </c>
      <c r="BN195">
        <v>6.9909999999999997</v>
      </c>
      <c r="BO195">
        <v>1.8119000000000001</v>
      </c>
      <c r="BP195">
        <v>109.319</v>
      </c>
      <c r="BQ195">
        <v>68158.252200000003</v>
      </c>
      <c r="CE195" s="1">
        <f t="shared" si="19"/>
        <v>44974</v>
      </c>
      <c r="CF195" s="35">
        <f t="shared" si="18"/>
        <v>4.0125322239142971</v>
      </c>
      <c r="CG195" s="36">
        <f t="shared" si="17"/>
        <v>-0.38303665349293259</v>
      </c>
      <c r="CH195">
        <f t="shared" ca="1" si="20"/>
        <v>1.0085261905929204</v>
      </c>
      <c r="CI195">
        <f t="shared" ca="1" si="21"/>
        <v>-0.49635592740775974</v>
      </c>
      <c r="CJ195">
        <f t="shared" ca="1" si="22"/>
        <v>-0.82058889147437708</v>
      </c>
      <c r="CK195">
        <f t="shared" ca="1" si="23"/>
        <v>-0.9194143748999819</v>
      </c>
      <c r="CL195">
        <f t="shared" ca="1" si="24"/>
        <v>-0.95753468256038388</v>
      </c>
    </row>
    <row r="196" spans="1:90" x14ac:dyDescent="0.25">
      <c r="A196" s="43">
        <v>44981</v>
      </c>
      <c r="B196" s="5">
        <v>4.5683999999999996</v>
      </c>
      <c r="C196">
        <v>6.4637000000000002</v>
      </c>
      <c r="D196">
        <v>0.47639999999999999</v>
      </c>
      <c r="E196">
        <v>19.5291</v>
      </c>
      <c r="F196">
        <v>1.4984</v>
      </c>
      <c r="G196">
        <v>0.22750000000000001</v>
      </c>
      <c r="H196">
        <v>43.305100000000003</v>
      </c>
      <c r="I196">
        <v>22.636299999999999</v>
      </c>
      <c r="J196">
        <v>187.66200000000001</v>
      </c>
      <c r="K196">
        <v>345077.78320000001</v>
      </c>
      <c r="M196" s="43">
        <v>44981</v>
      </c>
      <c r="N196" s="5">
        <v>3.9679000000000002</v>
      </c>
      <c r="O196">
        <v>12.2234</v>
      </c>
      <c r="P196">
        <v>0.39410000000000001</v>
      </c>
      <c r="Q196">
        <v>26.148199999999999</v>
      </c>
      <c r="R196">
        <v>0.81289999999999996</v>
      </c>
      <c r="S196">
        <v>195.11080000000001</v>
      </c>
      <c r="T196">
        <v>44.353099999999998</v>
      </c>
      <c r="U196">
        <v>30.868600000000001</v>
      </c>
      <c r="V196">
        <v>805.90499999999997</v>
      </c>
      <c r="W196">
        <v>632507.47900000005</v>
      </c>
      <c r="Y196" s="5">
        <v>3.5337000000000001</v>
      </c>
      <c r="Z196">
        <v>-2.4828999999999999</v>
      </c>
      <c r="AA196">
        <v>0.26090000000000002</v>
      </c>
      <c r="AB196">
        <v>7.6670999999999996</v>
      </c>
      <c r="AC196">
        <v>-0.45800000000000002</v>
      </c>
      <c r="AD196">
        <v>0</v>
      </c>
      <c r="AE196">
        <v>46.775199999999998</v>
      </c>
      <c r="AF196">
        <v>-16.506599999999999</v>
      </c>
      <c r="AG196">
        <v>374.31599999999997</v>
      </c>
      <c r="AH196">
        <v>211997.92559999999</v>
      </c>
      <c r="AK196">
        <v>3.9601999999999999</v>
      </c>
      <c r="AL196">
        <v>2.3220000000000001</v>
      </c>
      <c r="AM196">
        <v>0.41089999999999999</v>
      </c>
      <c r="AN196">
        <v>0.79120000000000001</v>
      </c>
      <c r="AO196">
        <v>-0.86529999999999996</v>
      </c>
      <c r="AP196" t="s">
        <v>23</v>
      </c>
      <c r="AQ196">
        <v>23.653600000000001</v>
      </c>
      <c r="AR196">
        <v>4.3239000000000001</v>
      </c>
      <c r="AS196">
        <v>163.67500000000001</v>
      </c>
      <c r="AT196">
        <v>99162.256299999994</v>
      </c>
      <c r="AV196">
        <v>3.0777999999999999</v>
      </c>
      <c r="AW196">
        <v>416.96039999999999</v>
      </c>
      <c r="AX196">
        <v>0.39929999999999999</v>
      </c>
      <c r="AY196">
        <v>10.6854</v>
      </c>
      <c r="AZ196">
        <v>-0.85670000000000002</v>
      </c>
      <c r="BA196" t="s">
        <v>23</v>
      </c>
      <c r="BB196">
        <v>-5.5571999999999999</v>
      </c>
      <c r="BC196">
        <v>-15.352600000000001</v>
      </c>
      <c r="BD196">
        <v>168.45</v>
      </c>
      <c r="BE196">
        <v>147447.76850000001</v>
      </c>
      <c r="BH196" s="5">
        <v>3.9828000000000001</v>
      </c>
      <c r="BI196">
        <v>14.6401</v>
      </c>
      <c r="BJ196">
        <v>2.0171999999999999</v>
      </c>
      <c r="BK196">
        <v>32.315300000000001</v>
      </c>
      <c r="BL196">
        <v>0.74419999999999997</v>
      </c>
      <c r="BM196">
        <v>0</v>
      </c>
      <c r="BN196">
        <v>6.9909999999999997</v>
      </c>
      <c r="BO196">
        <v>1.8119000000000001</v>
      </c>
      <c r="BP196">
        <v>108.634</v>
      </c>
      <c r="BQ196">
        <v>67731.373800000001</v>
      </c>
      <c r="CE196" s="1">
        <f t="shared" si="19"/>
        <v>44981</v>
      </c>
      <c r="CF196" s="35">
        <f t="shared" si="18"/>
        <v>3.9573756018534501</v>
      </c>
      <c r="CG196" s="36">
        <f t="shared" si="17"/>
        <v>-0.40901049708286985</v>
      </c>
      <c r="CH196">
        <f t="shared" ca="1" si="20"/>
        <v>-0.29398454928501783</v>
      </c>
      <c r="CI196">
        <f t="shared" ca="1" si="21"/>
        <v>-0.49635592740775974</v>
      </c>
      <c r="CJ196">
        <f t="shared" ca="1" si="22"/>
        <v>-0.82058889147437708</v>
      </c>
      <c r="CK196">
        <f t="shared" ca="1" si="23"/>
        <v>-0.9194143748999819</v>
      </c>
      <c r="CL196">
        <f t="shared" ca="1" si="24"/>
        <v>-0.95753468256038388</v>
      </c>
    </row>
    <row r="197" spans="1:90" x14ac:dyDescent="0.25">
      <c r="A197" s="43">
        <v>44988</v>
      </c>
      <c r="B197" s="5">
        <v>4.4808000000000003</v>
      </c>
      <c r="C197">
        <v>6.4637000000000002</v>
      </c>
      <c r="D197">
        <v>0.47639999999999999</v>
      </c>
      <c r="E197">
        <v>19.5291</v>
      </c>
      <c r="F197">
        <v>1.4984</v>
      </c>
      <c r="G197">
        <v>0.22750000000000001</v>
      </c>
      <c r="H197">
        <v>43.305100000000003</v>
      </c>
      <c r="I197">
        <v>22.636299999999999</v>
      </c>
      <c r="J197">
        <v>182.30199999999999</v>
      </c>
      <c r="K197">
        <v>335220.56780000002</v>
      </c>
      <c r="M197" s="43">
        <v>44988</v>
      </c>
      <c r="N197" s="5">
        <v>3.8056999999999999</v>
      </c>
      <c r="O197">
        <v>12.2234</v>
      </c>
      <c r="P197">
        <v>0.39410000000000001</v>
      </c>
      <c r="Q197">
        <v>26.148199999999999</v>
      </c>
      <c r="R197">
        <v>0.81289999999999996</v>
      </c>
      <c r="S197">
        <v>195.11080000000001</v>
      </c>
      <c r="T197">
        <v>44.353099999999998</v>
      </c>
      <c r="U197">
        <v>30.868600000000001</v>
      </c>
      <c r="V197">
        <v>764.471</v>
      </c>
      <c r="W197">
        <v>599988.20129999996</v>
      </c>
      <c r="Y197" s="5">
        <v>3.0746000000000002</v>
      </c>
      <c r="Z197">
        <v>-2.4828999999999999</v>
      </c>
      <c r="AA197">
        <v>0.26090000000000002</v>
      </c>
      <c r="AB197">
        <v>7.6670999999999996</v>
      </c>
      <c r="AC197">
        <v>-0.45800000000000002</v>
      </c>
      <c r="AD197">
        <v>0</v>
      </c>
      <c r="AE197">
        <v>46.775199999999998</v>
      </c>
      <c r="AF197">
        <v>-16.506599999999999</v>
      </c>
      <c r="AG197">
        <v>331.26</v>
      </c>
      <c r="AH197">
        <v>187612.67199999999</v>
      </c>
      <c r="AK197">
        <v>4.3064</v>
      </c>
      <c r="AL197">
        <v>2.3220000000000001</v>
      </c>
      <c r="AM197">
        <v>0.41089999999999999</v>
      </c>
      <c r="AN197">
        <v>0.79120000000000001</v>
      </c>
      <c r="AO197">
        <v>-0.86529999999999996</v>
      </c>
      <c r="AP197" t="s">
        <v>23</v>
      </c>
      <c r="AQ197">
        <v>23.653600000000001</v>
      </c>
      <c r="AR197">
        <v>4.3239000000000001</v>
      </c>
      <c r="AS197">
        <v>175.41900000000001</v>
      </c>
      <c r="AT197">
        <v>106277.037</v>
      </c>
      <c r="AV197">
        <v>3.0777999999999999</v>
      </c>
      <c r="AW197">
        <v>416.96039999999999</v>
      </c>
      <c r="AX197">
        <v>0.39929999999999999</v>
      </c>
      <c r="AY197">
        <v>10.6854</v>
      </c>
      <c r="AZ197">
        <v>-0.85670000000000002</v>
      </c>
      <c r="BA197" t="s">
        <v>23</v>
      </c>
      <c r="BB197">
        <v>-5.5571999999999999</v>
      </c>
      <c r="BC197">
        <v>-15.352600000000001</v>
      </c>
      <c r="BD197">
        <v>165.3</v>
      </c>
      <c r="BE197">
        <v>144690.50839999999</v>
      </c>
      <c r="BH197" s="5">
        <v>3.7936000000000001</v>
      </c>
      <c r="BI197">
        <v>14.6401</v>
      </c>
      <c r="BJ197">
        <v>2.0171999999999999</v>
      </c>
      <c r="BK197">
        <v>32.315300000000001</v>
      </c>
      <c r="BL197">
        <v>0.74419999999999997</v>
      </c>
      <c r="BM197">
        <v>0</v>
      </c>
      <c r="BN197">
        <v>6.9909999999999997</v>
      </c>
      <c r="BO197">
        <v>1.8119000000000001</v>
      </c>
      <c r="BP197">
        <v>102.244</v>
      </c>
      <c r="BQ197">
        <v>63747.175300000003</v>
      </c>
      <c r="CE197" s="1">
        <f t="shared" si="19"/>
        <v>44988</v>
      </c>
      <c r="CF197" s="35">
        <f t="shared" si="18"/>
        <v>3.8309272828515013</v>
      </c>
      <c r="CG197" s="36">
        <f t="shared" si="17"/>
        <v>-0.46855636369420661</v>
      </c>
      <c r="CH197">
        <f t="shared" ca="1" si="20"/>
        <v>-0.36408077683770818</v>
      </c>
      <c r="CI197">
        <f t="shared" ca="1" si="21"/>
        <v>-0.49635592740775974</v>
      </c>
      <c r="CJ197">
        <f t="shared" ca="1" si="22"/>
        <v>-0.82058889147437708</v>
      </c>
      <c r="CK197">
        <f t="shared" ca="1" si="23"/>
        <v>-0.9194143748999819</v>
      </c>
      <c r="CL197">
        <f t="shared" ca="1" si="24"/>
        <v>-0.95753468256038388</v>
      </c>
    </row>
    <row r="198" spans="1:90" x14ac:dyDescent="0.25">
      <c r="A198" s="43">
        <v>44995</v>
      </c>
      <c r="B198" s="5">
        <v>4.3612000000000002</v>
      </c>
      <c r="C198">
        <v>6.4637000000000002</v>
      </c>
      <c r="D198">
        <v>0.47639999999999999</v>
      </c>
      <c r="E198">
        <v>19.5291</v>
      </c>
      <c r="F198">
        <v>1.4984</v>
      </c>
      <c r="G198">
        <v>0.22750000000000001</v>
      </c>
      <c r="H198">
        <v>43.305100000000003</v>
      </c>
      <c r="I198">
        <v>22.636299999999999</v>
      </c>
      <c r="J198">
        <v>174.977</v>
      </c>
      <c r="K198">
        <v>321751.54840000003</v>
      </c>
      <c r="M198" s="43">
        <v>44995</v>
      </c>
      <c r="N198" s="5">
        <v>3.7383000000000002</v>
      </c>
      <c r="O198">
        <v>12.2234</v>
      </c>
      <c r="P198">
        <v>0.39410000000000001</v>
      </c>
      <c r="Q198">
        <v>26.148199999999999</v>
      </c>
      <c r="R198">
        <v>0.81289999999999996</v>
      </c>
      <c r="S198">
        <v>195.11080000000001</v>
      </c>
      <c r="T198">
        <v>44.353099999999998</v>
      </c>
      <c r="U198">
        <v>30.868600000000001</v>
      </c>
      <c r="V198">
        <v>747.25400000000002</v>
      </c>
      <c r="W198">
        <v>586476.14029999997</v>
      </c>
      <c r="Y198" s="5">
        <v>2.5781999999999998</v>
      </c>
      <c r="Z198">
        <v>-2.4828999999999999</v>
      </c>
      <c r="AA198">
        <v>0.26090000000000002</v>
      </c>
      <c r="AB198">
        <v>7.6670999999999996</v>
      </c>
      <c r="AC198">
        <v>-0.45800000000000002</v>
      </c>
      <c r="AD198">
        <v>0</v>
      </c>
      <c r="AE198">
        <v>46.775199999999998</v>
      </c>
      <c r="AF198">
        <v>-16.506599999999999</v>
      </c>
      <c r="AG198">
        <v>284.71300000000002</v>
      </c>
      <c r="AH198">
        <v>161250.23560000001</v>
      </c>
      <c r="AK198">
        <v>3.7222</v>
      </c>
      <c r="AL198">
        <v>2.3220000000000001</v>
      </c>
      <c r="AM198">
        <v>0.41089999999999999</v>
      </c>
      <c r="AN198">
        <v>0.79120000000000001</v>
      </c>
      <c r="AO198">
        <v>-0.86529999999999996</v>
      </c>
      <c r="AP198" t="s">
        <v>23</v>
      </c>
      <c r="AQ198">
        <v>23.653600000000001</v>
      </c>
      <c r="AR198">
        <v>4.3239000000000001</v>
      </c>
      <c r="AS198">
        <v>155.601</v>
      </c>
      <c r="AT198">
        <v>94270.844500000007</v>
      </c>
      <c r="AV198">
        <v>3.0777999999999999</v>
      </c>
      <c r="AW198">
        <v>416.96039999999999</v>
      </c>
      <c r="AX198">
        <v>0.39929999999999999</v>
      </c>
      <c r="AY198">
        <v>10.6854</v>
      </c>
      <c r="AZ198">
        <v>-0.85670000000000002</v>
      </c>
      <c r="BA198" t="s">
        <v>23</v>
      </c>
      <c r="BB198">
        <v>-5.5571999999999999</v>
      </c>
      <c r="BC198">
        <v>-15.352600000000001</v>
      </c>
      <c r="BD198">
        <v>154.30000000000001</v>
      </c>
      <c r="BE198">
        <v>135061.9809</v>
      </c>
      <c r="BH198" s="5">
        <v>3.6381999999999999</v>
      </c>
      <c r="BI198">
        <v>14.6401</v>
      </c>
      <c r="BJ198">
        <v>2.0171999999999999</v>
      </c>
      <c r="BK198">
        <v>32.315300000000001</v>
      </c>
      <c r="BL198">
        <v>0.74419999999999997</v>
      </c>
      <c r="BM198">
        <v>0</v>
      </c>
      <c r="BN198">
        <v>6.9909999999999997</v>
      </c>
      <c r="BO198">
        <v>1.8119000000000001</v>
      </c>
      <c r="BP198">
        <v>96.995000000000005</v>
      </c>
      <c r="BQ198">
        <v>60474.440900000001</v>
      </c>
      <c r="CE198" s="1">
        <f t="shared" si="19"/>
        <v>44995</v>
      </c>
      <c r="CF198" s="35">
        <f t="shared" si="18"/>
        <v>3.6769243226122654</v>
      </c>
      <c r="CG198" s="36">
        <f t="shared" si="17"/>
        <v>-0.54107800574162057</v>
      </c>
      <c r="CH198">
        <f t="shared" ca="1" si="20"/>
        <v>-0.38503495031317819</v>
      </c>
      <c r="CI198">
        <f t="shared" ca="1" si="21"/>
        <v>-0.49635592740775974</v>
      </c>
      <c r="CJ198">
        <f t="shared" ca="1" si="22"/>
        <v>-0.82058889147437708</v>
      </c>
      <c r="CK198">
        <f t="shared" ca="1" si="23"/>
        <v>-0.9194143748999819</v>
      </c>
      <c r="CL198">
        <f t="shared" ca="1" si="24"/>
        <v>-0.95753468256038388</v>
      </c>
    </row>
    <row r="199" spans="1:90" x14ac:dyDescent="0.25">
      <c r="A199" s="43">
        <v>45002</v>
      </c>
      <c r="B199" s="5">
        <v>4.3017000000000003</v>
      </c>
      <c r="C199">
        <v>6.4637000000000002</v>
      </c>
      <c r="D199">
        <v>0.47639999999999999</v>
      </c>
      <c r="E199">
        <v>19.5291</v>
      </c>
      <c r="F199">
        <v>1.4984</v>
      </c>
      <c r="G199">
        <v>0.22750000000000001</v>
      </c>
      <c r="H199">
        <v>43.305100000000003</v>
      </c>
      <c r="I199">
        <v>22.636299999999999</v>
      </c>
      <c r="J199">
        <v>171.33500000000001</v>
      </c>
      <c r="K199">
        <v>315054.66159999999</v>
      </c>
      <c r="M199" s="43">
        <v>45002</v>
      </c>
      <c r="N199" s="5">
        <v>3.4710000000000001</v>
      </c>
      <c r="O199">
        <v>12.2234</v>
      </c>
      <c r="P199">
        <v>0.39410000000000001</v>
      </c>
      <c r="Q199">
        <v>26.148199999999999</v>
      </c>
      <c r="R199">
        <v>0.81289999999999996</v>
      </c>
      <c r="S199">
        <v>195.11080000000001</v>
      </c>
      <c r="T199">
        <v>44.353099999999998</v>
      </c>
      <c r="U199">
        <v>30.868600000000001</v>
      </c>
      <c r="V199">
        <v>678.96500000000003</v>
      </c>
      <c r="W199">
        <v>532879.55299999996</v>
      </c>
      <c r="Y199" s="5">
        <v>2.4830000000000001</v>
      </c>
      <c r="Z199">
        <v>-2.4828999999999999</v>
      </c>
      <c r="AA199">
        <v>0.26090000000000002</v>
      </c>
      <c r="AB199">
        <v>7.6670999999999996</v>
      </c>
      <c r="AC199">
        <v>-0.45800000000000002</v>
      </c>
      <c r="AD199">
        <v>0</v>
      </c>
      <c r="AE199">
        <v>46.775199999999998</v>
      </c>
      <c r="AF199">
        <v>-16.506599999999999</v>
      </c>
      <c r="AG199">
        <v>275.79199999999997</v>
      </c>
      <c r="AH199">
        <v>156197.43530000001</v>
      </c>
      <c r="AK199">
        <v>3.2353000000000001</v>
      </c>
      <c r="AL199">
        <v>2.3220000000000001</v>
      </c>
      <c r="AM199">
        <v>0.41089999999999999</v>
      </c>
      <c r="AN199">
        <v>0.79120000000000001</v>
      </c>
      <c r="AO199">
        <v>-0.86529999999999996</v>
      </c>
      <c r="AP199" t="s">
        <v>23</v>
      </c>
      <c r="AQ199">
        <v>23.653600000000001</v>
      </c>
      <c r="AR199">
        <v>4.3239000000000001</v>
      </c>
      <c r="AS199">
        <v>139.08699999999999</v>
      </c>
      <c r="AT199">
        <v>84265.684200000003</v>
      </c>
      <c r="AV199">
        <v>3.0777999999999999</v>
      </c>
      <c r="AW199">
        <v>416.96039999999999</v>
      </c>
      <c r="AX199">
        <v>0.39929999999999999</v>
      </c>
      <c r="AY199">
        <v>10.6854</v>
      </c>
      <c r="AZ199">
        <v>-0.85670000000000002</v>
      </c>
      <c r="BA199" t="s">
        <v>23</v>
      </c>
      <c r="BB199">
        <v>-5.5571999999999999</v>
      </c>
      <c r="BC199">
        <v>-15.352600000000001</v>
      </c>
      <c r="BD199">
        <v>142</v>
      </c>
      <c r="BE199">
        <v>124295.53660000001</v>
      </c>
      <c r="BH199" s="5">
        <v>3.6314000000000002</v>
      </c>
      <c r="BI199">
        <v>14.6401</v>
      </c>
      <c r="BJ199">
        <v>2.0171999999999999</v>
      </c>
      <c r="BK199">
        <v>32.315300000000001</v>
      </c>
      <c r="BL199">
        <v>0.74419999999999997</v>
      </c>
      <c r="BM199">
        <v>0</v>
      </c>
      <c r="BN199">
        <v>6.9909999999999997</v>
      </c>
      <c r="BO199">
        <v>1.8119000000000001</v>
      </c>
      <c r="BP199">
        <v>96.766999999999996</v>
      </c>
      <c r="BQ199">
        <v>60332.148000000001</v>
      </c>
      <c r="CE199" s="1">
        <f t="shared" si="19"/>
        <v>45002</v>
      </c>
      <c r="CF199" s="35">
        <f t="shared" si="18"/>
        <v>3.5089691603753552</v>
      </c>
      <c r="CG199" s="36">
        <f t="shared" ref="CG199:CG262" si="25">+(CF199-$CG$1)/$CH$1</f>
        <v>-0.62016988901996095</v>
      </c>
      <c r="CH199">
        <f t="shared" ca="1" si="20"/>
        <v>-0.40361870923413629</v>
      </c>
      <c r="CI199">
        <f t="shared" ca="1" si="21"/>
        <v>-0.52041032323956082</v>
      </c>
      <c r="CJ199">
        <f t="shared" ca="1" si="22"/>
        <v>-0.82058889147437708</v>
      </c>
      <c r="CK199">
        <f t="shared" ca="1" si="23"/>
        <v>-0.9194143748999819</v>
      </c>
      <c r="CL199">
        <f t="shared" ca="1" si="24"/>
        <v>-0.95753468256038388</v>
      </c>
    </row>
    <row r="200" spans="1:90" x14ac:dyDescent="0.25">
      <c r="A200" s="43">
        <v>45009</v>
      </c>
      <c r="B200" s="5">
        <v>4.1748000000000003</v>
      </c>
      <c r="C200">
        <v>6.4637000000000002</v>
      </c>
      <c r="D200">
        <v>0.47639999999999999</v>
      </c>
      <c r="E200">
        <v>19.5291</v>
      </c>
      <c r="F200">
        <v>1.4984</v>
      </c>
      <c r="G200">
        <v>0.22750000000000001</v>
      </c>
      <c r="H200">
        <v>43.305100000000003</v>
      </c>
      <c r="I200">
        <v>22.636299999999999</v>
      </c>
      <c r="J200">
        <v>163.56</v>
      </c>
      <c r="K200">
        <v>300757.93699999998</v>
      </c>
      <c r="M200" s="43">
        <v>45009</v>
      </c>
      <c r="N200" s="5">
        <v>3.4716999999999998</v>
      </c>
      <c r="O200">
        <v>12.2234</v>
      </c>
      <c r="P200">
        <v>0.39410000000000001</v>
      </c>
      <c r="Q200">
        <v>26.148199999999999</v>
      </c>
      <c r="R200">
        <v>0.81289999999999996</v>
      </c>
      <c r="S200">
        <v>195.11080000000001</v>
      </c>
      <c r="T200">
        <v>44.353099999999998</v>
      </c>
      <c r="U200">
        <v>30.868600000000001</v>
      </c>
      <c r="V200">
        <v>679.15599999999995</v>
      </c>
      <c r="W200">
        <v>533030.10519999999</v>
      </c>
      <c r="Y200" s="5">
        <v>2.5657999999999999</v>
      </c>
      <c r="Z200">
        <v>-2.4828999999999999</v>
      </c>
      <c r="AA200">
        <v>0.26090000000000002</v>
      </c>
      <c r="AB200">
        <v>7.6670999999999996</v>
      </c>
      <c r="AC200">
        <v>-0.45800000000000002</v>
      </c>
      <c r="AD200">
        <v>0</v>
      </c>
      <c r="AE200">
        <v>46.775199999999998</v>
      </c>
      <c r="AF200">
        <v>-16.506599999999999</v>
      </c>
      <c r="AG200">
        <v>283.54899999999998</v>
      </c>
      <c r="AH200">
        <v>160591.1747</v>
      </c>
      <c r="AK200">
        <v>3.1379000000000001</v>
      </c>
      <c r="AL200">
        <v>2.3220000000000001</v>
      </c>
      <c r="AM200">
        <v>0.41089999999999999</v>
      </c>
      <c r="AN200">
        <v>0.79120000000000001</v>
      </c>
      <c r="AO200">
        <v>-0.86529999999999996</v>
      </c>
      <c r="AP200" t="s">
        <v>23</v>
      </c>
      <c r="AQ200">
        <v>23.653600000000001</v>
      </c>
      <c r="AR200">
        <v>4.3239000000000001</v>
      </c>
      <c r="AS200">
        <v>135.78399999999999</v>
      </c>
      <c r="AT200">
        <v>82264.652100000007</v>
      </c>
      <c r="AV200">
        <v>3.0777999999999999</v>
      </c>
      <c r="AW200">
        <v>416.96039999999999</v>
      </c>
      <c r="AX200">
        <v>0.39929999999999999</v>
      </c>
      <c r="AY200">
        <v>10.6854</v>
      </c>
      <c r="AZ200">
        <v>-0.85670000000000002</v>
      </c>
      <c r="BA200" t="s">
        <v>23</v>
      </c>
      <c r="BB200">
        <v>-5.5571999999999999</v>
      </c>
      <c r="BC200">
        <v>-15.352600000000001</v>
      </c>
      <c r="BD200">
        <v>151.80000000000001</v>
      </c>
      <c r="BE200">
        <v>132873.67920000001</v>
      </c>
      <c r="BH200" s="5">
        <v>3.6855000000000002</v>
      </c>
      <c r="BI200">
        <v>14.6401</v>
      </c>
      <c r="BJ200">
        <v>2.0171999999999999</v>
      </c>
      <c r="BK200">
        <v>32.315300000000001</v>
      </c>
      <c r="BL200">
        <v>0.74419999999999997</v>
      </c>
      <c r="BM200">
        <v>0</v>
      </c>
      <c r="BN200">
        <v>6.9909999999999997</v>
      </c>
      <c r="BO200">
        <v>1.8119000000000001</v>
      </c>
      <c r="BP200">
        <v>98.591999999999999</v>
      </c>
      <c r="BQ200">
        <v>61470.4905</v>
      </c>
      <c r="CE200" s="1">
        <f t="shared" si="19"/>
        <v>45009</v>
      </c>
      <c r="CF200" s="35">
        <f t="shared" ref="CF200:CF263" si="26">+(BH200*BQ200+AV200*BE200+AK200*AT200+Y200*AH200+N200*W200+B200*K200)/(K200+W200+AH200+AT200+BE200+BQ200)</f>
        <v>3.4711703869159307</v>
      </c>
      <c r="CG200" s="36">
        <f t="shared" si="25"/>
        <v>-0.63796973594756101</v>
      </c>
      <c r="CH200">
        <f t="shared" ca="1" si="20"/>
        <v>-0.41457067645736412</v>
      </c>
      <c r="CI200">
        <f t="shared" ca="1" si="21"/>
        <v>-0.53202934958611892</v>
      </c>
      <c r="CJ200">
        <f t="shared" ca="1" si="22"/>
        <v>-0.82058889147437708</v>
      </c>
      <c r="CK200">
        <f t="shared" ca="1" si="23"/>
        <v>-0.9194143748999819</v>
      </c>
      <c r="CL200">
        <f t="shared" ca="1" si="24"/>
        <v>-0.95753468256038388</v>
      </c>
    </row>
    <row r="201" spans="1:90" x14ac:dyDescent="0.25">
      <c r="A201" s="43">
        <v>45016</v>
      </c>
      <c r="B201" s="5">
        <v>2.3441999999999998</v>
      </c>
      <c r="C201">
        <v>11.481999999999999</v>
      </c>
      <c r="D201">
        <v>0.88300000000000001</v>
      </c>
      <c r="E201">
        <v>21.247</v>
      </c>
      <c r="F201">
        <v>0.21149999999999999</v>
      </c>
      <c r="G201">
        <v>0.22750000000000001</v>
      </c>
      <c r="H201">
        <v>44.789900000000003</v>
      </c>
      <c r="I201">
        <v>24.388100000000001</v>
      </c>
      <c r="J201">
        <v>179.15100000000001</v>
      </c>
      <c r="K201">
        <v>329426.63209999999</v>
      </c>
      <c r="M201" s="43">
        <v>45016</v>
      </c>
      <c r="N201" s="5">
        <v>2.8031999999999999</v>
      </c>
      <c r="O201">
        <v>29.031600000000001</v>
      </c>
      <c r="P201">
        <v>0.69769999999999999</v>
      </c>
      <c r="Q201">
        <v>24.729900000000001</v>
      </c>
      <c r="R201">
        <v>0.28010000000000002</v>
      </c>
      <c r="S201">
        <v>195.11080000000001</v>
      </c>
      <c r="T201">
        <v>42.936300000000003</v>
      </c>
      <c r="U201">
        <v>29.502600000000001</v>
      </c>
      <c r="V201">
        <v>791.03800000000001</v>
      </c>
      <c r="W201">
        <v>620839.68259999994</v>
      </c>
      <c r="Y201" s="5">
        <v>0.93120000000000003</v>
      </c>
      <c r="Z201">
        <v>44.080800000000004</v>
      </c>
      <c r="AA201">
        <v>1.5058</v>
      </c>
      <c r="AB201">
        <v>7.1066000000000003</v>
      </c>
      <c r="AC201">
        <v>-4.3799999999999999E-2</v>
      </c>
      <c r="AD201">
        <v>0</v>
      </c>
      <c r="AE201">
        <v>124.61069999999999</v>
      </c>
      <c r="AF201">
        <v>69.506799999999998</v>
      </c>
      <c r="AG201">
        <v>301.005</v>
      </c>
      <c r="AH201">
        <v>170477.0883</v>
      </c>
      <c r="AK201">
        <v>1.7949999999999999</v>
      </c>
      <c r="AL201">
        <v>22.049099999999999</v>
      </c>
      <c r="AM201">
        <v>1.1013999999999999</v>
      </c>
      <c r="AN201">
        <v>1.1283000000000001</v>
      </c>
      <c r="AO201">
        <v>-1.21E-2</v>
      </c>
      <c r="AP201" t="s">
        <v>23</v>
      </c>
      <c r="AQ201">
        <v>35.433500000000002</v>
      </c>
      <c r="AR201">
        <v>19.857900000000001</v>
      </c>
      <c r="AS201">
        <v>146.61000000000001</v>
      </c>
      <c r="AT201">
        <v>88823.590599999996</v>
      </c>
      <c r="AV201">
        <v>3.0777999999999999</v>
      </c>
      <c r="AW201">
        <v>913.76589999999999</v>
      </c>
      <c r="AX201">
        <v>-3.7305999999999999</v>
      </c>
      <c r="AY201">
        <v>14.99</v>
      </c>
      <c r="AZ201">
        <v>-0.85670000000000002</v>
      </c>
      <c r="BA201" t="s">
        <v>23</v>
      </c>
      <c r="BB201">
        <v>-6.7976999999999999</v>
      </c>
      <c r="BC201">
        <v>-16.411000000000001</v>
      </c>
      <c r="BD201">
        <v>166.15</v>
      </c>
      <c r="BE201">
        <v>145434.53099999999</v>
      </c>
      <c r="BH201" s="5">
        <v>5.8369</v>
      </c>
      <c r="BI201">
        <v>12.1996</v>
      </c>
      <c r="BJ201">
        <v>2.6057000000000001</v>
      </c>
      <c r="BK201">
        <v>28.8551</v>
      </c>
      <c r="BL201">
        <v>0.54310000000000003</v>
      </c>
      <c r="BM201">
        <v>0</v>
      </c>
      <c r="BN201">
        <v>3.5183</v>
      </c>
      <c r="BO201">
        <v>-2.5057</v>
      </c>
      <c r="BP201">
        <v>104.983</v>
      </c>
      <c r="BQ201">
        <v>65454.688900000001</v>
      </c>
      <c r="CE201" s="1">
        <f t="shared" si="19"/>
        <v>45016</v>
      </c>
      <c r="CF201" s="35">
        <f t="shared" si="26"/>
        <v>2.5769447571481301</v>
      </c>
      <c r="CG201" s="36">
        <f t="shared" si="25"/>
        <v>-1.059070154607705</v>
      </c>
      <c r="CH201">
        <f t="shared" ca="1" si="20"/>
        <v>-0.46500669811445128</v>
      </c>
      <c r="CI201">
        <f t="shared" ca="1" si="21"/>
        <v>-0.53697243222573543</v>
      </c>
      <c r="CJ201">
        <f t="shared" ca="1" si="22"/>
        <v>-0.82058889147437708</v>
      </c>
      <c r="CK201">
        <f t="shared" ca="1" si="23"/>
        <v>-0.9194143748999819</v>
      </c>
      <c r="CL201">
        <f t="shared" ca="1" si="24"/>
        <v>-0.95753468256038388</v>
      </c>
    </row>
    <row r="202" spans="1:90" x14ac:dyDescent="0.25">
      <c r="A202" s="43">
        <v>45023</v>
      </c>
      <c r="B202" s="5">
        <v>2.4039999999999999</v>
      </c>
      <c r="C202">
        <v>11.481999999999999</v>
      </c>
      <c r="D202">
        <v>0.88300000000000001</v>
      </c>
      <c r="E202">
        <v>21.247</v>
      </c>
      <c r="F202">
        <v>0.21149999999999999</v>
      </c>
      <c r="G202">
        <v>0.22750000000000001</v>
      </c>
      <c r="H202">
        <v>44.789900000000003</v>
      </c>
      <c r="I202">
        <v>24.388100000000001</v>
      </c>
      <c r="J202">
        <v>184.22499999999999</v>
      </c>
      <c r="K202">
        <v>338757.12599999999</v>
      </c>
      <c r="M202" s="43">
        <v>45023</v>
      </c>
      <c r="N202" s="5">
        <v>2.8201999999999998</v>
      </c>
      <c r="O202">
        <v>29.031600000000001</v>
      </c>
      <c r="P202">
        <v>0.69769999999999999</v>
      </c>
      <c r="Q202">
        <v>24.729900000000001</v>
      </c>
      <c r="R202">
        <v>0.28010000000000002</v>
      </c>
      <c r="S202">
        <v>195.11080000000001</v>
      </c>
      <c r="T202">
        <v>42.936300000000003</v>
      </c>
      <c r="U202">
        <v>29.502600000000001</v>
      </c>
      <c r="V202">
        <v>796.36099999999999</v>
      </c>
      <c r="W202">
        <v>625017.50650000002</v>
      </c>
      <c r="Y202" s="5">
        <v>0.98399999999999999</v>
      </c>
      <c r="Z202">
        <v>44.080800000000004</v>
      </c>
      <c r="AA202">
        <v>1.5058</v>
      </c>
      <c r="AB202">
        <v>7.1066000000000003</v>
      </c>
      <c r="AC202">
        <v>-4.3799999999999999E-2</v>
      </c>
      <c r="AD202">
        <v>0</v>
      </c>
      <c r="AE202">
        <v>124.61069999999999</v>
      </c>
      <c r="AF202">
        <v>69.506799999999998</v>
      </c>
      <c r="AG202">
        <v>317.29599999999999</v>
      </c>
      <c r="AH202">
        <v>179703.9411</v>
      </c>
      <c r="AK202">
        <v>1.7949999999999999</v>
      </c>
      <c r="AL202">
        <v>22.049099999999999</v>
      </c>
      <c r="AM202">
        <v>1.1013999999999999</v>
      </c>
      <c r="AN202">
        <v>1.1283000000000001</v>
      </c>
      <c r="AO202">
        <v>-1.21E-2</v>
      </c>
      <c r="AP202" t="s">
        <v>23</v>
      </c>
      <c r="AQ202">
        <v>35.433500000000002</v>
      </c>
      <c r="AR202">
        <v>19.857900000000001</v>
      </c>
      <c r="AS202">
        <v>146.61000000000001</v>
      </c>
      <c r="AT202">
        <v>88823.590599999996</v>
      </c>
      <c r="AV202">
        <v>3.0777999999999999</v>
      </c>
      <c r="AW202">
        <v>913.76589999999999</v>
      </c>
      <c r="AX202">
        <v>-3.7305999999999999</v>
      </c>
      <c r="AY202">
        <v>14.99</v>
      </c>
      <c r="AZ202">
        <v>-0.85670000000000002</v>
      </c>
      <c r="BA202" t="s">
        <v>23</v>
      </c>
      <c r="BB202">
        <v>-6.7976999999999999</v>
      </c>
      <c r="BC202">
        <v>-16.411000000000001</v>
      </c>
      <c r="BD202">
        <v>164.95</v>
      </c>
      <c r="BE202">
        <v>144384.14619999999</v>
      </c>
      <c r="BH202" s="5">
        <v>5.8369</v>
      </c>
      <c r="BI202">
        <v>12.1996</v>
      </c>
      <c r="BJ202">
        <v>2.6057000000000001</v>
      </c>
      <c r="BK202">
        <v>28.8551</v>
      </c>
      <c r="BL202">
        <v>0.54310000000000003</v>
      </c>
      <c r="BM202">
        <v>0</v>
      </c>
      <c r="BN202">
        <v>3.5183</v>
      </c>
      <c r="BO202">
        <v>-2.5057</v>
      </c>
      <c r="BP202">
        <v>104.983</v>
      </c>
      <c r="BQ202">
        <v>65454.688900000001</v>
      </c>
      <c r="CE202" s="1">
        <f t="shared" si="19"/>
        <v>45023</v>
      </c>
      <c r="CF202" s="35">
        <f t="shared" si="26"/>
        <v>2.5931940958163628</v>
      </c>
      <c r="CG202" s="36">
        <f t="shared" si="25"/>
        <v>-1.0514181671356841</v>
      </c>
      <c r="CH202">
        <f t="shared" ca="1" si="20"/>
        <v>-0.46500669811445128</v>
      </c>
      <c r="CI202">
        <f t="shared" ca="1" si="21"/>
        <v>-0.53697243222573543</v>
      </c>
      <c r="CJ202">
        <f t="shared" ca="1" si="22"/>
        <v>-0.82058889147437708</v>
      </c>
      <c r="CK202">
        <f t="shared" ca="1" si="23"/>
        <v>-0.92458331607761957</v>
      </c>
      <c r="CL202">
        <f t="shared" ca="1" si="24"/>
        <v>-0.99172597865888468</v>
      </c>
    </row>
    <row r="203" spans="1:90" x14ac:dyDescent="0.25">
      <c r="A203" s="43">
        <v>45030</v>
      </c>
      <c r="B203" s="5">
        <v>2.7029000000000001</v>
      </c>
      <c r="C203">
        <v>11.481999999999999</v>
      </c>
      <c r="D203">
        <v>0.88300000000000001</v>
      </c>
      <c r="E203">
        <v>21.247</v>
      </c>
      <c r="F203">
        <v>0.21149999999999999</v>
      </c>
      <c r="G203">
        <v>0.22750000000000001</v>
      </c>
      <c r="H203">
        <v>44.789900000000003</v>
      </c>
      <c r="I203">
        <v>24.388100000000001</v>
      </c>
      <c r="J203">
        <v>209.596</v>
      </c>
      <c r="K203">
        <v>385409.5956</v>
      </c>
      <c r="M203" s="43">
        <v>45030</v>
      </c>
      <c r="N203" s="5">
        <v>3.0863999999999998</v>
      </c>
      <c r="O203">
        <v>29.031600000000001</v>
      </c>
      <c r="P203">
        <v>0.69769999999999999</v>
      </c>
      <c r="Q203">
        <v>24.729900000000001</v>
      </c>
      <c r="R203">
        <v>0.28010000000000002</v>
      </c>
      <c r="S203">
        <v>195.11080000000001</v>
      </c>
      <c r="T203">
        <v>42.936300000000003</v>
      </c>
      <c r="U203">
        <v>29.502600000000001</v>
      </c>
      <c r="V203">
        <v>879.80499999999995</v>
      </c>
      <c r="W203">
        <v>690507.71849999996</v>
      </c>
      <c r="Y203" s="5">
        <v>1.1160000000000001</v>
      </c>
      <c r="Z203">
        <v>44.080800000000004</v>
      </c>
      <c r="AA203">
        <v>1.5058</v>
      </c>
      <c r="AB203">
        <v>7.1066000000000003</v>
      </c>
      <c r="AC203">
        <v>-4.3799999999999999E-2</v>
      </c>
      <c r="AD203">
        <v>0</v>
      </c>
      <c r="AE203">
        <v>124.61069999999999</v>
      </c>
      <c r="AF203">
        <v>69.506799999999998</v>
      </c>
      <c r="AG203">
        <v>358.02499999999998</v>
      </c>
      <c r="AH203">
        <v>202771.07279999999</v>
      </c>
      <c r="AK203">
        <v>2.1591999999999998</v>
      </c>
      <c r="AL203">
        <v>22.049099999999999</v>
      </c>
      <c r="AM203">
        <v>1.1013999999999999</v>
      </c>
      <c r="AN203">
        <v>1.1283000000000001</v>
      </c>
      <c r="AO203">
        <v>-1.21E-2</v>
      </c>
      <c r="AP203" t="s">
        <v>23</v>
      </c>
      <c r="AQ203">
        <v>35.433500000000002</v>
      </c>
      <c r="AR203">
        <v>19.857900000000001</v>
      </c>
      <c r="AS203">
        <v>176.15299999999999</v>
      </c>
      <c r="AT203">
        <v>106721.7108</v>
      </c>
      <c r="AV203">
        <v>3.0777999999999999</v>
      </c>
      <c r="AW203">
        <v>913.76589999999999</v>
      </c>
      <c r="AX203">
        <v>-3.7305999999999999</v>
      </c>
      <c r="AY203">
        <v>14.99</v>
      </c>
      <c r="AZ203">
        <v>-0.85670000000000002</v>
      </c>
      <c r="BA203" t="s">
        <v>23</v>
      </c>
      <c r="BB203">
        <v>-6.7976999999999999</v>
      </c>
      <c r="BC203">
        <v>-16.411000000000001</v>
      </c>
      <c r="BD203">
        <v>194.7</v>
      </c>
      <c r="BE203">
        <v>170424.93640000001</v>
      </c>
      <c r="BH203" s="5">
        <v>6.3872999999999998</v>
      </c>
      <c r="BI203">
        <v>12.1996</v>
      </c>
      <c r="BJ203">
        <v>2.6057000000000001</v>
      </c>
      <c r="BK203">
        <v>28.8551</v>
      </c>
      <c r="BL203">
        <v>0.54310000000000003</v>
      </c>
      <c r="BM203">
        <v>0</v>
      </c>
      <c r="BN203">
        <v>3.5183</v>
      </c>
      <c r="BO203">
        <v>-2.5057</v>
      </c>
      <c r="BP203">
        <v>115.937</v>
      </c>
      <c r="BQ203">
        <v>72284.743400000007</v>
      </c>
      <c r="CE203" s="1">
        <f t="shared" si="19"/>
        <v>45030</v>
      </c>
      <c r="CF203" s="35">
        <f t="shared" si="26"/>
        <v>2.8350929262638598</v>
      </c>
      <c r="CG203" s="36">
        <f t="shared" si="25"/>
        <v>-0.93750541918493413</v>
      </c>
      <c r="CH203">
        <f t="shared" ca="1" si="20"/>
        <v>-0.46500669811445128</v>
      </c>
      <c r="CI203">
        <f t="shared" ca="1" si="21"/>
        <v>-0.53697243222573543</v>
      </c>
      <c r="CJ203">
        <f t="shared" ca="1" si="22"/>
        <v>-0.82556819553466942</v>
      </c>
      <c r="CK203">
        <f t="shared" ca="1" si="23"/>
        <v>-0.9267907007058056</v>
      </c>
      <c r="CL203">
        <f t="shared" ca="1" si="24"/>
        <v>-1.0458226860920294</v>
      </c>
    </row>
    <row r="204" spans="1:90" x14ac:dyDescent="0.25">
      <c r="A204" s="43">
        <v>45037</v>
      </c>
      <c r="B204" s="5">
        <v>2.8687999999999998</v>
      </c>
      <c r="C204">
        <v>11.481999999999999</v>
      </c>
      <c r="D204">
        <v>0.88300000000000001</v>
      </c>
      <c r="E204">
        <v>21.247</v>
      </c>
      <c r="F204">
        <v>0.21149999999999999</v>
      </c>
      <c r="G204">
        <v>0.22750000000000001</v>
      </c>
      <c r="H204">
        <v>44.789900000000003</v>
      </c>
      <c r="I204">
        <v>24.388100000000001</v>
      </c>
      <c r="J204">
        <v>223.673</v>
      </c>
      <c r="K204">
        <v>411294.19160000002</v>
      </c>
      <c r="M204" s="43">
        <v>45037</v>
      </c>
      <c r="N204" s="5">
        <v>3.1516999999999999</v>
      </c>
      <c r="O204">
        <v>29.031600000000001</v>
      </c>
      <c r="P204">
        <v>0.69769999999999999</v>
      </c>
      <c r="Q204">
        <v>24.729900000000001</v>
      </c>
      <c r="R204">
        <v>0.28010000000000002</v>
      </c>
      <c r="S204">
        <v>195.11080000000001</v>
      </c>
      <c r="T204">
        <v>42.936300000000003</v>
      </c>
      <c r="U204">
        <v>29.502600000000001</v>
      </c>
      <c r="V204">
        <v>900.28300000000002</v>
      </c>
      <c r="W204">
        <v>706579.16709999996</v>
      </c>
      <c r="Y204" s="5">
        <v>1.2391000000000001</v>
      </c>
      <c r="Z204">
        <v>44.080800000000004</v>
      </c>
      <c r="AA204">
        <v>1.5058</v>
      </c>
      <c r="AB204">
        <v>7.1066000000000003</v>
      </c>
      <c r="AC204">
        <v>-4.3799999999999999E-2</v>
      </c>
      <c r="AD204">
        <v>0</v>
      </c>
      <c r="AE204">
        <v>124.61069999999999</v>
      </c>
      <c r="AF204">
        <v>69.506799999999998</v>
      </c>
      <c r="AG204">
        <v>396.03800000000001</v>
      </c>
      <c r="AH204">
        <v>224300.3959</v>
      </c>
      <c r="AK204">
        <v>2.1749999999999998</v>
      </c>
      <c r="AL204">
        <v>22.049099999999999</v>
      </c>
      <c r="AM204">
        <v>1.1013999999999999</v>
      </c>
      <c r="AN204">
        <v>1.1283000000000001</v>
      </c>
      <c r="AO204">
        <v>-1.21E-2</v>
      </c>
      <c r="AP204" t="s">
        <v>23</v>
      </c>
      <c r="AQ204">
        <v>35.433500000000002</v>
      </c>
      <c r="AR204">
        <v>19.857900000000001</v>
      </c>
      <c r="AS204">
        <v>177.43700000000001</v>
      </c>
      <c r="AT204">
        <v>107499.88989999999</v>
      </c>
      <c r="AV204">
        <v>3.0777999999999999</v>
      </c>
      <c r="AW204">
        <v>913.76589999999999</v>
      </c>
      <c r="AX204">
        <v>-3.7305999999999999</v>
      </c>
      <c r="AY204">
        <v>14.99</v>
      </c>
      <c r="AZ204">
        <v>-0.85670000000000002</v>
      </c>
      <c r="BA204" t="s">
        <v>23</v>
      </c>
      <c r="BB204">
        <v>-6.7976999999999999</v>
      </c>
      <c r="BC204">
        <v>-16.411000000000001</v>
      </c>
      <c r="BD204">
        <v>194.9</v>
      </c>
      <c r="BE204">
        <v>170600.00049999999</v>
      </c>
      <c r="BH204" s="5">
        <v>6.8918999999999997</v>
      </c>
      <c r="BI204">
        <v>12.1996</v>
      </c>
      <c r="BJ204">
        <v>2.6057000000000001</v>
      </c>
      <c r="BK204">
        <v>28.8551</v>
      </c>
      <c r="BL204">
        <v>0.54310000000000003</v>
      </c>
      <c r="BM204">
        <v>0</v>
      </c>
      <c r="BN204">
        <v>3.5183</v>
      </c>
      <c r="BO204">
        <v>-2.5057</v>
      </c>
      <c r="BP204">
        <v>125.979</v>
      </c>
      <c r="BQ204">
        <v>78545.626699999993</v>
      </c>
      <c r="CE204" s="1">
        <f t="shared" si="19"/>
        <v>45037</v>
      </c>
      <c r="CF204" s="35">
        <f t="shared" si="26"/>
        <v>2.9343854217685643</v>
      </c>
      <c r="CG204" s="36">
        <f t="shared" si="25"/>
        <v>-0.89074752046791938</v>
      </c>
      <c r="CH204">
        <f t="shared" ca="1" si="20"/>
        <v>-0.46500669811445128</v>
      </c>
      <c r="CI204">
        <f t="shared" ca="1" si="21"/>
        <v>-0.53697243222573543</v>
      </c>
      <c r="CJ204">
        <f t="shared" ca="1" si="22"/>
        <v>-0.82556819553466942</v>
      </c>
      <c r="CK204">
        <f t="shared" ca="1" si="23"/>
        <v>-0.93368710974845781</v>
      </c>
      <c r="CL204">
        <f t="shared" ca="1" si="24"/>
        <v>-1.0458226860920294</v>
      </c>
    </row>
    <row r="205" spans="1:90" x14ac:dyDescent="0.25">
      <c r="A205" s="43">
        <v>45044</v>
      </c>
      <c r="B205" s="5">
        <v>2.8967999999999998</v>
      </c>
      <c r="C205">
        <v>11.481999999999999</v>
      </c>
      <c r="D205">
        <v>0.88300000000000001</v>
      </c>
      <c r="E205">
        <v>21.247</v>
      </c>
      <c r="F205">
        <v>0.21149999999999999</v>
      </c>
      <c r="G205">
        <v>0.22750000000000001</v>
      </c>
      <c r="H205">
        <v>44.789900000000003</v>
      </c>
      <c r="I205">
        <v>24.388100000000001</v>
      </c>
      <c r="J205">
        <v>226.04599999999999</v>
      </c>
      <c r="K205">
        <v>415658.45490000001</v>
      </c>
      <c r="M205" s="43">
        <v>45044</v>
      </c>
      <c r="N205" s="5">
        <v>3.4552999999999998</v>
      </c>
      <c r="O205">
        <v>29.031600000000001</v>
      </c>
      <c r="P205">
        <v>0.69769999999999999</v>
      </c>
      <c r="Q205">
        <v>24.729900000000001</v>
      </c>
      <c r="R205">
        <v>0.28010000000000002</v>
      </c>
      <c r="S205">
        <v>195.11080000000001</v>
      </c>
      <c r="T205">
        <v>42.936300000000003</v>
      </c>
      <c r="U205">
        <v>29.502600000000001</v>
      </c>
      <c r="V205">
        <v>995.476</v>
      </c>
      <c r="W205">
        <v>781290.70209999999</v>
      </c>
      <c r="Y205" s="5">
        <v>1.3974</v>
      </c>
      <c r="Z205">
        <v>44.080800000000004</v>
      </c>
      <c r="AA205">
        <v>1.5058</v>
      </c>
      <c r="AB205">
        <v>7.1066000000000003</v>
      </c>
      <c r="AC205">
        <v>-4.3799999999999999E-2</v>
      </c>
      <c r="AD205">
        <v>0</v>
      </c>
      <c r="AE205">
        <v>124.61069999999999</v>
      </c>
      <c r="AF205">
        <v>69.506799999999998</v>
      </c>
      <c r="AG205">
        <v>444.91300000000001</v>
      </c>
      <c r="AH205">
        <v>251980.954</v>
      </c>
      <c r="AK205">
        <v>2.2292999999999998</v>
      </c>
      <c r="AL205">
        <v>22.049099999999999</v>
      </c>
      <c r="AM205">
        <v>1.1013999999999999</v>
      </c>
      <c r="AN205">
        <v>1.1283000000000001</v>
      </c>
      <c r="AO205">
        <v>-1.21E-2</v>
      </c>
      <c r="AP205" t="s">
        <v>23</v>
      </c>
      <c r="AQ205">
        <v>35.433500000000002</v>
      </c>
      <c r="AR205">
        <v>19.857900000000001</v>
      </c>
      <c r="AS205">
        <v>181.84100000000001</v>
      </c>
      <c r="AT205">
        <v>110167.9327</v>
      </c>
      <c r="AV205">
        <v>3.0777999999999999</v>
      </c>
      <c r="AW205">
        <v>913.76589999999999</v>
      </c>
      <c r="AX205">
        <v>-3.7305999999999999</v>
      </c>
      <c r="AY205">
        <v>14.99</v>
      </c>
      <c r="AZ205">
        <v>-0.85670000000000002</v>
      </c>
      <c r="BA205" t="s">
        <v>23</v>
      </c>
      <c r="BB205">
        <v>-6.7976999999999999</v>
      </c>
      <c r="BC205">
        <v>-16.411000000000001</v>
      </c>
      <c r="BD205">
        <v>201.8</v>
      </c>
      <c r="BE205">
        <v>176639.7132</v>
      </c>
      <c r="BH205" s="5">
        <v>7.1441999999999997</v>
      </c>
      <c r="BI205">
        <v>12.1996</v>
      </c>
      <c r="BJ205">
        <v>2.6057000000000001</v>
      </c>
      <c r="BK205">
        <v>28.8551</v>
      </c>
      <c r="BL205">
        <v>0.54310000000000003</v>
      </c>
      <c r="BM205">
        <v>0</v>
      </c>
      <c r="BN205">
        <v>3.5183</v>
      </c>
      <c r="BO205">
        <v>-2.5057</v>
      </c>
      <c r="BP205">
        <v>131</v>
      </c>
      <c r="BQ205">
        <v>81676.068299999999</v>
      </c>
      <c r="CE205" s="1">
        <f t="shared" si="19"/>
        <v>45044</v>
      </c>
      <c r="CF205" s="35">
        <f t="shared" si="26"/>
        <v>3.0970165027904839</v>
      </c>
      <c r="CG205" s="36">
        <f t="shared" si="25"/>
        <v>-0.81416280400965246</v>
      </c>
      <c r="CH205">
        <f t="shared" ca="1" si="20"/>
        <v>-0.46500669811445128</v>
      </c>
      <c r="CI205">
        <f t="shared" ca="1" si="21"/>
        <v>-0.53697243222573543</v>
      </c>
      <c r="CJ205">
        <f t="shared" ca="1" si="22"/>
        <v>-0.82556819553466942</v>
      </c>
      <c r="CK205">
        <f t="shared" ca="1" si="23"/>
        <v>-0.93368710974845781</v>
      </c>
      <c r="CL205">
        <f t="shared" ca="1" si="24"/>
        <v>-1.0458226860920294</v>
      </c>
    </row>
    <row r="206" spans="1:90" x14ac:dyDescent="0.25">
      <c r="A206" s="43">
        <v>45051</v>
      </c>
      <c r="B206" s="5">
        <v>2.8731</v>
      </c>
      <c r="C206">
        <v>11.481999999999999</v>
      </c>
      <c r="D206">
        <v>0.88300000000000001</v>
      </c>
      <c r="E206">
        <v>21.247</v>
      </c>
      <c r="F206">
        <v>0.21149999999999999</v>
      </c>
      <c r="G206">
        <v>0.22750000000000001</v>
      </c>
      <c r="H206">
        <v>44.789900000000003</v>
      </c>
      <c r="I206">
        <v>24.388100000000001</v>
      </c>
      <c r="J206">
        <v>224.041</v>
      </c>
      <c r="K206">
        <v>411971.40490000002</v>
      </c>
      <c r="M206" s="43">
        <v>45051</v>
      </c>
      <c r="N206" s="5">
        <v>3.5695999999999999</v>
      </c>
      <c r="O206">
        <v>29.031600000000001</v>
      </c>
      <c r="P206">
        <v>0.69769999999999999</v>
      </c>
      <c r="Q206">
        <v>24.729900000000001</v>
      </c>
      <c r="R206">
        <v>0.28010000000000002</v>
      </c>
      <c r="S206">
        <v>195.11080000000001</v>
      </c>
      <c r="T206">
        <v>42.936300000000003</v>
      </c>
      <c r="U206">
        <v>29.502600000000001</v>
      </c>
      <c r="V206">
        <v>1031.299</v>
      </c>
      <c r="W206">
        <v>809406.32759999996</v>
      </c>
      <c r="Y206" s="5">
        <v>1.3321000000000001</v>
      </c>
      <c r="Z206">
        <v>44.080800000000004</v>
      </c>
      <c r="AA206">
        <v>1.5058</v>
      </c>
      <c r="AB206">
        <v>7.1066000000000003</v>
      </c>
      <c r="AC206">
        <v>-4.3799999999999999E-2</v>
      </c>
      <c r="AD206">
        <v>0</v>
      </c>
      <c r="AE206">
        <v>124.61069999999999</v>
      </c>
      <c r="AF206">
        <v>69.506799999999998</v>
      </c>
      <c r="AG206">
        <v>424.74200000000002</v>
      </c>
      <c r="AH206">
        <v>240557.2316</v>
      </c>
      <c r="AK206">
        <v>2.2542</v>
      </c>
      <c r="AL206">
        <v>22.049099999999999</v>
      </c>
      <c r="AM206">
        <v>1.1013999999999999</v>
      </c>
      <c r="AN206">
        <v>1.1283000000000001</v>
      </c>
      <c r="AO206">
        <v>-1.21E-2</v>
      </c>
      <c r="AP206" t="s">
        <v>23</v>
      </c>
      <c r="AQ206">
        <v>35.433500000000002</v>
      </c>
      <c r="AR206">
        <v>19.857900000000001</v>
      </c>
      <c r="AS206">
        <v>183.85900000000001</v>
      </c>
      <c r="AT206">
        <v>111390.7856</v>
      </c>
      <c r="AV206">
        <v>3.0777999999999999</v>
      </c>
      <c r="AW206">
        <v>913.76589999999999</v>
      </c>
      <c r="AX206">
        <v>-3.7305999999999999</v>
      </c>
      <c r="AY206">
        <v>14.99</v>
      </c>
      <c r="AZ206">
        <v>-0.85670000000000002</v>
      </c>
      <c r="BA206" t="s">
        <v>23</v>
      </c>
      <c r="BB206">
        <v>-6.7976999999999999</v>
      </c>
      <c r="BC206">
        <v>-16.411000000000001</v>
      </c>
      <c r="BD206">
        <v>204</v>
      </c>
      <c r="BE206">
        <v>178565.41870000001</v>
      </c>
      <c r="BH206" s="5">
        <v>7.7290000000000001</v>
      </c>
      <c r="BI206">
        <v>12.1996</v>
      </c>
      <c r="BJ206">
        <v>2.6057000000000001</v>
      </c>
      <c r="BK206">
        <v>28.8551</v>
      </c>
      <c r="BL206">
        <v>0.54310000000000003</v>
      </c>
      <c r="BM206">
        <v>0</v>
      </c>
      <c r="BN206">
        <v>3.5183</v>
      </c>
      <c r="BO206">
        <v>-2.5057</v>
      </c>
      <c r="BP206">
        <v>142.63999999999999</v>
      </c>
      <c r="BQ206">
        <v>88933.001300000004</v>
      </c>
      <c r="CE206" s="1">
        <f t="shared" si="19"/>
        <v>45051</v>
      </c>
      <c r="CF206" s="35">
        <f t="shared" si="26"/>
        <v>3.1949749340883997</v>
      </c>
      <c r="CG206" s="36">
        <f t="shared" si="25"/>
        <v>-0.76803313040417265</v>
      </c>
      <c r="CH206">
        <f t="shared" ca="1" si="20"/>
        <v>-0.46500669811445128</v>
      </c>
      <c r="CI206">
        <f t="shared" ca="1" si="21"/>
        <v>-0.53697243222573543</v>
      </c>
      <c r="CJ206">
        <f t="shared" ca="1" si="22"/>
        <v>-0.81501037958953804</v>
      </c>
      <c r="CK206">
        <f t="shared" ca="1" si="23"/>
        <v>-0.93368710974845781</v>
      </c>
      <c r="CL206">
        <f t="shared" ca="1" si="24"/>
        <v>-1.0458226860920294</v>
      </c>
    </row>
    <row r="207" spans="1:90" x14ac:dyDescent="0.25">
      <c r="A207" s="43">
        <v>45058</v>
      </c>
      <c r="B207" s="5">
        <v>3.0596999999999999</v>
      </c>
      <c r="C207">
        <v>11.481999999999999</v>
      </c>
      <c r="D207">
        <v>0.88300000000000001</v>
      </c>
      <c r="E207">
        <v>21.247</v>
      </c>
      <c r="F207">
        <v>0.21149999999999999</v>
      </c>
      <c r="G207">
        <v>0.22750000000000001</v>
      </c>
      <c r="H207">
        <v>44.789900000000003</v>
      </c>
      <c r="I207">
        <v>24.388100000000001</v>
      </c>
      <c r="J207">
        <v>239.87700000000001</v>
      </c>
      <c r="K207">
        <v>441091.57539999997</v>
      </c>
      <c r="M207" s="43">
        <v>45058</v>
      </c>
      <c r="N207" s="5">
        <v>4.0465</v>
      </c>
      <c r="O207">
        <v>29.031600000000001</v>
      </c>
      <c r="P207">
        <v>0.69769999999999999</v>
      </c>
      <c r="Q207">
        <v>24.729900000000001</v>
      </c>
      <c r="R207">
        <v>0.28010000000000002</v>
      </c>
      <c r="S207">
        <v>195.11080000000001</v>
      </c>
      <c r="T207">
        <v>42.936300000000003</v>
      </c>
      <c r="U207">
        <v>29.502600000000001</v>
      </c>
      <c r="V207">
        <v>1180.827</v>
      </c>
      <c r="W207">
        <v>926761.77659999998</v>
      </c>
      <c r="Y207" s="5">
        <v>1.5306</v>
      </c>
      <c r="Z207">
        <v>44.080800000000004</v>
      </c>
      <c r="AA207">
        <v>1.5058</v>
      </c>
      <c r="AB207">
        <v>7.1066000000000003</v>
      </c>
      <c r="AC207">
        <v>-4.3799999999999999E-2</v>
      </c>
      <c r="AD207">
        <v>0</v>
      </c>
      <c r="AE207">
        <v>124.61069999999999</v>
      </c>
      <c r="AF207">
        <v>69.506799999999998</v>
      </c>
      <c r="AG207">
        <v>486.029</v>
      </c>
      <c r="AH207">
        <v>275267.77279999998</v>
      </c>
      <c r="AK207">
        <v>2.5663</v>
      </c>
      <c r="AL207">
        <v>22.049099999999999</v>
      </c>
      <c r="AM207">
        <v>1.1013999999999999</v>
      </c>
      <c r="AN207">
        <v>1.1283000000000001</v>
      </c>
      <c r="AO207">
        <v>-1.21E-2</v>
      </c>
      <c r="AP207" t="s">
        <v>23</v>
      </c>
      <c r="AQ207">
        <v>35.433500000000002</v>
      </c>
      <c r="AR207">
        <v>19.857900000000001</v>
      </c>
      <c r="AS207">
        <v>209.18100000000001</v>
      </c>
      <c r="AT207">
        <v>126732.0316</v>
      </c>
      <c r="AV207">
        <v>3.0777999999999999</v>
      </c>
      <c r="AW207">
        <v>913.76589999999999</v>
      </c>
      <c r="AX207">
        <v>-3.7305999999999999</v>
      </c>
      <c r="AY207">
        <v>14.99</v>
      </c>
      <c r="AZ207">
        <v>-0.85670000000000002</v>
      </c>
      <c r="BA207" t="s">
        <v>23</v>
      </c>
      <c r="BB207">
        <v>-6.7976999999999999</v>
      </c>
      <c r="BC207">
        <v>-16.411000000000001</v>
      </c>
      <c r="BD207">
        <v>213.75</v>
      </c>
      <c r="BE207">
        <v>187099.7953</v>
      </c>
      <c r="BH207" s="5">
        <v>8.2222000000000008</v>
      </c>
      <c r="BI207">
        <v>12.1996</v>
      </c>
      <c r="BJ207">
        <v>2.6057000000000001</v>
      </c>
      <c r="BK207">
        <v>28.8551</v>
      </c>
      <c r="BL207">
        <v>0.54310000000000003</v>
      </c>
      <c r="BM207">
        <v>0</v>
      </c>
      <c r="BN207">
        <v>3.5183</v>
      </c>
      <c r="BO207">
        <v>-2.5057</v>
      </c>
      <c r="BP207">
        <v>152.453</v>
      </c>
      <c r="BQ207">
        <v>95051.591700000004</v>
      </c>
      <c r="CE207" s="1">
        <f t="shared" si="19"/>
        <v>45058</v>
      </c>
      <c r="CF207" s="35">
        <f t="shared" si="26"/>
        <v>3.5105651488081984</v>
      </c>
      <c r="CG207" s="36">
        <f t="shared" si="25"/>
        <v>-0.61941832098738114</v>
      </c>
      <c r="CH207">
        <f t="shared" ca="1" si="20"/>
        <v>-0.46500669811445128</v>
      </c>
      <c r="CI207">
        <f t="shared" ca="1" si="21"/>
        <v>-0.53697243222573543</v>
      </c>
      <c r="CJ207">
        <f t="shared" ca="1" si="22"/>
        <v>-0.80896488895418828</v>
      </c>
      <c r="CK207">
        <f t="shared" ca="1" si="23"/>
        <v>-0.9267907007058056</v>
      </c>
      <c r="CL207">
        <f t="shared" ca="1" si="24"/>
        <v>-1.0458226860920294</v>
      </c>
    </row>
    <row r="208" spans="1:90" x14ac:dyDescent="0.25">
      <c r="A208" s="43">
        <v>45065</v>
      </c>
      <c r="B208" s="5">
        <v>3.2121</v>
      </c>
      <c r="C208">
        <v>11.481999999999999</v>
      </c>
      <c r="D208">
        <v>0.88300000000000001</v>
      </c>
      <c r="E208">
        <v>21.247</v>
      </c>
      <c r="F208">
        <v>0.21149999999999999</v>
      </c>
      <c r="G208">
        <v>0.22750000000000001</v>
      </c>
      <c r="H208">
        <v>44.789900000000003</v>
      </c>
      <c r="I208">
        <v>24.388100000000001</v>
      </c>
      <c r="J208">
        <v>252.80799999999999</v>
      </c>
      <c r="K208">
        <v>464869.28570000001</v>
      </c>
      <c r="M208" s="43">
        <v>45065</v>
      </c>
      <c r="N208" s="5">
        <v>4.0785999999999998</v>
      </c>
      <c r="O208">
        <v>29.031600000000001</v>
      </c>
      <c r="P208">
        <v>0.69769999999999999</v>
      </c>
      <c r="Q208">
        <v>24.729900000000001</v>
      </c>
      <c r="R208">
        <v>0.28010000000000002</v>
      </c>
      <c r="S208">
        <v>195.11080000000001</v>
      </c>
      <c r="T208">
        <v>42.936300000000003</v>
      </c>
      <c r="U208">
        <v>29.502600000000001</v>
      </c>
      <c r="V208">
        <v>1190.8979999999999</v>
      </c>
      <c r="W208">
        <v>934665.76769999997</v>
      </c>
      <c r="Y208" s="5">
        <v>1.8108</v>
      </c>
      <c r="Z208">
        <v>44.080800000000004</v>
      </c>
      <c r="AA208">
        <v>1.5058</v>
      </c>
      <c r="AB208">
        <v>7.1066000000000003</v>
      </c>
      <c r="AC208">
        <v>-4.3799999999999999E-2</v>
      </c>
      <c r="AD208">
        <v>0</v>
      </c>
      <c r="AE208">
        <v>124.61069999999999</v>
      </c>
      <c r="AF208">
        <v>69.506799999999998</v>
      </c>
      <c r="AG208">
        <v>572.529</v>
      </c>
      <c r="AH208">
        <v>324257.967</v>
      </c>
      <c r="AK208">
        <v>2.7427000000000001</v>
      </c>
      <c r="AL208">
        <v>22.049099999999999</v>
      </c>
      <c r="AM208">
        <v>1.1013999999999999</v>
      </c>
      <c r="AN208">
        <v>1.1283000000000001</v>
      </c>
      <c r="AO208">
        <v>-1.21E-2</v>
      </c>
      <c r="AP208" t="s">
        <v>23</v>
      </c>
      <c r="AQ208">
        <v>35.433500000000002</v>
      </c>
      <c r="AR208">
        <v>19.857900000000001</v>
      </c>
      <c r="AS208">
        <v>223.494</v>
      </c>
      <c r="AT208">
        <v>135403.17060000001</v>
      </c>
      <c r="AV208">
        <v>3.0777999999999999</v>
      </c>
      <c r="AW208">
        <v>913.76589999999999</v>
      </c>
      <c r="AX208">
        <v>-3.7305999999999999</v>
      </c>
      <c r="AY208">
        <v>14.99</v>
      </c>
      <c r="AZ208">
        <v>-0.85670000000000002</v>
      </c>
      <c r="BA208" t="s">
        <v>23</v>
      </c>
      <c r="BB208">
        <v>-6.7976999999999999</v>
      </c>
      <c r="BC208">
        <v>-16.411000000000001</v>
      </c>
      <c r="BD208">
        <v>215.15</v>
      </c>
      <c r="BE208">
        <v>188325.24429999999</v>
      </c>
      <c r="BH208" s="5">
        <v>9.3345000000000002</v>
      </c>
      <c r="BI208">
        <v>12.1996</v>
      </c>
      <c r="BJ208">
        <v>2.6057000000000001</v>
      </c>
      <c r="BK208">
        <v>28.8551</v>
      </c>
      <c r="BL208">
        <v>0.54310000000000003</v>
      </c>
      <c r="BM208">
        <v>0</v>
      </c>
      <c r="BN208">
        <v>3.5183</v>
      </c>
      <c r="BO208">
        <v>-2.5057</v>
      </c>
      <c r="BP208">
        <v>174.59100000000001</v>
      </c>
      <c r="BQ208">
        <v>108853.9935</v>
      </c>
      <c r="CE208" s="1">
        <f t="shared" si="19"/>
        <v>45065</v>
      </c>
      <c r="CF208" s="35">
        <f t="shared" si="26"/>
        <v>3.6448180449693219</v>
      </c>
      <c r="CG208" s="36">
        <f t="shared" si="25"/>
        <v>-0.55619719547069713</v>
      </c>
      <c r="CH208">
        <f t="shared" ca="1" si="20"/>
        <v>-0.46500669811445128</v>
      </c>
      <c r="CI208">
        <f t="shared" ca="1" si="21"/>
        <v>-0.53697243222573543</v>
      </c>
      <c r="CJ208">
        <f t="shared" ca="1" si="22"/>
        <v>-0.78590005215144831</v>
      </c>
      <c r="CK208">
        <f t="shared" ca="1" si="23"/>
        <v>-0.92679003235224433</v>
      </c>
      <c r="CL208">
        <f t="shared" ca="1" si="24"/>
        <v>-1.0458226860920294</v>
      </c>
    </row>
    <row r="209" spans="1:90" x14ac:dyDescent="0.25">
      <c r="A209" s="43">
        <v>45072</v>
      </c>
      <c r="B209" s="5">
        <v>3.3832</v>
      </c>
      <c r="C209">
        <v>11.481999999999999</v>
      </c>
      <c r="D209">
        <v>0.88300000000000001</v>
      </c>
      <c r="E209">
        <v>21.247</v>
      </c>
      <c r="F209">
        <v>0.21149999999999999</v>
      </c>
      <c r="G209">
        <v>0.22750000000000001</v>
      </c>
      <c r="H209">
        <v>44.789900000000003</v>
      </c>
      <c r="I209">
        <v>24.388100000000001</v>
      </c>
      <c r="J209">
        <v>267.33499999999998</v>
      </c>
      <c r="K209">
        <v>491581.58689999999</v>
      </c>
      <c r="M209" s="43">
        <v>45072</v>
      </c>
      <c r="N209" s="5">
        <v>4.1375000000000002</v>
      </c>
      <c r="O209">
        <v>29.031600000000001</v>
      </c>
      <c r="P209">
        <v>0.69769999999999999</v>
      </c>
      <c r="Q209">
        <v>24.729900000000001</v>
      </c>
      <c r="R209">
        <v>0.28010000000000002</v>
      </c>
      <c r="S209">
        <v>195.11080000000001</v>
      </c>
      <c r="T209">
        <v>42.936300000000003</v>
      </c>
      <c r="U209">
        <v>29.502600000000001</v>
      </c>
      <c r="V209">
        <v>1209.3610000000001</v>
      </c>
      <c r="W209">
        <v>949156.41799999995</v>
      </c>
      <c r="Y209" s="5">
        <v>1.7442</v>
      </c>
      <c r="Z209">
        <v>44.080800000000004</v>
      </c>
      <c r="AA209">
        <v>1.5058</v>
      </c>
      <c r="AB209">
        <v>7.1066000000000003</v>
      </c>
      <c r="AC209">
        <v>-4.3799999999999999E-2</v>
      </c>
      <c r="AD209">
        <v>0</v>
      </c>
      <c r="AE209">
        <v>124.61069999999999</v>
      </c>
      <c r="AF209">
        <v>69.506799999999998</v>
      </c>
      <c r="AG209">
        <v>551.971</v>
      </c>
      <c r="AH209">
        <v>312614.5576</v>
      </c>
      <c r="AK209">
        <v>2.5844</v>
      </c>
      <c r="AL209">
        <v>22.049099999999999</v>
      </c>
      <c r="AM209">
        <v>1.1013999999999999</v>
      </c>
      <c r="AN209">
        <v>1.1283000000000001</v>
      </c>
      <c r="AO209">
        <v>-1.21E-2</v>
      </c>
      <c r="AP209" t="s">
        <v>23</v>
      </c>
      <c r="AQ209">
        <v>35.433500000000002</v>
      </c>
      <c r="AR209">
        <v>19.857900000000001</v>
      </c>
      <c r="AS209">
        <v>210.649</v>
      </c>
      <c r="AT209">
        <v>127621.3792</v>
      </c>
      <c r="AV209">
        <v>3.0777999999999999</v>
      </c>
      <c r="AW209">
        <v>913.76589999999999</v>
      </c>
      <c r="AX209">
        <v>-3.7305999999999999</v>
      </c>
      <c r="AY209">
        <v>14.99</v>
      </c>
      <c r="AZ209">
        <v>-0.85670000000000002</v>
      </c>
      <c r="BA209" t="s">
        <v>23</v>
      </c>
      <c r="BB209">
        <v>-6.7976999999999999</v>
      </c>
      <c r="BC209">
        <v>-16.411000000000001</v>
      </c>
      <c r="BD209">
        <v>220.7</v>
      </c>
      <c r="BE209">
        <v>193183.27410000001</v>
      </c>
      <c r="BH209" s="5">
        <v>8.8185000000000002</v>
      </c>
      <c r="BI209">
        <v>12.1996</v>
      </c>
      <c r="BJ209">
        <v>2.6057000000000001</v>
      </c>
      <c r="BK209">
        <v>28.8551</v>
      </c>
      <c r="BL209">
        <v>0.54310000000000003</v>
      </c>
      <c r="BM209">
        <v>0</v>
      </c>
      <c r="BN209">
        <v>3.5183</v>
      </c>
      <c r="BO209">
        <v>-2.5057</v>
      </c>
      <c r="BP209">
        <v>164.321</v>
      </c>
      <c r="BQ209">
        <v>102450.8174</v>
      </c>
      <c r="CE209" s="1">
        <f t="shared" si="19"/>
        <v>45072</v>
      </c>
      <c r="CF209" s="35">
        <f t="shared" si="26"/>
        <v>3.6586203858692805</v>
      </c>
      <c r="CG209" s="36">
        <f t="shared" si="25"/>
        <v>-0.5496975254344314</v>
      </c>
      <c r="CH209">
        <f t="shared" ca="1" si="20"/>
        <v>-0.46500669811445128</v>
      </c>
      <c r="CI209">
        <f t="shared" ca="1" si="21"/>
        <v>-0.53697243222573543</v>
      </c>
      <c r="CJ209">
        <f t="shared" ca="1" si="22"/>
        <v>-0.74961255986931696</v>
      </c>
      <c r="CK209">
        <f t="shared" ca="1" si="23"/>
        <v>-0.92150955823024761</v>
      </c>
      <c r="CL209">
        <f t="shared" ca="1" si="24"/>
        <v>-1.0458226860920294</v>
      </c>
    </row>
    <row r="210" spans="1:90" x14ac:dyDescent="0.25">
      <c r="A210" s="43">
        <v>45079</v>
      </c>
      <c r="B210" s="5">
        <v>3.5910000000000002</v>
      </c>
      <c r="C210">
        <v>11.481999999999999</v>
      </c>
      <c r="D210">
        <v>0.88300000000000001</v>
      </c>
      <c r="E210">
        <v>21.247</v>
      </c>
      <c r="F210">
        <v>0.21149999999999999</v>
      </c>
      <c r="G210">
        <v>0.22750000000000001</v>
      </c>
      <c r="H210">
        <v>44.789900000000003</v>
      </c>
      <c r="I210">
        <v>24.388100000000001</v>
      </c>
      <c r="J210">
        <v>284.97199999999998</v>
      </c>
      <c r="K210">
        <v>524012.57780000003</v>
      </c>
      <c r="M210" s="43">
        <v>45079</v>
      </c>
      <c r="N210" s="5">
        <v>4.1733000000000002</v>
      </c>
      <c r="O210">
        <v>29.031600000000001</v>
      </c>
      <c r="P210">
        <v>0.69769999999999999</v>
      </c>
      <c r="Q210">
        <v>24.729900000000001</v>
      </c>
      <c r="R210">
        <v>0.28010000000000002</v>
      </c>
      <c r="S210">
        <v>195.11080000000001</v>
      </c>
      <c r="T210">
        <v>42.936300000000003</v>
      </c>
      <c r="U210">
        <v>29.502600000000001</v>
      </c>
      <c r="V210">
        <v>1220.5820000000001</v>
      </c>
      <c r="W210">
        <v>957963.72239999997</v>
      </c>
      <c r="Y210" s="5">
        <v>1.7681</v>
      </c>
      <c r="Z210">
        <v>44.080800000000004</v>
      </c>
      <c r="AA210">
        <v>1.5058</v>
      </c>
      <c r="AB210">
        <v>7.1066000000000003</v>
      </c>
      <c r="AC210">
        <v>-4.3799999999999999E-2</v>
      </c>
      <c r="AD210">
        <v>0</v>
      </c>
      <c r="AE210">
        <v>124.61069999999999</v>
      </c>
      <c r="AF210">
        <v>69.506799999999998</v>
      </c>
      <c r="AG210">
        <v>559.34100000000001</v>
      </c>
      <c r="AH210">
        <v>316788.61</v>
      </c>
      <c r="AK210">
        <v>2.7563</v>
      </c>
      <c r="AL210">
        <v>22.049099999999999</v>
      </c>
      <c r="AM210">
        <v>1.1013999999999999</v>
      </c>
      <c r="AN210">
        <v>1.1283000000000001</v>
      </c>
      <c r="AO210">
        <v>-1.21E-2</v>
      </c>
      <c r="AP210" t="s">
        <v>23</v>
      </c>
      <c r="AQ210">
        <v>35.433500000000002</v>
      </c>
      <c r="AR210">
        <v>19.857900000000001</v>
      </c>
      <c r="AS210">
        <v>224.595</v>
      </c>
      <c r="AT210">
        <v>136070.1813</v>
      </c>
      <c r="AV210">
        <v>3.0777999999999999</v>
      </c>
      <c r="AW210">
        <v>913.76589999999999</v>
      </c>
      <c r="AX210">
        <v>-3.7305999999999999</v>
      </c>
      <c r="AY210">
        <v>14.99</v>
      </c>
      <c r="AZ210">
        <v>-0.85670000000000002</v>
      </c>
      <c r="BA210" t="s">
        <v>23</v>
      </c>
      <c r="BB210">
        <v>-6.7976999999999999</v>
      </c>
      <c r="BC210">
        <v>-16.411000000000001</v>
      </c>
      <c r="BD210">
        <v>263.60000000000002</v>
      </c>
      <c r="BE210">
        <v>230734.5312</v>
      </c>
      <c r="BH210" s="5">
        <v>9.4147999999999996</v>
      </c>
      <c r="BI210">
        <v>12.1996</v>
      </c>
      <c r="BJ210">
        <v>2.6057000000000001</v>
      </c>
      <c r="BK210">
        <v>28.8551</v>
      </c>
      <c r="BL210">
        <v>0.54310000000000003</v>
      </c>
      <c r="BM210">
        <v>0</v>
      </c>
      <c r="BN210">
        <v>3.5183</v>
      </c>
      <c r="BO210">
        <v>-2.5057</v>
      </c>
      <c r="BP210">
        <v>176.18799999999999</v>
      </c>
      <c r="BQ210">
        <v>109850.0431</v>
      </c>
      <c r="CE210" s="1">
        <f t="shared" si="19"/>
        <v>45079</v>
      </c>
      <c r="CF210" s="35">
        <f t="shared" si="26"/>
        <v>3.7615629354798168</v>
      </c>
      <c r="CG210" s="36">
        <f t="shared" si="25"/>
        <v>-0.50122077717773506</v>
      </c>
      <c r="CH210">
        <f t="shared" ca="1" si="20"/>
        <v>-0.46500669811445128</v>
      </c>
      <c r="CI210">
        <f t="shared" ca="1" si="21"/>
        <v>-0.53697243222573543</v>
      </c>
      <c r="CJ210">
        <f t="shared" ca="1" si="22"/>
        <v>-0.72379425225827543</v>
      </c>
      <c r="CK210">
        <f t="shared" ca="1" si="23"/>
        <v>-0.92150955823024761</v>
      </c>
      <c r="CL210">
        <f t="shared" ca="1" si="24"/>
        <v>-1.0458226860920294</v>
      </c>
    </row>
    <row r="211" spans="1:90" x14ac:dyDescent="0.25">
      <c r="A211" s="43">
        <v>45086</v>
      </c>
      <c r="B211" s="5">
        <v>3.6671999999999998</v>
      </c>
      <c r="C211">
        <v>11.481999999999999</v>
      </c>
      <c r="D211">
        <v>0.88300000000000001</v>
      </c>
      <c r="E211">
        <v>21.247</v>
      </c>
      <c r="F211">
        <v>0.21149999999999999</v>
      </c>
      <c r="G211">
        <v>0.22750000000000001</v>
      </c>
      <c r="H211">
        <v>44.789900000000003</v>
      </c>
      <c r="I211">
        <v>24.388100000000001</v>
      </c>
      <c r="J211">
        <v>291.43700000000001</v>
      </c>
      <c r="K211">
        <v>535901.43299999996</v>
      </c>
      <c r="M211" s="43">
        <v>45086</v>
      </c>
      <c r="N211" s="5">
        <v>4.1840000000000002</v>
      </c>
      <c r="O211">
        <v>29.031600000000001</v>
      </c>
      <c r="P211">
        <v>0.69769999999999999</v>
      </c>
      <c r="Q211">
        <v>24.729900000000001</v>
      </c>
      <c r="R211">
        <v>0.28010000000000002</v>
      </c>
      <c r="S211">
        <v>195.11080000000001</v>
      </c>
      <c r="T211">
        <v>42.936300000000003</v>
      </c>
      <c r="U211">
        <v>29.502600000000001</v>
      </c>
      <c r="V211">
        <v>1223.9390000000001</v>
      </c>
      <c r="W211">
        <v>960598.3861</v>
      </c>
      <c r="Y211" s="5">
        <v>1.6952</v>
      </c>
      <c r="Z211">
        <v>44.080800000000004</v>
      </c>
      <c r="AA211">
        <v>1.5058</v>
      </c>
      <c r="AB211">
        <v>7.1066000000000003</v>
      </c>
      <c r="AC211">
        <v>-4.3799999999999999E-2</v>
      </c>
      <c r="AD211">
        <v>0</v>
      </c>
      <c r="AE211">
        <v>124.61069999999999</v>
      </c>
      <c r="AF211">
        <v>69.506799999999998</v>
      </c>
      <c r="AG211">
        <v>536.84299999999996</v>
      </c>
      <c r="AH211">
        <v>304046.76579999999</v>
      </c>
      <c r="AK211">
        <v>2.8151000000000002</v>
      </c>
      <c r="AL211">
        <v>22.049099999999999</v>
      </c>
      <c r="AM211">
        <v>1.1013999999999999</v>
      </c>
      <c r="AN211">
        <v>1.1283000000000001</v>
      </c>
      <c r="AO211">
        <v>-1.21E-2</v>
      </c>
      <c r="AP211" t="s">
        <v>23</v>
      </c>
      <c r="AQ211">
        <v>35.433500000000002</v>
      </c>
      <c r="AR211">
        <v>19.857900000000001</v>
      </c>
      <c r="AS211">
        <v>229.36500000000001</v>
      </c>
      <c r="AT211">
        <v>138960.56090000001</v>
      </c>
      <c r="AV211">
        <v>3.0777999999999999</v>
      </c>
      <c r="AW211">
        <v>913.76589999999999</v>
      </c>
      <c r="AX211">
        <v>-3.7305999999999999</v>
      </c>
      <c r="AY211">
        <v>14.99</v>
      </c>
      <c r="AZ211">
        <v>-0.85670000000000002</v>
      </c>
      <c r="BA211" t="s">
        <v>23</v>
      </c>
      <c r="BB211">
        <v>-6.7976999999999999</v>
      </c>
      <c r="BC211">
        <v>-16.411000000000001</v>
      </c>
      <c r="BD211">
        <v>288.85000000000002</v>
      </c>
      <c r="BE211">
        <v>252836.37839999999</v>
      </c>
      <c r="BH211" s="5">
        <v>9.1510999999999996</v>
      </c>
      <c r="BI211">
        <v>12.1996</v>
      </c>
      <c r="BJ211">
        <v>2.6057000000000001</v>
      </c>
      <c r="BK211">
        <v>28.8551</v>
      </c>
      <c r="BL211">
        <v>0.54310000000000003</v>
      </c>
      <c r="BM211">
        <v>0</v>
      </c>
      <c r="BN211">
        <v>3.5183</v>
      </c>
      <c r="BO211">
        <v>-2.5057</v>
      </c>
      <c r="BP211">
        <v>170.93899999999999</v>
      </c>
      <c r="BQ211">
        <v>106577.30869999999</v>
      </c>
      <c r="CE211" s="1">
        <f t="shared" si="19"/>
        <v>45086</v>
      </c>
      <c r="CF211" s="35">
        <f t="shared" si="26"/>
        <v>3.7602376846936267</v>
      </c>
      <c r="CG211" s="36">
        <f t="shared" si="25"/>
        <v>-0.50184485195519268</v>
      </c>
      <c r="CH211">
        <f t="shared" ca="1" si="20"/>
        <v>-0.46500669811445128</v>
      </c>
      <c r="CI211">
        <f t="shared" ca="1" si="21"/>
        <v>-0.53202934958611892</v>
      </c>
      <c r="CJ211">
        <f t="shared" ca="1" si="22"/>
        <v>-0.71579028019186974</v>
      </c>
      <c r="CK211">
        <f t="shared" ca="1" si="23"/>
        <v>-0.92150955823024761</v>
      </c>
      <c r="CL211">
        <f t="shared" ca="1" si="24"/>
        <v>-1.0458226860920294</v>
      </c>
    </row>
    <row r="212" spans="1:90" x14ac:dyDescent="0.25">
      <c r="A212" s="43">
        <v>45093</v>
      </c>
      <c r="B212" s="5">
        <v>3.7786</v>
      </c>
      <c r="C212">
        <v>11.481999999999999</v>
      </c>
      <c r="D212">
        <v>0.88300000000000001</v>
      </c>
      <c r="E212">
        <v>21.247</v>
      </c>
      <c r="F212">
        <v>0.21149999999999999</v>
      </c>
      <c r="G212">
        <v>0.22750000000000001</v>
      </c>
      <c r="H212">
        <v>44.789900000000003</v>
      </c>
      <c r="I212">
        <v>24.388100000000001</v>
      </c>
      <c r="J212">
        <v>300.89</v>
      </c>
      <c r="K212">
        <v>553283.2402</v>
      </c>
      <c r="M212" s="43">
        <v>45093</v>
      </c>
      <c r="N212" s="5">
        <v>4.4271000000000003</v>
      </c>
      <c r="O212">
        <v>29.031600000000001</v>
      </c>
      <c r="P212">
        <v>0.69769999999999999</v>
      </c>
      <c r="Q212">
        <v>24.729900000000001</v>
      </c>
      <c r="R212">
        <v>0.28010000000000002</v>
      </c>
      <c r="S212">
        <v>195.11080000000001</v>
      </c>
      <c r="T212">
        <v>42.936300000000003</v>
      </c>
      <c r="U212">
        <v>29.502600000000001</v>
      </c>
      <c r="V212">
        <v>1300.1420000000001</v>
      </c>
      <c r="W212">
        <v>1020405.2522</v>
      </c>
      <c r="Y212" s="5">
        <v>1.6349</v>
      </c>
      <c r="Z212">
        <v>44.080800000000004</v>
      </c>
      <c r="AA212">
        <v>1.5058</v>
      </c>
      <c r="AB212">
        <v>7.1066000000000003</v>
      </c>
      <c r="AC212">
        <v>-4.3799999999999999E-2</v>
      </c>
      <c r="AD212">
        <v>0</v>
      </c>
      <c r="AE212">
        <v>124.61069999999999</v>
      </c>
      <c r="AF212">
        <v>69.506799999999998</v>
      </c>
      <c r="AG212">
        <v>518.22400000000005</v>
      </c>
      <c r="AH212">
        <v>293501.79129999998</v>
      </c>
      <c r="AK212">
        <v>2.7246000000000001</v>
      </c>
      <c r="AL212">
        <v>22.049099999999999</v>
      </c>
      <c r="AM212">
        <v>1.1013999999999999</v>
      </c>
      <c r="AN212">
        <v>1.1283000000000001</v>
      </c>
      <c r="AO212">
        <v>-1.21E-2</v>
      </c>
      <c r="AP212" t="s">
        <v>23</v>
      </c>
      <c r="AQ212">
        <v>35.433500000000002</v>
      </c>
      <c r="AR212">
        <v>19.857900000000001</v>
      </c>
      <c r="AS212">
        <v>222.02600000000001</v>
      </c>
      <c r="AT212">
        <v>134513.823</v>
      </c>
      <c r="AV212">
        <v>3.0777999999999999</v>
      </c>
      <c r="AW212">
        <v>913.76589999999999</v>
      </c>
      <c r="AX212">
        <v>-3.7305999999999999</v>
      </c>
      <c r="AY212">
        <v>14.99</v>
      </c>
      <c r="AZ212">
        <v>-0.85670000000000002</v>
      </c>
      <c r="BA212" t="s">
        <v>23</v>
      </c>
      <c r="BB212">
        <v>-6.7976999999999999</v>
      </c>
      <c r="BC212">
        <v>-16.411000000000001</v>
      </c>
      <c r="BD212">
        <v>301.5</v>
      </c>
      <c r="BE212">
        <v>263909.185</v>
      </c>
      <c r="BH212" s="5">
        <v>9.3001000000000005</v>
      </c>
      <c r="BI212">
        <v>12.1996</v>
      </c>
      <c r="BJ212">
        <v>2.6057000000000001</v>
      </c>
      <c r="BK212">
        <v>28.8551</v>
      </c>
      <c r="BL212">
        <v>0.54310000000000003</v>
      </c>
      <c r="BM212">
        <v>0</v>
      </c>
      <c r="BN212">
        <v>3.5183</v>
      </c>
      <c r="BO212">
        <v>-2.5057</v>
      </c>
      <c r="BP212">
        <v>173.90600000000001</v>
      </c>
      <c r="BQ212">
        <v>108427.1151</v>
      </c>
      <c r="CE212" s="1">
        <f t="shared" si="19"/>
        <v>45093</v>
      </c>
      <c r="CF212" s="35">
        <f t="shared" si="26"/>
        <v>3.9068658057985588</v>
      </c>
      <c r="CG212" s="36">
        <f t="shared" si="25"/>
        <v>-0.43279610057835033</v>
      </c>
      <c r="CH212">
        <f t="shared" ca="1" si="20"/>
        <v>-0.46500669811445128</v>
      </c>
      <c r="CI212">
        <f t="shared" ca="1" si="21"/>
        <v>-0.52134320160063363</v>
      </c>
      <c r="CJ212">
        <f t="shared" ca="1" si="22"/>
        <v>-0.70533988890202737</v>
      </c>
      <c r="CK212">
        <f t="shared" ca="1" si="23"/>
        <v>-0.92150955823024761</v>
      </c>
      <c r="CL212">
        <f t="shared" ca="1" si="24"/>
        <v>-1.0458226860920294</v>
      </c>
    </row>
    <row r="213" spans="1:90" x14ac:dyDescent="0.25">
      <c r="A213" s="43">
        <v>45100</v>
      </c>
      <c r="B213" s="5">
        <v>3.6604999999999999</v>
      </c>
      <c r="C213">
        <v>11.481999999999999</v>
      </c>
      <c r="D213">
        <v>0.88300000000000001</v>
      </c>
      <c r="E213">
        <v>21.247</v>
      </c>
      <c r="F213">
        <v>0.21149999999999999</v>
      </c>
      <c r="G213">
        <v>0.22750000000000001</v>
      </c>
      <c r="H213">
        <v>44.789900000000003</v>
      </c>
      <c r="I213">
        <v>24.388100000000001</v>
      </c>
      <c r="J213">
        <v>290.86399999999998</v>
      </c>
      <c r="K213">
        <v>534847.99010000005</v>
      </c>
      <c r="M213" s="43">
        <v>45100</v>
      </c>
      <c r="N213" s="5">
        <v>4.4733000000000001</v>
      </c>
      <c r="O213">
        <v>29.031600000000001</v>
      </c>
      <c r="P213">
        <v>0.69769999999999999</v>
      </c>
      <c r="Q213">
        <v>24.729900000000001</v>
      </c>
      <c r="R213">
        <v>0.28010000000000002</v>
      </c>
      <c r="S213">
        <v>195.11080000000001</v>
      </c>
      <c r="T213">
        <v>42.936300000000003</v>
      </c>
      <c r="U213">
        <v>29.502600000000001</v>
      </c>
      <c r="V213">
        <v>1314.625</v>
      </c>
      <c r="W213">
        <v>1031771.9441</v>
      </c>
      <c r="Y213" s="5">
        <v>1.7643</v>
      </c>
      <c r="Z213">
        <v>44.080800000000004</v>
      </c>
      <c r="AA213">
        <v>1.5058</v>
      </c>
      <c r="AB213">
        <v>7.1066000000000003</v>
      </c>
      <c r="AC213">
        <v>-4.3799999999999999E-2</v>
      </c>
      <c r="AD213">
        <v>0</v>
      </c>
      <c r="AE213">
        <v>124.61069999999999</v>
      </c>
      <c r="AF213">
        <v>69.506799999999998</v>
      </c>
      <c r="AG213">
        <v>558.17700000000002</v>
      </c>
      <c r="AH213">
        <v>316129.5491</v>
      </c>
      <c r="AK213">
        <v>3.0819999999999999</v>
      </c>
      <c r="AL213">
        <v>22.049099999999999</v>
      </c>
      <c r="AM213">
        <v>1.1013999999999999</v>
      </c>
      <c r="AN213">
        <v>1.1283000000000001</v>
      </c>
      <c r="AO213">
        <v>-1.21E-2</v>
      </c>
      <c r="AP213" t="s">
        <v>23</v>
      </c>
      <c r="AQ213">
        <v>35.433500000000002</v>
      </c>
      <c r="AR213">
        <v>19.857900000000001</v>
      </c>
      <c r="AS213">
        <v>251.017</v>
      </c>
      <c r="AT213">
        <v>152078.43789999999</v>
      </c>
      <c r="AV213">
        <v>3.0777999999999999</v>
      </c>
      <c r="AW213">
        <v>913.76589999999999</v>
      </c>
      <c r="AX213">
        <v>-3.7305999999999999</v>
      </c>
      <c r="AY213">
        <v>14.99</v>
      </c>
      <c r="AZ213">
        <v>-0.85670000000000002</v>
      </c>
      <c r="BA213" t="s">
        <v>23</v>
      </c>
      <c r="BB213">
        <v>-6.7976999999999999</v>
      </c>
      <c r="BC213">
        <v>-16.411000000000001</v>
      </c>
      <c r="BD213">
        <v>366.8</v>
      </c>
      <c r="BE213">
        <v>321067.62540000002</v>
      </c>
      <c r="BH213" s="5">
        <v>9.7818000000000005</v>
      </c>
      <c r="BI213">
        <v>12.1996</v>
      </c>
      <c r="BJ213">
        <v>2.6057000000000001</v>
      </c>
      <c r="BK213">
        <v>28.8551</v>
      </c>
      <c r="BL213">
        <v>0.54310000000000003</v>
      </c>
      <c r="BM213">
        <v>0</v>
      </c>
      <c r="BN213">
        <v>3.5183</v>
      </c>
      <c r="BO213">
        <v>-2.5057</v>
      </c>
      <c r="BP213">
        <v>183.49100000000001</v>
      </c>
      <c r="BQ213">
        <v>114403.41280000001</v>
      </c>
      <c r="CE213" s="1">
        <f t="shared" si="19"/>
        <v>45100</v>
      </c>
      <c r="CF213" s="35">
        <f t="shared" si="26"/>
        <v>3.9294607716344365</v>
      </c>
      <c r="CG213" s="36">
        <f t="shared" si="25"/>
        <v>-0.4221558893650233</v>
      </c>
      <c r="CH213">
        <f t="shared" ca="1" si="20"/>
        <v>-0.43597771960329651</v>
      </c>
      <c r="CI213">
        <f t="shared" ca="1" si="21"/>
        <v>-0.50168883326082825</v>
      </c>
      <c r="CJ213">
        <f t="shared" ca="1" si="22"/>
        <v>-0.69170886788569041</v>
      </c>
      <c r="CK213">
        <f t="shared" ca="1" si="23"/>
        <v>-0.89744625563354874</v>
      </c>
      <c r="CL213">
        <f t="shared" ca="1" si="24"/>
        <v>-1.0458226860920294</v>
      </c>
    </row>
    <row r="214" spans="1:90" x14ac:dyDescent="0.25">
      <c r="A214" s="43">
        <v>45107</v>
      </c>
      <c r="B214" s="5">
        <v>2.4798</v>
      </c>
      <c r="C214">
        <v>14.9217</v>
      </c>
      <c r="D214">
        <v>1.8007</v>
      </c>
      <c r="E214">
        <v>17.8216</v>
      </c>
      <c r="F214">
        <v>0.1075</v>
      </c>
      <c r="G214">
        <v>0.22750000000000001</v>
      </c>
      <c r="H214">
        <v>50.595999999999997</v>
      </c>
      <c r="I214">
        <v>29.657</v>
      </c>
      <c r="J214">
        <v>289.8</v>
      </c>
      <c r="K214">
        <v>532891.59620000003</v>
      </c>
      <c r="M214" s="43">
        <v>45107</v>
      </c>
      <c r="N214" s="5">
        <v>3.5785999999999998</v>
      </c>
      <c r="O214">
        <v>28.361699999999999</v>
      </c>
      <c r="P214">
        <v>1.3733</v>
      </c>
      <c r="Q214">
        <v>24.539400000000001</v>
      </c>
      <c r="R214">
        <v>7.3300000000000004E-2</v>
      </c>
      <c r="S214">
        <v>195.11080000000001</v>
      </c>
      <c r="T214">
        <v>41.997100000000003</v>
      </c>
      <c r="U214">
        <v>28.363700000000001</v>
      </c>
      <c r="V214">
        <v>1356.778</v>
      </c>
      <c r="W214">
        <v>1064855.7926</v>
      </c>
      <c r="Y214" s="5">
        <v>1.5911</v>
      </c>
      <c r="Z214">
        <v>36.037799999999997</v>
      </c>
      <c r="AA214">
        <v>2.5049000000000001</v>
      </c>
      <c r="AB214">
        <v>6.9259000000000004</v>
      </c>
      <c r="AC214">
        <v>-6.7199999999999996E-2</v>
      </c>
      <c r="AD214">
        <v>0</v>
      </c>
      <c r="AE214">
        <v>105.18689999999999</v>
      </c>
      <c r="AF214">
        <v>58.090699999999998</v>
      </c>
      <c r="AG214">
        <v>541.88599999999997</v>
      </c>
      <c r="AH214">
        <v>306902.69640000002</v>
      </c>
      <c r="AK214">
        <v>2.1981999999999999</v>
      </c>
      <c r="AL214">
        <v>28.921199999999999</v>
      </c>
      <c r="AM214">
        <v>2.1953</v>
      </c>
      <c r="AN214">
        <v>0.36459999999999998</v>
      </c>
      <c r="AO214">
        <v>-8.8599999999999998E-2</v>
      </c>
      <c r="AP214">
        <v>0</v>
      </c>
      <c r="AQ214">
        <v>36.793700000000001</v>
      </c>
      <c r="AR214">
        <v>21.4603</v>
      </c>
      <c r="AS214">
        <v>253.953</v>
      </c>
      <c r="AT214">
        <v>153857.13310000001</v>
      </c>
      <c r="AV214">
        <v>3.0777999999999999</v>
      </c>
      <c r="AW214">
        <v>787.67819999999995</v>
      </c>
      <c r="AX214">
        <v>-1.3912</v>
      </c>
      <c r="AY214">
        <v>14.966200000000001</v>
      </c>
      <c r="AZ214">
        <v>-0.85670000000000002</v>
      </c>
      <c r="BA214" t="s">
        <v>23</v>
      </c>
      <c r="BB214">
        <v>-6.3354999999999997</v>
      </c>
      <c r="BC214">
        <v>-16.3917</v>
      </c>
      <c r="BD214">
        <v>391.15</v>
      </c>
      <c r="BE214">
        <v>342381.68400000001</v>
      </c>
      <c r="BH214" s="5">
        <v>4.4684999999999997</v>
      </c>
      <c r="BI214">
        <v>124.1349</v>
      </c>
      <c r="BJ214">
        <v>8.6361000000000008</v>
      </c>
      <c r="BK214">
        <v>17.449000000000002</v>
      </c>
      <c r="BL214">
        <v>0.32769999999999999</v>
      </c>
      <c r="BM214">
        <v>0</v>
      </c>
      <c r="BN214">
        <v>6.6223000000000001</v>
      </c>
      <c r="BO214">
        <v>0.88029999999999997</v>
      </c>
      <c r="BP214">
        <v>211.791</v>
      </c>
      <c r="BQ214">
        <v>132047.72029999999</v>
      </c>
      <c r="CE214" s="1">
        <f t="shared" si="19"/>
        <v>45107</v>
      </c>
      <c r="CF214" s="35">
        <f t="shared" si="26"/>
        <v>3.0014634662471433</v>
      </c>
      <c r="CG214" s="36">
        <f t="shared" si="25"/>
        <v>-0.85915975148374468</v>
      </c>
      <c r="CH214">
        <f t="shared" ca="1" si="20"/>
        <v>-0.42321991048635599</v>
      </c>
      <c r="CI214">
        <f t="shared" ca="1" si="21"/>
        <v>-0.50044391751102657</v>
      </c>
      <c r="CJ214">
        <f t="shared" ca="1" si="22"/>
        <v>-0.66423479769945037</v>
      </c>
      <c r="CK214">
        <f t="shared" ca="1" si="23"/>
        <v>-0.88942679782374201</v>
      </c>
      <c r="CL214">
        <f t="shared" ca="1" si="24"/>
        <v>-1.0420853080517769</v>
      </c>
    </row>
    <row r="215" spans="1:90" x14ac:dyDescent="0.25">
      <c r="A215" s="43">
        <v>45114</v>
      </c>
      <c r="B215" s="5">
        <v>2.4140000000000001</v>
      </c>
      <c r="C215">
        <v>14.9217</v>
      </c>
      <c r="D215">
        <v>1.8007</v>
      </c>
      <c r="E215">
        <v>17.8216</v>
      </c>
      <c r="F215">
        <v>0.1075</v>
      </c>
      <c r="G215">
        <v>0.22750000000000001</v>
      </c>
      <c r="H215">
        <v>50.595999999999997</v>
      </c>
      <c r="I215">
        <v>29.657</v>
      </c>
      <c r="J215">
        <v>281.69799999999998</v>
      </c>
      <c r="K215">
        <v>517992.90429999999</v>
      </c>
      <c r="M215" s="43">
        <v>45114</v>
      </c>
      <c r="N215" s="5">
        <v>3.6034000000000002</v>
      </c>
      <c r="O215">
        <v>28.361699999999999</v>
      </c>
      <c r="P215">
        <v>1.3733</v>
      </c>
      <c r="Q215">
        <v>24.539400000000001</v>
      </c>
      <c r="R215">
        <v>7.3300000000000004E-2</v>
      </c>
      <c r="S215">
        <v>195.11080000000001</v>
      </c>
      <c r="T215">
        <v>41.997100000000003</v>
      </c>
      <c r="U215">
        <v>28.363700000000001</v>
      </c>
      <c r="V215">
        <v>1366.3689999999999</v>
      </c>
      <c r="W215">
        <v>1072383.4032000001</v>
      </c>
      <c r="Y215" s="5">
        <v>1.5186999999999999</v>
      </c>
      <c r="Z215">
        <v>36.037799999999997</v>
      </c>
      <c r="AA215">
        <v>2.5049000000000001</v>
      </c>
      <c r="AB215">
        <v>6.9259000000000004</v>
      </c>
      <c r="AC215">
        <v>-6.7199999999999996E-2</v>
      </c>
      <c r="AD215">
        <v>0</v>
      </c>
      <c r="AE215">
        <v>105.18689999999999</v>
      </c>
      <c r="AF215">
        <v>58.090699999999998</v>
      </c>
      <c r="AG215">
        <v>518.22400000000005</v>
      </c>
      <c r="AH215">
        <v>293501.79129999998</v>
      </c>
      <c r="AK215">
        <v>2.3931</v>
      </c>
      <c r="AL215">
        <v>28.921199999999999</v>
      </c>
      <c r="AM215">
        <v>2.1953</v>
      </c>
      <c r="AN215">
        <v>0.36459999999999998</v>
      </c>
      <c r="AO215">
        <v>-8.8599999999999998E-2</v>
      </c>
      <c r="AP215">
        <v>0</v>
      </c>
      <c r="AQ215">
        <v>36.793700000000001</v>
      </c>
      <c r="AR215">
        <v>21.4603</v>
      </c>
      <c r="AS215">
        <v>275.60500000000002</v>
      </c>
      <c r="AT215">
        <v>166975.01</v>
      </c>
      <c r="AV215">
        <v>3.0777999999999999</v>
      </c>
      <c r="AW215">
        <v>787.67819999999995</v>
      </c>
      <c r="AX215">
        <v>-1.3912</v>
      </c>
      <c r="AY215">
        <v>14.966200000000001</v>
      </c>
      <c r="AZ215">
        <v>-0.85670000000000002</v>
      </c>
      <c r="BA215" t="s">
        <v>23</v>
      </c>
      <c r="BB215">
        <v>-6.3354999999999997</v>
      </c>
      <c r="BC215">
        <v>-16.3917</v>
      </c>
      <c r="BD215">
        <v>391.4</v>
      </c>
      <c r="BE215">
        <v>342600.51419999998</v>
      </c>
      <c r="BH215" s="5">
        <v>4.2591000000000001</v>
      </c>
      <c r="BI215">
        <v>124.1349</v>
      </c>
      <c r="BJ215">
        <v>8.6361000000000008</v>
      </c>
      <c r="BK215">
        <v>17.449000000000002</v>
      </c>
      <c r="BL215">
        <v>0.32769999999999999</v>
      </c>
      <c r="BM215">
        <v>0</v>
      </c>
      <c r="BN215">
        <v>6.6223000000000001</v>
      </c>
      <c r="BO215">
        <v>0.88029999999999997</v>
      </c>
      <c r="BP215">
        <v>201.065</v>
      </c>
      <c r="BQ215">
        <v>125359.9586</v>
      </c>
      <c r="CE215" s="1">
        <f t="shared" si="19"/>
        <v>45114</v>
      </c>
      <c r="CF215" s="35">
        <f t="shared" si="26"/>
        <v>2.996794526744031</v>
      </c>
      <c r="CG215" s="36">
        <f t="shared" si="25"/>
        <v>-0.8613584050606613</v>
      </c>
      <c r="CH215">
        <f t="shared" ca="1" si="20"/>
        <v>-0.42321991048635599</v>
      </c>
      <c r="CI215">
        <f t="shared" ca="1" si="21"/>
        <v>-0.50044391751102657</v>
      </c>
      <c r="CJ215">
        <f t="shared" ca="1" si="22"/>
        <v>-0.66423479769945037</v>
      </c>
      <c r="CK215">
        <f t="shared" ca="1" si="23"/>
        <v>-0.86661645284839595</v>
      </c>
      <c r="CL215">
        <f t="shared" ca="1" si="24"/>
        <v>-0.95689800130569302</v>
      </c>
    </row>
    <row r="216" spans="1:90" x14ac:dyDescent="0.25">
      <c r="A216" s="43">
        <v>45121</v>
      </c>
      <c r="B216" s="5">
        <v>2.5390999999999999</v>
      </c>
      <c r="C216">
        <v>14.9217</v>
      </c>
      <c r="D216">
        <v>1.8007</v>
      </c>
      <c r="E216">
        <v>17.8216</v>
      </c>
      <c r="F216">
        <v>0.1075</v>
      </c>
      <c r="G216">
        <v>0.22750000000000001</v>
      </c>
      <c r="H216">
        <v>50.595999999999997</v>
      </c>
      <c r="I216">
        <v>29.657</v>
      </c>
      <c r="J216">
        <v>297.084</v>
      </c>
      <c r="K216">
        <v>546285.36979999999</v>
      </c>
      <c r="M216" s="43">
        <v>45121</v>
      </c>
      <c r="N216" s="5">
        <v>3.5367000000000002</v>
      </c>
      <c r="O216">
        <v>28.361699999999999</v>
      </c>
      <c r="P216">
        <v>1.3733</v>
      </c>
      <c r="Q216">
        <v>24.539400000000001</v>
      </c>
      <c r="R216">
        <v>7.3300000000000004E-2</v>
      </c>
      <c r="S216">
        <v>195.11080000000001</v>
      </c>
      <c r="T216">
        <v>41.997100000000003</v>
      </c>
      <c r="U216">
        <v>28.363700000000001</v>
      </c>
      <c r="V216">
        <v>1340.569</v>
      </c>
      <c r="W216">
        <v>1052134.1307999999</v>
      </c>
      <c r="Y216" s="5">
        <v>1.476</v>
      </c>
      <c r="Z216">
        <v>36.037799999999997</v>
      </c>
      <c r="AA216">
        <v>2.5049000000000001</v>
      </c>
      <c r="AB216">
        <v>6.9259000000000004</v>
      </c>
      <c r="AC216">
        <v>-6.7199999999999996E-2</v>
      </c>
      <c r="AD216">
        <v>0</v>
      </c>
      <c r="AE216">
        <v>105.18689999999999</v>
      </c>
      <c r="AF216">
        <v>58.090699999999998</v>
      </c>
      <c r="AG216">
        <v>504.26</v>
      </c>
      <c r="AH216">
        <v>285593.06040000002</v>
      </c>
      <c r="AK216">
        <v>2.3534999999999999</v>
      </c>
      <c r="AL216">
        <v>28.921199999999999</v>
      </c>
      <c r="AM216">
        <v>2.1953</v>
      </c>
      <c r="AN216">
        <v>0.36459999999999998</v>
      </c>
      <c r="AO216">
        <v>-8.8599999999999998E-2</v>
      </c>
      <c r="AP216">
        <v>0</v>
      </c>
      <c r="AQ216">
        <v>36.793700000000001</v>
      </c>
      <c r="AR216">
        <v>21.4603</v>
      </c>
      <c r="AS216">
        <v>271.202</v>
      </c>
      <c r="AT216">
        <v>164306.96729999999</v>
      </c>
      <c r="AV216">
        <v>3.0777999999999999</v>
      </c>
      <c r="AW216">
        <v>787.67819999999995</v>
      </c>
      <c r="AX216">
        <v>-1.3912</v>
      </c>
      <c r="AY216">
        <v>14.966200000000001</v>
      </c>
      <c r="AZ216">
        <v>-0.85670000000000002</v>
      </c>
      <c r="BA216" t="s">
        <v>23</v>
      </c>
      <c r="BB216">
        <v>-6.3354999999999997</v>
      </c>
      <c r="BC216">
        <v>-16.3917</v>
      </c>
      <c r="BD216">
        <v>414.7</v>
      </c>
      <c r="BE216">
        <v>362995.48599999998</v>
      </c>
      <c r="BH216" s="5">
        <v>4.4238999999999997</v>
      </c>
      <c r="BI216">
        <v>124.1349</v>
      </c>
      <c r="BJ216">
        <v>8.6361000000000008</v>
      </c>
      <c r="BK216">
        <v>17.449000000000002</v>
      </c>
      <c r="BL216">
        <v>0.32769999999999999</v>
      </c>
      <c r="BM216">
        <v>0</v>
      </c>
      <c r="BN216">
        <v>6.6223000000000001</v>
      </c>
      <c r="BO216">
        <v>0.88029999999999997</v>
      </c>
      <c r="BP216">
        <v>209.50899999999999</v>
      </c>
      <c r="BQ216">
        <v>130624.7922</v>
      </c>
      <c r="CE216" s="1">
        <f t="shared" si="19"/>
        <v>45121</v>
      </c>
      <c r="CF216" s="35">
        <f t="shared" si="26"/>
        <v>2.9943613429049427</v>
      </c>
      <c r="CG216" s="36">
        <f t="shared" si="25"/>
        <v>-0.86250421736933247</v>
      </c>
      <c r="CH216">
        <f t="shared" ca="1" si="20"/>
        <v>-0.42321991048635599</v>
      </c>
      <c r="CI216">
        <f t="shared" ca="1" si="21"/>
        <v>-0.50044391751102657</v>
      </c>
      <c r="CJ216">
        <f t="shared" ca="1" si="22"/>
        <v>-0.66423479769945037</v>
      </c>
      <c r="CK216">
        <f t="shared" ca="1" si="23"/>
        <v>-0.85970941487797381</v>
      </c>
      <c r="CL216">
        <f t="shared" ca="1" si="24"/>
        <v>-0.94530698566716753</v>
      </c>
    </row>
    <row r="217" spans="1:90" x14ac:dyDescent="0.25">
      <c r="A217" s="43">
        <v>45128</v>
      </c>
      <c r="B217" s="5">
        <v>2.6966999999999999</v>
      </c>
      <c r="C217">
        <v>14.9217</v>
      </c>
      <c r="D217">
        <v>1.8007</v>
      </c>
      <c r="E217">
        <v>17.8216</v>
      </c>
      <c r="F217">
        <v>0.1075</v>
      </c>
      <c r="G217">
        <v>0.22750000000000001</v>
      </c>
      <c r="H217">
        <v>50.595999999999997</v>
      </c>
      <c r="I217">
        <v>29.657</v>
      </c>
      <c r="J217">
        <v>316.48099999999999</v>
      </c>
      <c r="K217">
        <v>581951.93519999995</v>
      </c>
      <c r="M217" s="43">
        <v>45128</v>
      </c>
      <c r="N217" s="5">
        <v>3.7444999999999999</v>
      </c>
      <c r="O217">
        <v>28.361699999999999</v>
      </c>
      <c r="P217">
        <v>1.3733</v>
      </c>
      <c r="Q217">
        <v>24.539400000000001</v>
      </c>
      <c r="R217">
        <v>7.3300000000000004E-2</v>
      </c>
      <c r="S217">
        <v>195.11080000000001</v>
      </c>
      <c r="T217">
        <v>41.997100000000003</v>
      </c>
      <c r="U217">
        <v>28.363700000000001</v>
      </c>
      <c r="V217">
        <v>1420.992</v>
      </c>
      <c r="W217">
        <v>1115253.1455000001</v>
      </c>
      <c r="Y217" s="5">
        <v>1.6647000000000001</v>
      </c>
      <c r="Z217">
        <v>36.037799999999997</v>
      </c>
      <c r="AA217">
        <v>2.5049000000000001</v>
      </c>
      <c r="AB217">
        <v>6.9259000000000004</v>
      </c>
      <c r="AC217">
        <v>-6.7199999999999996E-2</v>
      </c>
      <c r="AD217">
        <v>0</v>
      </c>
      <c r="AE217">
        <v>105.18689999999999</v>
      </c>
      <c r="AF217">
        <v>58.090699999999998</v>
      </c>
      <c r="AG217">
        <v>565.93499999999995</v>
      </c>
      <c r="AH217">
        <v>320523.28850000002</v>
      </c>
      <c r="AK217">
        <v>2.4361000000000002</v>
      </c>
      <c r="AL217">
        <v>28.921199999999999</v>
      </c>
      <c r="AM217">
        <v>2.1953</v>
      </c>
      <c r="AN217">
        <v>0.36459999999999998</v>
      </c>
      <c r="AO217">
        <v>-8.8599999999999998E-2</v>
      </c>
      <c r="AP217">
        <v>0</v>
      </c>
      <c r="AQ217">
        <v>36.793700000000001</v>
      </c>
      <c r="AR217">
        <v>21.4603</v>
      </c>
      <c r="AS217">
        <v>280.37599999999998</v>
      </c>
      <c r="AT217">
        <v>169865.3897</v>
      </c>
      <c r="AV217">
        <v>3.0777999999999999</v>
      </c>
      <c r="AW217">
        <v>787.67819999999995</v>
      </c>
      <c r="AX217">
        <v>-1.3912</v>
      </c>
      <c r="AY217">
        <v>14.966200000000001</v>
      </c>
      <c r="AZ217">
        <v>-0.85670000000000002</v>
      </c>
      <c r="BA217" t="s">
        <v>23</v>
      </c>
      <c r="BB217">
        <v>-6.3354999999999997</v>
      </c>
      <c r="BC217">
        <v>-16.3917</v>
      </c>
      <c r="BD217">
        <v>446.15</v>
      </c>
      <c r="BE217">
        <v>390524.32140000002</v>
      </c>
      <c r="BH217" s="5">
        <v>4.6913</v>
      </c>
      <c r="BI217">
        <v>124.1349</v>
      </c>
      <c r="BJ217">
        <v>8.6361000000000008</v>
      </c>
      <c r="BK217">
        <v>17.449000000000002</v>
      </c>
      <c r="BL217">
        <v>0.32769999999999999</v>
      </c>
      <c r="BM217">
        <v>0</v>
      </c>
      <c r="BN217">
        <v>6.6223000000000001</v>
      </c>
      <c r="BO217">
        <v>0.88029999999999997</v>
      </c>
      <c r="BP217">
        <v>223.202</v>
      </c>
      <c r="BQ217">
        <v>139162.36040000001</v>
      </c>
      <c r="CE217" s="1">
        <f t="shared" si="19"/>
        <v>45128</v>
      </c>
      <c r="CF217" s="35">
        <f t="shared" si="26"/>
        <v>3.1456479025551722</v>
      </c>
      <c r="CG217" s="36">
        <f t="shared" si="25"/>
        <v>-0.79126175742898497</v>
      </c>
      <c r="CH217">
        <f t="shared" ca="1" si="20"/>
        <v>-0.42321991048635599</v>
      </c>
      <c r="CI217">
        <f t="shared" ca="1" si="21"/>
        <v>-0.50044391751102657</v>
      </c>
      <c r="CJ217">
        <f t="shared" ca="1" si="22"/>
        <v>-0.66423479769945037</v>
      </c>
      <c r="CK217">
        <f t="shared" ca="1" si="23"/>
        <v>-0.85970941487797381</v>
      </c>
      <c r="CL217">
        <f t="shared" ca="1" si="24"/>
        <v>-0.93720646630691995</v>
      </c>
    </row>
    <row r="218" spans="1:90" x14ac:dyDescent="0.25">
      <c r="A218" s="43">
        <v>45135</v>
      </c>
      <c r="B218" s="5">
        <v>2.5945999999999998</v>
      </c>
      <c r="C218">
        <v>14.9217</v>
      </c>
      <c r="D218">
        <v>1.8007</v>
      </c>
      <c r="E218">
        <v>17.8216</v>
      </c>
      <c r="F218">
        <v>0.1075</v>
      </c>
      <c r="G218">
        <v>0.22750000000000001</v>
      </c>
      <c r="H218">
        <v>50.595999999999997</v>
      </c>
      <c r="I218">
        <v>29.657</v>
      </c>
      <c r="J218">
        <v>303.91800000000001</v>
      </c>
      <c r="K218">
        <v>558851.43819999998</v>
      </c>
      <c r="M218" s="43">
        <v>45135</v>
      </c>
      <c r="N218" s="5">
        <v>3.4493999999999998</v>
      </c>
      <c r="O218">
        <v>28.361699999999999</v>
      </c>
      <c r="P218">
        <v>1.3733</v>
      </c>
      <c r="Q218">
        <v>24.539400000000001</v>
      </c>
      <c r="R218">
        <v>7.3300000000000004E-2</v>
      </c>
      <c r="S218">
        <v>195.11080000000001</v>
      </c>
      <c r="T218">
        <v>41.997100000000003</v>
      </c>
      <c r="U218">
        <v>28.363700000000001</v>
      </c>
      <c r="V218">
        <v>1306.76</v>
      </c>
      <c r="W218">
        <v>1025599.3035</v>
      </c>
      <c r="Y218" s="5">
        <v>1.6184000000000001</v>
      </c>
      <c r="Z218">
        <v>36.037799999999997</v>
      </c>
      <c r="AA218">
        <v>2.5049000000000001</v>
      </c>
      <c r="AB218">
        <v>6.9259000000000004</v>
      </c>
      <c r="AC218">
        <v>-6.7199999999999996E-2</v>
      </c>
      <c r="AD218">
        <v>0</v>
      </c>
      <c r="AE218">
        <v>105.18689999999999</v>
      </c>
      <c r="AF218">
        <v>58.090699999999998</v>
      </c>
      <c r="AG218">
        <v>550.80700000000002</v>
      </c>
      <c r="AH218">
        <v>311955.49670000002</v>
      </c>
      <c r="AK218">
        <v>2.3105000000000002</v>
      </c>
      <c r="AL218">
        <v>28.921199999999999</v>
      </c>
      <c r="AM218">
        <v>2.1953</v>
      </c>
      <c r="AN218">
        <v>0.36459999999999998</v>
      </c>
      <c r="AO218">
        <v>-8.8599999999999998E-2</v>
      </c>
      <c r="AP218">
        <v>0</v>
      </c>
      <c r="AQ218">
        <v>36.793700000000001</v>
      </c>
      <c r="AR218">
        <v>21.4603</v>
      </c>
      <c r="AS218">
        <v>266.43099999999998</v>
      </c>
      <c r="AT218">
        <v>161416.5876</v>
      </c>
      <c r="AV218">
        <v>3.0777999999999999</v>
      </c>
      <c r="AW218">
        <v>787.67819999999995</v>
      </c>
      <c r="AX218">
        <v>-1.3912</v>
      </c>
      <c r="AY218">
        <v>14.966200000000001</v>
      </c>
      <c r="AZ218">
        <v>-0.85670000000000002</v>
      </c>
      <c r="BA218" t="s">
        <v>23</v>
      </c>
      <c r="BB218">
        <v>-6.3354999999999997</v>
      </c>
      <c r="BC218">
        <v>-16.3917</v>
      </c>
      <c r="BD218">
        <v>423.35</v>
      </c>
      <c r="BE218">
        <v>370567.0099</v>
      </c>
      <c r="BH218" s="5">
        <v>4.4283999999999999</v>
      </c>
      <c r="BI218">
        <v>124.1349</v>
      </c>
      <c r="BJ218">
        <v>8.6361000000000008</v>
      </c>
      <c r="BK218">
        <v>17.449000000000002</v>
      </c>
      <c r="BL218">
        <v>0.32769999999999999</v>
      </c>
      <c r="BM218">
        <v>0</v>
      </c>
      <c r="BN218">
        <v>6.6223000000000001</v>
      </c>
      <c r="BO218">
        <v>0.88029999999999997</v>
      </c>
      <c r="BP218">
        <v>209.73699999999999</v>
      </c>
      <c r="BQ218">
        <v>130767.08500000001</v>
      </c>
      <c r="CE218" s="1">
        <f t="shared" si="19"/>
        <v>45135</v>
      </c>
      <c r="CF218" s="35">
        <f t="shared" si="26"/>
        <v>2.9639214465099659</v>
      </c>
      <c r="CG218" s="36">
        <f t="shared" si="25"/>
        <v>-0.87683869033587514</v>
      </c>
      <c r="CH218">
        <f t="shared" ca="1" si="20"/>
        <v>-0.42321991048635599</v>
      </c>
      <c r="CI218">
        <f t="shared" ca="1" si="21"/>
        <v>-0.50044391751102657</v>
      </c>
      <c r="CJ218">
        <f t="shared" ca="1" si="22"/>
        <v>-0.66423479769945037</v>
      </c>
      <c r="CK218">
        <f t="shared" ca="1" si="23"/>
        <v>-0.85573127888606959</v>
      </c>
      <c r="CL218">
        <f t="shared" ca="1" si="24"/>
        <v>-0.93440538631728076</v>
      </c>
    </row>
    <row r="219" spans="1:90" x14ac:dyDescent="0.25">
      <c r="A219" s="43">
        <v>45142</v>
      </c>
      <c r="B219" s="5">
        <v>2.5314000000000001</v>
      </c>
      <c r="C219">
        <v>14.9217</v>
      </c>
      <c r="D219">
        <v>1.8007</v>
      </c>
      <c r="E219">
        <v>17.8216</v>
      </c>
      <c r="F219">
        <v>0.1075</v>
      </c>
      <c r="G219">
        <v>0.22750000000000001</v>
      </c>
      <c r="H219">
        <v>50.595999999999997</v>
      </c>
      <c r="I219">
        <v>29.657</v>
      </c>
      <c r="J219">
        <v>296.14299999999997</v>
      </c>
      <c r="K219">
        <v>544554.71360000002</v>
      </c>
      <c r="M219" s="43">
        <v>45142</v>
      </c>
      <c r="N219" s="5">
        <v>3.4329000000000001</v>
      </c>
      <c r="O219">
        <v>28.361699999999999</v>
      </c>
      <c r="P219">
        <v>1.3733</v>
      </c>
      <c r="Q219">
        <v>24.539400000000001</v>
      </c>
      <c r="R219">
        <v>7.3300000000000004E-2</v>
      </c>
      <c r="S219">
        <v>195.11080000000001</v>
      </c>
      <c r="T219">
        <v>41.997100000000003</v>
      </c>
      <c r="U219">
        <v>28.363700000000001</v>
      </c>
      <c r="V219">
        <v>1300.3820000000001</v>
      </c>
      <c r="W219">
        <v>1020593.4424000001</v>
      </c>
      <c r="Y219" s="5">
        <v>1.5282</v>
      </c>
      <c r="Z219">
        <v>36.037799999999997</v>
      </c>
      <c r="AA219">
        <v>2.5049000000000001</v>
      </c>
      <c r="AB219">
        <v>6.9259000000000004</v>
      </c>
      <c r="AC219">
        <v>-6.7199999999999996E-2</v>
      </c>
      <c r="AD219">
        <v>0</v>
      </c>
      <c r="AE219">
        <v>105.18689999999999</v>
      </c>
      <c r="AF219">
        <v>58.090699999999998</v>
      </c>
      <c r="AG219">
        <v>521.32799999999997</v>
      </c>
      <c r="AH219">
        <v>295259.28700000001</v>
      </c>
      <c r="AK219">
        <v>2.1486000000000001</v>
      </c>
      <c r="AL219">
        <v>28.921199999999999</v>
      </c>
      <c r="AM219">
        <v>2.1953</v>
      </c>
      <c r="AN219">
        <v>0.36459999999999998</v>
      </c>
      <c r="AO219">
        <v>-8.8599999999999998E-2</v>
      </c>
      <c r="AP219">
        <v>0</v>
      </c>
      <c r="AQ219">
        <v>36.793700000000001</v>
      </c>
      <c r="AR219">
        <v>21.4603</v>
      </c>
      <c r="AS219">
        <v>248.44900000000001</v>
      </c>
      <c r="AT219">
        <v>150522.0796</v>
      </c>
      <c r="AV219">
        <v>3.0777999999999999</v>
      </c>
      <c r="AW219">
        <v>787.67819999999995</v>
      </c>
      <c r="AX219">
        <v>-1.3912</v>
      </c>
      <c r="AY219">
        <v>14.966200000000001</v>
      </c>
      <c r="AZ219">
        <v>-0.85670000000000002</v>
      </c>
      <c r="BA219" t="s">
        <v>23</v>
      </c>
      <c r="BB219">
        <v>-6.3354999999999997</v>
      </c>
      <c r="BC219">
        <v>-16.3917</v>
      </c>
      <c r="BD219">
        <v>423.75</v>
      </c>
      <c r="BE219">
        <v>370917.13819999999</v>
      </c>
      <c r="BH219" s="5">
        <v>4.2367999999999997</v>
      </c>
      <c r="BI219">
        <v>124.1349</v>
      </c>
      <c r="BJ219">
        <v>8.6361000000000008</v>
      </c>
      <c r="BK219">
        <v>17.449000000000002</v>
      </c>
      <c r="BL219">
        <v>0.32769999999999999</v>
      </c>
      <c r="BM219">
        <v>0</v>
      </c>
      <c r="BN219">
        <v>6.6223000000000001</v>
      </c>
      <c r="BO219">
        <v>0.88029999999999997</v>
      </c>
      <c r="BP219">
        <v>199.92400000000001</v>
      </c>
      <c r="BQ219">
        <v>124648.49460000001</v>
      </c>
      <c r="CE219" s="1">
        <f t="shared" si="19"/>
        <v>45142</v>
      </c>
      <c r="CF219" s="35">
        <f t="shared" si="26"/>
        <v>2.9229769334016562</v>
      </c>
      <c r="CG219" s="36">
        <f t="shared" si="25"/>
        <v>-0.89611989972843309</v>
      </c>
      <c r="CH219">
        <f t="shared" ca="1" si="20"/>
        <v>-0.42321991048635599</v>
      </c>
      <c r="CI219">
        <f t="shared" ca="1" si="21"/>
        <v>-0.50044391751102657</v>
      </c>
      <c r="CJ219">
        <f t="shared" ca="1" si="22"/>
        <v>-0.66423479769945037</v>
      </c>
      <c r="CK219">
        <f t="shared" ca="1" si="23"/>
        <v>-0.85573127888606959</v>
      </c>
      <c r="CL219">
        <f t="shared" ca="1" si="24"/>
        <v>-0.9318240106897554</v>
      </c>
    </row>
    <row r="220" spans="1:90" x14ac:dyDescent="0.25">
      <c r="A220" s="43">
        <v>45149</v>
      </c>
      <c r="B220" s="5">
        <v>2.8416999999999999</v>
      </c>
      <c r="C220">
        <v>14.9217</v>
      </c>
      <c r="D220">
        <v>1.8007</v>
      </c>
      <c r="E220">
        <v>17.8216</v>
      </c>
      <c r="F220">
        <v>0.1075</v>
      </c>
      <c r="G220">
        <v>0.22750000000000001</v>
      </c>
      <c r="H220">
        <v>50.595999999999997</v>
      </c>
      <c r="I220">
        <v>29.657</v>
      </c>
      <c r="J220">
        <v>334.322</v>
      </c>
      <c r="K220">
        <v>614759.15579999995</v>
      </c>
      <c r="M220" s="43">
        <v>45149</v>
      </c>
      <c r="N220" s="5">
        <v>3.7664</v>
      </c>
      <c r="O220">
        <v>28.361699999999999</v>
      </c>
      <c r="P220">
        <v>1.3733</v>
      </c>
      <c r="Q220">
        <v>24.539400000000001</v>
      </c>
      <c r="R220">
        <v>7.3300000000000004E-2</v>
      </c>
      <c r="S220">
        <v>195.11080000000001</v>
      </c>
      <c r="T220">
        <v>41.997100000000003</v>
      </c>
      <c r="U220">
        <v>28.363700000000001</v>
      </c>
      <c r="V220">
        <v>1429.48</v>
      </c>
      <c r="W220">
        <v>1121915.0808000001</v>
      </c>
      <c r="Y220" s="5">
        <v>1.4961</v>
      </c>
      <c r="Z220">
        <v>36.037799999999997</v>
      </c>
      <c r="AA220">
        <v>2.5049000000000001</v>
      </c>
      <c r="AB220">
        <v>6.9259000000000004</v>
      </c>
      <c r="AC220">
        <v>-6.7199999999999996E-2</v>
      </c>
      <c r="AD220">
        <v>0</v>
      </c>
      <c r="AE220">
        <v>105.18689999999999</v>
      </c>
      <c r="AF220">
        <v>58.090699999999998</v>
      </c>
      <c r="AG220">
        <v>510.85500000000002</v>
      </c>
      <c r="AH220">
        <v>289327.73879999999</v>
      </c>
      <c r="AK220">
        <v>2.1551999999999998</v>
      </c>
      <c r="AL220">
        <v>28.921199999999999</v>
      </c>
      <c r="AM220">
        <v>2.1953</v>
      </c>
      <c r="AN220">
        <v>0.36459999999999998</v>
      </c>
      <c r="AO220">
        <v>-8.8599999999999998E-2</v>
      </c>
      <c r="AP220">
        <v>0</v>
      </c>
      <c r="AQ220">
        <v>36.793700000000001</v>
      </c>
      <c r="AR220">
        <v>21.4603</v>
      </c>
      <c r="AS220">
        <v>249.18199999999999</v>
      </c>
      <c r="AT220">
        <v>150966.75339999999</v>
      </c>
      <c r="AV220">
        <v>3.0777999999999999</v>
      </c>
      <c r="AW220">
        <v>787.67819999999995</v>
      </c>
      <c r="AX220">
        <v>-1.3912</v>
      </c>
      <c r="AY220">
        <v>14.966200000000001</v>
      </c>
      <c r="AZ220">
        <v>-0.85670000000000002</v>
      </c>
      <c r="BA220" t="s">
        <v>23</v>
      </c>
      <c r="BB220">
        <v>-6.3354999999999997</v>
      </c>
      <c r="BC220">
        <v>-16.3917</v>
      </c>
      <c r="BD220">
        <v>405.8</v>
      </c>
      <c r="BE220">
        <v>355205.13189999998</v>
      </c>
      <c r="BH220" s="5">
        <v>4.1788999999999996</v>
      </c>
      <c r="BI220">
        <v>124.1349</v>
      </c>
      <c r="BJ220">
        <v>8.6361000000000008</v>
      </c>
      <c r="BK220">
        <v>17.449000000000002</v>
      </c>
      <c r="BL220">
        <v>0.32769999999999999</v>
      </c>
      <c r="BM220">
        <v>0</v>
      </c>
      <c r="BN220">
        <v>6.6223000000000001</v>
      </c>
      <c r="BO220">
        <v>0.88029999999999997</v>
      </c>
      <c r="BP220">
        <v>196.95699999999999</v>
      </c>
      <c r="BQ220">
        <v>122798.6881</v>
      </c>
      <c r="CE220" s="1">
        <f t="shared" si="19"/>
        <v>45149</v>
      </c>
      <c r="CF220" s="35">
        <f t="shared" si="26"/>
        <v>3.1402142469380743</v>
      </c>
      <c r="CG220" s="36">
        <f t="shared" si="25"/>
        <v>-0.79382052400762704</v>
      </c>
      <c r="CH220">
        <f t="shared" ca="1" si="20"/>
        <v>-0.42321991048635599</v>
      </c>
      <c r="CI220">
        <f t="shared" ca="1" si="21"/>
        <v>-0.50044391751102657</v>
      </c>
      <c r="CJ220">
        <f t="shared" ca="1" si="22"/>
        <v>-0.66423479769945037</v>
      </c>
      <c r="CK220">
        <f t="shared" ca="1" si="23"/>
        <v>-0.85573127888606959</v>
      </c>
      <c r="CL220">
        <f t="shared" ca="1" si="24"/>
        <v>-0.91540020499023655</v>
      </c>
    </row>
    <row r="221" spans="1:90" x14ac:dyDescent="0.25">
      <c r="A221" s="43">
        <v>45156</v>
      </c>
      <c r="B221" s="5">
        <v>3.4373999999999998</v>
      </c>
      <c r="C221">
        <v>14.9217</v>
      </c>
      <c r="D221">
        <v>1.8007</v>
      </c>
      <c r="E221">
        <v>17.8216</v>
      </c>
      <c r="F221">
        <v>0.1075</v>
      </c>
      <c r="G221">
        <v>0.22750000000000001</v>
      </c>
      <c r="H221">
        <v>50.595999999999997</v>
      </c>
      <c r="I221">
        <v>29.657</v>
      </c>
      <c r="J221">
        <v>407.61099999999999</v>
      </c>
      <c r="K221">
        <v>749524.59620000003</v>
      </c>
      <c r="M221" s="43">
        <v>45156</v>
      </c>
      <c r="N221" s="5">
        <v>4.8563000000000001</v>
      </c>
      <c r="O221">
        <v>28.361699999999999</v>
      </c>
      <c r="P221">
        <v>1.3733</v>
      </c>
      <c r="Q221">
        <v>24.539400000000001</v>
      </c>
      <c r="R221">
        <v>7.3300000000000004E-2</v>
      </c>
      <c r="S221">
        <v>195.11080000000001</v>
      </c>
      <c r="T221">
        <v>41.997100000000003</v>
      </c>
      <c r="U221">
        <v>28.363700000000001</v>
      </c>
      <c r="V221">
        <v>1851.3510000000001</v>
      </c>
      <c r="W221">
        <v>1453017.0322</v>
      </c>
      <c r="Y221" s="5">
        <v>1.9793000000000001</v>
      </c>
      <c r="Z221">
        <v>36.037799999999997</v>
      </c>
      <c r="AA221">
        <v>2.5049000000000001</v>
      </c>
      <c r="AB221">
        <v>6.9259000000000004</v>
      </c>
      <c r="AC221">
        <v>-6.7199999999999996E-2</v>
      </c>
      <c r="AD221">
        <v>0</v>
      </c>
      <c r="AE221">
        <v>105.18689999999999</v>
      </c>
      <c r="AF221">
        <v>58.090699999999998</v>
      </c>
      <c r="AG221">
        <v>668.72699999999998</v>
      </c>
      <c r="AH221">
        <v>378740.33539999998</v>
      </c>
      <c r="AK221">
        <v>2.8062</v>
      </c>
      <c r="AL221">
        <v>28.921199999999999</v>
      </c>
      <c r="AM221">
        <v>2.1953</v>
      </c>
      <c r="AN221">
        <v>0.36459999999999998</v>
      </c>
      <c r="AO221">
        <v>-8.8599999999999998E-2</v>
      </c>
      <c r="AP221">
        <v>0</v>
      </c>
      <c r="AQ221">
        <v>36.793700000000001</v>
      </c>
      <c r="AR221">
        <v>21.4603</v>
      </c>
      <c r="AS221">
        <v>321.47800000000001</v>
      </c>
      <c r="AT221">
        <v>194767.12220000001</v>
      </c>
      <c r="AV221">
        <v>3.0777999999999999</v>
      </c>
      <c r="AW221">
        <v>787.67819999999995</v>
      </c>
      <c r="AX221">
        <v>-1.3912</v>
      </c>
      <c r="AY221">
        <v>14.966200000000001</v>
      </c>
      <c r="AZ221">
        <v>-0.85670000000000002</v>
      </c>
      <c r="BA221" t="s">
        <v>23</v>
      </c>
      <c r="BB221">
        <v>-6.3354999999999997</v>
      </c>
      <c r="BC221">
        <v>-16.3917</v>
      </c>
      <c r="BD221">
        <v>501.3</v>
      </c>
      <c r="BE221">
        <v>438798.25689999998</v>
      </c>
      <c r="BH221" s="5">
        <v>4.9675000000000002</v>
      </c>
      <c r="BI221">
        <v>124.1349</v>
      </c>
      <c r="BJ221">
        <v>8.6361000000000008</v>
      </c>
      <c r="BK221">
        <v>17.449000000000002</v>
      </c>
      <c r="BL221">
        <v>0.32769999999999999</v>
      </c>
      <c r="BM221">
        <v>0</v>
      </c>
      <c r="BN221">
        <v>6.6223000000000001</v>
      </c>
      <c r="BO221">
        <v>0.88029999999999997</v>
      </c>
      <c r="BP221">
        <v>237.352</v>
      </c>
      <c r="BQ221">
        <v>147984.5141</v>
      </c>
      <c r="CE221" s="1">
        <f t="shared" si="19"/>
        <v>45156</v>
      </c>
      <c r="CF221" s="35">
        <f t="shared" si="26"/>
        <v>3.8701147148982096</v>
      </c>
      <c r="CG221" s="36">
        <f t="shared" si="25"/>
        <v>-0.45010258257705194</v>
      </c>
      <c r="CH221">
        <f t="shared" ca="1" si="20"/>
        <v>-0.42321991048635599</v>
      </c>
      <c r="CI221">
        <f t="shared" ca="1" si="21"/>
        <v>-0.50044391751102657</v>
      </c>
      <c r="CJ221">
        <f t="shared" ca="1" si="22"/>
        <v>-0.66423479769945037</v>
      </c>
      <c r="CK221">
        <f t="shared" ca="1" si="23"/>
        <v>-0.85373443532376958</v>
      </c>
      <c r="CL221">
        <f t="shared" ca="1" si="24"/>
        <v>-0.91540020499023655</v>
      </c>
    </row>
    <row r="222" spans="1:90" x14ac:dyDescent="0.25">
      <c r="A222" s="43">
        <v>45163</v>
      </c>
      <c r="B222" s="5">
        <v>3.8170000000000002</v>
      </c>
      <c r="C222">
        <v>14.9217</v>
      </c>
      <c r="D222">
        <v>1.8007</v>
      </c>
      <c r="E222">
        <v>17.8216</v>
      </c>
      <c r="F222">
        <v>0.1075</v>
      </c>
      <c r="G222">
        <v>0.22750000000000001</v>
      </c>
      <c r="H222">
        <v>50.595999999999997</v>
      </c>
      <c r="I222">
        <v>29.657</v>
      </c>
      <c r="J222">
        <v>454.30200000000002</v>
      </c>
      <c r="K222">
        <v>835380.18940000003</v>
      </c>
      <c r="M222" s="43">
        <v>45163</v>
      </c>
      <c r="N222" s="5">
        <v>5.0194000000000001</v>
      </c>
      <c r="O222">
        <v>28.361699999999999</v>
      </c>
      <c r="P222">
        <v>1.3733</v>
      </c>
      <c r="Q222">
        <v>24.539400000000001</v>
      </c>
      <c r="R222">
        <v>7.3300000000000004E-2</v>
      </c>
      <c r="S222">
        <v>195.11080000000001</v>
      </c>
      <c r="T222">
        <v>41.997100000000003</v>
      </c>
      <c r="U222">
        <v>28.363700000000001</v>
      </c>
      <c r="V222">
        <v>1914.461</v>
      </c>
      <c r="W222">
        <v>1502548.7098000001</v>
      </c>
      <c r="Y222" s="5">
        <v>2.0078</v>
      </c>
      <c r="Z222">
        <v>36.037799999999997</v>
      </c>
      <c r="AA222">
        <v>2.5049000000000001</v>
      </c>
      <c r="AB222">
        <v>6.9259000000000004</v>
      </c>
      <c r="AC222">
        <v>-6.7199999999999996E-2</v>
      </c>
      <c r="AD222">
        <v>0</v>
      </c>
      <c r="AE222">
        <v>105.18689999999999</v>
      </c>
      <c r="AF222">
        <v>58.090699999999998</v>
      </c>
      <c r="AG222">
        <v>678.03599999999994</v>
      </c>
      <c r="AH222">
        <v>384012.82270000002</v>
      </c>
      <c r="AK222">
        <v>2.8227000000000002</v>
      </c>
      <c r="AL222">
        <v>28.921199999999999</v>
      </c>
      <c r="AM222">
        <v>2.1953</v>
      </c>
      <c r="AN222">
        <v>0.36459999999999998</v>
      </c>
      <c r="AO222">
        <v>-8.8599999999999998E-2</v>
      </c>
      <c r="AP222">
        <v>0</v>
      </c>
      <c r="AQ222">
        <v>36.793700000000001</v>
      </c>
      <c r="AR222">
        <v>21.4603</v>
      </c>
      <c r="AS222">
        <v>323.31299999999999</v>
      </c>
      <c r="AT222">
        <v>195878.80669999999</v>
      </c>
      <c r="AV222">
        <v>3.0777999999999999</v>
      </c>
      <c r="AW222">
        <v>787.67819999999995</v>
      </c>
      <c r="AX222">
        <v>-1.3912</v>
      </c>
      <c r="AY222">
        <v>14.966200000000001</v>
      </c>
      <c r="AZ222">
        <v>-0.85670000000000002</v>
      </c>
      <c r="BA222" t="s">
        <v>23</v>
      </c>
      <c r="BB222">
        <v>-6.3354999999999997</v>
      </c>
      <c r="BC222">
        <v>-16.3917</v>
      </c>
      <c r="BD222">
        <v>542.1</v>
      </c>
      <c r="BE222">
        <v>474511.3406</v>
      </c>
      <c r="BH222" s="5">
        <v>5.1635999999999997</v>
      </c>
      <c r="BI222">
        <v>124.1349</v>
      </c>
      <c r="BJ222">
        <v>8.6361000000000008</v>
      </c>
      <c r="BK222">
        <v>17.449000000000002</v>
      </c>
      <c r="BL222">
        <v>0.32769999999999999</v>
      </c>
      <c r="BM222">
        <v>0</v>
      </c>
      <c r="BN222">
        <v>6.6223000000000001</v>
      </c>
      <c r="BO222">
        <v>0.88029999999999997</v>
      </c>
      <c r="BP222">
        <v>247.39400000000001</v>
      </c>
      <c r="BQ222">
        <v>154245.39739999999</v>
      </c>
      <c r="CE222" s="1">
        <f t="shared" si="19"/>
        <v>45163</v>
      </c>
      <c r="CF222" s="35">
        <f t="shared" si="26"/>
        <v>4.0352651845175487</v>
      </c>
      <c r="CG222" s="36">
        <f t="shared" si="25"/>
        <v>-0.37233145906689097</v>
      </c>
      <c r="CH222">
        <f t="shared" ca="1" si="20"/>
        <v>-0.42321991048635599</v>
      </c>
      <c r="CI222">
        <f t="shared" ca="1" si="21"/>
        <v>-0.49635592740775974</v>
      </c>
      <c r="CJ222">
        <f t="shared" ca="1" si="22"/>
        <v>-0.63925866408874299</v>
      </c>
      <c r="CK222">
        <f t="shared" ca="1" si="23"/>
        <v>-0.83982126747562258</v>
      </c>
      <c r="CL222">
        <f t="shared" ca="1" si="24"/>
        <v>-0.91540020499023655</v>
      </c>
    </row>
    <row r="223" spans="1:90" x14ac:dyDescent="0.25">
      <c r="A223" s="43">
        <v>45170</v>
      </c>
      <c r="B223" s="5">
        <v>3.7884000000000002</v>
      </c>
      <c r="C223">
        <v>14.9217</v>
      </c>
      <c r="D223">
        <v>1.8007</v>
      </c>
      <c r="E223">
        <v>17.8216</v>
      </c>
      <c r="F223">
        <v>0.1075</v>
      </c>
      <c r="G223">
        <v>0.22750000000000001</v>
      </c>
      <c r="H223">
        <v>50.595999999999997</v>
      </c>
      <c r="I223">
        <v>29.657</v>
      </c>
      <c r="J223">
        <v>450.78300000000002</v>
      </c>
      <c r="K223">
        <v>828909.04040000006</v>
      </c>
      <c r="M223" s="43">
        <v>45170</v>
      </c>
      <c r="N223" s="5">
        <v>4.8429000000000002</v>
      </c>
      <c r="O223">
        <v>28.361699999999999</v>
      </c>
      <c r="P223">
        <v>1.3733</v>
      </c>
      <c r="Q223">
        <v>24.539400000000001</v>
      </c>
      <c r="R223">
        <v>7.3300000000000004E-2</v>
      </c>
      <c r="S223">
        <v>195.11080000000001</v>
      </c>
      <c r="T223">
        <v>41.997100000000003</v>
      </c>
      <c r="U223">
        <v>28.363700000000001</v>
      </c>
      <c r="V223">
        <v>1846.172</v>
      </c>
      <c r="W223">
        <v>1448952.1225000001</v>
      </c>
      <c r="Y223" s="5">
        <v>1.9318</v>
      </c>
      <c r="Z223">
        <v>36.037799999999997</v>
      </c>
      <c r="AA223">
        <v>2.5049000000000001</v>
      </c>
      <c r="AB223">
        <v>6.9259000000000004</v>
      </c>
      <c r="AC223">
        <v>-6.7199999999999996E-2</v>
      </c>
      <c r="AD223">
        <v>0</v>
      </c>
      <c r="AE223">
        <v>105.18689999999999</v>
      </c>
      <c r="AF223">
        <v>58.090699999999998</v>
      </c>
      <c r="AG223">
        <v>653.21100000000001</v>
      </c>
      <c r="AH223">
        <v>369952.8566</v>
      </c>
      <c r="AK223">
        <v>2.9053</v>
      </c>
      <c r="AL223">
        <v>28.921199999999999</v>
      </c>
      <c r="AM223">
        <v>2.1953</v>
      </c>
      <c r="AN223">
        <v>0.36459999999999998</v>
      </c>
      <c r="AO223">
        <v>-8.8599999999999998E-2</v>
      </c>
      <c r="AP223">
        <v>0</v>
      </c>
      <c r="AQ223">
        <v>36.793700000000001</v>
      </c>
      <c r="AR223">
        <v>21.4603</v>
      </c>
      <c r="AS223">
        <v>332.488</v>
      </c>
      <c r="AT223">
        <v>201437.2291</v>
      </c>
      <c r="AV223">
        <v>3.0777999999999999</v>
      </c>
      <c r="AW223">
        <v>787.67819999999995</v>
      </c>
      <c r="AX223">
        <v>-1.3912</v>
      </c>
      <c r="AY223">
        <v>14.966200000000001</v>
      </c>
      <c r="AZ223">
        <v>-0.85670000000000002</v>
      </c>
      <c r="BA223" t="s">
        <v>23</v>
      </c>
      <c r="BB223">
        <v>-6.3354999999999997</v>
      </c>
      <c r="BC223">
        <v>-16.3917</v>
      </c>
      <c r="BD223">
        <v>529.79999999999995</v>
      </c>
      <c r="BE223">
        <v>463744.89630000002</v>
      </c>
      <c r="BH223" s="5">
        <v>5.9032</v>
      </c>
      <c r="BI223">
        <v>124.1349</v>
      </c>
      <c r="BJ223">
        <v>8.6361000000000008</v>
      </c>
      <c r="BK223">
        <v>17.449000000000002</v>
      </c>
      <c r="BL223">
        <v>0.32769999999999999</v>
      </c>
      <c r="BM223">
        <v>0</v>
      </c>
      <c r="BN223">
        <v>6.6223000000000001</v>
      </c>
      <c r="BO223">
        <v>0.88029999999999997</v>
      </c>
      <c r="BP223">
        <v>285.279</v>
      </c>
      <c r="BQ223">
        <v>177866.0025</v>
      </c>
      <c r="CE223" s="1">
        <f t="shared" si="19"/>
        <v>45170</v>
      </c>
      <c r="CF223" s="35">
        <f t="shared" si="26"/>
        <v>3.9917280580556165</v>
      </c>
      <c r="CG223" s="36">
        <f t="shared" si="25"/>
        <v>-0.39283355783265755</v>
      </c>
      <c r="CH223">
        <f t="shared" ca="1" si="20"/>
        <v>-0.41032503631108519</v>
      </c>
      <c r="CI223">
        <f t="shared" ca="1" si="21"/>
        <v>-0.49061625357423838</v>
      </c>
      <c r="CJ223">
        <f t="shared" ca="1" si="22"/>
        <v>-0.62906981248376104</v>
      </c>
      <c r="CK223">
        <f t="shared" ca="1" si="23"/>
        <v>-0.83982126747562258</v>
      </c>
      <c r="CL223">
        <f t="shared" ca="1" si="24"/>
        <v>-0.91540020499023655</v>
      </c>
    </row>
    <row r="224" spans="1:90" x14ac:dyDescent="0.25">
      <c r="A224" s="43">
        <v>45177</v>
      </c>
      <c r="B224" s="5">
        <v>3.0869</v>
      </c>
      <c r="C224">
        <v>14.9217</v>
      </c>
      <c r="D224">
        <v>1.8007</v>
      </c>
      <c r="E224">
        <v>17.8216</v>
      </c>
      <c r="F224">
        <v>0.1075</v>
      </c>
      <c r="G224">
        <v>0.22750000000000001</v>
      </c>
      <c r="H224">
        <v>50.595999999999997</v>
      </c>
      <c r="I224">
        <v>29.657</v>
      </c>
      <c r="J224">
        <v>364.48099999999999</v>
      </c>
      <c r="K224">
        <v>670215.39789999998</v>
      </c>
      <c r="M224" s="43">
        <v>45177</v>
      </c>
      <c r="N224" s="5">
        <v>4.0670999999999999</v>
      </c>
      <c r="O224">
        <v>28.361699999999999</v>
      </c>
      <c r="P224">
        <v>1.3733</v>
      </c>
      <c r="Q224">
        <v>24.539400000000001</v>
      </c>
      <c r="R224">
        <v>7.3300000000000004E-2</v>
      </c>
      <c r="S224">
        <v>195.11080000000001</v>
      </c>
      <c r="T224">
        <v>41.997100000000003</v>
      </c>
      <c r="U224">
        <v>28.363700000000001</v>
      </c>
      <c r="V224">
        <v>1545.87</v>
      </c>
      <c r="W224">
        <v>1213262.6351999999</v>
      </c>
      <c r="Y224" s="5">
        <v>1.6315</v>
      </c>
      <c r="Z224">
        <v>36.037799999999997</v>
      </c>
      <c r="AA224">
        <v>2.5049000000000001</v>
      </c>
      <c r="AB224">
        <v>6.9259000000000004</v>
      </c>
      <c r="AC224">
        <v>-6.7199999999999996E-2</v>
      </c>
      <c r="AD224">
        <v>0</v>
      </c>
      <c r="AE224">
        <v>105.18689999999999</v>
      </c>
      <c r="AF224">
        <v>58.090699999999998</v>
      </c>
      <c r="AG224">
        <v>555.07399999999996</v>
      </c>
      <c r="AH224">
        <v>314372.05339999998</v>
      </c>
      <c r="AK224">
        <v>2.5749</v>
      </c>
      <c r="AL224">
        <v>28.921199999999999</v>
      </c>
      <c r="AM224">
        <v>2.1953</v>
      </c>
      <c r="AN224">
        <v>0.36459999999999998</v>
      </c>
      <c r="AO224">
        <v>-8.8599999999999998E-2</v>
      </c>
      <c r="AP224">
        <v>0</v>
      </c>
      <c r="AQ224">
        <v>36.793700000000001</v>
      </c>
      <c r="AR224">
        <v>21.4603</v>
      </c>
      <c r="AS224">
        <v>295.79000000000002</v>
      </c>
      <c r="AT224">
        <v>179203.53940000001</v>
      </c>
      <c r="AV224">
        <v>3.0777999999999999</v>
      </c>
      <c r="AW224">
        <v>787.67819999999995</v>
      </c>
      <c r="AX224">
        <v>-1.3912</v>
      </c>
      <c r="AY224">
        <v>14.966200000000001</v>
      </c>
      <c r="AZ224">
        <v>-0.85670000000000002</v>
      </c>
      <c r="BA224" t="s">
        <v>23</v>
      </c>
      <c r="BB224">
        <v>-6.3354999999999997</v>
      </c>
      <c r="BC224">
        <v>-16.3917</v>
      </c>
      <c r="BD224">
        <v>445.25</v>
      </c>
      <c r="BE224">
        <v>389736.53279999999</v>
      </c>
      <c r="BH224" s="5">
        <v>5.0655999999999999</v>
      </c>
      <c r="BI224">
        <v>124.1349</v>
      </c>
      <c r="BJ224">
        <v>8.6361000000000008</v>
      </c>
      <c r="BK224">
        <v>17.449000000000002</v>
      </c>
      <c r="BL224">
        <v>0.32769999999999999</v>
      </c>
      <c r="BM224">
        <v>0</v>
      </c>
      <c r="BN224">
        <v>6.6223000000000001</v>
      </c>
      <c r="BO224">
        <v>0.88029999999999997</v>
      </c>
      <c r="BP224">
        <v>242.37299999999999</v>
      </c>
      <c r="BQ224">
        <v>151114.95569999999</v>
      </c>
      <c r="CE224" s="1">
        <f t="shared" si="19"/>
        <v>45177</v>
      </c>
      <c r="CF224" s="35">
        <f t="shared" si="26"/>
        <v>3.4074776953166404</v>
      </c>
      <c r="CG224" s="36">
        <f t="shared" si="25"/>
        <v>-0.66796330603234721</v>
      </c>
      <c r="CH224">
        <f t="shared" ca="1" si="20"/>
        <v>-0.40361870923413629</v>
      </c>
      <c r="CI224">
        <f t="shared" ca="1" si="21"/>
        <v>-0.48570828909968589</v>
      </c>
      <c r="CJ224">
        <f t="shared" ca="1" si="22"/>
        <v>-0.61979410500367105</v>
      </c>
      <c r="CK224">
        <f t="shared" ca="1" si="23"/>
        <v>-0.82525590692775397</v>
      </c>
      <c r="CL224">
        <f t="shared" ca="1" si="24"/>
        <v>-0.91540020499023655</v>
      </c>
    </row>
    <row r="225" spans="1:90" x14ac:dyDescent="0.25">
      <c r="A225" s="43">
        <v>45184</v>
      </c>
      <c r="B225" s="5">
        <v>3.2092999999999998</v>
      </c>
      <c r="C225">
        <v>14.9217</v>
      </c>
      <c r="D225">
        <v>1.8007</v>
      </c>
      <c r="E225">
        <v>17.8216</v>
      </c>
      <c r="F225">
        <v>0.1075</v>
      </c>
      <c r="G225">
        <v>0.22750000000000001</v>
      </c>
      <c r="H225">
        <v>50.595999999999997</v>
      </c>
      <c r="I225">
        <v>29.657</v>
      </c>
      <c r="J225">
        <v>379.54</v>
      </c>
      <c r="K225">
        <v>697905.8959</v>
      </c>
      <c r="M225" s="43">
        <v>45184</v>
      </c>
      <c r="N225" s="5">
        <v>4.2407000000000004</v>
      </c>
      <c r="O225">
        <v>28.361699999999999</v>
      </c>
      <c r="P225">
        <v>1.3733</v>
      </c>
      <c r="Q225">
        <v>24.539400000000001</v>
      </c>
      <c r="R225">
        <v>7.3300000000000004E-2</v>
      </c>
      <c r="S225">
        <v>195.11080000000001</v>
      </c>
      <c r="T225">
        <v>41.997100000000003</v>
      </c>
      <c r="U225">
        <v>28.363700000000001</v>
      </c>
      <c r="V225">
        <v>1613.056</v>
      </c>
      <c r="W225">
        <v>1265993.5473</v>
      </c>
      <c r="Y225" s="5">
        <v>1.8391999999999999</v>
      </c>
      <c r="Z225">
        <v>36.037799999999997</v>
      </c>
      <c r="AA225">
        <v>2.5049000000000001</v>
      </c>
      <c r="AB225">
        <v>6.9259000000000004</v>
      </c>
      <c r="AC225">
        <v>-6.7199999999999996E-2</v>
      </c>
      <c r="AD225">
        <v>0</v>
      </c>
      <c r="AE225">
        <v>105.18689999999999</v>
      </c>
      <c r="AF225">
        <v>58.090699999999998</v>
      </c>
      <c r="AG225">
        <v>622.95500000000004</v>
      </c>
      <c r="AH225">
        <v>352817.27299999999</v>
      </c>
      <c r="AK225">
        <v>2.7433999999999998</v>
      </c>
      <c r="AL225">
        <v>28.921199999999999</v>
      </c>
      <c r="AM225">
        <v>2.1953</v>
      </c>
      <c r="AN225">
        <v>0.36459999999999998</v>
      </c>
      <c r="AO225">
        <v>-8.8599999999999998E-2</v>
      </c>
      <c r="AP225">
        <v>0</v>
      </c>
      <c r="AQ225">
        <v>36.793700000000001</v>
      </c>
      <c r="AR225">
        <v>21.4603</v>
      </c>
      <c r="AS225">
        <v>314.50599999999997</v>
      </c>
      <c r="AT225">
        <v>190542.7212</v>
      </c>
      <c r="AV225">
        <v>3.0777999999999999</v>
      </c>
      <c r="AW225">
        <v>787.67819999999995</v>
      </c>
      <c r="AX225">
        <v>-1.3912</v>
      </c>
      <c r="AY225">
        <v>14.966200000000001</v>
      </c>
      <c r="AZ225">
        <v>-0.85670000000000002</v>
      </c>
      <c r="BA225" t="s">
        <v>23</v>
      </c>
      <c r="BB225">
        <v>-6.3354999999999997</v>
      </c>
      <c r="BC225">
        <v>-16.3917</v>
      </c>
      <c r="BD225">
        <v>486</v>
      </c>
      <c r="BE225">
        <v>425405.8505</v>
      </c>
      <c r="BH225" s="5">
        <v>5.1547000000000001</v>
      </c>
      <c r="BI225">
        <v>124.1349</v>
      </c>
      <c r="BJ225">
        <v>8.6361000000000008</v>
      </c>
      <c r="BK225">
        <v>17.449000000000002</v>
      </c>
      <c r="BL225">
        <v>0.32769999999999999</v>
      </c>
      <c r="BM225">
        <v>0</v>
      </c>
      <c r="BN225">
        <v>6.6223000000000001</v>
      </c>
      <c r="BO225">
        <v>0.88029999999999997</v>
      </c>
      <c r="BP225">
        <v>246.93799999999999</v>
      </c>
      <c r="BQ225">
        <v>153960.8118</v>
      </c>
      <c r="CE225" s="1">
        <f t="shared" si="19"/>
        <v>45184</v>
      </c>
      <c r="CF225" s="35">
        <f t="shared" si="26"/>
        <v>3.5258759011662546</v>
      </c>
      <c r="CG225" s="36">
        <f t="shared" si="25"/>
        <v>-0.61220832385315294</v>
      </c>
      <c r="CH225">
        <f t="shared" ca="1" si="20"/>
        <v>-0.40361870923413629</v>
      </c>
      <c r="CI225">
        <f t="shared" ca="1" si="21"/>
        <v>-0.48570828909968589</v>
      </c>
      <c r="CJ225">
        <f t="shared" ca="1" si="22"/>
        <v>-0.61979410500367105</v>
      </c>
      <c r="CK225">
        <f t="shared" ca="1" si="23"/>
        <v>-0.82525590692775397</v>
      </c>
      <c r="CL225">
        <f t="shared" ca="1" si="24"/>
        <v>-0.91540020499023655</v>
      </c>
    </row>
    <row r="226" spans="1:90" x14ac:dyDescent="0.25">
      <c r="A226" s="43">
        <v>45191</v>
      </c>
      <c r="B226" s="5">
        <v>3.1421000000000001</v>
      </c>
      <c r="C226">
        <v>14.9217</v>
      </c>
      <c r="D226">
        <v>1.8007</v>
      </c>
      <c r="E226">
        <v>17.8216</v>
      </c>
      <c r="F226">
        <v>0.1075</v>
      </c>
      <c r="G226">
        <v>0.22750000000000001</v>
      </c>
      <c r="H226">
        <v>50.595999999999997</v>
      </c>
      <c r="I226">
        <v>29.657</v>
      </c>
      <c r="J226">
        <v>371.35500000000002</v>
      </c>
      <c r="K226">
        <v>682715.86369999999</v>
      </c>
      <c r="M226" s="43">
        <v>45191</v>
      </c>
      <c r="N226" s="5">
        <v>4.1212</v>
      </c>
      <c r="O226">
        <v>28.361699999999999</v>
      </c>
      <c r="P226">
        <v>1.3733</v>
      </c>
      <c r="Q226">
        <v>24.539400000000001</v>
      </c>
      <c r="R226">
        <v>7.3300000000000004E-2</v>
      </c>
      <c r="S226">
        <v>195.11080000000001</v>
      </c>
      <c r="T226">
        <v>41.997100000000003</v>
      </c>
      <c r="U226">
        <v>28.363700000000001</v>
      </c>
      <c r="V226">
        <v>1566.827</v>
      </c>
      <c r="W226">
        <v>1229710.4643000001</v>
      </c>
      <c r="Y226" s="5">
        <v>1.6800999999999999</v>
      </c>
      <c r="Z226">
        <v>36.037799999999997</v>
      </c>
      <c r="AA226">
        <v>2.5049000000000001</v>
      </c>
      <c r="AB226">
        <v>6.9259000000000004</v>
      </c>
      <c r="AC226">
        <v>-6.7199999999999996E-2</v>
      </c>
      <c r="AD226">
        <v>0</v>
      </c>
      <c r="AE226">
        <v>105.18689999999999</v>
      </c>
      <c r="AF226">
        <v>58.090699999999998</v>
      </c>
      <c r="AG226">
        <v>570.97799999999995</v>
      </c>
      <c r="AH226">
        <v>323379.21909999999</v>
      </c>
      <c r="AK226">
        <v>2.5682999999999998</v>
      </c>
      <c r="AL226">
        <v>28.921199999999999</v>
      </c>
      <c r="AM226">
        <v>2.1953</v>
      </c>
      <c r="AN226">
        <v>0.36459999999999998</v>
      </c>
      <c r="AO226">
        <v>-8.8599999999999998E-2</v>
      </c>
      <c r="AP226">
        <v>0</v>
      </c>
      <c r="AQ226">
        <v>36.793700000000001</v>
      </c>
      <c r="AR226">
        <v>21.4603</v>
      </c>
      <c r="AS226">
        <v>295.05599999999998</v>
      </c>
      <c r="AT226">
        <v>178758.86559999999</v>
      </c>
      <c r="AV226">
        <v>3.0777999999999999</v>
      </c>
      <c r="AW226">
        <v>787.67819999999995</v>
      </c>
      <c r="AX226">
        <v>-1.3912</v>
      </c>
      <c r="AY226">
        <v>14.966200000000001</v>
      </c>
      <c r="AZ226">
        <v>-0.85670000000000002</v>
      </c>
      <c r="BA226" t="s">
        <v>23</v>
      </c>
      <c r="BB226">
        <v>-6.3354999999999997</v>
      </c>
      <c r="BC226">
        <v>-16.3917</v>
      </c>
      <c r="BD226">
        <v>468.65</v>
      </c>
      <c r="BE226">
        <v>410219.0367</v>
      </c>
      <c r="BH226" s="5">
        <v>4.4329000000000001</v>
      </c>
      <c r="BI226">
        <v>124.1349</v>
      </c>
      <c r="BJ226">
        <v>8.6361000000000008</v>
      </c>
      <c r="BK226">
        <v>17.449000000000002</v>
      </c>
      <c r="BL226">
        <v>0.32769999999999999</v>
      </c>
      <c r="BM226">
        <v>0</v>
      </c>
      <c r="BN226">
        <v>6.6223000000000001</v>
      </c>
      <c r="BO226">
        <v>0.88029999999999997</v>
      </c>
      <c r="BP226">
        <v>209.965</v>
      </c>
      <c r="BQ226">
        <v>130909.3778</v>
      </c>
      <c r="CE226" s="1">
        <f t="shared" si="19"/>
        <v>45191</v>
      </c>
      <c r="CF226" s="35">
        <f t="shared" si="26"/>
        <v>3.4030398357967089</v>
      </c>
      <c r="CG226" s="36">
        <f t="shared" si="25"/>
        <v>-0.67005314157226936</v>
      </c>
      <c r="CH226">
        <f t="shared" ca="1" si="20"/>
        <v>-0.40361870923413629</v>
      </c>
      <c r="CI226">
        <f t="shared" ca="1" si="21"/>
        <v>-0.48570828909968589</v>
      </c>
      <c r="CJ226">
        <f t="shared" ca="1" si="22"/>
        <v>-0.6158133224202671</v>
      </c>
      <c r="CK226">
        <f t="shared" ca="1" si="23"/>
        <v>-0.82525590692775397</v>
      </c>
      <c r="CL226">
        <f t="shared" ca="1" si="24"/>
        <v>-0.91540020499023655</v>
      </c>
    </row>
    <row r="227" spans="1:90" x14ac:dyDescent="0.25">
      <c r="A227" s="43">
        <v>45198</v>
      </c>
      <c r="B227" s="5">
        <v>2.6040999999999999</v>
      </c>
      <c r="C227">
        <v>12.0166</v>
      </c>
      <c r="D227">
        <v>0.78420000000000001</v>
      </c>
      <c r="E227">
        <v>18.4466</v>
      </c>
      <c r="F227">
        <v>4.48E-2</v>
      </c>
      <c r="G227">
        <v>33.102400000000003</v>
      </c>
      <c r="H227">
        <v>48.7453</v>
      </c>
      <c r="I227">
        <v>26.888500000000001</v>
      </c>
      <c r="J227">
        <v>387.06900000000002</v>
      </c>
      <c r="K227">
        <v>711604.33660000004</v>
      </c>
      <c r="M227" s="43">
        <v>45198</v>
      </c>
      <c r="N227" s="5">
        <v>3.5941999999999998</v>
      </c>
      <c r="O227">
        <v>22.915299999999998</v>
      </c>
      <c r="P227">
        <v>0.64149999999999996</v>
      </c>
      <c r="Q227">
        <v>25.922799999999999</v>
      </c>
      <c r="R227">
        <v>0.1014</v>
      </c>
      <c r="S227">
        <v>195.11080000000001</v>
      </c>
      <c r="T227">
        <v>41.062800000000003</v>
      </c>
      <c r="U227">
        <v>27.402799999999999</v>
      </c>
      <c r="V227">
        <v>1606.1990000000001</v>
      </c>
      <c r="W227">
        <v>1260611.3058</v>
      </c>
      <c r="Y227" s="5">
        <v>1.7422</v>
      </c>
      <c r="Z227">
        <v>24.4847</v>
      </c>
      <c r="AA227">
        <v>1.014</v>
      </c>
      <c r="AB227">
        <v>7.0580999999999996</v>
      </c>
      <c r="AC227">
        <v>-0.1053</v>
      </c>
      <c r="AD227">
        <v>0</v>
      </c>
      <c r="AE227">
        <v>87.900800000000004</v>
      </c>
      <c r="AF227">
        <v>45.073</v>
      </c>
      <c r="AG227">
        <v>589.98500000000001</v>
      </c>
      <c r="AH227">
        <v>334143.88059999997</v>
      </c>
      <c r="AK227">
        <v>2.3452999999999999</v>
      </c>
      <c r="AL227">
        <v>26.631699999999999</v>
      </c>
      <c r="AM227">
        <v>1.1162000000000001</v>
      </c>
      <c r="AN227">
        <v>0.217</v>
      </c>
      <c r="AO227">
        <v>-0.17430000000000001</v>
      </c>
      <c r="AP227">
        <v>0</v>
      </c>
      <c r="AQ227">
        <v>34.3962</v>
      </c>
      <c r="AR227">
        <v>20.177</v>
      </c>
      <c r="AS227">
        <v>325.51499999999999</v>
      </c>
      <c r="AT227">
        <v>197212.82810000001</v>
      </c>
      <c r="AV227">
        <v>3.0777999999999999</v>
      </c>
      <c r="AW227">
        <v>510.81279999999998</v>
      </c>
      <c r="AX227">
        <v>-0.46379999999999999</v>
      </c>
      <c r="AY227">
        <v>12.2311</v>
      </c>
      <c r="AZ227">
        <v>-0.85670000000000002</v>
      </c>
      <c r="BA227" t="s">
        <v>23</v>
      </c>
      <c r="BB227">
        <v>-1.1944999999999999</v>
      </c>
      <c r="BC227">
        <v>-11.843299999999999</v>
      </c>
      <c r="BD227">
        <v>481.75</v>
      </c>
      <c r="BE227">
        <v>421685.73759999999</v>
      </c>
      <c r="BH227" s="5">
        <v>2.1957</v>
      </c>
      <c r="BI227">
        <v>33.430799999999998</v>
      </c>
      <c r="BJ227">
        <v>4.2633999999999999</v>
      </c>
      <c r="BK227">
        <v>15.2675</v>
      </c>
      <c r="BL227">
        <v>-4.2099999999999999E-2</v>
      </c>
      <c r="BM227">
        <v>0</v>
      </c>
      <c r="BN227">
        <v>8.7759999999999998</v>
      </c>
      <c r="BO227">
        <v>3.3751000000000002</v>
      </c>
      <c r="BP227">
        <v>203.803</v>
      </c>
      <c r="BQ227">
        <v>127067.4722</v>
      </c>
      <c r="CE227" s="1">
        <f t="shared" si="19"/>
        <v>45198</v>
      </c>
      <c r="CF227" s="35">
        <f t="shared" si="26"/>
        <v>2.9503776563107338</v>
      </c>
      <c r="CG227" s="36">
        <f t="shared" si="25"/>
        <v>-0.88321660608027486</v>
      </c>
      <c r="CH227">
        <f t="shared" ca="1" si="20"/>
        <v>-0.40361870923413629</v>
      </c>
      <c r="CI227">
        <f t="shared" ca="1" si="21"/>
        <v>-0.48570828909968589</v>
      </c>
      <c r="CJ227">
        <f t="shared" ca="1" si="22"/>
        <v>-0.6158133224202671</v>
      </c>
      <c r="CK227">
        <f t="shared" ca="1" si="23"/>
        <v>-0.82525590692775397</v>
      </c>
      <c r="CL227">
        <f t="shared" ca="1" si="24"/>
        <v>-0.91540020499023655</v>
      </c>
    </row>
    <row r="228" spans="1:90" x14ac:dyDescent="0.25">
      <c r="A228" s="43">
        <v>45205</v>
      </c>
      <c r="B228" s="5">
        <v>2.9451000000000001</v>
      </c>
      <c r="C228">
        <v>12.0166</v>
      </c>
      <c r="D228">
        <v>0.78420000000000001</v>
      </c>
      <c r="E228">
        <v>18.4466</v>
      </c>
      <c r="F228">
        <v>4.48E-2</v>
      </c>
      <c r="G228">
        <v>33.102400000000003</v>
      </c>
      <c r="H228">
        <v>48.7453</v>
      </c>
      <c r="I228">
        <v>26.888500000000001</v>
      </c>
      <c r="J228">
        <v>439.24299999999999</v>
      </c>
      <c r="K228">
        <v>806991.93519999995</v>
      </c>
      <c r="M228" s="43">
        <v>45205</v>
      </c>
      <c r="N228" s="5">
        <v>4.0788000000000002</v>
      </c>
      <c r="O228">
        <v>22.915299999999998</v>
      </c>
      <c r="P228">
        <v>0.64149999999999996</v>
      </c>
      <c r="Q228">
        <v>25.922799999999999</v>
      </c>
      <c r="R228">
        <v>0.1014</v>
      </c>
      <c r="S228">
        <v>195.11080000000001</v>
      </c>
      <c r="T228">
        <v>41.062800000000003</v>
      </c>
      <c r="U228">
        <v>27.402799999999999</v>
      </c>
      <c r="V228">
        <v>1829.0509999999999</v>
      </c>
      <c r="W228">
        <v>1435515.3376</v>
      </c>
      <c r="Y228" s="5">
        <v>1.9742999999999999</v>
      </c>
      <c r="Z228">
        <v>24.4847</v>
      </c>
      <c r="AA228">
        <v>1.014</v>
      </c>
      <c r="AB228">
        <v>7.0580999999999996</v>
      </c>
      <c r="AC228">
        <v>-0.1053</v>
      </c>
      <c r="AD228">
        <v>0</v>
      </c>
      <c r="AE228">
        <v>87.900800000000004</v>
      </c>
      <c r="AF228">
        <v>45.073</v>
      </c>
      <c r="AG228">
        <v>664.072</v>
      </c>
      <c r="AH228">
        <v>376104.09179999999</v>
      </c>
      <c r="AK228">
        <v>2.6918000000000002</v>
      </c>
      <c r="AL228">
        <v>26.631699999999999</v>
      </c>
      <c r="AM228">
        <v>1.1162000000000001</v>
      </c>
      <c r="AN228">
        <v>0.217</v>
      </c>
      <c r="AO228">
        <v>-0.17430000000000001</v>
      </c>
      <c r="AP228">
        <v>0</v>
      </c>
      <c r="AQ228">
        <v>34.3962</v>
      </c>
      <c r="AR228">
        <v>20.177</v>
      </c>
      <c r="AS228">
        <v>370.28699999999998</v>
      </c>
      <c r="AT228">
        <v>224337.9296</v>
      </c>
      <c r="AV228">
        <v>3.0777999999999999</v>
      </c>
      <c r="AW228">
        <v>510.81279999999998</v>
      </c>
      <c r="AX228">
        <v>-0.46379999999999999</v>
      </c>
      <c r="AY228">
        <v>12.2311</v>
      </c>
      <c r="AZ228">
        <v>-0.85670000000000002</v>
      </c>
      <c r="BA228" t="s">
        <v>23</v>
      </c>
      <c r="BB228">
        <v>-1.1944999999999999</v>
      </c>
      <c r="BC228">
        <v>-11.843299999999999</v>
      </c>
      <c r="BD228">
        <v>521.25</v>
      </c>
      <c r="BE228">
        <v>456260.9045</v>
      </c>
      <c r="BH228" s="5">
        <v>2.5327000000000002</v>
      </c>
      <c r="BI228">
        <v>33.430799999999998</v>
      </c>
      <c r="BJ228">
        <v>4.2633999999999999</v>
      </c>
      <c r="BK228">
        <v>15.2675</v>
      </c>
      <c r="BL228">
        <v>-4.2099999999999999E-2</v>
      </c>
      <c r="BM228">
        <v>0</v>
      </c>
      <c r="BN228">
        <v>8.7759999999999998</v>
      </c>
      <c r="BO228">
        <v>3.3751000000000002</v>
      </c>
      <c r="BP228">
        <v>234.614</v>
      </c>
      <c r="BQ228">
        <v>146277.00049999999</v>
      </c>
      <c r="CE228" s="1">
        <f t="shared" si="19"/>
        <v>45205</v>
      </c>
      <c r="CF228" s="35">
        <f t="shared" si="26"/>
        <v>3.2950413016687166</v>
      </c>
      <c r="CG228" s="36">
        <f t="shared" si="25"/>
        <v>-0.72091080704511945</v>
      </c>
      <c r="CH228">
        <f t="shared" ca="1" si="20"/>
        <v>-0.40361870923413629</v>
      </c>
      <c r="CI228">
        <f t="shared" ca="1" si="21"/>
        <v>-0.48570828909968589</v>
      </c>
      <c r="CJ228">
        <f t="shared" ca="1" si="22"/>
        <v>-0.6158133224202671</v>
      </c>
      <c r="CK228">
        <f t="shared" ca="1" si="23"/>
        <v>-0.82525590692775397</v>
      </c>
      <c r="CL228">
        <f t="shared" ca="1" si="24"/>
        <v>-0.89558266180238166</v>
      </c>
    </row>
    <row r="229" spans="1:90" x14ac:dyDescent="0.25">
      <c r="A229" s="43">
        <v>45212</v>
      </c>
      <c r="B229" s="5">
        <v>3.5831</v>
      </c>
      <c r="C229">
        <v>12.0166</v>
      </c>
      <c r="D229">
        <v>0.78420000000000001</v>
      </c>
      <c r="E229">
        <v>18.4466</v>
      </c>
      <c r="F229">
        <v>4.48E-2</v>
      </c>
      <c r="G229">
        <v>33.102400000000003</v>
      </c>
      <c r="H229">
        <v>48.7453</v>
      </c>
      <c r="I229">
        <v>26.888500000000001</v>
      </c>
      <c r="J229">
        <v>536.38900000000001</v>
      </c>
      <c r="K229">
        <v>985471.42599999998</v>
      </c>
      <c r="M229" s="43">
        <v>45212</v>
      </c>
      <c r="N229" s="5">
        <v>4.9974999999999996</v>
      </c>
      <c r="O229">
        <v>22.915299999999998</v>
      </c>
      <c r="P229">
        <v>0.64149999999999996</v>
      </c>
      <c r="Q229">
        <v>25.922799999999999</v>
      </c>
      <c r="R229">
        <v>0.1014</v>
      </c>
      <c r="S229">
        <v>195.11080000000001</v>
      </c>
      <c r="T229">
        <v>41.062800000000003</v>
      </c>
      <c r="U229">
        <v>27.402799999999999</v>
      </c>
      <c r="V229">
        <v>2251.498</v>
      </c>
      <c r="W229">
        <v>1767068.9456</v>
      </c>
      <c r="Y229" s="5">
        <v>2.2511999999999999</v>
      </c>
      <c r="Z229">
        <v>24.4847</v>
      </c>
      <c r="AA229">
        <v>1.014</v>
      </c>
      <c r="AB229">
        <v>7.0580999999999996</v>
      </c>
      <c r="AC229">
        <v>-0.1053</v>
      </c>
      <c r="AD229">
        <v>0</v>
      </c>
      <c r="AE229">
        <v>87.900800000000004</v>
      </c>
      <c r="AF229">
        <v>45.073</v>
      </c>
      <c r="AG229">
        <v>752.51199999999994</v>
      </c>
      <c r="AH229">
        <v>426192.72080000001</v>
      </c>
      <c r="AK229">
        <v>3.0526</v>
      </c>
      <c r="AL229">
        <v>26.631699999999999</v>
      </c>
      <c r="AM229">
        <v>1.1162000000000001</v>
      </c>
      <c r="AN229">
        <v>0.217</v>
      </c>
      <c r="AO229">
        <v>-0.17430000000000001</v>
      </c>
      <c r="AP229">
        <v>0</v>
      </c>
      <c r="AQ229">
        <v>34.3962</v>
      </c>
      <c r="AR229">
        <v>20.177</v>
      </c>
      <c r="AS229">
        <v>416.89400000000001</v>
      </c>
      <c r="AT229">
        <v>252574.7156</v>
      </c>
      <c r="AV229">
        <v>3.0777999999999999</v>
      </c>
      <c r="AW229">
        <v>510.81279999999998</v>
      </c>
      <c r="AX229">
        <v>-0.46379999999999999</v>
      </c>
      <c r="AY229">
        <v>12.2311</v>
      </c>
      <c r="AZ229">
        <v>-0.85670000000000002</v>
      </c>
      <c r="BA229" t="s">
        <v>23</v>
      </c>
      <c r="BB229">
        <v>-1.1944999999999999</v>
      </c>
      <c r="BC229">
        <v>-11.843299999999999</v>
      </c>
      <c r="BD229">
        <v>590.65</v>
      </c>
      <c r="BE229">
        <v>517008.15960000001</v>
      </c>
      <c r="BH229" s="5">
        <v>2.8721000000000001</v>
      </c>
      <c r="BI229">
        <v>33.430799999999998</v>
      </c>
      <c r="BJ229">
        <v>4.2633999999999999</v>
      </c>
      <c r="BK229">
        <v>15.2675</v>
      </c>
      <c r="BL229">
        <v>-4.2099999999999999E-2</v>
      </c>
      <c r="BM229">
        <v>0</v>
      </c>
      <c r="BN229">
        <v>8.7759999999999998</v>
      </c>
      <c r="BO229">
        <v>3.3751000000000002</v>
      </c>
      <c r="BP229">
        <v>265.65199999999999</v>
      </c>
      <c r="BQ229">
        <v>165628.82149999999</v>
      </c>
      <c r="CE229" s="1">
        <f t="shared" si="19"/>
        <v>45212</v>
      </c>
      <c r="CF229" s="35">
        <f t="shared" si="26"/>
        <v>3.9279512565904673</v>
      </c>
      <c r="CG229" s="36">
        <f t="shared" si="25"/>
        <v>-0.42286673615338283</v>
      </c>
      <c r="CH229">
        <f t="shared" ca="1" si="20"/>
        <v>-0.40361870923413629</v>
      </c>
      <c r="CI229">
        <f t="shared" ca="1" si="21"/>
        <v>-0.48570828909968589</v>
      </c>
      <c r="CJ229">
        <f t="shared" ca="1" si="22"/>
        <v>-0.6158133224202671</v>
      </c>
      <c r="CK229">
        <f t="shared" ca="1" si="23"/>
        <v>-0.81458659179959525</v>
      </c>
      <c r="CL229">
        <f t="shared" ca="1" si="24"/>
        <v>-0.89558266180238166</v>
      </c>
    </row>
    <row r="230" spans="1:90" x14ac:dyDescent="0.25">
      <c r="A230" s="43">
        <v>45219</v>
      </c>
      <c r="B230" s="5">
        <v>3.8435000000000001</v>
      </c>
      <c r="C230">
        <v>12.0166</v>
      </c>
      <c r="D230">
        <v>0.78420000000000001</v>
      </c>
      <c r="E230">
        <v>18.4466</v>
      </c>
      <c r="F230">
        <v>4.48E-2</v>
      </c>
      <c r="G230">
        <v>33.102400000000003</v>
      </c>
      <c r="H230">
        <v>48.7453</v>
      </c>
      <c r="I230">
        <v>26.888500000000001</v>
      </c>
      <c r="J230">
        <v>576.04100000000005</v>
      </c>
      <c r="K230">
        <v>1058321.7320000001</v>
      </c>
      <c r="M230" s="43">
        <v>45219</v>
      </c>
      <c r="N230" s="5">
        <v>5.5132000000000003</v>
      </c>
      <c r="O230">
        <v>22.915299999999998</v>
      </c>
      <c r="P230">
        <v>0.64149999999999996</v>
      </c>
      <c r="Q230">
        <v>25.922799999999999</v>
      </c>
      <c r="R230">
        <v>0.1014</v>
      </c>
      <c r="S230">
        <v>195.11080000000001</v>
      </c>
      <c r="T230">
        <v>41.062800000000003</v>
      </c>
      <c r="U230">
        <v>27.402799999999999</v>
      </c>
      <c r="V230">
        <v>2488.6419999999998</v>
      </c>
      <c r="W230">
        <v>1953189.1172</v>
      </c>
      <c r="Y230" s="5">
        <v>2.2183999999999999</v>
      </c>
      <c r="Z230">
        <v>24.4847</v>
      </c>
      <c r="AA230">
        <v>1.014</v>
      </c>
      <c r="AB230">
        <v>7.0580999999999996</v>
      </c>
      <c r="AC230">
        <v>-0.1053</v>
      </c>
      <c r="AD230">
        <v>0</v>
      </c>
      <c r="AE230">
        <v>87.900800000000004</v>
      </c>
      <c r="AF230">
        <v>45.073</v>
      </c>
      <c r="AG230">
        <v>742.03899999999999</v>
      </c>
      <c r="AH230">
        <v>420261.1727</v>
      </c>
      <c r="AK230">
        <v>3.2172999999999998</v>
      </c>
      <c r="AL230">
        <v>26.631699999999999</v>
      </c>
      <c r="AM230">
        <v>1.1162000000000001</v>
      </c>
      <c r="AN230">
        <v>0.217</v>
      </c>
      <c r="AO230">
        <v>-0.17430000000000001</v>
      </c>
      <c r="AP230">
        <v>0</v>
      </c>
      <c r="AQ230">
        <v>34.3962</v>
      </c>
      <c r="AR230">
        <v>20.177</v>
      </c>
      <c r="AS230">
        <v>438.18</v>
      </c>
      <c r="AT230">
        <v>265470.25559999997</v>
      </c>
      <c r="AV230">
        <v>3.0777999999999999</v>
      </c>
      <c r="AW230">
        <v>510.81279999999998</v>
      </c>
      <c r="AX230">
        <v>-0.46379999999999999</v>
      </c>
      <c r="AY230">
        <v>12.2311</v>
      </c>
      <c r="AZ230">
        <v>-0.85670000000000002</v>
      </c>
      <c r="BA230" t="s">
        <v>23</v>
      </c>
      <c r="BB230">
        <v>-1.1944999999999999</v>
      </c>
      <c r="BC230">
        <v>-11.843299999999999</v>
      </c>
      <c r="BD230">
        <v>588.70000000000005</v>
      </c>
      <c r="BE230">
        <v>515301.2843</v>
      </c>
      <c r="BH230" s="5">
        <v>2.8022999999999998</v>
      </c>
      <c r="BI230">
        <v>33.430799999999998</v>
      </c>
      <c r="BJ230">
        <v>4.2633999999999999</v>
      </c>
      <c r="BK230">
        <v>15.2675</v>
      </c>
      <c r="BL230">
        <v>-4.2099999999999999E-2</v>
      </c>
      <c r="BM230">
        <v>0</v>
      </c>
      <c r="BN230">
        <v>8.7759999999999998</v>
      </c>
      <c r="BO230">
        <v>3.3751000000000002</v>
      </c>
      <c r="BP230">
        <v>259.262</v>
      </c>
      <c r="BQ230">
        <v>161644.6231</v>
      </c>
      <c r="CE230" s="1">
        <f t="shared" si="19"/>
        <v>45219</v>
      </c>
      <c r="CF230" s="35">
        <f t="shared" si="26"/>
        <v>4.2662448180214474</v>
      </c>
      <c r="CG230" s="36">
        <f t="shared" si="25"/>
        <v>-0.26356067780924025</v>
      </c>
      <c r="CH230">
        <f t="shared" ca="1" si="20"/>
        <v>-0.40361870923413629</v>
      </c>
      <c r="CI230">
        <f t="shared" ca="1" si="21"/>
        <v>-0.47353261121823015</v>
      </c>
      <c r="CJ230">
        <f t="shared" ca="1" si="22"/>
        <v>-0.60581528747698066</v>
      </c>
      <c r="CK230">
        <f t="shared" ca="1" si="23"/>
        <v>-0.80636593142645607</v>
      </c>
      <c r="CL230">
        <f t="shared" ca="1" si="24"/>
        <v>-0.88999442902915493</v>
      </c>
    </row>
    <row r="231" spans="1:90" x14ac:dyDescent="0.25">
      <c r="A231" s="43">
        <v>45226</v>
      </c>
      <c r="B231" s="5">
        <v>2.9813000000000001</v>
      </c>
      <c r="C231">
        <v>12.0166</v>
      </c>
      <c r="D231">
        <v>0.78420000000000001</v>
      </c>
      <c r="E231">
        <v>18.4466</v>
      </c>
      <c r="F231">
        <v>4.48E-2</v>
      </c>
      <c r="G231">
        <v>33.102400000000003</v>
      </c>
      <c r="H231">
        <v>48.7453</v>
      </c>
      <c r="I231">
        <v>26.888500000000001</v>
      </c>
      <c r="J231">
        <v>445.05399999999997</v>
      </c>
      <c r="K231">
        <v>817123.87560000003</v>
      </c>
      <c r="M231" s="43">
        <v>45226</v>
      </c>
      <c r="N231" s="5">
        <v>4.2721</v>
      </c>
      <c r="O231">
        <v>22.915299999999998</v>
      </c>
      <c r="P231">
        <v>0.64149999999999996</v>
      </c>
      <c r="Q231">
        <v>25.922799999999999</v>
      </c>
      <c r="R231">
        <v>0.1014</v>
      </c>
      <c r="S231">
        <v>195.11080000000001</v>
      </c>
      <c r="T231">
        <v>41.062800000000003</v>
      </c>
      <c r="U231">
        <v>27.402799999999999</v>
      </c>
      <c r="V231">
        <v>1917.914</v>
      </c>
      <c r="W231">
        <v>1505258.6495999999</v>
      </c>
      <c r="Y231" s="5">
        <v>2.0228000000000002</v>
      </c>
      <c r="Z231">
        <v>24.4847</v>
      </c>
      <c r="AA231">
        <v>1.014</v>
      </c>
      <c r="AB231">
        <v>7.0580999999999996</v>
      </c>
      <c r="AC231">
        <v>-0.1053</v>
      </c>
      <c r="AD231">
        <v>0</v>
      </c>
      <c r="AE231">
        <v>87.900800000000004</v>
      </c>
      <c r="AF231">
        <v>45.073</v>
      </c>
      <c r="AG231">
        <v>679.58799999999997</v>
      </c>
      <c r="AH231">
        <v>384891.57059999998</v>
      </c>
      <c r="AK231">
        <v>2.9672999999999998</v>
      </c>
      <c r="AL231">
        <v>26.631699999999999</v>
      </c>
      <c r="AM231">
        <v>1.1162000000000001</v>
      </c>
      <c r="AN231">
        <v>0.217</v>
      </c>
      <c r="AO231">
        <v>-0.17430000000000001</v>
      </c>
      <c r="AP231">
        <v>0</v>
      </c>
      <c r="AQ231">
        <v>34.3962</v>
      </c>
      <c r="AR231">
        <v>20.177</v>
      </c>
      <c r="AS231">
        <v>405.88499999999999</v>
      </c>
      <c r="AT231">
        <v>245904.60860000001</v>
      </c>
      <c r="AV231">
        <v>3.0777999999999999</v>
      </c>
      <c r="AW231">
        <v>510.81279999999998</v>
      </c>
      <c r="AX231">
        <v>-0.46379999999999999</v>
      </c>
      <c r="AY231">
        <v>12.2311</v>
      </c>
      <c r="AZ231">
        <v>-0.85670000000000002</v>
      </c>
      <c r="BA231" t="s">
        <v>23</v>
      </c>
      <c r="BB231">
        <v>-1.1944999999999999</v>
      </c>
      <c r="BC231">
        <v>-11.843299999999999</v>
      </c>
      <c r="BD231">
        <v>514.6</v>
      </c>
      <c r="BE231">
        <v>450440.02189999999</v>
      </c>
      <c r="BH231" s="5">
        <v>2.4828000000000001</v>
      </c>
      <c r="BI231">
        <v>33.430799999999998</v>
      </c>
      <c r="BJ231">
        <v>4.2633999999999999</v>
      </c>
      <c r="BK231">
        <v>15.2675</v>
      </c>
      <c r="BL231">
        <v>-4.2099999999999999E-2</v>
      </c>
      <c r="BM231">
        <v>0</v>
      </c>
      <c r="BN231">
        <v>8.7759999999999998</v>
      </c>
      <c r="BO231">
        <v>3.3751000000000002</v>
      </c>
      <c r="BP231">
        <v>230.04900000000001</v>
      </c>
      <c r="BQ231">
        <v>143431.14439999999</v>
      </c>
      <c r="CE231" s="1">
        <f t="shared" si="19"/>
        <v>45226</v>
      </c>
      <c r="CF231" s="35">
        <f t="shared" si="26"/>
        <v>3.4161948345315203</v>
      </c>
      <c r="CG231" s="36">
        <f t="shared" si="25"/>
        <v>-0.66385831188913769</v>
      </c>
      <c r="CH231">
        <f t="shared" ca="1" si="20"/>
        <v>-0.3938521642189306</v>
      </c>
      <c r="CI231">
        <f t="shared" ca="1" si="21"/>
        <v>-0.4675703454776079</v>
      </c>
      <c r="CJ231">
        <f t="shared" ca="1" si="22"/>
        <v>-0.57780972328575286</v>
      </c>
      <c r="CK231">
        <f t="shared" ca="1" si="23"/>
        <v>-0.7963071364804013</v>
      </c>
      <c r="CL231">
        <f t="shared" ca="1" si="24"/>
        <v>-0.88257881450583486</v>
      </c>
    </row>
    <row r="232" spans="1:90" x14ac:dyDescent="0.25">
      <c r="A232" s="43">
        <v>45233</v>
      </c>
      <c r="B232" s="5">
        <v>2.9125000000000001</v>
      </c>
      <c r="C232">
        <v>12.0166</v>
      </c>
      <c r="D232">
        <v>0.78420000000000001</v>
      </c>
      <c r="E232">
        <v>18.4466</v>
      </c>
      <c r="F232">
        <v>4.48E-2</v>
      </c>
      <c r="G232">
        <v>33.102400000000003</v>
      </c>
      <c r="H232">
        <v>48.7453</v>
      </c>
      <c r="I232">
        <v>26.888500000000001</v>
      </c>
      <c r="J232">
        <v>434.57799999999997</v>
      </c>
      <c r="K232">
        <v>797890.36029999994</v>
      </c>
      <c r="M232" s="43">
        <v>45233</v>
      </c>
      <c r="N232" s="5">
        <v>3.8771</v>
      </c>
      <c r="O232">
        <v>22.915299999999998</v>
      </c>
      <c r="P232">
        <v>0.64149999999999996</v>
      </c>
      <c r="Q232">
        <v>25.922799999999999</v>
      </c>
      <c r="R232">
        <v>0.1014</v>
      </c>
      <c r="S232">
        <v>195.11080000000001</v>
      </c>
      <c r="T232">
        <v>41.062800000000003</v>
      </c>
      <c r="U232">
        <v>27.402799999999999</v>
      </c>
      <c r="V232">
        <v>1736.3040000000001</v>
      </c>
      <c r="W232">
        <v>1362723.3433000001</v>
      </c>
      <c r="Y232" s="5">
        <v>1.9390000000000001</v>
      </c>
      <c r="Z232">
        <v>24.4847</v>
      </c>
      <c r="AA232">
        <v>1.014</v>
      </c>
      <c r="AB232">
        <v>7.0580999999999996</v>
      </c>
      <c r="AC232">
        <v>-0.1053</v>
      </c>
      <c r="AD232">
        <v>0</v>
      </c>
      <c r="AE232">
        <v>87.900800000000004</v>
      </c>
      <c r="AF232">
        <v>45.073</v>
      </c>
      <c r="AG232">
        <v>652.82299999999998</v>
      </c>
      <c r="AH232">
        <v>369733.16970000003</v>
      </c>
      <c r="AK232">
        <v>2.7315999999999998</v>
      </c>
      <c r="AL232">
        <v>26.631699999999999</v>
      </c>
      <c r="AM232">
        <v>1.1162000000000001</v>
      </c>
      <c r="AN232">
        <v>0.217</v>
      </c>
      <c r="AO232">
        <v>-0.17430000000000001</v>
      </c>
      <c r="AP232">
        <v>0</v>
      </c>
      <c r="AQ232">
        <v>34.3962</v>
      </c>
      <c r="AR232">
        <v>20.177</v>
      </c>
      <c r="AS232">
        <v>375.42500000000001</v>
      </c>
      <c r="AT232">
        <v>227450.64610000001</v>
      </c>
      <c r="AV232">
        <v>3.0777999999999999</v>
      </c>
      <c r="AW232">
        <v>510.81279999999998</v>
      </c>
      <c r="AX232">
        <v>-0.46379999999999999</v>
      </c>
      <c r="AY232">
        <v>12.2311</v>
      </c>
      <c r="AZ232">
        <v>-0.85670000000000002</v>
      </c>
      <c r="BA232" t="s">
        <v>23</v>
      </c>
      <c r="BB232">
        <v>-1.1944999999999999</v>
      </c>
      <c r="BC232">
        <v>-11.843299999999999</v>
      </c>
      <c r="BD232">
        <v>491.75</v>
      </c>
      <c r="BE232">
        <v>430438.94439999998</v>
      </c>
      <c r="BH232" s="5">
        <v>2.5626000000000002</v>
      </c>
      <c r="BI232">
        <v>33.430799999999998</v>
      </c>
      <c r="BJ232">
        <v>4.2633999999999999</v>
      </c>
      <c r="BK232">
        <v>15.2675</v>
      </c>
      <c r="BL232">
        <v>-4.2099999999999999E-2</v>
      </c>
      <c r="BM232">
        <v>0</v>
      </c>
      <c r="BN232">
        <v>8.7759999999999998</v>
      </c>
      <c r="BO232">
        <v>3.3751000000000002</v>
      </c>
      <c r="BP232">
        <v>237.352</v>
      </c>
      <c r="BQ232">
        <v>147984.5141</v>
      </c>
      <c r="CE232" s="1">
        <f t="shared" si="19"/>
        <v>45233</v>
      </c>
      <c r="CF232" s="35">
        <f t="shared" si="26"/>
        <v>3.192089888250631</v>
      </c>
      <c r="CG232" s="36">
        <f t="shared" si="25"/>
        <v>-0.7693917293636473</v>
      </c>
      <c r="CH232">
        <f t="shared" ca="1" si="20"/>
        <v>-0.3938521642189306</v>
      </c>
      <c r="CI232">
        <f t="shared" ca="1" si="21"/>
        <v>-0.4675703454776079</v>
      </c>
      <c r="CJ232">
        <f t="shared" ca="1" si="22"/>
        <v>-0.57780972328575286</v>
      </c>
      <c r="CK232">
        <f t="shared" ca="1" si="23"/>
        <v>-0.79190144907364546</v>
      </c>
      <c r="CL232">
        <f t="shared" ca="1" si="24"/>
        <v>-0.88257881450583486</v>
      </c>
    </row>
    <row r="233" spans="1:90" x14ac:dyDescent="0.25">
      <c r="A233" s="43">
        <v>45240</v>
      </c>
      <c r="B233" s="5">
        <v>2.9695</v>
      </c>
      <c r="C233">
        <v>12.0166</v>
      </c>
      <c r="D233">
        <v>0.78420000000000001</v>
      </c>
      <c r="E233">
        <v>18.4466</v>
      </c>
      <c r="F233">
        <v>4.48E-2</v>
      </c>
      <c r="G233">
        <v>33.102400000000003</v>
      </c>
      <c r="H233">
        <v>48.7453</v>
      </c>
      <c r="I233">
        <v>26.888500000000001</v>
      </c>
      <c r="J233">
        <v>456.55099999999999</v>
      </c>
      <c r="K233">
        <v>813818.11510000005</v>
      </c>
      <c r="M233" s="43">
        <v>45240</v>
      </c>
      <c r="N233" s="5">
        <v>3.8988999999999998</v>
      </c>
      <c r="O233">
        <v>22.915299999999998</v>
      </c>
      <c r="P233">
        <v>0.64149999999999996</v>
      </c>
      <c r="Q233">
        <v>25.922799999999999</v>
      </c>
      <c r="R233">
        <v>0.1014</v>
      </c>
      <c r="S233">
        <v>195.11080000000001</v>
      </c>
      <c r="T233">
        <v>41.062800000000003</v>
      </c>
      <c r="U233">
        <v>27.402799999999999</v>
      </c>
      <c r="V233">
        <v>1746.327</v>
      </c>
      <c r="W233">
        <v>1370589.6964</v>
      </c>
      <c r="Y233" s="5">
        <v>2.0167999999999999</v>
      </c>
      <c r="Z233">
        <v>24.4847</v>
      </c>
      <c r="AA233">
        <v>1.014</v>
      </c>
      <c r="AB233">
        <v>7.0580999999999996</v>
      </c>
      <c r="AC233">
        <v>-0.1053</v>
      </c>
      <c r="AD233">
        <v>0</v>
      </c>
      <c r="AE233">
        <v>87.900800000000004</v>
      </c>
      <c r="AF233">
        <v>45.073</v>
      </c>
      <c r="AG233">
        <v>677.64800000000002</v>
      </c>
      <c r="AH233">
        <v>383793.13569999998</v>
      </c>
      <c r="AK233">
        <v>3.0013999999999998</v>
      </c>
      <c r="AL233">
        <v>26.631699999999999</v>
      </c>
      <c r="AM233">
        <v>1.1162000000000001</v>
      </c>
      <c r="AN233">
        <v>0.217</v>
      </c>
      <c r="AO233">
        <v>-0.17430000000000001</v>
      </c>
      <c r="AP233">
        <v>0</v>
      </c>
      <c r="AQ233">
        <v>34.3962</v>
      </c>
      <c r="AR233">
        <v>20.177</v>
      </c>
      <c r="AS233">
        <v>410.28899999999999</v>
      </c>
      <c r="AT233">
        <v>248572.6514</v>
      </c>
      <c r="AV233">
        <v>3.0777999999999999</v>
      </c>
      <c r="AW233">
        <v>510.81279999999998</v>
      </c>
      <c r="AX233">
        <v>-0.46379999999999999</v>
      </c>
      <c r="AY233">
        <v>12.2311</v>
      </c>
      <c r="AZ233">
        <v>-0.85670000000000002</v>
      </c>
      <c r="BA233" t="s">
        <v>23</v>
      </c>
      <c r="BB233">
        <v>-1.1944999999999999</v>
      </c>
      <c r="BC233">
        <v>-11.843299999999999</v>
      </c>
      <c r="BD233">
        <v>463.8</v>
      </c>
      <c r="BE233">
        <v>405973.73139999999</v>
      </c>
      <c r="BH233" s="5">
        <v>2.4828000000000001</v>
      </c>
      <c r="BI233">
        <v>33.430799999999998</v>
      </c>
      <c r="BJ233">
        <v>4.2633999999999999</v>
      </c>
      <c r="BK233">
        <v>15.2675</v>
      </c>
      <c r="BL233">
        <v>-4.2099999999999999E-2</v>
      </c>
      <c r="BM233">
        <v>0</v>
      </c>
      <c r="BN233">
        <v>8.7759999999999998</v>
      </c>
      <c r="BO233">
        <v>3.3751000000000002</v>
      </c>
      <c r="BP233">
        <v>230.04900000000001</v>
      </c>
      <c r="BQ233">
        <v>143431.14439999999</v>
      </c>
      <c r="CE233" s="1">
        <f t="shared" ref="CE233:CE296" si="27">+A233</f>
        <v>45240</v>
      </c>
      <c r="CF233" s="35">
        <f t="shared" si="26"/>
        <v>3.2339764188631608</v>
      </c>
      <c r="CG233" s="36">
        <f t="shared" si="25"/>
        <v>-0.74966691384730233</v>
      </c>
      <c r="CH233">
        <f t="shared" ca="1" si="20"/>
        <v>-0.3938521642189306</v>
      </c>
      <c r="CI233">
        <f t="shared" ca="1" si="21"/>
        <v>-0.4675703454776079</v>
      </c>
      <c r="CJ233">
        <f t="shared" ca="1" si="22"/>
        <v>-0.57780972328575286</v>
      </c>
      <c r="CK233">
        <f t="shared" ca="1" si="23"/>
        <v>-0.79190144907364546</v>
      </c>
      <c r="CL233">
        <f t="shared" ca="1" si="24"/>
        <v>-0.88257881450583486</v>
      </c>
    </row>
    <row r="234" spans="1:90" x14ac:dyDescent="0.25">
      <c r="A234" s="43">
        <v>45247</v>
      </c>
      <c r="B234" s="5">
        <v>3.0729000000000002</v>
      </c>
      <c r="C234">
        <v>12.0166</v>
      </c>
      <c r="D234">
        <v>0.78420000000000001</v>
      </c>
      <c r="E234">
        <v>18.4466</v>
      </c>
      <c r="F234">
        <v>4.48E-2</v>
      </c>
      <c r="G234">
        <v>33.102400000000003</v>
      </c>
      <c r="H234">
        <v>48.7453</v>
      </c>
      <c r="I234">
        <v>26.888500000000001</v>
      </c>
      <c r="J234">
        <v>472.77800000000002</v>
      </c>
      <c r="K234">
        <v>842743.51899999997</v>
      </c>
      <c r="M234" s="43">
        <v>45247</v>
      </c>
      <c r="N234" s="5">
        <v>4.0514000000000001</v>
      </c>
      <c r="O234">
        <v>22.915299999999998</v>
      </c>
      <c r="P234">
        <v>0.64149999999999996</v>
      </c>
      <c r="Q234">
        <v>25.922799999999999</v>
      </c>
      <c r="R234">
        <v>0.1014</v>
      </c>
      <c r="S234">
        <v>195.11080000000001</v>
      </c>
      <c r="T234">
        <v>41.062800000000003</v>
      </c>
      <c r="U234">
        <v>27.402799999999999</v>
      </c>
      <c r="V234">
        <v>1816.4390000000001</v>
      </c>
      <c r="W234">
        <v>1425616.5297000001</v>
      </c>
      <c r="Y234" s="5">
        <v>1.7835000000000001</v>
      </c>
      <c r="Z234">
        <v>24.4847</v>
      </c>
      <c r="AA234">
        <v>1.014</v>
      </c>
      <c r="AB234">
        <v>7.0580999999999996</v>
      </c>
      <c r="AC234">
        <v>-0.1053</v>
      </c>
      <c r="AD234">
        <v>0</v>
      </c>
      <c r="AE234">
        <v>87.900800000000004</v>
      </c>
      <c r="AF234">
        <v>45.073</v>
      </c>
      <c r="AG234">
        <v>603.173</v>
      </c>
      <c r="AH234">
        <v>341613.23759999999</v>
      </c>
      <c r="AK234">
        <v>2.7145000000000001</v>
      </c>
      <c r="AL234">
        <v>26.631699999999999</v>
      </c>
      <c r="AM234">
        <v>1.1162000000000001</v>
      </c>
      <c r="AN234">
        <v>0.217</v>
      </c>
      <c r="AO234">
        <v>-0.17430000000000001</v>
      </c>
      <c r="AP234">
        <v>0</v>
      </c>
      <c r="AQ234">
        <v>34.3962</v>
      </c>
      <c r="AR234">
        <v>20.177</v>
      </c>
      <c r="AS234">
        <v>373.22300000000001</v>
      </c>
      <c r="AT234">
        <v>226116.62479999999</v>
      </c>
      <c r="AV234">
        <v>3.0777999999999999</v>
      </c>
      <c r="AW234">
        <v>510.81279999999998</v>
      </c>
      <c r="AX234">
        <v>-0.46379999999999999</v>
      </c>
      <c r="AY234">
        <v>12.2311</v>
      </c>
      <c r="AZ234">
        <v>-0.85670000000000002</v>
      </c>
      <c r="BA234" t="s">
        <v>23</v>
      </c>
      <c r="BB234">
        <v>-1.1944999999999999</v>
      </c>
      <c r="BC234">
        <v>-11.843299999999999</v>
      </c>
      <c r="BD234">
        <v>513.45000000000005</v>
      </c>
      <c r="BE234">
        <v>449433.4031</v>
      </c>
      <c r="BH234" s="5">
        <v>2.343</v>
      </c>
      <c r="BI234">
        <v>33.430799999999998</v>
      </c>
      <c r="BJ234">
        <v>4.2633999999999999</v>
      </c>
      <c r="BK234">
        <v>15.2675</v>
      </c>
      <c r="BL234">
        <v>-4.2099999999999999E-2</v>
      </c>
      <c r="BM234">
        <v>0</v>
      </c>
      <c r="BN234">
        <v>8.7759999999999998</v>
      </c>
      <c r="BO234">
        <v>3.3751000000000002</v>
      </c>
      <c r="BP234">
        <v>217.26900000000001</v>
      </c>
      <c r="BQ234">
        <v>135462.7475</v>
      </c>
      <c r="CE234" s="1">
        <f t="shared" si="27"/>
        <v>45247</v>
      </c>
      <c r="CF234" s="35">
        <f t="shared" si="26"/>
        <v>3.2999624368783969</v>
      </c>
      <c r="CG234" s="36">
        <f t="shared" si="25"/>
        <v>-0.71859339181109438</v>
      </c>
      <c r="CH234">
        <f t="shared" ca="1" si="20"/>
        <v>-0.3938521642189306</v>
      </c>
      <c r="CI234">
        <f t="shared" ca="1" si="21"/>
        <v>-0.4675703454776079</v>
      </c>
      <c r="CJ234">
        <f t="shared" ca="1" si="22"/>
        <v>-0.57780972328575286</v>
      </c>
      <c r="CK234">
        <f t="shared" ca="1" si="23"/>
        <v>-0.77485923637998178</v>
      </c>
      <c r="CL234">
        <f t="shared" ca="1" si="24"/>
        <v>-0.88257881450583486</v>
      </c>
    </row>
    <row r="235" spans="1:90" x14ac:dyDescent="0.25">
      <c r="A235" s="43">
        <v>45254</v>
      </c>
      <c r="B235" s="5">
        <v>4.7874999999999996</v>
      </c>
      <c r="C235">
        <v>12.0166</v>
      </c>
      <c r="D235">
        <v>0.78420000000000001</v>
      </c>
      <c r="E235">
        <v>18.4466</v>
      </c>
      <c r="F235">
        <v>4.48E-2</v>
      </c>
      <c r="G235">
        <v>33.102400000000003</v>
      </c>
      <c r="H235">
        <v>48.7453</v>
      </c>
      <c r="I235">
        <v>26.888500000000001</v>
      </c>
      <c r="J235">
        <v>741.85299999999995</v>
      </c>
      <c r="K235">
        <v>1322379.3062</v>
      </c>
      <c r="M235" s="43">
        <v>45254</v>
      </c>
      <c r="N235" s="5">
        <v>6.8136999999999999</v>
      </c>
      <c r="O235">
        <v>22.915299999999998</v>
      </c>
      <c r="P235">
        <v>0.64149999999999996</v>
      </c>
      <c r="Q235">
        <v>25.922799999999999</v>
      </c>
      <c r="R235">
        <v>0.1014</v>
      </c>
      <c r="S235">
        <v>195.11080000000001</v>
      </c>
      <c r="T235">
        <v>41.062800000000003</v>
      </c>
      <c r="U235">
        <v>27.402799999999999</v>
      </c>
      <c r="V235">
        <v>3086.7040000000002</v>
      </c>
      <c r="W235">
        <v>2422573.2749000001</v>
      </c>
      <c r="Y235" s="5">
        <v>2.9108000000000001</v>
      </c>
      <c r="Z235">
        <v>24.4847</v>
      </c>
      <c r="AA235">
        <v>1.014</v>
      </c>
      <c r="AB235">
        <v>7.0580999999999996</v>
      </c>
      <c r="AC235">
        <v>-0.1053</v>
      </c>
      <c r="AD235">
        <v>0</v>
      </c>
      <c r="AE235">
        <v>87.900800000000004</v>
      </c>
      <c r="AF235">
        <v>45.073</v>
      </c>
      <c r="AG235">
        <v>963.13699999999994</v>
      </c>
      <c r="AH235">
        <v>545482.74529999995</v>
      </c>
      <c r="AK235">
        <v>4.5808</v>
      </c>
      <c r="AL235">
        <v>26.631699999999999</v>
      </c>
      <c r="AM235">
        <v>1.1162000000000001</v>
      </c>
      <c r="AN235">
        <v>0.217</v>
      </c>
      <c r="AO235">
        <v>-0.17430000000000001</v>
      </c>
      <c r="AP235">
        <v>0</v>
      </c>
      <c r="AQ235">
        <v>34.3962</v>
      </c>
      <c r="AR235">
        <v>20.177</v>
      </c>
      <c r="AS235">
        <v>614.33199999999999</v>
      </c>
      <c r="AT235">
        <v>372191.96639999998</v>
      </c>
      <c r="AV235">
        <v>3.0777999999999999</v>
      </c>
      <c r="AW235">
        <v>510.81279999999998</v>
      </c>
      <c r="AX235">
        <v>-0.46379999999999999</v>
      </c>
      <c r="AY235">
        <v>12.2311</v>
      </c>
      <c r="AZ235">
        <v>-0.85670000000000002</v>
      </c>
      <c r="BA235" t="s">
        <v>23</v>
      </c>
      <c r="BB235">
        <v>-1.1944999999999999</v>
      </c>
      <c r="BC235">
        <v>-11.843299999999999</v>
      </c>
      <c r="BD235">
        <v>917.8</v>
      </c>
      <c r="BE235">
        <v>803369.32010000001</v>
      </c>
      <c r="BH235" s="5">
        <v>4.4146000000000001</v>
      </c>
      <c r="BI235">
        <v>33.430799999999998</v>
      </c>
      <c r="BJ235">
        <v>4.2633999999999999</v>
      </c>
      <c r="BK235">
        <v>15.2675</v>
      </c>
      <c r="BL235">
        <v>-4.2099999999999999E-2</v>
      </c>
      <c r="BM235">
        <v>0</v>
      </c>
      <c r="BN235">
        <v>8.7759999999999998</v>
      </c>
      <c r="BO235">
        <v>3.3751000000000002</v>
      </c>
      <c r="BP235">
        <v>406.69400000000002</v>
      </c>
      <c r="BQ235">
        <v>253565.7732</v>
      </c>
      <c r="CE235" s="1">
        <f t="shared" si="27"/>
        <v>45254</v>
      </c>
      <c r="CF235" s="35">
        <f t="shared" si="26"/>
        <v>5.1966052882521749</v>
      </c>
      <c r="CG235" s="36">
        <f t="shared" si="25"/>
        <v>0.17455602392378691</v>
      </c>
      <c r="CH235">
        <f t="shared" ca="1" si="20"/>
        <v>-0.3938521642189306</v>
      </c>
      <c r="CI235">
        <f t="shared" ca="1" si="21"/>
        <v>-0.4675703454776079</v>
      </c>
      <c r="CJ235">
        <f t="shared" ca="1" si="22"/>
        <v>-0.57780972328575286</v>
      </c>
      <c r="CK235">
        <f t="shared" ca="1" si="23"/>
        <v>-0.77485923637998178</v>
      </c>
      <c r="CL235">
        <f t="shared" ca="1" si="24"/>
        <v>-0.88257881450583486</v>
      </c>
    </row>
    <row r="236" spans="1:90" x14ac:dyDescent="0.25">
      <c r="A236" s="43">
        <v>45261</v>
      </c>
      <c r="B236" s="5">
        <v>4.1734999999999998</v>
      </c>
      <c r="C236">
        <v>12.0166</v>
      </c>
      <c r="D236">
        <v>0.78420000000000001</v>
      </c>
      <c r="E236">
        <v>18.4466</v>
      </c>
      <c r="F236">
        <v>4.48E-2</v>
      </c>
      <c r="G236">
        <v>33.102400000000003</v>
      </c>
      <c r="H236">
        <v>48.7453</v>
      </c>
      <c r="I236">
        <v>26.888500000000001</v>
      </c>
      <c r="J236">
        <v>645.50199999999995</v>
      </c>
      <c r="K236">
        <v>1150630.0253000001</v>
      </c>
      <c r="M236" s="43">
        <v>45261</v>
      </c>
      <c r="N236" s="5">
        <v>5.4417</v>
      </c>
      <c r="O236">
        <v>22.915299999999998</v>
      </c>
      <c r="P236">
        <v>0.64149999999999996</v>
      </c>
      <c r="Q236">
        <v>25.922799999999999</v>
      </c>
      <c r="R236">
        <v>0.1014</v>
      </c>
      <c r="S236">
        <v>195.11080000000001</v>
      </c>
      <c r="T236">
        <v>41.062800000000003</v>
      </c>
      <c r="U236">
        <v>27.402799999999999</v>
      </c>
      <c r="V236">
        <v>2455.7919999999999</v>
      </c>
      <c r="W236">
        <v>1927407.051</v>
      </c>
      <c r="Y236" s="5">
        <v>2.8306</v>
      </c>
      <c r="Z236">
        <v>24.4847</v>
      </c>
      <c r="AA236">
        <v>1.014</v>
      </c>
      <c r="AB236">
        <v>7.0580999999999996</v>
      </c>
      <c r="AC236">
        <v>-0.1053</v>
      </c>
      <c r="AD236">
        <v>0</v>
      </c>
      <c r="AE236">
        <v>87.900800000000004</v>
      </c>
      <c r="AF236">
        <v>45.073</v>
      </c>
      <c r="AG236">
        <v>937.53599999999994</v>
      </c>
      <c r="AH236">
        <v>530983.40529999998</v>
      </c>
      <c r="AK236">
        <v>4.7085999999999997</v>
      </c>
      <c r="AL236">
        <v>26.631699999999999</v>
      </c>
      <c r="AM236">
        <v>1.1162000000000001</v>
      </c>
      <c r="AN236">
        <v>0.217</v>
      </c>
      <c r="AO236">
        <v>-0.17430000000000001</v>
      </c>
      <c r="AP236">
        <v>0</v>
      </c>
      <c r="AQ236">
        <v>34.3962</v>
      </c>
      <c r="AR236">
        <v>20.177</v>
      </c>
      <c r="AS236">
        <v>630.846</v>
      </c>
      <c r="AT236">
        <v>382197.12680000003</v>
      </c>
      <c r="AV236">
        <v>3.0777999999999999</v>
      </c>
      <c r="AW236">
        <v>510.81279999999998</v>
      </c>
      <c r="AX236">
        <v>-0.46379999999999999</v>
      </c>
      <c r="AY236">
        <v>12.2311</v>
      </c>
      <c r="AZ236">
        <v>-0.85670000000000002</v>
      </c>
      <c r="BA236" t="s">
        <v>23</v>
      </c>
      <c r="BB236">
        <v>-1.1944999999999999</v>
      </c>
      <c r="BC236">
        <v>-11.843299999999999</v>
      </c>
      <c r="BD236">
        <v>771.15</v>
      </c>
      <c r="BE236">
        <v>675003.54240000003</v>
      </c>
      <c r="BH236" s="5">
        <v>5.0087000000000002</v>
      </c>
      <c r="BI236">
        <v>33.430799999999998</v>
      </c>
      <c r="BJ236">
        <v>4.2633999999999999</v>
      </c>
      <c r="BK236">
        <v>15.2675</v>
      </c>
      <c r="BL236">
        <v>-4.2099999999999999E-2</v>
      </c>
      <c r="BM236">
        <v>0</v>
      </c>
      <c r="BN236">
        <v>8.7759999999999998</v>
      </c>
      <c r="BO236">
        <v>3.3751000000000002</v>
      </c>
      <c r="BP236">
        <v>461.01100000000002</v>
      </c>
      <c r="BQ236">
        <v>287431.46000000002</v>
      </c>
      <c r="CE236" s="1">
        <f t="shared" si="27"/>
        <v>45261</v>
      </c>
      <c r="CF236" s="35">
        <f t="shared" si="26"/>
        <v>4.4634385920814257</v>
      </c>
      <c r="CG236" s="36">
        <f t="shared" si="25"/>
        <v>-0.17070001932487888</v>
      </c>
      <c r="CH236">
        <f t="shared" ca="1" si="20"/>
        <v>-0.38401634392690509</v>
      </c>
      <c r="CI236">
        <f t="shared" ca="1" si="21"/>
        <v>-0.46098486376512182</v>
      </c>
      <c r="CJ236">
        <f t="shared" ca="1" si="22"/>
        <v>-0.55294736045256432</v>
      </c>
      <c r="CK236">
        <f t="shared" ca="1" si="23"/>
        <v>-0.77485923637998178</v>
      </c>
      <c r="CL236">
        <f t="shared" ca="1" si="24"/>
        <v>-0.88257881450583486</v>
      </c>
    </row>
    <row r="237" spans="1:90" x14ac:dyDescent="0.25">
      <c r="A237" s="43">
        <v>45268</v>
      </c>
      <c r="B237" s="5">
        <v>4.6966999999999999</v>
      </c>
      <c r="C237">
        <v>12.0166</v>
      </c>
      <c r="D237">
        <v>0.78420000000000001</v>
      </c>
      <c r="E237">
        <v>18.4466</v>
      </c>
      <c r="F237">
        <v>4.48E-2</v>
      </c>
      <c r="G237">
        <v>33.102400000000003</v>
      </c>
      <c r="H237">
        <v>48.7453</v>
      </c>
      <c r="I237">
        <v>26.888500000000001</v>
      </c>
      <c r="J237">
        <v>729.94799999999998</v>
      </c>
      <c r="K237">
        <v>1296985.0556000001</v>
      </c>
      <c r="M237" s="43">
        <v>45268</v>
      </c>
      <c r="N237" s="5">
        <v>5.8840000000000003</v>
      </c>
      <c r="O237">
        <v>22.915299999999998</v>
      </c>
      <c r="P237">
        <v>0.64149999999999996</v>
      </c>
      <c r="Q237">
        <v>25.922799999999999</v>
      </c>
      <c r="R237">
        <v>0.1014</v>
      </c>
      <c r="S237">
        <v>195.11080000000001</v>
      </c>
      <c r="T237">
        <v>41.062800000000003</v>
      </c>
      <c r="U237">
        <v>27.402799999999999</v>
      </c>
      <c r="V237">
        <v>2659.174</v>
      </c>
      <c r="W237">
        <v>2087030.0333</v>
      </c>
      <c r="Y237" s="5">
        <v>3.5072000000000001</v>
      </c>
      <c r="Z237">
        <v>24.4847</v>
      </c>
      <c r="AA237">
        <v>1.014</v>
      </c>
      <c r="AB237">
        <v>7.0580999999999996</v>
      </c>
      <c r="AC237">
        <v>-0.1053</v>
      </c>
      <c r="AD237">
        <v>0</v>
      </c>
      <c r="AE237">
        <v>87.900800000000004</v>
      </c>
      <c r="AF237">
        <v>45.073</v>
      </c>
      <c r="AG237">
        <v>1153.5930000000001</v>
      </c>
      <c r="AH237">
        <v>653349.04729999998</v>
      </c>
      <c r="AK237">
        <v>5.7766000000000002</v>
      </c>
      <c r="AL237">
        <v>26.631699999999999</v>
      </c>
      <c r="AM237">
        <v>1.1162000000000001</v>
      </c>
      <c r="AN237">
        <v>0.217</v>
      </c>
      <c r="AO237">
        <v>-0.17430000000000001</v>
      </c>
      <c r="AP237">
        <v>0</v>
      </c>
      <c r="AQ237">
        <v>34.3962</v>
      </c>
      <c r="AR237">
        <v>20.177</v>
      </c>
      <c r="AS237">
        <v>768.83299999999997</v>
      </c>
      <c r="AT237">
        <v>465795.8003</v>
      </c>
      <c r="AV237">
        <v>3.0777999999999999</v>
      </c>
      <c r="AW237">
        <v>510.81279999999998</v>
      </c>
      <c r="AX237">
        <v>-0.46379999999999999</v>
      </c>
      <c r="AY237">
        <v>12.2311</v>
      </c>
      <c r="AZ237">
        <v>-0.85670000000000002</v>
      </c>
      <c r="BA237" t="s">
        <v>23</v>
      </c>
      <c r="BB237">
        <v>-1.1944999999999999</v>
      </c>
      <c r="BC237">
        <v>-11.843299999999999</v>
      </c>
      <c r="BD237">
        <v>853.1</v>
      </c>
      <c r="BE237">
        <v>746736.07209999999</v>
      </c>
      <c r="BH237" s="5">
        <v>7.7191999999999998</v>
      </c>
      <c r="BI237">
        <v>33.430799999999998</v>
      </c>
      <c r="BJ237">
        <v>4.2633999999999999</v>
      </c>
      <c r="BK237">
        <v>15.2675</v>
      </c>
      <c r="BL237">
        <v>-4.2099999999999999E-2</v>
      </c>
      <c r="BM237">
        <v>0</v>
      </c>
      <c r="BN237">
        <v>8.7759999999999998</v>
      </c>
      <c r="BO237">
        <v>3.3751000000000002</v>
      </c>
      <c r="BP237">
        <v>708.86099999999999</v>
      </c>
      <c r="BQ237">
        <v>441961.44300000003</v>
      </c>
      <c r="CE237" s="1">
        <f t="shared" si="27"/>
        <v>45268</v>
      </c>
      <c r="CF237" s="35">
        <f t="shared" si="26"/>
        <v>5.1061836186045637</v>
      </c>
      <c r="CG237" s="36">
        <f t="shared" si="25"/>
        <v>0.13197549203448566</v>
      </c>
      <c r="CH237">
        <f t="shared" ca="1" si="20"/>
        <v>-0.37340197850949514</v>
      </c>
      <c r="CI237">
        <f t="shared" ca="1" si="21"/>
        <v>-0.44577596207737652</v>
      </c>
      <c r="CJ237">
        <f t="shared" ca="1" si="22"/>
        <v>-0.55294736045256432</v>
      </c>
      <c r="CK237">
        <f t="shared" ca="1" si="23"/>
        <v>-0.77485923637998178</v>
      </c>
      <c r="CL237">
        <f t="shared" ca="1" si="24"/>
        <v>-0.88257881450583486</v>
      </c>
    </row>
    <row r="238" spans="1:90" x14ac:dyDescent="0.25">
      <c r="A238" s="43">
        <v>45275</v>
      </c>
      <c r="B238" s="5">
        <v>5.0343999999999998</v>
      </c>
      <c r="C238">
        <v>12.0166</v>
      </c>
      <c r="D238">
        <v>0.78420000000000001</v>
      </c>
      <c r="E238">
        <v>18.4466</v>
      </c>
      <c r="F238">
        <v>4.48E-2</v>
      </c>
      <c r="G238">
        <v>33.102400000000003</v>
      </c>
      <c r="H238">
        <v>48.7453</v>
      </c>
      <c r="I238">
        <v>26.888500000000001</v>
      </c>
      <c r="J238">
        <v>783.09900000000005</v>
      </c>
      <c r="K238">
        <v>1391424.6207999999</v>
      </c>
      <c r="M238" s="43">
        <v>45275</v>
      </c>
      <c r="N238" s="5">
        <v>6.44</v>
      </c>
      <c r="O238">
        <v>22.915299999999998</v>
      </c>
      <c r="P238">
        <v>0.64149999999999996</v>
      </c>
      <c r="Q238">
        <v>25.922799999999999</v>
      </c>
      <c r="R238">
        <v>0.1014</v>
      </c>
      <c r="S238">
        <v>195.11080000000001</v>
      </c>
      <c r="T238">
        <v>41.062800000000003</v>
      </c>
      <c r="U238">
        <v>27.402799999999999</v>
      </c>
      <c r="V238">
        <v>2914.877</v>
      </c>
      <c r="W238">
        <v>2287716.1313999998</v>
      </c>
      <c r="Y238" s="5">
        <v>4.0209999999999999</v>
      </c>
      <c r="Z238">
        <v>24.4847</v>
      </c>
      <c r="AA238">
        <v>1.014</v>
      </c>
      <c r="AB238">
        <v>7.0580999999999996</v>
      </c>
      <c r="AC238">
        <v>-0.1053</v>
      </c>
      <c r="AD238">
        <v>0</v>
      </c>
      <c r="AE238">
        <v>87.900800000000004</v>
      </c>
      <c r="AF238">
        <v>45.073</v>
      </c>
      <c r="AG238">
        <v>1317.671</v>
      </c>
      <c r="AH238">
        <v>746276.63540000003</v>
      </c>
      <c r="AK238">
        <v>6.1571999999999996</v>
      </c>
      <c r="AL238">
        <v>26.631699999999999</v>
      </c>
      <c r="AM238">
        <v>1.1162000000000001</v>
      </c>
      <c r="AN238">
        <v>0.217</v>
      </c>
      <c r="AO238">
        <v>-0.17430000000000001</v>
      </c>
      <c r="AP238">
        <v>0</v>
      </c>
      <c r="AQ238">
        <v>34.3962</v>
      </c>
      <c r="AR238">
        <v>20.177</v>
      </c>
      <c r="AS238">
        <v>818.00900000000001</v>
      </c>
      <c r="AT238">
        <v>495588.94449999998</v>
      </c>
      <c r="AV238">
        <v>3.0777999999999999</v>
      </c>
      <c r="AW238">
        <v>510.81279999999998</v>
      </c>
      <c r="AX238">
        <v>-0.46379999999999999</v>
      </c>
      <c r="AY238">
        <v>12.2311</v>
      </c>
      <c r="AZ238">
        <v>-0.85670000000000002</v>
      </c>
      <c r="BA238" t="s">
        <v>23</v>
      </c>
      <c r="BB238">
        <v>-1.1944999999999999</v>
      </c>
      <c r="BC238">
        <v>-11.843299999999999</v>
      </c>
      <c r="BD238">
        <v>963.65</v>
      </c>
      <c r="BE238">
        <v>843502.7733</v>
      </c>
      <c r="BH238" s="5">
        <v>7.2949000000000002</v>
      </c>
      <c r="BI238">
        <v>33.430799999999998</v>
      </c>
      <c r="BJ238">
        <v>4.2633999999999999</v>
      </c>
      <c r="BK238">
        <v>15.2675</v>
      </c>
      <c r="BL238">
        <v>-4.2099999999999999E-2</v>
      </c>
      <c r="BM238">
        <v>0</v>
      </c>
      <c r="BN238">
        <v>8.7759999999999998</v>
      </c>
      <c r="BO238">
        <v>3.3751000000000002</v>
      </c>
      <c r="BP238">
        <v>670.06299999999999</v>
      </c>
      <c r="BQ238">
        <v>417771.6667</v>
      </c>
      <c r="CE238" s="1">
        <f t="shared" si="27"/>
        <v>45275</v>
      </c>
      <c r="CF238" s="35">
        <f t="shared" si="26"/>
        <v>5.4080096321646147</v>
      </c>
      <c r="CG238" s="36">
        <f t="shared" si="25"/>
        <v>0.27410859182683117</v>
      </c>
      <c r="CH238">
        <f t="shared" ca="1" si="20"/>
        <v>-0.36301025739510401</v>
      </c>
      <c r="CI238">
        <f t="shared" ca="1" si="21"/>
        <v>-0.43031375947210848</v>
      </c>
      <c r="CJ238">
        <f t="shared" ca="1" si="22"/>
        <v>-0.55294736045256432</v>
      </c>
      <c r="CK238">
        <f t="shared" ca="1" si="23"/>
        <v>-0.77485923637998178</v>
      </c>
      <c r="CL238">
        <f t="shared" ca="1" si="24"/>
        <v>-0.88257881450583486</v>
      </c>
    </row>
    <row r="239" spans="1:90" x14ac:dyDescent="0.25">
      <c r="A239" s="43">
        <v>45282</v>
      </c>
      <c r="B239" s="5">
        <v>5.0121000000000002</v>
      </c>
      <c r="C239">
        <v>12.0166</v>
      </c>
      <c r="D239">
        <v>0.78420000000000001</v>
      </c>
      <c r="E239">
        <v>18.4466</v>
      </c>
      <c r="F239">
        <v>4.48E-2</v>
      </c>
      <c r="G239">
        <v>33.102400000000003</v>
      </c>
      <c r="H239">
        <v>48.7453</v>
      </c>
      <c r="I239">
        <v>26.888500000000001</v>
      </c>
      <c r="J239">
        <v>789.27</v>
      </c>
      <c r="K239">
        <v>1385188.7545</v>
      </c>
      <c r="M239" s="43">
        <v>45282</v>
      </c>
      <c r="N239" s="5">
        <v>6.2126000000000001</v>
      </c>
      <c r="O239">
        <v>22.915299999999998</v>
      </c>
      <c r="P239">
        <v>0.64149999999999996</v>
      </c>
      <c r="Q239">
        <v>25.922799999999999</v>
      </c>
      <c r="R239">
        <v>0.1014</v>
      </c>
      <c r="S239">
        <v>195.11080000000001</v>
      </c>
      <c r="T239">
        <v>41.062800000000003</v>
      </c>
      <c r="U239">
        <v>27.402799999999999</v>
      </c>
      <c r="V239">
        <v>2810.2840000000001</v>
      </c>
      <c r="W239">
        <v>2205627.5380000002</v>
      </c>
      <c r="Y239" s="5">
        <v>4.0209999999999999</v>
      </c>
      <c r="Z239">
        <v>24.4847</v>
      </c>
      <c r="AA239">
        <v>1.014</v>
      </c>
      <c r="AB239">
        <v>7.0580999999999996</v>
      </c>
      <c r="AC239">
        <v>-0.1053</v>
      </c>
      <c r="AD239">
        <v>0</v>
      </c>
      <c r="AE239">
        <v>87.900800000000004</v>
      </c>
      <c r="AF239">
        <v>45.073</v>
      </c>
      <c r="AG239">
        <v>1317.671</v>
      </c>
      <c r="AH239">
        <v>746276.63540000003</v>
      </c>
      <c r="AK239">
        <v>6.4896000000000003</v>
      </c>
      <c r="AL239">
        <v>26.631699999999999</v>
      </c>
      <c r="AM239">
        <v>1.1162000000000001</v>
      </c>
      <c r="AN239">
        <v>0.217</v>
      </c>
      <c r="AO239">
        <v>-0.17430000000000001</v>
      </c>
      <c r="AP239">
        <v>0</v>
      </c>
      <c r="AQ239">
        <v>34.3962</v>
      </c>
      <c r="AR239">
        <v>20.177</v>
      </c>
      <c r="AS239">
        <v>860.94600000000003</v>
      </c>
      <c r="AT239">
        <v>521602.3615</v>
      </c>
      <c r="AV239">
        <v>3.0777999999999999</v>
      </c>
      <c r="AW239">
        <v>510.81279999999998</v>
      </c>
      <c r="AX239">
        <v>-0.46379999999999999</v>
      </c>
      <c r="AY239">
        <v>12.2311</v>
      </c>
      <c r="AZ239">
        <v>-0.85670000000000002</v>
      </c>
      <c r="BA239" t="s">
        <v>23</v>
      </c>
      <c r="BB239">
        <v>-1.1944999999999999</v>
      </c>
      <c r="BC239">
        <v>-11.843299999999999</v>
      </c>
      <c r="BD239">
        <v>938.4</v>
      </c>
      <c r="BE239">
        <v>821400.92610000004</v>
      </c>
      <c r="BH239" s="5">
        <v>8.6277000000000008</v>
      </c>
      <c r="BI239">
        <v>33.430799999999998</v>
      </c>
      <c r="BJ239">
        <v>4.2633999999999999</v>
      </c>
      <c r="BK239">
        <v>15.2675</v>
      </c>
      <c r="BL239">
        <v>-4.2099999999999999E-2</v>
      </c>
      <c r="BM239">
        <v>0</v>
      </c>
      <c r="BN239">
        <v>8.7759999999999998</v>
      </c>
      <c r="BO239">
        <v>3.3751000000000002</v>
      </c>
      <c r="BP239">
        <v>791.93499999999995</v>
      </c>
      <c r="BQ239">
        <v>493756.02289999998</v>
      </c>
      <c r="CE239" s="1">
        <f t="shared" si="27"/>
        <v>45282</v>
      </c>
      <c r="CF239" s="35">
        <f t="shared" si="26"/>
        <v>5.4778184735162165</v>
      </c>
      <c r="CG239" s="36">
        <f t="shared" si="25"/>
        <v>0.30698232228227823</v>
      </c>
      <c r="CH239">
        <f t="shared" ca="1" si="20"/>
        <v>-0.29398454928501783</v>
      </c>
      <c r="CI239">
        <f t="shared" ca="1" si="21"/>
        <v>-0.42268902445629297</v>
      </c>
      <c r="CJ239">
        <f t="shared" ca="1" si="22"/>
        <v>-0.55294736045256432</v>
      </c>
      <c r="CK239">
        <f t="shared" ca="1" si="23"/>
        <v>-0.77485923637998178</v>
      </c>
      <c r="CL239">
        <f t="shared" ca="1" si="24"/>
        <v>-0.88257881450583486</v>
      </c>
    </row>
    <row r="240" spans="1:90" x14ac:dyDescent="0.25">
      <c r="A240" s="43">
        <v>45289</v>
      </c>
      <c r="B240" s="5">
        <v>4.9233000000000002</v>
      </c>
      <c r="C240">
        <v>10.8406</v>
      </c>
      <c r="D240">
        <v>0.33139999999999997</v>
      </c>
      <c r="E240">
        <v>28.125299999999999</v>
      </c>
      <c r="F240">
        <v>1.6415</v>
      </c>
      <c r="G240">
        <v>0.21340000000000001</v>
      </c>
      <c r="H240">
        <v>67.628799999999998</v>
      </c>
      <c r="I240">
        <v>44.078499999999998</v>
      </c>
      <c r="J240">
        <v>771.07600000000002</v>
      </c>
      <c r="K240">
        <v>1353258.1139</v>
      </c>
      <c r="M240" s="43">
        <v>45289</v>
      </c>
      <c r="N240" s="5">
        <v>7.6626000000000003</v>
      </c>
      <c r="O240">
        <v>5.9385000000000003</v>
      </c>
      <c r="P240">
        <v>0.1074</v>
      </c>
      <c r="Q240">
        <v>35.533799999999999</v>
      </c>
      <c r="R240">
        <v>1.4941</v>
      </c>
      <c r="S240">
        <v>195.11080000000001</v>
      </c>
      <c r="T240">
        <v>40.052900000000001</v>
      </c>
      <c r="U240">
        <v>25.394600000000001</v>
      </c>
      <c r="V240">
        <v>2835.317</v>
      </c>
      <c r="W240">
        <v>2225274.6016000002</v>
      </c>
      <c r="Y240" s="5">
        <v>4.0106999999999999</v>
      </c>
      <c r="Z240">
        <v>6.4301000000000004</v>
      </c>
      <c r="AA240">
        <v>7.2599999999999998E-2</v>
      </c>
      <c r="AB240">
        <v>12.3186</v>
      </c>
      <c r="AC240">
        <v>-0.81</v>
      </c>
      <c r="AD240">
        <v>0</v>
      </c>
      <c r="AE240">
        <v>83.311199999999999</v>
      </c>
      <c r="AF240">
        <v>39.967199999999998</v>
      </c>
      <c r="AG240">
        <v>1399.5160000000001</v>
      </c>
      <c r="AH240">
        <v>792630.58600000001</v>
      </c>
      <c r="AK240">
        <v>9.2199000000000009</v>
      </c>
      <c r="AL240">
        <v>5.5845000000000002</v>
      </c>
      <c r="AM240">
        <v>0.23250000000000001</v>
      </c>
      <c r="AN240">
        <v>0.1084</v>
      </c>
      <c r="AO240">
        <v>-0.66110000000000002</v>
      </c>
      <c r="AP240">
        <v>0</v>
      </c>
      <c r="AQ240">
        <v>21.2028</v>
      </c>
      <c r="AR240">
        <v>7.8147000000000002</v>
      </c>
      <c r="AS240">
        <v>888.10299999999995</v>
      </c>
      <c r="AT240">
        <v>538055.29200000002</v>
      </c>
      <c r="AV240">
        <v>3.0777999999999999</v>
      </c>
      <c r="AW240">
        <v>-0.87809999999999999</v>
      </c>
      <c r="AX240">
        <v>0.03</v>
      </c>
      <c r="AY240">
        <v>14.605600000000001</v>
      </c>
      <c r="AZ240">
        <v>-0.85670000000000002</v>
      </c>
      <c r="BA240" t="s">
        <v>23</v>
      </c>
      <c r="BB240">
        <v>-3.738</v>
      </c>
      <c r="BC240">
        <v>-17.087399999999999</v>
      </c>
      <c r="BD240">
        <v>942</v>
      </c>
      <c r="BE240">
        <v>824552.08059999999</v>
      </c>
      <c r="BH240" s="5">
        <v>8.5055999999999994</v>
      </c>
      <c r="BI240">
        <v>15.956799999999999</v>
      </c>
      <c r="BJ240">
        <v>0.29609999999999997</v>
      </c>
      <c r="BK240">
        <v>10.4549</v>
      </c>
      <c r="BL240">
        <v>-0.2742</v>
      </c>
      <c r="BM240">
        <v>0</v>
      </c>
      <c r="BN240">
        <v>7.5549999999999997</v>
      </c>
      <c r="BO240">
        <v>2.7195999999999998</v>
      </c>
      <c r="BP240">
        <v>701.10199999999998</v>
      </c>
      <c r="BQ240">
        <v>437123.4877</v>
      </c>
      <c r="CE240" s="1">
        <f t="shared" si="27"/>
        <v>45289</v>
      </c>
      <c r="CF240" s="35">
        <f t="shared" si="26"/>
        <v>6.1756865769839404</v>
      </c>
      <c r="CG240" s="36">
        <f t="shared" si="25"/>
        <v>0.63561588047734785</v>
      </c>
      <c r="CH240">
        <f t="shared" ca="1" si="20"/>
        <v>-0.27340206686036245</v>
      </c>
      <c r="CI240">
        <f t="shared" ca="1" si="21"/>
        <v>-0.42268902445629297</v>
      </c>
      <c r="CJ240">
        <f t="shared" ca="1" si="22"/>
        <v>-0.55294736045256432</v>
      </c>
      <c r="CK240">
        <f t="shared" ca="1" si="23"/>
        <v>-0.77485923637998178</v>
      </c>
      <c r="CL240">
        <f t="shared" ca="1" si="24"/>
        <v>-0.88257881450583486</v>
      </c>
    </row>
    <row r="241" spans="1:90" x14ac:dyDescent="0.25">
      <c r="A241" s="43">
        <v>45296</v>
      </c>
      <c r="B241" s="5">
        <v>5.415</v>
      </c>
      <c r="C241">
        <v>10.8406</v>
      </c>
      <c r="D241">
        <v>0.33139999999999997</v>
      </c>
      <c r="E241">
        <v>28.125299999999999</v>
      </c>
      <c r="F241">
        <v>1.6415</v>
      </c>
      <c r="G241">
        <v>0.21340000000000001</v>
      </c>
      <c r="H241">
        <v>67.628799999999998</v>
      </c>
      <c r="I241">
        <v>44.078499999999998</v>
      </c>
      <c r="J241">
        <v>890.64200000000005</v>
      </c>
      <c r="K241">
        <v>1563098.7708000001</v>
      </c>
      <c r="M241" s="43">
        <v>45296</v>
      </c>
      <c r="N241" s="5">
        <v>8.2510999999999992</v>
      </c>
      <c r="O241">
        <v>5.9385000000000003</v>
      </c>
      <c r="P241">
        <v>0.1074</v>
      </c>
      <c r="Q241">
        <v>35.533799999999999</v>
      </c>
      <c r="R241">
        <v>1.4941</v>
      </c>
      <c r="S241">
        <v>195.11080000000001</v>
      </c>
      <c r="T241">
        <v>40.052900000000001</v>
      </c>
      <c r="U241">
        <v>25.394600000000001</v>
      </c>
      <c r="V241">
        <v>3105.8389999999999</v>
      </c>
      <c r="W241">
        <v>2437590.858</v>
      </c>
      <c r="Y241" s="5">
        <v>4.8712</v>
      </c>
      <c r="Z241">
        <v>6.4301000000000004</v>
      </c>
      <c r="AA241">
        <v>7.2599999999999998E-2</v>
      </c>
      <c r="AB241">
        <v>12.3186</v>
      </c>
      <c r="AC241">
        <v>-0.81</v>
      </c>
      <c r="AD241">
        <v>0</v>
      </c>
      <c r="AE241">
        <v>83.311199999999999</v>
      </c>
      <c r="AF241">
        <v>39.967199999999998</v>
      </c>
      <c r="AG241">
        <v>1649.319</v>
      </c>
      <c r="AH241">
        <v>934108.99430000002</v>
      </c>
      <c r="AK241">
        <v>9.0157000000000007</v>
      </c>
      <c r="AL241">
        <v>5.5845000000000002</v>
      </c>
      <c r="AM241">
        <v>0.23250000000000001</v>
      </c>
      <c r="AN241">
        <v>0.1084</v>
      </c>
      <c r="AO241">
        <v>-0.66110000000000002</v>
      </c>
      <c r="AP241">
        <v>0</v>
      </c>
      <c r="AQ241">
        <v>21.2028</v>
      </c>
      <c r="AR241">
        <v>7.8147000000000002</v>
      </c>
      <c r="AS241">
        <v>869.75300000000004</v>
      </c>
      <c r="AT241">
        <v>526938.44709999999</v>
      </c>
      <c r="AV241">
        <v>3.0777999999999999</v>
      </c>
      <c r="AW241">
        <v>-0.87809999999999999</v>
      </c>
      <c r="AX241">
        <v>0.03</v>
      </c>
      <c r="AY241">
        <v>14.605600000000001</v>
      </c>
      <c r="AZ241">
        <v>-0.85670000000000002</v>
      </c>
      <c r="BA241" t="s">
        <v>23</v>
      </c>
      <c r="BB241">
        <v>-3.738</v>
      </c>
      <c r="BC241">
        <v>-17.087399999999999</v>
      </c>
      <c r="BD241">
        <v>1034.3</v>
      </c>
      <c r="BE241">
        <v>905344.17929999996</v>
      </c>
      <c r="BH241" s="5">
        <v>9.2017000000000007</v>
      </c>
      <c r="BI241">
        <v>15.956799999999999</v>
      </c>
      <c r="BJ241">
        <v>0.29609999999999997</v>
      </c>
      <c r="BK241">
        <v>10.4549</v>
      </c>
      <c r="BL241">
        <v>-0.2742</v>
      </c>
      <c r="BM241">
        <v>0</v>
      </c>
      <c r="BN241">
        <v>7.5549999999999997</v>
      </c>
      <c r="BO241">
        <v>2.7195999999999998</v>
      </c>
      <c r="BP241">
        <v>756.78800000000001</v>
      </c>
      <c r="BQ241">
        <v>471842.9314</v>
      </c>
      <c r="CE241" s="1">
        <f t="shared" si="27"/>
        <v>45296</v>
      </c>
      <c r="CF241" s="35">
        <f t="shared" si="26"/>
        <v>6.5808832923586467</v>
      </c>
      <c r="CG241" s="36">
        <f t="shared" si="25"/>
        <v>0.8264273499812026</v>
      </c>
      <c r="CH241">
        <f t="shared" ca="1" si="20"/>
        <v>-0.17998608517331516</v>
      </c>
      <c r="CI241">
        <f t="shared" ca="1" si="21"/>
        <v>-0.41886954129448495</v>
      </c>
      <c r="CJ241">
        <f t="shared" ca="1" si="22"/>
        <v>-0.55294736045256432</v>
      </c>
      <c r="CK241">
        <f t="shared" ca="1" si="23"/>
        <v>-0.77485923637998178</v>
      </c>
      <c r="CL241">
        <f t="shared" ca="1" si="24"/>
        <v>-0.88257881450583486</v>
      </c>
    </row>
    <row r="242" spans="1:90" x14ac:dyDescent="0.25">
      <c r="A242" s="43">
        <v>45303</v>
      </c>
      <c r="B242" s="5">
        <v>5.5190000000000001</v>
      </c>
      <c r="C242">
        <v>10.8406</v>
      </c>
      <c r="D242">
        <v>0.33139999999999997</v>
      </c>
      <c r="E242">
        <v>28.125299999999999</v>
      </c>
      <c r="F242">
        <v>1.6415</v>
      </c>
      <c r="G242">
        <v>0.21340000000000001</v>
      </c>
      <c r="H242">
        <v>67.628799999999998</v>
      </c>
      <c r="I242">
        <v>44.078499999999998</v>
      </c>
      <c r="J242">
        <v>920.63499999999999</v>
      </c>
      <c r="K242">
        <v>1607501.1440000001</v>
      </c>
      <c r="M242" s="43">
        <v>45303</v>
      </c>
      <c r="N242" s="5">
        <v>8.4126999999999992</v>
      </c>
      <c r="O242">
        <v>5.9385000000000003</v>
      </c>
      <c r="P242">
        <v>0.1074</v>
      </c>
      <c r="Q242">
        <v>35.533799999999999</v>
      </c>
      <c r="R242">
        <v>1.4941</v>
      </c>
      <c r="S242">
        <v>195.11080000000001</v>
      </c>
      <c r="T242">
        <v>40.052900000000001</v>
      </c>
      <c r="U242">
        <v>25.394600000000001</v>
      </c>
      <c r="V242">
        <v>3180.123</v>
      </c>
      <c r="W242">
        <v>2495892.202</v>
      </c>
      <c r="Y242" s="5">
        <v>4.7775999999999996</v>
      </c>
      <c r="Z242">
        <v>6.4301000000000004</v>
      </c>
      <c r="AA242">
        <v>7.2599999999999998E-2</v>
      </c>
      <c r="AB242">
        <v>12.3186</v>
      </c>
      <c r="AC242">
        <v>-0.81</v>
      </c>
      <c r="AD242">
        <v>0</v>
      </c>
      <c r="AE242">
        <v>83.311199999999999</v>
      </c>
      <c r="AF242">
        <v>39.967199999999998</v>
      </c>
      <c r="AG242">
        <v>1622.1669999999999</v>
      </c>
      <c r="AH242">
        <v>918730.90639999998</v>
      </c>
      <c r="AK242">
        <v>9.5547000000000004</v>
      </c>
      <c r="AL242">
        <v>5.5845000000000002</v>
      </c>
      <c r="AM242">
        <v>0.23250000000000001</v>
      </c>
      <c r="AN242">
        <v>0.1084</v>
      </c>
      <c r="AO242">
        <v>-0.66110000000000002</v>
      </c>
      <c r="AP242">
        <v>0</v>
      </c>
      <c r="AQ242">
        <v>21.2028</v>
      </c>
      <c r="AR242">
        <v>7.8147000000000002</v>
      </c>
      <c r="AS242">
        <v>918.19500000000005</v>
      </c>
      <c r="AT242">
        <v>556286.91749999998</v>
      </c>
      <c r="AV242">
        <v>3.0777999999999999</v>
      </c>
      <c r="AW242">
        <v>-0.87809999999999999</v>
      </c>
      <c r="AX242">
        <v>0.03</v>
      </c>
      <c r="AY242">
        <v>14.605600000000001</v>
      </c>
      <c r="AZ242">
        <v>-0.85670000000000002</v>
      </c>
      <c r="BA242" t="s">
        <v>23</v>
      </c>
      <c r="BB242">
        <v>-3.738</v>
      </c>
      <c r="BC242">
        <v>-17.087399999999999</v>
      </c>
      <c r="BD242">
        <v>1060.75</v>
      </c>
      <c r="BE242">
        <v>928496.41130000004</v>
      </c>
      <c r="BH242" s="5">
        <v>14.496499999999999</v>
      </c>
      <c r="BI242">
        <v>15.956799999999999</v>
      </c>
      <c r="BJ242">
        <v>0.29609999999999997</v>
      </c>
      <c r="BK242">
        <v>10.4549</v>
      </c>
      <c r="BL242">
        <v>-0.2742</v>
      </c>
      <c r="BM242">
        <v>0</v>
      </c>
      <c r="BN242">
        <v>7.5549999999999997</v>
      </c>
      <c r="BO242">
        <v>2.7195999999999998</v>
      </c>
      <c r="BP242">
        <v>1180.3710000000001</v>
      </c>
      <c r="BQ242">
        <v>735938.37190000003</v>
      </c>
      <c r="CE242" s="1">
        <f t="shared" si="27"/>
        <v>45303</v>
      </c>
      <c r="CF242" s="35">
        <f t="shared" si="26"/>
        <v>7.3313351874860242</v>
      </c>
      <c r="CG242" s="36">
        <f t="shared" si="25"/>
        <v>1.1798231783970081</v>
      </c>
      <c r="CH242">
        <f t="shared" ca="1" si="20"/>
        <v>0.10170794089854879</v>
      </c>
      <c r="CI242">
        <f t="shared" ca="1" si="21"/>
        <v>-0.40751277823599941</v>
      </c>
      <c r="CJ242">
        <f t="shared" ca="1" si="22"/>
        <v>-0.55294736045256432</v>
      </c>
      <c r="CK242">
        <f t="shared" ca="1" si="23"/>
        <v>-0.77485923637998178</v>
      </c>
      <c r="CL242">
        <f t="shared" ca="1" si="24"/>
        <v>-0.88257881450583486</v>
      </c>
    </row>
    <row r="243" spans="1:90" x14ac:dyDescent="0.25">
      <c r="A243" s="43">
        <v>45310</v>
      </c>
      <c r="B243" s="5">
        <v>5.9513999999999996</v>
      </c>
      <c r="C243">
        <v>10.8406</v>
      </c>
      <c r="D243">
        <v>0.33139999999999997</v>
      </c>
      <c r="E243">
        <v>28.125299999999999</v>
      </c>
      <c r="F243">
        <v>1.6415</v>
      </c>
      <c r="G243">
        <v>0.21340000000000001</v>
      </c>
      <c r="H243">
        <v>67.628799999999998</v>
      </c>
      <c r="I243">
        <v>44.078499999999998</v>
      </c>
      <c r="J243">
        <v>1026.3130000000001</v>
      </c>
      <c r="K243">
        <v>1792022.6812</v>
      </c>
      <c r="M243" s="43">
        <v>45310</v>
      </c>
      <c r="N243" s="5">
        <v>9.3315999999999999</v>
      </c>
      <c r="O243">
        <v>5.9385000000000003</v>
      </c>
      <c r="P243">
        <v>0.1074</v>
      </c>
      <c r="Q243">
        <v>35.533799999999999</v>
      </c>
      <c r="R243">
        <v>1.4941</v>
      </c>
      <c r="S243">
        <v>195.11080000000001</v>
      </c>
      <c r="T243">
        <v>40.052900000000001</v>
      </c>
      <c r="U243">
        <v>25.394600000000001</v>
      </c>
      <c r="V243">
        <v>3602.4740000000002</v>
      </c>
      <c r="W243">
        <v>2827370.5337999999</v>
      </c>
      <c r="Y243" s="5">
        <v>5.5726000000000004</v>
      </c>
      <c r="Z243">
        <v>6.4301000000000004</v>
      </c>
      <c r="AA243">
        <v>7.2599999999999998E-2</v>
      </c>
      <c r="AB243">
        <v>12.3186</v>
      </c>
      <c r="AC243">
        <v>-0.81</v>
      </c>
      <c r="AD243">
        <v>0</v>
      </c>
      <c r="AE243">
        <v>83.311199999999999</v>
      </c>
      <c r="AF243">
        <v>39.967199999999998</v>
      </c>
      <c r="AG243">
        <v>1852.963</v>
      </c>
      <c r="AH243">
        <v>1049444.6532999999</v>
      </c>
      <c r="AK243">
        <v>10.763299999999999</v>
      </c>
      <c r="AL243">
        <v>5.5845000000000002</v>
      </c>
      <c r="AM243">
        <v>0.23250000000000001</v>
      </c>
      <c r="AN243">
        <v>0.1084</v>
      </c>
      <c r="AO243">
        <v>-0.66110000000000002</v>
      </c>
      <c r="AP243">
        <v>0</v>
      </c>
      <c r="AQ243">
        <v>21.2028</v>
      </c>
      <c r="AR243">
        <v>7.8147000000000002</v>
      </c>
      <c r="AS243">
        <v>1026.8230000000001</v>
      </c>
      <c r="AT243">
        <v>622098.63919999998</v>
      </c>
      <c r="AV243">
        <v>3.0777999999999999</v>
      </c>
      <c r="AW243">
        <v>-0.87809999999999999</v>
      </c>
      <c r="AX243">
        <v>0.03</v>
      </c>
      <c r="AY243">
        <v>14.605600000000001</v>
      </c>
      <c r="AZ243">
        <v>-0.85670000000000002</v>
      </c>
      <c r="BA243" t="s">
        <v>23</v>
      </c>
      <c r="BB243">
        <v>-3.738</v>
      </c>
      <c r="BC243">
        <v>-17.087399999999999</v>
      </c>
      <c r="BD243">
        <v>1294.45</v>
      </c>
      <c r="BE243">
        <v>1133058.8541999999</v>
      </c>
      <c r="BH243" s="5">
        <v>12.9902</v>
      </c>
      <c r="BI243">
        <v>15.956799999999999</v>
      </c>
      <c r="BJ243">
        <v>0.29609999999999997</v>
      </c>
      <c r="BK243">
        <v>10.4549</v>
      </c>
      <c r="BL243">
        <v>-0.2742</v>
      </c>
      <c r="BM243">
        <v>0</v>
      </c>
      <c r="BN243">
        <v>7.5549999999999997</v>
      </c>
      <c r="BO243">
        <v>2.7195999999999998</v>
      </c>
      <c r="BP243">
        <v>1059.8689999999999</v>
      </c>
      <c r="BQ243">
        <v>660807.77249999996</v>
      </c>
      <c r="CE243" s="1">
        <f t="shared" si="27"/>
        <v>45310</v>
      </c>
      <c r="CF243" s="35">
        <f t="shared" si="26"/>
        <v>7.6271811274314594</v>
      </c>
      <c r="CG243" s="36">
        <f t="shared" si="25"/>
        <v>1.3191401975281596</v>
      </c>
      <c r="CH243">
        <f t="shared" ca="1" si="20"/>
        <v>0.17029797073485672</v>
      </c>
      <c r="CI243">
        <f t="shared" ca="1" si="21"/>
        <v>-0.40047310572970551</v>
      </c>
      <c r="CJ243">
        <f t="shared" ca="1" si="22"/>
        <v>-0.55294736045256432</v>
      </c>
      <c r="CK243">
        <f t="shared" ca="1" si="23"/>
        <v>-0.77485923637998178</v>
      </c>
      <c r="CL243">
        <f t="shared" ca="1" si="24"/>
        <v>-0.88257881450583486</v>
      </c>
    </row>
    <row r="244" spans="1:90" x14ac:dyDescent="0.25">
      <c r="A244" s="43">
        <v>45317</v>
      </c>
      <c r="B244" s="5">
        <v>5.9691000000000001</v>
      </c>
      <c r="C244">
        <v>10.8406</v>
      </c>
      <c r="D244">
        <v>0.33139999999999997</v>
      </c>
      <c r="E244">
        <v>28.125299999999999</v>
      </c>
      <c r="F244">
        <v>1.6415</v>
      </c>
      <c r="G244">
        <v>0.21340000000000001</v>
      </c>
      <c r="H244">
        <v>67.628799999999998</v>
      </c>
      <c r="I244">
        <v>44.078499999999998</v>
      </c>
      <c r="J244">
        <v>1030.6590000000001</v>
      </c>
      <c r="K244">
        <v>1799610.9040000001</v>
      </c>
      <c r="M244" s="43">
        <v>45317</v>
      </c>
      <c r="N244" s="5">
        <v>9.4313000000000002</v>
      </c>
      <c r="O244">
        <v>5.9385000000000003</v>
      </c>
      <c r="P244">
        <v>0.1074</v>
      </c>
      <c r="Q244">
        <v>35.533799999999999</v>
      </c>
      <c r="R244">
        <v>1.4941</v>
      </c>
      <c r="S244">
        <v>195.11080000000001</v>
      </c>
      <c r="T244">
        <v>40.052900000000001</v>
      </c>
      <c r="U244">
        <v>25.394600000000001</v>
      </c>
      <c r="V244">
        <v>3648.32</v>
      </c>
      <c r="W244">
        <v>2863352.5123999999</v>
      </c>
      <c r="Y244" s="5">
        <v>5.6955999999999998</v>
      </c>
      <c r="Z244">
        <v>6.4301000000000004</v>
      </c>
      <c r="AA244">
        <v>7.2599999999999998E-2</v>
      </c>
      <c r="AB244">
        <v>12.3186</v>
      </c>
      <c r="AC244">
        <v>-0.81</v>
      </c>
      <c r="AD244">
        <v>0</v>
      </c>
      <c r="AE244">
        <v>83.311199999999999</v>
      </c>
      <c r="AF244">
        <v>39.967199999999998</v>
      </c>
      <c r="AG244">
        <v>1888.6489999999999</v>
      </c>
      <c r="AH244">
        <v>1069655.8544999999</v>
      </c>
      <c r="AK244">
        <v>11.5799</v>
      </c>
      <c r="AL244">
        <v>5.5845000000000002</v>
      </c>
      <c r="AM244">
        <v>0.23250000000000001</v>
      </c>
      <c r="AN244">
        <v>0.1084</v>
      </c>
      <c r="AO244">
        <v>-0.66110000000000002</v>
      </c>
      <c r="AP244">
        <v>0</v>
      </c>
      <c r="AQ244">
        <v>21.2028</v>
      </c>
      <c r="AR244">
        <v>7.8147000000000002</v>
      </c>
      <c r="AS244">
        <v>1100.22</v>
      </c>
      <c r="AT244">
        <v>666566.01870000002</v>
      </c>
      <c r="AV244">
        <v>3.0777999999999999</v>
      </c>
      <c r="AW244">
        <v>-0.87809999999999999</v>
      </c>
      <c r="AX244">
        <v>0.03</v>
      </c>
      <c r="AY244">
        <v>14.605600000000001</v>
      </c>
      <c r="AZ244">
        <v>-0.85670000000000002</v>
      </c>
      <c r="BA244" t="s">
        <v>23</v>
      </c>
      <c r="BB244">
        <v>-3.738</v>
      </c>
      <c r="BC244">
        <v>-17.087399999999999</v>
      </c>
      <c r="BD244">
        <v>1276.45</v>
      </c>
      <c r="BE244">
        <v>1157044.6124</v>
      </c>
      <c r="BH244" s="5">
        <v>12.2599</v>
      </c>
      <c r="BI244">
        <v>15.956799999999999</v>
      </c>
      <c r="BJ244">
        <v>0.29609999999999997</v>
      </c>
      <c r="BK244">
        <v>10.4549</v>
      </c>
      <c r="BL244">
        <v>-0.2742</v>
      </c>
      <c r="BM244">
        <v>0</v>
      </c>
      <c r="BN244">
        <v>7.5549999999999997</v>
      </c>
      <c r="BO244">
        <v>2.7195999999999998</v>
      </c>
      <c r="BP244">
        <v>1001.444</v>
      </c>
      <c r="BQ244">
        <v>624380.81519999995</v>
      </c>
      <c r="CE244" s="1">
        <f t="shared" si="27"/>
        <v>45317</v>
      </c>
      <c r="CF244" s="35">
        <f t="shared" si="26"/>
        <v>7.6735459193075961</v>
      </c>
      <c r="CG244" s="36">
        <f t="shared" si="25"/>
        <v>1.3409738741978847</v>
      </c>
      <c r="CH244">
        <f t="shared" ca="1" si="20"/>
        <v>0.2641533350365266</v>
      </c>
      <c r="CI244">
        <f t="shared" ca="1" si="21"/>
        <v>-0.3903843317477263</v>
      </c>
      <c r="CJ244">
        <f t="shared" ca="1" si="22"/>
        <v>-0.55294736045256432</v>
      </c>
      <c r="CK244">
        <f t="shared" ca="1" si="23"/>
        <v>-0.77485923637998178</v>
      </c>
      <c r="CL244">
        <f t="shared" ca="1" si="24"/>
        <v>-0.88257881450583486</v>
      </c>
    </row>
    <row r="245" spans="1:90" x14ac:dyDescent="0.25">
      <c r="A245" s="43">
        <v>45324</v>
      </c>
      <c r="B245" s="5">
        <v>6.2404000000000002</v>
      </c>
      <c r="C245">
        <v>10.8406</v>
      </c>
      <c r="D245">
        <v>0.33139999999999997</v>
      </c>
      <c r="E245">
        <v>28.125299999999999</v>
      </c>
      <c r="F245">
        <v>1.6415</v>
      </c>
      <c r="G245">
        <v>0.21340000000000001</v>
      </c>
      <c r="H245">
        <v>67.628799999999998</v>
      </c>
      <c r="I245">
        <v>44.078499999999998</v>
      </c>
      <c r="J245">
        <v>1096.9659999999999</v>
      </c>
      <c r="K245">
        <v>1915387.6503000001</v>
      </c>
      <c r="M245" s="43">
        <v>45324</v>
      </c>
      <c r="N245" s="5">
        <v>9.7499000000000002</v>
      </c>
      <c r="O245">
        <v>5.9385000000000003</v>
      </c>
      <c r="P245">
        <v>0.1074</v>
      </c>
      <c r="Q245">
        <v>35.533799999999999</v>
      </c>
      <c r="R245">
        <v>1.4941</v>
      </c>
      <c r="S245">
        <v>195.11080000000001</v>
      </c>
      <c r="T245">
        <v>40.052900000000001</v>
      </c>
      <c r="U245">
        <v>25.394600000000001</v>
      </c>
      <c r="V245">
        <v>3794.7779999999998</v>
      </c>
      <c r="W245">
        <v>2978299.1260000002</v>
      </c>
      <c r="Y245" s="5">
        <v>5.8292000000000002</v>
      </c>
      <c r="Z245">
        <v>6.4301000000000004</v>
      </c>
      <c r="AA245">
        <v>7.2599999999999998E-2</v>
      </c>
      <c r="AB245">
        <v>12.3186</v>
      </c>
      <c r="AC245">
        <v>-0.81</v>
      </c>
      <c r="AD245">
        <v>0</v>
      </c>
      <c r="AE245">
        <v>83.311199999999999</v>
      </c>
      <c r="AF245">
        <v>39.967199999999998</v>
      </c>
      <c r="AG245">
        <v>1927.4380000000001</v>
      </c>
      <c r="AH245">
        <v>1091624.5514</v>
      </c>
      <c r="AK245">
        <v>11.849399999999999</v>
      </c>
      <c r="AL245">
        <v>5.5845000000000002</v>
      </c>
      <c r="AM245">
        <v>0.23250000000000001</v>
      </c>
      <c r="AN245">
        <v>0.1084</v>
      </c>
      <c r="AO245">
        <v>-0.66110000000000002</v>
      </c>
      <c r="AP245">
        <v>0</v>
      </c>
      <c r="AQ245">
        <v>21.2028</v>
      </c>
      <c r="AR245">
        <v>7.8147000000000002</v>
      </c>
      <c r="AS245">
        <v>1124.441</v>
      </c>
      <c r="AT245">
        <v>681240.25390000001</v>
      </c>
      <c r="AV245">
        <v>3.0777999999999999</v>
      </c>
      <c r="AW245">
        <v>-0.87809999999999999</v>
      </c>
      <c r="AX245">
        <v>0.03</v>
      </c>
      <c r="AY245">
        <v>14.605600000000001</v>
      </c>
      <c r="AZ245">
        <v>-0.85670000000000002</v>
      </c>
      <c r="BA245" t="s">
        <v>23</v>
      </c>
      <c r="BB245">
        <v>-3.738</v>
      </c>
      <c r="BC245">
        <v>-17.087399999999999</v>
      </c>
      <c r="BD245">
        <v>1291</v>
      </c>
      <c r="BE245">
        <v>1170233.5341</v>
      </c>
      <c r="BH245" s="5">
        <v>12.859</v>
      </c>
      <c r="BI245">
        <v>15.956799999999999</v>
      </c>
      <c r="BJ245">
        <v>0.29609999999999997</v>
      </c>
      <c r="BK245">
        <v>10.4549</v>
      </c>
      <c r="BL245">
        <v>-0.2742</v>
      </c>
      <c r="BM245">
        <v>0</v>
      </c>
      <c r="BN245">
        <v>7.5549999999999997</v>
      </c>
      <c r="BO245">
        <v>2.7195999999999998</v>
      </c>
      <c r="BP245">
        <v>1049.3710000000001</v>
      </c>
      <c r="BQ245">
        <v>654262.30359999998</v>
      </c>
      <c r="CE245" s="1">
        <f t="shared" si="27"/>
        <v>45324</v>
      </c>
      <c r="CF245" s="35">
        <f t="shared" si="26"/>
        <v>7.9426471486963273</v>
      </c>
      <c r="CG245" s="36">
        <f t="shared" si="25"/>
        <v>1.4676965229179613</v>
      </c>
      <c r="CH245">
        <f t="shared" ca="1" si="20"/>
        <v>0.30369494923673346</v>
      </c>
      <c r="CI245">
        <f t="shared" ca="1" si="21"/>
        <v>-0.38036035488642217</v>
      </c>
      <c r="CJ245">
        <f t="shared" ca="1" si="22"/>
        <v>-0.55294736045256432</v>
      </c>
      <c r="CK245">
        <f t="shared" ca="1" si="23"/>
        <v>-0.77485923637998178</v>
      </c>
      <c r="CL245">
        <f t="shared" ca="1" si="24"/>
        <v>-0.88257881450583486</v>
      </c>
    </row>
    <row r="246" spans="1:90" x14ac:dyDescent="0.25">
      <c r="A246" s="43">
        <v>45331</v>
      </c>
      <c r="B246" s="5">
        <v>5.4215</v>
      </c>
      <c r="C246">
        <v>10.8406</v>
      </c>
      <c r="D246">
        <v>0.33139999999999997</v>
      </c>
      <c r="E246">
        <v>28.125299999999999</v>
      </c>
      <c r="F246">
        <v>1.6415</v>
      </c>
      <c r="G246">
        <v>0.21340000000000001</v>
      </c>
      <c r="H246">
        <v>67.628799999999998</v>
      </c>
      <c r="I246">
        <v>44.078499999999998</v>
      </c>
      <c r="J246">
        <v>896.798</v>
      </c>
      <c r="K246">
        <v>1565878.6148000001</v>
      </c>
      <c r="M246" s="43">
        <v>45331</v>
      </c>
      <c r="N246" s="5">
        <v>8.3313000000000006</v>
      </c>
      <c r="O246">
        <v>5.9385000000000003</v>
      </c>
      <c r="P246">
        <v>0.1074</v>
      </c>
      <c r="Q246">
        <v>35.533799999999999</v>
      </c>
      <c r="R246">
        <v>1.4941</v>
      </c>
      <c r="S246">
        <v>195.11080000000001</v>
      </c>
      <c r="T246">
        <v>40.052900000000001</v>
      </c>
      <c r="U246">
        <v>25.394600000000001</v>
      </c>
      <c r="V246">
        <v>3142.7170000000001</v>
      </c>
      <c r="W246">
        <v>2466534.5207000002</v>
      </c>
      <c r="Y246" s="5">
        <v>4.7990000000000004</v>
      </c>
      <c r="Z246">
        <v>6.4301000000000004</v>
      </c>
      <c r="AA246">
        <v>7.2599999999999998E-2</v>
      </c>
      <c r="AB246">
        <v>12.3186</v>
      </c>
      <c r="AC246">
        <v>-0.81</v>
      </c>
      <c r="AD246">
        <v>0</v>
      </c>
      <c r="AE246">
        <v>83.311199999999999</v>
      </c>
      <c r="AF246">
        <v>39.967199999999998</v>
      </c>
      <c r="AG246">
        <v>1628.373</v>
      </c>
      <c r="AH246">
        <v>922245.89800000004</v>
      </c>
      <c r="AK246">
        <v>9.2157999999999998</v>
      </c>
      <c r="AL246">
        <v>5.5845000000000002</v>
      </c>
      <c r="AM246">
        <v>0.23250000000000001</v>
      </c>
      <c r="AN246">
        <v>0.1084</v>
      </c>
      <c r="AO246">
        <v>-0.66110000000000002</v>
      </c>
      <c r="AP246">
        <v>0</v>
      </c>
      <c r="AQ246">
        <v>21.2028</v>
      </c>
      <c r="AR246">
        <v>7.8147000000000002</v>
      </c>
      <c r="AS246">
        <v>887.73599999999999</v>
      </c>
      <c r="AT246">
        <v>537832.95510000002</v>
      </c>
      <c r="AV246">
        <v>3.0777999999999999</v>
      </c>
      <c r="AW246">
        <v>-0.87809999999999999</v>
      </c>
      <c r="AX246">
        <v>0.03</v>
      </c>
      <c r="AY246">
        <v>14.605600000000001</v>
      </c>
      <c r="AZ246">
        <v>-0.85670000000000002</v>
      </c>
      <c r="BA246" t="s">
        <v>23</v>
      </c>
      <c r="BB246">
        <v>-3.738</v>
      </c>
      <c r="BC246">
        <v>-17.087399999999999</v>
      </c>
      <c r="BD246">
        <v>1102.3499999999999</v>
      </c>
      <c r="BE246">
        <v>999230.77949999995</v>
      </c>
      <c r="BH246" s="5">
        <v>10.211600000000001</v>
      </c>
      <c r="BI246">
        <v>15.956799999999999</v>
      </c>
      <c r="BJ246">
        <v>0.29609999999999997</v>
      </c>
      <c r="BK246">
        <v>10.4549</v>
      </c>
      <c r="BL246">
        <v>-0.2742</v>
      </c>
      <c r="BM246">
        <v>0</v>
      </c>
      <c r="BN246">
        <v>7.5549999999999997</v>
      </c>
      <c r="BO246">
        <v>2.7195999999999998</v>
      </c>
      <c r="BP246">
        <v>837.57899999999995</v>
      </c>
      <c r="BQ246">
        <v>522214.5833</v>
      </c>
      <c r="CE246" s="1">
        <f t="shared" si="27"/>
        <v>45331</v>
      </c>
      <c r="CF246" s="35">
        <f t="shared" si="26"/>
        <v>6.676613371401559</v>
      </c>
      <c r="CG246" s="36">
        <f t="shared" si="25"/>
        <v>0.8715076686629728</v>
      </c>
      <c r="CH246">
        <f t="shared" ca="1" si="20"/>
        <v>0.60275252465784046</v>
      </c>
      <c r="CI246">
        <f t="shared" ca="1" si="21"/>
        <v>-0.36974223638028347</v>
      </c>
      <c r="CJ246">
        <f t="shared" ca="1" si="22"/>
        <v>-0.55294736045256432</v>
      </c>
      <c r="CK246">
        <f t="shared" ca="1" si="23"/>
        <v>-0.77485923637998178</v>
      </c>
      <c r="CL246">
        <f t="shared" ca="1" si="24"/>
        <v>-0.88257881450583486</v>
      </c>
    </row>
    <row r="247" spans="1:90" x14ac:dyDescent="0.25">
      <c r="A247" s="43">
        <v>45338</v>
      </c>
      <c r="B247" s="5">
        <v>5.0650000000000004</v>
      </c>
      <c r="C247">
        <v>10.8406</v>
      </c>
      <c r="D247">
        <v>0.33139999999999997</v>
      </c>
      <c r="E247">
        <v>28.125299999999999</v>
      </c>
      <c r="F247">
        <v>1.6415</v>
      </c>
      <c r="G247">
        <v>0.21340000000000001</v>
      </c>
      <c r="H247">
        <v>67.628799999999998</v>
      </c>
      <c r="I247">
        <v>44.078499999999998</v>
      </c>
      <c r="J247">
        <v>809.66499999999996</v>
      </c>
      <c r="K247">
        <v>1413738.5038000001</v>
      </c>
      <c r="M247" s="43">
        <v>45338</v>
      </c>
      <c r="N247" s="5">
        <v>7.8133999999999997</v>
      </c>
      <c r="O247">
        <v>5.9385000000000003</v>
      </c>
      <c r="P247">
        <v>0.1074</v>
      </c>
      <c r="Q247">
        <v>35.533799999999999</v>
      </c>
      <c r="R247">
        <v>1.4941</v>
      </c>
      <c r="S247">
        <v>195.11080000000001</v>
      </c>
      <c r="T247">
        <v>40.052900000000001</v>
      </c>
      <c r="U247">
        <v>25.394600000000001</v>
      </c>
      <c r="V247">
        <v>2904.6619999999998</v>
      </c>
      <c r="W247">
        <v>2279699.2261000001</v>
      </c>
      <c r="Y247" s="5">
        <v>4.4409000000000001</v>
      </c>
      <c r="Z247">
        <v>6.4301000000000004</v>
      </c>
      <c r="AA247">
        <v>7.2599999999999998E-2</v>
      </c>
      <c r="AB247">
        <v>12.3186</v>
      </c>
      <c r="AC247">
        <v>-0.81</v>
      </c>
      <c r="AD247">
        <v>0</v>
      </c>
      <c r="AE247">
        <v>83.311199999999999</v>
      </c>
      <c r="AF247">
        <v>39.967199999999998</v>
      </c>
      <c r="AG247">
        <v>1524.4179999999999</v>
      </c>
      <c r="AH247">
        <v>863369.79009999998</v>
      </c>
      <c r="AK247">
        <v>9.5751000000000008</v>
      </c>
      <c r="AL247">
        <v>5.5845000000000002</v>
      </c>
      <c r="AM247">
        <v>0.23250000000000001</v>
      </c>
      <c r="AN247">
        <v>0.1084</v>
      </c>
      <c r="AO247">
        <v>-0.66110000000000002</v>
      </c>
      <c r="AP247">
        <v>0</v>
      </c>
      <c r="AQ247">
        <v>21.2028</v>
      </c>
      <c r="AR247">
        <v>7.8147000000000002</v>
      </c>
      <c r="AS247">
        <v>920.03</v>
      </c>
      <c r="AT247">
        <v>557398.60199999996</v>
      </c>
      <c r="AV247">
        <v>3.0777999999999999</v>
      </c>
      <c r="AW247">
        <v>-0.87809999999999999</v>
      </c>
      <c r="AX247">
        <v>0.03</v>
      </c>
      <c r="AY247">
        <v>14.605600000000001</v>
      </c>
      <c r="AZ247">
        <v>-0.85670000000000002</v>
      </c>
      <c r="BA247" t="s">
        <v>23</v>
      </c>
      <c r="BB247">
        <v>-3.738</v>
      </c>
      <c r="BC247">
        <v>-17.087399999999999</v>
      </c>
      <c r="BD247">
        <v>1049.95</v>
      </c>
      <c r="BE247">
        <v>951732.53220000002</v>
      </c>
      <c r="BH247" s="5">
        <v>10.2972</v>
      </c>
      <c r="BI247">
        <v>15.956799999999999</v>
      </c>
      <c r="BJ247">
        <v>0.29609999999999997</v>
      </c>
      <c r="BK247">
        <v>10.4549</v>
      </c>
      <c r="BL247">
        <v>-0.2742</v>
      </c>
      <c r="BM247">
        <v>0</v>
      </c>
      <c r="BN247">
        <v>7.5549999999999997</v>
      </c>
      <c r="BO247">
        <v>2.7195999999999998</v>
      </c>
      <c r="BP247">
        <v>844.42600000000004</v>
      </c>
      <c r="BQ247">
        <v>526483.36739999999</v>
      </c>
      <c r="CE247" s="1">
        <f t="shared" si="27"/>
        <v>45338</v>
      </c>
      <c r="CF247" s="35">
        <f t="shared" si="26"/>
        <v>6.4459800190256775</v>
      </c>
      <c r="CG247" s="36">
        <f t="shared" si="25"/>
        <v>0.76289995489425111</v>
      </c>
      <c r="CH247">
        <f t="shared" ca="1" si="20"/>
        <v>0.80734620303081683</v>
      </c>
      <c r="CI247">
        <f t="shared" ca="1" si="21"/>
        <v>-0.34513876375247832</v>
      </c>
      <c r="CJ247">
        <f t="shared" ca="1" si="22"/>
        <v>-0.55294736045256432</v>
      </c>
      <c r="CK247">
        <f t="shared" ca="1" si="23"/>
        <v>-0.77485923637998178</v>
      </c>
      <c r="CL247">
        <f t="shared" ca="1" si="24"/>
        <v>-0.88257881450583486</v>
      </c>
    </row>
    <row r="248" spans="1:90" x14ac:dyDescent="0.25">
      <c r="A248" s="43">
        <v>45345</v>
      </c>
      <c r="B248" s="5">
        <v>5.0987999999999998</v>
      </c>
      <c r="C248">
        <v>10.8406</v>
      </c>
      <c r="D248">
        <v>0.33139999999999997</v>
      </c>
      <c r="E248">
        <v>28.125299999999999</v>
      </c>
      <c r="F248">
        <v>1.6415</v>
      </c>
      <c r="G248">
        <v>0.21340000000000001</v>
      </c>
      <c r="H248">
        <v>67.628799999999998</v>
      </c>
      <c r="I248">
        <v>44.078499999999998</v>
      </c>
      <c r="J248">
        <v>817.92700000000002</v>
      </c>
      <c r="K248">
        <v>1428163.6402</v>
      </c>
      <c r="M248" s="43">
        <v>45345</v>
      </c>
      <c r="N248" s="5">
        <v>8.2196999999999996</v>
      </c>
      <c r="O248">
        <v>5.9385000000000003</v>
      </c>
      <c r="P248">
        <v>0.1074</v>
      </c>
      <c r="Q248">
        <v>35.533799999999999</v>
      </c>
      <c r="R248">
        <v>1.4941</v>
      </c>
      <c r="S248">
        <v>195.11080000000001</v>
      </c>
      <c r="T248">
        <v>40.052900000000001</v>
      </c>
      <c r="U248">
        <v>25.394600000000001</v>
      </c>
      <c r="V248">
        <v>3091.404</v>
      </c>
      <c r="W248">
        <v>2426261.8040999998</v>
      </c>
      <c r="Y248" s="5">
        <v>4.0587999999999997</v>
      </c>
      <c r="Z248">
        <v>6.4301000000000004</v>
      </c>
      <c r="AA248">
        <v>7.2599999999999998E-2</v>
      </c>
      <c r="AB248">
        <v>12.3186</v>
      </c>
      <c r="AC248">
        <v>-0.81</v>
      </c>
      <c r="AD248">
        <v>0</v>
      </c>
      <c r="AE248">
        <v>83.311199999999999</v>
      </c>
      <c r="AF248">
        <v>39.967199999999998</v>
      </c>
      <c r="AG248">
        <v>1413.481</v>
      </c>
      <c r="AH248">
        <v>800539.31689999998</v>
      </c>
      <c r="AK248">
        <v>9.6159999999999997</v>
      </c>
      <c r="AL248">
        <v>5.5845000000000002</v>
      </c>
      <c r="AM248">
        <v>0.23250000000000001</v>
      </c>
      <c r="AN248">
        <v>0.1084</v>
      </c>
      <c r="AO248">
        <v>-0.66110000000000002</v>
      </c>
      <c r="AP248">
        <v>0</v>
      </c>
      <c r="AQ248">
        <v>21.2028</v>
      </c>
      <c r="AR248">
        <v>7.8147000000000002</v>
      </c>
      <c r="AS248">
        <v>923.7</v>
      </c>
      <c r="AT248">
        <v>559621.97100000002</v>
      </c>
      <c r="AV248">
        <v>3.0777999999999999</v>
      </c>
      <c r="AW248">
        <v>-0.87809999999999999</v>
      </c>
      <c r="AX248">
        <v>0.03</v>
      </c>
      <c r="AY248">
        <v>14.605600000000001</v>
      </c>
      <c r="AZ248">
        <v>-0.85670000000000002</v>
      </c>
      <c r="BA248" t="s">
        <v>23</v>
      </c>
      <c r="BB248">
        <v>-3.738</v>
      </c>
      <c r="BC248">
        <v>-17.087399999999999</v>
      </c>
      <c r="BD248">
        <v>1098.45</v>
      </c>
      <c r="BE248">
        <v>974418.80819999997</v>
      </c>
      <c r="BH248" s="5">
        <v>9.2873000000000001</v>
      </c>
      <c r="BI248">
        <v>15.956799999999999</v>
      </c>
      <c r="BJ248">
        <v>0.29609999999999997</v>
      </c>
      <c r="BK248">
        <v>10.4549</v>
      </c>
      <c r="BL248">
        <v>-0.2742</v>
      </c>
      <c r="BM248">
        <v>0</v>
      </c>
      <c r="BN248">
        <v>7.5549999999999997</v>
      </c>
      <c r="BO248">
        <v>2.7195999999999998</v>
      </c>
      <c r="BP248">
        <v>763.63499999999999</v>
      </c>
      <c r="BQ248">
        <v>476111.71549999999</v>
      </c>
      <c r="CE248" s="1">
        <f t="shared" si="27"/>
        <v>45345</v>
      </c>
      <c r="CF248" s="35">
        <f t="shared" si="26"/>
        <v>6.4929806414605498</v>
      </c>
      <c r="CG248" s="36">
        <f t="shared" si="25"/>
        <v>0.78503305097845899</v>
      </c>
      <c r="CH248">
        <f t="shared" ca="1" si="20"/>
        <v>0.8200746104725074</v>
      </c>
      <c r="CI248">
        <f t="shared" ca="1" si="21"/>
        <v>-0.2403455131881499</v>
      </c>
      <c r="CJ248">
        <f t="shared" ca="1" si="22"/>
        <v>-0.55294736045256432</v>
      </c>
      <c r="CK248">
        <f t="shared" ca="1" si="23"/>
        <v>-0.77485923637998178</v>
      </c>
      <c r="CL248">
        <f t="shared" ca="1" si="24"/>
        <v>-0.88257881450583486</v>
      </c>
    </row>
    <row r="249" spans="1:90" x14ac:dyDescent="0.25">
      <c r="A249" s="43">
        <v>45352</v>
      </c>
      <c r="B249" s="5">
        <v>4.8324999999999996</v>
      </c>
      <c r="C249">
        <v>10.8406</v>
      </c>
      <c r="D249">
        <v>0.33139999999999997</v>
      </c>
      <c r="E249">
        <v>28.125299999999999</v>
      </c>
      <c r="F249">
        <v>1.6415</v>
      </c>
      <c r="G249">
        <v>0.21340000000000001</v>
      </c>
      <c r="H249">
        <v>67.628799999999998</v>
      </c>
      <c r="I249">
        <v>44.078499999999998</v>
      </c>
      <c r="J249">
        <v>752.82500000000005</v>
      </c>
      <c r="K249">
        <v>1314490.5597000001</v>
      </c>
      <c r="M249" s="43">
        <v>45352</v>
      </c>
      <c r="N249" s="5">
        <v>7.5468999999999999</v>
      </c>
      <c r="O249">
        <v>5.9385000000000003</v>
      </c>
      <c r="P249">
        <v>0.1074</v>
      </c>
      <c r="Q249">
        <v>35.533799999999999</v>
      </c>
      <c r="R249">
        <v>1.4941</v>
      </c>
      <c r="S249">
        <v>195.11080000000001</v>
      </c>
      <c r="T249">
        <v>40.052900000000001</v>
      </c>
      <c r="U249">
        <v>25.394600000000001</v>
      </c>
      <c r="V249">
        <v>2782.134</v>
      </c>
      <c r="W249">
        <v>2183534.0008999999</v>
      </c>
      <c r="Y249" s="5">
        <v>3.7662</v>
      </c>
      <c r="Z249">
        <v>6.4301000000000004</v>
      </c>
      <c r="AA249">
        <v>7.2599999999999998E-2</v>
      </c>
      <c r="AB249">
        <v>12.3186</v>
      </c>
      <c r="AC249">
        <v>-0.81</v>
      </c>
      <c r="AD249">
        <v>0</v>
      </c>
      <c r="AE249">
        <v>83.311199999999999</v>
      </c>
      <c r="AF249">
        <v>39.967199999999998</v>
      </c>
      <c r="AG249">
        <v>1328.5319999999999</v>
      </c>
      <c r="AH249">
        <v>752427.87049999996</v>
      </c>
      <c r="AK249">
        <v>8.5911000000000008</v>
      </c>
      <c r="AL249">
        <v>5.5845000000000002</v>
      </c>
      <c r="AM249">
        <v>0.23250000000000001</v>
      </c>
      <c r="AN249">
        <v>0.1084</v>
      </c>
      <c r="AO249">
        <v>-0.66110000000000002</v>
      </c>
      <c r="AP249">
        <v>0</v>
      </c>
      <c r="AQ249">
        <v>21.2028</v>
      </c>
      <c r="AR249">
        <v>7.8147000000000002</v>
      </c>
      <c r="AS249">
        <v>831.58699999999999</v>
      </c>
      <c r="AT249">
        <v>503815.40970000002</v>
      </c>
      <c r="AV249">
        <v>3.0777999999999999</v>
      </c>
      <c r="AW249">
        <v>-0.87809999999999999</v>
      </c>
      <c r="AX249">
        <v>0.03</v>
      </c>
      <c r="AY249">
        <v>14.605600000000001</v>
      </c>
      <c r="AZ249">
        <v>-0.85670000000000002</v>
      </c>
      <c r="BA249" t="s">
        <v>23</v>
      </c>
      <c r="BB249">
        <v>-3.738</v>
      </c>
      <c r="BC249">
        <v>-17.087399999999999</v>
      </c>
      <c r="BD249">
        <v>952.15</v>
      </c>
      <c r="BE249">
        <v>844638.2341</v>
      </c>
      <c r="BH249" s="5">
        <v>8.6196999999999999</v>
      </c>
      <c r="BI249">
        <v>15.956799999999999</v>
      </c>
      <c r="BJ249">
        <v>0.29609999999999997</v>
      </c>
      <c r="BK249">
        <v>10.4549</v>
      </c>
      <c r="BL249">
        <v>-0.2742</v>
      </c>
      <c r="BM249">
        <v>0</v>
      </c>
      <c r="BN249">
        <v>7.5549999999999997</v>
      </c>
      <c r="BO249">
        <v>2.7195999999999998</v>
      </c>
      <c r="BP249">
        <v>710.23099999999999</v>
      </c>
      <c r="BQ249">
        <v>442815.1998</v>
      </c>
      <c r="CE249" s="1">
        <f t="shared" si="27"/>
        <v>45352</v>
      </c>
      <c r="CF249" s="35">
        <f t="shared" si="26"/>
        <v>6.0264071896845657</v>
      </c>
      <c r="CG249" s="36">
        <f t="shared" si="25"/>
        <v>0.56531861947687811</v>
      </c>
      <c r="CH249">
        <f t="shared" ca="1" si="20"/>
        <v>0.82228792008092821</v>
      </c>
      <c r="CI249">
        <f t="shared" ca="1" si="21"/>
        <v>-9.5031141485037746E-2</v>
      </c>
      <c r="CJ249">
        <f t="shared" ca="1" si="22"/>
        <v>-0.55294736045256432</v>
      </c>
      <c r="CK249">
        <f t="shared" ca="1" si="23"/>
        <v>-0.77485923637998178</v>
      </c>
      <c r="CL249">
        <f t="shared" ca="1" si="24"/>
        <v>-0.88257881450583486</v>
      </c>
    </row>
    <row r="250" spans="1:90" x14ac:dyDescent="0.25">
      <c r="A250" s="43">
        <v>45359</v>
      </c>
      <c r="B250" s="5">
        <v>4.6521999999999997</v>
      </c>
      <c r="C250">
        <v>10.8406</v>
      </c>
      <c r="D250">
        <v>0.33139999999999997</v>
      </c>
      <c r="E250">
        <v>28.125299999999999</v>
      </c>
      <c r="F250">
        <v>1.6415</v>
      </c>
      <c r="G250">
        <v>0.21340000000000001</v>
      </c>
      <c r="H250">
        <v>67.628799999999998</v>
      </c>
      <c r="I250">
        <v>44.078499999999998</v>
      </c>
      <c r="J250">
        <v>708.76400000000001</v>
      </c>
      <c r="K250">
        <v>1237556.4986</v>
      </c>
      <c r="M250" s="43">
        <v>45359</v>
      </c>
      <c r="N250" s="5">
        <v>6.8365</v>
      </c>
      <c r="O250">
        <v>5.9385000000000003</v>
      </c>
      <c r="P250">
        <v>0.1074</v>
      </c>
      <c r="Q250">
        <v>35.533799999999999</v>
      </c>
      <c r="R250">
        <v>1.4941</v>
      </c>
      <c r="S250">
        <v>195.11080000000001</v>
      </c>
      <c r="T250">
        <v>40.052900000000001</v>
      </c>
      <c r="U250">
        <v>25.394600000000001</v>
      </c>
      <c r="V250">
        <v>2455.6</v>
      </c>
      <c r="W250">
        <v>1927256.4987000001</v>
      </c>
      <c r="Y250" s="5">
        <v>3.36</v>
      </c>
      <c r="Z250">
        <v>6.4301000000000004</v>
      </c>
      <c r="AA250">
        <v>7.2599999999999998E-2</v>
      </c>
      <c r="AB250">
        <v>12.3186</v>
      </c>
      <c r="AC250">
        <v>-0.81</v>
      </c>
      <c r="AD250">
        <v>0</v>
      </c>
      <c r="AE250">
        <v>83.311199999999999</v>
      </c>
      <c r="AF250">
        <v>39.967199999999998</v>
      </c>
      <c r="AG250">
        <v>1210.6130000000001</v>
      </c>
      <c r="AH250">
        <v>685643.0318</v>
      </c>
      <c r="AK250">
        <v>6.7864000000000004</v>
      </c>
      <c r="AL250">
        <v>5.5845000000000002</v>
      </c>
      <c r="AM250">
        <v>0.23250000000000001</v>
      </c>
      <c r="AN250">
        <v>0.1084</v>
      </c>
      <c r="AO250">
        <v>-0.66110000000000002</v>
      </c>
      <c r="AP250">
        <v>0</v>
      </c>
      <c r="AQ250">
        <v>21.2028</v>
      </c>
      <c r="AR250">
        <v>7.8147000000000002</v>
      </c>
      <c r="AS250">
        <v>669.38</v>
      </c>
      <c r="AT250">
        <v>405542.50099999999</v>
      </c>
      <c r="AV250">
        <v>3.0777999999999999</v>
      </c>
      <c r="AW250">
        <v>-0.87809999999999999</v>
      </c>
      <c r="AX250">
        <v>0.03</v>
      </c>
      <c r="AY250">
        <v>14.605600000000001</v>
      </c>
      <c r="AZ250">
        <v>-0.85670000000000002</v>
      </c>
      <c r="BA250" t="s">
        <v>23</v>
      </c>
      <c r="BB250">
        <v>-3.738</v>
      </c>
      <c r="BC250">
        <v>-17.087399999999999</v>
      </c>
      <c r="BD250">
        <v>839.75</v>
      </c>
      <c r="BE250">
        <v>744929.8504</v>
      </c>
      <c r="BH250" s="5">
        <v>7.7125000000000004</v>
      </c>
      <c r="BI250">
        <v>15.956799999999999</v>
      </c>
      <c r="BJ250">
        <v>0.29609999999999997</v>
      </c>
      <c r="BK250">
        <v>10.4549</v>
      </c>
      <c r="BL250">
        <v>-0.2742</v>
      </c>
      <c r="BM250">
        <v>0</v>
      </c>
      <c r="BN250">
        <v>7.5549999999999997</v>
      </c>
      <c r="BO250">
        <v>2.7195999999999998</v>
      </c>
      <c r="BP250">
        <v>637.65599999999995</v>
      </c>
      <c r="BQ250">
        <v>397566.08880000003</v>
      </c>
      <c r="CE250" s="1">
        <f t="shared" si="27"/>
        <v>45359</v>
      </c>
      <c r="CF250" s="35">
        <f t="shared" si="26"/>
        <v>5.4363225399433288</v>
      </c>
      <c r="CG250" s="36">
        <f t="shared" si="25"/>
        <v>0.28744144309189545</v>
      </c>
      <c r="CH250">
        <f t="shared" ca="1" si="20"/>
        <v>0.82228792008092821</v>
      </c>
      <c r="CI250">
        <f t="shared" ca="1" si="21"/>
        <v>0.14262062500681097</v>
      </c>
      <c r="CJ250">
        <f t="shared" ca="1" si="22"/>
        <v>-0.55294736045256432</v>
      </c>
      <c r="CK250">
        <f t="shared" ca="1" si="23"/>
        <v>-0.77485923637998178</v>
      </c>
      <c r="CL250">
        <f t="shared" ca="1" si="24"/>
        <v>-0.88257881450583486</v>
      </c>
    </row>
    <row r="251" spans="1:90" x14ac:dyDescent="0.25">
      <c r="A251" s="43">
        <v>45366</v>
      </c>
      <c r="B251" s="5">
        <v>4.7489999999999997</v>
      </c>
      <c r="C251">
        <v>10.8406</v>
      </c>
      <c r="D251">
        <v>0.33139999999999997</v>
      </c>
      <c r="E251">
        <v>28.125299999999999</v>
      </c>
      <c r="F251">
        <v>1.6415</v>
      </c>
      <c r="G251">
        <v>0.21340000000000001</v>
      </c>
      <c r="H251">
        <v>67.628799999999998</v>
      </c>
      <c r="I251">
        <v>44.078499999999998</v>
      </c>
      <c r="J251">
        <v>732.42899999999997</v>
      </c>
      <c r="K251">
        <v>1278878.5041</v>
      </c>
      <c r="M251" s="43">
        <v>45366</v>
      </c>
      <c r="N251" s="5">
        <v>7.2089999999999996</v>
      </c>
      <c r="O251">
        <v>5.9385000000000003</v>
      </c>
      <c r="P251">
        <v>0.1074</v>
      </c>
      <c r="Q251">
        <v>35.533799999999999</v>
      </c>
      <c r="R251">
        <v>1.4941</v>
      </c>
      <c r="S251">
        <v>195.11080000000001</v>
      </c>
      <c r="T251">
        <v>40.052900000000001</v>
      </c>
      <c r="U251">
        <v>25.394600000000001</v>
      </c>
      <c r="V251">
        <v>2626.8519999999999</v>
      </c>
      <c r="W251">
        <v>2061661.9857000001</v>
      </c>
      <c r="Y251" s="5">
        <v>4.1990999999999996</v>
      </c>
      <c r="Z251">
        <v>6.4301000000000004</v>
      </c>
      <c r="AA251">
        <v>7.2599999999999998E-2</v>
      </c>
      <c r="AB251">
        <v>12.3186</v>
      </c>
      <c r="AC251">
        <v>-0.81</v>
      </c>
      <c r="AD251">
        <v>0</v>
      </c>
      <c r="AE251">
        <v>83.311199999999999</v>
      </c>
      <c r="AF251">
        <v>39.967199999999998</v>
      </c>
      <c r="AG251">
        <v>1454.2090000000001</v>
      </c>
      <c r="AH251">
        <v>823606.44869999995</v>
      </c>
      <c r="AK251">
        <v>8.0317000000000007</v>
      </c>
      <c r="AL251">
        <v>5.5845000000000002</v>
      </c>
      <c r="AM251">
        <v>0.23250000000000001</v>
      </c>
      <c r="AN251">
        <v>0.1084</v>
      </c>
      <c r="AO251">
        <v>-0.66110000000000002</v>
      </c>
      <c r="AP251">
        <v>0</v>
      </c>
      <c r="AQ251">
        <v>21.2028</v>
      </c>
      <c r="AR251">
        <v>7.8147000000000002</v>
      </c>
      <c r="AS251">
        <v>781.31</v>
      </c>
      <c r="AT251">
        <v>473355.2548</v>
      </c>
      <c r="AV251">
        <v>3.0777999999999999</v>
      </c>
      <c r="AW251">
        <v>-0.87809999999999999</v>
      </c>
      <c r="AX251">
        <v>0.03</v>
      </c>
      <c r="AY251">
        <v>14.605600000000001</v>
      </c>
      <c r="AZ251">
        <v>-0.85670000000000002</v>
      </c>
      <c r="BA251" t="s">
        <v>23</v>
      </c>
      <c r="BB251">
        <v>-3.738</v>
      </c>
      <c r="BC251">
        <v>-17.087399999999999</v>
      </c>
      <c r="BD251">
        <v>814.45</v>
      </c>
      <c r="BE251">
        <v>722486.59329999995</v>
      </c>
      <c r="BH251" s="5">
        <v>9.0305</v>
      </c>
      <c r="BI251">
        <v>15.956799999999999</v>
      </c>
      <c r="BJ251">
        <v>0.29609999999999997</v>
      </c>
      <c r="BK251">
        <v>10.4549</v>
      </c>
      <c r="BL251">
        <v>-0.2742</v>
      </c>
      <c r="BM251">
        <v>0</v>
      </c>
      <c r="BN251">
        <v>7.5549999999999997</v>
      </c>
      <c r="BO251">
        <v>2.7195999999999998</v>
      </c>
      <c r="BP251">
        <v>743.09500000000003</v>
      </c>
      <c r="BQ251">
        <v>463305.36330000003</v>
      </c>
      <c r="CE251" s="1">
        <f t="shared" si="27"/>
        <v>45366</v>
      </c>
      <c r="CF251" s="35">
        <f t="shared" si="26"/>
        <v>5.942292444617304</v>
      </c>
      <c r="CG251" s="36">
        <f t="shared" si="25"/>
        <v>0.52570808586634776</v>
      </c>
      <c r="CH251">
        <f t="shared" ref="CH251:CH314" ca="1" si="28">+_xlfn.PERCENTILE.INC(OFFSET(CG251,-52,0,52,1),0.9)</f>
        <v>0.82228792008092821</v>
      </c>
      <c r="CI251">
        <f t="shared" ref="CI251:CI314" ca="1" si="29">+_xlfn.PERCENTILE.INC(OFFSET(CG251,-52,0,52,1),0.75)</f>
        <v>0.19944416589954797</v>
      </c>
      <c r="CJ251">
        <f t="shared" ref="CJ251:CJ314" ca="1" si="30">+_xlfn.PERCENTILE.INC(OFFSET(CG251,-52,0,52,1),0.5)</f>
        <v>-0.55294736045256432</v>
      </c>
      <c r="CK251">
        <f t="shared" ref="CK251:CK314" ca="1" si="31">+_xlfn.PERCENTILE.INC(OFFSET(CG251,-52,0,52,1),0.25)</f>
        <v>-0.77485923637998178</v>
      </c>
      <c r="CL251">
        <f t="shared" ref="CL251:CL314" ca="1" si="32">+_xlfn.PERCENTILE.INC(OFFSET(CG251,-52,0,52,1),0.1)</f>
        <v>-0.88257881450583486</v>
      </c>
    </row>
    <row r="252" spans="1:90" x14ac:dyDescent="0.25">
      <c r="A252" s="43">
        <v>45373</v>
      </c>
      <c r="B252" s="5">
        <v>5.4785000000000004</v>
      </c>
      <c r="C252">
        <v>10.8406</v>
      </c>
      <c r="D252">
        <v>0.33139999999999997</v>
      </c>
      <c r="E252">
        <v>28.125299999999999</v>
      </c>
      <c r="F252">
        <v>1.6415</v>
      </c>
      <c r="G252">
        <v>0.21340000000000001</v>
      </c>
      <c r="H252">
        <v>67.628799999999998</v>
      </c>
      <c r="I252">
        <v>44.078499999999998</v>
      </c>
      <c r="J252">
        <v>910.73900000000003</v>
      </c>
      <c r="K252">
        <v>1590221.0326</v>
      </c>
      <c r="M252" s="43">
        <v>45373</v>
      </c>
      <c r="N252" s="5">
        <v>8.3063000000000002</v>
      </c>
      <c r="O252">
        <v>5.9385000000000003</v>
      </c>
      <c r="P252">
        <v>0.1074</v>
      </c>
      <c r="Q252">
        <v>35.533799999999999</v>
      </c>
      <c r="R252">
        <v>1.4941</v>
      </c>
      <c r="S252">
        <v>195.11080000000001</v>
      </c>
      <c r="T252">
        <v>40.052900000000001</v>
      </c>
      <c r="U252">
        <v>25.394600000000001</v>
      </c>
      <c r="V252">
        <v>3131.2069999999999</v>
      </c>
      <c r="W252">
        <v>2457501.3879999998</v>
      </c>
      <c r="Y252" s="5">
        <v>4.6787999999999998</v>
      </c>
      <c r="Z252">
        <v>6.4301000000000004</v>
      </c>
      <c r="AA252">
        <v>7.2599999999999998E-2</v>
      </c>
      <c r="AB252">
        <v>12.3186</v>
      </c>
      <c r="AC252">
        <v>-0.81</v>
      </c>
      <c r="AD252">
        <v>0</v>
      </c>
      <c r="AE252">
        <v>83.311199999999999</v>
      </c>
      <c r="AF252">
        <v>39.967199999999998</v>
      </c>
      <c r="AG252">
        <v>1593.463</v>
      </c>
      <c r="AH252">
        <v>902474.07070000004</v>
      </c>
      <c r="AK252">
        <v>9.1341999999999999</v>
      </c>
      <c r="AL252">
        <v>5.5845000000000002</v>
      </c>
      <c r="AM252">
        <v>0.23250000000000001</v>
      </c>
      <c r="AN252">
        <v>0.1084</v>
      </c>
      <c r="AO252">
        <v>-0.66110000000000002</v>
      </c>
      <c r="AP252">
        <v>0</v>
      </c>
      <c r="AQ252">
        <v>21.2028</v>
      </c>
      <c r="AR252">
        <v>7.8147000000000002</v>
      </c>
      <c r="AS252">
        <v>880.39599999999996</v>
      </c>
      <c r="AT252">
        <v>533386.21710000001</v>
      </c>
      <c r="AV252">
        <v>3.0777999999999999</v>
      </c>
      <c r="AW252">
        <v>-0.87809999999999999</v>
      </c>
      <c r="AX252">
        <v>0.03</v>
      </c>
      <c r="AY252">
        <v>14.605600000000001</v>
      </c>
      <c r="AZ252">
        <v>-0.85670000000000002</v>
      </c>
      <c r="BA252" t="s">
        <v>23</v>
      </c>
      <c r="BB252">
        <v>-3.738</v>
      </c>
      <c r="BC252">
        <v>-17.087399999999999</v>
      </c>
      <c r="BD252">
        <v>1012.05</v>
      </c>
      <c r="BE252">
        <v>917377.88399999996</v>
      </c>
      <c r="BH252" s="5">
        <v>9.9262999999999995</v>
      </c>
      <c r="BI252">
        <v>15.956799999999999</v>
      </c>
      <c r="BJ252">
        <v>0.29609999999999997</v>
      </c>
      <c r="BK252">
        <v>10.4549</v>
      </c>
      <c r="BL252">
        <v>-0.2742</v>
      </c>
      <c r="BM252">
        <v>0</v>
      </c>
      <c r="BN252">
        <v>7.5549999999999997</v>
      </c>
      <c r="BO252">
        <v>2.7195999999999998</v>
      </c>
      <c r="BP252">
        <v>814.75699999999995</v>
      </c>
      <c r="BQ252">
        <v>507985.30310000002</v>
      </c>
      <c r="CE252" s="1">
        <f t="shared" si="27"/>
        <v>45373</v>
      </c>
      <c r="CF252" s="35">
        <f t="shared" si="26"/>
        <v>6.6703723889374915</v>
      </c>
      <c r="CG252" s="36">
        <f t="shared" si="25"/>
        <v>0.86856872323244216</v>
      </c>
      <c r="CH252">
        <f t="shared" ca="1" si="28"/>
        <v>0.82228792008092821</v>
      </c>
      <c r="CI252">
        <f t="shared" ca="1" si="29"/>
        <v>0.27744180464309726</v>
      </c>
      <c r="CJ252">
        <f t="shared" ca="1" si="30"/>
        <v>-0.52577118869481199</v>
      </c>
      <c r="CK252">
        <f t="shared" ca="1" si="31"/>
        <v>-0.77485923637998178</v>
      </c>
      <c r="CL252">
        <f t="shared" ca="1" si="32"/>
        <v>-0.88257881450583486</v>
      </c>
    </row>
    <row r="253" spans="1:90" x14ac:dyDescent="0.25">
      <c r="A253" s="43">
        <v>45380</v>
      </c>
      <c r="B253" s="5">
        <v>3.5720999999999998</v>
      </c>
      <c r="C253">
        <v>24.259599999999999</v>
      </c>
      <c r="D253">
        <v>1.4200999999999999</v>
      </c>
      <c r="E253">
        <v>21.872800000000002</v>
      </c>
      <c r="F253">
        <v>0.54149999999999998</v>
      </c>
      <c r="G253">
        <v>0.21340000000000001</v>
      </c>
      <c r="H253">
        <v>71.078699999999998</v>
      </c>
      <c r="I253">
        <v>48.895600000000002</v>
      </c>
      <c r="J253">
        <v>873.476</v>
      </c>
      <c r="K253">
        <v>1525157.6566999999</v>
      </c>
      <c r="M253" s="43">
        <v>45380</v>
      </c>
      <c r="N253" s="5">
        <v>6.0008999999999997</v>
      </c>
      <c r="O253">
        <v>8</v>
      </c>
      <c r="P253">
        <v>0.3357</v>
      </c>
      <c r="Q253">
        <v>20.617899999999999</v>
      </c>
      <c r="R253">
        <v>0.14219999999999999</v>
      </c>
      <c r="S253">
        <v>195.11080000000001</v>
      </c>
      <c r="T253">
        <v>41.349800000000002</v>
      </c>
      <c r="U253">
        <v>27.084800000000001</v>
      </c>
      <c r="V253">
        <v>3145.3069999999998</v>
      </c>
      <c r="W253">
        <v>2468566.9756</v>
      </c>
      <c r="Y253" s="5">
        <v>21.804200000000002</v>
      </c>
      <c r="Z253">
        <v>-2.3351999999999999</v>
      </c>
      <c r="AA253">
        <v>-0.4869</v>
      </c>
      <c r="AB253">
        <v>7.4569999999999999</v>
      </c>
      <c r="AC253">
        <v>-2.8668</v>
      </c>
      <c r="AD253">
        <v>0</v>
      </c>
      <c r="AE253">
        <v>18.7347</v>
      </c>
      <c r="AF253">
        <v>-24.569500000000001</v>
      </c>
      <c r="AG253">
        <v>1642.337</v>
      </c>
      <c r="AH253">
        <v>930154.62890000001</v>
      </c>
      <c r="AK253">
        <v>12.6714</v>
      </c>
      <c r="AL253">
        <v>8.3770000000000007</v>
      </c>
      <c r="AM253">
        <v>0.93810000000000004</v>
      </c>
      <c r="AN253">
        <v>4.1799999999999997E-2</v>
      </c>
      <c r="AO253">
        <v>-0.5373</v>
      </c>
      <c r="AP253">
        <v>0</v>
      </c>
      <c r="AQ253">
        <v>17.7971</v>
      </c>
      <c r="AR253">
        <v>3.9885000000000002</v>
      </c>
      <c r="AS253">
        <v>964.06799999999998</v>
      </c>
      <c r="AT253">
        <v>584079.02969999996</v>
      </c>
      <c r="AV253">
        <v>3.0777999999999999</v>
      </c>
      <c r="AW253">
        <v>14.388</v>
      </c>
      <c r="AX253">
        <v>-1.1193</v>
      </c>
      <c r="AY253">
        <v>20.5364</v>
      </c>
      <c r="AZ253">
        <v>-0.85670000000000002</v>
      </c>
      <c r="BA253" t="s">
        <v>23</v>
      </c>
      <c r="BB253">
        <v>-1.623</v>
      </c>
      <c r="BC253">
        <v>-14.6821</v>
      </c>
      <c r="BD253">
        <v>977.4</v>
      </c>
      <c r="BE253">
        <v>885969.21470000001</v>
      </c>
      <c r="BH253" s="5">
        <v>11.329599999999999</v>
      </c>
      <c r="BI253">
        <v>23.004999999999999</v>
      </c>
      <c r="BJ253">
        <v>1.4996</v>
      </c>
      <c r="BK253">
        <v>8.1532</v>
      </c>
      <c r="BL253">
        <v>-1.2999999999999999E-2</v>
      </c>
      <c r="BM253">
        <v>0</v>
      </c>
      <c r="BN253">
        <v>6.4673999999999996</v>
      </c>
      <c r="BO253">
        <v>1.2423999999999999</v>
      </c>
      <c r="BP253">
        <v>808.36699999999996</v>
      </c>
      <c r="BQ253">
        <v>504001.10470000003</v>
      </c>
      <c r="CE253" s="1">
        <f t="shared" si="27"/>
        <v>45380</v>
      </c>
      <c r="CF253" s="35">
        <f t="shared" si="26"/>
        <v>8.1736106526824095</v>
      </c>
      <c r="CG253" s="36">
        <f t="shared" si="25"/>
        <v>1.5764597086130612</v>
      </c>
      <c r="CH253">
        <f t="shared" ca="1" si="28"/>
        <v>0.86435458590731817</v>
      </c>
      <c r="CI253">
        <f t="shared" ca="1" si="29"/>
        <v>0.29232666288949116</v>
      </c>
      <c r="CJ253">
        <f t="shared" ca="1" si="30"/>
        <v>-0.50153281456646392</v>
      </c>
      <c r="CK253">
        <f t="shared" ca="1" si="31"/>
        <v>-0.77485923637998178</v>
      </c>
      <c r="CL253">
        <f t="shared" ca="1" si="32"/>
        <v>-0.88257881450583486</v>
      </c>
    </row>
    <row r="254" spans="1:90" x14ac:dyDescent="0.25">
      <c r="A254" s="43">
        <v>45387</v>
      </c>
      <c r="B254" s="5">
        <v>3.8292000000000002</v>
      </c>
      <c r="C254">
        <v>24.259599999999999</v>
      </c>
      <c r="D254">
        <v>1.4200999999999999</v>
      </c>
      <c r="E254">
        <v>21.872800000000002</v>
      </c>
      <c r="F254">
        <v>0.54149999999999998</v>
      </c>
      <c r="G254">
        <v>0.21340000000000001</v>
      </c>
      <c r="H254">
        <v>71.078699999999998</v>
      </c>
      <c r="I254">
        <v>48.895600000000002</v>
      </c>
      <c r="J254">
        <v>949.50699999999995</v>
      </c>
      <c r="K254">
        <v>1657913.9907</v>
      </c>
      <c r="M254" s="43">
        <v>45387</v>
      </c>
      <c r="N254" s="5">
        <v>6.8086000000000002</v>
      </c>
      <c r="O254">
        <v>8</v>
      </c>
      <c r="P254">
        <v>0.3357</v>
      </c>
      <c r="Q254">
        <v>20.617899999999999</v>
      </c>
      <c r="R254">
        <v>0.14219999999999999</v>
      </c>
      <c r="S254">
        <v>195.11080000000001</v>
      </c>
      <c r="T254">
        <v>41.349800000000002</v>
      </c>
      <c r="U254">
        <v>27.084800000000001</v>
      </c>
      <c r="V254">
        <v>3578.9270000000001</v>
      </c>
      <c r="W254">
        <v>2808890.2499000002</v>
      </c>
      <c r="Y254" s="5">
        <v>25.7898</v>
      </c>
      <c r="Z254">
        <v>-2.3351999999999999</v>
      </c>
      <c r="AA254">
        <v>-0.4869</v>
      </c>
      <c r="AB254">
        <v>7.4569999999999999</v>
      </c>
      <c r="AC254">
        <v>-2.8668</v>
      </c>
      <c r="AD254">
        <v>0</v>
      </c>
      <c r="AE254">
        <v>18.7347</v>
      </c>
      <c r="AF254">
        <v>-24.569500000000001</v>
      </c>
      <c r="AG254">
        <v>1907.6559999999999</v>
      </c>
      <c r="AH254">
        <v>1080420.5160000001</v>
      </c>
      <c r="AK254">
        <v>13.722200000000001</v>
      </c>
      <c r="AL254">
        <v>8.3770000000000007</v>
      </c>
      <c r="AM254">
        <v>0.93810000000000004</v>
      </c>
      <c r="AN254">
        <v>4.1799999999999997E-2</v>
      </c>
      <c r="AO254">
        <v>-0.5373</v>
      </c>
      <c r="AP254">
        <v>0</v>
      </c>
      <c r="AQ254">
        <v>17.7971</v>
      </c>
      <c r="AR254">
        <v>3.9885000000000002</v>
      </c>
      <c r="AS254">
        <v>1040.768</v>
      </c>
      <c r="AT254">
        <v>630547.44129999995</v>
      </c>
      <c r="AV254">
        <v>3.0777999999999999</v>
      </c>
      <c r="AW254">
        <v>14.388</v>
      </c>
      <c r="AX254">
        <v>-1.1193</v>
      </c>
      <c r="AY254">
        <v>20.5364</v>
      </c>
      <c r="AZ254">
        <v>-0.85670000000000002</v>
      </c>
      <c r="BA254" t="s">
        <v>23</v>
      </c>
      <c r="BB254">
        <v>-1.623</v>
      </c>
      <c r="BC254">
        <v>-14.6821</v>
      </c>
      <c r="BD254">
        <v>1009.05</v>
      </c>
      <c r="BE254">
        <v>914658.51870000002</v>
      </c>
      <c r="BH254" s="5">
        <v>12.0975</v>
      </c>
      <c r="BI254">
        <v>23.004999999999999</v>
      </c>
      <c r="BJ254">
        <v>1.4996</v>
      </c>
      <c r="BK254">
        <v>8.1532</v>
      </c>
      <c r="BL254">
        <v>-1.2999999999999999E-2</v>
      </c>
      <c r="BM254">
        <v>0</v>
      </c>
      <c r="BN254">
        <v>6.4673999999999996</v>
      </c>
      <c r="BO254">
        <v>1.2423999999999999</v>
      </c>
      <c r="BP254">
        <v>863.14</v>
      </c>
      <c r="BQ254">
        <v>538151.37719999999</v>
      </c>
      <c r="CE254" s="1">
        <f t="shared" si="27"/>
        <v>45387</v>
      </c>
      <c r="CF254" s="35">
        <f t="shared" si="26"/>
        <v>9.3459244562322219</v>
      </c>
      <c r="CG254" s="36">
        <f t="shared" si="25"/>
        <v>2.1285148242823344</v>
      </c>
      <c r="CH254">
        <f t="shared" ca="1" si="28"/>
        <v>0.87121377411991974</v>
      </c>
      <c r="CI254">
        <f t="shared" ca="1" si="29"/>
        <v>0.36166376317829563</v>
      </c>
      <c r="CJ254">
        <f t="shared" ca="1" si="30"/>
        <v>-0.4756616798773935</v>
      </c>
      <c r="CK254">
        <f t="shared" ca="1" si="31"/>
        <v>-0.76837278014404131</v>
      </c>
      <c r="CL254">
        <f t="shared" ca="1" si="32"/>
        <v>-0.87540524303922085</v>
      </c>
    </row>
    <row r="255" spans="1:90" x14ac:dyDescent="0.25">
      <c r="A255" s="43">
        <v>45394</v>
      </c>
      <c r="B255" s="5">
        <v>3.7423999999999999</v>
      </c>
      <c r="C255">
        <v>24.259599999999999</v>
      </c>
      <c r="D255">
        <v>1.4200999999999999</v>
      </c>
      <c r="E255">
        <v>21.872800000000002</v>
      </c>
      <c r="F255">
        <v>0.54149999999999998</v>
      </c>
      <c r="G255">
        <v>0.21340000000000001</v>
      </c>
      <c r="H255">
        <v>71.078699999999998</v>
      </c>
      <c r="I255">
        <v>48.895600000000002</v>
      </c>
      <c r="J255">
        <v>923.82</v>
      </c>
      <c r="K255">
        <v>1613060.8319999999</v>
      </c>
      <c r="M255" s="43">
        <v>45394</v>
      </c>
      <c r="N255" s="5">
        <v>6.3876999999999997</v>
      </c>
      <c r="O255">
        <v>8</v>
      </c>
      <c r="P255">
        <v>0.3357</v>
      </c>
      <c r="Q255">
        <v>20.617899999999999</v>
      </c>
      <c r="R255">
        <v>0.14219999999999999</v>
      </c>
      <c r="S255">
        <v>195.11080000000001</v>
      </c>
      <c r="T255">
        <v>41.349800000000002</v>
      </c>
      <c r="U255">
        <v>27.084800000000001</v>
      </c>
      <c r="V255">
        <v>3353.0050000000001</v>
      </c>
      <c r="W255">
        <v>2631577.3827</v>
      </c>
      <c r="Y255" s="5">
        <v>23.348299999999998</v>
      </c>
      <c r="Z255">
        <v>-2.3351999999999999</v>
      </c>
      <c r="AA255">
        <v>-0.4869</v>
      </c>
      <c r="AB255">
        <v>7.4569999999999999</v>
      </c>
      <c r="AC255">
        <v>-2.8668</v>
      </c>
      <c r="AD255">
        <v>0</v>
      </c>
      <c r="AE255">
        <v>18.7347</v>
      </c>
      <c r="AF255">
        <v>-24.569500000000001</v>
      </c>
      <c r="AG255">
        <v>1745.1289999999999</v>
      </c>
      <c r="AH255">
        <v>988371.67579999997</v>
      </c>
      <c r="AK255">
        <v>12.666399999999999</v>
      </c>
      <c r="AL255">
        <v>8.3770000000000007</v>
      </c>
      <c r="AM255">
        <v>0.93810000000000004</v>
      </c>
      <c r="AN255">
        <v>4.1799999999999997E-2</v>
      </c>
      <c r="AO255">
        <v>-0.5373</v>
      </c>
      <c r="AP255">
        <v>0</v>
      </c>
      <c r="AQ255">
        <v>17.7971</v>
      </c>
      <c r="AR255">
        <v>3.9885000000000002</v>
      </c>
      <c r="AS255">
        <v>963.70100000000002</v>
      </c>
      <c r="AT255">
        <v>583856.69279999996</v>
      </c>
      <c r="AV255">
        <v>3.0777999999999999</v>
      </c>
      <c r="AW255">
        <v>14.388</v>
      </c>
      <c r="AX255">
        <v>-1.1193</v>
      </c>
      <c r="AY255">
        <v>20.5364</v>
      </c>
      <c r="AZ255">
        <v>-0.85670000000000002</v>
      </c>
      <c r="BA255" t="s">
        <v>23</v>
      </c>
      <c r="BB255">
        <v>-1.623</v>
      </c>
      <c r="BC255">
        <v>-14.6821</v>
      </c>
      <c r="BD255">
        <v>923.6</v>
      </c>
      <c r="BE255">
        <v>837201.93039999995</v>
      </c>
      <c r="BH255" s="5">
        <v>10.5745</v>
      </c>
      <c r="BI255">
        <v>23.004999999999999</v>
      </c>
      <c r="BJ255">
        <v>1.4996</v>
      </c>
      <c r="BK255">
        <v>8.1532</v>
      </c>
      <c r="BL255">
        <v>-1.2999999999999999E-2</v>
      </c>
      <c r="BM255">
        <v>0</v>
      </c>
      <c r="BN255">
        <v>6.4673999999999996</v>
      </c>
      <c r="BO255">
        <v>1.2423999999999999</v>
      </c>
      <c r="BP255">
        <v>754.50599999999997</v>
      </c>
      <c r="BQ255">
        <v>470420.00339999999</v>
      </c>
      <c r="CE255" s="1">
        <f t="shared" si="27"/>
        <v>45394</v>
      </c>
      <c r="CF255" s="35">
        <f t="shared" si="26"/>
        <v>8.5437435681386873</v>
      </c>
      <c r="CG255" s="36">
        <f t="shared" si="25"/>
        <v>1.750759259498234</v>
      </c>
      <c r="CH255">
        <f t="shared" ca="1" si="28"/>
        <v>1.1489916274236043</v>
      </c>
      <c r="CI255">
        <f t="shared" ca="1" si="29"/>
        <v>0.5356107192689803</v>
      </c>
      <c r="CJ255">
        <f t="shared" ca="1" si="30"/>
        <v>-0.4414493415777011</v>
      </c>
      <c r="CK255">
        <f t="shared" ca="1" si="31"/>
        <v>-0.75425846798651985</v>
      </c>
      <c r="CL255">
        <f t="shared" ca="1" si="32"/>
        <v>-0.86238963613846531</v>
      </c>
    </row>
    <row r="256" spans="1:90" x14ac:dyDescent="0.25">
      <c r="A256" s="43">
        <v>45401</v>
      </c>
      <c r="B256" s="5">
        <v>3.4348000000000001</v>
      </c>
      <c r="C256">
        <v>24.259599999999999</v>
      </c>
      <c r="D256">
        <v>1.4200999999999999</v>
      </c>
      <c r="E256">
        <v>21.872800000000002</v>
      </c>
      <c r="F256">
        <v>0.54149999999999998</v>
      </c>
      <c r="G256">
        <v>0.21340000000000001</v>
      </c>
      <c r="H256">
        <v>71.078699999999998</v>
      </c>
      <c r="I256">
        <v>48.895600000000002</v>
      </c>
      <c r="J256">
        <v>832.90099999999995</v>
      </c>
      <c r="K256">
        <v>1454309.2001</v>
      </c>
      <c r="M256" s="43">
        <v>45401</v>
      </c>
      <c r="N256" s="5">
        <v>6.2110000000000003</v>
      </c>
      <c r="O256">
        <v>8</v>
      </c>
      <c r="P256">
        <v>0.3357</v>
      </c>
      <c r="Q256">
        <v>20.617899999999999</v>
      </c>
      <c r="R256">
        <v>0.14219999999999999</v>
      </c>
      <c r="S256">
        <v>195.11080000000001</v>
      </c>
      <c r="T256">
        <v>41.349800000000002</v>
      </c>
      <c r="U256">
        <v>27.084800000000001</v>
      </c>
      <c r="V256">
        <v>3258.1480000000001</v>
      </c>
      <c r="W256">
        <v>2557129.3139999998</v>
      </c>
      <c r="Y256" s="5">
        <v>20.428999999999998</v>
      </c>
      <c r="Z256">
        <v>-2.3351999999999999</v>
      </c>
      <c r="AA256">
        <v>-0.4869</v>
      </c>
      <c r="AB256">
        <v>7.4569999999999999</v>
      </c>
      <c r="AC256">
        <v>-2.8668</v>
      </c>
      <c r="AD256">
        <v>0</v>
      </c>
      <c r="AE256">
        <v>18.7347</v>
      </c>
      <c r="AF256">
        <v>-24.569500000000001</v>
      </c>
      <c r="AG256">
        <v>1550.7950000000001</v>
      </c>
      <c r="AH256">
        <v>878308.50410000002</v>
      </c>
      <c r="AK256">
        <v>11.057399999999999</v>
      </c>
      <c r="AL256">
        <v>8.3770000000000007</v>
      </c>
      <c r="AM256">
        <v>0.93810000000000004</v>
      </c>
      <c r="AN256">
        <v>4.1799999999999997E-2</v>
      </c>
      <c r="AO256">
        <v>-0.5373</v>
      </c>
      <c r="AP256">
        <v>0</v>
      </c>
      <c r="AQ256">
        <v>17.7971</v>
      </c>
      <c r="AR256">
        <v>3.9885000000000002</v>
      </c>
      <c r="AS256">
        <v>846.26599999999996</v>
      </c>
      <c r="AT256">
        <v>512708.88559999998</v>
      </c>
      <c r="AV256">
        <v>3.0777999999999999</v>
      </c>
      <c r="AW256">
        <v>14.388</v>
      </c>
      <c r="AX256">
        <v>-1.1193</v>
      </c>
      <c r="AY256">
        <v>20.5364</v>
      </c>
      <c r="AZ256">
        <v>-0.85670000000000002</v>
      </c>
      <c r="BA256" t="s">
        <v>23</v>
      </c>
      <c r="BB256">
        <v>-1.623</v>
      </c>
      <c r="BC256">
        <v>-14.6821</v>
      </c>
      <c r="BD256">
        <v>870.1</v>
      </c>
      <c r="BE256">
        <v>788706.58250000002</v>
      </c>
      <c r="BH256" s="5">
        <v>9.8576999999999995</v>
      </c>
      <c r="BI256">
        <v>23.004999999999999</v>
      </c>
      <c r="BJ256">
        <v>1.4996</v>
      </c>
      <c r="BK256">
        <v>8.1532</v>
      </c>
      <c r="BL256">
        <v>-1.2999999999999999E-2</v>
      </c>
      <c r="BM256">
        <v>0</v>
      </c>
      <c r="BN256">
        <v>6.4673999999999996</v>
      </c>
      <c r="BO256">
        <v>1.2423999999999999</v>
      </c>
      <c r="BP256">
        <v>703.38400000000001</v>
      </c>
      <c r="BQ256">
        <v>438546.41580000002</v>
      </c>
      <c r="CE256" s="1">
        <f t="shared" si="27"/>
        <v>45401</v>
      </c>
      <c r="CF256" s="35">
        <f t="shared" si="26"/>
        <v>7.7288948807494871</v>
      </c>
      <c r="CG256" s="36">
        <f t="shared" si="25"/>
        <v>1.3670382924606856</v>
      </c>
      <c r="CH256">
        <f t="shared" ca="1" si="28"/>
        <v>1.3052084956150443</v>
      </c>
      <c r="CI256">
        <f t="shared" ca="1" si="29"/>
        <v>0.58289293472699555</v>
      </c>
      <c r="CJ256">
        <f t="shared" ca="1" si="30"/>
        <v>-0.42783141836586658</v>
      </c>
      <c r="CK256">
        <f t="shared" ca="1" si="31"/>
        <v>-0.72809983374566523</v>
      </c>
      <c r="CL256">
        <f t="shared" ca="1" si="32"/>
        <v>-0.86113853970296961</v>
      </c>
    </row>
    <row r="257" spans="1:90" x14ac:dyDescent="0.25">
      <c r="A257" s="43">
        <v>45408</v>
      </c>
      <c r="B257" s="5">
        <v>3.8079000000000001</v>
      </c>
      <c r="C257">
        <v>24.259599999999999</v>
      </c>
      <c r="D257">
        <v>1.4200999999999999</v>
      </c>
      <c r="E257">
        <v>21.872800000000002</v>
      </c>
      <c r="F257">
        <v>0.54149999999999998</v>
      </c>
      <c r="G257">
        <v>0.21340000000000001</v>
      </c>
      <c r="H257">
        <v>71.078699999999998</v>
      </c>
      <c r="I257">
        <v>48.895600000000002</v>
      </c>
      <c r="J257">
        <v>943.18200000000002</v>
      </c>
      <c r="K257">
        <v>1646869.7456</v>
      </c>
      <c r="M257" s="43">
        <v>45408</v>
      </c>
      <c r="N257" s="5">
        <v>6.6227999999999998</v>
      </c>
      <c r="O257">
        <v>8</v>
      </c>
      <c r="P257">
        <v>0.3357</v>
      </c>
      <c r="Q257">
        <v>20.617899999999999</v>
      </c>
      <c r="R257">
        <v>0.14219999999999999</v>
      </c>
      <c r="S257">
        <v>195.11080000000001</v>
      </c>
      <c r="T257">
        <v>41.349800000000002</v>
      </c>
      <c r="U257">
        <v>27.084800000000001</v>
      </c>
      <c r="V257">
        <v>3479.1779999999999</v>
      </c>
      <c r="W257">
        <v>2730603.0998</v>
      </c>
      <c r="Y257" s="5">
        <v>23.767800000000001</v>
      </c>
      <c r="Z257">
        <v>-2.3351999999999999</v>
      </c>
      <c r="AA257">
        <v>-0.4869</v>
      </c>
      <c r="AB257">
        <v>7.4569999999999999</v>
      </c>
      <c r="AC257">
        <v>-2.8668</v>
      </c>
      <c r="AD257">
        <v>0</v>
      </c>
      <c r="AE257">
        <v>18.7347</v>
      </c>
      <c r="AF257">
        <v>-24.569500000000001</v>
      </c>
      <c r="AG257">
        <v>1773.057</v>
      </c>
      <c r="AH257">
        <v>1004189.1376</v>
      </c>
      <c r="AK257">
        <v>12.3194</v>
      </c>
      <c r="AL257">
        <v>8.3770000000000007</v>
      </c>
      <c r="AM257">
        <v>0.93810000000000004</v>
      </c>
      <c r="AN257">
        <v>4.1799999999999997E-2</v>
      </c>
      <c r="AO257">
        <v>-0.5373</v>
      </c>
      <c r="AP257">
        <v>0</v>
      </c>
      <c r="AQ257">
        <v>17.7971</v>
      </c>
      <c r="AR257">
        <v>3.9885000000000002</v>
      </c>
      <c r="AS257">
        <v>938.37900000000002</v>
      </c>
      <c r="AT257">
        <v>568515.44689999998</v>
      </c>
      <c r="AV257">
        <v>3.0777999999999999</v>
      </c>
      <c r="AW257">
        <v>14.388</v>
      </c>
      <c r="AX257">
        <v>-1.1193</v>
      </c>
      <c r="AY257">
        <v>20.5364</v>
      </c>
      <c r="AZ257">
        <v>-0.85670000000000002</v>
      </c>
      <c r="BA257" t="s">
        <v>23</v>
      </c>
      <c r="BB257">
        <v>-1.623</v>
      </c>
      <c r="BC257">
        <v>-14.6821</v>
      </c>
      <c r="BD257">
        <v>904.4</v>
      </c>
      <c r="BE257">
        <v>819797.99239999999</v>
      </c>
      <c r="BH257" s="5">
        <v>9.5378000000000007</v>
      </c>
      <c r="BI257">
        <v>23.004999999999999</v>
      </c>
      <c r="BJ257">
        <v>1.4996</v>
      </c>
      <c r="BK257">
        <v>8.1532</v>
      </c>
      <c r="BL257">
        <v>-1.2999999999999999E-2</v>
      </c>
      <c r="BM257">
        <v>0</v>
      </c>
      <c r="BN257">
        <v>6.4673999999999996</v>
      </c>
      <c r="BO257">
        <v>1.2423999999999999</v>
      </c>
      <c r="BP257">
        <v>680.56200000000001</v>
      </c>
      <c r="BQ257">
        <v>424317.13559999998</v>
      </c>
      <c r="CE257" s="1">
        <f t="shared" si="27"/>
        <v>45408</v>
      </c>
      <c r="CF257" s="35">
        <f t="shared" si="26"/>
        <v>8.5896862039465862</v>
      </c>
      <c r="CG257" s="36">
        <f t="shared" si="25"/>
        <v>1.7723941383577007</v>
      </c>
      <c r="CH257">
        <f t="shared" ca="1" si="28"/>
        <v>1.3387905065309122</v>
      </c>
      <c r="CI257">
        <f t="shared" ca="1" si="29"/>
        <v>0.66743689908157366</v>
      </c>
      <c r="CJ257">
        <f t="shared" ca="1" si="30"/>
        <v>-0.42251131275920306</v>
      </c>
      <c r="CK257">
        <f t="shared" ca="1" si="31"/>
        <v>-0.71917274561960065</v>
      </c>
      <c r="CL257">
        <f t="shared" ca="1" si="32"/>
        <v>-0.85466005673633538</v>
      </c>
    </row>
    <row r="258" spans="1:90" x14ac:dyDescent="0.25">
      <c r="A258" s="43">
        <v>45415</v>
      </c>
      <c r="B258" s="5">
        <v>4.1786000000000003</v>
      </c>
      <c r="C258">
        <v>24.259599999999999</v>
      </c>
      <c r="D258">
        <v>1.4200999999999999</v>
      </c>
      <c r="E258">
        <v>21.872800000000002</v>
      </c>
      <c r="F258">
        <v>0.54149999999999998</v>
      </c>
      <c r="G258">
        <v>0.21340000000000001</v>
      </c>
      <c r="H258">
        <v>71.078699999999998</v>
      </c>
      <c r="I258">
        <v>48.895600000000002</v>
      </c>
      <c r="J258">
        <v>1052.7760000000001</v>
      </c>
      <c r="K258">
        <v>1838228.1964</v>
      </c>
      <c r="M258" s="43">
        <v>45415</v>
      </c>
      <c r="N258" s="5">
        <v>7.8048000000000002</v>
      </c>
      <c r="O258">
        <v>8</v>
      </c>
      <c r="P258">
        <v>0.3357</v>
      </c>
      <c r="Q258">
        <v>20.617899999999999</v>
      </c>
      <c r="R258">
        <v>0.14219999999999999</v>
      </c>
      <c r="S258">
        <v>195.11080000000001</v>
      </c>
      <c r="T258">
        <v>41.349800000000002</v>
      </c>
      <c r="U258">
        <v>27.084800000000001</v>
      </c>
      <c r="V258">
        <v>4113.7830000000004</v>
      </c>
      <c r="W258">
        <v>3228667.4539000001</v>
      </c>
      <c r="Y258" s="5">
        <v>28.260400000000001</v>
      </c>
      <c r="Z258">
        <v>-2.3351999999999999</v>
      </c>
      <c r="AA258">
        <v>-0.4869</v>
      </c>
      <c r="AB258">
        <v>7.4569999999999999</v>
      </c>
      <c r="AC258">
        <v>-2.8668</v>
      </c>
      <c r="AD258">
        <v>0</v>
      </c>
      <c r="AE258">
        <v>18.7347</v>
      </c>
      <c r="AF258">
        <v>-24.569500000000001</v>
      </c>
      <c r="AG258">
        <v>2072.1219999999998</v>
      </c>
      <c r="AH258">
        <v>1173567.7911</v>
      </c>
      <c r="AK258">
        <v>14.260199999999999</v>
      </c>
      <c r="AL258">
        <v>8.3770000000000007</v>
      </c>
      <c r="AM258">
        <v>0.93810000000000004</v>
      </c>
      <c r="AN258">
        <v>4.1799999999999997E-2</v>
      </c>
      <c r="AO258">
        <v>-0.5373</v>
      </c>
      <c r="AP258">
        <v>0</v>
      </c>
      <c r="AQ258">
        <v>17.7971</v>
      </c>
      <c r="AR258">
        <v>3.9885000000000002</v>
      </c>
      <c r="AS258">
        <v>1080.0350000000001</v>
      </c>
      <c r="AT258">
        <v>654337.48930000002</v>
      </c>
      <c r="AV258">
        <v>3.0777999999999999</v>
      </c>
      <c r="AW258">
        <v>14.388</v>
      </c>
      <c r="AX258">
        <v>-1.1193</v>
      </c>
      <c r="AY258">
        <v>20.5364</v>
      </c>
      <c r="AZ258">
        <v>-0.85670000000000002</v>
      </c>
      <c r="BA258" t="s">
        <v>23</v>
      </c>
      <c r="BB258">
        <v>-1.623</v>
      </c>
      <c r="BC258">
        <v>-14.6821</v>
      </c>
      <c r="BD258">
        <v>1039.75</v>
      </c>
      <c r="BE258">
        <v>942486.69019999995</v>
      </c>
      <c r="BH258" s="5">
        <v>11.316800000000001</v>
      </c>
      <c r="BI258">
        <v>23.004999999999999</v>
      </c>
      <c r="BJ258">
        <v>1.4996</v>
      </c>
      <c r="BK258">
        <v>8.1532</v>
      </c>
      <c r="BL258">
        <v>-1.2999999999999999E-2</v>
      </c>
      <c r="BM258">
        <v>0</v>
      </c>
      <c r="BN258">
        <v>6.4673999999999996</v>
      </c>
      <c r="BO258">
        <v>1.2423999999999999</v>
      </c>
      <c r="BP258">
        <v>807.45399999999995</v>
      </c>
      <c r="BQ258">
        <v>503431.93349999998</v>
      </c>
      <c r="CE258" s="1">
        <f t="shared" si="27"/>
        <v>45415</v>
      </c>
      <c r="CF258" s="35">
        <f t="shared" si="26"/>
        <v>10.068055429345417</v>
      </c>
      <c r="CG258" s="36">
        <f t="shared" si="25"/>
        <v>2.4685740274438288</v>
      </c>
      <c r="CH258">
        <f t="shared" ca="1" si="28"/>
        <v>1.3644318506344055</v>
      </c>
      <c r="CI258">
        <f t="shared" ca="1" si="29"/>
        <v>0.76843322891530308</v>
      </c>
      <c r="CJ258">
        <f t="shared" ca="1" si="30"/>
        <v>-0.40749472359884042</v>
      </c>
      <c r="CK258">
        <f t="shared" ca="1" si="31"/>
        <v>-0.68218820413197556</v>
      </c>
      <c r="CL258">
        <f t="shared" ca="1" si="32"/>
        <v>-0.85262582873613291</v>
      </c>
    </row>
    <row r="259" spans="1:90" x14ac:dyDescent="0.25">
      <c r="A259" s="43">
        <v>45422</v>
      </c>
      <c r="B259" s="5">
        <v>3.8645</v>
      </c>
      <c r="C259">
        <v>24.259599999999999</v>
      </c>
      <c r="D259">
        <v>1.4200999999999999</v>
      </c>
      <c r="E259">
        <v>21.872800000000002</v>
      </c>
      <c r="F259">
        <v>0.54149999999999998</v>
      </c>
      <c r="G259">
        <v>0.21340000000000001</v>
      </c>
      <c r="H259">
        <v>71.078699999999998</v>
      </c>
      <c r="I259">
        <v>48.895600000000002</v>
      </c>
      <c r="J259">
        <v>959.92</v>
      </c>
      <c r="K259">
        <v>1676095.6731</v>
      </c>
      <c r="M259" s="43">
        <v>45422</v>
      </c>
      <c r="N259" s="5">
        <v>7.3102999999999998</v>
      </c>
      <c r="O259">
        <v>8</v>
      </c>
      <c r="P259">
        <v>0.3357</v>
      </c>
      <c r="Q259">
        <v>20.617899999999999</v>
      </c>
      <c r="R259">
        <v>0.14219999999999999</v>
      </c>
      <c r="S259">
        <v>195.11080000000001</v>
      </c>
      <c r="T259">
        <v>41.349800000000002</v>
      </c>
      <c r="U259">
        <v>27.084800000000001</v>
      </c>
      <c r="V259">
        <v>3848.297</v>
      </c>
      <c r="W259">
        <v>3020303.193</v>
      </c>
      <c r="Y259" s="5">
        <v>25.649899999999999</v>
      </c>
      <c r="Z259">
        <v>-2.3351999999999999</v>
      </c>
      <c r="AA259">
        <v>-0.4869</v>
      </c>
      <c r="AB259">
        <v>7.4569999999999999</v>
      </c>
      <c r="AC259">
        <v>-2.8668</v>
      </c>
      <c r="AD259">
        <v>0</v>
      </c>
      <c r="AE259">
        <v>18.7347</v>
      </c>
      <c r="AF259">
        <v>-24.569500000000001</v>
      </c>
      <c r="AG259">
        <v>1898.346</v>
      </c>
      <c r="AH259">
        <v>1075148.0286999999</v>
      </c>
      <c r="AK259">
        <v>13.3803</v>
      </c>
      <c r="AL259">
        <v>8.3770000000000007</v>
      </c>
      <c r="AM259">
        <v>0.93810000000000004</v>
      </c>
      <c r="AN259">
        <v>4.1799999999999997E-2</v>
      </c>
      <c r="AO259">
        <v>-0.5373</v>
      </c>
      <c r="AP259">
        <v>0</v>
      </c>
      <c r="AQ259">
        <v>17.7971</v>
      </c>
      <c r="AR259">
        <v>3.9885000000000002</v>
      </c>
      <c r="AS259">
        <v>1015.813</v>
      </c>
      <c r="AT259">
        <v>615428.53229999996</v>
      </c>
      <c r="AV259">
        <v>3.0777999999999999</v>
      </c>
      <c r="AW259">
        <v>14.388</v>
      </c>
      <c r="AX259">
        <v>-1.1193</v>
      </c>
      <c r="AY259">
        <v>20.5364</v>
      </c>
      <c r="AZ259">
        <v>-0.85670000000000002</v>
      </c>
      <c r="BA259" t="s">
        <v>23</v>
      </c>
      <c r="BB259">
        <v>-1.623</v>
      </c>
      <c r="BC259">
        <v>-14.6821</v>
      </c>
      <c r="BD259">
        <v>1088.7</v>
      </c>
      <c r="BE259">
        <v>986857.66740000003</v>
      </c>
      <c r="BH259" s="5">
        <v>13.7165</v>
      </c>
      <c r="BI259">
        <v>23.004999999999999</v>
      </c>
      <c r="BJ259">
        <v>1.4996</v>
      </c>
      <c r="BK259">
        <v>8.1532</v>
      </c>
      <c r="BL259">
        <v>-1.2999999999999999E-2</v>
      </c>
      <c r="BM259">
        <v>0</v>
      </c>
      <c r="BN259">
        <v>6.4673999999999996</v>
      </c>
      <c r="BO259">
        <v>1.2423999999999999</v>
      </c>
      <c r="BP259">
        <v>978.62099999999998</v>
      </c>
      <c r="BQ259">
        <v>610151.53500000003</v>
      </c>
      <c r="CE259" s="1">
        <f t="shared" si="27"/>
        <v>45422</v>
      </c>
      <c r="CF259" s="35">
        <f t="shared" si="26"/>
        <v>9.4908932754126969</v>
      </c>
      <c r="CG259" s="36">
        <f t="shared" si="25"/>
        <v>2.1967821926258435</v>
      </c>
      <c r="CH259">
        <f t="shared" ca="1" si="28"/>
        <v>1.4576306998722335</v>
      </c>
      <c r="CI259">
        <f t="shared" ca="1" si="29"/>
        <v>0.79538162572914484</v>
      </c>
      <c r="CJ259">
        <f t="shared" ca="1" si="30"/>
        <v>-0.38258250844977426</v>
      </c>
      <c r="CK259">
        <f t="shared" ca="1" si="31"/>
        <v>-0.6684857649173277</v>
      </c>
      <c r="CL259">
        <f t="shared" ca="1" si="32"/>
        <v>-0.85262582873613291</v>
      </c>
    </row>
    <row r="260" spans="1:90" x14ac:dyDescent="0.25">
      <c r="A260" s="43">
        <v>45429</v>
      </c>
      <c r="B260" s="5">
        <v>3.9832000000000001</v>
      </c>
      <c r="C260">
        <v>24.259599999999999</v>
      </c>
      <c r="D260">
        <v>1.4200999999999999</v>
      </c>
      <c r="E260">
        <v>21.872800000000002</v>
      </c>
      <c r="F260">
        <v>0.54149999999999998</v>
      </c>
      <c r="G260">
        <v>0.21340000000000001</v>
      </c>
      <c r="H260">
        <v>71.078699999999998</v>
      </c>
      <c r="I260">
        <v>48.895600000000002</v>
      </c>
      <c r="J260">
        <v>995.03200000000004</v>
      </c>
      <c r="K260">
        <v>1737402.503</v>
      </c>
      <c r="M260" s="43">
        <v>45429</v>
      </c>
      <c r="N260" s="5">
        <v>7.6234000000000002</v>
      </c>
      <c r="O260">
        <v>8</v>
      </c>
      <c r="P260">
        <v>0.3357</v>
      </c>
      <c r="Q260">
        <v>20.617899999999999</v>
      </c>
      <c r="R260">
        <v>0.14219999999999999</v>
      </c>
      <c r="S260">
        <v>195.11080000000001</v>
      </c>
      <c r="T260">
        <v>41.349800000000002</v>
      </c>
      <c r="U260">
        <v>27.084800000000001</v>
      </c>
      <c r="V260">
        <v>4016.384</v>
      </c>
      <c r="W260">
        <v>3152224.5684000002</v>
      </c>
      <c r="Y260" s="5">
        <v>28.831399999999999</v>
      </c>
      <c r="Z260">
        <v>-2.3351999999999999</v>
      </c>
      <c r="AA260">
        <v>-0.4869</v>
      </c>
      <c r="AB260">
        <v>7.4569999999999999</v>
      </c>
      <c r="AC260">
        <v>-2.8668</v>
      </c>
      <c r="AD260">
        <v>0</v>
      </c>
      <c r="AE260">
        <v>18.7347</v>
      </c>
      <c r="AF260">
        <v>-24.569500000000001</v>
      </c>
      <c r="AG260">
        <v>2110.136</v>
      </c>
      <c r="AH260">
        <v>1195097.1140999999</v>
      </c>
      <c r="AK260">
        <v>14.808299999999999</v>
      </c>
      <c r="AL260">
        <v>8.3770000000000007</v>
      </c>
      <c r="AM260">
        <v>0.93810000000000004</v>
      </c>
      <c r="AN260">
        <v>4.1799999999999997E-2</v>
      </c>
      <c r="AO260">
        <v>-0.5373</v>
      </c>
      <c r="AP260">
        <v>0</v>
      </c>
      <c r="AQ260">
        <v>17.7971</v>
      </c>
      <c r="AR260">
        <v>3.9885000000000002</v>
      </c>
      <c r="AS260">
        <v>1120.037</v>
      </c>
      <c r="AT260">
        <v>678572.21120000002</v>
      </c>
      <c r="AV260">
        <v>3.0777999999999999</v>
      </c>
      <c r="AW260">
        <v>14.388</v>
      </c>
      <c r="AX260">
        <v>-1.1193</v>
      </c>
      <c r="AY260">
        <v>20.5364</v>
      </c>
      <c r="AZ260">
        <v>-0.85670000000000002</v>
      </c>
      <c r="BA260" t="s">
        <v>23</v>
      </c>
      <c r="BB260">
        <v>-1.623</v>
      </c>
      <c r="BC260">
        <v>-14.6821</v>
      </c>
      <c r="BD260">
        <v>1044.3499999999999</v>
      </c>
      <c r="BE260">
        <v>946656.38370000001</v>
      </c>
      <c r="BH260" s="5">
        <v>14.548400000000001</v>
      </c>
      <c r="BI260">
        <v>23.004999999999999</v>
      </c>
      <c r="BJ260">
        <v>1.4996</v>
      </c>
      <c r="BK260">
        <v>8.1532</v>
      </c>
      <c r="BL260">
        <v>-1.2999999999999999E-2</v>
      </c>
      <c r="BM260">
        <v>0</v>
      </c>
      <c r="BN260">
        <v>6.4673999999999996</v>
      </c>
      <c r="BO260">
        <v>1.2423999999999999</v>
      </c>
      <c r="BP260">
        <v>1037.9590000000001</v>
      </c>
      <c r="BQ260">
        <v>647147.66350000002</v>
      </c>
      <c r="CE260" s="1">
        <f t="shared" si="27"/>
        <v>45429</v>
      </c>
      <c r="CF260" s="35">
        <f t="shared" si="26"/>
        <v>10.504181074520485</v>
      </c>
      <c r="CG260" s="36">
        <f t="shared" si="25"/>
        <v>2.6739502609782386</v>
      </c>
      <c r="CH260">
        <f t="shared" ca="1" si="28"/>
        <v>1.565583390043551</v>
      </c>
      <c r="CI260">
        <f t="shared" ca="1" si="29"/>
        <v>0.83696269329401252</v>
      </c>
      <c r="CJ260">
        <f t="shared" ca="1" si="30"/>
        <v>-0.31794606843806561</v>
      </c>
      <c r="CK260">
        <f t="shared" ca="1" si="31"/>
        <v>-0.6684857649173277</v>
      </c>
      <c r="CL260">
        <f t="shared" ca="1" si="32"/>
        <v>-0.85262582873613291</v>
      </c>
    </row>
    <row r="261" spans="1:90" x14ac:dyDescent="0.25">
      <c r="A261" s="43">
        <v>45436</v>
      </c>
      <c r="B261" s="5">
        <v>4.0462999999999996</v>
      </c>
      <c r="C261">
        <v>24.259599999999999</v>
      </c>
      <c r="D261">
        <v>1.4200999999999999</v>
      </c>
      <c r="E261">
        <v>21.872800000000002</v>
      </c>
      <c r="F261">
        <v>0.54149999999999998</v>
      </c>
      <c r="G261">
        <v>0.21340000000000001</v>
      </c>
      <c r="H261">
        <v>71.078699999999998</v>
      </c>
      <c r="I261">
        <v>48.895600000000002</v>
      </c>
      <c r="J261">
        <v>1013.663</v>
      </c>
      <c r="K261">
        <v>1769934.1910000001</v>
      </c>
      <c r="M261" s="43">
        <v>45436</v>
      </c>
      <c r="N261" s="5">
        <v>8.0952999999999999</v>
      </c>
      <c r="O261">
        <v>8</v>
      </c>
      <c r="P261">
        <v>0.3357</v>
      </c>
      <c r="Q261">
        <v>20.617899999999999</v>
      </c>
      <c r="R261">
        <v>0.14219999999999999</v>
      </c>
      <c r="S261">
        <v>195.11080000000001</v>
      </c>
      <c r="T261">
        <v>41.349800000000002</v>
      </c>
      <c r="U261">
        <v>27.084800000000001</v>
      </c>
      <c r="V261">
        <v>4269.7370000000001</v>
      </c>
      <c r="W261">
        <v>3351066.4018999999</v>
      </c>
      <c r="Y261" s="5">
        <v>28.604199999999999</v>
      </c>
      <c r="Z261">
        <v>-2.3351999999999999</v>
      </c>
      <c r="AA261">
        <v>-0.4869</v>
      </c>
      <c r="AB261">
        <v>7.4569999999999999</v>
      </c>
      <c r="AC261">
        <v>-2.8668</v>
      </c>
      <c r="AD261">
        <v>0</v>
      </c>
      <c r="AE261">
        <v>18.7347</v>
      </c>
      <c r="AF261">
        <v>-24.569500000000001</v>
      </c>
      <c r="AG261">
        <v>2095.0079999999998</v>
      </c>
      <c r="AH261">
        <v>1186529.3223000001</v>
      </c>
      <c r="AK261">
        <v>15.5625</v>
      </c>
      <c r="AL261">
        <v>8.3770000000000007</v>
      </c>
      <c r="AM261">
        <v>0.93810000000000004</v>
      </c>
      <c r="AN261">
        <v>4.1799999999999997E-2</v>
      </c>
      <c r="AO261">
        <v>-0.5373</v>
      </c>
      <c r="AP261">
        <v>0</v>
      </c>
      <c r="AQ261">
        <v>17.7971</v>
      </c>
      <c r="AR261">
        <v>3.9885000000000002</v>
      </c>
      <c r="AS261">
        <v>1175.0840000000001</v>
      </c>
      <c r="AT261">
        <v>711922.74580000003</v>
      </c>
      <c r="AV261">
        <v>3.0777999999999999</v>
      </c>
      <c r="AW261">
        <v>14.388</v>
      </c>
      <c r="AX261">
        <v>-1.1193</v>
      </c>
      <c r="AY261">
        <v>20.5364</v>
      </c>
      <c r="AZ261">
        <v>-0.85670000000000002</v>
      </c>
      <c r="BA261" t="s">
        <v>23</v>
      </c>
      <c r="BB261">
        <v>-1.623</v>
      </c>
      <c r="BC261">
        <v>-14.6821</v>
      </c>
      <c r="BD261">
        <v>996.45</v>
      </c>
      <c r="BE261">
        <v>903237.18440000003</v>
      </c>
      <c r="BH261" s="5">
        <v>13.7293</v>
      </c>
      <c r="BI261">
        <v>23.004999999999999</v>
      </c>
      <c r="BJ261">
        <v>1.4996</v>
      </c>
      <c r="BK261">
        <v>8.1532</v>
      </c>
      <c r="BL261">
        <v>-1.2999999999999999E-2</v>
      </c>
      <c r="BM261">
        <v>0</v>
      </c>
      <c r="BN261">
        <v>6.4673999999999996</v>
      </c>
      <c r="BO261">
        <v>1.2423999999999999</v>
      </c>
      <c r="BP261">
        <v>979.53399999999999</v>
      </c>
      <c r="BQ261">
        <v>610720.70620000002</v>
      </c>
      <c r="CE261" s="1">
        <f t="shared" si="27"/>
        <v>45436</v>
      </c>
      <c r="CF261" s="35">
        <f t="shared" si="26"/>
        <v>10.60224900507159</v>
      </c>
      <c r="CG261" s="36">
        <f t="shared" si="25"/>
        <v>2.7201314989538572</v>
      </c>
      <c r="CH261">
        <f t="shared" ca="1" si="28"/>
        <v>1.7333293044097164</v>
      </c>
      <c r="CI261">
        <f t="shared" ca="1" si="29"/>
        <v>0.86930345959007482</v>
      </c>
      <c r="CJ261">
        <f t="shared" ca="1" si="30"/>
        <v>-0.21713034856705957</v>
      </c>
      <c r="CK261">
        <f t="shared" ca="1" si="31"/>
        <v>-0.6684857649173277</v>
      </c>
      <c r="CL261">
        <f t="shared" ca="1" si="32"/>
        <v>-0.85262582873613291</v>
      </c>
    </row>
    <row r="262" spans="1:90" x14ac:dyDescent="0.25">
      <c r="A262" s="43">
        <v>45443</v>
      </c>
      <c r="B262" s="5">
        <v>4.2386999999999997</v>
      </c>
      <c r="C262">
        <v>24.259599999999999</v>
      </c>
      <c r="D262">
        <v>1.4200999999999999</v>
      </c>
      <c r="E262">
        <v>21.872800000000002</v>
      </c>
      <c r="F262">
        <v>0.54149999999999998</v>
      </c>
      <c r="G262">
        <v>0.21340000000000001</v>
      </c>
      <c r="H262">
        <v>71.078699999999998</v>
      </c>
      <c r="I262">
        <v>48.895600000000002</v>
      </c>
      <c r="J262">
        <v>1070.546</v>
      </c>
      <c r="K262">
        <v>1869257.2660000001</v>
      </c>
      <c r="M262" s="43">
        <v>45443</v>
      </c>
      <c r="N262" s="5">
        <v>8.8962000000000003</v>
      </c>
      <c r="O262">
        <v>8</v>
      </c>
      <c r="P262">
        <v>0.3357</v>
      </c>
      <c r="Q262">
        <v>20.617899999999999</v>
      </c>
      <c r="R262">
        <v>0.14219999999999999</v>
      </c>
      <c r="S262">
        <v>195.11080000000001</v>
      </c>
      <c r="T262">
        <v>41.349800000000002</v>
      </c>
      <c r="U262">
        <v>27.084800000000001</v>
      </c>
      <c r="V262">
        <v>4699.7129999999997</v>
      </c>
      <c r="W262">
        <v>3688529.1842</v>
      </c>
      <c r="Y262" s="5">
        <v>33.026800000000001</v>
      </c>
      <c r="Z262">
        <v>-2.3351999999999999</v>
      </c>
      <c r="AA262">
        <v>-0.4869</v>
      </c>
      <c r="AB262">
        <v>7.4569999999999999</v>
      </c>
      <c r="AC262">
        <v>-2.8668</v>
      </c>
      <c r="AD262">
        <v>0</v>
      </c>
      <c r="AE262">
        <v>18.7347</v>
      </c>
      <c r="AF262">
        <v>-24.569500000000001</v>
      </c>
      <c r="AG262">
        <v>2389.4180000000001</v>
      </c>
      <c r="AH262">
        <v>1353271.7320999999</v>
      </c>
      <c r="AK262">
        <v>16.251300000000001</v>
      </c>
      <c r="AL262">
        <v>8.3770000000000007</v>
      </c>
      <c r="AM262">
        <v>0.93810000000000004</v>
      </c>
      <c r="AN262">
        <v>4.1799999999999997E-2</v>
      </c>
      <c r="AO262">
        <v>-0.5373</v>
      </c>
      <c r="AP262">
        <v>0</v>
      </c>
      <c r="AQ262">
        <v>17.7971</v>
      </c>
      <c r="AR262">
        <v>3.9885000000000002</v>
      </c>
      <c r="AS262">
        <v>1225.3610000000001</v>
      </c>
      <c r="AT262">
        <v>742382.90079999994</v>
      </c>
      <c r="AV262">
        <v>3.0777999999999999</v>
      </c>
      <c r="AW262">
        <v>14.388</v>
      </c>
      <c r="AX262">
        <v>-1.1193</v>
      </c>
      <c r="AY262">
        <v>20.5364</v>
      </c>
      <c r="AZ262">
        <v>-0.85670000000000002</v>
      </c>
      <c r="BA262" t="s">
        <v>23</v>
      </c>
      <c r="BB262">
        <v>-1.623</v>
      </c>
      <c r="BC262">
        <v>-14.6821</v>
      </c>
      <c r="BD262">
        <v>1110</v>
      </c>
      <c r="BE262">
        <v>971605.95479999995</v>
      </c>
      <c r="BH262" s="5">
        <v>14.1388</v>
      </c>
      <c r="BI262">
        <v>23.004999999999999</v>
      </c>
      <c r="BJ262">
        <v>1.4996</v>
      </c>
      <c r="BK262">
        <v>8.1532</v>
      </c>
      <c r="BL262">
        <v>-1.2999999999999999E-2</v>
      </c>
      <c r="BM262">
        <v>0</v>
      </c>
      <c r="BN262">
        <v>6.4673999999999996</v>
      </c>
      <c r="BO262">
        <v>1.2423999999999999</v>
      </c>
      <c r="BP262">
        <v>1008.747</v>
      </c>
      <c r="BQ262">
        <v>628934.18480000005</v>
      </c>
      <c r="CE262" s="1">
        <f t="shared" si="27"/>
        <v>45443</v>
      </c>
      <c r="CF262" s="35">
        <f t="shared" si="26"/>
        <v>11.819650051892605</v>
      </c>
      <c r="CG262" s="36">
        <f t="shared" si="25"/>
        <v>3.2934186799830392</v>
      </c>
      <c r="CH262">
        <f t="shared" ca="1" si="28"/>
        <v>1.770230650471754</v>
      </c>
      <c r="CI262">
        <f t="shared" ca="1" si="29"/>
        <v>0.94858654609648163</v>
      </c>
      <c r="CJ262">
        <f t="shared" ca="1" si="30"/>
        <v>-1.9362263645196609E-2</v>
      </c>
      <c r="CK262">
        <f t="shared" ca="1" si="31"/>
        <v>-0.6684857649173277</v>
      </c>
      <c r="CL262">
        <f t="shared" ca="1" si="32"/>
        <v>-0.85262582873613291</v>
      </c>
    </row>
    <row r="263" spans="1:90" x14ac:dyDescent="0.25">
      <c r="A263" s="43">
        <v>45450</v>
      </c>
      <c r="B263" s="5">
        <v>3.9647999999999999</v>
      </c>
      <c r="C263">
        <v>24.259599999999999</v>
      </c>
      <c r="D263">
        <v>1.4200999999999999</v>
      </c>
      <c r="E263">
        <v>21.872800000000002</v>
      </c>
      <c r="F263">
        <v>0.54149999999999998</v>
      </c>
      <c r="G263">
        <v>0.21340000000000001</v>
      </c>
      <c r="H263">
        <v>71.078699999999998</v>
      </c>
      <c r="I263">
        <v>48.895600000000002</v>
      </c>
      <c r="J263">
        <v>989.56700000000001</v>
      </c>
      <c r="K263">
        <v>1727860.8762999999</v>
      </c>
      <c r="M263" s="43">
        <v>45450</v>
      </c>
      <c r="N263" s="5">
        <v>8.1164000000000005</v>
      </c>
      <c r="O263">
        <v>8</v>
      </c>
      <c r="P263">
        <v>0.3357</v>
      </c>
      <c r="Q263">
        <v>20.617899999999999</v>
      </c>
      <c r="R263">
        <v>0.14219999999999999</v>
      </c>
      <c r="S263">
        <v>195.11080000000001</v>
      </c>
      <c r="T263">
        <v>41.349800000000002</v>
      </c>
      <c r="U263">
        <v>27.084800000000001</v>
      </c>
      <c r="V263">
        <v>4281.0540000000001</v>
      </c>
      <c r="W263">
        <v>3359948.9824000001</v>
      </c>
      <c r="Y263" s="5">
        <v>29.612200000000001</v>
      </c>
      <c r="Z263">
        <v>-2.3351999999999999</v>
      </c>
      <c r="AA263">
        <v>-0.4869</v>
      </c>
      <c r="AB263">
        <v>7.4569999999999999</v>
      </c>
      <c r="AC263">
        <v>-2.8668</v>
      </c>
      <c r="AD263">
        <v>0</v>
      </c>
      <c r="AE263">
        <v>18.7347</v>
      </c>
      <c r="AF263">
        <v>-24.569500000000001</v>
      </c>
      <c r="AG263">
        <v>2162.1129999999998</v>
      </c>
      <c r="AH263">
        <v>1224535.1680000001</v>
      </c>
      <c r="AK263">
        <v>15.396599999999999</v>
      </c>
      <c r="AL263">
        <v>8.3770000000000007</v>
      </c>
      <c r="AM263">
        <v>0.93810000000000004</v>
      </c>
      <c r="AN263">
        <v>4.1799999999999997E-2</v>
      </c>
      <c r="AO263">
        <v>-0.5373</v>
      </c>
      <c r="AP263">
        <v>0</v>
      </c>
      <c r="AQ263">
        <v>17.7971</v>
      </c>
      <c r="AR263">
        <v>3.9885000000000002</v>
      </c>
      <c r="AS263">
        <v>1162.9739999999999</v>
      </c>
      <c r="AT263">
        <v>704585.62820000004</v>
      </c>
      <c r="AV263">
        <v>3.0777999999999999</v>
      </c>
      <c r="AW263">
        <v>14.388</v>
      </c>
      <c r="AX263">
        <v>-1.1193</v>
      </c>
      <c r="AY263">
        <v>20.5364</v>
      </c>
      <c r="AZ263">
        <v>-0.85670000000000002</v>
      </c>
      <c r="BA263" t="s">
        <v>23</v>
      </c>
      <c r="BB263">
        <v>-1.623</v>
      </c>
      <c r="BC263">
        <v>-14.6821</v>
      </c>
      <c r="BD263">
        <v>1069.05</v>
      </c>
      <c r="BE263">
        <v>935761.57299999997</v>
      </c>
      <c r="BH263" s="5">
        <v>12.8142</v>
      </c>
      <c r="BI263">
        <v>23.004999999999999</v>
      </c>
      <c r="BJ263">
        <v>1.4996</v>
      </c>
      <c r="BK263">
        <v>8.1532</v>
      </c>
      <c r="BL263">
        <v>-1.2999999999999999E-2</v>
      </c>
      <c r="BM263">
        <v>0</v>
      </c>
      <c r="BN263">
        <v>6.4673999999999996</v>
      </c>
      <c r="BO263">
        <v>1.2423999999999999</v>
      </c>
      <c r="BP263">
        <v>914.26199999999994</v>
      </c>
      <c r="BQ263">
        <v>570024.96479999996</v>
      </c>
      <c r="CE263" s="1">
        <f t="shared" si="27"/>
        <v>45450</v>
      </c>
      <c r="CF263" s="35">
        <f t="shared" si="26"/>
        <v>10.726064811785514</v>
      </c>
      <c r="CG263" s="36">
        <f t="shared" ref="CG263:CG326" si="33">+(CF263-$CG$1)/$CH$1</f>
        <v>2.7784376873567953</v>
      </c>
      <c r="CH263">
        <f t="shared" ca="1" si="28"/>
        <v>2.0929027556898703</v>
      </c>
      <c r="CI263">
        <f t="shared" ca="1" si="29"/>
        <v>1.2146524331797961</v>
      </c>
      <c r="CJ263">
        <f t="shared" ca="1" si="30"/>
        <v>0.15326575797913627</v>
      </c>
      <c r="CK263">
        <f t="shared" ca="1" si="31"/>
        <v>-0.6684857649173277</v>
      </c>
      <c r="CL263">
        <f t="shared" ca="1" si="32"/>
        <v>-0.85262582873613291</v>
      </c>
    </row>
    <row r="264" spans="1:90" x14ac:dyDescent="0.25">
      <c r="A264" s="43">
        <v>45457</v>
      </c>
      <c r="B264" s="5">
        <v>4.1524000000000001</v>
      </c>
      <c r="C264">
        <v>24.259599999999999</v>
      </c>
      <c r="D264">
        <v>1.4200999999999999</v>
      </c>
      <c r="E264">
        <v>21.872800000000002</v>
      </c>
      <c r="F264">
        <v>0.54149999999999998</v>
      </c>
      <c r="G264">
        <v>0.21340000000000001</v>
      </c>
      <c r="H264">
        <v>71.078699999999998</v>
      </c>
      <c r="I264">
        <v>48.895600000000002</v>
      </c>
      <c r="J264">
        <v>1045.0309999999999</v>
      </c>
      <c r="K264">
        <v>1824704.6310000001</v>
      </c>
      <c r="M264" s="43">
        <v>45457</v>
      </c>
      <c r="N264" s="5">
        <v>8.7863000000000007</v>
      </c>
      <c r="O264">
        <v>8</v>
      </c>
      <c r="P264">
        <v>0.3357</v>
      </c>
      <c r="Q264">
        <v>20.617899999999999</v>
      </c>
      <c r="R264">
        <v>0.14219999999999999</v>
      </c>
      <c r="S264">
        <v>195.11080000000001</v>
      </c>
      <c r="T264">
        <v>41.349800000000002</v>
      </c>
      <c r="U264">
        <v>27.084800000000001</v>
      </c>
      <c r="V264">
        <v>4640.7259999999997</v>
      </c>
      <c r="W264">
        <v>3642234.3791</v>
      </c>
      <c r="Y264" s="5">
        <v>32.246000000000002</v>
      </c>
      <c r="Z264">
        <v>-2.3351999999999999</v>
      </c>
      <c r="AA264">
        <v>-0.4869</v>
      </c>
      <c r="AB264">
        <v>7.4569999999999999</v>
      </c>
      <c r="AC264">
        <v>-2.8668</v>
      </c>
      <c r="AD264">
        <v>0</v>
      </c>
      <c r="AE264">
        <v>18.7347</v>
      </c>
      <c r="AF264">
        <v>-24.569500000000001</v>
      </c>
      <c r="AG264">
        <v>2337.4409999999998</v>
      </c>
      <c r="AH264">
        <v>1323833.6782</v>
      </c>
      <c r="AK264">
        <v>16.351900000000001</v>
      </c>
      <c r="AL264">
        <v>8.3770000000000007</v>
      </c>
      <c r="AM264">
        <v>0.93810000000000004</v>
      </c>
      <c r="AN264">
        <v>4.1799999999999997E-2</v>
      </c>
      <c r="AO264">
        <v>-0.5373</v>
      </c>
      <c r="AP264">
        <v>0</v>
      </c>
      <c r="AQ264">
        <v>17.7971</v>
      </c>
      <c r="AR264">
        <v>3.9885000000000002</v>
      </c>
      <c r="AS264">
        <v>1232.701</v>
      </c>
      <c r="AT264">
        <v>746829.63870000001</v>
      </c>
      <c r="AV264">
        <v>3.0777999999999999</v>
      </c>
      <c r="AW264">
        <v>14.388</v>
      </c>
      <c r="AX264">
        <v>-1.1193</v>
      </c>
      <c r="AY264">
        <v>20.5364</v>
      </c>
      <c r="AZ264">
        <v>-0.85670000000000002</v>
      </c>
      <c r="BA264" t="s">
        <v>23</v>
      </c>
      <c r="BB264">
        <v>-1.623</v>
      </c>
      <c r="BC264">
        <v>-14.6821</v>
      </c>
      <c r="BD264">
        <v>1094.3</v>
      </c>
      <c r="BE264">
        <v>957863.42009999999</v>
      </c>
      <c r="BH264" s="5">
        <v>13.434900000000001</v>
      </c>
      <c r="BI264">
        <v>23.004999999999999</v>
      </c>
      <c r="BJ264">
        <v>1.4996</v>
      </c>
      <c r="BK264">
        <v>8.1532</v>
      </c>
      <c r="BL264">
        <v>-1.2999999999999999E-2</v>
      </c>
      <c r="BM264">
        <v>0</v>
      </c>
      <c r="BN264">
        <v>6.4673999999999996</v>
      </c>
      <c r="BO264">
        <v>1.2423999999999999</v>
      </c>
      <c r="BP264">
        <v>958.53800000000001</v>
      </c>
      <c r="BQ264">
        <v>597629.76839999994</v>
      </c>
      <c r="CE264" s="1">
        <f t="shared" si="27"/>
        <v>45457</v>
      </c>
      <c r="CF264" s="35">
        <f t="shared" ref="CF264:CF327" si="34">+(BH264*BQ264+AV264*BE264+AK264*AT264+Y264*AH264+N264*W264+B264*K264)/(K264+W264+AH264+AT264+BE264+BQ264)</f>
        <v>11.59740374674913</v>
      </c>
      <c r="CG264" s="36">
        <f t="shared" si="33"/>
        <v>3.1887605165104835</v>
      </c>
      <c r="CH264">
        <f t="shared" ca="1" si="28"/>
        <v>2.1899554557914924</v>
      </c>
      <c r="CI264">
        <f t="shared" ca="1" si="29"/>
        <v>1.324598616695591</v>
      </c>
      <c r="CJ264">
        <f t="shared" ca="1" si="30"/>
        <v>0.22433230787530906</v>
      </c>
      <c r="CK264">
        <f t="shared" ca="1" si="31"/>
        <v>-0.6684857649173277</v>
      </c>
      <c r="CL264">
        <f t="shared" ca="1" si="32"/>
        <v>-0.85262582873613291</v>
      </c>
    </row>
    <row r="265" spans="1:90" x14ac:dyDescent="0.25">
      <c r="A265" s="43">
        <v>45464</v>
      </c>
      <c r="B265" s="5">
        <v>4.1437999999999997</v>
      </c>
      <c r="C265">
        <v>24.259599999999999</v>
      </c>
      <c r="D265">
        <v>1.4200999999999999</v>
      </c>
      <c r="E265">
        <v>21.872800000000002</v>
      </c>
      <c r="F265">
        <v>0.54149999999999998</v>
      </c>
      <c r="G265">
        <v>0.21340000000000001</v>
      </c>
      <c r="H265">
        <v>71.078699999999998</v>
      </c>
      <c r="I265">
        <v>48.895600000000002</v>
      </c>
      <c r="J265">
        <v>1042.492</v>
      </c>
      <c r="K265">
        <v>1820271.9066999999</v>
      </c>
      <c r="M265" s="43">
        <v>45464</v>
      </c>
      <c r="N265" s="5">
        <v>8.7749000000000006</v>
      </c>
      <c r="O265">
        <v>8</v>
      </c>
      <c r="P265">
        <v>0.3357</v>
      </c>
      <c r="Q265">
        <v>20.617899999999999</v>
      </c>
      <c r="R265">
        <v>0.14219999999999999</v>
      </c>
      <c r="S265">
        <v>195.11080000000001</v>
      </c>
      <c r="T265">
        <v>41.349800000000002</v>
      </c>
      <c r="U265">
        <v>27.084800000000001</v>
      </c>
      <c r="V265">
        <v>4634.5879999999997</v>
      </c>
      <c r="W265">
        <v>3637416.7083999999</v>
      </c>
      <c r="Y265" s="5">
        <v>32.082799999999999</v>
      </c>
      <c r="Z265">
        <v>-2.3351999999999999</v>
      </c>
      <c r="AA265">
        <v>-0.4869</v>
      </c>
      <c r="AB265">
        <v>7.4569999999999999</v>
      </c>
      <c r="AC265">
        <v>-2.8668</v>
      </c>
      <c r="AD265">
        <v>0</v>
      </c>
      <c r="AE265">
        <v>18.7347</v>
      </c>
      <c r="AF265">
        <v>-24.569500000000001</v>
      </c>
      <c r="AG265">
        <v>2326.58</v>
      </c>
      <c r="AH265">
        <v>1317682.4431</v>
      </c>
      <c r="AK265">
        <v>16.854700000000001</v>
      </c>
      <c r="AL265">
        <v>8.3770000000000007</v>
      </c>
      <c r="AM265">
        <v>0.93810000000000004</v>
      </c>
      <c r="AN265">
        <v>4.1799999999999997E-2</v>
      </c>
      <c r="AO265">
        <v>-0.5373</v>
      </c>
      <c r="AP265">
        <v>0</v>
      </c>
      <c r="AQ265">
        <v>17.7971</v>
      </c>
      <c r="AR265">
        <v>3.9885000000000002</v>
      </c>
      <c r="AS265">
        <v>1269.3989999999999</v>
      </c>
      <c r="AT265">
        <v>769063.32849999995</v>
      </c>
      <c r="AV265">
        <v>3.0777999999999999</v>
      </c>
      <c r="AW265">
        <v>14.388</v>
      </c>
      <c r="AX265">
        <v>-1.1193</v>
      </c>
      <c r="AY265">
        <v>20.5364</v>
      </c>
      <c r="AZ265">
        <v>-0.85670000000000002</v>
      </c>
      <c r="BA265" t="s">
        <v>23</v>
      </c>
      <c r="BB265">
        <v>-1.623</v>
      </c>
      <c r="BC265">
        <v>-14.6821</v>
      </c>
      <c r="BD265">
        <v>1078.8</v>
      </c>
      <c r="BE265">
        <v>944295.94960000005</v>
      </c>
      <c r="BH265" s="5">
        <v>13.338900000000001</v>
      </c>
      <c r="BI265">
        <v>23.004999999999999</v>
      </c>
      <c r="BJ265">
        <v>1.4996</v>
      </c>
      <c r="BK265">
        <v>8.1532</v>
      </c>
      <c r="BL265">
        <v>-1.2999999999999999E-2</v>
      </c>
      <c r="BM265">
        <v>0</v>
      </c>
      <c r="BN265">
        <v>6.4673999999999996</v>
      </c>
      <c r="BO265">
        <v>1.2423999999999999</v>
      </c>
      <c r="BP265">
        <v>951.69100000000003</v>
      </c>
      <c r="BQ265">
        <v>593360.98430000001</v>
      </c>
      <c r="CE265" s="1">
        <f t="shared" si="27"/>
        <v>45464</v>
      </c>
      <c r="CF265" s="35">
        <f t="shared" si="34"/>
        <v>11.61838366871512</v>
      </c>
      <c r="CG265" s="36">
        <f t="shared" si="33"/>
        <v>3.1986401862820038</v>
      </c>
      <c r="CH265">
        <f t="shared" ca="1" si="28"/>
        <v>2.4413948439620299</v>
      </c>
      <c r="CI265">
        <f t="shared" ca="1" si="29"/>
        <v>1.347489978763585</v>
      </c>
      <c r="CJ265">
        <f t="shared" ca="1" si="30"/>
        <v>0.28077501745936329</v>
      </c>
      <c r="CK265">
        <f t="shared" ca="1" si="31"/>
        <v>-0.6684857649173277</v>
      </c>
      <c r="CL265">
        <f t="shared" ca="1" si="32"/>
        <v>-0.85262582873613291</v>
      </c>
    </row>
    <row r="266" spans="1:90" x14ac:dyDescent="0.25">
      <c r="A266" s="43">
        <v>45471</v>
      </c>
      <c r="B266" s="5">
        <v>4.3636999999999997</v>
      </c>
      <c r="C266">
        <v>19.0688</v>
      </c>
      <c r="D266">
        <v>1.0082</v>
      </c>
      <c r="E266">
        <v>18.296800000000001</v>
      </c>
      <c r="F266">
        <v>0.42949999999999999</v>
      </c>
      <c r="G266">
        <v>0.21340000000000001</v>
      </c>
      <c r="H266">
        <v>60.700899999999997</v>
      </c>
      <c r="I266">
        <v>40.281599999999997</v>
      </c>
      <c r="J266">
        <v>1067.104</v>
      </c>
      <c r="K266">
        <v>1863246.7923999999</v>
      </c>
      <c r="M266" s="43">
        <v>45471</v>
      </c>
      <c r="N266" s="5">
        <v>7.0174000000000003</v>
      </c>
      <c r="O266">
        <v>15.3405</v>
      </c>
      <c r="P266">
        <v>0.59399999999999997</v>
      </c>
      <c r="Q266">
        <v>23.244299999999999</v>
      </c>
      <c r="R266">
        <v>-5.8799999999999998E-2</v>
      </c>
      <c r="S266">
        <v>195.11080000000001</v>
      </c>
      <c r="T266">
        <v>46.659599999999998</v>
      </c>
      <c r="U266">
        <v>33.693100000000001</v>
      </c>
      <c r="V266">
        <v>4953.6409999999996</v>
      </c>
      <c r="W266">
        <v>3887822.6743000001</v>
      </c>
      <c r="Y266" s="5">
        <v>12.6744</v>
      </c>
      <c r="Z266">
        <v>4.3136999999999999</v>
      </c>
      <c r="AA266">
        <v>-7.3099999999999998E-2</v>
      </c>
      <c r="AB266">
        <v>9.3271999999999995</v>
      </c>
      <c r="AC266">
        <v>-1.0081</v>
      </c>
      <c r="AD266">
        <v>0</v>
      </c>
      <c r="AE266">
        <v>34.028399999999998</v>
      </c>
      <c r="AF266">
        <v>2.1802000000000001</v>
      </c>
      <c r="AG266">
        <v>2352.569</v>
      </c>
      <c r="AH266">
        <v>1332401.47</v>
      </c>
      <c r="AK266">
        <v>12.193300000000001</v>
      </c>
      <c r="AL266">
        <v>9.9865999999999993</v>
      </c>
      <c r="AM266">
        <v>0.84419999999999995</v>
      </c>
      <c r="AN266">
        <v>1.54E-2</v>
      </c>
      <c r="AO266">
        <v>-0.65449999999999997</v>
      </c>
      <c r="AP266">
        <v>0</v>
      </c>
      <c r="AQ266">
        <v>21.130600000000001</v>
      </c>
      <c r="AR266">
        <v>8.5348000000000006</v>
      </c>
      <c r="AS266">
        <v>1308.3</v>
      </c>
      <c r="AT266">
        <v>792631.03960000002</v>
      </c>
      <c r="AV266">
        <v>9.2936999999999994</v>
      </c>
      <c r="AW266">
        <v>13.234299999999999</v>
      </c>
      <c r="AX266">
        <v>1.0330999999999999</v>
      </c>
      <c r="AY266">
        <v>19.597999999999999</v>
      </c>
      <c r="AZ266">
        <v>0.3836</v>
      </c>
      <c r="BA266" t="s">
        <v>23</v>
      </c>
      <c r="BB266">
        <v>5.9337999999999997</v>
      </c>
      <c r="BC266">
        <v>-5.7446000000000002</v>
      </c>
      <c r="BD266">
        <v>1101.25</v>
      </c>
      <c r="BE266">
        <v>963946.89890000003</v>
      </c>
      <c r="BH266" s="5">
        <v>6.9717000000000002</v>
      </c>
      <c r="BI266">
        <v>1.6566000000000001</v>
      </c>
      <c r="BJ266">
        <v>0.55679999999999996</v>
      </c>
      <c r="BK266">
        <v>6.6460999999999997</v>
      </c>
      <c r="BL266">
        <v>-0.1012</v>
      </c>
      <c r="BM266">
        <v>0</v>
      </c>
      <c r="BN266">
        <v>10.4163</v>
      </c>
      <c r="BO266">
        <v>5.6684000000000001</v>
      </c>
      <c r="BP266">
        <v>981.81600000000003</v>
      </c>
      <c r="BQ266">
        <v>612143.63419999997</v>
      </c>
      <c r="CE266" s="1">
        <f t="shared" si="27"/>
        <v>45471</v>
      </c>
      <c r="CF266" s="35">
        <f t="shared" si="34"/>
        <v>7.954932054466104</v>
      </c>
      <c r="CG266" s="36">
        <f t="shared" si="33"/>
        <v>1.4734816165125126</v>
      </c>
      <c r="CH266">
        <f t="shared" ca="1" si="28"/>
        <v>2.6534126376247973</v>
      </c>
      <c r="CI266">
        <f t="shared" ca="1" si="29"/>
        <v>1.3922028500750045</v>
      </c>
      <c r="CJ266">
        <f t="shared" ca="1" si="30"/>
        <v>0.29721188268708687</v>
      </c>
      <c r="CK266">
        <f t="shared" ca="1" si="31"/>
        <v>-0.6684857649173277</v>
      </c>
      <c r="CL266">
        <f t="shared" ca="1" si="32"/>
        <v>-0.85262582873613291</v>
      </c>
    </row>
    <row r="267" spans="1:90" x14ac:dyDescent="0.25">
      <c r="A267" s="43">
        <v>45478</v>
      </c>
      <c r="B267" s="5">
        <v>4.4029999999999996</v>
      </c>
      <c r="C267">
        <v>19.0688</v>
      </c>
      <c r="D267">
        <v>1.0082</v>
      </c>
      <c r="E267">
        <v>18.296800000000001</v>
      </c>
      <c r="F267">
        <v>0.42949999999999999</v>
      </c>
      <c r="G267">
        <v>0.21340000000000001</v>
      </c>
      <c r="H267">
        <v>60.700899999999997</v>
      </c>
      <c r="I267">
        <v>40.281599999999997</v>
      </c>
      <c r="J267">
        <v>1078.0329999999999</v>
      </c>
      <c r="K267">
        <v>1882330.0459</v>
      </c>
      <c r="M267" s="43">
        <v>45478</v>
      </c>
      <c r="N267" s="5">
        <v>6.8369</v>
      </c>
      <c r="O267">
        <v>15.3405</v>
      </c>
      <c r="P267">
        <v>0.59399999999999997</v>
      </c>
      <c r="Q267">
        <v>23.244299999999999</v>
      </c>
      <c r="R267">
        <v>-5.8799999999999998E-2</v>
      </c>
      <c r="S267">
        <v>195.11080000000001</v>
      </c>
      <c r="T267">
        <v>46.659599999999998</v>
      </c>
      <c r="U267">
        <v>33.693100000000001</v>
      </c>
      <c r="V267">
        <v>4827.3239999999996</v>
      </c>
      <c r="W267">
        <v>3788684.0430000001</v>
      </c>
      <c r="Y267" s="5">
        <v>12.7692</v>
      </c>
      <c r="Z267">
        <v>4.3136999999999999</v>
      </c>
      <c r="AA267">
        <v>-7.3099999999999998E-2</v>
      </c>
      <c r="AB267">
        <v>9.3271999999999995</v>
      </c>
      <c r="AC267">
        <v>-1.0081</v>
      </c>
      <c r="AD267">
        <v>0</v>
      </c>
      <c r="AE267">
        <v>34.028399999999998</v>
      </c>
      <c r="AF267">
        <v>2.1802000000000001</v>
      </c>
      <c r="AG267">
        <v>2368.86</v>
      </c>
      <c r="AH267">
        <v>1341628.3226999999</v>
      </c>
      <c r="AK267">
        <v>12.7447</v>
      </c>
      <c r="AL267">
        <v>9.9865999999999993</v>
      </c>
      <c r="AM267">
        <v>0.84419999999999995</v>
      </c>
      <c r="AN267">
        <v>1.54E-2</v>
      </c>
      <c r="AO267">
        <v>-0.65449999999999997</v>
      </c>
      <c r="AP267">
        <v>0</v>
      </c>
      <c r="AQ267">
        <v>21.130600000000001</v>
      </c>
      <c r="AR267">
        <v>8.5348000000000006</v>
      </c>
      <c r="AS267">
        <v>1364.4480000000001</v>
      </c>
      <c r="AT267">
        <v>826648.58490000002</v>
      </c>
      <c r="AV267">
        <v>9.1633999999999993</v>
      </c>
      <c r="AW267">
        <v>13.234299999999999</v>
      </c>
      <c r="AX267">
        <v>1.0330999999999999</v>
      </c>
      <c r="AY267">
        <v>19.597999999999999</v>
      </c>
      <c r="AZ267">
        <v>0.3836</v>
      </c>
      <c r="BA267" t="s">
        <v>23</v>
      </c>
      <c r="BB267">
        <v>5.9337999999999997</v>
      </c>
      <c r="BC267">
        <v>-5.7446000000000002</v>
      </c>
      <c r="BD267">
        <v>1085.1500000000001</v>
      </c>
      <c r="BE267">
        <v>949854.23589999997</v>
      </c>
      <c r="BH267" s="5">
        <v>6.6761999999999997</v>
      </c>
      <c r="BI267">
        <v>1.6566000000000001</v>
      </c>
      <c r="BJ267">
        <v>0.55679999999999996</v>
      </c>
      <c r="BK267">
        <v>6.6460999999999997</v>
      </c>
      <c r="BL267">
        <v>-0.1012</v>
      </c>
      <c r="BM267">
        <v>0</v>
      </c>
      <c r="BN267">
        <v>10.4163</v>
      </c>
      <c r="BO267">
        <v>5.6684000000000001</v>
      </c>
      <c r="BP267">
        <v>940.73599999999999</v>
      </c>
      <c r="BQ267">
        <v>586530.92980000004</v>
      </c>
      <c r="CE267" s="1">
        <f t="shared" si="27"/>
        <v>45478</v>
      </c>
      <c r="CF267" s="35">
        <f t="shared" si="34"/>
        <v>7.9436781448284348</v>
      </c>
      <c r="CG267" s="36">
        <f t="shared" si="33"/>
        <v>1.4681820300298298</v>
      </c>
      <c r="CH267">
        <f t="shared" ca="1" si="28"/>
        <v>2.6534126376247973</v>
      </c>
      <c r="CI267">
        <f t="shared" ca="1" si="29"/>
        <v>1.4691427963165991</v>
      </c>
      <c r="CJ267">
        <f t="shared" ca="1" si="30"/>
        <v>0.41634520407431297</v>
      </c>
      <c r="CK267">
        <f t="shared" ca="1" si="31"/>
        <v>-0.66488456042494004</v>
      </c>
      <c r="CL267">
        <f t="shared" ca="1" si="32"/>
        <v>-0.79356464734976284</v>
      </c>
    </row>
    <row r="268" spans="1:90" x14ac:dyDescent="0.25">
      <c r="A268" s="43">
        <v>45485</v>
      </c>
      <c r="B268" s="5">
        <v>4.6266999999999996</v>
      </c>
      <c r="C268">
        <v>19.0688</v>
      </c>
      <c r="D268">
        <v>1.0082</v>
      </c>
      <c r="E268">
        <v>18.296800000000001</v>
      </c>
      <c r="F268">
        <v>0.42949999999999999</v>
      </c>
      <c r="G268">
        <v>0.21340000000000001</v>
      </c>
      <c r="H268">
        <v>60.700899999999997</v>
      </c>
      <c r="I268">
        <v>40.281599999999997</v>
      </c>
      <c r="J268">
        <v>1140.252</v>
      </c>
      <c r="K268">
        <v>1990969.3548000001</v>
      </c>
      <c r="M268" s="43">
        <v>45485</v>
      </c>
      <c r="N268" s="5">
        <v>7.3259999999999996</v>
      </c>
      <c r="O268">
        <v>15.3405</v>
      </c>
      <c r="P268">
        <v>0.59399999999999997</v>
      </c>
      <c r="Q268">
        <v>23.244299999999999</v>
      </c>
      <c r="R268">
        <v>-5.8799999999999998E-2</v>
      </c>
      <c r="S268">
        <v>195.11080000000001</v>
      </c>
      <c r="T268">
        <v>46.659599999999998</v>
      </c>
      <c r="U268">
        <v>33.693100000000001</v>
      </c>
      <c r="V268">
        <v>5169.6840000000002</v>
      </c>
      <c r="W268">
        <v>4057382.1025999999</v>
      </c>
      <c r="Y268" s="5">
        <v>14.490500000000001</v>
      </c>
      <c r="Z268">
        <v>4.3136999999999999</v>
      </c>
      <c r="AA268">
        <v>-7.3099999999999998E-2</v>
      </c>
      <c r="AB268">
        <v>9.3271999999999995</v>
      </c>
      <c r="AC268">
        <v>-1.0081</v>
      </c>
      <c r="AD268">
        <v>0</v>
      </c>
      <c r="AE268">
        <v>34.028399999999998</v>
      </c>
      <c r="AF268">
        <v>2.1802000000000001</v>
      </c>
      <c r="AG268">
        <v>2664.8220000000001</v>
      </c>
      <c r="AH268">
        <v>1509249.4805000001</v>
      </c>
      <c r="AK268">
        <v>13.004200000000001</v>
      </c>
      <c r="AL268">
        <v>9.9865999999999993</v>
      </c>
      <c r="AM268">
        <v>0.84419999999999995</v>
      </c>
      <c r="AN268">
        <v>1.54E-2</v>
      </c>
      <c r="AO268">
        <v>-0.65449999999999997</v>
      </c>
      <c r="AP268">
        <v>0</v>
      </c>
      <c r="AQ268">
        <v>21.130600000000001</v>
      </c>
      <c r="AR268">
        <v>8.5348000000000006</v>
      </c>
      <c r="AS268">
        <v>1390.8710000000001</v>
      </c>
      <c r="AT268">
        <v>842656.84149999998</v>
      </c>
      <c r="AV268">
        <v>10.173500000000001</v>
      </c>
      <c r="AW268">
        <v>13.234299999999999</v>
      </c>
      <c r="AX268">
        <v>1.0330999999999999</v>
      </c>
      <c r="AY268">
        <v>19.597999999999999</v>
      </c>
      <c r="AZ268">
        <v>0.3836</v>
      </c>
      <c r="BA268" t="s">
        <v>23</v>
      </c>
      <c r="BB268">
        <v>5.9337999999999997</v>
      </c>
      <c r="BC268">
        <v>-5.7446000000000002</v>
      </c>
      <c r="BD268">
        <v>1210</v>
      </c>
      <c r="BE268">
        <v>1059138.0227999999</v>
      </c>
      <c r="BH268" s="5">
        <v>7.4608999999999996</v>
      </c>
      <c r="BI268">
        <v>1.6566000000000001</v>
      </c>
      <c r="BJ268">
        <v>0.55679999999999996</v>
      </c>
      <c r="BK268">
        <v>6.6460999999999997</v>
      </c>
      <c r="BL268">
        <v>-0.1012</v>
      </c>
      <c r="BM268">
        <v>0</v>
      </c>
      <c r="BN268">
        <v>10.4163</v>
      </c>
      <c r="BO268">
        <v>5.6684000000000001</v>
      </c>
      <c r="BP268">
        <v>1049.827</v>
      </c>
      <c r="BQ268">
        <v>654546.88919999998</v>
      </c>
      <c r="CE268" s="1">
        <f t="shared" si="27"/>
        <v>45485</v>
      </c>
      <c r="CF268" s="35">
        <f t="shared" si="34"/>
        <v>8.6437613026861158</v>
      </c>
      <c r="CG268" s="36">
        <f t="shared" si="33"/>
        <v>1.797858681041651</v>
      </c>
      <c r="CH268">
        <f t="shared" ca="1" si="28"/>
        <v>2.6534126376247973</v>
      </c>
      <c r="CI268">
        <f t="shared" ca="1" si="29"/>
        <v>1.4695069266505005</v>
      </c>
      <c r="CJ268">
        <f t="shared" ca="1" si="30"/>
        <v>0.54551335267161294</v>
      </c>
      <c r="CK268">
        <f t="shared" ca="1" si="31"/>
        <v>-0.62512082086214915</v>
      </c>
      <c r="CL268">
        <f t="shared" ca="1" si="32"/>
        <v>-0.78907475462245114</v>
      </c>
    </row>
    <row r="269" spans="1:90" x14ac:dyDescent="0.25">
      <c r="A269" s="43">
        <v>45492</v>
      </c>
      <c r="B269" s="5">
        <v>3.9925000000000002</v>
      </c>
      <c r="C269">
        <v>19.0688</v>
      </c>
      <c r="D269">
        <v>1.0082</v>
      </c>
      <c r="E269">
        <v>18.296800000000001</v>
      </c>
      <c r="F269">
        <v>0.42949999999999999</v>
      </c>
      <c r="G269">
        <v>0.21340000000000001</v>
      </c>
      <c r="H269">
        <v>60.700899999999997</v>
      </c>
      <c r="I269">
        <v>40.281599999999997</v>
      </c>
      <c r="J269">
        <v>963.83600000000001</v>
      </c>
      <c r="K269">
        <v>1682932.5867000001</v>
      </c>
      <c r="M269" s="43">
        <v>45492</v>
      </c>
      <c r="N269" s="5">
        <v>6.2367999999999997</v>
      </c>
      <c r="O269">
        <v>15.3405</v>
      </c>
      <c r="P269">
        <v>0.59399999999999997</v>
      </c>
      <c r="Q269">
        <v>23.244299999999999</v>
      </c>
      <c r="R269">
        <v>-5.8799999999999998E-2</v>
      </c>
      <c r="S269">
        <v>195.11080000000001</v>
      </c>
      <c r="T269">
        <v>46.659599999999998</v>
      </c>
      <c r="U269">
        <v>33.693100000000001</v>
      </c>
      <c r="V269">
        <v>4407.1790000000001</v>
      </c>
      <c r="W269">
        <v>3458937.0614999998</v>
      </c>
      <c r="Y269" s="5">
        <v>13.317399999999999</v>
      </c>
      <c r="Z269">
        <v>4.3136999999999999</v>
      </c>
      <c r="AA269">
        <v>-7.3099999999999998E-2</v>
      </c>
      <c r="AB269">
        <v>9.3271999999999995</v>
      </c>
      <c r="AC269">
        <v>-1.0081</v>
      </c>
      <c r="AD269">
        <v>0</v>
      </c>
      <c r="AE269">
        <v>34.028399999999998</v>
      </c>
      <c r="AF269">
        <v>2.1802000000000001</v>
      </c>
      <c r="AG269">
        <v>2463.1179999999999</v>
      </c>
      <c r="AH269">
        <v>1395012.2563</v>
      </c>
      <c r="AK269">
        <v>11.094099999999999</v>
      </c>
      <c r="AL269">
        <v>9.9865999999999993</v>
      </c>
      <c r="AM269">
        <v>0.84419999999999995</v>
      </c>
      <c r="AN269">
        <v>1.54E-2</v>
      </c>
      <c r="AO269">
        <v>-0.65449999999999997</v>
      </c>
      <c r="AP269">
        <v>0</v>
      </c>
      <c r="AQ269">
        <v>21.130600000000001</v>
      </c>
      <c r="AR269">
        <v>8.5348000000000006</v>
      </c>
      <c r="AS269">
        <v>1196.3699999999999</v>
      </c>
      <c r="AT269">
        <v>724818.28590000002</v>
      </c>
      <c r="AV269">
        <v>9.2026000000000003</v>
      </c>
      <c r="AW269">
        <v>13.234299999999999</v>
      </c>
      <c r="AX269">
        <v>1.0330999999999999</v>
      </c>
      <c r="AY269">
        <v>19.597999999999999</v>
      </c>
      <c r="AZ269">
        <v>0.3836</v>
      </c>
      <c r="BA269" t="s">
        <v>23</v>
      </c>
      <c r="BB269">
        <v>5.9337999999999997</v>
      </c>
      <c r="BC269">
        <v>-5.7446000000000002</v>
      </c>
      <c r="BD269">
        <v>1090</v>
      </c>
      <c r="BE269">
        <v>954099.54119999998</v>
      </c>
      <c r="BH269" s="5">
        <v>6.2461000000000002</v>
      </c>
      <c r="BI269">
        <v>1.6566000000000001</v>
      </c>
      <c r="BJ269">
        <v>0.55679999999999996</v>
      </c>
      <c r="BK269">
        <v>6.6460999999999997</v>
      </c>
      <c r="BL269">
        <v>-0.1012</v>
      </c>
      <c r="BM269">
        <v>0</v>
      </c>
      <c r="BN269">
        <v>10.4163</v>
      </c>
      <c r="BO269">
        <v>5.6684000000000001</v>
      </c>
      <c r="BP269">
        <v>880.94200000000001</v>
      </c>
      <c r="BQ269">
        <v>549250.21569999994</v>
      </c>
      <c r="CE269" s="1">
        <f t="shared" si="27"/>
        <v>45492</v>
      </c>
      <c r="CF269" s="35">
        <f t="shared" si="34"/>
        <v>7.6578933832570968</v>
      </c>
      <c r="CG269" s="36">
        <f t="shared" si="33"/>
        <v>1.333602927465269</v>
      </c>
      <c r="CH269">
        <f t="shared" ca="1" si="28"/>
        <v>2.6534126376247973</v>
      </c>
      <c r="CI269">
        <f t="shared" ca="1" si="29"/>
        <v>1.4992261395376498</v>
      </c>
      <c r="CJ269">
        <f t="shared" ca="1" si="30"/>
        <v>0.60046724997711298</v>
      </c>
      <c r="CK269">
        <f t="shared" ca="1" si="31"/>
        <v>-0.49062901789607716</v>
      </c>
      <c r="CL269">
        <f t="shared" ca="1" si="32"/>
        <v>-0.76741924781201276</v>
      </c>
    </row>
    <row r="270" spans="1:90" x14ac:dyDescent="0.25">
      <c r="A270" s="43">
        <v>45499</v>
      </c>
      <c r="B270" s="5">
        <v>3.9460999999999999</v>
      </c>
      <c r="C270">
        <v>19.0688</v>
      </c>
      <c r="D270">
        <v>1.0082</v>
      </c>
      <c r="E270">
        <v>18.296800000000001</v>
      </c>
      <c r="F270">
        <v>0.42949999999999999</v>
      </c>
      <c r="G270">
        <v>0.21340000000000001</v>
      </c>
      <c r="H270">
        <v>60.700899999999997</v>
      </c>
      <c r="I270">
        <v>40.281599999999997</v>
      </c>
      <c r="J270">
        <v>950.92700000000002</v>
      </c>
      <c r="K270">
        <v>1660393.311</v>
      </c>
      <c r="M270" s="43">
        <v>45499</v>
      </c>
      <c r="N270" s="5">
        <v>6.2435999999999998</v>
      </c>
      <c r="O270">
        <v>15.3405</v>
      </c>
      <c r="P270">
        <v>0.59399999999999997</v>
      </c>
      <c r="Q270">
        <v>23.244299999999999</v>
      </c>
      <c r="R270">
        <v>-5.8799999999999998E-2</v>
      </c>
      <c r="S270">
        <v>195.11080000000001</v>
      </c>
      <c r="T270">
        <v>46.659599999999998</v>
      </c>
      <c r="U270">
        <v>33.693100000000001</v>
      </c>
      <c r="V270">
        <v>4411.9750000000004</v>
      </c>
      <c r="W270">
        <v>3462700.8668</v>
      </c>
      <c r="Y270" s="5">
        <v>12.189399999999999</v>
      </c>
      <c r="Z270">
        <v>4.3136999999999999</v>
      </c>
      <c r="AA270">
        <v>-7.3099999999999998E-2</v>
      </c>
      <c r="AB270">
        <v>9.3271999999999995</v>
      </c>
      <c r="AC270">
        <v>-1.0081</v>
      </c>
      <c r="AD270">
        <v>0</v>
      </c>
      <c r="AE270">
        <v>34.028399999999998</v>
      </c>
      <c r="AF270">
        <v>2.1802000000000001</v>
      </c>
      <c r="AG270">
        <v>2269.172</v>
      </c>
      <c r="AH270">
        <v>1285168.7716000001</v>
      </c>
      <c r="AK270">
        <v>10.3733</v>
      </c>
      <c r="AL270">
        <v>9.9865999999999993</v>
      </c>
      <c r="AM270">
        <v>0.84419999999999995</v>
      </c>
      <c r="AN270">
        <v>1.54E-2</v>
      </c>
      <c r="AO270">
        <v>-0.65449999999999997</v>
      </c>
      <c r="AP270">
        <v>0</v>
      </c>
      <c r="AQ270">
        <v>21.130600000000001</v>
      </c>
      <c r="AR270">
        <v>8.5348000000000006</v>
      </c>
      <c r="AS270">
        <v>1122.973</v>
      </c>
      <c r="AT270">
        <v>680350.90639999998</v>
      </c>
      <c r="AV270">
        <v>9.1622000000000003</v>
      </c>
      <c r="AW270">
        <v>13.234299999999999</v>
      </c>
      <c r="AX270">
        <v>1.0330999999999999</v>
      </c>
      <c r="AY270">
        <v>19.597999999999999</v>
      </c>
      <c r="AZ270">
        <v>0.3836</v>
      </c>
      <c r="BA270" t="s">
        <v>23</v>
      </c>
      <c r="BB270">
        <v>5.9337999999999997</v>
      </c>
      <c r="BC270">
        <v>-5.7446000000000002</v>
      </c>
      <c r="BD270">
        <v>1085</v>
      </c>
      <c r="BE270">
        <v>949722.93779999996</v>
      </c>
      <c r="BH270" s="5">
        <v>5.9572000000000003</v>
      </c>
      <c r="BI270">
        <v>1.6566000000000001</v>
      </c>
      <c r="BJ270">
        <v>0.55679999999999996</v>
      </c>
      <c r="BK270">
        <v>6.6460999999999997</v>
      </c>
      <c r="BL270">
        <v>-0.1012</v>
      </c>
      <c r="BM270">
        <v>0</v>
      </c>
      <c r="BN270">
        <v>10.4163</v>
      </c>
      <c r="BO270">
        <v>5.6684000000000001</v>
      </c>
      <c r="BP270">
        <v>840.774</v>
      </c>
      <c r="BQ270">
        <v>524206.6826</v>
      </c>
      <c r="CE270" s="1">
        <f t="shared" si="27"/>
        <v>45499</v>
      </c>
      <c r="CF270" s="35">
        <f t="shared" si="34"/>
        <v>7.3248180500357494</v>
      </c>
      <c r="CG270" s="36">
        <f t="shared" si="33"/>
        <v>1.1767541886281854</v>
      </c>
      <c r="CH270">
        <f t="shared" ca="1" si="28"/>
        <v>2.6534126376247973</v>
      </c>
      <c r="CI270">
        <f t="shared" ca="1" si="29"/>
        <v>1.4992261395376498</v>
      </c>
      <c r="CJ270">
        <f t="shared" ca="1" si="30"/>
        <v>0.69925791768579948</v>
      </c>
      <c r="CK270">
        <f t="shared" ca="1" si="31"/>
        <v>-0.42967569775930009</v>
      </c>
      <c r="CL270">
        <f t="shared" ca="1" si="32"/>
        <v>-0.74679130316708398</v>
      </c>
    </row>
    <row r="271" spans="1:90" x14ac:dyDescent="0.25">
      <c r="A271" s="43">
        <v>45506</v>
      </c>
      <c r="B271" s="5">
        <v>3.6831</v>
      </c>
      <c r="C271">
        <v>19.0688</v>
      </c>
      <c r="D271">
        <v>1.0082</v>
      </c>
      <c r="E271">
        <v>18.296800000000001</v>
      </c>
      <c r="F271">
        <v>0.42949999999999999</v>
      </c>
      <c r="G271">
        <v>0.21340000000000001</v>
      </c>
      <c r="H271">
        <v>60.700899999999997</v>
      </c>
      <c r="I271">
        <v>40.281599999999997</v>
      </c>
      <c r="J271">
        <v>877.779</v>
      </c>
      <c r="K271">
        <v>1532670.7486</v>
      </c>
      <c r="M271" s="43">
        <v>45506</v>
      </c>
      <c r="N271" s="5">
        <v>5.8052000000000001</v>
      </c>
      <c r="O271">
        <v>15.3405</v>
      </c>
      <c r="P271">
        <v>0.59399999999999997</v>
      </c>
      <c r="Q271">
        <v>23.244299999999999</v>
      </c>
      <c r="R271">
        <v>-5.8799999999999998E-2</v>
      </c>
      <c r="S271">
        <v>195.11080000000001</v>
      </c>
      <c r="T271">
        <v>46.659599999999998</v>
      </c>
      <c r="U271">
        <v>33.693100000000001</v>
      </c>
      <c r="V271">
        <v>4105.0550000000003</v>
      </c>
      <c r="W271">
        <v>3221817.3281999999</v>
      </c>
      <c r="Y271" s="5">
        <v>11.4223</v>
      </c>
      <c r="Z271">
        <v>4.3136999999999999</v>
      </c>
      <c r="AA271">
        <v>-7.3099999999999998E-2</v>
      </c>
      <c r="AB271">
        <v>9.3271999999999995</v>
      </c>
      <c r="AC271">
        <v>-1.0081</v>
      </c>
      <c r="AD271">
        <v>0</v>
      </c>
      <c r="AE271">
        <v>34.028399999999998</v>
      </c>
      <c r="AF271">
        <v>2.1802000000000001</v>
      </c>
      <c r="AG271">
        <v>2137.288</v>
      </c>
      <c r="AH271">
        <v>1210475.2019</v>
      </c>
      <c r="AK271">
        <v>10.6617</v>
      </c>
      <c r="AL271">
        <v>9.9865999999999993</v>
      </c>
      <c r="AM271">
        <v>0.84419999999999995</v>
      </c>
      <c r="AN271">
        <v>1.54E-2</v>
      </c>
      <c r="AO271">
        <v>-0.65449999999999997</v>
      </c>
      <c r="AP271">
        <v>0</v>
      </c>
      <c r="AQ271">
        <v>21.130600000000001</v>
      </c>
      <c r="AR271">
        <v>8.5348000000000006</v>
      </c>
      <c r="AS271">
        <v>1152.3309999999999</v>
      </c>
      <c r="AT271">
        <v>698137.85820000002</v>
      </c>
      <c r="AV271">
        <v>8.6767000000000003</v>
      </c>
      <c r="AW271">
        <v>13.234299999999999</v>
      </c>
      <c r="AX271">
        <v>1.0330999999999999</v>
      </c>
      <c r="AY271">
        <v>19.597999999999999</v>
      </c>
      <c r="AZ271">
        <v>0.3836</v>
      </c>
      <c r="BA271" t="s">
        <v>23</v>
      </c>
      <c r="BB271">
        <v>5.9337999999999997</v>
      </c>
      <c r="BC271">
        <v>-5.7446000000000002</v>
      </c>
      <c r="BD271">
        <v>1025</v>
      </c>
      <c r="BE271">
        <v>897203.69700000004</v>
      </c>
      <c r="BH271" s="5">
        <v>5.8586999999999998</v>
      </c>
      <c r="BI271">
        <v>1.6566000000000001</v>
      </c>
      <c r="BJ271">
        <v>0.55679999999999996</v>
      </c>
      <c r="BK271">
        <v>6.6460999999999997</v>
      </c>
      <c r="BL271">
        <v>-0.1012</v>
      </c>
      <c r="BM271">
        <v>0</v>
      </c>
      <c r="BN271">
        <v>10.4163</v>
      </c>
      <c r="BO271">
        <v>5.6684000000000001</v>
      </c>
      <c r="BP271">
        <v>827.08100000000002</v>
      </c>
      <c r="BQ271">
        <v>515669.11440000002</v>
      </c>
      <c r="CE271" s="1">
        <f t="shared" si="27"/>
        <v>45506</v>
      </c>
      <c r="CF271" s="35">
        <f t="shared" si="34"/>
        <v>6.9866420086014633</v>
      </c>
      <c r="CG271" s="36">
        <f t="shared" si="33"/>
        <v>1.0175034717081324</v>
      </c>
      <c r="CH271">
        <f t="shared" ca="1" si="28"/>
        <v>2.6534126376247973</v>
      </c>
      <c r="CI271">
        <f t="shared" ca="1" si="29"/>
        <v>1.4992261395376498</v>
      </c>
      <c r="CJ271">
        <f t="shared" ca="1" si="30"/>
        <v>0.77396650293635505</v>
      </c>
      <c r="CK271">
        <f t="shared" ca="1" si="31"/>
        <v>-0.40034185241283887</v>
      </c>
      <c r="CL271">
        <f t="shared" ca="1" si="32"/>
        <v>-0.7206790655217169</v>
      </c>
    </row>
    <row r="272" spans="1:90" x14ac:dyDescent="0.25">
      <c r="A272" s="43">
        <v>45513</v>
      </c>
      <c r="B272" s="5">
        <v>4.1007999999999996</v>
      </c>
      <c r="C272">
        <v>19.0688</v>
      </c>
      <c r="D272">
        <v>1.0082</v>
      </c>
      <c r="E272">
        <v>18.296800000000001</v>
      </c>
      <c r="F272">
        <v>0.42949999999999999</v>
      </c>
      <c r="G272">
        <v>0.21340000000000001</v>
      </c>
      <c r="H272">
        <v>60.700899999999997</v>
      </c>
      <c r="I272">
        <v>40.281599999999997</v>
      </c>
      <c r="J272">
        <v>993.95600000000002</v>
      </c>
      <c r="K272">
        <v>1735524.2301</v>
      </c>
      <c r="M272" s="43">
        <v>45513</v>
      </c>
      <c r="N272" s="5">
        <v>6.8327</v>
      </c>
      <c r="O272">
        <v>15.3405</v>
      </c>
      <c r="P272">
        <v>0.59399999999999997</v>
      </c>
      <c r="Q272">
        <v>23.244299999999999</v>
      </c>
      <c r="R272">
        <v>-5.8799999999999998E-2</v>
      </c>
      <c r="S272">
        <v>195.11080000000001</v>
      </c>
      <c r="T272">
        <v>46.659599999999998</v>
      </c>
      <c r="U272">
        <v>33.693100000000001</v>
      </c>
      <c r="V272">
        <v>4824.3990000000003</v>
      </c>
      <c r="W272">
        <v>3786388.1217</v>
      </c>
      <c r="Y272" s="5">
        <v>12.302199999999999</v>
      </c>
      <c r="Z272">
        <v>4.3136999999999999</v>
      </c>
      <c r="AA272">
        <v>-7.3099999999999998E-2</v>
      </c>
      <c r="AB272">
        <v>9.3271999999999995</v>
      </c>
      <c r="AC272">
        <v>-1.0081</v>
      </c>
      <c r="AD272">
        <v>0</v>
      </c>
      <c r="AE272">
        <v>34.028399999999998</v>
      </c>
      <c r="AF272">
        <v>2.1802000000000001</v>
      </c>
      <c r="AG272">
        <v>2288.5659999999998</v>
      </c>
      <c r="AH272">
        <v>1296153.1200000001</v>
      </c>
      <c r="AK272">
        <v>11.959</v>
      </c>
      <c r="AL272">
        <v>9.9865999999999993</v>
      </c>
      <c r="AM272">
        <v>0.84419999999999995</v>
      </c>
      <c r="AN272">
        <v>1.54E-2</v>
      </c>
      <c r="AO272">
        <v>-0.65449999999999997</v>
      </c>
      <c r="AP272">
        <v>0</v>
      </c>
      <c r="AQ272">
        <v>21.130600000000001</v>
      </c>
      <c r="AR272">
        <v>8.5348000000000006</v>
      </c>
      <c r="AS272">
        <v>1284.4459999999999</v>
      </c>
      <c r="AT272">
        <v>778179.14119999995</v>
      </c>
      <c r="AV272">
        <v>9.3239999999999998</v>
      </c>
      <c r="AW272">
        <v>13.234299999999999</v>
      </c>
      <c r="AX272">
        <v>1.0330999999999999</v>
      </c>
      <c r="AY272">
        <v>19.597999999999999</v>
      </c>
      <c r="AZ272">
        <v>0.3836</v>
      </c>
      <c r="BA272" t="s">
        <v>23</v>
      </c>
      <c r="BB272">
        <v>5.9337999999999997</v>
      </c>
      <c r="BC272">
        <v>-5.7446000000000002</v>
      </c>
      <c r="BD272">
        <v>1105</v>
      </c>
      <c r="BE272">
        <v>967229.35140000004</v>
      </c>
      <c r="BH272" s="5">
        <v>5.9244000000000003</v>
      </c>
      <c r="BI272">
        <v>1.6566000000000001</v>
      </c>
      <c r="BJ272">
        <v>0.55679999999999996</v>
      </c>
      <c r="BK272">
        <v>6.6460999999999997</v>
      </c>
      <c r="BL272">
        <v>-0.1012</v>
      </c>
      <c r="BM272">
        <v>0</v>
      </c>
      <c r="BN272">
        <v>10.4163</v>
      </c>
      <c r="BO272">
        <v>5.6684000000000001</v>
      </c>
      <c r="BP272">
        <v>836.21</v>
      </c>
      <c r="BQ272">
        <v>521360.82650000002</v>
      </c>
      <c r="CE272" s="1">
        <f t="shared" si="27"/>
        <v>45513</v>
      </c>
      <c r="CF272" s="35">
        <f t="shared" si="34"/>
        <v>7.7433733597272845</v>
      </c>
      <c r="CG272" s="36">
        <f t="shared" si="33"/>
        <v>1.3738563631535328</v>
      </c>
      <c r="CH272">
        <f t="shared" ca="1" si="28"/>
        <v>2.6534126376247973</v>
      </c>
      <c r="CI272">
        <f t="shared" ca="1" si="29"/>
        <v>1.4992261395376498</v>
      </c>
      <c r="CJ272">
        <f t="shared" ca="1" si="30"/>
        <v>0.80573020047983079</v>
      </c>
      <c r="CK272">
        <f t="shared" ca="1" si="31"/>
        <v>-0.37745698375833259</v>
      </c>
      <c r="CL272">
        <f t="shared" ca="1" si="32"/>
        <v>-0.71373936678721184</v>
      </c>
    </row>
    <row r="273" spans="1:90" x14ac:dyDescent="0.25">
      <c r="A273" s="43">
        <v>45520</v>
      </c>
      <c r="B273" s="5">
        <v>4.2709000000000001</v>
      </c>
      <c r="C273">
        <v>19.0688</v>
      </c>
      <c r="D273">
        <v>1.0082</v>
      </c>
      <c r="E273">
        <v>18.296800000000001</v>
      </c>
      <c r="F273">
        <v>0.42949999999999999</v>
      </c>
      <c r="G273">
        <v>0.21340000000000001</v>
      </c>
      <c r="H273">
        <v>60.700899999999997</v>
      </c>
      <c r="I273">
        <v>40.281599999999997</v>
      </c>
      <c r="J273">
        <v>1041.287</v>
      </c>
      <c r="K273">
        <v>1818168.2409999999</v>
      </c>
      <c r="M273" s="43">
        <v>45520</v>
      </c>
      <c r="N273" s="5">
        <v>6.819</v>
      </c>
      <c r="O273">
        <v>15.3405</v>
      </c>
      <c r="P273">
        <v>0.59399999999999997</v>
      </c>
      <c r="Q273">
        <v>23.244299999999999</v>
      </c>
      <c r="R273">
        <v>-5.8799999999999998E-2</v>
      </c>
      <c r="S273">
        <v>195.11080000000001</v>
      </c>
      <c r="T273">
        <v>46.659599999999998</v>
      </c>
      <c r="U273">
        <v>33.693100000000001</v>
      </c>
      <c r="V273">
        <v>4814.808</v>
      </c>
      <c r="W273">
        <v>3778860.5112000001</v>
      </c>
      <c r="Y273" s="5">
        <v>12.527799999999999</v>
      </c>
      <c r="Z273">
        <v>4.3136999999999999</v>
      </c>
      <c r="AA273">
        <v>-7.3099999999999998E-2</v>
      </c>
      <c r="AB273">
        <v>9.3271999999999995</v>
      </c>
      <c r="AC273">
        <v>-1.0081</v>
      </c>
      <c r="AD273">
        <v>0</v>
      </c>
      <c r="AE273">
        <v>34.028399999999998</v>
      </c>
      <c r="AF273">
        <v>2.1802000000000001</v>
      </c>
      <c r="AG273">
        <v>2327.3560000000002</v>
      </c>
      <c r="AH273">
        <v>1318121.817</v>
      </c>
      <c r="AK273">
        <v>11.3103</v>
      </c>
      <c r="AL273">
        <v>9.9865999999999993</v>
      </c>
      <c r="AM273">
        <v>0.84419999999999995</v>
      </c>
      <c r="AN273">
        <v>1.54E-2</v>
      </c>
      <c r="AO273">
        <v>-0.65449999999999997</v>
      </c>
      <c r="AP273">
        <v>0</v>
      </c>
      <c r="AQ273">
        <v>21.130600000000001</v>
      </c>
      <c r="AR273">
        <v>8.5348000000000006</v>
      </c>
      <c r="AS273">
        <v>1218.3889999999999</v>
      </c>
      <c r="AT273">
        <v>738158.49970000004</v>
      </c>
      <c r="AV273">
        <v>9.4048999999999996</v>
      </c>
      <c r="AW273">
        <v>13.234299999999999</v>
      </c>
      <c r="AX273">
        <v>1.0330999999999999</v>
      </c>
      <c r="AY273">
        <v>19.597999999999999</v>
      </c>
      <c r="AZ273">
        <v>0.3836</v>
      </c>
      <c r="BA273" t="s">
        <v>23</v>
      </c>
      <c r="BB273">
        <v>5.9337999999999997</v>
      </c>
      <c r="BC273">
        <v>-5.7446000000000002</v>
      </c>
      <c r="BD273">
        <v>1115</v>
      </c>
      <c r="BE273">
        <v>975982.55819999997</v>
      </c>
      <c r="BH273" s="5">
        <v>6.6401000000000003</v>
      </c>
      <c r="BI273">
        <v>1.6566000000000001</v>
      </c>
      <c r="BJ273">
        <v>0.55679999999999996</v>
      </c>
      <c r="BK273">
        <v>6.6460999999999997</v>
      </c>
      <c r="BL273">
        <v>-0.1012</v>
      </c>
      <c r="BM273">
        <v>0</v>
      </c>
      <c r="BN273">
        <v>10.4163</v>
      </c>
      <c r="BO273">
        <v>5.6684000000000001</v>
      </c>
      <c r="BP273">
        <v>935.71500000000003</v>
      </c>
      <c r="BQ273">
        <v>583400.48820000002</v>
      </c>
      <c r="CE273" s="1">
        <f t="shared" si="27"/>
        <v>45520</v>
      </c>
      <c r="CF273" s="35">
        <f t="shared" si="34"/>
        <v>7.7553965978287334</v>
      </c>
      <c r="CG273" s="36">
        <f t="shared" si="33"/>
        <v>1.3795182346428183</v>
      </c>
      <c r="CH273">
        <f t="shared" ca="1" si="28"/>
        <v>2.6534126376247973</v>
      </c>
      <c r="CI273">
        <f t="shared" ca="1" si="29"/>
        <v>1.4992261395376498</v>
      </c>
      <c r="CJ273">
        <f t="shared" ca="1" si="30"/>
        <v>0.84749803660682232</v>
      </c>
      <c r="CK273">
        <f t="shared" ca="1" si="31"/>
        <v>-0.2907533731236529</v>
      </c>
      <c r="CL273">
        <f t="shared" ca="1" si="32"/>
        <v>-0.66984415801827712</v>
      </c>
    </row>
    <row r="274" spans="1:90" x14ac:dyDescent="0.25">
      <c r="A274" s="43">
        <v>45527</v>
      </c>
      <c r="B274" s="5">
        <v>4.0544000000000002</v>
      </c>
      <c r="C274">
        <v>19.0688</v>
      </c>
      <c r="D274">
        <v>1.0082</v>
      </c>
      <c r="E274">
        <v>18.296800000000001</v>
      </c>
      <c r="F274">
        <v>0.42949999999999999</v>
      </c>
      <c r="G274">
        <v>0.21340000000000001</v>
      </c>
      <c r="H274">
        <v>60.700899999999997</v>
      </c>
      <c r="I274">
        <v>40.281599999999997</v>
      </c>
      <c r="J274">
        <v>981.04700000000003</v>
      </c>
      <c r="K274">
        <v>1712984.9543000001</v>
      </c>
      <c r="M274" s="43">
        <v>45527</v>
      </c>
      <c r="N274" s="5">
        <v>6.4901999999999997</v>
      </c>
      <c r="O274">
        <v>15.3405</v>
      </c>
      <c r="P274">
        <v>0.59399999999999997</v>
      </c>
      <c r="Q274">
        <v>23.244299999999999</v>
      </c>
      <c r="R274">
        <v>-5.8799999999999998E-2</v>
      </c>
      <c r="S274">
        <v>195.11080000000001</v>
      </c>
      <c r="T274">
        <v>46.659599999999998</v>
      </c>
      <c r="U274">
        <v>33.693100000000001</v>
      </c>
      <c r="V274">
        <v>4584.6180000000004</v>
      </c>
      <c r="W274">
        <v>3598197.8572</v>
      </c>
      <c r="Y274" s="5">
        <v>11.9412</v>
      </c>
      <c r="Z274">
        <v>4.3136999999999999</v>
      </c>
      <c r="AA274">
        <v>-7.3099999999999998E-2</v>
      </c>
      <c r="AB274">
        <v>9.3271999999999995</v>
      </c>
      <c r="AC274">
        <v>-1.0081</v>
      </c>
      <c r="AD274">
        <v>0</v>
      </c>
      <c r="AE274">
        <v>34.028399999999998</v>
      </c>
      <c r="AF274">
        <v>2.1802000000000001</v>
      </c>
      <c r="AG274">
        <v>2226.5030000000002</v>
      </c>
      <c r="AH274">
        <v>1261003.2049</v>
      </c>
      <c r="AK274">
        <v>10.5175</v>
      </c>
      <c r="AL274">
        <v>9.9865999999999993</v>
      </c>
      <c r="AM274">
        <v>0.84419999999999995</v>
      </c>
      <c r="AN274">
        <v>1.54E-2</v>
      </c>
      <c r="AO274">
        <v>-0.65449999999999997</v>
      </c>
      <c r="AP274">
        <v>0</v>
      </c>
      <c r="AQ274">
        <v>21.130600000000001</v>
      </c>
      <c r="AR274">
        <v>8.5348000000000006</v>
      </c>
      <c r="AS274">
        <v>1137.652</v>
      </c>
      <c r="AT274">
        <v>689244.38230000006</v>
      </c>
      <c r="AV274">
        <v>9.7690000000000001</v>
      </c>
      <c r="AW274">
        <v>13.234299999999999</v>
      </c>
      <c r="AX274">
        <v>1.0330999999999999</v>
      </c>
      <c r="AY274">
        <v>19.597999999999999</v>
      </c>
      <c r="AZ274">
        <v>0.3836</v>
      </c>
      <c r="BA274" t="s">
        <v>23</v>
      </c>
      <c r="BB274">
        <v>5.9337999999999997</v>
      </c>
      <c r="BC274">
        <v>-5.7446000000000002</v>
      </c>
      <c r="BD274">
        <v>1160</v>
      </c>
      <c r="BE274">
        <v>1015371.9888000001</v>
      </c>
      <c r="BH274" s="5">
        <v>6.6073000000000004</v>
      </c>
      <c r="BI274">
        <v>1.6566000000000001</v>
      </c>
      <c r="BJ274">
        <v>0.55679999999999996</v>
      </c>
      <c r="BK274">
        <v>6.6460999999999997</v>
      </c>
      <c r="BL274">
        <v>-0.1012</v>
      </c>
      <c r="BM274">
        <v>0</v>
      </c>
      <c r="BN274">
        <v>10.4163</v>
      </c>
      <c r="BO274">
        <v>5.6684000000000001</v>
      </c>
      <c r="BP274">
        <v>931.15099999999995</v>
      </c>
      <c r="BQ274">
        <v>580554.63219999999</v>
      </c>
      <c r="CE274" s="1">
        <f t="shared" si="27"/>
        <v>45527</v>
      </c>
      <c r="CF274" s="35">
        <f t="shared" si="34"/>
        <v>7.4921036405141299</v>
      </c>
      <c r="CG274" s="36">
        <f t="shared" si="33"/>
        <v>1.2555307633999768</v>
      </c>
      <c r="CH274">
        <f t="shared" ca="1" si="28"/>
        <v>2.6534126376247973</v>
      </c>
      <c r="CI274">
        <f t="shared" ca="1" si="29"/>
        <v>1.4992261395376498</v>
      </c>
      <c r="CJ274">
        <f t="shared" ca="1" si="30"/>
        <v>0.87003819594770748</v>
      </c>
      <c r="CK274">
        <f t="shared" ca="1" si="31"/>
        <v>-0.19391518394596924</v>
      </c>
      <c r="CL274">
        <f t="shared" ca="1" si="32"/>
        <v>-0.66984415801827712</v>
      </c>
    </row>
    <row r="275" spans="1:90" x14ac:dyDescent="0.25">
      <c r="A275" s="43">
        <v>45534</v>
      </c>
      <c r="B275" s="5">
        <v>4.2089999999999996</v>
      </c>
      <c r="C275">
        <v>19.0688</v>
      </c>
      <c r="D275">
        <v>1.0082</v>
      </c>
      <c r="E275">
        <v>18.296800000000001</v>
      </c>
      <c r="F275">
        <v>0.42949999999999999</v>
      </c>
      <c r="G275">
        <v>0.21340000000000001</v>
      </c>
      <c r="H275">
        <v>60.700899999999997</v>
      </c>
      <c r="I275">
        <v>40.281599999999997</v>
      </c>
      <c r="J275">
        <v>1024.076</v>
      </c>
      <c r="K275">
        <v>1788115.8733999999</v>
      </c>
      <c r="M275" s="43">
        <v>45534</v>
      </c>
      <c r="N275" s="5">
        <v>6.7847999999999997</v>
      </c>
      <c r="O275">
        <v>15.3405</v>
      </c>
      <c r="P275">
        <v>0.59399999999999997</v>
      </c>
      <c r="Q275">
        <v>23.244299999999999</v>
      </c>
      <c r="R275">
        <v>-5.8799999999999998E-2</v>
      </c>
      <c r="S275">
        <v>195.11080000000001</v>
      </c>
      <c r="T275">
        <v>46.659599999999998</v>
      </c>
      <c r="U275">
        <v>33.693100000000001</v>
      </c>
      <c r="V275">
        <v>4790.8289999999997</v>
      </c>
      <c r="W275">
        <v>3760041.4846999999</v>
      </c>
      <c r="Y275" s="5">
        <v>12.5954</v>
      </c>
      <c r="Z275">
        <v>4.3136999999999999</v>
      </c>
      <c r="AA275">
        <v>-7.3099999999999998E-2</v>
      </c>
      <c r="AB275">
        <v>9.3271999999999995</v>
      </c>
      <c r="AC275">
        <v>-1.0081</v>
      </c>
      <c r="AD275">
        <v>0</v>
      </c>
      <c r="AE275">
        <v>34.028399999999998</v>
      </c>
      <c r="AF275">
        <v>2.1802000000000001</v>
      </c>
      <c r="AG275">
        <v>2338.9920000000002</v>
      </c>
      <c r="AH275">
        <v>1324712.4261</v>
      </c>
      <c r="AK275">
        <v>11.850899999999999</v>
      </c>
      <c r="AL275">
        <v>9.9865999999999993</v>
      </c>
      <c r="AM275">
        <v>0.84419999999999995</v>
      </c>
      <c r="AN275">
        <v>1.54E-2</v>
      </c>
      <c r="AO275">
        <v>-0.65449999999999997</v>
      </c>
      <c r="AP275">
        <v>0</v>
      </c>
      <c r="AQ275">
        <v>21.130600000000001</v>
      </c>
      <c r="AR275">
        <v>8.5348000000000006</v>
      </c>
      <c r="AS275">
        <v>1273.4359999999999</v>
      </c>
      <c r="AT275">
        <v>771509.03430000006</v>
      </c>
      <c r="AV275">
        <v>10.578099999999999</v>
      </c>
      <c r="AW275">
        <v>13.234299999999999</v>
      </c>
      <c r="AX275">
        <v>1.0330999999999999</v>
      </c>
      <c r="AY275">
        <v>19.597999999999999</v>
      </c>
      <c r="AZ275">
        <v>0.3836</v>
      </c>
      <c r="BA275" t="s">
        <v>23</v>
      </c>
      <c r="BB275">
        <v>5.9337999999999997</v>
      </c>
      <c r="BC275">
        <v>-5.7446000000000002</v>
      </c>
      <c r="BD275">
        <v>1260</v>
      </c>
      <c r="BE275">
        <v>1102904.0567999999</v>
      </c>
      <c r="BH275" s="5">
        <v>7.2640000000000002</v>
      </c>
      <c r="BI275">
        <v>1.6566000000000001</v>
      </c>
      <c r="BJ275">
        <v>0.55679999999999996</v>
      </c>
      <c r="BK275">
        <v>6.6460999999999997</v>
      </c>
      <c r="BL275">
        <v>-0.1012</v>
      </c>
      <c r="BM275">
        <v>0</v>
      </c>
      <c r="BN275">
        <v>10.4163</v>
      </c>
      <c r="BO275">
        <v>5.6684000000000001</v>
      </c>
      <c r="BP275">
        <v>1022.44</v>
      </c>
      <c r="BQ275">
        <v>637471.75300000003</v>
      </c>
      <c r="CE275" s="1">
        <f t="shared" si="27"/>
        <v>45534</v>
      </c>
      <c r="CF275" s="35">
        <f t="shared" si="34"/>
        <v>8.009041863832131</v>
      </c>
      <c r="CG275" s="36">
        <f t="shared" si="33"/>
        <v>1.4989625048019382</v>
      </c>
      <c r="CH275">
        <f t="shared" ca="1" si="28"/>
        <v>2.6534126376247973</v>
      </c>
      <c r="CI275">
        <f t="shared" ca="1" si="29"/>
        <v>1.4992261395376498</v>
      </c>
      <c r="CJ275">
        <f t="shared" ca="1" si="30"/>
        <v>0.94450557018555259</v>
      </c>
      <c r="CK275">
        <f t="shared" ca="1" si="31"/>
        <v>5.6306614194644528E-2</v>
      </c>
      <c r="CL275">
        <f t="shared" ca="1" si="32"/>
        <v>-0.66984415801827712</v>
      </c>
    </row>
    <row r="276" spans="1:90" x14ac:dyDescent="0.25">
      <c r="A276" s="43">
        <v>45541</v>
      </c>
      <c r="B276" s="5">
        <v>4.1780999999999997</v>
      </c>
      <c r="C276">
        <v>19.0688</v>
      </c>
      <c r="D276">
        <v>1.0082</v>
      </c>
      <c r="E276">
        <v>18.296800000000001</v>
      </c>
      <c r="F276">
        <v>0.42949999999999999</v>
      </c>
      <c r="G276">
        <v>0.21340000000000001</v>
      </c>
      <c r="H276">
        <v>60.700899999999997</v>
      </c>
      <c r="I276">
        <v>40.281599999999997</v>
      </c>
      <c r="J276">
        <v>1015.47</v>
      </c>
      <c r="K276">
        <v>1773089.6895999999</v>
      </c>
      <c r="M276" s="43">
        <v>45541</v>
      </c>
      <c r="N276" s="5">
        <v>6.9423000000000004</v>
      </c>
      <c r="O276">
        <v>15.3405</v>
      </c>
      <c r="P276">
        <v>0.59399999999999997</v>
      </c>
      <c r="Q276">
        <v>23.244299999999999</v>
      </c>
      <c r="R276">
        <v>-5.8799999999999998E-2</v>
      </c>
      <c r="S276">
        <v>195.11080000000001</v>
      </c>
      <c r="T276">
        <v>46.659599999999998</v>
      </c>
      <c r="U276">
        <v>33.693100000000001</v>
      </c>
      <c r="V276">
        <v>4901.1289999999999</v>
      </c>
      <c r="W276">
        <v>3846609.0063999998</v>
      </c>
      <c r="Y276" s="5">
        <v>13.024100000000001</v>
      </c>
      <c r="Z276">
        <v>4.3136999999999999</v>
      </c>
      <c r="AA276">
        <v>-7.3099999999999998E-2</v>
      </c>
      <c r="AB276">
        <v>9.3271999999999995</v>
      </c>
      <c r="AC276">
        <v>-1.0081</v>
      </c>
      <c r="AD276">
        <v>0</v>
      </c>
      <c r="AE276">
        <v>34.028399999999998</v>
      </c>
      <c r="AF276">
        <v>2.1802000000000001</v>
      </c>
      <c r="AG276">
        <v>2412.692</v>
      </c>
      <c r="AH276">
        <v>1366452.9502999999</v>
      </c>
      <c r="AK276">
        <v>11.5626</v>
      </c>
      <c r="AL276">
        <v>9.9865999999999993</v>
      </c>
      <c r="AM276">
        <v>0.84419999999999995</v>
      </c>
      <c r="AN276">
        <v>1.54E-2</v>
      </c>
      <c r="AO276">
        <v>-0.65449999999999997</v>
      </c>
      <c r="AP276">
        <v>0</v>
      </c>
      <c r="AQ276">
        <v>21.130600000000001</v>
      </c>
      <c r="AR276">
        <v>8.5348000000000006</v>
      </c>
      <c r="AS276">
        <v>1244.078</v>
      </c>
      <c r="AT276">
        <v>753722.08250000002</v>
      </c>
      <c r="AV276">
        <v>11.2658</v>
      </c>
      <c r="AW276">
        <v>13.234299999999999</v>
      </c>
      <c r="AX276">
        <v>1.0330999999999999</v>
      </c>
      <c r="AY276">
        <v>19.597999999999999</v>
      </c>
      <c r="AZ276">
        <v>0.3836</v>
      </c>
      <c r="BA276" t="s">
        <v>23</v>
      </c>
      <c r="BB276">
        <v>5.9337999999999997</v>
      </c>
      <c r="BC276">
        <v>-5.7446000000000002</v>
      </c>
      <c r="BD276">
        <v>1345</v>
      </c>
      <c r="BE276">
        <v>1177306.3145999999</v>
      </c>
      <c r="BH276" s="5">
        <v>7.3296000000000001</v>
      </c>
      <c r="BI276">
        <v>1.6566000000000001</v>
      </c>
      <c r="BJ276">
        <v>0.55679999999999996</v>
      </c>
      <c r="BK276">
        <v>6.6460999999999997</v>
      </c>
      <c r="BL276">
        <v>-0.1012</v>
      </c>
      <c r="BM276">
        <v>0</v>
      </c>
      <c r="BN276">
        <v>10.4163</v>
      </c>
      <c r="BO276">
        <v>5.6684000000000001</v>
      </c>
      <c r="BP276">
        <v>1031.569</v>
      </c>
      <c r="BQ276">
        <v>643163.46499999997</v>
      </c>
      <c r="CE276" s="1">
        <f t="shared" si="27"/>
        <v>45541</v>
      </c>
      <c r="CF276" s="35">
        <f t="shared" si="34"/>
        <v>8.2216392017073581</v>
      </c>
      <c r="CG276" s="36">
        <f t="shared" si="33"/>
        <v>1.5990768663289465</v>
      </c>
      <c r="CH276">
        <f t="shared" ca="1" si="28"/>
        <v>2.6534126376247973</v>
      </c>
      <c r="CI276">
        <f t="shared" ca="1" si="29"/>
        <v>1.5183368057547189</v>
      </c>
      <c r="CJ276">
        <f t="shared" ca="1" si="30"/>
        <v>1.0971288301681588</v>
      </c>
      <c r="CK276">
        <f t="shared" ca="1" si="31"/>
        <v>0.16391089095146161</v>
      </c>
      <c r="CL276">
        <f t="shared" ca="1" si="32"/>
        <v>-0.66984415801827712</v>
      </c>
    </row>
    <row r="277" spans="1:90" x14ac:dyDescent="0.25">
      <c r="A277" s="43">
        <v>45548</v>
      </c>
      <c r="B277" s="5">
        <v>4.5492999999999997</v>
      </c>
      <c r="C277">
        <v>19.0688</v>
      </c>
      <c r="D277">
        <v>1.0082</v>
      </c>
      <c r="E277">
        <v>18.296800000000001</v>
      </c>
      <c r="F277">
        <v>0.42949999999999999</v>
      </c>
      <c r="G277">
        <v>0.21340000000000001</v>
      </c>
      <c r="H277">
        <v>60.700899999999997</v>
      </c>
      <c r="I277">
        <v>40.281599999999997</v>
      </c>
      <c r="J277">
        <v>1118.7380000000001</v>
      </c>
      <c r="K277">
        <v>1953403.8953</v>
      </c>
      <c r="M277" s="43">
        <v>45548</v>
      </c>
      <c r="N277" s="5">
        <v>7.2027000000000001</v>
      </c>
      <c r="O277">
        <v>15.3405</v>
      </c>
      <c r="P277">
        <v>0.59399999999999997</v>
      </c>
      <c r="Q277">
        <v>23.244299999999999</v>
      </c>
      <c r="R277">
        <v>-5.8799999999999998E-2</v>
      </c>
      <c r="S277">
        <v>195.11080000000001</v>
      </c>
      <c r="T277">
        <v>46.659599999999998</v>
      </c>
      <c r="U277">
        <v>33.693100000000001</v>
      </c>
      <c r="V277">
        <v>5083.3630000000003</v>
      </c>
      <c r="W277">
        <v>3989633.6074000001</v>
      </c>
      <c r="Y277" s="5">
        <v>13.700900000000001</v>
      </c>
      <c r="Z277">
        <v>4.3136999999999999</v>
      </c>
      <c r="AA277">
        <v>-7.3099999999999998E-2</v>
      </c>
      <c r="AB277">
        <v>9.3271999999999995</v>
      </c>
      <c r="AC277">
        <v>-1.0081</v>
      </c>
      <c r="AD277">
        <v>0</v>
      </c>
      <c r="AE277">
        <v>34.028399999999998</v>
      </c>
      <c r="AF277">
        <v>2.1802000000000001</v>
      </c>
      <c r="AG277">
        <v>2529.06</v>
      </c>
      <c r="AH277">
        <v>1432359.0411</v>
      </c>
      <c r="AK277">
        <v>12.643800000000001</v>
      </c>
      <c r="AL277">
        <v>9.9865999999999993</v>
      </c>
      <c r="AM277">
        <v>0.84419999999999995</v>
      </c>
      <c r="AN277">
        <v>1.54E-2</v>
      </c>
      <c r="AO277">
        <v>-0.65449999999999997</v>
      </c>
      <c r="AP277">
        <v>0</v>
      </c>
      <c r="AQ277">
        <v>21.130600000000001</v>
      </c>
      <c r="AR277">
        <v>8.5348000000000006</v>
      </c>
      <c r="AS277">
        <v>1354.173</v>
      </c>
      <c r="AT277">
        <v>820423.15179999999</v>
      </c>
      <c r="AV277">
        <v>12.843500000000001</v>
      </c>
      <c r="AW277">
        <v>13.234299999999999</v>
      </c>
      <c r="AX277">
        <v>1.0330999999999999</v>
      </c>
      <c r="AY277">
        <v>19.597999999999999</v>
      </c>
      <c r="AZ277">
        <v>0.3836</v>
      </c>
      <c r="BA277" t="s">
        <v>23</v>
      </c>
      <c r="BB277">
        <v>5.9337999999999997</v>
      </c>
      <c r="BC277">
        <v>-5.7446000000000002</v>
      </c>
      <c r="BD277">
        <v>1540</v>
      </c>
      <c r="BE277">
        <v>1347993.8472</v>
      </c>
      <c r="BH277" s="5">
        <v>8.0518999999999998</v>
      </c>
      <c r="BI277">
        <v>1.6566000000000001</v>
      </c>
      <c r="BJ277">
        <v>0.55679999999999996</v>
      </c>
      <c r="BK277">
        <v>6.6460999999999997</v>
      </c>
      <c r="BL277">
        <v>-0.1012</v>
      </c>
      <c r="BM277">
        <v>0</v>
      </c>
      <c r="BN277">
        <v>10.4163</v>
      </c>
      <c r="BO277">
        <v>5.6684000000000001</v>
      </c>
      <c r="BP277">
        <v>1131.9870000000001</v>
      </c>
      <c r="BQ277">
        <v>705772.29790000001</v>
      </c>
      <c r="CE277" s="1">
        <f t="shared" si="27"/>
        <v>45548</v>
      </c>
      <c r="CF277" s="35">
        <f t="shared" si="34"/>
        <v>8.8409811779896881</v>
      </c>
      <c r="CG277" s="36">
        <f t="shared" si="33"/>
        <v>1.8907316308809448</v>
      </c>
      <c r="CH277">
        <f t="shared" ca="1" si="28"/>
        <v>2.6534126376247973</v>
      </c>
      <c r="CI277">
        <f t="shared" ca="1" si="29"/>
        <v>1.5821139980420325</v>
      </c>
      <c r="CJ277">
        <f t="shared" ca="1" si="30"/>
        <v>1.1782886835125967</v>
      </c>
      <c r="CK277">
        <f t="shared" ca="1" si="31"/>
        <v>0.24922044985107011</v>
      </c>
      <c r="CL277">
        <f t="shared" ca="1" si="32"/>
        <v>-0.66943365860395621</v>
      </c>
    </row>
    <row r="278" spans="1:90" x14ac:dyDescent="0.25">
      <c r="A278" s="43">
        <v>45555</v>
      </c>
      <c r="B278" s="5">
        <v>4.3792</v>
      </c>
      <c r="C278">
        <v>19.0688</v>
      </c>
      <c r="D278">
        <v>1.0082</v>
      </c>
      <c r="E278">
        <v>18.296800000000001</v>
      </c>
      <c r="F278">
        <v>0.42949999999999999</v>
      </c>
      <c r="G278">
        <v>0.21340000000000001</v>
      </c>
      <c r="H278">
        <v>60.700899999999997</v>
      </c>
      <c r="I278">
        <v>40.281599999999997</v>
      </c>
      <c r="J278">
        <v>1071.4069999999999</v>
      </c>
      <c r="K278">
        <v>1870759.8843</v>
      </c>
      <c r="M278" s="43">
        <v>45555</v>
      </c>
      <c r="N278" s="5">
        <v>6.8327</v>
      </c>
      <c r="O278">
        <v>15.3405</v>
      </c>
      <c r="P278">
        <v>0.59399999999999997</v>
      </c>
      <c r="Q278">
        <v>23.244299999999999</v>
      </c>
      <c r="R278">
        <v>-5.8799999999999998E-2</v>
      </c>
      <c r="S278">
        <v>195.11080000000001</v>
      </c>
      <c r="T278">
        <v>46.659599999999998</v>
      </c>
      <c r="U278">
        <v>33.693100000000001</v>
      </c>
      <c r="V278">
        <v>4824.3990000000003</v>
      </c>
      <c r="W278">
        <v>3786388.1217</v>
      </c>
      <c r="Y278" s="5">
        <v>13.430199999999999</v>
      </c>
      <c r="Z278">
        <v>4.3136999999999999</v>
      </c>
      <c r="AA278">
        <v>-7.3099999999999998E-2</v>
      </c>
      <c r="AB278">
        <v>9.3271999999999995</v>
      </c>
      <c r="AC278">
        <v>-1.0081</v>
      </c>
      <c r="AD278">
        <v>0</v>
      </c>
      <c r="AE278">
        <v>34.028399999999998</v>
      </c>
      <c r="AF278">
        <v>2.1802000000000001</v>
      </c>
      <c r="AG278">
        <v>2482.5129999999999</v>
      </c>
      <c r="AH278">
        <v>1405996.6048000001</v>
      </c>
      <c r="AK278">
        <v>11.995100000000001</v>
      </c>
      <c r="AL278">
        <v>9.9865999999999993</v>
      </c>
      <c r="AM278">
        <v>0.84419999999999995</v>
      </c>
      <c r="AN278">
        <v>1.54E-2</v>
      </c>
      <c r="AO278">
        <v>-0.65449999999999997</v>
      </c>
      <c r="AP278">
        <v>0</v>
      </c>
      <c r="AQ278">
        <v>21.130600000000001</v>
      </c>
      <c r="AR278">
        <v>8.5348000000000006</v>
      </c>
      <c r="AS278">
        <v>1288.116</v>
      </c>
      <c r="AT278">
        <v>780402.51020000002</v>
      </c>
      <c r="AV278">
        <v>12.4794</v>
      </c>
      <c r="AW278">
        <v>13.234299999999999</v>
      </c>
      <c r="AX278">
        <v>1.0330999999999999</v>
      </c>
      <c r="AY278">
        <v>19.597999999999999</v>
      </c>
      <c r="AZ278">
        <v>0.3836</v>
      </c>
      <c r="BA278" t="s">
        <v>23</v>
      </c>
      <c r="BB278">
        <v>5.9337999999999997</v>
      </c>
      <c r="BC278">
        <v>-5.7446000000000002</v>
      </c>
      <c r="BD278">
        <v>1495</v>
      </c>
      <c r="BE278">
        <v>1308604.4166000001</v>
      </c>
      <c r="BH278" s="5">
        <v>7.5922999999999998</v>
      </c>
      <c r="BI278">
        <v>1.6566000000000001</v>
      </c>
      <c r="BJ278">
        <v>0.55679999999999996</v>
      </c>
      <c r="BK278">
        <v>6.6460999999999997</v>
      </c>
      <c r="BL278">
        <v>-0.1012</v>
      </c>
      <c r="BM278">
        <v>0</v>
      </c>
      <c r="BN278">
        <v>10.4163</v>
      </c>
      <c r="BO278">
        <v>5.6684000000000001</v>
      </c>
      <c r="BP278">
        <v>1068.085</v>
      </c>
      <c r="BQ278">
        <v>665930.31339999998</v>
      </c>
      <c r="CE278" s="1">
        <f t="shared" si="27"/>
        <v>45555</v>
      </c>
      <c r="CF278" s="35">
        <f t="shared" si="34"/>
        <v>8.5244805962553176</v>
      </c>
      <c r="CG278" s="36">
        <f t="shared" si="33"/>
        <v>1.741688119894651</v>
      </c>
      <c r="CH278">
        <f t="shared" ca="1" si="28"/>
        <v>2.6534126376247973</v>
      </c>
      <c r="CI278">
        <f t="shared" ca="1" si="29"/>
        <v>1.6369974646212684</v>
      </c>
      <c r="CJ278">
        <f t="shared" ca="1" si="30"/>
        <v>1.2176769708984925</v>
      </c>
      <c r="CK278">
        <f t="shared" ca="1" si="31"/>
        <v>0.28410823027562937</v>
      </c>
      <c r="CL278">
        <f t="shared" ca="1" si="32"/>
        <v>-0.66943365860395621</v>
      </c>
    </row>
    <row r="279" spans="1:90" x14ac:dyDescent="0.25">
      <c r="A279" s="43">
        <v>45562</v>
      </c>
      <c r="B279" s="5">
        <v>4.24</v>
      </c>
      <c r="C279">
        <v>19.0688</v>
      </c>
      <c r="D279">
        <v>1.0082</v>
      </c>
      <c r="E279">
        <v>18.296800000000001</v>
      </c>
      <c r="F279">
        <v>0.42949999999999999</v>
      </c>
      <c r="G279">
        <v>0.21340000000000001</v>
      </c>
      <c r="H279">
        <v>60.700899999999997</v>
      </c>
      <c r="I279">
        <v>40.281599999999997</v>
      </c>
      <c r="J279">
        <v>1032.681</v>
      </c>
      <c r="K279">
        <v>1803142.0571999999</v>
      </c>
      <c r="M279" s="43">
        <v>45562</v>
      </c>
      <c r="N279" s="5">
        <v>6.2984</v>
      </c>
      <c r="O279">
        <v>15.3405</v>
      </c>
      <c r="P279">
        <v>0.59399999999999997</v>
      </c>
      <c r="Q279">
        <v>23.244299999999999</v>
      </c>
      <c r="R279">
        <v>-5.8799999999999998E-2</v>
      </c>
      <c r="S279">
        <v>195.11080000000001</v>
      </c>
      <c r="T279">
        <v>46.659599999999998</v>
      </c>
      <c r="U279">
        <v>33.693100000000001</v>
      </c>
      <c r="V279">
        <v>4450.34</v>
      </c>
      <c r="W279">
        <v>3492811.3091000002</v>
      </c>
      <c r="Y279" s="5">
        <v>14.4002</v>
      </c>
      <c r="Z279">
        <v>4.3136999999999999</v>
      </c>
      <c r="AA279">
        <v>-7.3099999999999998E-2</v>
      </c>
      <c r="AB279">
        <v>9.3271999999999995</v>
      </c>
      <c r="AC279">
        <v>-1.0081</v>
      </c>
      <c r="AD279">
        <v>0</v>
      </c>
      <c r="AE279">
        <v>34.028399999999998</v>
      </c>
      <c r="AF279">
        <v>2.1802000000000001</v>
      </c>
      <c r="AG279">
        <v>2649.306</v>
      </c>
      <c r="AH279">
        <v>1500462.0016999999</v>
      </c>
      <c r="AK279">
        <v>12.355499999999999</v>
      </c>
      <c r="AL279">
        <v>9.9865999999999993</v>
      </c>
      <c r="AM279">
        <v>0.84419999999999995</v>
      </c>
      <c r="AN279">
        <v>1.54E-2</v>
      </c>
      <c r="AO279">
        <v>-0.65449999999999997</v>
      </c>
      <c r="AP279">
        <v>0</v>
      </c>
      <c r="AQ279">
        <v>21.130600000000001</v>
      </c>
      <c r="AR279">
        <v>8.5348000000000006</v>
      </c>
      <c r="AS279">
        <v>1324.8140000000001</v>
      </c>
      <c r="AT279">
        <v>802636.2</v>
      </c>
      <c r="AV279">
        <v>11.751300000000001</v>
      </c>
      <c r="AW279">
        <v>13.234299999999999</v>
      </c>
      <c r="AX279">
        <v>1.0330999999999999</v>
      </c>
      <c r="AY279">
        <v>19.597999999999999</v>
      </c>
      <c r="AZ279">
        <v>0.3836</v>
      </c>
      <c r="BA279" t="s">
        <v>23</v>
      </c>
      <c r="BB279">
        <v>5.9337999999999997</v>
      </c>
      <c r="BC279">
        <v>-5.7446000000000002</v>
      </c>
      <c r="BD279">
        <v>1405</v>
      </c>
      <c r="BE279">
        <v>1229825.5554</v>
      </c>
      <c r="BH279" s="5">
        <v>7.2310999999999996</v>
      </c>
      <c r="BI279">
        <v>1.6566000000000001</v>
      </c>
      <c r="BJ279">
        <v>0.55679999999999996</v>
      </c>
      <c r="BK279">
        <v>6.6460999999999997</v>
      </c>
      <c r="BL279">
        <v>-0.1012</v>
      </c>
      <c r="BM279">
        <v>0</v>
      </c>
      <c r="BN279">
        <v>10.4163</v>
      </c>
      <c r="BO279">
        <v>5.6684000000000001</v>
      </c>
      <c r="BP279">
        <v>1017.876</v>
      </c>
      <c r="BQ279">
        <v>634625.89690000005</v>
      </c>
      <c r="CE279" s="1">
        <f t="shared" si="27"/>
        <v>45562</v>
      </c>
      <c r="CF279" s="35">
        <f t="shared" si="34"/>
        <v>8.4756629503824801</v>
      </c>
      <c r="CG279" s="36">
        <f t="shared" si="33"/>
        <v>1.7186993680285336</v>
      </c>
      <c r="CH279">
        <f t="shared" ca="1" si="28"/>
        <v>2.6534126376247973</v>
      </c>
      <c r="CI279">
        <f t="shared" ca="1" si="29"/>
        <v>1.7439559047955466</v>
      </c>
      <c r="CJ279">
        <f t="shared" ca="1" si="30"/>
        <v>1.2873354804640682</v>
      </c>
      <c r="CK279">
        <f t="shared" ca="1" si="31"/>
        <v>0.30209710248468252</v>
      </c>
      <c r="CL279">
        <f t="shared" ca="1" si="32"/>
        <v>-0.63975915431556207</v>
      </c>
    </row>
    <row r="280" spans="1:90" x14ac:dyDescent="0.25">
      <c r="A280" s="43">
        <v>45569</v>
      </c>
      <c r="B280" s="5">
        <v>3.9346000000000001</v>
      </c>
      <c r="C280">
        <v>18.107900000000001</v>
      </c>
      <c r="D280">
        <v>0.70050000000000001</v>
      </c>
      <c r="E280">
        <v>17.491</v>
      </c>
      <c r="F280">
        <v>0.28089999999999998</v>
      </c>
      <c r="G280">
        <v>12.394</v>
      </c>
      <c r="H280">
        <v>59.920299999999997</v>
      </c>
      <c r="I280">
        <v>42.011699999999998</v>
      </c>
      <c r="J280">
        <v>1049.893</v>
      </c>
      <c r="K280">
        <v>1833194.4247999999</v>
      </c>
      <c r="M280" s="43">
        <v>45569</v>
      </c>
      <c r="N280" s="5">
        <v>5.5168999999999997</v>
      </c>
      <c r="O280">
        <v>16.827400000000001</v>
      </c>
      <c r="P280">
        <v>0.48359999999999997</v>
      </c>
      <c r="Q280">
        <v>22.279699999999998</v>
      </c>
      <c r="R280">
        <v>-0.13950000000000001</v>
      </c>
      <c r="S280">
        <v>195.11080000000001</v>
      </c>
      <c r="T280">
        <v>49.9133</v>
      </c>
      <c r="U280">
        <v>37.493000000000002</v>
      </c>
      <c r="V280">
        <v>4622.9830000000002</v>
      </c>
      <c r="W280">
        <v>3628308.2996</v>
      </c>
      <c r="Y280" s="5">
        <v>7.6111000000000004</v>
      </c>
      <c r="Z280">
        <v>12.4207</v>
      </c>
      <c r="AA280">
        <v>0.2233</v>
      </c>
      <c r="AB280">
        <v>11.4198</v>
      </c>
      <c r="AC280">
        <v>-0.45700000000000002</v>
      </c>
      <c r="AD280">
        <v>0</v>
      </c>
      <c r="AE280">
        <v>45.102200000000003</v>
      </c>
      <c r="AF280">
        <v>21.314399999999999</v>
      </c>
      <c r="AG280">
        <v>2572.4340000000002</v>
      </c>
      <c r="AH280">
        <v>1370846.6897</v>
      </c>
      <c r="AK280">
        <v>7.9821999999999997</v>
      </c>
      <c r="AL280">
        <v>15.242100000000001</v>
      </c>
      <c r="AM280">
        <v>0.41549999999999998</v>
      </c>
      <c r="AN280">
        <v>9.1000000000000004E-3</v>
      </c>
      <c r="AO280">
        <v>-0.67249999999999999</v>
      </c>
      <c r="AP280">
        <v>0</v>
      </c>
      <c r="AQ280">
        <v>29.068100000000001</v>
      </c>
      <c r="AR280">
        <v>16.770199999999999</v>
      </c>
      <c r="AS280">
        <v>1394.5409999999999</v>
      </c>
      <c r="AT280">
        <v>844880.21050000004</v>
      </c>
      <c r="AV280">
        <v>10.793799999999999</v>
      </c>
      <c r="AW280">
        <v>11.166600000000001</v>
      </c>
      <c r="AX280">
        <v>1.0698000000000001</v>
      </c>
      <c r="AY280">
        <v>22.714300000000001</v>
      </c>
      <c r="AZ280">
        <v>0.6411</v>
      </c>
      <c r="BA280" t="s">
        <v>23</v>
      </c>
      <c r="BB280">
        <v>5.5694999999999997</v>
      </c>
      <c r="BC280">
        <v>-4.5948000000000002</v>
      </c>
      <c r="BD280">
        <v>1375</v>
      </c>
      <c r="BE280">
        <v>1203565.9350000001</v>
      </c>
      <c r="BH280" s="5">
        <v>3.1627000000000001</v>
      </c>
      <c r="BI280">
        <v>32.192799999999998</v>
      </c>
      <c r="BJ280">
        <v>0.70879999999999999</v>
      </c>
      <c r="BK280">
        <v>4.6452999999999998</v>
      </c>
      <c r="BL280">
        <v>-0.40720000000000001</v>
      </c>
      <c r="BM280">
        <v>0</v>
      </c>
      <c r="BN280">
        <v>17.7563</v>
      </c>
      <c r="BO280">
        <v>13.378500000000001</v>
      </c>
      <c r="BP280">
        <v>1040.6980000000001</v>
      </c>
      <c r="BQ280">
        <v>648855.17709999997</v>
      </c>
      <c r="CE280" s="1">
        <f t="shared" si="27"/>
        <v>45569</v>
      </c>
      <c r="CF280" s="35">
        <f t="shared" si="34"/>
        <v>6.2385013678386212</v>
      </c>
      <c r="CG280" s="36">
        <f t="shared" si="33"/>
        <v>0.66519603770659652</v>
      </c>
      <c r="CH280">
        <f t="shared" ca="1" si="28"/>
        <v>2.6534126376247973</v>
      </c>
      <c r="CI280">
        <f t="shared" ca="1" si="29"/>
        <v>1.7439559047955466</v>
      </c>
      <c r="CJ280">
        <f t="shared" ca="1" si="30"/>
        <v>1.3263715624967143</v>
      </c>
      <c r="CK280">
        <f t="shared" ca="1" si="31"/>
        <v>0.47102664497033037</v>
      </c>
      <c r="CL280">
        <f t="shared" ca="1" si="32"/>
        <v>-0.40693613031896847</v>
      </c>
    </row>
    <row r="281" spans="1:90" x14ac:dyDescent="0.25">
      <c r="A281" s="43">
        <v>45576</v>
      </c>
      <c r="B281" s="5">
        <v>3.9782000000000002</v>
      </c>
      <c r="C281">
        <v>18.107900000000001</v>
      </c>
      <c r="D281">
        <v>0.70050000000000001</v>
      </c>
      <c r="E281">
        <v>17.491</v>
      </c>
      <c r="F281">
        <v>0.28089999999999998</v>
      </c>
      <c r="G281">
        <v>12.394</v>
      </c>
      <c r="H281">
        <v>59.920299999999997</v>
      </c>
      <c r="I281">
        <v>42.011699999999998</v>
      </c>
      <c r="J281">
        <v>1062.8009999999999</v>
      </c>
      <c r="K281">
        <v>1855733.7005</v>
      </c>
      <c r="M281" s="43">
        <v>45576</v>
      </c>
      <c r="N281" s="5">
        <v>5.6284000000000001</v>
      </c>
      <c r="O281">
        <v>16.827400000000001</v>
      </c>
      <c r="P281">
        <v>0.48359999999999997</v>
      </c>
      <c r="Q281">
        <v>22.279699999999998</v>
      </c>
      <c r="R281">
        <v>-0.13950000000000001</v>
      </c>
      <c r="S281">
        <v>195.11080000000001</v>
      </c>
      <c r="T281">
        <v>49.9133</v>
      </c>
      <c r="U281">
        <v>37.493000000000002</v>
      </c>
      <c r="V281">
        <v>4714.0990000000002</v>
      </c>
      <c r="W281">
        <v>3699820.6000999999</v>
      </c>
      <c r="Y281" s="5">
        <v>7.4688999999999997</v>
      </c>
      <c r="Z281">
        <v>12.4207</v>
      </c>
      <c r="AA281">
        <v>0.2233</v>
      </c>
      <c r="AB281">
        <v>11.4198</v>
      </c>
      <c r="AC281">
        <v>-0.45700000000000002</v>
      </c>
      <c r="AD281">
        <v>0</v>
      </c>
      <c r="AE281">
        <v>45.102200000000003</v>
      </c>
      <c r="AF281">
        <v>21.314399999999999</v>
      </c>
      <c r="AG281">
        <v>2527.087</v>
      </c>
      <c r="AH281">
        <v>1346681.1229999999</v>
      </c>
      <c r="AK281">
        <v>7.6634000000000002</v>
      </c>
      <c r="AL281">
        <v>15.242100000000001</v>
      </c>
      <c r="AM281">
        <v>0.41549999999999998</v>
      </c>
      <c r="AN281">
        <v>9.1000000000000004E-3</v>
      </c>
      <c r="AO281">
        <v>-0.67249999999999999</v>
      </c>
      <c r="AP281">
        <v>0</v>
      </c>
      <c r="AQ281">
        <v>29.068100000000001</v>
      </c>
      <c r="AR281">
        <v>16.770199999999999</v>
      </c>
      <c r="AS281">
        <v>1343.163</v>
      </c>
      <c r="AT281">
        <v>813753.04480000003</v>
      </c>
      <c r="AV281">
        <v>11.052199999999999</v>
      </c>
      <c r="AW281">
        <v>11.166600000000001</v>
      </c>
      <c r="AX281">
        <v>1.0698000000000001</v>
      </c>
      <c r="AY281">
        <v>22.714300000000001</v>
      </c>
      <c r="AZ281">
        <v>0.6411</v>
      </c>
      <c r="BA281" t="s">
        <v>23</v>
      </c>
      <c r="BB281">
        <v>5.5694999999999997</v>
      </c>
      <c r="BC281">
        <v>-4.5948000000000002</v>
      </c>
      <c r="BD281">
        <v>1410</v>
      </c>
      <c r="BE281">
        <v>1234202.1588000001</v>
      </c>
      <c r="BH281" s="5">
        <v>3.3973</v>
      </c>
      <c r="BI281">
        <v>32.192799999999998</v>
      </c>
      <c r="BJ281">
        <v>0.70879999999999999</v>
      </c>
      <c r="BK281">
        <v>4.6452999999999998</v>
      </c>
      <c r="BL281">
        <v>-0.40720000000000001</v>
      </c>
      <c r="BM281">
        <v>0</v>
      </c>
      <c r="BN281">
        <v>17.7563</v>
      </c>
      <c r="BO281">
        <v>13.378500000000001</v>
      </c>
      <c r="BP281">
        <v>1109.165</v>
      </c>
      <c r="BQ281">
        <v>691543.01769999997</v>
      </c>
      <c r="CE281" s="1">
        <f t="shared" si="27"/>
        <v>45576</v>
      </c>
      <c r="CF281" s="35">
        <f t="shared" si="34"/>
        <v>6.2738634168291139</v>
      </c>
      <c r="CG281" s="36">
        <f t="shared" si="33"/>
        <v>0.68184840500504185</v>
      </c>
      <c r="CH281">
        <f t="shared" ca="1" si="28"/>
        <v>2.6534126376247973</v>
      </c>
      <c r="CI281">
        <f t="shared" ca="1" si="29"/>
        <v>1.7439559047955466</v>
      </c>
      <c r="CJ281">
        <f t="shared" ca="1" si="30"/>
        <v>1.3263715624967143</v>
      </c>
      <c r="CK281">
        <f t="shared" ca="1" si="31"/>
        <v>0.55541598607424558</v>
      </c>
      <c r="CL281">
        <f t="shared" ca="1" si="32"/>
        <v>-0.25427461196080409</v>
      </c>
    </row>
    <row r="282" spans="1:90" x14ac:dyDescent="0.25">
      <c r="A282" s="43">
        <v>45583</v>
      </c>
      <c r="B282" s="5">
        <v>3.9636999999999998</v>
      </c>
      <c r="C282">
        <v>18.107900000000001</v>
      </c>
      <c r="D282">
        <v>0.70050000000000001</v>
      </c>
      <c r="E282">
        <v>17.491</v>
      </c>
      <c r="F282">
        <v>0.28089999999999998</v>
      </c>
      <c r="G282">
        <v>12.394</v>
      </c>
      <c r="H282">
        <v>59.920299999999997</v>
      </c>
      <c r="I282">
        <v>42.011699999999998</v>
      </c>
      <c r="J282">
        <v>1058.498</v>
      </c>
      <c r="K282">
        <v>1848220.6085999999</v>
      </c>
      <c r="M282" s="43">
        <v>45583</v>
      </c>
      <c r="N282" s="5">
        <v>5.7751000000000001</v>
      </c>
      <c r="O282">
        <v>16.827400000000001</v>
      </c>
      <c r="P282">
        <v>0.48359999999999997</v>
      </c>
      <c r="Q282">
        <v>22.279699999999998</v>
      </c>
      <c r="R282">
        <v>-0.13950000000000001</v>
      </c>
      <c r="S282">
        <v>195.11080000000001</v>
      </c>
      <c r="T282">
        <v>49.9133</v>
      </c>
      <c r="U282">
        <v>37.493000000000002</v>
      </c>
      <c r="V282">
        <v>4833.99</v>
      </c>
      <c r="W282">
        <v>3793915.7322999998</v>
      </c>
      <c r="Y282" s="5">
        <v>7.5076999999999998</v>
      </c>
      <c r="Z282">
        <v>12.4207</v>
      </c>
      <c r="AA282">
        <v>0.2233</v>
      </c>
      <c r="AB282">
        <v>11.4198</v>
      </c>
      <c r="AC282">
        <v>-0.45700000000000002</v>
      </c>
      <c r="AD282">
        <v>0</v>
      </c>
      <c r="AE282">
        <v>45.102200000000003</v>
      </c>
      <c r="AF282">
        <v>21.314399999999999</v>
      </c>
      <c r="AG282">
        <v>2539.4540000000002</v>
      </c>
      <c r="AH282">
        <v>1353271.7320999999</v>
      </c>
      <c r="AK282">
        <v>7.5723000000000003</v>
      </c>
      <c r="AL282">
        <v>15.242100000000001</v>
      </c>
      <c r="AM282">
        <v>0.41549999999999998</v>
      </c>
      <c r="AN282">
        <v>9.1000000000000004E-3</v>
      </c>
      <c r="AO282">
        <v>-0.67249999999999999</v>
      </c>
      <c r="AP282">
        <v>0</v>
      </c>
      <c r="AQ282">
        <v>29.068100000000001</v>
      </c>
      <c r="AR282">
        <v>16.770199999999999</v>
      </c>
      <c r="AS282">
        <v>1328.4839999999999</v>
      </c>
      <c r="AT282">
        <v>804859.56900000002</v>
      </c>
      <c r="AV282">
        <v>10.7569</v>
      </c>
      <c r="AW282">
        <v>11.166600000000001</v>
      </c>
      <c r="AX282">
        <v>1.0698000000000001</v>
      </c>
      <c r="AY282">
        <v>22.714300000000001</v>
      </c>
      <c r="AZ282">
        <v>0.6411</v>
      </c>
      <c r="BA282" t="s">
        <v>23</v>
      </c>
      <c r="BB282">
        <v>5.5694999999999997</v>
      </c>
      <c r="BC282">
        <v>-4.5948000000000002</v>
      </c>
      <c r="BD282">
        <v>1370</v>
      </c>
      <c r="BE282">
        <v>1199189.3315999999</v>
      </c>
      <c r="BH282" s="5">
        <v>3.2565</v>
      </c>
      <c r="BI282">
        <v>32.192799999999998</v>
      </c>
      <c r="BJ282">
        <v>0.70879999999999999</v>
      </c>
      <c r="BK282">
        <v>4.6452999999999998</v>
      </c>
      <c r="BL282">
        <v>-0.40720000000000001</v>
      </c>
      <c r="BM282">
        <v>0</v>
      </c>
      <c r="BN282">
        <v>17.7563</v>
      </c>
      <c r="BO282">
        <v>13.378500000000001</v>
      </c>
      <c r="BP282">
        <v>1068.085</v>
      </c>
      <c r="BQ282">
        <v>665930.31339999998</v>
      </c>
      <c r="CE282" s="1">
        <f t="shared" si="27"/>
        <v>45583</v>
      </c>
      <c r="CF282" s="35">
        <f t="shared" si="34"/>
        <v>6.2655319500198887</v>
      </c>
      <c r="CG282" s="36">
        <f t="shared" si="33"/>
        <v>0.67792502812494859</v>
      </c>
      <c r="CH282">
        <f t="shared" ca="1" si="28"/>
        <v>2.6534126376247973</v>
      </c>
      <c r="CI282">
        <f t="shared" ca="1" si="29"/>
        <v>1.7439559047955466</v>
      </c>
      <c r="CJ282">
        <f t="shared" ca="1" si="30"/>
        <v>1.3263715624967143</v>
      </c>
      <c r="CK282">
        <f t="shared" ca="1" si="31"/>
        <v>0.61804156522723042</v>
      </c>
      <c r="CL282">
        <f t="shared" ca="1" si="32"/>
        <v>-0.14043246818894226</v>
      </c>
    </row>
    <row r="283" spans="1:90" x14ac:dyDescent="0.25">
      <c r="A283" s="43">
        <v>45590</v>
      </c>
      <c r="B283" s="5">
        <v>4.1818999999999997</v>
      </c>
      <c r="C283">
        <v>18.107900000000001</v>
      </c>
      <c r="D283">
        <v>0.70050000000000001</v>
      </c>
      <c r="E283">
        <v>17.491</v>
      </c>
      <c r="F283">
        <v>0.28089999999999998</v>
      </c>
      <c r="G283">
        <v>12.394</v>
      </c>
      <c r="H283">
        <v>59.920299999999997</v>
      </c>
      <c r="I283">
        <v>42.011699999999998</v>
      </c>
      <c r="J283">
        <v>1123.0409999999999</v>
      </c>
      <c r="K283">
        <v>1960916.9872000001</v>
      </c>
      <c r="M283" s="43">
        <v>45590</v>
      </c>
      <c r="N283" s="5">
        <v>5.9512</v>
      </c>
      <c r="O283">
        <v>16.827400000000001</v>
      </c>
      <c r="P283">
        <v>0.48359999999999997</v>
      </c>
      <c r="Q283">
        <v>22.279699999999998</v>
      </c>
      <c r="R283">
        <v>-0.13950000000000001</v>
      </c>
      <c r="S283">
        <v>195.11080000000001</v>
      </c>
      <c r="T283">
        <v>49.9133</v>
      </c>
      <c r="U283">
        <v>37.493000000000002</v>
      </c>
      <c r="V283">
        <v>4977.8590000000004</v>
      </c>
      <c r="W283">
        <v>3906829.8909999998</v>
      </c>
      <c r="Y283" s="5">
        <v>7.3136999999999999</v>
      </c>
      <c r="Z283">
        <v>12.4207</v>
      </c>
      <c r="AA283">
        <v>0.2233</v>
      </c>
      <c r="AB283">
        <v>11.4198</v>
      </c>
      <c r="AC283">
        <v>-0.45700000000000002</v>
      </c>
      <c r="AD283">
        <v>0</v>
      </c>
      <c r="AE283">
        <v>45.102200000000003</v>
      </c>
      <c r="AF283">
        <v>21.314399999999999</v>
      </c>
      <c r="AG283">
        <v>2477.6170000000002</v>
      </c>
      <c r="AH283">
        <v>1320318.6867</v>
      </c>
      <c r="AK283">
        <v>7.7317</v>
      </c>
      <c r="AL283">
        <v>15.242100000000001</v>
      </c>
      <c r="AM283">
        <v>0.41549999999999998</v>
      </c>
      <c r="AN283">
        <v>9.1000000000000004E-3</v>
      </c>
      <c r="AO283">
        <v>-0.67249999999999999</v>
      </c>
      <c r="AP283">
        <v>0</v>
      </c>
      <c r="AQ283">
        <v>29.068100000000001</v>
      </c>
      <c r="AR283">
        <v>16.770199999999999</v>
      </c>
      <c r="AS283">
        <v>1354.173</v>
      </c>
      <c r="AT283">
        <v>820423.15179999999</v>
      </c>
      <c r="AV283">
        <v>12.0121</v>
      </c>
      <c r="AW283">
        <v>11.166600000000001</v>
      </c>
      <c r="AX283">
        <v>1.0698000000000001</v>
      </c>
      <c r="AY283">
        <v>22.714300000000001</v>
      </c>
      <c r="AZ283">
        <v>0.6411</v>
      </c>
      <c r="BA283" t="s">
        <v>23</v>
      </c>
      <c r="BB283">
        <v>5.5694999999999997</v>
      </c>
      <c r="BC283">
        <v>-4.5948000000000002</v>
      </c>
      <c r="BD283">
        <v>1540</v>
      </c>
      <c r="BE283">
        <v>1347993.8472</v>
      </c>
      <c r="BH283" s="5">
        <v>3.5066999999999999</v>
      </c>
      <c r="BI283">
        <v>32.192799999999998</v>
      </c>
      <c r="BJ283">
        <v>0.70879999999999999</v>
      </c>
      <c r="BK283">
        <v>4.6452999999999998</v>
      </c>
      <c r="BL283">
        <v>-0.40720000000000001</v>
      </c>
      <c r="BM283">
        <v>0</v>
      </c>
      <c r="BN283">
        <v>17.7563</v>
      </c>
      <c r="BO283">
        <v>13.378500000000001</v>
      </c>
      <c r="BP283">
        <v>1141.116</v>
      </c>
      <c r="BQ283">
        <v>711464.01</v>
      </c>
      <c r="CE283" s="1">
        <f t="shared" si="27"/>
        <v>45590</v>
      </c>
      <c r="CF283" s="35">
        <f t="shared" si="34"/>
        <v>6.569114417537012</v>
      </c>
      <c r="CG283" s="36">
        <f t="shared" si="33"/>
        <v>0.82088526088246361</v>
      </c>
      <c r="CH283">
        <f t="shared" ca="1" si="28"/>
        <v>2.6534126376247973</v>
      </c>
      <c r="CI283">
        <f t="shared" ca="1" si="29"/>
        <v>1.7439559047955466</v>
      </c>
      <c r="CJ283">
        <f t="shared" ca="1" si="30"/>
        <v>1.3263715624967143</v>
      </c>
      <c r="CK283">
        <f t="shared" ca="1" si="31"/>
        <v>0.6578009983992843</v>
      </c>
      <c r="CL283">
        <f t="shared" ca="1" si="32"/>
        <v>0.13623354522341583</v>
      </c>
    </row>
    <row r="284" spans="1:90" x14ac:dyDescent="0.25">
      <c r="A284" s="43">
        <v>45597</v>
      </c>
      <c r="B284" s="5">
        <v>4.2255000000000003</v>
      </c>
      <c r="C284">
        <v>18.107900000000001</v>
      </c>
      <c r="D284">
        <v>0.70050000000000001</v>
      </c>
      <c r="E284">
        <v>17.491</v>
      </c>
      <c r="F284">
        <v>0.28089999999999998</v>
      </c>
      <c r="G284">
        <v>12.394</v>
      </c>
      <c r="H284">
        <v>59.920299999999997</v>
      </c>
      <c r="I284">
        <v>42.011699999999998</v>
      </c>
      <c r="J284">
        <v>1135.9490000000001</v>
      </c>
      <c r="K284">
        <v>1983456.2629</v>
      </c>
      <c r="M284" s="43">
        <v>45597</v>
      </c>
      <c r="N284" s="5">
        <v>6.0803000000000003</v>
      </c>
      <c r="O284">
        <v>16.827400000000001</v>
      </c>
      <c r="P284">
        <v>0.48359999999999997</v>
      </c>
      <c r="Q284">
        <v>22.279699999999998</v>
      </c>
      <c r="R284">
        <v>-0.13950000000000001</v>
      </c>
      <c r="S284">
        <v>195.11080000000001</v>
      </c>
      <c r="T284">
        <v>49.9133</v>
      </c>
      <c r="U284">
        <v>37.493000000000002</v>
      </c>
      <c r="V284">
        <v>5083.3630000000003</v>
      </c>
      <c r="W284">
        <v>3989633.6074000001</v>
      </c>
      <c r="Y284" s="5">
        <v>8.0119000000000007</v>
      </c>
      <c r="Z284">
        <v>12.4207</v>
      </c>
      <c r="AA284">
        <v>0.2233</v>
      </c>
      <c r="AB284">
        <v>11.4198</v>
      </c>
      <c r="AC284">
        <v>-0.45700000000000002</v>
      </c>
      <c r="AD284">
        <v>0</v>
      </c>
      <c r="AE284">
        <v>45.102200000000003</v>
      </c>
      <c r="AF284">
        <v>21.314399999999999</v>
      </c>
      <c r="AG284">
        <v>2700.232</v>
      </c>
      <c r="AH284">
        <v>1438949.6502</v>
      </c>
      <c r="AK284">
        <v>8.9388000000000005</v>
      </c>
      <c r="AL284">
        <v>15.242100000000001</v>
      </c>
      <c r="AM284">
        <v>0.41549999999999998</v>
      </c>
      <c r="AN284">
        <v>9.1000000000000004E-3</v>
      </c>
      <c r="AO284">
        <v>-0.67249999999999999</v>
      </c>
      <c r="AP284">
        <v>0</v>
      </c>
      <c r="AQ284">
        <v>29.068100000000001</v>
      </c>
      <c r="AR284">
        <v>16.770199999999999</v>
      </c>
      <c r="AS284">
        <v>1548.675</v>
      </c>
      <c r="AT284">
        <v>938261.70750000002</v>
      </c>
      <c r="AV284">
        <v>14.079499999999999</v>
      </c>
      <c r="AW284">
        <v>11.166600000000001</v>
      </c>
      <c r="AX284">
        <v>1.0698000000000001</v>
      </c>
      <c r="AY284">
        <v>22.714300000000001</v>
      </c>
      <c r="AZ284">
        <v>0.6411</v>
      </c>
      <c r="BA284" t="s">
        <v>23</v>
      </c>
      <c r="BB284">
        <v>5.5694999999999997</v>
      </c>
      <c r="BC284">
        <v>-4.5948000000000002</v>
      </c>
      <c r="BD284">
        <v>1820</v>
      </c>
      <c r="BE284">
        <v>1593083.6376</v>
      </c>
      <c r="BH284" s="5">
        <v>4.2573999999999996</v>
      </c>
      <c r="BI284">
        <v>32.192799999999998</v>
      </c>
      <c r="BJ284">
        <v>0.70879999999999999</v>
      </c>
      <c r="BK284">
        <v>4.6452999999999998</v>
      </c>
      <c r="BL284">
        <v>-0.40720000000000001</v>
      </c>
      <c r="BM284">
        <v>0</v>
      </c>
      <c r="BN284">
        <v>17.7563</v>
      </c>
      <c r="BO284">
        <v>13.378500000000001</v>
      </c>
      <c r="BP284">
        <v>1360.211</v>
      </c>
      <c r="BQ284">
        <v>848065.09990000003</v>
      </c>
      <c r="CE284" s="1">
        <f t="shared" si="27"/>
        <v>45597</v>
      </c>
      <c r="CF284" s="35">
        <f t="shared" si="34"/>
        <v>7.2831076267385013</v>
      </c>
      <c r="CG284" s="36">
        <f t="shared" si="33"/>
        <v>1.1571123039312283</v>
      </c>
      <c r="CH284">
        <f t="shared" ca="1" si="28"/>
        <v>2.6534126376247973</v>
      </c>
      <c r="CI284">
        <f t="shared" ca="1" si="29"/>
        <v>1.7439559047955466</v>
      </c>
      <c r="CJ284">
        <f t="shared" ca="1" si="30"/>
        <v>1.3263715624967143</v>
      </c>
      <c r="CK284">
        <f t="shared" ca="1" si="31"/>
        <v>0.67474278052036052</v>
      </c>
      <c r="CL284">
        <f t="shared" ca="1" si="32"/>
        <v>0.1845112807140914</v>
      </c>
    </row>
    <row r="285" spans="1:90" x14ac:dyDescent="0.25">
      <c r="A285" s="43">
        <v>45604</v>
      </c>
      <c r="B285" s="5">
        <v>4.2981999999999996</v>
      </c>
      <c r="C285">
        <v>18.107900000000001</v>
      </c>
      <c r="D285">
        <v>0.70050000000000001</v>
      </c>
      <c r="E285">
        <v>17.491</v>
      </c>
      <c r="F285">
        <v>0.28089999999999998</v>
      </c>
      <c r="G285">
        <v>12.394</v>
      </c>
      <c r="H285">
        <v>59.920299999999997</v>
      </c>
      <c r="I285">
        <v>42.011699999999998</v>
      </c>
      <c r="J285">
        <v>1157.4639999999999</v>
      </c>
      <c r="K285">
        <v>2021021.7224000001</v>
      </c>
      <c r="M285" s="43">
        <v>45604</v>
      </c>
      <c r="N285" s="5">
        <v>6.1976000000000004</v>
      </c>
      <c r="O285">
        <v>16.827400000000001</v>
      </c>
      <c r="P285">
        <v>0.48359999999999997</v>
      </c>
      <c r="Q285">
        <v>22.279699999999998</v>
      </c>
      <c r="R285">
        <v>-0.13950000000000001</v>
      </c>
      <c r="S285">
        <v>195.11080000000001</v>
      </c>
      <c r="T285">
        <v>49.9133</v>
      </c>
      <c r="U285">
        <v>37.493000000000002</v>
      </c>
      <c r="V285">
        <v>5179.2749999999996</v>
      </c>
      <c r="W285">
        <v>4064909.7132000001</v>
      </c>
      <c r="Y285" s="5">
        <v>8.2317</v>
      </c>
      <c r="Z285">
        <v>12.4207</v>
      </c>
      <c r="AA285">
        <v>0.2233</v>
      </c>
      <c r="AB285">
        <v>11.4198</v>
      </c>
      <c r="AC285">
        <v>-0.45700000000000002</v>
      </c>
      <c r="AD285">
        <v>0</v>
      </c>
      <c r="AE285">
        <v>45.102200000000003</v>
      </c>
      <c r="AF285">
        <v>21.314399999999999</v>
      </c>
      <c r="AG285">
        <v>2770.3139999999999</v>
      </c>
      <c r="AH285">
        <v>1476296.4350000001</v>
      </c>
      <c r="AK285">
        <v>8.5744000000000007</v>
      </c>
      <c r="AL285">
        <v>15.242100000000001</v>
      </c>
      <c r="AM285">
        <v>0.41549999999999998</v>
      </c>
      <c r="AN285">
        <v>9.1000000000000004E-3</v>
      </c>
      <c r="AO285">
        <v>-0.67249999999999999</v>
      </c>
      <c r="AP285">
        <v>0</v>
      </c>
      <c r="AQ285">
        <v>29.068100000000001</v>
      </c>
      <c r="AR285">
        <v>16.770199999999999</v>
      </c>
      <c r="AS285">
        <v>1489.9570000000001</v>
      </c>
      <c r="AT285">
        <v>902687.80390000006</v>
      </c>
      <c r="AV285">
        <v>14.2272</v>
      </c>
      <c r="AW285">
        <v>11.166600000000001</v>
      </c>
      <c r="AX285">
        <v>1.0698000000000001</v>
      </c>
      <c r="AY285">
        <v>22.714300000000001</v>
      </c>
      <c r="AZ285">
        <v>0.6411</v>
      </c>
      <c r="BA285" t="s">
        <v>23</v>
      </c>
      <c r="BB285">
        <v>5.5694999999999997</v>
      </c>
      <c r="BC285">
        <v>-4.5948000000000002</v>
      </c>
      <c r="BD285">
        <v>1840</v>
      </c>
      <c r="BE285">
        <v>1610590.0512000001</v>
      </c>
      <c r="BH285" s="5">
        <v>4.7577999999999996</v>
      </c>
      <c r="BI285">
        <v>32.192799999999998</v>
      </c>
      <c r="BJ285">
        <v>0.70879999999999999</v>
      </c>
      <c r="BK285">
        <v>4.6452999999999998</v>
      </c>
      <c r="BL285">
        <v>-0.40720000000000001</v>
      </c>
      <c r="BM285">
        <v>0</v>
      </c>
      <c r="BN285">
        <v>17.7563</v>
      </c>
      <c r="BO285">
        <v>13.378500000000001</v>
      </c>
      <c r="BP285">
        <v>1506.2729999999999</v>
      </c>
      <c r="BQ285">
        <v>939132.49320000003</v>
      </c>
      <c r="CE285" s="1">
        <f t="shared" si="27"/>
        <v>45604</v>
      </c>
      <c r="CF285" s="35">
        <f t="shared" si="34"/>
        <v>7.3678558855273861</v>
      </c>
      <c r="CG285" s="36">
        <f t="shared" si="33"/>
        <v>1.1970211659328513</v>
      </c>
      <c r="CH285">
        <f t="shared" ca="1" si="28"/>
        <v>2.6534126376247973</v>
      </c>
      <c r="CI285">
        <f t="shared" ca="1" si="29"/>
        <v>1.7439559047955466</v>
      </c>
      <c r="CJ285">
        <f t="shared" ca="1" si="30"/>
        <v>1.3263715624967143</v>
      </c>
      <c r="CK285">
        <f t="shared" ca="1" si="31"/>
        <v>0.68086756078501853</v>
      </c>
      <c r="CL285">
        <f t="shared" ca="1" si="32"/>
        <v>0.27544187695333761</v>
      </c>
    </row>
    <row r="286" spans="1:90" x14ac:dyDescent="0.25">
      <c r="A286" s="43">
        <v>45611</v>
      </c>
      <c r="B286" s="5">
        <v>4.7054999999999998</v>
      </c>
      <c r="C286">
        <v>18.107900000000001</v>
      </c>
      <c r="D286">
        <v>0.70050000000000001</v>
      </c>
      <c r="E286">
        <v>17.491</v>
      </c>
      <c r="F286">
        <v>0.28089999999999998</v>
      </c>
      <c r="G286">
        <v>12.394</v>
      </c>
      <c r="H286">
        <v>59.920299999999997</v>
      </c>
      <c r="I286">
        <v>42.011699999999998</v>
      </c>
      <c r="J286">
        <v>1281.4380000000001</v>
      </c>
      <c r="K286">
        <v>2231388.2958</v>
      </c>
      <c r="M286" s="43">
        <v>45611</v>
      </c>
      <c r="N286" s="5">
        <v>7.0308000000000002</v>
      </c>
      <c r="O286">
        <v>16.827400000000001</v>
      </c>
      <c r="P286">
        <v>0.48359999999999997</v>
      </c>
      <c r="Q286">
        <v>22.279699999999998</v>
      </c>
      <c r="R286">
        <v>-0.13950000000000001</v>
      </c>
      <c r="S286">
        <v>195.11080000000001</v>
      </c>
      <c r="T286">
        <v>49.9133</v>
      </c>
      <c r="U286">
        <v>37.493000000000002</v>
      </c>
      <c r="V286">
        <v>5860.2539999999999</v>
      </c>
      <c r="W286">
        <v>4599370.0643999996</v>
      </c>
      <c r="Y286" s="5">
        <v>9.0851000000000006</v>
      </c>
      <c r="Z286">
        <v>12.4207</v>
      </c>
      <c r="AA286">
        <v>0.2233</v>
      </c>
      <c r="AB286">
        <v>11.4198</v>
      </c>
      <c r="AC286">
        <v>-0.45700000000000002</v>
      </c>
      <c r="AD286">
        <v>0</v>
      </c>
      <c r="AE286">
        <v>45.102200000000003</v>
      </c>
      <c r="AF286">
        <v>21.314399999999999</v>
      </c>
      <c r="AG286">
        <v>3042.3980000000001</v>
      </c>
      <c r="AH286">
        <v>1621289.8348999999</v>
      </c>
      <c r="AK286">
        <v>9.1892999999999994</v>
      </c>
      <c r="AL286">
        <v>15.242100000000001</v>
      </c>
      <c r="AM286">
        <v>0.41549999999999998</v>
      </c>
      <c r="AN286">
        <v>9.1000000000000004E-3</v>
      </c>
      <c r="AO286">
        <v>-0.67249999999999999</v>
      </c>
      <c r="AP286">
        <v>0</v>
      </c>
      <c r="AQ286">
        <v>29.068100000000001</v>
      </c>
      <c r="AR286">
        <v>16.770199999999999</v>
      </c>
      <c r="AS286">
        <v>1589.0429999999999</v>
      </c>
      <c r="AT286">
        <v>962718.76619999995</v>
      </c>
      <c r="AV286">
        <v>14.7072</v>
      </c>
      <c r="AW286">
        <v>11.166600000000001</v>
      </c>
      <c r="AX286">
        <v>1.0698000000000001</v>
      </c>
      <c r="AY286">
        <v>22.714300000000001</v>
      </c>
      <c r="AZ286">
        <v>0.6411</v>
      </c>
      <c r="BA286" t="s">
        <v>23</v>
      </c>
      <c r="BB286">
        <v>5.5694999999999997</v>
      </c>
      <c r="BC286">
        <v>-4.5948000000000002</v>
      </c>
      <c r="BD286">
        <v>1905</v>
      </c>
      <c r="BE286">
        <v>1667485.8954</v>
      </c>
      <c r="BH286" s="5">
        <v>5.399</v>
      </c>
      <c r="BI286">
        <v>32.192799999999998</v>
      </c>
      <c r="BJ286">
        <v>0.70879999999999999</v>
      </c>
      <c r="BK286">
        <v>4.6452999999999998</v>
      </c>
      <c r="BL286">
        <v>-0.40720000000000001</v>
      </c>
      <c r="BM286">
        <v>0</v>
      </c>
      <c r="BN286">
        <v>17.7563</v>
      </c>
      <c r="BO286">
        <v>13.378500000000001</v>
      </c>
      <c r="BP286">
        <v>1693.4169999999999</v>
      </c>
      <c r="BQ286">
        <v>1055812.5907999999</v>
      </c>
      <c r="CE286" s="1">
        <f t="shared" si="27"/>
        <v>45611</v>
      </c>
      <c r="CF286" s="35">
        <f t="shared" si="34"/>
        <v>7.9615422794101027</v>
      </c>
      <c r="CG286" s="36">
        <f t="shared" si="33"/>
        <v>1.4765944421783106</v>
      </c>
      <c r="CH286">
        <f t="shared" ca="1" si="28"/>
        <v>2.6534126376247973</v>
      </c>
      <c r="CI286">
        <f t="shared" ca="1" si="29"/>
        <v>1.7439559047955466</v>
      </c>
      <c r="CJ286">
        <f t="shared" ca="1" si="30"/>
        <v>1.3263715624967143</v>
      </c>
      <c r="CK286">
        <f t="shared" ca="1" si="31"/>
        <v>0.74263706742194879</v>
      </c>
      <c r="CL286">
        <f t="shared" ca="1" si="32"/>
        <v>0.28939553101093374</v>
      </c>
    </row>
    <row r="287" spans="1:90" x14ac:dyDescent="0.25">
      <c r="A287" s="43">
        <v>45618</v>
      </c>
      <c r="B287" s="5">
        <v>4.9236000000000004</v>
      </c>
      <c r="C287">
        <v>18.107900000000001</v>
      </c>
      <c r="D287">
        <v>0.70050000000000001</v>
      </c>
      <c r="E287">
        <v>17.491</v>
      </c>
      <c r="F287">
        <v>0.28089999999999998</v>
      </c>
      <c r="G287">
        <v>12.394</v>
      </c>
      <c r="H287">
        <v>59.920299999999997</v>
      </c>
      <c r="I287">
        <v>42.011699999999998</v>
      </c>
      <c r="J287">
        <v>1346.1569999999999</v>
      </c>
      <c r="K287">
        <v>2344084.6743999999</v>
      </c>
      <c r="M287" s="43">
        <v>45618</v>
      </c>
      <c r="N287" s="5">
        <v>7.5823999999999998</v>
      </c>
      <c r="O287">
        <v>16.827400000000001</v>
      </c>
      <c r="P287">
        <v>0.48359999999999997</v>
      </c>
      <c r="Q287">
        <v>22.279699999999998</v>
      </c>
      <c r="R287">
        <v>-0.13950000000000001</v>
      </c>
      <c r="S287">
        <v>195.11080000000001</v>
      </c>
      <c r="T287">
        <v>49.9133</v>
      </c>
      <c r="U287">
        <v>37.493000000000002</v>
      </c>
      <c r="V287">
        <v>6311.0429999999997</v>
      </c>
      <c r="W287">
        <v>4953167.7615999999</v>
      </c>
      <c r="Y287" s="5">
        <v>10.184100000000001</v>
      </c>
      <c r="Z287">
        <v>12.4207</v>
      </c>
      <c r="AA287">
        <v>0.2233</v>
      </c>
      <c r="AB287">
        <v>11.4198</v>
      </c>
      <c r="AC287">
        <v>-0.45700000000000002</v>
      </c>
      <c r="AD287">
        <v>0</v>
      </c>
      <c r="AE287">
        <v>45.102200000000003</v>
      </c>
      <c r="AF287">
        <v>21.314399999999999</v>
      </c>
      <c r="AG287">
        <v>3392.81</v>
      </c>
      <c r="AH287">
        <v>1808023.7590000001</v>
      </c>
      <c r="AK287">
        <v>9.0982000000000003</v>
      </c>
      <c r="AL287">
        <v>15.242100000000001</v>
      </c>
      <c r="AM287">
        <v>0.41549999999999998</v>
      </c>
      <c r="AN287">
        <v>9.1000000000000004E-3</v>
      </c>
      <c r="AO287">
        <v>-0.67249999999999999</v>
      </c>
      <c r="AP287">
        <v>0</v>
      </c>
      <c r="AQ287">
        <v>29.068100000000001</v>
      </c>
      <c r="AR287">
        <v>16.770199999999999</v>
      </c>
      <c r="AS287">
        <v>1574.364</v>
      </c>
      <c r="AT287">
        <v>953825.29029999999</v>
      </c>
      <c r="AV287">
        <v>15.667</v>
      </c>
      <c r="AW287">
        <v>11.166600000000001</v>
      </c>
      <c r="AX287">
        <v>1.0698000000000001</v>
      </c>
      <c r="AY287">
        <v>22.714300000000001</v>
      </c>
      <c r="AZ287">
        <v>0.6411</v>
      </c>
      <c r="BA287" t="s">
        <v>23</v>
      </c>
      <c r="BB287">
        <v>5.5694999999999997</v>
      </c>
      <c r="BC287">
        <v>-4.5948000000000002</v>
      </c>
      <c r="BD287">
        <v>2035</v>
      </c>
      <c r="BE287">
        <v>1781277.5837999999</v>
      </c>
      <c r="BH287" s="5">
        <v>6.3685999999999998</v>
      </c>
      <c r="BI287">
        <v>32.192799999999998</v>
      </c>
      <c r="BJ287">
        <v>0.70879999999999999</v>
      </c>
      <c r="BK287">
        <v>4.6452999999999998</v>
      </c>
      <c r="BL287">
        <v>-0.40720000000000001</v>
      </c>
      <c r="BM287">
        <v>0</v>
      </c>
      <c r="BN287">
        <v>17.7563</v>
      </c>
      <c r="BO287">
        <v>13.378500000000001</v>
      </c>
      <c r="BP287">
        <v>1976.413</v>
      </c>
      <c r="BQ287">
        <v>1232255.6653</v>
      </c>
      <c r="CE287" s="1">
        <f t="shared" si="27"/>
        <v>45618</v>
      </c>
      <c r="CF287" s="35">
        <f t="shared" si="34"/>
        <v>8.5632654907368355</v>
      </c>
      <c r="CG287" s="36">
        <f t="shared" si="33"/>
        <v>1.7599523417645806</v>
      </c>
      <c r="CH287">
        <f t="shared" ca="1" si="28"/>
        <v>2.6534126376247973</v>
      </c>
      <c r="CI287">
        <f t="shared" ca="1" si="29"/>
        <v>1.7439559047955466</v>
      </c>
      <c r="CJ287">
        <f t="shared" ca="1" si="30"/>
        <v>1.3372884008315769</v>
      </c>
      <c r="CK287">
        <f t="shared" ca="1" si="31"/>
        <v>0.77949977695740702</v>
      </c>
      <c r="CL287">
        <f t="shared" ca="1" si="32"/>
        <v>0.32885489864068529</v>
      </c>
    </row>
    <row r="288" spans="1:90" x14ac:dyDescent="0.25">
      <c r="A288" s="43">
        <v>45625</v>
      </c>
      <c r="B288" s="5">
        <v>4.7927</v>
      </c>
      <c r="C288">
        <v>18.107900000000001</v>
      </c>
      <c r="D288">
        <v>0.70050000000000001</v>
      </c>
      <c r="E288">
        <v>17.491</v>
      </c>
      <c r="F288">
        <v>0.28089999999999998</v>
      </c>
      <c r="G288">
        <v>12.394</v>
      </c>
      <c r="H288">
        <v>59.920299999999997</v>
      </c>
      <c r="I288">
        <v>42.011699999999998</v>
      </c>
      <c r="J288">
        <v>1307.325</v>
      </c>
      <c r="K288">
        <v>2276466.8472000002</v>
      </c>
      <c r="M288" s="43">
        <v>45625</v>
      </c>
      <c r="N288" s="5">
        <v>7.6059000000000001</v>
      </c>
      <c r="O288">
        <v>16.827400000000001</v>
      </c>
      <c r="P288">
        <v>0.48359999999999997</v>
      </c>
      <c r="Q288">
        <v>22.279699999999998</v>
      </c>
      <c r="R288">
        <v>-0.13950000000000001</v>
      </c>
      <c r="S288">
        <v>195.11080000000001</v>
      </c>
      <c r="T288">
        <v>49.9133</v>
      </c>
      <c r="U288">
        <v>37.493000000000002</v>
      </c>
      <c r="V288">
        <v>6330.2250000000004</v>
      </c>
      <c r="W288">
        <v>4968222.9828000003</v>
      </c>
      <c r="Y288" s="5">
        <v>10.2875</v>
      </c>
      <c r="Z288">
        <v>12.4207</v>
      </c>
      <c r="AA288">
        <v>0.2233</v>
      </c>
      <c r="AB288">
        <v>11.4198</v>
      </c>
      <c r="AC288">
        <v>-0.45700000000000002</v>
      </c>
      <c r="AD288">
        <v>0</v>
      </c>
      <c r="AE288">
        <v>45.102200000000003</v>
      </c>
      <c r="AF288">
        <v>21.314399999999999</v>
      </c>
      <c r="AG288">
        <v>3425.79</v>
      </c>
      <c r="AH288">
        <v>1825598.7165000001</v>
      </c>
      <c r="AK288">
        <v>9.3942999999999994</v>
      </c>
      <c r="AL288">
        <v>15.242100000000001</v>
      </c>
      <c r="AM288">
        <v>0.41549999999999998</v>
      </c>
      <c r="AN288">
        <v>9.1000000000000004E-3</v>
      </c>
      <c r="AO288">
        <v>-0.67249999999999999</v>
      </c>
      <c r="AP288">
        <v>0</v>
      </c>
      <c r="AQ288">
        <v>29.068100000000001</v>
      </c>
      <c r="AR288">
        <v>16.770199999999999</v>
      </c>
      <c r="AS288">
        <v>1622.0719999999999</v>
      </c>
      <c r="AT288">
        <v>982729.08700000006</v>
      </c>
      <c r="AV288">
        <v>16.59</v>
      </c>
      <c r="AW288">
        <v>11.166600000000001</v>
      </c>
      <c r="AX288">
        <v>1.0698000000000001</v>
      </c>
      <c r="AY288">
        <v>22.714300000000001</v>
      </c>
      <c r="AZ288">
        <v>0.6411</v>
      </c>
      <c r="BA288" t="s">
        <v>23</v>
      </c>
      <c r="BB288">
        <v>5.5694999999999997</v>
      </c>
      <c r="BC288">
        <v>-4.5948000000000002</v>
      </c>
      <c r="BD288">
        <v>2160</v>
      </c>
      <c r="BE288">
        <v>1890692.6688000001</v>
      </c>
      <c r="BH288" s="5">
        <v>6.7751999999999999</v>
      </c>
      <c r="BI288">
        <v>32.192799999999998</v>
      </c>
      <c r="BJ288">
        <v>0.70879999999999999</v>
      </c>
      <c r="BK288">
        <v>4.6452999999999998</v>
      </c>
      <c r="BL288">
        <v>-0.40720000000000001</v>
      </c>
      <c r="BM288">
        <v>0</v>
      </c>
      <c r="BN288">
        <v>17.7563</v>
      </c>
      <c r="BO288">
        <v>13.378500000000001</v>
      </c>
      <c r="BP288">
        <v>2095.0889999999999</v>
      </c>
      <c r="BQ288">
        <v>1306247.9224</v>
      </c>
      <c r="CE288" s="1">
        <f t="shared" si="27"/>
        <v>45625</v>
      </c>
      <c r="CF288" s="35">
        <f t="shared" si="34"/>
        <v>8.8247682609833831</v>
      </c>
      <c r="CG288" s="36">
        <f t="shared" si="33"/>
        <v>1.8830967947592938</v>
      </c>
      <c r="CH288">
        <f t="shared" ca="1" si="28"/>
        <v>2.6534126376247973</v>
      </c>
      <c r="CI288">
        <f t="shared" ca="1" si="29"/>
        <v>1.7530575300648206</v>
      </c>
      <c r="CJ288">
        <f t="shared" ca="1" si="30"/>
        <v>1.3540060833292853</v>
      </c>
      <c r="CK288">
        <f t="shared" ca="1" si="31"/>
        <v>0.81192220840646245</v>
      </c>
      <c r="CL288">
        <f t="shared" ca="1" si="32"/>
        <v>0.52966913922740078</v>
      </c>
    </row>
    <row r="289" spans="1:90" x14ac:dyDescent="0.25">
      <c r="A289" s="43">
        <v>45632</v>
      </c>
      <c r="B289" s="5">
        <v>4.8217999999999996</v>
      </c>
      <c r="C289">
        <v>18.107900000000001</v>
      </c>
      <c r="D289">
        <v>0.70050000000000001</v>
      </c>
      <c r="E289">
        <v>17.491</v>
      </c>
      <c r="F289">
        <v>0.28089999999999998</v>
      </c>
      <c r="G289">
        <v>12.394</v>
      </c>
      <c r="H289">
        <v>59.920299999999997</v>
      </c>
      <c r="I289">
        <v>42.011699999999998</v>
      </c>
      <c r="J289">
        <v>1315.954</v>
      </c>
      <c r="K289">
        <v>2291493.031</v>
      </c>
      <c r="M289" s="43">
        <v>45632</v>
      </c>
      <c r="N289" s="5">
        <v>7.0073999999999996</v>
      </c>
      <c r="O289">
        <v>16.827400000000001</v>
      </c>
      <c r="P289">
        <v>0.48359999999999997</v>
      </c>
      <c r="Q289">
        <v>22.279699999999998</v>
      </c>
      <c r="R289">
        <v>-0.13950000000000001</v>
      </c>
      <c r="S289">
        <v>195.11080000000001</v>
      </c>
      <c r="T289">
        <v>49.9133</v>
      </c>
      <c r="U289">
        <v>37.493000000000002</v>
      </c>
      <c r="V289">
        <v>5841.0709999999999</v>
      </c>
      <c r="W289">
        <v>4584314.8432</v>
      </c>
      <c r="Y289" s="5">
        <v>9.6151999999999997</v>
      </c>
      <c r="Z289">
        <v>12.4207</v>
      </c>
      <c r="AA289">
        <v>0.2233</v>
      </c>
      <c r="AB289">
        <v>11.4198</v>
      </c>
      <c r="AC289">
        <v>-0.45700000000000002</v>
      </c>
      <c r="AD289">
        <v>0</v>
      </c>
      <c r="AE289">
        <v>45.102200000000003</v>
      </c>
      <c r="AF289">
        <v>21.314399999999999</v>
      </c>
      <c r="AG289">
        <v>3211.42</v>
      </c>
      <c r="AH289">
        <v>1711361.4924000001</v>
      </c>
      <c r="AK289">
        <v>9.5992999999999995</v>
      </c>
      <c r="AL289">
        <v>15.242100000000001</v>
      </c>
      <c r="AM289">
        <v>0.41549999999999998</v>
      </c>
      <c r="AN289">
        <v>9.1000000000000004E-3</v>
      </c>
      <c r="AO289">
        <v>-0.67249999999999999</v>
      </c>
      <c r="AP289">
        <v>0</v>
      </c>
      <c r="AQ289">
        <v>29.068100000000001</v>
      </c>
      <c r="AR289">
        <v>16.770199999999999</v>
      </c>
      <c r="AS289">
        <v>1655.1</v>
      </c>
      <c r="AT289">
        <v>1002739.4077</v>
      </c>
      <c r="AV289">
        <v>19.026599999999998</v>
      </c>
      <c r="AW289">
        <v>11.166600000000001</v>
      </c>
      <c r="AX289">
        <v>1.0698000000000001</v>
      </c>
      <c r="AY289">
        <v>22.714300000000001</v>
      </c>
      <c r="AZ289">
        <v>0.6411</v>
      </c>
      <c r="BA289" t="s">
        <v>23</v>
      </c>
      <c r="BB289">
        <v>5.5694999999999997</v>
      </c>
      <c r="BC289">
        <v>-4.5948000000000002</v>
      </c>
      <c r="BD289">
        <v>2490</v>
      </c>
      <c r="BE289">
        <v>2179548.4931999999</v>
      </c>
      <c r="BH289" s="5">
        <v>7.4945000000000004</v>
      </c>
      <c r="BI289">
        <v>32.192799999999998</v>
      </c>
      <c r="BJ289">
        <v>0.70879999999999999</v>
      </c>
      <c r="BK289">
        <v>4.6452999999999998</v>
      </c>
      <c r="BL289">
        <v>-0.40720000000000001</v>
      </c>
      <c r="BM289">
        <v>0</v>
      </c>
      <c r="BN289">
        <v>17.7563</v>
      </c>
      <c r="BO289">
        <v>13.378500000000001</v>
      </c>
      <c r="BP289">
        <v>2305.0549999999998</v>
      </c>
      <c r="BQ289">
        <v>1437157.3001999999</v>
      </c>
      <c r="CE289" s="1">
        <f t="shared" si="27"/>
        <v>45632</v>
      </c>
      <c r="CF289" s="35">
        <f t="shared" si="34"/>
        <v>9.1994886707291403</v>
      </c>
      <c r="CG289" s="36">
        <f t="shared" si="33"/>
        <v>2.0595566457986929</v>
      </c>
      <c r="CH289">
        <f t="shared" ca="1" si="28"/>
        <v>2.6534126376247973</v>
      </c>
      <c r="CI289">
        <f t="shared" ca="1" si="29"/>
        <v>1.7630627909128607</v>
      </c>
      <c r="CJ289">
        <f t="shared" ca="1" si="30"/>
        <v>1.3704473278071092</v>
      </c>
      <c r="CK289">
        <f t="shared" ca="1" si="31"/>
        <v>0.82504182770651791</v>
      </c>
      <c r="CL289">
        <f t="shared" ca="1" si="32"/>
        <v>0.57234834557692515</v>
      </c>
    </row>
    <row r="290" spans="1:90" x14ac:dyDescent="0.25">
      <c r="A290" s="43">
        <v>45639</v>
      </c>
      <c r="B290" s="5">
        <v>5.2582000000000004</v>
      </c>
      <c r="C290">
        <v>18.107900000000001</v>
      </c>
      <c r="D290">
        <v>0.70050000000000001</v>
      </c>
      <c r="E290">
        <v>17.491</v>
      </c>
      <c r="F290">
        <v>0.28089999999999998</v>
      </c>
      <c r="G290">
        <v>12.394</v>
      </c>
      <c r="H290">
        <v>59.920299999999997</v>
      </c>
      <c r="I290">
        <v>42.011699999999998</v>
      </c>
      <c r="J290">
        <v>1445.393</v>
      </c>
      <c r="K290">
        <v>2516885.7881999998</v>
      </c>
      <c r="M290" s="43">
        <v>45639</v>
      </c>
      <c r="N290" s="5">
        <v>7.4767999999999999</v>
      </c>
      <c r="O290">
        <v>16.827400000000001</v>
      </c>
      <c r="P290">
        <v>0.48359999999999997</v>
      </c>
      <c r="Q290">
        <v>22.279699999999998</v>
      </c>
      <c r="R290">
        <v>-0.13950000000000001</v>
      </c>
      <c r="S290">
        <v>195.11080000000001</v>
      </c>
      <c r="T290">
        <v>49.9133</v>
      </c>
      <c r="U290">
        <v>37.493000000000002</v>
      </c>
      <c r="V290">
        <v>6224.7209999999995</v>
      </c>
      <c r="W290">
        <v>4885419.2664000001</v>
      </c>
      <c r="Y290" s="5">
        <v>10.016</v>
      </c>
      <c r="Z290">
        <v>12.4207</v>
      </c>
      <c r="AA290">
        <v>0.2233</v>
      </c>
      <c r="AB290">
        <v>11.4198</v>
      </c>
      <c r="AC290">
        <v>-0.45700000000000002</v>
      </c>
      <c r="AD290">
        <v>0</v>
      </c>
      <c r="AE290">
        <v>45.102200000000003</v>
      </c>
      <c r="AF290">
        <v>21.314399999999999</v>
      </c>
      <c r="AG290">
        <v>3339.2179999999998</v>
      </c>
      <c r="AH290">
        <v>1779464.453</v>
      </c>
      <c r="AK290">
        <v>11.876899999999999</v>
      </c>
      <c r="AL290">
        <v>15.242100000000001</v>
      </c>
      <c r="AM290">
        <v>0.41549999999999998</v>
      </c>
      <c r="AN290">
        <v>9.1000000000000004E-3</v>
      </c>
      <c r="AO290">
        <v>-0.67249999999999999</v>
      </c>
      <c r="AP290">
        <v>0</v>
      </c>
      <c r="AQ290">
        <v>29.068100000000001</v>
      </c>
      <c r="AR290">
        <v>16.770199999999999</v>
      </c>
      <c r="AS290">
        <v>2022.085</v>
      </c>
      <c r="AT290">
        <v>1225076.3052000001</v>
      </c>
      <c r="AV290">
        <v>20.614100000000001</v>
      </c>
      <c r="AW290">
        <v>11.166600000000001</v>
      </c>
      <c r="AX290">
        <v>1.0698000000000001</v>
      </c>
      <c r="AY290">
        <v>22.714300000000001</v>
      </c>
      <c r="AZ290">
        <v>0.6411</v>
      </c>
      <c r="BA290" t="s">
        <v>23</v>
      </c>
      <c r="BB290">
        <v>5.5694999999999997</v>
      </c>
      <c r="BC290">
        <v>-4.5948000000000002</v>
      </c>
      <c r="BD290">
        <v>2705</v>
      </c>
      <c r="BE290">
        <v>2367742.4394</v>
      </c>
      <c r="BH290" s="5">
        <v>8.6987000000000005</v>
      </c>
      <c r="BI290">
        <v>32.192799999999998</v>
      </c>
      <c r="BJ290">
        <v>0.70879999999999999</v>
      </c>
      <c r="BK290">
        <v>4.6452999999999998</v>
      </c>
      <c r="BL290">
        <v>-0.40720000000000001</v>
      </c>
      <c r="BM290">
        <v>0</v>
      </c>
      <c r="BN290">
        <v>17.7563</v>
      </c>
      <c r="BO290">
        <v>13.378500000000001</v>
      </c>
      <c r="BP290">
        <v>2656.5189999999998</v>
      </c>
      <c r="BQ290">
        <v>1656288.2153</v>
      </c>
      <c r="CE290" s="1">
        <f t="shared" si="27"/>
        <v>45639</v>
      </c>
      <c r="CF290" s="35">
        <f t="shared" si="34"/>
        <v>10.072239922420795</v>
      </c>
      <c r="CG290" s="36">
        <f t="shared" si="33"/>
        <v>2.4705445500135967</v>
      </c>
      <c r="CH290">
        <f t="shared" ca="1" si="28"/>
        <v>2.6534126376247973</v>
      </c>
      <c r="CI290">
        <f t="shared" ca="1" si="29"/>
        <v>1.7787602740286883</v>
      </c>
      <c r="CJ290">
        <f t="shared" ca="1" si="30"/>
        <v>1.3766872988981755</v>
      </c>
      <c r="CK290">
        <f t="shared" ca="1" si="31"/>
        <v>0.85803337991963224</v>
      </c>
      <c r="CL290">
        <f t="shared" ca="1" si="32"/>
        <v>0.63857389620027272</v>
      </c>
    </row>
    <row r="291" spans="1:90" x14ac:dyDescent="0.25">
      <c r="A291" s="43">
        <v>45646</v>
      </c>
      <c r="B291" s="5">
        <v>5.0690999999999997</v>
      </c>
      <c r="C291">
        <v>18.107900000000001</v>
      </c>
      <c r="D291">
        <v>0.70050000000000001</v>
      </c>
      <c r="E291">
        <v>17.491</v>
      </c>
      <c r="F291">
        <v>0.28089999999999998</v>
      </c>
      <c r="G291">
        <v>12.394</v>
      </c>
      <c r="H291">
        <v>59.920299999999997</v>
      </c>
      <c r="I291">
        <v>42.011699999999998</v>
      </c>
      <c r="J291">
        <v>1389.3030000000001</v>
      </c>
      <c r="K291">
        <v>2419215.5934000001</v>
      </c>
      <c r="M291" s="43">
        <v>45646</v>
      </c>
      <c r="N291" s="5">
        <v>7.6059000000000001</v>
      </c>
      <c r="O291">
        <v>16.827400000000001</v>
      </c>
      <c r="P291">
        <v>0.48359999999999997</v>
      </c>
      <c r="Q291">
        <v>22.279699999999998</v>
      </c>
      <c r="R291">
        <v>-0.13950000000000001</v>
      </c>
      <c r="S291">
        <v>195.11080000000001</v>
      </c>
      <c r="T291">
        <v>49.9133</v>
      </c>
      <c r="U291">
        <v>37.493000000000002</v>
      </c>
      <c r="V291">
        <v>6330.2250000000004</v>
      </c>
      <c r="W291">
        <v>4968222.9828000003</v>
      </c>
      <c r="Y291" s="5">
        <v>10.261699999999999</v>
      </c>
      <c r="Z291">
        <v>12.4207</v>
      </c>
      <c r="AA291">
        <v>0.2233</v>
      </c>
      <c r="AB291">
        <v>11.4198</v>
      </c>
      <c r="AC291">
        <v>-0.45700000000000002</v>
      </c>
      <c r="AD291">
        <v>0</v>
      </c>
      <c r="AE291">
        <v>45.102200000000003</v>
      </c>
      <c r="AF291">
        <v>21.314399999999999</v>
      </c>
      <c r="AG291">
        <v>3417.5450000000001</v>
      </c>
      <c r="AH291">
        <v>1821204.9772000001</v>
      </c>
      <c r="AK291">
        <v>12.036300000000001</v>
      </c>
      <c r="AL291">
        <v>15.242100000000001</v>
      </c>
      <c r="AM291">
        <v>0.41549999999999998</v>
      </c>
      <c r="AN291">
        <v>9.1000000000000004E-3</v>
      </c>
      <c r="AO291">
        <v>-0.67249999999999999</v>
      </c>
      <c r="AP291">
        <v>0</v>
      </c>
      <c r="AQ291">
        <v>29.068100000000001</v>
      </c>
      <c r="AR291">
        <v>16.770199999999999</v>
      </c>
      <c r="AS291">
        <v>2047.7739999999999</v>
      </c>
      <c r="AT291">
        <v>1240639.8881000001</v>
      </c>
      <c r="AV291">
        <v>18.805099999999999</v>
      </c>
      <c r="AW291">
        <v>11.166600000000001</v>
      </c>
      <c r="AX291">
        <v>1.0698000000000001</v>
      </c>
      <c r="AY291">
        <v>22.714300000000001</v>
      </c>
      <c r="AZ291">
        <v>0.6411</v>
      </c>
      <c r="BA291" t="s">
        <v>23</v>
      </c>
      <c r="BB291">
        <v>5.5694999999999997</v>
      </c>
      <c r="BC291">
        <v>-4.5948000000000002</v>
      </c>
      <c r="BD291">
        <v>2460</v>
      </c>
      <c r="BE291">
        <v>2153288.8728</v>
      </c>
      <c r="BH291" s="5">
        <v>8.1669999999999998</v>
      </c>
      <c r="BI291">
        <v>32.192799999999998</v>
      </c>
      <c r="BJ291">
        <v>0.70879999999999999</v>
      </c>
      <c r="BK291">
        <v>4.6452999999999998</v>
      </c>
      <c r="BL291">
        <v>-0.40720000000000001</v>
      </c>
      <c r="BM291">
        <v>0</v>
      </c>
      <c r="BN291">
        <v>17.7563</v>
      </c>
      <c r="BO291">
        <v>13.378500000000001</v>
      </c>
      <c r="BP291">
        <v>2501.3270000000002</v>
      </c>
      <c r="BQ291">
        <v>1559529.1099</v>
      </c>
      <c r="CE291" s="1">
        <f t="shared" si="27"/>
        <v>45646</v>
      </c>
      <c r="CF291" s="35">
        <f t="shared" si="34"/>
        <v>9.6667795739382445</v>
      </c>
      <c r="CG291" s="36">
        <f t="shared" si="33"/>
        <v>2.2796089328579745</v>
      </c>
      <c r="CH291">
        <f t="shared" ca="1" si="28"/>
        <v>2.6536096898817743</v>
      </c>
      <c r="CI291">
        <f t="shared" ca="1" si="29"/>
        <v>1.8191682094710617</v>
      </c>
      <c r="CJ291">
        <f t="shared" ca="1" si="30"/>
        <v>1.4236073787803898</v>
      </c>
      <c r="CK291">
        <f t="shared" ca="1" si="31"/>
        <v>0.87077293230534014</v>
      </c>
      <c r="CL291">
        <f t="shared" ca="1" si="32"/>
        <v>0.66646893674843177</v>
      </c>
    </row>
    <row r="292" spans="1:90" x14ac:dyDescent="0.25">
      <c r="A292" s="43">
        <v>45653</v>
      </c>
      <c r="B292" s="5">
        <v>5.3891</v>
      </c>
      <c r="C292">
        <v>18.107900000000001</v>
      </c>
      <c r="D292">
        <v>0.70050000000000001</v>
      </c>
      <c r="E292">
        <v>17.491</v>
      </c>
      <c r="F292">
        <v>0.28089999999999998</v>
      </c>
      <c r="G292">
        <v>12.394</v>
      </c>
      <c r="H292">
        <v>59.920299999999997</v>
      </c>
      <c r="I292">
        <v>42.011699999999998</v>
      </c>
      <c r="J292">
        <v>1484.2239999999999</v>
      </c>
      <c r="K292">
        <v>2584503.6153000002</v>
      </c>
      <c r="M292" s="43">
        <v>45653</v>
      </c>
      <c r="N292" s="5">
        <v>8.1692</v>
      </c>
      <c r="O292">
        <v>16.827400000000001</v>
      </c>
      <c r="P292">
        <v>0.48359999999999997</v>
      </c>
      <c r="Q292">
        <v>22.279699999999998</v>
      </c>
      <c r="R292">
        <v>-0.13950000000000001</v>
      </c>
      <c r="S292">
        <v>195.11080000000001</v>
      </c>
      <c r="T292">
        <v>49.9133</v>
      </c>
      <c r="U292">
        <v>37.493000000000002</v>
      </c>
      <c r="V292">
        <v>6790.6049999999996</v>
      </c>
      <c r="W292">
        <v>5329548.2905999999</v>
      </c>
      <c r="Y292" s="5">
        <v>10.210000000000001</v>
      </c>
      <c r="Z292">
        <v>12.4207</v>
      </c>
      <c r="AA292">
        <v>0.2233</v>
      </c>
      <c r="AB292">
        <v>11.4198</v>
      </c>
      <c r="AC292">
        <v>-0.45700000000000002</v>
      </c>
      <c r="AD292">
        <v>0</v>
      </c>
      <c r="AE292">
        <v>45.102200000000003</v>
      </c>
      <c r="AF292">
        <v>21.314399999999999</v>
      </c>
      <c r="AG292">
        <v>3401.0549999999998</v>
      </c>
      <c r="AH292">
        <v>1812417.4983999999</v>
      </c>
      <c r="AK292">
        <v>12.3551</v>
      </c>
      <c r="AL292">
        <v>15.242100000000001</v>
      </c>
      <c r="AM292">
        <v>0.41549999999999998</v>
      </c>
      <c r="AN292">
        <v>9.1000000000000004E-3</v>
      </c>
      <c r="AO292">
        <v>-0.67249999999999999</v>
      </c>
      <c r="AP292">
        <v>0</v>
      </c>
      <c r="AQ292">
        <v>29.068100000000001</v>
      </c>
      <c r="AR292">
        <v>16.770199999999999</v>
      </c>
      <c r="AS292">
        <v>2099.152</v>
      </c>
      <c r="AT292">
        <v>1271767.0537</v>
      </c>
      <c r="AV292">
        <v>19.912700000000001</v>
      </c>
      <c r="AW292">
        <v>11.166600000000001</v>
      </c>
      <c r="AX292">
        <v>1.0698000000000001</v>
      </c>
      <c r="AY292">
        <v>22.714300000000001</v>
      </c>
      <c r="AZ292">
        <v>0.6411</v>
      </c>
      <c r="BA292" t="s">
        <v>23</v>
      </c>
      <c r="BB292">
        <v>5.5694999999999997</v>
      </c>
      <c r="BC292">
        <v>-4.5948000000000002</v>
      </c>
      <c r="BD292">
        <v>2610</v>
      </c>
      <c r="BE292">
        <v>2284586.9748</v>
      </c>
      <c r="BH292" s="5">
        <v>8.6517999999999997</v>
      </c>
      <c r="BI292">
        <v>32.192799999999998</v>
      </c>
      <c r="BJ292">
        <v>0.70879999999999999</v>
      </c>
      <c r="BK292">
        <v>4.6452999999999998</v>
      </c>
      <c r="BL292">
        <v>-0.40720000000000001</v>
      </c>
      <c r="BM292">
        <v>0</v>
      </c>
      <c r="BN292">
        <v>17.7563</v>
      </c>
      <c r="BO292">
        <v>13.378500000000001</v>
      </c>
      <c r="BP292">
        <v>2642.8249999999998</v>
      </c>
      <c r="BQ292">
        <v>1647750.6472</v>
      </c>
      <c r="CE292" s="1">
        <f t="shared" si="27"/>
        <v>45653</v>
      </c>
      <c r="CF292" s="35">
        <f t="shared" si="34"/>
        <v>10.14242248179921</v>
      </c>
      <c r="CG292" s="36">
        <f t="shared" si="33"/>
        <v>2.503594268287233</v>
      </c>
      <c r="CH292">
        <f t="shared" ca="1" si="28"/>
        <v>2.6536096898817743</v>
      </c>
      <c r="CI292">
        <f t="shared" ca="1" si="29"/>
        <v>1.8850055037897064</v>
      </c>
      <c r="CJ292">
        <f t="shared" ca="1" si="30"/>
        <v>1.4679392764738957</v>
      </c>
      <c r="CK292">
        <f t="shared" ca="1" si="31"/>
        <v>0.98100452094684254</v>
      </c>
      <c r="CL292">
        <f t="shared" ca="1" si="32"/>
        <v>0.67831736581295787</v>
      </c>
    </row>
    <row r="293" spans="1:90" x14ac:dyDescent="0.25">
      <c r="A293" s="43">
        <v>45660</v>
      </c>
      <c r="B293" s="5">
        <v>10.087300000000001</v>
      </c>
      <c r="C293">
        <v>2.5971000000000002</v>
      </c>
      <c r="D293">
        <v>0.17860000000000001</v>
      </c>
      <c r="E293">
        <v>16.998899999999999</v>
      </c>
      <c r="F293">
        <v>0.58350000000000002</v>
      </c>
      <c r="G293">
        <v>12.394</v>
      </c>
      <c r="H293">
        <v>33.029899999999998</v>
      </c>
      <c r="I293">
        <v>17.436499999999999</v>
      </c>
      <c r="J293">
        <v>1635.2349999999999</v>
      </c>
      <c r="K293">
        <v>2847461.8319999999</v>
      </c>
      <c r="M293" s="43">
        <v>45660</v>
      </c>
      <c r="N293" s="5">
        <v>6.2904</v>
      </c>
      <c r="O293">
        <v>12.8408</v>
      </c>
      <c r="P293">
        <v>0.71619999999999995</v>
      </c>
      <c r="Q293">
        <v>20.617899999999999</v>
      </c>
      <c r="R293">
        <v>-0.32229999999999998</v>
      </c>
      <c r="S293">
        <v>195.11080000000001</v>
      </c>
      <c r="T293">
        <v>57.1096</v>
      </c>
      <c r="U293">
        <v>46.081899999999997</v>
      </c>
      <c r="V293">
        <v>7442.81</v>
      </c>
      <c r="W293">
        <v>5841425.8101000004</v>
      </c>
      <c r="Y293" s="5">
        <v>7.5898000000000003</v>
      </c>
      <c r="Z293">
        <v>10.527200000000001</v>
      </c>
      <c r="AA293">
        <v>0.51919999999999999</v>
      </c>
      <c r="AB293">
        <v>9.7304999999999993</v>
      </c>
      <c r="AC293">
        <v>-0.6976</v>
      </c>
      <c r="AD293">
        <v>0</v>
      </c>
      <c r="AE293">
        <v>47.759900000000002</v>
      </c>
      <c r="AF293">
        <v>30.636700000000001</v>
      </c>
      <c r="AG293">
        <v>3619.547</v>
      </c>
      <c r="AH293">
        <v>1928851.5922000001</v>
      </c>
      <c r="AK293">
        <v>6.1729000000000003</v>
      </c>
      <c r="AL293">
        <v>14.222200000000001</v>
      </c>
      <c r="AM293">
        <v>0.56289999999999996</v>
      </c>
      <c r="AN293">
        <v>8.2000000000000007E-3</v>
      </c>
      <c r="AO293">
        <v>-0.72209999999999996</v>
      </c>
      <c r="AP293">
        <v>0</v>
      </c>
      <c r="AQ293">
        <v>45.393799999999999</v>
      </c>
      <c r="AR293">
        <v>33.855600000000003</v>
      </c>
      <c r="AS293">
        <v>2077.1320000000001</v>
      </c>
      <c r="AT293">
        <v>1258426.8399</v>
      </c>
      <c r="AV293">
        <v>8.7094000000000005</v>
      </c>
      <c r="AW293">
        <v>6.8396999999999997</v>
      </c>
      <c r="AX293">
        <v>0.54179999999999995</v>
      </c>
      <c r="AY293">
        <v>23.727699999999999</v>
      </c>
      <c r="AZ293">
        <v>0.34060000000000001</v>
      </c>
      <c r="BA293" t="s">
        <v>23</v>
      </c>
      <c r="BB293">
        <v>10.6074</v>
      </c>
      <c r="BC293">
        <v>2.1535000000000002</v>
      </c>
      <c r="BD293">
        <v>2635</v>
      </c>
      <c r="BE293">
        <v>2306469.9918</v>
      </c>
      <c r="BH293" s="5">
        <v>5.9978999999999996</v>
      </c>
      <c r="BI293">
        <v>15.685</v>
      </c>
      <c r="BJ293">
        <v>0.71099999999999997</v>
      </c>
      <c r="BK293">
        <v>4.1825000000000001</v>
      </c>
      <c r="BL293">
        <v>-0.50460000000000005</v>
      </c>
      <c r="BM293">
        <v>0</v>
      </c>
      <c r="BN293">
        <v>20.827300000000001</v>
      </c>
      <c r="BO293">
        <v>16.127800000000001</v>
      </c>
      <c r="BP293">
        <v>2574.3580000000002</v>
      </c>
      <c r="BQ293">
        <v>1605062.8066</v>
      </c>
      <c r="CE293" s="1">
        <f t="shared" si="27"/>
        <v>45660</v>
      </c>
      <c r="CF293" s="35">
        <f t="shared" si="34"/>
        <v>7.4482560385450594</v>
      </c>
      <c r="CG293" s="36">
        <f t="shared" si="33"/>
        <v>1.2348824583953288</v>
      </c>
      <c r="CH293">
        <f t="shared" ca="1" si="28"/>
        <v>2.6569146617091377</v>
      </c>
      <c r="CI293">
        <f t="shared" ca="1" si="29"/>
        <v>1.9329378846103817</v>
      </c>
      <c r="CJ293">
        <f t="shared" ca="1" si="30"/>
        <v>1.4708318232711712</v>
      </c>
      <c r="CK293">
        <f t="shared" ca="1" si="31"/>
        <v>1.1222100958754544</v>
      </c>
      <c r="CL293">
        <f t="shared" ca="1" si="32"/>
        <v>0.6899535599939628</v>
      </c>
    </row>
    <row r="294" spans="1:90" x14ac:dyDescent="0.25">
      <c r="A294" s="43">
        <v>45667</v>
      </c>
      <c r="B294" s="5">
        <v>9.6974999999999998</v>
      </c>
      <c r="C294">
        <v>2.5971000000000002</v>
      </c>
      <c r="D294">
        <v>0.17860000000000001</v>
      </c>
      <c r="E294">
        <v>16.998899999999999</v>
      </c>
      <c r="F294">
        <v>0.58350000000000002</v>
      </c>
      <c r="G294">
        <v>12.394</v>
      </c>
      <c r="H294">
        <v>33.029899999999998</v>
      </c>
      <c r="I294">
        <v>17.436499999999999</v>
      </c>
      <c r="J294">
        <v>1566.202</v>
      </c>
      <c r="K294">
        <v>2727252.3615000001</v>
      </c>
      <c r="M294" s="43">
        <v>45667</v>
      </c>
      <c r="N294" s="5">
        <v>6.1966999999999999</v>
      </c>
      <c r="O294">
        <v>12.8408</v>
      </c>
      <c r="P294">
        <v>0.71619999999999995</v>
      </c>
      <c r="Q294">
        <v>20.617899999999999</v>
      </c>
      <c r="R294">
        <v>-0.32229999999999998</v>
      </c>
      <c r="S294">
        <v>195.11080000000001</v>
      </c>
      <c r="T294">
        <v>57.1096</v>
      </c>
      <c r="U294">
        <v>46.081899999999997</v>
      </c>
      <c r="V294">
        <v>7337.3059999999996</v>
      </c>
      <c r="W294">
        <v>5758622.0937000001</v>
      </c>
      <c r="Y294" s="5">
        <v>7.0328999999999997</v>
      </c>
      <c r="Z294">
        <v>10.527200000000001</v>
      </c>
      <c r="AA294">
        <v>0.51919999999999999</v>
      </c>
      <c r="AB294">
        <v>9.7304999999999993</v>
      </c>
      <c r="AC294">
        <v>-0.6976</v>
      </c>
      <c r="AD294">
        <v>0</v>
      </c>
      <c r="AE294">
        <v>47.759900000000002</v>
      </c>
      <c r="AF294">
        <v>30.636700000000001</v>
      </c>
      <c r="AG294">
        <v>3376.32</v>
      </c>
      <c r="AH294">
        <v>1799236.2801999999</v>
      </c>
      <c r="AK294">
        <v>6.1851000000000003</v>
      </c>
      <c r="AL294">
        <v>14.222200000000001</v>
      </c>
      <c r="AM294">
        <v>0.56289999999999996</v>
      </c>
      <c r="AN294">
        <v>8.2000000000000007E-3</v>
      </c>
      <c r="AO294">
        <v>-0.72209999999999996</v>
      </c>
      <c r="AP294">
        <v>0</v>
      </c>
      <c r="AQ294">
        <v>45.393799999999999</v>
      </c>
      <c r="AR294">
        <v>33.855600000000003</v>
      </c>
      <c r="AS294">
        <v>2080.8020000000001</v>
      </c>
      <c r="AT294">
        <v>1260650.2087999999</v>
      </c>
      <c r="AV294">
        <v>7.4390000000000001</v>
      </c>
      <c r="AW294">
        <v>6.8396999999999997</v>
      </c>
      <c r="AX294">
        <v>0.54179999999999995</v>
      </c>
      <c r="AY294">
        <v>23.727699999999999</v>
      </c>
      <c r="AZ294">
        <v>0.34060000000000001</v>
      </c>
      <c r="BA294" t="s">
        <v>23</v>
      </c>
      <c r="BB294">
        <v>10.6074</v>
      </c>
      <c r="BC294">
        <v>2.1535000000000002</v>
      </c>
      <c r="BD294">
        <v>2235</v>
      </c>
      <c r="BE294">
        <v>1956341.7198000001</v>
      </c>
      <c r="BH294" s="5">
        <v>6.2282999999999999</v>
      </c>
      <c r="BI294">
        <v>15.685</v>
      </c>
      <c r="BJ294">
        <v>0.71099999999999997</v>
      </c>
      <c r="BK294">
        <v>4.1825000000000001</v>
      </c>
      <c r="BL294">
        <v>-0.50460000000000005</v>
      </c>
      <c r="BM294">
        <v>0</v>
      </c>
      <c r="BN294">
        <v>20.827300000000001</v>
      </c>
      <c r="BO294">
        <v>16.127800000000001</v>
      </c>
      <c r="BP294">
        <v>2665.6480000000001</v>
      </c>
      <c r="BQ294">
        <v>1661979.9273999999</v>
      </c>
      <c r="CE294" s="1">
        <f t="shared" si="27"/>
        <v>45667</v>
      </c>
      <c r="CF294" s="35">
        <f t="shared" si="34"/>
        <v>7.0883032146977056</v>
      </c>
      <c r="CG294" s="36">
        <f t="shared" si="33"/>
        <v>1.0653768215915829</v>
      </c>
      <c r="CH294">
        <f t="shared" ca="1" si="28"/>
        <v>2.6569146617091377</v>
      </c>
      <c r="CI294">
        <f t="shared" ca="1" si="29"/>
        <v>1.9329378846103817</v>
      </c>
      <c r="CJ294">
        <f t="shared" ca="1" si="30"/>
        <v>1.4708318232711712</v>
      </c>
      <c r="CK294">
        <f t="shared" ca="1" si="31"/>
        <v>1.171843717453946</v>
      </c>
      <c r="CL294">
        <f t="shared" ca="1" si="32"/>
        <v>0.6899535599939628</v>
      </c>
    </row>
    <row r="295" spans="1:90" x14ac:dyDescent="0.25">
      <c r="A295" s="43">
        <v>45674</v>
      </c>
      <c r="B295" s="5">
        <v>8.3086000000000002</v>
      </c>
      <c r="C295">
        <v>2.5971000000000002</v>
      </c>
      <c r="D295">
        <v>0.17860000000000001</v>
      </c>
      <c r="E295">
        <v>16.998899999999999</v>
      </c>
      <c r="F295">
        <v>0.58350000000000002</v>
      </c>
      <c r="G295">
        <v>12.394</v>
      </c>
      <c r="H295">
        <v>33.029899999999998</v>
      </c>
      <c r="I295">
        <v>17.436499999999999</v>
      </c>
      <c r="J295">
        <v>1320.269</v>
      </c>
      <c r="K295">
        <v>2299006.1228999998</v>
      </c>
      <c r="M295" s="43">
        <v>45674</v>
      </c>
      <c r="N295" s="5">
        <v>5.4042000000000003</v>
      </c>
      <c r="O295">
        <v>12.8408</v>
      </c>
      <c r="P295">
        <v>0.71619999999999995</v>
      </c>
      <c r="Q295">
        <v>20.617899999999999</v>
      </c>
      <c r="R295">
        <v>-0.32229999999999998</v>
      </c>
      <c r="S295">
        <v>195.11080000000001</v>
      </c>
      <c r="T295">
        <v>57.1096</v>
      </c>
      <c r="U295">
        <v>46.081899999999997</v>
      </c>
      <c r="V295">
        <v>6445.32</v>
      </c>
      <c r="W295">
        <v>5058554.3097999999</v>
      </c>
      <c r="Y295" s="5">
        <v>6.3910999999999998</v>
      </c>
      <c r="Z295">
        <v>10.527200000000001</v>
      </c>
      <c r="AA295">
        <v>0.51919999999999999</v>
      </c>
      <c r="AB295">
        <v>9.7304999999999993</v>
      </c>
      <c r="AC295">
        <v>-0.6976</v>
      </c>
      <c r="AD295">
        <v>0</v>
      </c>
      <c r="AE295">
        <v>47.759900000000002</v>
      </c>
      <c r="AF295">
        <v>30.636700000000001</v>
      </c>
      <c r="AG295">
        <v>3095.991</v>
      </c>
      <c r="AH295">
        <v>1649849.1409</v>
      </c>
      <c r="AK295">
        <v>5.3201999999999998</v>
      </c>
      <c r="AL295">
        <v>14.222200000000001</v>
      </c>
      <c r="AM295">
        <v>0.56289999999999996</v>
      </c>
      <c r="AN295">
        <v>8.2000000000000007E-3</v>
      </c>
      <c r="AO295">
        <v>-0.72209999999999996</v>
      </c>
      <c r="AP295">
        <v>0</v>
      </c>
      <c r="AQ295">
        <v>45.393799999999999</v>
      </c>
      <c r="AR295">
        <v>33.855600000000003</v>
      </c>
      <c r="AS295">
        <v>1820.2429999999999</v>
      </c>
      <c r="AT295">
        <v>1102791.0116000001</v>
      </c>
      <c r="AV295">
        <v>6.5655999999999999</v>
      </c>
      <c r="AW295">
        <v>6.8396999999999997</v>
      </c>
      <c r="AX295">
        <v>0.54179999999999995</v>
      </c>
      <c r="AY295">
        <v>23.727699999999999</v>
      </c>
      <c r="AZ295">
        <v>0.34060000000000001</v>
      </c>
      <c r="BA295" t="s">
        <v>23</v>
      </c>
      <c r="BB295">
        <v>10.6074</v>
      </c>
      <c r="BC295">
        <v>2.1535000000000002</v>
      </c>
      <c r="BD295">
        <v>1960</v>
      </c>
      <c r="BE295">
        <v>1715628.5327999999</v>
      </c>
      <c r="BH295" s="5">
        <v>5.0995999999999997</v>
      </c>
      <c r="BI295">
        <v>15.685</v>
      </c>
      <c r="BJ295">
        <v>0.71099999999999997</v>
      </c>
      <c r="BK295">
        <v>4.1825000000000001</v>
      </c>
      <c r="BL295">
        <v>-0.50460000000000005</v>
      </c>
      <c r="BM295">
        <v>0</v>
      </c>
      <c r="BN295">
        <v>20.827300000000001</v>
      </c>
      <c r="BO295">
        <v>16.127800000000001</v>
      </c>
      <c r="BP295">
        <v>2218.33</v>
      </c>
      <c r="BQ295">
        <v>1383086.0353999999</v>
      </c>
      <c r="CE295" s="1">
        <f t="shared" si="27"/>
        <v>45674</v>
      </c>
      <c r="CF295" s="35">
        <f t="shared" si="34"/>
        <v>6.1449177586891546</v>
      </c>
      <c r="CG295" s="36">
        <f t="shared" si="33"/>
        <v>0.62112651466821012</v>
      </c>
      <c r="CH295">
        <f t="shared" ca="1" si="28"/>
        <v>2.6569146617091377</v>
      </c>
      <c r="CI295">
        <f t="shared" ca="1" si="29"/>
        <v>1.9329378846103817</v>
      </c>
      <c r="CJ295">
        <f t="shared" ca="1" si="30"/>
        <v>1.4708318232711712</v>
      </c>
      <c r="CK295">
        <f t="shared" ca="1" si="31"/>
        <v>1.134178433346317</v>
      </c>
      <c r="CL295">
        <f t="shared" ca="1" si="32"/>
        <v>0.6899535599939628</v>
      </c>
    </row>
    <row r="296" spans="1:90" x14ac:dyDescent="0.25">
      <c r="A296" s="43">
        <v>45681</v>
      </c>
      <c r="B296" s="5">
        <v>8.7471999999999994</v>
      </c>
      <c r="C296">
        <v>2.5971000000000002</v>
      </c>
      <c r="D296">
        <v>0.17860000000000001</v>
      </c>
      <c r="E296">
        <v>16.998899999999999</v>
      </c>
      <c r="F296">
        <v>0.58350000000000002</v>
      </c>
      <c r="G296">
        <v>12.394</v>
      </c>
      <c r="H296">
        <v>33.029899999999998</v>
      </c>
      <c r="I296">
        <v>17.436499999999999</v>
      </c>
      <c r="J296">
        <v>1397.932</v>
      </c>
      <c r="K296">
        <v>2434241.7771999999</v>
      </c>
      <c r="M296" s="43">
        <v>45681</v>
      </c>
      <c r="N296" s="5">
        <v>5.4298000000000002</v>
      </c>
      <c r="O296">
        <v>12.8408</v>
      </c>
      <c r="P296">
        <v>0.71619999999999995</v>
      </c>
      <c r="Q296">
        <v>20.617899999999999</v>
      </c>
      <c r="R296">
        <v>-0.32229999999999998</v>
      </c>
      <c r="S296">
        <v>195.11080000000001</v>
      </c>
      <c r="T296">
        <v>57.1096</v>
      </c>
      <c r="U296">
        <v>46.081899999999997</v>
      </c>
      <c r="V296">
        <v>6474.0940000000001</v>
      </c>
      <c r="W296">
        <v>5081137.1414999999</v>
      </c>
      <c r="Y296" s="5">
        <v>6.5987</v>
      </c>
      <c r="Z296">
        <v>10.527200000000001</v>
      </c>
      <c r="AA296">
        <v>0.51919999999999999</v>
      </c>
      <c r="AB296">
        <v>9.7304999999999993</v>
      </c>
      <c r="AC296">
        <v>-0.6976</v>
      </c>
      <c r="AD296">
        <v>0</v>
      </c>
      <c r="AE296">
        <v>47.759900000000002</v>
      </c>
      <c r="AF296">
        <v>30.636700000000001</v>
      </c>
      <c r="AG296">
        <v>3186.6849999999999</v>
      </c>
      <c r="AH296">
        <v>1698180.2742000001</v>
      </c>
      <c r="AK296">
        <v>5.8318000000000003</v>
      </c>
      <c r="AL296">
        <v>14.222200000000001</v>
      </c>
      <c r="AM296">
        <v>0.56289999999999996</v>
      </c>
      <c r="AN296">
        <v>8.2000000000000007E-3</v>
      </c>
      <c r="AO296">
        <v>-0.72209999999999996</v>
      </c>
      <c r="AP296">
        <v>0</v>
      </c>
      <c r="AQ296">
        <v>45.393799999999999</v>
      </c>
      <c r="AR296">
        <v>33.855600000000003</v>
      </c>
      <c r="AS296">
        <v>1974.377</v>
      </c>
      <c r="AT296">
        <v>1196172.5086000001</v>
      </c>
      <c r="AV296">
        <v>7.1214000000000004</v>
      </c>
      <c r="AW296">
        <v>6.8396999999999997</v>
      </c>
      <c r="AX296">
        <v>0.54179999999999995</v>
      </c>
      <c r="AY296">
        <v>23.727699999999999</v>
      </c>
      <c r="AZ296">
        <v>0.34060000000000001</v>
      </c>
      <c r="BA296" t="s">
        <v>23</v>
      </c>
      <c r="BB296">
        <v>10.6074</v>
      </c>
      <c r="BC296">
        <v>2.1535000000000002</v>
      </c>
      <c r="BD296">
        <v>2135</v>
      </c>
      <c r="BE296">
        <v>1868809.6518000001</v>
      </c>
      <c r="BH296" s="5">
        <v>5.6524000000000001</v>
      </c>
      <c r="BI296">
        <v>15.685</v>
      </c>
      <c r="BJ296">
        <v>0.71099999999999997</v>
      </c>
      <c r="BK296">
        <v>4.1825000000000001</v>
      </c>
      <c r="BL296">
        <v>-0.50460000000000005</v>
      </c>
      <c r="BM296">
        <v>0</v>
      </c>
      <c r="BN296">
        <v>20.827300000000001</v>
      </c>
      <c r="BO296">
        <v>16.127800000000001</v>
      </c>
      <c r="BP296">
        <v>2437.424</v>
      </c>
      <c r="BQ296">
        <v>1519687.1254</v>
      </c>
      <c r="CE296" s="1">
        <f t="shared" si="27"/>
        <v>45681</v>
      </c>
      <c r="CF296" s="35">
        <f t="shared" si="34"/>
        <v>6.4473783598181615</v>
      </c>
      <c r="CG296" s="36">
        <f t="shared" si="33"/>
        <v>0.76355844853784915</v>
      </c>
      <c r="CH296">
        <f t="shared" ca="1" si="28"/>
        <v>2.6569146617091377</v>
      </c>
      <c r="CI296">
        <f t="shared" ca="1" si="29"/>
        <v>1.9329378846103817</v>
      </c>
      <c r="CJ296">
        <f t="shared" ca="1" si="30"/>
        <v>1.4708318232711712</v>
      </c>
      <c r="CK296">
        <f t="shared" ca="1" si="31"/>
        <v>1.0534084841207203</v>
      </c>
      <c r="CL296">
        <f t="shared" ca="1" si="32"/>
        <v>0.67831736581295787</v>
      </c>
    </row>
    <row r="297" spans="1:90" x14ac:dyDescent="0.25">
      <c r="A297" s="43">
        <v>45688</v>
      </c>
      <c r="B297" s="5">
        <v>9.2102000000000004</v>
      </c>
      <c r="C297">
        <v>2.5971000000000002</v>
      </c>
      <c r="D297">
        <v>0.17860000000000001</v>
      </c>
      <c r="E297">
        <v>16.998899999999999</v>
      </c>
      <c r="F297">
        <v>0.58350000000000002</v>
      </c>
      <c r="G297">
        <v>12.394</v>
      </c>
      <c r="H297">
        <v>33.029899999999998</v>
      </c>
      <c r="I297">
        <v>17.436499999999999</v>
      </c>
      <c r="J297">
        <v>1479.9090000000001</v>
      </c>
      <c r="K297">
        <v>2576990.5233999998</v>
      </c>
      <c r="M297" s="43">
        <v>45688</v>
      </c>
      <c r="N297" s="5">
        <v>5.4298000000000002</v>
      </c>
      <c r="O297">
        <v>12.8408</v>
      </c>
      <c r="P297">
        <v>0.71619999999999995</v>
      </c>
      <c r="Q297">
        <v>20.617899999999999</v>
      </c>
      <c r="R297">
        <v>-0.32229999999999998</v>
      </c>
      <c r="S297">
        <v>195.11080000000001</v>
      </c>
      <c r="T297">
        <v>57.1096</v>
      </c>
      <c r="U297">
        <v>46.081899999999997</v>
      </c>
      <c r="V297">
        <v>6474.0940000000001</v>
      </c>
      <c r="W297">
        <v>5081137.1414999999</v>
      </c>
      <c r="Y297" s="5">
        <v>6.6931000000000003</v>
      </c>
      <c r="Z297">
        <v>10.527200000000001</v>
      </c>
      <c r="AA297">
        <v>0.51919999999999999</v>
      </c>
      <c r="AB297">
        <v>9.7304999999999993</v>
      </c>
      <c r="AC297">
        <v>-0.6976</v>
      </c>
      <c r="AD297">
        <v>0</v>
      </c>
      <c r="AE297">
        <v>47.759900000000002</v>
      </c>
      <c r="AF297">
        <v>30.636700000000001</v>
      </c>
      <c r="AG297">
        <v>3227.91</v>
      </c>
      <c r="AH297">
        <v>1720148.9712</v>
      </c>
      <c r="AK297">
        <v>6.0632999999999999</v>
      </c>
      <c r="AL297">
        <v>14.222200000000001</v>
      </c>
      <c r="AM297">
        <v>0.56289999999999996</v>
      </c>
      <c r="AN297">
        <v>8.2000000000000007E-3</v>
      </c>
      <c r="AO297">
        <v>-0.72209999999999996</v>
      </c>
      <c r="AP297">
        <v>0</v>
      </c>
      <c r="AQ297">
        <v>45.393799999999999</v>
      </c>
      <c r="AR297">
        <v>33.855600000000003</v>
      </c>
      <c r="AS297">
        <v>2044.104</v>
      </c>
      <c r="AT297">
        <v>1238416.5190999999</v>
      </c>
      <c r="AV297">
        <v>7.6612999999999998</v>
      </c>
      <c r="AW297">
        <v>6.8396999999999997</v>
      </c>
      <c r="AX297">
        <v>0.54179999999999995</v>
      </c>
      <c r="AY297">
        <v>23.727699999999999</v>
      </c>
      <c r="AZ297">
        <v>0.34060000000000001</v>
      </c>
      <c r="BA297" t="s">
        <v>23</v>
      </c>
      <c r="BB297">
        <v>10.6074</v>
      </c>
      <c r="BC297">
        <v>2.1535000000000002</v>
      </c>
      <c r="BD297">
        <v>2305</v>
      </c>
      <c r="BE297">
        <v>2017614.1673999999</v>
      </c>
      <c r="BH297" s="5">
        <v>5.2492999999999999</v>
      </c>
      <c r="BI297">
        <v>15.685</v>
      </c>
      <c r="BJ297">
        <v>0.71099999999999997</v>
      </c>
      <c r="BK297">
        <v>4.1825000000000001</v>
      </c>
      <c r="BL297">
        <v>-0.50460000000000005</v>
      </c>
      <c r="BM297">
        <v>0</v>
      </c>
      <c r="BN297">
        <v>20.827300000000001</v>
      </c>
      <c r="BO297">
        <v>16.127800000000001</v>
      </c>
      <c r="BP297">
        <v>2277.6680000000001</v>
      </c>
      <c r="BQ297">
        <v>1420082.1640000001</v>
      </c>
      <c r="CE297" s="1">
        <f t="shared" ref="CE297:CE360" si="35">+A297</f>
        <v>45688</v>
      </c>
      <c r="CF297" s="35">
        <f t="shared" si="34"/>
        <v>6.6355184863800671</v>
      </c>
      <c r="CG297" s="36">
        <f t="shared" si="33"/>
        <v>0.85215564752728445</v>
      </c>
      <c r="CH297">
        <f t="shared" ca="1" si="28"/>
        <v>2.6569146617091377</v>
      </c>
      <c r="CI297">
        <f t="shared" ca="1" si="29"/>
        <v>1.9329378846103817</v>
      </c>
      <c r="CJ297">
        <f t="shared" ca="1" si="30"/>
        <v>1.4708318232711712</v>
      </c>
      <c r="CK297">
        <f t="shared" ca="1" si="31"/>
        <v>0.98100452094684254</v>
      </c>
      <c r="CL297">
        <f t="shared" ca="1" si="32"/>
        <v>0.67831736581295787</v>
      </c>
    </row>
    <row r="298" spans="1:90" x14ac:dyDescent="0.25">
      <c r="A298" s="43">
        <v>45695</v>
      </c>
      <c r="B298" s="5">
        <v>8.7471999999999994</v>
      </c>
      <c r="C298">
        <v>2.5971000000000002</v>
      </c>
      <c r="D298">
        <v>0.17860000000000001</v>
      </c>
      <c r="E298">
        <v>16.998899999999999</v>
      </c>
      <c r="F298">
        <v>0.58350000000000002</v>
      </c>
      <c r="G298">
        <v>12.394</v>
      </c>
      <c r="H298">
        <v>33.029899999999998</v>
      </c>
      <c r="I298">
        <v>17.436499999999999</v>
      </c>
      <c r="J298">
        <v>1397.932</v>
      </c>
      <c r="K298">
        <v>2434241.7771999999</v>
      </c>
      <c r="M298" s="43">
        <v>45695</v>
      </c>
      <c r="N298" s="5">
        <v>5.0548000000000002</v>
      </c>
      <c r="O298">
        <v>12.8408</v>
      </c>
      <c r="P298">
        <v>0.71619999999999995</v>
      </c>
      <c r="Q298">
        <v>20.617899999999999</v>
      </c>
      <c r="R298">
        <v>-0.32229999999999998</v>
      </c>
      <c r="S298">
        <v>195.11080000000001</v>
      </c>
      <c r="T298">
        <v>57.1096</v>
      </c>
      <c r="U298">
        <v>46.081899999999997</v>
      </c>
      <c r="V298">
        <v>6052.0789999999997</v>
      </c>
      <c r="W298">
        <v>4749922.2759999996</v>
      </c>
      <c r="Y298" s="5">
        <v>5.8907999999999996</v>
      </c>
      <c r="Z298">
        <v>10.527200000000001</v>
      </c>
      <c r="AA298">
        <v>0.51919999999999999</v>
      </c>
      <c r="AB298">
        <v>9.7304999999999993</v>
      </c>
      <c r="AC298">
        <v>-0.6976</v>
      </c>
      <c r="AD298">
        <v>0</v>
      </c>
      <c r="AE298">
        <v>47.759900000000002</v>
      </c>
      <c r="AF298">
        <v>30.636700000000001</v>
      </c>
      <c r="AG298">
        <v>2877.4989999999998</v>
      </c>
      <c r="AH298">
        <v>1533415.0471000001</v>
      </c>
      <c r="AK298">
        <v>5.6003999999999996</v>
      </c>
      <c r="AL298">
        <v>14.222200000000001</v>
      </c>
      <c r="AM298">
        <v>0.56289999999999996</v>
      </c>
      <c r="AN298">
        <v>8.2000000000000007E-3</v>
      </c>
      <c r="AO298">
        <v>-0.72209999999999996</v>
      </c>
      <c r="AP298">
        <v>0</v>
      </c>
      <c r="AQ298">
        <v>45.393799999999999</v>
      </c>
      <c r="AR298">
        <v>33.855600000000003</v>
      </c>
      <c r="AS298">
        <v>1904.65</v>
      </c>
      <c r="AT298">
        <v>1153928.4979999999</v>
      </c>
      <c r="AV298">
        <v>7.5978000000000003</v>
      </c>
      <c r="AW298">
        <v>6.8396999999999997</v>
      </c>
      <c r="AX298">
        <v>0.54179999999999995</v>
      </c>
      <c r="AY298">
        <v>23.727699999999999</v>
      </c>
      <c r="AZ298">
        <v>0.34060000000000001</v>
      </c>
      <c r="BA298" t="s">
        <v>23</v>
      </c>
      <c r="BB298">
        <v>10.6074</v>
      </c>
      <c r="BC298">
        <v>2.1535000000000002</v>
      </c>
      <c r="BD298">
        <v>2285</v>
      </c>
      <c r="BE298">
        <v>2000107.7538000001</v>
      </c>
      <c r="BH298" s="5">
        <v>4.6388999999999996</v>
      </c>
      <c r="BI298">
        <v>15.685</v>
      </c>
      <c r="BJ298">
        <v>0.71099999999999997</v>
      </c>
      <c r="BK298">
        <v>4.1825000000000001</v>
      </c>
      <c r="BL298">
        <v>-0.50460000000000005</v>
      </c>
      <c r="BM298">
        <v>0</v>
      </c>
      <c r="BN298">
        <v>20.827300000000001</v>
      </c>
      <c r="BO298">
        <v>16.127800000000001</v>
      </c>
      <c r="BP298">
        <v>2035.751</v>
      </c>
      <c r="BQ298">
        <v>1269251.7938000001</v>
      </c>
      <c r="CE298" s="1">
        <f t="shared" si="35"/>
        <v>45695</v>
      </c>
      <c r="CF298" s="35">
        <f t="shared" si="34"/>
        <v>6.2311382683396683</v>
      </c>
      <c r="CG298" s="36">
        <f t="shared" si="33"/>
        <v>0.66172867535594404</v>
      </c>
      <c r="CH298">
        <f t="shared" ca="1" si="28"/>
        <v>2.6569146617091377</v>
      </c>
      <c r="CI298">
        <f t="shared" ca="1" si="29"/>
        <v>1.9329378846103817</v>
      </c>
      <c r="CJ298">
        <f t="shared" ca="1" si="30"/>
        <v>1.4708318232711712</v>
      </c>
      <c r="CK298">
        <f t="shared" ca="1" si="31"/>
        <v>0.87077293230534014</v>
      </c>
      <c r="CL298">
        <f t="shared" ca="1" si="32"/>
        <v>0.67831736581295787</v>
      </c>
    </row>
    <row r="299" spans="1:90" x14ac:dyDescent="0.25">
      <c r="A299" s="43">
        <v>45702</v>
      </c>
      <c r="B299" s="5">
        <v>8.7471999999999994</v>
      </c>
      <c r="C299">
        <v>2.5971000000000002</v>
      </c>
      <c r="D299">
        <v>0.17860000000000001</v>
      </c>
      <c r="E299">
        <v>16.998899999999999</v>
      </c>
      <c r="F299">
        <v>0.58350000000000002</v>
      </c>
      <c r="G299">
        <v>12.394</v>
      </c>
      <c r="H299">
        <v>33.029899999999998</v>
      </c>
      <c r="I299">
        <v>17.436499999999999</v>
      </c>
      <c r="J299">
        <v>1397.932</v>
      </c>
      <c r="K299">
        <v>2434241.7771999999</v>
      </c>
      <c r="M299" s="43">
        <v>45702</v>
      </c>
      <c r="N299" s="5">
        <v>5.319</v>
      </c>
      <c r="O299">
        <v>12.8408</v>
      </c>
      <c r="P299">
        <v>0.71619999999999995</v>
      </c>
      <c r="Q299">
        <v>20.617899999999999</v>
      </c>
      <c r="R299">
        <v>-0.32229999999999998</v>
      </c>
      <c r="S299">
        <v>195.11080000000001</v>
      </c>
      <c r="T299">
        <v>57.1096</v>
      </c>
      <c r="U299">
        <v>46.081899999999997</v>
      </c>
      <c r="V299">
        <v>6349.4080000000004</v>
      </c>
      <c r="W299">
        <v>4983278.2039999999</v>
      </c>
      <c r="Y299" s="5">
        <v>6.2778</v>
      </c>
      <c r="Z299">
        <v>10.527200000000001</v>
      </c>
      <c r="AA299">
        <v>0.51919999999999999</v>
      </c>
      <c r="AB299">
        <v>9.7304999999999993</v>
      </c>
      <c r="AC299">
        <v>-0.6976</v>
      </c>
      <c r="AD299">
        <v>0</v>
      </c>
      <c r="AE299">
        <v>47.759900000000002</v>
      </c>
      <c r="AF299">
        <v>30.636700000000001</v>
      </c>
      <c r="AG299">
        <v>3046.5210000000002</v>
      </c>
      <c r="AH299">
        <v>1623486.7046000001</v>
      </c>
      <c r="AK299">
        <v>5.6124999999999998</v>
      </c>
      <c r="AL299">
        <v>14.222200000000001</v>
      </c>
      <c r="AM299">
        <v>0.56289999999999996</v>
      </c>
      <c r="AN299">
        <v>8.2000000000000007E-3</v>
      </c>
      <c r="AO299">
        <v>-0.72209999999999996</v>
      </c>
      <c r="AP299">
        <v>0</v>
      </c>
      <c r="AQ299">
        <v>45.393799999999999</v>
      </c>
      <c r="AR299">
        <v>33.855600000000003</v>
      </c>
      <c r="AS299">
        <v>1908.32</v>
      </c>
      <c r="AT299">
        <v>1156151.8670000001</v>
      </c>
      <c r="AV299">
        <v>7.9154</v>
      </c>
      <c r="AW299">
        <v>6.8396999999999997</v>
      </c>
      <c r="AX299">
        <v>0.54179999999999995</v>
      </c>
      <c r="AY299">
        <v>23.727699999999999</v>
      </c>
      <c r="AZ299">
        <v>0.34060000000000001</v>
      </c>
      <c r="BA299" t="s">
        <v>23</v>
      </c>
      <c r="BB299">
        <v>10.6074</v>
      </c>
      <c r="BC299">
        <v>2.1535000000000002</v>
      </c>
      <c r="BD299">
        <v>2385</v>
      </c>
      <c r="BE299">
        <v>2087639.8218</v>
      </c>
      <c r="BH299" s="5">
        <v>5.3299000000000003</v>
      </c>
      <c r="BI299">
        <v>15.685</v>
      </c>
      <c r="BJ299">
        <v>0.71099999999999997</v>
      </c>
      <c r="BK299">
        <v>4.1825000000000001</v>
      </c>
      <c r="BL299">
        <v>-0.50460000000000005</v>
      </c>
      <c r="BM299">
        <v>0</v>
      </c>
      <c r="BN299">
        <v>20.827300000000001</v>
      </c>
      <c r="BO299">
        <v>16.127800000000001</v>
      </c>
      <c r="BP299">
        <v>2309.6190000000001</v>
      </c>
      <c r="BQ299">
        <v>1440003.1562000001</v>
      </c>
      <c r="CE299" s="1">
        <f t="shared" si="35"/>
        <v>45702</v>
      </c>
      <c r="CF299" s="35">
        <f t="shared" si="34"/>
        <v>6.461241752529177</v>
      </c>
      <c r="CG299" s="36">
        <f t="shared" si="33"/>
        <v>0.77008686852529062</v>
      </c>
      <c r="CH299">
        <f t="shared" ca="1" si="28"/>
        <v>2.6569146617091377</v>
      </c>
      <c r="CI299">
        <f t="shared" ca="1" si="29"/>
        <v>1.9329378846103817</v>
      </c>
      <c r="CJ299">
        <f t="shared" ca="1" si="30"/>
        <v>1.4708318232711712</v>
      </c>
      <c r="CK299">
        <f t="shared" ca="1" si="31"/>
        <v>0.86446545430615274</v>
      </c>
      <c r="CL299">
        <f t="shared" ca="1" si="32"/>
        <v>0.66646893674843177</v>
      </c>
    </row>
    <row r="300" spans="1:90" x14ac:dyDescent="0.25">
      <c r="A300" s="43">
        <v>45709</v>
      </c>
      <c r="B300" s="5">
        <v>8.5035000000000007</v>
      </c>
      <c r="C300">
        <v>2.5971000000000002</v>
      </c>
      <c r="D300">
        <v>0.17860000000000001</v>
      </c>
      <c r="E300">
        <v>16.998899999999999</v>
      </c>
      <c r="F300">
        <v>0.58350000000000002</v>
      </c>
      <c r="G300">
        <v>12.394</v>
      </c>
      <c r="H300">
        <v>33.029899999999998</v>
      </c>
      <c r="I300">
        <v>17.436499999999999</v>
      </c>
      <c r="J300">
        <v>1354.7860000000001</v>
      </c>
      <c r="K300">
        <v>2359110.8582000001</v>
      </c>
      <c r="M300" s="43">
        <v>45709</v>
      </c>
      <c r="N300" s="5">
        <v>5.3274999999999997</v>
      </c>
      <c r="O300">
        <v>12.8408</v>
      </c>
      <c r="P300">
        <v>0.71619999999999995</v>
      </c>
      <c r="Q300">
        <v>20.617899999999999</v>
      </c>
      <c r="R300">
        <v>-0.32229999999999998</v>
      </c>
      <c r="S300">
        <v>195.11080000000001</v>
      </c>
      <c r="T300">
        <v>57.1096</v>
      </c>
      <c r="U300">
        <v>46.081899999999997</v>
      </c>
      <c r="V300">
        <v>6358.9989999999998</v>
      </c>
      <c r="W300">
        <v>4990805.8145000003</v>
      </c>
      <c r="Y300" s="5">
        <v>6.4194000000000004</v>
      </c>
      <c r="Z300">
        <v>10.527200000000001</v>
      </c>
      <c r="AA300">
        <v>0.51919999999999999</v>
      </c>
      <c r="AB300">
        <v>9.7304999999999993</v>
      </c>
      <c r="AC300">
        <v>-0.6976</v>
      </c>
      <c r="AD300">
        <v>0</v>
      </c>
      <c r="AE300">
        <v>47.759900000000002</v>
      </c>
      <c r="AF300">
        <v>30.636700000000001</v>
      </c>
      <c r="AG300">
        <v>3108.3580000000002</v>
      </c>
      <c r="AH300">
        <v>1656439.75</v>
      </c>
      <c r="AK300">
        <v>5.3201999999999998</v>
      </c>
      <c r="AL300">
        <v>14.222200000000001</v>
      </c>
      <c r="AM300">
        <v>0.56289999999999996</v>
      </c>
      <c r="AN300">
        <v>8.2000000000000007E-3</v>
      </c>
      <c r="AO300">
        <v>-0.72209999999999996</v>
      </c>
      <c r="AP300">
        <v>0</v>
      </c>
      <c r="AQ300">
        <v>45.393799999999999</v>
      </c>
      <c r="AR300">
        <v>33.855600000000003</v>
      </c>
      <c r="AS300">
        <v>1820.2429999999999</v>
      </c>
      <c r="AT300">
        <v>1102791.0116000001</v>
      </c>
      <c r="AV300">
        <v>7.5025000000000004</v>
      </c>
      <c r="AW300">
        <v>6.8396999999999997</v>
      </c>
      <c r="AX300">
        <v>0.54179999999999995</v>
      </c>
      <c r="AY300">
        <v>23.727699999999999</v>
      </c>
      <c r="AZ300">
        <v>0.34060000000000001</v>
      </c>
      <c r="BA300" t="s">
        <v>23</v>
      </c>
      <c r="BB300">
        <v>10.6074</v>
      </c>
      <c r="BC300">
        <v>2.1535000000000002</v>
      </c>
      <c r="BD300">
        <v>2255</v>
      </c>
      <c r="BE300">
        <v>1973848.1333999999</v>
      </c>
      <c r="BH300" s="5">
        <v>5.0534999999999997</v>
      </c>
      <c r="BI300">
        <v>15.685</v>
      </c>
      <c r="BJ300">
        <v>0.71099999999999997</v>
      </c>
      <c r="BK300">
        <v>4.1825000000000001</v>
      </c>
      <c r="BL300">
        <v>-0.50460000000000005</v>
      </c>
      <c r="BM300">
        <v>0</v>
      </c>
      <c r="BN300">
        <v>20.827300000000001</v>
      </c>
      <c r="BO300">
        <v>16.127800000000001</v>
      </c>
      <c r="BP300">
        <v>2200.0720000000001</v>
      </c>
      <c r="BQ300">
        <v>1371702.6113</v>
      </c>
      <c r="CE300" s="1">
        <f t="shared" si="35"/>
        <v>45709</v>
      </c>
      <c r="CF300" s="35">
        <f t="shared" si="34"/>
        <v>6.3093448004691073</v>
      </c>
      <c r="CG300" s="36">
        <f t="shared" si="33"/>
        <v>0.69855696826700309</v>
      </c>
      <c r="CH300">
        <f t="shared" ca="1" si="28"/>
        <v>2.6569146617091377</v>
      </c>
      <c r="CI300">
        <f t="shared" ca="1" si="29"/>
        <v>1.9329378846103817</v>
      </c>
      <c r="CJ300">
        <f t="shared" ca="1" si="30"/>
        <v>1.4708318232711712</v>
      </c>
      <c r="CK300">
        <f t="shared" ca="1" si="31"/>
        <v>0.86446545430615274</v>
      </c>
      <c r="CL300">
        <f t="shared" ca="1" si="32"/>
        <v>0.66646893674843177</v>
      </c>
    </row>
    <row r="301" spans="1:90" x14ac:dyDescent="0.25">
      <c r="A301" s="43">
        <v>45716</v>
      </c>
      <c r="B301" s="5">
        <v>7.7237999999999998</v>
      </c>
      <c r="C301">
        <v>2.5971000000000002</v>
      </c>
      <c r="D301">
        <v>0.17860000000000001</v>
      </c>
      <c r="E301">
        <v>16.998899999999999</v>
      </c>
      <c r="F301">
        <v>0.58350000000000002</v>
      </c>
      <c r="G301">
        <v>12.394</v>
      </c>
      <c r="H301">
        <v>33.029899999999998</v>
      </c>
      <c r="I301">
        <v>17.436499999999999</v>
      </c>
      <c r="J301">
        <v>1216.7190000000001</v>
      </c>
      <c r="K301">
        <v>2118691.9172</v>
      </c>
      <c r="M301" s="43">
        <v>45716</v>
      </c>
      <c r="N301" s="5">
        <v>4.8418000000000001</v>
      </c>
      <c r="O301">
        <v>12.8408</v>
      </c>
      <c r="P301">
        <v>0.71619999999999995</v>
      </c>
      <c r="Q301">
        <v>20.617899999999999</v>
      </c>
      <c r="R301">
        <v>-0.32229999999999998</v>
      </c>
      <c r="S301">
        <v>195.11080000000001</v>
      </c>
      <c r="T301">
        <v>57.1096</v>
      </c>
      <c r="U301">
        <v>46.081899999999997</v>
      </c>
      <c r="V301">
        <v>5812.2979999999998</v>
      </c>
      <c r="W301">
        <v>4561732.0115</v>
      </c>
      <c r="Y301" s="5">
        <v>5.702</v>
      </c>
      <c r="Z301">
        <v>10.527200000000001</v>
      </c>
      <c r="AA301">
        <v>0.51919999999999999</v>
      </c>
      <c r="AB301">
        <v>9.7304999999999993</v>
      </c>
      <c r="AC301">
        <v>-0.6976</v>
      </c>
      <c r="AD301">
        <v>0</v>
      </c>
      <c r="AE301">
        <v>47.759900000000002</v>
      </c>
      <c r="AF301">
        <v>30.636700000000001</v>
      </c>
      <c r="AG301">
        <v>2795.049</v>
      </c>
      <c r="AH301">
        <v>1489477.6532000001</v>
      </c>
      <c r="AK301">
        <v>4.1506999999999996</v>
      </c>
      <c r="AL301">
        <v>14.222200000000001</v>
      </c>
      <c r="AM301">
        <v>0.56289999999999996</v>
      </c>
      <c r="AN301">
        <v>8.2000000000000007E-3</v>
      </c>
      <c r="AO301">
        <v>-0.72209999999999996</v>
      </c>
      <c r="AP301">
        <v>0</v>
      </c>
      <c r="AQ301">
        <v>45.393799999999999</v>
      </c>
      <c r="AR301">
        <v>33.855600000000003</v>
      </c>
      <c r="AS301">
        <v>1467.9380000000001</v>
      </c>
      <c r="AT301">
        <v>889347.59</v>
      </c>
      <c r="AV301">
        <v>6.9466999999999999</v>
      </c>
      <c r="AW301">
        <v>6.8396999999999997</v>
      </c>
      <c r="AX301">
        <v>0.54179999999999995</v>
      </c>
      <c r="AY301">
        <v>23.727699999999999</v>
      </c>
      <c r="AZ301">
        <v>0.34060000000000001</v>
      </c>
      <c r="BA301" t="s">
        <v>23</v>
      </c>
      <c r="BB301">
        <v>10.6074</v>
      </c>
      <c r="BC301">
        <v>2.1535000000000002</v>
      </c>
      <c r="BD301">
        <v>2080</v>
      </c>
      <c r="BE301">
        <v>1820667.0144</v>
      </c>
      <c r="BH301" s="5">
        <v>4.3739999999999997</v>
      </c>
      <c r="BI301">
        <v>15.685</v>
      </c>
      <c r="BJ301">
        <v>0.71099999999999997</v>
      </c>
      <c r="BK301">
        <v>4.1825000000000001</v>
      </c>
      <c r="BL301">
        <v>-0.50460000000000005</v>
      </c>
      <c r="BM301">
        <v>0</v>
      </c>
      <c r="BN301">
        <v>20.827300000000001</v>
      </c>
      <c r="BO301">
        <v>16.127800000000001</v>
      </c>
      <c r="BP301">
        <v>1930.769</v>
      </c>
      <c r="BQ301">
        <v>1203797.1048999999</v>
      </c>
      <c r="CE301" s="1">
        <f t="shared" si="35"/>
        <v>45716</v>
      </c>
      <c r="CF301" s="35">
        <f t="shared" si="34"/>
        <v>5.6728257065976075</v>
      </c>
      <c r="CG301" s="36">
        <f t="shared" si="33"/>
        <v>0.39881331522043989</v>
      </c>
      <c r="CH301">
        <f t="shared" ca="1" si="28"/>
        <v>2.6569146617091377</v>
      </c>
      <c r="CI301">
        <f t="shared" ca="1" si="29"/>
        <v>1.9329378846103817</v>
      </c>
      <c r="CJ301">
        <f t="shared" ca="1" si="30"/>
        <v>1.4708318232711712</v>
      </c>
      <c r="CK301">
        <f t="shared" ca="1" si="31"/>
        <v>0.86446545430615274</v>
      </c>
      <c r="CL301">
        <f t="shared" ca="1" si="32"/>
        <v>0.66646893674843177</v>
      </c>
    </row>
    <row r="302" spans="1:90" x14ac:dyDescent="0.25">
      <c r="A302" s="43">
        <v>45723</v>
      </c>
      <c r="B302" s="5">
        <v>8.1379999999999999</v>
      </c>
      <c r="C302">
        <v>2.5971000000000002</v>
      </c>
      <c r="D302">
        <v>0.17860000000000001</v>
      </c>
      <c r="E302">
        <v>16.998899999999999</v>
      </c>
      <c r="F302">
        <v>0.58350000000000002</v>
      </c>
      <c r="G302">
        <v>12.394</v>
      </c>
      <c r="H302">
        <v>33.029899999999998</v>
      </c>
      <c r="I302">
        <v>17.436499999999999</v>
      </c>
      <c r="J302">
        <v>1290.067</v>
      </c>
      <c r="K302">
        <v>2246414.4796000002</v>
      </c>
      <c r="M302" s="43">
        <v>45723</v>
      </c>
      <c r="N302" s="5">
        <v>4.9099000000000004</v>
      </c>
      <c r="O302">
        <v>12.8408</v>
      </c>
      <c r="P302">
        <v>0.71619999999999995</v>
      </c>
      <c r="Q302">
        <v>20.617899999999999</v>
      </c>
      <c r="R302">
        <v>-0.32229999999999998</v>
      </c>
      <c r="S302">
        <v>195.11080000000001</v>
      </c>
      <c r="T302">
        <v>57.1096</v>
      </c>
      <c r="U302">
        <v>46.081899999999997</v>
      </c>
      <c r="V302">
        <v>5889.0280000000002</v>
      </c>
      <c r="W302">
        <v>4621952.8960999995</v>
      </c>
      <c r="Y302" s="5">
        <v>5.9569000000000001</v>
      </c>
      <c r="Z302">
        <v>10.527200000000001</v>
      </c>
      <c r="AA302">
        <v>0.51919999999999999</v>
      </c>
      <c r="AB302">
        <v>9.7304999999999993</v>
      </c>
      <c r="AC302">
        <v>-0.6976</v>
      </c>
      <c r="AD302">
        <v>0</v>
      </c>
      <c r="AE302">
        <v>47.759900000000002</v>
      </c>
      <c r="AF302">
        <v>30.636700000000001</v>
      </c>
      <c r="AG302">
        <v>2906.3560000000002</v>
      </c>
      <c r="AH302">
        <v>1548793.135</v>
      </c>
      <c r="AK302">
        <v>5.0887000000000002</v>
      </c>
      <c r="AL302">
        <v>14.222200000000001</v>
      </c>
      <c r="AM302">
        <v>0.56289999999999996</v>
      </c>
      <c r="AN302">
        <v>8.2000000000000007E-3</v>
      </c>
      <c r="AO302">
        <v>-0.72209999999999996</v>
      </c>
      <c r="AP302">
        <v>0</v>
      </c>
      <c r="AQ302">
        <v>45.393799999999999</v>
      </c>
      <c r="AR302">
        <v>33.855600000000003</v>
      </c>
      <c r="AS302">
        <v>1750.5160000000001</v>
      </c>
      <c r="AT302">
        <v>1060547.0011</v>
      </c>
      <c r="AV302">
        <v>7.2643000000000004</v>
      </c>
      <c r="AW302">
        <v>6.8396999999999997</v>
      </c>
      <c r="AX302">
        <v>0.54179999999999995</v>
      </c>
      <c r="AY302">
        <v>23.727699999999999</v>
      </c>
      <c r="AZ302">
        <v>0.34060000000000001</v>
      </c>
      <c r="BA302" t="s">
        <v>23</v>
      </c>
      <c r="BB302">
        <v>10.6074</v>
      </c>
      <c r="BC302">
        <v>2.1535000000000002</v>
      </c>
      <c r="BD302">
        <v>2180</v>
      </c>
      <c r="BE302">
        <v>1908199.0824</v>
      </c>
      <c r="BH302" s="5">
        <v>4.6965000000000003</v>
      </c>
      <c r="BI302">
        <v>15.685</v>
      </c>
      <c r="BJ302">
        <v>0.71099999999999997</v>
      </c>
      <c r="BK302">
        <v>4.1825000000000001</v>
      </c>
      <c r="BL302">
        <v>-0.50460000000000005</v>
      </c>
      <c r="BM302">
        <v>0</v>
      </c>
      <c r="BN302">
        <v>20.827300000000001</v>
      </c>
      <c r="BO302">
        <v>16.127800000000001</v>
      </c>
      <c r="BP302">
        <v>2058.5740000000001</v>
      </c>
      <c r="BQ302">
        <v>1283481.074</v>
      </c>
      <c r="CE302" s="1">
        <f t="shared" si="35"/>
        <v>45723</v>
      </c>
      <c r="CF302" s="35">
        <f t="shared" si="34"/>
        <v>5.958224686558145</v>
      </c>
      <c r="CG302" s="36">
        <f t="shared" si="33"/>
        <v>0.53321074909601263</v>
      </c>
      <c r="CH302">
        <f t="shared" ca="1" si="28"/>
        <v>2.6569146617091377</v>
      </c>
      <c r="CI302">
        <f t="shared" ca="1" si="29"/>
        <v>1.9329378846103817</v>
      </c>
      <c r="CJ302">
        <f t="shared" ca="1" si="30"/>
        <v>1.4708318232711712</v>
      </c>
      <c r="CK302">
        <f t="shared" ca="1" si="31"/>
        <v>0.86446545430615274</v>
      </c>
      <c r="CL302">
        <f t="shared" ca="1" si="32"/>
        <v>0.66646893674843177</v>
      </c>
    </row>
    <row r="303" spans="1:90" x14ac:dyDescent="0.25">
      <c r="A303" s="43">
        <v>45730</v>
      </c>
      <c r="B303" s="5">
        <v>8.3330000000000002</v>
      </c>
      <c r="C303">
        <v>2.5971000000000002</v>
      </c>
      <c r="D303">
        <v>0.17860000000000001</v>
      </c>
      <c r="E303">
        <v>16.998899999999999</v>
      </c>
      <c r="F303">
        <v>0.58350000000000002</v>
      </c>
      <c r="G303">
        <v>12.394</v>
      </c>
      <c r="H303">
        <v>33.029899999999998</v>
      </c>
      <c r="I303">
        <v>17.436499999999999</v>
      </c>
      <c r="J303">
        <v>1324.5840000000001</v>
      </c>
      <c r="K303">
        <v>2306519.2148000002</v>
      </c>
      <c r="M303" s="43">
        <v>45730</v>
      </c>
      <c r="N303" s="5">
        <v>5.4638</v>
      </c>
      <c r="O303">
        <v>12.8408</v>
      </c>
      <c r="P303">
        <v>0.71619999999999995</v>
      </c>
      <c r="Q303">
        <v>20.617899999999999</v>
      </c>
      <c r="R303">
        <v>-0.32229999999999998</v>
      </c>
      <c r="S303">
        <v>195.11080000000001</v>
      </c>
      <c r="T303">
        <v>57.1096</v>
      </c>
      <c r="U303">
        <v>46.081899999999997</v>
      </c>
      <c r="V303">
        <v>6512.4589999999998</v>
      </c>
      <c r="W303">
        <v>5111247.5838000001</v>
      </c>
      <c r="Y303" s="5">
        <v>6.1645000000000003</v>
      </c>
      <c r="Z303">
        <v>10.527200000000001</v>
      </c>
      <c r="AA303">
        <v>0.51919999999999999</v>
      </c>
      <c r="AB303">
        <v>9.7304999999999993</v>
      </c>
      <c r="AC303">
        <v>-0.6976</v>
      </c>
      <c r="AD303">
        <v>0</v>
      </c>
      <c r="AE303">
        <v>47.759900000000002</v>
      </c>
      <c r="AF303">
        <v>30.636700000000001</v>
      </c>
      <c r="AG303">
        <v>2997.0509999999999</v>
      </c>
      <c r="AH303">
        <v>1597124.2683000001</v>
      </c>
      <c r="AK303">
        <v>4.7354000000000003</v>
      </c>
      <c r="AL303">
        <v>14.222200000000001</v>
      </c>
      <c r="AM303">
        <v>0.56289999999999996</v>
      </c>
      <c r="AN303">
        <v>8.2000000000000007E-3</v>
      </c>
      <c r="AO303">
        <v>-0.72209999999999996</v>
      </c>
      <c r="AP303">
        <v>0</v>
      </c>
      <c r="AQ303">
        <v>45.393799999999999</v>
      </c>
      <c r="AR303">
        <v>33.855600000000003</v>
      </c>
      <c r="AS303">
        <v>1644.0909999999999</v>
      </c>
      <c r="AT303">
        <v>996069.30079999997</v>
      </c>
      <c r="AV303">
        <v>6.8356000000000003</v>
      </c>
      <c r="AW303">
        <v>6.8396999999999997</v>
      </c>
      <c r="AX303">
        <v>0.54179999999999995</v>
      </c>
      <c r="AY303">
        <v>23.727699999999999</v>
      </c>
      <c r="AZ303">
        <v>0.34060000000000001</v>
      </c>
      <c r="BA303" t="s">
        <v>23</v>
      </c>
      <c r="BB303">
        <v>10.6074</v>
      </c>
      <c r="BC303">
        <v>2.1535000000000002</v>
      </c>
      <c r="BD303">
        <v>2045</v>
      </c>
      <c r="BE303">
        <v>1790030.7905999999</v>
      </c>
      <c r="BH303" s="5">
        <v>4.3739999999999997</v>
      </c>
      <c r="BI303">
        <v>15.685</v>
      </c>
      <c r="BJ303">
        <v>0.71099999999999997</v>
      </c>
      <c r="BK303">
        <v>4.1825000000000001</v>
      </c>
      <c r="BL303">
        <v>-0.50460000000000005</v>
      </c>
      <c r="BM303">
        <v>0</v>
      </c>
      <c r="BN303">
        <v>20.827300000000001</v>
      </c>
      <c r="BO303">
        <v>16.127800000000001</v>
      </c>
      <c r="BP303">
        <v>1930.769</v>
      </c>
      <c r="BQ303">
        <v>1203797.1048999999</v>
      </c>
      <c r="CE303" s="1">
        <f t="shared" si="35"/>
        <v>45730</v>
      </c>
      <c r="CF303" s="35">
        <f t="shared" si="34"/>
        <v>6.0908843489163926</v>
      </c>
      <c r="CG303" s="36">
        <f t="shared" si="33"/>
        <v>0.59568160376484736</v>
      </c>
      <c r="CH303">
        <f t="shared" ca="1" si="28"/>
        <v>2.6569146617091377</v>
      </c>
      <c r="CI303">
        <f t="shared" ca="1" si="29"/>
        <v>1.9329378846103817</v>
      </c>
      <c r="CJ303">
        <f t="shared" ca="1" si="30"/>
        <v>1.4708318232711712</v>
      </c>
      <c r="CK303">
        <f t="shared" ca="1" si="31"/>
        <v>0.86446545430615274</v>
      </c>
      <c r="CL303">
        <f t="shared" ca="1" si="32"/>
        <v>0.66646893674843177</v>
      </c>
    </row>
    <row r="304" spans="1:90" x14ac:dyDescent="0.25">
      <c r="A304" s="43">
        <v>45737</v>
      </c>
      <c r="B304" s="5">
        <v>8.7715999999999994</v>
      </c>
      <c r="C304">
        <v>2.5971000000000002</v>
      </c>
      <c r="D304">
        <v>0.17860000000000001</v>
      </c>
      <c r="E304">
        <v>16.998899999999999</v>
      </c>
      <c r="F304">
        <v>0.58350000000000002</v>
      </c>
      <c r="G304">
        <v>12.394</v>
      </c>
      <c r="H304">
        <v>33.029899999999998</v>
      </c>
      <c r="I304">
        <v>17.436499999999999</v>
      </c>
      <c r="J304">
        <v>1402.2470000000001</v>
      </c>
      <c r="K304">
        <v>2441754.8690999998</v>
      </c>
      <c r="M304" s="43">
        <v>45737</v>
      </c>
      <c r="N304" s="5">
        <v>5.7365000000000004</v>
      </c>
      <c r="O304">
        <v>12.8408</v>
      </c>
      <c r="P304">
        <v>0.71619999999999995</v>
      </c>
      <c r="Q304">
        <v>20.617899999999999</v>
      </c>
      <c r="R304">
        <v>-0.32229999999999998</v>
      </c>
      <c r="S304">
        <v>195.11080000000001</v>
      </c>
      <c r="T304">
        <v>57.1096</v>
      </c>
      <c r="U304">
        <v>46.081899999999997</v>
      </c>
      <c r="V304">
        <v>6819.3789999999999</v>
      </c>
      <c r="W304">
        <v>5352131.1223999998</v>
      </c>
      <c r="Y304" s="5">
        <v>6.2683999999999997</v>
      </c>
      <c r="Z304">
        <v>10.527200000000001</v>
      </c>
      <c r="AA304">
        <v>0.51919999999999999</v>
      </c>
      <c r="AB304">
        <v>9.7304999999999993</v>
      </c>
      <c r="AC304">
        <v>-0.6976</v>
      </c>
      <c r="AD304">
        <v>0</v>
      </c>
      <c r="AE304">
        <v>47.759900000000002</v>
      </c>
      <c r="AF304">
        <v>30.636700000000001</v>
      </c>
      <c r="AG304">
        <v>3042.3980000000001</v>
      </c>
      <c r="AH304">
        <v>1621289.8348999999</v>
      </c>
      <c r="AK304">
        <v>4.6135999999999999</v>
      </c>
      <c r="AL304">
        <v>14.222200000000001</v>
      </c>
      <c r="AM304">
        <v>0.56289999999999996</v>
      </c>
      <c r="AN304">
        <v>8.2000000000000007E-3</v>
      </c>
      <c r="AO304">
        <v>-0.72209999999999996</v>
      </c>
      <c r="AP304">
        <v>0</v>
      </c>
      <c r="AQ304">
        <v>45.393799999999999</v>
      </c>
      <c r="AR304">
        <v>33.855600000000003</v>
      </c>
      <c r="AS304">
        <v>1607.3920000000001</v>
      </c>
      <c r="AT304">
        <v>973835.61109999998</v>
      </c>
      <c r="AV304">
        <v>7.1532</v>
      </c>
      <c r="AW304">
        <v>6.8396999999999997</v>
      </c>
      <c r="AX304">
        <v>0.54179999999999995</v>
      </c>
      <c r="AY304">
        <v>23.727699999999999</v>
      </c>
      <c r="AZ304">
        <v>0.34060000000000001</v>
      </c>
      <c r="BA304" t="s">
        <v>23</v>
      </c>
      <c r="BB304">
        <v>10.6074</v>
      </c>
      <c r="BC304">
        <v>2.1535000000000002</v>
      </c>
      <c r="BD304">
        <v>2145</v>
      </c>
      <c r="BE304">
        <v>1877562.8585999999</v>
      </c>
      <c r="BH304" s="5">
        <v>4.4775999999999998</v>
      </c>
      <c r="BI304">
        <v>15.685</v>
      </c>
      <c r="BJ304">
        <v>0.71099999999999997</v>
      </c>
      <c r="BK304">
        <v>4.1825000000000001</v>
      </c>
      <c r="BL304">
        <v>-0.50460000000000005</v>
      </c>
      <c r="BM304">
        <v>0</v>
      </c>
      <c r="BN304">
        <v>20.827300000000001</v>
      </c>
      <c r="BO304">
        <v>16.127800000000001</v>
      </c>
      <c r="BP304">
        <v>1971.8489999999999</v>
      </c>
      <c r="BQ304">
        <v>1229409.8093000001</v>
      </c>
      <c r="CE304" s="1">
        <f t="shared" si="35"/>
        <v>45737</v>
      </c>
      <c r="CF304" s="35">
        <f t="shared" si="34"/>
        <v>6.3509089594931858</v>
      </c>
      <c r="CG304" s="36">
        <f t="shared" si="33"/>
        <v>0.71812997555246982</v>
      </c>
      <c r="CH304">
        <f t="shared" ca="1" si="28"/>
        <v>2.6569146617091377</v>
      </c>
      <c r="CI304">
        <f t="shared" ca="1" si="29"/>
        <v>1.9329378846103817</v>
      </c>
      <c r="CJ304">
        <f t="shared" ca="1" si="30"/>
        <v>1.4708318232711712</v>
      </c>
      <c r="CK304">
        <f t="shared" ca="1" si="31"/>
        <v>0.86446545430615274</v>
      </c>
      <c r="CL304">
        <f t="shared" ca="1" si="32"/>
        <v>0.66646893674843177</v>
      </c>
    </row>
    <row r="305" spans="1:90" x14ac:dyDescent="0.25">
      <c r="A305" s="43">
        <v>45744</v>
      </c>
      <c r="B305" s="5">
        <v>8.2111000000000001</v>
      </c>
      <c r="C305">
        <v>2.5971000000000002</v>
      </c>
      <c r="D305">
        <v>0.17860000000000001</v>
      </c>
      <c r="E305">
        <v>16.998899999999999</v>
      </c>
      <c r="F305">
        <v>0.58350000000000002</v>
      </c>
      <c r="G305">
        <v>12.394</v>
      </c>
      <c r="H305">
        <v>33.029899999999998</v>
      </c>
      <c r="I305">
        <v>17.436499999999999</v>
      </c>
      <c r="J305">
        <v>1303.011</v>
      </c>
      <c r="K305">
        <v>2268953.7552999998</v>
      </c>
      <c r="M305" s="43">
        <v>45744</v>
      </c>
      <c r="N305" s="5">
        <v>5.7450999999999999</v>
      </c>
      <c r="O305">
        <v>12.8408</v>
      </c>
      <c r="P305">
        <v>0.71619999999999995</v>
      </c>
      <c r="Q305">
        <v>20.617899999999999</v>
      </c>
      <c r="R305">
        <v>-0.32229999999999998</v>
      </c>
      <c r="S305">
        <v>195.11080000000001</v>
      </c>
      <c r="T305">
        <v>57.1096</v>
      </c>
      <c r="U305">
        <v>46.081899999999997</v>
      </c>
      <c r="V305">
        <v>6828.97</v>
      </c>
      <c r="W305">
        <v>5359658.733</v>
      </c>
      <c r="Y305" s="5">
        <v>5.9191000000000003</v>
      </c>
      <c r="Z305">
        <v>10.527200000000001</v>
      </c>
      <c r="AA305">
        <v>0.51919999999999999</v>
      </c>
      <c r="AB305">
        <v>9.7304999999999993</v>
      </c>
      <c r="AC305">
        <v>-0.6976</v>
      </c>
      <c r="AD305">
        <v>0</v>
      </c>
      <c r="AE305">
        <v>47.759900000000002</v>
      </c>
      <c r="AF305">
        <v>30.636700000000001</v>
      </c>
      <c r="AG305">
        <v>2889.866</v>
      </c>
      <c r="AH305">
        <v>1540005.6562000001</v>
      </c>
      <c r="AK305">
        <v>4.4065000000000003</v>
      </c>
      <c r="AL305">
        <v>14.222200000000001</v>
      </c>
      <c r="AM305">
        <v>0.56289999999999996</v>
      </c>
      <c r="AN305">
        <v>8.2000000000000007E-3</v>
      </c>
      <c r="AO305">
        <v>-0.72209999999999996</v>
      </c>
      <c r="AP305">
        <v>0</v>
      </c>
      <c r="AQ305">
        <v>45.393799999999999</v>
      </c>
      <c r="AR305">
        <v>33.855600000000003</v>
      </c>
      <c r="AS305">
        <v>1545.0050000000001</v>
      </c>
      <c r="AT305">
        <v>936038.33849999995</v>
      </c>
      <c r="AV305">
        <v>6.8513999999999999</v>
      </c>
      <c r="AW305">
        <v>6.8396999999999997</v>
      </c>
      <c r="AX305">
        <v>0.54179999999999995</v>
      </c>
      <c r="AY305">
        <v>23.727699999999999</v>
      </c>
      <c r="AZ305">
        <v>0.34060000000000001</v>
      </c>
      <c r="BA305" t="s">
        <v>23</v>
      </c>
      <c r="BB305">
        <v>10.6074</v>
      </c>
      <c r="BC305">
        <v>2.1535000000000002</v>
      </c>
      <c r="BD305">
        <v>2050</v>
      </c>
      <c r="BE305">
        <v>1794407.3940000001</v>
      </c>
      <c r="BH305" s="5">
        <v>4.3855000000000004</v>
      </c>
      <c r="BI305">
        <v>15.685</v>
      </c>
      <c r="BJ305">
        <v>0.71099999999999997</v>
      </c>
      <c r="BK305">
        <v>4.1825000000000001</v>
      </c>
      <c r="BL305">
        <v>-0.50460000000000005</v>
      </c>
      <c r="BM305">
        <v>0</v>
      </c>
      <c r="BN305">
        <v>20.827300000000001</v>
      </c>
      <c r="BO305">
        <v>16.127800000000001</v>
      </c>
      <c r="BP305">
        <v>1935.3330000000001</v>
      </c>
      <c r="BQ305">
        <v>1206642.9609999999</v>
      </c>
      <c r="CE305" s="1">
        <f t="shared" si="35"/>
        <v>45744</v>
      </c>
      <c r="CF305" s="35">
        <f t="shared" si="34"/>
        <v>6.1231659232108422</v>
      </c>
      <c r="CG305" s="36">
        <f t="shared" si="33"/>
        <v>0.61088334256306442</v>
      </c>
      <c r="CH305">
        <f t="shared" ca="1" si="28"/>
        <v>2.6569146617091377</v>
      </c>
      <c r="CI305">
        <f t="shared" ca="1" si="29"/>
        <v>1.9329378846103817</v>
      </c>
      <c r="CJ305">
        <f t="shared" ca="1" si="30"/>
        <v>1.4708318232711712</v>
      </c>
      <c r="CK305">
        <f t="shared" ca="1" si="31"/>
        <v>0.84433805086607927</v>
      </c>
      <c r="CL305">
        <f t="shared" ca="1" si="32"/>
        <v>0.66646893674843177</v>
      </c>
    </row>
    <row r="306" spans="1:90" x14ac:dyDescent="0.25">
      <c r="A306" s="43">
        <v>45751</v>
      </c>
      <c r="B306" s="5">
        <v>8.1204999999999998</v>
      </c>
      <c r="C306">
        <v>3.2250000000000001</v>
      </c>
      <c r="D306">
        <v>0.1845</v>
      </c>
      <c r="E306">
        <v>16.493400000000001</v>
      </c>
      <c r="F306">
        <v>0.5232</v>
      </c>
      <c r="G306">
        <v>12.394</v>
      </c>
      <c r="H306">
        <v>28.8154</v>
      </c>
      <c r="I306">
        <v>14.2547</v>
      </c>
      <c r="J306">
        <v>1156.3140000000001</v>
      </c>
      <c r="K306">
        <v>2013508.6305</v>
      </c>
      <c r="M306" s="43">
        <v>45751</v>
      </c>
      <c r="N306" s="5">
        <v>4.6801000000000004</v>
      </c>
      <c r="O306">
        <v>14.7561</v>
      </c>
      <c r="P306">
        <v>0.7611</v>
      </c>
      <c r="Q306">
        <v>18.9114</v>
      </c>
      <c r="R306">
        <v>-8.1000000000000003E-2</v>
      </c>
      <c r="S306">
        <v>195.11080000000001</v>
      </c>
      <c r="T306">
        <v>58.838999999999999</v>
      </c>
      <c r="U306">
        <v>47.596299999999999</v>
      </c>
      <c r="V306">
        <v>5984.94</v>
      </c>
      <c r="W306">
        <v>4697229.0018999996</v>
      </c>
      <c r="Y306" s="5">
        <v>2.7271000000000001</v>
      </c>
      <c r="Z306">
        <v>21.999300000000002</v>
      </c>
      <c r="AA306">
        <v>0.74739999999999995</v>
      </c>
      <c r="AB306">
        <v>6.3789999999999996</v>
      </c>
      <c r="AC306">
        <v>-0.68430000000000002</v>
      </c>
      <c r="AD306">
        <v>0</v>
      </c>
      <c r="AE306">
        <v>64.557599999999994</v>
      </c>
      <c r="AF306">
        <v>50.478400000000001</v>
      </c>
      <c r="AG306">
        <v>2539.4540000000002</v>
      </c>
      <c r="AH306">
        <v>1353271.7320999999</v>
      </c>
      <c r="AK306">
        <v>2.9973000000000001</v>
      </c>
      <c r="AL306">
        <v>21.453199999999999</v>
      </c>
      <c r="AM306">
        <v>0.63439999999999996</v>
      </c>
      <c r="AN306">
        <v>5.8999999999999999E-3</v>
      </c>
      <c r="AO306">
        <v>-0.55600000000000005</v>
      </c>
      <c r="AP306">
        <v>0</v>
      </c>
      <c r="AQ306">
        <v>47.956499999999998</v>
      </c>
      <c r="AR306">
        <v>36.885899999999999</v>
      </c>
      <c r="AS306">
        <v>1361.5129999999999</v>
      </c>
      <c r="AT306">
        <v>824869.88970000006</v>
      </c>
      <c r="AV306">
        <v>4.6481000000000003</v>
      </c>
      <c r="AW306">
        <v>5.8390000000000004</v>
      </c>
      <c r="AX306">
        <v>0.34089999999999998</v>
      </c>
      <c r="AY306">
        <v>21.328900000000001</v>
      </c>
      <c r="AZ306">
        <v>0.22950000000000001</v>
      </c>
      <c r="BA306" t="s">
        <v>23</v>
      </c>
      <c r="BB306">
        <v>11.697900000000001</v>
      </c>
      <c r="BC306">
        <v>4.0204000000000004</v>
      </c>
      <c r="BD306">
        <v>1780</v>
      </c>
      <c r="BE306">
        <v>1558070.8104000001</v>
      </c>
      <c r="BH306" s="5">
        <v>3.0270999999999999</v>
      </c>
      <c r="BI306">
        <v>27.023499999999999</v>
      </c>
      <c r="BJ306">
        <v>0.81320000000000003</v>
      </c>
      <c r="BK306">
        <v>3.6053999999999999</v>
      </c>
      <c r="BL306">
        <v>-0.22650000000000001</v>
      </c>
      <c r="BM306">
        <v>0</v>
      </c>
      <c r="BN306">
        <v>23.638500000000001</v>
      </c>
      <c r="BO306">
        <v>19.125699999999998</v>
      </c>
      <c r="BP306">
        <v>1670.5940000000001</v>
      </c>
      <c r="BQ306">
        <v>1041583.3106</v>
      </c>
      <c r="CE306" s="1">
        <f t="shared" si="35"/>
        <v>45751</v>
      </c>
      <c r="CF306" s="35">
        <f t="shared" si="34"/>
        <v>4.7779931630443713</v>
      </c>
      <c r="CG306" s="36">
        <f t="shared" si="33"/>
        <v>-2.2572905636185546E-2</v>
      </c>
      <c r="CH306">
        <f t="shared" ca="1" si="28"/>
        <v>2.6569146617091377</v>
      </c>
      <c r="CI306">
        <f t="shared" ca="1" si="29"/>
        <v>1.9329378846103817</v>
      </c>
      <c r="CJ306">
        <f t="shared" ca="1" si="30"/>
        <v>1.423850132336324</v>
      </c>
      <c r="CK306">
        <f t="shared" ca="1" si="31"/>
        <v>0.80818566279317039</v>
      </c>
      <c r="CL306">
        <f t="shared" ca="1" si="32"/>
        <v>0.66207541159100924</v>
      </c>
    </row>
    <row r="307" spans="1:90" x14ac:dyDescent="0.25">
      <c r="A307" s="43">
        <v>45758</v>
      </c>
      <c r="B307" s="5">
        <v>8.6731999999999996</v>
      </c>
      <c r="C307">
        <v>3.2250000000000001</v>
      </c>
      <c r="D307">
        <v>0.1845</v>
      </c>
      <c r="E307">
        <v>16.493400000000001</v>
      </c>
      <c r="F307">
        <v>0.5232</v>
      </c>
      <c r="G307">
        <v>12.394</v>
      </c>
      <c r="H307">
        <v>28.8154</v>
      </c>
      <c r="I307">
        <v>14.2547</v>
      </c>
      <c r="J307">
        <v>1242.606</v>
      </c>
      <c r="K307">
        <v>2163770.4685999998</v>
      </c>
      <c r="M307" s="43">
        <v>45758</v>
      </c>
      <c r="N307" s="5">
        <v>5.0157999999999996</v>
      </c>
      <c r="O307">
        <v>14.7561</v>
      </c>
      <c r="P307">
        <v>0.7611</v>
      </c>
      <c r="Q307">
        <v>18.9114</v>
      </c>
      <c r="R307">
        <v>-8.1000000000000003E-2</v>
      </c>
      <c r="S307">
        <v>195.11080000000001</v>
      </c>
      <c r="T307">
        <v>58.838999999999999</v>
      </c>
      <c r="U307">
        <v>47.596299999999999</v>
      </c>
      <c r="V307">
        <v>6406.9549999999999</v>
      </c>
      <c r="W307">
        <v>5028443.8673999999</v>
      </c>
      <c r="Y307" s="5">
        <v>2.5167000000000002</v>
      </c>
      <c r="Z307">
        <v>21.999300000000002</v>
      </c>
      <c r="AA307">
        <v>0.74739999999999995</v>
      </c>
      <c r="AB307">
        <v>6.3789999999999996</v>
      </c>
      <c r="AC307">
        <v>-0.68430000000000002</v>
      </c>
      <c r="AD307">
        <v>0</v>
      </c>
      <c r="AE307">
        <v>64.557599999999994</v>
      </c>
      <c r="AF307">
        <v>50.478400000000001</v>
      </c>
      <c r="AG307">
        <v>2382.8000000000002</v>
      </c>
      <c r="AH307">
        <v>1269790.6836999999</v>
      </c>
      <c r="AK307">
        <v>2.5663</v>
      </c>
      <c r="AL307">
        <v>21.453199999999999</v>
      </c>
      <c r="AM307">
        <v>0.63439999999999996</v>
      </c>
      <c r="AN307">
        <v>5.8999999999999999E-3</v>
      </c>
      <c r="AO307">
        <v>-0.55600000000000005</v>
      </c>
      <c r="AP307">
        <v>0</v>
      </c>
      <c r="AQ307">
        <v>47.956499999999998</v>
      </c>
      <c r="AR307">
        <v>36.885899999999999</v>
      </c>
      <c r="AS307">
        <v>1196.3699999999999</v>
      </c>
      <c r="AT307">
        <v>724818.28590000002</v>
      </c>
      <c r="AV307">
        <v>5.0205000000000002</v>
      </c>
      <c r="AW307">
        <v>5.8390000000000004</v>
      </c>
      <c r="AX307">
        <v>0.34089999999999998</v>
      </c>
      <c r="AY307">
        <v>21.328900000000001</v>
      </c>
      <c r="AZ307">
        <v>0.22950000000000001</v>
      </c>
      <c r="BA307" t="s">
        <v>23</v>
      </c>
      <c r="BB307">
        <v>11.697900000000001</v>
      </c>
      <c r="BC307">
        <v>4.0204000000000004</v>
      </c>
      <c r="BD307">
        <v>1930</v>
      </c>
      <c r="BE307">
        <v>1689368.9124</v>
      </c>
      <c r="BH307" s="5">
        <v>2.8761999999999999</v>
      </c>
      <c r="BI307">
        <v>27.023499999999999</v>
      </c>
      <c r="BJ307">
        <v>0.81320000000000003</v>
      </c>
      <c r="BK307">
        <v>3.6053999999999999</v>
      </c>
      <c r="BL307">
        <v>-0.22650000000000001</v>
      </c>
      <c r="BM307">
        <v>0</v>
      </c>
      <c r="BN307">
        <v>23.638500000000001</v>
      </c>
      <c r="BO307">
        <v>19.125699999999998</v>
      </c>
      <c r="BP307">
        <v>1592.998</v>
      </c>
      <c r="BQ307">
        <v>993203.75800000003</v>
      </c>
      <c r="CE307" s="1">
        <f t="shared" si="35"/>
        <v>45758</v>
      </c>
      <c r="CF307" s="35">
        <f t="shared" si="34"/>
        <v>5.0872340559449549</v>
      </c>
      <c r="CG307" s="36">
        <f t="shared" si="33"/>
        <v>0.12305194018833701</v>
      </c>
      <c r="CH307">
        <f t="shared" ca="1" si="28"/>
        <v>2.6569146617091377</v>
      </c>
      <c r="CI307">
        <f t="shared" ca="1" si="29"/>
        <v>1.8850055037897064</v>
      </c>
      <c r="CJ307">
        <f t="shared" ca="1" si="30"/>
        <v>1.3766872988981755</v>
      </c>
      <c r="CK307">
        <f t="shared" ca="1" si="31"/>
        <v>0.76845476352843023</v>
      </c>
      <c r="CL307">
        <f t="shared" ca="1" si="32"/>
        <v>0.6251867307369835</v>
      </c>
    </row>
    <row r="308" spans="1:90" x14ac:dyDescent="0.25">
      <c r="A308" s="43">
        <v>45765</v>
      </c>
      <c r="B308" s="5">
        <v>8.01</v>
      </c>
      <c r="C308">
        <v>3.2250000000000001</v>
      </c>
      <c r="D308">
        <v>0.1845</v>
      </c>
      <c r="E308">
        <v>16.493400000000001</v>
      </c>
      <c r="F308">
        <v>0.5232</v>
      </c>
      <c r="G308">
        <v>12.394</v>
      </c>
      <c r="H308">
        <v>28.8154</v>
      </c>
      <c r="I308">
        <v>14.2547</v>
      </c>
      <c r="J308">
        <v>1139.056</v>
      </c>
      <c r="K308">
        <v>1983456.2629</v>
      </c>
      <c r="M308" s="43">
        <v>45765</v>
      </c>
      <c r="N308" s="5">
        <v>4.7717000000000001</v>
      </c>
      <c r="O308">
        <v>14.7561</v>
      </c>
      <c r="P308">
        <v>0.7611</v>
      </c>
      <c r="Q308">
        <v>18.9114</v>
      </c>
      <c r="R308">
        <v>-8.1000000000000003E-2</v>
      </c>
      <c r="S308">
        <v>195.11080000000001</v>
      </c>
      <c r="T308">
        <v>58.838999999999999</v>
      </c>
      <c r="U308">
        <v>47.596299999999999</v>
      </c>
      <c r="V308">
        <v>6100.0349999999999</v>
      </c>
      <c r="W308">
        <v>4787560.3289000001</v>
      </c>
      <c r="Y308" s="5">
        <v>2.6993999999999998</v>
      </c>
      <c r="Z308">
        <v>21.999300000000002</v>
      </c>
      <c r="AA308">
        <v>0.74739999999999995</v>
      </c>
      <c r="AB308">
        <v>6.3789999999999996</v>
      </c>
      <c r="AC308">
        <v>-0.68430000000000002</v>
      </c>
      <c r="AD308">
        <v>0</v>
      </c>
      <c r="AE308">
        <v>64.557599999999994</v>
      </c>
      <c r="AF308">
        <v>50.478400000000001</v>
      </c>
      <c r="AG308">
        <v>2518.8420000000001</v>
      </c>
      <c r="AH308">
        <v>1342287.3836000001</v>
      </c>
      <c r="AK308">
        <v>2.9781</v>
      </c>
      <c r="AL308">
        <v>21.453199999999999</v>
      </c>
      <c r="AM308">
        <v>0.63439999999999996</v>
      </c>
      <c r="AN308">
        <v>5.8999999999999999E-3</v>
      </c>
      <c r="AO308">
        <v>-0.55600000000000005</v>
      </c>
      <c r="AP308">
        <v>0</v>
      </c>
      <c r="AQ308">
        <v>47.956499999999998</v>
      </c>
      <c r="AR308">
        <v>36.885899999999999</v>
      </c>
      <c r="AS308">
        <v>1354.173</v>
      </c>
      <c r="AT308">
        <v>820423.15179999999</v>
      </c>
      <c r="AV308">
        <v>5.1818</v>
      </c>
      <c r="AW308">
        <v>5.8390000000000004</v>
      </c>
      <c r="AX308">
        <v>0.34089999999999998</v>
      </c>
      <c r="AY308">
        <v>21.328900000000001</v>
      </c>
      <c r="AZ308">
        <v>0.22950000000000001</v>
      </c>
      <c r="BA308" t="s">
        <v>23</v>
      </c>
      <c r="BB308">
        <v>11.697900000000001</v>
      </c>
      <c r="BC308">
        <v>4.0204000000000004</v>
      </c>
      <c r="BD308">
        <v>1995</v>
      </c>
      <c r="BE308">
        <v>1746264.7566</v>
      </c>
      <c r="BH308" s="5">
        <v>3.1779000000000002</v>
      </c>
      <c r="BI308">
        <v>27.023499999999999</v>
      </c>
      <c r="BJ308">
        <v>0.81320000000000003</v>
      </c>
      <c r="BK308">
        <v>3.6053999999999999</v>
      </c>
      <c r="BL308">
        <v>-0.22650000000000001</v>
      </c>
      <c r="BM308">
        <v>0</v>
      </c>
      <c r="BN308">
        <v>23.638500000000001</v>
      </c>
      <c r="BO308">
        <v>19.125699999999998</v>
      </c>
      <c r="BP308">
        <v>1748.19</v>
      </c>
      <c r="BQ308">
        <v>1089962.8633000001</v>
      </c>
      <c r="CE308" s="1">
        <f t="shared" si="35"/>
        <v>45765</v>
      </c>
      <c r="CF308" s="35">
        <f t="shared" si="34"/>
        <v>4.8693090134487145</v>
      </c>
      <c r="CG308" s="36">
        <f t="shared" si="33"/>
        <v>2.0428705540583066E-2</v>
      </c>
      <c r="CH308">
        <f t="shared" ca="1" si="28"/>
        <v>2.6569146617091377</v>
      </c>
      <c r="CI308">
        <f t="shared" ca="1" si="29"/>
        <v>1.8850055037897064</v>
      </c>
      <c r="CJ308">
        <f t="shared" ca="1" si="30"/>
        <v>1.3704473278071092</v>
      </c>
      <c r="CK308">
        <f t="shared" ca="1" si="31"/>
        <v>0.75220133029150427</v>
      </c>
      <c r="CL308">
        <f t="shared" ca="1" si="32"/>
        <v>0.61190765977357897</v>
      </c>
    </row>
    <row r="309" spans="1:90" x14ac:dyDescent="0.25">
      <c r="A309" s="43">
        <v>45772</v>
      </c>
      <c r="B309" s="5">
        <v>8.01</v>
      </c>
      <c r="C309">
        <v>3.2250000000000001</v>
      </c>
      <c r="D309">
        <v>0.1845</v>
      </c>
      <c r="E309">
        <v>16.493400000000001</v>
      </c>
      <c r="F309">
        <v>0.5232</v>
      </c>
      <c r="G309">
        <v>12.394</v>
      </c>
      <c r="H309">
        <v>28.8154</v>
      </c>
      <c r="I309">
        <v>14.2547</v>
      </c>
      <c r="J309">
        <v>1139.056</v>
      </c>
      <c r="K309">
        <v>1983456.2629</v>
      </c>
      <c r="M309" s="43">
        <v>45772</v>
      </c>
      <c r="N309" s="5">
        <v>4.6877000000000004</v>
      </c>
      <c r="O309">
        <v>14.7561</v>
      </c>
      <c r="P309">
        <v>0.7611</v>
      </c>
      <c r="Q309">
        <v>18.9114</v>
      </c>
      <c r="R309">
        <v>-8.1000000000000003E-2</v>
      </c>
      <c r="S309">
        <v>195.11080000000001</v>
      </c>
      <c r="T309">
        <v>58.838999999999999</v>
      </c>
      <c r="U309">
        <v>47.596299999999999</v>
      </c>
      <c r="V309">
        <v>5994.5309999999999</v>
      </c>
      <c r="W309">
        <v>4704756.6124999998</v>
      </c>
      <c r="Y309" s="5">
        <v>2.9098999999999999</v>
      </c>
      <c r="Z309">
        <v>21.999300000000002</v>
      </c>
      <c r="AA309">
        <v>0.74739999999999995</v>
      </c>
      <c r="AB309">
        <v>6.3789999999999996</v>
      </c>
      <c r="AC309">
        <v>-0.68430000000000002</v>
      </c>
      <c r="AD309">
        <v>0</v>
      </c>
      <c r="AE309">
        <v>64.557599999999994</v>
      </c>
      <c r="AF309">
        <v>50.478400000000001</v>
      </c>
      <c r="AG309">
        <v>2675.4969999999998</v>
      </c>
      <c r="AH309">
        <v>1425768.4321000001</v>
      </c>
      <c r="AK309">
        <v>3.6389999999999998</v>
      </c>
      <c r="AL309">
        <v>21.453199999999999</v>
      </c>
      <c r="AM309">
        <v>0.63439999999999996</v>
      </c>
      <c r="AN309">
        <v>5.8999999999999999E-3</v>
      </c>
      <c r="AO309">
        <v>-0.55600000000000005</v>
      </c>
      <c r="AP309">
        <v>0</v>
      </c>
      <c r="AQ309">
        <v>47.956499999999998</v>
      </c>
      <c r="AR309">
        <v>36.885899999999999</v>
      </c>
      <c r="AS309">
        <v>1607.3920000000001</v>
      </c>
      <c r="AT309">
        <v>973835.61109999998</v>
      </c>
      <c r="AV309">
        <v>4.9088000000000003</v>
      </c>
      <c r="AW309">
        <v>5.8390000000000004</v>
      </c>
      <c r="AX309">
        <v>0.34089999999999998</v>
      </c>
      <c r="AY309">
        <v>21.328900000000001</v>
      </c>
      <c r="AZ309">
        <v>0.22950000000000001</v>
      </c>
      <c r="BA309" t="s">
        <v>23</v>
      </c>
      <c r="BB309">
        <v>11.697900000000001</v>
      </c>
      <c r="BC309">
        <v>4.0204000000000004</v>
      </c>
      <c r="BD309">
        <v>1885</v>
      </c>
      <c r="BE309">
        <v>1649979.4818</v>
      </c>
      <c r="BH309" s="5">
        <v>3.3466</v>
      </c>
      <c r="BI309">
        <v>27.023499999999999</v>
      </c>
      <c r="BJ309">
        <v>0.81320000000000003</v>
      </c>
      <c r="BK309">
        <v>3.6053999999999999</v>
      </c>
      <c r="BL309">
        <v>-0.22650000000000001</v>
      </c>
      <c r="BM309">
        <v>0</v>
      </c>
      <c r="BN309">
        <v>23.638500000000001</v>
      </c>
      <c r="BO309">
        <v>19.125699999999998</v>
      </c>
      <c r="BP309">
        <v>1834.915</v>
      </c>
      <c r="BQ309">
        <v>1144034.1281000001</v>
      </c>
      <c r="CE309" s="1">
        <f t="shared" si="35"/>
        <v>45772</v>
      </c>
      <c r="CF309" s="35">
        <f t="shared" si="34"/>
        <v>4.8445942182809558</v>
      </c>
      <c r="CG309" s="36">
        <f t="shared" si="33"/>
        <v>8.7902440094085287E-3</v>
      </c>
      <c r="CH309">
        <f t="shared" ca="1" si="28"/>
        <v>2.6569146617091377</v>
      </c>
      <c r="CI309">
        <f t="shared" ca="1" si="29"/>
        <v>1.8850055037897064</v>
      </c>
      <c r="CJ309">
        <f t="shared" ca="1" si="30"/>
        <v>1.353729645309401</v>
      </c>
      <c r="CK309">
        <f t="shared" ca="1" si="31"/>
        <v>0.71323672373110314</v>
      </c>
      <c r="CL309">
        <f t="shared" ca="1" si="32"/>
        <v>0.59720177764466909</v>
      </c>
    </row>
    <row r="310" spans="1:90" x14ac:dyDescent="0.25">
      <c r="A310" s="43">
        <v>45779</v>
      </c>
      <c r="B310" s="5">
        <v>7.6783999999999999</v>
      </c>
      <c r="C310">
        <v>3.2250000000000001</v>
      </c>
      <c r="D310">
        <v>0.1845</v>
      </c>
      <c r="E310">
        <v>16.493400000000001</v>
      </c>
      <c r="F310">
        <v>0.5232</v>
      </c>
      <c r="G310">
        <v>12.394</v>
      </c>
      <c r="H310">
        <v>28.8154</v>
      </c>
      <c r="I310">
        <v>14.2547</v>
      </c>
      <c r="J310">
        <v>1087.28</v>
      </c>
      <c r="K310">
        <v>1893299.1601</v>
      </c>
      <c r="M310" s="43">
        <v>45779</v>
      </c>
      <c r="N310" s="5">
        <v>4.5274999999999999</v>
      </c>
      <c r="O310">
        <v>14.7561</v>
      </c>
      <c r="P310">
        <v>0.7611</v>
      </c>
      <c r="Q310">
        <v>18.9114</v>
      </c>
      <c r="R310">
        <v>-8.1000000000000003E-2</v>
      </c>
      <c r="S310">
        <v>195.11080000000001</v>
      </c>
      <c r="T310">
        <v>58.838999999999999</v>
      </c>
      <c r="U310">
        <v>47.596299999999999</v>
      </c>
      <c r="V310">
        <v>5793.1149999999998</v>
      </c>
      <c r="W310">
        <v>4546676.7903000005</v>
      </c>
      <c r="Y310" s="5">
        <v>2.7216</v>
      </c>
      <c r="Z310">
        <v>21.999300000000002</v>
      </c>
      <c r="AA310">
        <v>0.74739999999999995</v>
      </c>
      <c r="AB310">
        <v>6.3789999999999996</v>
      </c>
      <c r="AC310">
        <v>-0.68430000000000002</v>
      </c>
      <c r="AD310">
        <v>0</v>
      </c>
      <c r="AE310">
        <v>64.557599999999994</v>
      </c>
      <c r="AF310">
        <v>50.478400000000001</v>
      </c>
      <c r="AG310">
        <v>2535.3319999999999</v>
      </c>
      <c r="AH310">
        <v>1351074.8624</v>
      </c>
      <c r="AK310">
        <v>3.4666000000000001</v>
      </c>
      <c r="AL310">
        <v>21.453199999999999</v>
      </c>
      <c r="AM310">
        <v>0.63439999999999996</v>
      </c>
      <c r="AN310">
        <v>5.8999999999999999E-3</v>
      </c>
      <c r="AO310">
        <v>-0.55600000000000005</v>
      </c>
      <c r="AP310">
        <v>0</v>
      </c>
      <c r="AQ310">
        <v>47.956499999999998</v>
      </c>
      <c r="AR310">
        <v>36.885899999999999</v>
      </c>
      <c r="AS310">
        <v>1541.335</v>
      </c>
      <c r="AT310">
        <v>933814.96950000001</v>
      </c>
      <c r="AV310">
        <v>4.673</v>
      </c>
      <c r="AW310">
        <v>5.8390000000000004</v>
      </c>
      <c r="AX310">
        <v>0.34089999999999998</v>
      </c>
      <c r="AY310">
        <v>21.328900000000001</v>
      </c>
      <c r="AZ310">
        <v>0.22950000000000001</v>
      </c>
      <c r="BA310" t="s">
        <v>23</v>
      </c>
      <c r="BB310">
        <v>11.697900000000001</v>
      </c>
      <c r="BC310">
        <v>4.0204000000000004</v>
      </c>
      <c r="BD310">
        <v>1790</v>
      </c>
      <c r="BE310">
        <v>1566824.0171999999</v>
      </c>
      <c r="BH310" s="5">
        <v>3.1423999999999999</v>
      </c>
      <c r="BI310">
        <v>27.023499999999999</v>
      </c>
      <c r="BJ310">
        <v>0.81320000000000003</v>
      </c>
      <c r="BK310">
        <v>3.6053999999999999</v>
      </c>
      <c r="BL310">
        <v>-0.22650000000000001</v>
      </c>
      <c r="BM310">
        <v>0</v>
      </c>
      <c r="BN310">
        <v>23.638500000000001</v>
      </c>
      <c r="BO310">
        <v>19.125699999999998</v>
      </c>
      <c r="BP310">
        <v>1729.932</v>
      </c>
      <c r="BQ310">
        <v>1078579.4391999999</v>
      </c>
      <c r="CE310" s="1">
        <f t="shared" si="35"/>
        <v>45779</v>
      </c>
      <c r="CF310" s="35">
        <f t="shared" si="34"/>
        <v>4.6391102367528587</v>
      </c>
      <c r="CG310" s="36">
        <f t="shared" si="33"/>
        <v>-8.7974361889780126E-2</v>
      </c>
      <c r="CH310">
        <f t="shared" ca="1" si="28"/>
        <v>2.6569146617091377</v>
      </c>
      <c r="CI310">
        <f t="shared" ca="1" si="29"/>
        <v>1.8850055037897064</v>
      </c>
      <c r="CJ310">
        <f t="shared" ca="1" si="30"/>
        <v>1.2945668454326229</v>
      </c>
      <c r="CK310">
        <f t="shared" ca="1" si="31"/>
        <v>0.69437982745151272</v>
      </c>
      <c r="CL310">
        <f t="shared" ca="1" si="32"/>
        <v>0.53945783456289609</v>
      </c>
    </row>
    <row r="311" spans="1:90" x14ac:dyDescent="0.25">
      <c r="A311" s="43">
        <v>45786</v>
      </c>
      <c r="B311" s="5">
        <v>8.2864000000000004</v>
      </c>
      <c r="C311">
        <v>3.2250000000000001</v>
      </c>
      <c r="D311">
        <v>0.1845</v>
      </c>
      <c r="E311">
        <v>16.493400000000001</v>
      </c>
      <c r="F311">
        <v>0.5232</v>
      </c>
      <c r="G311">
        <v>12.394</v>
      </c>
      <c r="H311">
        <v>28.8154</v>
      </c>
      <c r="I311">
        <v>14.2547</v>
      </c>
      <c r="J311">
        <v>1182.202</v>
      </c>
      <c r="K311">
        <v>2058587.182</v>
      </c>
      <c r="M311" s="43">
        <v>45786</v>
      </c>
      <c r="N311" s="5">
        <v>4.8479999999999999</v>
      </c>
      <c r="O311">
        <v>14.7561</v>
      </c>
      <c r="P311">
        <v>0.7611</v>
      </c>
      <c r="Q311">
        <v>18.9114</v>
      </c>
      <c r="R311">
        <v>-8.1000000000000003E-2</v>
      </c>
      <c r="S311">
        <v>195.11080000000001</v>
      </c>
      <c r="T311">
        <v>58.838999999999999</v>
      </c>
      <c r="U311">
        <v>47.596299999999999</v>
      </c>
      <c r="V311">
        <v>6195.9480000000003</v>
      </c>
      <c r="W311">
        <v>4862836.4347000001</v>
      </c>
      <c r="Y311" s="5">
        <v>3.0428000000000002</v>
      </c>
      <c r="Z311">
        <v>21.999300000000002</v>
      </c>
      <c r="AA311">
        <v>0.74739999999999995</v>
      </c>
      <c r="AB311">
        <v>6.3789999999999996</v>
      </c>
      <c r="AC311">
        <v>-0.68430000000000002</v>
      </c>
      <c r="AD311">
        <v>0</v>
      </c>
      <c r="AE311">
        <v>64.557599999999994</v>
      </c>
      <c r="AF311">
        <v>50.478400000000001</v>
      </c>
      <c r="AG311">
        <v>2774.4360000000001</v>
      </c>
      <c r="AH311">
        <v>1478493.3047</v>
      </c>
      <c r="AK311">
        <v>3.4666000000000001</v>
      </c>
      <c r="AL311">
        <v>21.453199999999999</v>
      </c>
      <c r="AM311">
        <v>0.63439999999999996</v>
      </c>
      <c r="AN311">
        <v>5.8999999999999999E-3</v>
      </c>
      <c r="AO311">
        <v>-0.55600000000000005</v>
      </c>
      <c r="AP311">
        <v>0</v>
      </c>
      <c r="AQ311">
        <v>47.956499999999998</v>
      </c>
      <c r="AR311">
        <v>36.885899999999999</v>
      </c>
      <c r="AS311">
        <v>1541.335</v>
      </c>
      <c r="AT311">
        <v>933814.96950000001</v>
      </c>
      <c r="AV311">
        <v>4.8467000000000002</v>
      </c>
      <c r="AW311">
        <v>5.8390000000000004</v>
      </c>
      <c r="AX311">
        <v>0.34089999999999998</v>
      </c>
      <c r="AY311">
        <v>21.328900000000001</v>
      </c>
      <c r="AZ311">
        <v>0.22950000000000001</v>
      </c>
      <c r="BA311" t="s">
        <v>23</v>
      </c>
      <c r="BB311">
        <v>11.697900000000001</v>
      </c>
      <c r="BC311">
        <v>4.0204000000000004</v>
      </c>
      <c r="BD311">
        <v>1860</v>
      </c>
      <c r="BE311">
        <v>1628096.4648</v>
      </c>
      <c r="BH311" s="5">
        <v>3.1867999999999999</v>
      </c>
      <c r="BI311">
        <v>27.023499999999999</v>
      </c>
      <c r="BJ311">
        <v>0.81320000000000003</v>
      </c>
      <c r="BK311">
        <v>3.6053999999999999</v>
      </c>
      <c r="BL311">
        <v>-0.22650000000000001</v>
      </c>
      <c r="BM311">
        <v>0</v>
      </c>
      <c r="BN311">
        <v>23.638500000000001</v>
      </c>
      <c r="BO311">
        <v>19.125699999999998</v>
      </c>
      <c r="BP311">
        <v>1752.7550000000001</v>
      </c>
      <c r="BQ311">
        <v>1092808.7194000001</v>
      </c>
      <c r="CE311" s="1">
        <f t="shared" si="35"/>
        <v>45786</v>
      </c>
      <c r="CF311" s="35">
        <f t="shared" si="34"/>
        <v>4.9559922751631031</v>
      </c>
      <c r="CG311" s="36">
        <f t="shared" si="33"/>
        <v>6.1248781127361207E-2</v>
      </c>
      <c r="CH311">
        <f t="shared" ca="1" si="28"/>
        <v>2.6569146617091377</v>
      </c>
      <c r="CI311">
        <f t="shared" ca="1" si="29"/>
        <v>1.8191682094710617</v>
      </c>
      <c r="CJ311">
        <f t="shared" ca="1" si="30"/>
        <v>1.2452066108976529</v>
      </c>
      <c r="CK311">
        <f t="shared" ca="1" si="31"/>
        <v>0.68086756078501853</v>
      </c>
      <c r="CL311">
        <f t="shared" ca="1" si="32"/>
        <v>0.41225305860799721</v>
      </c>
    </row>
    <row r="312" spans="1:90" x14ac:dyDescent="0.25">
      <c r="A312" s="43">
        <v>45793</v>
      </c>
      <c r="B312" s="5">
        <v>9.2258999999999993</v>
      </c>
      <c r="C312">
        <v>3.2250000000000001</v>
      </c>
      <c r="D312">
        <v>0.1845</v>
      </c>
      <c r="E312">
        <v>16.493400000000001</v>
      </c>
      <c r="F312">
        <v>0.5232</v>
      </c>
      <c r="G312">
        <v>12.394</v>
      </c>
      <c r="H312">
        <v>28.8154</v>
      </c>
      <c r="I312">
        <v>14.2547</v>
      </c>
      <c r="J312">
        <v>1328.8979999999999</v>
      </c>
      <c r="K312">
        <v>2314032.3067000001</v>
      </c>
      <c r="M312" s="43">
        <v>45793</v>
      </c>
      <c r="N312" s="5">
        <v>5.4202000000000004</v>
      </c>
      <c r="O312">
        <v>14.7561</v>
      </c>
      <c r="P312">
        <v>0.7611</v>
      </c>
      <c r="Q312">
        <v>18.9114</v>
      </c>
      <c r="R312">
        <v>-8.1000000000000003E-2</v>
      </c>
      <c r="S312">
        <v>195.11080000000001</v>
      </c>
      <c r="T312">
        <v>58.838999999999999</v>
      </c>
      <c r="U312">
        <v>47.596299999999999</v>
      </c>
      <c r="V312">
        <v>6915.2910000000002</v>
      </c>
      <c r="W312">
        <v>5427407.2281999998</v>
      </c>
      <c r="Y312" s="5">
        <v>3.2865000000000002</v>
      </c>
      <c r="Z312">
        <v>21.999300000000002</v>
      </c>
      <c r="AA312">
        <v>0.74739999999999995</v>
      </c>
      <c r="AB312">
        <v>6.3789999999999996</v>
      </c>
      <c r="AC312">
        <v>-0.68430000000000002</v>
      </c>
      <c r="AD312">
        <v>0</v>
      </c>
      <c r="AE312">
        <v>64.557599999999994</v>
      </c>
      <c r="AF312">
        <v>50.478400000000001</v>
      </c>
      <c r="AG312">
        <v>3312.2170000000001</v>
      </c>
      <c r="AH312">
        <v>1575155.5713</v>
      </c>
      <c r="AK312">
        <v>4.7117000000000004</v>
      </c>
      <c r="AL312">
        <v>21.453199999999999</v>
      </c>
      <c r="AM312">
        <v>0.63439999999999996</v>
      </c>
      <c r="AN312">
        <v>5.8999999999999999E-3</v>
      </c>
      <c r="AO312">
        <v>-0.55600000000000005</v>
      </c>
      <c r="AP312">
        <v>0</v>
      </c>
      <c r="AQ312">
        <v>47.956499999999998</v>
      </c>
      <c r="AR312">
        <v>36.885899999999999</v>
      </c>
      <c r="AS312">
        <v>2018.415</v>
      </c>
      <c r="AT312">
        <v>1222852.9362999999</v>
      </c>
      <c r="AV312">
        <v>5.2314999999999996</v>
      </c>
      <c r="AW312">
        <v>5.8390000000000004</v>
      </c>
      <c r="AX312">
        <v>0.34089999999999998</v>
      </c>
      <c r="AY312">
        <v>21.328900000000001</v>
      </c>
      <c r="AZ312">
        <v>0.22950000000000001</v>
      </c>
      <c r="BA312" t="s">
        <v>23</v>
      </c>
      <c r="BB312">
        <v>11.697900000000001</v>
      </c>
      <c r="BC312">
        <v>4.0204000000000004</v>
      </c>
      <c r="BD312">
        <v>2015</v>
      </c>
      <c r="BE312">
        <v>1763771.1702000001</v>
      </c>
      <c r="BH312" s="5">
        <v>3.8258000000000001</v>
      </c>
      <c r="BI312">
        <v>27.023499999999999</v>
      </c>
      <c r="BJ312">
        <v>0.81320000000000003</v>
      </c>
      <c r="BK312">
        <v>3.6053999999999999</v>
      </c>
      <c r="BL312">
        <v>-0.22650000000000001</v>
      </c>
      <c r="BM312">
        <v>0</v>
      </c>
      <c r="BN312">
        <v>23.638500000000001</v>
      </c>
      <c r="BO312">
        <v>19.125699999999998</v>
      </c>
      <c r="BP312">
        <v>2081.3960000000002</v>
      </c>
      <c r="BQ312">
        <v>1297710.3541999999</v>
      </c>
      <c r="CE312" s="1">
        <f t="shared" si="35"/>
        <v>45793</v>
      </c>
      <c r="CF312" s="35">
        <f t="shared" si="34"/>
        <v>5.5802860428321361</v>
      </c>
      <c r="CG312" s="36">
        <f t="shared" si="33"/>
        <v>0.35523539723521314</v>
      </c>
      <c r="CH312">
        <f t="shared" ca="1" si="28"/>
        <v>2.6569146617091377</v>
      </c>
      <c r="CI312">
        <f t="shared" ca="1" si="29"/>
        <v>1.7694289265838483</v>
      </c>
      <c r="CJ312">
        <f t="shared" ca="1" si="30"/>
        <v>1.2159518121640902</v>
      </c>
      <c r="CK312">
        <f t="shared" ca="1" si="31"/>
        <v>0.67474278052036052</v>
      </c>
      <c r="CL312">
        <f t="shared" ca="1" si="32"/>
        <v>0.15062807769154746</v>
      </c>
    </row>
    <row r="313" spans="1:90" x14ac:dyDescent="0.25">
      <c r="A313" s="43">
        <v>45800</v>
      </c>
      <c r="B313" s="5">
        <v>9.4746000000000006</v>
      </c>
      <c r="C313">
        <v>3.2250000000000001</v>
      </c>
      <c r="D313">
        <v>0.1845</v>
      </c>
      <c r="E313">
        <v>16.493400000000001</v>
      </c>
      <c r="F313">
        <v>0.5232</v>
      </c>
      <c r="G313">
        <v>12.394</v>
      </c>
      <c r="H313">
        <v>28.8154</v>
      </c>
      <c r="I313">
        <v>14.2547</v>
      </c>
      <c r="J313">
        <v>1367.73</v>
      </c>
      <c r="K313">
        <v>2381650.1338999998</v>
      </c>
      <c r="M313" s="43">
        <v>45800</v>
      </c>
      <c r="N313" s="5">
        <v>5.4202000000000004</v>
      </c>
      <c r="O313">
        <v>14.7561</v>
      </c>
      <c r="P313">
        <v>0.7611</v>
      </c>
      <c r="Q313">
        <v>18.9114</v>
      </c>
      <c r="R313">
        <v>-8.1000000000000003E-2</v>
      </c>
      <c r="S313">
        <v>195.11080000000001</v>
      </c>
      <c r="T313">
        <v>58.838999999999999</v>
      </c>
      <c r="U313">
        <v>47.596299999999999</v>
      </c>
      <c r="V313">
        <v>6915.2910000000002</v>
      </c>
      <c r="W313">
        <v>5427407.2281999998</v>
      </c>
      <c r="Y313" s="5">
        <v>3.1922999999999999</v>
      </c>
      <c r="Z313">
        <v>21.999300000000002</v>
      </c>
      <c r="AA313">
        <v>0.74739999999999995</v>
      </c>
      <c r="AB313">
        <v>6.3789999999999996</v>
      </c>
      <c r="AC313">
        <v>-0.68430000000000002</v>
      </c>
      <c r="AD313">
        <v>0</v>
      </c>
      <c r="AE313">
        <v>64.557599999999994</v>
      </c>
      <c r="AF313">
        <v>50.478400000000001</v>
      </c>
      <c r="AG313">
        <v>3233.6849999999999</v>
      </c>
      <c r="AH313">
        <v>1537808.7864999999</v>
      </c>
      <c r="AK313">
        <v>4.2710999999999997</v>
      </c>
      <c r="AL313">
        <v>21.453199999999999</v>
      </c>
      <c r="AM313">
        <v>0.63439999999999996</v>
      </c>
      <c r="AN313">
        <v>5.8999999999999999E-3</v>
      </c>
      <c r="AO313">
        <v>-0.55600000000000005</v>
      </c>
      <c r="AP313">
        <v>0</v>
      </c>
      <c r="AQ313">
        <v>47.956499999999998</v>
      </c>
      <c r="AR313">
        <v>36.885899999999999</v>
      </c>
      <c r="AS313">
        <v>1849.6020000000001</v>
      </c>
      <c r="AT313">
        <v>1120577.9634</v>
      </c>
      <c r="AV313">
        <v>5.4672999999999998</v>
      </c>
      <c r="AW313">
        <v>5.8390000000000004</v>
      </c>
      <c r="AX313">
        <v>0.34089999999999998</v>
      </c>
      <c r="AY313">
        <v>21.328900000000001</v>
      </c>
      <c r="AZ313">
        <v>0.22950000000000001</v>
      </c>
      <c r="BA313" t="s">
        <v>23</v>
      </c>
      <c r="BB313">
        <v>11.697900000000001</v>
      </c>
      <c r="BC313">
        <v>4.0204000000000004</v>
      </c>
      <c r="BD313">
        <v>2110</v>
      </c>
      <c r="BE313">
        <v>1846926.6348000001</v>
      </c>
      <c r="BH313" s="5">
        <v>3.8347000000000002</v>
      </c>
      <c r="BI313">
        <v>27.023499999999999</v>
      </c>
      <c r="BJ313">
        <v>0.81320000000000003</v>
      </c>
      <c r="BK313">
        <v>3.6053999999999999</v>
      </c>
      <c r="BL313">
        <v>-0.22650000000000001</v>
      </c>
      <c r="BM313">
        <v>0</v>
      </c>
      <c r="BN313">
        <v>23.638500000000001</v>
      </c>
      <c r="BO313">
        <v>19.125699999999998</v>
      </c>
      <c r="BP313">
        <v>2085.9609999999998</v>
      </c>
      <c r="BQ313">
        <v>1300556.2102999999</v>
      </c>
      <c r="CE313" s="1">
        <f t="shared" si="35"/>
        <v>45800</v>
      </c>
      <c r="CF313" s="35">
        <f t="shared" si="34"/>
        <v>5.6381505150572151</v>
      </c>
      <c r="CG313" s="36">
        <f t="shared" si="33"/>
        <v>0.38248439644568782</v>
      </c>
      <c r="CH313">
        <f t="shared" ca="1" si="28"/>
        <v>2.5002892964598691</v>
      </c>
      <c r="CI313">
        <f t="shared" ca="1" si="29"/>
        <v>1.7462541753621335</v>
      </c>
      <c r="CJ313">
        <f t="shared" ca="1" si="30"/>
        <v>1.1868876772805184</v>
      </c>
      <c r="CK313">
        <f t="shared" ca="1" si="31"/>
        <v>0.66432919711893335</v>
      </c>
      <c r="CL313">
        <f t="shared" ca="1" si="32"/>
        <v>0.14627028589302474</v>
      </c>
    </row>
    <row r="314" spans="1:90" x14ac:dyDescent="0.25">
      <c r="A314" s="43">
        <v>45807</v>
      </c>
      <c r="B314" s="5">
        <v>9.3641000000000005</v>
      </c>
      <c r="C314">
        <v>3.2250000000000001</v>
      </c>
      <c r="D314">
        <v>0.1845</v>
      </c>
      <c r="E314">
        <v>16.493400000000001</v>
      </c>
      <c r="F314">
        <v>0.5232</v>
      </c>
      <c r="G314">
        <v>12.394</v>
      </c>
      <c r="H314">
        <v>28.8154</v>
      </c>
      <c r="I314">
        <v>14.2547</v>
      </c>
      <c r="J314">
        <v>1350.471</v>
      </c>
      <c r="K314">
        <v>2351597.7662999998</v>
      </c>
      <c r="M314" s="43">
        <v>45807</v>
      </c>
      <c r="N314" s="5">
        <v>5.0692000000000004</v>
      </c>
      <c r="O314">
        <v>14.7561</v>
      </c>
      <c r="P314">
        <v>0.7611</v>
      </c>
      <c r="Q314">
        <v>18.9114</v>
      </c>
      <c r="R314">
        <v>-8.1000000000000003E-2</v>
      </c>
      <c r="S314">
        <v>195.11080000000001</v>
      </c>
      <c r="T314">
        <v>58.838999999999999</v>
      </c>
      <c r="U314">
        <v>47.596299999999999</v>
      </c>
      <c r="V314">
        <v>6474.0940000000001</v>
      </c>
      <c r="W314">
        <v>5081137.1414999999</v>
      </c>
      <c r="Y314" s="5">
        <v>3.1978</v>
      </c>
      <c r="Z314">
        <v>21.999300000000002</v>
      </c>
      <c r="AA314">
        <v>0.74739999999999995</v>
      </c>
      <c r="AB314">
        <v>6.3789999999999996</v>
      </c>
      <c r="AC314">
        <v>-0.68430000000000002</v>
      </c>
      <c r="AD314">
        <v>0</v>
      </c>
      <c r="AE314">
        <v>64.557599999999994</v>
      </c>
      <c r="AF314">
        <v>50.478400000000001</v>
      </c>
      <c r="AG314">
        <v>3238.3040000000001</v>
      </c>
      <c r="AH314">
        <v>1540005.6562000001</v>
      </c>
      <c r="AK314">
        <v>4.6158999999999999</v>
      </c>
      <c r="AL314">
        <v>21.453199999999999</v>
      </c>
      <c r="AM314">
        <v>0.63439999999999996</v>
      </c>
      <c r="AN314">
        <v>5.8999999999999999E-3</v>
      </c>
      <c r="AO314">
        <v>-0.55600000000000005</v>
      </c>
      <c r="AP314">
        <v>0</v>
      </c>
      <c r="AQ314">
        <v>47.956499999999998</v>
      </c>
      <c r="AR314">
        <v>36.885899999999999</v>
      </c>
      <c r="AS314">
        <v>1981.7159999999999</v>
      </c>
      <c r="AT314">
        <v>1200619.2464999999</v>
      </c>
      <c r="AV314">
        <v>5.157</v>
      </c>
      <c r="AW314">
        <v>5.8390000000000004</v>
      </c>
      <c r="AX314">
        <v>0.34089999999999998</v>
      </c>
      <c r="AY314">
        <v>21.328900000000001</v>
      </c>
      <c r="AZ314">
        <v>0.22950000000000001</v>
      </c>
      <c r="BA314" t="s">
        <v>23</v>
      </c>
      <c r="BB314">
        <v>11.697900000000001</v>
      </c>
      <c r="BC314">
        <v>4.0204000000000004</v>
      </c>
      <c r="BD314">
        <v>1985</v>
      </c>
      <c r="BE314">
        <v>1737511.5497999999</v>
      </c>
      <c r="BH314" s="5">
        <v>3.8525</v>
      </c>
      <c r="BI314">
        <v>27.023499999999999</v>
      </c>
      <c r="BJ314">
        <v>0.81320000000000003</v>
      </c>
      <c r="BK314">
        <v>3.6053999999999999</v>
      </c>
      <c r="BL314">
        <v>-0.22650000000000001</v>
      </c>
      <c r="BM314">
        <v>0</v>
      </c>
      <c r="BN314">
        <v>23.638500000000001</v>
      </c>
      <c r="BO314">
        <v>19.125699999999998</v>
      </c>
      <c r="BP314">
        <v>2095.0889999999999</v>
      </c>
      <c r="BQ314">
        <v>1306247.9224</v>
      </c>
      <c r="CE314" s="1">
        <f t="shared" si="35"/>
        <v>45807</v>
      </c>
      <c r="CF314" s="35">
        <f t="shared" si="34"/>
        <v>5.465421862866422</v>
      </c>
      <c r="CG314" s="36">
        <f t="shared" si="33"/>
        <v>0.30114462566431077</v>
      </c>
      <c r="CH314">
        <f t="shared" ca="1" si="28"/>
        <v>2.4514509882980344</v>
      </c>
      <c r="CI314">
        <f t="shared" ca="1" si="29"/>
        <v>1.724446555995063</v>
      </c>
      <c r="CJ314">
        <f t="shared" ca="1" si="30"/>
        <v>1.1669332462797068</v>
      </c>
      <c r="CK314">
        <f t="shared" ca="1" si="31"/>
        <v>0.65157813518401053</v>
      </c>
      <c r="CL314">
        <f t="shared" ca="1" si="32"/>
        <v>0.14627028589302474</v>
      </c>
    </row>
    <row r="315" spans="1:90" x14ac:dyDescent="0.25">
      <c r="A315" s="43">
        <v>45814</v>
      </c>
      <c r="B315" s="5">
        <v>8.9496000000000002</v>
      </c>
      <c r="C315">
        <v>3.2250000000000001</v>
      </c>
      <c r="D315">
        <v>0.1845</v>
      </c>
      <c r="E315">
        <v>16.493400000000001</v>
      </c>
      <c r="F315">
        <v>0.5232</v>
      </c>
      <c r="G315">
        <v>12.394</v>
      </c>
      <c r="H315">
        <v>28.8154</v>
      </c>
      <c r="I315">
        <v>14.2547</v>
      </c>
      <c r="J315">
        <v>1285.752</v>
      </c>
      <c r="K315">
        <v>2238901.3876999998</v>
      </c>
      <c r="M315" s="43">
        <v>45814</v>
      </c>
      <c r="N315" s="5">
        <v>4.7945000000000002</v>
      </c>
      <c r="O315">
        <v>14.7561</v>
      </c>
      <c r="P315">
        <v>0.7611</v>
      </c>
      <c r="Q315">
        <v>18.9114</v>
      </c>
      <c r="R315">
        <v>-8.1000000000000003E-2</v>
      </c>
      <c r="S315">
        <v>195.11080000000001</v>
      </c>
      <c r="T315">
        <v>58.838999999999999</v>
      </c>
      <c r="U315">
        <v>47.596299999999999</v>
      </c>
      <c r="V315">
        <v>6390</v>
      </c>
      <c r="W315">
        <v>4810143.1606000001</v>
      </c>
      <c r="Y315" s="5">
        <v>2.9098999999999999</v>
      </c>
      <c r="Z315">
        <v>21.999300000000002</v>
      </c>
      <c r="AA315">
        <v>0.74739999999999995</v>
      </c>
      <c r="AB315">
        <v>6.3789999999999996</v>
      </c>
      <c r="AC315">
        <v>-0.68430000000000002</v>
      </c>
      <c r="AD315">
        <v>0</v>
      </c>
      <c r="AE315">
        <v>64.557599999999994</v>
      </c>
      <c r="AF315">
        <v>50.478400000000001</v>
      </c>
      <c r="AG315">
        <v>2998.0880000000002</v>
      </c>
      <c r="AH315">
        <v>1425768.4321000001</v>
      </c>
      <c r="AK315">
        <v>3.9838</v>
      </c>
      <c r="AL315">
        <v>21.453199999999999</v>
      </c>
      <c r="AM315">
        <v>0.63439999999999996</v>
      </c>
      <c r="AN315">
        <v>5.8999999999999999E-3</v>
      </c>
      <c r="AO315">
        <v>-0.55600000000000005</v>
      </c>
      <c r="AP315">
        <v>0</v>
      </c>
      <c r="AQ315">
        <v>47.956499999999998</v>
      </c>
      <c r="AR315">
        <v>36.885899999999999</v>
      </c>
      <c r="AS315">
        <v>1739.5070000000001</v>
      </c>
      <c r="AT315">
        <v>1053876.8942</v>
      </c>
      <c r="AV315">
        <v>4.9355000000000002</v>
      </c>
      <c r="AW315">
        <v>5.8390000000000004</v>
      </c>
      <c r="AX315">
        <v>0.34089999999999998</v>
      </c>
      <c r="AY315">
        <v>21.328900000000001</v>
      </c>
      <c r="AZ315">
        <v>0.22950000000000001</v>
      </c>
      <c r="BA315" t="s">
        <v>23</v>
      </c>
      <c r="BB315">
        <v>11.697900000000001</v>
      </c>
      <c r="BC315">
        <v>4.0204000000000004</v>
      </c>
      <c r="BD315">
        <v>1895</v>
      </c>
      <c r="BE315">
        <v>1659417.9983000001</v>
      </c>
      <c r="BH315" s="5">
        <v>3.5063</v>
      </c>
      <c r="BI315">
        <v>27.023499999999999</v>
      </c>
      <c r="BJ315">
        <v>0.81320000000000003</v>
      </c>
      <c r="BK315">
        <v>3.6053999999999999</v>
      </c>
      <c r="BL315">
        <v>-0.22650000000000001</v>
      </c>
      <c r="BM315">
        <v>0</v>
      </c>
      <c r="BN315">
        <v>23.638500000000001</v>
      </c>
      <c r="BO315">
        <v>19.125699999999998</v>
      </c>
      <c r="BP315">
        <v>1917.075</v>
      </c>
      <c r="BQ315">
        <v>1195259.5367999999</v>
      </c>
      <c r="CE315" s="1">
        <f t="shared" si="35"/>
        <v>45814</v>
      </c>
      <c r="CF315" s="35">
        <f t="shared" si="34"/>
        <v>5.1543150992219608</v>
      </c>
      <c r="CG315" s="36">
        <f t="shared" si="33"/>
        <v>0.15464112133878272</v>
      </c>
      <c r="CH315">
        <f t="shared" ref="CH315:CH372" ca="1" si="36">+_xlfn.PERCENTILE.INC(OFFSET(CG315,-52,0,52,1),0.9)</f>
        <v>2.257603704152046</v>
      </c>
      <c r="CI315">
        <f t="shared" ref="CI315:CI372" ca="1" si="37">+_xlfn.PERCENTILE.INC(OFFSET(CG315,-52,0,52,1),0.75)</f>
        <v>1.6289824917538434</v>
      </c>
      <c r="CJ315">
        <f t="shared" ref="CJ315:CJ372" ca="1" si="38">+_xlfn.PERCENTILE.INC(OFFSET(CG315,-52,0,52,1),0.5)</f>
        <v>1.1112445627614056</v>
      </c>
      <c r="CK315">
        <f t="shared" ref="CK315:CK372" ca="1" si="39">+_xlfn.PERCENTILE.INC(OFFSET(CG315,-52,0,52,1),0.25)</f>
        <v>0.61856572164192369</v>
      </c>
      <c r="CL315">
        <f t="shared" ref="CL315:CL372" ca="1" si="40">+_xlfn.PERCENTILE.INC(OFFSET(CG315,-52,0,52,1),0.1)</f>
        <v>0.1408612087359345</v>
      </c>
    </row>
    <row r="316" spans="1:90" x14ac:dyDescent="0.25">
      <c r="A316" s="43">
        <v>45821</v>
      </c>
      <c r="B316" s="5">
        <v>8.8114000000000008</v>
      </c>
      <c r="C316">
        <v>3.2250000000000001</v>
      </c>
      <c r="D316">
        <v>0.1845</v>
      </c>
      <c r="E316">
        <v>16.493400000000001</v>
      </c>
      <c r="F316">
        <v>0.5232</v>
      </c>
      <c r="G316">
        <v>12.394</v>
      </c>
      <c r="H316">
        <v>28.8154</v>
      </c>
      <c r="I316">
        <v>14.2547</v>
      </c>
      <c r="J316">
        <v>1264.1790000000001</v>
      </c>
      <c r="K316">
        <v>2201335.9282</v>
      </c>
      <c r="M316" s="43">
        <v>45821</v>
      </c>
      <c r="N316" s="5">
        <v>4.8022</v>
      </c>
      <c r="O316">
        <v>14.7561</v>
      </c>
      <c r="P316">
        <v>0.7611</v>
      </c>
      <c r="Q316">
        <v>18.9114</v>
      </c>
      <c r="R316">
        <v>-8.1000000000000003E-2</v>
      </c>
      <c r="S316">
        <v>195.11080000000001</v>
      </c>
      <c r="T316">
        <v>58.838999999999999</v>
      </c>
      <c r="U316">
        <v>47.596299999999999</v>
      </c>
      <c r="V316">
        <v>6400</v>
      </c>
      <c r="W316">
        <v>4817670.7712000003</v>
      </c>
      <c r="Y316" s="5">
        <v>2.7437</v>
      </c>
      <c r="Z316">
        <v>21.999300000000002</v>
      </c>
      <c r="AA316">
        <v>0.74739999999999995</v>
      </c>
      <c r="AB316">
        <v>6.3789999999999996</v>
      </c>
      <c r="AC316">
        <v>-0.68430000000000002</v>
      </c>
      <c r="AD316">
        <v>0</v>
      </c>
      <c r="AE316">
        <v>64.557599999999994</v>
      </c>
      <c r="AF316">
        <v>50.478400000000001</v>
      </c>
      <c r="AG316">
        <v>2859.5010000000002</v>
      </c>
      <c r="AH316">
        <v>1359862.3411999999</v>
      </c>
      <c r="AK316">
        <v>4.3860999999999999</v>
      </c>
      <c r="AL316">
        <v>21.453199999999999</v>
      </c>
      <c r="AM316">
        <v>0.63439999999999996</v>
      </c>
      <c r="AN316">
        <v>5.8999999999999999E-3</v>
      </c>
      <c r="AO316">
        <v>-0.55600000000000005</v>
      </c>
      <c r="AP316">
        <v>0</v>
      </c>
      <c r="AQ316">
        <v>47.956499999999998</v>
      </c>
      <c r="AR316">
        <v>36.885899999999999</v>
      </c>
      <c r="AS316">
        <v>1893.64</v>
      </c>
      <c r="AT316">
        <v>1147258.3910999999</v>
      </c>
      <c r="AV316">
        <v>4.5506000000000002</v>
      </c>
      <c r="AW316">
        <v>5.8390000000000004</v>
      </c>
      <c r="AX316">
        <v>0.34089999999999998</v>
      </c>
      <c r="AY316">
        <v>21.328900000000001</v>
      </c>
      <c r="AZ316">
        <v>0.22950000000000001</v>
      </c>
      <c r="BA316" t="s">
        <v>23</v>
      </c>
      <c r="BB316">
        <v>11.697900000000001</v>
      </c>
      <c r="BC316">
        <v>4.0204000000000004</v>
      </c>
      <c r="BD316">
        <v>1740</v>
      </c>
      <c r="BE316">
        <v>1523687.2385</v>
      </c>
      <c r="BH316" s="5">
        <v>3.3820999999999999</v>
      </c>
      <c r="BI316">
        <v>27.023499999999999</v>
      </c>
      <c r="BJ316">
        <v>0.81320000000000003</v>
      </c>
      <c r="BK316">
        <v>3.6053999999999999</v>
      </c>
      <c r="BL316">
        <v>-0.22650000000000001</v>
      </c>
      <c r="BM316">
        <v>0</v>
      </c>
      <c r="BN316">
        <v>23.638500000000001</v>
      </c>
      <c r="BO316">
        <v>19.125699999999998</v>
      </c>
      <c r="BP316">
        <v>1853.173</v>
      </c>
      <c r="BQ316">
        <v>1155417.5522</v>
      </c>
      <c r="CE316" s="1">
        <f t="shared" si="35"/>
        <v>45821</v>
      </c>
      <c r="CF316" s="35">
        <f t="shared" si="34"/>
        <v>5.0909922915458958</v>
      </c>
      <c r="CG316" s="36">
        <f t="shared" si="33"/>
        <v>0.12482173355177552</v>
      </c>
      <c r="CH316">
        <f t="shared" ca="1" si="36"/>
        <v>2.0426741443069178</v>
      </c>
      <c r="CI316">
        <f t="shared" ca="1" si="37"/>
        <v>1.5239910951836904</v>
      </c>
      <c r="CJ316">
        <f t="shared" ca="1" si="38"/>
        <v>1.0414401466498577</v>
      </c>
      <c r="CK316">
        <f t="shared" ca="1" si="39"/>
        <v>0.60708290786351016</v>
      </c>
      <c r="CL316">
        <f t="shared" ca="1" si="40"/>
        <v>0.12621085830338161</v>
      </c>
    </row>
    <row r="317" spans="1:90" x14ac:dyDescent="0.25">
      <c r="A317" s="43">
        <v>45828</v>
      </c>
      <c r="B317" s="5">
        <v>8.6731999999999996</v>
      </c>
      <c r="C317">
        <v>3.2250000000000001</v>
      </c>
      <c r="D317">
        <v>0.1845</v>
      </c>
      <c r="E317">
        <v>16.493400000000001</v>
      </c>
      <c r="F317">
        <v>0.5232</v>
      </c>
      <c r="G317">
        <v>12.394</v>
      </c>
      <c r="H317">
        <v>28.8154</v>
      </c>
      <c r="I317">
        <v>14.2547</v>
      </c>
      <c r="J317">
        <v>1242.606</v>
      </c>
      <c r="K317">
        <v>2163770.4685999998</v>
      </c>
      <c r="M317" s="43">
        <v>45828</v>
      </c>
      <c r="N317" s="5">
        <v>4.97</v>
      </c>
      <c r="O317">
        <v>14.7561</v>
      </c>
      <c r="P317">
        <v>0.7611</v>
      </c>
      <c r="Q317">
        <v>18.9114</v>
      </c>
      <c r="R317">
        <v>-8.1000000000000003E-2</v>
      </c>
      <c r="S317">
        <v>195.11080000000001</v>
      </c>
      <c r="T317">
        <v>58.838999999999999</v>
      </c>
      <c r="U317">
        <v>47.596299999999999</v>
      </c>
      <c r="V317">
        <v>6620</v>
      </c>
      <c r="W317">
        <v>4983278.2039999999</v>
      </c>
      <c r="Y317" s="5">
        <v>2.6496</v>
      </c>
      <c r="Z317">
        <v>21.999300000000002</v>
      </c>
      <c r="AA317">
        <v>0.74739999999999995</v>
      </c>
      <c r="AB317">
        <v>6.3789999999999996</v>
      </c>
      <c r="AC317">
        <v>-0.68430000000000002</v>
      </c>
      <c r="AD317">
        <v>0</v>
      </c>
      <c r="AE317">
        <v>64.557599999999994</v>
      </c>
      <c r="AF317">
        <v>50.478400000000001</v>
      </c>
      <c r="AG317">
        <v>2780.9690000000001</v>
      </c>
      <c r="AH317">
        <v>1322515.5563999999</v>
      </c>
      <c r="AK317">
        <v>4.07</v>
      </c>
      <c r="AL317">
        <v>21.453199999999999</v>
      </c>
      <c r="AM317">
        <v>0.63439999999999996</v>
      </c>
      <c r="AN317">
        <v>5.8999999999999999E-3</v>
      </c>
      <c r="AO317">
        <v>-0.55600000000000005</v>
      </c>
      <c r="AP317">
        <v>0</v>
      </c>
      <c r="AQ317">
        <v>47.956499999999998</v>
      </c>
      <c r="AR317">
        <v>36.885899999999999</v>
      </c>
      <c r="AS317">
        <v>1772.5350000000001</v>
      </c>
      <c r="AT317">
        <v>1073887.2149</v>
      </c>
      <c r="AV317">
        <v>4.4389000000000003</v>
      </c>
      <c r="AW317">
        <v>5.8390000000000004</v>
      </c>
      <c r="AX317">
        <v>0.34089999999999998</v>
      </c>
      <c r="AY317">
        <v>21.328900000000001</v>
      </c>
      <c r="AZ317">
        <v>0.22950000000000001</v>
      </c>
      <c r="BA317" t="s">
        <v>23</v>
      </c>
      <c r="BB317">
        <v>11.697900000000001</v>
      </c>
      <c r="BC317">
        <v>4.0204000000000004</v>
      </c>
      <c r="BD317">
        <v>1695</v>
      </c>
      <c r="BE317">
        <v>1484281.5341</v>
      </c>
      <c r="BH317" s="5">
        <v>3.2401</v>
      </c>
      <c r="BI317">
        <v>27.023499999999999</v>
      </c>
      <c r="BJ317">
        <v>0.81320000000000003</v>
      </c>
      <c r="BK317">
        <v>3.6053999999999999</v>
      </c>
      <c r="BL317">
        <v>-0.22650000000000001</v>
      </c>
      <c r="BM317">
        <v>0</v>
      </c>
      <c r="BN317">
        <v>23.638500000000001</v>
      </c>
      <c r="BO317">
        <v>19.125699999999998</v>
      </c>
      <c r="BP317">
        <v>1780.1410000000001</v>
      </c>
      <c r="BQ317">
        <v>1109883.8555999999</v>
      </c>
      <c r="CE317" s="1">
        <f t="shared" si="35"/>
        <v>45828</v>
      </c>
      <c r="CF317" s="35">
        <f t="shared" si="34"/>
        <v>5.0745774653853148</v>
      </c>
      <c r="CG317" s="36">
        <f t="shared" si="33"/>
        <v>0.11709181624863467</v>
      </c>
      <c r="CH317">
        <f t="shared" ca="1" si="36"/>
        <v>1.8899681472687797</v>
      </c>
      <c r="CI317">
        <f t="shared" ca="1" si="37"/>
        <v>1.4821864578342174</v>
      </c>
      <c r="CJ317">
        <f t="shared" ca="1" si="38"/>
        <v>0.93482955961770842</v>
      </c>
      <c r="CK317">
        <f t="shared" ca="1" si="39"/>
        <v>0.5800638900976387</v>
      </c>
      <c r="CL317">
        <f t="shared" ca="1" si="40"/>
        <v>0.12322891952468086</v>
      </c>
    </row>
    <row r="318" spans="1:90" x14ac:dyDescent="0.25">
      <c r="A318" s="43">
        <v>45835</v>
      </c>
      <c r="B318" s="5">
        <v>8.5902999999999992</v>
      </c>
      <c r="C318">
        <v>3.2250000000000001</v>
      </c>
      <c r="D318">
        <v>0.1845</v>
      </c>
      <c r="E318">
        <v>16.493400000000001</v>
      </c>
      <c r="F318">
        <v>0.5232</v>
      </c>
      <c r="G318">
        <v>12.394</v>
      </c>
      <c r="H318">
        <v>28.8154</v>
      </c>
      <c r="I318">
        <v>14.2547</v>
      </c>
      <c r="J318">
        <v>1229.662</v>
      </c>
      <c r="K318">
        <v>2141231.1929000001</v>
      </c>
      <c r="M318" s="43">
        <v>45835</v>
      </c>
      <c r="N318" s="5">
        <v>4.7106000000000003</v>
      </c>
      <c r="O318">
        <v>14.7561</v>
      </c>
      <c r="P318">
        <v>0.7611</v>
      </c>
      <c r="Q318">
        <v>18.9114</v>
      </c>
      <c r="R318">
        <v>-8.1000000000000003E-2</v>
      </c>
      <c r="S318">
        <v>195.11080000000001</v>
      </c>
      <c r="T318">
        <v>58.838999999999999</v>
      </c>
      <c r="U318">
        <v>47.596299999999999</v>
      </c>
      <c r="V318">
        <v>6280</v>
      </c>
      <c r="W318">
        <v>4727339.4441999998</v>
      </c>
      <c r="Y318" s="5">
        <v>2.5444</v>
      </c>
      <c r="Z318">
        <v>21.999300000000002</v>
      </c>
      <c r="AA318">
        <v>0.74739999999999995</v>
      </c>
      <c r="AB318">
        <v>6.3789999999999996</v>
      </c>
      <c r="AC318">
        <v>-0.68430000000000002</v>
      </c>
      <c r="AD318">
        <v>0</v>
      </c>
      <c r="AE318">
        <v>64.557599999999994</v>
      </c>
      <c r="AF318">
        <v>50.478400000000001</v>
      </c>
      <c r="AG318">
        <v>2693.1979999999999</v>
      </c>
      <c r="AH318">
        <v>1280775.0322</v>
      </c>
      <c r="AK318">
        <v>3.4762</v>
      </c>
      <c r="AL318">
        <v>21.453199999999999</v>
      </c>
      <c r="AM318">
        <v>0.63439999999999996</v>
      </c>
      <c r="AN318">
        <v>5.8999999999999999E-3</v>
      </c>
      <c r="AO318">
        <v>-0.55600000000000005</v>
      </c>
      <c r="AP318">
        <v>0</v>
      </c>
      <c r="AQ318">
        <v>47.956499999999998</v>
      </c>
      <c r="AR318">
        <v>36.885899999999999</v>
      </c>
      <c r="AS318">
        <v>1545.0050000000001</v>
      </c>
      <c r="AT318">
        <v>936038.33849999995</v>
      </c>
      <c r="AV318">
        <v>4.3643999999999998</v>
      </c>
      <c r="AW318">
        <v>5.8390000000000004</v>
      </c>
      <c r="AX318">
        <v>0.34089999999999998</v>
      </c>
      <c r="AY318">
        <v>21.328900000000001</v>
      </c>
      <c r="AZ318">
        <v>0.22950000000000001</v>
      </c>
      <c r="BA318" t="s">
        <v>23</v>
      </c>
      <c r="BB318">
        <v>11.697900000000001</v>
      </c>
      <c r="BC318">
        <v>4.0204000000000004</v>
      </c>
      <c r="BD318">
        <v>1665</v>
      </c>
      <c r="BE318">
        <v>1458011.0645000001</v>
      </c>
      <c r="BH318" s="5">
        <v>3.2667000000000002</v>
      </c>
      <c r="BI318">
        <v>27.023499999999999</v>
      </c>
      <c r="BJ318">
        <v>0.81320000000000003</v>
      </c>
      <c r="BK318">
        <v>3.6053999999999999</v>
      </c>
      <c r="BL318">
        <v>-0.22650000000000001</v>
      </c>
      <c r="BM318">
        <v>0</v>
      </c>
      <c r="BN318">
        <v>23.638500000000001</v>
      </c>
      <c r="BO318">
        <v>19.125699999999998</v>
      </c>
      <c r="BP318">
        <v>1793.835</v>
      </c>
      <c r="BQ318">
        <v>1118421.4236999999</v>
      </c>
      <c r="CE318" s="1">
        <f t="shared" si="35"/>
        <v>45835</v>
      </c>
      <c r="CF318" s="35">
        <f t="shared" si="34"/>
        <v>4.9042080829142014</v>
      </c>
      <c r="CG318" s="36">
        <f t="shared" si="33"/>
        <v>3.6863050826103506E-2</v>
      </c>
      <c r="CH318">
        <f t="shared" ca="1" si="36"/>
        <v>1.8745729833875293</v>
      </c>
      <c r="CI318">
        <f t="shared" ca="1" si="37"/>
        <v>1.4742598229289621</v>
      </c>
      <c r="CJ318">
        <f t="shared" ca="1" si="38"/>
        <v>0.83652045420487409</v>
      </c>
      <c r="CK318">
        <f t="shared" ca="1" si="39"/>
        <v>0.49961139062711946</v>
      </c>
      <c r="CL318">
        <f t="shared" ca="1" si="40"/>
        <v>0.11768782864260491</v>
      </c>
    </row>
    <row r="319" spans="1:90" x14ac:dyDescent="0.25">
      <c r="A319" s="43">
        <v>45842</v>
      </c>
      <c r="B319" s="5">
        <v>8.0762999999999998</v>
      </c>
      <c r="C319">
        <v>5.1032000000000002</v>
      </c>
      <c r="D319">
        <v>0.23530000000000001</v>
      </c>
      <c r="E319">
        <v>16.112100000000002</v>
      </c>
      <c r="F319">
        <v>0.61599999999999999</v>
      </c>
      <c r="G319">
        <v>12.394</v>
      </c>
      <c r="H319">
        <v>31.165700000000001</v>
      </c>
      <c r="I319">
        <v>16.596900000000002</v>
      </c>
      <c r="J319">
        <v>1229.662</v>
      </c>
      <c r="K319">
        <v>2141231.1929000001</v>
      </c>
      <c r="M319" s="43">
        <v>45842</v>
      </c>
      <c r="N319" s="5">
        <v>5.0933000000000002</v>
      </c>
      <c r="O319">
        <v>17.3033</v>
      </c>
      <c r="P319">
        <v>0.79649999999999999</v>
      </c>
      <c r="Q319">
        <v>21.0457</v>
      </c>
      <c r="R319">
        <v>-2.3E-3</v>
      </c>
      <c r="S319">
        <v>0</v>
      </c>
      <c r="T319">
        <v>56.368699999999997</v>
      </c>
      <c r="U319">
        <v>44.298200000000001</v>
      </c>
      <c r="V319">
        <v>6760</v>
      </c>
      <c r="W319">
        <v>5088664.7521000002</v>
      </c>
      <c r="Y319" s="5">
        <v>2.7591000000000001</v>
      </c>
      <c r="Z319">
        <v>22.916599999999999</v>
      </c>
      <c r="AA319">
        <v>0.8407</v>
      </c>
      <c r="AB319">
        <v>7.8338999999999999</v>
      </c>
      <c r="AC319">
        <v>-0.40479999999999999</v>
      </c>
      <c r="AD319">
        <v>0</v>
      </c>
      <c r="AE319">
        <v>63.373899999999999</v>
      </c>
      <c r="AF319">
        <v>49.948099999999997</v>
      </c>
      <c r="AG319">
        <v>2744.0129999999999</v>
      </c>
      <c r="AH319">
        <v>1304940.5988</v>
      </c>
      <c r="AK319">
        <v>2.9590000000000001</v>
      </c>
      <c r="AL319">
        <v>22.7927</v>
      </c>
      <c r="AM319">
        <v>0.69040000000000001</v>
      </c>
      <c r="AN319">
        <v>6.0000000000000001E-3</v>
      </c>
      <c r="AO319">
        <v>-0.53979999999999995</v>
      </c>
      <c r="AP319">
        <v>246.3931</v>
      </c>
      <c r="AQ319">
        <v>52.701799999999999</v>
      </c>
      <c r="AR319">
        <v>42.039000000000001</v>
      </c>
      <c r="AS319">
        <v>1633.0809999999999</v>
      </c>
      <c r="AT319">
        <v>989399.19389999995</v>
      </c>
      <c r="AV319">
        <v>4.2935999999999996</v>
      </c>
      <c r="AW319">
        <v>2.7486999999999999</v>
      </c>
      <c r="AX319">
        <v>0.2747</v>
      </c>
      <c r="AY319">
        <v>22.915500000000002</v>
      </c>
      <c r="AZ319">
        <v>0.45</v>
      </c>
      <c r="BA319" t="s">
        <v>23</v>
      </c>
      <c r="BB319">
        <v>11.470800000000001</v>
      </c>
      <c r="BC319">
        <v>2.2391000000000001</v>
      </c>
      <c r="BD319">
        <v>1630</v>
      </c>
      <c r="BE319">
        <v>1427362.1832000001</v>
      </c>
      <c r="BH319" s="5">
        <v>3.3020999999999998</v>
      </c>
      <c r="BI319">
        <v>18.584900000000001</v>
      </c>
      <c r="BJ319">
        <v>0.55859999999999999</v>
      </c>
      <c r="BK319">
        <v>8.2711000000000006</v>
      </c>
      <c r="BL319">
        <v>-0.11360000000000001</v>
      </c>
      <c r="BM319">
        <v>0</v>
      </c>
      <c r="BN319">
        <v>23.4071</v>
      </c>
      <c r="BO319">
        <v>18.676500000000001</v>
      </c>
      <c r="BP319">
        <v>1807.528</v>
      </c>
      <c r="BQ319">
        <v>1126958.9918</v>
      </c>
      <c r="CE319" s="1">
        <f t="shared" si="35"/>
        <v>45842</v>
      </c>
      <c r="CF319" s="35">
        <f t="shared" si="34"/>
        <v>4.9334758674642272</v>
      </c>
      <c r="CG319" s="36">
        <f t="shared" si="33"/>
        <v>5.0645563781442346E-2</v>
      </c>
      <c r="CH319">
        <f t="shared" ca="1" si="36"/>
        <v>1.8745729833875293</v>
      </c>
      <c r="CI319">
        <f t="shared" ca="1" si="37"/>
        <v>1.47028513306695</v>
      </c>
      <c r="CJ319">
        <f t="shared" ca="1" si="38"/>
        <v>0.79548606470387706</v>
      </c>
      <c r="CK319">
        <f t="shared" ca="1" si="39"/>
        <v>0.39473108552675185</v>
      </c>
      <c r="CL319">
        <f t="shared" ca="1" si="40"/>
        <v>6.6833084639488588E-2</v>
      </c>
    </row>
    <row r="320" spans="1:90" x14ac:dyDescent="0.25">
      <c r="A320" s="43">
        <v>45849</v>
      </c>
      <c r="B320" s="5">
        <v>7.9230999999999998</v>
      </c>
      <c r="C320">
        <v>5.1032000000000002</v>
      </c>
      <c r="D320">
        <v>0.23530000000000001</v>
      </c>
      <c r="E320">
        <v>16.112100000000002</v>
      </c>
      <c r="F320">
        <v>0.61599999999999999</v>
      </c>
      <c r="G320">
        <v>12.394</v>
      </c>
      <c r="H320">
        <v>31.165700000000001</v>
      </c>
      <c r="I320">
        <v>16.596900000000002</v>
      </c>
      <c r="J320">
        <v>1203.7750000000001</v>
      </c>
      <c r="K320">
        <v>2096152.6414999999</v>
      </c>
      <c r="M320" s="43">
        <v>45849</v>
      </c>
      <c r="N320" s="5">
        <v>4.7389999999999999</v>
      </c>
      <c r="O320">
        <v>17.3033</v>
      </c>
      <c r="P320">
        <v>0.79649999999999999</v>
      </c>
      <c r="Q320">
        <v>21.0457</v>
      </c>
      <c r="R320">
        <v>-2.3E-3</v>
      </c>
      <c r="S320">
        <v>0</v>
      </c>
      <c r="T320">
        <v>56.368699999999997</v>
      </c>
      <c r="U320">
        <v>44.298200000000001</v>
      </c>
      <c r="V320">
        <v>6290</v>
      </c>
      <c r="W320">
        <v>4734867.0548</v>
      </c>
      <c r="Y320" s="5">
        <v>2.5194000000000001</v>
      </c>
      <c r="Z320">
        <v>22.916599999999999</v>
      </c>
      <c r="AA320">
        <v>0.8407</v>
      </c>
      <c r="AB320">
        <v>7.8338999999999999</v>
      </c>
      <c r="AC320">
        <v>-0.40479999999999999</v>
      </c>
      <c r="AD320">
        <v>0</v>
      </c>
      <c r="AE320">
        <v>63.373899999999999</v>
      </c>
      <c r="AF320">
        <v>49.948099999999997</v>
      </c>
      <c r="AG320">
        <v>2536.1329999999998</v>
      </c>
      <c r="AH320">
        <v>1206081.4626</v>
      </c>
      <c r="AK320">
        <v>2.9039000000000001</v>
      </c>
      <c r="AL320">
        <v>22.7927</v>
      </c>
      <c r="AM320">
        <v>0.69040000000000001</v>
      </c>
      <c r="AN320">
        <v>6.0000000000000001E-3</v>
      </c>
      <c r="AO320">
        <v>-0.53979999999999995</v>
      </c>
      <c r="AP320">
        <v>246.3931</v>
      </c>
      <c r="AQ320">
        <v>52.701799999999999</v>
      </c>
      <c r="AR320">
        <v>42.039000000000001</v>
      </c>
      <c r="AS320">
        <v>1607.3920000000001</v>
      </c>
      <c r="AT320">
        <v>973835.61109999998</v>
      </c>
      <c r="AV320">
        <v>4.1993</v>
      </c>
      <c r="AW320">
        <v>2.7486999999999999</v>
      </c>
      <c r="AX320">
        <v>0.2747</v>
      </c>
      <c r="AY320">
        <v>22.915500000000002</v>
      </c>
      <c r="AZ320">
        <v>0.45</v>
      </c>
      <c r="BA320" t="s">
        <v>23</v>
      </c>
      <c r="BB320">
        <v>11.470800000000001</v>
      </c>
      <c r="BC320">
        <v>2.2391000000000001</v>
      </c>
      <c r="BD320">
        <v>1590</v>
      </c>
      <c r="BE320">
        <v>1392334.8903999999</v>
      </c>
      <c r="BH320" s="5">
        <v>3.1816</v>
      </c>
      <c r="BI320">
        <v>18.584900000000001</v>
      </c>
      <c r="BJ320">
        <v>0.55859999999999999</v>
      </c>
      <c r="BK320">
        <v>8.2711000000000006</v>
      </c>
      <c r="BL320">
        <v>-0.11360000000000001</v>
      </c>
      <c r="BM320">
        <v>0</v>
      </c>
      <c r="BN320">
        <v>23.4071</v>
      </c>
      <c r="BO320">
        <v>18.676500000000001</v>
      </c>
      <c r="BP320">
        <v>1743.626</v>
      </c>
      <c r="BQ320">
        <v>1087117.0072999999</v>
      </c>
      <c r="CE320" s="1">
        <f t="shared" si="35"/>
        <v>45849</v>
      </c>
      <c r="CF320" s="35">
        <f t="shared" si="34"/>
        <v>4.7186122052256723</v>
      </c>
      <c r="CG320" s="36">
        <f t="shared" si="33"/>
        <v>-5.053603414144605E-2</v>
      </c>
      <c r="CH320">
        <f t="shared" ca="1" si="36"/>
        <v>1.8745729833875293</v>
      </c>
      <c r="CI320">
        <f t="shared" ca="1" si="37"/>
        <v>1.4037872865266914</v>
      </c>
      <c r="CJ320">
        <f t="shared" ca="1" si="38"/>
        <v>0.76682265853156983</v>
      </c>
      <c r="CK320">
        <f t="shared" ca="1" si="39"/>
        <v>0.37567214664306914</v>
      </c>
      <c r="CL320">
        <f t="shared" ca="1" si="40"/>
        <v>5.1705885516034236E-2</v>
      </c>
    </row>
    <row r="321" spans="1:90" x14ac:dyDescent="0.25">
      <c r="A321" s="43">
        <v>45856</v>
      </c>
      <c r="B321" s="5">
        <v>8.3316999999999997</v>
      </c>
      <c r="C321">
        <v>5.1032000000000002</v>
      </c>
      <c r="D321">
        <v>0.23530000000000001</v>
      </c>
      <c r="E321">
        <v>16.112100000000002</v>
      </c>
      <c r="F321">
        <v>0.61599999999999999</v>
      </c>
      <c r="G321">
        <v>12.394</v>
      </c>
      <c r="H321">
        <v>31.165700000000001</v>
      </c>
      <c r="I321">
        <v>16.596900000000002</v>
      </c>
      <c r="J321">
        <v>1272.808</v>
      </c>
      <c r="K321">
        <v>2216362.1120000002</v>
      </c>
      <c r="M321" s="43">
        <v>45856</v>
      </c>
      <c r="N321" s="5">
        <v>5.0707000000000004</v>
      </c>
      <c r="O321">
        <v>17.3033</v>
      </c>
      <c r="P321">
        <v>0.79649999999999999</v>
      </c>
      <c r="Q321">
        <v>21.0457</v>
      </c>
      <c r="R321">
        <v>-2.3E-3</v>
      </c>
      <c r="S321">
        <v>0</v>
      </c>
      <c r="T321">
        <v>56.368699999999997</v>
      </c>
      <c r="U321">
        <v>44.298200000000001</v>
      </c>
      <c r="V321">
        <v>6730</v>
      </c>
      <c r="W321">
        <v>5066081.9203000003</v>
      </c>
      <c r="Y321" s="5">
        <v>2.7804000000000002</v>
      </c>
      <c r="Z321">
        <v>22.916599999999999</v>
      </c>
      <c r="AA321">
        <v>0.8407</v>
      </c>
      <c r="AB321">
        <v>7.8338999999999999</v>
      </c>
      <c r="AC321">
        <v>-0.40479999999999999</v>
      </c>
      <c r="AD321">
        <v>0</v>
      </c>
      <c r="AE321">
        <v>63.373899999999999</v>
      </c>
      <c r="AF321">
        <v>49.948099999999997</v>
      </c>
      <c r="AG321">
        <v>2762.491</v>
      </c>
      <c r="AH321">
        <v>1313728.0776</v>
      </c>
      <c r="AK321">
        <v>3.2105000000000001</v>
      </c>
      <c r="AL321">
        <v>22.7927</v>
      </c>
      <c r="AM321">
        <v>0.69040000000000001</v>
      </c>
      <c r="AN321">
        <v>6.0000000000000001E-3</v>
      </c>
      <c r="AO321">
        <v>-0.53979999999999995</v>
      </c>
      <c r="AP321">
        <v>246.3931</v>
      </c>
      <c r="AQ321">
        <v>52.701799999999999</v>
      </c>
      <c r="AR321">
        <v>42.039000000000001</v>
      </c>
      <c r="AS321">
        <v>1750.5160000000001</v>
      </c>
      <c r="AT321">
        <v>1060547.0011</v>
      </c>
      <c r="AV321">
        <v>4.2817999999999996</v>
      </c>
      <c r="AW321">
        <v>2.7486999999999999</v>
      </c>
      <c r="AX321">
        <v>0.2747</v>
      </c>
      <c r="AY321">
        <v>22.915500000000002</v>
      </c>
      <c r="AZ321">
        <v>0.45</v>
      </c>
      <c r="BA321" t="s">
        <v>23</v>
      </c>
      <c r="BB321">
        <v>11.470800000000001</v>
      </c>
      <c r="BC321">
        <v>2.2391000000000001</v>
      </c>
      <c r="BD321">
        <v>1625</v>
      </c>
      <c r="BE321">
        <v>1422983.7716000001</v>
      </c>
      <c r="BH321" s="5">
        <v>3.2332000000000001</v>
      </c>
      <c r="BI321">
        <v>18.584900000000001</v>
      </c>
      <c r="BJ321">
        <v>0.55859999999999999</v>
      </c>
      <c r="BK321">
        <v>8.2711000000000006</v>
      </c>
      <c r="BL321">
        <v>-0.11360000000000001</v>
      </c>
      <c r="BM321">
        <v>0</v>
      </c>
      <c r="BN321">
        <v>23.4071</v>
      </c>
      <c r="BO321">
        <v>18.676500000000001</v>
      </c>
      <c r="BP321">
        <v>1771.0119999999999</v>
      </c>
      <c r="BQ321">
        <v>1104192.1435</v>
      </c>
      <c r="CE321" s="1">
        <f t="shared" si="35"/>
        <v>45856</v>
      </c>
      <c r="CF321" s="35">
        <f t="shared" si="34"/>
        <v>4.9963683466577855</v>
      </c>
      <c r="CG321" s="36">
        <f t="shared" si="33"/>
        <v>8.0262305280854304E-2</v>
      </c>
      <c r="CH321">
        <f t="shared" ca="1" si="36"/>
        <v>1.8707823494598224</v>
      </c>
      <c r="CI321">
        <f t="shared" ca="1" si="37"/>
        <v>1.375271831025854</v>
      </c>
      <c r="CJ321">
        <f t="shared" ca="1" si="38"/>
        <v>0.74084421204515949</v>
      </c>
      <c r="CK321">
        <f t="shared" ca="1" si="39"/>
        <v>0.34171270434248757</v>
      </c>
      <c r="CL321">
        <f t="shared" ca="1" si="40"/>
        <v>3.8241302121637399E-2</v>
      </c>
    </row>
    <row r="322" spans="1:90" x14ac:dyDescent="0.25">
      <c r="A322" s="43">
        <v>45863</v>
      </c>
      <c r="B322" s="5">
        <v>8.7912999999999997</v>
      </c>
      <c r="C322">
        <v>5.1032000000000002</v>
      </c>
      <c r="D322">
        <v>0.23530000000000001</v>
      </c>
      <c r="E322">
        <v>16.112100000000002</v>
      </c>
      <c r="F322">
        <v>0.61599999999999999</v>
      </c>
      <c r="G322">
        <v>12.394</v>
      </c>
      <c r="H322">
        <v>31.165700000000001</v>
      </c>
      <c r="I322">
        <v>16.596900000000002</v>
      </c>
      <c r="J322">
        <v>1350.471</v>
      </c>
      <c r="K322">
        <v>2351597.7662999998</v>
      </c>
      <c r="M322" s="43">
        <v>45863</v>
      </c>
      <c r="N322" s="5">
        <v>5.3872</v>
      </c>
      <c r="O322">
        <v>17.3033</v>
      </c>
      <c r="P322">
        <v>0.79649999999999999</v>
      </c>
      <c r="Q322">
        <v>21.0457</v>
      </c>
      <c r="R322">
        <v>-2.3E-3</v>
      </c>
      <c r="S322">
        <v>0</v>
      </c>
      <c r="T322">
        <v>56.368699999999997</v>
      </c>
      <c r="U322">
        <v>44.298200000000001</v>
      </c>
      <c r="V322">
        <v>7150</v>
      </c>
      <c r="W322">
        <v>5382241.5647</v>
      </c>
      <c r="Y322" s="5">
        <v>3.0893000000000002</v>
      </c>
      <c r="Z322">
        <v>22.916599999999999</v>
      </c>
      <c r="AA322">
        <v>0.8407</v>
      </c>
      <c r="AB322">
        <v>7.8338999999999999</v>
      </c>
      <c r="AC322">
        <v>-0.40479999999999999</v>
      </c>
      <c r="AD322">
        <v>0</v>
      </c>
      <c r="AE322">
        <v>63.373899999999999</v>
      </c>
      <c r="AF322">
        <v>49.948099999999997</v>
      </c>
      <c r="AG322">
        <v>3030.4250000000002</v>
      </c>
      <c r="AH322">
        <v>1441146.5199</v>
      </c>
      <c r="AK322">
        <v>3.4621</v>
      </c>
      <c r="AL322">
        <v>22.7927</v>
      </c>
      <c r="AM322">
        <v>0.69040000000000001</v>
      </c>
      <c r="AN322">
        <v>6.0000000000000001E-3</v>
      </c>
      <c r="AO322">
        <v>-0.53979999999999995</v>
      </c>
      <c r="AP322">
        <v>246.3931</v>
      </c>
      <c r="AQ322">
        <v>52.701799999999999</v>
      </c>
      <c r="AR322">
        <v>42.039000000000001</v>
      </c>
      <c r="AS322">
        <v>1867.951</v>
      </c>
      <c r="AT322">
        <v>1131694.8082999999</v>
      </c>
      <c r="AV322">
        <v>4.4939999999999998</v>
      </c>
      <c r="AW322">
        <v>2.7486999999999999</v>
      </c>
      <c r="AX322">
        <v>0.2747</v>
      </c>
      <c r="AY322">
        <v>22.915500000000002</v>
      </c>
      <c r="AZ322">
        <v>0.45</v>
      </c>
      <c r="BA322" t="s">
        <v>23</v>
      </c>
      <c r="BB322">
        <v>11.470800000000001</v>
      </c>
      <c r="BC322">
        <v>2.2391000000000001</v>
      </c>
      <c r="BD322">
        <v>1715</v>
      </c>
      <c r="BE322">
        <v>1501795.1805</v>
      </c>
      <c r="BH322" s="5">
        <v>3.4140000000000001</v>
      </c>
      <c r="BI322">
        <v>18.584900000000001</v>
      </c>
      <c r="BJ322">
        <v>0.55859999999999999</v>
      </c>
      <c r="BK322">
        <v>8.2711000000000006</v>
      </c>
      <c r="BL322">
        <v>-0.11360000000000001</v>
      </c>
      <c r="BM322">
        <v>0</v>
      </c>
      <c r="BN322">
        <v>23.4071</v>
      </c>
      <c r="BO322">
        <v>18.676500000000001</v>
      </c>
      <c r="BP322">
        <v>1866.866</v>
      </c>
      <c r="BQ322">
        <v>1163955.1203999999</v>
      </c>
      <c r="CE322" s="1">
        <f t="shared" si="35"/>
        <v>45863</v>
      </c>
      <c r="CF322" s="35">
        <f t="shared" si="34"/>
        <v>5.3006100609573075</v>
      </c>
      <c r="CG322" s="36">
        <f t="shared" si="33"/>
        <v>0.22353298440316485</v>
      </c>
      <c r="CH322">
        <f t="shared" ca="1" si="36"/>
        <v>1.8707823494598224</v>
      </c>
      <c r="CI322">
        <f t="shared" ca="1" si="37"/>
        <v>1.375271831025854</v>
      </c>
      <c r="CJ322">
        <f t="shared" ca="1" si="38"/>
        <v>0.70834347190973646</v>
      </c>
      <c r="CK322">
        <f t="shared" ca="1" si="39"/>
        <v>0.26451874958292876</v>
      </c>
      <c r="CL322">
        <f t="shared" ca="1" si="40"/>
        <v>3.8241302121637399E-2</v>
      </c>
    </row>
    <row r="323" spans="1:90" x14ac:dyDescent="0.25">
      <c r="A323" s="43">
        <v>45870</v>
      </c>
      <c r="B323" s="5">
        <v>9.2254000000000005</v>
      </c>
      <c r="C323">
        <v>5.1032000000000002</v>
      </c>
      <c r="D323">
        <v>0.23530000000000001</v>
      </c>
      <c r="E323">
        <v>16.112100000000002</v>
      </c>
      <c r="F323">
        <v>0.61599999999999999</v>
      </c>
      <c r="G323">
        <v>12.394</v>
      </c>
      <c r="H323">
        <v>31.165700000000001</v>
      </c>
      <c r="I323">
        <v>16.596900000000002</v>
      </c>
      <c r="J323">
        <v>1423.82</v>
      </c>
      <c r="K323">
        <v>2479320.3287</v>
      </c>
      <c r="M323" s="43">
        <v>45870</v>
      </c>
      <c r="N323" s="5">
        <v>5.8094000000000001</v>
      </c>
      <c r="O323">
        <v>17.3033</v>
      </c>
      <c r="P323">
        <v>0.79649999999999999</v>
      </c>
      <c r="Q323">
        <v>21.0457</v>
      </c>
      <c r="R323">
        <v>-2.3E-3</v>
      </c>
      <c r="S323">
        <v>0</v>
      </c>
      <c r="T323">
        <v>56.368699999999997</v>
      </c>
      <c r="U323">
        <v>44.298200000000001</v>
      </c>
      <c r="V323">
        <v>7710</v>
      </c>
      <c r="W323">
        <v>5803787.7571999999</v>
      </c>
      <c r="Y323" s="5">
        <v>3.0840000000000001</v>
      </c>
      <c r="Z323">
        <v>22.916599999999999</v>
      </c>
      <c r="AA323">
        <v>0.8407</v>
      </c>
      <c r="AB323">
        <v>7.8338999999999999</v>
      </c>
      <c r="AC323">
        <v>-0.40479999999999999</v>
      </c>
      <c r="AD323">
        <v>0</v>
      </c>
      <c r="AE323">
        <v>63.373899999999999</v>
      </c>
      <c r="AF323">
        <v>49.948099999999997</v>
      </c>
      <c r="AG323">
        <v>3025.8049999999998</v>
      </c>
      <c r="AH323">
        <v>1438949.6502</v>
      </c>
      <c r="AK323">
        <v>3.6743999999999999</v>
      </c>
      <c r="AL323">
        <v>22.7927</v>
      </c>
      <c r="AM323">
        <v>0.69040000000000001</v>
      </c>
      <c r="AN323">
        <v>6.0000000000000001E-3</v>
      </c>
      <c r="AO323">
        <v>-0.53979999999999995</v>
      </c>
      <c r="AP323">
        <v>246.3931</v>
      </c>
      <c r="AQ323">
        <v>52.701799999999999</v>
      </c>
      <c r="AR323">
        <v>42.039000000000001</v>
      </c>
      <c r="AS323">
        <v>1967.037</v>
      </c>
      <c r="AT323">
        <v>1191725.7705999999</v>
      </c>
      <c r="AV323">
        <v>5.0010000000000003</v>
      </c>
      <c r="AW323">
        <v>2.7486999999999999</v>
      </c>
      <c r="AX323">
        <v>0.2747</v>
      </c>
      <c r="AY323">
        <v>22.915500000000002</v>
      </c>
      <c r="AZ323">
        <v>0.45</v>
      </c>
      <c r="BA323" t="s">
        <v>23</v>
      </c>
      <c r="BB323">
        <v>11.470800000000001</v>
      </c>
      <c r="BC323">
        <v>2.2391000000000001</v>
      </c>
      <c r="BD323">
        <v>1930</v>
      </c>
      <c r="BE323">
        <v>1690066.8795</v>
      </c>
      <c r="BH323" s="5">
        <v>3.4828999999999999</v>
      </c>
      <c r="BI323">
        <v>18.584900000000001</v>
      </c>
      <c r="BJ323">
        <v>0.55859999999999999</v>
      </c>
      <c r="BK323">
        <v>8.2711000000000006</v>
      </c>
      <c r="BL323">
        <v>-0.11360000000000001</v>
      </c>
      <c r="BM323">
        <v>0</v>
      </c>
      <c r="BN323">
        <v>23.4071</v>
      </c>
      <c r="BO323">
        <v>18.676500000000001</v>
      </c>
      <c r="BP323">
        <v>1903.3820000000001</v>
      </c>
      <c r="BQ323">
        <v>1186721.9687000001</v>
      </c>
      <c r="CE323" s="1">
        <f t="shared" si="35"/>
        <v>45870</v>
      </c>
      <c r="CF323" s="35">
        <f t="shared" si="34"/>
        <v>5.6553927314865522</v>
      </c>
      <c r="CG323" s="36">
        <f t="shared" si="33"/>
        <v>0.39060394068074628</v>
      </c>
      <c r="CH323">
        <f t="shared" ca="1" si="36"/>
        <v>1.8707823494598224</v>
      </c>
      <c r="CI323">
        <f t="shared" ca="1" si="37"/>
        <v>1.375271831025854</v>
      </c>
      <c r="CJ323">
        <f t="shared" ca="1" si="38"/>
        <v>0.69020268663602247</v>
      </c>
      <c r="CK323">
        <f t="shared" ca="1" si="39"/>
        <v>0.20631001863706933</v>
      </c>
      <c r="CL323">
        <f t="shared" ca="1" si="40"/>
        <v>3.8241302121637399E-2</v>
      </c>
    </row>
    <row r="324" spans="1:90" x14ac:dyDescent="0.25">
      <c r="A324" s="43">
        <v>45877</v>
      </c>
      <c r="B324" s="5">
        <v>9.3529999999999998</v>
      </c>
      <c r="C324">
        <v>5.1032000000000002</v>
      </c>
      <c r="D324">
        <v>0.23530000000000001</v>
      </c>
      <c r="E324">
        <v>16.112100000000002</v>
      </c>
      <c r="F324">
        <v>0.61599999999999999</v>
      </c>
      <c r="G324">
        <v>12.394</v>
      </c>
      <c r="H324">
        <v>31.165700000000001</v>
      </c>
      <c r="I324">
        <v>16.596900000000002</v>
      </c>
      <c r="J324">
        <v>1445.393</v>
      </c>
      <c r="K324">
        <v>2516885.7881999998</v>
      </c>
      <c r="M324" s="43">
        <v>45877</v>
      </c>
      <c r="N324" s="5">
        <v>5.6887999999999996</v>
      </c>
      <c r="O324">
        <v>17.3033</v>
      </c>
      <c r="P324">
        <v>0.79649999999999999</v>
      </c>
      <c r="Q324">
        <v>21.0457</v>
      </c>
      <c r="R324">
        <v>-2.3E-3</v>
      </c>
      <c r="S324">
        <v>0</v>
      </c>
      <c r="T324">
        <v>56.368699999999997</v>
      </c>
      <c r="U324">
        <v>44.298200000000001</v>
      </c>
      <c r="V324">
        <v>7550</v>
      </c>
      <c r="W324">
        <v>5683345.9879000001</v>
      </c>
      <c r="Y324" s="5">
        <v>3.2810000000000001</v>
      </c>
      <c r="Z324">
        <v>22.916599999999999</v>
      </c>
      <c r="AA324">
        <v>0.8407</v>
      </c>
      <c r="AB324">
        <v>7.8338999999999999</v>
      </c>
      <c r="AC324">
        <v>-0.40479999999999999</v>
      </c>
      <c r="AD324">
        <v>0</v>
      </c>
      <c r="AE324">
        <v>63.373899999999999</v>
      </c>
      <c r="AF324">
        <v>49.948099999999997</v>
      </c>
      <c r="AG324">
        <v>3196.7280000000001</v>
      </c>
      <c r="AH324">
        <v>1520233.8289000001</v>
      </c>
      <c r="AK324">
        <v>3.5171999999999999</v>
      </c>
      <c r="AL324">
        <v>22.7927</v>
      </c>
      <c r="AM324">
        <v>0.69040000000000001</v>
      </c>
      <c r="AN324">
        <v>6.0000000000000001E-3</v>
      </c>
      <c r="AO324">
        <v>-0.53979999999999995</v>
      </c>
      <c r="AP324">
        <v>246.3931</v>
      </c>
      <c r="AQ324">
        <v>52.701799999999999</v>
      </c>
      <c r="AR324">
        <v>42.039000000000001</v>
      </c>
      <c r="AS324">
        <v>1893.64</v>
      </c>
      <c r="AT324">
        <v>1147258.3910999999</v>
      </c>
      <c r="AV324">
        <v>4.9184000000000001</v>
      </c>
      <c r="AW324">
        <v>2.7486999999999999</v>
      </c>
      <c r="AX324">
        <v>0.2747</v>
      </c>
      <c r="AY324">
        <v>22.915500000000002</v>
      </c>
      <c r="AZ324">
        <v>0.45</v>
      </c>
      <c r="BA324" t="s">
        <v>23</v>
      </c>
      <c r="BB324">
        <v>11.470800000000001</v>
      </c>
      <c r="BC324">
        <v>2.2391000000000001</v>
      </c>
      <c r="BD324">
        <v>1895</v>
      </c>
      <c r="BE324">
        <v>1659417.9983000001</v>
      </c>
      <c r="BH324" s="5">
        <v>3.6722999999999999</v>
      </c>
      <c r="BI324">
        <v>18.584900000000001</v>
      </c>
      <c r="BJ324">
        <v>0.55859999999999999</v>
      </c>
      <c r="BK324">
        <v>8.2711000000000006</v>
      </c>
      <c r="BL324">
        <v>-0.11360000000000001</v>
      </c>
      <c r="BM324">
        <v>0</v>
      </c>
      <c r="BN324">
        <v>23.4071</v>
      </c>
      <c r="BO324">
        <v>18.676500000000001</v>
      </c>
      <c r="BP324">
        <v>2003.8</v>
      </c>
      <c r="BQ324">
        <v>1249330.8015999999</v>
      </c>
      <c r="CE324" s="1">
        <f t="shared" si="35"/>
        <v>45877</v>
      </c>
      <c r="CF324" s="35">
        <f t="shared" si="34"/>
        <v>5.6360198995853574</v>
      </c>
      <c r="CG324" s="36">
        <f t="shared" si="33"/>
        <v>0.38148106681909677</v>
      </c>
      <c r="CH324">
        <f t="shared" ca="1" si="36"/>
        <v>1.8707823494598224</v>
      </c>
      <c r="CI324">
        <f t="shared" ca="1" si="37"/>
        <v>1.375271831025854</v>
      </c>
      <c r="CJ324">
        <f t="shared" ca="1" si="38"/>
        <v>0.67988671656499522</v>
      </c>
      <c r="CK324">
        <f t="shared" ca="1" si="39"/>
        <v>0.20631001863706933</v>
      </c>
      <c r="CL324">
        <f t="shared" ca="1" si="40"/>
        <v>3.8241302121637399E-2</v>
      </c>
    </row>
    <row r="325" spans="1:90" x14ac:dyDescent="0.25">
      <c r="A325" s="43">
        <v>45884</v>
      </c>
      <c r="B325" s="5">
        <v>8.7401999999999997</v>
      </c>
      <c r="C325">
        <v>5.1032000000000002</v>
      </c>
      <c r="D325">
        <v>0.23530000000000001</v>
      </c>
      <c r="E325">
        <v>16.112100000000002</v>
      </c>
      <c r="F325">
        <v>0.61599999999999999</v>
      </c>
      <c r="G325">
        <v>12.394</v>
      </c>
      <c r="H325">
        <v>31.165700000000001</v>
      </c>
      <c r="I325">
        <v>16.596900000000002</v>
      </c>
      <c r="J325">
        <v>1341.8420000000001</v>
      </c>
      <c r="K325">
        <v>2336571.5825</v>
      </c>
      <c r="M325" s="43">
        <v>45884</v>
      </c>
      <c r="N325" s="5">
        <v>5.5380000000000003</v>
      </c>
      <c r="O325">
        <v>17.3033</v>
      </c>
      <c r="P325">
        <v>0.79649999999999999</v>
      </c>
      <c r="Q325">
        <v>21.0457</v>
      </c>
      <c r="R325">
        <v>-2.3E-3</v>
      </c>
      <c r="S325">
        <v>0</v>
      </c>
      <c r="T325">
        <v>56.368699999999997</v>
      </c>
      <c r="U325">
        <v>44.298200000000001</v>
      </c>
      <c r="V325">
        <v>7350</v>
      </c>
      <c r="W325">
        <v>5532793.7763</v>
      </c>
      <c r="Y325" s="5">
        <v>3.3130000000000002</v>
      </c>
      <c r="Z325">
        <v>22.916599999999999</v>
      </c>
      <c r="AA325">
        <v>0.8407</v>
      </c>
      <c r="AB325">
        <v>7.8338999999999999</v>
      </c>
      <c r="AC325">
        <v>-0.40479999999999999</v>
      </c>
      <c r="AD325">
        <v>0</v>
      </c>
      <c r="AE325">
        <v>63.373899999999999</v>
      </c>
      <c r="AF325">
        <v>49.948099999999997</v>
      </c>
      <c r="AG325">
        <v>3224.4459999999999</v>
      </c>
      <c r="AH325">
        <v>1533415.0471000001</v>
      </c>
      <c r="AK325">
        <v>3.4070999999999998</v>
      </c>
      <c r="AL325">
        <v>22.7927</v>
      </c>
      <c r="AM325">
        <v>0.69040000000000001</v>
      </c>
      <c r="AN325">
        <v>6.0000000000000001E-3</v>
      </c>
      <c r="AO325">
        <v>-0.53979999999999995</v>
      </c>
      <c r="AP325">
        <v>246.3931</v>
      </c>
      <c r="AQ325">
        <v>52.701799999999999</v>
      </c>
      <c r="AR325">
        <v>42.039000000000001</v>
      </c>
      <c r="AS325">
        <v>1842.2619999999999</v>
      </c>
      <c r="AT325">
        <v>1116131.2254999999</v>
      </c>
      <c r="AV325">
        <v>4.7061999999999999</v>
      </c>
      <c r="AW325">
        <v>2.7486999999999999</v>
      </c>
      <c r="AX325">
        <v>0.2747</v>
      </c>
      <c r="AY325">
        <v>22.915500000000002</v>
      </c>
      <c r="AZ325">
        <v>0.45</v>
      </c>
      <c r="BA325" t="s">
        <v>23</v>
      </c>
      <c r="BB325">
        <v>11.470800000000001</v>
      </c>
      <c r="BC325">
        <v>2.2391000000000001</v>
      </c>
      <c r="BD325">
        <v>1805</v>
      </c>
      <c r="BE325">
        <v>1580606.5893999999</v>
      </c>
      <c r="BH325" s="5">
        <v>3.2677</v>
      </c>
      <c r="BI325">
        <v>18.584900000000001</v>
      </c>
      <c r="BJ325">
        <v>0.55859999999999999</v>
      </c>
      <c r="BK325">
        <v>8.2711000000000006</v>
      </c>
      <c r="BL325">
        <v>-0.11360000000000001</v>
      </c>
      <c r="BM325">
        <v>0</v>
      </c>
      <c r="BN325">
        <v>23.4071</v>
      </c>
      <c r="BO325">
        <v>18.676500000000001</v>
      </c>
      <c r="BP325">
        <v>1789.27</v>
      </c>
      <c r="BQ325">
        <v>1115575.5677</v>
      </c>
      <c r="CE325" s="1">
        <f t="shared" si="35"/>
        <v>45884</v>
      </c>
      <c r="CF325" s="35">
        <f t="shared" si="34"/>
        <v>5.3748923600813239</v>
      </c>
      <c r="CG325" s="36">
        <f t="shared" si="33"/>
        <v>0.258513313996585</v>
      </c>
      <c r="CH325">
        <f t="shared" ca="1" si="36"/>
        <v>1.8707823494598224</v>
      </c>
      <c r="CI325">
        <f t="shared" ca="1" si="37"/>
        <v>1.2865276312106873</v>
      </c>
      <c r="CJ325">
        <f t="shared" ca="1" si="38"/>
        <v>0.67156053291577256</v>
      </c>
      <c r="CK325">
        <f t="shared" ca="1" si="39"/>
        <v>0.20631001863706933</v>
      </c>
      <c r="CL325">
        <f t="shared" ca="1" si="40"/>
        <v>3.8241302121637399E-2</v>
      </c>
    </row>
    <row r="326" spans="1:90" x14ac:dyDescent="0.25">
      <c r="A326" s="43">
        <v>45891</v>
      </c>
      <c r="B326" s="5">
        <v>8.2551000000000005</v>
      </c>
      <c r="C326">
        <v>5.1032000000000002</v>
      </c>
      <c r="D326">
        <v>0.23530000000000001</v>
      </c>
      <c r="E326">
        <v>16.112100000000002</v>
      </c>
      <c r="F326">
        <v>0.61599999999999999</v>
      </c>
      <c r="G326">
        <v>12.394</v>
      </c>
      <c r="H326">
        <v>31.165700000000001</v>
      </c>
      <c r="I326">
        <v>16.596900000000002</v>
      </c>
      <c r="J326">
        <v>1259.865</v>
      </c>
      <c r="K326">
        <v>2193822.8363000001</v>
      </c>
      <c r="M326" s="43">
        <v>45891</v>
      </c>
      <c r="N326" s="5">
        <v>5.5907999999999998</v>
      </c>
      <c r="O326">
        <v>17.3033</v>
      </c>
      <c r="P326">
        <v>0.79649999999999999</v>
      </c>
      <c r="Q326">
        <v>21.0457</v>
      </c>
      <c r="R326">
        <v>-2.3E-3</v>
      </c>
      <c r="S326">
        <v>0</v>
      </c>
      <c r="T326">
        <v>56.368699999999997</v>
      </c>
      <c r="U326">
        <v>44.298200000000001</v>
      </c>
      <c r="V326">
        <v>7420</v>
      </c>
      <c r="W326">
        <v>5585487.0504000001</v>
      </c>
      <c r="Y326" s="5">
        <v>3.2810000000000001</v>
      </c>
      <c r="Z326">
        <v>22.916599999999999</v>
      </c>
      <c r="AA326">
        <v>0.8407</v>
      </c>
      <c r="AB326">
        <v>7.8338999999999999</v>
      </c>
      <c r="AC326">
        <v>-0.40479999999999999</v>
      </c>
      <c r="AD326">
        <v>0</v>
      </c>
      <c r="AE326">
        <v>63.373899999999999</v>
      </c>
      <c r="AF326">
        <v>49.948099999999997</v>
      </c>
      <c r="AG326">
        <v>3196.7280000000001</v>
      </c>
      <c r="AH326">
        <v>1520233.8289000001</v>
      </c>
      <c r="AK326">
        <v>3.5878999999999999</v>
      </c>
      <c r="AL326">
        <v>22.7927</v>
      </c>
      <c r="AM326">
        <v>0.69040000000000001</v>
      </c>
      <c r="AN326">
        <v>6.0000000000000001E-3</v>
      </c>
      <c r="AO326">
        <v>-0.53979999999999995</v>
      </c>
      <c r="AP326">
        <v>246.3931</v>
      </c>
      <c r="AQ326">
        <v>52.701799999999999</v>
      </c>
      <c r="AR326">
        <v>42.039000000000001</v>
      </c>
      <c r="AS326">
        <v>1926.6690000000001</v>
      </c>
      <c r="AT326">
        <v>1167268.7119</v>
      </c>
      <c r="AV326">
        <v>4.1638999999999999</v>
      </c>
      <c r="AW326">
        <v>2.7486999999999999</v>
      </c>
      <c r="AX326">
        <v>0.2747</v>
      </c>
      <c r="AY326">
        <v>22.915500000000002</v>
      </c>
      <c r="AZ326">
        <v>0.45</v>
      </c>
      <c r="BA326" t="s">
        <v>23</v>
      </c>
      <c r="BB326">
        <v>11.470800000000001</v>
      </c>
      <c r="BC326">
        <v>2.2391000000000001</v>
      </c>
      <c r="BD326">
        <v>1575</v>
      </c>
      <c r="BE326">
        <v>1379199.6555999999</v>
      </c>
      <c r="BH326" s="5">
        <v>3.1299000000000001</v>
      </c>
      <c r="BI326">
        <v>18.584900000000001</v>
      </c>
      <c r="BJ326">
        <v>0.55859999999999999</v>
      </c>
      <c r="BK326">
        <v>8.2711000000000006</v>
      </c>
      <c r="BL326">
        <v>-0.11360000000000001</v>
      </c>
      <c r="BM326">
        <v>0</v>
      </c>
      <c r="BN326">
        <v>23.4071</v>
      </c>
      <c r="BO326">
        <v>18.676500000000001</v>
      </c>
      <c r="BP326">
        <v>1716.239</v>
      </c>
      <c r="BQ326">
        <v>1070041.871</v>
      </c>
      <c r="CE326" s="1">
        <f t="shared" si="35"/>
        <v>45891</v>
      </c>
      <c r="CF326" s="35">
        <f t="shared" si="34"/>
        <v>5.2342203152456479</v>
      </c>
      <c r="CG326" s="36">
        <f t="shared" si="33"/>
        <v>0.19226934267419793</v>
      </c>
      <c r="CH326">
        <f t="shared" ca="1" si="36"/>
        <v>1.8707823494598224</v>
      </c>
      <c r="CI326">
        <f t="shared" ca="1" si="37"/>
        <v>1.2400445346464908</v>
      </c>
      <c r="CJ326">
        <f t="shared" ca="1" si="38"/>
        <v>0.66346235653127028</v>
      </c>
      <c r="CK326">
        <f t="shared" ca="1" si="39"/>
        <v>0.20631001863706933</v>
      </c>
      <c r="CL326">
        <f t="shared" ca="1" si="40"/>
        <v>3.8241302121637399E-2</v>
      </c>
    </row>
    <row r="327" spans="1:90" x14ac:dyDescent="0.25">
      <c r="A327" s="43">
        <v>45898</v>
      </c>
      <c r="B327" s="5">
        <v>8.1783999999999999</v>
      </c>
      <c r="C327">
        <v>5.1032000000000002</v>
      </c>
      <c r="D327">
        <v>0.23530000000000001</v>
      </c>
      <c r="E327">
        <v>16.112100000000002</v>
      </c>
      <c r="F327">
        <v>0.61599999999999999</v>
      </c>
      <c r="G327">
        <v>12.394</v>
      </c>
      <c r="H327">
        <v>31.165700000000001</v>
      </c>
      <c r="I327">
        <v>16.596900000000002</v>
      </c>
      <c r="J327">
        <v>1246.921</v>
      </c>
      <c r="K327">
        <v>2171283.5605000001</v>
      </c>
      <c r="M327" s="43">
        <v>45898</v>
      </c>
      <c r="N327" s="5">
        <v>5.5454999999999997</v>
      </c>
      <c r="O327">
        <v>17.3033</v>
      </c>
      <c r="P327">
        <v>0.79649999999999999</v>
      </c>
      <c r="Q327">
        <v>21.0457</v>
      </c>
      <c r="R327">
        <v>-2.3E-3</v>
      </c>
      <c r="S327">
        <v>0</v>
      </c>
      <c r="T327">
        <v>56.368699999999997</v>
      </c>
      <c r="U327">
        <v>44.298200000000001</v>
      </c>
      <c r="V327">
        <v>7360</v>
      </c>
      <c r="W327">
        <v>5540321.3869000003</v>
      </c>
      <c r="Y327" s="5">
        <v>2.9933999999999998</v>
      </c>
      <c r="Z327">
        <v>22.916599999999999</v>
      </c>
      <c r="AA327">
        <v>0.8407</v>
      </c>
      <c r="AB327">
        <v>7.8338999999999999</v>
      </c>
      <c r="AC327">
        <v>-0.40479999999999999</v>
      </c>
      <c r="AD327">
        <v>0</v>
      </c>
      <c r="AE327">
        <v>63.373899999999999</v>
      </c>
      <c r="AF327">
        <v>49.948099999999997</v>
      </c>
      <c r="AG327">
        <v>2947.2730000000001</v>
      </c>
      <c r="AH327">
        <v>1401602.8654</v>
      </c>
      <c r="AK327">
        <v>3.2027000000000001</v>
      </c>
      <c r="AL327">
        <v>22.7927</v>
      </c>
      <c r="AM327">
        <v>0.69040000000000001</v>
      </c>
      <c r="AN327">
        <v>6.0000000000000001E-3</v>
      </c>
      <c r="AO327">
        <v>-0.53979999999999995</v>
      </c>
      <c r="AP327">
        <v>246.3931</v>
      </c>
      <c r="AQ327">
        <v>52.701799999999999</v>
      </c>
      <c r="AR327">
        <v>42.039000000000001</v>
      </c>
      <c r="AS327">
        <v>1746.846</v>
      </c>
      <c r="AT327">
        <v>1058323.6321</v>
      </c>
      <c r="AV327">
        <v>3.8809</v>
      </c>
      <c r="AW327">
        <v>2.7486999999999999</v>
      </c>
      <c r="AX327">
        <v>0.2747</v>
      </c>
      <c r="AY327">
        <v>22.915500000000002</v>
      </c>
      <c r="AZ327">
        <v>0.45</v>
      </c>
      <c r="BA327" t="s">
        <v>23</v>
      </c>
      <c r="BB327">
        <v>11.470800000000001</v>
      </c>
      <c r="BC327">
        <v>2.2391000000000001</v>
      </c>
      <c r="BD327">
        <v>1455</v>
      </c>
      <c r="BE327">
        <v>1274117.7771000001</v>
      </c>
      <c r="BH327" s="5">
        <v>2.6478000000000002</v>
      </c>
      <c r="BI327">
        <v>18.584900000000001</v>
      </c>
      <c r="BJ327">
        <v>0.55859999999999999</v>
      </c>
      <c r="BK327">
        <v>8.2711000000000006</v>
      </c>
      <c r="BL327">
        <v>-0.11360000000000001</v>
      </c>
      <c r="BM327">
        <v>0</v>
      </c>
      <c r="BN327">
        <v>23.4071</v>
      </c>
      <c r="BO327">
        <v>18.676500000000001</v>
      </c>
      <c r="BP327">
        <v>1460.6289999999999</v>
      </c>
      <c r="BQ327">
        <v>910673.93279999995</v>
      </c>
      <c r="CE327" s="1">
        <f t="shared" si="35"/>
        <v>45898</v>
      </c>
      <c r="CF327" s="35">
        <f t="shared" si="34"/>
        <v>5.1327999569062719</v>
      </c>
      <c r="CG327" s="36">
        <f t="shared" ref="CG327:CG372" si="41">+(CF327-$CG$1)/$CH$1</f>
        <v>0.14450941057690062</v>
      </c>
      <c r="CH327">
        <f t="shared" ca="1" si="36"/>
        <v>1.8707823494598224</v>
      </c>
      <c r="CI327">
        <f t="shared" ca="1" si="37"/>
        <v>1.2064864890484708</v>
      </c>
      <c r="CJ327">
        <f t="shared" ca="1" si="38"/>
        <v>0.64142759501207713</v>
      </c>
      <c r="CK327">
        <f t="shared" ca="1" si="39"/>
        <v>0.18286228734034413</v>
      </c>
      <c r="CL327">
        <f t="shared" ca="1" si="40"/>
        <v>3.8241302121637399E-2</v>
      </c>
    </row>
    <row r="328" spans="1:90" x14ac:dyDescent="0.25">
      <c r="A328" s="43">
        <v>45905</v>
      </c>
      <c r="B328" s="5">
        <v>7.9230999999999998</v>
      </c>
      <c r="C328">
        <v>5.1032000000000002</v>
      </c>
      <c r="D328">
        <v>0.23530000000000001</v>
      </c>
      <c r="E328">
        <v>16.112100000000002</v>
      </c>
      <c r="F328">
        <v>0.61599999999999999</v>
      </c>
      <c r="G328">
        <v>12.394</v>
      </c>
      <c r="H328">
        <v>31.165700000000001</v>
      </c>
      <c r="I328">
        <v>16.596900000000002</v>
      </c>
      <c r="J328">
        <v>1203.7750000000001</v>
      </c>
      <c r="K328">
        <v>2096152.6414999999</v>
      </c>
      <c r="M328" s="43">
        <v>45905</v>
      </c>
      <c r="N328" s="5">
        <v>5.4776999999999996</v>
      </c>
      <c r="O328">
        <v>17.3033</v>
      </c>
      <c r="P328">
        <v>0.79649999999999999</v>
      </c>
      <c r="Q328">
        <v>21.0457</v>
      </c>
      <c r="R328">
        <v>-2.3E-3</v>
      </c>
      <c r="S328">
        <v>0</v>
      </c>
      <c r="T328">
        <v>56.368699999999997</v>
      </c>
      <c r="U328">
        <v>44.298200000000001</v>
      </c>
      <c r="V328">
        <v>7270</v>
      </c>
      <c r="W328">
        <v>5472572.8916999996</v>
      </c>
      <c r="Y328" s="5">
        <v>2.7696999999999998</v>
      </c>
      <c r="Z328">
        <v>22.916599999999999</v>
      </c>
      <c r="AA328">
        <v>0.8407</v>
      </c>
      <c r="AB328">
        <v>7.8338999999999999</v>
      </c>
      <c r="AC328">
        <v>-0.40479999999999999</v>
      </c>
      <c r="AD328">
        <v>0</v>
      </c>
      <c r="AE328">
        <v>63.373899999999999</v>
      </c>
      <c r="AF328">
        <v>49.948099999999997</v>
      </c>
      <c r="AG328">
        <v>2753.252</v>
      </c>
      <c r="AH328">
        <v>1309334.3382000001</v>
      </c>
      <c r="AK328">
        <v>2.4792999999999998</v>
      </c>
      <c r="AL328">
        <v>22.7927</v>
      </c>
      <c r="AM328">
        <v>0.69040000000000001</v>
      </c>
      <c r="AN328">
        <v>6.0000000000000001E-3</v>
      </c>
      <c r="AO328">
        <v>-0.53979999999999995</v>
      </c>
      <c r="AP328">
        <v>246.3931</v>
      </c>
      <c r="AQ328">
        <v>52.701799999999999</v>
      </c>
      <c r="AR328">
        <v>42.039000000000001</v>
      </c>
      <c r="AS328">
        <v>1623.13</v>
      </c>
      <c r="AT328">
        <v>853773.68640000001</v>
      </c>
      <c r="AV328">
        <v>4.0224000000000002</v>
      </c>
      <c r="AW328">
        <v>2.7486999999999999</v>
      </c>
      <c r="AX328">
        <v>0.2747</v>
      </c>
      <c r="AY328">
        <v>22.915500000000002</v>
      </c>
      <c r="AZ328">
        <v>0.45</v>
      </c>
      <c r="BA328" t="s">
        <v>23</v>
      </c>
      <c r="BB328">
        <v>11.470800000000001</v>
      </c>
      <c r="BC328">
        <v>2.2391000000000001</v>
      </c>
      <c r="BD328">
        <v>1515</v>
      </c>
      <c r="BE328">
        <v>1326658.7163</v>
      </c>
      <c r="BH328" s="5">
        <v>2.5101</v>
      </c>
      <c r="BI328">
        <v>18.584900000000001</v>
      </c>
      <c r="BJ328">
        <v>0.55859999999999999</v>
      </c>
      <c r="BK328">
        <v>8.2711000000000006</v>
      </c>
      <c r="BL328">
        <v>-0.11360000000000001</v>
      </c>
      <c r="BM328">
        <v>0</v>
      </c>
      <c r="BN328">
        <v>23.4071</v>
      </c>
      <c r="BO328">
        <v>18.676500000000001</v>
      </c>
      <c r="BP328">
        <v>1387.597</v>
      </c>
      <c r="BQ328">
        <v>865140.23620000004</v>
      </c>
      <c r="CE328" s="1">
        <f t="shared" si="35"/>
        <v>45905</v>
      </c>
      <c r="CF328" s="35">
        <f t="shared" ref="CF328:CF381" si="42">+(BH328*BQ328+AV328*BE328+AK328*AT328+Y328*AH328+N328*W328+B328*K328)/(K328+W328+AH328+AT328+BE328+BQ328)</f>
        <v>5.0182949210804768</v>
      </c>
      <c r="CG328" s="36">
        <f t="shared" si="41"/>
        <v>9.0587763824886064E-2</v>
      </c>
      <c r="CH328">
        <f t="shared" ca="1" si="36"/>
        <v>1.8707823494598224</v>
      </c>
      <c r="CI328">
        <f t="shared" ca="1" si="37"/>
        <v>1.167089519431634</v>
      </c>
      <c r="CJ328">
        <f t="shared" ca="1" si="38"/>
        <v>0.61600492861563727</v>
      </c>
      <c r="CK328">
        <f t="shared" ca="1" si="39"/>
        <v>0.15210819364831218</v>
      </c>
      <c r="CL328">
        <f t="shared" ca="1" si="40"/>
        <v>3.8241302121637399E-2</v>
      </c>
    </row>
    <row r="329" spans="1:90" x14ac:dyDescent="0.25">
      <c r="A329" s="43">
        <v>45912</v>
      </c>
      <c r="B329" s="5">
        <v>7.2336999999999998</v>
      </c>
      <c r="C329">
        <v>5.1032000000000002</v>
      </c>
      <c r="D329">
        <v>0.23530000000000001</v>
      </c>
      <c r="E329">
        <v>16.112100000000002</v>
      </c>
      <c r="F329">
        <v>0.61599999999999999</v>
      </c>
      <c r="G329">
        <v>12.394</v>
      </c>
      <c r="H329">
        <v>31.165700000000001</v>
      </c>
      <c r="I329">
        <v>16.596900000000002</v>
      </c>
      <c r="J329">
        <v>1087.28</v>
      </c>
      <c r="K329">
        <v>1893299.1601</v>
      </c>
      <c r="M329" s="43">
        <v>45912</v>
      </c>
      <c r="N329" s="5">
        <v>4.7427999999999999</v>
      </c>
      <c r="O329">
        <v>17.3033</v>
      </c>
      <c r="P329">
        <v>0.79649999999999999</v>
      </c>
      <c r="Q329">
        <v>21.0457</v>
      </c>
      <c r="R329">
        <v>-2.3E-3</v>
      </c>
      <c r="S329">
        <v>0</v>
      </c>
      <c r="T329">
        <v>56.368699999999997</v>
      </c>
      <c r="U329">
        <v>44.298200000000001</v>
      </c>
      <c r="V329">
        <v>6295</v>
      </c>
      <c r="W329">
        <v>4738630.8601000002</v>
      </c>
      <c r="Y329" s="5">
        <v>2.4767999999999999</v>
      </c>
      <c r="Z329">
        <v>22.916599999999999</v>
      </c>
      <c r="AA329">
        <v>0.8407</v>
      </c>
      <c r="AB329">
        <v>7.8338999999999999</v>
      </c>
      <c r="AC329">
        <v>-0.40479999999999999</v>
      </c>
      <c r="AD329">
        <v>0</v>
      </c>
      <c r="AE329">
        <v>63.373899999999999</v>
      </c>
      <c r="AF329">
        <v>49.948099999999997</v>
      </c>
      <c r="AG329">
        <v>2499.1759999999999</v>
      </c>
      <c r="AH329">
        <v>1188506.5049999999</v>
      </c>
      <c r="AK329">
        <v>2.4573</v>
      </c>
      <c r="AL329">
        <v>22.7927</v>
      </c>
      <c r="AM329">
        <v>0.69040000000000001</v>
      </c>
      <c r="AN329">
        <v>6.0000000000000001E-3</v>
      </c>
      <c r="AO329">
        <v>-0.53979999999999995</v>
      </c>
      <c r="AP329">
        <v>246.3931</v>
      </c>
      <c r="AQ329">
        <v>52.701799999999999</v>
      </c>
      <c r="AR329">
        <v>42.039000000000001</v>
      </c>
      <c r="AS329">
        <v>1611.2940000000001</v>
      </c>
      <c r="AT329">
        <v>847548.25329999998</v>
      </c>
      <c r="AV329">
        <v>3.3927999999999998</v>
      </c>
      <c r="AW329">
        <v>2.7486999999999999</v>
      </c>
      <c r="AX329">
        <v>0.2747</v>
      </c>
      <c r="AY329">
        <v>22.915500000000002</v>
      </c>
      <c r="AZ329">
        <v>0.45</v>
      </c>
      <c r="BA329" t="s">
        <v>23</v>
      </c>
      <c r="BB329">
        <v>11.470800000000001</v>
      </c>
      <c r="BC329">
        <v>2.2391000000000001</v>
      </c>
      <c r="BD329">
        <v>1248</v>
      </c>
      <c r="BE329">
        <v>1092851.5366</v>
      </c>
      <c r="BH329" s="5">
        <v>2.0762</v>
      </c>
      <c r="BI329">
        <v>18.584900000000001</v>
      </c>
      <c r="BJ329">
        <v>0.55859999999999999</v>
      </c>
      <c r="BK329">
        <v>8.2711000000000006</v>
      </c>
      <c r="BL329">
        <v>-0.11360000000000001</v>
      </c>
      <c r="BM329">
        <v>0</v>
      </c>
      <c r="BN329">
        <v>23.4071</v>
      </c>
      <c r="BO329">
        <v>18.676500000000001</v>
      </c>
      <c r="BP329">
        <v>1157.548</v>
      </c>
      <c r="BQ329">
        <v>721709.09169999999</v>
      </c>
      <c r="CE329" s="1">
        <f t="shared" si="35"/>
        <v>45912</v>
      </c>
      <c r="CF329" s="35">
        <f t="shared" si="42"/>
        <v>4.4266489789377443</v>
      </c>
      <c r="CG329" s="36">
        <f t="shared" si="41"/>
        <v>-0.18802464186021339</v>
      </c>
      <c r="CH329">
        <f t="shared" ca="1" si="36"/>
        <v>1.8707823494598224</v>
      </c>
      <c r="CI329">
        <f t="shared" ca="1" si="37"/>
        <v>1.0883106921764942</v>
      </c>
      <c r="CJ329">
        <f t="shared" ca="1" si="38"/>
        <v>0.60328247316395589</v>
      </c>
      <c r="CK329">
        <f t="shared" ca="1" si="39"/>
        <v>0.13958749132061934</v>
      </c>
      <c r="CL329">
        <f t="shared" ca="1" si="40"/>
        <v>3.8241302121637399E-2</v>
      </c>
    </row>
    <row r="330" spans="1:90" x14ac:dyDescent="0.25">
      <c r="A330" s="43">
        <v>45919</v>
      </c>
      <c r="B330" s="5">
        <v>6.9425999999999997</v>
      </c>
      <c r="C330">
        <v>5.1032000000000002</v>
      </c>
      <c r="D330">
        <v>0.23530000000000001</v>
      </c>
      <c r="E330">
        <v>16.112100000000002</v>
      </c>
      <c r="F330">
        <v>0.61599999999999999</v>
      </c>
      <c r="G330">
        <v>12.394</v>
      </c>
      <c r="H330">
        <v>31.165700000000001</v>
      </c>
      <c r="I330">
        <v>16.596900000000002</v>
      </c>
      <c r="J330">
        <v>1038.0940000000001</v>
      </c>
      <c r="K330">
        <v>1807649.9123</v>
      </c>
      <c r="M330" s="43">
        <v>45919</v>
      </c>
      <c r="N330" s="5">
        <v>4.8144</v>
      </c>
      <c r="O330">
        <v>17.3033</v>
      </c>
      <c r="P330">
        <v>0.79649999999999999</v>
      </c>
      <c r="Q330">
        <v>21.0457</v>
      </c>
      <c r="R330">
        <v>-2.3E-3</v>
      </c>
      <c r="S330">
        <v>0</v>
      </c>
      <c r="T330">
        <v>56.368699999999997</v>
      </c>
      <c r="U330">
        <v>44.298200000000001</v>
      </c>
      <c r="V330">
        <v>6390</v>
      </c>
      <c r="W330">
        <v>4810143.1606000001</v>
      </c>
      <c r="Y330" s="5">
        <v>1.7928999999999999</v>
      </c>
      <c r="Z330">
        <v>22.916599999999999</v>
      </c>
      <c r="AA330">
        <v>0.8407</v>
      </c>
      <c r="AB330">
        <v>7.8338999999999999</v>
      </c>
      <c r="AC330">
        <v>-0.40479999999999999</v>
      </c>
      <c r="AD330">
        <v>0</v>
      </c>
      <c r="AE330">
        <v>63.373899999999999</v>
      </c>
      <c r="AF330">
        <v>49.948099999999997</v>
      </c>
      <c r="AG330">
        <v>1906.0260000000001</v>
      </c>
      <c r="AH330">
        <v>906428.4362</v>
      </c>
      <c r="AK330">
        <v>1.7796000000000001</v>
      </c>
      <c r="AL330">
        <v>22.7927</v>
      </c>
      <c r="AM330">
        <v>0.69040000000000001</v>
      </c>
      <c r="AN330">
        <v>6.0000000000000001E-3</v>
      </c>
      <c r="AO330">
        <v>-0.53979999999999995</v>
      </c>
      <c r="AP330">
        <v>246.3931</v>
      </c>
      <c r="AQ330">
        <v>52.701799999999999</v>
      </c>
      <c r="AR330">
        <v>42.039000000000001</v>
      </c>
      <c r="AS330">
        <v>1246.9359999999999</v>
      </c>
      <c r="AT330">
        <v>655893.84759999998</v>
      </c>
      <c r="AV330">
        <v>3.2229999999999999</v>
      </c>
      <c r="AW330">
        <v>2.7486999999999999</v>
      </c>
      <c r="AX330">
        <v>0.2747</v>
      </c>
      <c r="AY330">
        <v>22.915500000000002</v>
      </c>
      <c r="AZ330">
        <v>0.45</v>
      </c>
      <c r="BA330" t="s">
        <v>23</v>
      </c>
      <c r="BB330">
        <v>11.470800000000001</v>
      </c>
      <c r="BC330">
        <v>2.2391000000000001</v>
      </c>
      <c r="BD330">
        <v>1176</v>
      </c>
      <c r="BE330">
        <v>1029802.4095</v>
      </c>
      <c r="BH330" s="5">
        <v>1.7301</v>
      </c>
      <c r="BI330">
        <v>18.584900000000001</v>
      </c>
      <c r="BJ330">
        <v>0.55859999999999999</v>
      </c>
      <c r="BK330">
        <v>8.2711000000000006</v>
      </c>
      <c r="BL330">
        <v>-0.11360000000000001</v>
      </c>
      <c r="BM330">
        <v>0</v>
      </c>
      <c r="BN330">
        <v>23.4071</v>
      </c>
      <c r="BO330">
        <v>18.676500000000001</v>
      </c>
      <c r="BP330">
        <v>974.05700000000002</v>
      </c>
      <c r="BQ330">
        <v>607305.67890000006</v>
      </c>
      <c r="CE330" s="1">
        <f t="shared" si="35"/>
        <v>45919</v>
      </c>
      <c r="CF330" s="35">
        <f t="shared" si="42"/>
        <v>4.3668009298758781</v>
      </c>
      <c r="CG330" s="36">
        <f t="shared" si="41"/>
        <v>-0.21620772863048279</v>
      </c>
      <c r="CH330">
        <f t="shared" ca="1" si="36"/>
        <v>1.7581259195775876</v>
      </c>
      <c r="CI330">
        <f t="shared" ca="1" si="37"/>
        <v>0.90546094104335906</v>
      </c>
      <c r="CJ330">
        <f t="shared" ca="1" si="38"/>
        <v>0.56444617643043005</v>
      </c>
      <c r="CK330">
        <f t="shared" ca="1" si="39"/>
        <v>0.12437928521091589</v>
      </c>
      <c r="CL330">
        <f t="shared" ca="1" si="40"/>
        <v>2.2072140069135118E-2</v>
      </c>
    </row>
    <row r="331" spans="1:90" x14ac:dyDescent="0.25">
      <c r="A331" s="43">
        <v>45926</v>
      </c>
      <c r="B331" s="5">
        <v>7.2949999999999999</v>
      </c>
      <c r="C331">
        <v>5.1032000000000002</v>
      </c>
      <c r="D331">
        <v>0.23530000000000001</v>
      </c>
      <c r="E331">
        <v>16.112100000000002</v>
      </c>
      <c r="F331">
        <v>0.61599999999999999</v>
      </c>
      <c r="G331">
        <v>12.394</v>
      </c>
      <c r="H331">
        <v>31.165700000000001</v>
      </c>
      <c r="I331">
        <v>16.596900000000002</v>
      </c>
      <c r="J331">
        <v>1097.635</v>
      </c>
      <c r="K331">
        <v>1911330.5806</v>
      </c>
      <c r="M331" s="43">
        <v>45926</v>
      </c>
      <c r="N331" s="5">
        <v>4.8483000000000001</v>
      </c>
      <c r="O331">
        <v>17.3033</v>
      </c>
      <c r="P331">
        <v>0.79649999999999999</v>
      </c>
      <c r="Q331">
        <v>21.0457</v>
      </c>
      <c r="R331">
        <v>-2.3E-3</v>
      </c>
      <c r="S331">
        <v>0</v>
      </c>
      <c r="T331">
        <v>56.368699999999997</v>
      </c>
      <c r="U331">
        <v>44.298200000000001</v>
      </c>
      <c r="V331">
        <v>6435</v>
      </c>
      <c r="W331">
        <v>4844017.4082000004</v>
      </c>
      <c r="Y331" s="5">
        <v>2.1604000000000001</v>
      </c>
      <c r="Z331">
        <v>22.916599999999999</v>
      </c>
      <c r="AA331">
        <v>0.8407</v>
      </c>
      <c r="AB331">
        <v>7.8338999999999999</v>
      </c>
      <c r="AC331">
        <v>-0.40479999999999999</v>
      </c>
      <c r="AD331">
        <v>0</v>
      </c>
      <c r="AE331">
        <v>63.373899999999999</v>
      </c>
      <c r="AF331">
        <v>49.948099999999997</v>
      </c>
      <c r="AG331">
        <v>2224.7750000000001</v>
      </c>
      <c r="AH331">
        <v>1058012.4450999999</v>
      </c>
      <c r="AK331">
        <v>2.3834</v>
      </c>
      <c r="AL331">
        <v>22.7927</v>
      </c>
      <c r="AM331">
        <v>0.69040000000000001</v>
      </c>
      <c r="AN331">
        <v>6.0000000000000001E-3</v>
      </c>
      <c r="AO331">
        <v>-0.53979999999999995</v>
      </c>
      <c r="AP331">
        <v>246.3931</v>
      </c>
      <c r="AQ331">
        <v>52.701799999999999</v>
      </c>
      <c r="AR331">
        <v>42.039000000000001</v>
      </c>
      <c r="AS331">
        <v>1571.5609999999999</v>
      </c>
      <c r="AT331">
        <v>826648.58490000002</v>
      </c>
      <c r="AV331">
        <v>3.3056000000000001</v>
      </c>
      <c r="AW331">
        <v>2.7486999999999999</v>
      </c>
      <c r="AX331">
        <v>0.2747</v>
      </c>
      <c r="AY331">
        <v>22.915500000000002</v>
      </c>
      <c r="AZ331">
        <v>0.45</v>
      </c>
      <c r="BA331" t="s">
        <v>23</v>
      </c>
      <c r="BB331">
        <v>11.470800000000001</v>
      </c>
      <c r="BC331">
        <v>2.2391000000000001</v>
      </c>
      <c r="BD331">
        <v>1211</v>
      </c>
      <c r="BE331">
        <v>1060451.2907</v>
      </c>
      <c r="BH331" s="5">
        <v>2.1949999999999998</v>
      </c>
      <c r="BI331">
        <v>18.584900000000001</v>
      </c>
      <c r="BJ331">
        <v>0.55859999999999999</v>
      </c>
      <c r="BK331">
        <v>8.2711000000000006</v>
      </c>
      <c r="BL331">
        <v>-0.11360000000000001</v>
      </c>
      <c r="BM331">
        <v>0</v>
      </c>
      <c r="BN331">
        <v>23.4071</v>
      </c>
      <c r="BO331">
        <v>18.676500000000001</v>
      </c>
      <c r="BP331">
        <v>1220.538</v>
      </c>
      <c r="BQ331">
        <v>760981.90509999997</v>
      </c>
      <c r="CE331" s="1">
        <f t="shared" si="35"/>
        <v>45926</v>
      </c>
      <c r="CF331" s="35">
        <f t="shared" si="42"/>
        <v>4.4793205961728786</v>
      </c>
      <c r="CG331" s="36">
        <f t="shared" si="41"/>
        <v>-0.16322101363611377</v>
      </c>
      <c r="CH331">
        <f t="shared" ca="1" si="36"/>
        <v>1.7558270443909758</v>
      </c>
      <c r="CI331">
        <f t="shared" ca="1" si="37"/>
        <v>0.82870285754366879</v>
      </c>
      <c r="CJ331">
        <f t="shared" ca="1" si="38"/>
        <v>0.46601203215822629</v>
      </c>
      <c r="CK331">
        <f t="shared" ca="1" si="39"/>
        <v>0.12156190920341142</v>
      </c>
      <c r="CL331">
        <f t="shared" ca="1" si="40"/>
        <v>9.954090162525988E-3</v>
      </c>
    </row>
    <row r="332" spans="1:90" x14ac:dyDescent="0.25">
      <c r="A332" s="43">
        <v>45933</v>
      </c>
      <c r="B332" s="5">
        <v>6.6355000000000004</v>
      </c>
      <c r="C332">
        <v>7.5285000000000002</v>
      </c>
      <c r="D332">
        <v>0.376</v>
      </c>
      <c r="E332">
        <v>20.282</v>
      </c>
      <c r="F332">
        <v>0.69059999999999999</v>
      </c>
      <c r="G332">
        <v>12.394</v>
      </c>
      <c r="H332">
        <v>30.823799999999999</v>
      </c>
      <c r="I332">
        <v>18.1005</v>
      </c>
      <c r="J332">
        <v>1127.21</v>
      </c>
      <c r="K332">
        <v>1824178.7145</v>
      </c>
      <c r="M332" s="43">
        <v>45933</v>
      </c>
      <c r="N332" s="5">
        <v>4.5609000000000002</v>
      </c>
      <c r="O332">
        <v>16.099299999999999</v>
      </c>
      <c r="P332">
        <v>0.9083</v>
      </c>
      <c r="Q332">
        <v>22.0093</v>
      </c>
      <c r="R332">
        <v>-8.5999999999999993E-2</v>
      </c>
      <c r="S332">
        <v>0</v>
      </c>
      <c r="T332">
        <v>55.951300000000003</v>
      </c>
      <c r="U332">
        <v>43.993000000000002</v>
      </c>
      <c r="V332">
        <v>6425</v>
      </c>
      <c r="W332">
        <v>4836489.7977</v>
      </c>
      <c r="Y332" s="5">
        <v>2.2627000000000002</v>
      </c>
      <c r="Z332">
        <v>20.5304</v>
      </c>
      <c r="AA332">
        <v>0.91369999999999996</v>
      </c>
      <c r="AB332">
        <v>8.0314999999999994</v>
      </c>
      <c r="AC332">
        <v>-0.37809999999999999</v>
      </c>
      <c r="AD332">
        <v>0</v>
      </c>
      <c r="AE332">
        <v>63.129300000000001</v>
      </c>
      <c r="AF332">
        <v>50.191600000000001</v>
      </c>
      <c r="AG332">
        <v>2276.5140000000001</v>
      </c>
      <c r="AH332">
        <v>1082617.3857</v>
      </c>
      <c r="AK332">
        <v>2.4251</v>
      </c>
      <c r="AL332">
        <v>23.613700000000001</v>
      </c>
      <c r="AM332">
        <v>0.95030000000000003</v>
      </c>
      <c r="AN332">
        <v>0.42559999999999998</v>
      </c>
      <c r="AO332">
        <v>-0.2651</v>
      </c>
      <c r="AP332">
        <v>246.3931</v>
      </c>
      <c r="AQ332">
        <v>55.824199999999998</v>
      </c>
      <c r="AR332">
        <v>45.9771</v>
      </c>
      <c r="AS332">
        <v>1630.7380000000001</v>
      </c>
      <c r="AT332">
        <v>857775.75060000003</v>
      </c>
      <c r="AV332">
        <v>3.1945999999999999</v>
      </c>
      <c r="AW332">
        <v>4.1561000000000003</v>
      </c>
      <c r="AX332">
        <v>0.39369999999999999</v>
      </c>
      <c r="AY332">
        <v>28.224699999999999</v>
      </c>
      <c r="AZ332">
        <v>0.72940000000000005</v>
      </c>
      <c r="BA332" t="s">
        <v>23</v>
      </c>
      <c r="BB332">
        <v>13.034700000000001</v>
      </c>
      <c r="BC332">
        <v>3.8974000000000002</v>
      </c>
      <c r="BD332">
        <v>1191</v>
      </c>
      <c r="BE332">
        <v>1042937.6443</v>
      </c>
      <c r="BH332" s="5">
        <v>2.4940000000000002</v>
      </c>
      <c r="BI332">
        <v>19.494700000000002</v>
      </c>
      <c r="BJ332">
        <v>0.80569999999999997</v>
      </c>
      <c r="BK332">
        <v>9.3683999999999994</v>
      </c>
      <c r="BL332">
        <v>-6.6600000000000006E-2</v>
      </c>
      <c r="BM332">
        <v>0</v>
      </c>
      <c r="BN332">
        <v>22.4161</v>
      </c>
      <c r="BO332">
        <v>17.328900000000001</v>
      </c>
      <c r="BP332">
        <v>1242.4469999999999</v>
      </c>
      <c r="BQ332">
        <v>774642.01410000003</v>
      </c>
      <c r="CE332" s="1">
        <f t="shared" si="35"/>
        <v>45933</v>
      </c>
      <c r="CF332" s="35">
        <f t="shared" si="42"/>
        <v>4.2190376841491739</v>
      </c>
      <c r="CG332" s="36">
        <f t="shared" si="41"/>
        <v>-0.28579102233931342</v>
      </c>
      <c r="CH332">
        <f t="shared" ca="1" si="36"/>
        <v>1.7316165518059532</v>
      </c>
      <c r="CI332">
        <f t="shared" ca="1" si="37"/>
        <v>0.78278646661458384</v>
      </c>
      <c r="CJ332">
        <f t="shared" ca="1" si="38"/>
        <v>0.39470862795059308</v>
      </c>
      <c r="CK332">
        <f t="shared" ca="1" si="39"/>
        <v>0.11046580314269752</v>
      </c>
      <c r="CL332">
        <f t="shared" ca="1" si="40"/>
        <v>-1.9436590671626123E-2</v>
      </c>
    </row>
    <row r="333" spans="1:90" x14ac:dyDescent="0.25">
      <c r="A333" s="43">
        <v>45940</v>
      </c>
      <c r="B333" s="5">
        <v>7.1102999999999996</v>
      </c>
      <c r="C333">
        <v>7.5285000000000002</v>
      </c>
      <c r="D333">
        <v>0.376</v>
      </c>
      <c r="E333">
        <v>20.282</v>
      </c>
      <c r="F333">
        <v>0.69059999999999999</v>
      </c>
      <c r="G333">
        <v>12.394</v>
      </c>
      <c r="H333">
        <v>30.823799999999999</v>
      </c>
      <c r="I333">
        <v>18.1005</v>
      </c>
      <c r="J333">
        <v>1220.0609999999999</v>
      </c>
      <c r="K333">
        <v>1974440.5526000001</v>
      </c>
      <c r="M333" s="43">
        <v>45940</v>
      </c>
      <c r="N333" s="5">
        <v>4.7598000000000003</v>
      </c>
      <c r="O333">
        <v>16.099299999999999</v>
      </c>
      <c r="P333">
        <v>0.9083</v>
      </c>
      <c r="Q333">
        <v>22.0093</v>
      </c>
      <c r="R333">
        <v>-8.5999999999999993E-2</v>
      </c>
      <c r="S333">
        <v>0</v>
      </c>
      <c r="T333">
        <v>55.951300000000003</v>
      </c>
      <c r="U333">
        <v>43.993000000000002</v>
      </c>
      <c r="V333">
        <v>6700</v>
      </c>
      <c r="W333">
        <v>5043499.0886000004</v>
      </c>
      <c r="Y333" s="5">
        <v>2.3923999999999999</v>
      </c>
      <c r="Z333">
        <v>20.5304</v>
      </c>
      <c r="AA333">
        <v>0.91369999999999996</v>
      </c>
      <c r="AB333">
        <v>8.0314999999999994</v>
      </c>
      <c r="AC333">
        <v>-0.37809999999999999</v>
      </c>
      <c r="AD333">
        <v>0</v>
      </c>
      <c r="AE333">
        <v>63.129300000000001</v>
      </c>
      <c r="AF333">
        <v>50.191600000000001</v>
      </c>
      <c r="AG333">
        <v>2388.3069999999998</v>
      </c>
      <c r="AH333">
        <v>1135781.6322999999</v>
      </c>
      <c r="AK333">
        <v>2.6343000000000001</v>
      </c>
      <c r="AL333">
        <v>23.613700000000001</v>
      </c>
      <c r="AM333">
        <v>0.95030000000000003</v>
      </c>
      <c r="AN333">
        <v>0.42559999999999998</v>
      </c>
      <c r="AO333">
        <v>-0.2651</v>
      </c>
      <c r="AP333">
        <v>246.3931</v>
      </c>
      <c r="AQ333">
        <v>55.824199999999998</v>
      </c>
      <c r="AR333">
        <v>45.9771</v>
      </c>
      <c r="AS333">
        <v>1757.5450000000001</v>
      </c>
      <c r="AT333">
        <v>924476.81980000006</v>
      </c>
      <c r="AV333">
        <v>3.4782000000000002</v>
      </c>
      <c r="AW333">
        <v>4.1561000000000003</v>
      </c>
      <c r="AX333">
        <v>0.39369999999999999</v>
      </c>
      <c r="AY333">
        <v>28.224699999999999</v>
      </c>
      <c r="AZ333">
        <v>0.72940000000000005</v>
      </c>
      <c r="BA333" t="s">
        <v>23</v>
      </c>
      <c r="BB333">
        <v>13.034700000000001</v>
      </c>
      <c r="BC333">
        <v>3.8974000000000002</v>
      </c>
      <c r="BD333">
        <v>1328</v>
      </c>
      <c r="BE333">
        <v>1162906.1222999999</v>
      </c>
      <c r="BH333" s="5">
        <v>2.9411999999999998</v>
      </c>
      <c r="BI333">
        <v>19.494700000000002</v>
      </c>
      <c r="BJ333">
        <v>0.80569999999999997</v>
      </c>
      <c r="BK333">
        <v>9.3683999999999994</v>
      </c>
      <c r="BL333">
        <v>-6.6600000000000006E-2</v>
      </c>
      <c r="BM333">
        <v>0</v>
      </c>
      <c r="BN333">
        <v>22.4161</v>
      </c>
      <c r="BO333">
        <v>17.328900000000001</v>
      </c>
      <c r="BP333">
        <v>1459.7159999999999</v>
      </c>
      <c r="BQ333">
        <v>910104.76159999997</v>
      </c>
      <c r="CE333" s="1">
        <f t="shared" si="35"/>
        <v>45940</v>
      </c>
      <c r="CF333" s="35">
        <f t="shared" si="42"/>
        <v>4.476566190092143</v>
      </c>
      <c r="CG333" s="36">
        <f t="shared" si="41"/>
        <v>-0.16451809293595335</v>
      </c>
      <c r="CH333">
        <f t="shared" ca="1" si="36"/>
        <v>1.7316165518059532</v>
      </c>
      <c r="CI333">
        <f t="shared" ca="1" si="37"/>
        <v>0.78278646661458384</v>
      </c>
      <c r="CJ333">
        <f t="shared" ca="1" si="38"/>
        <v>0.38654416856321705</v>
      </c>
      <c r="CK333">
        <f t="shared" ca="1" si="39"/>
        <v>8.8006399188878121E-2</v>
      </c>
      <c r="CL333">
        <f t="shared" ca="1" si="40"/>
        <v>-4.7739721290919981E-2</v>
      </c>
    </row>
    <row r="334" spans="1:90" x14ac:dyDescent="0.25">
      <c r="A334" s="43">
        <v>45947</v>
      </c>
      <c r="B334" s="5">
        <v>7.9032</v>
      </c>
      <c r="C334">
        <v>7.5285000000000002</v>
      </c>
      <c r="D334">
        <v>0.376</v>
      </c>
      <c r="E334">
        <v>20.282</v>
      </c>
      <c r="F334">
        <v>0.69059999999999999</v>
      </c>
      <c r="G334">
        <v>12.394</v>
      </c>
      <c r="H334">
        <v>30.823799999999999</v>
      </c>
      <c r="I334">
        <v>18.1005</v>
      </c>
      <c r="J334">
        <v>1375.1220000000001</v>
      </c>
      <c r="K334">
        <v>2225377.8223000001</v>
      </c>
      <c r="M334" s="43">
        <v>45947</v>
      </c>
      <c r="N334" s="5">
        <v>4.8574000000000002</v>
      </c>
      <c r="O334">
        <v>16.099299999999999</v>
      </c>
      <c r="P334">
        <v>0.9083</v>
      </c>
      <c r="Q334">
        <v>22.0093</v>
      </c>
      <c r="R334">
        <v>-8.5999999999999993E-2</v>
      </c>
      <c r="S334">
        <v>0</v>
      </c>
      <c r="T334">
        <v>55.951300000000003</v>
      </c>
      <c r="U334">
        <v>43.993000000000002</v>
      </c>
      <c r="V334">
        <v>6835</v>
      </c>
      <c r="W334">
        <v>5145121.8313999996</v>
      </c>
      <c r="Y334" s="5">
        <v>2.2894999999999999</v>
      </c>
      <c r="Z334">
        <v>20.5304</v>
      </c>
      <c r="AA334">
        <v>0.91369999999999996</v>
      </c>
      <c r="AB334">
        <v>8.0314999999999994</v>
      </c>
      <c r="AC334">
        <v>-0.37809999999999999</v>
      </c>
      <c r="AD334">
        <v>0</v>
      </c>
      <c r="AE334">
        <v>63.129300000000001</v>
      </c>
      <c r="AF334">
        <v>50.191600000000001</v>
      </c>
      <c r="AG334">
        <v>2299.6120000000001</v>
      </c>
      <c r="AH334">
        <v>1093601.7342000001</v>
      </c>
      <c r="AK334">
        <v>2.4698000000000002</v>
      </c>
      <c r="AL334">
        <v>23.613700000000001</v>
      </c>
      <c r="AM334">
        <v>0.95030000000000003</v>
      </c>
      <c r="AN334">
        <v>0.42559999999999998</v>
      </c>
      <c r="AO334">
        <v>-0.2651</v>
      </c>
      <c r="AP334">
        <v>246.3931</v>
      </c>
      <c r="AQ334">
        <v>55.824199999999998</v>
      </c>
      <c r="AR334">
        <v>45.9771</v>
      </c>
      <c r="AS334">
        <v>1657.79</v>
      </c>
      <c r="AT334">
        <v>872005.31200000003</v>
      </c>
      <c r="AV334">
        <v>3.6976</v>
      </c>
      <c r="AW334">
        <v>4.1561000000000003</v>
      </c>
      <c r="AX334">
        <v>0.39369999999999999</v>
      </c>
      <c r="AY334">
        <v>28.224699999999999</v>
      </c>
      <c r="AZ334">
        <v>0.72940000000000005</v>
      </c>
      <c r="BA334" t="s">
        <v>23</v>
      </c>
      <c r="BB334">
        <v>13.034700000000001</v>
      </c>
      <c r="BC334">
        <v>3.8974000000000002</v>
      </c>
      <c r="BD334">
        <v>1434</v>
      </c>
      <c r="BE334">
        <v>1255728.4483</v>
      </c>
      <c r="BH334" s="5">
        <v>2.7683</v>
      </c>
      <c r="BI334">
        <v>19.494700000000002</v>
      </c>
      <c r="BJ334">
        <v>0.80569999999999997</v>
      </c>
      <c r="BK334">
        <v>9.3683999999999994</v>
      </c>
      <c r="BL334">
        <v>-6.6600000000000006E-2</v>
      </c>
      <c r="BM334">
        <v>0</v>
      </c>
      <c r="BN334">
        <v>22.4161</v>
      </c>
      <c r="BO334">
        <v>17.328900000000001</v>
      </c>
      <c r="BP334">
        <v>1375.73</v>
      </c>
      <c r="BQ334">
        <v>857741.01049999997</v>
      </c>
      <c r="CE334" s="1">
        <f t="shared" si="35"/>
        <v>45947</v>
      </c>
      <c r="CF334" s="35">
        <f t="shared" si="42"/>
        <v>4.7385742386322178</v>
      </c>
      <c r="CG334" s="36">
        <f t="shared" si="41"/>
        <v>-4.1135698985556059E-2</v>
      </c>
      <c r="CH334">
        <f t="shared" ca="1" si="36"/>
        <v>1.7316165518059532</v>
      </c>
      <c r="CI334">
        <f t="shared" ca="1" si="37"/>
        <v>0.78278646661458384</v>
      </c>
      <c r="CJ334">
        <f t="shared" ca="1" si="38"/>
        <v>0.38198273163239227</v>
      </c>
      <c r="CK334">
        <f t="shared" ca="1" si="39"/>
        <v>7.5508924242481026E-2</v>
      </c>
      <c r="CL334">
        <f t="shared" ca="1" si="40"/>
        <v>-8.4230529114946703E-2</v>
      </c>
    </row>
    <row r="335" spans="1:90" x14ac:dyDescent="0.25">
      <c r="A335" s="43">
        <v>45954</v>
      </c>
      <c r="B335" s="5">
        <v>7.9886999999999997</v>
      </c>
      <c r="C335">
        <v>7.5285000000000002</v>
      </c>
      <c r="D335">
        <v>0.376</v>
      </c>
      <c r="E335">
        <v>20.282</v>
      </c>
      <c r="F335">
        <v>0.69059999999999999</v>
      </c>
      <c r="G335">
        <v>12.394</v>
      </c>
      <c r="H335">
        <v>30.823799999999999</v>
      </c>
      <c r="I335">
        <v>18.1005</v>
      </c>
      <c r="J335">
        <v>1391.835</v>
      </c>
      <c r="K335">
        <v>2252424.9531</v>
      </c>
      <c r="M335" s="43">
        <v>45954</v>
      </c>
      <c r="N335" s="5">
        <v>5.0129000000000001</v>
      </c>
      <c r="O335">
        <v>16.099299999999999</v>
      </c>
      <c r="P335">
        <v>0.9083</v>
      </c>
      <c r="Q335">
        <v>22.0093</v>
      </c>
      <c r="R335">
        <v>-8.5999999999999993E-2</v>
      </c>
      <c r="S335">
        <v>0</v>
      </c>
      <c r="T335">
        <v>55.951300000000003</v>
      </c>
      <c r="U335">
        <v>43.993000000000002</v>
      </c>
      <c r="V335">
        <v>7050</v>
      </c>
      <c r="W335">
        <v>5306965.4589</v>
      </c>
      <c r="Y335" s="5">
        <v>2.3656000000000001</v>
      </c>
      <c r="Z335">
        <v>20.5304</v>
      </c>
      <c r="AA335">
        <v>0.91369999999999996</v>
      </c>
      <c r="AB335">
        <v>8.0314999999999994</v>
      </c>
      <c r="AC335">
        <v>-0.37809999999999999</v>
      </c>
      <c r="AD335">
        <v>0</v>
      </c>
      <c r="AE335">
        <v>63.129300000000001</v>
      </c>
      <c r="AF335">
        <v>50.191600000000001</v>
      </c>
      <c r="AG335">
        <v>2365.2089999999998</v>
      </c>
      <c r="AH335">
        <v>1124797.2838000001</v>
      </c>
      <c r="AK335">
        <v>2.3652000000000002</v>
      </c>
      <c r="AL335">
        <v>23.613700000000001</v>
      </c>
      <c r="AM335">
        <v>0.95030000000000003</v>
      </c>
      <c r="AN335">
        <v>0.42559999999999998</v>
      </c>
      <c r="AO335">
        <v>-0.2651</v>
      </c>
      <c r="AP335">
        <v>246.3931</v>
      </c>
      <c r="AQ335">
        <v>55.824199999999998</v>
      </c>
      <c r="AR335">
        <v>45.9771</v>
      </c>
      <c r="AS335">
        <v>1594.3869999999999</v>
      </c>
      <c r="AT335">
        <v>838654.77740000002</v>
      </c>
      <c r="AV335">
        <v>3.8527999999999998</v>
      </c>
      <c r="AW335">
        <v>4.1561000000000003</v>
      </c>
      <c r="AX335">
        <v>0.39369999999999999</v>
      </c>
      <c r="AY335">
        <v>28.224699999999999</v>
      </c>
      <c r="AZ335">
        <v>0.72940000000000005</v>
      </c>
      <c r="BA335" t="s">
        <v>23</v>
      </c>
      <c r="BB335">
        <v>13.034700000000001</v>
      </c>
      <c r="BC335">
        <v>3.8974000000000002</v>
      </c>
      <c r="BD335">
        <v>1509</v>
      </c>
      <c r="BE335">
        <v>1321404.6224</v>
      </c>
      <c r="BH335" s="5">
        <v>2.8378000000000001</v>
      </c>
      <c r="BI335">
        <v>19.494700000000002</v>
      </c>
      <c r="BJ335">
        <v>0.80569999999999997</v>
      </c>
      <c r="BK335">
        <v>9.3683999999999994</v>
      </c>
      <c r="BL335">
        <v>-6.6600000000000006E-2</v>
      </c>
      <c r="BM335">
        <v>0</v>
      </c>
      <c r="BN335">
        <v>22.4161</v>
      </c>
      <c r="BO335">
        <v>17.328900000000001</v>
      </c>
      <c r="BP335">
        <v>1409.5070000000001</v>
      </c>
      <c r="BQ335">
        <v>878800.34519999998</v>
      </c>
      <c r="CE335" s="1">
        <f t="shared" si="35"/>
        <v>45954</v>
      </c>
      <c r="CF335" s="35">
        <f t="shared" si="42"/>
        <v>4.8474262977755949</v>
      </c>
      <c r="CG335" s="36">
        <f t="shared" si="41"/>
        <v>1.012390055108133E-2</v>
      </c>
      <c r="CH335">
        <f t="shared" ca="1" si="36"/>
        <v>1.7316165518059532</v>
      </c>
      <c r="CI335">
        <f t="shared" ca="1" si="37"/>
        <v>0.78278646661458384</v>
      </c>
      <c r="CJ335">
        <f t="shared" ca="1" si="38"/>
        <v>0.36835823202715495</v>
      </c>
      <c r="CK335">
        <f t="shared" ca="1" si="39"/>
        <v>5.8597976790881495E-2</v>
      </c>
      <c r="CL335">
        <f t="shared" ca="1" si="40"/>
        <v>-8.4230529114946703E-2</v>
      </c>
    </row>
    <row r="336" spans="1:90" x14ac:dyDescent="0.25">
      <c r="A336" s="43">
        <v>45961</v>
      </c>
      <c r="B336" s="5">
        <v>12.0007</v>
      </c>
      <c r="C336">
        <v>7.5285000000000002</v>
      </c>
      <c r="D336">
        <v>0.376</v>
      </c>
      <c r="E336">
        <v>20.282</v>
      </c>
      <c r="F336">
        <v>0.69059999999999999</v>
      </c>
      <c r="G336">
        <v>12.394</v>
      </c>
      <c r="H336">
        <v>30.823799999999999</v>
      </c>
      <c r="I336">
        <v>18.1005</v>
      </c>
      <c r="J336">
        <v>2176.4250000000002</v>
      </c>
      <c r="K336">
        <v>3522137.4851000002</v>
      </c>
      <c r="M336" s="43">
        <v>45961</v>
      </c>
      <c r="N336" s="5">
        <v>6.7053000000000003</v>
      </c>
      <c r="O336">
        <v>16.099299999999999</v>
      </c>
      <c r="P336">
        <v>0.9083</v>
      </c>
      <c r="Q336">
        <v>22.0093</v>
      </c>
      <c r="R336">
        <v>-8.5999999999999993E-2</v>
      </c>
      <c r="S336">
        <v>0</v>
      </c>
      <c r="T336">
        <v>55.951300000000003</v>
      </c>
      <c r="U336">
        <v>43.993000000000002</v>
      </c>
      <c r="V336">
        <v>9390</v>
      </c>
      <c r="W336">
        <v>7068426.3345999997</v>
      </c>
      <c r="Y336" s="5">
        <v>4.3269000000000002</v>
      </c>
      <c r="Z336">
        <v>20.5304</v>
      </c>
      <c r="AA336">
        <v>0.91369999999999996</v>
      </c>
      <c r="AB336">
        <v>8.0314999999999994</v>
      </c>
      <c r="AC336">
        <v>-0.37809999999999999</v>
      </c>
      <c r="AD336">
        <v>0</v>
      </c>
      <c r="AE336">
        <v>63.129300000000001</v>
      </c>
      <c r="AF336">
        <v>50.191600000000001</v>
      </c>
      <c r="AG336">
        <v>4055.9650000000001</v>
      </c>
      <c r="AH336">
        <v>1928851.5922000001</v>
      </c>
      <c r="AK336">
        <v>3.7479</v>
      </c>
      <c r="AL336">
        <v>23.613700000000001</v>
      </c>
      <c r="AM336">
        <v>0.95030000000000003</v>
      </c>
      <c r="AN336">
        <v>0.42559999999999998</v>
      </c>
      <c r="AO336">
        <v>-0.2651</v>
      </c>
      <c r="AP336">
        <v>246.3931</v>
      </c>
      <c r="AQ336">
        <v>55.824199999999998</v>
      </c>
      <c r="AR336">
        <v>45.9771</v>
      </c>
      <c r="AS336">
        <v>2432.5810000000001</v>
      </c>
      <c r="AT336">
        <v>1279548.8451</v>
      </c>
      <c r="AV336">
        <v>5.9092000000000002</v>
      </c>
      <c r="AW336">
        <v>4.1561000000000003</v>
      </c>
      <c r="AX336">
        <v>0.39369999999999999</v>
      </c>
      <c r="AY336">
        <v>28.224699999999999</v>
      </c>
      <c r="AZ336">
        <v>0.72940000000000005</v>
      </c>
      <c r="BA336" t="s">
        <v>23</v>
      </c>
      <c r="BB336">
        <v>13.034700000000001</v>
      </c>
      <c r="BC336">
        <v>3.8974000000000002</v>
      </c>
      <c r="BD336">
        <v>2502.5</v>
      </c>
      <c r="BE336">
        <v>2191395.0082999999</v>
      </c>
      <c r="BH336" s="5">
        <v>4.5305</v>
      </c>
      <c r="BI336">
        <v>19.494700000000002</v>
      </c>
      <c r="BJ336">
        <v>0.80569999999999997</v>
      </c>
      <c r="BK336">
        <v>9.3683999999999994</v>
      </c>
      <c r="BL336">
        <v>-6.6600000000000006E-2</v>
      </c>
      <c r="BM336">
        <v>0</v>
      </c>
      <c r="BN336">
        <v>22.4161</v>
      </c>
      <c r="BO336">
        <v>17.328900000000001</v>
      </c>
      <c r="BP336">
        <v>2232.0230000000001</v>
      </c>
      <c r="BQ336">
        <v>1391623.6036</v>
      </c>
      <c r="CE336" s="1">
        <f t="shared" si="35"/>
        <v>45961</v>
      </c>
      <c r="CF336" s="35">
        <f t="shared" si="42"/>
        <v>7.0221991661963941</v>
      </c>
      <c r="CG336" s="36">
        <f t="shared" si="41"/>
        <v>1.0342477177363725</v>
      </c>
      <c r="CH336">
        <f t="shared" ca="1" si="36"/>
        <v>1.7316165518059532</v>
      </c>
      <c r="CI336">
        <f t="shared" ca="1" si="37"/>
        <v>0.76519055353470955</v>
      </c>
      <c r="CJ336">
        <f t="shared" ca="1" si="38"/>
        <v>0.32819001144976195</v>
      </c>
      <c r="CK336">
        <f t="shared" ca="1" si="39"/>
        <v>4.7199935542607638E-2</v>
      </c>
      <c r="CL336">
        <f t="shared" ca="1" si="40"/>
        <v>-8.4230529114946703E-2</v>
      </c>
    </row>
    <row r="337" spans="1:90" x14ac:dyDescent="0.25">
      <c r="A337" s="43">
        <v>45968</v>
      </c>
      <c r="B337" s="5">
        <v>11.0084</v>
      </c>
      <c r="C337">
        <v>7.5285000000000002</v>
      </c>
      <c r="D337">
        <v>0.376</v>
      </c>
      <c r="E337">
        <v>20.282</v>
      </c>
      <c r="F337">
        <v>0.69059999999999999</v>
      </c>
      <c r="G337">
        <v>12.394</v>
      </c>
      <c r="H337">
        <v>30.823799999999999</v>
      </c>
      <c r="I337">
        <v>18.1005</v>
      </c>
      <c r="J337">
        <v>1982.367</v>
      </c>
      <c r="K337">
        <v>3208090.2434</v>
      </c>
      <c r="M337" s="43">
        <v>45968</v>
      </c>
      <c r="N337" s="5">
        <v>6.0110000000000001</v>
      </c>
      <c r="O337">
        <v>16.099299999999999</v>
      </c>
      <c r="P337">
        <v>0.9083</v>
      </c>
      <c r="Q337">
        <v>22.0093</v>
      </c>
      <c r="R337">
        <v>-8.5999999999999993E-2</v>
      </c>
      <c r="S337">
        <v>0</v>
      </c>
      <c r="T337">
        <v>55.951300000000003</v>
      </c>
      <c r="U337">
        <v>43.993000000000002</v>
      </c>
      <c r="V337">
        <v>8430</v>
      </c>
      <c r="W337">
        <v>6345775.7188999997</v>
      </c>
      <c r="Y337" s="5">
        <v>4.1581000000000001</v>
      </c>
      <c r="Z337">
        <v>20.5304</v>
      </c>
      <c r="AA337">
        <v>0.91369999999999996</v>
      </c>
      <c r="AB337">
        <v>8.0314999999999994</v>
      </c>
      <c r="AC337">
        <v>-0.37809999999999999</v>
      </c>
      <c r="AD337">
        <v>0</v>
      </c>
      <c r="AE337">
        <v>63.129300000000001</v>
      </c>
      <c r="AF337">
        <v>50.191600000000001</v>
      </c>
      <c r="AG337">
        <v>3910.4490000000001</v>
      </c>
      <c r="AH337">
        <v>1859650.1968</v>
      </c>
      <c r="AK337">
        <v>4.0999999999999996</v>
      </c>
      <c r="AL337">
        <v>23.613700000000001</v>
      </c>
      <c r="AM337">
        <v>0.95030000000000003</v>
      </c>
      <c r="AN337">
        <v>0.42559999999999998</v>
      </c>
      <c r="AO337">
        <v>-0.2651</v>
      </c>
      <c r="AP337">
        <v>246.3931</v>
      </c>
      <c r="AQ337">
        <v>55.824199999999998</v>
      </c>
      <c r="AR337">
        <v>45.9771</v>
      </c>
      <c r="AS337">
        <v>2646.0390000000002</v>
      </c>
      <c r="AT337">
        <v>1391828.9783999999</v>
      </c>
      <c r="AV337">
        <v>5.6680999999999999</v>
      </c>
      <c r="AW337">
        <v>4.1561000000000003</v>
      </c>
      <c r="AX337">
        <v>0.39369999999999999</v>
      </c>
      <c r="AY337">
        <v>28.224699999999999</v>
      </c>
      <c r="AZ337">
        <v>0.72940000000000005</v>
      </c>
      <c r="BA337" t="s">
        <v>23</v>
      </c>
      <c r="BB337">
        <v>13.034700000000001</v>
      </c>
      <c r="BC337">
        <v>3.8974000000000002</v>
      </c>
      <c r="BD337">
        <v>2386</v>
      </c>
      <c r="BE337">
        <v>2089378.0179000001</v>
      </c>
      <c r="BH337" s="5">
        <v>4.4177999999999997</v>
      </c>
      <c r="BI337">
        <v>19.494700000000002</v>
      </c>
      <c r="BJ337">
        <v>0.80569999999999997</v>
      </c>
      <c r="BK337">
        <v>9.3683999999999994</v>
      </c>
      <c r="BL337">
        <v>-6.6600000000000006E-2</v>
      </c>
      <c r="BM337">
        <v>0</v>
      </c>
      <c r="BN337">
        <v>22.4161</v>
      </c>
      <c r="BO337">
        <v>17.328900000000001</v>
      </c>
      <c r="BP337">
        <v>2177.25</v>
      </c>
      <c r="BQ337">
        <v>1357473.3311000001</v>
      </c>
      <c r="CE337" s="1">
        <f t="shared" si="35"/>
        <v>45968</v>
      </c>
      <c r="CF337" s="35">
        <f t="shared" si="42"/>
        <v>6.4446278439287621</v>
      </c>
      <c r="CG337" s="36">
        <f t="shared" si="41"/>
        <v>0.76226320117074087</v>
      </c>
      <c r="CH337">
        <f t="shared" ca="1" si="36"/>
        <v>1.7316165518059532</v>
      </c>
      <c r="CI337">
        <f t="shared" ca="1" si="37"/>
        <v>0.76519055353470955</v>
      </c>
      <c r="CJ337">
        <f t="shared" ca="1" si="38"/>
        <v>0.32819001144976195</v>
      </c>
      <c r="CK337">
        <f t="shared" ca="1" si="39"/>
        <v>4.7199935542607638E-2</v>
      </c>
      <c r="CL337">
        <f t="shared" ca="1" si="40"/>
        <v>-8.4230529114946703E-2</v>
      </c>
    </row>
    <row r="338" spans="1:90" x14ac:dyDescent="0.25">
      <c r="A338" s="43">
        <v>45975</v>
      </c>
      <c r="B338" s="5">
        <v>11.601900000000001</v>
      </c>
      <c r="C338">
        <v>7.5285000000000002</v>
      </c>
      <c r="D338">
        <v>0.376</v>
      </c>
      <c r="E338">
        <v>20.282</v>
      </c>
      <c r="F338">
        <v>0.69059999999999999</v>
      </c>
      <c r="G338">
        <v>12.394</v>
      </c>
      <c r="H338">
        <v>30.823799999999999</v>
      </c>
      <c r="I338">
        <v>18.1005</v>
      </c>
      <c r="J338">
        <v>2098.4299999999998</v>
      </c>
      <c r="K338">
        <v>3395917.5411</v>
      </c>
      <c r="M338" s="43">
        <v>45975</v>
      </c>
      <c r="N338" s="5">
        <v>6.5750999999999999</v>
      </c>
      <c r="O338">
        <v>16.099299999999999</v>
      </c>
      <c r="P338">
        <v>0.9083</v>
      </c>
      <c r="Q338">
        <v>22.0093</v>
      </c>
      <c r="R338">
        <v>-8.5999999999999993E-2</v>
      </c>
      <c r="S338">
        <v>0</v>
      </c>
      <c r="T338">
        <v>55.951300000000003</v>
      </c>
      <c r="U338">
        <v>43.993000000000002</v>
      </c>
      <c r="V338">
        <v>9210</v>
      </c>
      <c r="W338">
        <v>6932929.3442000002</v>
      </c>
      <c r="Y338" s="5">
        <v>4.3135000000000003</v>
      </c>
      <c r="Z338">
        <v>20.5304</v>
      </c>
      <c r="AA338">
        <v>0.91369999999999996</v>
      </c>
      <c r="AB338">
        <v>8.0314999999999994</v>
      </c>
      <c r="AC338">
        <v>-0.37809999999999999</v>
      </c>
      <c r="AD338">
        <v>0</v>
      </c>
      <c r="AE338">
        <v>63.129300000000001</v>
      </c>
      <c r="AF338">
        <v>50.191600000000001</v>
      </c>
      <c r="AG338">
        <v>4044.4160000000002</v>
      </c>
      <c r="AH338">
        <v>1923359.4180000001</v>
      </c>
      <c r="AK338">
        <v>4.6021000000000001</v>
      </c>
      <c r="AL338">
        <v>23.613700000000001</v>
      </c>
      <c r="AM338">
        <v>0.95030000000000003</v>
      </c>
      <c r="AN338">
        <v>0.42559999999999998</v>
      </c>
      <c r="AO338">
        <v>-0.2651</v>
      </c>
      <c r="AP338">
        <v>246.3931</v>
      </c>
      <c r="AQ338">
        <v>55.824199999999998</v>
      </c>
      <c r="AR338">
        <v>45.9771</v>
      </c>
      <c r="AS338">
        <v>2950.3760000000002</v>
      </c>
      <c r="AT338">
        <v>1551911.5445999999</v>
      </c>
      <c r="AV338">
        <v>5.7633000000000001</v>
      </c>
      <c r="AW338">
        <v>4.1561000000000003</v>
      </c>
      <c r="AX338">
        <v>0.39369999999999999</v>
      </c>
      <c r="AY338">
        <v>28.224699999999999</v>
      </c>
      <c r="AZ338">
        <v>0.72940000000000005</v>
      </c>
      <c r="BA338" t="s">
        <v>23</v>
      </c>
      <c r="BB338">
        <v>13.034700000000001</v>
      </c>
      <c r="BC338">
        <v>3.8974000000000002</v>
      </c>
      <c r="BD338">
        <v>2432</v>
      </c>
      <c r="BE338">
        <v>2129659.4046999998</v>
      </c>
      <c r="BH338" s="5">
        <v>4.6527000000000003</v>
      </c>
      <c r="BI338">
        <v>19.494700000000002</v>
      </c>
      <c r="BJ338">
        <v>0.80569999999999997</v>
      </c>
      <c r="BK338">
        <v>9.3683999999999994</v>
      </c>
      <c r="BL338">
        <v>-6.6600000000000006E-2</v>
      </c>
      <c r="BM338">
        <v>0</v>
      </c>
      <c r="BN338">
        <v>22.4161</v>
      </c>
      <c r="BO338">
        <v>17.328900000000001</v>
      </c>
      <c r="BP338">
        <v>2291.3609999999999</v>
      </c>
      <c r="BQ338">
        <v>1428619.7320999999</v>
      </c>
      <c r="CE338" s="1">
        <f t="shared" si="35"/>
        <v>45975</v>
      </c>
      <c r="CF338" s="35">
        <f t="shared" si="42"/>
        <v>6.8736515816278265</v>
      </c>
      <c r="CG338" s="36">
        <f t="shared" si="41"/>
        <v>0.96429507047326524</v>
      </c>
      <c r="CH338">
        <f t="shared" ca="1" si="36"/>
        <v>1.7316165518059532</v>
      </c>
      <c r="CI338">
        <f t="shared" ca="1" si="37"/>
        <v>0.76258701301251797</v>
      </c>
      <c r="CJ338">
        <f t="shared" ca="1" si="38"/>
        <v>0.32819001144976195</v>
      </c>
      <c r="CK338">
        <f t="shared" ca="1" si="39"/>
        <v>4.7199935542607638E-2</v>
      </c>
      <c r="CL338">
        <f t="shared" ca="1" si="40"/>
        <v>-8.4230529114946703E-2</v>
      </c>
    </row>
    <row r="339" spans="1:90" x14ac:dyDescent="0.25">
      <c r="A339" s="43">
        <v>45982</v>
      </c>
      <c r="B339" s="5">
        <v>10.8659</v>
      </c>
      <c r="C339">
        <v>7.5285000000000002</v>
      </c>
      <c r="D339">
        <v>0.376</v>
      </c>
      <c r="E339">
        <v>20.282</v>
      </c>
      <c r="F339">
        <v>0.69059999999999999</v>
      </c>
      <c r="G339">
        <v>12.394</v>
      </c>
      <c r="H339">
        <v>30.823799999999999</v>
      </c>
      <c r="I339">
        <v>18.1005</v>
      </c>
      <c r="J339">
        <v>1954.511</v>
      </c>
      <c r="K339">
        <v>3163011.6919999998</v>
      </c>
      <c r="M339" s="43">
        <v>45982</v>
      </c>
      <c r="N339" s="5">
        <v>6.3798000000000004</v>
      </c>
      <c r="O339">
        <v>16.099299999999999</v>
      </c>
      <c r="P339">
        <v>0.9083</v>
      </c>
      <c r="Q339">
        <v>22.0093</v>
      </c>
      <c r="R339">
        <v>-8.5999999999999993E-2</v>
      </c>
      <c r="S339">
        <v>0</v>
      </c>
      <c r="T339">
        <v>55.951300000000003</v>
      </c>
      <c r="U339">
        <v>43.993000000000002</v>
      </c>
      <c r="V339">
        <v>8940</v>
      </c>
      <c r="W339">
        <v>6729683.8585000001</v>
      </c>
      <c r="Y339" s="5">
        <v>4.2385000000000002</v>
      </c>
      <c r="Z339">
        <v>20.5304</v>
      </c>
      <c r="AA339">
        <v>0.91369999999999996</v>
      </c>
      <c r="AB339">
        <v>8.0314999999999994</v>
      </c>
      <c r="AC339">
        <v>-0.37809999999999999</v>
      </c>
      <c r="AD339">
        <v>0</v>
      </c>
      <c r="AE339">
        <v>63.129300000000001</v>
      </c>
      <c r="AF339">
        <v>50.191600000000001</v>
      </c>
      <c r="AG339">
        <v>3979.7420000000002</v>
      </c>
      <c r="AH339">
        <v>1892603.2422</v>
      </c>
      <c r="AK339">
        <v>4.4522000000000004</v>
      </c>
      <c r="AL339">
        <v>23.613700000000001</v>
      </c>
      <c r="AM339">
        <v>0.95030000000000003</v>
      </c>
      <c r="AN339">
        <v>0.42559999999999998</v>
      </c>
      <c r="AO339">
        <v>-0.2651</v>
      </c>
      <c r="AP339">
        <v>246.3931</v>
      </c>
      <c r="AQ339">
        <v>55.824199999999998</v>
      </c>
      <c r="AR339">
        <v>45.9771</v>
      </c>
      <c r="AS339">
        <v>2859.498</v>
      </c>
      <c r="AT339">
        <v>1504109.1115999999</v>
      </c>
      <c r="AV339">
        <v>5.3968999999999996</v>
      </c>
      <c r="AW339">
        <v>4.1561000000000003</v>
      </c>
      <c r="AX339">
        <v>0.39369999999999999</v>
      </c>
      <c r="AY339">
        <v>28.224699999999999</v>
      </c>
      <c r="AZ339">
        <v>0.72940000000000005</v>
      </c>
      <c r="BA339" t="s">
        <v>23</v>
      </c>
      <c r="BB339">
        <v>13.034700000000001</v>
      </c>
      <c r="BC339">
        <v>3.8974000000000002</v>
      </c>
      <c r="BD339">
        <v>2255</v>
      </c>
      <c r="BE339">
        <v>1974663.6339</v>
      </c>
      <c r="BH339" s="5">
        <v>4.1680000000000001</v>
      </c>
      <c r="BI339">
        <v>19.494700000000002</v>
      </c>
      <c r="BJ339">
        <v>0.80569999999999997</v>
      </c>
      <c r="BK339">
        <v>9.3683999999999994</v>
      </c>
      <c r="BL339">
        <v>-6.6600000000000006E-2</v>
      </c>
      <c r="BM339">
        <v>0</v>
      </c>
      <c r="BN339">
        <v>22.4161</v>
      </c>
      <c r="BO339">
        <v>17.328900000000001</v>
      </c>
      <c r="BP339">
        <v>2055.835</v>
      </c>
      <c r="BQ339">
        <v>1281773.5604000001</v>
      </c>
      <c r="CE339" s="1">
        <f t="shared" si="35"/>
        <v>45982</v>
      </c>
      <c r="CF339" s="35">
        <f t="shared" si="42"/>
        <v>6.5285812223621909</v>
      </c>
      <c r="CG339" s="36">
        <f t="shared" si="41"/>
        <v>0.80179774550652583</v>
      </c>
      <c r="CH339">
        <f t="shared" ca="1" si="36"/>
        <v>1.7074453534276546</v>
      </c>
      <c r="CI339">
        <f t="shared" ca="1" si="37"/>
        <v>0.76258701301251797</v>
      </c>
      <c r="CJ339">
        <f t="shared" ca="1" si="38"/>
        <v>0.32819001144976195</v>
      </c>
      <c r="CK339">
        <f t="shared" ca="1" si="39"/>
        <v>4.7199935542607638E-2</v>
      </c>
      <c r="CL339">
        <f t="shared" ca="1" si="40"/>
        <v>-8.4230529114946703E-2</v>
      </c>
    </row>
    <row r="340" spans="1:90" x14ac:dyDescent="0.25">
      <c r="A340" s="43">
        <v>45989</v>
      </c>
      <c r="B340" s="5">
        <v>12.428000000000001</v>
      </c>
      <c r="C340">
        <v>7.5285000000000002</v>
      </c>
      <c r="D340">
        <v>0.376</v>
      </c>
      <c r="E340">
        <v>20.282</v>
      </c>
      <c r="F340">
        <v>0.69059999999999999</v>
      </c>
      <c r="G340">
        <v>12.394</v>
      </c>
      <c r="H340">
        <v>30.823799999999999</v>
      </c>
      <c r="I340">
        <v>18.1005</v>
      </c>
      <c r="J340">
        <v>2259.991</v>
      </c>
      <c r="K340">
        <v>3657373.1394000002</v>
      </c>
      <c r="M340" s="43">
        <v>45989</v>
      </c>
      <c r="N340" s="5">
        <v>6.5498000000000003</v>
      </c>
      <c r="O340">
        <v>16.099299999999999</v>
      </c>
      <c r="P340">
        <v>0.9083</v>
      </c>
      <c r="Q340">
        <v>22.0093</v>
      </c>
      <c r="R340">
        <v>-8.5999999999999993E-2</v>
      </c>
      <c r="S340">
        <v>0</v>
      </c>
      <c r="T340">
        <v>55.951300000000003</v>
      </c>
      <c r="U340">
        <v>43.993000000000002</v>
      </c>
      <c r="V340">
        <v>9175</v>
      </c>
      <c r="W340">
        <v>6906582.7072000001</v>
      </c>
      <c r="Y340" s="5">
        <v>4.4581999999999997</v>
      </c>
      <c r="Z340">
        <v>20.5304</v>
      </c>
      <c r="AA340">
        <v>0.91369999999999996</v>
      </c>
      <c r="AB340">
        <v>8.0314999999999994</v>
      </c>
      <c r="AC340">
        <v>-0.37809999999999999</v>
      </c>
      <c r="AD340">
        <v>0</v>
      </c>
      <c r="AE340">
        <v>63.129300000000001</v>
      </c>
      <c r="AF340">
        <v>50.191600000000001</v>
      </c>
      <c r="AG340">
        <v>4169.1440000000002</v>
      </c>
      <c r="AH340">
        <v>1982674.8997</v>
      </c>
      <c r="AK340">
        <v>4.5533000000000001</v>
      </c>
      <c r="AL340">
        <v>23.613700000000001</v>
      </c>
      <c r="AM340">
        <v>0.95030000000000003</v>
      </c>
      <c r="AN340">
        <v>0.42559999999999998</v>
      </c>
      <c r="AO340">
        <v>-0.2651</v>
      </c>
      <c r="AP340">
        <v>246.3931</v>
      </c>
      <c r="AQ340">
        <v>55.824199999999998</v>
      </c>
      <c r="AR340">
        <v>45.9771</v>
      </c>
      <c r="AS340">
        <v>2920.788</v>
      </c>
      <c r="AT340">
        <v>1536347.9617000001</v>
      </c>
      <c r="AV340">
        <v>6.0541</v>
      </c>
      <c r="AW340">
        <v>4.1561000000000003</v>
      </c>
      <c r="AX340">
        <v>0.39369999999999999</v>
      </c>
      <c r="AY340">
        <v>28.224699999999999</v>
      </c>
      <c r="AZ340">
        <v>0.72940000000000005</v>
      </c>
      <c r="BA340" t="s">
        <v>23</v>
      </c>
      <c r="BB340">
        <v>13.034700000000001</v>
      </c>
      <c r="BC340">
        <v>3.8974000000000002</v>
      </c>
      <c r="BD340">
        <v>2572.5</v>
      </c>
      <c r="BE340">
        <v>2252692.7708000001</v>
      </c>
      <c r="BH340" s="5">
        <v>4.6113</v>
      </c>
      <c r="BI340">
        <v>19.494700000000002</v>
      </c>
      <c r="BJ340">
        <v>0.80569999999999997</v>
      </c>
      <c r="BK340">
        <v>9.3683999999999994</v>
      </c>
      <c r="BL340">
        <v>-6.6600000000000006E-2</v>
      </c>
      <c r="BM340">
        <v>0</v>
      </c>
      <c r="BN340">
        <v>22.4161</v>
      </c>
      <c r="BO340">
        <v>17.328900000000001</v>
      </c>
      <c r="BP340">
        <v>2271.2779999999998</v>
      </c>
      <c r="BQ340">
        <v>1416097.9654999999</v>
      </c>
      <c r="CE340" s="1">
        <f t="shared" si="35"/>
        <v>45989</v>
      </c>
      <c r="CF340" s="35">
        <f t="shared" si="42"/>
        <v>7.1369371629949763</v>
      </c>
      <c r="CG340" s="36">
        <f t="shared" si="41"/>
        <v>1.0882790683035166</v>
      </c>
      <c r="CH340">
        <f t="shared" ca="1" si="36"/>
        <v>1.217931894714954</v>
      </c>
      <c r="CI340">
        <f t="shared" ca="1" si="37"/>
        <v>0.76258701301251797</v>
      </c>
      <c r="CJ340">
        <f t="shared" ca="1" si="38"/>
        <v>0.32819001144976195</v>
      </c>
      <c r="CK340">
        <f t="shared" ca="1" si="39"/>
        <v>4.7199935542607638E-2</v>
      </c>
      <c r="CL340">
        <f t="shared" ca="1" si="40"/>
        <v>-8.4230529114946703E-2</v>
      </c>
    </row>
    <row r="341" spans="1:90" x14ac:dyDescent="0.25">
      <c r="A341" s="43">
        <v>45996</v>
      </c>
      <c r="B341" s="5">
        <v>13.299300000000001</v>
      </c>
      <c r="C341">
        <v>7.5285000000000002</v>
      </c>
      <c r="D341">
        <v>0.376</v>
      </c>
      <c r="E341">
        <v>20.282</v>
      </c>
      <c r="F341">
        <v>0.69059999999999999</v>
      </c>
      <c r="G341">
        <v>12.394</v>
      </c>
      <c r="H341">
        <v>30.823799999999999</v>
      </c>
      <c r="I341">
        <v>18.1005</v>
      </c>
      <c r="J341">
        <v>2430.3719999999998</v>
      </c>
      <c r="K341">
        <v>3933103.6123000002</v>
      </c>
      <c r="M341" s="43">
        <v>45996</v>
      </c>
      <c r="N341" s="5">
        <v>6.7884000000000002</v>
      </c>
      <c r="O341">
        <v>16.099299999999999</v>
      </c>
      <c r="P341">
        <v>0.9083</v>
      </c>
      <c r="Q341">
        <v>22.0093</v>
      </c>
      <c r="R341">
        <v>-8.5999999999999993E-2</v>
      </c>
      <c r="S341">
        <v>0</v>
      </c>
      <c r="T341">
        <v>55.951300000000003</v>
      </c>
      <c r="U341">
        <v>43.993000000000002</v>
      </c>
      <c r="V341">
        <v>9505</v>
      </c>
      <c r="W341">
        <v>7154993.8563000001</v>
      </c>
      <c r="Y341" s="5">
        <v>4.7770999999999999</v>
      </c>
      <c r="Z341">
        <v>20.5304</v>
      </c>
      <c r="AA341">
        <v>0.91369999999999996</v>
      </c>
      <c r="AB341">
        <v>8.0314999999999994</v>
      </c>
      <c r="AC341">
        <v>-0.37809999999999999</v>
      </c>
      <c r="AD341">
        <v>0</v>
      </c>
      <c r="AE341">
        <v>63.129300000000001</v>
      </c>
      <c r="AF341">
        <v>50.191600000000001</v>
      </c>
      <c r="AG341">
        <v>4444.0069999999996</v>
      </c>
      <c r="AH341">
        <v>2113388.6466000001</v>
      </c>
      <c r="AK341">
        <v>5.2541000000000002</v>
      </c>
      <c r="AL341">
        <v>23.613700000000001</v>
      </c>
      <c r="AM341">
        <v>0.95030000000000003</v>
      </c>
      <c r="AN341">
        <v>0.42559999999999998</v>
      </c>
      <c r="AO341">
        <v>-0.2651</v>
      </c>
      <c r="AP341">
        <v>246.3931</v>
      </c>
      <c r="AQ341">
        <v>55.824199999999998</v>
      </c>
      <c r="AR341">
        <v>45.9771</v>
      </c>
      <c r="AS341">
        <v>3345.5909999999999</v>
      </c>
      <c r="AT341">
        <v>1759796.5437</v>
      </c>
      <c r="AV341">
        <v>5.9143999999999997</v>
      </c>
      <c r="AW341">
        <v>4.1561000000000003</v>
      </c>
      <c r="AX341">
        <v>0.39369999999999999</v>
      </c>
      <c r="AY341">
        <v>28.224699999999999</v>
      </c>
      <c r="AZ341">
        <v>0.72940000000000005</v>
      </c>
      <c r="BA341" t="s">
        <v>23</v>
      </c>
      <c r="BB341">
        <v>13.034700000000001</v>
      </c>
      <c r="BC341">
        <v>3.8974000000000002</v>
      </c>
      <c r="BD341">
        <v>2505</v>
      </c>
      <c r="BE341">
        <v>2193584.2141</v>
      </c>
      <c r="BH341" s="5">
        <v>5.0425000000000004</v>
      </c>
      <c r="BI341">
        <v>19.494700000000002</v>
      </c>
      <c r="BJ341">
        <v>0.80569999999999997</v>
      </c>
      <c r="BK341">
        <v>9.3683999999999994</v>
      </c>
      <c r="BL341">
        <v>-6.6600000000000006E-2</v>
      </c>
      <c r="BM341">
        <v>0</v>
      </c>
      <c r="BN341">
        <v>22.4161</v>
      </c>
      <c r="BO341">
        <v>17.328900000000001</v>
      </c>
      <c r="BP341">
        <v>2480.7869999999998</v>
      </c>
      <c r="BQ341">
        <v>1546722.7577</v>
      </c>
      <c r="CE341" s="1">
        <f t="shared" si="35"/>
        <v>45996</v>
      </c>
      <c r="CF341" s="35">
        <f t="shared" si="42"/>
        <v>7.5391230293717673</v>
      </c>
      <c r="CG341" s="36">
        <f t="shared" si="41"/>
        <v>1.2776726967934946</v>
      </c>
      <c r="CH341">
        <f t="shared" ca="1" si="36"/>
        <v>1.0859888436323233</v>
      </c>
      <c r="CI341">
        <f t="shared" ca="1" si="37"/>
        <v>0.76258701301251797</v>
      </c>
      <c r="CJ341">
        <f t="shared" ca="1" si="38"/>
        <v>0.32819001144976195</v>
      </c>
      <c r="CK341">
        <f t="shared" ca="1" si="39"/>
        <v>4.7199935542607638E-2</v>
      </c>
      <c r="CL341">
        <f t="shared" ca="1" si="40"/>
        <v>-8.4230529114946703E-2</v>
      </c>
    </row>
    <row r="342" spans="1:90" x14ac:dyDescent="0.25">
      <c r="A342" s="43">
        <v>46003</v>
      </c>
      <c r="B342" s="5">
        <v>12.5989</v>
      </c>
      <c r="C342">
        <v>7.5285000000000002</v>
      </c>
      <c r="D342">
        <v>0.376</v>
      </c>
      <c r="E342">
        <v>20.282</v>
      </c>
      <c r="F342">
        <v>0.69059999999999999</v>
      </c>
      <c r="G342">
        <v>12.394</v>
      </c>
      <c r="H342">
        <v>30.823799999999999</v>
      </c>
      <c r="I342">
        <v>18.1005</v>
      </c>
      <c r="J342">
        <v>2293.4169999999999</v>
      </c>
      <c r="K342">
        <v>3711467.4010999999</v>
      </c>
      <c r="M342" s="43">
        <v>46003</v>
      </c>
      <c r="N342" s="5">
        <v>6.8643999999999998</v>
      </c>
      <c r="O342">
        <v>16.099299999999999</v>
      </c>
      <c r="P342">
        <v>0.9083</v>
      </c>
      <c r="Q342">
        <v>22.0093</v>
      </c>
      <c r="R342">
        <v>-8.5999999999999993E-2</v>
      </c>
      <c r="S342">
        <v>0</v>
      </c>
      <c r="T342">
        <v>55.951300000000003</v>
      </c>
      <c r="U342">
        <v>43.993000000000002</v>
      </c>
      <c r="V342">
        <v>9610</v>
      </c>
      <c r="W342">
        <v>7234033.7674000002</v>
      </c>
      <c r="Y342" s="5">
        <v>4.8601000000000001</v>
      </c>
      <c r="Z342">
        <v>20.5304</v>
      </c>
      <c r="AA342">
        <v>0.91369999999999996</v>
      </c>
      <c r="AB342">
        <v>8.0314999999999994</v>
      </c>
      <c r="AC342">
        <v>-0.37809999999999999</v>
      </c>
      <c r="AD342">
        <v>0</v>
      </c>
      <c r="AE342">
        <v>63.129300000000001</v>
      </c>
      <c r="AF342">
        <v>50.191600000000001</v>
      </c>
      <c r="AG342">
        <v>4515.6099999999997</v>
      </c>
      <c r="AH342">
        <v>2147440.1269</v>
      </c>
      <c r="AK342">
        <v>5.3795999999999999</v>
      </c>
      <c r="AL342">
        <v>23.613700000000001</v>
      </c>
      <c r="AM342">
        <v>0.95030000000000003</v>
      </c>
      <c r="AN342">
        <v>0.42559999999999998</v>
      </c>
      <c r="AO342">
        <v>-0.2651</v>
      </c>
      <c r="AP342">
        <v>246.3931</v>
      </c>
      <c r="AQ342">
        <v>55.824199999999998</v>
      </c>
      <c r="AR342">
        <v>45.9771</v>
      </c>
      <c r="AS342">
        <v>3421.6759999999999</v>
      </c>
      <c r="AT342">
        <v>1799817.1853</v>
      </c>
      <c r="AV342">
        <v>5.5293999999999999</v>
      </c>
      <c r="AW342">
        <v>4.1561000000000003</v>
      </c>
      <c r="AX342">
        <v>0.39369999999999999</v>
      </c>
      <c r="AY342">
        <v>28.224699999999999</v>
      </c>
      <c r="AZ342">
        <v>0.72940000000000005</v>
      </c>
      <c r="BA342" t="s">
        <v>23</v>
      </c>
      <c r="BB342">
        <v>13.034700000000001</v>
      </c>
      <c r="BC342">
        <v>3.8974000000000002</v>
      </c>
      <c r="BD342">
        <v>2319</v>
      </c>
      <c r="BE342">
        <v>2030707.3023999999</v>
      </c>
      <c r="BH342" s="5">
        <v>4.6901999999999999</v>
      </c>
      <c r="BI342">
        <v>19.494700000000002</v>
      </c>
      <c r="BJ342">
        <v>0.80569999999999997</v>
      </c>
      <c r="BK342">
        <v>9.3683999999999994</v>
      </c>
      <c r="BL342">
        <v>-6.6600000000000006E-2</v>
      </c>
      <c r="BM342">
        <v>0</v>
      </c>
      <c r="BN342">
        <v>22.4161</v>
      </c>
      <c r="BO342">
        <v>17.328900000000001</v>
      </c>
      <c r="BP342">
        <v>2309.6190000000001</v>
      </c>
      <c r="BQ342">
        <v>1440003.1562000001</v>
      </c>
      <c r="CE342" s="1">
        <f t="shared" si="35"/>
        <v>46003</v>
      </c>
      <c r="CF342" s="35">
        <f t="shared" si="42"/>
        <v>7.3253737912589347</v>
      </c>
      <c r="CG342" s="36">
        <f t="shared" si="41"/>
        <v>1.1770158931174772</v>
      </c>
      <c r="CH342">
        <f t="shared" ca="1" si="36"/>
        <v>1.0859888436323233</v>
      </c>
      <c r="CI342">
        <f t="shared" ca="1" si="37"/>
        <v>0.76258701301251797</v>
      </c>
      <c r="CJ342">
        <f t="shared" ca="1" si="38"/>
        <v>0.32819001144976195</v>
      </c>
      <c r="CK342">
        <f t="shared" ca="1" si="39"/>
        <v>4.7199935542607638E-2</v>
      </c>
      <c r="CL342">
        <f t="shared" ca="1" si="40"/>
        <v>-8.4230529114946703E-2</v>
      </c>
    </row>
    <row r="343" spans="1:90" x14ac:dyDescent="0.25">
      <c r="A343" s="43">
        <v>46010</v>
      </c>
      <c r="B343" s="5">
        <v>13.584099999999999</v>
      </c>
      <c r="C343">
        <v>7.5285000000000002</v>
      </c>
      <c r="D343">
        <v>0.376</v>
      </c>
      <c r="E343">
        <v>20.282</v>
      </c>
      <c r="F343">
        <v>0.69059999999999999</v>
      </c>
      <c r="G343">
        <v>12.394</v>
      </c>
      <c r="H343">
        <v>30.823799999999999</v>
      </c>
      <c r="I343">
        <v>18.1005</v>
      </c>
      <c r="J343">
        <v>2486.0830000000001</v>
      </c>
      <c r="K343">
        <v>4023260.7151000001</v>
      </c>
      <c r="M343" s="43">
        <v>46010</v>
      </c>
      <c r="N343" s="5">
        <v>6.9259000000000004</v>
      </c>
      <c r="O343">
        <v>16.099299999999999</v>
      </c>
      <c r="P343">
        <v>0.9083</v>
      </c>
      <c r="Q343">
        <v>22.0093</v>
      </c>
      <c r="R343">
        <v>-8.5999999999999993E-2</v>
      </c>
      <c r="S343">
        <v>0</v>
      </c>
      <c r="T343">
        <v>55.951300000000003</v>
      </c>
      <c r="U343">
        <v>43.993000000000002</v>
      </c>
      <c r="V343">
        <v>9695</v>
      </c>
      <c r="W343">
        <v>7298018.4572999999</v>
      </c>
      <c r="Y343" s="5">
        <v>5.1628999999999996</v>
      </c>
      <c r="Z343">
        <v>20.5304</v>
      </c>
      <c r="AA343">
        <v>0.91369999999999996</v>
      </c>
      <c r="AB343">
        <v>8.0314999999999994</v>
      </c>
      <c r="AC343">
        <v>-0.37809999999999999</v>
      </c>
      <c r="AD343">
        <v>0</v>
      </c>
      <c r="AE343">
        <v>63.129300000000001</v>
      </c>
      <c r="AF343">
        <v>50.191600000000001</v>
      </c>
      <c r="AG343">
        <v>4776.6139999999996</v>
      </c>
      <c r="AH343">
        <v>2271563.2645999999</v>
      </c>
      <c r="AK343">
        <v>5.7526000000000002</v>
      </c>
      <c r="AL343">
        <v>23.613700000000001</v>
      </c>
      <c r="AM343">
        <v>0.95030000000000003</v>
      </c>
      <c r="AN343">
        <v>0.42559999999999998</v>
      </c>
      <c r="AO343">
        <v>-0.2651</v>
      </c>
      <c r="AP343">
        <v>246.3931</v>
      </c>
      <c r="AQ343">
        <v>55.824199999999998</v>
      </c>
      <c r="AR343">
        <v>45.9771</v>
      </c>
      <c r="AS343">
        <v>3647.8150000000001</v>
      </c>
      <c r="AT343">
        <v>1918767.4254000001</v>
      </c>
      <c r="AV343">
        <v>5.7798999999999996</v>
      </c>
      <c r="AW343">
        <v>4.1561000000000003</v>
      </c>
      <c r="AX343">
        <v>0.39369999999999999</v>
      </c>
      <c r="AY343">
        <v>28.224699999999999</v>
      </c>
      <c r="AZ343">
        <v>0.72940000000000005</v>
      </c>
      <c r="BA343" t="s">
        <v>23</v>
      </c>
      <c r="BB343">
        <v>13.034700000000001</v>
      </c>
      <c r="BC343">
        <v>3.8974000000000002</v>
      </c>
      <c r="BD343">
        <v>2440</v>
      </c>
      <c r="BE343">
        <v>2136664.8632</v>
      </c>
      <c r="BH343" s="5">
        <v>4.8404999999999996</v>
      </c>
      <c r="BI343">
        <v>19.494700000000002</v>
      </c>
      <c r="BJ343">
        <v>0.80569999999999997</v>
      </c>
      <c r="BK343">
        <v>9.3683999999999994</v>
      </c>
      <c r="BL343">
        <v>-6.6600000000000006E-2</v>
      </c>
      <c r="BM343">
        <v>0</v>
      </c>
      <c r="BN343">
        <v>22.4161</v>
      </c>
      <c r="BO343">
        <v>17.328900000000001</v>
      </c>
      <c r="BP343">
        <v>2382.6509999999998</v>
      </c>
      <c r="BQ343">
        <v>1485536.8529000001</v>
      </c>
      <c r="CE343" s="1">
        <f t="shared" si="35"/>
        <v>46010</v>
      </c>
      <c r="CF343" s="35">
        <f t="shared" si="42"/>
        <v>7.7090718259492297</v>
      </c>
      <c r="CG343" s="36">
        <f t="shared" si="41"/>
        <v>1.3577034038177835</v>
      </c>
      <c r="CH343">
        <f t="shared" ca="1" si="36"/>
        <v>1.0859888436323233</v>
      </c>
      <c r="CI343">
        <f t="shared" ca="1" si="37"/>
        <v>0.76258701301251797</v>
      </c>
      <c r="CJ343">
        <f t="shared" ca="1" si="38"/>
        <v>0.32819001144976195</v>
      </c>
      <c r="CK343">
        <f t="shared" ca="1" si="39"/>
        <v>4.7199935542607638E-2</v>
      </c>
      <c r="CL343">
        <f t="shared" ca="1" si="40"/>
        <v>-8.4230529114946703E-2</v>
      </c>
    </row>
    <row r="344" spans="1:90" x14ac:dyDescent="0.25">
      <c r="A344" s="43">
        <v>46017</v>
      </c>
      <c r="B344" s="5">
        <v>13.750299999999999</v>
      </c>
      <c r="C344">
        <v>7.5285000000000002</v>
      </c>
      <c r="D344">
        <v>0.376</v>
      </c>
      <c r="E344">
        <v>20.282</v>
      </c>
      <c r="F344">
        <v>0.69059999999999999</v>
      </c>
      <c r="G344">
        <v>12.394</v>
      </c>
      <c r="H344">
        <v>30.823799999999999</v>
      </c>
      <c r="I344">
        <v>18.1005</v>
      </c>
      <c r="J344">
        <v>2518.5810000000001</v>
      </c>
      <c r="K344">
        <v>4075852.3585000001</v>
      </c>
      <c r="M344" s="43">
        <v>46017</v>
      </c>
      <c r="N344" s="5">
        <v>6.7704000000000004</v>
      </c>
      <c r="O344">
        <v>16.099299999999999</v>
      </c>
      <c r="P344">
        <v>0.9083</v>
      </c>
      <c r="Q344">
        <v>22.0093</v>
      </c>
      <c r="R344">
        <v>-8.5999999999999993E-2</v>
      </c>
      <c r="S344">
        <v>0</v>
      </c>
      <c r="T344">
        <v>55.951300000000003</v>
      </c>
      <c r="U344">
        <v>43.993000000000002</v>
      </c>
      <c r="V344">
        <v>9480</v>
      </c>
      <c r="W344">
        <v>7136174.8298000004</v>
      </c>
      <c r="Y344" s="5">
        <v>4.8387000000000002</v>
      </c>
      <c r="Z344">
        <v>20.5304</v>
      </c>
      <c r="AA344">
        <v>0.91369999999999996</v>
      </c>
      <c r="AB344">
        <v>8.0314999999999994</v>
      </c>
      <c r="AC344">
        <v>-0.37809999999999999</v>
      </c>
      <c r="AD344">
        <v>0</v>
      </c>
      <c r="AE344">
        <v>63.129300000000001</v>
      </c>
      <c r="AF344">
        <v>50.191600000000001</v>
      </c>
      <c r="AG344">
        <v>4642.982</v>
      </c>
      <c r="AH344">
        <v>2138652.6480999999</v>
      </c>
      <c r="AK344">
        <v>5.5644</v>
      </c>
      <c r="AL344">
        <v>23.613700000000001</v>
      </c>
      <c r="AM344">
        <v>0.95030000000000003</v>
      </c>
      <c r="AN344">
        <v>0.42559999999999998</v>
      </c>
      <c r="AO344">
        <v>-0.2651</v>
      </c>
      <c r="AP344">
        <v>246.3931</v>
      </c>
      <c r="AQ344">
        <v>55.824199999999998</v>
      </c>
      <c r="AR344">
        <v>45.9771</v>
      </c>
      <c r="AS344">
        <v>3533.6880000000001</v>
      </c>
      <c r="AT344">
        <v>1858736.4631000001</v>
      </c>
      <c r="AV344">
        <v>5.7385000000000002</v>
      </c>
      <c r="AW344">
        <v>4.1561000000000003</v>
      </c>
      <c r="AX344">
        <v>0.39369999999999999</v>
      </c>
      <c r="AY344">
        <v>28.224699999999999</v>
      </c>
      <c r="AZ344">
        <v>0.72940000000000005</v>
      </c>
      <c r="BA344" t="s">
        <v>23</v>
      </c>
      <c r="BB344">
        <v>13.034700000000001</v>
      </c>
      <c r="BC344">
        <v>3.8974000000000002</v>
      </c>
      <c r="BD344">
        <v>2420</v>
      </c>
      <c r="BE344">
        <v>2119151.2168000001</v>
      </c>
      <c r="BH344" s="5">
        <v>5.0143000000000004</v>
      </c>
      <c r="BI344">
        <v>19.494700000000002</v>
      </c>
      <c r="BJ344">
        <v>0.80569999999999997</v>
      </c>
      <c r="BK344">
        <v>9.3683999999999994</v>
      </c>
      <c r="BL344">
        <v>-6.6600000000000006E-2</v>
      </c>
      <c r="BM344">
        <v>0</v>
      </c>
      <c r="BN344">
        <v>22.4161</v>
      </c>
      <c r="BO344">
        <v>17.328900000000001</v>
      </c>
      <c r="BP344">
        <v>2467.0929999999998</v>
      </c>
      <c r="BQ344">
        <v>1538185.1895999999</v>
      </c>
      <c r="CE344" s="1">
        <f t="shared" si="35"/>
        <v>46017</v>
      </c>
      <c r="CF344" s="35">
        <f t="shared" si="42"/>
        <v>7.6814317762745263</v>
      </c>
      <c r="CG344" s="36">
        <f t="shared" si="41"/>
        <v>1.3446874086345242</v>
      </c>
      <c r="CH344">
        <f t="shared" ca="1" si="36"/>
        <v>1.0859888436323233</v>
      </c>
      <c r="CI344">
        <f t="shared" ca="1" si="37"/>
        <v>0.76258701301251797</v>
      </c>
      <c r="CJ344">
        <f t="shared" ca="1" si="38"/>
        <v>0.32819001144976195</v>
      </c>
      <c r="CK344">
        <f t="shared" ca="1" si="39"/>
        <v>4.7199935542607638E-2</v>
      </c>
      <c r="CL344">
        <f t="shared" ca="1" si="40"/>
        <v>-8.4230529114946703E-2</v>
      </c>
    </row>
    <row r="345" spans="1:90" x14ac:dyDescent="0.25">
      <c r="A345" s="43">
        <v>46024</v>
      </c>
      <c r="B345" s="5">
        <v>9.9314999999999998</v>
      </c>
      <c r="C345">
        <v>7.9119000000000002</v>
      </c>
      <c r="D345">
        <v>0.32250000000000001</v>
      </c>
      <c r="E345">
        <v>15.8573</v>
      </c>
      <c r="F345">
        <v>0.36059999999999998</v>
      </c>
      <c r="G345">
        <v>12.394</v>
      </c>
      <c r="H345">
        <v>40.645000000000003</v>
      </c>
      <c r="I345">
        <v>25.592500000000001</v>
      </c>
      <c r="J345">
        <v>2504.6529999999998</v>
      </c>
      <c r="K345">
        <v>4053313.0827000001</v>
      </c>
      <c r="M345" s="43">
        <v>46024</v>
      </c>
      <c r="N345" s="5">
        <v>7.0612000000000004</v>
      </c>
      <c r="O345">
        <v>9.7738999999999994</v>
      </c>
      <c r="P345">
        <v>0.48880000000000001</v>
      </c>
      <c r="Q345">
        <v>35.287399999999998</v>
      </c>
      <c r="R345">
        <v>-0.12039999999999999</v>
      </c>
      <c r="S345">
        <v>0</v>
      </c>
      <c r="T345">
        <v>52.9754</v>
      </c>
      <c r="U345">
        <v>40.696199999999997</v>
      </c>
      <c r="V345">
        <v>9515</v>
      </c>
      <c r="W345">
        <v>7162521.4669000003</v>
      </c>
      <c r="Y345" s="5">
        <v>4.2714999999999996</v>
      </c>
      <c r="Z345">
        <v>17.469200000000001</v>
      </c>
      <c r="AA345">
        <v>0.74480000000000002</v>
      </c>
      <c r="AB345">
        <v>2.3481000000000001</v>
      </c>
      <c r="AC345">
        <v>-0.57010000000000005</v>
      </c>
      <c r="AD345">
        <v>0</v>
      </c>
      <c r="AE345">
        <v>65.004499999999993</v>
      </c>
      <c r="AF345">
        <v>53.181100000000001</v>
      </c>
      <c r="AG345">
        <v>4526.1319999999996</v>
      </c>
      <c r="AH345">
        <v>2084829.3406</v>
      </c>
      <c r="AK345">
        <v>3.7749000000000001</v>
      </c>
      <c r="AL345">
        <v>20.244499999999999</v>
      </c>
      <c r="AM345">
        <v>0.87160000000000004</v>
      </c>
      <c r="AN345">
        <v>1.06E-2</v>
      </c>
      <c r="AO345">
        <v>-0.35580000000000001</v>
      </c>
      <c r="AP345">
        <v>246.3931</v>
      </c>
      <c r="AQ345">
        <v>59.6631</v>
      </c>
      <c r="AR345">
        <v>50.986499999999999</v>
      </c>
      <c r="AS345">
        <v>2933.4690000000001</v>
      </c>
      <c r="AT345">
        <v>1543018.0686999999</v>
      </c>
      <c r="AV345">
        <v>5.6227</v>
      </c>
      <c r="AW345">
        <v>3.7496999999999998</v>
      </c>
      <c r="AX345">
        <v>0.21920000000000001</v>
      </c>
      <c r="AY345">
        <v>34.919600000000003</v>
      </c>
      <c r="AZ345">
        <v>1.0438000000000001</v>
      </c>
      <c r="BA345" t="s">
        <v>23</v>
      </c>
      <c r="BB345">
        <v>13.4772</v>
      </c>
      <c r="BC345">
        <v>4.5723000000000003</v>
      </c>
      <c r="BD345">
        <v>2320</v>
      </c>
      <c r="BE345">
        <v>2031582.9846999999</v>
      </c>
      <c r="BH345" s="5">
        <v>4.9570999999999996</v>
      </c>
      <c r="BI345">
        <v>15.1898</v>
      </c>
      <c r="BJ345">
        <v>0.58720000000000006</v>
      </c>
      <c r="BK345">
        <v>8.2711000000000006</v>
      </c>
      <c r="BL345">
        <v>-0.1321</v>
      </c>
      <c r="BM345">
        <v>0</v>
      </c>
      <c r="BN345">
        <v>21.266300000000001</v>
      </c>
      <c r="BO345">
        <v>16.080200000000001</v>
      </c>
      <c r="BP345">
        <v>2316.4659999999999</v>
      </c>
      <c r="BQ345">
        <v>1444271.9402999999</v>
      </c>
      <c r="CE345" s="1">
        <f t="shared" si="35"/>
        <v>46024</v>
      </c>
      <c r="CF345" s="35">
        <f t="shared" si="42"/>
        <v>6.7765875179549289</v>
      </c>
      <c r="CG345" s="36">
        <f t="shared" si="41"/>
        <v>0.91858656415352846</v>
      </c>
      <c r="CH345">
        <f t="shared" ca="1" si="36"/>
        <v>1.0859888436323233</v>
      </c>
      <c r="CI345">
        <f t="shared" ca="1" si="37"/>
        <v>0.76258701301251797</v>
      </c>
      <c r="CJ345">
        <f t="shared" ca="1" si="38"/>
        <v>0.32819001144976195</v>
      </c>
      <c r="CK345">
        <f t="shared" ca="1" si="39"/>
        <v>4.7199935542607638E-2</v>
      </c>
      <c r="CL345">
        <f t="shared" ca="1" si="40"/>
        <v>-8.4230529114946703E-2</v>
      </c>
    </row>
    <row r="346" spans="1:90" x14ac:dyDescent="0.25">
      <c r="A346" s="43">
        <v>46031</v>
      </c>
      <c r="B346" s="5">
        <v>9.4687999999999999</v>
      </c>
      <c r="C346">
        <v>7.9119000000000002</v>
      </c>
      <c r="D346">
        <v>0.32250000000000001</v>
      </c>
      <c r="E346">
        <v>15.8573</v>
      </c>
      <c r="F346">
        <v>0.36059999999999998</v>
      </c>
      <c r="G346">
        <v>12.394</v>
      </c>
      <c r="H346">
        <v>40.645000000000003</v>
      </c>
      <c r="I346">
        <v>25.592500000000001</v>
      </c>
      <c r="J346">
        <v>2381.6260000000002</v>
      </c>
      <c r="K346">
        <v>3854216.1472999998</v>
      </c>
      <c r="M346" s="43">
        <v>46031</v>
      </c>
      <c r="N346" s="5">
        <v>6.8007999999999997</v>
      </c>
      <c r="O346">
        <v>9.7738999999999994</v>
      </c>
      <c r="P346">
        <v>0.48880000000000001</v>
      </c>
      <c r="Q346">
        <v>35.287399999999998</v>
      </c>
      <c r="R346">
        <v>-0.12039999999999999</v>
      </c>
      <c r="S346">
        <v>0</v>
      </c>
      <c r="T346">
        <v>52.9754</v>
      </c>
      <c r="U346">
        <v>40.696199999999997</v>
      </c>
      <c r="V346">
        <v>9170</v>
      </c>
      <c r="W346">
        <v>6902818.9018999999</v>
      </c>
      <c r="Y346" s="5">
        <v>3.9782000000000002</v>
      </c>
      <c r="Z346">
        <v>17.469200000000001</v>
      </c>
      <c r="AA346">
        <v>0.74480000000000002</v>
      </c>
      <c r="AB346">
        <v>2.3481000000000001</v>
      </c>
      <c r="AC346">
        <v>-0.57010000000000005</v>
      </c>
      <c r="AD346">
        <v>0</v>
      </c>
      <c r="AE346">
        <v>65.004499999999993</v>
      </c>
      <c r="AF346">
        <v>53.181100000000001</v>
      </c>
      <c r="AG346">
        <v>4251.893</v>
      </c>
      <c r="AH346">
        <v>1958509.3330999999</v>
      </c>
      <c r="AK346">
        <v>4.1618000000000004</v>
      </c>
      <c r="AL346">
        <v>20.244499999999999</v>
      </c>
      <c r="AM346">
        <v>0.87160000000000004</v>
      </c>
      <c r="AN346">
        <v>1.06E-2</v>
      </c>
      <c r="AO346">
        <v>-0.35580000000000001</v>
      </c>
      <c r="AP346">
        <v>246.3931</v>
      </c>
      <c r="AQ346">
        <v>59.6631</v>
      </c>
      <c r="AR346">
        <v>50.986499999999999</v>
      </c>
      <c r="AS346">
        <v>3208.2170000000001</v>
      </c>
      <c r="AT346">
        <v>1687537.0519999999</v>
      </c>
      <c r="AV346">
        <v>5.4233000000000002</v>
      </c>
      <c r="AW346">
        <v>3.7496999999999998</v>
      </c>
      <c r="AX346">
        <v>0.21920000000000001</v>
      </c>
      <c r="AY346">
        <v>34.919600000000003</v>
      </c>
      <c r="AZ346">
        <v>1.0438000000000001</v>
      </c>
      <c r="BA346" t="s">
        <v>23</v>
      </c>
      <c r="BB346">
        <v>13.4772</v>
      </c>
      <c r="BC346">
        <v>4.5723000000000003</v>
      </c>
      <c r="BD346">
        <v>2219</v>
      </c>
      <c r="BE346">
        <v>1943139.0703</v>
      </c>
      <c r="BH346" s="5">
        <v>4.5796000000000001</v>
      </c>
      <c r="BI346">
        <v>15.1898</v>
      </c>
      <c r="BJ346">
        <v>0.58720000000000006</v>
      </c>
      <c r="BK346">
        <v>8.2711000000000006</v>
      </c>
      <c r="BL346">
        <v>-0.1321</v>
      </c>
      <c r="BM346">
        <v>0</v>
      </c>
      <c r="BN346">
        <v>21.266300000000001</v>
      </c>
      <c r="BO346">
        <v>16.080200000000001</v>
      </c>
      <c r="BP346">
        <v>2144.386</v>
      </c>
      <c r="BQ346">
        <v>1336983.1676</v>
      </c>
      <c r="CE346" s="1">
        <f t="shared" si="35"/>
        <v>46031</v>
      </c>
      <c r="CF346" s="35">
        <f t="shared" si="42"/>
        <v>6.4985453167915663</v>
      </c>
      <c r="CG346" s="36">
        <f t="shared" si="41"/>
        <v>0.78765351614249968</v>
      </c>
      <c r="CH346">
        <f t="shared" ca="1" si="36"/>
        <v>1.0622639112060619</v>
      </c>
      <c r="CI346">
        <f t="shared" ca="1" si="37"/>
        <v>0.76258701301251797</v>
      </c>
      <c r="CJ346">
        <f t="shared" ca="1" si="38"/>
        <v>0.32819001144976195</v>
      </c>
      <c r="CK346">
        <f t="shared" ca="1" si="39"/>
        <v>4.7199935542607638E-2</v>
      </c>
      <c r="CL346">
        <f t="shared" ca="1" si="40"/>
        <v>-8.4230529114946703E-2</v>
      </c>
    </row>
    <row r="347" spans="1:90" x14ac:dyDescent="0.25">
      <c r="A347" s="43">
        <v>46038</v>
      </c>
      <c r="B347" s="5">
        <v>8.5922000000000001</v>
      </c>
      <c r="C347">
        <v>7.9119000000000002</v>
      </c>
      <c r="D347">
        <v>0.32250000000000001</v>
      </c>
      <c r="E347">
        <v>15.8573</v>
      </c>
      <c r="F347">
        <v>0.36059999999999998</v>
      </c>
      <c r="G347">
        <v>12.394</v>
      </c>
      <c r="H347">
        <v>40.645000000000003</v>
      </c>
      <c r="I347">
        <v>25.592500000000001</v>
      </c>
      <c r="J347">
        <v>2148.5700000000002</v>
      </c>
      <c r="K347">
        <v>3477058.9336000001</v>
      </c>
      <c r="M347" s="43">
        <v>46038</v>
      </c>
      <c r="N347" s="5">
        <v>6.4649000000000001</v>
      </c>
      <c r="O347">
        <v>9.7738999999999994</v>
      </c>
      <c r="P347">
        <v>0.48880000000000001</v>
      </c>
      <c r="Q347">
        <v>35.287399999999998</v>
      </c>
      <c r="R347">
        <v>-0.12039999999999999</v>
      </c>
      <c r="S347">
        <v>0</v>
      </c>
      <c r="T347">
        <v>52.9754</v>
      </c>
      <c r="U347">
        <v>40.696199999999997</v>
      </c>
      <c r="V347">
        <v>8725</v>
      </c>
      <c r="W347">
        <v>6567840.2309999997</v>
      </c>
      <c r="Y347" s="5">
        <v>3.8378999999999999</v>
      </c>
      <c r="Z347">
        <v>17.469200000000001</v>
      </c>
      <c r="AA347">
        <v>0.74480000000000002</v>
      </c>
      <c r="AB347">
        <v>2.3481000000000001</v>
      </c>
      <c r="AC347">
        <v>-0.57010000000000005</v>
      </c>
      <c r="AD347">
        <v>0</v>
      </c>
      <c r="AE347">
        <v>65.004499999999993</v>
      </c>
      <c r="AF347">
        <v>53.181100000000001</v>
      </c>
      <c r="AG347">
        <v>4120.7359999999999</v>
      </c>
      <c r="AH347">
        <v>1898095.4165000001</v>
      </c>
      <c r="AK347">
        <v>3.5487000000000002</v>
      </c>
      <c r="AL347">
        <v>20.244499999999999</v>
      </c>
      <c r="AM347">
        <v>0.87160000000000004</v>
      </c>
      <c r="AN347">
        <v>1.06E-2</v>
      </c>
      <c r="AO347">
        <v>-0.35580000000000001</v>
      </c>
      <c r="AP347">
        <v>246.3931</v>
      </c>
      <c r="AQ347">
        <v>59.6631</v>
      </c>
      <c r="AR347">
        <v>50.986499999999999</v>
      </c>
      <c r="AS347">
        <v>2772.846</v>
      </c>
      <c r="AT347">
        <v>1458530.0475999999</v>
      </c>
      <c r="AV347">
        <v>5.0701000000000001</v>
      </c>
      <c r="AW347">
        <v>3.7496999999999998</v>
      </c>
      <c r="AX347">
        <v>0.21920000000000001</v>
      </c>
      <c r="AY347">
        <v>34.919600000000003</v>
      </c>
      <c r="AZ347">
        <v>1.0438000000000001</v>
      </c>
      <c r="BA347" t="s">
        <v>23</v>
      </c>
      <c r="BB347">
        <v>13.4772</v>
      </c>
      <c r="BC347">
        <v>4.5723000000000003</v>
      </c>
      <c r="BD347">
        <v>2040</v>
      </c>
      <c r="BE347">
        <v>1786391.9347999999</v>
      </c>
      <c r="BH347" s="5">
        <v>4.4394</v>
      </c>
      <c r="BI347">
        <v>15.1898</v>
      </c>
      <c r="BJ347">
        <v>0.58720000000000006</v>
      </c>
      <c r="BK347">
        <v>8.2711000000000006</v>
      </c>
      <c r="BL347">
        <v>-0.1321</v>
      </c>
      <c r="BM347">
        <v>0</v>
      </c>
      <c r="BN347">
        <v>21.266300000000001</v>
      </c>
      <c r="BO347">
        <v>16.080200000000001</v>
      </c>
      <c r="BP347">
        <v>2080.4830000000002</v>
      </c>
      <c r="BQ347">
        <v>1297141.183</v>
      </c>
      <c r="CE347" s="1">
        <f t="shared" si="35"/>
        <v>46038</v>
      </c>
      <c r="CF347" s="35">
        <f t="shared" si="42"/>
        <v>6.0425821920558347</v>
      </c>
      <c r="CG347" s="36">
        <f t="shared" si="41"/>
        <v>0.57293560119114506</v>
      </c>
      <c r="CH347">
        <f t="shared" ca="1" si="36"/>
        <v>1.0272524530100617</v>
      </c>
      <c r="CI347">
        <f t="shared" ca="1" si="37"/>
        <v>0.76258701301251797</v>
      </c>
      <c r="CJ347">
        <f t="shared" ca="1" si="38"/>
        <v>0.32819001144976195</v>
      </c>
      <c r="CK347">
        <f t="shared" ca="1" si="39"/>
        <v>4.7199935542607638E-2</v>
      </c>
      <c r="CL347">
        <f t="shared" ca="1" si="40"/>
        <v>-8.4230529114946703E-2</v>
      </c>
    </row>
    <row r="348" spans="1:90" x14ac:dyDescent="0.25">
      <c r="A348" s="43">
        <v>46045</v>
      </c>
      <c r="B348" s="5">
        <v>9.2256</v>
      </c>
      <c r="C348">
        <v>7.9119000000000002</v>
      </c>
      <c r="D348">
        <v>0.32250000000000001</v>
      </c>
      <c r="E348">
        <v>15.8573</v>
      </c>
      <c r="F348">
        <v>0.36059999999999998</v>
      </c>
      <c r="G348">
        <v>12.394</v>
      </c>
      <c r="H348">
        <v>40.645000000000003</v>
      </c>
      <c r="I348">
        <v>25.592500000000001</v>
      </c>
      <c r="J348">
        <v>2299.9169999999999</v>
      </c>
      <c r="K348">
        <v>3749608.8399</v>
      </c>
      <c r="M348" s="43">
        <v>46045</v>
      </c>
      <c r="N348" s="5">
        <v>7.3198999999999996</v>
      </c>
      <c r="O348">
        <v>9.7738999999999994</v>
      </c>
      <c r="P348">
        <v>0.48880000000000001</v>
      </c>
      <c r="Q348">
        <v>35.287399999999998</v>
      </c>
      <c r="R348">
        <v>-0.12039999999999999</v>
      </c>
      <c r="S348">
        <v>0</v>
      </c>
      <c r="T348">
        <v>52.9754</v>
      </c>
      <c r="U348">
        <v>40.696199999999997</v>
      </c>
      <c r="V348">
        <v>9340</v>
      </c>
      <c r="W348">
        <v>7420585.9431999996</v>
      </c>
      <c r="Y348" s="5">
        <v>3.8607999999999998</v>
      </c>
      <c r="Z348">
        <v>17.469200000000001</v>
      </c>
      <c r="AA348">
        <v>0.74480000000000002</v>
      </c>
      <c r="AB348">
        <v>2.3481000000000001</v>
      </c>
      <c r="AC348">
        <v>-0.57010000000000005</v>
      </c>
      <c r="AD348">
        <v>0</v>
      </c>
      <c r="AE348">
        <v>65.004499999999993</v>
      </c>
      <c r="AF348">
        <v>53.181100000000001</v>
      </c>
      <c r="AG348">
        <v>4142.1980000000003</v>
      </c>
      <c r="AH348">
        <v>1907981.3300999999</v>
      </c>
      <c r="AK348">
        <v>3.7719</v>
      </c>
      <c r="AL348">
        <v>20.244499999999999</v>
      </c>
      <c r="AM348">
        <v>0.87160000000000004</v>
      </c>
      <c r="AN348">
        <v>1.06E-2</v>
      </c>
      <c r="AO348">
        <v>-0.35580000000000001</v>
      </c>
      <c r="AP348">
        <v>246.3931</v>
      </c>
      <c r="AQ348">
        <v>59.6631</v>
      </c>
      <c r="AR348">
        <v>50.986499999999999</v>
      </c>
      <c r="AS348">
        <v>2931.355</v>
      </c>
      <c r="AT348">
        <v>1541906.3842</v>
      </c>
      <c r="AV348">
        <v>5.6242000000000001</v>
      </c>
      <c r="AW348">
        <v>3.7496999999999998</v>
      </c>
      <c r="AX348">
        <v>0.21920000000000001</v>
      </c>
      <c r="AY348">
        <v>34.919600000000003</v>
      </c>
      <c r="AZ348">
        <v>1.0438000000000001</v>
      </c>
      <c r="BA348" t="s">
        <v>23</v>
      </c>
      <c r="BB348">
        <v>13.4772</v>
      </c>
      <c r="BC348">
        <v>4.5723000000000003</v>
      </c>
      <c r="BD348">
        <v>2242</v>
      </c>
      <c r="BE348">
        <v>2032272.3341999999</v>
      </c>
      <c r="BH348" s="5">
        <v>4.6456999999999997</v>
      </c>
      <c r="BI348">
        <v>15.1898</v>
      </c>
      <c r="BJ348">
        <v>0.58720000000000006</v>
      </c>
      <c r="BK348">
        <v>8.2711000000000006</v>
      </c>
      <c r="BL348">
        <v>-0.1321</v>
      </c>
      <c r="BM348">
        <v>0</v>
      </c>
      <c r="BN348">
        <v>21.266300000000001</v>
      </c>
      <c r="BO348">
        <v>16.080200000000001</v>
      </c>
      <c r="BP348">
        <v>2174.511</v>
      </c>
      <c r="BQ348">
        <v>1355765.8174999999</v>
      </c>
      <c r="CE348" s="1">
        <f t="shared" si="35"/>
        <v>46045</v>
      </c>
      <c r="CF348" s="35">
        <f t="shared" si="42"/>
        <v>6.6537191206113402</v>
      </c>
      <c r="CG348" s="36">
        <f t="shared" si="41"/>
        <v>0.86072652096183289</v>
      </c>
      <c r="CH348">
        <f t="shared" ca="1" si="36"/>
        <v>1.0272524530100617</v>
      </c>
      <c r="CI348">
        <f t="shared" ca="1" si="37"/>
        <v>0.76258701301251797</v>
      </c>
      <c r="CJ348">
        <f t="shared" ca="1" si="38"/>
        <v>0.32819001144976195</v>
      </c>
      <c r="CK348">
        <f t="shared" ca="1" si="39"/>
        <v>4.7199935542607638E-2</v>
      </c>
      <c r="CL348">
        <f t="shared" ca="1" si="40"/>
        <v>-8.4230529114946703E-2</v>
      </c>
    </row>
    <row r="349" spans="1:90" x14ac:dyDescent="0.25">
      <c r="A349" s="43">
        <v>46052</v>
      </c>
      <c r="B349" s="5">
        <v>9.4736999999999991</v>
      </c>
      <c r="C349">
        <v>7.9119000000000002</v>
      </c>
      <c r="D349">
        <v>0.32250000000000001</v>
      </c>
      <c r="E349">
        <v>15.8573</v>
      </c>
      <c r="F349">
        <v>0.36059999999999998</v>
      </c>
      <c r="G349">
        <v>12.394</v>
      </c>
      <c r="H349">
        <v>40.645000000000003</v>
      </c>
      <c r="I349">
        <v>25.592500000000001</v>
      </c>
      <c r="J349">
        <v>2365.377</v>
      </c>
      <c r="K349">
        <v>3856329.6405000002</v>
      </c>
      <c r="M349" s="43">
        <v>46052</v>
      </c>
      <c r="N349" s="5">
        <v>7.5708000000000002</v>
      </c>
      <c r="O349">
        <v>9.7738999999999994</v>
      </c>
      <c r="P349">
        <v>0.48880000000000001</v>
      </c>
      <c r="Q349">
        <v>35.287399999999998</v>
      </c>
      <c r="R349">
        <v>-0.12039999999999999</v>
      </c>
      <c r="S349">
        <v>0</v>
      </c>
      <c r="T349">
        <v>52.9754</v>
      </c>
      <c r="U349">
        <v>40.696199999999997</v>
      </c>
      <c r="V349">
        <v>9655</v>
      </c>
      <c r="W349">
        <v>7670851.9573999997</v>
      </c>
      <c r="Y349" s="5">
        <v>4.0240999999999998</v>
      </c>
      <c r="Z349">
        <v>17.469200000000001</v>
      </c>
      <c r="AA349">
        <v>0.74480000000000002</v>
      </c>
      <c r="AB349">
        <v>2.3481000000000001</v>
      </c>
      <c r="AC349">
        <v>-0.57010000000000005</v>
      </c>
      <c r="AD349">
        <v>0</v>
      </c>
      <c r="AE349">
        <v>65.004499999999993</v>
      </c>
      <c r="AF349">
        <v>53.181100000000001</v>
      </c>
      <c r="AG349">
        <v>4294.8180000000002</v>
      </c>
      <c r="AH349">
        <v>1978281.1603000001</v>
      </c>
      <c r="AK349">
        <v>4.2213000000000003</v>
      </c>
      <c r="AL349">
        <v>20.244499999999999</v>
      </c>
      <c r="AM349">
        <v>0.87160000000000004</v>
      </c>
      <c r="AN349">
        <v>1.06E-2</v>
      </c>
      <c r="AO349">
        <v>-0.35580000000000001</v>
      </c>
      <c r="AP349">
        <v>246.3931</v>
      </c>
      <c r="AQ349">
        <v>59.6631</v>
      </c>
      <c r="AR349">
        <v>50.986499999999999</v>
      </c>
      <c r="AS349">
        <v>3250.4859999999999</v>
      </c>
      <c r="AT349">
        <v>1709770.7418</v>
      </c>
      <c r="AV349">
        <v>5.8490000000000002</v>
      </c>
      <c r="AW349">
        <v>3.7496999999999998</v>
      </c>
      <c r="AX349">
        <v>0.21920000000000001</v>
      </c>
      <c r="AY349">
        <v>34.919600000000003</v>
      </c>
      <c r="AZ349">
        <v>1.0438000000000001</v>
      </c>
      <c r="BA349" t="s">
        <v>23</v>
      </c>
      <c r="BB349">
        <v>13.4772</v>
      </c>
      <c r="BC349">
        <v>4.5723000000000003</v>
      </c>
      <c r="BD349">
        <v>2352</v>
      </c>
      <c r="BE349">
        <v>2131982.3952000001</v>
      </c>
      <c r="BH349" s="5">
        <v>4.6737000000000002</v>
      </c>
      <c r="BI349">
        <v>15.1898</v>
      </c>
      <c r="BJ349">
        <v>0.58720000000000006</v>
      </c>
      <c r="BK349">
        <v>8.2711000000000006</v>
      </c>
      <c r="BL349">
        <v>-0.1321</v>
      </c>
      <c r="BM349">
        <v>0</v>
      </c>
      <c r="BN349">
        <v>21.266300000000001</v>
      </c>
      <c r="BO349">
        <v>16.080200000000001</v>
      </c>
      <c r="BP349">
        <v>2187.2919999999999</v>
      </c>
      <c r="BQ349">
        <v>1363734.2143999999</v>
      </c>
      <c r="CE349" s="1">
        <f t="shared" si="35"/>
        <v>46052</v>
      </c>
      <c r="CF349" s="35">
        <f t="shared" si="42"/>
        <v>6.8745895551921947</v>
      </c>
      <c r="CG349" s="36">
        <f t="shared" si="41"/>
        <v>0.96473677226249954</v>
      </c>
      <c r="CH349">
        <f t="shared" ca="1" si="36"/>
        <v>1.0272524530100617</v>
      </c>
      <c r="CI349">
        <f t="shared" ca="1" si="37"/>
        <v>0.76421911800937825</v>
      </c>
      <c r="CJ349">
        <f t="shared" ca="1" si="38"/>
        <v>0.32819001144976195</v>
      </c>
      <c r="CK349">
        <f t="shared" ca="1" si="39"/>
        <v>4.7199935542607638E-2</v>
      </c>
      <c r="CL349">
        <f t="shared" ca="1" si="40"/>
        <v>-8.4230529114946703E-2</v>
      </c>
    </row>
    <row r="350" spans="1:90" x14ac:dyDescent="0.25">
      <c r="A350" s="43">
        <v>46059</v>
      </c>
      <c r="B350" s="5">
        <v>8.8034999999999997</v>
      </c>
      <c r="C350">
        <v>7.9119000000000002</v>
      </c>
      <c r="D350">
        <v>0.32250000000000001</v>
      </c>
      <c r="E350">
        <v>15.8573</v>
      </c>
      <c r="F350">
        <v>0.36059999999999998</v>
      </c>
      <c r="G350">
        <v>12.394</v>
      </c>
      <c r="H350">
        <v>40.645000000000003</v>
      </c>
      <c r="I350">
        <v>25.592500000000001</v>
      </c>
      <c r="J350">
        <v>2188.4960000000001</v>
      </c>
      <c r="K350">
        <v>3567956.4133000001</v>
      </c>
      <c r="M350" s="43">
        <v>46059</v>
      </c>
      <c r="N350" s="5">
        <v>6.9414999999999996</v>
      </c>
      <c r="O350">
        <v>9.7738999999999994</v>
      </c>
      <c r="P350">
        <v>0.48880000000000001</v>
      </c>
      <c r="Q350">
        <v>35.287399999999998</v>
      </c>
      <c r="R350">
        <v>-0.12039999999999999</v>
      </c>
      <c r="S350">
        <v>0</v>
      </c>
      <c r="T350">
        <v>52.9754</v>
      </c>
      <c r="U350">
        <v>40.696199999999997</v>
      </c>
      <c r="V350">
        <v>8865</v>
      </c>
      <c r="W350">
        <v>7043200.6837999998</v>
      </c>
      <c r="Y350" s="5">
        <v>3.6440000000000001</v>
      </c>
      <c r="Z350">
        <v>17.469200000000001</v>
      </c>
      <c r="AA350">
        <v>0.74480000000000002</v>
      </c>
      <c r="AB350">
        <v>2.3481000000000001</v>
      </c>
      <c r="AC350">
        <v>-0.57010000000000005</v>
      </c>
      <c r="AD350">
        <v>0</v>
      </c>
      <c r="AE350">
        <v>65.004499999999993</v>
      </c>
      <c r="AF350">
        <v>53.181100000000001</v>
      </c>
      <c r="AG350">
        <v>3939.5</v>
      </c>
      <c r="AH350">
        <v>1814614.3681000001</v>
      </c>
      <c r="AK350">
        <v>4.4058000000000002</v>
      </c>
      <c r="AL350">
        <v>20.244499999999999</v>
      </c>
      <c r="AM350">
        <v>0.87160000000000004</v>
      </c>
      <c r="AN350">
        <v>1.06E-2</v>
      </c>
      <c r="AO350">
        <v>-0.35580000000000001</v>
      </c>
      <c r="AP350">
        <v>246.3931</v>
      </c>
      <c r="AQ350">
        <v>59.6631</v>
      </c>
      <c r="AR350">
        <v>50.986499999999999</v>
      </c>
      <c r="AS350">
        <v>3381.52</v>
      </c>
      <c r="AT350">
        <v>1778695.18</v>
      </c>
      <c r="AV350">
        <v>5.3075999999999999</v>
      </c>
      <c r="AW350">
        <v>3.7496999999999998</v>
      </c>
      <c r="AX350">
        <v>0.21920000000000001</v>
      </c>
      <c r="AY350">
        <v>34.919600000000003</v>
      </c>
      <c r="AZ350">
        <v>1.0438000000000001</v>
      </c>
      <c r="BA350" t="s">
        <v>23</v>
      </c>
      <c r="BB350">
        <v>13.4772</v>
      </c>
      <c r="BC350">
        <v>4.5723000000000003</v>
      </c>
      <c r="BD350">
        <v>2087</v>
      </c>
      <c r="BE350">
        <v>1891771.7937</v>
      </c>
      <c r="BH350" s="5">
        <v>4.5194999999999999</v>
      </c>
      <c r="BI350">
        <v>15.1898</v>
      </c>
      <c r="BJ350">
        <v>0.58720000000000006</v>
      </c>
      <c r="BK350">
        <v>8.2711000000000006</v>
      </c>
      <c r="BL350">
        <v>-0.1321</v>
      </c>
      <c r="BM350">
        <v>0</v>
      </c>
      <c r="BN350">
        <v>21.266300000000001</v>
      </c>
      <c r="BO350">
        <v>16.080200000000001</v>
      </c>
      <c r="BP350">
        <v>2116.9989999999998</v>
      </c>
      <c r="BQ350">
        <v>1319908.0314</v>
      </c>
      <c r="CE350" s="1">
        <f t="shared" si="35"/>
        <v>46059</v>
      </c>
      <c r="CF350" s="35">
        <f t="shared" si="42"/>
        <v>6.3593863499892382</v>
      </c>
      <c r="CG350" s="36">
        <f t="shared" si="41"/>
        <v>0.72212206945830004</v>
      </c>
      <c r="CH350">
        <f t="shared" ca="1" si="36"/>
        <v>1.0272966231889851</v>
      </c>
      <c r="CI350">
        <f t="shared" ca="1" si="37"/>
        <v>0.76421911800937825</v>
      </c>
      <c r="CJ350">
        <f t="shared" ca="1" si="38"/>
        <v>0.32819001144976195</v>
      </c>
      <c r="CK350">
        <f t="shared" ca="1" si="39"/>
        <v>4.7199935542607638E-2</v>
      </c>
      <c r="CL350">
        <f t="shared" ca="1" si="40"/>
        <v>-8.4230529114946703E-2</v>
      </c>
    </row>
    <row r="351" spans="1:90" x14ac:dyDescent="0.25">
      <c r="A351" s="43">
        <v>46066</v>
      </c>
      <c r="B351" s="5">
        <v>8.5502000000000002</v>
      </c>
      <c r="C351">
        <v>7.9119000000000002</v>
      </c>
      <c r="D351">
        <v>0.32250000000000001</v>
      </c>
      <c r="E351">
        <v>15.8573</v>
      </c>
      <c r="F351">
        <v>0.36059999999999998</v>
      </c>
      <c r="G351">
        <v>12.394</v>
      </c>
      <c r="H351">
        <v>40.645000000000003</v>
      </c>
      <c r="I351">
        <v>25.592500000000001</v>
      </c>
      <c r="J351">
        <v>2121.643</v>
      </c>
      <c r="K351">
        <v>3458964.9572999999</v>
      </c>
      <c r="M351" s="43">
        <v>46066</v>
      </c>
      <c r="N351" s="5">
        <v>6.7423999999999999</v>
      </c>
      <c r="O351">
        <v>9.7738999999999994</v>
      </c>
      <c r="P351">
        <v>0.48880000000000001</v>
      </c>
      <c r="Q351">
        <v>35.287399999999998</v>
      </c>
      <c r="R351">
        <v>-0.12039999999999999</v>
      </c>
      <c r="S351">
        <v>0</v>
      </c>
      <c r="T351">
        <v>52.9754</v>
      </c>
      <c r="U351">
        <v>40.696199999999997</v>
      </c>
      <c r="V351">
        <v>8615</v>
      </c>
      <c r="W351">
        <v>6844576.8629999999</v>
      </c>
      <c r="Y351" s="5">
        <v>3.8862999999999999</v>
      </c>
      <c r="Z351">
        <v>17.469200000000001</v>
      </c>
      <c r="AA351">
        <v>0.74480000000000002</v>
      </c>
      <c r="AB351">
        <v>2.3481000000000001</v>
      </c>
      <c r="AC351">
        <v>-0.57010000000000005</v>
      </c>
      <c r="AD351">
        <v>0</v>
      </c>
      <c r="AE351">
        <v>65.004499999999993</v>
      </c>
      <c r="AF351">
        <v>53.181100000000001</v>
      </c>
      <c r="AG351">
        <v>4166.0450000000001</v>
      </c>
      <c r="AH351">
        <v>1918965.6786</v>
      </c>
      <c r="AK351">
        <v>4.3819999999999997</v>
      </c>
      <c r="AL351">
        <v>20.244499999999999</v>
      </c>
      <c r="AM351">
        <v>0.87160000000000004</v>
      </c>
      <c r="AN351">
        <v>1.06E-2</v>
      </c>
      <c r="AO351">
        <v>-0.35580000000000001</v>
      </c>
      <c r="AP351">
        <v>246.3931</v>
      </c>
      <c r="AQ351">
        <v>59.6631</v>
      </c>
      <c r="AR351">
        <v>50.986499999999999</v>
      </c>
      <c r="AS351">
        <v>3364.6120000000001</v>
      </c>
      <c r="AT351">
        <v>1769801.7041</v>
      </c>
      <c r="AV351">
        <v>5.2973999999999997</v>
      </c>
      <c r="AW351">
        <v>3.7496999999999998</v>
      </c>
      <c r="AX351">
        <v>0.21920000000000001</v>
      </c>
      <c r="AY351">
        <v>34.919600000000003</v>
      </c>
      <c r="AZ351">
        <v>1.0438000000000001</v>
      </c>
      <c r="BA351" t="s">
        <v>23</v>
      </c>
      <c r="BB351">
        <v>13.4772</v>
      </c>
      <c r="BC351">
        <v>4.5723000000000003</v>
      </c>
      <c r="BD351">
        <v>2082</v>
      </c>
      <c r="BE351">
        <v>1887239.5182</v>
      </c>
      <c r="BH351" s="5">
        <v>4.2691999999999997</v>
      </c>
      <c r="BI351">
        <v>15.1898</v>
      </c>
      <c r="BJ351">
        <v>0.58720000000000006</v>
      </c>
      <c r="BK351">
        <v>8.2711000000000006</v>
      </c>
      <c r="BL351">
        <v>-0.1321</v>
      </c>
      <c r="BM351">
        <v>0</v>
      </c>
      <c r="BN351">
        <v>21.266300000000001</v>
      </c>
      <c r="BO351">
        <v>16.080200000000001</v>
      </c>
      <c r="BP351">
        <v>2002.8869999999999</v>
      </c>
      <c r="BQ351">
        <v>1248761.6303999999</v>
      </c>
      <c r="CE351" s="1">
        <f t="shared" si="35"/>
        <v>46066</v>
      </c>
      <c r="CF351" s="35">
        <f t="shared" si="42"/>
        <v>6.2040760704337004</v>
      </c>
      <c r="CG351" s="36">
        <f t="shared" si="41"/>
        <v>0.64898479675449328</v>
      </c>
      <c r="CH351">
        <f t="shared" ca="1" si="36"/>
        <v>1.0272966231889851</v>
      </c>
      <c r="CI351">
        <f t="shared" ca="1" si="37"/>
        <v>0.76421911800937825</v>
      </c>
      <c r="CJ351">
        <f t="shared" ca="1" si="38"/>
        <v>0.32819001144976195</v>
      </c>
      <c r="CK351">
        <f t="shared" ca="1" si="39"/>
        <v>4.7199935542607638E-2</v>
      </c>
      <c r="CL351">
        <f t="shared" ca="1" si="40"/>
        <v>-8.4230529114946703E-2</v>
      </c>
    </row>
    <row r="352" spans="1:90" x14ac:dyDescent="0.25">
      <c r="A352" s="43">
        <v>46073</v>
      </c>
      <c r="B352" s="5">
        <v>8.8315999999999999</v>
      </c>
      <c r="C352">
        <v>7.9119000000000002</v>
      </c>
      <c r="D352">
        <v>0.32250000000000001</v>
      </c>
      <c r="E352">
        <v>15.8573</v>
      </c>
      <c r="F352">
        <v>0.36059999999999998</v>
      </c>
      <c r="G352">
        <v>12.394</v>
      </c>
      <c r="H352">
        <v>40.645000000000003</v>
      </c>
      <c r="I352">
        <v>25.592500000000001</v>
      </c>
      <c r="J352">
        <v>2195.924</v>
      </c>
      <c r="K352">
        <v>3580066.5750000002</v>
      </c>
      <c r="M352" s="43">
        <v>46073</v>
      </c>
      <c r="N352" s="5">
        <v>6.8697999999999997</v>
      </c>
      <c r="O352">
        <v>9.7738999999999994</v>
      </c>
      <c r="P352">
        <v>0.48880000000000001</v>
      </c>
      <c r="Q352">
        <v>35.287399999999998</v>
      </c>
      <c r="R352">
        <v>-0.12039999999999999</v>
      </c>
      <c r="S352">
        <v>0</v>
      </c>
      <c r="T352">
        <v>52.9754</v>
      </c>
      <c r="U352">
        <v>40.696199999999997</v>
      </c>
      <c r="V352">
        <v>8775</v>
      </c>
      <c r="W352">
        <v>6971696.1083000004</v>
      </c>
      <c r="Y352" s="5">
        <v>3.8277000000000001</v>
      </c>
      <c r="Z352">
        <v>17.469200000000001</v>
      </c>
      <c r="AA352">
        <v>0.74480000000000002</v>
      </c>
      <c r="AB352">
        <v>2.3481000000000001</v>
      </c>
      <c r="AC352">
        <v>-0.57010000000000005</v>
      </c>
      <c r="AD352">
        <v>0</v>
      </c>
      <c r="AE352">
        <v>65.004499999999993</v>
      </c>
      <c r="AF352">
        <v>53.181100000000001</v>
      </c>
      <c r="AG352">
        <v>4111.1970000000001</v>
      </c>
      <c r="AH352">
        <v>1893701.6771</v>
      </c>
      <c r="AK352">
        <v>4.4146999999999998</v>
      </c>
      <c r="AL352">
        <v>20.244499999999999</v>
      </c>
      <c r="AM352">
        <v>0.87160000000000004</v>
      </c>
      <c r="AN352">
        <v>1.06E-2</v>
      </c>
      <c r="AO352">
        <v>-0.35580000000000001</v>
      </c>
      <c r="AP352">
        <v>246.3931</v>
      </c>
      <c r="AQ352">
        <v>59.6631</v>
      </c>
      <c r="AR352">
        <v>50.986499999999999</v>
      </c>
      <c r="AS352">
        <v>3387.86</v>
      </c>
      <c r="AT352">
        <v>1782030.2335000001</v>
      </c>
      <c r="AV352">
        <v>5.1482000000000001</v>
      </c>
      <c r="AW352">
        <v>3.7496999999999998</v>
      </c>
      <c r="AX352">
        <v>0.21920000000000001</v>
      </c>
      <c r="AY352">
        <v>34.919600000000003</v>
      </c>
      <c r="AZ352">
        <v>1.0438000000000001</v>
      </c>
      <c r="BA352" t="s">
        <v>23</v>
      </c>
      <c r="BB352">
        <v>13.4772</v>
      </c>
      <c r="BC352">
        <v>4.5723000000000003</v>
      </c>
      <c r="BD352">
        <v>2009</v>
      </c>
      <c r="BE352">
        <v>1821068.2959</v>
      </c>
      <c r="BH352" s="5">
        <v>3.9767999999999999</v>
      </c>
      <c r="BI352">
        <v>15.1898</v>
      </c>
      <c r="BJ352">
        <v>0.58720000000000006</v>
      </c>
      <c r="BK352">
        <v>8.2711000000000006</v>
      </c>
      <c r="BL352">
        <v>-0.1321</v>
      </c>
      <c r="BM352">
        <v>0</v>
      </c>
      <c r="BN352">
        <v>21.266300000000001</v>
      </c>
      <c r="BO352">
        <v>16.080200000000001</v>
      </c>
      <c r="BP352">
        <v>1869.605</v>
      </c>
      <c r="BQ352">
        <v>1165662.6340000001</v>
      </c>
      <c r="CE352" s="1">
        <f t="shared" si="35"/>
        <v>46073</v>
      </c>
      <c r="CF352" s="35">
        <f t="shared" si="42"/>
        <v>6.3109638875986667</v>
      </c>
      <c r="CG352" s="36">
        <f t="shared" si="41"/>
        <v>0.69931941372305839</v>
      </c>
      <c r="CH352">
        <f t="shared" ca="1" si="36"/>
        <v>1.0272966231889851</v>
      </c>
      <c r="CI352">
        <f t="shared" ca="1" si="37"/>
        <v>0.73215735238641022</v>
      </c>
      <c r="CJ352">
        <f t="shared" ca="1" si="38"/>
        <v>0.32819001144976195</v>
      </c>
      <c r="CK352">
        <f t="shared" ca="1" si="39"/>
        <v>4.7199935542607638E-2</v>
      </c>
      <c r="CL352">
        <f t="shared" ca="1" si="40"/>
        <v>-8.4230529114946703E-2</v>
      </c>
    </row>
    <row r="353" spans="1:90" x14ac:dyDescent="0.25">
      <c r="A353" s="43">
        <v>46080</v>
      </c>
      <c r="B353" s="5">
        <v>8.6732999999999993</v>
      </c>
      <c r="C353">
        <v>7.9119000000000002</v>
      </c>
      <c r="D353">
        <v>0.32250000000000001</v>
      </c>
      <c r="E353">
        <v>15.8573</v>
      </c>
      <c r="F353">
        <v>0.36059999999999998</v>
      </c>
      <c r="G353">
        <v>12.394</v>
      </c>
      <c r="H353">
        <v>40.645000000000003</v>
      </c>
      <c r="I353">
        <v>25.592500000000001</v>
      </c>
      <c r="J353">
        <v>2154.1410000000001</v>
      </c>
      <c r="K353">
        <v>3511946.915</v>
      </c>
      <c r="M353" s="43">
        <v>46080</v>
      </c>
      <c r="N353" s="5">
        <v>6.6946000000000003</v>
      </c>
      <c r="O353">
        <v>9.7738999999999994</v>
      </c>
      <c r="P353">
        <v>0.48880000000000001</v>
      </c>
      <c r="Q353">
        <v>35.287399999999998</v>
      </c>
      <c r="R353">
        <v>-0.12039999999999999</v>
      </c>
      <c r="S353">
        <v>0</v>
      </c>
      <c r="T353">
        <v>52.9754</v>
      </c>
      <c r="U353">
        <v>40.696199999999997</v>
      </c>
      <c r="V353">
        <v>8555</v>
      </c>
      <c r="W353">
        <v>6796907.1460999995</v>
      </c>
      <c r="Y353" s="5">
        <v>3.3302</v>
      </c>
      <c r="Z353">
        <v>17.469200000000001</v>
      </c>
      <c r="AA353">
        <v>0.74480000000000002</v>
      </c>
      <c r="AB353">
        <v>2.3481000000000001</v>
      </c>
      <c r="AC353">
        <v>-0.57010000000000005</v>
      </c>
      <c r="AD353">
        <v>0</v>
      </c>
      <c r="AE353">
        <v>65.004499999999993</v>
      </c>
      <c r="AF353">
        <v>53.181100000000001</v>
      </c>
      <c r="AG353">
        <v>3646.183</v>
      </c>
      <c r="AH353">
        <v>1679506.8818000001</v>
      </c>
      <c r="AK353">
        <v>4.0396999999999998</v>
      </c>
      <c r="AL353">
        <v>20.244499999999999</v>
      </c>
      <c r="AM353">
        <v>0.87160000000000004</v>
      </c>
      <c r="AN353">
        <v>1.06E-2</v>
      </c>
      <c r="AO353">
        <v>-0.35580000000000001</v>
      </c>
      <c r="AP353">
        <v>246.3931</v>
      </c>
      <c r="AQ353">
        <v>59.6631</v>
      </c>
      <c r="AR353">
        <v>50.986499999999999</v>
      </c>
      <c r="AS353">
        <v>3121.5659999999998</v>
      </c>
      <c r="AT353">
        <v>1641957.9879999999</v>
      </c>
      <c r="AV353">
        <v>4.7866</v>
      </c>
      <c r="AW353">
        <v>3.7496999999999998</v>
      </c>
      <c r="AX353">
        <v>0.21920000000000001</v>
      </c>
      <c r="AY353">
        <v>34.919600000000003</v>
      </c>
      <c r="AZ353">
        <v>1.0438000000000001</v>
      </c>
      <c r="BA353" t="s">
        <v>23</v>
      </c>
      <c r="BB353">
        <v>13.4772</v>
      </c>
      <c r="BC353">
        <v>4.5723000000000003</v>
      </c>
      <c r="BD353">
        <v>1832</v>
      </c>
      <c r="BE353">
        <v>1660625.7431999999</v>
      </c>
      <c r="BH353" s="5">
        <v>3.5162</v>
      </c>
      <c r="BI353">
        <v>15.1898</v>
      </c>
      <c r="BJ353">
        <v>0.58720000000000006</v>
      </c>
      <c r="BK353">
        <v>8.2711000000000006</v>
      </c>
      <c r="BL353">
        <v>-0.1321</v>
      </c>
      <c r="BM353">
        <v>0</v>
      </c>
      <c r="BN353">
        <v>21.266300000000001</v>
      </c>
      <c r="BO353">
        <v>16.080200000000001</v>
      </c>
      <c r="BP353">
        <v>1659.6389999999999</v>
      </c>
      <c r="BQ353">
        <v>1034753.2561</v>
      </c>
      <c r="CE353" s="1">
        <f t="shared" si="35"/>
        <v>46080</v>
      </c>
      <c r="CF353" s="35">
        <f t="shared" si="42"/>
        <v>6.1115920598392535</v>
      </c>
      <c r="CG353" s="36">
        <f t="shared" si="41"/>
        <v>0.60543308644307725</v>
      </c>
      <c r="CH353">
        <f t="shared" ca="1" si="36"/>
        <v>1.0272966231889851</v>
      </c>
      <c r="CI353">
        <f t="shared" ca="1" si="37"/>
        <v>0.73215735238641022</v>
      </c>
      <c r="CJ353">
        <f t="shared" ca="1" si="38"/>
        <v>0.32819001144976195</v>
      </c>
      <c r="CK353">
        <f t="shared" ca="1" si="39"/>
        <v>4.7199935542607638E-2</v>
      </c>
      <c r="CL353">
        <f t="shared" ca="1" si="40"/>
        <v>-8.4230529114946703E-2</v>
      </c>
    </row>
    <row r="354" spans="1:90" x14ac:dyDescent="0.25">
      <c r="A354" s="43">
        <v>46087</v>
      </c>
      <c r="B354" s="5">
        <v>8.1068999999999996</v>
      </c>
      <c r="C354">
        <v>7.9119000000000002</v>
      </c>
      <c r="D354">
        <v>0.32250000000000001</v>
      </c>
      <c r="E354">
        <v>15.8573</v>
      </c>
      <c r="F354">
        <v>0.36059999999999998</v>
      </c>
      <c r="G354">
        <v>12.394</v>
      </c>
      <c r="H354">
        <v>40.645000000000003</v>
      </c>
      <c r="I354">
        <v>25.592500000000001</v>
      </c>
      <c r="J354">
        <v>2004.6510000000001</v>
      </c>
      <c r="K354">
        <v>3268229.9092999999</v>
      </c>
      <c r="M354" s="43">
        <v>46087</v>
      </c>
      <c r="N354" s="5">
        <v>6.7542999999999997</v>
      </c>
      <c r="O354">
        <v>9.7738999999999994</v>
      </c>
      <c r="P354">
        <v>0.48880000000000001</v>
      </c>
      <c r="Q354">
        <v>35.287399999999998</v>
      </c>
      <c r="R354">
        <v>-0.12039999999999999</v>
      </c>
      <c r="S354">
        <v>0</v>
      </c>
      <c r="T354">
        <v>52.9754</v>
      </c>
      <c r="U354">
        <v>40.696199999999997</v>
      </c>
      <c r="V354">
        <v>8630</v>
      </c>
      <c r="W354">
        <v>6856494.2922999999</v>
      </c>
      <c r="Y354" s="5">
        <v>3.4323000000000001</v>
      </c>
      <c r="Z354">
        <v>17.469200000000001</v>
      </c>
      <c r="AA354">
        <v>0.74480000000000002</v>
      </c>
      <c r="AB354">
        <v>2.3481000000000001</v>
      </c>
      <c r="AC354">
        <v>-0.57010000000000005</v>
      </c>
      <c r="AD354">
        <v>0</v>
      </c>
      <c r="AE354">
        <v>65.004499999999993</v>
      </c>
      <c r="AF354">
        <v>53.181100000000001</v>
      </c>
      <c r="AG354">
        <v>3741.5709999999999</v>
      </c>
      <c r="AH354">
        <v>1723444.2757000001</v>
      </c>
      <c r="AK354">
        <v>4.4207000000000001</v>
      </c>
      <c r="AL354">
        <v>20.244499999999999</v>
      </c>
      <c r="AM354">
        <v>0.87160000000000004</v>
      </c>
      <c r="AN354">
        <v>1.06E-2</v>
      </c>
      <c r="AO354">
        <v>-0.35580000000000001</v>
      </c>
      <c r="AP354">
        <v>246.3931</v>
      </c>
      <c r="AQ354">
        <v>59.6631</v>
      </c>
      <c r="AR354">
        <v>50.986499999999999</v>
      </c>
      <c r="AS354">
        <v>3392.087</v>
      </c>
      <c r="AT354">
        <v>1784253.6024</v>
      </c>
      <c r="AV354">
        <v>4.9031000000000002</v>
      </c>
      <c r="AW354">
        <v>3.7496999999999998</v>
      </c>
      <c r="AX354">
        <v>0.21920000000000001</v>
      </c>
      <c r="AY354">
        <v>34.919600000000003</v>
      </c>
      <c r="AZ354">
        <v>1.0438000000000001</v>
      </c>
      <c r="BA354" t="s">
        <v>23</v>
      </c>
      <c r="BB354">
        <v>13.4772</v>
      </c>
      <c r="BC354">
        <v>4.5723000000000003</v>
      </c>
      <c r="BD354">
        <v>1889</v>
      </c>
      <c r="BE354">
        <v>1712293.6839000001</v>
      </c>
      <c r="BH354" s="5">
        <v>3.5202</v>
      </c>
      <c r="BI354">
        <v>15.1898</v>
      </c>
      <c r="BJ354">
        <v>0.58720000000000006</v>
      </c>
      <c r="BK354">
        <v>8.2711000000000006</v>
      </c>
      <c r="BL354">
        <v>-0.1321</v>
      </c>
      <c r="BM354">
        <v>0</v>
      </c>
      <c r="BN354">
        <v>21.266300000000001</v>
      </c>
      <c r="BO354">
        <v>16.080200000000001</v>
      </c>
      <c r="BP354">
        <v>1661.4649999999999</v>
      </c>
      <c r="BQ354">
        <v>1035891.5986</v>
      </c>
      <c r="CE354" s="1">
        <f t="shared" si="35"/>
        <v>46087</v>
      </c>
      <c r="CF354" s="35">
        <f t="shared" si="42"/>
        <v>6.0224355985951243</v>
      </c>
      <c r="CG354" s="36">
        <f t="shared" si="41"/>
        <v>0.56344835473066979</v>
      </c>
      <c r="CH354">
        <f t="shared" ca="1" si="36"/>
        <v>1.0272966231889851</v>
      </c>
      <c r="CI354">
        <f t="shared" ca="1" si="37"/>
        <v>0.73215735238641022</v>
      </c>
      <c r="CJ354">
        <f t="shared" ca="1" si="38"/>
        <v>0.32819001144976195</v>
      </c>
      <c r="CK354">
        <f t="shared" ca="1" si="39"/>
        <v>4.7199935542607638E-2</v>
      </c>
      <c r="CL354">
        <f t="shared" ca="1" si="40"/>
        <v>-8.4230529114946703E-2</v>
      </c>
    </row>
    <row r="355" spans="1:90" x14ac:dyDescent="0.25">
      <c r="A355" s="43">
        <v>46094</v>
      </c>
      <c r="B355" s="5">
        <v>8.3636999999999997</v>
      </c>
      <c r="C355">
        <v>7.9119000000000002</v>
      </c>
      <c r="D355">
        <v>0.32250000000000001</v>
      </c>
      <c r="E355">
        <v>15.8573</v>
      </c>
      <c r="F355">
        <v>0.36059999999999998</v>
      </c>
      <c r="G355">
        <v>12.394</v>
      </c>
      <c r="H355">
        <v>40.645000000000003</v>
      </c>
      <c r="I355">
        <v>25.592500000000001</v>
      </c>
      <c r="J355">
        <v>2072.4319999999998</v>
      </c>
      <c r="K355">
        <v>3378735.1354999999</v>
      </c>
      <c r="M355" s="43">
        <v>46094</v>
      </c>
      <c r="N355" s="5">
        <v>7.1087999999999996</v>
      </c>
      <c r="O355">
        <v>9.7738999999999994</v>
      </c>
      <c r="P355">
        <v>0.48880000000000001</v>
      </c>
      <c r="Q355">
        <v>35.287399999999998</v>
      </c>
      <c r="R355">
        <v>-0.12039999999999999</v>
      </c>
      <c r="S355">
        <v>0</v>
      </c>
      <c r="T355">
        <v>52.9754</v>
      </c>
      <c r="U355">
        <v>40.696199999999997</v>
      </c>
      <c r="V355">
        <v>9075</v>
      </c>
      <c r="W355">
        <v>7210044.6931999996</v>
      </c>
      <c r="Y355" s="5">
        <v>4.0190000000000001</v>
      </c>
      <c r="Z355">
        <v>17.469200000000001</v>
      </c>
      <c r="AA355">
        <v>0.74480000000000002</v>
      </c>
      <c r="AB355">
        <v>2.3481000000000001</v>
      </c>
      <c r="AC355">
        <v>-0.57010000000000005</v>
      </c>
      <c r="AD355">
        <v>0</v>
      </c>
      <c r="AE355">
        <v>65.004499999999993</v>
      </c>
      <c r="AF355">
        <v>53.181100000000001</v>
      </c>
      <c r="AG355">
        <v>4290.0479999999998</v>
      </c>
      <c r="AH355">
        <v>1976084.2907</v>
      </c>
      <c r="AK355">
        <v>4.6677</v>
      </c>
      <c r="AL355">
        <v>20.244499999999999</v>
      </c>
      <c r="AM355">
        <v>0.87160000000000004</v>
      </c>
      <c r="AN355">
        <v>1.06E-2</v>
      </c>
      <c r="AO355">
        <v>-0.35580000000000001</v>
      </c>
      <c r="AP355">
        <v>246.3931</v>
      </c>
      <c r="AQ355">
        <v>59.6631</v>
      </c>
      <c r="AR355">
        <v>50.986499999999999</v>
      </c>
      <c r="AS355">
        <v>3567.5039999999999</v>
      </c>
      <c r="AT355">
        <v>1876523.4149</v>
      </c>
      <c r="AV355">
        <v>4.9847999999999999</v>
      </c>
      <c r="AW355">
        <v>3.7496999999999998</v>
      </c>
      <c r="AX355">
        <v>0.21920000000000001</v>
      </c>
      <c r="AY355">
        <v>34.919600000000003</v>
      </c>
      <c r="AZ355">
        <v>1.0438000000000001</v>
      </c>
      <c r="BA355" t="s">
        <v>23</v>
      </c>
      <c r="BB355">
        <v>13.4772</v>
      </c>
      <c r="BC355">
        <v>4.5723000000000003</v>
      </c>
      <c r="BD355">
        <v>1929</v>
      </c>
      <c r="BE355">
        <v>1748551.8879</v>
      </c>
      <c r="BH355" s="5">
        <v>3.8226</v>
      </c>
      <c r="BI355">
        <v>15.1898</v>
      </c>
      <c r="BJ355">
        <v>0.58720000000000006</v>
      </c>
      <c r="BK355">
        <v>8.2711000000000006</v>
      </c>
      <c r="BL355">
        <v>-0.1321</v>
      </c>
      <c r="BM355">
        <v>0</v>
      </c>
      <c r="BN355">
        <v>21.266300000000001</v>
      </c>
      <c r="BO355">
        <v>16.080200000000001</v>
      </c>
      <c r="BP355">
        <v>1799.3119999999999</v>
      </c>
      <c r="BQ355">
        <v>1121836.4509999999</v>
      </c>
      <c r="CE355" s="1">
        <f t="shared" si="35"/>
        <v>46094</v>
      </c>
      <c r="CF355" s="35">
        <f t="shared" si="42"/>
        <v>6.30893896410302</v>
      </c>
      <c r="CG355" s="36">
        <f t="shared" si="41"/>
        <v>0.69836585557913344</v>
      </c>
      <c r="CH355">
        <f t="shared" ca="1" si="36"/>
        <v>1.0272966231889851</v>
      </c>
      <c r="CI355">
        <f t="shared" ca="1" si="37"/>
        <v>0.73215735238641022</v>
      </c>
      <c r="CJ355">
        <f t="shared" ca="1" si="38"/>
        <v>0.32819001144976195</v>
      </c>
      <c r="CK355">
        <f t="shared" ca="1" si="39"/>
        <v>4.7199935542607638E-2</v>
      </c>
      <c r="CL355">
        <f t="shared" ca="1" si="40"/>
        <v>-8.4230529114946703E-2</v>
      </c>
    </row>
    <row r="356" spans="1:90" x14ac:dyDescent="0.25">
      <c r="A356" s="43">
        <v>46101</v>
      </c>
      <c r="B356" s="5">
        <v>8.3848000000000003</v>
      </c>
      <c r="C356">
        <v>7.9119000000000002</v>
      </c>
      <c r="D356">
        <v>0.32250000000000001</v>
      </c>
      <c r="E356">
        <v>15.8573</v>
      </c>
      <c r="F356">
        <v>0.36059999999999998</v>
      </c>
      <c r="G356">
        <v>12.394</v>
      </c>
      <c r="H356">
        <v>40.645000000000003</v>
      </c>
      <c r="I356">
        <v>25.592500000000001</v>
      </c>
      <c r="J356">
        <v>2078.0030000000002</v>
      </c>
      <c r="K356">
        <v>3387817.7568000001</v>
      </c>
      <c r="M356" s="43">
        <v>46101</v>
      </c>
      <c r="N356" s="5">
        <v>7.5030999999999999</v>
      </c>
      <c r="O356">
        <v>9.7738999999999994</v>
      </c>
      <c r="P356">
        <v>0.48880000000000001</v>
      </c>
      <c r="Q356">
        <v>35.287399999999998</v>
      </c>
      <c r="R356">
        <v>-0.12039999999999999</v>
      </c>
      <c r="S356">
        <v>0</v>
      </c>
      <c r="T356">
        <v>52.9754</v>
      </c>
      <c r="U356">
        <v>40.696199999999997</v>
      </c>
      <c r="V356">
        <v>9570</v>
      </c>
      <c r="W356">
        <v>7603319.8583000004</v>
      </c>
      <c r="Y356" s="5">
        <v>3.7435</v>
      </c>
      <c r="Z356">
        <v>17.469200000000001</v>
      </c>
      <c r="AA356">
        <v>0.74480000000000002</v>
      </c>
      <c r="AB356">
        <v>2.3481000000000001</v>
      </c>
      <c r="AC356">
        <v>-0.57010000000000005</v>
      </c>
      <c r="AD356">
        <v>0</v>
      </c>
      <c r="AE356">
        <v>65.004499999999993</v>
      </c>
      <c r="AF356">
        <v>53.181100000000001</v>
      </c>
      <c r="AG356">
        <v>4032.502</v>
      </c>
      <c r="AH356">
        <v>1857453.3271000001</v>
      </c>
      <c r="AK356">
        <v>4.0427</v>
      </c>
      <c r="AL356">
        <v>20.244499999999999</v>
      </c>
      <c r="AM356">
        <v>0.87160000000000004</v>
      </c>
      <c r="AN356">
        <v>1.06E-2</v>
      </c>
      <c r="AO356">
        <v>-0.35580000000000001</v>
      </c>
      <c r="AP356">
        <v>246.3931</v>
      </c>
      <c r="AQ356">
        <v>59.6631</v>
      </c>
      <c r="AR356">
        <v>50.986499999999999</v>
      </c>
      <c r="AS356">
        <v>3123.6790000000001</v>
      </c>
      <c r="AT356">
        <v>1643069.6725000001</v>
      </c>
      <c r="AV356">
        <v>5.2298999999999998</v>
      </c>
      <c r="AW356">
        <v>3.7496999999999998</v>
      </c>
      <c r="AX356">
        <v>0.21920000000000001</v>
      </c>
      <c r="AY356">
        <v>34.919600000000003</v>
      </c>
      <c r="AZ356">
        <v>1.0438000000000001</v>
      </c>
      <c r="BA356" t="s">
        <v>23</v>
      </c>
      <c r="BB356">
        <v>13.4772</v>
      </c>
      <c r="BC356">
        <v>4.5723000000000003</v>
      </c>
      <c r="BD356">
        <v>2049</v>
      </c>
      <c r="BE356">
        <v>1857326.4998999999</v>
      </c>
      <c r="BH356" s="5">
        <v>3.8405999999999998</v>
      </c>
      <c r="BI356">
        <v>15.1898</v>
      </c>
      <c r="BJ356">
        <v>0.58720000000000006</v>
      </c>
      <c r="BK356">
        <v>8.2711000000000006</v>
      </c>
      <c r="BL356">
        <v>-0.1321</v>
      </c>
      <c r="BM356">
        <v>0</v>
      </c>
      <c r="BN356">
        <v>21.266300000000001</v>
      </c>
      <c r="BO356">
        <v>16.080200000000001</v>
      </c>
      <c r="BP356">
        <v>1807.528</v>
      </c>
      <c r="BQ356">
        <v>1126958.9918</v>
      </c>
      <c r="CE356" s="1">
        <f t="shared" si="35"/>
        <v>46101</v>
      </c>
      <c r="CF356" s="35">
        <f t="shared" si="42"/>
        <v>6.4713113515130196</v>
      </c>
      <c r="CG356" s="36">
        <f t="shared" si="41"/>
        <v>0.77482875044712396</v>
      </c>
      <c r="CH356">
        <f t="shared" ca="1" si="36"/>
        <v>1.0272966231889851</v>
      </c>
      <c r="CI356">
        <f t="shared" ca="1" si="37"/>
        <v>0.73215735238641022</v>
      </c>
      <c r="CJ356">
        <f t="shared" ca="1" si="38"/>
        <v>0.32819001144976195</v>
      </c>
      <c r="CK356">
        <f t="shared" ca="1" si="39"/>
        <v>4.7199935542607638E-2</v>
      </c>
      <c r="CL356">
        <f t="shared" ca="1" si="40"/>
        <v>-8.4230529114946703E-2</v>
      </c>
    </row>
    <row r="357" spans="1:90" x14ac:dyDescent="0.25">
      <c r="A357" s="43">
        <v>46108</v>
      </c>
      <c r="B357" s="5">
        <v>8.2721999999999998</v>
      </c>
      <c r="C357">
        <v>7.9119000000000002</v>
      </c>
      <c r="D357">
        <v>0.32250000000000001</v>
      </c>
      <c r="E357">
        <v>15.8573</v>
      </c>
      <c r="F357">
        <v>0.36059999999999998</v>
      </c>
      <c r="G357">
        <v>12.394</v>
      </c>
      <c r="H357">
        <v>40.645000000000003</v>
      </c>
      <c r="I357">
        <v>25.592500000000001</v>
      </c>
      <c r="J357">
        <v>2048.2910000000002</v>
      </c>
      <c r="K357">
        <v>3339377.1096999999</v>
      </c>
      <c r="M357" s="43">
        <v>46108</v>
      </c>
      <c r="N357" s="5">
        <v>7.9492000000000003</v>
      </c>
      <c r="O357">
        <v>9.7738999999999994</v>
      </c>
      <c r="P357">
        <v>0.48880000000000001</v>
      </c>
      <c r="Q357">
        <v>35.287399999999998</v>
      </c>
      <c r="R357">
        <v>-0.12039999999999999</v>
      </c>
      <c r="S357">
        <v>0</v>
      </c>
      <c r="T357">
        <v>52.9754</v>
      </c>
      <c r="U357">
        <v>40.696199999999997</v>
      </c>
      <c r="V357">
        <v>10130</v>
      </c>
      <c r="W357">
        <v>8048237.2167999996</v>
      </c>
      <c r="Y357" s="5">
        <v>4.0061999999999998</v>
      </c>
      <c r="Z357">
        <v>17.469200000000001</v>
      </c>
      <c r="AA357">
        <v>0.74480000000000002</v>
      </c>
      <c r="AB357">
        <v>2.3481000000000001</v>
      </c>
      <c r="AC357">
        <v>-0.57010000000000005</v>
      </c>
      <c r="AD357">
        <v>0</v>
      </c>
      <c r="AE357">
        <v>65.004499999999993</v>
      </c>
      <c r="AF357">
        <v>53.181100000000001</v>
      </c>
      <c r="AG357">
        <v>4278.125</v>
      </c>
      <c r="AH357">
        <v>1970592.1163999999</v>
      </c>
      <c r="AK357">
        <v>4.2838000000000003</v>
      </c>
      <c r="AL357">
        <v>20.244499999999999</v>
      </c>
      <c r="AM357">
        <v>0.87160000000000004</v>
      </c>
      <c r="AN357">
        <v>1.06E-2</v>
      </c>
      <c r="AO357">
        <v>-0.35580000000000001</v>
      </c>
      <c r="AP357">
        <v>246.3931</v>
      </c>
      <c r="AQ357">
        <v>59.6631</v>
      </c>
      <c r="AR357">
        <v>50.986499999999999</v>
      </c>
      <c r="AS357">
        <v>3294.8690000000001</v>
      </c>
      <c r="AT357">
        <v>1733116.1159999999</v>
      </c>
      <c r="AV357">
        <v>5.2115999999999998</v>
      </c>
      <c r="AW357">
        <v>3.7496999999999998</v>
      </c>
      <c r="AX357">
        <v>0.21920000000000001</v>
      </c>
      <c r="AY357">
        <v>34.919600000000003</v>
      </c>
      <c r="AZ357">
        <v>1.0438000000000001</v>
      </c>
      <c r="BA357" t="s">
        <v>23</v>
      </c>
      <c r="BB357">
        <v>13.4772</v>
      </c>
      <c r="BC357">
        <v>4.5723000000000003</v>
      </c>
      <c r="BD357">
        <v>2040</v>
      </c>
      <c r="BE357">
        <v>1849168.4040000001</v>
      </c>
      <c r="BH357" s="5">
        <v>3.7305000000000001</v>
      </c>
      <c r="BI357">
        <v>15.1898</v>
      </c>
      <c r="BJ357">
        <v>0.58720000000000006</v>
      </c>
      <c r="BK357">
        <v>8.2711000000000006</v>
      </c>
      <c r="BL357">
        <v>-0.1321</v>
      </c>
      <c r="BM357">
        <v>0</v>
      </c>
      <c r="BN357">
        <v>21.266300000000001</v>
      </c>
      <c r="BO357">
        <v>16.080200000000001</v>
      </c>
      <c r="BP357">
        <v>1757.319</v>
      </c>
      <c r="BQ357">
        <v>1095654.5754</v>
      </c>
      <c r="CE357" s="1">
        <f t="shared" si="35"/>
        <v>46108</v>
      </c>
      <c r="CF357" s="35">
        <f t="shared" si="42"/>
        <v>6.6890354569780692</v>
      </c>
      <c r="CG357" s="36">
        <f t="shared" si="41"/>
        <v>0.87735736169655187</v>
      </c>
      <c r="CH357">
        <f t="shared" ca="1" si="36"/>
        <v>1.0272966231889851</v>
      </c>
      <c r="CI357">
        <f t="shared" ca="1" si="37"/>
        <v>0.76540458848983661</v>
      </c>
      <c r="CJ357">
        <f t="shared" ca="1" si="38"/>
        <v>0.32819001144976195</v>
      </c>
      <c r="CK357">
        <f t="shared" ca="1" si="39"/>
        <v>4.7199935542607638E-2</v>
      </c>
      <c r="CL357">
        <f t="shared" ca="1" si="40"/>
        <v>-8.4230529114946703E-2</v>
      </c>
    </row>
    <row r="358" spans="1:90" x14ac:dyDescent="0.25">
      <c r="A358" s="43">
        <v>46115</v>
      </c>
      <c r="B358" s="5">
        <v>8.7469000000000001</v>
      </c>
      <c r="C358">
        <v>11.4133</v>
      </c>
      <c r="D358">
        <v>0.19020000000000001</v>
      </c>
      <c r="E358">
        <v>21.462299999999999</v>
      </c>
      <c r="F358">
        <v>1.0841000000000001</v>
      </c>
      <c r="G358">
        <v>12.394</v>
      </c>
      <c r="H358">
        <v>41.802599999999998</v>
      </c>
      <c r="I358">
        <v>26.494</v>
      </c>
      <c r="J358">
        <v>2298.06</v>
      </c>
      <c r="K358">
        <v>3746581.2995000002</v>
      </c>
      <c r="M358" s="43">
        <v>46115</v>
      </c>
      <c r="N358" s="5">
        <v>7.6917999999999997</v>
      </c>
      <c r="O358">
        <v>11.513400000000001</v>
      </c>
      <c r="P358">
        <v>0.26960000000000001</v>
      </c>
      <c r="Q358">
        <v>30.483499999999999</v>
      </c>
      <c r="R358">
        <v>7.0900000000000005E-2</v>
      </c>
      <c r="S358">
        <v>0</v>
      </c>
      <c r="T358">
        <v>54.832599999999999</v>
      </c>
      <c r="U358">
        <v>42.717399999999998</v>
      </c>
      <c r="V358">
        <v>10200</v>
      </c>
      <c r="W358">
        <v>8103851.8865999999</v>
      </c>
      <c r="Y358" s="5">
        <v>4.0998999999999999</v>
      </c>
      <c r="Z358">
        <v>16.570799999999998</v>
      </c>
      <c r="AA358">
        <v>0.30790000000000001</v>
      </c>
      <c r="AB358">
        <v>0.69020000000000004</v>
      </c>
      <c r="AC358">
        <v>-1.1536999999999999</v>
      </c>
      <c r="AD358">
        <v>0</v>
      </c>
      <c r="AE358">
        <v>56.735900000000001</v>
      </c>
      <c r="AF358">
        <v>44.870699999999999</v>
      </c>
      <c r="AG358">
        <v>4278.125</v>
      </c>
      <c r="AH358">
        <v>1970592.1163999999</v>
      </c>
      <c r="AK358">
        <v>4.0495000000000001</v>
      </c>
      <c r="AL358">
        <v>23.802199999999999</v>
      </c>
      <c r="AM358">
        <v>0.42320000000000002</v>
      </c>
      <c r="AN358">
        <v>8.3999999999999995E-3</v>
      </c>
      <c r="AO358">
        <v>-0.40820000000000001</v>
      </c>
      <c r="AP358">
        <v>246.3931</v>
      </c>
      <c r="AQ358">
        <v>62.7622</v>
      </c>
      <c r="AR358">
        <v>54.566600000000001</v>
      </c>
      <c r="AS358">
        <v>3580.1840000000002</v>
      </c>
      <c r="AT358">
        <v>1883193.5218</v>
      </c>
      <c r="AV358">
        <v>4.4965000000000002</v>
      </c>
      <c r="AW358">
        <v>5.7663000000000002</v>
      </c>
      <c r="AX358">
        <v>0.1222</v>
      </c>
      <c r="AY358">
        <v>31.202500000000001</v>
      </c>
      <c r="AZ358">
        <v>0.7036</v>
      </c>
      <c r="BA358" t="s">
        <v>23</v>
      </c>
      <c r="BB358">
        <v>16.718800000000002</v>
      </c>
      <c r="BC358">
        <v>7.7237999999999998</v>
      </c>
      <c r="BD358">
        <v>2303</v>
      </c>
      <c r="BE358">
        <v>2087566.0952999999</v>
      </c>
      <c r="BH358" s="5">
        <v>4.0968999999999998</v>
      </c>
      <c r="BI358">
        <v>16.560500000000001</v>
      </c>
      <c r="BJ358">
        <v>0.29820000000000002</v>
      </c>
      <c r="BK358">
        <v>7.0838999999999999</v>
      </c>
      <c r="BL358">
        <v>-0.16869999999999999</v>
      </c>
      <c r="BM358">
        <v>0</v>
      </c>
      <c r="BN358">
        <v>20.771699999999999</v>
      </c>
      <c r="BO358">
        <v>15.6275</v>
      </c>
      <c r="BP358">
        <v>1912.511</v>
      </c>
      <c r="BQ358">
        <v>1192413.6808</v>
      </c>
      <c r="CE358" s="1">
        <f t="shared" si="35"/>
        <v>46115</v>
      </c>
      <c r="CF358" s="35">
        <f t="shared" si="42"/>
        <v>6.5887081084504882</v>
      </c>
      <c r="CG358" s="36">
        <f t="shared" si="41"/>
        <v>0.83011213961653074</v>
      </c>
      <c r="CH358">
        <f t="shared" ca="1" si="36"/>
        <v>1.0272966231889851</v>
      </c>
      <c r="CI358">
        <f t="shared" ca="1" si="37"/>
        <v>0.77803494187096789</v>
      </c>
      <c r="CJ358">
        <f t="shared" ca="1" si="38"/>
        <v>0.32819001144976195</v>
      </c>
      <c r="CK358">
        <f t="shared" ca="1" si="39"/>
        <v>4.7199935542607638E-2</v>
      </c>
      <c r="CL358">
        <f t="shared" ca="1" si="40"/>
        <v>-8.4230529114946703E-2</v>
      </c>
    </row>
    <row r="359" spans="1:90" x14ac:dyDescent="0.25">
      <c r="A359" s="43">
        <v>46122</v>
      </c>
      <c r="B359" s="5">
        <v>8.7012999999999998</v>
      </c>
      <c r="C359">
        <v>11.4133</v>
      </c>
      <c r="D359">
        <v>0.19020000000000001</v>
      </c>
      <c r="E359">
        <v>21.462299999999999</v>
      </c>
      <c r="F359">
        <v>1.0841000000000001</v>
      </c>
      <c r="G359">
        <v>12.394</v>
      </c>
      <c r="H359">
        <v>41.802599999999998</v>
      </c>
      <c r="I359">
        <v>26.494</v>
      </c>
      <c r="J359">
        <v>2284.1320000000001</v>
      </c>
      <c r="K359">
        <v>3723874.7461000001</v>
      </c>
      <c r="M359" s="43">
        <v>46122</v>
      </c>
      <c r="N359" s="5">
        <v>7.2697000000000003</v>
      </c>
      <c r="O359">
        <v>11.513400000000001</v>
      </c>
      <c r="P359">
        <v>0.26960000000000001</v>
      </c>
      <c r="Q359">
        <v>30.483499999999999</v>
      </c>
      <c r="R359">
        <v>7.0900000000000005E-2</v>
      </c>
      <c r="S359">
        <v>0</v>
      </c>
      <c r="T359">
        <v>54.832599999999999</v>
      </c>
      <c r="U359">
        <v>42.717399999999998</v>
      </c>
      <c r="V359">
        <v>9635</v>
      </c>
      <c r="W359">
        <v>7654962.0516999997</v>
      </c>
      <c r="Y359" s="5">
        <v>4.0384000000000002</v>
      </c>
      <c r="Z359">
        <v>16.570799999999998</v>
      </c>
      <c r="AA359">
        <v>0.30790000000000001</v>
      </c>
      <c r="AB359">
        <v>0.69020000000000004</v>
      </c>
      <c r="AC359">
        <v>-1.1536999999999999</v>
      </c>
      <c r="AD359">
        <v>0</v>
      </c>
      <c r="AE359">
        <v>56.735900000000001</v>
      </c>
      <c r="AF359">
        <v>44.870699999999999</v>
      </c>
      <c r="AG359">
        <v>4228.0469999999996</v>
      </c>
      <c r="AH359">
        <v>1947524.9846000001</v>
      </c>
      <c r="AK359">
        <v>3.7021000000000002</v>
      </c>
      <c r="AL359">
        <v>23.802199999999999</v>
      </c>
      <c r="AM359">
        <v>0.42320000000000002</v>
      </c>
      <c r="AN359">
        <v>8.3999999999999995E-3</v>
      </c>
      <c r="AO359">
        <v>-0.40820000000000001</v>
      </c>
      <c r="AP359">
        <v>246.3931</v>
      </c>
      <c r="AQ359">
        <v>62.7622</v>
      </c>
      <c r="AR359">
        <v>54.566600000000001</v>
      </c>
      <c r="AS359">
        <v>3301.2089999999998</v>
      </c>
      <c r="AT359">
        <v>1736451.1695000001</v>
      </c>
      <c r="AV359">
        <v>4.2050000000000001</v>
      </c>
      <c r="AW359">
        <v>5.7663000000000002</v>
      </c>
      <c r="AX359">
        <v>0.1222</v>
      </c>
      <c r="AY359">
        <v>31.202500000000001</v>
      </c>
      <c r="AZ359">
        <v>0.7036</v>
      </c>
      <c r="BA359" t="s">
        <v>23</v>
      </c>
      <c r="BB359">
        <v>16.718800000000002</v>
      </c>
      <c r="BC359">
        <v>7.7237999999999998</v>
      </c>
      <c r="BD359">
        <v>2126</v>
      </c>
      <c r="BE359">
        <v>1927123.5426</v>
      </c>
      <c r="BH359" s="5">
        <v>4.0522</v>
      </c>
      <c r="BI359">
        <v>16.560500000000001</v>
      </c>
      <c r="BJ359">
        <v>0.29820000000000002</v>
      </c>
      <c r="BK359">
        <v>7.0838999999999999</v>
      </c>
      <c r="BL359">
        <v>-0.16869999999999999</v>
      </c>
      <c r="BM359">
        <v>0</v>
      </c>
      <c r="BN359">
        <v>20.771699999999999</v>
      </c>
      <c r="BO359">
        <v>15.6275</v>
      </c>
      <c r="BP359">
        <v>1892.4269999999999</v>
      </c>
      <c r="BQ359">
        <v>1179891.9142</v>
      </c>
      <c r="CE359" s="1">
        <f t="shared" si="35"/>
        <v>46122</v>
      </c>
      <c r="CF359" s="35">
        <f t="shared" si="42"/>
        <v>6.3418288630661115</v>
      </c>
      <c r="CG359" s="36">
        <f t="shared" si="41"/>
        <v>0.71385406097383231</v>
      </c>
      <c r="CH359">
        <f t="shared" ca="1" si="36"/>
        <v>1.0272966231889851</v>
      </c>
      <c r="CI359">
        <f t="shared" ca="1" si="37"/>
        <v>0.79118957348350616</v>
      </c>
      <c r="CJ359">
        <f t="shared" ca="1" si="38"/>
        <v>0.36835823202715495</v>
      </c>
      <c r="CK359">
        <f t="shared" ca="1" si="39"/>
        <v>5.8597976790881495E-2</v>
      </c>
      <c r="CL359">
        <f t="shared" ca="1" si="40"/>
        <v>-8.4230529114946703E-2</v>
      </c>
    </row>
    <row r="360" spans="1:90" x14ac:dyDescent="0.25">
      <c r="A360" s="43">
        <v>46129</v>
      </c>
      <c r="B360" s="5">
        <v>8.0236000000000001</v>
      </c>
      <c r="C360">
        <v>11.4133</v>
      </c>
      <c r="D360">
        <v>0.19020000000000001</v>
      </c>
      <c r="E360">
        <v>21.462299999999999</v>
      </c>
      <c r="F360">
        <v>1.0841000000000001</v>
      </c>
      <c r="G360">
        <v>12.394</v>
      </c>
      <c r="H360">
        <v>41.802599999999998</v>
      </c>
      <c r="I360">
        <v>26.494</v>
      </c>
      <c r="J360">
        <v>2077.0749999999998</v>
      </c>
      <c r="K360">
        <v>3386303.9865999999</v>
      </c>
      <c r="M360" s="43">
        <v>46129</v>
      </c>
      <c r="N360" s="5">
        <v>6.7092999999999998</v>
      </c>
      <c r="O360">
        <v>11.513400000000001</v>
      </c>
      <c r="P360">
        <v>0.26960000000000001</v>
      </c>
      <c r="Q360">
        <v>30.483499999999999</v>
      </c>
      <c r="R360">
        <v>7.0900000000000005E-2</v>
      </c>
      <c r="S360">
        <v>0</v>
      </c>
      <c r="T360">
        <v>54.832599999999999</v>
      </c>
      <c r="U360">
        <v>42.717399999999998</v>
      </c>
      <c r="V360">
        <v>8885</v>
      </c>
      <c r="W360">
        <v>7059090.5894999998</v>
      </c>
      <c r="Y360" s="5">
        <v>3.8188</v>
      </c>
      <c r="Z360">
        <v>16.570799999999998</v>
      </c>
      <c r="AA360">
        <v>0.30790000000000001</v>
      </c>
      <c r="AB360">
        <v>0.69020000000000004</v>
      </c>
      <c r="AC360">
        <v>-1.1536999999999999</v>
      </c>
      <c r="AD360">
        <v>0</v>
      </c>
      <c r="AE360">
        <v>56.735900000000001</v>
      </c>
      <c r="AF360">
        <v>44.870699999999999</v>
      </c>
      <c r="AG360">
        <v>4049.1950000000002</v>
      </c>
      <c r="AH360">
        <v>1865142.3711000001</v>
      </c>
      <c r="AK360">
        <v>3.7258</v>
      </c>
      <c r="AL360">
        <v>23.802199999999999</v>
      </c>
      <c r="AM360">
        <v>0.42320000000000002</v>
      </c>
      <c r="AN360">
        <v>8.3999999999999995E-3</v>
      </c>
      <c r="AO360">
        <v>-0.40820000000000001</v>
      </c>
      <c r="AP360">
        <v>246.3931</v>
      </c>
      <c r="AQ360">
        <v>62.7622</v>
      </c>
      <c r="AR360">
        <v>54.566600000000001</v>
      </c>
      <c r="AS360">
        <v>3320.23</v>
      </c>
      <c r="AT360">
        <v>1746456.3299</v>
      </c>
      <c r="AV360">
        <v>3.9611999999999998</v>
      </c>
      <c r="AW360">
        <v>5.7663000000000002</v>
      </c>
      <c r="AX360">
        <v>0.1222</v>
      </c>
      <c r="AY360">
        <v>31.202500000000001</v>
      </c>
      <c r="AZ360">
        <v>0.7036</v>
      </c>
      <c r="BA360" t="s">
        <v>23</v>
      </c>
      <c r="BB360">
        <v>16.718800000000002</v>
      </c>
      <c r="BC360">
        <v>7.7237999999999998</v>
      </c>
      <c r="BD360">
        <v>1978</v>
      </c>
      <c r="BE360">
        <v>1792968.1878</v>
      </c>
      <c r="BH360" s="5">
        <v>3.8896000000000002</v>
      </c>
      <c r="BI360">
        <v>16.560500000000001</v>
      </c>
      <c r="BJ360">
        <v>0.29820000000000002</v>
      </c>
      <c r="BK360">
        <v>7.0838999999999999</v>
      </c>
      <c r="BL360">
        <v>-0.16869999999999999</v>
      </c>
      <c r="BM360">
        <v>0</v>
      </c>
      <c r="BN360">
        <v>20.771699999999999</v>
      </c>
      <c r="BO360">
        <v>15.6275</v>
      </c>
      <c r="BP360">
        <v>1819.396</v>
      </c>
      <c r="BQ360">
        <v>1134358.2175</v>
      </c>
      <c r="CE360" s="1">
        <f t="shared" si="35"/>
        <v>46129</v>
      </c>
      <c r="CF360" s="35">
        <f t="shared" si="42"/>
        <v>5.8687050769130762</v>
      </c>
      <c r="CG360" s="36">
        <f t="shared" si="41"/>
        <v>0.49105500691535109</v>
      </c>
      <c r="CH360">
        <f t="shared" ca="1" si="36"/>
        <v>1.0272966231889851</v>
      </c>
      <c r="CI360">
        <f t="shared" ca="1" si="37"/>
        <v>0.79118957348350616</v>
      </c>
      <c r="CJ360">
        <f t="shared" ca="1" si="38"/>
        <v>0.38198273163239227</v>
      </c>
      <c r="CK360">
        <f t="shared" ca="1" si="39"/>
        <v>5.8597976790881495E-2</v>
      </c>
      <c r="CL360">
        <f t="shared" ca="1" si="40"/>
        <v>-8.4230529114946703E-2</v>
      </c>
    </row>
    <row r="361" spans="1:90" x14ac:dyDescent="0.25">
      <c r="A361" s="43">
        <v>46136</v>
      </c>
      <c r="B361" s="5">
        <v>7.8442999999999996</v>
      </c>
      <c r="C361">
        <v>11.4133</v>
      </c>
      <c r="D361">
        <v>0.19020000000000001</v>
      </c>
      <c r="E361">
        <v>21.462299999999999</v>
      </c>
      <c r="F361">
        <v>1.0841000000000001</v>
      </c>
      <c r="G361">
        <v>12.394</v>
      </c>
      <c r="H361">
        <v>41.802599999999998</v>
      </c>
      <c r="I361">
        <v>26.494</v>
      </c>
      <c r="J361">
        <v>2022.2929999999999</v>
      </c>
      <c r="K361">
        <v>3296991.5435000001</v>
      </c>
      <c r="M361" s="43">
        <v>46136</v>
      </c>
      <c r="N361" s="5">
        <v>6.8326000000000002</v>
      </c>
      <c r="O361">
        <v>11.513400000000001</v>
      </c>
      <c r="P361">
        <v>0.26960000000000001</v>
      </c>
      <c r="Q361">
        <v>30.483499999999999</v>
      </c>
      <c r="R361">
        <v>7.0900000000000005E-2</v>
      </c>
      <c r="S361">
        <v>0</v>
      </c>
      <c r="T361">
        <v>54.832599999999999</v>
      </c>
      <c r="U361">
        <v>42.717399999999998</v>
      </c>
      <c r="V361">
        <v>9050</v>
      </c>
      <c r="W361">
        <v>7190182.3112000003</v>
      </c>
      <c r="Y361" s="5">
        <v>3.7924000000000002</v>
      </c>
      <c r="Z361">
        <v>16.570799999999998</v>
      </c>
      <c r="AA361">
        <v>0.30790000000000001</v>
      </c>
      <c r="AB361">
        <v>0.69020000000000004</v>
      </c>
      <c r="AC361">
        <v>-1.1536999999999999</v>
      </c>
      <c r="AD361">
        <v>0</v>
      </c>
      <c r="AE361">
        <v>56.735900000000001</v>
      </c>
      <c r="AF361">
        <v>44.870699999999999</v>
      </c>
      <c r="AG361">
        <v>4027.7330000000002</v>
      </c>
      <c r="AH361">
        <v>1855256.4574</v>
      </c>
      <c r="AK361">
        <v>3.6074000000000002</v>
      </c>
      <c r="AL361">
        <v>23.802199999999999</v>
      </c>
      <c r="AM361">
        <v>0.42320000000000002</v>
      </c>
      <c r="AN361">
        <v>8.3999999999999995E-3</v>
      </c>
      <c r="AO361">
        <v>-0.40820000000000001</v>
      </c>
      <c r="AP361">
        <v>246.3931</v>
      </c>
      <c r="AQ361">
        <v>62.7622</v>
      </c>
      <c r="AR361">
        <v>54.566600000000001</v>
      </c>
      <c r="AS361">
        <v>3225.125</v>
      </c>
      <c r="AT361">
        <v>1696430.5279000001</v>
      </c>
      <c r="AV361">
        <v>3.8410000000000002</v>
      </c>
      <c r="AW361">
        <v>5.7663000000000002</v>
      </c>
      <c r="AX361">
        <v>0.1222</v>
      </c>
      <c r="AY361">
        <v>31.202500000000001</v>
      </c>
      <c r="AZ361">
        <v>0.7036</v>
      </c>
      <c r="BA361" t="s">
        <v>23</v>
      </c>
      <c r="BB361">
        <v>16.718800000000002</v>
      </c>
      <c r="BC361">
        <v>7.7237999999999998</v>
      </c>
      <c r="BD361">
        <v>1905</v>
      </c>
      <c r="BE361">
        <v>1726796.9654999999</v>
      </c>
      <c r="BH361" s="5">
        <v>3.7189999999999999</v>
      </c>
      <c r="BI361">
        <v>16.560500000000001</v>
      </c>
      <c r="BJ361">
        <v>0.29820000000000002</v>
      </c>
      <c r="BK361">
        <v>7.0838999999999999</v>
      </c>
      <c r="BL361">
        <v>-0.16869999999999999</v>
      </c>
      <c r="BM361">
        <v>0</v>
      </c>
      <c r="BN361">
        <v>20.771699999999999</v>
      </c>
      <c r="BO361">
        <v>15.6275</v>
      </c>
      <c r="BP361">
        <v>1742.713</v>
      </c>
      <c r="BQ361">
        <v>1086547.8361</v>
      </c>
      <c r="CE361" s="1">
        <f t="shared" ref="CE361:CE373" si="43">+A361</f>
        <v>46136</v>
      </c>
      <c r="CF361" s="35">
        <f t="shared" si="42"/>
        <v>5.8638797287505433</v>
      </c>
      <c r="CG361" s="36">
        <f t="shared" si="41"/>
        <v>0.48878269882689784</v>
      </c>
      <c r="CH361">
        <f t="shared" ca="1" si="36"/>
        <v>1.0272966231889851</v>
      </c>
      <c r="CI361">
        <f t="shared" ca="1" si="37"/>
        <v>0.79118957348350616</v>
      </c>
      <c r="CJ361">
        <f t="shared" ca="1" si="38"/>
        <v>0.38654416856321705</v>
      </c>
      <c r="CK361">
        <f t="shared" ca="1" si="39"/>
        <v>7.5508924242481026E-2</v>
      </c>
      <c r="CL361">
        <f t="shared" ca="1" si="40"/>
        <v>-8.4230529114946703E-2</v>
      </c>
    </row>
    <row r="362" spans="1:90" x14ac:dyDescent="0.25">
      <c r="A362" s="43">
        <v>46143</v>
      </c>
      <c r="B362" s="5">
        <v>7.7256999999999998</v>
      </c>
      <c r="C362">
        <v>11.4133</v>
      </c>
      <c r="D362">
        <v>0.19020000000000001</v>
      </c>
      <c r="E362">
        <v>21.462299999999999</v>
      </c>
      <c r="F362">
        <v>1.0841000000000001</v>
      </c>
      <c r="G362">
        <v>12.394</v>
      </c>
      <c r="H362">
        <v>41.802599999999998</v>
      </c>
      <c r="I362">
        <v>26.494</v>
      </c>
      <c r="J362">
        <v>1986.0809999999999</v>
      </c>
      <c r="K362">
        <v>3237954.5049000001</v>
      </c>
      <c r="M362" s="43">
        <v>46143</v>
      </c>
      <c r="N362" s="5">
        <v>6.9184999999999999</v>
      </c>
      <c r="O362">
        <v>11.513400000000001</v>
      </c>
      <c r="P362">
        <v>0.26960000000000001</v>
      </c>
      <c r="Q362">
        <v>30.483499999999999</v>
      </c>
      <c r="R362">
        <v>7.0900000000000005E-2</v>
      </c>
      <c r="S362">
        <v>0</v>
      </c>
      <c r="T362">
        <v>54.832599999999999</v>
      </c>
      <c r="U362">
        <v>42.717399999999998</v>
      </c>
      <c r="V362">
        <v>9165</v>
      </c>
      <c r="W362">
        <v>7281549.2686999999</v>
      </c>
      <c r="Y362" s="5">
        <v>3.5171000000000001</v>
      </c>
      <c r="Z362">
        <v>16.570799999999998</v>
      </c>
      <c r="AA362">
        <v>0.30790000000000001</v>
      </c>
      <c r="AB362">
        <v>0.69020000000000004</v>
      </c>
      <c r="AC362">
        <v>-1.1536999999999999</v>
      </c>
      <c r="AD362">
        <v>0</v>
      </c>
      <c r="AE362">
        <v>56.735900000000001</v>
      </c>
      <c r="AF362">
        <v>44.870699999999999</v>
      </c>
      <c r="AG362">
        <v>3803.5729999999999</v>
      </c>
      <c r="AH362">
        <v>1752003.5818</v>
      </c>
      <c r="AK362">
        <v>3.6758000000000002</v>
      </c>
      <c r="AL362">
        <v>23.802199999999999</v>
      </c>
      <c r="AM362">
        <v>0.42320000000000002</v>
      </c>
      <c r="AN362">
        <v>8.3999999999999995E-3</v>
      </c>
      <c r="AO362">
        <v>-0.40820000000000001</v>
      </c>
      <c r="AP362">
        <v>246.3931</v>
      </c>
      <c r="AQ362">
        <v>62.7622</v>
      </c>
      <c r="AR362">
        <v>54.566600000000001</v>
      </c>
      <c r="AS362">
        <v>3280.0740000000001</v>
      </c>
      <c r="AT362">
        <v>1725334.3245999999</v>
      </c>
      <c r="AV362">
        <v>3.8064</v>
      </c>
      <c r="AW362">
        <v>5.7663000000000002</v>
      </c>
      <c r="AX362">
        <v>0.1222</v>
      </c>
      <c r="AY362">
        <v>31.202500000000001</v>
      </c>
      <c r="AZ362">
        <v>0.7036</v>
      </c>
      <c r="BA362" t="s">
        <v>23</v>
      </c>
      <c r="BB362">
        <v>16.718800000000002</v>
      </c>
      <c r="BC362">
        <v>7.7237999999999998</v>
      </c>
      <c r="BD362">
        <v>1884</v>
      </c>
      <c r="BE362">
        <v>1707761.4084000001</v>
      </c>
      <c r="BH362" s="5">
        <v>3.5991</v>
      </c>
      <c r="BI362">
        <v>16.560500000000001</v>
      </c>
      <c r="BJ362">
        <v>0.29820000000000002</v>
      </c>
      <c r="BK362">
        <v>7.0838999999999999</v>
      </c>
      <c r="BL362">
        <v>-0.16869999999999999</v>
      </c>
      <c r="BM362">
        <v>0</v>
      </c>
      <c r="BN362">
        <v>20.771699999999999</v>
      </c>
      <c r="BO362">
        <v>15.6275</v>
      </c>
      <c r="BP362">
        <v>1688.8520000000001</v>
      </c>
      <c r="BQ362">
        <v>1052966.7348</v>
      </c>
      <c r="CE362" s="1">
        <f t="shared" si="43"/>
        <v>46143</v>
      </c>
      <c r="CF362" s="35">
        <f t="shared" si="42"/>
        <v>5.8592609834236171</v>
      </c>
      <c r="CG362" s="36">
        <f t="shared" si="41"/>
        <v>0.48660768222470291</v>
      </c>
      <c r="CH362">
        <f t="shared" ca="1" si="36"/>
        <v>1.0272966231889851</v>
      </c>
      <c r="CI362">
        <f t="shared" ca="1" si="37"/>
        <v>0.79118957348350616</v>
      </c>
      <c r="CJ362">
        <f t="shared" ca="1" si="38"/>
        <v>0.43969331975382209</v>
      </c>
      <c r="CK362">
        <f t="shared" ca="1" si="39"/>
        <v>8.8006399188878121E-2</v>
      </c>
      <c r="CL362">
        <f t="shared" ca="1" si="40"/>
        <v>-8.4230529114946703E-2</v>
      </c>
    </row>
    <row r="363" spans="1:90" x14ac:dyDescent="0.25">
      <c r="A363" s="43">
        <v>46150</v>
      </c>
      <c r="B363" s="5">
        <v>7.6254</v>
      </c>
      <c r="C363">
        <v>11.4133</v>
      </c>
      <c r="D363">
        <v>0.19020000000000001</v>
      </c>
      <c r="E363">
        <v>21.462299999999999</v>
      </c>
      <c r="F363">
        <v>1.0841000000000001</v>
      </c>
      <c r="G363">
        <v>12.394</v>
      </c>
      <c r="H363">
        <v>41.802599999999998</v>
      </c>
      <c r="I363">
        <v>26.494</v>
      </c>
      <c r="J363">
        <v>1955.44</v>
      </c>
      <c r="K363">
        <v>3188000.0874999999</v>
      </c>
      <c r="M363" s="43">
        <v>46150</v>
      </c>
      <c r="N363" s="5">
        <v>6.6421000000000001</v>
      </c>
      <c r="O363">
        <v>11.513400000000001</v>
      </c>
      <c r="P363">
        <v>0.26960000000000001</v>
      </c>
      <c r="Q363">
        <v>30.483499999999999</v>
      </c>
      <c r="R363">
        <v>7.0900000000000005E-2</v>
      </c>
      <c r="S363">
        <v>0</v>
      </c>
      <c r="T363">
        <v>54.832599999999999</v>
      </c>
      <c r="U363">
        <v>42.717399999999998</v>
      </c>
      <c r="V363">
        <v>8795</v>
      </c>
      <c r="W363">
        <v>6987586.0140000004</v>
      </c>
      <c r="Y363" s="5">
        <v>3.6196000000000002</v>
      </c>
      <c r="Z363">
        <v>16.570799999999998</v>
      </c>
      <c r="AA363">
        <v>0.30790000000000001</v>
      </c>
      <c r="AB363">
        <v>0.69020000000000004</v>
      </c>
      <c r="AC363">
        <v>-1.1536999999999999</v>
      </c>
      <c r="AD363">
        <v>0</v>
      </c>
      <c r="AE363">
        <v>56.735900000000001</v>
      </c>
      <c r="AF363">
        <v>44.870699999999999</v>
      </c>
      <c r="AG363">
        <v>3887.0369999999998</v>
      </c>
      <c r="AH363">
        <v>1790448.8014</v>
      </c>
      <c r="AK363">
        <v>3.86</v>
      </c>
      <c r="AL363">
        <v>23.802199999999999</v>
      </c>
      <c r="AM363">
        <v>0.42320000000000002</v>
      </c>
      <c r="AN363">
        <v>8.3999999999999995E-3</v>
      </c>
      <c r="AO363">
        <v>-0.40820000000000001</v>
      </c>
      <c r="AP363">
        <v>246.3931</v>
      </c>
      <c r="AQ363">
        <v>62.7622</v>
      </c>
      <c r="AR363">
        <v>54.566600000000001</v>
      </c>
      <c r="AS363">
        <v>3428.0160000000001</v>
      </c>
      <c r="AT363">
        <v>1803152.2387000001</v>
      </c>
      <c r="AV363">
        <v>3.5922999999999998</v>
      </c>
      <c r="AW363">
        <v>5.7663000000000002</v>
      </c>
      <c r="AX363">
        <v>0.1222</v>
      </c>
      <c r="AY363">
        <v>31.202500000000001</v>
      </c>
      <c r="AZ363">
        <v>0.7036</v>
      </c>
      <c r="BA363" t="s">
        <v>23</v>
      </c>
      <c r="BB363">
        <v>16.718800000000002</v>
      </c>
      <c r="BC363">
        <v>7.7237999999999998</v>
      </c>
      <c r="BD363">
        <v>1754</v>
      </c>
      <c r="BE363">
        <v>1589922.2453999999</v>
      </c>
      <c r="BH363" s="5">
        <v>3.528</v>
      </c>
      <c r="BI363">
        <v>16.560500000000001</v>
      </c>
      <c r="BJ363">
        <v>0.29820000000000002</v>
      </c>
      <c r="BK363">
        <v>7.0838999999999999</v>
      </c>
      <c r="BL363">
        <v>-0.16869999999999999</v>
      </c>
      <c r="BM363">
        <v>0</v>
      </c>
      <c r="BN363">
        <v>20.771699999999999</v>
      </c>
      <c r="BO363">
        <v>15.6275</v>
      </c>
      <c r="BP363">
        <v>1656.9010000000001</v>
      </c>
      <c r="BQ363">
        <v>1033045.7425000001</v>
      </c>
      <c r="CE363" s="1">
        <f t="shared" si="43"/>
        <v>46150</v>
      </c>
      <c r="CF363" s="35">
        <f t="shared" si="42"/>
        <v>5.7051046294169812</v>
      </c>
      <c r="CG363" s="36">
        <f t="shared" si="41"/>
        <v>0.41401380541066879</v>
      </c>
      <c r="CH363">
        <f t="shared" ca="1" si="36"/>
        <v>1.0272966231889851</v>
      </c>
      <c r="CI363">
        <f t="shared" ca="1" si="37"/>
        <v>0.79118957348350616</v>
      </c>
      <c r="CJ363">
        <f t="shared" ca="1" si="38"/>
        <v>0.48769519052580035</v>
      </c>
      <c r="CK363">
        <f t="shared" ca="1" si="39"/>
        <v>0.11046580314269752</v>
      </c>
      <c r="CL363">
        <f t="shared" ca="1" si="40"/>
        <v>-4.9596000625857048E-2</v>
      </c>
    </row>
    <row r="364" spans="1:90" x14ac:dyDescent="0.25">
      <c r="A364" s="43">
        <v>46157</v>
      </c>
      <c r="B364" s="5">
        <v>7.4522000000000004</v>
      </c>
      <c r="C364">
        <v>11.4133</v>
      </c>
      <c r="D364">
        <v>0.19020000000000001</v>
      </c>
      <c r="E364">
        <v>21.462299999999999</v>
      </c>
      <c r="F364">
        <v>1.0841000000000001</v>
      </c>
      <c r="G364">
        <v>12.394</v>
      </c>
      <c r="H364">
        <v>41.802599999999998</v>
      </c>
      <c r="I364">
        <v>26.494</v>
      </c>
      <c r="J364">
        <v>1902.5150000000001</v>
      </c>
      <c r="K364">
        <v>3101715.1849000002</v>
      </c>
      <c r="M364" s="43">
        <v>46157</v>
      </c>
      <c r="N364" s="5">
        <v>6.6083999999999996</v>
      </c>
      <c r="O364">
        <v>11.513400000000001</v>
      </c>
      <c r="P364">
        <v>0.26960000000000001</v>
      </c>
      <c r="Q364">
        <v>30.483499999999999</v>
      </c>
      <c r="R364">
        <v>7.0900000000000005E-2</v>
      </c>
      <c r="S364">
        <v>0</v>
      </c>
      <c r="T364">
        <v>54.832599999999999</v>
      </c>
      <c r="U364">
        <v>42.717399999999998</v>
      </c>
      <c r="V364">
        <v>8750</v>
      </c>
      <c r="W364">
        <v>6951833.7263000002</v>
      </c>
      <c r="Y364" s="5">
        <v>3.1158999999999999</v>
      </c>
      <c r="Z364">
        <v>16.570799999999998</v>
      </c>
      <c r="AA364">
        <v>0.30790000000000001</v>
      </c>
      <c r="AB364">
        <v>0.69020000000000004</v>
      </c>
      <c r="AC364">
        <v>-1.1536999999999999</v>
      </c>
      <c r="AD364">
        <v>0</v>
      </c>
      <c r="AE364">
        <v>56.735900000000001</v>
      </c>
      <c r="AF364">
        <v>44.870699999999999</v>
      </c>
      <c r="AG364">
        <v>3476.8710000000001</v>
      </c>
      <c r="AH364">
        <v>1601518.0077</v>
      </c>
      <c r="AK364">
        <v>3.4310999999999998</v>
      </c>
      <c r="AL364">
        <v>23.802199999999999</v>
      </c>
      <c r="AM364">
        <v>0.42320000000000002</v>
      </c>
      <c r="AN364">
        <v>8.3999999999999995E-3</v>
      </c>
      <c r="AO364">
        <v>-0.40820000000000001</v>
      </c>
      <c r="AP364">
        <v>246.3931</v>
      </c>
      <c r="AQ364">
        <v>62.7622</v>
      </c>
      <c r="AR364">
        <v>54.566600000000001</v>
      </c>
      <c r="AS364">
        <v>3083.5239999999999</v>
      </c>
      <c r="AT364">
        <v>1621947.6673000001</v>
      </c>
      <c r="AV364">
        <v>3.4489999999999998</v>
      </c>
      <c r="AW364">
        <v>5.7663000000000002</v>
      </c>
      <c r="AX364">
        <v>0.1222</v>
      </c>
      <c r="AY364">
        <v>31.202500000000001</v>
      </c>
      <c r="AZ364">
        <v>0.7036</v>
      </c>
      <c r="BA364" t="s">
        <v>23</v>
      </c>
      <c r="BB364">
        <v>16.718800000000002</v>
      </c>
      <c r="BC364">
        <v>7.7237999999999998</v>
      </c>
      <c r="BD364">
        <v>1667</v>
      </c>
      <c r="BE364">
        <v>1511060.6517</v>
      </c>
      <c r="BH364" s="5">
        <v>3.2658</v>
      </c>
      <c r="BI364">
        <v>16.560500000000001</v>
      </c>
      <c r="BJ364">
        <v>0.29820000000000002</v>
      </c>
      <c r="BK364">
        <v>7.0838999999999999</v>
      </c>
      <c r="BL364">
        <v>-0.16869999999999999</v>
      </c>
      <c r="BM364">
        <v>0</v>
      </c>
      <c r="BN364">
        <v>20.771699999999999</v>
      </c>
      <c r="BO364">
        <v>15.6275</v>
      </c>
      <c r="BP364">
        <v>1539.1379999999999</v>
      </c>
      <c r="BQ364">
        <v>959622.65670000005</v>
      </c>
      <c r="CE364" s="1">
        <f t="shared" si="43"/>
        <v>46157</v>
      </c>
      <c r="CF364" s="35">
        <f t="shared" si="42"/>
        <v>5.58531913349589</v>
      </c>
      <c r="CG364" s="36">
        <f t="shared" si="41"/>
        <v>0.3576055334906586</v>
      </c>
      <c r="CH364">
        <f t="shared" ca="1" si="36"/>
        <v>1.0272966231889851</v>
      </c>
      <c r="CI364">
        <f t="shared" ca="1" si="37"/>
        <v>0.79118957348350616</v>
      </c>
      <c r="CJ364">
        <f t="shared" ca="1" si="38"/>
        <v>0.48769519052580035</v>
      </c>
      <c r="CK364">
        <f t="shared" ca="1" si="39"/>
        <v>0.12288925422599031</v>
      </c>
      <c r="CL364">
        <f t="shared" ca="1" si="40"/>
        <v>-4.9596000625857048E-2</v>
      </c>
    </row>
    <row r="365" spans="1:90" x14ac:dyDescent="0.25">
      <c r="A365" s="43">
        <v>46164</v>
      </c>
      <c r="B365" s="5">
        <v>7.5373000000000001</v>
      </c>
      <c r="C365">
        <v>11.4133</v>
      </c>
      <c r="D365">
        <v>0.19020000000000001</v>
      </c>
      <c r="E365">
        <v>21.462299999999999</v>
      </c>
      <c r="F365">
        <v>1.0841000000000001</v>
      </c>
      <c r="G365">
        <v>12.394</v>
      </c>
      <c r="H365">
        <v>41.802599999999998</v>
      </c>
      <c r="I365">
        <v>26.494</v>
      </c>
      <c r="J365">
        <v>1928.5129999999999</v>
      </c>
      <c r="K365">
        <v>3144100.7511</v>
      </c>
      <c r="M365" s="43">
        <v>46164</v>
      </c>
      <c r="N365" s="5">
        <v>6.5598999999999998</v>
      </c>
      <c r="O365">
        <v>11.513400000000001</v>
      </c>
      <c r="P365">
        <v>0.26960000000000001</v>
      </c>
      <c r="Q365">
        <v>30.483499999999999</v>
      </c>
      <c r="R365">
        <v>7.0900000000000005E-2</v>
      </c>
      <c r="S365">
        <v>0</v>
      </c>
      <c r="T365">
        <v>54.832599999999999</v>
      </c>
      <c r="U365">
        <v>42.717399999999998</v>
      </c>
      <c r="V365">
        <v>8685</v>
      </c>
      <c r="W365">
        <v>6900191.5329</v>
      </c>
      <c r="Y365" s="5">
        <v>3.4731999999999998</v>
      </c>
      <c r="Z365">
        <v>16.570799999999998</v>
      </c>
      <c r="AA365">
        <v>0.30790000000000001</v>
      </c>
      <c r="AB365">
        <v>0.69020000000000004</v>
      </c>
      <c r="AC365">
        <v>-1.1536999999999999</v>
      </c>
      <c r="AD365">
        <v>0</v>
      </c>
      <c r="AE365">
        <v>56.735900000000001</v>
      </c>
      <c r="AF365">
        <v>44.870699999999999</v>
      </c>
      <c r="AG365">
        <v>3767.8020000000001</v>
      </c>
      <c r="AH365">
        <v>1735527.0589999999</v>
      </c>
      <c r="AK365">
        <v>3.6863999999999999</v>
      </c>
      <c r="AL365">
        <v>23.802199999999999</v>
      </c>
      <c r="AM365">
        <v>0.42320000000000002</v>
      </c>
      <c r="AN365">
        <v>8.3999999999999995E-3</v>
      </c>
      <c r="AO365">
        <v>-0.40820000000000001</v>
      </c>
      <c r="AP365">
        <v>246.3931</v>
      </c>
      <c r="AQ365">
        <v>62.7622</v>
      </c>
      <c r="AR365">
        <v>54.566600000000001</v>
      </c>
      <c r="AS365">
        <v>3288.5279999999998</v>
      </c>
      <c r="AT365">
        <v>1729781.0626000001</v>
      </c>
      <c r="AV365">
        <v>3.6714000000000002</v>
      </c>
      <c r="AW365">
        <v>5.7663000000000002</v>
      </c>
      <c r="AX365">
        <v>0.1222</v>
      </c>
      <c r="AY365">
        <v>31.202500000000001</v>
      </c>
      <c r="AZ365">
        <v>0.7036</v>
      </c>
      <c r="BA365" t="s">
        <v>23</v>
      </c>
      <c r="BB365">
        <v>16.718800000000002</v>
      </c>
      <c r="BC365">
        <v>7.7237999999999998</v>
      </c>
      <c r="BD365">
        <v>1802</v>
      </c>
      <c r="BE365">
        <v>1633432.0902</v>
      </c>
      <c r="BH365" s="5">
        <v>3.6884999999999999</v>
      </c>
      <c r="BI365">
        <v>16.560500000000001</v>
      </c>
      <c r="BJ365">
        <v>0.29820000000000002</v>
      </c>
      <c r="BK365">
        <v>7.0838999999999999</v>
      </c>
      <c r="BL365">
        <v>-0.16869999999999999</v>
      </c>
      <c r="BM365">
        <v>0</v>
      </c>
      <c r="BN365">
        <v>20.771699999999999</v>
      </c>
      <c r="BO365">
        <v>15.6275</v>
      </c>
      <c r="BP365">
        <v>1729.019</v>
      </c>
      <c r="BQ365">
        <v>1078010.2679999999</v>
      </c>
      <c r="CE365" s="1">
        <f t="shared" si="43"/>
        <v>46164</v>
      </c>
      <c r="CF365" s="35">
        <f t="shared" si="42"/>
        <v>5.6309769536976884</v>
      </c>
      <c r="CG365" s="36">
        <f t="shared" si="41"/>
        <v>0.37910628963324344</v>
      </c>
      <c r="CH365">
        <f t="shared" ca="1" si="36"/>
        <v>1.0272966231889851</v>
      </c>
      <c r="CI365">
        <f t="shared" ca="1" si="37"/>
        <v>0.79118957348350616</v>
      </c>
      <c r="CJ365">
        <f t="shared" ca="1" si="38"/>
        <v>0.48769519052580035</v>
      </c>
      <c r="CK365">
        <f t="shared" ca="1" si="39"/>
        <v>0.12288925422599031</v>
      </c>
      <c r="CL365">
        <f t="shared" ca="1" si="40"/>
        <v>-4.9596000625857048E-2</v>
      </c>
    </row>
    <row r="366" spans="1:90" x14ac:dyDescent="0.25">
      <c r="A366" s="43">
        <v>46171</v>
      </c>
      <c r="B366" s="5">
        <v>8.3853000000000009</v>
      </c>
      <c r="C366">
        <v>11.4133</v>
      </c>
      <c r="D366">
        <v>0.19020000000000001</v>
      </c>
      <c r="E366">
        <v>21.462299999999999</v>
      </c>
      <c r="F366">
        <v>1.0841000000000001</v>
      </c>
      <c r="G366">
        <v>12.394</v>
      </c>
      <c r="H366">
        <v>41.802599999999998</v>
      </c>
      <c r="I366">
        <v>26.494</v>
      </c>
      <c r="J366">
        <v>2187.567</v>
      </c>
      <c r="K366">
        <v>3566442.6430000002</v>
      </c>
      <c r="M366" s="43">
        <v>46171</v>
      </c>
      <c r="N366" s="5">
        <v>6.8960999999999997</v>
      </c>
      <c r="O366">
        <v>11.513400000000001</v>
      </c>
      <c r="P366">
        <v>0.26960000000000001</v>
      </c>
      <c r="Q366">
        <v>30.483499999999999</v>
      </c>
      <c r="R366">
        <v>7.0900000000000005E-2</v>
      </c>
      <c r="S366">
        <v>0</v>
      </c>
      <c r="T366">
        <v>54.832599999999999</v>
      </c>
      <c r="U366">
        <v>42.717399999999998</v>
      </c>
      <c r="V366">
        <v>9135</v>
      </c>
      <c r="W366">
        <v>7257714.4101999998</v>
      </c>
      <c r="Y366" s="5">
        <v>3.7865000000000002</v>
      </c>
      <c r="Z366">
        <v>16.570799999999998</v>
      </c>
      <c r="AA366">
        <v>0.30790000000000001</v>
      </c>
      <c r="AB366">
        <v>0.69020000000000004</v>
      </c>
      <c r="AC366">
        <v>-1.1536999999999999</v>
      </c>
      <c r="AD366">
        <v>0</v>
      </c>
      <c r="AE366">
        <v>56.735900000000001</v>
      </c>
      <c r="AF366">
        <v>44.870699999999999</v>
      </c>
      <c r="AG366">
        <v>4022.9639999999999</v>
      </c>
      <c r="AH366">
        <v>1853059.5877</v>
      </c>
      <c r="AK366">
        <v>3.8020999999999998</v>
      </c>
      <c r="AL366">
        <v>23.802199999999999</v>
      </c>
      <c r="AM366">
        <v>0.42320000000000002</v>
      </c>
      <c r="AN366">
        <v>8.3999999999999995E-3</v>
      </c>
      <c r="AO366">
        <v>-0.40820000000000001</v>
      </c>
      <c r="AP366">
        <v>246.3931</v>
      </c>
      <c r="AQ366">
        <v>62.7622</v>
      </c>
      <c r="AR366">
        <v>54.566600000000001</v>
      </c>
      <c r="AS366">
        <v>3381.52</v>
      </c>
      <c r="AT366">
        <v>1778695.18</v>
      </c>
      <c r="AV366">
        <v>4.0995999999999997</v>
      </c>
      <c r="AW366">
        <v>5.7663000000000002</v>
      </c>
      <c r="AX366">
        <v>0.1222</v>
      </c>
      <c r="AY366">
        <v>31.202500000000001</v>
      </c>
      <c r="AZ366">
        <v>0.7036</v>
      </c>
      <c r="BA366" t="s">
        <v>23</v>
      </c>
      <c r="BB366">
        <v>16.718800000000002</v>
      </c>
      <c r="BC366">
        <v>7.7237999999999998</v>
      </c>
      <c r="BD366">
        <v>2062</v>
      </c>
      <c r="BE366">
        <v>1869110.4162000001</v>
      </c>
      <c r="BH366" s="5">
        <v>4.1050000000000004</v>
      </c>
      <c r="BI366">
        <v>16.560500000000001</v>
      </c>
      <c r="BJ366">
        <v>0.29820000000000002</v>
      </c>
      <c r="BK366">
        <v>7.0838999999999999</v>
      </c>
      <c r="BL366">
        <v>-0.16869999999999999</v>
      </c>
      <c r="BM366">
        <v>0</v>
      </c>
      <c r="BN366">
        <v>20.771699999999999</v>
      </c>
      <c r="BO366">
        <v>15.6275</v>
      </c>
      <c r="BP366">
        <v>1916.162</v>
      </c>
      <c r="BQ366">
        <v>1194690.3655999999</v>
      </c>
      <c r="CE366" s="1">
        <f t="shared" si="43"/>
        <v>46171</v>
      </c>
      <c r="CF366" s="35">
        <f t="shared" si="42"/>
        <v>6.0675545504034867</v>
      </c>
      <c r="CG366" s="36">
        <f t="shared" si="41"/>
        <v>0.58469535198005729</v>
      </c>
      <c r="CH366">
        <f t="shared" ca="1" si="36"/>
        <v>1.0272966231889851</v>
      </c>
      <c r="CI366">
        <f t="shared" ca="1" si="37"/>
        <v>0.79118957348350616</v>
      </c>
      <c r="CJ366">
        <f t="shared" ca="1" si="38"/>
        <v>0.48769519052580035</v>
      </c>
      <c r="CK366">
        <f t="shared" ca="1" si="39"/>
        <v>0.12288925422599031</v>
      </c>
      <c r="CL366">
        <f t="shared" ca="1" si="40"/>
        <v>-4.9596000625857048E-2</v>
      </c>
    </row>
    <row r="367" spans="1:90" x14ac:dyDescent="0.25">
      <c r="A367" s="43">
        <v>46178</v>
      </c>
      <c r="B367" s="5">
        <v>7.9901</v>
      </c>
      <c r="C367">
        <v>11.4133</v>
      </c>
      <c r="D367">
        <v>0.19020000000000001</v>
      </c>
      <c r="E367">
        <v>21.462299999999999</v>
      </c>
      <c r="F367">
        <v>1.0841000000000001</v>
      </c>
      <c r="G367">
        <v>12.394</v>
      </c>
      <c r="H367">
        <v>41.802599999999998</v>
      </c>
      <c r="I367">
        <v>26.494</v>
      </c>
      <c r="J367">
        <v>2066.8609999999999</v>
      </c>
      <c r="K367">
        <v>3369652.5142000001</v>
      </c>
      <c r="M367" s="43">
        <v>46178</v>
      </c>
      <c r="N367" s="5">
        <v>6.7466999999999997</v>
      </c>
      <c r="O367">
        <v>11.513400000000001</v>
      </c>
      <c r="P367">
        <v>0.26960000000000001</v>
      </c>
      <c r="Q367">
        <v>30.483499999999999</v>
      </c>
      <c r="R367">
        <v>7.0900000000000005E-2</v>
      </c>
      <c r="S367">
        <v>0</v>
      </c>
      <c r="T367">
        <v>54.832599999999999</v>
      </c>
      <c r="U367">
        <v>42.717399999999998</v>
      </c>
      <c r="V367">
        <v>8935</v>
      </c>
      <c r="W367">
        <v>7098815.3536</v>
      </c>
      <c r="Y367" s="5">
        <v>3.4028999999999998</v>
      </c>
      <c r="Z367">
        <v>16.570799999999998</v>
      </c>
      <c r="AA367">
        <v>0.30790000000000001</v>
      </c>
      <c r="AB367">
        <v>0.69020000000000004</v>
      </c>
      <c r="AC367">
        <v>-1.1536999999999999</v>
      </c>
      <c r="AD367">
        <v>0</v>
      </c>
      <c r="AE367">
        <v>56.735900000000001</v>
      </c>
      <c r="AF367">
        <v>44.870699999999999</v>
      </c>
      <c r="AG367">
        <v>3710.57</v>
      </c>
      <c r="AH367">
        <v>1709164.6226999999</v>
      </c>
      <c r="AK367">
        <v>3.7153</v>
      </c>
      <c r="AL367">
        <v>23.802199999999999</v>
      </c>
      <c r="AM367">
        <v>0.42320000000000002</v>
      </c>
      <c r="AN367">
        <v>8.3999999999999995E-3</v>
      </c>
      <c r="AO367">
        <v>-0.40820000000000001</v>
      </c>
      <c r="AP367">
        <v>246.3931</v>
      </c>
      <c r="AQ367">
        <v>62.7622</v>
      </c>
      <c r="AR367">
        <v>54.566600000000001</v>
      </c>
      <c r="AS367">
        <v>3311.7759999999998</v>
      </c>
      <c r="AT367">
        <v>1742009.5919000001</v>
      </c>
      <c r="AV367">
        <v>3.9579</v>
      </c>
      <c r="AW367">
        <v>5.7663000000000002</v>
      </c>
      <c r="AX367">
        <v>0.1222</v>
      </c>
      <c r="AY367">
        <v>31.202500000000001</v>
      </c>
      <c r="AZ367">
        <v>0.7036</v>
      </c>
      <c r="BA367" t="s">
        <v>23</v>
      </c>
      <c r="BB367">
        <v>16.718800000000002</v>
      </c>
      <c r="BC367">
        <v>7.7237999999999998</v>
      </c>
      <c r="BD367">
        <v>1976</v>
      </c>
      <c r="BE367">
        <v>1791155.2775999999</v>
      </c>
      <c r="BH367" s="5">
        <v>3.6985999999999999</v>
      </c>
      <c r="BI367">
        <v>16.560500000000001</v>
      </c>
      <c r="BJ367">
        <v>0.29820000000000002</v>
      </c>
      <c r="BK367">
        <v>7.0838999999999999</v>
      </c>
      <c r="BL367">
        <v>-0.16869999999999999</v>
      </c>
      <c r="BM367">
        <v>0</v>
      </c>
      <c r="BN367">
        <v>20.771699999999999</v>
      </c>
      <c r="BO367">
        <v>15.6275</v>
      </c>
      <c r="BP367">
        <v>1733.5840000000001</v>
      </c>
      <c r="BQ367">
        <v>1080856.1240000001</v>
      </c>
      <c r="CE367" s="1">
        <f t="shared" si="43"/>
        <v>46178</v>
      </c>
      <c r="CF367" s="35">
        <f t="shared" si="42"/>
        <v>5.8476975277161971</v>
      </c>
      <c r="CG367" s="36">
        <f t="shared" si="41"/>
        <v>0.48116232718515095</v>
      </c>
      <c r="CH367">
        <f t="shared" ca="1" si="36"/>
        <v>1.0272966231889851</v>
      </c>
      <c r="CI367">
        <f t="shared" ca="1" si="37"/>
        <v>0.79118957348350616</v>
      </c>
      <c r="CJ367">
        <f t="shared" ca="1" si="38"/>
        <v>0.48991885287112447</v>
      </c>
      <c r="CK367">
        <f t="shared" ca="1" si="39"/>
        <v>0.12288925422599031</v>
      </c>
      <c r="CL367">
        <f t="shared" ca="1" si="40"/>
        <v>-4.9596000625857048E-2</v>
      </c>
    </row>
    <row r="368" spans="1:90" x14ac:dyDescent="0.25">
      <c r="A368" s="43">
        <v>46185</v>
      </c>
      <c r="B368" s="5">
        <v>8.4307999999999996</v>
      </c>
      <c r="C368">
        <v>11.4133</v>
      </c>
      <c r="D368">
        <v>0.19020000000000001</v>
      </c>
      <c r="E368">
        <v>21.462299999999999</v>
      </c>
      <c r="F368">
        <v>1.0841000000000001</v>
      </c>
      <c r="G368">
        <v>12.394</v>
      </c>
      <c r="H368">
        <v>41.802599999999998</v>
      </c>
      <c r="I368">
        <v>26.494</v>
      </c>
      <c r="J368">
        <v>2201.4949999999999</v>
      </c>
      <c r="K368">
        <v>3589149.1963999998</v>
      </c>
      <c r="M368" s="43">
        <v>46185</v>
      </c>
      <c r="N368" s="5">
        <v>7.4602000000000004</v>
      </c>
      <c r="O368">
        <v>11.513400000000001</v>
      </c>
      <c r="P368">
        <v>0.26960000000000001</v>
      </c>
      <c r="Q368">
        <v>30.483499999999999</v>
      </c>
      <c r="R368">
        <v>7.0900000000000005E-2</v>
      </c>
      <c r="S368">
        <v>0</v>
      </c>
      <c r="T368">
        <v>54.832599999999999</v>
      </c>
      <c r="U368">
        <v>42.717399999999998</v>
      </c>
      <c r="V368">
        <v>9890</v>
      </c>
      <c r="W368">
        <v>7857558.3488999996</v>
      </c>
      <c r="Y368" s="5">
        <v>3.8656000000000001</v>
      </c>
      <c r="Z368">
        <v>16.570799999999998</v>
      </c>
      <c r="AA368">
        <v>0.30790000000000001</v>
      </c>
      <c r="AB368">
        <v>0.69020000000000004</v>
      </c>
      <c r="AC368">
        <v>-1.1536999999999999</v>
      </c>
      <c r="AD368">
        <v>0</v>
      </c>
      <c r="AE368">
        <v>56.735900000000001</v>
      </c>
      <c r="AF368">
        <v>44.870699999999999</v>
      </c>
      <c r="AG368">
        <v>4087.35</v>
      </c>
      <c r="AH368">
        <v>1882717.3285999999</v>
      </c>
      <c r="AK368">
        <v>3.7968999999999999</v>
      </c>
      <c r="AL368">
        <v>23.802199999999999</v>
      </c>
      <c r="AM368">
        <v>0.42320000000000002</v>
      </c>
      <c r="AN368">
        <v>8.3999999999999995E-3</v>
      </c>
      <c r="AO368">
        <v>-0.40820000000000001</v>
      </c>
      <c r="AP368">
        <v>246.3931</v>
      </c>
      <c r="AQ368">
        <v>62.7622</v>
      </c>
      <c r="AR368">
        <v>54.566600000000001</v>
      </c>
      <c r="AS368">
        <v>3377.2930000000001</v>
      </c>
      <c r="AT368">
        <v>1776471.811</v>
      </c>
      <c r="AV368">
        <v>4.1226000000000003</v>
      </c>
      <c r="AW368">
        <v>5.7663000000000002</v>
      </c>
      <c r="AX368">
        <v>0.1222</v>
      </c>
      <c r="AY368">
        <v>31.202500000000001</v>
      </c>
      <c r="AZ368">
        <v>0.7036</v>
      </c>
      <c r="BA368" t="s">
        <v>23</v>
      </c>
      <c r="BB368">
        <v>16.718800000000002</v>
      </c>
      <c r="BC368">
        <v>7.7237999999999998</v>
      </c>
      <c r="BD368">
        <v>2076</v>
      </c>
      <c r="BE368">
        <v>1881800.7875999999</v>
      </c>
      <c r="BH368" s="5">
        <v>3.8368000000000002</v>
      </c>
      <c r="BI368">
        <v>16.560500000000001</v>
      </c>
      <c r="BJ368">
        <v>0.29820000000000002</v>
      </c>
      <c r="BK368">
        <v>7.0838999999999999</v>
      </c>
      <c r="BL368">
        <v>-0.16869999999999999</v>
      </c>
      <c r="BM368">
        <v>0</v>
      </c>
      <c r="BN368">
        <v>20.771699999999999</v>
      </c>
      <c r="BO368">
        <v>15.6275</v>
      </c>
      <c r="BP368">
        <v>1795.6610000000001</v>
      </c>
      <c r="BQ368">
        <v>1119559.7660999999</v>
      </c>
      <c r="CE368" s="1">
        <f t="shared" si="43"/>
        <v>46185</v>
      </c>
      <c r="CF368" s="35">
        <f t="shared" si="42"/>
        <v>6.3485436301514193</v>
      </c>
      <c r="CG368" s="36">
        <f t="shared" si="41"/>
        <v>0.71701611665273601</v>
      </c>
      <c r="CH368">
        <f t="shared" ca="1" si="36"/>
        <v>1.0272966231889851</v>
      </c>
      <c r="CI368">
        <f t="shared" ca="1" si="37"/>
        <v>0.79118957348350616</v>
      </c>
      <c r="CJ368">
        <f t="shared" ca="1" si="38"/>
        <v>0.48991885287112447</v>
      </c>
      <c r="CK368">
        <f t="shared" ca="1" si="39"/>
        <v>0.12288925422599031</v>
      </c>
      <c r="CL368">
        <f t="shared" ca="1" si="40"/>
        <v>-4.9596000625857048E-2</v>
      </c>
    </row>
    <row r="369" spans="1:90" x14ac:dyDescent="0.25">
      <c r="A369" s="43">
        <v>46192</v>
      </c>
      <c r="B369" s="5">
        <v>8.4977</v>
      </c>
      <c r="C369">
        <v>11.4133</v>
      </c>
      <c r="D369">
        <v>0.19020000000000001</v>
      </c>
      <c r="E369">
        <v>21.462299999999999</v>
      </c>
      <c r="F369">
        <v>1.0841000000000001</v>
      </c>
      <c r="G369">
        <v>12.394</v>
      </c>
      <c r="H369">
        <v>41.802599999999998</v>
      </c>
      <c r="I369">
        <v>26.494</v>
      </c>
      <c r="J369">
        <v>2221.922</v>
      </c>
      <c r="K369">
        <v>3622452.1412</v>
      </c>
      <c r="M369" s="43">
        <v>46192</v>
      </c>
      <c r="N369" s="5">
        <v>7.3406000000000002</v>
      </c>
      <c r="O369">
        <v>11.513400000000001</v>
      </c>
      <c r="P369">
        <v>0.26960000000000001</v>
      </c>
      <c r="Q369">
        <v>30.483499999999999</v>
      </c>
      <c r="R369">
        <v>7.0900000000000005E-2</v>
      </c>
      <c r="S369">
        <v>0</v>
      </c>
      <c r="T369">
        <v>54.832599999999999</v>
      </c>
      <c r="U369">
        <v>42.717399999999998</v>
      </c>
      <c r="V369">
        <v>9730</v>
      </c>
      <c r="W369">
        <v>7730439.1036</v>
      </c>
      <c r="Y369" s="5">
        <v>3.6869999999999998</v>
      </c>
      <c r="Z369">
        <v>16.570799999999998</v>
      </c>
      <c r="AA369">
        <v>0.30790000000000001</v>
      </c>
      <c r="AB369">
        <v>0.69020000000000004</v>
      </c>
      <c r="AC369">
        <v>-1.1536999999999999</v>
      </c>
      <c r="AD369">
        <v>0</v>
      </c>
      <c r="AE369">
        <v>56.735900000000001</v>
      </c>
      <c r="AF369">
        <v>44.870699999999999</v>
      </c>
      <c r="AG369">
        <v>3941.884</v>
      </c>
      <c r="AH369">
        <v>1815712.8029</v>
      </c>
      <c r="AK369">
        <v>3.6574</v>
      </c>
      <c r="AL369">
        <v>23.802199999999999</v>
      </c>
      <c r="AM369">
        <v>0.42320000000000002</v>
      </c>
      <c r="AN369">
        <v>8.3999999999999995E-3</v>
      </c>
      <c r="AO369">
        <v>-0.40820000000000001</v>
      </c>
      <c r="AP369">
        <v>246.3931</v>
      </c>
      <c r="AQ369">
        <v>62.7622</v>
      </c>
      <c r="AR369">
        <v>54.566600000000001</v>
      </c>
      <c r="AS369">
        <v>3265.28</v>
      </c>
      <c r="AT369">
        <v>1717552.5331999999</v>
      </c>
      <c r="AV369">
        <v>4.1159999999999997</v>
      </c>
      <c r="AW369">
        <v>5.7663000000000002</v>
      </c>
      <c r="AX369">
        <v>0.1222</v>
      </c>
      <c r="AY369">
        <v>31.202500000000001</v>
      </c>
      <c r="AZ369">
        <v>0.7036</v>
      </c>
      <c r="BA369" t="s">
        <v>23</v>
      </c>
      <c r="BB369">
        <v>16.718800000000002</v>
      </c>
      <c r="BC369">
        <v>7.7237999999999998</v>
      </c>
      <c r="BD369">
        <v>2072</v>
      </c>
      <c r="BE369">
        <v>1878174.9672000001</v>
      </c>
      <c r="BH369" s="5">
        <v>3.8083999999999998</v>
      </c>
      <c r="BI369">
        <v>16.560500000000001</v>
      </c>
      <c r="BJ369">
        <v>0.29820000000000002</v>
      </c>
      <c r="BK369">
        <v>7.0838999999999999</v>
      </c>
      <c r="BL369">
        <v>-0.16869999999999999</v>
      </c>
      <c r="BM369">
        <v>0</v>
      </c>
      <c r="BN369">
        <v>20.771699999999999</v>
      </c>
      <c r="BO369">
        <v>15.6275</v>
      </c>
      <c r="BP369">
        <v>1782.88</v>
      </c>
      <c r="BQ369">
        <v>1111591.3692000001</v>
      </c>
      <c r="CE369" s="1">
        <f t="shared" si="43"/>
        <v>46192</v>
      </c>
      <c r="CF369" s="35">
        <f t="shared" si="42"/>
        <v>6.291637966842571</v>
      </c>
      <c r="CG369" s="36">
        <f t="shared" si="41"/>
        <v>0.69021863082165824</v>
      </c>
      <c r="CH369">
        <f t="shared" ca="1" si="36"/>
        <v>1.0272966231889851</v>
      </c>
      <c r="CI369">
        <f t="shared" ca="1" si="37"/>
        <v>0.79118957348350616</v>
      </c>
      <c r="CJ369">
        <f t="shared" ca="1" si="38"/>
        <v>0.52725168082301044</v>
      </c>
      <c r="CK369">
        <f t="shared" ca="1" si="39"/>
        <v>0.13765501199483413</v>
      </c>
      <c r="CL369">
        <f t="shared" ca="1" si="40"/>
        <v>-4.9596000625857048E-2</v>
      </c>
    </row>
    <row r="370" spans="1:90" x14ac:dyDescent="0.25">
      <c r="A370" s="43">
        <v>46199</v>
      </c>
      <c r="B370" s="5">
        <v>8.1359999999999992</v>
      </c>
      <c r="C370">
        <v>11.4133</v>
      </c>
      <c r="D370">
        <v>0.19020000000000001</v>
      </c>
      <c r="E370">
        <v>21.462299999999999</v>
      </c>
      <c r="F370">
        <v>1.0841000000000001</v>
      </c>
      <c r="G370">
        <v>12.394</v>
      </c>
      <c r="H370">
        <v>41.802599999999998</v>
      </c>
      <c r="I370">
        <v>26.494</v>
      </c>
      <c r="J370">
        <v>2111.4290000000001</v>
      </c>
      <c r="K370">
        <v>3442313.4848000002</v>
      </c>
      <c r="M370" s="43">
        <v>46199</v>
      </c>
      <c r="N370" s="5">
        <v>6.9596</v>
      </c>
      <c r="O370">
        <v>11.513400000000001</v>
      </c>
      <c r="P370">
        <v>0.26960000000000001</v>
      </c>
      <c r="Q370">
        <v>30.483499999999999</v>
      </c>
      <c r="R370">
        <v>7.0900000000000005E-2</v>
      </c>
      <c r="S370">
        <v>0</v>
      </c>
      <c r="T370">
        <v>54.832599999999999</v>
      </c>
      <c r="U370">
        <v>42.717399999999998</v>
      </c>
      <c r="V370">
        <v>9220</v>
      </c>
      <c r="W370">
        <v>7325246.5093</v>
      </c>
      <c r="Y370" s="5">
        <v>3.5142000000000002</v>
      </c>
      <c r="Z370">
        <v>16.570799999999998</v>
      </c>
      <c r="AA370">
        <v>0.30790000000000001</v>
      </c>
      <c r="AB370">
        <v>0.69020000000000004</v>
      </c>
      <c r="AC370">
        <v>-1.1536999999999999</v>
      </c>
      <c r="AD370">
        <v>0</v>
      </c>
      <c r="AE370">
        <v>56.735900000000001</v>
      </c>
      <c r="AF370">
        <v>44.870699999999999</v>
      </c>
      <c r="AG370">
        <v>3801.1880000000001</v>
      </c>
      <c r="AH370">
        <v>1750905.1469000001</v>
      </c>
      <c r="AK370">
        <v>3.5337000000000001</v>
      </c>
      <c r="AL370">
        <v>23.802199999999999</v>
      </c>
      <c r="AM370">
        <v>0.42320000000000002</v>
      </c>
      <c r="AN370">
        <v>8.3999999999999995E-3</v>
      </c>
      <c r="AO370">
        <v>-0.40820000000000001</v>
      </c>
      <c r="AP370">
        <v>246.3931</v>
      </c>
      <c r="AQ370">
        <v>62.7622</v>
      </c>
      <c r="AR370">
        <v>54.566600000000001</v>
      </c>
      <c r="AS370">
        <v>3165.9479999999999</v>
      </c>
      <c r="AT370">
        <v>1665303.3622999999</v>
      </c>
      <c r="AV370">
        <v>3.8178999999999998</v>
      </c>
      <c r="AW370">
        <v>5.7663000000000002</v>
      </c>
      <c r="AX370">
        <v>0.1222</v>
      </c>
      <c r="AY370">
        <v>31.202500000000001</v>
      </c>
      <c r="AZ370">
        <v>0.7036</v>
      </c>
      <c r="BA370" t="s">
        <v>23</v>
      </c>
      <c r="BB370">
        <v>16.718800000000002</v>
      </c>
      <c r="BC370">
        <v>7.7237999999999998</v>
      </c>
      <c r="BD370">
        <v>1891</v>
      </c>
      <c r="BE370">
        <v>1714106.5941000001</v>
      </c>
      <c r="BH370" s="5">
        <v>3.4994999999999998</v>
      </c>
      <c r="BI370">
        <v>16.560500000000001</v>
      </c>
      <c r="BJ370">
        <v>0.29820000000000002</v>
      </c>
      <c r="BK370">
        <v>7.0838999999999999</v>
      </c>
      <c r="BL370">
        <v>-0.16869999999999999</v>
      </c>
      <c r="BM370">
        <v>0</v>
      </c>
      <c r="BN370">
        <v>20.771699999999999</v>
      </c>
      <c r="BO370">
        <v>15.6275</v>
      </c>
      <c r="BP370">
        <v>1644.12</v>
      </c>
      <c r="BQ370">
        <v>1025077.3456</v>
      </c>
      <c r="CE370" s="1">
        <f t="shared" si="43"/>
        <v>46199</v>
      </c>
      <c r="CF370" s="35">
        <f t="shared" si="42"/>
        <v>5.9774857581329766</v>
      </c>
      <c r="CG370" s="36">
        <f t="shared" si="41"/>
        <v>0.54228099382396866</v>
      </c>
      <c r="CH370">
        <f t="shared" ca="1" si="36"/>
        <v>1.0272966231889851</v>
      </c>
      <c r="CI370">
        <f t="shared" ca="1" si="37"/>
        <v>0.79118957348350616</v>
      </c>
      <c r="CJ370">
        <f t="shared" ca="1" si="38"/>
        <v>0.56819197796090748</v>
      </c>
      <c r="CK370">
        <f t="shared" ca="1" si="39"/>
        <v>0.18032935964987359</v>
      </c>
      <c r="CL370">
        <f t="shared" ca="1" si="40"/>
        <v>-4.9596000625857048E-2</v>
      </c>
    </row>
    <row r="371" spans="1:90" x14ac:dyDescent="0.25">
      <c r="A371" s="43">
        <v>46206</v>
      </c>
      <c r="B371" s="5">
        <v>6.7229000000000001</v>
      </c>
      <c r="C371">
        <v>12.071199999999999</v>
      </c>
      <c r="D371">
        <v>0.35749999999999998</v>
      </c>
      <c r="E371">
        <v>25.078900000000001</v>
      </c>
      <c r="F371">
        <v>1.1685000000000001</v>
      </c>
      <c r="G371">
        <v>12.394</v>
      </c>
      <c r="H371">
        <v>38.885199999999998</v>
      </c>
      <c r="I371">
        <v>26.373100000000001</v>
      </c>
      <c r="J371">
        <v>2156.9259999999999</v>
      </c>
      <c r="K371">
        <v>3516488.2256999998</v>
      </c>
      <c r="M371" s="43">
        <v>46206</v>
      </c>
      <c r="N371" s="5">
        <v>6.0831</v>
      </c>
      <c r="O371">
        <v>11.7906</v>
      </c>
      <c r="P371">
        <v>0.44269999999999998</v>
      </c>
      <c r="Q371">
        <v>30.104199999999999</v>
      </c>
      <c r="R371">
        <v>-0.4446</v>
      </c>
      <c r="S371">
        <v>0</v>
      </c>
      <c r="T371">
        <v>55.659100000000002</v>
      </c>
      <c r="U371">
        <v>43.820099999999996</v>
      </c>
      <c r="V371">
        <v>9195</v>
      </c>
      <c r="W371">
        <v>7305384.1272</v>
      </c>
      <c r="Y371" s="5">
        <v>3.5756999999999999</v>
      </c>
      <c r="Z371">
        <v>16.944099999999999</v>
      </c>
      <c r="AA371">
        <v>0.47520000000000001</v>
      </c>
      <c r="AB371">
        <v>0.6764</v>
      </c>
      <c r="AC371">
        <v>-1.0999000000000001</v>
      </c>
      <c r="AD371">
        <v>0</v>
      </c>
      <c r="AE371">
        <v>56.2209</v>
      </c>
      <c r="AF371">
        <v>44.674500000000002</v>
      </c>
      <c r="AG371">
        <v>3791.6489999999999</v>
      </c>
      <c r="AH371">
        <v>1746511.4075</v>
      </c>
      <c r="AK371">
        <v>3.1393</v>
      </c>
      <c r="AL371">
        <v>23.662099999999999</v>
      </c>
      <c r="AM371">
        <v>0.67469999999999997</v>
      </c>
      <c r="AN371">
        <v>1.4800000000000001E-2</v>
      </c>
      <c r="AO371">
        <v>-0.44080000000000003</v>
      </c>
      <c r="AP371">
        <v>246.3931</v>
      </c>
      <c r="AQ371">
        <v>63.448999999999998</v>
      </c>
      <c r="AR371">
        <v>55.752699999999997</v>
      </c>
      <c r="AS371">
        <v>3077.183</v>
      </c>
      <c r="AT371">
        <v>1618612.6137999999</v>
      </c>
      <c r="AV371">
        <v>4.1256000000000004</v>
      </c>
      <c r="AW371">
        <v>6.1029999999999998</v>
      </c>
      <c r="AX371">
        <v>0.22489999999999999</v>
      </c>
      <c r="AY371">
        <v>38.238500000000002</v>
      </c>
      <c r="AZ371">
        <v>0.81299999999999994</v>
      </c>
      <c r="BA371" t="s">
        <v>23</v>
      </c>
      <c r="BB371">
        <v>13.8315</v>
      </c>
      <c r="BC371">
        <v>7.4530000000000003</v>
      </c>
      <c r="BD371">
        <v>1956</v>
      </c>
      <c r="BE371">
        <v>1773026.1756</v>
      </c>
      <c r="BH371" s="5">
        <v>3.2877999999999998</v>
      </c>
      <c r="BI371">
        <v>13.9718</v>
      </c>
      <c r="BJ371">
        <v>0.45169999999999999</v>
      </c>
      <c r="BK371">
        <v>5.82</v>
      </c>
      <c r="BL371">
        <v>-0.3049</v>
      </c>
      <c r="BM371">
        <v>199.69220000000001</v>
      </c>
      <c r="BN371">
        <v>22.445599999999999</v>
      </c>
      <c r="BO371">
        <v>17.4833</v>
      </c>
      <c r="BP371">
        <v>1794.748</v>
      </c>
      <c r="BQ371">
        <v>1118990.5948999999</v>
      </c>
      <c r="CE371" s="1">
        <f t="shared" si="43"/>
        <v>46206</v>
      </c>
      <c r="CF371" s="35">
        <f t="shared" si="42"/>
        <v>5.2930755188890881</v>
      </c>
      <c r="CG371" s="36">
        <f t="shared" si="41"/>
        <v>0.21998488791194318</v>
      </c>
      <c r="CH371">
        <f t="shared" ca="1" si="36"/>
        <v>1.0272966231889851</v>
      </c>
      <c r="CI371">
        <f t="shared" ca="1" si="37"/>
        <v>0.79118957348350616</v>
      </c>
      <c r="CJ371">
        <f t="shared" ca="1" si="38"/>
        <v>0.56819197796090748</v>
      </c>
      <c r="CK371">
        <f t="shared" ca="1" si="39"/>
        <v>0.21571707397092313</v>
      </c>
      <c r="CL371">
        <f t="shared" ca="1" si="40"/>
        <v>-4.9596000625857048E-2</v>
      </c>
    </row>
    <row r="372" spans="1:90" x14ac:dyDescent="0.25">
      <c r="A372" s="43">
        <v>46213</v>
      </c>
      <c r="B372" s="5">
        <v>6.8926999999999996</v>
      </c>
      <c r="C372">
        <v>12.071199999999999</v>
      </c>
      <c r="D372">
        <v>0.35749999999999998</v>
      </c>
      <c r="E372">
        <v>25.078900000000001</v>
      </c>
      <c r="F372">
        <v>1.1685000000000001</v>
      </c>
      <c r="G372">
        <v>12.394</v>
      </c>
      <c r="H372">
        <v>38.885199999999998</v>
      </c>
      <c r="I372">
        <v>26.373100000000001</v>
      </c>
      <c r="J372">
        <v>2224.7080000000001</v>
      </c>
      <c r="K372">
        <v>3626993.4519000002</v>
      </c>
      <c r="M372" s="43">
        <v>46213</v>
      </c>
      <c r="N372" s="5">
        <v>6.3670999999999998</v>
      </c>
      <c r="O372">
        <v>11.7906</v>
      </c>
      <c r="P372">
        <v>0.44269999999999998</v>
      </c>
      <c r="Q372">
        <v>30.104199999999999</v>
      </c>
      <c r="R372">
        <v>-0.4446</v>
      </c>
      <c r="S372">
        <v>0</v>
      </c>
      <c r="T372">
        <v>55.659100000000002</v>
      </c>
      <c r="U372">
        <v>43.820099999999996</v>
      </c>
      <c r="V372">
        <v>9595</v>
      </c>
      <c r="W372">
        <v>7623182.2403999995</v>
      </c>
      <c r="Y372" s="5">
        <v>3.6345000000000001</v>
      </c>
      <c r="Z372">
        <v>16.944099999999999</v>
      </c>
      <c r="AA372">
        <v>0.47520000000000001</v>
      </c>
      <c r="AB372">
        <v>0.6764</v>
      </c>
      <c r="AC372">
        <v>-1.0999000000000001</v>
      </c>
      <c r="AD372">
        <v>0</v>
      </c>
      <c r="AE372">
        <v>56.2209</v>
      </c>
      <c r="AF372">
        <v>44.674500000000002</v>
      </c>
      <c r="AG372">
        <v>3839.3429999999998</v>
      </c>
      <c r="AH372">
        <v>1768480.1044999999</v>
      </c>
      <c r="AK372">
        <v>3.1934</v>
      </c>
      <c r="AL372">
        <v>23.662099999999999</v>
      </c>
      <c r="AM372">
        <v>0.67469999999999997</v>
      </c>
      <c r="AN372">
        <v>1.4800000000000001E-2</v>
      </c>
      <c r="AO372">
        <v>-0.44080000000000003</v>
      </c>
      <c r="AP372">
        <v>246.3931</v>
      </c>
      <c r="AQ372">
        <v>63.448999999999998</v>
      </c>
      <c r="AR372">
        <v>55.752699999999997</v>
      </c>
      <c r="AS372">
        <v>3123.6790000000001</v>
      </c>
      <c r="AT372">
        <v>1643069.6725000001</v>
      </c>
      <c r="AV372">
        <v>4.1764000000000001</v>
      </c>
      <c r="AW372">
        <v>6.1029999999999998</v>
      </c>
      <c r="AX372">
        <v>0.22489999999999999</v>
      </c>
      <c r="AY372">
        <v>38.238500000000002</v>
      </c>
      <c r="AZ372">
        <v>0.81299999999999994</v>
      </c>
      <c r="BA372" t="s">
        <v>23</v>
      </c>
      <c r="BB372">
        <v>13.8315</v>
      </c>
      <c r="BC372">
        <v>7.4530000000000003</v>
      </c>
      <c r="BD372">
        <v>1986</v>
      </c>
      <c r="BE372">
        <v>1800219.8285999999</v>
      </c>
      <c r="BH372" s="5">
        <v>3.2440000000000002</v>
      </c>
      <c r="BI372">
        <v>13.9718</v>
      </c>
      <c r="BJ372">
        <v>0.45169999999999999</v>
      </c>
      <c r="BK372">
        <v>5.82</v>
      </c>
      <c r="BL372">
        <v>-0.3049</v>
      </c>
      <c r="BM372">
        <v>199.69220000000001</v>
      </c>
      <c r="BN372">
        <v>22.445599999999999</v>
      </c>
      <c r="BO372">
        <v>17.4833</v>
      </c>
      <c r="BP372">
        <v>1772.838</v>
      </c>
      <c r="BQ372">
        <v>1105330.4859</v>
      </c>
      <c r="CE372" s="1">
        <f t="shared" si="43"/>
        <v>46213</v>
      </c>
      <c r="CF372" s="35">
        <f t="shared" si="42"/>
        <v>5.4826936409783587</v>
      </c>
      <c r="CG372" s="36">
        <f t="shared" si="41"/>
        <v>0.30927809081206131</v>
      </c>
      <c r="CH372">
        <f t="shared" ca="1" si="36"/>
        <v>1.0272966231889851</v>
      </c>
      <c r="CI372">
        <f t="shared" ca="1" si="37"/>
        <v>0.79118957348350616</v>
      </c>
      <c r="CJ372">
        <f t="shared" ca="1" si="38"/>
        <v>0.56819197796090748</v>
      </c>
      <c r="CK372">
        <f t="shared" ca="1" si="39"/>
        <v>0.22264596028035943</v>
      </c>
      <c r="CL372">
        <f t="shared" ca="1" si="40"/>
        <v>-4.9596000625857048E-2</v>
      </c>
    </row>
    <row r="373" spans="1:90" x14ac:dyDescent="0.25">
      <c r="A373" s="43">
        <v>46220</v>
      </c>
      <c r="B373" s="5">
        <v>6.5857000000000001</v>
      </c>
      <c r="C373">
        <v>12.071199999999999</v>
      </c>
      <c r="D373">
        <v>0.35749999999999998</v>
      </c>
      <c r="E373">
        <v>25.078900000000001</v>
      </c>
      <c r="F373">
        <v>1.1685000000000001</v>
      </c>
      <c r="G373">
        <v>12.394</v>
      </c>
      <c r="H373">
        <v>38.885199999999998</v>
      </c>
      <c r="I373">
        <v>26.373100000000001</v>
      </c>
      <c r="J373">
        <v>2102.1439999999998</v>
      </c>
      <c r="K373">
        <v>3427175.7826</v>
      </c>
      <c r="M373" s="43">
        <v>46220</v>
      </c>
      <c r="N373" s="5">
        <v>6.2073999999999998</v>
      </c>
      <c r="O373">
        <v>11.7906</v>
      </c>
      <c r="P373">
        <v>0.44269999999999998</v>
      </c>
      <c r="Q373">
        <v>30.104199999999999</v>
      </c>
      <c r="R373">
        <v>-0.4446</v>
      </c>
      <c r="S373">
        <v>0</v>
      </c>
      <c r="T373">
        <v>55.659100000000002</v>
      </c>
      <c r="U373">
        <v>43.820099999999996</v>
      </c>
      <c r="V373">
        <v>9370</v>
      </c>
      <c r="W373">
        <v>7444420.8016999997</v>
      </c>
      <c r="Y373" s="5">
        <v>3.5257000000000001</v>
      </c>
      <c r="Z373">
        <v>16.944099999999999</v>
      </c>
      <c r="AA373">
        <v>0.47520000000000001</v>
      </c>
      <c r="AB373">
        <v>0.6764</v>
      </c>
      <c r="AC373">
        <v>-1.0999000000000001</v>
      </c>
      <c r="AD373">
        <v>0</v>
      </c>
      <c r="AE373">
        <v>56.2209</v>
      </c>
      <c r="AF373">
        <v>44.674500000000002</v>
      </c>
      <c r="AG373">
        <v>3751.11</v>
      </c>
      <c r="AH373">
        <v>1727838.0151</v>
      </c>
      <c r="AK373">
        <v>3.1417000000000002</v>
      </c>
      <c r="AL373">
        <v>23.662099999999999</v>
      </c>
      <c r="AM373">
        <v>0.67469999999999997</v>
      </c>
      <c r="AN373">
        <v>1.4800000000000001E-2</v>
      </c>
      <c r="AO373">
        <v>-0.44080000000000003</v>
      </c>
      <c r="AP373">
        <v>246.3931</v>
      </c>
      <c r="AQ373">
        <v>63.448999999999998</v>
      </c>
      <c r="AR373">
        <v>55.752699999999997</v>
      </c>
      <c r="AS373">
        <v>3079.297</v>
      </c>
      <c r="AT373">
        <v>1619724.2982999999</v>
      </c>
      <c r="AV373">
        <v>4.1052</v>
      </c>
      <c r="AW373">
        <v>6.1029999999999998</v>
      </c>
      <c r="AX373">
        <v>0.22489999999999999</v>
      </c>
      <c r="AY373">
        <v>38.238500000000002</v>
      </c>
      <c r="AZ373">
        <v>0.81299999999999994</v>
      </c>
      <c r="BA373" t="s">
        <v>23</v>
      </c>
      <c r="BB373">
        <v>13.8315</v>
      </c>
      <c r="BC373">
        <v>7.4530000000000003</v>
      </c>
      <c r="BD373">
        <v>1944</v>
      </c>
      <c r="BE373">
        <v>1762148.7143999999</v>
      </c>
      <c r="BH373" s="5">
        <v>3.2092999999999998</v>
      </c>
      <c r="BI373">
        <v>13.9718</v>
      </c>
      <c r="BJ373">
        <v>0.45169999999999999</v>
      </c>
      <c r="BK373">
        <v>5.82</v>
      </c>
      <c r="BL373">
        <v>-0.3049</v>
      </c>
      <c r="BM373">
        <v>199.69220000000001</v>
      </c>
      <c r="BN373">
        <v>22.445599999999999</v>
      </c>
      <c r="BO373">
        <v>17.4833</v>
      </c>
      <c r="BP373">
        <v>1923</v>
      </c>
      <c r="BQ373">
        <v>1094516.233</v>
      </c>
      <c r="CE373" s="1">
        <f t="shared" si="43"/>
        <v>46220</v>
      </c>
      <c r="CF373" s="35">
        <f t="shared" si="42"/>
        <v>5.312070458533074</v>
      </c>
      <c r="CG373" s="36">
        <f>+(CF373-$CG$1)/$CH$1</f>
        <v>0.22892980826563919</v>
      </c>
      <c r="CH373">
        <f ca="1">+_xlfn.PERCENTILE.INC(OFFSET(CG373,-52,0,52,1),0.9)</f>
        <v>1.0272966231889851</v>
      </c>
      <c r="CI373">
        <f ca="1">+_xlfn.PERCENTILE.INC(OFFSET(CG373,-52,0,52,1),0.75)</f>
        <v>0.79118957348350616</v>
      </c>
      <c r="CJ373">
        <f ca="1">+_xlfn.PERCENTILE.INC(OFFSET(CG373,-52,0,52,1),0.5)</f>
        <v>0.56819197796090748</v>
      </c>
      <c r="CK373">
        <f ca="1">+_xlfn.PERCENTILE.INC(OFFSET(CG373,-52,0,52,1),0.25)</f>
        <v>0.24976823159822997</v>
      </c>
      <c r="CL373">
        <f ca="1">+_xlfn.PERCENTILE.INC(OFFSET(CG373,-52,0,52,1),0.1)</f>
        <v>-3.6009739031892293E-2</v>
      </c>
    </row>
    <row r="374" spans="1:90" x14ac:dyDescent="0.25">
      <c r="A374" s="43">
        <v>46227</v>
      </c>
      <c r="B374" s="5">
        <v>6.8205999999999998</v>
      </c>
      <c r="C374">
        <v>12.071199999999999</v>
      </c>
      <c r="D374">
        <v>0.35749999999999998</v>
      </c>
      <c r="E374">
        <v>25.078900000000001</v>
      </c>
      <c r="F374">
        <v>1.1685000000000001</v>
      </c>
      <c r="G374">
        <v>12.394</v>
      </c>
      <c r="H374">
        <v>38.885199999999998</v>
      </c>
      <c r="I374">
        <v>26.373100000000001</v>
      </c>
      <c r="J374">
        <v>2195.924</v>
      </c>
      <c r="K374">
        <v>3580066.5750000002</v>
      </c>
      <c r="M374" s="43">
        <v>46227</v>
      </c>
      <c r="N374" s="5">
        <v>6.4878</v>
      </c>
      <c r="O374">
        <v>11.7906</v>
      </c>
      <c r="P374">
        <v>0.44269999999999998</v>
      </c>
      <c r="Q374">
        <v>30.104199999999999</v>
      </c>
      <c r="R374">
        <v>-0.4446</v>
      </c>
      <c r="S374">
        <v>0</v>
      </c>
      <c r="T374">
        <v>55.659100000000002</v>
      </c>
      <c r="U374">
        <v>43.820099999999996</v>
      </c>
      <c r="V374">
        <v>9765</v>
      </c>
      <c r="W374">
        <v>7758246.4385000002</v>
      </c>
      <c r="Y374" s="5">
        <v>3.8050000000000002</v>
      </c>
      <c r="Z374">
        <v>16.944099999999999</v>
      </c>
      <c r="AA374">
        <v>0.47520000000000001</v>
      </c>
      <c r="AB374">
        <v>0.6764</v>
      </c>
      <c r="AC374">
        <v>-1.0999000000000001</v>
      </c>
      <c r="AD374">
        <v>0</v>
      </c>
      <c r="AE374">
        <v>56.2209</v>
      </c>
      <c r="AF374">
        <v>44.674500000000002</v>
      </c>
      <c r="AG374">
        <v>3977.6550000000002</v>
      </c>
      <c r="AH374">
        <v>1832189.3256000001</v>
      </c>
      <c r="AK374">
        <v>3.1465999999999998</v>
      </c>
      <c r="AL374">
        <v>23.662099999999999</v>
      </c>
      <c r="AM374">
        <v>0.67469999999999997</v>
      </c>
      <c r="AN374">
        <v>1.4800000000000001E-2</v>
      </c>
      <c r="AO374">
        <v>-0.44080000000000003</v>
      </c>
      <c r="AP374">
        <v>246.3931</v>
      </c>
      <c r="AQ374">
        <v>63.448999999999998</v>
      </c>
      <c r="AR374">
        <v>55.752699999999997</v>
      </c>
      <c r="AS374">
        <v>3083.5239999999999</v>
      </c>
      <c r="AT374">
        <v>1621947.6673000001</v>
      </c>
      <c r="AV374">
        <v>4.3202999999999996</v>
      </c>
      <c r="AW374">
        <v>6.1029999999999998</v>
      </c>
      <c r="AX374">
        <v>0.22489999999999999</v>
      </c>
      <c r="AY374">
        <v>38.238500000000002</v>
      </c>
      <c r="AZ374">
        <v>0.81299999999999994</v>
      </c>
      <c r="BA374" t="s">
        <v>23</v>
      </c>
      <c r="BB374">
        <v>13.8315</v>
      </c>
      <c r="BC374">
        <v>7.4530000000000003</v>
      </c>
      <c r="BD374">
        <v>2071</v>
      </c>
      <c r="BE374">
        <v>1877268.5120999999</v>
      </c>
      <c r="BH374" s="5">
        <v>3.5908000000000002</v>
      </c>
      <c r="BI374">
        <v>13.9718</v>
      </c>
      <c r="BJ374">
        <v>0.45169999999999999</v>
      </c>
      <c r="BK374">
        <v>5.82</v>
      </c>
      <c r="BL374">
        <v>-0.3049</v>
      </c>
      <c r="BM374">
        <v>199.69220000000001</v>
      </c>
      <c r="BN374">
        <v>22.445599999999999</v>
      </c>
      <c r="BO374">
        <v>17.4833</v>
      </c>
      <c r="BP374">
        <v>2132</v>
      </c>
      <c r="BQ374">
        <v>1213473.0155</v>
      </c>
      <c r="CE374" s="1">
        <f t="shared" ref="CE374:CE376" si="44">+A374</f>
        <v>46227</v>
      </c>
      <c r="CF374" s="35">
        <f t="shared" si="42"/>
        <v>5.5524180964611549</v>
      </c>
      <c r="CG374" s="36">
        <f t="shared" ref="CG374:CG376" si="45">+(CF374-$CG$1)/$CH$1</f>
        <v>0.34211208305882806</v>
      </c>
      <c r="CH374">
        <f t="shared" ref="CH374:CH376" ca="1" si="46">+_xlfn.PERCENTILE.INC(OFFSET(CG374,-52,0,52,1),0.9)</f>
        <v>1.0272966231889851</v>
      </c>
      <c r="CI374">
        <f t="shared" ref="CI374:CI376" ca="1" si="47">+_xlfn.PERCENTILE.INC(OFFSET(CG374,-52,0,52,1),0.75)</f>
        <v>0.79118957348350616</v>
      </c>
      <c r="CJ374">
        <f t="shared" ref="CJ374:CJ376" ca="1" si="48">+_xlfn.PERCENTILE.INC(OFFSET(CG374,-52,0,52,1),0.5)</f>
        <v>0.56819197796090748</v>
      </c>
      <c r="CK374">
        <f t="shared" ref="CK374:CK376" ca="1" si="49">+_xlfn.PERCENTILE.INC(OFFSET(CG374,-52,0,52,1),0.25)</f>
        <v>0.25111743756384852</v>
      </c>
      <c r="CL374">
        <f t="shared" ref="CL374:CL376" ca="1" si="50">+_xlfn.PERCENTILE.INC(OFFSET(CG374,-52,0,52,1),0.1)</f>
        <v>-3.6009739031892293E-2</v>
      </c>
    </row>
    <row r="375" spans="1:90" x14ac:dyDescent="0.25">
      <c r="A375" s="43">
        <v>46234</v>
      </c>
      <c r="B375" s="5">
        <v>6.8926999999999996</v>
      </c>
      <c r="C375">
        <v>12.071199999999999</v>
      </c>
      <c r="D375">
        <v>0.35749999999999998</v>
      </c>
      <c r="E375">
        <v>25.078900000000001</v>
      </c>
      <c r="F375">
        <v>1.1685000000000001</v>
      </c>
      <c r="G375">
        <v>12.394</v>
      </c>
      <c r="H375">
        <v>38.885199999999998</v>
      </c>
      <c r="I375">
        <v>26.373100000000001</v>
      </c>
      <c r="J375">
        <v>2224.7080000000001</v>
      </c>
      <c r="K375">
        <v>3626993.4519000002</v>
      </c>
      <c r="M375" s="43">
        <v>46234</v>
      </c>
      <c r="N375" s="5">
        <v>6.6901000000000002</v>
      </c>
      <c r="O375">
        <v>11.7906</v>
      </c>
      <c r="P375">
        <v>0.44269999999999998</v>
      </c>
      <c r="Q375">
        <v>30.104199999999999</v>
      </c>
      <c r="R375">
        <v>-0.4446</v>
      </c>
      <c r="S375">
        <v>0</v>
      </c>
      <c r="T375">
        <v>55.659100000000002</v>
      </c>
      <c r="U375">
        <v>43.820099999999996</v>
      </c>
      <c r="V375">
        <v>10050</v>
      </c>
      <c r="W375">
        <v>7984677.5942000002</v>
      </c>
      <c r="Y375" s="5">
        <v>3.5933000000000002</v>
      </c>
      <c r="Z375">
        <v>16.944099999999999</v>
      </c>
      <c r="AA375">
        <v>0.47520000000000001</v>
      </c>
      <c r="AB375">
        <v>0.6764</v>
      </c>
      <c r="AC375">
        <v>-1.0999000000000001</v>
      </c>
      <c r="AD375">
        <v>0</v>
      </c>
      <c r="AE375">
        <v>56.2209</v>
      </c>
      <c r="AF375">
        <v>44.674500000000002</v>
      </c>
      <c r="AG375">
        <v>3805.9569999999999</v>
      </c>
      <c r="AH375">
        <v>1753102.0166</v>
      </c>
      <c r="AK375">
        <v>3.0065</v>
      </c>
      <c r="AL375">
        <v>23.662099999999999</v>
      </c>
      <c r="AM375">
        <v>0.67469999999999997</v>
      </c>
      <c r="AN375">
        <v>1.4800000000000001E-2</v>
      </c>
      <c r="AO375">
        <v>-0.44080000000000003</v>
      </c>
      <c r="AP375">
        <v>246.3931</v>
      </c>
      <c r="AQ375">
        <v>63.448999999999998</v>
      </c>
      <c r="AR375">
        <v>55.752699999999997</v>
      </c>
      <c r="AS375">
        <v>2963.0569999999998</v>
      </c>
      <c r="AT375">
        <v>1558581.6514999999</v>
      </c>
      <c r="AV375">
        <v>4.4050000000000002</v>
      </c>
      <c r="AW375">
        <v>6.1029999999999998</v>
      </c>
      <c r="AX375">
        <v>0.22489999999999999</v>
      </c>
      <c r="AY375">
        <v>38.238500000000002</v>
      </c>
      <c r="AZ375">
        <v>0.81299999999999994</v>
      </c>
      <c r="BA375" t="s">
        <v>23</v>
      </c>
      <c r="BB375">
        <v>13.8315</v>
      </c>
      <c r="BC375">
        <v>7.4530000000000003</v>
      </c>
      <c r="BD375">
        <v>2121</v>
      </c>
      <c r="BE375">
        <v>1922591.2671000001</v>
      </c>
      <c r="BH375" s="5">
        <v>3.5232999999999999</v>
      </c>
      <c r="BI375">
        <v>13.9718</v>
      </c>
      <c r="BJ375">
        <v>0.45169999999999999</v>
      </c>
      <c r="BK375">
        <v>5.82</v>
      </c>
      <c r="BL375">
        <v>-0.3049</v>
      </c>
      <c r="BM375">
        <v>199.69220000000001</v>
      </c>
      <c r="BN375">
        <v>22.445599999999999</v>
      </c>
      <c r="BO375">
        <v>17.4833</v>
      </c>
      <c r="BP375">
        <v>2095</v>
      </c>
      <c r="BQ375">
        <v>1192413.6808</v>
      </c>
      <c r="CE375" s="1">
        <f t="shared" si="44"/>
        <v>46234</v>
      </c>
      <c r="CF375" s="35">
        <f t="shared" si="42"/>
        <v>5.6586970276435311</v>
      </c>
      <c r="CG375" s="36">
        <f t="shared" si="45"/>
        <v>0.39215996910216627</v>
      </c>
      <c r="CH375">
        <f t="shared" ca="1" si="46"/>
        <v>1.0272966231889851</v>
      </c>
      <c r="CI375">
        <f t="shared" ca="1" si="47"/>
        <v>0.79118957348350616</v>
      </c>
      <c r="CJ375">
        <f t="shared" ca="1" si="48"/>
        <v>0.56819197796090748</v>
      </c>
      <c r="CK375">
        <f t="shared" ca="1" si="49"/>
        <v>0.29658689660819226</v>
      </c>
      <c r="CL375">
        <f t="shared" ca="1" si="50"/>
        <v>-3.6009739031892293E-2</v>
      </c>
    </row>
    <row r="376" spans="1:90" x14ac:dyDescent="0.25">
      <c r="A376" s="43">
        <v>46241</v>
      </c>
      <c r="B376" s="5">
        <v>6.4554</v>
      </c>
      <c r="C376">
        <v>12.071199999999999</v>
      </c>
      <c r="D376">
        <v>0.35749999999999998</v>
      </c>
      <c r="E376">
        <v>25.078900000000001</v>
      </c>
      <c r="F376">
        <v>1.1685000000000001</v>
      </c>
      <c r="G376">
        <v>12.394</v>
      </c>
      <c r="H376">
        <v>38.885199999999998</v>
      </c>
      <c r="I376">
        <v>26.373100000000001</v>
      </c>
      <c r="J376">
        <v>2050.1480000000001</v>
      </c>
      <c r="K376">
        <v>3342404.6502</v>
      </c>
      <c r="M376" s="43">
        <v>46241</v>
      </c>
      <c r="N376" s="5">
        <v>6.0406000000000004</v>
      </c>
      <c r="O376">
        <v>11.7906</v>
      </c>
      <c r="P376">
        <v>0.44269999999999998</v>
      </c>
      <c r="Q376">
        <v>30.104199999999999</v>
      </c>
      <c r="R376">
        <v>-0.4446</v>
      </c>
      <c r="S376">
        <v>0</v>
      </c>
      <c r="T376">
        <v>55.659100000000002</v>
      </c>
      <c r="U376">
        <v>43.820099999999996</v>
      </c>
      <c r="V376">
        <v>9135</v>
      </c>
      <c r="W376">
        <v>7257714.4101999998</v>
      </c>
      <c r="Y376" s="5">
        <v>3.3992</v>
      </c>
      <c r="Z376">
        <v>16.944099999999999</v>
      </c>
      <c r="AA376">
        <v>0.47520000000000001</v>
      </c>
      <c r="AB376">
        <v>0.6764</v>
      </c>
      <c r="AC376">
        <v>-1.0999000000000001</v>
      </c>
      <c r="AD376">
        <v>0</v>
      </c>
      <c r="AE376">
        <v>56.2209</v>
      </c>
      <c r="AF376">
        <v>44.674500000000002</v>
      </c>
      <c r="AG376">
        <v>3648.5680000000002</v>
      </c>
      <c r="AH376">
        <v>1680605.3167000001</v>
      </c>
      <c r="AK376">
        <v>3.1539999999999999</v>
      </c>
      <c r="AL376">
        <v>23.662099999999999</v>
      </c>
      <c r="AM376">
        <v>0.67469999999999997</v>
      </c>
      <c r="AN376">
        <v>1.4800000000000001E-2</v>
      </c>
      <c r="AO376">
        <v>-0.44080000000000003</v>
      </c>
      <c r="AP376">
        <v>246.3931</v>
      </c>
      <c r="AQ376">
        <v>63.448999999999998</v>
      </c>
      <c r="AR376">
        <v>55.752699999999997</v>
      </c>
      <c r="AS376">
        <v>3089.864</v>
      </c>
      <c r="AT376">
        <v>1625282.7206999999</v>
      </c>
      <c r="AV376">
        <v>4.0697000000000001</v>
      </c>
      <c r="AW376">
        <v>6.1029999999999998</v>
      </c>
      <c r="AX376">
        <v>0.22489999999999999</v>
      </c>
      <c r="AY376">
        <v>38.238500000000002</v>
      </c>
      <c r="AZ376">
        <v>0.81299999999999994</v>
      </c>
      <c r="BA376" t="s">
        <v>23</v>
      </c>
      <c r="BB376">
        <v>13.8315</v>
      </c>
      <c r="BC376">
        <v>7.4530000000000003</v>
      </c>
      <c r="BD376">
        <v>1923</v>
      </c>
      <c r="BE376">
        <v>1743113.1573000001</v>
      </c>
      <c r="BH376" s="5">
        <v>3.2768999999999999</v>
      </c>
      <c r="BI376">
        <v>13.9718</v>
      </c>
      <c r="BJ376">
        <v>0.45169999999999999</v>
      </c>
      <c r="BK376">
        <v>5.82</v>
      </c>
      <c r="BL376">
        <v>-0.3049</v>
      </c>
      <c r="BM376">
        <v>199.69220000000001</v>
      </c>
      <c r="BN376">
        <v>22.445599999999999</v>
      </c>
      <c r="BO376">
        <v>17.4833</v>
      </c>
      <c r="BP376">
        <v>1960</v>
      </c>
      <c r="BQ376">
        <v>1115575.5677</v>
      </c>
      <c r="CE376" s="1">
        <f t="shared" si="44"/>
        <v>46241</v>
      </c>
      <c r="CF376" s="35">
        <f t="shared" si="42"/>
        <v>5.1898311816968024</v>
      </c>
      <c r="CG376" s="36">
        <f t="shared" si="45"/>
        <v>0.17136602465340531</v>
      </c>
      <c r="CH376">
        <f t="shared" ca="1" si="46"/>
        <v>1.0272966231889851</v>
      </c>
      <c r="CI376">
        <f t="shared" ca="1" si="47"/>
        <v>0.79118957348350616</v>
      </c>
      <c r="CJ376">
        <f t="shared" ca="1" si="48"/>
        <v>0.56819197796090748</v>
      </c>
      <c r="CK376">
        <f t="shared" ca="1" si="49"/>
        <v>0.29658689660819226</v>
      </c>
      <c r="CL376">
        <f t="shared" ca="1" si="50"/>
        <v>-3.6009739031892293E-2</v>
      </c>
    </row>
    <row r="377" spans="1:90" x14ac:dyDescent="0.25">
      <c r="A377" s="43">
        <v>46248</v>
      </c>
      <c r="B377" s="5">
        <v>6.1390000000000002</v>
      </c>
      <c r="C377">
        <v>12.071199999999999</v>
      </c>
      <c r="D377">
        <v>0.35749999999999998</v>
      </c>
      <c r="E377">
        <v>25.078900000000001</v>
      </c>
      <c r="F377">
        <v>1.1685000000000001</v>
      </c>
      <c r="G377">
        <v>12.394</v>
      </c>
      <c r="H377">
        <v>38.885199999999998</v>
      </c>
      <c r="I377">
        <v>26.373100000000001</v>
      </c>
      <c r="J377">
        <v>1923.8710000000001</v>
      </c>
      <c r="K377">
        <v>3136531.9</v>
      </c>
      <c r="M377" s="43">
        <v>46248</v>
      </c>
      <c r="N377" s="5">
        <v>5.8524000000000003</v>
      </c>
      <c r="O377">
        <v>11.7906</v>
      </c>
      <c r="P377">
        <v>0.44269999999999998</v>
      </c>
      <c r="Q377">
        <v>30.104199999999999</v>
      </c>
      <c r="R377">
        <v>-0.4446</v>
      </c>
      <c r="S377">
        <v>0</v>
      </c>
      <c r="T377">
        <v>55.659100000000002</v>
      </c>
      <c r="U377">
        <v>43.820099999999996</v>
      </c>
      <c r="V377">
        <v>8870</v>
      </c>
      <c r="W377">
        <v>7047173.1601999998</v>
      </c>
      <c r="Y377" s="5">
        <v>2.8346</v>
      </c>
      <c r="Z377">
        <v>16.944099999999999</v>
      </c>
      <c r="AA377">
        <v>0.47520000000000001</v>
      </c>
      <c r="AB377">
        <v>0.6764</v>
      </c>
      <c r="AC377">
        <v>-1.0999000000000001</v>
      </c>
      <c r="AD377">
        <v>0</v>
      </c>
      <c r="AE377">
        <v>56.2209</v>
      </c>
      <c r="AF377">
        <v>44.674500000000002</v>
      </c>
      <c r="AG377">
        <v>3345</v>
      </c>
      <c r="AH377">
        <v>1469705.8259999999</v>
      </c>
      <c r="AK377">
        <v>2.9180000000000001</v>
      </c>
      <c r="AL377">
        <v>23.662099999999999</v>
      </c>
      <c r="AM377">
        <v>0.67469999999999997</v>
      </c>
      <c r="AN377">
        <v>1.4800000000000001E-2</v>
      </c>
      <c r="AO377">
        <v>-0.44080000000000003</v>
      </c>
      <c r="AP377">
        <v>246.3931</v>
      </c>
      <c r="AQ377">
        <v>63.448999999999998</v>
      </c>
      <c r="AR377">
        <v>55.752699999999997</v>
      </c>
      <c r="AS377">
        <v>2886.973</v>
      </c>
      <c r="AT377">
        <v>1518561.0098999999</v>
      </c>
      <c r="AV377">
        <v>3.9104999999999999</v>
      </c>
      <c r="AW377">
        <v>6.1029999999999998</v>
      </c>
      <c r="AX377">
        <v>0.22489999999999999</v>
      </c>
      <c r="AY377">
        <v>38.238500000000002</v>
      </c>
      <c r="AZ377">
        <v>0.81299999999999994</v>
      </c>
      <c r="BA377" t="s">
        <v>23</v>
      </c>
      <c r="BB377">
        <v>13.8315</v>
      </c>
      <c r="BC377">
        <v>7.4530000000000003</v>
      </c>
      <c r="BD377">
        <v>1829</v>
      </c>
      <c r="BE377">
        <v>1657906.3779</v>
      </c>
      <c r="BH377" s="5">
        <v>3.9028999999999998</v>
      </c>
      <c r="BI377">
        <v>13.9718</v>
      </c>
      <c r="BJ377">
        <v>0.45169999999999999</v>
      </c>
      <c r="BK377">
        <v>5.82</v>
      </c>
      <c r="BL377">
        <v>-0.3049</v>
      </c>
      <c r="BM377">
        <v>199.69220000000001</v>
      </c>
      <c r="BN377">
        <v>22.445599999999999</v>
      </c>
      <c r="BO377">
        <v>17.4833</v>
      </c>
      <c r="BP377">
        <v>2303</v>
      </c>
      <c r="BQ377">
        <v>1310801.2919999999</v>
      </c>
      <c r="CE377" s="1">
        <f t="shared" ref="CE377:CE379" si="51">+A377</f>
        <v>46248</v>
      </c>
      <c r="CF377" s="35">
        <f t="shared" si="42"/>
        <v>4.9994427819153353</v>
      </c>
      <c r="CG377" s="36">
        <f t="shared" ref="CG377:CG379" si="52">+(CF377-$CG$1)/$CH$1</f>
        <v>8.1710089744864697E-2</v>
      </c>
      <c r="CH377">
        <f t="shared" ref="CH377:CH379" ca="1" si="53">+_xlfn.PERCENTILE.INC(OFFSET(CG377,-52,0,52,1),0.9)</f>
        <v>1.0272966231889851</v>
      </c>
      <c r="CI377">
        <f t="shared" ref="CI377:CI379" ca="1" si="54">+_xlfn.PERCENTILE.INC(OFFSET(CG377,-52,0,52,1),0.75)</f>
        <v>0.79118957348350616</v>
      </c>
      <c r="CJ377">
        <f t="shared" ref="CJ377:CJ379" ca="1" si="55">+_xlfn.PERCENTILE.INC(OFFSET(CG377,-52,0,52,1),0.5)</f>
        <v>0.56819197796090748</v>
      </c>
      <c r="CK377">
        <f t="shared" ref="CK377:CK379" ca="1" si="56">+_xlfn.PERCENTILE.INC(OFFSET(CG377,-52,0,52,1),0.25)</f>
        <v>0.25111743756384852</v>
      </c>
      <c r="CL377">
        <f t="shared" ref="CL377:CL379" ca="1" si="57">+_xlfn.PERCENTILE.INC(OFFSET(CG377,-52,0,52,1),0.1)</f>
        <v>-3.6009739031892293E-2</v>
      </c>
    </row>
    <row r="378" spans="1:90" x14ac:dyDescent="0.25">
      <c r="A378" s="43">
        <v>46255</v>
      </c>
      <c r="B378" s="5">
        <v>6.1367000000000003</v>
      </c>
      <c r="C378">
        <v>12.071199999999999</v>
      </c>
      <c r="D378">
        <v>0.35749999999999998</v>
      </c>
      <c r="E378">
        <v>25.078900000000001</v>
      </c>
      <c r="F378">
        <v>1.1685000000000001</v>
      </c>
      <c r="G378">
        <v>12.394</v>
      </c>
      <c r="H378">
        <v>38.885199999999998</v>
      </c>
      <c r="I378">
        <v>26.373100000000001</v>
      </c>
      <c r="J378">
        <v>1922.942</v>
      </c>
      <c r="K378">
        <v>3135018.1298000002</v>
      </c>
      <c r="M378" s="43">
        <v>46255</v>
      </c>
      <c r="N378" s="5">
        <v>5.8986000000000001</v>
      </c>
      <c r="O378">
        <v>11.7906</v>
      </c>
      <c r="P378">
        <v>0.44269999999999998</v>
      </c>
      <c r="Q378">
        <v>30.104199999999999</v>
      </c>
      <c r="R378">
        <v>-0.4446</v>
      </c>
      <c r="S378">
        <v>0</v>
      </c>
      <c r="T378">
        <v>55.659100000000002</v>
      </c>
      <c r="U378">
        <v>43.820099999999996</v>
      </c>
      <c r="V378">
        <v>8935</v>
      </c>
      <c r="W378">
        <v>7098815.3536</v>
      </c>
      <c r="Y378" s="5">
        <v>2.8140999999999998</v>
      </c>
      <c r="Z378">
        <v>16.944099999999999</v>
      </c>
      <c r="AA378">
        <v>0.47520000000000001</v>
      </c>
      <c r="AB378">
        <v>0.6764</v>
      </c>
      <c r="AC378">
        <v>-1.0999000000000001</v>
      </c>
      <c r="AD378">
        <v>0</v>
      </c>
      <c r="AE378">
        <v>56.2209</v>
      </c>
      <c r="AF378">
        <v>44.674500000000002</v>
      </c>
      <c r="AG378">
        <v>3327.5</v>
      </c>
      <c r="AH378">
        <v>1462016.7819999999</v>
      </c>
      <c r="AK378">
        <v>2.7532000000000001</v>
      </c>
      <c r="AL378">
        <v>23.662099999999999</v>
      </c>
      <c r="AM378">
        <v>0.67469999999999997</v>
      </c>
      <c r="AN378">
        <v>1.4800000000000001E-2</v>
      </c>
      <c r="AO378">
        <v>-0.44080000000000003</v>
      </c>
      <c r="AP378">
        <v>246.3931</v>
      </c>
      <c r="AQ378">
        <v>63.448999999999998</v>
      </c>
      <c r="AR378">
        <v>55.752699999999997</v>
      </c>
      <c r="AS378">
        <v>2745.3719999999998</v>
      </c>
      <c r="AT378">
        <v>1444078.1492999999</v>
      </c>
      <c r="AV378">
        <v>3.819</v>
      </c>
      <c r="AW378">
        <v>6.1029999999999998</v>
      </c>
      <c r="AX378">
        <v>0.22489999999999999</v>
      </c>
      <c r="AY378">
        <v>38.238500000000002</v>
      </c>
      <c r="AZ378">
        <v>0.81299999999999994</v>
      </c>
      <c r="BA378" t="s">
        <v>23</v>
      </c>
      <c r="BB378">
        <v>13.8315</v>
      </c>
      <c r="BC378">
        <v>7.4530000000000003</v>
      </c>
      <c r="BD378">
        <v>1775</v>
      </c>
      <c r="BE378">
        <v>1608957.8025</v>
      </c>
      <c r="BH378" s="5">
        <v>3.8517999999999999</v>
      </c>
      <c r="BI378">
        <v>13.9718</v>
      </c>
      <c r="BJ378">
        <v>0.45169999999999999</v>
      </c>
      <c r="BK378">
        <v>5.82</v>
      </c>
      <c r="BL378">
        <v>-0.3049</v>
      </c>
      <c r="BM378">
        <v>199.69220000000001</v>
      </c>
      <c r="BN378">
        <v>22.445599999999999</v>
      </c>
      <c r="BO378">
        <v>17.4833</v>
      </c>
      <c r="BP378">
        <v>2275</v>
      </c>
      <c r="BQ378">
        <v>1294864.4982</v>
      </c>
      <c r="CE378" s="1">
        <f t="shared" si="51"/>
        <v>46255</v>
      </c>
      <c r="CF378" s="35">
        <f t="shared" si="42"/>
        <v>5.0071835280743437</v>
      </c>
      <c r="CG378" s="36">
        <f t="shared" si="52"/>
        <v>8.5355289949142862E-2</v>
      </c>
      <c r="CH378">
        <f t="shared" ca="1" si="53"/>
        <v>1.0272966231889851</v>
      </c>
      <c r="CI378">
        <f t="shared" ca="1" si="54"/>
        <v>0.79118957348350616</v>
      </c>
      <c r="CJ378">
        <f t="shared" ca="1" si="55"/>
        <v>0.56819197796090748</v>
      </c>
      <c r="CK378">
        <f t="shared" ca="1" si="56"/>
        <v>0.22669357817721519</v>
      </c>
      <c r="CL378">
        <f t="shared" ca="1" si="57"/>
        <v>-3.6009739031892293E-2</v>
      </c>
    </row>
    <row r="379" spans="1:90" x14ac:dyDescent="0.25">
      <c r="A379" s="43">
        <v>46262</v>
      </c>
      <c r="B379" s="5">
        <v>6.2995000000000001</v>
      </c>
      <c r="C379">
        <v>12.071199999999999</v>
      </c>
      <c r="D379">
        <v>0.35749999999999998</v>
      </c>
      <c r="E379">
        <v>25.078900000000001</v>
      </c>
      <c r="F379">
        <v>1.1685000000000001</v>
      </c>
      <c r="G379">
        <v>12.394</v>
      </c>
      <c r="H379">
        <v>38.885199999999998</v>
      </c>
      <c r="I379">
        <v>26.373100000000001</v>
      </c>
      <c r="J379">
        <v>1987.9380000000001</v>
      </c>
      <c r="K379">
        <v>3240982.0452999999</v>
      </c>
      <c r="M379" s="43">
        <v>46262</v>
      </c>
      <c r="N379" s="5">
        <v>5.9518000000000004</v>
      </c>
      <c r="O379">
        <v>11.7906</v>
      </c>
      <c r="P379">
        <v>0.44269999999999998</v>
      </c>
      <c r="Q379">
        <v>30.104199999999999</v>
      </c>
      <c r="R379">
        <v>-0.4446</v>
      </c>
      <c r="S379">
        <v>0</v>
      </c>
      <c r="T379">
        <v>55.659100000000002</v>
      </c>
      <c r="U379">
        <v>43.820099999999996</v>
      </c>
      <c r="V379">
        <v>9010</v>
      </c>
      <c r="W379">
        <v>7158402.4998000003</v>
      </c>
      <c r="Y379" s="5">
        <v>2.7698999999999998</v>
      </c>
      <c r="Z379">
        <v>16.944099999999999</v>
      </c>
      <c r="AA379">
        <v>0.47520000000000001</v>
      </c>
      <c r="AB379">
        <v>0.6764</v>
      </c>
      <c r="AC379">
        <v>-1.0999000000000001</v>
      </c>
      <c r="AD379">
        <v>0</v>
      </c>
      <c r="AE379">
        <v>56.2209</v>
      </c>
      <c r="AF379">
        <v>44.674500000000002</v>
      </c>
      <c r="AG379">
        <v>3290</v>
      </c>
      <c r="AH379">
        <v>1445540.2593</v>
      </c>
      <c r="AK379">
        <v>3.2475000000000001</v>
      </c>
      <c r="AL379">
        <v>23.662099999999999</v>
      </c>
      <c r="AM379">
        <v>0.67469999999999997</v>
      </c>
      <c r="AN379">
        <v>1.4800000000000001E-2</v>
      </c>
      <c r="AO379">
        <v>-0.44080000000000003</v>
      </c>
      <c r="AP379">
        <v>246.3931</v>
      </c>
      <c r="AQ379">
        <v>63.448999999999998</v>
      </c>
      <c r="AR379">
        <v>55.752699999999997</v>
      </c>
      <c r="AS379">
        <v>3170.1750000000002</v>
      </c>
      <c r="AT379">
        <v>1667526.7313000001</v>
      </c>
      <c r="AV379">
        <v>3.9731000000000001</v>
      </c>
      <c r="AW379">
        <v>6.1029999999999998</v>
      </c>
      <c r="AX379">
        <v>0.22489999999999999</v>
      </c>
      <c r="AY379">
        <v>38.238500000000002</v>
      </c>
      <c r="AZ379">
        <v>0.81299999999999994</v>
      </c>
      <c r="BA379" t="s">
        <v>23</v>
      </c>
      <c r="BB379">
        <v>13.8315</v>
      </c>
      <c r="BC379">
        <v>7.4530000000000003</v>
      </c>
      <c r="BD379">
        <v>1866</v>
      </c>
      <c r="BE379">
        <v>1691445.2165999999</v>
      </c>
      <c r="BH379" s="5">
        <v>3.9704000000000002</v>
      </c>
      <c r="BI379">
        <v>13.9718</v>
      </c>
      <c r="BJ379">
        <v>0.45169999999999999</v>
      </c>
      <c r="BK379">
        <v>5.82</v>
      </c>
      <c r="BL379">
        <v>-0.3049</v>
      </c>
      <c r="BM379">
        <v>199.69220000000001</v>
      </c>
      <c r="BN379">
        <v>22.445599999999999</v>
      </c>
      <c r="BO379">
        <v>17.4833</v>
      </c>
      <c r="BP379">
        <v>2340</v>
      </c>
      <c r="BQ379">
        <v>1331860.6266999999</v>
      </c>
      <c r="CE379" s="1">
        <f t="shared" si="51"/>
        <v>46262</v>
      </c>
      <c r="CF379" s="35">
        <f t="shared" si="42"/>
        <v>5.107086413010677</v>
      </c>
      <c r="CG379" s="36">
        <f t="shared" si="52"/>
        <v>0.1324006275816261</v>
      </c>
      <c r="CH379">
        <f t="shared" ca="1" si="53"/>
        <v>1.0272966231889851</v>
      </c>
      <c r="CI379">
        <f t="shared" ca="1" si="54"/>
        <v>0.79118957348350616</v>
      </c>
      <c r="CJ379">
        <f t="shared" ca="1" si="55"/>
        <v>0.56819197796090748</v>
      </c>
      <c r="CK379">
        <f t="shared" ca="1" si="56"/>
        <v>0.22669357817721519</v>
      </c>
      <c r="CL379">
        <f t="shared" ca="1" si="57"/>
        <v>-3.6009739031892293E-2</v>
      </c>
    </row>
    <row r="380" spans="1:90" x14ac:dyDescent="0.25">
      <c r="A380" s="43">
        <v>46269</v>
      </c>
      <c r="B380" s="5">
        <v>6.4832999999999998</v>
      </c>
      <c r="C380">
        <v>12.071199999999999</v>
      </c>
      <c r="D380">
        <v>0.35749999999999998</v>
      </c>
      <c r="E380">
        <v>25.078900000000001</v>
      </c>
      <c r="F380">
        <v>1.1685000000000001</v>
      </c>
      <c r="G380">
        <v>12.394</v>
      </c>
      <c r="H380">
        <v>38.885199999999998</v>
      </c>
      <c r="I380">
        <v>26.373100000000001</v>
      </c>
      <c r="J380">
        <v>2061.29</v>
      </c>
      <c r="K380">
        <v>3360569.8928</v>
      </c>
      <c r="M380" s="43">
        <v>46269</v>
      </c>
      <c r="N380" s="5">
        <v>6.0583</v>
      </c>
      <c r="O380">
        <v>11.7906</v>
      </c>
      <c r="P380">
        <v>0.44269999999999998</v>
      </c>
      <c r="Q380">
        <v>30.104199999999999</v>
      </c>
      <c r="R380">
        <v>-0.4446</v>
      </c>
      <c r="S380">
        <v>0</v>
      </c>
      <c r="T380">
        <v>55.659100000000002</v>
      </c>
      <c r="U380">
        <v>43.820099999999996</v>
      </c>
      <c r="V380">
        <v>9160</v>
      </c>
      <c r="W380">
        <v>7277576.7922999999</v>
      </c>
      <c r="Y380" s="5">
        <v>2.6669999999999998</v>
      </c>
      <c r="Z380">
        <v>16.944099999999999</v>
      </c>
      <c r="AA380">
        <v>0.47520000000000001</v>
      </c>
      <c r="AB380">
        <v>0.6764</v>
      </c>
      <c r="AC380">
        <v>-1.0999000000000001</v>
      </c>
      <c r="AD380">
        <v>0</v>
      </c>
      <c r="AE380">
        <v>56.2209</v>
      </c>
      <c r="AF380">
        <v>44.674500000000002</v>
      </c>
      <c r="AG380">
        <v>3202.5</v>
      </c>
      <c r="AH380">
        <v>1407095.0396</v>
      </c>
      <c r="AK380">
        <v>2.5762</v>
      </c>
      <c r="AL380">
        <v>23.662099999999999</v>
      </c>
      <c r="AM380">
        <v>0.67469999999999997</v>
      </c>
      <c r="AN380">
        <v>1.4800000000000001E-2</v>
      </c>
      <c r="AO380">
        <v>-0.44080000000000003</v>
      </c>
      <c r="AP380">
        <v>246.3931</v>
      </c>
      <c r="AQ380">
        <v>63.448999999999998</v>
      </c>
      <c r="AR380">
        <v>55.752699999999997</v>
      </c>
      <c r="AS380">
        <v>3067.5</v>
      </c>
      <c r="AT380">
        <v>1364036.8662</v>
      </c>
      <c r="AV380">
        <v>4.0951000000000004</v>
      </c>
      <c r="AW380">
        <v>6.1029999999999998</v>
      </c>
      <c r="AX380">
        <v>0.22489999999999999</v>
      </c>
      <c r="AY380">
        <v>38.238500000000002</v>
      </c>
      <c r="AZ380">
        <v>0.81299999999999994</v>
      </c>
      <c r="BA380" t="s">
        <v>23</v>
      </c>
      <c r="BB380">
        <v>13.8315</v>
      </c>
      <c r="BC380">
        <v>7.4530000000000003</v>
      </c>
      <c r="BD380">
        <v>1938</v>
      </c>
      <c r="BE380">
        <v>1756709.9838</v>
      </c>
      <c r="BH380" s="5">
        <v>4.0561999999999996</v>
      </c>
      <c r="BI380">
        <v>13.9718</v>
      </c>
      <c r="BJ380">
        <v>0.45169999999999999</v>
      </c>
      <c r="BK380">
        <v>5.82</v>
      </c>
      <c r="BL380">
        <v>-0.3049</v>
      </c>
      <c r="BM380">
        <v>199.69220000000001</v>
      </c>
      <c r="BN380">
        <v>22.445599999999999</v>
      </c>
      <c r="BO380">
        <v>17.4833</v>
      </c>
      <c r="BP380">
        <v>2387</v>
      </c>
      <c r="BQ380">
        <v>1358611.6735</v>
      </c>
      <c r="CE380" s="1">
        <f t="shared" ref="CE380:CE381" si="58">+A380</f>
        <v>46269</v>
      </c>
      <c r="CF380" s="35">
        <f t="shared" si="42"/>
        <v>5.1952109550220698</v>
      </c>
      <c r="CG380" s="36">
        <f t="shared" ref="CG380:CG381" si="59">+(CF380-$CG$1)/$CH$1</f>
        <v>0.17389941748420018</v>
      </c>
      <c r="CH380">
        <f t="shared" ref="CH380:CH381" ca="1" si="60">+_xlfn.PERCENTILE.INC(OFFSET(CG380,-52,0,52,1),0.9)</f>
        <v>1.0272966231889851</v>
      </c>
      <c r="CI380">
        <f t="shared" ref="CI380:CI381" ca="1" si="61">+_xlfn.PERCENTILE.INC(OFFSET(CG380,-52,0,52,1),0.75)</f>
        <v>0.79118957348350616</v>
      </c>
      <c r="CJ380">
        <f t="shared" ref="CJ380:CJ381" ca="1" si="62">+_xlfn.PERCENTILE.INC(OFFSET(CG380,-52,0,52,1),0.5)</f>
        <v>0.56819197796090748</v>
      </c>
      <c r="CK380">
        <f t="shared" ref="CK380:CK381" ca="1" si="63">+_xlfn.PERCENTILE.INC(OFFSET(CG380,-52,0,52,1),0.25)</f>
        <v>0.22669357817721519</v>
      </c>
      <c r="CL380">
        <f t="shared" ref="CL380:CL381" ca="1" si="64">+_xlfn.PERCENTILE.INC(OFFSET(CG380,-52,0,52,1),0.1)</f>
        <v>-3.6009739031892293E-2</v>
      </c>
    </row>
    <row r="381" spans="1:90" x14ac:dyDescent="0.25">
      <c r="A381" s="43">
        <v>46276</v>
      </c>
      <c r="B381" s="5">
        <v>6.5601000000000003</v>
      </c>
      <c r="C381">
        <v>12.071199999999999</v>
      </c>
      <c r="D381">
        <v>0.35749999999999998</v>
      </c>
      <c r="E381">
        <v>25.078900000000001</v>
      </c>
      <c r="F381">
        <v>1.1685000000000001</v>
      </c>
      <c r="G381">
        <v>12.394</v>
      </c>
      <c r="H381">
        <v>38.885199999999998</v>
      </c>
      <c r="I381">
        <v>26.373100000000001</v>
      </c>
      <c r="J381">
        <v>2091.931</v>
      </c>
      <c r="K381">
        <v>3410524.3102000002</v>
      </c>
      <c r="M381" s="43">
        <v>46276</v>
      </c>
      <c r="N381" s="5">
        <v>6.3102999999999998</v>
      </c>
      <c r="O381">
        <v>11.7906</v>
      </c>
      <c r="P381">
        <v>0.44269999999999998</v>
      </c>
      <c r="Q381">
        <v>30.104199999999999</v>
      </c>
      <c r="R381">
        <v>-0.4446</v>
      </c>
      <c r="S381">
        <v>0</v>
      </c>
      <c r="T381">
        <v>55.659100000000002</v>
      </c>
      <c r="U381">
        <v>43.820099999999996</v>
      </c>
      <c r="V381">
        <v>9515</v>
      </c>
      <c r="W381">
        <v>7559622.6177000003</v>
      </c>
      <c r="Y381" s="5">
        <v>2.7376</v>
      </c>
      <c r="Z381">
        <v>16.944099999999999</v>
      </c>
      <c r="AA381">
        <v>0.47520000000000001</v>
      </c>
      <c r="AB381">
        <v>0.6764</v>
      </c>
      <c r="AC381">
        <v>-1.0999000000000001</v>
      </c>
      <c r="AD381">
        <v>0</v>
      </c>
      <c r="AE381">
        <v>56.2209</v>
      </c>
      <c r="AF381">
        <v>44.674500000000002</v>
      </c>
      <c r="AG381">
        <v>3262.5</v>
      </c>
      <c r="AH381">
        <v>1433457.476</v>
      </c>
      <c r="AK381">
        <v>2.7212999999999998</v>
      </c>
      <c r="AL381">
        <v>23.662099999999999</v>
      </c>
      <c r="AM381">
        <v>0.67469999999999997</v>
      </c>
      <c r="AN381">
        <v>1.4800000000000001E-2</v>
      </c>
      <c r="AO381">
        <v>-0.44080000000000003</v>
      </c>
      <c r="AP381">
        <v>246.3931</v>
      </c>
      <c r="AQ381">
        <v>63.448999999999998</v>
      </c>
      <c r="AR381">
        <v>55.752699999999997</v>
      </c>
      <c r="AS381">
        <v>3215</v>
      </c>
      <c r="AT381">
        <v>1429626.2509000001</v>
      </c>
      <c r="AV381">
        <v>4.1222000000000003</v>
      </c>
      <c r="AW381">
        <v>6.1029999999999998</v>
      </c>
      <c r="AX381">
        <v>0.22489999999999999</v>
      </c>
      <c r="AY381">
        <v>38.238500000000002</v>
      </c>
      <c r="AZ381">
        <v>0.81299999999999994</v>
      </c>
      <c r="BA381" t="s">
        <v>23</v>
      </c>
      <c r="BB381">
        <v>13.8315</v>
      </c>
      <c r="BC381">
        <v>7.4530000000000003</v>
      </c>
      <c r="BD381">
        <v>1954</v>
      </c>
      <c r="BE381">
        <v>1771213.2653999999</v>
      </c>
      <c r="BH381" s="5">
        <v>4.0324999999999998</v>
      </c>
      <c r="BI381">
        <v>13.9718</v>
      </c>
      <c r="BJ381">
        <v>0.45169999999999999</v>
      </c>
      <c r="BK381">
        <v>5.82</v>
      </c>
      <c r="BL381">
        <v>-0.3049</v>
      </c>
      <c r="BM381">
        <v>199.69220000000001</v>
      </c>
      <c r="BN381">
        <v>22.445599999999999</v>
      </c>
      <c r="BO381">
        <v>17.4833</v>
      </c>
      <c r="BP381">
        <v>2374</v>
      </c>
      <c r="BQ381">
        <v>1351212.4478</v>
      </c>
      <c r="CE381" s="1">
        <f t="shared" si="58"/>
        <v>46276</v>
      </c>
      <c r="CF381" s="35">
        <f t="shared" si="42"/>
        <v>5.3458031812993205</v>
      </c>
      <c r="CG381" s="36">
        <f t="shared" si="59"/>
        <v>0.24481490840876691</v>
      </c>
      <c r="CH381">
        <f t="shared" ca="1" si="60"/>
        <v>1.0272966231889851</v>
      </c>
      <c r="CI381">
        <f t="shared" ca="1" si="61"/>
        <v>0.79118957348350616</v>
      </c>
      <c r="CJ381">
        <f t="shared" ca="1" si="62"/>
        <v>0.56819197796090748</v>
      </c>
      <c r="CK381">
        <f t="shared" ca="1" si="63"/>
        <v>0.22669357817721519</v>
      </c>
      <c r="CL381">
        <f t="shared" ca="1" si="64"/>
        <v>-3.6009739031892293E-2</v>
      </c>
    </row>
    <row r="382" spans="1:90" x14ac:dyDescent="0.25">
      <c r="A382" s="43">
        <v>46283</v>
      </c>
      <c r="B382" s="5">
        <v>6.1529999999999996</v>
      </c>
      <c r="C382">
        <v>12.071199999999999</v>
      </c>
      <c r="D382">
        <v>0.35749999999999998</v>
      </c>
      <c r="E382">
        <v>25.078900000000001</v>
      </c>
      <c r="F382">
        <v>1.1685000000000001</v>
      </c>
      <c r="G382">
        <v>12.394</v>
      </c>
      <c r="H382">
        <v>38.885199999999998</v>
      </c>
      <c r="I382">
        <v>26.373100000000001</v>
      </c>
      <c r="J382">
        <v>2078</v>
      </c>
      <c r="K382">
        <v>3145614.5213000001</v>
      </c>
      <c r="M382" s="43">
        <v>46283</v>
      </c>
      <c r="N382" s="5">
        <v>5.9837999999999996</v>
      </c>
      <c r="O382">
        <v>11.7906</v>
      </c>
      <c r="P382">
        <v>0.44269999999999998</v>
      </c>
      <c r="Q382">
        <v>30.104199999999999</v>
      </c>
      <c r="R382">
        <v>-0.4446</v>
      </c>
      <c r="S382">
        <v>0</v>
      </c>
      <c r="T382">
        <v>55.659100000000002</v>
      </c>
      <c r="U382">
        <v>43.820099999999996</v>
      </c>
      <c r="V382">
        <v>9055</v>
      </c>
      <c r="W382">
        <v>7194154.7876000004</v>
      </c>
      <c r="Y382" s="5">
        <v>3.0552000000000001</v>
      </c>
      <c r="Z382">
        <v>16.944099999999999</v>
      </c>
      <c r="AA382">
        <v>0.47520000000000001</v>
      </c>
      <c r="AB382">
        <v>0.6764</v>
      </c>
      <c r="AC382">
        <v>-1.0999000000000001</v>
      </c>
      <c r="AD382">
        <v>0</v>
      </c>
      <c r="AE382">
        <v>56.2209</v>
      </c>
      <c r="AF382">
        <v>44.674500000000002</v>
      </c>
      <c r="AG382">
        <v>3532.5</v>
      </c>
      <c r="AH382">
        <v>1552088.4395000001</v>
      </c>
      <c r="AK382">
        <v>2.6696</v>
      </c>
      <c r="AL382">
        <v>23.662099999999999</v>
      </c>
      <c r="AM382">
        <v>0.67469999999999997</v>
      </c>
      <c r="AN382">
        <v>1.4800000000000001E-2</v>
      </c>
      <c r="AO382">
        <v>-0.44080000000000003</v>
      </c>
      <c r="AP382">
        <v>246.3931</v>
      </c>
      <c r="AQ382">
        <v>63.448999999999998</v>
      </c>
      <c r="AR382">
        <v>55.752699999999997</v>
      </c>
      <c r="AS382">
        <v>3162.5</v>
      </c>
      <c r="AT382">
        <v>1406280.8766999999</v>
      </c>
      <c r="AV382">
        <v>3.9984999999999999</v>
      </c>
      <c r="AW382">
        <v>6.1029999999999998</v>
      </c>
      <c r="AX382">
        <v>0.22489999999999999</v>
      </c>
      <c r="AY382">
        <v>38.238500000000002</v>
      </c>
      <c r="AZ382">
        <v>0.81299999999999994</v>
      </c>
      <c r="BA382" t="s">
        <v>23</v>
      </c>
      <c r="BB382">
        <v>13.8315</v>
      </c>
      <c r="BC382">
        <v>7.4530000000000003</v>
      </c>
      <c r="BD382">
        <v>1881</v>
      </c>
      <c r="BE382">
        <v>1705042.0430999999</v>
      </c>
      <c r="BH382" s="5">
        <v>4.069</v>
      </c>
      <c r="BI382">
        <v>13.9718</v>
      </c>
      <c r="BJ382">
        <v>0.45169999999999999</v>
      </c>
      <c r="BK382">
        <v>5.82</v>
      </c>
      <c r="BL382">
        <v>-0.3049</v>
      </c>
      <c r="BM382">
        <v>199.69220000000001</v>
      </c>
      <c r="BN382">
        <v>22.445599999999999</v>
      </c>
      <c r="BO382">
        <v>17.4833</v>
      </c>
      <c r="BP382">
        <v>2394</v>
      </c>
      <c r="BQ382">
        <v>1362595.872</v>
      </c>
      <c r="CE382" s="1">
        <f t="shared" ref="CE382" si="65">+A382</f>
        <v>46283</v>
      </c>
      <c r="CF382" s="35">
        <f t="shared" ref="CF382" si="66">+(BH382*BQ382+AV382*BE382+AK382*AT382+Y382*AH382+N382*W382+B382*K382)/(K382+W382+AH382+AT382+BE382+BQ382)</f>
        <v>5.087538046507162</v>
      </c>
      <c r="CG382" s="36">
        <f t="shared" ref="CG382" si="67">+(CF382-$CG$1)/$CH$1</f>
        <v>0.12319509259725127</v>
      </c>
      <c r="CH382">
        <f t="shared" ref="CH382" ca="1" si="68">+_xlfn.PERCENTILE.INC(OFFSET(CG382,-52,0,52,1),0.9)</f>
        <v>1.0272966231889851</v>
      </c>
      <c r="CI382">
        <f t="shared" ref="CI382" ca="1" si="69">+_xlfn.PERCENTILE.INC(OFFSET(CG382,-52,0,52,1),0.75)</f>
        <v>0.79118957348350616</v>
      </c>
      <c r="CJ382">
        <f t="shared" ref="CJ382" ca="1" si="70">+_xlfn.PERCENTILE.INC(OFFSET(CG382,-52,0,52,1),0.5)</f>
        <v>0.56819197796090748</v>
      </c>
      <c r="CK382">
        <f t="shared" ref="CK382" ca="1" si="71">+_xlfn.PERCENTILE.INC(OFFSET(CG382,-52,0,52,1),0.25)</f>
        <v>0.24084363337298498</v>
      </c>
      <c r="CL382">
        <f t="shared" ref="CL382" ca="1" si="72">+_xlfn.PERCENTILE.INC(OFFSET(CG382,-52,0,52,1),0.1)</f>
        <v>1.7282519470459706E-2</v>
      </c>
    </row>
    <row r="383" spans="1:90" x14ac:dyDescent="0.25">
      <c r="A383" s="43">
        <v>46290</v>
      </c>
      <c r="B383" s="5">
        <v>6.0204000000000004</v>
      </c>
      <c r="C383">
        <v>12.071199999999999</v>
      </c>
      <c r="D383">
        <v>0.35749999999999998</v>
      </c>
      <c r="E383">
        <v>25.078900000000001</v>
      </c>
      <c r="F383">
        <v>1.1685000000000001</v>
      </c>
      <c r="G383">
        <v>12.394</v>
      </c>
      <c r="H383">
        <v>38.885199999999998</v>
      </c>
      <c r="I383">
        <v>26.373100000000001</v>
      </c>
      <c r="J383">
        <v>2021</v>
      </c>
      <c r="K383">
        <v>3059329.6187</v>
      </c>
      <c r="M383" s="43">
        <v>46290</v>
      </c>
      <c r="N383" s="5">
        <v>5.6890999999999998</v>
      </c>
      <c r="O383">
        <v>11.7906</v>
      </c>
      <c r="P383">
        <v>0.44269999999999998</v>
      </c>
      <c r="Q383">
        <v>30.104199999999999</v>
      </c>
      <c r="R383">
        <v>-0.4446</v>
      </c>
      <c r="S383">
        <v>0</v>
      </c>
      <c r="T383">
        <v>55.659100000000002</v>
      </c>
      <c r="U383">
        <v>43.820099999999996</v>
      </c>
      <c r="V383">
        <v>8640</v>
      </c>
      <c r="W383">
        <v>6864439.2450999999</v>
      </c>
      <c r="Y383" s="5">
        <v>3.0933999999999999</v>
      </c>
      <c r="Z383">
        <v>16.944099999999999</v>
      </c>
      <c r="AA383">
        <v>0.47520000000000001</v>
      </c>
      <c r="AB383">
        <v>0.6764</v>
      </c>
      <c r="AC383">
        <v>-1.0999000000000001</v>
      </c>
      <c r="AD383">
        <v>0</v>
      </c>
      <c r="AE383">
        <v>56.2209</v>
      </c>
      <c r="AF383">
        <v>44.674500000000002</v>
      </c>
      <c r="AG383">
        <v>3565</v>
      </c>
      <c r="AH383">
        <v>1566368.0925</v>
      </c>
      <c r="AK383">
        <v>2.5417999999999998</v>
      </c>
      <c r="AL383">
        <v>23.662099999999999</v>
      </c>
      <c r="AM383">
        <v>0.67469999999999997</v>
      </c>
      <c r="AN383">
        <v>1.4800000000000001E-2</v>
      </c>
      <c r="AO383">
        <v>-0.44080000000000003</v>
      </c>
      <c r="AP383">
        <v>246.3931</v>
      </c>
      <c r="AQ383">
        <v>63.448999999999998</v>
      </c>
      <c r="AR383">
        <v>55.752699999999997</v>
      </c>
      <c r="AS383">
        <v>3032.5</v>
      </c>
      <c r="AT383">
        <v>1348473.2833</v>
      </c>
      <c r="AV383">
        <v>3.7530000000000001</v>
      </c>
      <c r="AW383">
        <v>6.1029999999999998</v>
      </c>
      <c r="AX383">
        <v>0.22489999999999999</v>
      </c>
      <c r="AY383">
        <v>38.238500000000002</v>
      </c>
      <c r="AZ383">
        <v>0.81299999999999994</v>
      </c>
      <c r="BA383" t="s">
        <v>23</v>
      </c>
      <c r="BB383">
        <v>13.8315</v>
      </c>
      <c r="BC383">
        <v>7.4530000000000003</v>
      </c>
      <c r="BD383">
        <v>1736</v>
      </c>
      <c r="BE383">
        <v>1573606.0536</v>
      </c>
      <c r="BH383" s="5">
        <v>4.0251999999999999</v>
      </c>
      <c r="BI383">
        <v>13.9718</v>
      </c>
      <c r="BJ383">
        <v>0.45169999999999999</v>
      </c>
      <c r="BK383">
        <v>5.82</v>
      </c>
      <c r="BL383">
        <v>-0.3049</v>
      </c>
      <c r="BM383">
        <v>199.69220000000001</v>
      </c>
      <c r="BN383">
        <v>22.445599999999999</v>
      </c>
      <c r="BO383">
        <v>17.4833</v>
      </c>
      <c r="BP383">
        <v>2370</v>
      </c>
      <c r="BQ383">
        <v>1348935.763</v>
      </c>
      <c r="CE383" s="1">
        <f t="shared" ref="CE383:CE384" si="73">+A383</f>
        <v>46290</v>
      </c>
      <c r="CF383" s="35">
        <f t="shared" ref="CF383:CF384" si="74">+(BH383*BQ383+AV383*BE383+AK383*AT383+Y383*AH383+N383*W383+B383*K383)/(K383+W383+AH383+AT383+BE383+BQ383)</f>
        <v>4.8904611333039503</v>
      </c>
      <c r="CG383" s="36">
        <f t="shared" ref="CG383:CG384" si="75">+(CF383-$CG$1)/$CH$1</f>
        <v>3.0389465140933845E-2</v>
      </c>
      <c r="CH383">
        <f t="shared" ref="CH383:CH384" ca="1" si="76">+_xlfn.PERCENTILE.INC(OFFSET(CG383,-52,0,52,1),0.9)</f>
        <v>1.0272966231889851</v>
      </c>
      <c r="CI383">
        <f t="shared" ref="CI383:CI384" ca="1" si="77">+_xlfn.PERCENTILE.INC(OFFSET(CG383,-52,0,52,1),0.75)</f>
        <v>0.79118957348350616</v>
      </c>
      <c r="CJ383">
        <f t="shared" ref="CJ383:CJ384" ca="1" si="78">+_xlfn.PERCENTILE.INC(OFFSET(CG383,-52,0,52,1),0.5)</f>
        <v>0.56819197796090748</v>
      </c>
      <c r="CK383">
        <f t="shared" ref="CK383:CK384" ca="1" si="79">+_xlfn.PERCENTILE.INC(OFFSET(CG383,-52,0,52,1),0.25)</f>
        <v>0.24084363337298498</v>
      </c>
      <c r="CL383">
        <f t="shared" ref="CL383:CL384" ca="1" si="80">+_xlfn.PERCENTILE.INC(OFFSET(CG383,-52,0,52,1),0.1)</f>
        <v>8.2074609765292517E-2</v>
      </c>
    </row>
    <row r="384" spans="1:90" x14ac:dyDescent="0.25">
      <c r="A384" s="43">
        <v>46297</v>
      </c>
      <c r="B384" s="5">
        <v>5.7226999999999997</v>
      </c>
      <c r="C384">
        <v>12.071199999999999</v>
      </c>
      <c r="D384">
        <v>0.35749999999999998</v>
      </c>
      <c r="E384">
        <v>25.078900000000001</v>
      </c>
      <c r="F384">
        <v>1.1685000000000001</v>
      </c>
      <c r="G384">
        <v>12.394</v>
      </c>
      <c r="H384">
        <v>38.885199999999998</v>
      </c>
      <c r="I384">
        <v>26.373100000000001</v>
      </c>
      <c r="J384">
        <v>1893</v>
      </c>
      <c r="K384">
        <v>2865567.0301999999</v>
      </c>
      <c r="M384" s="43">
        <v>46297</v>
      </c>
      <c r="N384" s="5">
        <v>5.3093000000000004</v>
      </c>
      <c r="O384">
        <v>11.7906</v>
      </c>
      <c r="P384">
        <v>0.44269999999999998</v>
      </c>
      <c r="Q384">
        <v>30.104199999999999</v>
      </c>
      <c r="R384">
        <v>-0.4446</v>
      </c>
      <c r="S384">
        <v>0</v>
      </c>
      <c r="T384">
        <v>55.659100000000002</v>
      </c>
      <c r="U384">
        <v>43.820099999999996</v>
      </c>
      <c r="V384">
        <v>8105</v>
      </c>
      <c r="W384">
        <v>6439384.2686999999</v>
      </c>
      <c r="Y384" s="5">
        <v>2.7641</v>
      </c>
      <c r="Z384">
        <v>16.944099999999999</v>
      </c>
      <c r="AA384">
        <v>0.47520000000000001</v>
      </c>
      <c r="AB384">
        <v>0.6764</v>
      </c>
      <c r="AC384">
        <v>-1.0999000000000001</v>
      </c>
      <c r="AD384">
        <v>0</v>
      </c>
      <c r="AE384">
        <v>56.2209</v>
      </c>
      <c r="AF384">
        <v>44.674500000000002</v>
      </c>
      <c r="AG384">
        <v>3285</v>
      </c>
      <c r="AH384">
        <v>1443343.3896000001</v>
      </c>
      <c r="AK384">
        <v>2.4777999999999998</v>
      </c>
      <c r="AL384">
        <v>23.662099999999999</v>
      </c>
      <c r="AM384">
        <v>0.67469999999999997</v>
      </c>
      <c r="AN384">
        <v>1.4800000000000001E-2</v>
      </c>
      <c r="AO384">
        <v>-0.44080000000000003</v>
      </c>
      <c r="AP384">
        <v>246.3931</v>
      </c>
      <c r="AQ384">
        <v>63.448999999999998</v>
      </c>
      <c r="AR384">
        <v>55.752699999999997</v>
      </c>
      <c r="AS384">
        <v>2967.5</v>
      </c>
      <c r="AT384">
        <v>1319569.4867</v>
      </c>
      <c r="AV384">
        <v>3.5497999999999998</v>
      </c>
      <c r="AW384">
        <v>6.1029999999999998</v>
      </c>
      <c r="AX384">
        <v>0.22489999999999999</v>
      </c>
      <c r="AY384">
        <v>38.238500000000002</v>
      </c>
      <c r="AZ384">
        <v>0.81299999999999994</v>
      </c>
      <c r="BA384" t="s">
        <v>23</v>
      </c>
      <c r="BB384">
        <v>13.8315</v>
      </c>
      <c r="BC384">
        <v>7.4530000000000003</v>
      </c>
      <c r="BD384">
        <v>1616</v>
      </c>
      <c r="BE384">
        <v>1464831.4416</v>
      </c>
      <c r="BH384" s="5">
        <v>3.8736999999999999</v>
      </c>
      <c r="BI384">
        <v>13.9718</v>
      </c>
      <c r="BJ384">
        <v>0.45169999999999999</v>
      </c>
      <c r="BK384">
        <v>5.82</v>
      </c>
      <c r="BL384">
        <v>-0.3049</v>
      </c>
      <c r="BM384">
        <v>199.69220000000001</v>
      </c>
      <c r="BN384">
        <v>22.445599999999999</v>
      </c>
      <c r="BO384">
        <v>17.4833</v>
      </c>
      <c r="BP384">
        <v>2287</v>
      </c>
      <c r="BQ384">
        <v>1301694.5526999999</v>
      </c>
      <c r="CE384" s="1">
        <f t="shared" si="73"/>
        <v>46297</v>
      </c>
      <c r="CF384" s="35">
        <f t="shared" si="74"/>
        <v>4.5899298954028858</v>
      </c>
      <c r="CG384" s="36">
        <f t="shared" si="75"/>
        <v>-0.11113391093748527</v>
      </c>
      <c r="CH384">
        <f t="shared" ca="1" si="76"/>
        <v>1.0272966231889851</v>
      </c>
      <c r="CI384">
        <f t="shared" ca="1" si="77"/>
        <v>0.79118957348350616</v>
      </c>
      <c r="CJ384">
        <f t="shared" ca="1" si="78"/>
        <v>0.56819197796090748</v>
      </c>
      <c r="CK384">
        <f t="shared" ca="1" si="79"/>
        <v>0.24084363337298498</v>
      </c>
      <c r="CL384">
        <f t="shared" ca="1" si="80"/>
        <v>8.2074609765292517E-2</v>
      </c>
    </row>
    <row r="385" spans="1:90" x14ac:dyDescent="0.25">
      <c r="A385" s="43">
        <v>46304</v>
      </c>
      <c r="B385" s="5">
        <v>6.0506000000000002</v>
      </c>
      <c r="C385">
        <v>12.071199999999999</v>
      </c>
      <c r="D385">
        <v>0.35749999999999998</v>
      </c>
      <c r="E385">
        <v>25.078900000000001</v>
      </c>
      <c r="F385">
        <v>1.1685000000000001</v>
      </c>
      <c r="G385">
        <v>12.394</v>
      </c>
      <c r="H385">
        <v>38.885199999999998</v>
      </c>
      <c r="I385">
        <v>26.373100000000001</v>
      </c>
      <c r="J385">
        <v>2034</v>
      </c>
      <c r="K385">
        <v>3079008.6315000001</v>
      </c>
      <c r="M385" s="43">
        <v>46304</v>
      </c>
      <c r="N385" s="5">
        <v>5.4762000000000004</v>
      </c>
      <c r="O385">
        <v>11.7906</v>
      </c>
      <c r="P385">
        <v>0.44269999999999998</v>
      </c>
      <c r="Q385">
        <v>30.104199999999999</v>
      </c>
      <c r="R385">
        <v>-0.4446</v>
      </c>
      <c r="S385">
        <v>0</v>
      </c>
      <c r="T385">
        <v>55.659100000000002</v>
      </c>
      <c r="U385">
        <v>43.820099999999996</v>
      </c>
      <c r="V385">
        <v>8340</v>
      </c>
      <c r="W385">
        <v>6626090.6601999998</v>
      </c>
      <c r="Y385" s="5">
        <v>2.7787999999999999</v>
      </c>
      <c r="Z385">
        <v>16.944099999999999</v>
      </c>
      <c r="AA385">
        <v>0.47520000000000001</v>
      </c>
      <c r="AB385">
        <v>0.6764</v>
      </c>
      <c r="AC385">
        <v>-1.0999000000000001</v>
      </c>
      <c r="AD385">
        <v>0</v>
      </c>
      <c r="AE385">
        <v>56.2209</v>
      </c>
      <c r="AF385">
        <v>44.674500000000002</v>
      </c>
      <c r="AG385">
        <v>3297.5</v>
      </c>
      <c r="AH385">
        <v>1448835.5639</v>
      </c>
      <c r="AK385">
        <v>2.2909999999999999</v>
      </c>
      <c r="AL385">
        <v>23.662099999999999</v>
      </c>
      <c r="AM385">
        <v>0.67469999999999997</v>
      </c>
      <c r="AN385">
        <v>1.4800000000000001E-2</v>
      </c>
      <c r="AO385">
        <v>-0.44080000000000003</v>
      </c>
      <c r="AP385">
        <v>246.3931</v>
      </c>
      <c r="AQ385">
        <v>63.448999999999998</v>
      </c>
      <c r="AR385">
        <v>55.752699999999997</v>
      </c>
      <c r="AS385">
        <v>2777.5</v>
      </c>
      <c r="AT385">
        <v>1235081.4656</v>
      </c>
      <c r="AV385">
        <v>3.5684</v>
      </c>
      <c r="AW385">
        <v>6.1029999999999998</v>
      </c>
      <c r="AX385">
        <v>0.22489999999999999</v>
      </c>
      <c r="AY385">
        <v>38.238500000000002</v>
      </c>
      <c r="AZ385">
        <v>0.81299999999999994</v>
      </c>
      <c r="BA385" t="s">
        <v>23</v>
      </c>
      <c r="BB385">
        <v>13.8315</v>
      </c>
      <c r="BC385">
        <v>7.4530000000000003</v>
      </c>
      <c r="BD385">
        <v>1627</v>
      </c>
      <c r="BE385">
        <v>1474802.4476999999</v>
      </c>
      <c r="BH385" s="5">
        <v>4.0415999999999999</v>
      </c>
      <c r="BI385">
        <v>13.9718</v>
      </c>
      <c r="BJ385">
        <v>0.45169999999999999</v>
      </c>
      <c r="BK385">
        <v>5.82</v>
      </c>
      <c r="BL385">
        <v>-0.3049</v>
      </c>
      <c r="BM385">
        <v>199.69220000000001</v>
      </c>
      <c r="BN385">
        <v>22.445599999999999</v>
      </c>
      <c r="BO385">
        <v>17.4833</v>
      </c>
      <c r="BP385">
        <v>2379</v>
      </c>
      <c r="BQ385">
        <v>1354058.3038000001</v>
      </c>
      <c r="CE385" s="1">
        <f t="shared" ref="CE385" si="81">+A385</f>
        <v>46304</v>
      </c>
      <c r="CF385" s="35">
        <f t="shared" ref="CF385" si="82">+(BH385*BQ385+AV385*BE385+AK385*AT385+Y385*AH385+N385*W385+B385*K385)/(K385+W385+AH385+AT385+BE385+BQ385)</f>
        <v>4.7645601255959225</v>
      </c>
      <c r="CG385" s="36">
        <f t="shared" ref="CG385" si="83">+(CF385-$CG$1)/$CH$1</f>
        <v>-2.8898666725015027E-2</v>
      </c>
      <c r="CH385">
        <f t="shared" ref="CH385" ca="1" si="84">+_xlfn.PERCENTILE.INC(OFFSET(CG385,-52,0,52,1),0.9)</f>
        <v>1.0272966231889851</v>
      </c>
      <c r="CI385">
        <f t="shared" ref="CI385" ca="1" si="85">+_xlfn.PERCENTILE.INC(OFFSET(CG385,-52,0,52,1),0.75)</f>
        <v>0.79118957348350616</v>
      </c>
      <c r="CJ385">
        <f t="shared" ref="CJ385" ca="1" si="86">+_xlfn.PERCENTILE.INC(OFFSET(CG385,-52,0,52,1),0.5)</f>
        <v>0.56819197796090748</v>
      </c>
      <c r="CK385">
        <f t="shared" ref="CK385" ca="1" si="87">+_xlfn.PERCENTILE.INC(OFFSET(CG385,-52,0,52,1),0.25)</f>
        <v>0.24084363337298498</v>
      </c>
      <c r="CL385">
        <f t="shared" ref="CL385" ca="1" si="88">+_xlfn.PERCENTILE.INC(OFFSET(CG385,-52,0,52,1),0.1)</f>
        <v>8.2074609765292517E-2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39B6-9C51-4025-823E-9BFA0997221A}">
  <dimension ref="B2:H23"/>
  <sheetViews>
    <sheetView showGridLines="0" topLeftCell="A13" workbookViewId="0">
      <selection activeCell="I44" sqref="I44"/>
    </sheetView>
  </sheetViews>
  <sheetFormatPr defaultRowHeight="15" x14ac:dyDescent="0.25"/>
  <cols>
    <col min="2" max="2" width="16.85546875" bestFit="1" customWidth="1"/>
    <col min="3" max="3" width="9.5703125" bestFit="1" customWidth="1"/>
    <col min="4" max="4" width="19.5703125" bestFit="1" customWidth="1"/>
    <col min="5" max="5" width="20.85546875" bestFit="1" customWidth="1"/>
    <col min="6" max="6" width="20" bestFit="1" customWidth="1"/>
    <col min="7" max="7" width="27.28515625" bestFit="1" customWidth="1"/>
    <col min="8" max="8" width="25" bestFit="1" customWidth="1"/>
  </cols>
  <sheetData>
    <row r="2" spans="2:8" x14ac:dyDescent="0.25">
      <c r="C2" t="s">
        <v>45</v>
      </c>
      <c r="D2" t="s">
        <v>46</v>
      </c>
      <c r="E2" t="s">
        <v>18</v>
      </c>
      <c r="F2" t="s">
        <v>47</v>
      </c>
      <c r="G2" t="s">
        <v>48</v>
      </c>
      <c r="H2" t="s">
        <v>49</v>
      </c>
    </row>
    <row r="3" spans="2:8" x14ac:dyDescent="0.25">
      <c r="B3" t="s">
        <v>12</v>
      </c>
      <c r="C3" s="30" cm="1">
        <f t="array" ref="C3">+_xll.BDP($B3,C$2)</f>
        <v>11.500063955525018</v>
      </c>
      <c r="D3" s="30" cm="1">
        <f t="array" ref="D3">+_xll.BDP($B3,D$2)</f>
        <v>1.4184001077318831</v>
      </c>
      <c r="E3" s="30" cm="1">
        <f t="array" ref="E3">+_xll.BDP($B3,E$2)</f>
        <v>-0.4446389613943928</v>
      </c>
      <c r="F3" s="30" cm="1">
        <f t="array" ref="F3">+_xll.BDP($B3,F$2)</f>
        <v>5.0817582723741888</v>
      </c>
      <c r="G3" s="30" cm="1">
        <f t="array" ref="G3">+_xll.BDP($B3,G$2)</f>
        <v>3.0776145994188431</v>
      </c>
      <c r="H3" s="30" cm="1">
        <f t="array" ref="H3">+_xll.BDP($B3,H$2)</f>
        <v>1.1246332035825921</v>
      </c>
    </row>
    <row r="4" spans="2:8" x14ac:dyDescent="0.25">
      <c r="B4" t="s">
        <v>11</v>
      </c>
      <c r="C4" s="30" cm="1">
        <f t="array" ref="C4">+_xll.BDP($B4,C$2)</f>
        <v>6.5011448341156592</v>
      </c>
      <c r="D4" s="30" cm="1">
        <f t="array" ref="D4">+_xll.BDP($B4,D$2)</f>
        <v>1.0981730591362713</v>
      </c>
      <c r="E4" s="30" cm="1">
        <f t="array" ref="E4">+_xll.BDP($B4,E$2)</f>
        <v>-1.0998847245717822</v>
      </c>
      <c r="F4" s="30" cm="1">
        <f t="array" ref="F4">+_xll.BDP($B4,F$2)</f>
        <v>3.6021359726951117</v>
      </c>
      <c r="G4" s="30" cm="1">
        <f t="array" ref="G4">+_xll.BDP($B4,G$2)</f>
        <v>1.5324892497835239</v>
      </c>
      <c r="H4" s="30" cm="1">
        <f t="array" ref="H4">+_xll.BDP($B4,H$2)</f>
        <v>0.77816407684005873</v>
      </c>
    </row>
    <row r="5" spans="2:8" x14ac:dyDescent="0.25">
      <c r="B5" t="s">
        <v>50</v>
      </c>
      <c r="C5" s="30" cm="1">
        <f t="array" ref="C5">+_xll.BDP(B5,"BEST_PE_RATIO")</f>
        <v>0.95610315767702048</v>
      </c>
      <c r="D5" s="30" cm="1">
        <f t="array" ref="D5">+_xll.BDP($B5,D$2)</f>
        <v>1.7625628366100423</v>
      </c>
      <c r="E5" s="30" cm="1">
        <f t="array" ref="E5">+_xll.BDP($B5,E$2)</f>
        <v>1.1856049872485124</v>
      </c>
      <c r="F5" s="30" cm="1">
        <f t="array" ref="F5">+_xll.BDP($B5,F$2)</f>
        <v>3.8951157550343232</v>
      </c>
      <c r="G5" s="30" cm="1">
        <f t="array" ref="G5">+_xll.BDP($B5,G$2)</f>
        <v>1.5737986830628856</v>
      </c>
      <c r="H5" s="30" cm="1">
        <f t="array" ref="H5">+_xll.BDP($B5,H$2)</f>
        <v>1.4138714142837445</v>
      </c>
    </row>
    <row r="6" spans="2:8" x14ac:dyDescent="0.25">
      <c r="B6" t="s">
        <v>51</v>
      </c>
      <c r="C6" s="30" cm="1">
        <f t="array" ref="C6">+_xll.BDP($B6,C$2)</f>
        <v>8.0748006728026809</v>
      </c>
      <c r="D6" s="30" cm="1">
        <f t="array" ref="D6">+_xll.BDP($B6,D$2)</f>
        <v>1.1510288082528404</v>
      </c>
      <c r="E6" s="30" cm="1">
        <f t="array" ref="E6">+_xll.BDP($B6,E$2)</f>
        <v>1.3473473473473474</v>
      </c>
      <c r="F6" s="30" cm="1">
        <f t="array" ref="F6">+_xll.BDP($B6,F$2)</f>
        <v>5.9882522322322327</v>
      </c>
      <c r="G6" s="30" cm="1">
        <f t="array" ref="G6">+_xll.BDP($B6,G$2)</f>
        <v>2.5136749441166049</v>
      </c>
      <c r="H6" s="30" cm="1">
        <f t="array" ref="H6">+_xll.BDP($B6,H$2)</f>
        <v>0.91706450414035223</v>
      </c>
    </row>
    <row r="7" spans="2:8" x14ac:dyDescent="0.25">
      <c r="B7" t="s">
        <v>30</v>
      </c>
      <c r="C7" s="30" cm="1">
        <f t="array" ref="C7">+_xll.BDP($B7,C$2)</f>
        <v>6.6890406606294794</v>
      </c>
      <c r="D7" s="30" cm="1">
        <f t="array" ref="D7">+_xll.BDP($B7,D$2)</f>
        <v>1.0724483258041411</v>
      </c>
      <c r="E7" s="30" cm="1">
        <f t="array" ref="E7">+_xll.BDP($B7,E$2)</f>
        <v>1.1684931960282234</v>
      </c>
      <c r="F7" s="30" cm="1">
        <f t="array" ref="F7">+_xll.BDP($B7,F$2)</f>
        <v>6.6363687811493017</v>
      </c>
      <c r="G7" s="30" cm="1">
        <f t="array" ref="G7">+_xll.BDP($B7,G$2)</f>
        <v>2.4296869697901897</v>
      </c>
      <c r="H7" s="30" cm="1">
        <f t="array" ref="H7">+_xll.BDP($B7,H$2)</f>
        <v>1.0802910269901564</v>
      </c>
    </row>
    <row r="8" spans="2:8" x14ac:dyDescent="0.25">
      <c r="B8" t="s">
        <v>28</v>
      </c>
      <c r="C8" s="30" cm="1">
        <f t="array" ref="C8">+_xll.BDP($B8,C$2)</f>
        <v>4.7602340751925549</v>
      </c>
      <c r="D8" s="30" cm="1">
        <f t="array" ref="D8">+_xll.BDP($B8,D$2)</f>
        <v>1.0436847092399326</v>
      </c>
      <c r="E8" s="30" cm="1">
        <f t="array" ref="E8">+_xll.BDP($B8,E$2)</f>
        <v>-0.44078485741021889</v>
      </c>
      <c r="F8" s="30" cm="1">
        <f t="array" ref="F8">+_xll.BDP($B8,F$2)</f>
        <v>3.2154860732818045</v>
      </c>
      <c r="G8" s="30" cm="1">
        <f t="array" ref="G8">+_xll.BDP($B8,G$2)</f>
        <v>1.4083541270581963</v>
      </c>
      <c r="H8" s="30" cm="1">
        <f t="array" ref="H8">+_xll.BDP($B8,H$2)</f>
        <v>0.87069755474818544</v>
      </c>
    </row>
    <row r="9" spans="2:8" x14ac:dyDescent="0.25">
      <c r="B9" t="s">
        <v>26</v>
      </c>
      <c r="C9" s="30" cm="1">
        <f t="array" ref="C9">+_xll.BDP($B9,C$2)</f>
        <v>9.3621004980196751</v>
      </c>
      <c r="D9" s="30" cm="1">
        <f t="array" ref="D9">+_xll.BDP($B9,D$2)</f>
        <v>1.1247774256828129</v>
      </c>
      <c r="E9" s="30" cm="1">
        <f t="array" ref="E9">+_xll.BDP($B9,E$2)</f>
        <v>-0.30489658489658489</v>
      </c>
      <c r="F9" s="30" cm="1">
        <f t="array" ref="F9">+_xll.BDP($B9,F$2)</f>
        <v>3.1316402116402116</v>
      </c>
      <c r="G9" s="30" cm="1">
        <f t="array" ref="G9">+_xll.BDP($B9,G$2)</f>
        <v>0.89855861989682995</v>
      </c>
      <c r="H9" s="30" cm="1">
        <f t="array" ref="H9">+_xll.BDP($B9,H$2)</f>
        <v>1.0229418630176497</v>
      </c>
    </row>
    <row r="10" spans="2:8" x14ac:dyDescent="0.25">
      <c r="C10" s="30"/>
      <c r="D10" s="30"/>
      <c r="E10" s="30"/>
      <c r="F10" s="30"/>
      <c r="G10" s="30"/>
      <c r="H10" s="30"/>
    </row>
    <row r="12" spans="2:8" x14ac:dyDescent="0.25">
      <c r="B12" t="s">
        <v>52</v>
      </c>
      <c r="C12" s="31">
        <f>+MIN(C3:C10)</f>
        <v>0.95610315767702048</v>
      </c>
      <c r="D12" s="31">
        <f t="shared" ref="D12:H12" si="0">+MIN(D3:D10)</f>
        <v>1.0436847092399326</v>
      </c>
      <c r="E12" s="31">
        <f t="shared" si="0"/>
        <v>-1.0998847245717822</v>
      </c>
      <c r="F12" s="31">
        <f t="shared" si="0"/>
        <v>3.1316402116402116</v>
      </c>
      <c r="G12" s="31">
        <f t="shared" si="0"/>
        <v>0.89855861989682995</v>
      </c>
      <c r="H12" s="31">
        <f t="shared" si="0"/>
        <v>0.77816407684005873</v>
      </c>
    </row>
    <row r="13" spans="2:8" x14ac:dyDescent="0.25">
      <c r="B13" t="s">
        <v>53</v>
      </c>
      <c r="C13" s="31">
        <f>+MAX(C3:C10)</f>
        <v>11.500063955525018</v>
      </c>
      <c r="D13" s="31">
        <f t="shared" ref="D13:H13" si="1">+MAX(D3:D10)</f>
        <v>1.7625628366100423</v>
      </c>
      <c r="E13" s="31">
        <f t="shared" si="1"/>
        <v>1.3473473473473474</v>
      </c>
      <c r="F13" s="31">
        <f t="shared" si="1"/>
        <v>6.6363687811493017</v>
      </c>
      <c r="G13" s="31">
        <f t="shared" si="1"/>
        <v>3.0776145994188431</v>
      </c>
      <c r="H13" s="31">
        <f t="shared" si="1"/>
        <v>1.4138714142837445</v>
      </c>
    </row>
    <row r="15" spans="2:8" x14ac:dyDescent="0.25"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</row>
    <row r="16" spans="2:8" x14ac:dyDescent="0.25">
      <c r="B16" t="str">
        <f t="shared" ref="B16:B21" si="2">+B3</f>
        <v>TGSU2 AR EQUITY</v>
      </c>
      <c r="C16" s="32">
        <f t="shared" ref="C16:C22" si="3">+(C3-C$12)/(C$13-C$12)</f>
        <v>1</v>
      </c>
      <c r="D16" s="32">
        <f t="shared" ref="D16:H16" si="4">+(D3-D$12)/(D$13-D$12)</f>
        <v>0.52125024287883315</v>
      </c>
      <c r="E16" s="32">
        <f t="shared" si="4"/>
        <v>0.2677497449857883</v>
      </c>
      <c r="F16" s="32">
        <f t="shared" si="4"/>
        <v>0.55642484776135792</v>
      </c>
      <c r="G16" s="32">
        <f t="shared" si="4"/>
        <v>1</v>
      </c>
      <c r="H16" s="32">
        <f t="shared" si="4"/>
        <v>0.54501357202476119</v>
      </c>
    </row>
    <row r="17" spans="2:8" x14ac:dyDescent="0.25">
      <c r="B17" t="str">
        <f t="shared" si="2"/>
        <v>TGNO4 AR EQUITY</v>
      </c>
      <c r="C17" s="32">
        <f t="shared" si="3"/>
        <v>0.52589741016206848</v>
      </c>
      <c r="D17" s="32">
        <f t="shared" ref="D17:H22" si="5">+(D4-D$12)/(D$13-D$12)</f>
        <v>7.5796366340529497E-2</v>
      </c>
      <c r="E17" s="32">
        <f t="shared" si="5"/>
        <v>0</v>
      </c>
      <c r="F17" s="32">
        <f t="shared" si="5"/>
        <v>0.1342459913010618</v>
      </c>
      <c r="G17" s="32">
        <f t="shared" si="5"/>
        <v>0.29091984595354442</v>
      </c>
      <c r="H17" s="32">
        <f t="shared" si="5"/>
        <v>0</v>
      </c>
    </row>
    <row r="18" spans="2:8" x14ac:dyDescent="0.25">
      <c r="B18" t="str">
        <f t="shared" si="2"/>
        <v>YPFD AR EQUITY</v>
      </c>
      <c r="C18" s="32">
        <f t="shared" si="3"/>
        <v>0</v>
      </c>
      <c r="D18" s="32">
        <f t="shared" si="5"/>
        <v>1</v>
      </c>
      <c r="E18" s="32">
        <f t="shared" si="5"/>
        <v>0.93390804167910546</v>
      </c>
      <c r="F18" s="32">
        <f t="shared" si="5"/>
        <v>0.21784156126562809</v>
      </c>
      <c r="G18" s="32">
        <f t="shared" si="5"/>
        <v>0.30987733656763278</v>
      </c>
      <c r="H18" s="32">
        <f t="shared" si="5"/>
        <v>1</v>
      </c>
    </row>
    <row r="19" spans="2:8" x14ac:dyDescent="0.25">
      <c r="B19" t="str">
        <f t="shared" si="2"/>
        <v>PAMP AR EQUITY</v>
      </c>
      <c r="C19" s="32">
        <f t="shared" si="3"/>
        <v>0.67514453549358544</v>
      </c>
      <c r="D19" s="32">
        <f t="shared" si="5"/>
        <v>0.14932169296290518</v>
      </c>
      <c r="E19" s="32">
        <f t="shared" si="5"/>
        <v>1</v>
      </c>
      <c r="F19" s="32">
        <f t="shared" si="5"/>
        <v>0.81507368229436061</v>
      </c>
      <c r="G19" s="32">
        <f t="shared" si="5"/>
        <v>0.74120001477615038</v>
      </c>
      <c r="H19" s="32">
        <f t="shared" si="5"/>
        <v>0.21849744232753648</v>
      </c>
    </row>
    <row r="20" spans="2:8" x14ac:dyDescent="0.25">
      <c r="B20" t="str">
        <f t="shared" si="2"/>
        <v>CEPU AR EQUITY</v>
      </c>
      <c r="C20" s="32">
        <f t="shared" si="3"/>
        <v>0.54371764205748385</v>
      </c>
      <c r="D20" s="32">
        <f t="shared" si="5"/>
        <v>4.0011812112624882E-2</v>
      </c>
      <c r="E20" s="32">
        <f t="shared" si="5"/>
        <v>0.92691573742785005</v>
      </c>
      <c r="F20" s="32">
        <f t="shared" si="5"/>
        <v>1</v>
      </c>
      <c r="G20" s="32">
        <f t="shared" si="5"/>
        <v>0.70265673038341148</v>
      </c>
      <c r="H20" s="32">
        <f t="shared" si="5"/>
        <v>0.47526107117941152</v>
      </c>
    </row>
    <row r="21" spans="2:8" x14ac:dyDescent="0.25">
      <c r="B21" t="str">
        <f t="shared" si="2"/>
        <v>TRAN AR EQUITY</v>
      </c>
      <c r="C21" s="32">
        <f t="shared" si="3"/>
        <v>0.36078765754629422</v>
      </c>
      <c r="D21" s="32">
        <f t="shared" si="5"/>
        <v>0</v>
      </c>
      <c r="E21" s="32">
        <f t="shared" si="5"/>
        <v>0.26932462790285944</v>
      </c>
      <c r="F21" s="32">
        <f t="shared" si="5"/>
        <v>2.3923639157407632E-2</v>
      </c>
      <c r="G21" s="32">
        <f t="shared" si="5"/>
        <v>0.2339524601259636</v>
      </c>
      <c r="H21" s="32">
        <f t="shared" si="5"/>
        <v>0.14555987080505234</v>
      </c>
    </row>
    <row r="22" spans="2:8" x14ac:dyDescent="0.25">
      <c r="B22" t="str">
        <f t="shared" ref="B22" si="6">+B9</f>
        <v>METR AR EQUITY</v>
      </c>
      <c r="C22" s="32">
        <f t="shared" si="3"/>
        <v>0.79723336434049552</v>
      </c>
      <c r="D22" s="32">
        <f t="shared" si="5"/>
        <v>0.11280453995664587</v>
      </c>
      <c r="E22" s="32">
        <f t="shared" si="5"/>
        <v>0.32485196185409759</v>
      </c>
      <c r="F22" s="32">
        <f t="shared" si="5"/>
        <v>0</v>
      </c>
      <c r="G22" s="32">
        <f t="shared" si="5"/>
        <v>0</v>
      </c>
      <c r="H22" s="32">
        <f t="shared" si="5"/>
        <v>0.38504791711527886</v>
      </c>
    </row>
    <row r="23" spans="2:8" x14ac:dyDescent="0.25">
      <c r="C23" s="32"/>
      <c r="D23" s="32"/>
      <c r="E23" s="32"/>
      <c r="F23" s="32"/>
      <c r="G23" s="32"/>
      <c r="H23" s="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D4F6-6D0D-4581-8B2E-7D60FBCFE3D1}">
  <dimension ref="A2:C8"/>
  <sheetViews>
    <sheetView workbookViewId="0">
      <selection activeCell="C12" sqref="C12"/>
    </sheetView>
  </sheetViews>
  <sheetFormatPr defaultRowHeight="15" x14ac:dyDescent="0.25"/>
  <cols>
    <col min="1" max="1" width="15.5703125" bestFit="1" customWidth="1"/>
  </cols>
  <sheetData>
    <row r="2" spans="1:3" x14ac:dyDescent="0.25">
      <c r="B2" t="s">
        <v>27</v>
      </c>
      <c r="C2" t="s">
        <v>25</v>
      </c>
    </row>
    <row r="3" spans="1:3" x14ac:dyDescent="0.25">
      <c r="A3" t="s">
        <v>26</v>
      </c>
      <c r="B3" cm="1">
        <f t="array" ref="B3">+_xll.BDP(A3,"WACC_COST_EQUITY")</f>
        <v>38.381234358472092</v>
      </c>
      <c r="C3" cm="1">
        <f t="array" ref="C3">+_xll.BDP(A3,"RETURN_ON_INV_CAPITAL")</f>
        <v>13.971815211056827</v>
      </c>
    </row>
    <row r="4" spans="1:3" x14ac:dyDescent="0.25">
      <c r="A4" t="s">
        <v>28</v>
      </c>
      <c r="B4" cm="1">
        <f t="array" ref="B4">+_xll.BDP(A4,"WACC_COST_EQUITY")</f>
        <v>33.519111095571347</v>
      </c>
      <c r="C4" cm="1">
        <f t="array" ref="C4">+_xll.BDP(A4,"RETURN_ON_INV_CAPITAL")</f>
        <v>23.662068555751159</v>
      </c>
    </row>
    <row r="5" spans="1:3" x14ac:dyDescent="0.25">
      <c r="A5" t="s">
        <v>29</v>
      </c>
      <c r="B5" cm="1">
        <f t="array" ref="B5">+_xll.BDP(A5,"WACC_COST_EQUITY")</f>
        <v>39.190116412682535</v>
      </c>
      <c r="C5" cm="1">
        <f t="array" ref="C5">+_xll.BDP(A5,"RETURN_ON_INV_CAPITAL")</f>
        <v>6.1029508758124518</v>
      </c>
    </row>
    <row r="6" spans="1:3" x14ac:dyDescent="0.25">
      <c r="A6" t="s">
        <v>30</v>
      </c>
      <c r="B6" cm="1">
        <f t="array" ref="B6">+_xll.BDP(A6,"WACC_COST_EQUITY")</f>
        <v>37.385416105851945</v>
      </c>
      <c r="C6" cm="1">
        <f t="array" ref="C6">+_xll.BDP(A6,"RETURN_ON_INV_CAPITAL")</f>
        <v>12.071154255665695</v>
      </c>
    </row>
    <row r="7" spans="1:3" x14ac:dyDescent="0.25">
      <c r="A7" t="s">
        <v>12</v>
      </c>
      <c r="B7" cm="1">
        <f t="array" ref="B7">+_xll.BDP(A7,"WACC_COST_EQUITY")</f>
        <v>30.528444570884027</v>
      </c>
      <c r="C7" cm="1">
        <f t="array" ref="C7">+_xll.BDP(A7,"RETURN_ON_INV_CAPITAL")</f>
        <v>11.790606798921536</v>
      </c>
    </row>
    <row r="8" spans="1:3" x14ac:dyDescent="0.25">
      <c r="A8" t="s">
        <v>11</v>
      </c>
      <c r="B8" cm="1">
        <f t="array" ref="B8">+_xll.BDP(A8,"WACC_COST_EQUITY")</f>
        <v>37.712248908879666</v>
      </c>
      <c r="C8" cm="1">
        <f t="array" ref="C8">+_xll.BDP(A8,"RETURN_ON_INV_CAPITAL")</f>
        <v>16.944111327552275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8</vt:i4>
      </vt:variant>
    </vt:vector>
  </HeadingPairs>
  <TitlesOfParts>
    <vt:vector size="12" baseType="lpstr">
      <vt:lpstr>Indice Utilities</vt:lpstr>
      <vt:lpstr>Base</vt:lpstr>
      <vt:lpstr>Valuación</vt:lpstr>
      <vt:lpstr>WACC ROIC</vt:lpstr>
      <vt:lpstr>Ratio W</vt:lpstr>
      <vt:lpstr>EV EBITDA -zscore-</vt:lpstr>
      <vt:lpstr>NET_DEBT_EBITDA</vt:lpstr>
      <vt:lpstr>EV_EBITDA 12m</vt:lpstr>
      <vt:lpstr>ROIC</vt:lpstr>
      <vt:lpstr>ROIC_WACC</vt:lpstr>
      <vt:lpstr>Tot Debt to Tot Cap</vt:lpstr>
      <vt:lpstr>EBITDA Margin Trail12M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Operations and Technology</dc:creator>
  <cp:lastModifiedBy>Llambi, Ruben Orlando</cp:lastModifiedBy>
  <dcterms:created xsi:type="dcterms:W3CDTF">2015-11-02T15:10:18Z</dcterms:created>
  <dcterms:modified xsi:type="dcterms:W3CDTF">2026-10-13T21:15:53Z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eyIwIjoiSGlzdG9yeSIsIjEiOjAsIjIiOjEsIjMiOjAsIjQiOjAsIjUiOjEsIjYiOjEsIjciOjEsIjgiOjAsIjkiOjEsIjEwIjoxLCIxMSI6MCwiMTIiOjB9</vt:lpwstr>
  </property>
  <property fmtid="{D5CDD505-2E9C-101B-9397-08002B2CF9AE}" pid="3" name="SpreadsheetBuilder_2">
    <vt:lpwstr>eyIwIjoiSGlzdG9yeSIsIjEiOjAsIjIiOjEsIjMiOjAsIjQiOjEsIjUiOjEsIjYiOjEsIjciOjEsIjgiOjAsIjkiOjEsIjEwIjoxLCIxMSI6MCwiMTIiOjB9</vt:lpwstr>
  </property>
  <property fmtid="{D5CDD505-2E9C-101B-9397-08002B2CF9AE}" pid="4" name="SpreadsheetBuilder_3">
    <vt:lpwstr>eyIwIjoiSGlzdG9yeSIsIjEiOjAsIjIiOjEsIjMiOjAsIjQiOjEsIjUiOjEsIjYiOjEsIjciOjEsIjgiOjAsIjkiOjEsIjEwIjoxLCIxMSI6MCwiMTIiOjB9</vt:lpwstr>
  </property>
  <property fmtid="{D5CDD505-2E9C-101B-9397-08002B2CF9AE}" pid="5" name="SpreadsheetBuilder_4">
    <vt:lpwstr>eyIwIjoiSGlzdG9yeSIsIjEiOjAsIjIiOjEsIjMiOjAsIjQiOjEsIjUiOjEsIjYiOjEsIjciOjEsIjgiOjAsIjkiOjEsIjEwIjoxLCIxMSI6MCwiMTIiOjB9</vt:lpwstr>
  </property>
  <property fmtid="{D5CDD505-2E9C-101B-9397-08002B2CF9AE}" pid="6" name="SpreadsheetBuilder_5">
    <vt:lpwstr>eyIwIjoiSGlzdG9yeSIsIjEiOjAsIjIiOjEsIjMiOjAsIjQiOjEsIjUiOjEsIjYiOjEsIjciOjEsIjgiOjAsIjkiOjEsIjEwIjoxLCIxMSI6MCwiMTIiOjB9</vt:lpwstr>
  </property>
  <property fmtid="{D5CDD505-2E9C-101B-9397-08002B2CF9AE}" pid="7" name="SpreadsheetBuilder_6">
    <vt:lpwstr>eyIwIjoiSGlzdG9yeSIsIjEiOjAsIjIiOjEsIjMiOjAsIjQiOjEsIjUiOjEsIjYiOjEsIjciOjEsIjgiOjAsIjkiOjEsIjEwIjoxLCIxMSI6MCwiMTIiOjB9</vt:lpwstr>
  </property>
  <property fmtid="{D5CDD505-2E9C-101B-9397-08002B2CF9AE}" pid="8" name="SpreadsheetBuilder_7">
    <vt:lpwstr>eyIwIjoiSGlzdG9yeSIsIjEiOjAsIjIiOjEsIjMiOjAsIjQiOjEsIjUiOjEsIjYiOjEsIjciOjEsIjgiOjAsIjkiOjEsIjEwIjoxLCIxMSI6MCwiMTIiOjB9</vt:lpwstr>
  </property>
  <property fmtid="{D5CDD505-2E9C-101B-9397-08002B2CF9AE}" pid="9" name="SpreadsheetBuilder_8">
    <vt:lpwstr>eyIwIjoiSGlzdG9yeSIsIjEiOjAsIjIiOjEsIjMiOjAsIjQiOjEsIjUiOjEsIjYiOjEsIjciOjEsIjgiOjAsIjkiOjEsIjEwIjoxLCIxMSI6MCwiMTIiOjB9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SR_MIGRATION_STATUS">
    <vt:lpwstr>2</vt:lpwstr>
  </property>
</Properties>
</file>